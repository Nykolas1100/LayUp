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362E38C-543A-4E79-8960-704EB1537673}" xr6:coauthVersionLast="45" xr6:coauthVersionMax="45" xr10:uidLastSave="{00000000-0000-0000-0000-000000000000}"/>
  <bookViews>
    <workbookView xWindow="2280" yWindow="2280" windowWidth="28800" windowHeight="15460"/>
  </bookViews>
  <sheets>
    <sheet name="OrderFm04" sheetId="1" r:id="rId1"/>
  </sheets>
  <definedNames>
    <definedName name="GRANDT0TAL">#REF!</definedName>
    <definedName name="_xlnm.Print_Area" localSheetId="0">OrderFm04!$A$1:$H$844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533" i="1" s="1"/>
  <c r="B835" i="1" s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6" i="1"/>
  <c r="D27" i="1"/>
  <c r="D28" i="1"/>
  <c r="D30" i="1"/>
  <c r="D31" i="1"/>
  <c r="D32" i="1"/>
  <c r="D33" i="1"/>
  <c r="D34" i="1"/>
  <c r="D35" i="1"/>
  <c r="D36" i="1"/>
  <c r="D38" i="1"/>
  <c r="D39" i="1"/>
  <c r="D40" i="1"/>
  <c r="D41" i="1"/>
  <c r="D42" i="1"/>
  <c r="D43" i="1"/>
  <c r="D44" i="1"/>
  <c r="D45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7" i="1"/>
  <c r="D538" i="1"/>
  <c r="D539" i="1"/>
  <c r="D540" i="1"/>
  <c r="D541" i="1"/>
  <c r="D542" i="1"/>
  <c r="D543" i="1"/>
  <c r="D544" i="1"/>
  <c r="D609" i="1" s="1"/>
  <c r="B836" i="1" s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8" i="1"/>
  <c r="D614" i="1"/>
  <c r="D704" i="1" s="1"/>
  <c r="B837" i="1" s="1"/>
  <c r="D615" i="1"/>
  <c r="D617" i="1"/>
  <c r="D618" i="1"/>
  <c r="D619" i="1"/>
  <c r="D621" i="1"/>
  <c r="D622" i="1"/>
  <c r="D623" i="1"/>
  <c r="D625" i="1"/>
  <c r="D626" i="1"/>
  <c r="D627" i="1"/>
  <c r="D629" i="1"/>
  <c r="D630" i="1"/>
  <c r="D631" i="1"/>
  <c r="D635" i="1"/>
  <c r="D636" i="1"/>
  <c r="D637" i="1"/>
  <c r="D639" i="1"/>
  <c r="D640" i="1"/>
  <c r="D641" i="1"/>
  <c r="D643" i="1"/>
  <c r="D644" i="1"/>
  <c r="D645" i="1"/>
  <c r="D647" i="1"/>
  <c r="D648" i="1"/>
  <c r="D649" i="1"/>
  <c r="D650" i="1"/>
  <c r="D651" i="1"/>
  <c r="D653" i="1"/>
  <c r="D654" i="1"/>
  <c r="D655" i="1"/>
  <c r="D657" i="1"/>
  <c r="D658" i="1"/>
  <c r="D659" i="1"/>
  <c r="D661" i="1"/>
  <c r="D662" i="1"/>
  <c r="D663" i="1"/>
  <c r="D665" i="1"/>
  <c r="D666" i="1"/>
  <c r="D667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2" i="1"/>
  <c r="D703" i="1"/>
  <c r="D708" i="1"/>
  <c r="D709" i="1"/>
  <c r="D710" i="1"/>
  <c r="D711" i="1"/>
  <c r="D712" i="1"/>
  <c r="D714" i="1"/>
  <c r="D715" i="1"/>
  <c r="D716" i="1"/>
  <c r="D718" i="1"/>
  <c r="D719" i="1"/>
  <c r="D720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4" i="1"/>
  <c r="D755" i="1"/>
  <c r="D756" i="1"/>
  <c r="D757" i="1"/>
  <c r="D758" i="1"/>
  <c r="D759" i="1"/>
  <c r="D760" i="1"/>
  <c r="B838" i="1" s="1"/>
  <c r="D765" i="1"/>
  <c r="H765" i="1" s="1"/>
  <c r="G765" i="1"/>
  <c r="D766" i="1"/>
  <c r="H766" i="1" s="1"/>
  <c r="G766" i="1"/>
  <c r="D767" i="1"/>
  <c r="G767" i="1"/>
  <c r="H767" i="1" s="1"/>
  <c r="D768" i="1"/>
  <c r="G768" i="1"/>
  <c r="H768" i="1"/>
  <c r="D769" i="1"/>
  <c r="G769" i="1"/>
  <c r="H769" i="1" s="1"/>
  <c r="D770" i="1"/>
  <c r="G770" i="1"/>
  <c r="H770" i="1"/>
  <c r="D771" i="1"/>
  <c r="H771" i="1" s="1"/>
  <c r="G771" i="1"/>
  <c r="D772" i="1"/>
  <c r="G772" i="1"/>
  <c r="H772" i="1"/>
  <c r="D773" i="1"/>
  <c r="G773" i="1"/>
  <c r="H773" i="1"/>
  <c r="D774" i="1"/>
  <c r="H774" i="1" s="1"/>
  <c r="G774" i="1"/>
  <c r="D775" i="1"/>
  <c r="G775" i="1"/>
  <c r="H775" i="1" s="1"/>
  <c r="D776" i="1"/>
  <c r="H776" i="1" s="1"/>
  <c r="G776" i="1"/>
  <c r="D777" i="1"/>
  <c r="G777" i="1"/>
  <c r="H777" i="1"/>
  <c r="D778" i="1"/>
  <c r="H778" i="1" s="1"/>
  <c r="G778" i="1"/>
  <c r="D779" i="1"/>
  <c r="H779" i="1" s="1"/>
  <c r="G779" i="1"/>
  <c r="D780" i="1"/>
  <c r="G780" i="1"/>
  <c r="H780" i="1"/>
  <c r="D781" i="1"/>
  <c r="H781" i="1" s="1"/>
  <c r="G781" i="1"/>
  <c r="D782" i="1"/>
  <c r="G782" i="1"/>
  <c r="H782" i="1"/>
  <c r="D783" i="1"/>
  <c r="G783" i="1"/>
  <c r="H783" i="1"/>
  <c r="D784" i="1"/>
  <c r="G784" i="1"/>
  <c r="H784" i="1"/>
  <c r="D785" i="1"/>
  <c r="H785" i="1" s="1"/>
  <c r="G785" i="1"/>
  <c r="D786" i="1"/>
  <c r="H786" i="1" s="1"/>
  <c r="G786" i="1"/>
  <c r="D787" i="1"/>
  <c r="G787" i="1"/>
  <c r="H787" i="1" s="1"/>
  <c r="D788" i="1"/>
  <c r="G788" i="1"/>
  <c r="H788" i="1"/>
  <c r="D789" i="1"/>
  <c r="G789" i="1"/>
  <c r="H789" i="1" s="1"/>
  <c r="D790" i="1"/>
  <c r="G790" i="1"/>
  <c r="H790" i="1"/>
  <c r="D791" i="1"/>
  <c r="H791" i="1" s="1"/>
  <c r="G791" i="1"/>
  <c r="D792" i="1"/>
  <c r="G792" i="1"/>
  <c r="H792" i="1"/>
  <c r="D793" i="1"/>
  <c r="G793" i="1"/>
  <c r="H793" i="1"/>
  <c r="D794" i="1"/>
  <c r="H794" i="1" s="1"/>
  <c r="G794" i="1"/>
  <c r="D795" i="1"/>
  <c r="G795" i="1"/>
  <c r="H795" i="1" s="1"/>
  <c r="D796" i="1"/>
  <c r="H796" i="1" s="1"/>
  <c r="G796" i="1"/>
  <c r="D797" i="1"/>
  <c r="G797" i="1"/>
  <c r="H797" i="1"/>
  <c r="D798" i="1"/>
  <c r="H798" i="1" s="1"/>
  <c r="G798" i="1"/>
  <c r="D799" i="1"/>
  <c r="H799" i="1" s="1"/>
  <c r="G799" i="1"/>
  <c r="D800" i="1"/>
  <c r="G800" i="1"/>
  <c r="H800" i="1"/>
  <c r="D801" i="1"/>
  <c r="G801" i="1"/>
  <c r="H801" i="1"/>
  <c r="D802" i="1"/>
  <c r="G802" i="1"/>
  <c r="H802" i="1"/>
  <c r="D803" i="1"/>
  <c r="G803" i="1"/>
  <c r="H803" i="1"/>
  <c r="D804" i="1"/>
  <c r="G804" i="1"/>
  <c r="H804" i="1"/>
  <c r="D805" i="1"/>
  <c r="H805" i="1" s="1"/>
  <c r="G805" i="1"/>
  <c r="D806" i="1"/>
  <c r="H806" i="1" s="1"/>
  <c r="G806" i="1"/>
  <c r="D807" i="1"/>
  <c r="G807" i="1"/>
  <c r="H807" i="1" s="1"/>
  <c r="D808" i="1"/>
  <c r="G808" i="1"/>
  <c r="H808" i="1"/>
  <c r="D809" i="1"/>
  <c r="G809" i="1"/>
  <c r="H809" i="1" s="1"/>
  <c r="D810" i="1"/>
  <c r="G810" i="1"/>
  <c r="H810" i="1"/>
  <c r="D811" i="1"/>
  <c r="H811" i="1" s="1"/>
  <c r="G811" i="1"/>
  <c r="D812" i="1"/>
  <c r="G812" i="1"/>
  <c r="H812" i="1"/>
  <c r="D813" i="1"/>
  <c r="G813" i="1"/>
  <c r="H813" i="1"/>
  <c r="D814" i="1"/>
  <c r="H814" i="1" s="1"/>
  <c r="G814" i="1"/>
  <c r="D815" i="1"/>
  <c r="G815" i="1"/>
  <c r="H815" i="1" s="1"/>
  <c r="D816" i="1"/>
  <c r="H816" i="1" s="1"/>
  <c r="G816" i="1"/>
  <c r="D817" i="1"/>
  <c r="G817" i="1"/>
  <c r="H817" i="1"/>
  <c r="D818" i="1"/>
  <c r="H818" i="1" s="1"/>
  <c r="G818" i="1"/>
  <c r="D819" i="1"/>
  <c r="H819" i="1" s="1"/>
  <c r="G819" i="1"/>
  <c r="D820" i="1"/>
  <c r="G820" i="1"/>
  <c r="H820" i="1"/>
  <c r="D821" i="1"/>
  <c r="G821" i="1"/>
  <c r="H821" i="1"/>
  <c r="D822" i="1"/>
  <c r="G822" i="1"/>
  <c r="H822" i="1"/>
  <c r="D823" i="1"/>
  <c r="G823" i="1"/>
  <c r="H823" i="1"/>
  <c r="D824" i="1"/>
  <c r="G824" i="1"/>
  <c r="H824" i="1"/>
  <c r="D825" i="1"/>
  <c r="H825" i="1" s="1"/>
  <c r="G825" i="1"/>
  <c r="D826" i="1"/>
  <c r="H826" i="1" s="1"/>
  <c r="G826" i="1"/>
  <c r="D827" i="1"/>
  <c r="G827" i="1"/>
  <c r="H827" i="1" s="1"/>
  <c r="D828" i="1"/>
  <c r="G828" i="1"/>
  <c r="H828" i="1"/>
  <c r="D829" i="1"/>
  <c r="G829" i="1"/>
  <c r="H829" i="1" s="1"/>
  <c r="D830" i="1"/>
  <c r="G830" i="1"/>
  <c r="H830" i="1"/>
  <c r="D831" i="1"/>
  <c r="H831" i="1"/>
  <c r="H832" i="1" l="1"/>
  <c r="B839" i="1" s="1"/>
  <c r="B840" i="1"/>
</calcChain>
</file>

<file path=xl/sharedStrings.xml><?xml version="1.0" encoding="utf-8"?>
<sst xmlns="http://schemas.openxmlformats.org/spreadsheetml/2006/main" count="892" uniqueCount="421">
  <si>
    <t>Quantity</t>
  </si>
  <si>
    <t>Total Price</t>
  </si>
  <si>
    <t xml:space="preserve">Quantity </t>
  </si>
  <si>
    <t>Kit Price</t>
  </si>
  <si>
    <t>Subtotal</t>
  </si>
  <si>
    <t>Package of 500 Answer Sheets</t>
  </si>
  <si>
    <t xml:space="preserve">SUBTOTAL ALCPTs </t>
  </si>
  <si>
    <t>Dictionary</t>
  </si>
  <si>
    <t>Set of 11 Dictionaries</t>
  </si>
  <si>
    <t>Audiotapes (16)</t>
  </si>
  <si>
    <t>Audio CDs (8)</t>
  </si>
  <si>
    <t xml:space="preserve">Audiotapes (16) </t>
  </si>
  <si>
    <t>Language Laboratory Activities Student Text  (Jan 91)</t>
  </si>
  <si>
    <t>Language Laboratory Activities Instructor Text  (Jan 91)</t>
  </si>
  <si>
    <t>Videotapes (4): NTSC</t>
  </si>
  <si>
    <t>Videotapes (4): SECAM</t>
  </si>
  <si>
    <t xml:space="preserve">Videotapes (4): PAL </t>
  </si>
  <si>
    <t>Videotapes (2): NTSC</t>
  </si>
  <si>
    <t>Language Laboratory Activities Instructor Text (Jan 91)</t>
  </si>
  <si>
    <t>Language Laboratory Activities Student Text (Jan 91)</t>
  </si>
  <si>
    <t>Language Laboratory Activities Instructor Text  (Jan 92)</t>
  </si>
  <si>
    <t>Language Laboratory Activities Student Text  (Jan 92)</t>
  </si>
  <si>
    <t>Dictionary (necessary for this level)</t>
  </si>
  <si>
    <t>Student Text  (Jan 93)</t>
  </si>
  <si>
    <t>Audiotapes (2)</t>
  </si>
  <si>
    <t>Army Topics, Book 2, Starter Package with Audio CDs</t>
  </si>
  <si>
    <t>Audiotapes (10)</t>
  </si>
  <si>
    <t xml:space="preserve">NTSC Videotape: “A Day in the Life of a Soldier” </t>
  </si>
  <si>
    <t xml:space="preserve">PAL Videotape: “A Day in the Life of a Soldier” </t>
  </si>
  <si>
    <t xml:space="preserve">Audiotapes (10) </t>
  </si>
  <si>
    <t>Audio CDs (10)</t>
  </si>
  <si>
    <t>NTSC Videotape: “A Journey Begins”</t>
  </si>
  <si>
    <t>PAL Videotape: “A Journey Begins”</t>
  </si>
  <si>
    <t>SECAM Videotape: “A Journey Begins”</t>
  </si>
  <si>
    <t>Level I Starter Package, Books 1-6, with Audiotapes  (p. 9)</t>
  </si>
  <si>
    <t>Level I Starter Package, Books 1-6, with Audio CDs</t>
  </si>
  <si>
    <t>Level II Starter Package, Books 7-12, with Audiotapes (p. 11)</t>
  </si>
  <si>
    <t>Level II Starter Package, Books 7-12, with Audio CDs</t>
  </si>
  <si>
    <t>Level III Starter Package, Books 13-18, with Audiotapes  (p. 13)</t>
  </si>
  <si>
    <t>with NTSC Videotape Package</t>
  </si>
  <si>
    <t>with SECAM Videotape Package</t>
  </si>
  <si>
    <t>with PAL Videotape Package</t>
  </si>
  <si>
    <t>Level III Starter Package, Books 13-18, with Audio CDs</t>
  </si>
  <si>
    <t>Level IV Starter Package, Books 19-24, with Audiotapes  (p. 15)</t>
  </si>
  <si>
    <t>Level IV Starter Package, Books 19-24, with Audio CDs</t>
  </si>
  <si>
    <t>Level V Starter Package, Books 25-30, with Audiotapes (p. 17)</t>
  </si>
  <si>
    <t>Level V Starter Package, Books 25-30, with Audio CDs</t>
  </si>
  <si>
    <t>Level VI Starter Package, Books 31-34, with Audiotapes (p. 18)</t>
  </si>
  <si>
    <t>--</t>
  </si>
  <si>
    <t>with NTSC Videotapes</t>
  </si>
  <si>
    <t>with SECAM Videotapes</t>
  </si>
  <si>
    <t>with PAL Videotapes</t>
  </si>
  <si>
    <t>Level VI Starter Package, Books 31-34, with Audio CDs</t>
  </si>
  <si>
    <t>Five copies of IMI CD-ROMs Level III Package  (p. 14)</t>
  </si>
  <si>
    <t>Five copies of IMI CD-ROMs Level IV Package  (p. 16)</t>
  </si>
  <si>
    <t>AMERICAN LANGUAGE COURSE GENERAL ENGLISH INTENSIVE MATERIALS (p. 3)</t>
  </si>
  <si>
    <t>Student Text  (Jan 03)</t>
  </si>
  <si>
    <t>Language Laboratory Activities Instructor Text   (Jan 91)</t>
  </si>
  <si>
    <t xml:space="preserve">Audio CDs (8) </t>
  </si>
  <si>
    <t>Quiz Kit, Form A, with Audiotapes  (Jan 03)</t>
  </si>
  <si>
    <t>Quiz Kit, Form A, with Audio CD  (Jan 03)</t>
  </si>
  <si>
    <t>Quiz Kit, Form B, with Audio CD  (Jan 03)</t>
  </si>
  <si>
    <t>Quiz Kit, Form C, with Audiotapes  (Jan 03)</t>
  </si>
  <si>
    <t>Quiz Kit, Form C, with Audio CD  (Jan 03)</t>
  </si>
  <si>
    <t>IMI CD-ROM Book Package (one copy)</t>
  </si>
  <si>
    <t>Quiz Kit, Form B, with Audiotapes  (Jan 03)</t>
  </si>
  <si>
    <t>Flashcards  (Jan 03)</t>
  </si>
  <si>
    <t>Quiz Kit, Form A, with Audio CD   (Jan 03)</t>
  </si>
  <si>
    <t>IMI CD-ROM Level 1 Package (one copy)</t>
  </si>
  <si>
    <t>Performance Test Kit 6, Form AR1 (for Books 1-6)</t>
  </si>
  <si>
    <t>Quiz Kit, Form A, with Audiotapes</t>
  </si>
  <si>
    <t>Quiz Kit, Form A, with Audio CD</t>
  </si>
  <si>
    <t>Quiz Kit, Form B, with Audiotapes</t>
  </si>
  <si>
    <t>Quiz Kit, Form B, with Audio CD</t>
  </si>
  <si>
    <t>Quiz Kit, Form C, with Audiotapes</t>
  </si>
  <si>
    <t>Quiz Kit, Form C, with Audio CD</t>
  </si>
  <si>
    <t>Student Text  (Jan 91)</t>
  </si>
  <si>
    <t>Performance Test Kit 12, Form AR1 (for Books 7-12)</t>
  </si>
  <si>
    <t>Videotape Activities Instructor Guide</t>
  </si>
  <si>
    <t>Videotape Activities Student Guide</t>
  </si>
  <si>
    <t xml:space="preserve">Quiz Kit, Form C, with Audio CD </t>
  </si>
  <si>
    <t xml:space="preserve">Quiz Kit, Form A, with Audio CD </t>
  </si>
  <si>
    <t>IMI CD-ROM Level III Package (one copy)</t>
  </si>
  <si>
    <t>Performance Test Kit 18, Form AR1 (for Books 13-18)</t>
  </si>
  <si>
    <t xml:space="preserve">Videotapes (2): SECAM </t>
  </si>
  <si>
    <t xml:space="preserve">Videotapes (2): PAL </t>
  </si>
  <si>
    <t>Videotapes (2): SECAM</t>
  </si>
  <si>
    <t>Videotapes (2): PAL</t>
  </si>
  <si>
    <t>IMI CD-ROM Level IV Package (one copy)</t>
  </si>
  <si>
    <t>Performance Test Kit 24, Form AR1 (for Books 19-24)</t>
  </si>
  <si>
    <t>Student Text  (Jan 92)</t>
  </si>
  <si>
    <t>Quiz Kit, Form A, with CD</t>
  </si>
  <si>
    <t>Quiz Kit, Form B, with CD</t>
  </si>
  <si>
    <t>Quiz Kit, Form C, with CD</t>
  </si>
  <si>
    <t>Performance Test Kit 30, Form AR1 (for Books 26-30)</t>
  </si>
  <si>
    <t>Audio CD</t>
  </si>
  <si>
    <t>Book of Idioms  (Aug 01)</t>
  </si>
  <si>
    <t>ALC Nonintensive Starter Packages</t>
  </si>
  <si>
    <t>AMERICAN LANGUAGE COURSE GENERAL ENGLISH NONINTENSIVE MATERIALS (p. 19)</t>
  </si>
  <si>
    <t>Volume 1 Starter Package with Audiotapes  (p. 20)</t>
  </si>
  <si>
    <t xml:space="preserve">Volume 1 Starter Package with Audio CDs  </t>
  </si>
  <si>
    <t>Volume 2 Starter Package with Audiotapes  (p. 21)</t>
  </si>
  <si>
    <t xml:space="preserve">Volume 2 Starter Package with Audio CDs  </t>
  </si>
  <si>
    <t>Volume 3 Starter Package with Audiotapes  (p. 21)</t>
  </si>
  <si>
    <t xml:space="preserve">Volume 3 Starter Package with Audio CDs </t>
  </si>
  <si>
    <t>Volume 4 Starter Package with Audiotapes  (p. 22)</t>
  </si>
  <si>
    <t xml:space="preserve">Volume 4 Starter Package with Audio CDs  </t>
  </si>
  <si>
    <t>Lessons 1-15, Quiz A, with Audiotapes</t>
  </si>
  <si>
    <t>Lessons 1-15, Quiz A, with Audio CD</t>
  </si>
  <si>
    <t>Lessons 15-30, Quiz A, with Audio CD</t>
  </si>
  <si>
    <t>Lessons 1-15, Quiz B, with Audiotapes</t>
  </si>
  <si>
    <t>Lessons 1-15, Quiz B, with Audio CD</t>
  </si>
  <si>
    <t>Lessons 15-30, Quiz B, with Audiotapes</t>
  </si>
  <si>
    <t>Lessons 15-30, Quiz B, with Audio CD</t>
  </si>
  <si>
    <t>Lessons 15-30, Quiz A, with Audiotapes</t>
  </si>
  <si>
    <t xml:space="preserve">SUBTOTAL ALC NONINTENSIVE </t>
  </si>
  <si>
    <t>AMERICAN LANGUAGE COURSE ENGLISH FOR SPECIAL PURPOSES MATERIALS (p. 23)</t>
  </si>
  <si>
    <t>English Skills for Staff Officers in Multinational Operations (ESSO)</t>
  </si>
  <si>
    <t>ESSO</t>
  </si>
  <si>
    <t>Student Self-instruction Set, with Audiotapes (p. 23)</t>
  </si>
  <si>
    <t xml:space="preserve">Student Self-instruction Set, with Audio CD </t>
  </si>
  <si>
    <t>Instructor Set, with Audiotapes</t>
  </si>
  <si>
    <t>with NTSC Video</t>
  </si>
  <si>
    <t>with PAL Video</t>
  </si>
  <si>
    <t>with SECAM Video</t>
  </si>
  <si>
    <t>Instructor Set, with Audio CD</t>
  </si>
  <si>
    <t>Classroom Starter Package, with Audiotapes</t>
  </si>
  <si>
    <t>Classroom Starter Package, with Audio CD</t>
  </si>
  <si>
    <t>American Military English Course  (AMEC)</t>
  </si>
  <si>
    <t>AMEC   Starter Packages</t>
  </si>
  <si>
    <t>General Military Topics, Starter Package with Audiotapes (p. 24)</t>
  </si>
  <si>
    <t xml:space="preserve">with NTSC Videotape </t>
  </si>
  <si>
    <t>with PAL Videotape</t>
  </si>
  <si>
    <t>with SECAM Videotape</t>
  </si>
  <si>
    <t xml:space="preserve">General Military Topics, Starter Package with Audio CDs </t>
  </si>
  <si>
    <t>with NTSC Videotape</t>
  </si>
  <si>
    <t>Army Topics, Book 1, Starter Package with Audiotapes (p. 25)</t>
  </si>
  <si>
    <t>Army Topics, Book 1, Starter Package with Audio CDs</t>
  </si>
  <si>
    <t>Army Topics, Book 2, Starter Package with Audiotapes (p. 25)</t>
  </si>
  <si>
    <t>Air Force Topics, Starter Package with Audiotapes (p. 25)</t>
  </si>
  <si>
    <t xml:space="preserve">Air Force Topics, Starter Package with Audio CDs </t>
  </si>
  <si>
    <t>with SECAM videotape</t>
  </si>
  <si>
    <t>Navy Topics, Starter Package with Audiotapes (p. 26)</t>
  </si>
  <si>
    <t xml:space="preserve">Navy Topics, Starter Package with Audio CDs </t>
  </si>
  <si>
    <t xml:space="preserve">NTSC Videotape: “Exercise Strong Resolve 1998, Spain/Portugal” and “Danger-UXO.” </t>
  </si>
  <si>
    <t xml:space="preserve">PAL Videotape: “Exercise Strong Resolve 1998, Spain/Portugal” and “Danger-UXO.”  </t>
  </si>
  <si>
    <t>SECAM Videotape: “Exercise Strong Resolve 1998, Spain/Portugal” and “Danger-UXO.”</t>
  </si>
  <si>
    <t>Army Topics, Book 1, Instructor Text  (Aug 00)</t>
  </si>
  <si>
    <t xml:space="preserve">SECAM Videotape: “A Day in the Life of a Soldier” </t>
  </si>
  <si>
    <t>NTSC Videotape: “A Day in the Life of an Airman”</t>
  </si>
  <si>
    <t>PAL Videotape: “A Day in the Life of an Airman”</t>
  </si>
  <si>
    <t>SECAM Videotape: “A Day in the Life of an Airman”</t>
  </si>
  <si>
    <t>Aviation Radio Communication</t>
  </si>
  <si>
    <t>ALCPT</t>
  </si>
  <si>
    <t>Individual</t>
  </si>
  <si>
    <t>Training Aids Packages</t>
  </si>
  <si>
    <t>Handbook for Quiz Development (Jul 00)</t>
  </si>
  <si>
    <t>Teaching Demonstration Videotape Package</t>
  </si>
  <si>
    <t>Book of Idioms</t>
  </si>
  <si>
    <t>Homework and Evaluation Exercises</t>
  </si>
  <si>
    <t>Book 1  (Jan 03)</t>
  </si>
  <si>
    <t>Book 2  (Jan 03)</t>
  </si>
  <si>
    <t>Book 3  (Jan 03)</t>
  </si>
  <si>
    <t>Book 4  (Jan 03)</t>
  </si>
  <si>
    <t>Book 5  (Jan 03)</t>
  </si>
  <si>
    <t>Book 6  (Jan 03)</t>
  </si>
  <si>
    <t>Performance Test Consumable Booklets &amp; Diagnostic Forms in packages of 25</t>
  </si>
  <si>
    <t>Performance Test Kit 6 (for Level I)</t>
  </si>
  <si>
    <t>Performance Test Kit 12 (for Level II)</t>
  </si>
  <si>
    <t>Performance Test Kit 18 (for Level III)</t>
  </si>
  <si>
    <t>Performance Test Kit 24 (for Level IV)</t>
  </si>
  <si>
    <t>Performance Test Kit 30 (for Level V)</t>
  </si>
  <si>
    <t>TOTALS</t>
  </si>
  <si>
    <r>
      <t>Language Laboratory Activities Student Text      (Jan 91</t>
    </r>
    <r>
      <rPr>
        <i/>
        <sz val="12"/>
        <rFont val="Arial"/>
        <family val="2"/>
      </rPr>
      <t>)</t>
    </r>
  </si>
  <si>
    <r>
      <t>Flashcards (Jan 03</t>
    </r>
    <r>
      <rPr>
        <i/>
        <sz val="12"/>
        <rFont val="Arial"/>
        <family val="2"/>
      </rPr>
      <t>)</t>
    </r>
  </si>
  <si>
    <r>
      <t>Student Text  (Jan 03</t>
    </r>
    <r>
      <rPr>
        <i/>
        <sz val="12"/>
        <rFont val="Arial"/>
        <family val="2"/>
      </rPr>
      <t>)</t>
    </r>
  </si>
  <si>
    <r>
      <t>Flashcards  (Jan 03</t>
    </r>
    <r>
      <rPr>
        <i/>
        <sz val="12"/>
        <rFont val="Arial"/>
        <family val="2"/>
      </rPr>
      <t>)</t>
    </r>
  </si>
  <si>
    <r>
      <t>Language Laboratory Activities Student Text  (Jan 91</t>
    </r>
    <r>
      <rPr>
        <i/>
        <sz val="12"/>
        <rFont val="Arial"/>
        <family val="2"/>
      </rPr>
      <t>)</t>
    </r>
  </si>
  <si>
    <r>
      <t>Flashcards  (Jan 03</t>
    </r>
    <r>
      <rPr>
        <i/>
        <sz val="12"/>
        <rFont val="Arial"/>
        <family val="2"/>
      </rPr>
      <t>)</t>
    </r>
    <r>
      <rPr>
        <sz val="12"/>
        <rFont val="Arial"/>
        <family val="2"/>
      </rPr>
      <t xml:space="preserve">  </t>
    </r>
  </si>
  <si>
    <r>
      <t>Student Text  (Jan 91</t>
    </r>
    <r>
      <rPr>
        <i/>
        <sz val="12"/>
        <rFont val="Arial"/>
        <family val="2"/>
      </rPr>
      <t>)</t>
    </r>
  </si>
  <si>
    <r>
      <t>Language Laboratory Activities, Student Text  (Jan 91</t>
    </r>
    <r>
      <rPr>
        <i/>
        <sz val="12"/>
        <rFont val="Arial"/>
        <family val="2"/>
      </rPr>
      <t>)</t>
    </r>
  </si>
  <si>
    <r>
      <t>Language Laboratory Activities Instructor Text  (Jan 91</t>
    </r>
    <r>
      <rPr>
        <i/>
        <sz val="12"/>
        <rFont val="Arial"/>
        <family val="2"/>
      </rPr>
      <t>)</t>
    </r>
  </si>
  <si>
    <r>
      <t>with NTSC Videotape</t>
    </r>
    <r>
      <rPr>
        <b/>
        <sz val="12"/>
        <rFont val="Arial"/>
        <family val="2"/>
      </rPr>
      <t xml:space="preserve"> </t>
    </r>
  </si>
  <si>
    <t xml:space="preserve">Book 10 </t>
  </si>
  <si>
    <t xml:space="preserve">Book 11  </t>
  </si>
  <si>
    <t xml:space="preserve">Book 12  </t>
  </si>
  <si>
    <t xml:space="preserve">Book 13 </t>
  </si>
  <si>
    <t xml:space="preserve">Book 14  </t>
  </si>
  <si>
    <t xml:space="preserve">Book 15  </t>
  </si>
  <si>
    <t xml:space="preserve">Book 16  </t>
  </si>
  <si>
    <t xml:space="preserve">Book 17 </t>
  </si>
  <si>
    <t xml:space="preserve">Book 18  </t>
  </si>
  <si>
    <t xml:space="preserve">Book 19  </t>
  </si>
  <si>
    <t>Book 20</t>
  </si>
  <si>
    <t xml:space="preserve">Book 21 </t>
  </si>
  <si>
    <t xml:space="preserve">Book 22  </t>
  </si>
  <si>
    <t xml:space="preserve">Book 23  </t>
  </si>
  <si>
    <t xml:space="preserve">Book 24  </t>
  </si>
  <si>
    <t xml:space="preserve">Book 25  </t>
  </si>
  <si>
    <t xml:space="preserve">Book 26  </t>
  </si>
  <si>
    <t xml:space="preserve">Book 27  </t>
  </si>
  <si>
    <t xml:space="preserve">Book 28  </t>
  </si>
  <si>
    <t xml:space="preserve">Book 29  </t>
  </si>
  <si>
    <t xml:space="preserve">Book 30  </t>
  </si>
  <si>
    <t>Five copies of IMI CD-ROMs Level I Package  (p. 10)</t>
  </si>
  <si>
    <t>Videotapes (4):  NTSC</t>
  </si>
  <si>
    <t xml:space="preserve">Videotapes (4):  SECAM </t>
  </si>
  <si>
    <t>Videotapes (4):  PAL</t>
  </si>
  <si>
    <t>Videotapes (4):  SECAM</t>
  </si>
  <si>
    <t xml:space="preserve">Videotapes (4):  PAL </t>
  </si>
  <si>
    <t>780, Familiarization with the ALC  (Sep 98)</t>
  </si>
  <si>
    <t>782, Grammar for the ALC (Dec 01)</t>
  </si>
  <si>
    <t>789, Indexes for Levels 1-V (Mar 95)</t>
  </si>
  <si>
    <t>ALC Starter Packages</t>
  </si>
  <si>
    <t>Price</t>
  </si>
  <si>
    <t>Five copies of IMI CD-ROMs Level II Package  (p. 12)</t>
  </si>
  <si>
    <t xml:space="preserve">ALC Individual Materials       </t>
  </si>
  <si>
    <t xml:space="preserve">Price </t>
  </si>
  <si>
    <r>
      <t>Student Text  (Jan 04</t>
    </r>
    <r>
      <rPr>
        <i/>
        <sz val="12"/>
        <rFont val="Arial"/>
        <family val="2"/>
      </rPr>
      <t>)</t>
    </r>
  </si>
  <si>
    <t>Quiz Kit, Form A, with Audiotapes (Jan 04)</t>
  </si>
  <si>
    <t>Quiz Kit, Form A, with Audio CD (Jan 04)</t>
  </si>
  <si>
    <t>Quiz Kit, Form B, with Audiotapes (Jan 04)</t>
  </si>
  <si>
    <t>Quiz Kit, Form B, with Audio CD (Jan 04)</t>
  </si>
  <si>
    <t>Quiz Kit, Form C, with Audiotapes (Jan 04)</t>
  </si>
  <si>
    <t>Quiz Kit, Form C, with Audio CD (Jan 04)</t>
  </si>
  <si>
    <t>Flashcards (Jan 04)</t>
  </si>
  <si>
    <t>Quiz Kit, Form C, with Audio CDs (Jan 04)</t>
  </si>
  <si>
    <t>Student Text  (Jan 04)</t>
  </si>
  <si>
    <t>IMI CD-ROM Level II Package (one copy)</t>
  </si>
  <si>
    <t xml:space="preserve">     Student Text  (Jan 92)</t>
  </si>
  <si>
    <t xml:space="preserve">     Language Laboratory Activities Instructor Text  (Jan 92)</t>
  </si>
  <si>
    <t xml:space="preserve">     Language Laboratory Activities Student Text  (Jan 92)</t>
  </si>
  <si>
    <t xml:space="preserve">     Audiotapes (16)</t>
  </si>
  <si>
    <t xml:space="preserve">     Audio CDs (8)</t>
  </si>
  <si>
    <t xml:space="preserve">     Quiz Kit, Form A, with Audiotapes</t>
  </si>
  <si>
    <t xml:space="preserve">     Quiz Kit, Form A, with Audio CD</t>
  </si>
  <si>
    <t xml:space="preserve">     Quiz Kit, Form B, with Audiotapes</t>
  </si>
  <si>
    <t xml:space="preserve">     Quiz Kit, Form B, with Audio CD</t>
  </si>
  <si>
    <t xml:space="preserve">     Quiz Kit, Form C, with Audiotapes</t>
  </si>
  <si>
    <t xml:space="preserve">     Quiz Kit, Form C, with Audio CD</t>
  </si>
  <si>
    <t xml:space="preserve">     Student Text  (Jan 93)</t>
  </si>
  <si>
    <t xml:space="preserve">     Audiotapes (3)</t>
  </si>
  <si>
    <t xml:space="preserve">     Audio CD</t>
  </si>
  <si>
    <t xml:space="preserve">     Videotapes (2): NTSC</t>
  </si>
  <si>
    <t xml:space="preserve">     Book of Idioms  (Aug 01)</t>
  </si>
  <si>
    <t xml:space="preserve">     Dictionary (necessary for this level)</t>
  </si>
  <si>
    <t xml:space="preserve">     Videotapes (2): SECAM</t>
  </si>
  <si>
    <t xml:space="preserve">     Videotapes (2): PAL</t>
  </si>
  <si>
    <t xml:space="preserve">     Videotapes (2):  SECAM</t>
  </si>
  <si>
    <t xml:space="preserve">     Audiotapes (3) </t>
  </si>
  <si>
    <t>ALC Nonintensive Individual Materials</t>
  </si>
  <si>
    <t xml:space="preserve">       Listening Skills Text (Apr 02)</t>
  </si>
  <si>
    <t xml:space="preserve">       Homework Text (Apr 02)</t>
  </si>
  <si>
    <t xml:space="preserve">       Instructor Guide (Apr 02)</t>
  </si>
  <si>
    <t xml:space="preserve">       Audiotapes (30)</t>
  </si>
  <si>
    <t xml:space="preserve">       Audio CDs (15)</t>
  </si>
  <si>
    <t xml:space="preserve">       Flashcards</t>
  </si>
  <si>
    <t xml:space="preserve">       Lessons 1-15, Quiz A, with Audiotapes</t>
  </si>
  <si>
    <t xml:space="preserve">       Lessons 1-15, Quiz A, with Audio CD</t>
  </si>
  <si>
    <t xml:space="preserve">       Lessons 15-30, Quiz A, with Audiotapes</t>
  </si>
  <si>
    <t xml:space="preserve">       Lessons 15-30, Quiz A, with Audio CD</t>
  </si>
  <si>
    <t xml:space="preserve">       Lessons 1-15, Quiz B, with Audiotapes</t>
  </si>
  <si>
    <t xml:space="preserve">       Lessons 1-15, Quiz B, with Audio CD</t>
  </si>
  <si>
    <t xml:space="preserve">       Lessons 15-30, Quiz B, with Audiotapes</t>
  </si>
  <si>
    <t xml:space="preserve">       Lessons 15-30, Quiz B, with Audio CD</t>
  </si>
  <si>
    <t xml:space="preserve">       IMI CD-ROM Volume Package (one copy)</t>
  </si>
  <si>
    <t xml:space="preserve">       Instructor Guide (Jan 04)</t>
  </si>
  <si>
    <t xml:space="preserve">       Listening Kills Text (Jan 04)</t>
  </si>
  <si>
    <t xml:space="preserve">       Homework Text (Jan 04)</t>
  </si>
  <si>
    <t xml:space="preserve">       Listening Skills Text (Jan 04)</t>
  </si>
  <si>
    <t xml:space="preserve">       Lessons 1-16, Quiz A, with Audiotapes</t>
  </si>
  <si>
    <t xml:space="preserve">       Lessons 1-16, Quiz A, with Audio CD</t>
  </si>
  <si>
    <t xml:space="preserve">       Lessons 17-32, Quiz A, with Audiotapes</t>
  </si>
  <si>
    <t xml:space="preserve">       Lessons 17-32, Quiz A, with Audio CD</t>
  </si>
  <si>
    <t xml:space="preserve">       Lessons 1-16, Quiz B, with Audiotapes</t>
  </si>
  <si>
    <t xml:space="preserve">       Lessons 1-16, Quiz B, with Audio CD</t>
  </si>
  <si>
    <t xml:space="preserve">       Lessons 17-32, Quiz B, with Audiotapes</t>
  </si>
  <si>
    <t xml:space="preserve">       Lessons 17-32, Quiz B, with Audio CD</t>
  </si>
  <si>
    <t xml:space="preserve">       IMI CD-ROM Nonintensive ALC Package (one copy)</t>
  </si>
  <si>
    <t>AMEC    Individual Materials</t>
  </si>
  <si>
    <t>General Military Topics, Instructor Text  (Jan 03)</t>
  </si>
  <si>
    <t>Student Text (Jan 03)</t>
  </si>
  <si>
    <t>Student Text (Oct 02)</t>
  </si>
  <si>
    <t>Army Topics, Book 2, Instructor Text  (Jul 02)</t>
  </si>
  <si>
    <t>Student Text  (Oct 02)</t>
  </si>
  <si>
    <t>Air Force Topics, Instructor Text  (Sep 02)</t>
  </si>
  <si>
    <t>Navy Topics, Instructor Text  (Jun 02)</t>
  </si>
  <si>
    <t>Aviation Radio Communication Package with Audiotapes (13)</t>
  </si>
  <si>
    <t>with Audio CDs (5)</t>
  </si>
  <si>
    <t>INSTRUCTIONAL SUPPORT MATERIALS (p. 27)</t>
  </si>
  <si>
    <t>Instructor Materials (p. 27)</t>
  </si>
  <si>
    <t>Classroom Resources (p. 28)</t>
  </si>
  <si>
    <t>Replacement Items (p. 29)</t>
  </si>
  <si>
    <t>Book 7  (Jan 04)</t>
  </si>
  <si>
    <t>Book 8  (Jan 04)</t>
  </si>
  <si>
    <t xml:space="preserve">Book 9  (Jan 04) </t>
  </si>
  <si>
    <t>Booklet</t>
  </si>
  <si>
    <t>Form 38 with Audiotapes</t>
  </si>
  <si>
    <t>Form 39 with Audio CD</t>
  </si>
  <si>
    <t>Form 40 with Audio CD</t>
  </si>
  <si>
    <t>Form 41 with Audio CD</t>
  </si>
  <si>
    <t>Form 42 with Audio CD</t>
  </si>
  <si>
    <t>Form 43 with Audio CD</t>
  </si>
  <si>
    <t>Form 45 with Audio CD</t>
  </si>
  <si>
    <t>Form 46 with Audio CD</t>
  </si>
  <si>
    <t>Form 47 with Audio CD</t>
  </si>
  <si>
    <t>Form 48 with Audio CD</t>
  </si>
  <si>
    <t>Form 49 with Audio CD</t>
  </si>
  <si>
    <t>Form 50 with Audio CD</t>
  </si>
  <si>
    <t>Form 51 with Audio CD</t>
  </si>
  <si>
    <t>Form 52 with Audio CD</t>
  </si>
  <si>
    <t>Form 53 with Audio CD</t>
  </si>
  <si>
    <t>Form 54 with Audio CD</t>
  </si>
  <si>
    <t>Form 55 with Audio CD</t>
  </si>
  <si>
    <t>Form 56 with Audio CD</t>
  </si>
  <si>
    <t>Form 57 with Audio CD</t>
  </si>
  <si>
    <t>Form 58 with Audio CD</t>
  </si>
  <si>
    <t>Form 59 with Audio CD</t>
  </si>
  <si>
    <t>Form 60 with Audio CD</t>
  </si>
  <si>
    <t>Form 61 with Audio CD</t>
  </si>
  <si>
    <t>Form 62 with Audio CD</t>
  </si>
  <si>
    <t>Form 63 with Audio CD</t>
  </si>
  <si>
    <t>Form 64 with Audio CD</t>
  </si>
  <si>
    <t>Form 65 with Audio CD</t>
  </si>
  <si>
    <t>Form 38 with Audio CD</t>
  </si>
  <si>
    <t>Form 44 with Audio CD</t>
  </si>
  <si>
    <t xml:space="preserve">Form 39 with Audiotapes </t>
  </si>
  <si>
    <t>Form 40 with Audiotapes</t>
  </si>
  <si>
    <t>Form 41 with Audiotapes</t>
  </si>
  <si>
    <t>Form 42 with Audiotapes</t>
  </si>
  <si>
    <t>Form 43 with Audiotapes</t>
  </si>
  <si>
    <t>Form 44 with Audiotapes</t>
  </si>
  <si>
    <t>Form 45 with Audiotapes</t>
  </si>
  <si>
    <t>Form 46 with Audiotapes</t>
  </si>
  <si>
    <t>Form 47 with Audiotapes</t>
  </si>
  <si>
    <t>Form 48 with Audiotapes</t>
  </si>
  <si>
    <t>Form 49 with Audiotapes</t>
  </si>
  <si>
    <t>Form 50 with Audiotapes</t>
  </si>
  <si>
    <t>Form 51 with Audiotapes</t>
  </si>
  <si>
    <t>Form 52 with Audiotapes</t>
  </si>
  <si>
    <t>Form 53 with Audiotapes</t>
  </si>
  <si>
    <t>Form 54 with Audiotapes</t>
  </si>
  <si>
    <t>Form 55 with Audiotapes</t>
  </si>
  <si>
    <t>Form 56 with Audiotapes</t>
  </si>
  <si>
    <t>Form 57 with Audiotapes</t>
  </si>
  <si>
    <t>Form 58 with Audiotapes</t>
  </si>
  <si>
    <t>Form 59 with Audiotapes</t>
  </si>
  <si>
    <t>Form 60 with Audiotapes</t>
  </si>
  <si>
    <t>Form 61 with Audiotapes</t>
  </si>
  <si>
    <t>Form 62 with Audiotapes</t>
  </si>
  <si>
    <t>Form 63 with Audiotapes</t>
  </si>
  <si>
    <t>Form 64 with Audiotapes</t>
  </si>
  <si>
    <t>Form 65 with Audiotapes</t>
  </si>
  <si>
    <t>Form 66 with Audiotapes</t>
  </si>
  <si>
    <t>Form 66 with Audio CD</t>
  </si>
  <si>
    <t>Form 67 with Audiotapes</t>
  </si>
  <si>
    <t>Form 67 with Audio CD</t>
  </si>
  <si>
    <t>Form 68 with Audiotapes</t>
  </si>
  <si>
    <t>Form 68 with Audio CD</t>
  </si>
  <si>
    <t>Form 69 with Audiotapes</t>
  </si>
  <si>
    <t>Form 69 with Audio CD</t>
  </si>
  <si>
    <t>Form 70 with Audiotapes</t>
  </si>
  <si>
    <t>Form 70 with Audio CD</t>
  </si>
  <si>
    <t>SUBTOTAL ALC INTENSIVE MATERIALS</t>
  </si>
  <si>
    <t>SUBTOTAL ALC NONINTENSIVE MATERIALS</t>
  </si>
  <si>
    <t>SUBTOTAL ALC ENGLISH FOR SPECIFIC PURPOSES MATERIALS</t>
  </si>
  <si>
    <t>Language Laboratory Activities, Instructor Text  (Jan 91)</t>
  </si>
  <si>
    <r>
      <t>Book 12    Instructor Text  (Jan 91</t>
    </r>
    <r>
      <rPr>
        <i/>
        <sz val="12"/>
        <rFont val="Arial"/>
        <family val="2"/>
      </rPr>
      <t>)</t>
    </r>
  </si>
  <si>
    <r>
      <t>Book 11    Instructor Text  (Jan 91</t>
    </r>
    <r>
      <rPr>
        <i/>
        <sz val="12"/>
        <rFont val="Arial"/>
        <family val="2"/>
      </rPr>
      <t>)</t>
    </r>
  </si>
  <si>
    <t>Book 10    Instructor Text  (Jan 91)</t>
  </si>
  <si>
    <r>
      <t>Book 9      Instructor Text  (Jan 04</t>
    </r>
    <r>
      <rPr>
        <i/>
        <sz val="12"/>
        <rFont val="Arial"/>
        <family val="2"/>
      </rPr>
      <t>)</t>
    </r>
  </si>
  <si>
    <t>Book 8      Instructor Text  (Jan 04)</t>
  </si>
  <si>
    <t>Book 7      Instructor Text  (Jan 04)</t>
  </si>
  <si>
    <t>Book 6      Instructor Text  (Jan 03)</t>
  </si>
  <si>
    <t>Book 5      Instructor Text  (Jan 03)</t>
  </si>
  <si>
    <t>Book 4      Instructor Text  (Jan 03)</t>
  </si>
  <si>
    <t>Book 3      Instructor Text  (Jan 03)</t>
  </si>
  <si>
    <t>Book 2      Instructor Text  (Jan 03)</t>
  </si>
  <si>
    <t>Book 1      Instructor Text  (Jan 03)</t>
  </si>
  <si>
    <t>Book of Idioms (Aug 01)</t>
  </si>
  <si>
    <t>Audiotapes (3)</t>
  </si>
  <si>
    <t>Listening Skills Text (Oct 02)</t>
  </si>
  <si>
    <t>Homework Text (Oct 02)</t>
  </si>
  <si>
    <t>Instructor Guide (Oct 02)</t>
  </si>
  <si>
    <t>Audiotapes (30)</t>
  </si>
  <si>
    <t>Audio CDs (15)</t>
  </si>
  <si>
    <t>Flashcards</t>
  </si>
  <si>
    <t>IMI CD-ROM Volume Package (one copy)</t>
  </si>
  <si>
    <t xml:space="preserve">SUBTOTAL INSTRUCTIONAL SUPPORT MATERIALS </t>
  </si>
  <si>
    <t>AMERICAN LANGUAGE COURSE PLACEMENT TEST MATERIALS (p. 31)</t>
  </si>
  <si>
    <t>SUBTOTAL INSTRUCTIONAL SUPORT MATERIALS</t>
  </si>
  <si>
    <t>SUBTOTAL ALCPT MATERIALS</t>
  </si>
  <si>
    <t>CATEGORIES</t>
  </si>
  <si>
    <t>SUBTOTAL ALC ENGLISH FOR SPECIFIC PURPOSES</t>
  </si>
  <si>
    <t>Book 13         Instructor Text  (Jan 91)</t>
  </si>
  <si>
    <r>
      <t>Book 14         Instructor Text  (Jan 91</t>
    </r>
    <r>
      <rPr>
        <i/>
        <sz val="12"/>
        <rFont val="Arial"/>
        <family val="2"/>
      </rPr>
      <t>)</t>
    </r>
  </si>
  <si>
    <t>Book 15         Instructor Text  (Jan 91)</t>
  </si>
  <si>
    <t>Book 16         Instructor Text  (Jan 91)</t>
  </si>
  <si>
    <r>
      <t>Book 17         Instructor Text  (Jan 91</t>
    </r>
    <r>
      <rPr>
        <i/>
        <sz val="12"/>
        <rFont val="Arial"/>
        <family val="2"/>
      </rPr>
      <t>)</t>
    </r>
  </si>
  <si>
    <t>Book 18         Instructor Text  (Jan 91)</t>
  </si>
  <si>
    <t>Book 19         Instructor Text  (Jan 91)</t>
  </si>
  <si>
    <t>Book 20         Instructor Text  (Jan 91)</t>
  </si>
  <si>
    <t>Book 21         Instructor Text  (Jan 91)</t>
  </si>
  <si>
    <t>Book 22         Instructor Text  (Jan 91)</t>
  </si>
  <si>
    <t>Book 23         Instructor Text  (Jan 91)</t>
  </si>
  <si>
    <t>Book 24         Instructor Text  (Jan 91)</t>
  </si>
  <si>
    <t>Book 25         Instructor Text  (Jan 92)</t>
  </si>
  <si>
    <r>
      <t>Book 26         Instructor Text  (Jan 92</t>
    </r>
    <r>
      <rPr>
        <i/>
        <sz val="12"/>
        <rFont val="Arial"/>
        <family val="2"/>
      </rPr>
      <t>)</t>
    </r>
  </si>
  <si>
    <r>
      <t>Book 27         Instructor Text  (Jan 92</t>
    </r>
    <r>
      <rPr>
        <i/>
        <sz val="12"/>
        <rFont val="Arial"/>
        <family val="2"/>
      </rPr>
      <t>)</t>
    </r>
  </si>
  <si>
    <t>Book 28         Instructor Text  (Jan 92)</t>
  </si>
  <si>
    <t>Book 29         Instructor Text  (Jan 92)</t>
  </si>
  <si>
    <t>Book 30        Instructor Text  (Jan 92)</t>
  </si>
  <si>
    <t>Book 31        Instructor Text  (Jan 93)</t>
  </si>
  <si>
    <t>Book 32        Instructor Text  (Jan 93)</t>
  </si>
  <si>
    <t>Book 33        Instructor Text  (Jan 93)</t>
  </si>
  <si>
    <t>Book 34         Instructor Text  (Jan 93)</t>
  </si>
  <si>
    <t>Volume 3       Student Text  (Jan 04)</t>
  </si>
  <si>
    <t>Volume 4       Student Text (Jan 04)</t>
  </si>
  <si>
    <t>Volume 2       Student Text  (Oct 02)</t>
  </si>
  <si>
    <t>Volume 1        Student Text (Apr 02)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</si>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</sst>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7" formatCode="&quot;$&quot;#,##0.00_);[Red]\(&quot;$&quot;#,##0.00\)"/>
    <numFmt numFmtId="170" formatCode="_(&quot;$&quot;* #,##0.00_);_(&quot;$&quot;* \(#,##0.00\);_(&quot;$&quot;* &quot;-&quot;??_);_(@_)"/>
    <numFmt numFmtId="178" formatCode="&quot;$&quot;#,##0.00"/>
  </numFmts>
  <fonts count="12" x14ac:knownFonts="1">
    <font>
      <sz val="9"/>
      <name val="Arial Narrow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 Narrow"/>
      <family val="2"/>
    </font>
    <font>
      <sz val="12"/>
      <name val="Arial"/>
      <family val="2"/>
    </font>
    <font>
      <sz val="14"/>
      <name val="Arial"/>
      <family val="2"/>
    </font>
    <font>
      <sz val="13"/>
      <name val="Arial"/>
      <family val="2"/>
    </font>
    <font>
      <sz val="9"/>
      <name val="Arial"/>
      <family val="2"/>
    </font>
    <font>
      <i/>
      <sz val="12"/>
      <name val="Arial"/>
      <family val="2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 applyFill="0" applyBorder="0" applyProtection="0"/>
    <xf numFmtId="170" fontId="1" fillId="0" borderId="0" applyFont="0" applyFill="0" applyBorder="0" applyAlignment="0" applyProtection="0"/>
  </cellStyleXfs>
  <cellXfs count="178">
    <xf numFmtId="0" fontId="0" fillId="0" borderId="0" xfId="0"/>
    <xf numFmtId="0" fontId="3" fillId="0" borderId="0" xfId="0" applyFont="1"/>
    <xf numFmtId="0" fontId="3" fillId="2" borderId="1" xfId="0" applyFont="1" applyFill="1" applyBorder="1" applyAlignment="1" applyProtection="1">
      <alignment horizontal="centerContinuous"/>
    </xf>
    <xf numFmtId="0" fontId="3" fillId="2" borderId="2" xfId="0" applyFont="1" applyFill="1" applyBorder="1" applyAlignment="1" applyProtection="1">
      <alignment horizontal="centerContinuous"/>
    </xf>
    <xf numFmtId="1" fontId="3" fillId="2" borderId="2" xfId="0" applyNumberFormat="1" applyFont="1" applyFill="1" applyBorder="1" applyAlignment="1" applyProtection="1">
      <alignment horizontal="centerContinuous"/>
      <protection locked="0"/>
    </xf>
    <xf numFmtId="178" fontId="3" fillId="2" borderId="3" xfId="0" applyNumberFormat="1" applyFont="1" applyFill="1" applyBorder="1" applyAlignment="1" applyProtection="1">
      <alignment horizontal="centerContinuous"/>
    </xf>
    <xf numFmtId="0" fontId="3" fillId="2" borderId="4" xfId="0" applyFont="1" applyFill="1" applyBorder="1" applyAlignment="1" applyProtection="1">
      <alignment horizontal="center"/>
    </xf>
    <xf numFmtId="1" fontId="3" fillId="2" borderId="4" xfId="0" applyNumberFormat="1" applyFont="1" applyFill="1" applyBorder="1" applyAlignment="1" applyProtection="1">
      <alignment horizontal="center"/>
      <protection locked="0"/>
    </xf>
    <xf numFmtId="178" fontId="3" fillId="2" borderId="4" xfId="0" applyNumberFormat="1" applyFont="1" applyFill="1" applyBorder="1" applyAlignment="1" applyProtection="1">
      <alignment horizontal="center"/>
    </xf>
    <xf numFmtId="0" fontId="3" fillId="3" borderId="5" xfId="0" applyFont="1" applyFill="1" applyBorder="1" applyAlignment="1">
      <alignment vertical="top" wrapText="1"/>
    </xf>
    <xf numFmtId="0" fontId="3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vertical="top" wrapText="1"/>
    </xf>
    <xf numFmtId="0" fontId="3" fillId="3" borderId="7" xfId="0" applyFont="1" applyFill="1" applyBorder="1" applyAlignment="1">
      <alignment vertical="top" wrapText="1"/>
    </xf>
    <xf numFmtId="0" fontId="6" fillId="0" borderId="0" xfId="0" applyFont="1"/>
    <xf numFmtId="0" fontId="9" fillId="0" borderId="0" xfId="0" applyFont="1"/>
    <xf numFmtId="0" fontId="6" fillId="0" borderId="8" xfId="0" applyFont="1" applyBorder="1" applyAlignment="1">
      <alignment vertical="top" wrapText="1"/>
    </xf>
    <xf numFmtId="0" fontId="9" fillId="0" borderId="0" xfId="0" applyFont="1" applyBorder="1"/>
    <xf numFmtId="0" fontId="9" fillId="0" borderId="0" xfId="0" applyFont="1" applyFill="1"/>
    <xf numFmtId="0" fontId="6" fillId="0" borderId="7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8" fillId="0" borderId="0" xfId="0" applyFont="1" applyProtection="1"/>
    <xf numFmtId="1" fontId="8" fillId="0" borderId="0" xfId="0" applyNumberFormat="1" applyFont="1" applyProtection="1">
      <protection locked="0"/>
    </xf>
    <xf numFmtId="0" fontId="0" fillId="0" borderId="5" xfId="0" applyBorder="1"/>
    <xf numFmtId="0" fontId="3" fillId="2" borderId="5" xfId="0" applyFont="1" applyFill="1" applyBorder="1"/>
    <xf numFmtId="0" fontId="3" fillId="2" borderId="5" xfId="0" applyFont="1" applyFill="1" applyBorder="1" applyAlignment="1" applyProtection="1">
      <alignment horizontal="center"/>
    </xf>
    <xf numFmtId="1" fontId="3" fillId="2" borderId="5" xfId="0" applyNumberFormat="1" applyFont="1" applyFill="1" applyBorder="1" applyAlignment="1" applyProtection="1">
      <alignment horizontal="center"/>
      <protection locked="0"/>
    </xf>
    <xf numFmtId="178" fontId="3" fillId="2" borderId="5" xfId="0" applyNumberFormat="1" applyFont="1" applyFill="1" applyBorder="1" applyAlignment="1" applyProtection="1">
      <alignment horizontal="center"/>
    </xf>
    <xf numFmtId="0" fontId="3" fillId="2" borderId="9" xfId="0" applyFont="1" applyFill="1" applyBorder="1" applyAlignment="1" applyProtection="1">
      <alignment horizontal="center"/>
    </xf>
    <xf numFmtId="1" fontId="3" fillId="2" borderId="10" xfId="0" applyNumberFormat="1" applyFont="1" applyFill="1" applyBorder="1" applyAlignment="1" applyProtection="1">
      <alignment horizontal="center"/>
      <protection locked="0"/>
    </xf>
    <xf numFmtId="178" fontId="3" fillId="2" borderId="10" xfId="0" applyNumberFormat="1" applyFont="1" applyFill="1" applyBorder="1" applyAlignment="1" applyProtection="1">
      <alignment horizontal="center"/>
    </xf>
    <xf numFmtId="178" fontId="6" fillId="0" borderId="5" xfId="0" applyNumberFormat="1" applyFont="1" applyBorder="1"/>
    <xf numFmtId="167" fontId="6" fillId="0" borderId="11" xfId="0" applyNumberFormat="1" applyFont="1" applyFill="1" applyBorder="1" applyAlignment="1">
      <alignment vertical="top" wrapText="1"/>
    </xf>
    <xf numFmtId="1" fontId="6" fillId="0" borderId="4" xfId="0" applyNumberFormat="1" applyFont="1" applyBorder="1" applyProtection="1">
      <protection locked="0"/>
    </xf>
    <xf numFmtId="178" fontId="6" fillId="0" borderId="4" xfId="0" applyNumberFormat="1" applyFont="1" applyBorder="1" applyProtection="1"/>
    <xf numFmtId="167" fontId="6" fillId="0" borderId="8" xfId="0" applyNumberFormat="1" applyFont="1" applyFill="1" applyBorder="1" applyAlignment="1">
      <alignment vertical="top" wrapText="1"/>
    </xf>
    <xf numFmtId="0" fontId="6" fillId="0" borderId="8" xfId="0" applyFont="1" applyFill="1" applyBorder="1" applyAlignment="1">
      <alignment horizontal="center" vertical="top" wrapText="1"/>
    </xf>
    <xf numFmtId="0" fontId="5" fillId="0" borderId="4" xfId="0" applyFont="1" applyBorder="1"/>
    <xf numFmtId="167" fontId="6" fillId="0" borderId="11" xfId="0" applyNumberFormat="1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167" fontId="6" fillId="0" borderId="8" xfId="0" applyNumberFormat="1" applyFont="1" applyBorder="1" applyAlignment="1">
      <alignment vertical="top" wrapText="1"/>
    </xf>
    <xf numFmtId="0" fontId="6" fillId="0" borderId="5" xfId="0" applyFont="1" applyFill="1" applyBorder="1" applyAlignment="1">
      <alignment vertical="top" wrapText="1"/>
    </xf>
    <xf numFmtId="0" fontId="6" fillId="0" borderId="7" xfId="0" applyFont="1" applyFill="1" applyBorder="1" applyAlignment="1">
      <alignment vertical="top" wrapText="1"/>
    </xf>
    <xf numFmtId="0" fontId="6" fillId="0" borderId="7" xfId="0" applyFont="1" applyFill="1" applyBorder="1" applyAlignment="1">
      <alignment horizontal="left" vertical="top" wrapText="1" indent="11"/>
    </xf>
    <xf numFmtId="0" fontId="6" fillId="0" borderId="5" xfId="0" applyFont="1" applyBorder="1" applyAlignment="1">
      <alignment vertical="top" wrapText="1"/>
    </xf>
    <xf numFmtId="0" fontId="6" fillId="0" borderId="7" xfId="0" applyFont="1" applyBorder="1" applyAlignment="1">
      <alignment horizontal="left" vertical="top" wrapText="1" indent="5"/>
    </xf>
    <xf numFmtId="0" fontId="6" fillId="0" borderId="7" xfId="0" applyFont="1" applyBorder="1" applyAlignment="1">
      <alignment vertical="top" wrapText="1"/>
    </xf>
    <xf numFmtId="0" fontId="6" fillId="0" borderId="8" xfId="0" applyFont="1" applyBorder="1" applyAlignment="1">
      <alignment horizontal="left" vertical="top" wrapText="1" indent="5"/>
    </xf>
    <xf numFmtId="178" fontId="6" fillId="0" borderId="4" xfId="0" applyNumberFormat="1" applyFont="1" applyBorder="1" applyAlignment="1" applyProtection="1">
      <alignment horizontal="left" indent="5"/>
    </xf>
    <xf numFmtId="0" fontId="9" fillId="0" borderId="0" xfId="0" applyFont="1" applyAlignment="1">
      <alignment horizontal="left" indent="5"/>
    </xf>
    <xf numFmtId="167" fontId="6" fillId="0" borderId="8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left" vertical="top" wrapText="1" indent="5"/>
    </xf>
    <xf numFmtId="167" fontId="6" fillId="0" borderId="11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vertical="top" wrapText="1"/>
    </xf>
    <xf numFmtId="0" fontId="5" fillId="0" borderId="5" xfId="0" applyFont="1" applyBorder="1"/>
    <xf numFmtId="167" fontId="6" fillId="0" borderId="5" xfId="0" applyNumberFormat="1" applyFont="1" applyBorder="1" applyAlignment="1">
      <alignment vertical="top" wrapText="1"/>
    </xf>
    <xf numFmtId="167" fontId="6" fillId="0" borderId="5" xfId="0" applyNumberFormat="1" applyFont="1" applyBorder="1" applyAlignment="1">
      <alignment horizontal="right" vertical="top" wrapText="1"/>
    </xf>
    <xf numFmtId="167" fontId="6" fillId="0" borderId="7" xfId="0" applyNumberFormat="1" applyFont="1" applyBorder="1" applyAlignment="1">
      <alignment vertical="top" wrapText="1"/>
    </xf>
    <xf numFmtId="0" fontId="6" fillId="0" borderId="5" xfId="0" applyFont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11" xfId="0" applyFont="1" applyFill="1" applyBorder="1" applyAlignment="1">
      <alignment horizontal="center" vertical="top" wrapText="1"/>
    </xf>
    <xf numFmtId="0" fontId="6" fillId="3" borderId="13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vertical="top" wrapText="1"/>
    </xf>
    <xf numFmtId="167" fontId="6" fillId="0" borderId="8" xfId="0" applyNumberFormat="1" applyFont="1" applyBorder="1" applyAlignment="1">
      <alignment horizontal="left" vertical="top" wrapText="1" indent="5"/>
    </xf>
    <xf numFmtId="0" fontId="2" fillId="0" borderId="14" xfId="0" applyFont="1" applyFill="1" applyBorder="1" applyAlignment="1">
      <alignment horizontal="left" vertical="top" wrapText="1"/>
    </xf>
    <xf numFmtId="0" fontId="9" fillId="0" borderId="15" xfId="0" applyFont="1" applyFill="1" applyBorder="1" applyAlignment="1"/>
    <xf numFmtId="0" fontId="9" fillId="0" borderId="16" xfId="0" applyFont="1" applyFill="1" applyBorder="1" applyAlignment="1"/>
    <xf numFmtId="167" fontId="6" fillId="0" borderId="17" xfId="0" applyNumberFormat="1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4" fillId="0" borderId="15" xfId="0" applyFont="1" applyFill="1" applyBorder="1" applyAlignment="1">
      <alignment vertical="top" wrapText="1"/>
    </xf>
    <xf numFmtId="167" fontId="2" fillId="2" borderId="5" xfId="0" applyNumberFormat="1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left" vertical="top" wrapText="1"/>
    </xf>
    <xf numFmtId="167" fontId="6" fillId="0" borderId="5" xfId="0" applyNumberFormat="1" applyFont="1" applyBorder="1" applyAlignment="1">
      <alignment wrapText="1"/>
    </xf>
    <xf numFmtId="170" fontId="3" fillId="3" borderId="18" xfId="1" applyFont="1" applyFill="1" applyBorder="1" applyAlignment="1">
      <alignment horizontal="center" vertical="top" wrapText="1"/>
    </xf>
    <xf numFmtId="170" fontId="3" fillId="3" borderId="8" xfId="1" applyFont="1" applyFill="1" applyBorder="1" applyAlignment="1">
      <alignment horizontal="center" vertical="top" wrapText="1"/>
    </xf>
    <xf numFmtId="0" fontId="6" fillId="0" borderId="8" xfId="0" applyFont="1" applyBorder="1" applyAlignment="1">
      <alignment wrapText="1"/>
    </xf>
    <xf numFmtId="170" fontId="6" fillId="0" borderId="8" xfId="1" applyFont="1" applyBorder="1" applyAlignment="1">
      <alignment vertical="top" wrapText="1"/>
    </xf>
    <xf numFmtId="170" fontId="6" fillId="0" borderId="8" xfId="1" applyFont="1" applyBorder="1" applyAlignment="1">
      <alignment wrapText="1"/>
    </xf>
    <xf numFmtId="0" fontId="6" fillId="0" borderId="13" xfId="0" applyFont="1" applyBorder="1" applyAlignment="1">
      <alignment vertical="top" wrapText="1"/>
    </xf>
    <xf numFmtId="0" fontId="6" fillId="3" borderId="16" xfId="0" applyFont="1" applyFill="1" applyBorder="1" applyAlignment="1">
      <alignment vertical="top" wrapText="1"/>
    </xf>
    <xf numFmtId="0" fontId="6" fillId="3" borderId="0" xfId="0" applyFont="1" applyFill="1" applyBorder="1" applyAlignment="1">
      <alignment horizontal="center" vertical="top" wrapText="1"/>
    </xf>
    <xf numFmtId="0" fontId="3" fillId="3" borderId="19" xfId="0" applyFont="1" applyFill="1" applyBorder="1" applyAlignment="1">
      <alignment horizontal="center" vertical="top" wrapText="1"/>
    </xf>
    <xf numFmtId="167" fontId="6" fillId="0" borderId="19" xfId="0" applyNumberFormat="1" applyFont="1" applyBorder="1" applyAlignment="1">
      <alignment vertical="top" wrapText="1"/>
    </xf>
    <xf numFmtId="167" fontId="6" fillId="0" borderId="19" xfId="0" applyNumberFormat="1" applyFont="1" applyBorder="1" applyAlignment="1">
      <alignment wrapText="1"/>
    </xf>
    <xf numFmtId="170" fontId="6" fillId="0" borderId="4" xfId="1" applyFont="1" applyBorder="1"/>
    <xf numFmtId="170" fontId="6" fillId="0" borderId="4" xfId="1" applyFont="1" applyBorder="1" applyAlignment="1"/>
    <xf numFmtId="0" fontId="2" fillId="3" borderId="18" xfId="0" applyFont="1" applyFill="1" applyBorder="1" applyAlignment="1">
      <alignment horizontal="center" vertical="top" wrapText="1"/>
    </xf>
    <xf numFmtId="0" fontId="9" fillId="2" borderId="18" xfId="0" applyFont="1" applyFill="1" applyBorder="1"/>
    <xf numFmtId="170" fontId="6" fillId="3" borderId="12" xfId="1" applyFont="1" applyFill="1" applyBorder="1" applyAlignment="1">
      <alignment vertical="top" wrapText="1"/>
    </xf>
    <xf numFmtId="170" fontId="3" fillId="3" borderId="20" xfId="1" applyFont="1" applyFill="1" applyBorder="1" applyAlignment="1">
      <alignment horizontal="center" vertical="top" wrapText="1"/>
    </xf>
    <xf numFmtId="170" fontId="6" fillId="2" borderId="21" xfId="1" applyFont="1" applyFill="1" applyBorder="1"/>
    <xf numFmtId="0" fontId="3" fillId="3" borderId="20" xfId="0" applyFont="1" applyFill="1" applyBorder="1" applyAlignment="1">
      <alignment horizontal="center" vertical="top" wrapText="1"/>
    </xf>
    <xf numFmtId="170" fontId="3" fillId="3" borderId="22" xfId="1" applyFont="1" applyFill="1" applyBorder="1" applyAlignment="1">
      <alignment horizontal="center" vertical="top" wrapText="1"/>
    </xf>
    <xf numFmtId="170" fontId="6" fillId="0" borderId="4" xfId="1" applyFont="1" applyBorder="1" applyAlignment="1">
      <alignment horizontal="left"/>
    </xf>
    <xf numFmtId="0" fontId="3" fillId="0" borderId="0" xfId="0" applyFont="1" applyBorder="1"/>
    <xf numFmtId="0" fontId="9" fillId="0" borderId="0" xfId="0" applyFont="1" applyFill="1" applyBorder="1" applyAlignment="1"/>
    <xf numFmtId="0" fontId="6" fillId="0" borderId="7" xfId="0" applyFont="1" applyBorder="1" applyAlignment="1">
      <alignment horizontal="left" vertical="top" wrapText="1" indent="8"/>
    </xf>
    <xf numFmtId="0" fontId="6" fillId="0" borderId="5" xfId="0" applyFont="1" applyBorder="1" applyAlignment="1">
      <alignment horizontal="left" vertical="top" wrapText="1" indent="8"/>
    </xf>
    <xf numFmtId="0" fontId="6" fillId="0" borderId="7" xfId="0" applyFont="1" applyBorder="1" applyAlignment="1">
      <alignment horizontal="left" vertical="top" wrapText="1" indent="6"/>
    </xf>
    <xf numFmtId="0" fontId="3" fillId="0" borderId="14" xfId="0" applyFont="1" applyBorder="1"/>
    <xf numFmtId="0" fontId="11" fillId="2" borderId="12" xfId="0" applyFont="1" applyFill="1" applyBorder="1" applyProtection="1"/>
    <xf numFmtId="170" fontId="3" fillId="0" borderId="20" xfId="1" applyFont="1" applyBorder="1"/>
    <xf numFmtId="0" fontId="2" fillId="4" borderId="5" xfId="0" applyFont="1" applyFill="1" applyBorder="1"/>
    <xf numFmtId="0" fontId="2" fillId="4" borderId="12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left" vertical="top" wrapText="1"/>
    </xf>
    <xf numFmtId="0" fontId="2" fillId="4" borderId="23" xfId="0" applyFont="1" applyFill="1" applyBorder="1" applyAlignment="1">
      <alignment vertical="top" wrapText="1"/>
    </xf>
    <xf numFmtId="0" fontId="11" fillId="0" borderId="24" xfId="0" applyFont="1" applyBorder="1" applyAlignment="1">
      <alignment horizontal="center"/>
    </xf>
    <xf numFmtId="0" fontId="3" fillId="0" borderId="20" xfId="0" applyFont="1" applyBorder="1"/>
    <xf numFmtId="0" fontId="6" fillId="0" borderId="5" xfId="0" applyFont="1" applyBorder="1" applyAlignment="1">
      <alignment horizontal="left" vertical="top" wrapText="1" indent="6"/>
    </xf>
    <xf numFmtId="167" fontId="6" fillId="0" borderId="5" xfId="0" applyNumberFormat="1" applyFont="1" applyBorder="1"/>
    <xf numFmtId="167" fontId="6" fillId="0" borderId="5" xfId="0" applyNumberFormat="1" applyFont="1" applyBorder="1" applyAlignment="1">
      <alignment horizontal="left" vertical="top" wrapText="1" indent="5"/>
    </xf>
    <xf numFmtId="0" fontId="6" fillId="0" borderId="5" xfId="0" applyNumberFormat="1" applyFont="1" applyBorder="1" applyAlignment="1">
      <alignment vertical="top" wrapText="1"/>
    </xf>
    <xf numFmtId="167" fontId="6" fillId="0" borderId="7" xfId="0" applyNumberFormat="1" applyFont="1" applyBorder="1"/>
    <xf numFmtId="0" fontId="6" fillId="0" borderId="5" xfId="0" applyFont="1" applyBorder="1"/>
    <xf numFmtId="167" fontId="3" fillId="2" borderId="5" xfId="0" applyNumberFormat="1" applyFont="1" applyFill="1" applyBorder="1" applyAlignment="1">
      <alignment horizontal="center"/>
    </xf>
    <xf numFmtId="167" fontId="3" fillId="0" borderId="25" xfId="0" applyNumberFormat="1" applyFont="1" applyBorder="1" applyAlignment="1">
      <alignment vertical="top" wrapText="1"/>
    </xf>
    <xf numFmtId="167" fontId="6" fillId="0" borderId="0" xfId="0" applyNumberFormat="1" applyFont="1" applyBorder="1"/>
    <xf numFmtId="178" fontId="6" fillId="0" borderId="0" xfId="0" applyNumberFormat="1" applyFont="1" applyProtection="1"/>
    <xf numFmtId="170" fontId="6" fillId="0" borderId="19" xfId="1" applyFont="1" applyBorder="1" applyAlignment="1">
      <alignment vertical="top" wrapText="1"/>
    </xf>
    <xf numFmtId="0" fontId="6" fillId="2" borderId="24" xfId="0" applyFont="1" applyFill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2" borderId="10" xfId="0" applyFont="1" applyFill="1" applyBorder="1"/>
    <xf numFmtId="0" fontId="6" fillId="2" borderId="26" xfId="0" applyFont="1" applyFill="1" applyBorder="1"/>
    <xf numFmtId="0" fontId="6" fillId="2" borderId="27" xfId="0" applyFont="1" applyFill="1" applyBorder="1"/>
    <xf numFmtId="0" fontId="6" fillId="2" borderId="0" xfId="0" applyFont="1" applyFill="1" applyBorder="1"/>
    <xf numFmtId="0" fontId="6" fillId="0" borderId="4" xfId="0" applyFont="1" applyBorder="1"/>
    <xf numFmtId="170" fontId="6" fillId="0" borderId="4" xfId="0" applyNumberFormat="1" applyFont="1" applyBorder="1"/>
    <xf numFmtId="167" fontId="6" fillId="0" borderId="4" xfId="0" applyNumberFormat="1" applyFont="1" applyBorder="1"/>
    <xf numFmtId="0" fontId="6" fillId="0" borderId="4" xfId="0" applyFont="1" applyBorder="1" applyAlignment="1"/>
    <xf numFmtId="0" fontId="6" fillId="0" borderId="4" xfId="0" applyFont="1" applyBorder="1" applyAlignment="1">
      <alignment horizontal="left" indent="5"/>
    </xf>
    <xf numFmtId="167" fontId="6" fillId="0" borderId="28" xfId="0" applyNumberFormat="1" applyFont="1" applyBorder="1"/>
    <xf numFmtId="0" fontId="3" fillId="0" borderId="24" xfId="0" applyFont="1" applyBorder="1"/>
    <xf numFmtId="0" fontId="11" fillId="2" borderId="29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3" fillId="0" borderId="4" xfId="0" applyFont="1" applyBorder="1"/>
    <xf numFmtId="170" fontId="3" fillId="0" borderId="4" xfId="1" applyFont="1" applyBorder="1"/>
    <xf numFmtId="170" fontId="3" fillId="0" borderId="30" xfId="1" applyFont="1" applyBorder="1"/>
    <xf numFmtId="170" fontId="6" fillId="0" borderId="31" xfId="1" applyFont="1" applyBorder="1"/>
    <xf numFmtId="167" fontId="6" fillId="5" borderId="8" xfId="0" applyNumberFormat="1" applyFont="1" applyFill="1" applyBorder="1" applyAlignment="1">
      <alignment horizontal="center" vertical="top" wrapText="1"/>
    </xf>
    <xf numFmtId="0" fontId="6" fillId="5" borderId="8" xfId="0" applyFont="1" applyFill="1" applyBorder="1" applyAlignment="1">
      <alignment vertical="top" wrapText="1"/>
    </xf>
    <xf numFmtId="0" fontId="5" fillId="5" borderId="5" xfId="0" applyFont="1" applyFill="1" applyBorder="1"/>
    <xf numFmtId="0" fontId="6" fillId="5" borderId="8" xfId="0" applyFont="1" applyFill="1" applyBorder="1" applyAlignment="1">
      <alignment horizontal="center" vertical="top" wrapText="1"/>
    </xf>
    <xf numFmtId="167" fontId="6" fillId="2" borderId="32" xfId="0" applyNumberFormat="1" applyFont="1" applyFill="1" applyBorder="1" applyAlignment="1">
      <alignment vertical="top" wrapText="1"/>
    </xf>
    <xf numFmtId="170" fontId="6" fillId="2" borderId="32" xfId="1" applyFont="1" applyFill="1" applyBorder="1"/>
    <xf numFmtId="0" fontId="6" fillId="2" borderId="32" xfId="0" applyFont="1" applyFill="1" applyBorder="1"/>
    <xf numFmtId="167" fontId="6" fillId="0" borderId="24" xfId="0" applyNumberFormat="1" applyFont="1" applyBorder="1" applyAlignment="1">
      <alignment vertical="top" wrapText="1"/>
    </xf>
    <xf numFmtId="170" fontId="6" fillId="5" borderId="29" xfId="1" applyFont="1" applyFill="1" applyBorder="1"/>
    <xf numFmtId="0" fontId="6" fillId="5" borderId="33" xfId="0" applyFont="1" applyFill="1" applyBorder="1"/>
    <xf numFmtId="0" fontId="6" fillId="5" borderId="34" xfId="0" applyFont="1" applyFill="1" applyBorder="1"/>
    <xf numFmtId="0" fontId="3" fillId="2" borderId="35" xfId="0" applyFont="1" applyFill="1" applyBorder="1"/>
    <xf numFmtId="0" fontId="3" fillId="2" borderId="36" xfId="0" applyFont="1" applyFill="1" applyBorder="1"/>
    <xf numFmtId="178" fontId="6" fillId="0" borderId="37" xfId="0" applyNumberFormat="1" applyFont="1" applyBorder="1"/>
    <xf numFmtId="167" fontId="6" fillId="0" borderId="37" xfId="0" applyNumberFormat="1" applyFont="1" applyBorder="1" applyAlignment="1">
      <alignment vertical="top" wrapText="1"/>
    </xf>
    <xf numFmtId="167" fontId="6" fillId="0" borderId="37" xfId="0" applyNumberFormat="1" applyFont="1" applyBorder="1"/>
    <xf numFmtId="0" fontId="6" fillId="0" borderId="8" xfId="0" applyFont="1" applyBorder="1" applyAlignment="1">
      <alignment horizontal="right" vertical="top" wrapText="1"/>
    </xf>
    <xf numFmtId="178" fontId="6" fillId="0" borderId="4" xfId="0" applyNumberFormat="1" applyFont="1" applyBorder="1" applyAlignment="1" applyProtection="1">
      <alignment horizontal="right"/>
    </xf>
    <xf numFmtId="0" fontId="6" fillId="0" borderId="11" xfId="0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2" fillId="4" borderId="17" xfId="0" applyFont="1" applyFill="1" applyBorder="1" applyAlignment="1">
      <alignment wrapText="1"/>
    </xf>
    <xf numFmtId="0" fontId="2" fillId="4" borderId="37" xfId="0" applyFont="1" applyFill="1" applyBorder="1" applyAlignment="1">
      <alignment wrapText="1"/>
    </xf>
    <xf numFmtId="0" fontId="3" fillId="3" borderId="17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left" vertical="top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4" fillId="6" borderId="38" xfId="0" applyFont="1" applyFill="1" applyBorder="1" applyAlignment="1">
      <alignment vertical="top" wrapText="1"/>
    </xf>
    <xf numFmtId="0" fontId="4" fillId="6" borderId="39" xfId="0" applyFont="1" applyFill="1" applyBorder="1" applyAlignment="1">
      <alignment vertical="top" wrapText="1"/>
    </xf>
    <xf numFmtId="0" fontId="9" fillId="2" borderId="17" xfId="0" applyFont="1" applyFill="1" applyBorder="1" applyAlignment="1"/>
    <xf numFmtId="0" fontId="9" fillId="2" borderId="11" xfId="0" applyFont="1" applyFill="1" applyBorder="1" applyAlignment="1"/>
    <xf numFmtId="0" fontId="3" fillId="3" borderId="17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4" fillId="2" borderId="17" xfId="0" applyFont="1" applyFill="1" applyBorder="1" applyAlignment="1">
      <alignment vertical="top" wrapText="1"/>
    </xf>
    <xf numFmtId="0" fontId="4" fillId="2" borderId="15" xfId="0" applyFont="1" applyFill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7" fillId="2" borderId="12" xfId="0" applyFont="1" applyFill="1" applyBorder="1" applyAlignment="1"/>
    <xf numFmtId="0" fontId="3" fillId="3" borderId="5" xfId="0" applyFont="1" applyFill="1" applyBorder="1" applyAlignment="1">
      <alignment horizontal="center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6527800</xdr:colOff>
      <xdr:row>647</xdr:row>
      <xdr:rowOff>209550</xdr:rowOff>
    </xdr:from>
    <xdr:to>
      <xdr:col>0</xdr:col>
      <xdr:colOff>6915150</xdr:colOff>
      <xdr:row>653</xdr:row>
      <xdr:rowOff>158750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1CF18064-3326-4B45-A327-0662EE787808}"/>
            </a:ext>
          </a:extLst>
        </xdr:cNvPr>
        <xdr:cNvSpPr txBox="1">
          <a:spLocks noChangeArrowheads="1"/>
        </xdr:cNvSpPr>
      </xdr:nvSpPr>
      <xdr:spPr bwMode="auto">
        <a:xfrm>
          <a:off x="6235700" y="127952500"/>
          <a:ext cx="0" cy="1143000"/>
        </a:xfrm>
        <a:prstGeom prst="rect">
          <a:avLst/>
        </a:prstGeom>
        <a:solidFill>
          <a:srgbClr val="80808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vert" wrap="square" lIns="91440" tIns="45720" rIns="91440" bIns="45720" anchor="b" upright="1"/>
        <a:lstStyle/>
        <a:p>
          <a:pPr algn="l" rtl="0">
            <a:defRPr sz="1000"/>
          </a:pPr>
          <a:r>
            <a:rPr lang="en-GB" sz="1100" b="1" i="0" u="none" strike="noStrike" baseline="0">
              <a:solidFill>
                <a:srgbClr val="FFFFFF"/>
              </a:solidFill>
              <a:latin typeface="Geometr231 Hv BT"/>
            </a:rPr>
            <a:t>Order Form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4"/>
  <sheetViews>
    <sheetView showZeros="0" tabSelected="1" topLeftCell="A525" zoomScale="75" workbookViewId="0">
      <selection activeCell="D540" sqref="D540"/>
    </sheetView>
  </sheetViews>
  <sheetFormatPr defaultColWidth="9.625" defaultRowHeight="16.5" x14ac:dyDescent="0.35"/>
  <cols>
    <col min="1" max="1" width="122.75" style="20" customWidth="1"/>
    <col min="2" max="2" width="26.75" style="20" customWidth="1"/>
    <col min="3" max="3" width="19.375" style="21" customWidth="1"/>
    <col min="4" max="4" width="23.375" style="117" customWidth="1"/>
    <col min="5" max="5" width="17" style="14" customWidth="1"/>
    <col min="6" max="6" width="15.25" style="14" customWidth="1"/>
    <col min="7" max="7" width="18.25" style="14" customWidth="1"/>
    <col min="8" max="8" width="20" style="14" customWidth="1"/>
    <col min="9" max="16384" width="9.625" style="14"/>
  </cols>
  <sheetData>
    <row r="1" spans="1:4" s="1" customFormat="1" ht="20.25" customHeight="1" thickBot="1" x14ac:dyDescent="0.4">
      <c r="A1" s="2" t="s">
        <v>55</v>
      </c>
      <c r="B1" s="3"/>
      <c r="C1" s="4"/>
      <c r="D1" s="5"/>
    </row>
    <row r="2" spans="1:4" s="13" customFormat="1" ht="16.5" customHeight="1" x14ac:dyDescent="0.35">
      <c r="A2" s="149" t="s">
        <v>213</v>
      </c>
      <c r="B2" s="6" t="s">
        <v>214</v>
      </c>
      <c r="C2" s="7" t="s">
        <v>0</v>
      </c>
      <c r="D2" s="8" t="s">
        <v>1</v>
      </c>
    </row>
    <row r="3" spans="1:4" ht="15.5" x14ac:dyDescent="0.35">
      <c r="A3" s="40" t="s">
        <v>34</v>
      </c>
      <c r="B3" s="31">
        <v>1727</v>
      </c>
      <c r="C3" s="32"/>
      <c r="D3" s="33">
        <f>SUM(B3*C3)</f>
        <v>0</v>
      </c>
    </row>
    <row r="4" spans="1:4" ht="15.5" x14ac:dyDescent="0.35">
      <c r="A4" s="41" t="s">
        <v>35</v>
      </c>
      <c r="B4" s="34">
        <v>1727</v>
      </c>
      <c r="C4" s="32"/>
      <c r="D4" s="33">
        <f t="shared" ref="D4:D68" si="0">SUM(B4*C4)</f>
        <v>0</v>
      </c>
    </row>
    <row r="5" spans="1:4" ht="15.5" x14ac:dyDescent="0.35">
      <c r="A5" s="41" t="s">
        <v>36</v>
      </c>
      <c r="B5" s="34">
        <v>1577</v>
      </c>
      <c r="C5" s="32"/>
      <c r="D5" s="33">
        <f t="shared" si="0"/>
        <v>0</v>
      </c>
    </row>
    <row r="6" spans="1:4" ht="15.5" x14ac:dyDescent="0.35">
      <c r="A6" s="41" t="s">
        <v>37</v>
      </c>
      <c r="B6" s="34">
        <v>1577</v>
      </c>
      <c r="C6" s="32"/>
      <c r="D6" s="33">
        <f t="shared" si="0"/>
        <v>0</v>
      </c>
    </row>
    <row r="7" spans="1:4" ht="15.5" x14ac:dyDescent="0.35">
      <c r="A7" s="41" t="s">
        <v>38</v>
      </c>
      <c r="B7" s="34">
        <v>1577</v>
      </c>
      <c r="C7" s="32"/>
      <c r="D7" s="33">
        <f t="shared" si="0"/>
        <v>0</v>
      </c>
    </row>
    <row r="8" spans="1:4" ht="15.5" x14ac:dyDescent="0.35">
      <c r="A8" s="42" t="s">
        <v>39</v>
      </c>
      <c r="B8" s="34">
        <v>2417</v>
      </c>
      <c r="C8" s="32"/>
      <c r="D8" s="33">
        <f t="shared" si="0"/>
        <v>0</v>
      </c>
    </row>
    <row r="9" spans="1:4" ht="15.5" x14ac:dyDescent="0.35">
      <c r="A9" s="42" t="s">
        <v>40</v>
      </c>
      <c r="B9" s="34">
        <v>2657</v>
      </c>
      <c r="C9" s="32"/>
      <c r="D9" s="33">
        <f t="shared" si="0"/>
        <v>0</v>
      </c>
    </row>
    <row r="10" spans="1:4" ht="15.5" x14ac:dyDescent="0.35">
      <c r="A10" s="42" t="s">
        <v>41</v>
      </c>
      <c r="B10" s="34">
        <v>2657</v>
      </c>
      <c r="C10" s="32"/>
      <c r="D10" s="33">
        <f t="shared" si="0"/>
        <v>0</v>
      </c>
    </row>
    <row r="11" spans="1:4" ht="15.5" x14ac:dyDescent="0.35">
      <c r="A11" s="41" t="s">
        <v>42</v>
      </c>
      <c r="B11" s="34">
        <v>1577</v>
      </c>
      <c r="C11" s="32"/>
      <c r="D11" s="33">
        <f t="shared" si="0"/>
        <v>0</v>
      </c>
    </row>
    <row r="12" spans="1:4" ht="15.5" x14ac:dyDescent="0.35">
      <c r="A12" s="42" t="s">
        <v>39</v>
      </c>
      <c r="B12" s="34">
        <v>2417</v>
      </c>
      <c r="C12" s="32"/>
      <c r="D12" s="33">
        <f t="shared" si="0"/>
        <v>0</v>
      </c>
    </row>
    <row r="13" spans="1:4" ht="15.5" x14ac:dyDescent="0.35">
      <c r="A13" s="42" t="s">
        <v>40</v>
      </c>
      <c r="B13" s="34">
        <v>2657</v>
      </c>
      <c r="C13" s="32"/>
      <c r="D13" s="33">
        <f t="shared" si="0"/>
        <v>0</v>
      </c>
    </row>
    <row r="14" spans="1:4" ht="15.5" x14ac:dyDescent="0.35">
      <c r="A14" s="42" t="s">
        <v>41</v>
      </c>
      <c r="B14" s="34">
        <v>2657</v>
      </c>
      <c r="C14" s="32"/>
      <c r="D14" s="33">
        <f t="shared" si="0"/>
        <v>0</v>
      </c>
    </row>
    <row r="15" spans="1:4" ht="15.5" x14ac:dyDescent="0.35">
      <c r="A15" s="41" t="s">
        <v>43</v>
      </c>
      <c r="B15" s="34">
        <v>1577</v>
      </c>
      <c r="C15" s="32"/>
      <c r="D15" s="33">
        <f t="shared" si="0"/>
        <v>0</v>
      </c>
    </row>
    <row r="16" spans="1:4" ht="15.5" x14ac:dyDescent="0.35">
      <c r="A16" s="42" t="s">
        <v>39</v>
      </c>
      <c r="B16" s="34">
        <v>2057</v>
      </c>
      <c r="C16" s="32"/>
      <c r="D16" s="33">
        <f t="shared" si="0"/>
        <v>0</v>
      </c>
    </row>
    <row r="17" spans="1:4" ht="15.5" x14ac:dyDescent="0.35">
      <c r="A17" s="42" t="s">
        <v>40</v>
      </c>
      <c r="B17" s="34">
        <v>2177</v>
      </c>
      <c r="C17" s="32"/>
      <c r="D17" s="33">
        <f t="shared" si="0"/>
        <v>0</v>
      </c>
    </row>
    <row r="18" spans="1:4" ht="15.5" x14ac:dyDescent="0.35">
      <c r="A18" s="42" t="s">
        <v>41</v>
      </c>
      <c r="B18" s="34">
        <v>2177</v>
      </c>
      <c r="C18" s="32"/>
      <c r="D18" s="33">
        <f t="shared" si="0"/>
        <v>0</v>
      </c>
    </row>
    <row r="19" spans="1:4" ht="15.5" x14ac:dyDescent="0.35">
      <c r="A19" s="41" t="s">
        <v>44</v>
      </c>
      <c r="B19" s="34">
        <v>1577</v>
      </c>
      <c r="C19" s="32"/>
      <c r="D19" s="33">
        <f t="shared" si="0"/>
        <v>0</v>
      </c>
    </row>
    <row r="20" spans="1:4" ht="15.5" x14ac:dyDescent="0.35">
      <c r="A20" s="42" t="s">
        <v>39</v>
      </c>
      <c r="B20" s="34">
        <v>2057</v>
      </c>
      <c r="C20" s="32"/>
      <c r="D20" s="33">
        <f t="shared" si="0"/>
        <v>0</v>
      </c>
    </row>
    <row r="21" spans="1:4" ht="15.5" x14ac:dyDescent="0.35">
      <c r="A21" s="42" t="s">
        <v>40</v>
      </c>
      <c r="B21" s="34">
        <v>2177</v>
      </c>
      <c r="C21" s="32"/>
      <c r="D21" s="33">
        <f t="shared" si="0"/>
        <v>0</v>
      </c>
    </row>
    <row r="22" spans="1:4" ht="15.5" x14ac:dyDescent="0.35">
      <c r="A22" s="42" t="s">
        <v>41</v>
      </c>
      <c r="B22" s="34">
        <v>2177</v>
      </c>
      <c r="C22" s="32"/>
      <c r="D22" s="33">
        <f t="shared" si="0"/>
        <v>0</v>
      </c>
    </row>
    <row r="23" spans="1:4" ht="15.5" x14ac:dyDescent="0.35">
      <c r="A23" s="41" t="s">
        <v>45</v>
      </c>
      <c r="B23" s="34">
        <v>1577</v>
      </c>
      <c r="C23" s="32"/>
      <c r="D23" s="33">
        <f t="shared" si="0"/>
        <v>0</v>
      </c>
    </row>
    <row r="24" spans="1:4" ht="15.5" x14ac:dyDescent="0.35">
      <c r="A24" s="41" t="s">
        <v>46</v>
      </c>
      <c r="B24" s="34">
        <v>1577</v>
      </c>
      <c r="C24" s="32"/>
      <c r="D24" s="33">
        <f t="shared" si="0"/>
        <v>0</v>
      </c>
    </row>
    <row r="25" spans="1:4" ht="15.5" x14ac:dyDescent="0.35">
      <c r="A25" s="41" t="s">
        <v>47</v>
      </c>
      <c r="B25" s="35" t="s">
        <v>48</v>
      </c>
      <c r="C25" s="32"/>
      <c r="D25" s="36"/>
    </row>
    <row r="26" spans="1:4" ht="15.5" x14ac:dyDescent="0.35">
      <c r="A26" s="42" t="s">
        <v>49</v>
      </c>
      <c r="B26" s="34">
        <v>672</v>
      </c>
      <c r="C26" s="32"/>
      <c r="D26" s="33">
        <f t="shared" si="0"/>
        <v>0</v>
      </c>
    </row>
    <row r="27" spans="1:4" ht="15.5" x14ac:dyDescent="0.35">
      <c r="A27" s="42" t="s">
        <v>50</v>
      </c>
      <c r="B27" s="34">
        <v>732</v>
      </c>
      <c r="C27" s="32"/>
      <c r="D27" s="33">
        <f t="shared" si="0"/>
        <v>0</v>
      </c>
    </row>
    <row r="28" spans="1:4" ht="15.5" x14ac:dyDescent="0.35">
      <c r="A28" s="42" t="s">
        <v>51</v>
      </c>
      <c r="B28" s="34">
        <v>732</v>
      </c>
      <c r="C28" s="32"/>
      <c r="D28" s="33">
        <f t="shared" si="0"/>
        <v>0</v>
      </c>
    </row>
    <row r="29" spans="1:4" ht="15.5" x14ac:dyDescent="0.35">
      <c r="A29" s="41" t="s">
        <v>52</v>
      </c>
      <c r="B29" s="35" t="s">
        <v>48</v>
      </c>
      <c r="C29" s="32"/>
      <c r="D29" s="36"/>
    </row>
    <row r="30" spans="1:4" ht="15.5" x14ac:dyDescent="0.35">
      <c r="A30" s="42" t="s">
        <v>49</v>
      </c>
      <c r="B30" s="34">
        <v>672</v>
      </c>
      <c r="C30" s="32"/>
      <c r="D30" s="33">
        <f t="shared" si="0"/>
        <v>0</v>
      </c>
    </row>
    <row r="31" spans="1:4" ht="15.5" x14ac:dyDescent="0.35">
      <c r="A31" s="42" t="s">
        <v>50</v>
      </c>
      <c r="B31" s="34">
        <v>732</v>
      </c>
      <c r="C31" s="32"/>
      <c r="D31" s="33">
        <f t="shared" si="0"/>
        <v>0</v>
      </c>
    </row>
    <row r="32" spans="1:4" ht="15.5" x14ac:dyDescent="0.35">
      <c r="A32" s="42" t="s">
        <v>51</v>
      </c>
      <c r="B32" s="34">
        <v>732</v>
      </c>
      <c r="C32" s="32"/>
      <c r="D32" s="33">
        <f t="shared" si="0"/>
        <v>0</v>
      </c>
    </row>
    <row r="33" spans="1:4" ht="15.5" x14ac:dyDescent="0.35">
      <c r="A33" s="41" t="s">
        <v>204</v>
      </c>
      <c r="B33" s="34">
        <v>2000</v>
      </c>
      <c r="C33" s="32"/>
      <c r="D33" s="33">
        <f t="shared" si="0"/>
        <v>0</v>
      </c>
    </row>
    <row r="34" spans="1:4" ht="15.5" x14ac:dyDescent="0.35">
      <c r="A34" s="41" t="s">
        <v>215</v>
      </c>
      <c r="B34" s="34">
        <v>2000</v>
      </c>
      <c r="C34" s="32"/>
      <c r="D34" s="33">
        <f t="shared" si="0"/>
        <v>0</v>
      </c>
    </row>
    <row r="35" spans="1:4" ht="15.5" x14ac:dyDescent="0.35">
      <c r="A35" s="41" t="s">
        <v>53</v>
      </c>
      <c r="B35" s="34">
        <v>2000</v>
      </c>
      <c r="C35" s="32"/>
      <c r="D35" s="33">
        <f t="shared" si="0"/>
        <v>0</v>
      </c>
    </row>
    <row r="36" spans="1:4" ht="15.5" x14ac:dyDescent="0.35">
      <c r="A36" s="41" t="s">
        <v>54</v>
      </c>
      <c r="B36" s="34">
        <v>2000</v>
      </c>
      <c r="C36" s="32"/>
      <c r="D36" s="33">
        <f t="shared" si="0"/>
        <v>0</v>
      </c>
    </row>
    <row r="37" spans="1:4" ht="16.5" customHeight="1" x14ac:dyDescent="0.35">
      <c r="A37" s="150" t="s">
        <v>216</v>
      </c>
      <c r="B37" s="6" t="s">
        <v>217</v>
      </c>
      <c r="C37" s="7" t="s">
        <v>0</v>
      </c>
      <c r="D37" s="8" t="s">
        <v>1</v>
      </c>
    </row>
    <row r="38" spans="1:4" ht="15.5" x14ac:dyDescent="0.35">
      <c r="A38" s="43" t="s">
        <v>378</v>
      </c>
      <c r="B38" s="37">
        <v>10</v>
      </c>
      <c r="C38" s="38"/>
      <c r="D38" s="33">
        <f t="shared" si="0"/>
        <v>0</v>
      </c>
    </row>
    <row r="39" spans="1:4" ht="15.5" x14ac:dyDescent="0.35">
      <c r="A39" s="96" t="s">
        <v>56</v>
      </c>
      <c r="B39" s="39">
        <v>7</v>
      </c>
      <c r="C39" s="15"/>
      <c r="D39" s="33">
        <f t="shared" si="0"/>
        <v>0</v>
      </c>
    </row>
    <row r="40" spans="1:4" ht="15.5" x14ac:dyDescent="0.35">
      <c r="A40" s="96" t="s">
        <v>57</v>
      </c>
      <c r="B40" s="39">
        <v>8</v>
      </c>
      <c r="C40" s="15"/>
      <c r="D40" s="33">
        <f t="shared" si="0"/>
        <v>0</v>
      </c>
    </row>
    <row r="41" spans="1:4" ht="15.5" x14ac:dyDescent="0.35">
      <c r="A41" s="96" t="s">
        <v>173</v>
      </c>
      <c r="B41" s="39">
        <v>3</v>
      </c>
      <c r="C41" s="15"/>
      <c r="D41" s="33">
        <f t="shared" si="0"/>
        <v>0</v>
      </c>
    </row>
    <row r="42" spans="1:4" ht="15.5" x14ac:dyDescent="0.35">
      <c r="A42" s="96" t="s">
        <v>9</v>
      </c>
      <c r="B42" s="39">
        <v>80</v>
      </c>
      <c r="C42" s="15"/>
      <c r="D42" s="33">
        <f t="shared" si="0"/>
        <v>0</v>
      </c>
    </row>
    <row r="43" spans="1:4" ht="15.5" x14ac:dyDescent="0.35">
      <c r="A43" s="96" t="s">
        <v>58</v>
      </c>
      <c r="B43" s="39">
        <v>80</v>
      </c>
      <c r="C43" s="15"/>
      <c r="D43" s="33">
        <f t="shared" si="0"/>
        <v>0</v>
      </c>
    </row>
    <row r="44" spans="1:4" ht="15.5" x14ac:dyDescent="0.35">
      <c r="A44" s="96" t="s">
        <v>59</v>
      </c>
      <c r="B44" s="39">
        <v>20</v>
      </c>
      <c r="C44" s="15"/>
      <c r="D44" s="33">
        <f t="shared" si="0"/>
        <v>0</v>
      </c>
    </row>
    <row r="45" spans="1:4" ht="15.5" x14ac:dyDescent="0.35">
      <c r="A45" s="96" t="s">
        <v>60</v>
      </c>
      <c r="B45" s="39">
        <v>20</v>
      </c>
      <c r="C45" s="15"/>
      <c r="D45" s="33">
        <f t="shared" si="0"/>
        <v>0</v>
      </c>
    </row>
    <row r="46" spans="1:4" s="48" customFormat="1" ht="15.5" x14ac:dyDescent="0.35">
      <c r="A46" s="96" t="s">
        <v>65</v>
      </c>
      <c r="B46" s="49">
        <v>20</v>
      </c>
      <c r="C46" s="154"/>
      <c r="D46" s="155"/>
    </row>
    <row r="47" spans="1:4" ht="15.5" x14ac:dyDescent="0.35">
      <c r="A47" s="96" t="s">
        <v>61</v>
      </c>
      <c r="B47" s="39">
        <v>20</v>
      </c>
      <c r="C47" s="15"/>
      <c r="D47" s="33">
        <f t="shared" si="0"/>
        <v>0</v>
      </c>
    </row>
    <row r="48" spans="1:4" ht="15.5" x14ac:dyDescent="0.35">
      <c r="A48" s="96" t="s">
        <v>62</v>
      </c>
      <c r="B48" s="39">
        <v>20</v>
      </c>
      <c r="C48" s="15"/>
      <c r="D48" s="33">
        <f t="shared" si="0"/>
        <v>0</v>
      </c>
    </row>
    <row r="49" spans="1:4" ht="15.5" x14ac:dyDescent="0.35">
      <c r="A49" s="96" t="s">
        <v>63</v>
      </c>
      <c r="B49" s="39">
        <v>20</v>
      </c>
      <c r="C49" s="15"/>
      <c r="D49" s="33">
        <f t="shared" si="0"/>
        <v>0</v>
      </c>
    </row>
    <row r="50" spans="1:4" ht="15.5" x14ac:dyDescent="0.35">
      <c r="A50" s="96" t="s">
        <v>174</v>
      </c>
      <c r="B50" s="39">
        <v>25</v>
      </c>
      <c r="C50" s="15"/>
      <c r="D50" s="33">
        <f t="shared" si="0"/>
        <v>0</v>
      </c>
    </row>
    <row r="51" spans="1:4" ht="15.5" x14ac:dyDescent="0.35">
      <c r="A51" s="96" t="s">
        <v>64</v>
      </c>
      <c r="B51" s="39">
        <v>100</v>
      </c>
      <c r="C51" s="15"/>
      <c r="D51" s="33">
        <f t="shared" si="0"/>
        <v>0</v>
      </c>
    </row>
    <row r="52" spans="1:4" ht="15.5" x14ac:dyDescent="0.35">
      <c r="A52" s="45" t="s">
        <v>377</v>
      </c>
      <c r="B52" s="39">
        <v>10</v>
      </c>
      <c r="C52" s="15"/>
      <c r="D52" s="33">
        <f t="shared" si="0"/>
        <v>0</v>
      </c>
    </row>
    <row r="53" spans="1:4" ht="15.5" x14ac:dyDescent="0.35">
      <c r="A53" s="96" t="s">
        <v>56</v>
      </c>
      <c r="B53" s="39">
        <v>7</v>
      </c>
      <c r="C53" s="15"/>
      <c r="D53" s="33">
        <f t="shared" si="0"/>
        <v>0</v>
      </c>
    </row>
    <row r="54" spans="1:4" ht="15.5" x14ac:dyDescent="0.35">
      <c r="A54" s="96" t="s">
        <v>13</v>
      </c>
      <c r="B54" s="39">
        <v>8</v>
      </c>
      <c r="C54" s="15"/>
      <c r="D54" s="33">
        <f t="shared" si="0"/>
        <v>0</v>
      </c>
    </row>
    <row r="55" spans="1:4" ht="15.5" x14ac:dyDescent="0.35">
      <c r="A55" s="96" t="s">
        <v>12</v>
      </c>
      <c r="B55" s="39">
        <v>3</v>
      </c>
      <c r="C55" s="15"/>
      <c r="D55" s="33">
        <f t="shared" si="0"/>
        <v>0</v>
      </c>
    </row>
    <row r="56" spans="1:4" ht="15.5" x14ac:dyDescent="0.35">
      <c r="A56" s="96" t="s">
        <v>11</v>
      </c>
      <c r="B56" s="39">
        <v>80</v>
      </c>
      <c r="C56" s="15"/>
      <c r="D56" s="33">
        <f t="shared" si="0"/>
        <v>0</v>
      </c>
    </row>
    <row r="57" spans="1:4" ht="15.5" x14ac:dyDescent="0.35">
      <c r="A57" s="96" t="s">
        <v>10</v>
      </c>
      <c r="B57" s="39">
        <v>80</v>
      </c>
      <c r="C57" s="15"/>
      <c r="D57" s="33">
        <f t="shared" si="0"/>
        <v>0</v>
      </c>
    </row>
    <row r="58" spans="1:4" ht="15.5" x14ac:dyDescent="0.35">
      <c r="A58" s="96" t="s">
        <v>59</v>
      </c>
      <c r="B58" s="39">
        <v>20</v>
      </c>
      <c r="C58" s="15"/>
      <c r="D58" s="33">
        <f t="shared" si="0"/>
        <v>0</v>
      </c>
    </row>
    <row r="59" spans="1:4" ht="15.5" x14ac:dyDescent="0.35">
      <c r="A59" s="96" t="s">
        <v>60</v>
      </c>
      <c r="B59" s="39">
        <v>20</v>
      </c>
      <c r="C59" s="15"/>
      <c r="D59" s="33">
        <f t="shared" si="0"/>
        <v>0</v>
      </c>
    </row>
    <row r="60" spans="1:4" ht="15.5" x14ac:dyDescent="0.35">
      <c r="A60" s="96" t="s">
        <v>65</v>
      </c>
      <c r="B60" s="39">
        <v>20</v>
      </c>
      <c r="C60" s="15"/>
      <c r="D60" s="33">
        <f t="shared" si="0"/>
        <v>0</v>
      </c>
    </row>
    <row r="61" spans="1:4" ht="15.5" x14ac:dyDescent="0.35">
      <c r="A61" s="96" t="s">
        <v>61</v>
      </c>
      <c r="B61" s="39">
        <v>20</v>
      </c>
      <c r="C61" s="15"/>
      <c r="D61" s="33">
        <f t="shared" si="0"/>
        <v>0</v>
      </c>
    </row>
    <row r="62" spans="1:4" ht="15.5" x14ac:dyDescent="0.35">
      <c r="A62" s="96" t="s">
        <v>62</v>
      </c>
      <c r="B62" s="39">
        <v>20</v>
      </c>
      <c r="C62" s="15"/>
      <c r="D62" s="33">
        <f t="shared" si="0"/>
        <v>0</v>
      </c>
    </row>
    <row r="63" spans="1:4" ht="15.5" x14ac:dyDescent="0.35">
      <c r="A63" s="96" t="s">
        <v>63</v>
      </c>
      <c r="B63" s="39">
        <v>20</v>
      </c>
      <c r="C63" s="15"/>
      <c r="D63" s="33">
        <f t="shared" si="0"/>
        <v>0</v>
      </c>
    </row>
    <row r="64" spans="1:4" ht="15.5" x14ac:dyDescent="0.35">
      <c r="A64" s="96" t="s">
        <v>66</v>
      </c>
      <c r="B64" s="39">
        <v>25</v>
      </c>
      <c r="C64" s="15"/>
      <c r="D64" s="33">
        <f t="shared" si="0"/>
        <v>0</v>
      </c>
    </row>
    <row r="65" spans="1:4" ht="15.5" x14ac:dyDescent="0.35">
      <c r="A65" s="96" t="s">
        <v>64</v>
      </c>
      <c r="B65" s="39">
        <v>100</v>
      </c>
      <c r="C65" s="15"/>
      <c r="D65" s="33">
        <f t="shared" si="0"/>
        <v>0</v>
      </c>
    </row>
    <row r="66" spans="1:4" ht="15.5" x14ac:dyDescent="0.35">
      <c r="A66" s="45" t="s">
        <v>376</v>
      </c>
      <c r="B66" s="39">
        <v>10</v>
      </c>
      <c r="C66" s="15"/>
      <c r="D66" s="33">
        <f t="shared" si="0"/>
        <v>0</v>
      </c>
    </row>
    <row r="67" spans="1:4" ht="15.5" x14ac:dyDescent="0.35">
      <c r="A67" s="96" t="s">
        <v>175</v>
      </c>
      <c r="B67" s="39">
        <v>7</v>
      </c>
      <c r="C67" s="15"/>
      <c r="D67" s="33">
        <f t="shared" si="0"/>
        <v>0</v>
      </c>
    </row>
    <row r="68" spans="1:4" ht="15.5" x14ac:dyDescent="0.35">
      <c r="A68" s="96" t="s">
        <v>13</v>
      </c>
      <c r="B68" s="39">
        <v>8</v>
      </c>
      <c r="C68" s="15"/>
      <c r="D68" s="33">
        <f t="shared" si="0"/>
        <v>0</v>
      </c>
    </row>
    <row r="69" spans="1:4" ht="15.5" x14ac:dyDescent="0.35">
      <c r="A69" s="96" t="s">
        <v>12</v>
      </c>
      <c r="B69" s="39">
        <v>3</v>
      </c>
      <c r="C69" s="15"/>
      <c r="D69" s="33">
        <f t="shared" ref="D69:D132" si="1">SUM(B69*C69)</f>
        <v>0</v>
      </c>
    </row>
    <row r="70" spans="1:4" ht="15.5" x14ac:dyDescent="0.35">
      <c r="A70" s="96" t="s">
        <v>9</v>
      </c>
      <c r="B70" s="39">
        <v>80</v>
      </c>
      <c r="C70" s="15"/>
      <c r="D70" s="33">
        <f t="shared" si="1"/>
        <v>0</v>
      </c>
    </row>
    <row r="71" spans="1:4" ht="15.5" x14ac:dyDescent="0.35">
      <c r="A71" s="96" t="s">
        <v>10</v>
      </c>
      <c r="B71" s="39">
        <v>80</v>
      </c>
      <c r="C71" s="15"/>
      <c r="D71" s="33">
        <f t="shared" si="1"/>
        <v>0</v>
      </c>
    </row>
    <row r="72" spans="1:4" ht="15.5" x14ac:dyDescent="0.35">
      <c r="A72" s="96" t="s">
        <v>59</v>
      </c>
      <c r="B72" s="39">
        <v>20</v>
      </c>
      <c r="C72" s="15"/>
      <c r="D72" s="33">
        <f t="shared" si="1"/>
        <v>0</v>
      </c>
    </row>
    <row r="73" spans="1:4" ht="15.5" x14ac:dyDescent="0.35">
      <c r="A73" s="96" t="s">
        <v>60</v>
      </c>
      <c r="B73" s="39">
        <v>20</v>
      </c>
      <c r="C73" s="15"/>
      <c r="D73" s="33">
        <f t="shared" si="1"/>
        <v>0</v>
      </c>
    </row>
    <row r="74" spans="1:4" ht="15.5" x14ac:dyDescent="0.35">
      <c r="A74" s="96" t="s">
        <v>65</v>
      </c>
      <c r="B74" s="39">
        <v>20</v>
      </c>
      <c r="C74" s="15"/>
      <c r="D74" s="33">
        <f t="shared" si="1"/>
        <v>0</v>
      </c>
    </row>
    <row r="75" spans="1:4" ht="15.5" x14ac:dyDescent="0.35">
      <c r="A75" s="96" t="s">
        <v>61</v>
      </c>
      <c r="B75" s="39">
        <v>20</v>
      </c>
      <c r="C75" s="15"/>
      <c r="D75" s="33">
        <f t="shared" si="1"/>
        <v>0</v>
      </c>
    </row>
    <row r="76" spans="1:4" ht="15.5" x14ac:dyDescent="0.35">
      <c r="A76" s="96" t="s">
        <v>62</v>
      </c>
      <c r="B76" s="39">
        <v>20</v>
      </c>
      <c r="C76" s="15"/>
      <c r="D76" s="33">
        <f t="shared" si="1"/>
        <v>0</v>
      </c>
    </row>
    <row r="77" spans="1:4" ht="15.5" x14ac:dyDescent="0.35">
      <c r="A77" s="96" t="s">
        <v>63</v>
      </c>
      <c r="B77" s="39">
        <v>20</v>
      </c>
      <c r="C77" s="15"/>
      <c r="D77" s="33">
        <f t="shared" si="1"/>
        <v>0</v>
      </c>
    </row>
    <row r="78" spans="1:4" ht="15.5" x14ac:dyDescent="0.35">
      <c r="A78" s="96" t="s">
        <v>176</v>
      </c>
      <c r="B78" s="39">
        <v>25</v>
      </c>
      <c r="C78" s="15"/>
      <c r="D78" s="33">
        <f t="shared" si="1"/>
        <v>0</v>
      </c>
    </row>
    <row r="79" spans="1:4" ht="15.5" x14ac:dyDescent="0.35">
      <c r="A79" s="96" t="s">
        <v>64</v>
      </c>
      <c r="B79" s="39">
        <v>100</v>
      </c>
      <c r="C79" s="15"/>
      <c r="D79" s="33">
        <f t="shared" si="1"/>
        <v>0</v>
      </c>
    </row>
    <row r="80" spans="1:4" ht="15.5" x14ac:dyDescent="0.35">
      <c r="A80" s="45" t="s">
        <v>375</v>
      </c>
      <c r="B80" s="39">
        <v>10</v>
      </c>
      <c r="C80" s="15"/>
      <c r="D80" s="33">
        <f t="shared" si="1"/>
        <v>0</v>
      </c>
    </row>
    <row r="81" spans="1:4" ht="15.5" x14ac:dyDescent="0.35">
      <c r="A81" s="96" t="s">
        <v>56</v>
      </c>
      <c r="B81" s="39">
        <v>7</v>
      </c>
      <c r="C81" s="15"/>
      <c r="D81" s="33">
        <f t="shared" si="1"/>
        <v>0</v>
      </c>
    </row>
    <row r="82" spans="1:4" ht="15.5" x14ac:dyDescent="0.35">
      <c r="A82" s="96" t="s">
        <v>13</v>
      </c>
      <c r="B82" s="39">
        <v>8</v>
      </c>
      <c r="C82" s="15"/>
      <c r="D82" s="33">
        <f t="shared" si="1"/>
        <v>0</v>
      </c>
    </row>
    <row r="83" spans="1:4" ht="15.5" x14ac:dyDescent="0.35">
      <c r="A83" s="96" t="s">
        <v>177</v>
      </c>
      <c r="B83" s="39">
        <v>3</v>
      </c>
      <c r="C83" s="15"/>
      <c r="D83" s="33">
        <f t="shared" si="1"/>
        <v>0</v>
      </c>
    </row>
    <row r="84" spans="1:4" ht="15.5" x14ac:dyDescent="0.35">
      <c r="A84" s="96" t="s">
        <v>9</v>
      </c>
      <c r="B84" s="39">
        <v>80</v>
      </c>
      <c r="C84" s="15"/>
      <c r="D84" s="33">
        <f t="shared" si="1"/>
        <v>0</v>
      </c>
    </row>
    <row r="85" spans="1:4" ht="15.5" x14ac:dyDescent="0.35">
      <c r="A85" s="96" t="s">
        <v>10</v>
      </c>
      <c r="B85" s="39">
        <v>80</v>
      </c>
      <c r="C85" s="15"/>
      <c r="D85" s="33">
        <f t="shared" si="1"/>
        <v>0</v>
      </c>
    </row>
    <row r="86" spans="1:4" ht="15.5" x14ac:dyDescent="0.35">
      <c r="A86" s="96" t="s">
        <v>59</v>
      </c>
      <c r="B86" s="39">
        <v>20</v>
      </c>
      <c r="C86" s="15"/>
      <c r="D86" s="33">
        <f t="shared" si="1"/>
        <v>0</v>
      </c>
    </row>
    <row r="87" spans="1:4" ht="15.5" x14ac:dyDescent="0.35">
      <c r="A87" s="96" t="s">
        <v>60</v>
      </c>
      <c r="B87" s="39">
        <v>20</v>
      </c>
      <c r="C87" s="15"/>
      <c r="D87" s="33">
        <f t="shared" si="1"/>
        <v>0</v>
      </c>
    </row>
    <row r="88" spans="1:4" ht="15.5" x14ac:dyDescent="0.35">
      <c r="A88" s="96" t="s">
        <v>65</v>
      </c>
      <c r="B88" s="39">
        <v>20</v>
      </c>
      <c r="C88" s="15"/>
      <c r="D88" s="33">
        <f t="shared" si="1"/>
        <v>0</v>
      </c>
    </row>
    <row r="89" spans="1:4" ht="15.5" x14ac:dyDescent="0.35">
      <c r="A89" s="96" t="s">
        <v>61</v>
      </c>
      <c r="B89" s="39">
        <v>20</v>
      </c>
      <c r="C89" s="15"/>
      <c r="D89" s="33">
        <f t="shared" si="1"/>
        <v>0</v>
      </c>
    </row>
    <row r="90" spans="1:4" ht="15.5" x14ac:dyDescent="0.35">
      <c r="A90" s="96" t="s">
        <v>62</v>
      </c>
      <c r="B90" s="39">
        <v>20</v>
      </c>
      <c r="C90" s="15"/>
      <c r="D90" s="33">
        <f t="shared" si="1"/>
        <v>0</v>
      </c>
    </row>
    <row r="91" spans="1:4" ht="15.5" x14ac:dyDescent="0.35">
      <c r="A91" s="96" t="s">
        <v>63</v>
      </c>
      <c r="B91" s="39">
        <v>20</v>
      </c>
      <c r="C91" s="15"/>
      <c r="D91" s="33">
        <f t="shared" si="1"/>
        <v>0</v>
      </c>
    </row>
    <row r="92" spans="1:4" s="48" customFormat="1" ht="15.5" x14ac:dyDescent="0.35">
      <c r="A92" s="96" t="s">
        <v>176</v>
      </c>
      <c r="B92" s="49">
        <v>25</v>
      </c>
      <c r="C92" s="154"/>
      <c r="D92" s="155">
        <f t="shared" si="1"/>
        <v>0</v>
      </c>
    </row>
    <row r="93" spans="1:4" ht="15.5" x14ac:dyDescent="0.35">
      <c r="A93" s="96" t="s">
        <v>64</v>
      </c>
      <c r="B93" s="39">
        <v>100</v>
      </c>
      <c r="C93" s="15"/>
      <c r="D93" s="33">
        <f t="shared" si="1"/>
        <v>0</v>
      </c>
    </row>
    <row r="94" spans="1:4" ht="15.5" x14ac:dyDescent="0.35">
      <c r="A94" s="45" t="s">
        <v>374</v>
      </c>
      <c r="B94" s="39">
        <v>10</v>
      </c>
      <c r="C94" s="15"/>
      <c r="D94" s="33">
        <f t="shared" si="1"/>
        <v>0</v>
      </c>
    </row>
    <row r="95" spans="1:4" ht="15.5" x14ac:dyDescent="0.35">
      <c r="A95" s="96" t="s">
        <v>175</v>
      </c>
      <c r="B95" s="39">
        <v>7</v>
      </c>
      <c r="C95" s="15"/>
      <c r="D95" s="33">
        <f t="shared" si="1"/>
        <v>0</v>
      </c>
    </row>
    <row r="96" spans="1:4" ht="15.5" x14ac:dyDescent="0.35">
      <c r="A96" s="96" t="s">
        <v>13</v>
      </c>
      <c r="B96" s="39">
        <v>8</v>
      </c>
      <c r="C96" s="15"/>
      <c r="D96" s="33">
        <f t="shared" si="1"/>
        <v>0</v>
      </c>
    </row>
    <row r="97" spans="1:4" ht="15.5" x14ac:dyDescent="0.35">
      <c r="A97" s="96" t="s">
        <v>12</v>
      </c>
      <c r="B97" s="39">
        <v>3</v>
      </c>
      <c r="C97" s="15"/>
      <c r="D97" s="33">
        <f t="shared" si="1"/>
        <v>0</v>
      </c>
    </row>
    <row r="98" spans="1:4" ht="15.5" x14ac:dyDescent="0.35">
      <c r="A98" s="96" t="s">
        <v>9</v>
      </c>
      <c r="B98" s="39">
        <v>80</v>
      </c>
      <c r="C98" s="15"/>
      <c r="D98" s="33">
        <f t="shared" si="1"/>
        <v>0</v>
      </c>
    </row>
    <row r="99" spans="1:4" ht="15.5" x14ac:dyDescent="0.35">
      <c r="A99" s="96" t="s">
        <v>10</v>
      </c>
      <c r="B99" s="39">
        <v>80</v>
      </c>
      <c r="C99" s="15"/>
      <c r="D99" s="33">
        <f t="shared" si="1"/>
        <v>0</v>
      </c>
    </row>
    <row r="100" spans="1:4" ht="15.5" x14ac:dyDescent="0.35">
      <c r="A100" s="96" t="s">
        <v>59</v>
      </c>
      <c r="B100" s="39">
        <v>20</v>
      </c>
      <c r="C100" s="15"/>
      <c r="D100" s="33">
        <f t="shared" si="1"/>
        <v>0</v>
      </c>
    </row>
    <row r="101" spans="1:4" ht="15.5" x14ac:dyDescent="0.35">
      <c r="A101" s="96" t="s">
        <v>60</v>
      </c>
      <c r="B101" s="39">
        <v>20</v>
      </c>
      <c r="C101" s="15"/>
      <c r="D101" s="33">
        <f t="shared" si="1"/>
        <v>0</v>
      </c>
    </row>
    <row r="102" spans="1:4" ht="15.5" x14ac:dyDescent="0.35">
      <c r="A102" s="96" t="s">
        <v>65</v>
      </c>
      <c r="B102" s="39">
        <v>20</v>
      </c>
      <c r="C102" s="15"/>
      <c r="D102" s="33">
        <f t="shared" si="1"/>
        <v>0</v>
      </c>
    </row>
    <row r="103" spans="1:4" ht="15.5" x14ac:dyDescent="0.35">
      <c r="A103" s="96" t="s">
        <v>61</v>
      </c>
      <c r="B103" s="39">
        <v>20</v>
      </c>
      <c r="C103" s="15"/>
      <c r="D103" s="33">
        <f t="shared" si="1"/>
        <v>0</v>
      </c>
    </row>
    <row r="104" spans="1:4" ht="15.5" x14ac:dyDescent="0.35">
      <c r="A104" s="96" t="s">
        <v>62</v>
      </c>
      <c r="B104" s="39">
        <v>20</v>
      </c>
      <c r="C104" s="15"/>
      <c r="D104" s="33">
        <f t="shared" si="1"/>
        <v>0</v>
      </c>
    </row>
    <row r="105" spans="1:4" ht="15.5" x14ac:dyDescent="0.35">
      <c r="A105" s="96" t="s">
        <v>63</v>
      </c>
      <c r="B105" s="39">
        <v>20</v>
      </c>
      <c r="C105" s="15"/>
      <c r="D105" s="33">
        <f t="shared" si="1"/>
        <v>0</v>
      </c>
    </row>
    <row r="106" spans="1:4" ht="15.5" x14ac:dyDescent="0.35">
      <c r="A106" s="96" t="s">
        <v>66</v>
      </c>
      <c r="B106" s="39">
        <v>25</v>
      </c>
      <c r="C106" s="15"/>
      <c r="D106" s="33">
        <f t="shared" si="1"/>
        <v>0</v>
      </c>
    </row>
    <row r="107" spans="1:4" ht="15.5" x14ac:dyDescent="0.35">
      <c r="A107" s="96" t="s">
        <v>64</v>
      </c>
      <c r="B107" s="39">
        <v>100</v>
      </c>
      <c r="C107" s="15"/>
      <c r="D107" s="33">
        <f t="shared" si="1"/>
        <v>0</v>
      </c>
    </row>
    <row r="108" spans="1:4" ht="15.5" x14ac:dyDescent="0.35">
      <c r="A108" s="45" t="s">
        <v>373</v>
      </c>
      <c r="B108" s="39">
        <v>10</v>
      </c>
      <c r="C108" s="15"/>
      <c r="D108" s="33">
        <f t="shared" si="1"/>
        <v>0</v>
      </c>
    </row>
    <row r="109" spans="1:4" ht="15.5" x14ac:dyDescent="0.35">
      <c r="A109" s="96" t="s">
        <v>175</v>
      </c>
      <c r="B109" s="39">
        <v>7</v>
      </c>
      <c r="C109" s="15"/>
      <c r="D109" s="33">
        <f t="shared" si="1"/>
        <v>0</v>
      </c>
    </row>
    <row r="110" spans="1:4" ht="15.5" x14ac:dyDescent="0.35">
      <c r="A110" s="96" t="s">
        <v>18</v>
      </c>
      <c r="B110" s="39">
        <v>8</v>
      </c>
      <c r="C110" s="15"/>
      <c r="D110" s="33">
        <f t="shared" si="1"/>
        <v>0</v>
      </c>
    </row>
    <row r="111" spans="1:4" ht="15.5" x14ac:dyDescent="0.35">
      <c r="A111" s="96" t="s">
        <v>177</v>
      </c>
      <c r="B111" s="39">
        <v>3</v>
      </c>
      <c r="C111" s="15"/>
      <c r="D111" s="33">
        <f t="shared" si="1"/>
        <v>0</v>
      </c>
    </row>
    <row r="112" spans="1:4" ht="15.5" x14ac:dyDescent="0.35">
      <c r="A112" s="96" t="s">
        <v>9</v>
      </c>
      <c r="B112" s="39">
        <v>80</v>
      </c>
      <c r="C112" s="15"/>
      <c r="D112" s="33">
        <f t="shared" si="1"/>
        <v>0</v>
      </c>
    </row>
    <row r="113" spans="1:4" ht="15.5" x14ac:dyDescent="0.35">
      <c r="A113" s="96" t="s">
        <v>10</v>
      </c>
      <c r="B113" s="39">
        <v>80</v>
      </c>
      <c r="C113" s="15"/>
      <c r="D113" s="33">
        <f t="shared" si="1"/>
        <v>0</v>
      </c>
    </row>
    <row r="114" spans="1:4" ht="15.5" x14ac:dyDescent="0.35">
      <c r="A114" s="96" t="s">
        <v>59</v>
      </c>
      <c r="B114" s="39">
        <v>20</v>
      </c>
      <c r="C114" s="15"/>
      <c r="D114" s="33">
        <f t="shared" si="1"/>
        <v>0</v>
      </c>
    </row>
    <row r="115" spans="1:4" ht="15.5" x14ac:dyDescent="0.35">
      <c r="A115" s="96" t="s">
        <v>67</v>
      </c>
      <c r="B115" s="39">
        <v>20</v>
      </c>
      <c r="C115" s="15"/>
      <c r="D115" s="33">
        <f t="shared" si="1"/>
        <v>0</v>
      </c>
    </row>
    <row r="116" spans="1:4" ht="15.5" x14ac:dyDescent="0.35">
      <c r="A116" s="96" t="s">
        <v>65</v>
      </c>
      <c r="B116" s="39">
        <v>20</v>
      </c>
      <c r="C116" s="15"/>
      <c r="D116" s="33">
        <f t="shared" si="1"/>
        <v>0</v>
      </c>
    </row>
    <row r="117" spans="1:4" ht="15.5" x14ac:dyDescent="0.35">
      <c r="A117" s="96" t="s">
        <v>61</v>
      </c>
      <c r="B117" s="39">
        <v>20</v>
      </c>
      <c r="C117" s="15"/>
      <c r="D117" s="33">
        <f t="shared" si="1"/>
        <v>0</v>
      </c>
    </row>
    <row r="118" spans="1:4" ht="15.5" x14ac:dyDescent="0.35">
      <c r="A118" s="96" t="s">
        <v>62</v>
      </c>
      <c r="B118" s="39">
        <v>20</v>
      </c>
      <c r="C118" s="15"/>
      <c r="D118" s="33">
        <f t="shared" si="1"/>
        <v>0</v>
      </c>
    </row>
    <row r="119" spans="1:4" ht="15.5" x14ac:dyDescent="0.35">
      <c r="A119" s="96" t="s">
        <v>63</v>
      </c>
      <c r="B119" s="39">
        <v>20</v>
      </c>
      <c r="C119" s="15"/>
      <c r="D119" s="33">
        <f t="shared" si="1"/>
        <v>0</v>
      </c>
    </row>
    <row r="120" spans="1:4" ht="15.5" x14ac:dyDescent="0.35">
      <c r="A120" s="96" t="s">
        <v>178</v>
      </c>
      <c r="B120" s="39">
        <v>25</v>
      </c>
      <c r="C120" s="15"/>
      <c r="D120" s="33">
        <f t="shared" si="1"/>
        <v>0</v>
      </c>
    </row>
    <row r="121" spans="1:4" ht="15.5" x14ac:dyDescent="0.35">
      <c r="A121" s="96" t="s">
        <v>64</v>
      </c>
      <c r="B121" s="39">
        <v>100</v>
      </c>
      <c r="C121" s="15"/>
      <c r="D121" s="33">
        <f t="shared" si="1"/>
        <v>0</v>
      </c>
    </row>
    <row r="122" spans="1:4" ht="15.5" x14ac:dyDescent="0.35">
      <c r="A122" s="96" t="s">
        <v>68</v>
      </c>
      <c r="B122" s="39">
        <v>500</v>
      </c>
      <c r="C122" s="15"/>
      <c r="D122" s="33">
        <f t="shared" si="1"/>
        <v>0</v>
      </c>
    </row>
    <row r="123" spans="1:4" ht="15.5" x14ac:dyDescent="0.35">
      <c r="A123" s="96" t="s">
        <v>69</v>
      </c>
      <c r="B123" s="39">
        <v>35</v>
      </c>
      <c r="C123" s="15"/>
      <c r="D123" s="33">
        <f t="shared" si="1"/>
        <v>0</v>
      </c>
    </row>
    <row r="124" spans="1:4" ht="15.5" x14ac:dyDescent="0.35">
      <c r="A124" s="45" t="s">
        <v>372</v>
      </c>
      <c r="B124" s="39">
        <v>10</v>
      </c>
      <c r="C124" s="15"/>
      <c r="D124" s="33">
        <f t="shared" si="1"/>
        <v>0</v>
      </c>
    </row>
    <row r="125" spans="1:4" ht="15.5" x14ac:dyDescent="0.35">
      <c r="A125" s="96" t="s">
        <v>218</v>
      </c>
      <c r="B125" s="39">
        <v>7</v>
      </c>
      <c r="C125" s="15"/>
      <c r="D125" s="33">
        <f t="shared" si="1"/>
        <v>0</v>
      </c>
    </row>
    <row r="126" spans="1:4" ht="15.5" x14ac:dyDescent="0.35">
      <c r="A126" s="96" t="s">
        <v>13</v>
      </c>
      <c r="B126" s="39">
        <v>8</v>
      </c>
      <c r="C126" s="15"/>
      <c r="D126" s="33">
        <f t="shared" si="1"/>
        <v>0</v>
      </c>
    </row>
    <row r="127" spans="1:4" ht="15.5" x14ac:dyDescent="0.35">
      <c r="A127" s="96" t="s">
        <v>12</v>
      </c>
      <c r="B127" s="39">
        <v>3</v>
      </c>
      <c r="C127" s="15"/>
      <c r="D127" s="33">
        <f t="shared" si="1"/>
        <v>0</v>
      </c>
    </row>
    <row r="128" spans="1:4" ht="15.5" x14ac:dyDescent="0.35">
      <c r="A128" s="96" t="s">
        <v>9</v>
      </c>
      <c r="B128" s="39">
        <v>80</v>
      </c>
      <c r="C128" s="15"/>
      <c r="D128" s="33">
        <f t="shared" si="1"/>
        <v>0</v>
      </c>
    </row>
    <row r="129" spans="1:4" ht="15.5" x14ac:dyDescent="0.35">
      <c r="A129" s="96" t="s">
        <v>10</v>
      </c>
      <c r="B129" s="39">
        <v>80</v>
      </c>
      <c r="C129" s="15"/>
      <c r="D129" s="33">
        <f t="shared" si="1"/>
        <v>0</v>
      </c>
    </row>
    <row r="130" spans="1:4" ht="15.5" x14ac:dyDescent="0.35">
      <c r="A130" s="96" t="s">
        <v>219</v>
      </c>
      <c r="B130" s="39">
        <v>20</v>
      </c>
      <c r="C130" s="15"/>
      <c r="D130" s="33">
        <f t="shared" si="1"/>
        <v>0</v>
      </c>
    </row>
    <row r="131" spans="1:4" ht="15.5" x14ac:dyDescent="0.35">
      <c r="A131" s="96" t="s">
        <v>220</v>
      </c>
      <c r="B131" s="39">
        <v>20</v>
      </c>
      <c r="C131" s="15"/>
      <c r="D131" s="33">
        <f t="shared" si="1"/>
        <v>0</v>
      </c>
    </row>
    <row r="132" spans="1:4" ht="15.5" x14ac:dyDescent="0.35">
      <c r="A132" s="96" t="s">
        <v>221</v>
      </c>
      <c r="B132" s="39">
        <v>20</v>
      </c>
      <c r="C132" s="15"/>
      <c r="D132" s="33">
        <f t="shared" si="1"/>
        <v>0</v>
      </c>
    </row>
    <row r="133" spans="1:4" ht="15.5" x14ac:dyDescent="0.35">
      <c r="A133" s="96" t="s">
        <v>222</v>
      </c>
      <c r="B133" s="39">
        <v>20</v>
      </c>
      <c r="C133" s="15"/>
      <c r="D133" s="33">
        <f t="shared" ref="D133:D202" si="2">SUM(B133*C133)</f>
        <v>0</v>
      </c>
    </row>
    <row r="134" spans="1:4" ht="15.5" x14ac:dyDescent="0.35">
      <c r="A134" s="96" t="s">
        <v>223</v>
      </c>
      <c r="B134" s="39">
        <v>20</v>
      </c>
      <c r="C134" s="15"/>
      <c r="D134" s="33">
        <f t="shared" si="2"/>
        <v>0</v>
      </c>
    </row>
    <row r="135" spans="1:4" ht="15.5" x14ac:dyDescent="0.35">
      <c r="A135" s="96" t="s">
        <v>224</v>
      </c>
      <c r="B135" s="39">
        <v>20</v>
      </c>
      <c r="C135" s="15"/>
      <c r="D135" s="33">
        <f t="shared" si="2"/>
        <v>0</v>
      </c>
    </row>
    <row r="136" spans="1:4" ht="15.5" x14ac:dyDescent="0.35">
      <c r="A136" s="96" t="s">
        <v>225</v>
      </c>
      <c r="B136" s="39">
        <v>25</v>
      </c>
      <c r="C136" s="15"/>
      <c r="D136" s="33">
        <f t="shared" si="2"/>
        <v>0</v>
      </c>
    </row>
    <row r="137" spans="1:4" ht="15.5" x14ac:dyDescent="0.35">
      <c r="A137" s="96" t="s">
        <v>64</v>
      </c>
      <c r="B137" s="39">
        <v>100</v>
      </c>
      <c r="C137" s="15"/>
      <c r="D137" s="33">
        <f t="shared" si="2"/>
        <v>0</v>
      </c>
    </row>
    <row r="138" spans="1:4" ht="15.5" x14ac:dyDescent="0.35">
      <c r="A138" s="45" t="s">
        <v>371</v>
      </c>
      <c r="B138" s="39">
        <v>10</v>
      </c>
      <c r="C138" s="15"/>
      <c r="D138" s="33">
        <f t="shared" si="2"/>
        <v>0</v>
      </c>
    </row>
    <row r="139" spans="1:4" ht="15.5" x14ac:dyDescent="0.35">
      <c r="A139" s="96" t="s">
        <v>218</v>
      </c>
      <c r="B139" s="39">
        <v>7</v>
      </c>
      <c r="C139" s="15"/>
      <c r="D139" s="33">
        <f t="shared" si="2"/>
        <v>0</v>
      </c>
    </row>
    <row r="140" spans="1:4" ht="15.5" x14ac:dyDescent="0.35">
      <c r="A140" s="96" t="s">
        <v>13</v>
      </c>
      <c r="B140" s="39">
        <v>8</v>
      </c>
      <c r="C140" s="15"/>
      <c r="D140" s="33">
        <f t="shared" si="2"/>
        <v>0</v>
      </c>
    </row>
    <row r="141" spans="1:4" ht="15.5" x14ac:dyDescent="0.35">
      <c r="A141" s="96" t="s">
        <v>177</v>
      </c>
      <c r="B141" s="39">
        <v>3</v>
      </c>
      <c r="C141" s="15"/>
      <c r="D141" s="33">
        <f t="shared" si="2"/>
        <v>0</v>
      </c>
    </row>
    <row r="142" spans="1:4" ht="15.5" x14ac:dyDescent="0.35">
      <c r="A142" s="96" t="s">
        <v>9</v>
      </c>
      <c r="B142" s="39">
        <v>80</v>
      </c>
      <c r="C142" s="15"/>
      <c r="D142" s="33">
        <f t="shared" si="2"/>
        <v>0</v>
      </c>
    </row>
    <row r="143" spans="1:4" ht="15.5" x14ac:dyDescent="0.35">
      <c r="A143" s="96" t="s">
        <v>10</v>
      </c>
      <c r="B143" s="39">
        <v>80</v>
      </c>
      <c r="C143" s="15"/>
      <c r="D143" s="33">
        <f t="shared" si="2"/>
        <v>0</v>
      </c>
    </row>
    <row r="144" spans="1:4" ht="15.5" x14ac:dyDescent="0.35">
      <c r="A144" s="96" t="s">
        <v>219</v>
      </c>
      <c r="B144" s="39">
        <v>20</v>
      </c>
      <c r="C144" s="15"/>
      <c r="D144" s="33">
        <f t="shared" si="2"/>
        <v>0</v>
      </c>
    </row>
    <row r="145" spans="1:4" ht="15.5" x14ac:dyDescent="0.35">
      <c r="A145" s="96" t="s">
        <v>220</v>
      </c>
      <c r="B145" s="39">
        <v>20</v>
      </c>
      <c r="C145" s="15"/>
      <c r="D145" s="33">
        <f t="shared" si="2"/>
        <v>0</v>
      </c>
    </row>
    <row r="146" spans="1:4" ht="15.5" x14ac:dyDescent="0.35">
      <c r="A146" s="96" t="s">
        <v>221</v>
      </c>
      <c r="B146" s="39">
        <v>20</v>
      </c>
      <c r="C146" s="15"/>
      <c r="D146" s="33">
        <f t="shared" si="2"/>
        <v>0</v>
      </c>
    </row>
    <row r="147" spans="1:4" ht="15.5" x14ac:dyDescent="0.35">
      <c r="A147" s="96" t="s">
        <v>222</v>
      </c>
      <c r="B147" s="39">
        <v>20</v>
      </c>
      <c r="C147" s="15"/>
      <c r="D147" s="33">
        <f t="shared" si="2"/>
        <v>0</v>
      </c>
    </row>
    <row r="148" spans="1:4" ht="15.5" x14ac:dyDescent="0.35">
      <c r="A148" s="96" t="s">
        <v>223</v>
      </c>
      <c r="B148" s="39">
        <v>20</v>
      </c>
      <c r="C148" s="15"/>
      <c r="D148" s="33">
        <f t="shared" si="2"/>
        <v>0</v>
      </c>
    </row>
    <row r="149" spans="1:4" ht="15.5" x14ac:dyDescent="0.35">
      <c r="A149" s="96" t="s">
        <v>226</v>
      </c>
      <c r="B149" s="39">
        <v>20</v>
      </c>
      <c r="C149" s="15"/>
      <c r="D149" s="33">
        <f t="shared" si="2"/>
        <v>0</v>
      </c>
    </row>
    <row r="150" spans="1:4" ht="15.5" x14ac:dyDescent="0.35">
      <c r="A150" s="96" t="s">
        <v>225</v>
      </c>
      <c r="B150" s="39">
        <v>25</v>
      </c>
      <c r="C150" s="15"/>
      <c r="D150" s="33">
        <f t="shared" si="2"/>
        <v>0</v>
      </c>
    </row>
    <row r="151" spans="1:4" ht="15.5" x14ac:dyDescent="0.35">
      <c r="A151" s="96" t="s">
        <v>64</v>
      </c>
      <c r="B151" s="39">
        <v>100</v>
      </c>
      <c r="C151" s="15"/>
      <c r="D151" s="33">
        <f t="shared" si="2"/>
        <v>0</v>
      </c>
    </row>
    <row r="152" spans="1:4" ht="15.5" x14ac:dyDescent="0.35">
      <c r="A152" s="45" t="s">
        <v>370</v>
      </c>
      <c r="B152" s="39">
        <v>10</v>
      </c>
      <c r="C152" s="15"/>
      <c r="D152" s="33">
        <f t="shared" si="2"/>
        <v>0</v>
      </c>
    </row>
    <row r="153" spans="1:4" ht="15.5" x14ac:dyDescent="0.35">
      <c r="A153" s="96" t="s">
        <v>227</v>
      </c>
      <c r="B153" s="39">
        <v>7</v>
      </c>
      <c r="C153" s="15"/>
      <c r="D153" s="33">
        <f t="shared" si="2"/>
        <v>0</v>
      </c>
    </row>
    <row r="154" spans="1:4" ht="15.5" x14ac:dyDescent="0.35">
      <c r="A154" s="96" t="s">
        <v>13</v>
      </c>
      <c r="B154" s="39">
        <v>8</v>
      </c>
      <c r="C154" s="15"/>
      <c r="D154" s="33">
        <f t="shared" si="2"/>
        <v>0</v>
      </c>
    </row>
    <row r="155" spans="1:4" ht="15.5" x14ac:dyDescent="0.35">
      <c r="A155" s="96" t="s">
        <v>177</v>
      </c>
      <c r="B155" s="39">
        <v>3</v>
      </c>
      <c r="C155" s="15"/>
      <c r="D155" s="33">
        <f t="shared" si="2"/>
        <v>0</v>
      </c>
    </row>
    <row r="156" spans="1:4" ht="15.5" x14ac:dyDescent="0.35">
      <c r="A156" s="96" t="s">
        <v>9</v>
      </c>
      <c r="B156" s="39">
        <v>80</v>
      </c>
      <c r="C156" s="15"/>
      <c r="D156" s="33">
        <f t="shared" si="2"/>
        <v>0</v>
      </c>
    </row>
    <row r="157" spans="1:4" ht="15.5" x14ac:dyDescent="0.35">
      <c r="A157" s="96" t="s">
        <v>10</v>
      </c>
      <c r="B157" s="39">
        <v>80</v>
      </c>
      <c r="C157" s="15"/>
      <c r="D157" s="33">
        <f t="shared" si="2"/>
        <v>0</v>
      </c>
    </row>
    <row r="158" spans="1:4" ht="15.5" x14ac:dyDescent="0.35">
      <c r="A158" s="96" t="s">
        <v>219</v>
      </c>
      <c r="B158" s="39">
        <v>20</v>
      </c>
      <c r="C158" s="15"/>
      <c r="D158" s="33">
        <f t="shared" si="2"/>
        <v>0</v>
      </c>
    </row>
    <row r="159" spans="1:4" ht="15.5" x14ac:dyDescent="0.35">
      <c r="A159" s="96" t="s">
        <v>220</v>
      </c>
      <c r="B159" s="39">
        <v>20</v>
      </c>
      <c r="C159" s="15"/>
      <c r="D159" s="33">
        <f t="shared" si="2"/>
        <v>0</v>
      </c>
    </row>
    <row r="160" spans="1:4" ht="15.5" x14ac:dyDescent="0.35">
      <c r="A160" s="96" t="s">
        <v>221</v>
      </c>
      <c r="B160" s="39">
        <v>20</v>
      </c>
      <c r="C160" s="15"/>
      <c r="D160" s="33">
        <f t="shared" si="2"/>
        <v>0</v>
      </c>
    </row>
    <row r="161" spans="1:4" ht="15.5" x14ac:dyDescent="0.35">
      <c r="A161" s="96" t="s">
        <v>222</v>
      </c>
      <c r="B161" s="39">
        <v>20</v>
      </c>
      <c r="C161" s="15"/>
      <c r="D161" s="33">
        <f t="shared" si="2"/>
        <v>0</v>
      </c>
    </row>
    <row r="162" spans="1:4" ht="15.5" x14ac:dyDescent="0.35">
      <c r="A162" s="96" t="s">
        <v>223</v>
      </c>
      <c r="B162" s="39">
        <v>20</v>
      </c>
      <c r="C162" s="15"/>
      <c r="D162" s="33">
        <f t="shared" si="2"/>
        <v>0</v>
      </c>
    </row>
    <row r="163" spans="1:4" ht="15.5" x14ac:dyDescent="0.35">
      <c r="A163" s="96" t="s">
        <v>224</v>
      </c>
      <c r="B163" s="39">
        <v>20</v>
      </c>
      <c r="C163" s="15"/>
      <c r="D163" s="33">
        <f t="shared" si="2"/>
        <v>0</v>
      </c>
    </row>
    <row r="164" spans="1:4" ht="15.5" x14ac:dyDescent="0.35">
      <c r="A164" s="96" t="s">
        <v>225</v>
      </c>
      <c r="B164" s="39">
        <v>25</v>
      </c>
      <c r="C164" s="15"/>
      <c r="D164" s="33">
        <f t="shared" si="2"/>
        <v>0</v>
      </c>
    </row>
    <row r="165" spans="1:4" ht="15.5" x14ac:dyDescent="0.35">
      <c r="A165" s="96" t="s">
        <v>64</v>
      </c>
      <c r="B165" s="39">
        <v>100</v>
      </c>
      <c r="C165" s="15"/>
      <c r="D165" s="33">
        <f t="shared" si="2"/>
        <v>0</v>
      </c>
    </row>
    <row r="166" spans="1:4" ht="15.5" x14ac:dyDescent="0.35">
      <c r="A166" s="45" t="s">
        <v>369</v>
      </c>
      <c r="B166" s="39">
        <v>10</v>
      </c>
      <c r="C166" s="15"/>
      <c r="D166" s="33">
        <f t="shared" si="2"/>
        <v>0</v>
      </c>
    </row>
    <row r="167" spans="1:4" ht="15.5" x14ac:dyDescent="0.35">
      <c r="A167" s="96" t="s">
        <v>179</v>
      </c>
      <c r="B167" s="39">
        <v>7</v>
      </c>
      <c r="C167" s="15"/>
      <c r="D167" s="33">
        <f t="shared" si="2"/>
        <v>0</v>
      </c>
    </row>
    <row r="168" spans="1:4" ht="15.5" x14ac:dyDescent="0.35">
      <c r="A168" s="96" t="s">
        <v>13</v>
      </c>
      <c r="B168" s="39">
        <v>8</v>
      </c>
      <c r="C168" s="15"/>
      <c r="D168" s="33">
        <f t="shared" si="2"/>
        <v>0</v>
      </c>
    </row>
    <row r="169" spans="1:4" ht="15.5" x14ac:dyDescent="0.35">
      <c r="A169" s="96" t="s">
        <v>177</v>
      </c>
      <c r="B169" s="39">
        <v>3</v>
      </c>
      <c r="C169" s="15"/>
      <c r="D169" s="33">
        <f t="shared" si="2"/>
        <v>0</v>
      </c>
    </row>
    <row r="170" spans="1:4" ht="15.5" x14ac:dyDescent="0.35">
      <c r="A170" s="96" t="s">
        <v>9</v>
      </c>
      <c r="B170" s="39">
        <v>80</v>
      </c>
      <c r="C170" s="15"/>
      <c r="D170" s="33">
        <f t="shared" si="2"/>
        <v>0</v>
      </c>
    </row>
    <row r="171" spans="1:4" ht="15.5" x14ac:dyDescent="0.35">
      <c r="A171" s="96" t="s">
        <v>10</v>
      </c>
      <c r="B171" s="39">
        <v>80</v>
      </c>
      <c r="C171" s="15"/>
      <c r="D171" s="33">
        <f t="shared" si="2"/>
        <v>0</v>
      </c>
    </row>
    <row r="172" spans="1:4" ht="15.5" x14ac:dyDescent="0.35">
      <c r="A172" s="96" t="s">
        <v>70</v>
      </c>
      <c r="B172" s="39">
        <v>20</v>
      </c>
      <c r="C172" s="15"/>
      <c r="D172" s="33">
        <f t="shared" si="2"/>
        <v>0</v>
      </c>
    </row>
    <row r="173" spans="1:4" ht="15.5" x14ac:dyDescent="0.35">
      <c r="A173" s="96" t="s">
        <v>71</v>
      </c>
      <c r="B173" s="39">
        <v>20</v>
      </c>
      <c r="C173" s="15"/>
      <c r="D173" s="33">
        <f t="shared" si="2"/>
        <v>0</v>
      </c>
    </row>
    <row r="174" spans="1:4" ht="15.5" x14ac:dyDescent="0.35">
      <c r="A174" s="96" t="s">
        <v>72</v>
      </c>
      <c r="B174" s="39">
        <v>20</v>
      </c>
      <c r="C174" s="15"/>
      <c r="D174" s="33">
        <f t="shared" si="2"/>
        <v>0</v>
      </c>
    </row>
    <row r="175" spans="1:4" ht="15.5" x14ac:dyDescent="0.35">
      <c r="A175" s="96" t="s">
        <v>73</v>
      </c>
      <c r="B175" s="39">
        <v>20</v>
      </c>
      <c r="C175" s="15"/>
      <c r="D175" s="33">
        <f t="shared" si="2"/>
        <v>0</v>
      </c>
    </row>
    <row r="176" spans="1:4" ht="15.5" x14ac:dyDescent="0.35">
      <c r="A176" s="96" t="s">
        <v>74</v>
      </c>
      <c r="B176" s="39">
        <v>20</v>
      </c>
      <c r="C176" s="15"/>
      <c r="D176" s="33">
        <f t="shared" si="2"/>
        <v>0</v>
      </c>
    </row>
    <row r="177" spans="1:4" ht="15.5" x14ac:dyDescent="0.35">
      <c r="A177" s="96" t="s">
        <v>75</v>
      </c>
      <c r="B177" s="39">
        <v>20</v>
      </c>
      <c r="C177" s="15"/>
      <c r="D177" s="33">
        <f t="shared" si="2"/>
        <v>0</v>
      </c>
    </row>
    <row r="178" spans="1:4" ht="15.5" x14ac:dyDescent="0.35">
      <c r="A178" s="96" t="s">
        <v>64</v>
      </c>
      <c r="B178" s="39">
        <v>100</v>
      </c>
      <c r="C178" s="15"/>
      <c r="D178" s="33">
        <f t="shared" si="2"/>
        <v>0</v>
      </c>
    </row>
    <row r="179" spans="1:4" ht="15.5" x14ac:dyDescent="0.35">
      <c r="A179" s="45" t="s">
        <v>368</v>
      </c>
      <c r="B179" s="39">
        <v>10</v>
      </c>
      <c r="C179" s="15"/>
      <c r="D179" s="33">
        <f t="shared" si="2"/>
        <v>0</v>
      </c>
    </row>
    <row r="180" spans="1:4" ht="15.5" x14ac:dyDescent="0.35">
      <c r="A180" s="96" t="s">
        <v>76</v>
      </c>
      <c r="B180" s="39">
        <v>7</v>
      </c>
      <c r="C180" s="15"/>
      <c r="D180" s="33">
        <f t="shared" si="2"/>
        <v>0</v>
      </c>
    </row>
    <row r="181" spans="1:4" ht="15.5" x14ac:dyDescent="0.35">
      <c r="A181" s="96" t="s">
        <v>13</v>
      </c>
      <c r="B181" s="39">
        <v>8</v>
      </c>
      <c r="C181" s="15"/>
      <c r="D181" s="33">
        <f t="shared" si="2"/>
        <v>0</v>
      </c>
    </row>
    <row r="182" spans="1:4" ht="15.5" x14ac:dyDescent="0.35">
      <c r="A182" s="96" t="s">
        <v>12</v>
      </c>
      <c r="B182" s="39">
        <v>3</v>
      </c>
      <c r="C182" s="15"/>
      <c r="D182" s="33">
        <f t="shared" si="2"/>
        <v>0</v>
      </c>
    </row>
    <row r="183" spans="1:4" ht="15.5" x14ac:dyDescent="0.35">
      <c r="A183" s="96" t="s">
        <v>9</v>
      </c>
      <c r="B183" s="39">
        <v>80</v>
      </c>
      <c r="C183" s="15"/>
      <c r="D183" s="33">
        <f t="shared" si="2"/>
        <v>0</v>
      </c>
    </row>
    <row r="184" spans="1:4" ht="15.5" x14ac:dyDescent="0.35">
      <c r="A184" s="96" t="s">
        <v>10</v>
      </c>
      <c r="B184" s="39">
        <v>80</v>
      </c>
      <c r="C184" s="15"/>
      <c r="D184" s="33">
        <f t="shared" si="2"/>
        <v>0</v>
      </c>
    </row>
    <row r="185" spans="1:4" ht="15.5" x14ac:dyDescent="0.35">
      <c r="A185" s="96" t="s">
        <v>70</v>
      </c>
      <c r="B185" s="39">
        <v>20</v>
      </c>
      <c r="C185" s="15"/>
      <c r="D185" s="33">
        <f t="shared" si="2"/>
        <v>0</v>
      </c>
    </row>
    <row r="186" spans="1:4" ht="15.5" x14ac:dyDescent="0.35">
      <c r="A186" s="96" t="s">
        <v>71</v>
      </c>
      <c r="B186" s="39">
        <v>20</v>
      </c>
      <c r="C186" s="15"/>
      <c r="D186" s="33">
        <f t="shared" si="2"/>
        <v>0</v>
      </c>
    </row>
    <row r="187" spans="1:4" s="48" customFormat="1" ht="15.5" x14ac:dyDescent="0.35">
      <c r="A187" s="97" t="s">
        <v>72</v>
      </c>
      <c r="B187" s="51">
        <v>20</v>
      </c>
      <c r="C187" s="156"/>
      <c r="D187" s="155">
        <f t="shared" si="2"/>
        <v>0</v>
      </c>
    </row>
    <row r="188" spans="1:4" ht="15.5" x14ac:dyDescent="0.35">
      <c r="A188" s="96" t="s">
        <v>73</v>
      </c>
      <c r="B188" s="39">
        <v>20</v>
      </c>
      <c r="C188" s="15"/>
      <c r="D188" s="33">
        <f t="shared" si="2"/>
        <v>0</v>
      </c>
    </row>
    <row r="189" spans="1:4" ht="15.5" x14ac:dyDescent="0.35">
      <c r="A189" s="96" t="s">
        <v>74</v>
      </c>
      <c r="B189" s="39">
        <v>20</v>
      </c>
      <c r="C189" s="15"/>
      <c r="D189" s="33">
        <f t="shared" si="2"/>
        <v>0</v>
      </c>
    </row>
    <row r="190" spans="1:4" ht="15.5" x14ac:dyDescent="0.35">
      <c r="A190" s="96" t="s">
        <v>75</v>
      </c>
      <c r="B190" s="39">
        <v>20</v>
      </c>
      <c r="C190" s="15"/>
      <c r="D190" s="33">
        <f t="shared" si="2"/>
        <v>0</v>
      </c>
    </row>
    <row r="191" spans="1:4" ht="15.5" x14ac:dyDescent="0.35">
      <c r="A191" s="96" t="s">
        <v>64</v>
      </c>
      <c r="B191" s="39">
        <v>100</v>
      </c>
      <c r="C191" s="15"/>
      <c r="D191" s="33">
        <f t="shared" si="2"/>
        <v>0</v>
      </c>
    </row>
    <row r="192" spans="1:4" ht="15.5" x14ac:dyDescent="0.35">
      <c r="A192" s="45" t="s">
        <v>367</v>
      </c>
      <c r="B192" s="39">
        <v>10</v>
      </c>
      <c r="C192" s="15"/>
      <c r="D192" s="33">
        <f t="shared" si="2"/>
        <v>0</v>
      </c>
    </row>
    <row r="193" spans="1:4" ht="15.5" x14ac:dyDescent="0.35">
      <c r="A193" s="96" t="s">
        <v>76</v>
      </c>
      <c r="B193" s="39">
        <v>7</v>
      </c>
      <c r="C193" s="15"/>
      <c r="D193" s="33">
        <f t="shared" si="2"/>
        <v>0</v>
      </c>
    </row>
    <row r="194" spans="1:4" ht="15.5" x14ac:dyDescent="0.35">
      <c r="A194" s="96" t="s">
        <v>366</v>
      </c>
      <c r="B194" s="39">
        <v>8</v>
      </c>
      <c r="C194" s="15"/>
      <c r="D194" s="33">
        <f t="shared" si="2"/>
        <v>0</v>
      </c>
    </row>
    <row r="195" spans="1:4" ht="15.5" x14ac:dyDescent="0.35">
      <c r="A195" s="96" t="s">
        <v>180</v>
      </c>
      <c r="B195" s="39">
        <v>3</v>
      </c>
      <c r="C195" s="15"/>
      <c r="D195" s="33">
        <f t="shared" si="2"/>
        <v>0</v>
      </c>
    </row>
    <row r="196" spans="1:4" ht="15.5" x14ac:dyDescent="0.35">
      <c r="A196" s="96" t="s">
        <v>9</v>
      </c>
      <c r="B196" s="39">
        <v>80</v>
      </c>
      <c r="C196" s="15"/>
      <c r="D196" s="33">
        <f t="shared" si="2"/>
        <v>0</v>
      </c>
    </row>
    <row r="197" spans="1:4" ht="15.5" x14ac:dyDescent="0.35">
      <c r="A197" s="96" t="s">
        <v>10</v>
      </c>
      <c r="B197" s="39">
        <v>80</v>
      </c>
      <c r="C197" s="15"/>
      <c r="D197" s="33">
        <f t="shared" si="2"/>
        <v>0</v>
      </c>
    </row>
    <row r="198" spans="1:4" ht="15.5" x14ac:dyDescent="0.35">
      <c r="A198" s="96" t="s">
        <v>70</v>
      </c>
      <c r="B198" s="39">
        <v>20</v>
      </c>
      <c r="C198" s="15"/>
      <c r="D198" s="33">
        <f t="shared" si="2"/>
        <v>0</v>
      </c>
    </row>
    <row r="199" spans="1:4" ht="15.5" x14ac:dyDescent="0.35">
      <c r="A199" s="96" t="s">
        <v>71</v>
      </c>
      <c r="B199" s="39">
        <v>20</v>
      </c>
      <c r="C199" s="15"/>
      <c r="D199" s="33">
        <f t="shared" si="2"/>
        <v>0</v>
      </c>
    </row>
    <row r="200" spans="1:4" ht="15.5" x14ac:dyDescent="0.35">
      <c r="A200" s="96" t="s">
        <v>72</v>
      </c>
      <c r="B200" s="39">
        <v>20</v>
      </c>
      <c r="C200" s="15"/>
      <c r="D200" s="33">
        <f t="shared" si="2"/>
        <v>0</v>
      </c>
    </row>
    <row r="201" spans="1:4" ht="15.5" x14ac:dyDescent="0.35">
      <c r="A201" s="96" t="s">
        <v>73</v>
      </c>
      <c r="B201" s="39">
        <v>20</v>
      </c>
      <c r="C201" s="15"/>
      <c r="D201" s="33">
        <f t="shared" si="2"/>
        <v>0</v>
      </c>
    </row>
    <row r="202" spans="1:4" ht="15.5" x14ac:dyDescent="0.35">
      <c r="A202" s="96" t="s">
        <v>74</v>
      </c>
      <c r="B202" s="39">
        <v>20</v>
      </c>
      <c r="C202" s="15"/>
      <c r="D202" s="33">
        <f t="shared" si="2"/>
        <v>0</v>
      </c>
    </row>
    <row r="203" spans="1:4" ht="15.5" x14ac:dyDescent="0.35">
      <c r="A203" s="96" t="s">
        <v>75</v>
      </c>
      <c r="B203" s="39">
        <v>20</v>
      </c>
      <c r="C203" s="15"/>
      <c r="D203" s="33">
        <f t="shared" ref="D203:D268" si="3">SUM(B203*C203)</f>
        <v>0</v>
      </c>
    </row>
    <row r="204" spans="1:4" ht="15.5" x14ac:dyDescent="0.35">
      <c r="A204" s="96" t="s">
        <v>64</v>
      </c>
      <c r="B204" s="39">
        <v>100</v>
      </c>
      <c r="C204" s="15"/>
      <c r="D204" s="33">
        <f t="shared" si="3"/>
        <v>0</v>
      </c>
    </row>
    <row r="205" spans="1:4" ht="15.5" x14ac:dyDescent="0.35">
      <c r="A205" s="96" t="s">
        <v>228</v>
      </c>
      <c r="B205" s="39">
        <v>500</v>
      </c>
      <c r="C205" s="15"/>
      <c r="D205" s="33">
        <f t="shared" si="3"/>
        <v>0</v>
      </c>
    </row>
    <row r="206" spans="1:4" ht="15.5" x14ac:dyDescent="0.35">
      <c r="A206" s="96" t="s">
        <v>77</v>
      </c>
      <c r="B206" s="39">
        <v>35</v>
      </c>
      <c r="C206" s="15"/>
      <c r="D206" s="33">
        <f t="shared" si="3"/>
        <v>0</v>
      </c>
    </row>
    <row r="207" spans="1:4" ht="15.5" x14ac:dyDescent="0.35">
      <c r="A207" s="45" t="s">
        <v>394</v>
      </c>
      <c r="B207" s="39">
        <v>10</v>
      </c>
      <c r="C207" s="15"/>
      <c r="D207" s="33">
        <f t="shared" si="3"/>
        <v>0</v>
      </c>
    </row>
    <row r="208" spans="1:4" ht="15.5" x14ac:dyDescent="0.35">
      <c r="A208" s="96" t="s">
        <v>179</v>
      </c>
      <c r="B208" s="39">
        <v>7</v>
      </c>
      <c r="C208" s="15"/>
      <c r="D208" s="33">
        <f t="shared" si="3"/>
        <v>0</v>
      </c>
    </row>
    <row r="209" spans="1:4" ht="15.5" x14ac:dyDescent="0.35">
      <c r="A209" s="96" t="s">
        <v>13</v>
      </c>
      <c r="B209" s="39">
        <v>8</v>
      </c>
      <c r="C209" s="15"/>
      <c r="D209" s="33">
        <f t="shared" si="3"/>
        <v>0</v>
      </c>
    </row>
    <row r="210" spans="1:4" ht="15.5" x14ac:dyDescent="0.35">
      <c r="A210" s="96" t="s">
        <v>12</v>
      </c>
      <c r="B210" s="39">
        <v>3</v>
      </c>
      <c r="C210" s="15"/>
      <c r="D210" s="33">
        <f t="shared" si="3"/>
        <v>0</v>
      </c>
    </row>
    <row r="211" spans="1:4" ht="15.5" x14ac:dyDescent="0.35">
      <c r="A211" s="96" t="s">
        <v>9</v>
      </c>
      <c r="B211" s="39">
        <v>80</v>
      </c>
      <c r="C211" s="15"/>
      <c r="D211" s="33">
        <f t="shared" si="3"/>
        <v>0</v>
      </c>
    </row>
    <row r="212" spans="1:4" ht="15.5" x14ac:dyDescent="0.35">
      <c r="A212" s="96" t="s">
        <v>10</v>
      </c>
      <c r="B212" s="39">
        <v>80</v>
      </c>
      <c r="C212" s="15"/>
      <c r="D212" s="33">
        <f t="shared" si="3"/>
        <v>0</v>
      </c>
    </row>
    <row r="213" spans="1:4" ht="15.5" x14ac:dyDescent="0.35">
      <c r="A213" s="96" t="s">
        <v>70</v>
      </c>
      <c r="B213" s="39">
        <v>20</v>
      </c>
      <c r="C213" s="15"/>
      <c r="D213" s="33">
        <f t="shared" si="3"/>
        <v>0</v>
      </c>
    </row>
    <row r="214" spans="1:4" ht="15.5" x14ac:dyDescent="0.35">
      <c r="A214" s="96" t="s">
        <v>71</v>
      </c>
      <c r="B214" s="39">
        <v>20</v>
      </c>
      <c r="C214" s="15"/>
      <c r="D214" s="33">
        <f t="shared" si="3"/>
        <v>0</v>
      </c>
    </row>
    <row r="215" spans="1:4" ht="15.5" x14ac:dyDescent="0.35">
      <c r="A215" s="96" t="s">
        <v>72</v>
      </c>
      <c r="B215" s="39">
        <v>20</v>
      </c>
      <c r="C215" s="15"/>
      <c r="D215" s="33">
        <f t="shared" si="3"/>
        <v>0</v>
      </c>
    </row>
    <row r="216" spans="1:4" ht="15.5" x14ac:dyDescent="0.35">
      <c r="A216" s="96" t="s">
        <v>73</v>
      </c>
      <c r="B216" s="39">
        <v>20</v>
      </c>
      <c r="C216" s="15"/>
      <c r="D216" s="33">
        <f t="shared" si="3"/>
        <v>0</v>
      </c>
    </row>
    <row r="217" spans="1:4" ht="15.5" x14ac:dyDescent="0.35">
      <c r="A217" s="96" t="s">
        <v>74</v>
      </c>
      <c r="B217" s="39">
        <v>20</v>
      </c>
      <c r="C217" s="15"/>
      <c r="D217" s="33">
        <f t="shared" si="3"/>
        <v>0</v>
      </c>
    </row>
    <row r="218" spans="1:4" ht="15.5" x14ac:dyDescent="0.35">
      <c r="A218" s="96" t="s">
        <v>75</v>
      </c>
      <c r="B218" s="39">
        <v>20</v>
      </c>
      <c r="C218" s="15"/>
      <c r="D218" s="33">
        <f t="shared" si="3"/>
        <v>0</v>
      </c>
    </row>
    <row r="219" spans="1:4" ht="15.5" x14ac:dyDescent="0.35">
      <c r="A219" s="96" t="s">
        <v>78</v>
      </c>
      <c r="B219" s="39">
        <v>2</v>
      </c>
      <c r="C219" s="15"/>
      <c r="D219" s="33">
        <f t="shared" si="3"/>
        <v>0</v>
      </c>
    </row>
    <row r="220" spans="1:4" ht="15.5" x14ac:dyDescent="0.35">
      <c r="A220" s="96" t="s">
        <v>79</v>
      </c>
      <c r="B220" s="39">
        <v>2</v>
      </c>
      <c r="C220" s="15"/>
      <c r="D220" s="33">
        <f t="shared" si="3"/>
        <v>0</v>
      </c>
    </row>
    <row r="221" spans="1:4" ht="15.5" x14ac:dyDescent="0.35">
      <c r="A221" s="96" t="s">
        <v>205</v>
      </c>
      <c r="B221" s="39">
        <v>120</v>
      </c>
      <c r="C221" s="15"/>
      <c r="D221" s="33">
        <f t="shared" si="3"/>
        <v>0</v>
      </c>
    </row>
    <row r="222" spans="1:4" ht="15.5" x14ac:dyDescent="0.35">
      <c r="A222" s="96" t="s">
        <v>206</v>
      </c>
      <c r="B222" s="39">
        <v>160</v>
      </c>
      <c r="C222" s="15"/>
      <c r="D222" s="33">
        <f t="shared" si="3"/>
        <v>0</v>
      </c>
    </row>
    <row r="223" spans="1:4" ht="15.5" x14ac:dyDescent="0.35">
      <c r="A223" s="96" t="s">
        <v>207</v>
      </c>
      <c r="B223" s="39">
        <v>160</v>
      </c>
      <c r="C223" s="15"/>
      <c r="D223" s="33">
        <f t="shared" si="3"/>
        <v>0</v>
      </c>
    </row>
    <row r="224" spans="1:4" ht="15.5" x14ac:dyDescent="0.35">
      <c r="A224" s="96" t="s">
        <v>64</v>
      </c>
      <c r="B224" s="39">
        <v>100</v>
      </c>
      <c r="C224" s="15"/>
      <c r="D224" s="33">
        <f t="shared" si="3"/>
        <v>0</v>
      </c>
    </row>
    <row r="225" spans="1:4" ht="15.5" x14ac:dyDescent="0.35">
      <c r="A225" s="45" t="s">
        <v>395</v>
      </c>
      <c r="B225" s="39">
        <v>10</v>
      </c>
      <c r="C225" s="15"/>
      <c r="D225" s="33">
        <f t="shared" si="3"/>
        <v>0</v>
      </c>
    </row>
    <row r="226" spans="1:4" ht="15.5" x14ac:dyDescent="0.35">
      <c r="A226" s="96" t="s">
        <v>76</v>
      </c>
      <c r="B226" s="39">
        <v>7</v>
      </c>
      <c r="C226" s="15"/>
      <c r="D226" s="33">
        <f t="shared" si="3"/>
        <v>0</v>
      </c>
    </row>
    <row r="227" spans="1:4" ht="15.5" x14ac:dyDescent="0.35">
      <c r="A227" s="96" t="s">
        <v>13</v>
      </c>
      <c r="B227" s="39">
        <v>8</v>
      </c>
      <c r="C227" s="15"/>
      <c r="D227" s="33">
        <f t="shared" si="3"/>
        <v>0</v>
      </c>
    </row>
    <row r="228" spans="1:4" ht="15.5" x14ac:dyDescent="0.35">
      <c r="A228" s="96" t="s">
        <v>12</v>
      </c>
      <c r="B228" s="39">
        <v>3</v>
      </c>
      <c r="C228" s="15"/>
      <c r="D228" s="33">
        <f t="shared" si="3"/>
        <v>0</v>
      </c>
    </row>
    <row r="229" spans="1:4" ht="15.5" x14ac:dyDescent="0.35">
      <c r="A229" s="96" t="s">
        <v>9</v>
      </c>
      <c r="B229" s="39">
        <v>80</v>
      </c>
      <c r="C229" s="15"/>
      <c r="D229" s="33">
        <f t="shared" si="3"/>
        <v>0</v>
      </c>
    </row>
    <row r="230" spans="1:4" ht="15.5" x14ac:dyDescent="0.35">
      <c r="A230" s="96" t="s">
        <v>10</v>
      </c>
      <c r="B230" s="39">
        <v>80</v>
      </c>
      <c r="C230" s="15"/>
      <c r="D230" s="33">
        <f t="shared" si="3"/>
        <v>0</v>
      </c>
    </row>
    <row r="231" spans="1:4" ht="15.5" x14ac:dyDescent="0.35">
      <c r="A231" s="96" t="s">
        <v>70</v>
      </c>
      <c r="B231" s="39">
        <v>20</v>
      </c>
      <c r="C231" s="15"/>
      <c r="D231" s="33">
        <f t="shared" si="3"/>
        <v>0</v>
      </c>
    </row>
    <row r="232" spans="1:4" ht="15.5" x14ac:dyDescent="0.35">
      <c r="A232" s="96" t="s">
        <v>71</v>
      </c>
      <c r="B232" s="39">
        <v>20</v>
      </c>
      <c r="C232" s="15"/>
      <c r="D232" s="33">
        <f t="shared" si="3"/>
        <v>0</v>
      </c>
    </row>
    <row r="233" spans="1:4" ht="15.5" x14ac:dyDescent="0.35">
      <c r="A233" s="96" t="s">
        <v>72</v>
      </c>
      <c r="B233" s="39">
        <v>20</v>
      </c>
      <c r="C233" s="15"/>
      <c r="D233" s="33">
        <f t="shared" si="3"/>
        <v>0</v>
      </c>
    </row>
    <row r="234" spans="1:4" ht="15.5" x14ac:dyDescent="0.35">
      <c r="A234" s="96" t="s">
        <v>73</v>
      </c>
      <c r="B234" s="39">
        <v>20</v>
      </c>
      <c r="C234" s="154"/>
      <c r="D234" s="155"/>
    </row>
    <row r="235" spans="1:4" s="48" customFormat="1" ht="15.5" x14ac:dyDescent="0.35">
      <c r="A235" s="96" t="s">
        <v>74</v>
      </c>
      <c r="B235" s="49">
        <v>20</v>
      </c>
      <c r="C235" s="46"/>
      <c r="D235" s="47">
        <f t="shared" si="3"/>
        <v>0</v>
      </c>
    </row>
    <row r="236" spans="1:4" ht="15.5" x14ac:dyDescent="0.35">
      <c r="A236" s="96" t="s">
        <v>75</v>
      </c>
      <c r="B236" s="39">
        <v>20</v>
      </c>
      <c r="C236" s="15"/>
      <c r="D236" s="33">
        <f t="shared" si="3"/>
        <v>0</v>
      </c>
    </row>
    <row r="237" spans="1:4" ht="15.5" x14ac:dyDescent="0.35">
      <c r="A237" s="96" t="s">
        <v>78</v>
      </c>
      <c r="B237" s="39">
        <v>2</v>
      </c>
      <c r="C237" s="15"/>
      <c r="D237" s="33">
        <f t="shared" si="3"/>
        <v>0</v>
      </c>
    </row>
    <row r="238" spans="1:4" ht="15.5" x14ac:dyDescent="0.35">
      <c r="A238" s="96" t="s">
        <v>79</v>
      </c>
      <c r="B238" s="39">
        <v>2</v>
      </c>
      <c r="C238" s="15"/>
      <c r="D238" s="33">
        <f t="shared" si="3"/>
        <v>0</v>
      </c>
    </row>
    <row r="239" spans="1:4" ht="15.5" x14ac:dyDescent="0.35">
      <c r="A239" s="96" t="s">
        <v>14</v>
      </c>
      <c r="B239" s="39">
        <v>120</v>
      </c>
      <c r="C239" s="15"/>
      <c r="D239" s="33">
        <f t="shared" si="3"/>
        <v>0</v>
      </c>
    </row>
    <row r="240" spans="1:4" ht="15.5" x14ac:dyDescent="0.35">
      <c r="A240" s="96" t="s">
        <v>15</v>
      </c>
      <c r="B240" s="39">
        <v>160</v>
      </c>
      <c r="C240" s="15"/>
      <c r="D240" s="33">
        <f t="shared" si="3"/>
        <v>0</v>
      </c>
    </row>
    <row r="241" spans="1:4" ht="15.5" x14ac:dyDescent="0.35">
      <c r="A241" s="96" t="s">
        <v>16</v>
      </c>
      <c r="B241" s="39">
        <v>160</v>
      </c>
      <c r="C241" s="15"/>
      <c r="D241" s="33">
        <f t="shared" si="3"/>
        <v>0</v>
      </c>
    </row>
    <row r="242" spans="1:4" ht="15.5" x14ac:dyDescent="0.35">
      <c r="A242" s="96" t="s">
        <v>64</v>
      </c>
      <c r="B242" s="39">
        <v>100</v>
      </c>
      <c r="C242" s="15"/>
      <c r="D242" s="33">
        <f t="shared" si="3"/>
        <v>0</v>
      </c>
    </row>
    <row r="243" spans="1:4" ht="15.5" x14ac:dyDescent="0.35">
      <c r="A243" s="45" t="s">
        <v>396</v>
      </c>
      <c r="B243" s="39">
        <v>10</v>
      </c>
      <c r="C243" s="15"/>
      <c r="D243" s="33">
        <f t="shared" si="3"/>
        <v>0</v>
      </c>
    </row>
    <row r="244" spans="1:4" ht="15.5" x14ac:dyDescent="0.35">
      <c r="A244" s="96" t="s">
        <v>179</v>
      </c>
      <c r="B244" s="39">
        <v>7</v>
      </c>
      <c r="C244" s="15"/>
      <c r="D244" s="33">
        <f t="shared" si="3"/>
        <v>0</v>
      </c>
    </row>
    <row r="245" spans="1:4" ht="15.5" x14ac:dyDescent="0.35">
      <c r="A245" s="96" t="s">
        <v>13</v>
      </c>
      <c r="B245" s="39">
        <v>8</v>
      </c>
      <c r="C245" s="15"/>
      <c r="D245" s="33">
        <f t="shared" si="3"/>
        <v>0</v>
      </c>
    </row>
    <row r="246" spans="1:4" ht="15.5" x14ac:dyDescent="0.35">
      <c r="A246" s="96" t="s">
        <v>12</v>
      </c>
      <c r="B246" s="39">
        <v>3</v>
      </c>
      <c r="C246" s="15"/>
      <c r="D246" s="33">
        <f t="shared" si="3"/>
        <v>0</v>
      </c>
    </row>
    <row r="247" spans="1:4" ht="15.5" x14ac:dyDescent="0.35">
      <c r="A247" s="96" t="s">
        <v>9</v>
      </c>
      <c r="B247" s="39">
        <v>80</v>
      </c>
      <c r="C247" s="15"/>
      <c r="D247" s="33">
        <f t="shared" si="3"/>
        <v>0</v>
      </c>
    </row>
    <row r="248" spans="1:4" ht="15.5" x14ac:dyDescent="0.35">
      <c r="A248" s="96" t="s">
        <v>10</v>
      </c>
      <c r="B248" s="39">
        <v>80</v>
      </c>
      <c r="C248" s="15"/>
      <c r="D248" s="33">
        <f t="shared" si="3"/>
        <v>0</v>
      </c>
    </row>
    <row r="249" spans="1:4" ht="15.5" x14ac:dyDescent="0.35">
      <c r="A249" s="96" t="s">
        <v>70</v>
      </c>
      <c r="B249" s="39">
        <v>20</v>
      </c>
      <c r="C249" s="15"/>
      <c r="D249" s="33">
        <f t="shared" si="3"/>
        <v>0</v>
      </c>
    </row>
    <row r="250" spans="1:4" ht="15.5" x14ac:dyDescent="0.35">
      <c r="A250" s="96" t="s">
        <v>71</v>
      </c>
      <c r="B250" s="39">
        <v>20</v>
      </c>
      <c r="C250" s="15"/>
      <c r="D250" s="33">
        <f t="shared" si="3"/>
        <v>0</v>
      </c>
    </row>
    <row r="251" spans="1:4" ht="15.5" x14ac:dyDescent="0.35">
      <c r="A251" s="96" t="s">
        <v>72</v>
      </c>
      <c r="B251" s="39">
        <v>20</v>
      </c>
      <c r="C251" s="15"/>
      <c r="D251" s="33">
        <f t="shared" si="3"/>
        <v>0</v>
      </c>
    </row>
    <row r="252" spans="1:4" ht="15.5" x14ac:dyDescent="0.35">
      <c r="A252" s="96" t="s">
        <v>73</v>
      </c>
      <c r="B252" s="39">
        <v>20</v>
      </c>
      <c r="C252" s="15"/>
      <c r="D252" s="33">
        <f t="shared" si="3"/>
        <v>0</v>
      </c>
    </row>
    <row r="253" spans="1:4" ht="15.5" x14ac:dyDescent="0.35">
      <c r="A253" s="96" t="s">
        <v>74</v>
      </c>
      <c r="B253" s="39">
        <v>20</v>
      </c>
      <c r="C253" s="15"/>
      <c r="D253" s="33">
        <f t="shared" si="3"/>
        <v>0</v>
      </c>
    </row>
    <row r="254" spans="1:4" ht="15.5" x14ac:dyDescent="0.35">
      <c r="A254" s="96" t="s">
        <v>75</v>
      </c>
      <c r="B254" s="39">
        <v>20</v>
      </c>
      <c r="C254" s="15"/>
      <c r="D254" s="33">
        <f t="shared" si="3"/>
        <v>0</v>
      </c>
    </row>
    <row r="255" spans="1:4" ht="15.5" x14ac:dyDescent="0.35">
      <c r="A255" s="96" t="s">
        <v>78</v>
      </c>
      <c r="B255" s="39">
        <v>2</v>
      </c>
      <c r="C255" s="15"/>
      <c r="D255" s="33">
        <f t="shared" si="3"/>
        <v>0</v>
      </c>
    </row>
    <row r="256" spans="1:4" ht="15.5" x14ac:dyDescent="0.35">
      <c r="A256" s="96" t="s">
        <v>79</v>
      </c>
      <c r="B256" s="39">
        <v>2</v>
      </c>
      <c r="C256" s="15"/>
      <c r="D256" s="33">
        <f t="shared" si="3"/>
        <v>0</v>
      </c>
    </row>
    <row r="257" spans="1:4" ht="15.5" x14ac:dyDescent="0.35">
      <c r="A257" s="96" t="s">
        <v>14</v>
      </c>
      <c r="B257" s="39">
        <v>120</v>
      </c>
      <c r="C257" s="15"/>
      <c r="D257" s="33">
        <f t="shared" si="3"/>
        <v>0</v>
      </c>
    </row>
    <row r="258" spans="1:4" ht="15.5" x14ac:dyDescent="0.35">
      <c r="A258" s="96" t="s">
        <v>15</v>
      </c>
      <c r="B258" s="39">
        <v>160</v>
      </c>
      <c r="C258" s="15"/>
      <c r="D258" s="33">
        <f t="shared" si="3"/>
        <v>0</v>
      </c>
    </row>
    <row r="259" spans="1:4" ht="15.5" x14ac:dyDescent="0.35">
      <c r="A259" s="96" t="s">
        <v>16</v>
      </c>
      <c r="B259" s="39">
        <v>160</v>
      </c>
      <c r="C259" s="15"/>
      <c r="D259" s="33">
        <f t="shared" si="3"/>
        <v>0</v>
      </c>
    </row>
    <row r="260" spans="1:4" ht="15.5" x14ac:dyDescent="0.35">
      <c r="A260" s="96" t="s">
        <v>64</v>
      </c>
      <c r="B260" s="39">
        <v>100</v>
      </c>
      <c r="C260" s="15"/>
      <c r="D260" s="33">
        <f t="shared" si="3"/>
        <v>0</v>
      </c>
    </row>
    <row r="261" spans="1:4" ht="15.5" x14ac:dyDescent="0.35">
      <c r="A261" s="45" t="s">
        <v>397</v>
      </c>
      <c r="B261" s="39">
        <v>10</v>
      </c>
      <c r="C261" s="15"/>
      <c r="D261" s="33">
        <f t="shared" si="3"/>
        <v>0</v>
      </c>
    </row>
    <row r="262" spans="1:4" ht="15.5" x14ac:dyDescent="0.35">
      <c r="A262" s="96" t="s">
        <v>179</v>
      </c>
      <c r="B262" s="39">
        <v>7</v>
      </c>
      <c r="C262" s="15"/>
      <c r="D262" s="33">
        <f t="shared" si="3"/>
        <v>0</v>
      </c>
    </row>
    <row r="263" spans="1:4" ht="15.5" x14ac:dyDescent="0.35">
      <c r="A263" s="96" t="s">
        <v>13</v>
      </c>
      <c r="B263" s="39">
        <v>8</v>
      </c>
      <c r="C263" s="15"/>
      <c r="D263" s="33">
        <f t="shared" si="3"/>
        <v>0</v>
      </c>
    </row>
    <row r="264" spans="1:4" ht="15.5" x14ac:dyDescent="0.35">
      <c r="A264" s="96" t="s">
        <v>12</v>
      </c>
      <c r="B264" s="39">
        <v>3</v>
      </c>
      <c r="C264" s="15"/>
      <c r="D264" s="33">
        <f t="shared" si="3"/>
        <v>0</v>
      </c>
    </row>
    <row r="265" spans="1:4" ht="15.5" x14ac:dyDescent="0.35">
      <c r="A265" s="96" t="s">
        <v>9</v>
      </c>
      <c r="B265" s="39">
        <v>80</v>
      </c>
      <c r="C265" s="15"/>
      <c r="D265" s="33">
        <f t="shared" si="3"/>
        <v>0</v>
      </c>
    </row>
    <row r="266" spans="1:4" ht="15.5" x14ac:dyDescent="0.35">
      <c r="A266" s="96" t="s">
        <v>10</v>
      </c>
      <c r="B266" s="39">
        <v>80</v>
      </c>
      <c r="C266" s="15"/>
      <c r="D266" s="33">
        <f t="shared" si="3"/>
        <v>0</v>
      </c>
    </row>
    <row r="267" spans="1:4" ht="15.5" x14ac:dyDescent="0.35">
      <c r="A267" s="96" t="s">
        <v>70</v>
      </c>
      <c r="B267" s="39">
        <v>20</v>
      </c>
      <c r="C267" s="15"/>
      <c r="D267" s="33">
        <f t="shared" si="3"/>
        <v>0</v>
      </c>
    </row>
    <row r="268" spans="1:4" ht="15.5" x14ac:dyDescent="0.35">
      <c r="A268" s="96" t="s">
        <v>71</v>
      </c>
      <c r="B268" s="39">
        <v>20</v>
      </c>
      <c r="C268" s="15"/>
      <c r="D268" s="33">
        <f t="shared" si="3"/>
        <v>0</v>
      </c>
    </row>
    <row r="269" spans="1:4" ht="15.5" x14ac:dyDescent="0.35">
      <c r="A269" s="96" t="s">
        <v>72</v>
      </c>
      <c r="B269" s="39">
        <v>20</v>
      </c>
      <c r="C269" s="15"/>
      <c r="D269" s="33">
        <f t="shared" ref="D269:D332" si="4">SUM(B269*C269)</f>
        <v>0</v>
      </c>
    </row>
    <row r="270" spans="1:4" ht="15.5" x14ac:dyDescent="0.35">
      <c r="A270" s="96" t="s">
        <v>73</v>
      </c>
      <c r="B270" s="39">
        <v>20</v>
      </c>
      <c r="C270" s="15"/>
      <c r="D270" s="33">
        <f t="shared" si="4"/>
        <v>0</v>
      </c>
    </row>
    <row r="271" spans="1:4" ht="15.5" x14ac:dyDescent="0.35">
      <c r="A271" s="96" t="s">
        <v>74</v>
      </c>
      <c r="B271" s="39">
        <v>20</v>
      </c>
      <c r="C271" s="15"/>
      <c r="D271" s="33">
        <f t="shared" si="4"/>
        <v>0</v>
      </c>
    </row>
    <row r="272" spans="1:4" ht="15.5" x14ac:dyDescent="0.35">
      <c r="A272" s="96" t="s">
        <v>80</v>
      </c>
      <c r="B272" s="39">
        <v>20</v>
      </c>
      <c r="C272" s="15"/>
      <c r="D272" s="33">
        <f t="shared" si="4"/>
        <v>0</v>
      </c>
    </row>
    <row r="273" spans="1:4" ht="15.5" x14ac:dyDescent="0.35">
      <c r="A273" s="96" t="s">
        <v>78</v>
      </c>
      <c r="B273" s="39">
        <v>2</v>
      </c>
      <c r="C273" s="15"/>
      <c r="D273" s="33">
        <f t="shared" si="4"/>
        <v>0</v>
      </c>
    </row>
    <row r="274" spans="1:4" ht="15.5" x14ac:dyDescent="0.35">
      <c r="A274" s="96" t="s">
        <v>79</v>
      </c>
      <c r="B274" s="39">
        <v>2</v>
      </c>
      <c r="C274" s="15"/>
      <c r="D274" s="33">
        <f t="shared" si="4"/>
        <v>0</v>
      </c>
    </row>
    <row r="275" spans="1:4" ht="15.5" x14ac:dyDescent="0.35">
      <c r="A275" s="96" t="s">
        <v>205</v>
      </c>
      <c r="B275" s="39">
        <v>120</v>
      </c>
      <c r="C275" s="15"/>
      <c r="D275" s="33">
        <f t="shared" si="4"/>
        <v>0</v>
      </c>
    </row>
    <row r="276" spans="1:4" ht="15.5" x14ac:dyDescent="0.35">
      <c r="A276" s="96" t="s">
        <v>208</v>
      </c>
      <c r="B276" s="39">
        <v>160</v>
      </c>
      <c r="C276" s="15"/>
      <c r="D276" s="33">
        <f t="shared" si="4"/>
        <v>0</v>
      </c>
    </row>
    <row r="277" spans="1:4" ht="15.5" x14ac:dyDescent="0.35">
      <c r="A277" s="96" t="s">
        <v>209</v>
      </c>
      <c r="B277" s="39">
        <v>160</v>
      </c>
      <c r="C277" s="15"/>
      <c r="D277" s="33">
        <f t="shared" si="4"/>
        <v>0</v>
      </c>
    </row>
    <row r="278" spans="1:4" ht="15.5" x14ac:dyDescent="0.35">
      <c r="A278" s="96" t="s">
        <v>64</v>
      </c>
      <c r="B278" s="39">
        <v>100</v>
      </c>
      <c r="C278" s="15"/>
      <c r="D278" s="33">
        <f t="shared" si="4"/>
        <v>0</v>
      </c>
    </row>
    <row r="279" spans="1:4" ht="15.5" x14ac:dyDescent="0.35">
      <c r="A279" s="45" t="s">
        <v>398</v>
      </c>
      <c r="B279" s="39">
        <v>10</v>
      </c>
      <c r="C279" s="15"/>
      <c r="D279" s="33">
        <f t="shared" si="4"/>
        <v>0</v>
      </c>
    </row>
    <row r="280" spans="1:4" ht="15.5" x14ac:dyDescent="0.35">
      <c r="A280" s="96" t="s">
        <v>76</v>
      </c>
      <c r="B280" s="39">
        <v>7</v>
      </c>
      <c r="C280" s="15"/>
      <c r="D280" s="33">
        <f t="shared" si="4"/>
        <v>0</v>
      </c>
    </row>
    <row r="281" spans="1:4" ht="15.5" x14ac:dyDescent="0.35">
      <c r="A281" s="96" t="s">
        <v>13</v>
      </c>
      <c r="B281" s="39">
        <v>8</v>
      </c>
      <c r="C281" s="15"/>
      <c r="D281" s="33">
        <f t="shared" si="4"/>
        <v>0</v>
      </c>
    </row>
    <row r="282" spans="1:4" ht="15.5" x14ac:dyDescent="0.35">
      <c r="A282" s="96" t="s">
        <v>12</v>
      </c>
      <c r="B282" s="39">
        <v>3</v>
      </c>
      <c r="C282" s="15"/>
      <c r="D282" s="33">
        <f t="shared" si="4"/>
        <v>0</v>
      </c>
    </row>
    <row r="283" spans="1:4" ht="15.5" x14ac:dyDescent="0.35">
      <c r="A283" s="96" t="s">
        <v>9</v>
      </c>
      <c r="B283" s="39">
        <v>80</v>
      </c>
      <c r="C283" s="15"/>
      <c r="D283" s="33">
        <f t="shared" si="4"/>
        <v>0</v>
      </c>
    </row>
    <row r="284" spans="1:4" ht="15.5" x14ac:dyDescent="0.35">
      <c r="A284" s="96" t="s">
        <v>10</v>
      </c>
      <c r="B284" s="39">
        <v>80</v>
      </c>
      <c r="C284" s="15"/>
      <c r="D284" s="33">
        <f t="shared" si="4"/>
        <v>0</v>
      </c>
    </row>
    <row r="285" spans="1:4" ht="15.5" x14ac:dyDescent="0.35">
      <c r="A285" s="96" t="s">
        <v>70</v>
      </c>
      <c r="B285" s="39">
        <v>20</v>
      </c>
      <c r="C285" s="15"/>
      <c r="D285" s="33">
        <f t="shared" si="4"/>
        <v>0</v>
      </c>
    </row>
    <row r="286" spans="1:4" ht="15.5" x14ac:dyDescent="0.35">
      <c r="A286" s="96" t="s">
        <v>81</v>
      </c>
      <c r="B286" s="39">
        <v>20</v>
      </c>
      <c r="C286" s="15"/>
      <c r="D286" s="33">
        <f t="shared" si="4"/>
        <v>0</v>
      </c>
    </row>
    <row r="287" spans="1:4" ht="15.5" x14ac:dyDescent="0.35">
      <c r="A287" s="96" t="s">
        <v>72</v>
      </c>
      <c r="B287" s="39">
        <v>20</v>
      </c>
      <c r="C287" s="15"/>
      <c r="D287" s="33">
        <f t="shared" si="4"/>
        <v>0</v>
      </c>
    </row>
    <row r="288" spans="1:4" ht="15.5" x14ac:dyDescent="0.35">
      <c r="A288" s="96" t="s">
        <v>73</v>
      </c>
      <c r="B288" s="39">
        <v>20</v>
      </c>
      <c r="C288" s="15"/>
      <c r="D288" s="33">
        <f t="shared" si="4"/>
        <v>0</v>
      </c>
    </row>
    <row r="289" spans="1:4" ht="15.5" x14ac:dyDescent="0.35">
      <c r="A289" s="96" t="s">
        <v>74</v>
      </c>
      <c r="B289" s="39">
        <v>20</v>
      </c>
      <c r="C289" s="15"/>
      <c r="D289" s="33">
        <f t="shared" si="4"/>
        <v>0</v>
      </c>
    </row>
    <row r="290" spans="1:4" ht="15.5" x14ac:dyDescent="0.35">
      <c r="A290" s="96" t="s">
        <v>75</v>
      </c>
      <c r="B290" s="39">
        <v>20</v>
      </c>
      <c r="C290" s="15"/>
      <c r="D290" s="33">
        <f t="shared" si="4"/>
        <v>0</v>
      </c>
    </row>
    <row r="291" spans="1:4" ht="15.5" x14ac:dyDescent="0.35">
      <c r="A291" s="96" t="s">
        <v>78</v>
      </c>
      <c r="B291" s="39">
        <v>2</v>
      </c>
      <c r="C291" s="15"/>
      <c r="D291" s="33">
        <f t="shared" si="4"/>
        <v>0</v>
      </c>
    </row>
    <row r="292" spans="1:4" ht="15.5" x14ac:dyDescent="0.35">
      <c r="A292" s="96" t="s">
        <v>79</v>
      </c>
      <c r="B292" s="39">
        <v>2</v>
      </c>
      <c r="C292" s="15"/>
      <c r="D292" s="33">
        <f t="shared" si="4"/>
        <v>0</v>
      </c>
    </row>
    <row r="293" spans="1:4" ht="15.5" x14ac:dyDescent="0.35">
      <c r="A293" s="96" t="s">
        <v>14</v>
      </c>
      <c r="B293" s="39">
        <v>120</v>
      </c>
      <c r="C293" s="15"/>
      <c r="D293" s="33">
        <f t="shared" si="4"/>
        <v>0</v>
      </c>
    </row>
    <row r="294" spans="1:4" ht="15.5" x14ac:dyDescent="0.35">
      <c r="A294" s="96" t="s">
        <v>15</v>
      </c>
      <c r="B294" s="39">
        <v>160</v>
      </c>
      <c r="C294" s="15"/>
      <c r="D294" s="33">
        <f t="shared" si="4"/>
        <v>0</v>
      </c>
    </row>
    <row r="295" spans="1:4" ht="15.5" x14ac:dyDescent="0.35">
      <c r="A295" s="96" t="s">
        <v>16</v>
      </c>
      <c r="B295" s="39">
        <v>160</v>
      </c>
      <c r="C295" s="15"/>
      <c r="D295" s="33">
        <f t="shared" si="4"/>
        <v>0</v>
      </c>
    </row>
    <row r="296" spans="1:4" ht="15.5" x14ac:dyDescent="0.35">
      <c r="A296" s="96" t="s">
        <v>64</v>
      </c>
      <c r="B296" s="39">
        <v>100</v>
      </c>
      <c r="C296" s="15"/>
      <c r="D296" s="33">
        <f t="shared" si="4"/>
        <v>0</v>
      </c>
    </row>
    <row r="297" spans="1:4" ht="15.5" x14ac:dyDescent="0.35">
      <c r="A297" s="45" t="s">
        <v>399</v>
      </c>
      <c r="B297" s="39">
        <v>10</v>
      </c>
      <c r="C297" s="15"/>
      <c r="D297" s="33">
        <f t="shared" si="4"/>
        <v>0</v>
      </c>
    </row>
    <row r="298" spans="1:4" ht="15.5" x14ac:dyDescent="0.35">
      <c r="A298" s="96" t="s">
        <v>76</v>
      </c>
      <c r="B298" s="39">
        <v>7</v>
      </c>
      <c r="C298" s="15"/>
      <c r="D298" s="33">
        <f t="shared" si="4"/>
        <v>0</v>
      </c>
    </row>
    <row r="299" spans="1:4" ht="15.5" x14ac:dyDescent="0.35">
      <c r="A299" s="96" t="s">
        <v>13</v>
      </c>
      <c r="B299" s="39">
        <v>8</v>
      </c>
      <c r="C299" s="15"/>
      <c r="D299" s="33">
        <f t="shared" si="4"/>
        <v>0</v>
      </c>
    </row>
    <row r="300" spans="1:4" ht="15.5" x14ac:dyDescent="0.35">
      <c r="A300" s="96" t="s">
        <v>12</v>
      </c>
      <c r="B300" s="39">
        <v>3</v>
      </c>
      <c r="C300" s="15"/>
      <c r="D300" s="33">
        <f t="shared" si="4"/>
        <v>0</v>
      </c>
    </row>
    <row r="301" spans="1:4" ht="15.5" x14ac:dyDescent="0.35">
      <c r="A301" s="96" t="s">
        <v>9</v>
      </c>
      <c r="B301" s="39">
        <v>80</v>
      </c>
      <c r="C301" s="15"/>
      <c r="D301" s="33">
        <f t="shared" si="4"/>
        <v>0</v>
      </c>
    </row>
    <row r="302" spans="1:4" ht="15.5" x14ac:dyDescent="0.35">
      <c r="A302" s="96" t="s">
        <v>10</v>
      </c>
      <c r="B302" s="39">
        <v>80</v>
      </c>
      <c r="C302" s="15"/>
      <c r="D302" s="33">
        <f t="shared" si="4"/>
        <v>0</v>
      </c>
    </row>
    <row r="303" spans="1:4" ht="15.5" x14ac:dyDescent="0.35">
      <c r="A303" s="96" t="s">
        <v>70</v>
      </c>
      <c r="B303" s="39">
        <v>20</v>
      </c>
      <c r="C303" s="15"/>
      <c r="D303" s="33">
        <f t="shared" si="4"/>
        <v>0</v>
      </c>
    </row>
    <row r="304" spans="1:4" ht="15.5" x14ac:dyDescent="0.35">
      <c r="A304" s="96" t="s">
        <v>71</v>
      </c>
      <c r="B304" s="39">
        <v>20</v>
      </c>
      <c r="C304" s="15"/>
      <c r="D304" s="33">
        <f t="shared" si="4"/>
        <v>0</v>
      </c>
    </row>
    <row r="305" spans="1:4" ht="15.5" x14ac:dyDescent="0.35">
      <c r="A305" s="96" t="s">
        <v>72</v>
      </c>
      <c r="B305" s="39">
        <v>20</v>
      </c>
      <c r="C305" s="15"/>
      <c r="D305" s="33">
        <f t="shared" si="4"/>
        <v>0</v>
      </c>
    </row>
    <row r="306" spans="1:4" ht="15.5" x14ac:dyDescent="0.35">
      <c r="A306" s="96" t="s">
        <v>73</v>
      </c>
      <c r="B306" s="39">
        <v>20</v>
      </c>
      <c r="C306" s="15"/>
      <c r="D306" s="33">
        <f t="shared" si="4"/>
        <v>0</v>
      </c>
    </row>
    <row r="307" spans="1:4" ht="15.5" x14ac:dyDescent="0.35">
      <c r="A307" s="96" t="s">
        <v>74</v>
      </c>
      <c r="B307" s="39">
        <v>20</v>
      </c>
      <c r="C307" s="15"/>
      <c r="D307" s="33">
        <f t="shared" si="4"/>
        <v>0</v>
      </c>
    </row>
    <row r="308" spans="1:4" ht="15.5" x14ac:dyDescent="0.35">
      <c r="A308" s="96" t="s">
        <v>75</v>
      </c>
      <c r="B308" s="39">
        <v>20</v>
      </c>
      <c r="C308" s="15"/>
      <c r="D308" s="33">
        <f t="shared" si="4"/>
        <v>0</v>
      </c>
    </row>
    <row r="309" spans="1:4" ht="15.5" x14ac:dyDescent="0.35">
      <c r="A309" s="96" t="s">
        <v>78</v>
      </c>
      <c r="B309" s="39">
        <v>2</v>
      </c>
      <c r="C309" s="15"/>
      <c r="D309" s="33">
        <f t="shared" si="4"/>
        <v>0</v>
      </c>
    </row>
    <row r="310" spans="1:4" ht="15.5" x14ac:dyDescent="0.35">
      <c r="A310" s="96" t="s">
        <v>79</v>
      </c>
      <c r="B310" s="39">
        <v>2</v>
      </c>
      <c r="C310" s="15"/>
      <c r="D310" s="33">
        <f t="shared" si="4"/>
        <v>0</v>
      </c>
    </row>
    <row r="311" spans="1:4" ht="15.5" x14ac:dyDescent="0.35">
      <c r="A311" s="96" t="s">
        <v>14</v>
      </c>
      <c r="B311" s="39">
        <v>120</v>
      </c>
      <c r="C311" s="15"/>
      <c r="D311" s="33">
        <f t="shared" si="4"/>
        <v>0</v>
      </c>
    </row>
    <row r="312" spans="1:4" ht="15.5" x14ac:dyDescent="0.35">
      <c r="A312" s="96" t="s">
        <v>15</v>
      </c>
      <c r="B312" s="39">
        <v>160</v>
      </c>
      <c r="C312" s="15"/>
      <c r="D312" s="33">
        <f t="shared" si="4"/>
        <v>0</v>
      </c>
    </row>
    <row r="313" spans="1:4" ht="15.5" x14ac:dyDescent="0.35">
      <c r="A313" s="96" t="s">
        <v>16</v>
      </c>
      <c r="B313" s="39">
        <v>160</v>
      </c>
      <c r="C313" s="15"/>
      <c r="D313" s="33">
        <f t="shared" si="4"/>
        <v>0</v>
      </c>
    </row>
    <row r="314" spans="1:4" ht="15.5" x14ac:dyDescent="0.35">
      <c r="A314" s="96" t="s">
        <v>64</v>
      </c>
      <c r="B314" s="39">
        <v>100</v>
      </c>
      <c r="C314" s="15"/>
      <c r="D314" s="33">
        <f t="shared" si="4"/>
        <v>0</v>
      </c>
    </row>
    <row r="315" spans="1:4" ht="15.5" x14ac:dyDescent="0.35">
      <c r="A315" s="96" t="s">
        <v>82</v>
      </c>
      <c r="B315" s="39">
        <v>500</v>
      </c>
      <c r="C315" s="15"/>
      <c r="D315" s="33">
        <f t="shared" si="4"/>
        <v>0</v>
      </c>
    </row>
    <row r="316" spans="1:4" ht="15.5" x14ac:dyDescent="0.35">
      <c r="A316" s="96" t="s">
        <v>83</v>
      </c>
      <c r="B316" s="39">
        <v>35</v>
      </c>
      <c r="C316" s="15"/>
      <c r="D316" s="33">
        <f t="shared" si="4"/>
        <v>0</v>
      </c>
    </row>
    <row r="317" spans="1:4" ht="15.5" x14ac:dyDescent="0.35">
      <c r="A317" s="45" t="s">
        <v>400</v>
      </c>
      <c r="B317" s="39">
        <v>10</v>
      </c>
      <c r="C317" s="15"/>
      <c r="D317" s="33">
        <f t="shared" si="4"/>
        <v>0</v>
      </c>
    </row>
    <row r="318" spans="1:4" ht="15.5" x14ac:dyDescent="0.35">
      <c r="A318" s="96" t="s">
        <v>76</v>
      </c>
      <c r="B318" s="39">
        <v>7</v>
      </c>
      <c r="C318" s="15"/>
      <c r="D318" s="33">
        <f t="shared" si="4"/>
        <v>0</v>
      </c>
    </row>
    <row r="319" spans="1:4" ht="15.5" x14ac:dyDescent="0.35">
      <c r="A319" s="96" t="s">
        <v>181</v>
      </c>
      <c r="B319" s="39">
        <v>8</v>
      </c>
      <c r="C319" s="15"/>
      <c r="D319" s="33">
        <f t="shared" si="4"/>
        <v>0</v>
      </c>
    </row>
    <row r="320" spans="1:4" ht="15.5" x14ac:dyDescent="0.35">
      <c r="A320" s="96" t="s">
        <v>12</v>
      </c>
      <c r="B320" s="39">
        <v>3</v>
      </c>
      <c r="C320" s="15"/>
      <c r="D320" s="33">
        <f t="shared" si="4"/>
        <v>0</v>
      </c>
    </row>
    <row r="321" spans="1:4" ht="15.5" x14ac:dyDescent="0.35">
      <c r="A321" s="96" t="s">
        <v>9</v>
      </c>
      <c r="B321" s="39">
        <v>80</v>
      </c>
      <c r="C321" s="15"/>
      <c r="D321" s="33">
        <f t="shared" si="4"/>
        <v>0</v>
      </c>
    </row>
    <row r="322" spans="1:4" ht="15.5" x14ac:dyDescent="0.35">
      <c r="A322" s="96" t="s">
        <v>10</v>
      </c>
      <c r="B322" s="39">
        <v>80</v>
      </c>
      <c r="C322" s="15"/>
      <c r="D322" s="33">
        <f t="shared" si="4"/>
        <v>0</v>
      </c>
    </row>
    <row r="323" spans="1:4" ht="15.5" x14ac:dyDescent="0.35">
      <c r="A323" s="96" t="s">
        <v>70</v>
      </c>
      <c r="B323" s="39">
        <v>20</v>
      </c>
      <c r="C323" s="15"/>
      <c r="D323" s="33">
        <f t="shared" si="4"/>
        <v>0</v>
      </c>
    </row>
    <row r="324" spans="1:4" ht="15.5" x14ac:dyDescent="0.35">
      <c r="A324" s="96" t="s">
        <v>71</v>
      </c>
      <c r="B324" s="39">
        <v>20</v>
      </c>
      <c r="C324" s="15"/>
      <c r="D324" s="33">
        <f t="shared" si="4"/>
        <v>0</v>
      </c>
    </row>
    <row r="325" spans="1:4" s="48" customFormat="1" ht="15.5" x14ac:dyDescent="0.35">
      <c r="A325" s="96" t="s">
        <v>72</v>
      </c>
      <c r="B325" s="49">
        <v>20</v>
      </c>
      <c r="C325" s="154"/>
      <c r="D325" s="155">
        <f t="shared" si="4"/>
        <v>0</v>
      </c>
    </row>
    <row r="326" spans="1:4" ht="15.5" x14ac:dyDescent="0.35">
      <c r="A326" s="96" t="s">
        <v>73</v>
      </c>
      <c r="B326" s="39">
        <v>20</v>
      </c>
      <c r="C326" s="15"/>
      <c r="D326" s="33">
        <f t="shared" si="4"/>
        <v>0</v>
      </c>
    </row>
    <row r="327" spans="1:4" ht="15.5" x14ac:dyDescent="0.35">
      <c r="A327" s="96" t="s">
        <v>74</v>
      </c>
      <c r="B327" s="39">
        <v>20</v>
      </c>
      <c r="C327" s="15"/>
      <c r="D327" s="33">
        <f t="shared" si="4"/>
        <v>0</v>
      </c>
    </row>
    <row r="328" spans="1:4" ht="15.5" x14ac:dyDescent="0.35">
      <c r="A328" s="96" t="s">
        <v>75</v>
      </c>
      <c r="B328" s="39">
        <v>20</v>
      </c>
      <c r="C328" s="15"/>
      <c r="D328" s="33">
        <f t="shared" si="4"/>
        <v>0</v>
      </c>
    </row>
    <row r="329" spans="1:4" ht="15.5" x14ac:dyDescent="0.35">
      <c r="A329" s="96" t="s">
        <v>78</v>
      </c>
      <c r="B329" s="39">
        <v>2</v>
      </c>
      <c r="C329" s="15"/>
      <c r="D329" s="33">
        <f t="shared" si="4"/>
        <v>0</v>
      </c>
    </row>
    <row r="330" spans="1:4" ht="15.5" x14ac:dyDescent="0.35">
      <c r="A330" s="96" t="s">
        <v>79</v>
      </c>
      <c r="B330" s="39">
        <v>2</v>
      </c>
      <c r="C330" s="15"/>
      <c r="D330" s="33">
        <f t="shared" si="4"/>
        <v>0</v>
      </c>
    </row>
    <row r="331" spans="1:4" ht="15.5" x14ac:dyDescent="0.35">
      <c r="A331" s="96" t="s">
        <v>17</v>
      </c>
      <c r="B331" s="39">
        <v>60</v>
      </c>
      <c r="C331" s="15"/>
      <c r="D331" s="33">
        <f t="shared" si="4"/>
        <v>0</v>
      </c>
    </row>
    <row r="332" spans="1:4" ht="15.5" x14ac:dyDescent="0.35">
      <c r="A332" s="96" t="s">
        <v>84</v>
      </c>
      <c r="B332" s="39">
        <v>80</v>
      </c>
      <c r="C332" s="15"/>
      <c r="D332" s="33">
        <f t="shared" si="4"/>
        <v>0</v>
      </c>
    </row>
    <row r="333" spans="1:4" ht="15.5" x14ac:dyDescent="0.35">
      <c r="A333" s="96" t="s">
        <v>85</v>
      </c>
      <c r="B333" s="39">
        <v>80</v>
      </c>
      <c r="C333" s="15"/>
      <c r="D333" s="33">
        <f t="shared" ref="D333:D396" si="5">SUM(B333*C333)</f>
        <v>0</v>
      </c>
    </row>
    <row r="334" spans="1:4" ht="15.5" x14ac:dyDescent="0.35">
      <c r="A334" s="96" t="s">
        <v>64</v>
      </c>
      <c r="B334" s="39">
        <v>100</v>
      </c>
      <c r="C334" s="15"/>
      <c r="D334" s="33">
        <f t="shared" si="5"/>
        <v>0</v>
      </c>
    </row>
    <row r="335" spans="1:4" ht="15.5" x14ac:dyDescent="0.35">
      <c r="A335" s="45" t="s">
        <v>401</v>
      </c>
      <c r="B335" s="39">
        <v>10</v>
      </c>
      <c r="C335" s="15"/>
      <c r="D335" s="33">
        <f t="shared" si="5"/>
        <v>0</v>
      </c>
    </row>
    <row r="336" spans="1:4" ht="15.5" x14ac:dyDescent="0.35">
      <c r="A336" s="96" t="s">
        <v>76</v>
      </c>
      <c r="B336" s="39">
        <v>7</v>
      </c>
      <c r="C336" s="15"/>
      <c r="D336" s="33">
        <f t="shared" si="5"/>
        <v>0</v>
      </c>
    </row>
    <row r="337" spans="1:4" ht="15.5" x14ac:dyDescent="0.35">
      <c r="A337" s="96" t="s">
        <v>13</v>
      </c>
      <c r="B337" s="39">
        <v>8</v>
      </c>
      <c r="C337" s="15"/>
      <c r="D337" s="33">
        <f t="shared" si="5"/>
        <v>0</v>
      </c>
    </row>
    <row r="338" spans="1:4" ht="15.5" x14ac:dyDescent="0.35">
      <c r="A338" s="96" t="s">
        <v>12</v>
      </c>
      <c r="B338" s="39">
        <v>3</v>
      </c>
      <c r="C338" s="15"/>
      <c r="D338" s="33">
        <f t="shared" si="5"/>
        <v>0</v>
      </c>
    </row>
    <row r="339" spans="1:4" ht="15.5" x14ac:dyDescent="0.35">
      <c r="A339" s="96" t="s">
        <v>9</v>
      </c>
      <c r="B339" s="39">
        <v>80</v>
      </c>
      <c r="C339" s="15"/>
      <c r="D339" s="33">
        <f t="shared" si="5"/>
        <v>0</v>
      </c>
    </row>
    <row r="340" spans="1:4" ht="15.5" x14ac:dyDescent="0.35">
      <c r="A340" s="96" t="s">
        <v>10</v>
      </c>
      <c r="B340" s="39">
        <v>80</v>
      </c>
      <c r="C340" s="15"/>
      <c r="D340" s="33">
        <f t="shared" si="5"/>
        <v>0</v>
      </c>
    </row>
    <row r="341" spans="1:4" ht="15.5" x14ac:dyDescent="0.35">
      <c r="A341" s="96" t="s">
        <v>70</v>
      </c>
      <c r="B341" s="39">
        <v>20</v>
      </c>
      <c r="C341" s="15"/>
      <c r="D341" s="33">
        <f t="shared" si="5"/>
        <v>0</v>
      </c>
    </row>
    <row r="342" spans="1:4" ht="15.5" x14ac:dyDescent="0.35">
      <c r="A342" s="96" t="s">
        <v>81</v>
      </c>
      <c r="B342" s="39">
        <v>20</v>
      </c>
      <c r="C342" s="15"/>
      <c r="D342" s="33">
        <f t="shared" si="5"/>
        <v>0</v>
      </c>
    </row>
    <row r="343" spans="1:4" ht="15.5" x14ac:dyDescent="0.35">
      <c r="A343" s="96" t="s">
        <v>72</v>
      </c>
      <c r="B343" s="39">
        <v>20</v>
      </c>
      <c r="C343" s="15"/>
      <c r="D343" s="33">
        <f t="shared" si="5"/>
        <v>0</v>
      </c>
    </row>
    <row r="344" spans="1:4" ht="15.5" x14ac:dyDescent="0.35">
      <c r="A344" s="96" t="s">
        <v>73</v>
      </c>
      <c r="B344" s="39">
        <v>20</v>
      </c>
      <c r="C344" s="15"/>
      <c r="D344" s="33">
        <f t="shared" si="5"/>
        <v>0</v>
      </c>
    </row>
    <row r="345" spans="1:4" ht="15.5" x14ac:dyDescent="0.35">
      <c r="A345" s="96" t="s">
        <v>74</v>
      </c>
      <c r="B345" s="39">
        <v>20</v>
      </c>
      <c r="C345" s="15"/>
      <c r="D345" s="33">
        <f t="shared" si="5"/>
        <v>0</v>
      </c>
    </row>
    <row r="346" spans="1:4" ht="15.5" x14ac:dyDescent="0.35">
      <c r="A346" s="96" t="s">
        <v>75</v>
      </c>
      <c r="B346" s="39">
        <v>20</v>
      </c>
      <c r="C346" s="15"/>
      <c r="D346" s="33">
        <f t="shared" si="5"/>
        <v>0</v>
      </c>
    </row>
    <row r="347" spans="1:4" ht="15.5" x14ac:dyDescent="0.35">
      <c r="A347" s="96" t="s">
        <v>78</v>
      </c>
      <c r="B347" s="39">
        <v>2</v>
      </c>
      <c r="C347" s="15"/>
      <c r="D347" s="33">
        <f t="shared" si="5"/>
        <v>0</v>
      </c>
    </row>
    <row r="348" spans="1:4" ht="15.5" x14ac:dyDescent="0.35">
      <c r="A348" s="96" t="s">
        <v>79</v>
      </c>
      <c r="B348" s="39">
        <v>2</v>
      </c>
      <c r="C348" s="15"/>
      <c r="D348" s="33">
        <f t="shared" si="5"/>
        <v>0</v>
      </c>
    </row>
    <row r="349" spans="1:4" ht="15.5" x14ac:dyDescent="0.35">
      <c r="A349" s="96" t="s">
        <v>17</v>
      </c>
      <c r="B349" s="39">
        <v>60</v>
      </c>
      <c r="C349" s="15"/>
      <c r="D349" s="33">
        <f t="shared" si="5"/>
        <v>0</v>
      </c>
    </row>
    <row r="350" spans="1:4" ht="15.5" x14ac:dyDescent="0.35">
      <c r="A350" s="96" t="s">
        <v>86</v>
      </c>
      <c r="B350" s="39">
        <v>80</v>
      </c>
      <c r="C350" s="15"/>
      <c r="D350" s="33">
        <f t="shared" si="5"/>
        <v>0</v>
      </c>
    </row>
    <row r="351" spans="1:4" ht="15.5" x14ac:dyDescent="0.35">
      <c r="A351" s="96" t="s">
        <v>85</v>
      </c>
      <c r="B351" s="39">
        <v>80</v>
      </c>
      <c r="C351" s="15"/>
      <c r="D351" s="33">
        <f t="shared" si="5"/>
        <v>0</v>
      </c>
    </row>
    <row r="352" spans="1:4" ht="15.5" x14ac:dyDescent="0.35">
      <c r="A352" s="96" t="s">
        <v>64</v>
      </c>
      <c r="B352" s="39">
        <v>100</v>
      </c>
      <c r="C352" s="15"/>
      <c r="D352" s="33">
        <f t="shared" si="5"/>
        <v>0</v>
      </c>
    </row>
    <row r="353" spans="1:4" ht="15.5" x14ac:dyDescent="0.35">
      <c r="A353" s="45" t="s">
        <v>402</v>
      </c>
      <c r="B353" s="39">
        <v>10</v>
      </c>
      <c r="C353" s="15"/>
      <c r="D353" s="33">
        <f t="shared" si="5"/>
        <v>0</v>
      </c>
    </row>
    <row r="354" spans="1:4" ht="15.5" x14ac:dyDescent="0.35">
      <c r="A354" s="96" t="s">
        <v>76</v>
      </c>
      <c r="B354" s="39">
        <v>7</v>
      </c>
      <c r="C354" s="15"/>
      <c r="D354" s="33">
        <f t="shared" si="5"/>
        <v>0</v>
      </c>
    </row>
    <row r="355" spans="1:4" ht="15.5" x14ac:dyDescent="0.35">
      <c r="A355" s="96" t="s">
        <v>13</v>
      </c>
      <c r="B355" s="39">
        <v>8</v>
      </c>
      <c r="C355" s="15"/>
      <c r="D355" s="33">
        <f t="shared" si="5"/>
        <v>0</v>
      </c>
    </row>
    <row r="356" spans="1:4" ht="15.5" x14ac:dyDescent="0.35">
      <c r="A356" s="96" t="s">
        <v>12</v>
      </c>
      <c r="B356" s="39">
        <v>3</v>
      </c>
      <c r="C356" s="15"/>
      <c r="D356" s="33">
        <f t="shared" si="5"/>
        <v>0</v>
      </c>
    </row>
    <row r="357" spans="1:4" ht="15.5" x14ac:dyDescent="0.35">
      <c r="A357" s="96" t="s">
        <v>9</v>
      </c>
      <c r="B357" s="39">
        <v>80</v>
      </c>
      <c r="C357" s="15"/>
      <c r="D357" s="33">
        <f t="shared" si="5"/>
        <v>0</v>
      </c>
    </row>
    <row r="358" spans="1:4" ht="15.5" x14ac:dyDescent="0.35">
      <c r="A358" s="96" t="s">
        <v>10</v>
      </c>
      <c r="B358" s="39">
        <v>80</v>
      </c>
      <c r="C358" s="15"/>
      <c r="D358" s="33">
        <f t="shared" si="5"/>
        <v>0</v>
      </c>
    </row>
    <row r="359" spans="1:4" ht="15.5" x14ac:dyDescent="0.35">
      <c r="A359" s="96" t="s">
        <v>70</v>
      </c>
      <c r="B359" s="39">
        <v>20</v>
      </c>
      <c r="C359" s="15"/>
      <c r="D359" s="33">
        <f t="shared" si="5"/>
        <v>0</v>
      </c>
    </row>
    <row r="360" spans="1:4" ht="15.5" x14ac:dyDescent="0.35">
      <c r="A360" s="96" t="s">
        <v>71</v>
      </c>
      <c r="B360" s="39">
        <v>20</v>
      </c>
      <c r="C360" s="15"/>
      <c r="D360" s="33">
        <f t="shared" si="5"/>
        <v>0</v>
      </c>
    </row>
    <row r="361" spans="1:4" ht="15.5" x14ac:dyDescent="0.35">
      <c r="A361" s="96" t="s">
        <v>72</v>
      </c>
      <c r="B361" s="39">
        <v>20</v>
      </c>
      <c r="C361" s="15"/>
      <c r="D361" s="33">
        <f t="shared" si="5"/>
        <v>0</v>
      </c>
    </row>
    <row r="362" spans="1:4" ht="15.5" x14ac:dyDescent="0.35">
      <c r="A362" s="96" t="s">
        <v>73</v>
      </c>
      <c r="B362" s="39">
        <v>20</v>
      </c>
      <c r="C362" s="15"/>
      <c r="D362" s="33">
        <f t="shared" si="5"/>
        <v>0</v>
      </c>
    </row>
    <row r="363" spans="1:4" ht="15.5" x14ac:dyDescent="0.35">
      <c r="A363" s="96" t="s">
        <v>74</v>
      </c>
      <c r="B363" s="39">
        <v>20</v>
      </c>
      <c r="C363" s="15"/>
      <c r="D363" s="33">
        <f t="shared" si="5"/>
        <v>0</v>
      </c>
    </row>
    <row r="364" spans="1:4" ht="15.5" x14ac:dyDescent="0.35">
      <c r="A364" s="96" t="s">
        <v>75</v>
      </c>
      <c r="B364" s="39">
        <v>20</v>
      </c>
      <c r="C364" s="15"/>
      <c r="D364" s="33">
        <f t="shared" si="5"/>
        <v>0</v>
      </c>
    </row>
    <row r="365" spans="1:4" ht="15.5" x14ac:dyDescent="0.35">
      <c r="A365" s="96" t="s">
        <v>78</v>
      </c>
      <c r="B365" s="39">
        <v>2</v>
      </c>
      <c r="C365" s="15"/>
      <c r="D365" s="33">
        <f t="shared" si="5"/>
        <v>0</v>
      </c>
    </row>
    <row r="366" spans="1:4" ht="15.5" x14ac:dyDescent="0.35">
      <c r="A366" s="96" t="s">
        <v>79</v>
      </c>
      <c r="B366" s="39">
        <v>2</v>
      </c>
      <c r="C366" s="15"/>
      <c r="D366" s="33">
        <f t="shared" si="5"/>
        <v>0</v>
      </c>
    </row>
    <row r="367" spans="1:4" ht="15.5" x14ac:dyDescent="0.35">
      <c r="A367" s="96" t="s">
        <v>17</v>
      </c>
      <c r="B367" s="39">
        <v>60</v>
      </c>
      <c r="C367" s="15"/>
      <c r="D367" s="33">
        <f t="shared" si="5"/>
        <v>0</v>
      </c>
    </row>
    <row r="368" spans="1:4" ht="15.5" x14ac:dyDescent="0.35">
      <c r="A368" s="96" t="s">
        <v>84</v>
      </c>
      <c r="B368" s="39">
        <v>80</v>
      </c>
      <c r="C368" s="15"/>
      <c r="D368" s="33">
        <f t="shared" si="5"/>
        <v>0</v>
      </c>
    </row>
    <row r="369" spans="1:4" ht="15.5" x14ac:dyDescent="0.35">
      <c r="A369" s="96" t="s">
        <v>85</v>
      </c>
      <c r="B369" s="39">
        <v>80</v>
      </c>
      <c r="C369" s="15"/>
      <c r="D369" s="33">
        <f t="shared" si="5"/>
        <v>0</v>
      </c>
    </row>
    <row r="370" spans="1:4" ht="15.5" x14ac:dyDescent="0.35">
      <c r="A370" s="96" t="s">
        <v>64</v>
      </c>
      <c r="B370" s="39">
        <v>100</v>
      </c>
      <c r="C370" s="15"/>
      <c r="D370" s="33">
        <f t="shared" si="5"/>
        <v>0</v>
      </c>
    </row>
    <row r="371" spans="1:4" ht="15.5" x14ac:dyDescent="0.35">
      <c r="A371" s="45" t="s">
        <v>403</v>
      </c>
      <c r="B371" s="39">
        <v>10</v>
      </c>
      <c r="C371" s="15"/>
      <c r="D371" s="33">
        <f t="shared" si="5"/>
        <v>0</v>
      </c>
    </row>
    <row r="372" spans="1:4" ht="15.5" x14ac:dyDescent="0.35">
      <c r="A372" s="96" t="s">
        <v>76</v>
      </c>
      <c r="B372" s="39">
        <v>7</v>
      </c>
      <c r="C372" s="15"/>
      <c r="D372" s="33">
        <f t="shared" si="5"/>
        <v>0</v>
      </c>
    </row>
    <row r="373" spans="1:4" ht="15.5" x14ac:dyDescent="0.35">
      <c r="A373" s="96" t="s">
        <v>18</v>
      </c>
      <c r="B373" s="39">
        <v>8</v>
      </c>
      <c r="C373" s="15"/>
      <c r="D373" s="33">
        <f t="shared" si="5"/>
        <v>0</v>
      </c>
    </row>
    <row r="374" spans="1:4" ht="15.5" x14ac:dyDescent="0.35">
      <c r="A374" s="96" t="s">
        <v>19</v>
      </c>
      <c r="B374" s="39">
        <v>3</v>
      </c>
      <c r="C374" s="15"/>
      <c r="D374" s="33">
        <f t="shared" si="5"/>
        <v>0</v>
      </c>
    </row>
    <row r="375" spans="1:4" ht="15.5" x14ac:dyDescent="0.35">
      <c r="A375" s="96" t="s">
        <v>9</v>
      </c>
      <c r="B375" s="39">
        <v>80</v>
      </c>
      <c r="C375" s="15"/>
      <c r="D375" s="33">
        <f t="shared" si="5"/>
        <v>0</v>
      </c>
    </row>
    <row r="376" spans="1:4" ht="15.5" x14ac:dyDescent="0.35">
      <c r="A376" s="96" t="s">
        <v>10</v>
      </c>
      <c r="B376" s="39">
        <v>80</v>
      </c>
      <c r="C376" s="15"/>
      <c r="D376" s="33">
        <f t="shared" si="5"/>
        <v>0</v>
      </c>
    </row>
    <row r="377" spans="1:4" ht="15.5" x14ac:dyDescent="0.35">
      <c r="A377" s="96" t="s">
        <v>70</v>
      </c>
      <c r="B377" s="39">
        <v>20</v>
      </c>
      <c r="C377" s="15"/>
      <c r="D377" s="33">
        <f t="shared" si="5"/>
        <v>0</v>
      </c>
    </row>
    <row r="378" spans="1:4" ht="15.5" x14ac:dyDescent="0.35">
      <c r="A378" s="96" t="s">
        <v>71</v>
      </c>
      <c r="B378" s="39">
        <v>20</v>
      </c>
      <c r="C378" s="15"/>
      <c r="D378" s="33">
        <f t="shared" si="5"/>
        <v>0</v>
      </c>
    </row>
    <row r="379" spans="1:4" ht="15.5" x14ac:dyDescent="0.35">
      <c r="A379" s="96" t="s">
        <v>72</v>
      </c>
      <c r="B379" s="39">
        <v>20</v>
      </c>
      <c r="C379" s="15"/>
      <c r="D379" s="33">
        <f t="shared" si="5"/>
        <v>0</v>
      </c>
    </row>
    <row r="380" spans="1:4" ht="15.5" x14ac:dyDescent="0.35">
      <c r="A380" s="96" t="s">
        <v>73</v>
      </c>
      <c r="B380" s="39">
        <v>20</v>
      </c>
      <c r="C380" s="15"/>
      <c r="D380" s="33">
        <f t="shared" si="5"/>
        <v>0</v>
      </c>
    </row>
    <row r="381" spans="1:4" ht="15.5" x14ac:dyDescent="0.35">
      <c r="A381" s="96" t="s">
        <v>74</v>
      </c>
      <c r="B381" s="39">
        <v>20</v>
      </c>
      <c r="C381" s="15"/>
      <c r="D381" s="33">
        <f t="shared" si="5"/>
        <v>0</v>
      </c>
    </row>
    <row r="382" spans="1:4" ht="15.5" x14ac:dyDescent="0.35">
      <c r="A382" s="96" t="s">
        <v>75</v>
      </c>
      <c r="B382" s="39">
        <v>20</v>
      </c>
      <c r="C382" s="15"/>
      <c r="D382" s="33">
        <f t="shared" si="5"/>
        <v>0</v>
      </c>
    </row>
    <row r="383" spans="1:4" ht="15.5" x14ac:dyDescent="0.35">
      <c r="A383" s="96" t="s">
        <v>78</v>
      </c>
      <c r="B383" s="39">
        <v>2</v>
      </c>
      <c r="C383" s="15"/>
      <c r="D383" s="33">
        <f t="shared" si="5"/>
        <v>0</v>
      </c>
    </row>
    <row r="384" spans="1:4" ht="15.5" x14ac:dyDescent="0.35">
      <c r="A384" s="96" t="s">
        <v>79</v>
      </c>
      <c r="B384" s="39">
        <v>2</v>
      </c>
      <c r="C384" s="15"/>
      <c r="D384" s="33">
        <f t="shared" si="5"/>
        <v>0</v>
      </c>
    </row>
    <row r="385" spans="1:4" ht="15.5" x14ac:dyDescent="0.35">
      <c r="A385" s="96" t="s">
        <v>17</v>
      </c>
      <c r="B385" s="39">
        <v>60</v>
      </c>
      <c r="C385" s="15"/>
      <c r="D385" s="33">
        <f t="shared" si="5"/>
        <v>0</v>
      </c>
    </row>
    <row r="386" spans="1:4" ht="15.5" x14ac:dyDescent="0.35">
      <c r="A386" s="96" t="s">
        <v>86</v>
      </c>
      <c r="B386" s="39">
        <v>80</v>
      </c>
      <c r="C386" s="15"/>
      <c r="D386" s="33">
        <f t="shared" si="5"/>
        <v>0</v>
      </c>
    </row>
    <row r="387" spans="1:4" ht="15.5" x14ac:dyDescent="0.35">
      <c r="A387" s="96" t="s">
        <v>85</v>
      </c>
      <c r="B387" s="39">
        <v>80</v>
      </c>
      <c r="C387" s="15"/>
      <c r="D387" s="33">
        <f t="shared" si="5"/>
        <v>0</v>
      </c>
    </row>
    <row r="388" spans="1:4" ht="15.5" x14ac:dyDescent="0.35">
      <c r="A388" s="96" t="s">
        <v>64</v>
      </c>
      <c r="B388" s="39">
        <v>100</v>
      </c>
      <c r="C388" s="15"/>
      <c r="D388" s="33">
        <f t="shared" si="5"/>
        <v>0</v>
      </c>
    </row>
    <row r="389" spans="1:4" ht="15.5" x14ac:dyDescent="0.35">
      <c r="A389" s="45" t="s">
        <v>404</v>
      </c>
      <c r="B389" s="39">
        <v>10</v>
      </c>
      <c r="C389" s="15"/>
      <c r="D389" s="33">
        <f t="shared" si="5"/>
        <v>0</v>
      </c>
    </row>
    <row r="390" spans="1:4" ht="15.5" x14ac:dyDescent="0.35">
      <c r="A390" s="96" t="s">
        <v>76</v>
      </c>
      <c r="B390" s="39">
        <v>7</v>
      </c>
      <c r="C390" s="15"/>
      <c r="D390" s="33">
        <f t="shared" si="5"/>
        <v>0</v>
      </c>
    </row>
    <row r="391" spans="1:4" ht="15.5" x14ac:dyDescent="0.35">
      <c r="A391" s="96" t="s">
        <v>13</v>
      </c>
      <c r="B391" s="39">
        <v>8</v>
      </c>
      <c r="C391" s="15"/>
      <c r="D391" s="33">
        <f t="shared" si="5"/>
        <v>0</v>
      </c>
    </row>
    <row r="392" spans="1:4" ht="15.5" x14ac:dyDescent="0.35">
      <c r="A392" s="96" t="s">
        <v>12</v>
      </c>
      <c r="B392" s="39">
        <v>3</v>
      </c>
      <c r="C392" s="15"/>
      <c r="D392" s="33">
        <f t="shared" si="5"/>
        <v>0</v>
      </c>
    </row>
    <row r="393" spans="1:4" ht="15.5" x14ac:dyDescent="0.35">
      <c r="A393" s="96" t="s">
        <v>9</v>
      </c>
      <c r="B393" s="39">
        <v>80</v>
      </c>
      <c r="C393" s="15"/>
      <c r="D393" s="33">
        <f t="shared" si="5"/>
        <v>0</v>
      </c>
    </row>
    <row r="394" spans="1:4" ht="15.5" x14ac:dyDescent="0.35">
      <c r="A394" s="96" t="s">
        <v>10</v>
      </c>
      <c r="B394" s="39">
        <v>80</v>
      </c>
      <c r="C394" s="15"/>
      <c r="D394" s="33">
        <f t="shared" si="5"/>
        <v>0</v>
      </c>
    </row>
    <row r="395" spans="1:4" ht="15.5" x14ac:dyDescent="0.35">
      <c r="A395" s="96" t="s">
        <v>70</v>
      </c>
      <c r="B395" s="39">
        <v>20</v>
      </c>
      <c r="C395" s="15"/>
      <c r="D395" s="33">
        <f t="shared" si="5"/>
        <v>0</v>
      </c>
    </row>
    <row r="396" spans="1:4" ht="15.5" x14ac:dyDescent="0.35">
      <c r="A396" s="96" t="s">
        <v>71</v>
      </c>
      <c r="B396" s="39">
        <v>20</v>
      </c>
      <c r="C396" s="15"/>
      <c r="D396" s="33">
        <f t="shared" si="5"/>
        <v>0</v>
      </c>
    </row>
    <row r="397" spans="1:4" ht="15.5" x14ac:dyDescent="0.35">
      <c r="A397" s="96" t="s">
        <v>72</v>
      </c>
      <c r="B397" s="39">
        <v>20</v>
      </c>
      <c r="C397" s="15"/>
      <c r="D397" s="33">
        <f t="shared" ref="D397:D460" si="6">SUM(B397*C397)</f>
        <v>0</v>
      </c>
    </row>
    <row r="398" spans="1:4" ht="15.5" x14ac:dyDescent="0.35">
      <c r="A398" s="96" t="s">
        <v>73</v>
      </c>
      <c r="B398" s="39">
        <v>20</v>
      </c>
      <c r="C398" s="15"/>
      <c r="D398" s="33">
        <f t="shared" si="6"/>
        <v>0</v>
      </c>
    </row>
    <row r="399" spans="1:4" ht="15.5" x14ac:dyDescent="0.35">
      <c r="A399" s="96" t="s">
        <v>74</v>
      </c>
      <c r="B399" s="39">
        <v>20</v>
      </c>
      <c r="C399" s="15"/>
      <c r="D399" s="33">
        <f t="shared" si="6"/>
        <v>0</v>
      </c>
    </row>
    <row r="400" spans="1:4" ht="15.5" x14ac:dyDescent="0.35">
      <c r="A400" s="96" t="s">
        <v>75</v>
      </c>
      <c r="B400" s="39">
        <v>20</v>
      </c>
      <c r="C400" s="15"/>
      <c r="D400" s="33">
        <f t="shared" si="6"/>
        <v>0</v>
      </c>
    </row>
    <row r="401" spans="1:4" ht="15.5" x14ac:dyDescent="0.35">
      <c r="A401" s="96" t="s">
        <v>78</v>
      </c>
      <c r="B401" s="39">
        <v>2</v>
      </c>
      <c r="C401" s="15"/>
      <c r="D401" s="33">
        <f t="shared" si="6"/>
        <v>0</v>
      </c>
    </row>
    <row r="402" spans="1:4" ht="15.5" x14ac:dyDescent="0.35">
      <c r="A402" s="96" t="s">
        <v>79</v>
      </c>
      <c r="B402" s="39">
        <v>2</v>
      </c>
      <c r="C402" s="15"/>
      <c r="D402" s="33">
        <f t="shared" si="6"/>
        <v>0</v>
      </c>
    </row>
    <row r="403" spans="1:4" ht="15.5" x14ac:dyDescent="0.35">
      <c r="A403" s="96" t="s">
        <v>17</v>
      </c>
      <c r="B403" s="39">
        <v>60</v>
      </c>
      <c r="C403" s="15"/>
      <c r="D403" s="33">
        <f t="shared" si="6"/>
        <v>0</v>
      </c>
    </row>
    <row r="404" spans="1:4" ht="15.5" x14ac:dyDescent="0.35">
      <c r="A404" s="96" t="s">
        <v>86</v>
      </c>
      <c r="B404" s="39">
        <v>80</v>
      </c>
      <c r="C404" s="15"/>
      <c r="D404" s="33">
        <f t="shared" si="6"/>
        <v>0</v>
      </c>
    </row>
    <row r="405" spans="1:4" ht="15.5" x14ac:dyDescent="0.35">
      <c r="A405" s="96" t="s">
        <v>87</v>
      </c>
      <c r="B405" s="39">
        <v>80</v>
      </c>
      <c r="C405" s="15"/>
      <c r="D405" s="33">
        <f t="shared" si="6"/>
        <v>0</v>
      </c>
    </row>
    <row r="406" spans="1:4" ht="15.5" x14ac:dyDescent="0.35">
      <c r="A406" s="96" t="s">
        <v>64</v>
      </c>
      <c r="B406" s="39">
        <v>100</v>
      </c>
      <c r="C406" s="15"/>
      <c r="D406" s="33">
        <f t="shared" si="6"/>
        <v>0</v>
      </c>
    </row>
    <row r="407" spans="1:4" ht="15.5" x14ac:dyDescent="0.35">
      <c r="A407" s="45" t="s">
        <v>405</v>
      </c>
      <c r="B407" s="39">
        <v>10</v>
      </c>
      <c r="C407" s="15"/>
      <c r="D407" s="33">
        <f t="shared" si="6"/>
        <v>0</v>
      </c>
    </row>
    <row r="408" spans="1:4" ht="15.5" x14ac:dyDescent="0.35">
      <c r="A408" s="96" t="s">
        <v>76</v>
      </c>
      <c r="B408" s="39">
        <v>7</v>
      </c>
      <c r="C408" s="15"/>
      <c r="D408" s="33">
        <f t="shared" si="6"/>
        <v>0</v>
      </c>
    </row>
    <row r="409" spans="1:4" ht="15.5" x14ac:dyDescent="0.35">
      <c r="A409" s="96" t="s">
        <v>13</v>
      </c>
      <c r="B409" s="39">
        <v>8</v>
      </c>
      <c r="C409" s="15"/>
      <c r="D409" s="33">
        <f t="shared" si="6"/>
        <v>0</v>
      </c>
    </row>
    <row r="410" spans="1:4" ht="15.5" x14ac:dyDescent="0.35">
      <c r="A410" s="96" t="s">
        <v>12</v>
      </c>
      <c r="B410" s="39">
        <v>3</v>
      </c>
      <c r="C410" s="15"/>
      <c r="D410" s="33">
        <f t="shared" si="6"/>
        <v>0</v>
      </c>
    </row>
    <row r="411" spans="1:4" ht="15.5" x14ac:dyDescent="0.35">
      <c r="A411" s="96" t="s">
        <v>9</v>
      </c>
      <c r="B411" s="39">
        <v>80</v>
      </c>
      <c r="C411" s="15"/>
      <c r="D411" s="33">
        <f t="shared" si="6"/>
        <v>0</v>
      </c>
    </row>
    <row r="412" spans="1:4" ht="15.5" x14ac:dyDescent="0.35">
      <c r="A412" s="96" t="s">
        <v>10</v>
      </c>
      <c r="B412" s="39">
        <v>80</v>
      </c>
      <c r="C412" s="15"/>
      <c r="D412" s="33">
        <f t="shared" si="6"/>
        <v>0</v>
      </c>
    </row>
    <row r="413" spans="1:4" ht="15.5" x14ac:dyDescent="0.35">
      <c r="A413" s="96" t="s">
        <v>70</v>
      </c>
      <c r="B413" s="39">
        <v>20</v>
      </c>
      <c r="C413" s="15"/>
      <c r="D413" s="33">
        <f t="shared" si="6"/>
        <v>0</v>
      </c>
    </row>
    <row r="414" spans="1:4" ht="15.5" x14ac:dyDescent="0.35">
      <c r="A414" s="96" t="s">
        <v>71</v>
      </c>
      <c r="B414" s="39">
        <v>20</v>
      </c>
      <c r="C414" s="15"/>
      <c r="D414" s="33">
        <f t="shared" si="6"/>
        <v>0</v>
      </c>
    </row>
    <row r="415" spans="1:4" ht="15.5" x14ac:dyDescent="0.35">
      <c r="A415" s="96" t="s">
        <v>72</v>
      </c>
      <c r="B415" s="39">
        <v>20</v>
      </c>
      <c r="C415" s="15"/>
      <c r="D415" s="33">
        <f t="shared" si="6"/>
        <v>0</v>
      </c>
    </row>
    <row r="416" spans="1:4" ht="15.5" x14ac:dyDescent="0.35">
      <c r="A416" s="96" t="s">
        <v>73</v>
      </c>
      <c r="B416" s="39">
        <v>20</v>
      </c>
      <c r="C416" s="15"/>
      <c r="D416" s="33">
        <f t="shared" si="6"/>
        <v>0</v>
      </c>
    </row>
    <row r="417" spans="1:11" s="48" customFormat="1" ht="15.5" x14ac:dyDescent="0.35">
      <c r="A417" s="96" t="s">
        <v>74</v>
      </c>
      <c r="B417" s="49">
        <v>20</v>
      </c>
      <c r="C417" s="154"/>
      <c r="D417" s="155">
        <f t="shared" si="6"/>
        <v>0</v>
      </c>
    </row>
    <row r="418" spans="1:11" ht="15.5" x14ac:dyDescent="0.35">
      <c r="A418" s="96" t="s">
        <v>75</v>
      </c>
      <c r="B418" s="39">
        <v>20</v>
      </c>
      <c r="C418" s="15"/>
      <c r="D418" s="33">
        <f t="shared" si="6"/>
        <v>0</v>
      </c>
    </row>
    <row r="419" spans="1:11" ht="15.5" x14ac:dyDescent="0.35">
      <c r="A419" s="96" t="s">
        <v>78</v>
      </c>
      <c r="B419" s="39">
        <v>2</v>
      </c>
      <c r="C419" s="15"/>
      <c r="D419" s="33">
        <f t="shared" si="6"/>
        <v>0</v>
      </c>
    </row>
    <row r="420" spans="1:11" ht="15.5" x14ac:dyDescent="0.35">
      <c r="A420" s="96" t="s">
        <v>79</v>
      </c>
      <c r="B420" s="39">
        <v>2</v>
      </c>
      <c r="C420" s="15"/>
      <c r="D420" s="33">
        <f t="shared" si="6"/>
        <v>0</v>
      </c>
    </row>
    <row r="421" spans="1:11" s="16" customFormat="1" ht="15.5" x14ac:dyDescent="0.35">
      <c r="A421" s="96" t="s">
        <v>17</v>
      </c>
      <c r="B421" s="39">
        <v>60</v>
      </c>
      <c r="C421" s="15"/>
      <c r="D421" s="33">
        <f t="shared" si="6"/>
        <v>0</v>
      </c>
    </row>
    <row r="422" spans="1:11" ht="15.5" x14ac:dyDescent="0.35">
      <c r="A422" s="96" t="s">
        <v>86</v>
      </c>
      <c r="B422" s="39">
        <v>80</v>
      </c>
      <c r="C422" s="15"/>
      <c r="D422" s="33">
        <f t="shared" si="6"/>
        <v>0</v>
      </c>
      <c r="E422" s="16"/>
      <c r="F422" s="16"/>
      <c r="G422" s="16"/>
      <c r="H422" s="16"/>
      <c r="I422" s="16"/>
      <c r="J422" s="16"/>
      <c r="K422" s="16"/>
    </row>
    <row r="423" spans="1:11" ht="15.5" x14ac:dyDescent="0.35">
      <c r="A423" s="96" t="s">
        <v>85</v>
      </c>
      <c r="B423" s="39">
        <v>80</v>
      </c>
      <c r="C423" s="15"/>
      <c r="D423" s="33">
        <f t="shared" si="6"/>
        <v>0</v>
      </c>
    </row>
    <row r="424" spans="1:11" ht="15.5" x14ac:dyDescent="0.35">
      <c r="A424" s="96" t="s">
        <v>64</v>
      </c>
      <c r="B424" s="39">
        <v>100</v>
      </c>
      <c r="C424" s="15"/>
      <c r="D424" s="33">
        <f t="shared" si="6"/>
        <v>0</v>
      </c>
    </row>
    <row r="425" spans="1:11" ht="15.5" x14ac:dyDescent="0.35">
      <c r="A425" s="96" t="s">
        <v>88</v>
      </c>
      <c r="B425" s="39">
        <v>500</v>
      </c>
      <c r="C425" s="15"/>
      <c r="D425" s="33">
        <f t="shared" si="6"/>
        <v>0</v>
      </c>
    </row>
    <row r="426" spans="1:11" ht="15.5" x14ac:dyDescent="0.35">
      <c r="A426" s="96" t="s">
        <v>89</v>
      </c>
      <c r="B426" s="39">
        <v>35</v>
      </c>
      <c r="C426" s="15"/>
      <c r="D426" s="33">
        <f t="shared" si="6"/>
        <v>0</v>
      </c>
    </row>
    <row r="427" spans="1:11" ht="15.5" x14ac:dyDescent="0.35">
      <c r="A427" s="45" t="s">
        <v>406</v>
      </c>
      <c r="B427" s="39">
        <v>10</v>
      </c>
      <c r="C427" s="15"/>
      <c r="D427" s="33">
        <f t="shared" si="6"/>
        <v>0</v>
      </c>
    </row>
    <row r="428" spans="1:11" s="17" customFormat="1" ht="15.5" x14ac:dyDescent="0.35">
      <c r="A428" s="96" t="s">
        <v>90</v>
      </c>
      <c r="B428" s="39">
        <v>7</v>
      </c>
      <c r="C428" s="15"/>
      <c r="D428" s="33">
        <f t="shared" si="6"/>
        <v>0</v>
      </c>
    </row>
    <row r="429" spans="1:11" ht="15.5" x14ac:dyDescent="0.35">
      <c r="A429" s="96" t="s">
        <v>20</v>
      </c>
      <c r="B429" s="39">
        <v>8</v>
      </c>
      <c r="C429" s="15"/>
      <c r="D429" s="33">
        <f t="shared" si="6"/>
        <v>0</v>
      </c>
    </row>
    <row r="430" spans="1:11" ht="15.5" x14ac:dyDescent="0.35">
      <c r="A430" s="96" t="s">
        <v>21</v>
      </c>
      <c r="B430" s="39">
        <v>3</v>
      </c>
      <c r="C430" s="15"/>
      <c r="D430" s="33">
        <f t="shared" si="6"/>
        <v>0</v>
      </c>
    </row>
    <row r="431" spans="1:11" ht="15.5" x14ac:dyDescent="0.35">
      <c r="A431" s="96" t="s">
        <v>9</v>
      </c>
      <c r="B431" s="39">
        <v>80</v>
      </c>
      <c r="C431" s="15"/>
      <c r="D431" s="33">
        <f t="shared" si="6"/>
        <v>0</v>
      </c>
    </row>
    <row r="432" spans="1:11" ht="15.5" x14ac:dyDescent="0.35">
      <c r="A432" s="96" t="s">
        <v>10</v>
      </c>
      <c r="B432" s="39">
        <v>80</v>
      </c>
      <c r="C432" s="15"/>
      <c r="D432" s="33">
        <f t="shared" si="6"/>
        <v>0</v>
      </c>
    </row>
    <row r="433" spans="1:4" ht="15.5" x14ac:dyDescent="0.35">
      <c r="A433" s="96" t="s">
        <v>70</v>
      </c>
      <c r="B433" s="39">
        <v>20</v>
      </c>
      <c r="C433" s="15"/>
      <c r="D433" s="33">
        <f t="shared" si="6"/>
        <v>0</v>
      </c>
    </row>
    <row r="434" spans="1:4" ht="15.5" x14ac:dyDescent="0.35">
      <c r="A434" s="96" t="s">
        <v>71</v>
      </c>
      <c r="B434" s="39">
        <v>20</v>
      </c>
      <c r="C434" s="15"/>
      <c r="D434" s="33">
        <f t="shared" si="6"/>
        <v>0</v>
      </c>
    </row>
    <row r="435" spans="1:4" ht="15.5" x14ac:dyDescent="0.35">
      <c r="A435" s="96" t="s">
        <v>72</v>
      </c>
      <c r="B435" s="39">
        <v>20</v>
      </c>
      <c r="C435" s="15"/>
      <c r="D435" s="33">
        <f t="shared" si="6"/>
        <v>0</v>
      </c>
    </row>
    <row r="436" spans="1:4" ht="15.5" x14ac:dyDescent="0.35">
      <c r="A436" s="96" t="s">
        <v>73</v>
      </c>
      <c r="B436" s="39">
        <v>20</v>
      </c>
      <c r="C436" s="15"/>
      <c r="D436" s="33">
        <f t="shared" si="6"/>
        <v>0</v>
      </c>
    </row>
    <row r="437" spans="1:4" ht="15.5" x14ac:dyDescent="0.35">
      <c r="A437" s="96" t="s">
        <v>74</v>
      </c>
      <c r="B437" s="39">
        <v>20</v>
      </c>
      <c r="C437" s="15"/>
      <c r="D437" s="33">
        <f t="shared" si="6"/>
        <v>0</v>
      </c>
    </row>
    <row r="438" spans="1:4" ht="15.5" x14ac:dyDescent="0.35">
      <c r="A438" s="96" t="s">
        <v>75</v>
      </c>
      <c r="B438" s="39">
        <v>20</v>
      </c>
      <c r="C438" s="15"/>
      <c r="D438" s="33">
        <f t="shared" si="6"/>
        <v>0</v>
      </c>
    </row>
    <row r="439" spans="1:4" ht="15.5" x14ac:dyDescent="0.35">
      <c r="A439" s="45" t="s">
        <v>407</v>
      </c>
      <c r="B439" s="39">
        <v>10</v>
      </c>
      <c r="C439" s="15"/>
      <c r="D439" s="33">
        <f t="shared" si="6"/>
        <v>0</v>
      </c>
    </row>
    <row r="440" spans="1:4" ht="15.5" x14ac:dyDescent="0.35">
      <c r="A440" s="96" t="s">
        <v>90</v>
      </c>
      <c r="B440" s="39">
        <v>7</v>
      </c>
      <c r="C440" s="15"/>
      <c r="D440" s="33">
        <f t="shared" si="6"/>
        <v>0</v>
      </c>
    </row>
    <row r="441" spans="1:4" ht="15.5" x14ac:dyDescent="0.35">
      <c r="A441" s="96" t="s">
        <v>20</v>
      </c>
      <c r="B441" s="39">
        <v>8</v>
      </c>
      <c r="C441" s="15"/>
      <c r="D441" s="33">
        <f t="shared" si="6"/>
        <v>0</v>
      </c>
    </row>
    <row r="442" spans="1:4" ht="15.5" x14ac:dyDescent="0.35">
      <c r="A442" s="96" t="s">
        <v>21</v>
      </c>
      <c r="B442" s="39">
        <v>3</v>
      </c>
      <c r="C442" s="15"/>
      <c r="D442" s="33">
        <f t="shared" si="6"/>
        <v>0</v>
      </c>
    </row>
    <row r="443" spans="1:4" ht="15.5" x14ac:dyDescent="0.35">
      <c r="A443" s="96" t="s">
        <v>9</v>
      </c>
      <c r="B443" s="39">
        <v>80</v>
      </c>
      <c r="C443" s="15"/>
      <c r="D443" s="33">
        <f t="shared" si="6"/>
        <v>0</v>
      </c>
    </row>
    <row r="444" spans="1:4" ht="15.5" x14ac:dyDescent="0.35">
      <c r="A444" s="96" t="s">
        <v>10</v>
      </c>
      <c r="B444" s="39">
        <v>80</v>
      </c>
      <c r="C444" s="15"/>
      <c r="D444" s="33">
        <f t="shared" si="6"/>
        <v>0</v>
      </c>
    </row>
    <row r="445" spans="1:4" ht="15.5" x14ac:dyDescent="0.35">
      <c r="A445" s="96" t="s">
        <v>70</v>
      </c>
      <c r="B445" s="39">
        <v>20</v>
      </c>
      <c r="C445" s="15"/>
      <c r="D445" s="33">
        <f t="shared" si="6"/>
        <v>0</v>
      </c>
    </row>
    <row r="446" spans="1:4" ht="15.5" x14ac:dyDescent="0.35">
      <c r="A446" s="96" t="s">
        <v>71</v>
      </c>
      <c r="B446" s="39">
        <v>20</v>
      </c>
      <c r="C446" s="15"/>
      <c r="D446" s="33">
        <f t="shared" si="6"/>
        <v>0</v>
      </c>
    </row>
    <row r="447" spans="1:4" ht="15.5" x14ac:dyDescent="0.35">
      <c r="A447" s="96" t="s">
        <v>72</v>
      </c>
      <c r="B447" s="39">
        <v>20</v>
      </c>
      <c r="C447" s="15"/>
      <c r="D447" s="33">
        <f t="shared" si="6"/>
        <v>0</v>
      </c>
    </row>
    <row r="448" spans="1:4" ht="15.5" x14ac:dyDescent="0.35">
      <c r="A448" s="96" t="s">
        <v>73</v>
      </c>
      <c r="B448" s="39">
        <v>20</v>
      </c>
      <c r="C448" s="15"/>
      <c r="D448" s="33">
        <f t="shared" si="6"/>
        <v>0</v>
      </c>
    </row>
    <row r="449" spans="1:4" ht="15.5" x14ac:dyDescent="0.35">
      <c r="A449" s="96" t="s">
        <v>74</v>
      </c>
      <c r="B449" s="39">
        <v>20</v>
      </c>
      <c r="C449" s="15"/>
      <c r="D449" s="33">
        <f t="shared" si="6"/>
        <v>0</v>
      </c>
    </row>
    <row r="450" spans="1:4" ht="15.5" x14ac:dyDescent="0.35">
      <c r="A450" s="96" t="s">
        <v>75</v>
      </c>
      <c r="B450" s="39">
        <v>20</v>
      </c>
      <c r="C450" s="15"/>
      <c r="D450" s="33">
        <f t="shared" si="6"/>
        <v>0</v>
      </c>
    </row>
    <row r="451" spans="1:4" ht="15.5" x14ac:dyDescent="0.35">
      <c r="A451" s="45" t="s">
        <v>408</v>
      </c>
      <c r="B451" s="39">
        <v>10</v>
      </c>
      <c r="C451" s="15"/>
      <c r="D451" s="33">
        <f t="shared" si="6"/>
        <v>0</v>
      </c>
    </row>
    <row r="452" spans="1:4" ht="15.5" x14ac:dyDescent="0.35">
      <c r="A452" s="96" t="s">
        <v>90</v>
      </c>
      <c r="B452" s="39">
        <v>7</v>
      </c>
      <c r="C452" s="15"/>
      <c r="D452" s="33">
        <f t="shared" si="6"/>
        <v>0</v>
      </c>
    </row>
    <row r="453" spans="1:4" ht="15.5" x14ac:dyDescent="0.35">
      <c r="A453" s="96" t="s">
        <v>20</v>
      </c>
      <c r="B453" s="39">
        <v>8</v>
      </c>
      <c r="C453" s="15"/>
      <c r="D453" s="33">
        <f t="shared" si="6"/>
        <v>0</v>
      </c>
    </row>
    <row r="454" spans="1:4" ht="15.5" x14ac:dyDescent="0.35">
      <c r="A454" s="96" t="s">
        <v>21</v>
      </c>
      <c r="B454" s="39">
        <v>3</v>
      </c>
      <c r="C454" s="15"/>
      <c r="D454" s="33">
        <f t="shared" si="6"/>
        <v>0</v>
      </c>
    </row>
    <row r="455" spans="1:4" ht="15.5" x14ac:dyDescent="0.35">
      <c r="A455" s="96" t="s">
        <v>9</v>
      </c>
      <c r="B455" s="39">
        <v>80</v>
      </c>
      <c r="C455" s="15"/>
      <c r="D455" s="33">
        <f t="shared" si="6"/>
        <v>0</v>
      </c>
    </row>
    <row r="456" spans="1:4" ht="15.5" x14ac:dyDescent="0.35">
      <c r="A456" s="96" t="s">
        <v>10</v>
      </c>
      <c r="B456" s="39">
        <v>80</v>
      </c>
      <c r="C456" s="15"/>
      <c r="D456" s="33">
        <f t="shared" si="6"/>
        <v>0</v>
      </c>
    </row>
    <row r="457" spans="1:4" ht="15.5" x14ac:dyDescent="0.35">
      <c r="A457" s="96" t="s">
        <v>70</v>
      </c>
      <c r="B457" s="39">
        <v>20</v>
      </c>
      <c r="C457" s="15"/>
      <c r="D457" s="33">
        <f t="shared" si="6"/>
        <v>0</v>
      </c>
    </row>
    <row r="458" spans="1:4" ht="15.5" x14ac:dyDescent="0.35">
      <c r="A458" s="96" t="s">
        <v>91</v>
      </c>
      <c r="B458" s="39">
        <v>20</v>
      </c>
      <c r="C458" s="15"/>
      <c r="D458" s="33">
        <f t="shared" si="6"/>
        <v>0</v>
      </c>
    </row>
    <row r="459" spans="1:4" ht="15.5" x14ac:dyDescent="0.35">
      <c r="A459" s="96" t="s">
        <v>72</v>
      </c>
      <c r="B459" s="39">
        <v>20</v>
      </c>
      <c r="C459" s="15"/>
      <c r="D459" s="33">
        <f t="shared" si="6"/>
        <v>0</v>
      </c>
    </row>
    <row r="460" spans="1:4" ht="15.5" x14ac:dyDescent="0.35">
      <c r="A460" s="96" t="s">
        <v>92</v>
      </c>
      <c r="B460" s="39">
        <v>20</v>
      </c>
      <c r="C460" s="15"/>
      <c r="D460" s="33">
        <f t="shared" si="6"/>
        <v>0</v>
      </c>
    </row>
    <row r="461" spans="1:4" ht="15.5" x14ac:dyDescent="0.35">
      <c r="A461" s="96" t="s">
        <v>74</v>
      </c>
      <c r="B461" s="39">
        <v>20</v>
      </c>
      <c r="C461" s="15"/>
      <c r="D461" s="33">
        <f t="shared" ref="D461:D524" si="7">SUM(B461*C461)</f>
        <v>0</v>
      </c>
    </row>
    <row r="462" spans="1:4" ht="15.5" x14ac:dyDescent="0.35">
      <c r="A462" s="96" t="s">
        <v>93</v>
      </c>
      <c r="B462" s="39">
        <v>20</v>
      </c>
      <c r="C462" s="15"/>
      <c r="D462" s="33">
        <f t="shared" si="7"/>
        <v>0</v>
      </c>
    </row>
    <row r="463" spans="1:4" ht="15.5" x14ac:dyDescent="0.35">
      <c r="A463" s="45" t="s">
        <v>409</v>
      </c>
      <c r="B463" s="39">
        <v>10</v>
      </c>
      <c r="C463" s="15"/>
      <c r="D463" s="33">
        <f t="shared" si="7"/>
        <v>0</v>
      </c>
    </row>
    <row r="464" spans="1:4" ht="15.5" x14ac:dyDescent="0.35">
      <c r="A464" s="96" t="s">
        <v>90</v>
      </c>
      <c r="B464" s="39">
        <v>7</v>
      </c>
      <c r="C464" s="15"/>
      <c r="D464" s="33">
        <f t="shared" si="7"/>
        <v>0</v>
      </c>
    </row>
    <row r="465" spans="1:4" ht="15.5" x14ac:dyDescent="0.35">
      <c r="A465" s="96" t="s">
        <v>20</v>
      </c>
      <c r="B465" s="39">
        <v>8</v>
      </c>
      <c r="C465" s="15"/>
      <c r="D465" s="33">
        <f t="shared" si="7"/>
        <v>0</v>
      </c>
    </row>
    <row r="466" spans="1:4" ht="15.5" x14ac:dyDescent="0.35">
      <c r="A466" s="96" t="s">
        <v>21</v>
      </c>
      <c r="B466" s="39">
        <v>3</v>
      </c>
      <c r="C466" s="15"/>
      <c r="D466" s="33">
        <f t="shared" si="7"/>
        <v>0</v>
      </c>
    </row>
    <row r="467" spans="1:4" ht="15.5" x14ac:dyDescent="0.35">
      <c r="A467" s="96" t="s">
        <v>9</v>
      </c>
      <c r="B467" s="39">
        <v>80</v>
      </c>
      <c r="C467" s="15"/>
      <c r="D467" s="33">
        <f t="shared" si="7"/>
        <v>0</v>
      </c>
    </row>
    <row r="468" spans="1:4" ht="15.5" x14ac:dyDescent="0.35">
      <c r="A468" s="96" t="s">
        <v>10</v>
      </c>
      <c r="B468" s="39">
        <v>80</v>
      </c>
      <c r="C468" s="15"/>
      <c r="D468" s="33">
        <f t="shared" si="7"/>
        <v>0</v>
      </c>
    </row>
    <row r="469" spans="1:4" ht="15.5" x14ac:dyDescent="0.35">
      <c r="A469" s="96" t="s">
        <v>70</v>
      </c>
      <c r="B469" s="39">
        <v>20</v>
      </c>
      <c r="C469" s="15"/>
      <c r="D469" s="33">
        <f t="shared" si="7"/>
        <v>0</v>
      </c>
    </row>
    <row r="470" spans="1:4" s="17" customFormat="1" ht="15.5" x14ac:dyDescent="0.35">
      <c r="A470" s="96" t="s">
        <v>71</v>
      </c>
      <c r="B470" s="39">
        <v>20</v>
      </c>
      <c r="C470" s="15"/>
      <c r="D470" s="33">
        <f t="shared" si="7"/>
        <v>0</v>
      </c>
    </row>
    <row r="471" spans="1:4" ht="15.5" x14ac:dyDescent="0.35">
      <c r="A471" s="96" t="s">
        <v>72</v>
      </c>
      <c r="B471" s="39">
        <v>20</v>
      </c>
      <c r="C471" s="15"/>
      <c r="D471" s="33">
        <f t="shared" si="7"/>
        <v>0</v>
      </c>
    </row>
    <row r="472" spans="1:4" ht="15.75" customHeight="1" x14ac:dyDescent="0.35">
      <c r="A472" s="96" t="s">
        <v>73</v>
      </c>
      <c r="B472" s="39">
        <v>20</v>
      </c>
      <c r="C472" s="15"/>
      <c r="D472" s="33">
        <f t="shared" si="7"/>
        <v>0</v>
      </c>
    </row>
    <row r="473" spans="1:4" ht="15.5" x14ac:dyDescent="0.35">
      <c r="A473" s="96" t="s">
        <v>74</v>
      </c>
      <c r="B473" s="39">
        <v>20</v>
      </c>
      <c r="C473" s="15"/>
      <c r="D473" s="33">
        <f t="shared" si="7"/>
        <v>0</v>
      </c>
    </row>
    <row r="474" spans="1:4" ht="15.5" x14ac:dyDescent="0.35">
      <c r="A474" s="96" t="s">
        <v>75</v>
      </c>
      <c r="B474" s="39">
        <v>20</v>
      </c>
      <c r="C474" s="15"/>
      <c r="D474" s="33">
        <f t="shared" si="7"/>
        <v>0</v>
      </c>
    </row>
    <row r="475" spans="1:4" ht="15.5" x14ac:dyDescent="0.35">
      <c r="A475" s="45" t="s">
        <v>410</v>
      </c>
      <c r="B475" s="39">
        <v>10</v>
      </c>
      <c r="C475" s="15"/>
      <c r="D475" s="33">
        <f t="shared" si="7"/>
        <v>0</v>
      </c>
    </row>
    <row r="476" spans="1:4" ht="15.5" x14ac:dyDescent="0.35">
      <c r="A476" s="98" t="s">
        <v>229</v>
      </c>
      <c r="B476" s="39">
        <v>7</v>
      </c>
      <c r="C476" s="15"/>
      <c r="D476" s="33">
        <f t="shared" si="7"/>
        <v>0</v>
      </c>
    </row>
    <row r="477" spans="1:4" ht="15.5" x14ac:dyDescent="0.35">
      <c r="A477" s="98" t="s">
        <v>230</v>
      </c>
      <c r="B477" s="39">
        <v>8</v>
      </c>
      <c r="C477" s="15"/>
      <c r="D477" s="33">
        <f t="shared" si="7"/>
        <v>0</v>
      </c>
    </row>
    <row r="478" spans="1:4" ht="15.5" x14ac:dyDescent="0.35">
      <c r="A478" s="98" t="s">
        <v>231</v>
      </c>
      <c r="B478" s="39">
        <v>3</v>
      </c>
      <c r="C478" s="15"/>
      <c r="D478" s="33">
        <f t="shared" si="7"/>
        <v>0</v>
      </c>
    </row>
    <row r="479" spans="1:4" ht="15.5" x14ac:dyDescent="0.35">
      <c r="A479" s="98" t="s">
        <v>232</v>
      </c>
      <c r="B479" s="39">
        <v>80</v>
      </c>
      <c r="C479" s="15"/>
      <c r="D479" s="33">
        <f t="shared" si="7"/>
        <v>0</v>
      </c>
    </row>
    <row r="480" spans="1:4" ht="15.5" x14ac:dyDescent="0.35">
      <c r="A480" s="98" t="s">
        <v>233</v>
      </c>
      <c r="B480" s="39">
        <v>80</v>
      </c>
      <c r="C480" s="15"/>
      <c r="D480" s="33">
        <f t="shared" si="7"/>
        <v>0</v>
      </c>
    </row>
    <row r="481" spans="1:4" ht="15.5" x14ac:dyDescent="0.35">
      <c r="A481" s="98" t="s">
        <v>234</v>
      </c>
      <c r="B481" s="39">
        <v>20</v>
      </c>
      <c r="C481" s="15"/>
      <c r="D481" s="33">
        <f t="shared" si="7"/>
        <v>0</v>
      </c>
    </row>
    <row r="482" spans="1:4" ht="15.5" x14ac:dyDescent="0.35">
      <c r="A482" s="98" t="s">
        <v>235</v>
      </c>
      <c r="B482" s="39">
        <v>20</v>
      </c>
      <c r="C482" s="15"/>
      <c r="D482" s="33">
        <f t="shared" si="7"/>
        <v>0</v>
      </c>
    </row>
    <row r="483" spans="1:4" ht="15.5" x14ac:dyDescent="0.35">
      <c r="A483" s="98" t="s">
        <v>236</v>
      </c>
      <c r="B483" s="39">
        <v>20</v>
      </c>
      <c r="C483" s="15"/>
      <c r="D483" s="33">
        <f t="shared" si="7"/>
        <v>0</v>
      </c>
    </row>
    <row r="484" spans="1:4" ht="15.5" x14ac:dyDescent="0.35">
      <c r="A484" s="98" t="s">
        <v>237</v>
      </c>
      <c r="B484" s="39">
        <v>20</v>
      </c>
      <c r="C484" s="15"/>
      <c r="D484" s="33">
        <f t="shared" si="7"/>
        <v>0</v>
      </c>
    </row>
    <row r="485" spans="1:4" ht="15.5" x14ac:dyDescent="0.35">
      <c r="A485" s="98" t="s">
        <v>238</v>
      </c>
      <c r="B485" s="39">
        <v>20</v>
      </c>
      <c r="C485" s="15"/>
      <c r="D485" s="33">
        <f t="shared" si="7"/>
        <v>0</v>
      </c>
    </row>
    <row r="486" spans="1:4" ht="15.75" customHeight="1" x14ac:dyDescent="0.35">
      <c r="A486" s="98" t="s">
        <v>239</v>
      </c>
      <c r="B486" s="39">
        <v>20</v>
      </c>
      <c r="C486" s="15"/>
      <c r="D486" s="33">
        <f t="shared" si="7"/>
        <v>0</v>
      </c>
    </row>
    <row r="487" spans="1:4" ht="15.5" x14ac:dyDescent="0.35">
      <c r="A487" s="45" t="s">
        <v>411</v>
      </c>
      <c r="B487" s="39">
        <v>10</v>
      </c>
      <c r="C487" s="15"/>
      <c r="D487" s="33">
        <f t="shared" si="7"/>
        <v>0</v>
      </c>
    </row>
    <row r="488" spans="1:4" ht="15.5" x14ac:dyDescent="0.35">
      <c r="A488" s="96" t="s">
        <v>90</v>
      </c>
      <c r="B488" s="39">
        <v>7</v>
      </c>
      <c r="C488" s="15"/>
      <c r="D488" s="33">
        <f t="shared" si="7"/>
        <v>0</v>
      </c>
    </row>
    <row r="489" spans="1:4" ht="15" customHeight="1" x14ac:dyDescent="0.35">
      <c r="A489" s="96" t="s">
        <v>20</v>
      </c>
      <c r="B489" s="39">
        <v>8</v>
      </c>
      <c r="C489" s="15"/>
      <c r="D489" s="33">
        <f t="shared" si="7"/>
        <v>0</v>
      </c>
    </row>
    <row r="490" spans="1:4" ht="15.5" x14ac:dyDescent="0.35">
      <c r="A490" s="96" t="s">
        <v>21</v>
      </c>
      <c r="B490" s="39">
        <v>3</v>
      </c>
      <c r="C490" s="15"/>
      <c r="D490" s="33">
        <f t="shared" si="7"/>
        <v>0</v>
      </c>
    </row>
    <row r="491" spans="1:4" ht="15.5" x14ac:dyDescent="0.35">
      <c r="A491" s="96" t="s">
        <v>9</v>
      </c>
      <c r="B491" s="39">
        <v>80</v>
      </c>
      <c r="C491" s="15"/>
      <c r="D491" s="33">
        <f t="shared" si="7"/>
        <v>0</v>
      </c>
    </row>
    <row r="492" spans="1:4" ht="15.5" x14ac:dyDescent="0.35">
      <c r="A492" s="96" t="s">
        <v>10</v>
      </c>
      <c r="B492" s="39">
        <v>80</v>
      </c>
      <c r="C492" s="15"/>
      <c r="D492" s="33">
        <f t="shared" si="7"/>
        <v>0</v>
      </c>
    </row>
    <row r="493" spans="1:4" ht="15.5" x14ac:dyDescent="0.35">
      <c r="A493" s="96" t="s">
        <v>70</v>
      </c>
      <c r="B493" s="39">
        <v>20</v>
      </c>
      <c r="C493" s="15"/>
      <c r="D493" s="33">
        <f t="shared" si="7"/>
        <v>0</v>
      </c>
    </row>
    <row r="494" spans="1:4" ht="15.75" customHeight="1" x14ac:dyDescent="0.35">
      <c r="A494" s="96" t="s">
        <v>71</v>
      </c>
      <c r="B494" s="39">
        <v>20</v>
      </c>
      <c r="C494" s="15"/>
      <c r="D494" s="33">
        <f t="shared" si="7"/>
        <v>0</v>
      </c>
    </row>
    <row r="495" spans="1:4" ht="15.5" x14ac:dyDescent="0.35">
      <c r="A495" s="96" t="s">
        <v>72</v>
      </c>
      <c r="B495" s="39">
        <v>20</v>
      </c>
      <c r="C495" s="15"/>
      <c r="D495" s="33">
        <f t="shared" si="7"/>
        <v>0</v>
      </c>
    </row>
    <row r="496" spans="1:4" ht="15.5" x14ac:dyDescent="0.35">
      <c r="A496" s="96" t="s">
        <v>73</v>
      </c>
      <c r="B496" s="39">
        <v>20</v>
      </c>
      <c r="C496" s="15"/>
      <c r="D496" s="33">
        <f t="shared" si="7"/>
        <v>0</v>
      </c>
    </row>
    <row r="497" spans="1:4" ht="15.75" customHeight="1" x14ac:dyDescent="0.35">
      <c r="A497" s="96" t="s">
        <v>74</v>
      </c>
      <c r="B497" s="39">
        <v>20</v>
      </c>
      <c r="C497" s="15"/>
      <c r="D497" s="33">
        <f t="shared" si="7"/>
        <v>0</v>
      </c>
    </row>
    <row r="498" spans="1:4" ht="17.25" customHeight="1" x14ac:dyDescent="0.35">
      <c r="A498" s="96" t="s">
        <v>75</v>
      </c>
      <c r="B498" s="39">
        <v>20</v>
      </c>
      <c r="C498" s="15"/>
      <c r="D498" s="33">
        <f t="shared" si="7"/>
        <v>0</v>
      </c>
    </row>
    <row r="499" spans="1:4" ht="16.5" customHeight="1" x14ac:dyDescent="0.35">
      <c r="A499" s="96" t="s">
        <v>94</v>
      </c>
      <c r="B499" s="39">
        <v>35</v>
      </c>
      <c r="C499" s="15"/>
      <c r="D499" s="33">
        <f t="shared" si="7"/>
        <v>0</v>
      </c>
    </row>
    <row r="500" spans="1:4" ht="16.5" customHeight="1" x14ac:dyDescent="0.35">
      <c r="A500" s="45" t="s">
        <v>412</v>
      </c>
      <c r="B500" s="39">
        <v>10</v>
      </c>
      <c r="C500" s="15"/>
      <c r="D500" s="33">
        <f t="shared" si="7"/>
        <v>0</v>
      </c>
    </row>
    <row r="501" spans="1:4" ht="15" customHeight="1" x14ac:dyDescent="0.35">
      <c r="A501" s="98" t="s">
        <v>240</v>
      </c>
      <c r="B501" s="39">
        <v>7</v>
      </c>
      <c r="C501" s="15"/>
      <c r="D501" s="33">
        <f t="shared" si="7"/>
        <v>0</v>
      </c>
    </row>
    <row r="502" spans="1:4" ht="15.75" customHeight="1" x14ac:dyDescent="0.35">
      <c r="A502" s="98" t="s">
        <v>241</v>
      </c>
      <c r="B502" s="39">
        <v>10</v>
      </c>
      <c r="C502" s="15"/>
      <c r="D502" s="33">
        <f t="shared" si="7"/>
        <v>0</v>
      </c>
    </row>
    <row r="503" spans="1:4" ht="15.75" customHeight="1" x14ac:dyDescent="0.35">
      <c r="A503" s="98" t="s">
        <v>242</v>
      </c>
      <c r="B503" s="39">
        <v>10</v>
      </c>
      <c r="C503" s="15"/>
      <c r="D503" s="33">
        <f t="shared" si="7"/>
        <v>0</v>
      </c>
    </row>
    <row r="504" spans="1:4" ht="15.5" x14ac:dyDescent="0.35">
      <c r="A504" s="98" t="s">
        <v>243</v>
      </c>
      <c r="B504" s="39">
        <v>60</v>
      </c>
      <c r="C504" s="15"/>
      <c r="D504" s="33">
        <f t="shared" si="7"/>
        <v>0</v>
      </c>
    </row>
    <row r="505" spans="1:4" ht="15.5" x14ac:dyDescent="0.35">
      <c r="A505" s="98" t="s">
        <v>246</v>
      </c>
      <c r="B505" s="39">
        <v>80</v>
      </c>
      <c r="C505" s="15"/>
      <c r="D505" s="33">
        <f t="shared" si="7"/>
        <v>0</v>
      </c>
    </row>
    <row r="506" spans="1:4" ht="15.5" x14ac:dyDescent="0.35">
      <c r="A506" s="98" t="s">
        <v>247</v>
      </c>
      <c r="B506" s="39">
        <v>80</v>
      </c>
      <c r="C506" s="15"/>
      <c r="D506" s="33">
        <f t="shared" si="7"/>
        <v>0</v>
      </c>
    </row>
    <row r="507" spans="1:4" ht="15.5" x14ac:dyDescent="0.35">
      <c r="A507" s="98" t="s">
        <v>244</v>
      </c>
      <c r="B507" s="39">
        <v>5</v>
      </c>
      <c r="C507" s="15"/>
      <c r="D507" s="33">
        <f t="shared" si="7"/>
        <v>0</v>
      </c>
    </row>
    <row r="508" spans="1:4" ht="15.5" x14ac:dyDescent="0.35">
      <c r="A508" s="98" t="s">
        <v>245</v>
      </c>
      <c r="B508" s="39">
        <v>7</v>
      </c>
      <c r="C508" s="15"/>
      <c r="D508" s="33">
        <f t="shared" si="7"/>
        <v>0</v>
      </c>
    </row>
    <row r="509" spans="1:4" ht="15.5" x14ac:dyDescent="0.35">
      <c r="A509" s="45" t="s">
        <v>413</v>
      </c>
      <c r="B509" s="39">
        <v>10</v>
      </c>
      <c r="C509" s="15"/>
      <c r="D509" s="33">
        <f t="shared" si="7"/>
        <v>0</v>
      </c>
    </row>
    <row r="510" spans="1:4" ht="15.5" x14ac:dyDescent="0.35">
      <c r="A510" s="98" t="s">
        <v>240</v>
      </c>
      <c r="B510" s="39">
        <v>7</v>
      </c>
      <c r="C510" s="15"/>
      <c r="D510" s="33">
        <f t="shared" si="7"/>
        <v>0</v>
      </c>
    </row>
    <row r="511" spans="1:4" ht="15.5" x14ac:dyDescent="0.35">
      <c r="A511" s="98" t="s">
        <v>249</v>
      </c>
      <c r="B511" s="39">
        <v>10</v>
      </c>
      <c r="C511" s="15"/>
      <c r="D511" s="33">
        <f t="shared" si="7"/>
        <v>0</v>
      </c>
    </row>
    <row r="512" spans="1:4" ht="15.5" x14ac:dyDescent="0.35">
      <c r="A512" s="98" t="s">
        <v>242</v>
      </c>
      <c r="B512" s="39">
        <v>10</v>
      </c>
      <c r="C512" s="15"/>
      <c r="D512" s="33">
        <f t="shared" si="7"/>
        <v>0</v>
      </c>
    </row>
    <row r="513" spans="1:4" ht="15.5" x14ac:dyDescent="0.35">
      <c r="A513" s="98" t="s">
        <v>243</v>
      </c>
      <c r="B513" s="39">
        <v>60</v>
      </c>
      <c r="C513" s="15"/>
      <c r="D513" s="33">
        <f t="shared" si="7"/>
        <v>0</v>
      </c>
    </row>
    <row r="514" spans="1:4" ht="15.5" x14ac:dyDescent="0.35">
      <c r="A514" s="98" t="s">
        <v>248</v>
      </c>
      <c r="B514" s="39">
        <v>80</v>
      </c>
      <c r="C514" s="15"/>
      <c r="D514" s="33">
        <f t="shared" si="7"/>
        <v>0</v>
      </c>
    </row>
    <row r="515" spans="1:4" ht="15.5" x14ac:dyDescent="0.35">
      <c r="A515" s="98" t="s">
        <v>247</v>
      </c>
      <c r="B515" s="39">
        <v>80</v>
      </c>
      <c r="C515" s="15"/>
      <c r="D515" s="33">
        <f t="shared" si="7"/>
        <v>0</v>
      </c>
    </row>
    <row r="516" spans="1:4" ht="15.5" x14ac:dyDescent="0.35">
      <c r="A516" s="98" t="s">
        <v>244</v>
      </c>
      <c r="B516" s="39">
        <v>5</v>
      </c>
      <c r="C516" s="15"/>
      <c r="D516" s="33">
        <f t="shared" si="7"/>
        <v>0</v>
      </c>
    </row>
    <row r="517" spans="1:4" ht="15.5" x14ac:dyDescent="0.35">
      <c r="A517" s="98" t="s">
        <v>245</v>
      </c>
      <c r="B517" s="39">
        <v>7</v>
      </c>
      <c r="C517" s="15"/>
      <c r="D517" s="33">
        <f t="shared" si="7"/>
        <v>0</v>
      </c>
    </row>
    <row r="518" spans="1:4" ht="15.5" x14ac:dyDescent="0.35">
      <c r="A518" s="45" t="s">
        <v>414</v>
      </c>
      <c r="B518" s="39">
        <v>10</v>
      </c>
      <c r="C518" s="15"/>
      <c r="D518" s="33">
        <f t="shared" si="7"/>
        <v>0</v>
      </c>
    </row>
    <row r="519" spans="1:4" ht="15.5" x14ac:dyDescent="0.35">
      <c r="A519" s="96" t="s">
        <v>23</v>
      </c>
      <c r="B519" s="39">
        <v>7</v>
      </c>
      <c r="C519" s="15"/>
      <c r="D519" s="33">
        <f t="shared" si="7"/>
        <v>0</v>
      </c>
    </row>
    <row r="520" spans="1:4" ht="15.5" x14ac:dyDescent="0.35">
      <c r="A520" s="96" t="s">
        <v>380</v>
      </c>
      <c r="B520" s="39">
        <v>10</v>
      </c>
      <c r="C520" s="15"/>
      <c r="D520" s="33">
        <f t="shared" si="7"/>
        <v>0</v>
      </c>
    </row>
    <row r="521" spans="1:4" ht="15.5" x14ac:dyDescent="0.35">
      <c r="A521" s="96" t="s">
        <v>95</v>
      </c>
      <c r="B521" s="39">
        <v>10</v>
      </c>
      <c r="C521" s="15"/>
      <c r="D521" s="33">
        <f t="shared" si="7"/>
        <v>0</v>
      </c>
    </row>
    <row r="522" spans="1:4" ht="14.25" customHeight="1" x14ac:dyDescent="0.35">
      <c r="A522" s="96" t="s">
        <v>17</v>
      </c>
      <c r="B522" s="39">
        <v>60</v>
      </c>
      <c r="C522" s="15"/>
      <c r="D522" s="33">
        <f t="shared" si="7"/>
        <v>0</v>
      </c>
    </row>
    <row r="523" spans="1:4" ht="15.75" customHeight="1" x14ac:dyDescent="0.35">
      <c r="A523" s="96" t="s">
        <v>86</v>
      </c>
      <c r="B523" s="39">
        <v>80</v>
      </c>
      <c r="C523" s="15"/>
      <c r="D523" s="33">
        <f t="shared" si="7"/>
        <v>0</v>
      </c>
    </row>
    <row r="524" spans="1:4" ht="15" customHeight="1" x14ac:dyDescent="0.35">
      <c r="A524" s="96" t="s">
        <v>87</v>
      </c>
      <c r="B524" s="39">
        <v>80</v>
      </c>
      <c r="C524" s="15"/>
      <c r="D524" s="33">
        <f t="shared" si="7"/>
        <v>0</v>
      </c>
    </row>
    <row r="525" spans="1:4" ht="15.5" x14ac:dyDescent="0.35">
      <c r="A525" s="96" t="s">
        <v>379</v>
      </c>
      <c r="B525" s="39">
        <v>5</v>
      </c>
      <c r="C525" s="15"/>
      <c r="D525" s="33">
        <f t="shared" ref="D525:D532" si="8">SUM(B525*C525)</f>
        <v>0</v>
      </c>
    </row>
    <row r="526" spans="1:4" ht="15.5" x14ac:dyDescent="0.35">
      <c r="A526" s="96" t="s">
        <v>22</v>
      </c>
      <c r="B526" s="39">
        <v>7</v>
      </c>
      <c r="C526" s="15"/>
      <c r="D526" s="33">
        <f t="shared" si="8"/>
        <v>0</v>
      </c>
    </row>
    <row r="527" spans="1:4" ht="15.5" x14ac:dyDescent="0.35">
      <c r="A527" s="45" t="s">
        <v>415</v>
      </c>
      <c r="B527" s="39">
        <v>10</v>
      </c>
      <c r="C527" s="15"/>
      <c r="D527" s="33">
        <f t="shared" si="8"/>
        <v>0</v>
      </c>
    </row>
    <row r="528" spans="1:4" ht="15.5" x14ac:dyDescent="0.35">
      <c r="A528" s="96" t="s">
        <v>23</v>
      </c>
      <c r="B528" s="39">
        <v>7</v>
      </c>
      <c r="C528" s="15"/>
      <c r="D528" s="33">
        <f t="shared" si="8"/>
        <v>0</v>
      </c>
    </row>
    <row r="529" spans="1:4" ht="15.5" x14ac:dyDescent="0.35">
      <c r="A529" s="96" t="s">
        <v>24</v>
      </c>
      <c r="B529" s="39">
        <v>10</v>
      </c>
      <c r="C529" s="15"/>
      <c r="D529" s="33">
        <f t="shared" si="8"/>
        <v>0</v>
      </c>
    </row>
    <row r="530" spans="1:4" ht="15.5" x14ac:dyDescent="0.35">
      <c r="A530" s="96" t="s">
        <v>95</v>
      </c>
      <c r="B530" s="39">
        <v>10</v>
      </c>
      <c r="C530" s="15"/>
      <c r="D530" s="33">
        <f t="shared" si="8"/>
        <v>0</v>
      </c>
    </row>
    <row r="531" spans="1:4" ht="15.5" x14ac:dyDescent="0.35">
      <c r="A531" s="96" t="s">
        <v>96</v>
      </c>
      <c r="B531" s="39">
        <v>5</v>
      </c>
      <c r="C531" s="15"/>
      <c r="D531" s="33">
        <f t="shared" si="8"/>
        <v>0</v>
      </c>
    </row>
    <row r="532" spans="1:4" ht="15.5" x14ac:dyDescent="0.35">
      <c r="A532" s="96" t="s">
        <v>22</v>
      </c>
      <c r="B532" s="39">
        <v>7</v>
      </c>
      <c r="C532" s="15"/>
      <c r="D532" s="33">
        <f t="shared" si="8"/>
        <v>0</v>
      </c>
    </row>
    <row r="533" spans="1:4" ht="18" x14ac:dyDescent="0.35">
      <c r="A533" s="104" t="s">
        <v>363</v>
      </c>
      <c r="B533" s="168"/>
      <c r="C533" s="169"/>
      <c r="D533" s="30">
        <f>SUM(D3:D532)</f>
        <v>0</v>
      </c>
    </row>
    <row r="534" spans="1:4" ht="21" customHeight="1" x14ac:dyDescent="0.35">
      <c r="A534" s="63"/>
      <c r="B534" s="64"/>
      <c r="C534" s="65"/>
      <c r="D534" s="151"/>
    </row>
    <row r="535" spans="1:4" ht="17.5" x14ac:dyDescent="0.35">
      <c r="A535" s="175" t="s">
        <v>98</v>
      </c>
      <c r="B535" s="176"/>
      <c r="C535" s="176"/>
      <c r="D535" s="176"/>
    </row>
    <row r="536" spans="1:4" ht="15.5" x14ac:dyDescent="0.35">
      <c r="A536" s="23" t="s">
        <v>97</v>
      </c>
      <c r="B536" s="27" t="s">
        <v>217</v>
      </c>
      <c r="C536" s="28" t="s">
        <v>0</v>
      </c>
      <c r="D536" s="29" t="s">
        <v>1</v>
      </c>
    </row>
    <row r="537" spans="1:4" ht="15.5" x14ac:dyDescent="0.35">
      <c r="A537" s="43" t="s">
        <v>99</v>
      </c>
      <c r="B537" s="54">
        <v>697</v>
      </c>
      <c r="C537" s="113"/>
      <c r="D537" s="109">
        <f>SUM(B537*C537)</f>
        <v>0</v>
      </c>
    </row>
    <row r="538" spans="1:4" ht="15.5" x14ac:dyDescent="0.35">
      <c r="A538" s="43" t="s">
        <v>100</v>
      </c>
      <c r="B538" s="54">
        <v>697</v>
      </c>
      <c r="C538" s="113"/>
      <c r="D538" s="109">
        <f t="shared" ref="D538:D544" si="9">SUM(B538*C538)</f>
        <v>0</v>
      </c>
    </row>
    <row r="539" spans="1:4" ht="15.5" x14ac:dyDescent="0.35">
      <c r="A539" s="43" t="s">
        <v>101</v>
      </c>
      <c r="B539" s="54">
        <v>697</v>
      </c>
      <c r="C539" s="113"/>
      <c r="D539" s="109">
        <f t="shared" si="9"/>
        <v>0</v>
      </c>
    </row>
    <row r="540" spans="1:4" ht="15.5" x14ac:dyDescent="0.35">
      <c r="A540" s="43" t="s">
        <v>102</v>
      </c>
      <c r="B540" s="54">
        <v>697</v>
      </c>
      <c r="C540" s="113"/>
      <c r="D540" s="109">
        <f t="shared" si="9"/>
        <v>0</v>
      </c>
    </row>
    <row r="541" spans="1:4" ht="15.5" x14ac:dyDescent="0.35">
      <c r="A541" s="43" t="s">
        <v>103</v>
      </c>
      <c r="B541" s="54">
        <v>672</v>
      </c>
      <c r="C541" s="113"/>
      <c r="D541" s="109">
        <f t="shared" si="9"/>
        <v>0</v>
      </c>
    </row>
    <row r="542" spans="1:4" ht="15.5" x14ac:dyDescent="0.35">
      <c r="A542" s="43" t="s">
        <v>104</v>
      </c>
      <c r="B542" s="54">
        <v>672</v>
      </c>
      <c r="C542" s="113"/>
      <c r="D542" s="109">
        <f t="shared" si="9"/>
        <v>0</v>
      </c>
    </row>
    <row r="543" spans="1:4" ht="15.5" x14ac:dyDescent="0.35">
      <c r="A543" s="43" t="s">
        <v>105</v>
      </c>
      <c r="B543" s="54">
        <v>672</v>
      </c>
      <c r="C543" s="113"/>
      <c r="D543" s="109">
        <f t="shared" si="9"/>
        <v>0</v>
      </c>
    </row>
    <row r="544" spans="1:4" ht="15.5" x14ac:dyDescent="0.35">
      <c r="A544" s="43" t="s">
        <v>106</v>
      </c>
      <c r="B544" s="54">
        <v>672</v>
      </c>
      <c r="C544" s="113"/>
      <c r="D544" s="109">
        <f t="shared" si="9"/>
        <v>0</v>
      </c>
    </row>
    <row r="545" spans="1:4" ht="15.5" x14ac:dyDescent="0.35">
      <c r="A545" s="23" t="s">
        <v>250</v>
      </c>
      <c r="B545" s="24" t="s">
        <v>217</v>
      </c>
      <c r="C545" s="25" t="s">
        <v>0</v>
      </c>
      <c r="D545" s="26" t="s">
        <v>1</v>
      </c>
    </row>
    <row r="546" spans="1:4" ht="15.5" x14ac:dyDescent="0.25">
      <c r="A546" s="43" t="s">
        <v>419</v>
      </c>
      <c r="B546" s="54">
        <v>18</v>
      </c>
      <c r="C546" s="43"/>
      <c r="D546" s="54">
        <f>SUM(B546*C546)</f>
        <v>0</v>
      </c>
    </row>
    <row r="547" spans="1:4" ht="15.5" x14ac:dyDescent="0.25">
      <c r="A547" s="108" t="s">
        <v>251</v>
      </c>
      <c r="B547" s="54">
        <v>10</v>
      </c>
      <c r="C547" s="43"/>
      <c r="D547" s="54">
        <f t="shared" ref="D547:D606" si="10">SUM(B547*C547)</f>
        <v>0</v>
      </c>
    </row>
    <row r="548" spans="1:4" ht="15.5" x14ac:dyDescent="0.25">
      <c r="A548" s="108" t="s">
        <v>252</v>
      </c>
      <c r="B548" s="54">
        <v>10</v>
      </c>
      <c r="C548" s="43"/>
      <c r="D548" s="54">
        <f t="shared" si="10"/>
        <v>0</v>
      </c>
    </row>
    <row r="549" spans="1:4" ht="15.5" x14ac:dyDescent="0.25">
      <c r="A549" s="108" t="s">
        <v>253</v>
      </c>
      <c r="B549" s="54">
        <v>10</v>
      </c>
      <c r="C549" s="43"/>
      <c r="D549" s="54">
        <f t="shared" si="10"/>
        <v>0</v>
      </c>
    </row>
    <row r="550" spans="1:4" ht="15.5" x14ac:dyDescent="0.25">
      <c r="A550" s="108" t="s">
        <v>254</v>
      </c>
      <c r="B550" s="54">
        <v>150</v>
      </c>
      <c r="C550" s="43"/>
      <c r="D550" s="54">
        <f t="shared" si="10"/>
        <v>0</v>
      </c>
    </row>
    <row r="551" spans="1:4" ht="15.5" x14ac:dyDescent="0.25">
      <c r="A551" s="108" t="s">
        <v>255</v>
      </c>
      <c r="B551" s="54">
        <v>150</v>
      </c>
      <c r="C551" s="43"/>
      <c r="D551" s="54">
        <f t="shared" si="10"/>
        <v>0</v>
      </c>
    </row>
    <row r="552" spans="1:4" ht="15.5" x14ac:dyDescent="0.25">
      <c r="A552" s="108" t="s">
        <v>256</v>
      </c>
      <c r="B552" s="54">
        <v>25</v>
      </c>
      <c r="C552" s="43"/>
      <c r="D552" s="54">
        <f t="shared" si="10"/>
        <v>0</v>
      </c>
    </row>
    <row r="553" spans="1:4" ht="15.5" x14ac:dyDescent="0.25">
      <c r="A553" s="108" t="s">
        <v>257</v>
      </c>
      <c r="B553" s="54">
        <v>20</v>
      </c>
      <c r="C553" s="43"/>
      <c r="D553" s="54">
        <f t="shared" si="10"/>
        <v>0</v>
      </c>
    </row>
    <row r="554" spans="1:4" ht="15.5" x14ac:dyDescent="0.25">
      <c r="A554" s="108" t="s">
        <v>258</v>
      </c>
      <c r="B554" s="54">
        <v>20</v>
      </c>
      <c r="C554" s="43"/>
      <c r="D554" s="54">
        <f t="shared" si="10"/>
        <v>0</v>
      </c>
    </row>
    <row r="555" spans="1:4" s="48" customFormat="1" ht="15.5" x14ac:dyDescent="0.25">
      <c r="A555" s="108" t="s">
        <v>259</v>
      </c>
      <c r="B555" s="55">
        <v>20</v>
      </c>
      <c r="C555" s="157"/>
      <c r="D555" s="55">
        <f t="shared" si="10"/>
        <v>0</v>
      </c>
    </row>
    <row r="556" spans="1:4" ht="15.5" x14ac:dyDescent="0.25">
      <c r="A556" s="108" t="s">
        <v>260</v>
      </c>
      <c r="B556" s="54">
        <v>20</v>
      </c>
      <c r="C556" s="43"/>
      <c r="D556" s="54">
        <f t="shared" si="10"/>
        <v>0</v>
      </c>
    </row>
    <row r="557" spans="1:4" ht="15.5" x14ac:dyDescent="0.25">
      <c r="A557" s="108" t="s">
        <v>261</v>
      </c>
      <c r="B557" s="54">
        <v>20</v>
      </c>
      <c r="C557" s="43"/>
      <c r="D557" s="54">
        <f t="shared" si="10"/>
        <v>0</v>
      </c>
    </row>
    <row r="558" spans="1:4" ht="15.5" x14ac:dyDescent="0.25">
      <c r="A558" s="108" t="s">
        <v>262</v>
      </c>
      <c r="B558" s="54">
        <v>20</v>
      </c>
      <c r="C558" s="43"/>
      <c r="D558" s="54">
        <f t="shared" si="10"/>
        <v>0</v>
      </c>
    </row>
    <row r="559" spans="1:4" ht="15.5" x14ac:dyDescent="0.25">
      <c r="A559" s="108" t="s">
        <v>263</v>
      </c>
      <c r="B559" s="54">
        <v>20</v>
      </c>
      <c r="C559" s="43"/>
      <c r="D559" s="54">
        <f t="shared" si="10"/>
        <v>0</v>
      </c>
    </row>
    <row r="560" spans="1:4" ht="15.5" x14ac:dyDescent="0.25">
      <c r="A560" s="108" t="s">
        <v>264</v>
      </c>
      <c r="B560" s="54">
        <v>20</v>
      </c>
      <c r="C560" s="43"/>
      <c r="D560" s="54">
        <f t="shared" si="10"/>
        <v>0</v>
      </c>
    </row>
    <row r="561" spans="1:4" ht="15.5" x14ac:dyDescent="0.25">
      <c r="A561" s="108" t="s">
        <v>265</v>
      </c>
      <c r="B561" s="54">
        <v>400</v>
      </c>
      <c r="C561" s="43"/>
      <c r="D561" s="54">
        <f t="shared" si="10"/>
        <v>0</v>
      </c>
    </row>
    <row r="562" spans="1:4" ht="15.5" x14ac:dyDescent="0.25">
      <c r="A562" s="43" t="s">
        <v>418</v>
      </c>
      <c r="B562" s="54">
        <v>18</v>
      </c>
      <c r="C562" s="43"/>
      <c r="D562" s="54">
        <f t="shared" si="10"/>
        <v>0</v>
      </c>
    </row>
    <row r="563" spans="1:4" ht="15.5" x14ac:dyDescent="0.25">
      <c r="A563" s="97" t="s">
        <v>381</v>
      </c>
      <c r="B563" s="54">
        <v>10</v>
      </c>
      <c r="C563" s="43"/>
      <c r="D563" s="54">
        <f t="shared" si="10"/>
        <v>0</v>
      </c>
    </row>
    <row r="564" spans="1:4" ht="15.5" x14ac:dyDescent="0.25">
      <c r="A564" s="97" t="s">
        <v>382</v>
      </c>
      <c r="B564" s="54">
        <v>10</v>
      </c>
      <c r="C564" s="43"/>
      <c r="D564" s="54">
        <f t="shared" si="10"/>
        <v>0</v>
      </c>
    </row>
    <row r="565" spans="1:4" ht="15.5" x14ac:dyDescent="0.25">
      <c r="A565" s="97" t="s">
        <v>383</v>
      </c>
      <c r="B565" s="54">
        <v>10</v>
      </c>
      <c r="C565" s="43"/>
      <c r="D565" s="54">
        <f t="shared" si="10"/>
        <v>0</v>
      </c>
    </row>
    <row r="566" spans="1:4" ht="15.5" x14ac:dyDescent="0.25">
      <c r="A566" s="97" t="s">
        <v>384</v>
      </c>
      <c r="B566" s="54">
        <v>150</v>
      </c>
      <c r="C566" s="43"/>
      <c r="D566" s="54">
        <f t="shared" si="10"/>
        <v>0</v>
      </c>
    </row>
    <row r="567" spans="1:4" ht="15.5" x14ac:dyDescent="0.25">
      <c r="A567" s="97" t="s">
        <v>385</v>
      </c>
      <c r="B567" s="54">
        <v>150</v>
      </c>
      <c r="C567" s="43"/>
      <c r="D567" s="54">
        <f t="shared" si="10"/>
        <v>0</v>
      </c>
    </row>
    <row r="568" spans="1:4" ht="15.5" x14ac:dyDescent="0.25">
      <c r="A568" s="97" t="s">
        <v>386</v>
      </c>
      <c r="B568" s="54">
        <v>25</v>
      </c>
      <c r="C568" s="43"/>
      <c r="D568" s="54">
        <f t="shared" si="10"/>
        <v>0</v>
      </c>
    </row>
    <row r="569" spans="1:4" ht="15.5" x14ac:dyDescent="0.25">
      <c r="A569" s="97" t="s">
        <v>107</v>
      </c>
      <c r="B569" s="54">
        <v>20</v>
      </c>
      <c r="C569" s="43"/>
      <c r="D569" s="54">
        <f t="shared" si="10"/>
        <v>0</v>
      </c>
    </row>
    <row r="570" spans="1:4" ht="15.5" x14ac:dyDescent="0.25">
      <c r="A570" s="97" t="s">
        <v>108</v>
      </c>
      <c r="B570" s="54">
        <v>20</v>
      </c>
      <c r="C570" s="43"/>
      <c r="D570" s="54">
        <f t="shared" si="10"/>
        <v>0</v>
      </c>
    </row>
    <row r="571" spans="1:4" ht="15.5" x14ac:dyDescent="0.25">
      <c r="A571" s="97" t="s">
        <v>114</v>
      </c>
      <c r="B571" s="54">
        <v>20</v>
      </c>
      <c r="C571" s="43"/>
      <c r="D571" s="54">
        <f t="shared" si="10"/>
        <v>0</v>
      </c>
    </row>
    <row r="572" spans="1:4" ht="15.5" x14ac:dyDescent="0.25">
      <c r="A572" s="97" t="s">
        <v>109</v>
      </c>
      <c r="B572" s="54">
        <v>20</v>
      </c>
      <c r="C572" s="43"/>
      <c r="D572" s="54">
        <f t="shared" si="10"/>
        <v>0</v>
      </c>
    </row>
    <row r="573" spans="1:4" ht="15.5" x14ac:dyDescent="0.25">
      <c r="A573" s="97" t="s">
        <v>110</v>
      </c>
      <c r="B573" s="54">
        <v>20</v>
      </c>
      <c r="C573" s="43"/>
      <c r="D573" s="54">
        <f t="shared" si="10"/>
        <v>0</v>
      </c>
    </row>
    <row r="574" spans="1:4" ht="15.5" x14ac:dyDescent="0.25">
      <c r="A574" s="97" t="s">
        <v>111</v>
      </c>
      <c r="B574" s="54">
        <v>20</v>
      </c>
      <c r="C574" s="43"/>
      <c r="D574" s="54">
        <f t="shared" si="10"/>
        <v>0</v>
      </c>
    </row>
    <row r="575" spans="1:4" ht="15.5" x14ac:dyDescent="0.25">
      <c r="A575" s="97" t="s">
        <v>112</v>
      </c>
      <c r="B575" s="54">
        <v>20</v>
      </c>
      <c r="C575" s="43"/>
      <c r="D575" s="54">
        <f t="shared" si="10"/>
        <v>0</v>
      </c>
    </row>
    <row r="576" spans="1:4" ht="15.5" x14ac:dyDescent="0.25">
      <c r="A576" s="97" t="s">
        <v>113</v>
      </c>
      <c r="B576" s="54">
        <v>20</v>
      </c>
      <c r="C576" s="43"/>
      <c r="D576" s="54">
        <f t="shared" si="10"/>
        <v>0</v>
      </c>
    </row>
    <row r="577" spans="1:4" ht="15.5" x14ac:dyDescent="0.25">
      <c r="A577" s="97" t="s">
        <v>387</v>
      </c>
      <c r="B577" s="54">
        <v>400</v>
      </c>
      <c r="C577" s="43"/>
      <c r="D577" s="54">
        <f t="shared" si="10"/>
        <v>0</v>
      </c>
    </row>
    <row r="578" spans="1:4" ht="15.5" x14ac:dyDescent="0.25">
      <c r="A578" s="43" t="s">
        <v>416</v>
      </c>
      <c r="B578" s="54">
        <v>18</v>
      </c>
      <c r="C578" s="43"/>
      <c r="D578" s="54">
        <f t="shared" si="10"/>
        <v>0</v>
      </c>
    </row>
    <row r="579" spans="1:4" ht="15.5" x14ac:dyDescent="0.25">
      <c r="A579" s="108" t="s">
        <v>267</v>
      </c>
      <c r="B579" s="54">
        <v>10</v>
      </c>
      <c r="C579" s="43"/>
      <c r="D579" s="54">
        <f t="shared" si="10"/>
        <v>0</v>
      </c>
    </row>
    <row r="580" spans="1:4" ht="15.5" x14ac:dyDescent="0.25">
      <c r="A580" s="108" t="s">
        <v>268</v>
      </c>
      <c r="B580" s="54">
        <v>10</v>
      </c>
      <c r="C580" s="43"/>
      <c r="D580" s="54">
        <f t="shared" si="10"/>
        <v>0</v>
      </c>
    </row>
    <row r="581" spans="1:4" ht="15.5" x14ac:dyDescent="0.25">
      <c r="A581" s="108" t="s">
        <v>266</v>
      </c>
      <c r="B581" s="54">
        <v>10</v>
      </c>
      <c r="C581" s="43"/>
      <c r="D581" s="54">
        <f t="shared" si="10"/>
        <v>0</v>
      </c>
    </row>
    <row r="582" spans="1:4" ht="15.5" x14ac:dyDescent="0.25">
      <c r="A582" s="108" t="s">
        <v>254</v>
      </c>
      <c r="B582" s="54">
        <v>150</v>
      </c>
      <c r="C582" s="43"/>
      <c r="D582" s="54">
        <f t="shared" si="10"/>
        <v>0</v>
      </c>
    </row>
    <row r="583" spans="1:4" ht="15.5" x14ac:dyDescent="0.25">
      <c r="A583" s="108" t="s">
        <v>255</v>
      </c>
      <c r="B583" s="54">
        <v>150</v>
      </c>
      <c r="C583" s="43"/>
      <c r="D583" s="54">
        <f t="shared" si="10"/>
        <v>0</v>
      </c>
    </row>
    <row r="584" spans="1:4" ht="17.25" customHeight="1" x14ac:dyDescent="0.25">
      <c r="A584" s="108" t="s">
        <v>257</v>
      </c>
      <c r="B584" s="54">
        <v>20</v>
      </c>
      <c r="C584" s="43"/>
      <c r="D584" s="54">
        <f t="shared" si="10"/>
        <v>0</v>
      </c>
    </row>
    <row r="585" spans="1:4" ht="15.5" x14ac:dyDescent="0.25">
      <c r="A585" s="108" t="s">
        <v>258</v>
      </c>
      <c r="B585" s="54">
        <v>20</v>
      </c>
      <c r="C585" s="43"/>
      <c r="D585" s="54">
        <f t="shared" si="10"/>
        <v>0</v>
      </c>
    </row>
    <row r="586" spans="1:4" ht="15.5" x14ac:dyDescent="0.25">
      <c r="A586" s="108" t="s">
        <v>259</v>
      </c>
      <c r="B586" s="54">
        <v>20</v>
      </c>
      <c r="C586" s="43"/>
      <c r="D586" s="54">
        <f t="shared" si="10"/>
        <v>0</v>
      </c>
    </row>
    <row r="587" spans="1:4" ht="15.5" x14ac:dyDescent="0.25">
      <c r="A587" s="108" t="s">
        <v>260</v>
      </c>
      <c r="B587" s="54">
        <v>20</v>
      </c>
      <c r="C587" s="43"/>
      <c r="D587" s="54">
        <f t="shared" si="10"/>
        <v>0</v>
      </c>
    </row>
    <row r="588" spans="1:4" ht="15.5" x14ac:dyDescent="0.25">
      <c r="A588" s="108" t="s">
        <v>261</v>
      </c>
      <c r="B588" s="54">
        <v>20</v>
      </c>
      <c r="C588" s="43"/>
      <c r="D588" s="54">
        <f t="shared" si="10"/>
        <v>0</v>
      </c>
    </row>
    <row r="589" spans="1:4" ht="15.5" x14ac:dyDescent="0.25">
      <c r="A589" s="108" t="s">
        <v>262</v>
      </c>
      <c r="B589" s="54">
        <v>20</v>
      </c>
      <c r="C589" s="43"/>
      <c r="D589" s="54">
        <f t="shared" si="10"/>
        <v>0</v>
      </c>
    </row>
    <row r="590" spans="1:4" ht="15.5" x14ac:dyDescent="0.25">
      <c r="A590" s="108" t="s">
        <v>263</v>
      </c>
      <c r="B590" s="54">
        <v>20</v>
      </c>
      <c r="C590" s="43"/>
      <c r="D590" s="54">
        <f t="shared" si="10"/>
        <v>0</v>
      </c>
    </row>
    <row r="591" spans="1:4" ht="15.5" x14ac:dyDescent="0.25">
      <c r="A591" s="108" t="s">
        <v>264</v>
      </c>
      <c r="B591" s="54">
        <v>20</v>
      </c>
      <c r="C591" s="43"/>
      <c r="D591" s="54">
        <f t="shared" si="10"/>
        <v>0</v>
      </c>
    </row>
    <row r="592" spans="1:4" ht="15.5" x14ac:dyDescent="0.25">
      <c r="A592" s="108" t="s">
        <v>265</v>
      </c>
      <c r="B592" s="54">
        <v>400</v>
      </c>
      <c r="C592" s="43"/>
      <c r="D592" s="54">
        <f t="shared" si="10"/>
        <v>0</v>
      </c>
    </row>
    <row r="593" spans="1:4" ht="15.5" x14ac:dyDescent="0.25">
      <c r="A593" s="43" t="s">
        <v>417</v>
      </c>
      <c r="B593" s="54">
        <v>18</v>
      </c>
      <c r="C593" s="43"/>
      <c r="D593" s="54">
        <f t="shared" si="10"/>
        <v>0</v>
      </c>
    </row>
    <row r="594" spans="1:4" ht="15.5" x14ac:dyDescent="0.25">
      <c r="A594" s="108" t="s">
        <v>269</v>
      </c>
      <c r="B594" s="54">
        <v>10</v>
      </c>
      <c r="C594" s="43"/>
      <c r="D594" s="54">
        <f t="shared" si="10"/>
        <v>0</v>
      </c>
    </row>
    <row r="595" spans="1:4" ht="15.5" x14ac:dyDescent="0.25">
      <c r="A595" s="108" t="s">
        <v>268</v>
      </c>
      <c r="B595" s="54">
        <v>10</v>
      </c>
      <c r="C595" s="43"/>
      <c r="D595" s="54">
        <f t="shared" si="10"/>
        <v>0</v>
      </c>
    </row>
    <row r="596" spans="1:4" ht="15.5" x14ac:dyDescent="0.25">
      <c r="A596" s="108" t="s">
        <v>266</v>
      </c>
      <c r="B596" s="54">
        <v>10</v>
      </c>
      <c r="C596" s="43"/>
      <c r="D596" s="54">
        <f t="shared" si="10"/>
        <v>0</v>
      </c>
    </row>
    <row r="597" spans="1:4" ht="15.5" x14ac:dyDescent="0.25">
      <c r="A597" s="108" t="s">
        <v>254</v>
      </c>
      <c r="B597" s="54">
        <v>150</v>
      </c>
      <c r="C597" s="43"/>
      <c r="D597" s="54">
        <f t="shared" si="10"/>
        <v>0</v>
      </c>
    </row>
    <row r="598" spans="1:4" ht="15.5" x14ac:dyDescent="0.25">
      <c r="A598" s="108" t="s">
        <v>255</v>
      </c>
      <c r="B598" s="54">
        <v>150</v>
      </c>
      <c r="C598" s="43"/>
      <c r="D598" s="54">
        <f t="shared" si="10"/>
        <v>0</v>
      </c>
    </row>
    <row r="599" spans="1:4" ht="15.5" x14ac:dyDescent="0.25">
      <c r="A599" s="108" t="s">
        <v>270</v>
      </c>
      <c r="B599" s="54">
        <v>20</v>
      </c>
      <c r="C599" s="43"/>
      <c r="D599" s="54">
        <f t="shared" si="10"/>
        <v>0</v>
      </c>
    </row>
    <row r="600" spans="1:4" ht="15.5" x14ac:dyDescent="0.25">
      <c r="A600" s="108" t="s">
        <v>271</v>
      </c>
      <c r="B600" s="54">
        <v>20</v>
      </c>
      <c r="C600" s="43"/>
      <c r="D600" s="54">
        <f t="shared" si="10"/>
        <v>0</v>
      </c>
    </row>
    <row r="601" spans="1:4" ht="15.5" x14ac:dyDescent="0.25">
      <c r="A601" s="108" t="s">
        <v>272</v>
      </c>
      <c r="B601" s="54">
        <v>20</v>
      </c>
      <c r="C601" s="43"/>
      <c r="D601" s="54">
        <f t="shared" si="10"/>
        <v>0</v>
      </c>
    </row>
    <row r="602" spans="1:4" ht="15.5" x14ac:dyDescent="0.25">
      <c r="A602" s="108" t="s">
        <v>273</v>
      </c>
      <c r="B602" s="54">
        <v>20</v>
      </c>
      <c r="C602" s="157"/>
      <c r="D602" s="55">
        <f t="shared" si="10"/>
        <v>0</v>
      </c>
    </row>
    <row r="603" spans="1:4" s="48" customFormat="1" ht="15.5" x14ac:dyDescent="0.25">
      <c r="A603" s="108" t="s">
        <v>274</v>
      </c>
      <c r="B603" s="55">
        <v>20</v>
      </c>
      <c r="C603" s="50"/>
      <c r="D603" s="110">
        <f t="shared" si="10"/>
        <v>0</v>
      </c>
    </row>
    <row r="604" spans="1:4" ht="15.5" x14ac:dyDescent="0.25">
      <c r="A604" s="108" t="s">
        <v>275</v>
      </c>
      <c r="B604" s="54">
        <v>20</v>
      </c>
      <c r="C604" s="43"/>
      <c r="D604" s="54">
        <f t="shared" si="10"/>
        <v>0</v>
      </c>
    </row>
    <row r="605" spans="1:4" ht="15.5" x14ac:dyDescent="0.25">
      <c r="A605" s="108" t="s">
        <v>276</v>
      </c>
      <c r="B605" s="54">
        <v>20</v>
      </c>
      <c r="C605" s="43"/>
      <c r="D605" s="54">
        <f t="shared" si="10"/>
        <v>0</v>
      </c>
    </row>
    <row r="606" spans="1:4" ht="15.5" x14ac:dyDescent="0.25">
      <c r="A606" s="108" t="s">
        <v>277</v>
      </c>
      <c r="B606" s="54">
        <v>20</v>
      </c>
      <c r="C606" s="43"/>
      <c r="D606" s="54">
        <f t="shared" si="10"/>
        <v>0</v>
      </c>
    </row>
    <row r="607" spans="1:4" ht="15.5" x14ac:dyDescent="0.25">
      <c r="A607" s="108" t="s">
        <v>265</v>
      </c>
      <c r="B607" s="66">
        <v>400</v>
      </c>
      <c r="C607" s="43"/>
      <c r="D607" s="54"/>
    </row>
    <row r="608" spans="1:4" ht="15.5" x14ac:dyDescent="0.25">
      <c r="A608" s="108" t="s">
        <v>278</v>
      </c>
      <c r="B608" s="66">
        <v>1200</v>
      </c>
      <c r="C608" s="43">
        <v>0</v>
      </c>
      <c r="D608" s="111">
        <f>SUM(B608*C608)</f>
        <v>0</v>
      </c>
    </row>
    <row r="609" spans="1:4" ht="21" customHeight="1" x14ac:dyDescent="0.25">
      <c r="A609" s="103" t="s">
        <v>115</v>
      </c>
      <c r="B609" s="173"/>
      <c r="C609" s="174"/>
      <c r="D609" s="51">
        <f>SUM(D537:D544:D546:D608)</f>
        <v>0</v>
      </c>
    </row>
    <row r="610" spans="1:4" ht="21" customHeight="1" x14ac:dyDescent="0.25">
      <c r="A610" s="67"/>
      <c r="B610" s="68"/>
      <c r="C610" s="68"/>
      <c r="D610" s="152"/>
    </row>
    <row r="611" spans="1:4" ht="16.5" customHeight="1" x14ac:dyDescent="0.25">
      <c r="A611" s="177" t="s">
        <v>116</v>
      </c>
      <c r="B611" s="177"/>
      <c r="C611" s="177"/>
      <c r="D611" s="177"/>
    </row>
    <row r="612" spans="1:4" ht="16.5" customHeight="1" x14ac:dyDescent="0.25">
      <c r="A612" s="160" t="s">
        <v>117</v>
      </c>
      <c r="B612" s="161"/>
      <c r="C612" s="161"/>
      <c r="D612" s="162"/>
    </row>
    <row r="613" spans="1:4" ht="15.5" x14ac:dyDescent="0.25">
      <c r="A613" s="9" t="s">
        <v>118</v>
      </c>
      <c r="B613" s="58" t="s">
        <v>214</v>
      </c>
      <c r="C613" s="58" t="s">
        <v>0</v>
      </c>
      <c r="D613" s="58" t="s">
        <v>1</v>
      </c>
    </row>
    <row r="614" spans="1:4" ht="15.5" x14ac:dyDescent="0.35">
      <c r="A614" s="45" t="s">
        <v>119</v>
      </c>
      <c r="B614" s="56">
        <v>90</v>
      </c>
      <c r="C614" s="18"/>
      <c r="D614" s="112">
        <f>SUM(B614*C614)</f>
        <v>0</v>
      </c>
    </row>
    <row r="615" spans="1:4" ht="15.5" x14ac:dyDescent="0.35">
      <c r="A615" s="43" t="s">
        <v>120</v>
      </c>
      <c r="B615" s="54">
        <v>90</v>
      </c>
      <c r="C615" s="19"/>
      <c r="D615" s="112">
        <f t="shared" ref="D615:D631" si="11">SUM(B615*C615)</f>
        <v>0</v>
      </c>
    </row>
    <row r="616" spans="1:4" ht="15.5" x14ac:dyDescent="0.35">
      <c r="A616" s="43" t="s">
        <v>121</v>
      </c>
      <c r="B616" s="57" t="s">
        <v>48</v>
      </c>
      <c r="C616" s="22"/>
      <c r="D616" s="53"/>
    </row>
    <row r="617" spans="1:4" ht="15.5" x14ac:dyDescent="0.35">
      <c r="A617" s="50" t="s">
        <v>122</v>
      </c>
      <c r="B617" s="54">
        <v>150</v>
      </c>
      <c r="C617" s="18"/>
      <c r="D617" s="112">
        <f t="shared" si="11"/>
        <v>0</v>
      </c>
    </row>
    <row r="618" spans="1:4" ht="15.5" x14ac:dyDescent="0.35">
      <c r="A618" s="50" t="s">
        <v>123</v>
      </c>
      <c r="B618" s="54">
        <v>160</v>
      </c>
      <c r="C618" s="19"/>
      <c r="D618" s="112">
        <f t="shared" si="11"/>
        <v>0</v>
      </c>
    </row>
    <row r="619" spans="1:4" ht="15.5" x14ac:dyDescent="0.35">
      <c r="A619" s="50" t="s">
        <v>124</v>
      </c>
      <c r="B619" s="54">
        <v>160</v>
      </c>
      <c r="C619" s="19"/>
      <c r="D619" s="112">
        <f t="shared" si="11"/>
        <v>0</v>
      </c>
    </row>
    <row r="620" spans="1:4" ht="15.5" x14ac:dyDescent="0.35">
      <c r="A620" s="43" t="s">
        <v>125</v>
      </c>
      <c r="B620" s="57" t="s">
        <v>48</v>
      </c>
      <c r="C620" s="22"/>
      <c r="D620" s="53"/>
    </row>
    <row r="621" spans="1:4" ht="15.5" x14ac:dyDescent="0.35">
      <c r="A621" s="50" t="s">
        <v>122</v>
      </c>
      <c r="B621" s="54">
        <v>150</v>
      </c>
      <c r="C621" s="18"/>
      <c r="D621" s="112">
        <f t="shared" si="11"/>
        <v>0</v>
      </c>
    </row>
    <row r="622" spans="1:4" ht="15.5" x14ac:dyDescent="0.35">
      <c r="A622" s="50" t="s">
        <v>123</v>
      </c>
      <c r="B622" s="54">
        <v>160</v>
      </c>
      <c r="C622" s="19"/>
      <c r="D622" s="112">
        <f t="shared" si="11"/>
        <v>0</v>
      </c>
    </row>
    <row r="623" spans="1:4" ht="15.5" x14ac:dyDescent="0.35">
      <c r="A623" s="50" t="s">
        <v>124</v>
      </c>
      <c r="B623" s="54">
        <v>160</v>
      </c>
      <c r="C623" s="19"/>
      <c r="D623" s="112">
        <f t="shared" si="11"/>
        <v>0</v>
      </c>
    </row>
    <row r="624" spans="1:4" ht="15.5" x14ac:dyDescent="0.35">
      <c r="A624" s="43" t="s">
        <v>126</v>
      </c>
      <c r="B624" s="57" t="s">
        <v>48</v>
      </c>
      <c r="C624" s="22"/>
      <c r="D624" s="53"/>
    </row>
    <row r="625" spans="1:4" ht="15.5" x14ac:dyDescent="0.35">
      <c r="A625" s="50" t="s">
        <v>122</v>
      </c>
      <c r="B625" s="54">
        <v>1020</v>
      </c>
      <c r="C625" s="18"/>
      <c r="D625" s="112">
        <f t="shared" si="11"/>
        <v>0</v>
      </c>
    </row>
    <row r="626" spans="1:4" ht="15.5" x14ac:dyDescent="0.35">
      <c r="A626" s="50" t="s">
        <v>123</v>
      </c>
      <c r="B626" s="54">
        <v>1030</v>
      </c>
      <c r="C626" s="19"/>
      <c r="D626" s="112">
        <f t="shared" si="11"/>
        <v>0</v>
      </c>
    </row>
    <row r="627" spans="1:4" ht="15.5" x14ac:dyDescent="0.35">
      <c r="A627" s="50" t="s">
        <v>124</v>
      </c>
      <c r="B627" s="54">
        <v>1030</v>
      </c>
      <c r="C627" s="19"/>
      <c r="D627" s="112">
        <f t="shared" si="11"/>
        <v>0</v>
      </c>
    </row>
    <row r="628" spans="1:4" ht="15.5" x14ac:dyDescent="0.35">
      <c r="A628" s="43" t="s">
        <v>127</v>
      </c>
      <c r="B628" s="57" t="s">
        <v>48</v>
      </c>
      <c r="C628" s="22"/>
      <c r="D628" s="53"/>
    </row>
    <row r="629" spans="1:4" ht="15.5" x14ac:dyDescent="0.35">
      <c r="A629" s="50" t="s">
        <v>122</v>
      </c>
      <c r="B629" s="54">
        <v>1020</v>
      </c>
      <c r="C629" s="18"/>
      <c r="D629" s="112">
        <f t="shared" si="11"/>
        <v>0</v>
      </c>
    </row>
    <row r="630" spans="1:4" ht="15.5" x14ac:dyDescent="0.35">
      <c r="A630" s="50" t="s">
        <v>123</v>
      </c>
      <c r="B630" s="54">
        <v>1030</v>
      </c>
      <c r="C630" s="19"/>
      <c r="D630" s="112">
        <f t="shared" si="11"/>
        <v>0</v>
      </c>
    </row>
    <row r="631" spans="1:4" ht="15.5" x14ac:dyDescent="0.35">
      <c r="A631" s="50" t="s">
        <v>124</v>
      </c>
      <c r="B631" s="54">
        <v>1030</v>
      </c>
      <c r="C631" s="19"/>
      <c r="D631" s="112">
        <f t="shared" si="11"/>
        <v>0</v>
      </c>
    </row>
    <row r="632" spans="1:4" ht="15" customHeight="1" x14ac:dyDescent="0.25">
      <c r="A632" s="170" t="s">
        <v>128</v>
      </c>
      <c r="B632" s="171"/>
      <c r="C632" s="171"/>
      <c r="D632" s="172"/>
    </row>
    <row r="633" spans="1:4" ht="15.5" x14ac:dyDescent="0.25">
      <c r="A633" s="10" t="s">
        <v>129</v>
      </c>
      <c r="B633" s="10" t="s">
        <v>214</v>
      </c>
      <c r="C633" s="58" t="s">
        <v>0</v>
      </c>
      <c r="D633" s="58" t="s">
        <v>1</v>
      </c>
    </row>
    <row r="634" spans="1:4" ht="15.5" x14ac:dyDescent="0.35">
      <c r="A634" s="43" t="s">
        <v>130</v>
      </c>
      <c r="B634" s="57" t="s">
        <v>48</v>
      </c>
      <c r="C634" s="19"/>
      <c r="D634" s="113"/>
    </row>
    <row r="635" spans="1:4" ht="15.5" x14ac:dyDescent="0.35">
      <c r="A635" s="50" t="s">
        <v>131</v>
      </c>
      <c r="B635" s="54">
        <v>355</v>
      </c>
      <c r="C635" s="19"/>
      <c r="D635" s="109">
        <f>SUM(B635*C635)</f>
        <v>0</v>
      </c>
    </row>
    <row r="636" spans="1:4" ht="15.5" x14ac:dyDescent="0.35">
      <c r="A636" s="50" t="s">
        <v>132</v>
      </c>
      <c r="B636" s="54">
        <v>365</v>
      </c>
      <c r="C636" s="19"/>
      <c r="D636" s="109">
        <f t="shared" ref="D636:D649" si="12">SUM(B636*C636)</f>
        <v>0</v>
      </c>
    </row>
    <row r="637" spans="1:4" ht="15.5" x14ac:dyDescent="0.35">
      <c r="A637" s="50" t="s">
        <v>133</v>
      </c>
      <c r="B637" s="54">
        <v>365</v>
      </c>
      <c r="C637" s="19"/>
      <c r="D637" s="109">
        <f t="shared" si="12"/>
        <v>0</v>
      </c>
    </row>
    <row r="638" spans="1:4" ht="15.5" x14ac:dyDescent="0.35">
      <c r="A638" s="43" t="s">
        <v>134</v>
      </c>
      <c r="B638" s="57" t="s">
        <v>48</v>
      </c>
      <c r="C638" s="19"/>
      <c r="D638" s="53"/>
    </row>
    <row r="639" spans="1:4" ht="15.5" x14ac:dyDescent="0.35">
      <c r="A639" s="50" t="s">
        <v>135</v>
      </c>
      <c r="B639" s="54">
        <v>355</v>
      </c>
      <c r="C639" s="19"/>
      <c r="D639" s="109">
        <f t="shared" si="12"/>
        <v>0</v>
      </c>
    </row>
    <row r="640" spans="1:4" ht="15.5" x14ac:dyDescent="0.35">
      <c r="A640" s="50" t="s">
        <v>132</v>
      </c>
      <c r="B640" s="54">
        <v>365</v>
      </c>
      <c r="C640" s="19"/>
      <c r="D640" s="109">
        <f t="shared" si="12"/>
        <v>0</v>
      </c>
    </row>
    <row r="641" spans="1:4" ht="15.5" x14ac:dyDescent="0.35">
      <c r="A641" s="50" t="s">
        <v>133</v>
      </c>
      <c r="B641" s="54">
        <v>365</v>
      </c>
      <c r="C641" s="19"/>
      <c r="D641" s="109">
        <f t="shared" si="12"/>
        <v>0</v>
      </c>
    </row>
    <row r="642" spans="1:4" ht="15.5" x14ac:dyDescent="0.35">
      <c r="A642" s="43" t="s">
        <v>136</v>
      </c>
      <c r="B642" s="57" t="s">
        <v>48</v>
      </c>
      <c r="C642" s="19"/>
      <c r="D642" s="53"/>
    </row>
    <row r="643" spans="1:4" ht="15.5" x14ac:dyDescent="0.35">
      <c r="A643" s="50" t="s">
        <v>182</v>
      </c>
      <c r="B643" s="54">
        <v>355</v>
      </c>
      <c r="C643" s="19"/>
      <c r="D643" s="109">
        <f t="shared" si="12"/>
        <v>0</v>
      </c>
    </row>
    <row r="644" spans="1:4" ht="15.5" x14ac:dyDescent="0.35">
      <c r="A644" s="50" t="s">
        <v>132</v>
      </c>
      <c r="B644" s="54">
        <v>365</v>
      </c>
      <c r="C644" s="19"/>
      <c r="D644" s="109">
        <f t="shared" si="12"/>
        <v>0</v>
      </c>
    </row>
    <row r="645" spans="1:4" ht="15.5" x14ac:dyDescent="0.35">
      <c r="A645" s="50" t="s">
        <v>133</v>
      </c>
      <c r="B645" s="54">
        <v>365</v>
      </c>
      <c r="C645" s="19"/>
      <c r="D645" s="109">
        <f t="shared" si="12"/>
        <v>0</v>
      </c>
    </row>
    <row r="646" spans="1:4" ht="15.5" x14ac:dyDescent="0.35">
      <c r="A646" s="43" t="s">
        <v>137</v>
      </c>
      <c r="B646" s="57" t="s">
        <v>48</v>
      </c>
      <c r="C646" s="19"/>
      <c r="D646" s="53"/>
    </row>
    <row r="647" spans="1:4" ht="15.5" x14ac:dyDescent="0.35">
      <c r="A647" s="50" t="s">
        <v>135</v>
      </c>
      <c r="B647" s="54">
        <v>355</v>
      </c>
      <c r="C647" s="19"/>
      <c r="D647" s="109">
        <f t="shared" si="12"/>
        <v>0</v>
      </c>
    </row>
    <row r="648" spans="1:4" ht="15.5" x14ac:dyDescent="0.35">
      <c r="A648" s="50" t="s">
        <v>132</v>
      </c>
      <c r="B648" s="54">
        <v>365</v>
      </c>
      <c r="C648" s="19"/>
      <c r="D648" s="109">
        <f t="shared" si="12"/>
        <v>0</v>
      </c>
    </row>
    <row r="649" spans="1:4" ht="15.5" x14ac:dyDescent="0.35">
      <c r="A649" s="50" t="s">
        <v>133</v>
      </c>
      <c r="B649" s="54">
        <v>365</v>
      </c>
      <c r="C649" s="19"/>
      <c r="D649" s="109">
        <f t="shared" si="12"/>
        <v>0</v>
      </c>
    </row>
    <row r="650" spans="1:4" ht="15.5" x14ac:dyDescent="0.35">
      <c r="A650" s="43" t="s">
        <v>138</v>
      </c>
      <c r="B650" s="54">
        <v>325</v>
      </c>
      <c r="C650" s="19"/>
      <c r="D650" s="109">
        <f>SUM(B650*C650)</f>
        <v>0</v>
      </c>
    </row>
    <row r="651" spans="1:4" ht="15.5" x14ac:dyDescent="0.35">
      <c r="A651" s="43" t="s">
        <v>25</v>
      </c>
      <c r="B651" s="54">
        <v>325</v>
      </c>
      <c r="C651" s="19"/>
      <c r="D651" s="109">
        <f t="shared" ref="D651:D703" si="13">SUM(B651*C651)</f>
        <v>0</v>
      </c>
    </row>
    <row r="652" spans="1:4" ht="15.5" x14ac:dyDescent="0.35">
      <c r="A652" s="43" t="s">
        <v>139</v>
      </c>
      <c r="B652" s="57" t="s">
        <v>48</v>
      </c>
      <c r="C652" s="19"/>
      <c r="D652" s="53"/>
    </row>
    <row r="653" spans="1:4" ht="15.5" x14ac:dyDescent="0.35">
      <c r="A653" s="50" t="s">
        <v>131</v>
      </c>
      <c r="B653" s="54">
        <v>355</v>
      </c>
      <c r="C653" s="19"/>
      <c r="D653" s="109">
        <f t="shared" si="13"/>
        <v>0</v>
      </c>
    </row>
    <row r="654" spans="1:4" ht="15.5" x14ac:dyDescent="0.35">
      <c r="A654" s="50" t="s">
        <v>132</v>
      </c>
      <c r="B654" s="54">
        <v>365</v>
      </c>
      <c r="C654" s="19"/>
      <c r="D654" s="109">
        <f t="shared" si="13"/>
        <v>0</v>
      </c>
    </row>
    <row r="655" spans="1:4" ht="15.5" x14ac:dyDescent="0.35">
      <c r="A655" s="50" t="s">
        <v>133</v>
      </c>
      <c r="B655" s="54">
        <v>365</v>
      </c>
      <c r="C655" s="19"/>
      <c r="D655" s="109">
        <f t="shared" si="13"/>
        <v>0</v>
      </c>
    </row>
    <row r="656" spans="1:4" ht="15.5" x14ac:dyDescent="0.35">
      <c r="A656" s="43" t="s">
        <v>140</v>
      </c>
      <c r="B656" s="57" t="s">
        <v>48</v>
      </c>
      <c r="C656" s="19"/>
      <c r="D656" s="53"/>
    </row>
    <row r="657" spans="1:4" ht="15.5" x14ac:dyDescent="0.35">
      <c r="A657" s="50" t="s">
        <v>135</v>
      </c>
      <c r="B657" s="54">
        <v>355</v>
      </c>
      <c r="C657" s="19"/>
      <c r="D657" s="109">
        <f t="shared" si="13"/>
        <v>0</v>
      </c>
    </row>
    <row r="658" spans="1:4" ht="15.5" x14ac:dyDescent="0.35">
      <c r="A658" s="50" t="s">
        <v>132</v>
      </c>
      <c r="B658" s="54">
        <v>365</v>
      </c>
      <c r="C658" s="19"/>
      <c r="D658" s="109">
        <f t="shared" si="13"/>
        <v>0</v>
      </c>
    </row>
    <row r="659" spans="1:4" ht="15.5" x14ac:dyDescent="0.35">
      <c r="A659" s="50" t="s">
        <v>141</v>
      </c>
      <c r="B659" s="54">
        <v>365</v>
      </c>
      <c r="C659" s="19"/>
      <c r="D659" s="109">
        <f t="shared" si="13"/>
        <v>0</v>
      </c>
    </row>
    <row r="660" spans="1:4" ht="15.5" x14ac:dyDescent="0.35">
      <c r="A660" s="43" t="s">
        <v>142</v>
      </c>
      <c r="B660" s="57" t="s">
        <v>48</v>
      </c>
      <c r="C660" s="19"/>
      <c r="D660" s="53"/>
    </row>
    <row r="661" spans="1:4" ht="15.5" x14ac:dyDescent="0.35">
      <c r="A661" s="50" t="s">
        <v>131</v>
      </c>
      <c r="B661" s="54">
        <v>355</v>
      </c>
      <c r="C661" s="19"/>
      <c r="D661" s="109">
        <f t="shared" si="13"/>
        <v>0</v>
      </c>
    </row>
    <row r="662" spans="1:4" ht="15.5" x14ac:dyDescent="0.35">
      <c r="A662" s="50" t="s">
        <v>132</v>
      </c>
      <c r="B662" s="54">
        <v>365</v>
      </c>
      <c r="C662" s="19"/>
      <c r="D662" s="109">
        <f t="shared" si="13"/>
        <v>0</v>
      </c>
    </row>
    <row r="663" spans="1:4" ht="15.5" x14ac:dyDescent="0.35">
      <c r="A663" s="50" t="s">
        <v>133</v>
      </c>
      <c r="B663" s="54">
        <v>365</v>
      </c>
      <c r="C663" s="19"/>
      <c r="D663" s="109">
        <f t="shared" si="13"/>
        <v>0</v>
      </c>
    </row>
    <row r="664" spans="1:4" ht="15.5" x14ac:dyDescent="0.35">
      <c r="A664" s="43" t="s">
        <v>143</v>
      </c>
      <c r="B664" s="57" t="s">
        <v>48</v>
      </c>
      <c r="C664" s="19"/>
      <c r="D664" s="53"/>
    </row>
    <row r="665" spans="1:4" ht="15.5" x14ac:dyDescent="0.35">
      <c r="A665" s="50" t="s">
        <v>135</v>
      </c>
      <c r="B665" s="54">
        <v>355</v>
      </c>
      <c r="C665" s="19"/>
      <c r="D665" s="109">
        <f t="shared" si="13"/>
        <v>0</v>
      </c>
    </row>
    <row r="666" spans="1:4" ht="15.5" x14ac:dyDescent="0.35">
      <c r="A666" s="50" t="s">
        <v>132</v>
      </c>
      <c r="B666" s="54">
        <v>365</v>
      </c>
      <c r="C666" s="19"/>
      <c r="D666" s="109">
        <f t="shared" si="13"/>
        <v>0</v>
      </c>
    </row>
    <row r="667" spans="1:4" ht="15.5" x14ac:dyDescent="0.35">
      <c r="A667" s="50" t="s">
        <v>133</v>
      </c>
      <c r="B667" s="54">
        <v>365</v>
      </c>
      <c r="C667" s="19"/>
      <c r="D667" s="109">
        <f t="shared" si="13"/>
        <v>0</v>
      </c>
    </row>
    <row r="668" spans="1:4" ht="18" x14ac:dyDescent="0.4">
      <c r="A668" s="71" t="s">
        <v>279</v>
      </c>
      <c r="B668" s="69" t="s">
        <v>214</v>
      </c>
      <c r="C668" s="70" t="s">
        <v>0</v>
      </c>
      <c r="D668" s="114" t="s">
        <v>1</v>
      </c>
    </row>
    <row r="669" spans="1:4" ht="15.5" x14ac:dyDescent="0.35">
      <c r="A669" s="43" t="s">
        <v>280</v>
      </c>
      <c r="B669" s="54">
        <v>25</v>
      </c>
      <c r="C669" s="19"/>
      <c r="D669" s="109">
        <f t="shared" si="13"/>
        <v>0</v>
      </c>
    </row>
    <row r="670" spans="1:4" ht="15.5" x14ac:dyDescent="0.35">
      <c r="A670" s="50" t="s">
        <v>281</v>
      </c>
      <c r="B670" s="54">
        <v>20</v>
      </c>
      <c r="C670" s="19"/>
      <c r="D670" s="109">
        <f t="shared" si="13"/>
        <v>0</v>
      </c>
    </row>
    <row r="671" spans="1:4" ht="15.5" x14ac:dyDescent="0.35">
      <c r="A671" s="50" t="s">
        <v>26</v>
      </c>
      <c r="B671" s="54">
        <v>100</v>
      </c>
      <c r="C671" s="19"/>
      <c r="D671" s="109">
        <f t="shared" si="13"/>
        <v>0</v>
      </c>
    </row>
    <row r="672" spans="1:4" ht="15.5" x14ac:dyDescent="0.35">
      <c r="A672" s="50" t="s">
        <v>30</v>
      </c>
      <c r="B672" s="54">
        <v>100</v>
      </c>
      <c r="C672" s="19"/>
      <c r="D672" s="109">
        <f t="shared" si="13"/>
        <v>0</v>
      </c>
    </row>
    <row r="673" spans="1:4" ht="30" customHeight="1" x14ac:dyDescent="0.35">
      <c r="A673" s="50" t="s">
        <v>144</v>
      </c>
      <c r="B673" s="72">
        <v>30</v>
      </c>
      <c r="C673" s="19"/>
      <c r="D673" s="109">
        <f t="shared" si="13"/>
        <v>0</v>
      </c>
    </row>
    <row r="674" spans="1:4" ht="28.5" customHeight="1" x14ac:dyDescent="0.35">
      <c r="A674" s="50" t="s">
        <v>145</v>
      </c>
      <c r="B674" s="72">
        <v>40</v>
      </c>
      <c r="C674" s="19"/>
      <c r="D674" s="109">
        <f t="shared" si="13"/>
        <v>0</v>
      </c>
    </row>
    <row r="675" spans="1:4" ht="29.25" customHeight="1" x14ac:dyDescent="0.35">
      <c r="A675" s="50" t="s">
        <v>146</v>
      </c>
      <c r="B675" s="72">
        <v>40</v>
      </c>
      <c r="C675" s="19"/>
      <c r="D675" s="109">
        <f t="shared" si="13"/>
        <v>0</v>
      </c>
    </row>
    <row r="676" spans="1:4" ht="15.5" x14ac:dyDescent="0.35">
      <c r="A676" s="43" t="s">
        <v>147</v>
      </c>
      <c r="B676" s="54">
        <v>25</v>
      </c>
      <c r="C676" s="19"/>
      <c r="D676" s="109">
        <f t="shared" si="13"/>
        <v>0</v>
      </c>
    </row>
    <row r="677" spans="1:4" ht="15.5" x14ac:dyDescent="0.35">
      <c r="A677" s="50" t="s">
        <v>282</v>
      </c>
      <c r="B677" s="54">
        <v>20</v>
      </c>
      <c r="C677" s="19"/>
      <c r="D677" s="109">
        <f t="shared" si="13"/>
        <v>0</v>
      </c>
    </row>
    <row r="678" spans="1:4" ht="15.5" x14ac:dyDescent="0.35">
      <c r="A678" s="50" t="s">
        <v>26</v>
      </c>
      <c r="B678" s="54">
        <v>100</v>
      </c>
      <c r="C678" s="19"/>
      <c r="D678" s="109">
        <f t="shared" si="13"/>
        <v>0</v>
      </c>
    </row>
    <row r="679" spans="1:4" ht="15.5" x14ac:dyDescent="0.35">
      <c r="A679" s="50" t="s">
        <v>30</v>
      </c>
      <c r="B679" s="54">
        <v>100</v>
      </c>
      <c r="C679" s="19"/>
      <c r="D679" s="109">
        <f t="shared" si="13"/>
        <v>0</v>
      </c>
    </row>
    <row r="680" spans="1:4" ht="17.5" customHeight="1" x14ac:dyDescent="0.35">
      <c r="A680" s="50" t="s">
        <v>27</v>
      </c>
      <c r="B680" s="54">
        <v>30</v>
      </c>
      <c r="C680" s="19"/>
      <c r="D680" s="109">
        <f t="shared" si="13"/>
        <v>0</v>
      </c>
    </row>
    <row r="681" spans="1:4" ht="17.5" customHeight="1" x14ac:dyDescent="0.35">
      <c r="A681" s="50" t="s">
        <v>28</v>
      </c>
      <c r="B681" s="54">
        <v>40</v>
      </c>
      <c r="C681" s="19"/>
      <c r="D681" s="109">
        <f t="shared" si="13"/>
        <v>0</v>
      </c>
    </row>
    <row r="682" spans="1:4" ht="17.5" customHeight="1" x14ac:dyDescent="0.35">
      <c r="A682" s="50" t="s">
        <v>148</v>
      </c>
      <c r="B682" s="54">
        <v>40</v>
      </c>
      <c r="C682" s="19"/>
      <c r="D682" s="109">
        <f t="shared" si="13"/>
        <v>0</v>
      </c>
    </row>
    <row r="683" spans="1:4" ht="15.5" x14ac:dyDescent="0.35">
      <c r="A683" s="43" t="s">
        <v>283</v>
      </c>
      <c r="B683" s="54">
        <v>25</v>
      </c>
      <c r="C683" s="19"/>
      <c r="D683" s="109">
        <f t="shared" si="13"/>
        <v>0</v>
      </c>
    </row>
    <row r="684" spans="1:4" ht="15.5" x14ac:dyDescent="0.35">
      <c r="A684" s="50" t="s">
        <v>284</v>
      </c>
      <c r="B684" s="54">
        <v>20</v>
      </c>
      <c r="C684" s="19"/>
      <c r="D684" s="109">
        <f t="shared" si="13"/>
        <v>0</v>
      </c>
    </row>
    <row r="685" spans="1:4" ht="15.5" x14ac:dyDescent="0.35">
      <c r="A685" s="50" t="s">
        <v>29</v>
      </c>
      <c r="B685" s="54">
        <v>100</v>
      </c>
      <c r="C685" s="19"/>
      <c r="D685" s="109">
        <f t="shared" si="13"/>
        <v>0</v>
      </c>
    </row>
    <row r="686" spans="1:4" ht="15.5" x14ac:dyDescent="0.35">
      <c r="A686" s="50" t="s">
        <v>30</v>
      </c>
      <c r="B686" s="54">
        <v>100</v>
      </c>
      <c r="C686" s="19"/>
      <c r="D686" s="109">
        <f t="shared" si="13"/>
        <v>0</v>
      </c>
    </row>
    <row r="687" spans="1:4" ht="15.5" x14ac:dyDescent="0.35">
      <c r="A687" s="43" t="s">
        <v>285</v>
      </c>
      <c r="B687" s="54">
        <v>25</v>
      </c>
      <c r="C687" s="19"/>
      <c r="D687" s="109">
        <f t="shared" si="13"/>
        <v>0</v>
      </c>
    </row>
    <row r="688" spans="1:4" ht="15.5" x14ac:dyDescent="0.35">
      <c r="A688" s="50" t="s">
        <v>284</v>
      </c>
      <c r="B688" s="54">
        <v>20</v>
      </c>
      <c r="C688" s="19"/>
      <c r="D688" s="109">
        <f t="shared" si="13"/>
        <v>0</v>
      </c>
    </row>
    <row r="689" spans="1:4" ht="15.5" x14ac:dyDescent="0.35">
      <c r="A689" s="50" t="s">
        <v>26</v>
      </c>
      <c r="B689" s="54">
        <v>100</v>
      </c>
      <c r="C689" s="19"/>
      <c r="D689" s="109">
        <f t="shared" si="13"/>
        <v>0</v>
      </c>
    </row>
    <row r="690" spans="1:4" ht="15.5" x14ac:dyDescent="0.35">
      <c r="A690" s="50" t="s">
        <v>30</v>
      </c>
      <c r="B690" s="54">
        <v>100</v>
      </c>
      <c r="C690" s="19"/>
      <c r="D690" s="109">
        <f t="shared" si="13"/>
        <v>0</v>
      </c>
    </row>
    <row r="691" spans="1:4" ht="15.5" x14ac:dyDescent="0.35">
      <c r="A691" s="50" t="s">
        <v>149</v>
      </c>
      <c r="B691" s="54">
        <v>30</v>
      </c>
      <c r="C691" s="19"/>
      <c r="D691" s="109">
        <f t="shared" si="13"/>
        <v>0</v>
      </c>
    </row>
    <row r="692" spans="1:4" ht="15.5" x14ac:dyDescent="0.35">
      <c r="A692" s="50" t="s">
        <v>150</v>
      </c>
      <c r="B692" s="54">
        <v>40</v>
      </c>
      <c r="C692" s="19"/>
      <c r="D692" s="109">
        <f t="shared" si="13"/>
        <v>0</v>
      </c>
    </row>
    <row r="693" spans="1:4" ht="15.5" x14ac:dyDescent="0.35">
      <c r="A693" s="50" t="s">
        <v>151</v>
      </c>
      <c r="B693" s="54">
        <v>40</v>
      </c>
      <c r="C693" s="19"/>
      <c r="D693" s="109">
        <f t="shared" si="13"/>
        <v>0</v>
      </c>
    </row>
    <row r="694" spans="1:4" ht="15.5" x14ac:dyDescent="0.35">
      <c r="A694" s="43" t="s">
        <v>286</v>
      </c>
      <c r="B694" s="54">
        <v>25</v>
      </c>
      <c r="C694" s="19"/>
      <c r="D694" s="109">
        <f t="shared" si="13"/>
        <v>0</v>
      </c>
    </row>
    <row r="695" spans="1:4" ht="15.5" x14ac:dyDescent="0.35">
      <c r="A695" s="50" t="s">
        <v>282</v>
      </c>
      <c r="B695" s="54">
        <v>20</v>
      </c>
      <c r="C695" s="19"/>
      <c r="D695" s="109">
        <f t="shared" si="13"/>
        <v>0</v>
      </c>
    </row>
    <row r="696" spans="1:4" ht="15.5" x14ac:dyDescent="0.35">
      <c r="A696" s="50" t="s">
        <v>26</v>
      </c>
      <c r="B696" s="54">
        <v>100</v>
      </c>
      <c r="C696" s="19"/>
      <c r="D696" s="109">
        <f t="shared" si="13"/>
        <v>0</v>
      </c>
    </row>
    <row r="697" spans="1:4" ht="15.5" x14ac:dyDescent="0.35">
      <c r="A697" s="50" t="s">
        <v>30</v>
      </c>
      <c r="B697" s="54">
        <v>100</v>
      </c>
      <c r="C697" s="19"/>
      <c r="D697" s="109">
        <f t="shared" si="13"/>
        <v>0</v>
      </c>
    </row>
    <row r="698" spans="1:4" ht="15.5" x14ac:dyDescent="0.35">
      <c r="A698" s="50" t="s">
        <v>31</v>
      </c>
      <c r="B698" s="54">
        <v>30</v>
      </c>
      <c r="C698" s="19"/>
      <c r="D698" s="109">
        <f t="shared" si="13"/>
        <v>0</v>
      </c>
    </row>
    <row r="699" spans="1:4" ht="15.5" x14ac:dyDescent="0.35">
      <c r="A699" s="50" t="s">
        <v>32</v>
      </c>
      <c r="B699" s="54">
        <v>40</v>
      </c>
      <c r="C699" s="19"/>
      <c r="D699" s="109">
        <f t="shared" si="13"/>
        <v>0</v>
      </c>
    </row>
    <row r="700" spans="1:4" ht="15.5" x14ac:dyDescent="0.35">
      <c r="A700" s="50" t="s">
        <v>33</v>
      </c>
      <c r="B700" s="54">
        <v>40</v>
      </c>
      <c r="C700" s="19"/>
      <c r="D700" s="109">
        <f t="shared" si="13"/>
        <v>0</v>
      </c>
    </row>
    <row r="701" spans="1:4" ht="15.5" x14ac:dyDescent="0.25">
      <c r="A701" s="9" t="s">
        <v>152</v>
      </c>
      <c r="B701" s="58" t="s">
        <v>214</v>
      </c>
      <c r="C701" s="58" t="s">
        <v>0</v>
      </c>
      <c r="D701" s="58" t="s">
        <v>1</v>
      </c>
    </row>
    <row r="702" spans="1:4" ht="15.5" x14ac:dyDescent="0.35">
      <c r="A702" s="43" t="s">
        <v>287</v>
      </c>
      <c r="B702" s="54">
        <v>100</v>
      </c>
      <c r="C702" s="19"/>
      <c r="D702" s="109">
        <f t="shared" si="13"/>
        <v>0</v>
      </c>
    </row>
    <row r="703" spans="1:4" ht="15.5" x14ac:dyDescent="0.35">
      <c r="A703" s="50" t="s">
        <v>288</v>
      </c>
      <c r="B703" s="54">
        <v>100</v>
      </c>
      <c r="C703" s="19"/>
      <c r="D703" s="109">
        <f t="shared" si="13"/>
        <v>0</v>
      </c>
    </row>
    <row r="704" spans="1:4" ht="19.5" customHeight="1" x14ac:dyDescent="0.4">
      <c r="A704" s="102" t="s">
        <v>393</v>
      </c>
      <c r="B704" s="168"/>
      <c r="C704" s="169"/>
      <c r="D704" s="109">
        <f>SUM(D614:D703)</f>
        <v>0</v>
      </c>
    </row>
    <row r="705" spans="1:4" ht="20.25" customHeight="1" x14ac:dyDescent="0.35">
      <c r="A705" s="99"/>
      <c r="B705" s="64"/>
      <c r="C705" s="65"/>
      <c r="D705" s="153"/>
    </row>
    <row r="706" spans="1:4" ht="19.5" customHeight="1" x14ac:dyDescent="0.25">
      <c r="A706" s="163" t="s">
        <v>289</v>
      </c>
      <c r="B706" s="164"/>
      <c r="C706" s="164"/>
      <c r="D706" s="165"/>
    </row>
    <row r="707" spans="1:4" ht="18" customHeight="1" x14ac:dyDescent="0.25">
      <c r="A707" s="9" t="s">
        <v>290</v>
      </c>
      <c r="B707" s="59" t="s">
        <v>214</v>
      </c>
      <c r="C707" s="59" t="s">
        <v>2</v>
      </c>
      <c r="D707" s="59" t="s">
        <v>1</v>
      </c>
    </row>
    <row r="708" spans="1:4" ht="15.5" x14ac:dyDescent="0.25">
      <c r="A708" s="45" t="s">
        <v>210</v>
      </c>
      <c r="B708" s="39">
        <v>5</v>
      </c>
      <c r="C708" s="15"/>
      <c r="D708" s="39">
        <f>SUM(B708*C708)</f>
        <v>0</v>
      </c>
    </row>
    <row r="709" spans="1:4" ht="16.5" customHeight="1" x14ac:dyDescent="0.25">
      <c r="A709" s="45" t="s">
        <v>211</v>
      </c>
      <c r="B709" s="39">
        <v>10</v>
      </c>
      <c r="C709" s="15"/>
      <c r="D709" s="39">
        <f>SUM(B709*C709)</f>
        <v>0</v>
      </c>
    </row>
    <row r="710" spans="1:4" ht="15.5" x14ac:dyDescent="0.25">
      <c r="A710" s="45" t="s">
        <v>212</v>
      </c>
      <c r="B710" s="39">
        <v>10</v>
      </c>
      <c r="C710" s="15"/>
      <c r="D710" s="39">
        <f>SUM(B710*C710)</f>
        <v>0</v>
      </c>
    </row>
    <row r="711" spans="1:4" ht="15.5" x14ac:dyDescent="0.25">
      <c r="A711" s="45" t="s">
        <v>155</v>
      </c>
      <c r="B711" s="39">
        <v>110</v>
      </c>
      <c r="C711" s="15"/>
      <c r="D711" s="39">
        <f>SUM(B711*C711)</f>
        <v>0</v>
      </c>
    </row>
    <row r="712" spans="1:4" ht="15.5" x14ac:dyDescent="0.25">
      <c r="A712" s="45" t="s">
        <v>156</v>
      </c>
      <c r="B712" s="39">
        <v>3</v>
      </c>
      <c r="C712" s="15"/>
      <c r="D712" s="39">
        <f>SUM(B712*C712)</f>
        <v>0</v>
      </c>
    </row>
    <row r="713" spans="1:4" ht="15.5" x14ac:dyDescent="0.35">
      <c r="A713" s="45" t="s">
        <v>157</v>
      </c>
      <c r="B713" s="141" t="s">
        <v>48</v>
      </c>
      <c r="C713" s="139"/>
      <c r="D713" s="140"/>
    </row>
    <row r="714" spans="1:4" ht="15.5" x14ac:dyDescent="0.25">
      <c r="A714" s="44" t="s">
        <v>49</v>
      </c>
      <c r="B714" s="39">
        <v>230</v>
      </c>
      <c r="C714" s="15"/>
      <c r="D714" s="39">
        <f>SUM(B714*C714)</f>
        <v>0</v>
      </c>
    </row>
    <row r="715" spans="1:4" ht="15.5" x14ac:dyDescent="0.25">
      <c r="A715" s="44" t="s">
        <v>51</v>
      </c>
      <c r="B715" s="39">
        <v>300</v>
      </c>
      <c r="C715" s="15"/>
      <c r="D715" s="39">
        <f>SUM(B715*C715)</f>
        <v>0</v>
      </c>
    </row>
    <row r="716" spans="1:4" ht="15.5" x14ac:dyDescent="0.25">
      <c r="A716" s="44" t="s">
        <v>50</v>
      </c>
      <c r="B716" s="39">
        <v>300</v>
      </c>
      <c r="C716" s="15"/>
      <c r="D716" s="39">
        <f>SUM(B716*C716)</f>
        <v>0</v>
      </c>
    </row>
    <row r="717" spans="1:4" ht="15.5" x14ac:dyDescent="0.25">
      <c r="A717" s="12" t="s">
        <v>291</v>
      </c>
      <c r="B717" s="61" t="s">
        <v>214</v>
      </c>
      <c r="C717" s="61" t="s">
        <v>2</v>
      </c>
      <c r="D717" s="61" t="s">
        <v>1</v>
      </c>
    </row>
    <row r="718" spans="1:4" ht="15.5" x14ac:dyDescent="0.25">
      <c r="A718" s="45" t="s">
        <v>7</v>
      </c>
      <c r="B718" s="39">
        <v>7</v>
      </c>
      <c r="C718" s="15"/>
      <c r="D718" s="39">
        <f>SUM(B718*C718)</f>
        <v>0</v>
      </c>
    </row>
    <row r="719" spans="1:4" ht="15.5" x14ac:dyDescent="0.25">
      <c r="A719" s="45" t="s">
        <v>8</v>
      </c>
      <c r="B719" s="39">
        <v>77</v>
      </c>
      <c r="C719" s="15"/>
      <c r="D719" s="39">
        <f>SUM(B719*C719)</f>
        <v>0</v>
      </c>
    </row>
    <row r="720" spans="1:4" ht="15.5" x14ac:dyDescent="0.25">
      <c r="A720" s="45" t="s">
        <v>158</v>
      </c>
      <c r="B720" s="39">
        <v>5</v>
      </c>
      <c r="C720" s="15"/>
      <c r="D720" s="39">
        <f>SUM(B720*C720)</f>
        <v>0</v>
      </c>
    </row>
    <row r="721" spans="1:4" ht="15.5" x14ac:dyDescent="0.25">
      <c r="A721" s="12" t="s">
        <v>292</v>
      </c>
      <c r="B721" s="61" t="s">
        <v>214</v>
      </c>
      <c r="C721" s="61" t="s">
        <v>0</v>
      </c>
      <c r="D721" s="61" t="s">
        <v>1</v>
      </c>
    </row>
    <row r="722" spans="1:4" ht="15.5" x14ac:dyDescent="0.35">
      <c r="A722" s="45" t="s">
        <v>159</v>
      </c>
      <c r="B722" s="140"/>
      <c r="C722" s="139"/>
      <c r="D722" s="139"/>
    </row>
    <row r="723" spans="1:4" ht="15.5" x14ac:dyDescent="0.25">
      <c r="A723" s="44" t="s">
        <v>160</v>
      </c>
      <c r="B723" s="39">
        <v>2</v>
      </c>
      <c r="C723" s="15"/>
      <c r="D723" s="39">
        <f t="shared" ref="D723:D752" si="14">SUM(B723*C723)</f>
        <v>0</v>
      </c>
    </row>
    <row r="724" spans="1:4" ht="15.5" x14ac:dyDescent="0.25">
      <c r="A724" s="44" t="s">
        <v>161</v>
      </c>
      <c r="B724" s="39">
        <v>2</v>
      </c>
      <c r="C724" s="15"/>
      <c r="D724" s="39">
        <f t="shared" si="14"/>
        <v>0</v>
      </c>
    </row>
    <row r="725" spans="1:4" ht="15.5" x14ac:dyDescent="0.25">
      <c r="A725" s="44" t="s">
        <v>162</v>
      </c>
      <c r="B725" s="39">
        <v>2</v>
      </c>
      <c r="C725" s="15"/>
      <c r="D725" s="39">
        <f t="shared" si="14"/>
        <v>0</v>
      </c>
    </row>
    <row r="726" spans="1:4" ht="15.5" x14ac:dyDescent="0.25">
      <c r="A726" s="44" t="s">
        <v>163</v>
      </c>
      <c r="B726" s="39">
        <v>2</v>
      </c>
      <c r="C726" s="15"/>
      <c r="D726" s="39">
        <f t="shared" si="14"/>
        <v>0</v>
      </c>
    </row>
    <row r="727" spans="1:4" ht="15.5" x14ac:dyDescent="0.25">
      <c r="A727" s="44" t="s">
        <v>164</v>
      </c>
      <c r="B727" s="39">
        <v>2</v>
      </c>
      <c r="C727" s="15"/>
      <c r="D727" s="39">
        <f t="shared" si="14"/>
        <v>0</v>
      </c>
    </row>
    <row r="728" spans="1:4" ht="15.5" x14ac:dyDescent="0.25">
      <c r="A728" s="44" t="s">
        <v>165</v>
      </c>
      <c r="B728" s="39">
        <v>2</v>
      </c>
      <c r="C728" s="15"/>
      <c r="D728" s="39">
        <f t="shared" si="14"/>
        <v>0</v>
      </c>
    </row>
    <row r="729" spans="1:4" ht="15.5" x14ac:dyDescent="0.25">
      <c r="A729" s="44" t="s">
        <v>293</v>
      </c>
      <c r="B729" s="39">
        <v>2</v>
      </c>
      <c r="C729" s="15"/>
      <c r="D729" s="39">
        <f t="shared" si="14"/>
        <v>0</v>
      </c>
    </row>
    <row r="730" spans="1:4" ht="15.5" x14ac:dyDescent="0.25">
      <c r="A730" s="44" t="s">
        <v>294</v>
      </c>
      <c r="B730" s="39">
        <v>2</v>
      </c>
      <c r="C730" s="15"/>
      <c r="D730" s="39">
        <f t="shared" si="14"/>
        <v>0</v>
      </c>
    </row>
    <row r="731" spans="1:4" ht="15.5" x14ac:dyDescent="0.25">
      <c r="A731" s="44" t="s">
        <v>295</v>
      </c>
      <c r="B731" s="39">
        <v>2</v>
      </c>
      <c r="C731" s="15"/>
      <c r="D731" s="39">
        <f t="shared" si="14"/>
        <v>0</v>
      </c>
    </row>
    <row r="732" spans="1:4" ht="15.5" x14ac:dyDescent="0.25">
      <c r="A732" s="44" t="s">
        <v>183</v>
      </c>
      <c r="B732" s="39">
        <v>2</v>
      </c>
      <c r="C732" s="15"/>
      <c r="D732" s="39">
        <f t="shared" si="14"/>
        <v>0</v>
      </c>
    </row>
    <row r="733" spans="1:4" ht="15.5" x14ac:dyDescent="0.25">
      <c r="A733" s="44" t="s">
        <v>184</v>
      </c>
      <c r="B733" s="39">
        <v>2</v>
      </c>
      <c r="C733" s="15"/>
      <c r="D733" s="39">
        <f t="shared" si="14"/>
        <v>0</v>
      </c>
    </row>
    <row r="734" spans="1:4" ht="15.5" x14ac:dyDescent="0.25">
      <c r="A734" s="44" t="s">
        <v>185</v>
      </c>
      <c r="B734" s="39">
        <v>2</v>
      </c>
      <c r="C734" s="15"/>
      <c r="D734" s="39">
        <f t="shared" si="14"/>
        <v>0</v>
      </c>
    </row>
    <row r="735" spans="1:4" ht="15.5" x14ac:dyDescent="0.25">
      <c r="A735" s="44" t="s">
        <v>186</v>
      </c>
      <c r="B735" s="39">
        <v>2</v>
      </c>
      <c r="C735" s="15"/>
      <c r="D735" s="39">
        <f t="shared" si="14"/>
        <v>0</v>
      </c>
    </row>
    <row r="736" spans="1:4" ht="15.5" x14ac:dyDescent="0.25">
      <c r="A736" s="44" t="s">
        <v>187</v>
      </c>
      <c r="B736" s="39">
        <v>2</v>
      </c>
      <c r="C736" s="15"/>
      <c r="D736" s="39">
        <f t="shared" si="14"/>
        <v>0</v>
      </c>
    </row>
    <row r="737" spans="1:4" ht="15.5" x14ac:dyDescent="0.25">
      <c r="A737" s="44" t="s">
        <v>188</v>
      </c>
      <c r="B737" s="39">
        <v>2</v>
      </c>
      <c r="C737" s="15"/>
      <c r="D737" s="39">
        <f t="shared" si="14"/>
        <v>0</v>
      </c>
    </row>
    <row r="738" spans="1:4" ht="15.5" x14ac:dyDescent="0.25">
      <c r="A738" s="44" t="s">
        <v>189</v>
      </c>
      <c r="B738" s="39">
        <v>2</v>
      </c>
      <c r="C738" s="15"/>
      <c r="D738" s="39">
        <f t="shared" si="14"/>
        <v>0</v>
      </c>
    </row>
    <row r="739" spans="1:4" ht="15.5" x14ac:dyDescent="0.25">
      <c r="A739" s="44" t="s">
        <v>190</v>
      </c>
      <c r="B739" s="39">
        <v>2</v>
      </c>
      <c r="C739" s="15"/>
      <c r="D739" s="39">
        <f t="shared" si="14"/>
        <v>0</v>
      </c>
    </row>
    <row r="740" spans="1:4" ht="15.5" x14ac:dyDescent="0.25">
      <c r="A740" s="44" t="s">
        <v>191</v>
      </c>
      <c r="B740" s="39">
        <v>2</v>
      </c>
      <c r="C740" s="15"/>
      <c r="D740" s="39">
        <f t="shared" si="14"/>
        <v>0</v>
      </c>
    </row>
    <row r="741" spans="1:4" ht="15.5" x14ac:dyDescent="0.25">
      <c r="A741" s="44" t="s">
        <v>192</v>
      </c>
      <c r="B741" s="39">
        <v>2</v>
      </c>
      <c r="C741" s="15"/>
      <c r="D741" s="39">
        <f t="shared" si="14"/>
        <v>0</v>
      </c>
    </row>
    <row r="742" spans="1:4" ht="15.5" x14ac:dyDescent="0.25">
      <c r="A742" s="44" t="s">
        <v>193</v>
      </c>
      <c r="B742" s="39">
        <v>2</v>
      </c>
      <c r="C742" s="15"/>
      <c r="D742" s="39">
        <f t="shared" si="14"/>
        <v>0</v>
      </c>
    </row>
    <row r="743" spans="1:4" ht="15.5" x14ac:dyDescent="0.25">
      <c r="A743" s="44" t="s">
        <v>194</v>
      </c>
      <c r="B743" s="39">
        <v>2</v>
      </c>
      <c r="C743" s="15"/>
      <c r="D743" s="39">
        <f t="shared" si="14"/>
        <v>0</v>
      </c>
    </row>
    <row r="744" spans="1:4" ht="15.5" x14ac:dyDescent="0.25">
      <c r="A744" s="44" t="s">
        <v>195</v>
      </c>
      <c r="B744" s="39">
        <v>2</v>
      </c>
      <c r="C744" s="15"/>
      <c r="D744" s="39">
        <f t="shared" si="14"/>
        <v>0</v>
      </c>
    </row>
    <row r="745" spans="1:4" ht="15.5" x14ac:dyDescent="0.25">
      <c r="A745" s="44" t="s">
        <v>196</v>
      </c>
      <c r="B745" s="39">
        <v>2</v>
      </c>
      <c r="C745" s="15"/>
      <c r="D745" s="39">
        <f t="shared" si="14"/>
        <v>0</v>
      </c>
    </row>
    <row r="746" spans="1:4" ht="15.5" x14ac:dyDescent="0.25">
      <c r="A746" s="44" t="s">
        <v>197</v>
      </c>
      <c r="B746" s="39">
        <v>2</v>
      </c>
      <c r="C746" s="15"/>
      <c r="D746" s="39">
        <f t="shared" si="14"/>
        <v>0</v>
      </c>
    </row>
    <row r="747" spans="1:4" ht="15.5" x14ac:dyDescent="0.25">
      <c r="A747" s="44" t="s">
        <v>198</v>
      </c>
      <c r="B747" s="39">
        <v>2</v>
      </c>
      <c r="C747" s="15"/>
      <c r="D747" s="39">
        <f t="shared" si="14"/>
        <v>0</v>
      </c>
    </row>
    <row r="748" spans="1:4" ht="15.5" x14ac:dyDescent="0.25">
      <c r="A748" s="44" t="s">
        <v>199</v>
      </c>
      <c r="B748" s="39">
        <v>2</v>
      </c>
      <c r="C748" s="15"/>
      <c r="D748" s="39">
        <f t="shared" si="14"/>
        <v>0</v>
      </c>
    </row>
    <row r="749" spans="1:4" ht="15.5" x14ac:dyDescent="0.25">
      <c r="A749" s="44" t="s">
        <v>200</v>
      </c>
      <c r="B749" s="39">
        <v>2</v>
      </c>
      <c r="C749" s="15"/>
      <c r="D749" s="39">
        <f t="shared" si="14"/>
        <v>0</v>
      </c>
    </row>
    <row r="750" spans="1:4" ht="15.5" x14ac:dyDescent="0.25">
      <c r="A750" s="44" t="s">
        <v>201</v>
      </c>
      <c r="B750" s="39">
        <v>2</v>
      </c>
      <c r="C750" s="15"/>
      <c r="D750" s="39">
        <f t="shared" si="14"/>
        <v>0</v>
      </c>
    </row>
    <row r="751" spans="1:4" ht="15.5" x14ac:dyDescent="0.25">
      <c r="A751" s="44" t="s">
        <v>202</v>
      </c>
      <c r="B751" s="39">
        <v>2</v>
      </c>
      <c r="C751" s="15"/>
      <c r="D751" s="39">
        <f t="shared" si="14"/>
        <v>0</v>
      </c>
    </row>
    <row r="752" spans="1:4" ht="15.5" x14ac:dyDescent="0.25">
      <c r="A752" s="44" t="s">
        <v>203</v>
      </c>
      <c r="B752" s="39">
        <v>2</v>
      </c>
      <c r="C752" s="15"/>
      <c r="D752" s="39">
        <f t="shared" si="14"/>
        <v>0</v>
      </c>
    </row>
    <row r="753" spans="1:8" ht="15.5" x14ac:dyDescent="0.35">
      <c r="A753" s="45" t="s">
        <v>166</v>
      </c>
      <c r="B753" s="138"/>
      <c r="C753" s="139"/>
      <c r="D753" s="140"/>
    </row>
    <row r="754" spans="1:8" ht="15.5" x14ac:dyDescent="0.25">
      <c r="A754" s="44" t="s">
        <v>167</v>
      </c>
      <c r="B754" s="49">
        <v>12.5</v>
      </c>
      <c r="C754" s="46"/>
      <c r="D754" s="62">
        <f t="shared" ref="D754:D759" si="15">SUM(B754*C754)</f>
        <v>0</v>
      </c>
    </row>
    <row r="755" spans="1:8" ht="15.5" x14ac:dyDescent="0.25">
      <c r="A755" s="44" t="s">
        <v>168</v>
      </c>
      <c r="B755" s="39">
        <v>12.5</v>
      </c>
      <c r="C755" s="15"/>
      <c r="D755" s="39">
        <f t="shared" si="15"/>
        <v>0</v>
      </c>
    </row>
    <row r="756" spans="1:8" ht="15.5" x14ac:dyDescent="0.25">
      <c r="A756" s="44" t="s">
        <v>169</v>
      </c>
      <c r="B756" s="39">
        <v>12.5</v>
      </c>
      <c r="C756" s="15"/>
      <c r="D756" s="39">
        <f t="shared" si="15"/>
        <v>0</v>
      </c>
    </row>
    <row r="757" spans="1:8" ht="15.5" x14ac:dyDescent="0.25">
      <c r="A757" s="44" t="s">
        <v>170</v>
      </c>
      <c r="B757" s="39">
        <v>12.5</v>
      </c>
      <c r="C757" s="15"/>
      <c r="D757" s="39">
        <f t="shared" si="15"/>
        <v>0</v>
      </c>
    </row>
    <row r="758" spans="1:8" ht="15.5" x14ac:dyDescent="0.25">
      <c r="A758" s="44" t="s">
        <v>171</v>
      </c>
      <c r="B758" s="39">
        <v>12.5</v>
      </c>
      <c r="C758" s="15"/>
      <c r="D758" s="39">
        <f t="shared" si="15"/>
        <v>0</v>
      </c>
    </row>
    <row r="759" spans="1:8" ht="15.5" x14ac:dyDescent="0.25">
      <c r="A759" s="50" t="s">
        <v>5</v>
      </c>
      <c r="B759" s="54">
        <v>14</v>
      </c>
      <c r="C759" s="43"/>
      <c r="D759" s="39">
        <f t="shared" si="15"/>
        <v>0</v>
      </c>
    </row>
    <row r="760" spans="1:8" ht="18" x14ac:dyDescent="0.25">
      <c r="A760" s="105" t="s">
        <v>388</v>
      </c>
      <c r="B760" s="166"/>
      <c r="C760" s="167"/>
      <c r="D760" s="115">
        <f>SUM(D708:D759)</f>
        <v>0</v>
      </c>
    </row>
    <row r="761" spans="1:8" ht="21" customHeight="1" x14ac:dyDescent="0.35">
      <c r="A761" s="94"/>
      <c r="B761" s="95"/>
      <c r="C761" s="95"/>
      <c r="D761" s="116"/>
    </row>
    <row r="762" spans="1:8" ht="20" x14ac:dyDescent="0.4">
      <c r="A762" s="100" t="s">
        <v>389</v>
      </c>
      <c r="B762" s="88"/>
      <c r="C762" s="11"/>
      <c r="D762" s="79"/>
      <c r="E762" s="90"/>
      <c r="F762" s="121"/>
      <c r="G762" s="122"/>
      <c r="H762" s="121"/>
    </row>
    <row r="763" spans="1:8" ht="15" customHeight="1" x14ac:dyDescent="0.35">
      <c r="A763" s="87"/>
      <c r="B763" s="73" t="s">
        <v>154</v>
      </c>
      <c r="C763" s="60"/>
      <c r="D763" s="80"/>
      <c r="E763" s="92" t="s">
        <v>154</v>
      </c>
      <c r="F763" s="123"/>
      <c r="G763" s="124"/>
      <c r="H763" s="123"/>
    </row>
    <row r="764" spans="1:8" ht="20.25" customHeight="1" x14ac:dyDescent="0.25">
      <c r="A764" s="86" t="s">
        <v>153</v>
      </c>
      <c r="B764" s="74" t="s">
        <v>3</v>
      </c>
      <c r="C764" s="61" t="s">
        <v>0</v>
      </c>
      <c r="D764" s="81" t="s">
        <v>4</v>
      </c>
      <c r="E764" s="89" t="s">
        <v>296</v>
      </c>
      <c r="F764" s="91" t="s">
        <v>0</v>
      </c>
      <c r="G764" s="91" t="s">
        <v>4</v>
      </c>
      <c r="H764" s="91" t="s">
        <v>1</v>
      </c>
    </row>
    <row r="765" spans="1:8" ht="15.5" x14ac:dyDescent="0.35">
      <c r="A765" s="18" t="s">
        <v>297</v>
      </c>
      <c r="B765" s="77">
        <v>80</v>
      </c>
      <c r="C765" s="53"/>
      <c r="D765" s="82">
        <f t="shared" ref="D765:D828" si="16">SUM(B765*C765)</f>
        <v>0</v>
      </c>
      <c r="E765" s="84">
        <v>0.5</v>
      </c>
      <c r="F765" s="125"/>
      <c r="G765" s="126">
        <f>E765*F765</f>
        <v>0</v>
      </c>
      <c r="H765" s="127">
        <f>D765+G765</f>
        <v>0</v>
      </c>
    </row>
    <row r="766" spans="1:8" ht="15.5" x14ac:dyDescent="0.35">
      <c r="A766" s="45" t="s">
        <v>324</v>
      </c>
      <c r="B766" s="76">
        <v>80</v>
      </c>
      <c r="C766" s="15"/>
      <c r="D766" s="82">
        <f t="shared" si="16"/>
        <v>0</v>
      </c>
      <c r="E766" s="84">
        <v>0.5</v>
      </c>
      <c r="F766" s="125"/>
      <c r="G766" s="126">
        <f t="shared" ref="G766:G829" si="17">E766*F766</f>
        <v>0</v>
      </c>
      <c r="H766" s="127">
        <f t="shared" ref="H766:H829" si="18">D766+G766</f>
        <v>0</v>
      </c>
    </row>
    <row r="767" spans="1:8" ht="15.5" x14ac:dyDescent="0.35">
      <c r="A767" s="45" t="s">
        <v>326</v>
      </c>
      <c r="B767" s="76">
        <v>80</v>
      </c>
      <c r="C767" s="15"/>
      <c r="D767" s="82">
        <f t="shared" si="16"/>
        <v>0</v>
      </c>
      <c r="E767" s="84">
        <v>0.5</v>
      </c>
      <c r="F767" s="125"/>
      <c r="G767" s="126">
        <f t="shared" si="17"/>
        <v>0</v>
      </c>
      <c r="H767" s="127">
        <f t="shared" si="18"/>
        <v>0</v>
      </c>
    </row>
    <row r="768" spans="1:8" ht="15.5" x14ac:dyDescent="0.35">
      <c r="A768" s="18" t="s">
        <v>298</v>
      </c>
      <c r="B768" s="77">
        <v>80</v>
      </c>
      <c r="C768" s="75"/>
      <c r="D768" s="83">
        <f t="shared" si="16"/>
        <v>0</v>
      </c>
      <c r="E768" s="85">
        <v>0.5</v>
      </c>
      <c r="F768" s="128"/>
      <c r="G768" s="126">
        <f t="shared" si="17"/>
        <v>0</v>
      </c>
      <c r="H768" s="127">
        <f t="shared" si="18"/>
        <v>0</v>
      </c>
    </row>
    <row r="769" spans="1:8" ht="15.5" x14ac:dyDescent="0.35">
      <c r="A769" s="45" t="s">
        <v>327</v>
      </c>
      <c r="B769" s="76">
        <v>80</v>
      </c>
      <c r="C769" s="15"/>
      <c r="D769" s="82">
        <f t="shared" si="16"/>
        <v>0</v>
      </c>
      <c r="E769" s="84">
        <v>0.5</v>
      </c>
      <c r="F769" s="125"/>
      <c r="G769" s="126">
        <f t="shared" si="17"/>
        <v>0</v>
      </c>
      <c r="H769" s="127">
        <f t="shared" si="18"/>
        <v>0</v>
      </c>
    </row>
    <row r="770" spans="1:8" ht="15.5" x14ac:dyDescent="0.35">
      <c r="A770" s="45" t="s">
        <v>299</v>
      </c>
      <c r="B770" s="76">
        <v>80</v>
      </c>
      <c r="C770" s="15"/>
      <c r="D770" s="82">
        <f t="shared" si="16"/>
        <v>0</v>
      </c>
      <c r="E770" s="84">
        <v>0.5</v>
      </c>
      <c r="F770" s="125"/>
      <c r="G770" s="126">
        <f t="shared" si="17"/>
        <v>0</v>
      </c>
      <c r="H770" s="127">
        <f t="shared" si="18"/>
        <v>0</v>
      </c>
    </row>
    <row r="771" spans="1:8" ht="15.5" x14ac:dyDescent="0.35">
      <c r="A771" s="45" t="s">
        <v>328</v>
      </c>
      <c r="B771" s="76">
        <v>80</v>
      </c>
      <c r="C771" s="15"/>
      <c r="D771" s="82">
        <f t="shared" si="16"/>
        <v>0</v>
      </c>
      <c r="E771" s="84">
        <v>0.5</v>
      </c>
      <c r="F771" s="125"/>
      <c r="G771" s="126">
        <f t="shared" si="17"/>
        <v>0</v>
      </c>
      <c r="H771" s="127">
        <f t="shared" si="18"/>
        <v>0</v>
      </c>
    </row>
    <row r="772" spans="1:8" ht="15.5" x14ac:dyDescent="0.35">
      <c r="A772" s="45" t="s">
        <v>300</v>
      </c>
      <c r="B772" s="76">
        <v>80</v>
      </c>
      <c r="C772" s="15"/>
      <c r="D772" s="82">
        <f t="shared" si="16"/>
        <v>0</v>
      </c>
      <c r="E772" s="84">
        <v>0.5</v>
      </c>
      <c r="F772" s="125"/>
      <c r="G772" s="126">
        <f t="shared" si="17"/>
        <v>0</v>
      </c>
      <c r="H772" s="127">
        <f t="shared" si="18"/>
        <v>0</v>
      </c>
    </row>
    <row r="773" spans="1:8" ht="15.5" x14ac:dyDescent="0.35">
      <c r="A773" s="45" t="s">
        <v>329</v>
      </c>
      <c r="B773" s="76">
        <v>80</v>
      </c>
      <c r="C773" s="15"/>
      <c r="D773" s="82">
        <f t="shared" si="16"/>
        <v>0</v>
      </c>
      <c r="E773" s="84">
        <v>0.5</v>
      </c>
      <c r="F773" s="125"/>
      <c r="G773" s="126">
        <f t="shared" si="17"/>
        <v>0</v>
      </c>
      <c r="H773" s="127">
        <f t="shared" si="18"/>
        <v>0</v>
      </c>
    </row>
    <row r="774" spans="1:8" ht="15.5" x14ac:dyDescent="0.35">
      <c r="A774" s="45" t="s">
        <v>301</v>
      </c>
      <c r="B774" s="76">
        <v>80</v>
      </c>
      <c r="C774" s="15"/>
      <c r="D774" s="82">
        <f t="shared" si="16"/>
        <v>0</v>
      </c>
      <c r="E774" s="84">
        <v>0.5</v>
      </c>
      <c r="F774" s="125"/>
      <c r="G774" s="126">
        <f t="shared" si="17"/>
        <v>0</v>
      </c>
      <c r="H774" s="127">
        <f t="shared" si="18"/>
        <v>0</v>
      </c>
    </row>
    <row r="775" spans="1:8" ht="15.5" x14ac:dyDescent="0.35">
      <c r="A775" s="45" t="s">
        <v>330</v>
      </c>
      <c r="B775" s="76">
        <v>80</v>
      </c>
      <c r="C775" s="15"/>
      <c r="D775" s="82">
        <f t="shared" si="16"/>
        <v>0</v>
      </c>
      <c r="E775" s="84">
        <v>0.5</v>
      </c>
      <c r="F775" s="125"/>
      <c r="G775" s="126">
        <f t="shared" si="17"/>
        <v>0</v>
      </c>
      <c r="H775" s="127">
        <f t="shared" si="18"/>
        <v>0</v>
      </c>
    </row>
    <row r="776" spans="1:8" ht="15.5" x14ac:dyDescent="0.35">
      <c r="A776" s="45" t="s">
        <v>302</v>
      </c>
      <c r="B776" s="76">
        <v>80</v>
      </c>
      <c r="C776" s="15"/>
      <c r="D776" s="82">
        <f t="shared" si="16"/>
        <v>0</v>
      </c>
      <c r="E776" s="84">
        <v>0.5</v>
      </c>
      <c r="F776" s="125"/>
      <c r="G776" s="126">
        <f t="shared" si="17"/>
        <v>0</v>
      </c>
      <c r="H776" s="127">
        <f t="shared" si="18"/>
        <v>0</v>
      </c>
    </row>
    <row r="777" spans="1:8" ht="15.5" x14ac:dyDescent="0.35">
      <c r="A777" s="45" t="s">
        <v>331</v>
      </c>
      <c r="B777" s="76">
        <v>80</v>
      </c>
      <c r="C777" s="15"/>
      <c r="D777" s="82">
        <f t="shared" si="16"/>
        <v>0</v>
      </c>
      <c r="E777" s="84">
        <v>0.5</v>
      </c>
      <c r="F777" s="125"/>
      <c r="G777" s="126">
        <f t="shared" si="17"/>
        <v>0</v>
      </c>
      <c r="H777" s="127">
        <f t="shared" si="18"/>
        <v>0</v>
      </c>
    </row>
    <row r="778" spans="1:8" ht="15.5" x14ac:dyDescent="0.35">
      <c r="A778" s="45" t="s">
        <v>325</v>
      </c>
      <c r="B778" s="76">
        <v>80</v>
      </c>
      <c r="C778" s="15"/>
      <c r="D778" s="82">
        <f t="shared" si="16"/>
        <v>0</v>
      </c>
      <c r="E778" s="84">
        <v>0.5</v>
      </c>
      <c r="F778" s="125"/>
      <c r="G778" s="126">
        <f t="shared" si="17"/>
        <v>0</v>
      </c>
      <c r="H778" s="127">
        <f t="shared" si="18"/>
        <v>0</v>
      </c>
    </row>
    <row r="779" spans="1:8" ht="15.5" x14ac:dyDescent="0.35">
      <c r="A779" s="45" t="s">
        <v>332</v>
      </c>
      <c r="B779" s="76">
        <v>80</v>
      </c>
      <c r="C779" s="15"/>
      <c r="D779" s="82">
        <f t="shared" si="16"/>
        <v>0</v>
      </c>
      <c r="E779" s="84">
        <v>0.5</v>
      </c>
      <c r="F779" s="125"/>
      <c r="G779" s="126">
        <f t="shared" si="17"/>
        <v>0</v>
      </c>
      <c r="H779" s="127">
        <f t="shared" si="18"/>
        <v>0</v>
      </c>
    </row>
    <row r="780" spans="1:8" ht="15.5" x14ac:dyDescent="0.35">
      <c r="A780" s="45" t="s">
        <v>303</v>
      </c>
      <c r="B780" s="76">
        <v>80</v>
      </c>
      <c r="C780" s="15"/>
      <c r="D780" s="82">
        <f t="shared" si="16"/>
        <v>0</v>
      </c>
      <c r="E780" s="84">
        <v>0.5</v>
      </c>
      <c r="F780" s="125"/>
      <c r="G780" s="126">
        <f t="shared" si="17"/>
        <v>0</v>
      </c>
      <c r="H780" s="127">
        <f t="shared" si="18"/>
        <v>0</v>
      </c>
    </row>
    <row r="781" spans="1:8" ht="15.5" x14ac:dyDescent="0.35">
      <c r="A781" s="45" t="s">
        <v>333</v>
      </c>
      <c r="B781" s="76">
        <v>80</v>
      </c>
      <c r="C781" s="15"/>
      <c r="D781" s="82">
        <f t="shared" si="16"/>
        <v>0</v>
      </c>
      <c r="E781" s="84">
        <v>0.5</v>
      </c>
      <c r="F781" s="125"/>
      <c r="G781" s="126">
        <f t="shared" si="17"/>
        <v>0</v>
      </c>
      <c r="H781" s="127">
        <f t="shared" si="18"/>
        <v>0</v>
      </c>
    </row>
    <row r="782" spans="1:8" ht="15.5" x14ac:dyDescent="0.35">
      <c r="A782" s="45" t="s">
        <v>304</v>
      </c>
      <c r="B782" s="76">
        <v>80</v>
      </c>
      <c r="C782" s="15"/>
      <c r="D782" s="82">
        <f t="shared" si="16"/>
        <v>0</v>
      </c>
      <c r="E782" s="84">
        <v>0.5</v>
      </c>
      <c r="F782" s="125"/>
      <c r="G782" s="126">
        <f t="shared" si="17"/>
        <v>0</v>
      </c>
      <c r="H782" s="127">
        <f t="shared" si="18"/>
        <v>0</v>
      </c>
    </row>
    <row r="783" spans="1:8" ht="15.5" x14ac:dyDescent="0.35">
      <c r="A783" s="45" t="s">
        <v>334</v>
      </c>
      <c r="B783" s="76">
        <v>80</v>
      </c>
      <c r="C783" s="15"/>
      <c r="D783" s="82">
        <f t="shared" si="16"/>
        <v>0</v>
      </c>
      <c r="E783" s="84">
        <v>0.5</v>
      </c>
      <c r="F783" s="125"/>
      <c r="G783" s="126">
        <f t="shared" si="17"/>
        <v>0</v>
      </c>
      <c r="H783" s="127">
        <f t="shared" si="18"/>
        <v>0</v>
      </c>
    </row>
    <row r="784" spans="1:8" ht="15.5" x14ac:dyDescent="0.35">
      <c r="A784" s="45" t="s">
        <v>305</v>
      </c>
      <c r="B784" s="76">
        <v>80</v>
      </c>
      <c r="C784" s="15"/>
      <c r="D784" s="82">
        <f t="shared" si="16"/>
        <v>0</v>
      </c>
      <c r="E784" s="84">
        <v>0.5</v>
      </c>
      <c r="F784" s="125"/>
      <c r="G784" s="126">
        <f t="shared" si="17"/>
        <v>0</v>
      </c>
      <c r="H784" s="127">
        <f t="shared" si="18"/>
        <v>0</v>
      </c>
    </row>
    <row r="785" spans="1:8" ht="15.5" x14ac:dyDescent="0.35">
      <c r="A785" s="45" t="s">
        <v>335</v>
      </c>
      <c r="B785" s="76">
        <v>80</v>
      </c>
      <c r="C785" s="15"/>
      <c r="D785" s="82">
        <f t="shared" si="16"/>
        <v>0</v>
      </c>
      <c r="E785" s="84">
        <v>0.5</v>
      </c>
      <c r="F785" s="125"/>
      <c r="G785" s="126">
        <f t="shared" si="17"/>
        <v>0</v>
      </c>
      <c r="H785" s="127">
        <f t="shared" si="18"/>
        <v>0</v>
      </c>
    </row>
    <row r="786" spans="1:8" ht="15.5" x14ac:dyDescent="0.35">
      <c r="A786" s="45" t="s">
        <v>306</v>
      </c>
      <c r="B786" s="76">
        <v>80</v>
      </c>
      <c r="C786" s="15"/>
      <c r="D786" s="82">
        <f t="shared" si="16"/>
        <v>0</v>
      </c>
      <c r="E786" s="84">
        <v>0.5</v>
      </c>
      <c r="F786" s="125"/>
      <c r="G786" s="126">
        <f t="shared" si="17"/>
        <v>0</v>
      </c>
      <c r="H786" s="127">
        <f t="shared" si="18"/>
        <v>0</v>
      </c>
    </row>
    <row r="787" spans="1:8" ht="15.5" x14ac:dyDescent="0.35">
      <c r="A787" s="45" t="s">
        <v>336</v>
      </c>
      <c r="B787" s="76">
        <v>80</v>
      </c>
      <c r="C787" s="15"/>
      <c r="D787" s="82">
        <f t="shared" si="16"/>
        <v>0</v>
      </c>
      <c r="E787" s="84">
        <v>0.5</v>
      </c>
      <c r="F787" s="125"/>
      <c r="G787" s="126">
        <f t="shared" si="17"/>
        <v>0</v>
      </c>
      <c r="H787" s="127">
        <f t="shared" si="18"/>
        <v>0</v>
      </c>
    </row>
    <row r="788" spans="1:8" ht="15.5" x14ac:dyDescent="0.35">
      <c r="A788" s="45" t="s">
        <v>307</v>
      </c>
      <c r="B788" s="76">
        <v>80</v>
      </c>
      <c r="C788" s="15"/>
      <c r="D788" s="82">
        <f t="shared" si="16"/>
        <v>0</v>
      </c>
      <c r="E788" s="84">
        <v>0.5</v>
      </c>
      <c r="F788" s="125"/>
      <c r="G788" s="126">
        <f t="shared" si="17"/>
        <v>0</v>
      </c>
      <c r="H788" s="127">
        <f t="shared" si="18"/>
        <v>0</v>
      </c>
    </row>
    <row r="789" spans="1:8" ht="15.5" x14ac:dyDescent="0.35">
      <c r="A789" s="45" t="s">
        <v>337</v>
      </c>
      <c r="B789" s="76">
        <v>80</v>
      </c>
      <c r="C789" s="15"/>
      <c r="D789" s="82">
        <f t="shared" si="16"/>
        <v>0</v>
      </c>
      <c r="E789" s="84">
        <v>0.5</v>
      </c>
      <c r="F789" s="125"/>
      <c r="G789" s="126">
        <f t="shared" si="17"/>
        <v>0</v>
      </c>
      <c r="H789" s="127">
        <f t="shared" si="18"/>
        <v>0</v>
      </c>
    </row>
    <row r="790" spans="1:8" ht="15.5" x14ac:dyDescent="0.35">
      <c r="A790" s="45" t="s">
        <v>308</v>
      </c>
      <c r="B790" s="76">
        <v>80</v>
      </c>
      <c r="C790" s="15"/>
      <c r="D790" s="82">
        <f t="shared" si="16"/>
        <v>0</v>
      </c>
      <c r="E790" s="84">
        <v>0.5</v>
      </c>
      <c r="F790" s="125"/>
      <c r="G790" s="126">
        <f t="shared" si="17"/>
        <v>0</v>
      </c>
      <c r="H790" s="127">
        <f t="shared" si="18"/>
        <v>0</v>
      </c>
    </row>
    <row r="791" spans="1:8" ht="15.5" x14ac:dyDescent="0.35">
      <c r="A791" s="45" t="s">
        <v>338</v>
      </c>
      <c r="B791" s="76">
        <v>80</v>
      </c>
      <c r="C791" s="15"/>
      <c r="D791" s="82">
        <f t="shared" si="16"/>
        <v>0</v>
      </c>
      <c r="E791" s="84">
        <v>0.5</v>
      </c>
      <c r="F791" s="125"/>
      <c r="G791" s="126">
        <f t="shared" si="17"/>
        <v>0</v>
      </c>
      <c r="H791" s="127">
        <f t="shared" si="18"/>
        <v>0</v>
      </c>
    </row>
    <row r="792" spans="1:8" ht="15.5" x14ac:dyDescent="0.35">
      <c r="A792" s="45" t="s">
        <v>309</v>
      </c>
      <c r="B792" s="76">
        <v>80</v>
      </c>
      <c r="C792" s="15"/>
      <c r="D792" s="82">
        <f t="shared" si="16"/>
        <v>0</v>
      </c>
      <c r="E792" s="84">
        <v>0.5</v>
      </c>
      <c r="F792" s="125"/>
      <c r="G792" s="126">
        <f t="shared" si="17"/>
        <v>0</v>
      </c>
      <c r="H792" s="127">
        <f t="shared" si="18"/>
        <v>0</v>
      </c>
    </row>
    <row r="793" spans="1:8" ht="15.5" x14ac:dyDescent="0.35">
      <c r="A793" s="45" t="s">
        <v>339</v>
      </c>
      <c r="B793" s="76">
        <v>80</v>
      </c>
      <c r="C793" s="15"/>
      <c r="D793" s="82">
        <f t="shared" si="16"/>
        <v>0</v>
      </c>
      <c r="E793" s="84">
        <v>0.5</v>
      </c>
      <c r="F793" s="125"/>
      <c r="G793" s="126">
        <f t="shared" si="17"/>
        <v>0</v>
      </c>
      <c r="H793" s="127">
        <f t="shared" si="18"/>
        <v>0</v>
      </c>
    </row>
    <row r="794" spans="1:8" ht="15.5" x14ac:dyDescent="0.35">
      <c r="A794" s="45" t="s">
        <v>310</v>
      </c>
      <c r="B794" s="76">
        <v>80</v>
      </c>
      <c r="C794" s="15"/>
      <c r="D794" s="82">
        <f t="shared" si="16"/>
        <v>0</v>
      </c>
      <c r="E794" s="84">
        <v>0.5</v>
      </c>
      <c r="F794" s="125"/>
      <c r="G794" s="126">
        <f t="shared" si="17"/>
        <v>0</v>
      </c>
      <c r="H794" s="127">
        <f t="shared" si="18"/>
        <v>0</v>
      </c>
    </row>
    <row r="795" spans="1:8" ht="15.5" x14ac:dyDescent="0.35">
      <c r="A795" s="45" t="s">
        <v>340</v>
      </c>
      <c r="B795" s="76">
        <v>80</v>
      </c>
      <c r="C795" s="15"/>
      <c r="D795" s="82">
        <f t="shared" si="16"/>
        <v>0</v>
      </c>
      <c r="E795" s="84">
        <v>0.5</v>
      </c>
      <c r="F795" s="125"/>
      <c r="G795" s="126">
        <f t="shared" si="17"/>
        <v>0</v>
      </c>
      <c r="H795" s="127">
        <f t="shared" si="18"/>
        <v>0</v>
      </c>
    </row>
    <row r="796" spans="1:8" ht="15.5" x14ac:dyDescent="0.35">
      <c r="A796" s="45" t="s">
        <v>311</v>
      </c>
      <c r="B796" s="76">
        <v>80</v>
      </c>
      <c r="C796" s="15"/>
      <c r="D796" s="82">
        <f t="shared" si="16"/>
        <v>0</v>
      </c>
      <c r="E796" s="84">
        <v>0.5</v>
      </c>
      <c r="F796" s="125"/>
      <c r="G796" s="126">
        <f t="shared" si="17"/>
        <v>0</v>
      </c>
      <c r="H796" s="127">
        <f t="shared" si="18"/>
        <v>0</v>
      </c>
    </row>
    <row r="797" spans="1:8" ht="15.5" x14ac:dyDescent="0.35">
      <c r="A797" s="45" t="s">
        <v>341</v>
      </c>
      <c r="B797" s="76">
        <v>80</v>
      </c>
      <c r="C797" s="15"/>
      <c r="D797" s="82">
        <f t="shared" si="16"/>
        <v>0</v>
      </c>
      <c r="E797" s="84">
        <v>0.5</v>
      </c>
      <c r="F797" s="125"/>
      <c r="G797" s="126">
        <f t="shared" si="17"/>
        <v>0</v>
      </c>
      <c r="H797" s="127">
        <f t="shared" si="18"/>
        <v>0</v>
      </c>
    </row>
    <row r="798" spans="1:8" ht="15.5" x14ac:dyDescent="0.35">
      <c r="A798" s="45" t="s">
        <v>312</v>
      </c>
      <c r="B798" s="76">
        <v>80</v>
      </c>
      <c r="C798" s="15"/>
      <c r="D798" s="82">
        <f t="shared" si="16"/>
        <v>0</v>
      </c>
      <c r="E798" s="84">
        <v>0.5</v>
      </c>
      <c r="F798" s="125"/>
      <c r="G798" s="126">
        <f t="shared" si="17"/>
        <v>0</v>
      </c>
      <c r="H798" s="127">
        <f t="shared" si="18"/>
        <v>0</v>
      </c>
    </row>
    <row r="799" spans="1:8" ht="15.5" x14ac:dyDescent="0.35">
      <c r="A799" s="45" t="s">
        <v>342</v>
      </c>
      <c r="B799" s="76">
        <v>80</v>
      </c>
      <c r="C799" s="15"/>
      <c r="D799" s="82">
        <f t="shared" si="16"/>
        <v>0</v>
      </c>
      <c r="E799" s="84">
        <v>0.5</v>
      </c>
      <c r="F799" s="125"/>
      <c r="G799" s="126">
        <f t="shared" si="17"/>
        <v>0</v>
      </c>
      <c r="H799" s="127">
        <f t="shared" si="18"/>
        <v>0</v>
      </c>
    </row>
    <row r="800" spans="1:8" ht="15.5" x14ac:dyDescent="0.35">
      <c r="A800" s="45" t="s">
        <v>313</v>
      </c>
      <c r="B800" s="76">
        <v>80</v>
      </c>
      <c r="C800" s="15"/>
      <c r="D800" s="82">
        <f t="shared" si="16"/>
        <v>0</v>
      </c>
      <c r="E800" s="84">
        <v>0.5</v>
      </c>
      <c r="F800" s="125"/>
      <c r="G800" s="126">
        <f t="shared" si="17"/>
        <v>0</v>
      </c>
      <c r="H800" s="127">
        <f t="shared" si="18"/>
        <v>0</v>
      </c>
    </row>
    <row r="801" spans="1:8" ht="15.5" x14ac:dyDescent="0.35">
      <c r="A801" s="45" t="s">
        <v>343</v>
      </c>
      <c r="B801" s="76">
        <v>80</v>
      </c>
      <c r="C801" s="15"/>
      <c r="D801" s="82">
        <f t="shared" si="16"/>
        <v>0</v>
      </c>
      <c r="E801" s="84">
        <v>0.5</v>
      </c>
      <c r="F801" s="125"/>
      <c r="G801" s="126">
        <f t="shared" si="17"/>
        <v>0</v>
      </c>
      <c r="H801" s="127">
        <f t="shared" si="18"/>
        <v>0</v>
      </c>
    </row>
    <row r="802" spans="1:8" ht="15.5" x14ac:dyDescent="0.35">
      <c r="A802" s="45" t="s">
        <v>314</v>
      </c>
      <c r="B802" s="76">
        <v>80</v>
      </c>
      <c r="C802" s="15"/>
      <c r="D802" s="82">
        <f t="shared" si="16"/>
        <v>0</v>
      </c>
      <c r="E802" s="84">
        <v>0.5</v>
      </c>
      <c r="F802" s="125"/>
      <c r="G802" s="126">
        <f t="shared" si="17"/>
        <v>0</v>
      </c>
      <c r="H802" s="127">
        <f t="shared" si="18"/>
        <v>0</v>
      </c>
    </row>
    <row r="803" spans="1:8" ht="15.5" x14ac:dyDescent="0.35">
      <c r="A803" s="45" t="s">
        <v>344</v>
      </c>
      <c r="B803" s="76">
        <v>80</v>
      </c>
      <c r="C803" s="15"/>
      <c r="D803" s="82">
        <f t="shared" si="16"/>
        <v>0</v>
      </c>
      <c r="E803" s="84">
        <v>0.5</v>
      </c>
      <c r="F803" s="125"/>
      <c r="G803" s="126">
        <f t="shared" si="17"/>
        <v>0</v>
      </c>
      <c r="H803" s="127">
        <f t="shared" si="18"/>
        <v>0</v>
      </c>
    </row>
    <row r="804" spans="1:8" ht="15.5" x14ac:dyDescent="0.35">
      <c r="A804" s="45" t="s">
        <v>315</v>
      </c>
      <c r="B804" s="76">
        <v>80</v>
      </c>
      <c r="C804" s="15"/>
      <c r="D804" s="82">
        <f t="shared" si="16"/>
        <v>0</v>
      </c>
      <c r="E804" s="84">
        <v>0.5</v>
      </c>
      <c r="F804" s="125"/>
      <c r="G804" s="126">
        <f t="shared" si="17"/>
        <v>0</v>
      </c>
      <c r="H804" s="127">
        <f t="shared" si="18"/>
        <v>0</v>
      </c>
    </row>
    <row r="805" spans="1:8" ht="15.5" x14ac:dyDescent="0.35">
      <c r="A805" s="45" t="s">
        <v>345</v>
      </c>
      <c r="B805" s="76">
        <v>80</v>
      </c>
      <c r="C805" s="15"/>
      <c r="D805" s="82">
        <f t="shared" si="16"/>
        <v>0</v>
      </c>
      <c r="E805" s="84">
        <v>0.5</v>
      </c>
      <c r="F805" s="125"/>
      <c r="G805" s="126">
        <f t="shared" si="17"/>
        <v>0</v>
      </c>
      <c r="H805" s="127">
        <f t="shared" si="18"/>
        <v>0</v>
      </c>
    </row>
    <row r="806" spans="1:8" ht="15.5" x14ac:dyDescent="0.35">
      <c r="A806" s="45" t="s">
        <v>316</v>
      </c>
      <c r="B806" s="76">
        <v>80</v>
      </c>
      <c r="C806" s="15"/>
      <c r="D806" s="82">
        <f t="shared" si="16"/>
        <v>0</v>
      </c>
      <c r="E806" s="84">
        <v>0.5</v>
      </c>
      <c r="F806" s="125"/>
      <c r="G806" s="126">
        <f t="shared" si="17"/>
        <v>0</v>
      </c>
      <c r="H806" s="127">
        <f t="shared" si="18"/>
        <v>0</v>
      </c>
    </row>
    <row r="807" spans="1:8" ht="15.5" x14ac:dyDescent="0.35">
      <c r="A807" s="45" t="s">
        <v>346</v>
      </c>
      <c r="B807" s="76">
        <v>80</v>
      </c>
      <c r="C807" s="15"/>
      <c r="D807" s="82">
        <f t="shared" si="16"/>
        <v>0</v>
      </c>
      <c r="E807" s="84">
        <v>0.5</v>
      </c>
      <c r="F807" s="125"/>
      <c r="G807" s="126">
        <f t="shared" si="17"/>
        <v>0</v>
      </c>
      <c r="H807" s="127">
        <f t="shared" si="18"/>
        <v>0</v>
      </c>
    </row>
    <row r="808" spans="1:8" ht="15.5" x14ac:dyDescent="0.35">
      <c r="A808" s="45" t="s">
        <v>317</v>
      </c>
      <c r="B808" s="76">
        <v>80</v>
      </c>
      <c r="C808" s="15"/>
      <c r="D808" s="82">
        <f t="shared" si="16"/>
        <v>0</v>
      </c>
      <c r="E808" s="84">
        <v>0.5</v>
      </c>
      <c r="F808" s="125"/>
      <c r="G808" s="126">
        <f t="shared" si="17"/>
        <v>0</v>
      </c>
      <c r="H808" s="127">
        <f t="shared" si="18"/>
        <v>0</v>
      </c>
    </row>
    <row r="809" spans="1:8" ht="15.5" x14ac:dyDescent="0.35">
      <c r="A809" s="45" t="s">
        <v>347</v>
      </c>
      <c r="B809" s="76">
        <v>80</v>
      </c>
      <c r="C809" s="15"/>
      <c r="D809" s="82">
        <f t="shared" si="16"/>
        <v>0</v>
      </c>
      <c r="E809" s="84">
        <v>0.5</v>
      </c>
      <c r="F809" s="125"/>
      <c r="G809" s="126">
        <f t="shared" si="17"/>
        <v>0</v>
      </c>
      <c r="H809" s="127">
        <f t="shared" si="18"/>
        <v>0</v>
      </c>
    </row>
    <row r="810" spans="1:8" ht="15.5" x14ac:dyDescent="0.35">
      <c r="A810" s="45" t="s">
        <v>318</v>
      </c>
      <c r="B810" s="76">
        <v>80</v>
      </c>
      <c r="C810" s="15"/>
      <c r="D810" s="82">
        <f t="shared" si="16"/>
        <v>0</v>
      </c>
      <c r="E810" s="84">
        <v>0.5</v>
      </c>
      <c r="F810" s="125"/>
      <c r="G810" s="126">
        <f t="shared" si="17"/>
        <v>0</v>
      </c>
      <c r="H810" s="127">
        <f t="shared" si="18"/>
        <v>0</v>
      </c>
    </row>
    <row r="811" spans="1:8" ht="15.5" x14ac:dyDescent="0.35">
      <c r="A811" s="45" t="s">
        <v>348</v>
      </c>
      <c r="B811" s="76">
        <v>80</v>
      </c>
      <c r="C811" s="15"/>
      <c r="D811" s="82">
        <f t="shared" si="16"/>
        <v>0</v>
      </c>
      <c r="E811" s="84">
        <v>0.5</v>
      </c>
      <c r="F811" s="125"/>
      <c r="G811" s="126">
        <f t="shared" si="17"/>
        <v>0</v>
      </c>
      <c r="H811" s="127">
        <f t="shared" si="18"/>
        <v>0</v>
      </c>
    </row>
    <row r="812" spans="1:8" ht="15.5" x14ac:dyDescent="0.35">
      <c r="A812" s="45" t="s">
        <v>319</v>
      </c>
      <c r="B812" s="76">
        <v>80</v>
      </c>
      <c r="C812" s="15"/>
      <c r="D812" s="82">
        <f t="shared" si="16"/>
        <v>0</v>
      </c>
      <c r="E812" s="84">
        <v>0.5</v>
      </c>
      <c r="F812" s="125"/>
      <c r="G812" s="126">
        <f t="shared" si="17"/>
        <v>0</v>
      </c>
      <c r="H812" s="127">
        <f t="shared" si="18"/>
        <v>0</v>
      </c>
    </row>
    <row r="813" spans="1:8" ht="15.5" x14ac:dyDescent="0.35">
      <c r="A813" s="45" t="s">
        <v>349</v>
      </c>
      <c r="B813" s="76">
        <v>80</v>
      </c>
      <c r="C813" s="15"/>
      <c r="D813" s="82">
        <f t="shared" si="16"/>
        <v>0</v>
      </c>
      <c r="E813" s="84">
        <v>0.5</v>
      </c>
      <c r="F813" s="125"/>
      <c r="G813" s="126">
        <f t="shared" si="17"/>
        <v>0</v>
      </c>
      <c r="H813" s="127">
        <f t="shared" si="18"/>
        <v>0</v>
      </c>
    </row>
    <row r="814" spans="1:8" ht="15.5" x14ac:dyDescent="0.35">
      <c r="A814" s="45" t="s">
        <v>320</v>
      </c>
      <c r="B814" s="76">
        <v>80</v>
      </c>
      <c r="C814" s="15"/>
      <c r="D814" s="82">
        <f t="shared" si="16"/>
        <v>0</v>
      </c>
      <c r="E814" s="84">
        <v>0.5</v>
      </c>
      <c r="F814" s="125"/>
      <c r="G814" s="126">
        <f t="shared" si="17"/>
        <v>0</v>
      </c>
      <c r="H814" s="127">
        <f t="shared" si="18"/>
        <v>0</v>
      </c>
    </row>
    <row r="815" spans="1:8" ht="15.5" x14ac:dyDescent="0.35">
      <c r="A815" s="45" t="s">
        <v>350</v>
      </c>
      <c r="B815" s="76">
        <v>80</v>
      </c>
      <c r="C815" s="15"/>
      <c r="D815" s="82">
        <f t="shared" si="16"/>
        <v>0</v>
      </c>
      <c r="E815" s="84">
        <v>0.5</v>
      </c>
      <c r="F815" s="125"/>
      <c r="G815" s="126">
        <f t="shared" si="17"/>
        <v>0</v>
      </c>
      <c r="H815" s="127">
        <f t="shared" si="18"/>
        <v>0</v>
      </c>
    </row>
    <row r="816" spans="1:8" ht="15.5" x14ac:dyDescent="0.35">
      <c r="A816" s="45" t="s">
        <v>321</v>
      </c>
      <c r="B816" s="76">
        <v>80</v>
      </c>
      <c r="C816" s="15"/>
      <c r="D816" s="82">
        <f t="shared" si="16"/>
        <v>0</v>
      </c>
      <c r="E816" s="93">
        <v>0.5</v>
      </c>
      <c r="F816" s="129"/>
      <c r="G816" s="126">
        <f t="shared" si="17"/>
        <v>0</v>
      </c>
      <c r="H816" s="127">
        <f t="shared" si="18"/>
        <v>0</v>
      </c>
    </row>
    <row r="817" spans="1:8" ht="15.5" x14ac:dyDescent="0.35">
      <c r="A817" s="45" t="s">
        <v>351</v>
      </c>
      <c r="B817" s="76">
        <v>80</v>
      </c>
      <c r="C817" s="15"/>
      <c r="D817" s="82">
        <f t="shared" si="16"/>
        <v>0</v>
      </c>
      <c r="E817" s="84">
        <v>0.5</v>
      </c>
      <c r="F817" s="125"/>
      <c r="G817" s="126">
        <f t="shared" si="17"/>
        <v>0</v>
      </c>
      <c r="H817" s="127">
        <f t="shared" si="18"/>
        <v>0</v>
      </c>
    </row>
    <row r="818" spans="1:8" ht="15.5" x14ac:dyDescent="0.35">
      <c r="A818" s="45" t="s">
        <v>322</v>
      </c>
      <c r="B818" s="76">
        <v>80</v>
      </c>
      <c r="C818" s="15"/>
      <c r="D818" s="82">
        <f t="shared" si="16"/>
        <v>0</v>
      </c>
      <c r="E818" s="84">
        <v>0.5</v>
      </c>
      <c r="F818" s="125"/>
      <c r="G818" s="126">
        <f t="shared" si="17"/>
        <v>0</v>
      </c>
      <c r="H818" s="127">
        <f t="shared" si="18"/>
        <v>0</v>
      </c>
    </row>
    <row r="819" spans="1:8" ht="15.5" x14ac:dyDescent="0.35">
      <c r="A819" s="45" t="s">
        <v>352</v>
      </c>
      <c r="B819" s="76">
        <v>80</v>
      </c>
      <c r="C819" s="15"/>
      <c r="D819" s="82">
        <f t="shared" si="16"/>
        <v>0</v>
      </c>
      <c r="E819" s="84">
        <v>0.5</v>
      </c>
      <c r="F819" s="125"/>
      <c r="G819" s="126">
        <f t="shared" si="17"/>
        <v>0</v>
      </c>
      <c r="H819" s="127">
        <f t="shared" si="18"/>
        <v>0</v>
      </c>
    </row>
    <row r="820" spans="1:8" ht="15.5" x14ac:dyDescent="0.35">
      <c r="A820" s="45" t="s">
        <v>323</v>
      </c>
      <c r="B820" s="76">
        <v>80</v>
      </c>
      <c r="C820" s="78"/>
      <c r="D820" s="82">
        <f t="shared" si="16"/>
        <v>0</v>
      </c>
      <c r="E820" s="84">
        <v>0.5</v>
      </c>
      <c r="F820" s="125"/>
      <c r="G820" s="126">
        <f t="shared" si="17"/>
        <v>0</v>
      </c>
      <c r="H820" s="127">
        <f t="shared" si="18"/>
        <v>0</v>
      </c>
    </row>
    <row r="821" spans="1:8" ht="15.5" x14ac:dyDescent="0.35">
      <c r="A821" s="45" t="s">
        <v>353</v>
      </c>
      <c r="B821" s="118">
        <v>80</v>
      </c>
      <c r="C821" s="120"/>
      <c r="D821" s="82">
        <f t="shared" si="16"/>
        <v>0</v>
      </c>
      <c r="E821" s="84">
        <v>0.5</v>
      </c>
      <c r="F821" s="125"/>
      <c r="G821" s="126">
        <f t="shared" si="17"/>
        <v>0</v>
      </c>
      <c r="H821" s="127">
        <f t="shared" si="18"/>
        <v>0</v>
      </c>
    </row>
    <row r="822" spans="1:8" ht="15.5" x14ac:dyDescent="0.35">
      <c r="A822" s="43" t="s">
        <v>354</v>
      </c>
      <c r="B822" s="118">
        <v>80</v>
      </c>
      <c r="C822" s="120"/>
      <c r="D822" s="82">
        <f t="shared" si="16"/>
        <v>0</v>
      </c>
      <c r="E822" s="84">
        <v>0.5</v>
      </c>
      <c r="F822" s="125"/>
      <c r="G822" s="126">
        <f t="shared" si="17"/>
        <v>0</v>
      </c>
      <c r="H822" s="127">
        <f t="shared" si="18"/>
        <v>0</v>
      </c>
    </row>
    <row r="823" spans="1:8" ht="15.5" x14ac:dyDescent="0.35">
      <c r="A823" s="43" t="s">
        <v>355</v>
      </c>
      <c r="B823" s="118">
        <v>80</v>
      </c>
      <c r="C823" s="120"/>
      <c r="D823" s="82">
        <f t="shared" si="16"/>
        <v>0</v>
      </c>
      <c r="E823" s="84">
        <v>0.5</v>
      </c>
      <c r="F823" s="125"/>
      <c r="G823" s="126">
        <f t="shared" si="17"/>
        <v>0</v>
      </c>
      <c r="H823" s="127">
        <f t="shared" si="18"/>
        <v>0</v>
      </c>
    </row>
    <row r="824" spans="1:8" ht="15.5" x14ac:dyDescent="0.35">
      <c r="A824" s="43" t="s">
        <v>356</v>
      </c>
      <c r="B824" s="118">
        <v>80</v>
      </c>
      <c r="C824" s="120"/>
      <c r="D824" s="82">
        <f t="shared" si="16"/>
        <v>0</v>
      </c>
      <c r="E824" s="84">
        <v>0.5</v>
      </c>
      <c r="F824" s="125"/>
      <c r="G824" s="126">
        <f t="shared" si="17"/>
        <v>0</v>
      </c>
      <c r="H824" s="127">
        <f t="shared" si="18"/>
        <v>0</v>
      </c>
    </row>
    <row r="825" spans="1:8" ht="15.5" x14ac:dyDescent="0.35">
      <c r="A825" s="43" t="s">
        <v>357</v>
      </c>
      <c r="B825" s="118">
        <v>80</v>
      </c>
      <c r="C825" s="120"/>
      <c r="D825" s="82">
        <f t="shared" si="16"/>
        <v>0</v>
      </c>
      <c r="E825" s="84">
        <v>0.5</v>
      </c>
      <c r="F825" s="125"/>
      <c r="G825" s="126">
        <f t="shared" si="17"/>
        <v>0</v>
      </c>
      <c r="H825" s="127">
        <f t="shared" si="18"/>
        <v>0</v>
      </c>
    </row>
    <row r="826" spans="1:8" ht="15.5" x14ac:dyDescent="0.35">
      <c r="A826" s="43" t="s">
        <v>358</v>
      </c>
      <c r="B826" s="118">
        <v>80</v>
      </c>
      <c r="C826" s="120"/>
      <c r="D826" s="82">
        <f t="shared" si="16"/>
        <v>0</v>
      </c>
      <c r="E826" s="84">
        <v>0.5</v>
      </c>
      <c r="F826" s="125"/>
      <c r="G826" s="126">
        <f t="shared" si="17"/>
        <v>0</v>
      </c>
      <c r="H826" s="127">
        <f t="shared" si="18"/>
        <v>0</v>
      </c>
    </row>
    <row r="827" spans="1:8" ht="15.5" x14ac:dyDescent="0.35">
      <c r="A827" s="43" t="s">
        <v>359</v>
      </c>
      <c r="B827" s="118">
        <v>80</v>
      </c>
      <c r="C827" s="120"/>
      <c r="D827" s="82">
        <f t="shared" si="16"/>
        <v>0</v>
      </c>
      <c r="E827" s="84">
        <v>0.5</v>
      </c>
      <c r="F827" s="125"/>
      <c r="G827" s="126">
        <f t="shared" si="17"/>
        <v>0</v>
      </c>
      <c r="H827" s="127">
        <f t="shared" si="18"/>
        <v>0</v>
      </c>
    </row>
    <row r="828" spans="1:8" ht="15.5" x14ac:dyDescent="0.35">
      <c r="A828" s="43" t="s">
        <v>360</v>
      </c>
      <c r="B828" s="118">
        <v>80</v>
      </c>
      <c r="C828" s="120"/>
      <c r="D828" s="82">
        <f t="shared" si="16"/>
        <v>0</v>
      </c>
      <c r="E828" s="84">
        <v>0.5</v>
      </c>
      <c r="F828" s="125"/>
      <c r="G828" s="126">
        <f t="shared" si="17"/>
        <v>0</v>
      </c>
      <c r="H828" s="127">
        <f t="shared" si="18"/>
        <v>0</v>
      </c>
    </row>
    <row r="829" spans="1:8" ht="15.5" x14ac:dyDescent="0.35">
      <c r="A829" s="43" t="s">
        <v>361</v>
      </c>
      <c r="B829" s="118">
        <v>80</v>
      </c>
      <c r="C829" s="120"/>
      <c r="D829" s="82">
        <f>SUM(B829*C829)</f>
        <v>0</v>
      </c>
      <c r="E829" s="84">
        <v>0.5</v>
      </c>
      <c r="F829" s="125"/>
      <c r="G829" s="126">
        <f t="shared" si="17"/>
        <v>0</v>
      </c>
      <c r="H829" s="127">
        <f t="shared" si="18"/>
        <v>0</v>
      </c>
    </row>
    <row r="830" spans="1:8" ht="15.5" x14ac:dyDescent="0.35">
      <c r="A830" s="43" t="s">
        <v>362</v>
      </c>
      <c r="B830" s="118">
        <v>80</v>
      </c>
      <c r="C830" s="120"/>
      <c r="D830" s="82">
        <f>SUM(B830*C830)</f>
        <v>0</v>
      </c>
      <c r="E830" s="84">
        <v>0.5</v>
      </c>
      <c r="F830" s="125"/>
      <c r="G830" s="126">
        <f>E830*F830</f>
        <v>0</v>
      </c>
      <c r="H830" s="127">
        <f>D830+G830</f>
        <v>0</v>
      </c>
    </row>
    <row r="831" spans="1:8" ht="16" thickBot="1" x14ac:dyDescent="0.4">
      <c r="A831" s="52" t="s">
        <v>5</v>
      </c>
      <c r="B831" s="118">
        <v>14</v>
      </c>
      <c r="C831" s="120"/>
      <c r="D831" s="145">
        <f>SUM(B831*C831)</f>
        <v>0</v>
      </c>
      <c r="E831" s="146"/>
      <c r="F831" s="147"/>
      <c r="G831" s="148"/>
      <c r="H831" s="130">
        <f>D831</f>
        <v>0</v>
      </c>
    </row>
    <row r="832" spans="1:8" ht="18" x14ac:dyDescent="0.4">
      <c r="A832" s="158" t="s">
        <v>6</v>
      </c>
      <c r="B832" s="159"/>
      <c r="C832" s="119"/>
      <c r="D832" s="142"/>
      <c r="E832" s="143"/>
      <c r="F832" s="144"/>
      <c r="G832" s="144"/>
      <c r="H832" s="137">
        <f>SUM(H765:H831)</f>
        <v>0</v>
      </c>
    </row>
    <row r="833" spans="1:4" ht="39" customHeight="1" x14ac:dyDescent="0.35">
      <c r="A833" s="14"/>
      <c r="B833" s="14"/>
      <c r="C833" s="14"/>
      <c r="D833" s="13"/>
    </row>
    <row r="834" spans="1:4" s="1" customFormat="1" ht="26.25" customHeight="1" x14ac:dyDescent="0.4">
      <c r="A834" s="132" t="s">
        <v>392</v>
      </c>
      <c r="B834" s="133" t="s">
        <v>172</v>
      </c>
    </row>
    <row r="835" spans="1:4" s="1" customFormat="1" ht="21.75" customHeight="1" x14ac:dyDescent="0.35">
      <c r="A835" s="134" t="s">
        <v>363</v>
      </c>
      <c r="B835" s="135">
        <f>D533</f>
        <v>0</v>
      </c>
    </row>
    <row r="836" spans="1:4" s="1" customFormat="1" ht="21.75" customHeight="1" x14ac:dyDescent="0.35">
      <c r="A836" s="107" t="s">
        <v>364</v>
      </c>
      <c r="B836" s="135">
        <f>D609</f>
        <v>0</v>
      </c>
    </row>
    <row r="837" spans="1:4" s="1" customFormat="1" ht="21.75" customHeight="1" x14ac:dyDescent="0.35">
      <c r="A837" s="131" t="s">
        <v>365</v>
      </c>
      <c r="B837" s="101">
        <f>D704</f>
        <v>0</v>
      </c>
    </row>
    <row r="838" spans="1:4" s="1" customFormat="1" ht="21.75" customHeight="1" x14ac:dyDescent="0.35">
      <c r="A838" s="131" t="s">
        <v>390</v>
      </c>
      <c r="B838" s="101">
        <f>D760</f>
        <v>0</v>
      </c>
    </row>
    <row r="839" spans="1:4" s="1" customFormat="1" ht="21.75" customHeight="1" thickBot="1" x14ac:dyDescent="0.4">
      <c r="A839" s="107" t="s">
        <v>391</v>
      </c>
      <c r="B839" s="136">
        <f>H832</f>
        <v>0</v>
      </c>
    </row>
    <row r="840" spans="1:4" s="1" customFormat="1" ht="30" customHeight="1" x14ac:dyDescent="0.4">
      <c r="A840" s="106" t="s">
        <v>420</v>
      </c>
      <c r="B840" s="101">
        <f>SUM(B835:B839)</f>
        <v>0</v>
      </c>
    </row>
    <row r="841" spans="1:4" ht="15.5" x14ac:dyDescent="0.35">
      <c r="A841" s="14"/>
      <c r="B841" s="14"/>
      <c r="C841" s="14"/>
      <c r="D841" s="13"/>
    </row>
    <row r="842" spans="1:4" ht="15.5" x14ac:dyDescent="0.35">
      <c r="A842" s="14"/>
      <c r="B842" s="14"/>
      <c r="C842" s="14"/>
      <c r="D842" s="13"/>
    </row>
    <row r="843" spans="1:4" ht="15.5" x14ac:dyDescent="0.35">
      <c r="A843" s="14"/>
      <c r="B843" s="14"/>
      <c r="C843" s="14"/>
      <c r="D843" s="13"/>
    </row>
    <row r="844" spans="1:4" ht="15.5" x14ac:dyDescent="0.35">
      <c r="A844" s="14"/>
      <c r="B844" s="14"/>
      <c r="C844" s="14"/>
      <c r="D844" s="13"/>
    </row>
    <row r="845" spans="1:4" ht="15.5" x14ac:dyDescent="0.35">
      <c r="A845" s="14"/>
      <c r="B845" s="14"/>
      <c r="C845" s="14"/>
      <c r="D845" s="13"/>
    </row>
    <row r="846" spans="1:4" ht="15.5" x14ac:dyDescent="0.35">
      <c r="A846" s="14"/>
      <c r="B846" s="14"/>
      <c r="C846" s="14"/>
      <c r="D846" s="13"/>
    </row>
    <row r="847" spans="1:4" ht="15.5" x14ac:dyDescent="0.35">
      <c r="A847" s="14"/>
      <c r="B847" s="14"/>
      <c r="C847" s="14"/>
      <c r="D847" s="13"/>
    </row>
    <row r="848" spans="1:4" ht="15.5" x14ac:dyDescent="0.35">
      <c r="A848" s="14"/>
      <c r="B848" s="14"/>
      <c r="C848" s="14"/>
      <c r="D848" s="13"/>
    </row>
    <row r="849" spans="1:4" ht="15.5" x14ac:dyDescent="0.35">
      <c r="A849" s="14"/>
      <c r="B849" s="14"/>
      <c r="C849" s="14"/>
      <c r="D849" s="13"/>
    </row>
    <row r="850" spans="1:4" ht="15.5" x14ac:dyDescent="0.35">
      <c r="A850" s="14"/>
      <c r="B850" s="14"/>
      <c r="C850" s="14"/>
      <c r="D850" s="13"/>
    </row>
    <row r="851" spans="1:4" ht="15.5" x14ac:dyDescent="0.35">
      <c r="A851" s="14"/>
      <c r="B851" s="14"/>
      <c r="C851" s="14"/>
      <c r="D851" s="13"/>
    </row>
    <row r="852" spans="1:4" ht="15.5" x14ac:dyDescent="0.35">
      <c r="A852" s="14"/>
      <c r="B852" s="14"/>
      <c r="C852" s="14"/>
      <c r="D852" s="13"/>
    </row>
    <row r="853" spans="1:4" ht="15.5" x14ac:dyDescent="0.35">
      <c r="A853" s="14"/>
      <c r="B853" s="14"/>
      <c r="C853" s="14"/>
      <c r="D853" s="13"/>
    </row>
    <row r="854" spans="1:4" ht="15.5" x14ac:dyDescent="0.35">
      <c r="A854" s="14"/>
      <c r="B854" s="14"/>
      <c r="C854" s="14"/>
      <c r="D854" s="13"/>
    </row>
    <row r="855" spans="1:4" ht="15.5" x14ac:dyDescent="0.35">
      <c r="A855" s="14"/>
      <c r="B855" s="14"/>
      <c r="C855" s="14"/>
      <c r="D855" s="13"/>
    </row>
    <row r="856" spans="1:4" ht="15.5" x14ac:dyDescent="0.35">
      <c r="A856" s="14"/>
      <c r="B856" s="14"/>
      <c r="C856" s="14"/>
      <c r="D856" s="13"/>
    </row>
    <row r="857" spans="1:4" ht="15.5" x14ac:dyDescent="0.35">
      <c r="A857" s="14"/>
      <c r="B857" s="14"/>
      <c r="C857" s="14"/>
      <c r="D857" s="13"/>
    </row>
    <row r="858" spans="1:4" ht="15.5" x14ac:dyDescent="0.35">
      <c r="A858" s="14"/>
      <c r="B858" s="14"/>
      <c r="C858" s="14"/>
      <c r="D858" s="13"/>
    </row>
    <row r="859" spans="1:4" ht="15.5" x14ac:dyDescent="0.35">
      <c r="A859" s="14"/>
      <c r="B859" s="14"/>
      <c r="C859" s="14"/>
      <c r="D859" s="13"/>
    </row>
    <row r="860" spans="1:4" ht="15.5" x14ac:dyDescent="0.35">
      <c r="A860" s="14"/>
      <c r="B860" s="14"/>
      <c r="C860" s="14"/>
      <c r="D860" s="13"/>
    </row>
    <row r="861" spans="1:4" ht="15.5" x14ac:dyDescent="0.35">
      <c r="A861" s="14"/>
      <c r="B861" s="14"/>
      <c r="C861" s="14"/>
      <c r="D861" s="13"/>
    </row>
    <row r="862" spans="1:4" ht="15.5" x14ac:dyDescent="0.35">
      <c r="A862" s="14"/>
      <c r="B862" s="14"/>
      <c r="C862" s="14"/>
      <c r="D862" s="13"/>
    </row>
    <row r="863" spans="1:4" ht="15.5" x14ac:dyDescent="0.35">
      <c r="A863" s="14"/>
      <c r="B863" s="14"/>
      <c r="C863" s="14"/>
      <c r="D863" s="13"/>
    </row>
    <row r="864" spans="1:4" ht="15.5" x14ac:dyDescent="0.35">
      <c r="A864" s="14"/>
      <c r="B864" s="14"/>
      <c r="C864" s="14"/>
      <c r="D864" s="13"/>
    </row>
    <row r="865" spans="1:4" ht="15.5" x14ac:dyDescent="0.35">
      <c r="A865" s="14"/>
      <c r="B865" s="14"/>
      <c r="C865" s="14"/>
      <c r="D865" s="13"/>
    </row>
    <row r="866" spans="1:4" ht="15.5" x14ac:dyDescent="0.35">
      <c r="A866" s="14"/>
      <c r="B866" s="14"/>
      <c r="C866" s="14"/>
      <c r="D866" s="13"/>
    </row>
    <row r="867" spans="1:4" ht="15.5" x14ac:dyDescent="0.35">
      <c r="A867" s="14"/>
      <c r="B867" s="14"/>
      <c r="C867" s="14"/>
      <c r="D867" s="13"/>
    </row>
    <row r="868" spans="1:4" ht="15.5" x14ac:dyDescent="0.35">
      <c r="A868" s="14"/>
      <c r="B868" s="14"/>
      <c r="C868" s="14"/>
      <c r="D868" s="13"/>
    </row>
    <row r="869" spans="1:4" ht="15.5" x14ac:dyDescent="0.35">
      <c r="A869" s="14"/>
      <c r="B869" s="14"/>
      <c r="C869" s="14"/>
      <c r="D869" s="13"/>
    </row>
    <row r="870" spans="1:4" ht="15.5" x14ac:dyDescent="0.35">
      <c r="A870" s="14"/>
      <c r="B870" s="14"/>
      <c r="C870" s="14"/>
      <c r="D870" s="13"/>
    </row>
    <row r="871" spans="1:4" ht="15.5" x14ac:dyDescent="0.35">
      <c r="A871" s="14"/>
      <c r="B871" s="14"/>
      <c r="C871" s="14"/>
      <c r="D871" s="13"/>
    </row>
    <row r="872" spans="1:4" ht="15.5" x14ac:dyDescent="0.35">
      <c r="A872" s="14"/>
      <c r="B872" s="14"/>
      <c r="C872" s="14"/>
      <c r="D872" s="13"/>
    </row>
    <row r="873" spans="1:4" ht="15.5" x14ac:dyDescent="0.35">
      <c r="A873" s="14"/>
      <c r="B873" s="14"/>
      <c r="C873" s="14"/>
      <c r="D873" s="13"/>
    </row>
    <row r="874" spans="1:4" ht="15.5" x14ac:dyDescent="0.35">
      <c r="A874" s="14"/>
      <c r="B874" s="14"/>
      <c r="C874" s="14"/>
      <c r="D874" s="13"/>
    </row>
    <row r="875" spans="1:4" ht="15.5" x14ac:dyDescent="0.35">
      <c r="A875" s="14"/>
      <c r="B875" s="14"/>
      <c r="C875" s="14"/>
      <c r="D875" s="13"/>
    </row>
    <row r="876" spans="1:4" ht="15.5" x14ac:dyDescent="0.35">
      <c r="A876" s="14"/>
      <c r="B876" s="14"/>
      <c r="C876" s="14"/>
      <c r="D876" s="13"/>
    </row>
    <row r="877" spans="1:4" ht="15.5" x14ac:dyDescent="0.35">
      <c r="A877" s="14"/>
      <c r="B877" s="14"/>
      <c r="C877" s="14"/>
      <c r="D877" s="13"/>
    </row>
    <row r="878" spans="1:4" ht="15.5" x14ac:dyDescent="0.35">
      <c r="A878" s="14"/>
      <c r="B878" s="14"/>
      <c r="C878" s="14"/>
      <c r="D878" s="13"/>
    </row>
    <row r="879" spans="1:4" ht="15.5" x14ac:dyDescent="0.35">
      <c r="A879" s="14"/>
      <c r="B879" s="14"/>
      <c r="C879" s="14"/>
      <c r="D879" s="13"/>
    </row>
    <row r="880" spans="1:4" ht="15.5" x14ac:dyDescent="0.35">
      <c r="A880" s="14"/>
      <c r="B880" s="14"/>
      <c r="C880" s="14"/>
      <c r="D880" s="13"/>
    </row>
    <row r="881" spans="1:4" ht="15.5" x14ac:dyDescent="0.35">
      <c r="A881" s="14"/>
      <c r="B881" s="14"/>
      <c r="C881" s="14"/>
      <c r="D881" s="13"/>
    </row>
    <row r="882" spans="1:4" ht="15.5" x14ac:dyDescent="0.35">
      <c r="A882" s="14"/>
      <c r="B882" s="14"/>
      <c r="C882" s="14"/>
      <c r="D882" s="13"/>
    </row>
    <row r="883" spans="1:4" ht="15.5" x14ac:dyDescent="0.35">
      <c r="A883" s="14"/>
      <c r="B883" s="14"/>
      <c r="C883" s="14"/>
      <c r="D883" s="13"/>
    </row>
    <row r="884" spans="1:4" ht="15.5" x14ac:dyDescent="0.35">
      <c r="A884" s="14"/>
      <c r="B884" s="14"/>
      <c r="C884" s="14"/>
      <c r="D884" s="13"/>
    </row>
    <row r="885" spans="1:4" ht="15.5" x14ac:dyDescent="0.35">
      <c r="A885" s="14"/>
      <c r="B885" s="14"/>
      <c r="C885" s="14"/>
      <c r="D885" s="13"/>
    </row>
    <row r="886" spans="1:4" ht="15.5" x14ac:dyDescent="0.35">
      <c r="A886" s="14"/>
      <c r="B886" s="14"/>
      <c r="C886" s="14"/>
      <c r="D886" s="13"/>
    </row>
    <row r="887" spans="1:4" ht="15.5" x14ac:dyDescent="0.35">
      <c r="A887" s="14"/>
      <c r="B887" s="14"/>
      <c r="C887" s="14"/>
      <c r="D887" s="13"/>
    </row>
    <row r="888" spans="1:4" ht="15.5" x14ac:dyDescent="0.35">
      <c r="A888" s="14"/>
      <c r="B888" s="14"/>
      <c r="C888" s="14"/>
      <c r="D888" s="13"/>
    </row>
    <row r="889" spans="1:4" ht="15.5" x14ac:dyDescent="0.35">
      <c r="A889" s="14"/>
      <c r="B889" s="14"/>
      <c r="C889" s="14"/>
      <c r="D889" s="13"/>
    </row>
    <row r="890" spans="1:4" ht="15.5" x14ac:dyDescent="0.35">
      <c r="A890" s="14"/>
      <c r="B890" s="14"/>
      <c r="C890" s="14"/>
      <c r="D890" s="13"/>
    </row>
    <row r="891" spans="1:4" ht="15.5" x14ac:dyDescent="0.35">
      <c r="A891" s="14"/>
      <c r="B891" s="14"/>
      <c r="C891" s="14"/>
      <c r="D891" s="13"/>
    </row>
    <row r="892" spans="1:4" ht="15.5" x14ac:dyDescent="0.35">
      <c r="A892" s="14"/>
      <c r="B892" s="14"/>
      <c r="C892" s="14"/>
      <c r="D892" s="13"/>
    </row>
    <row r="893" spans="1:4" ht="15.5" x14ac:dyDescent="0.35">
      <c r="A893" s="14"/>
      <c r="B893" s="14"/>
      <c r="C893" s="14"/>
      <c r="D893" s="13"/>
    </row>
    <row r="894" spans="1:4" ht="15.5" x14ac:dyDescent="0.35">
      <c r="A894" s="14"/>
      <c r="B894" s="14"/>
      <c r="C894" s="14"/>
      <c r="D894" s="13"/>
    </row>
    <row r="895" spans="1:4" ht="15.5" x14ac:dyDescent="0.35">
      <c r="A895" s="14"/>
      <c r="B895" s="14"/>
      <c r="C895" s="14"/>
      <c r="D895" s="13"/>
    </row>
    <row r="896" spans="1:4" ht="15.5" x14ac:dyDescent="0.35">
      <c r="A896" s="14"/>
      <c r="B896" s="14"/>
      <c r="C896" s="14"/>
      <c r="D896" s="13"/>
    </row>
    <row r="897" spans="1:4" ht="15.5" x14ac:dyDescent="0.35">
      <c r="A897" s="14"/>
      <c r="B897" s="14"/>
      <c r="C897" s="14"/>
      <c r="D897" s="13"/>
    </row>
    <row r="898" spans="1:4" ht="15.5" x14ac:dyDescent="0.35">
      <c r="A898" s="14"/>
      <c r="B898" s="14"/>
      <c r="C898" s="14"/>
      <c r="D898" s="13"/>
    </row>
    <row r="899" spans="1:4" ht="15.5" x14ac:dyDescent="0.35">
      <c r="A899" s="14"/>
      <c r="B899" s="14"/>
      <c r="C899" s="14"/>
      <c r="D899" s="13"/>
    </row>
    <row r="900" spans="1:4" ht="15.5" x14ac:dyDescent="0.35">
      <c r="A900" s="14"/>
      <c r="B900" s="14"/>
      <c r="C900" s="14"/>
      <c r="D900" s="13"/>
    </row>
    <row r="901" spans="1:4" ht="15.5" x14ac:dyDescent="0.35">
      <c r="A901" s="14"/>
      <c r="B901" s="14"/>
      <c r="C901" s="14"/>
      <c r="D901" s="13"/>
    </row>
    <row r="902" spans="1:4" ht="15.5" x14ac:dyDescent="0.35">
      <c r="A902" s="14"/>
      <c r="B902" s="14"/>
      <c r="C902" s="14"/>
      <c r="D902" s="13"/>
    </row>
    <row r="903" spans="1:4" ht="15.5" x14ac:dyDescent="0.35">
      <c r="A903" s="14"/>
      <c r="B903" s="14"/>
      <c r="C903" s="14"/>
      <c r="D903" s="13"/>
    </row>
    <row r="904" spans="1:4" ht="15.5" x14ac:dyDescent="0.35">
      <c r="A904" s="14"/>
      <c r="B904" s="14"/>
      <c r="C904" s="14"/>
      <c r="D904" s="13"/>
    </row>
    <row r="905" spans="1:4" ht="15.5" x14ac:dyDescent="0.35">
      <c r="A905" s="14"/>
      <c r="B905" s="14"/>
      <c r="C905" s="14"/>
      <c r="D905" s="13"/>
    </row>
    <row r="906" spans="1:4" ht="15.5" x14ac:dyDescent="0.35">
      <c r="A906" s="14"/>
      <c r="B906" s="14"/>
      <c r="C906" s="14"/>
      <c r="D906" s="13"/>
    </row>
    <row r="907" spans="1:4" ht="15.5" x14ac:dyDescent="0.35">
      <c r="A907" s="14"/>
      <c r="B907" s="14"/>
      <c r="C907" s="14"/>
      <c r="D907" s="13"/>
    </row>
    <row r="908" spans="1:4" ht="15.5" x14ac:dyDescent="0.35">
      <c r="A908" s="14"/>
      <c r="B908" s="14"/>
      <c r="C908" s="14"/>
      <c r="D908" s="13"/>
    </row>
    <row r="909" spans="1:4" ht="15.5" x14ac:dyDescent="0.35">
      <c r="A909" s="14"/>
      <c r="B909" s="14"/>
      <c r="C909" s="14"/>
      <c r="D909" s="13"/>
    </row>
    <row r="910" spans="1:4" ht="15.5" x14ac:dyDescent="0.35">
      <c r="A910" s="14"/>
      <c r="B910" s="14"/>
      <c r="C910" s="14"/>
      <c r="D910" s="13"/>
    </row>
    <row r="911" spans="1:4" ht="15.5" x14ac:dyDescent="0.35">
      <c r="A911" s="14"/>
      <c r="B911" s="14"/>
      <c r="C911" s="14"/>
      <c r="D911" s="13"/>
    </row>
    <row r="912" spans="1:4" ht="15.5" x14ac:dyDescent="0.35">
      <c r="A912" s="14"/>
      <c r="B912" s="14"/>
      <c r="C912" s="14"/>
      <c r="D912" s="13"/>
    </row>
    <row r="913" spans="1:4" ht="15.5" x14ac:dyDescent="0.35">
      <c r="A913" s="14"/>
      <c r="B913" s="14"/>
      <c r="C913" s="14"/>
      <c r="D913" s="13"/>
    </row>
    <row r="914" spans="1:4" ht="15.5" x14ac:dyDescent="0.35">
      <c r="A914" s="14"/>
      <c r="B914" s="14"/>
      <c r="C914" s="14"/>
      <c r="D914" s="13"/>
    </row>
    <row r="915" spans="1:4" ht="15.5" x14ac:dyDescent="0.35">
      <c r="A915" s="14"/>
      <c r="B915" s="14"/>
      <c r="C915" s="14"/>
      <c r="D915" s="13"/>
    </row>
    <row r="916" spans="1:4" ht="15.5" x14ac:dyDescent="0.35">
      <c r="A916" s="14"/>
      <c r="B916" s="14"/>
      <c r="C916" s="14"/>
      <c r="D916" s="13"/>
    </row>
    <row r="917" spans="1:4" ht="15.5" x14ac:dyDescent="0.35">
      <c r="A917" s="14"/>
      <c r="B917" s="14"/>
      <c r="C917" s="14"/>
      <c r="D917" s="13"/>
    </row>
    <row r="918" spans="1:4" ht="15.5" x14ac:dyDescent="0.35">
      <c r="A918" s="14"/>
      <c r="B918" s="14"/>
      <c r="C918" s="14"/>
      <c r="D918" s="13"/>
    </row>
    <row r="919" spans="1:4" ht="15.5" x14ac:dyDescent="0.35">
      <c r="A919" s="14"/>
      <c r="B919" s="14"/>
      <c r="C919" s="14"/>
      <c r="D919" s="13"/>
    </row>
    <row r="920" spans="1:4" ht="15.5" x14ac:dyDescent="0.35">
      <c r="A920" s="14"/>
      <c r="B920" s="14"/>
      <c r="C920" s="14"/>
      <c r="D920" s="13"/>
    </row>
    <row r="921" spans="1:4" ht="15.5" x14ac:dyDescent="0.35">
      <c r="A921" s="14"/>
      <c r="B921" s="14"/>
      <c r="C921" s="14"/>
      <c r="D921" s="13"/>
    </row>
    <row r="922" spans="1:4" ht="15.5" x14ac:dyDescent="0.35">
      <c r="A922" s="14"/>
      <c r="B922" s="14"/>
      <c r="C922" s="14"/>
      <c r="D922" s="13"/>
    </row>
    <row r="923" spans="1:4" ht="16.899999999999999" customHeight="1" x14ac:dyDescent="0.35">
      <c r="A923" s="14"/>
      <c r="B923" s="14"/>
      <c r="C923" s="14"/>
      <c r="D923" s="13"/>
    </row>
    <row r="924" spans="1:4" ht="15.5" x14ac:dyDescent="0.35">
      <c r="A924" s="14"/>
      <c r="B924" s="14"/>
      <c r="C924" s="14"/>
      <c r="D924" s="13"/>
    </row>
    <row r="925" spans="1:4" ht="15.5" x14ac:dyDescent="0.35">
      <c r="A925" s="14"/>
      <c r="B925" s="14"/>
      <c r="C925" s="14"/>
      <c r="D925" s="13"/>
    </row>
    <row r="926" spans="1:4" ht="15.5" x14ac:dyDescent="0.35">
      <c r="A926" s="14"/>
      <c r="B926" s="14"/>
      <c r="C926" s="14"/>
      <c r="D926" s="13"/>
    </row>
    <row r="927" spans="1:4" ht="15.5" x14ac:dyDescent="0.35">
      <c r="A927" s="14"/>
      <c r="B927" s="14"/>
      <c r="C927" s="14"/>
      <c r="D927" s="13"/>
    </row>
    <row r="928" spans="1:4" ht="15.5" x14ac:dyDescent="0.35">
      <c r="A928" s="14"/>
      <c r="B928" s="14"/>
      <c r="C928" s="14"/>
      <c r="D928" s="13"/>
    </row>
    <row r="929" spans="1:4" ht="15.5" x14ac:dyDescent="0.35">
      <c r="A929" s="14"/>
      <c r="B929" s="14"/>
      <c r="C929" s="14"/>
      <c r="D929" s="13"/>
    </row>
    <row r="930" spans="1:4" ht="15.5" x14ac:dyDescent="0.35">
      <c r="A930" s="14"/>
      <c r="B930" s="14"/>
      <c r="C930" s="14"/>
      <c r="D930" s="13"/>
    </row>
    <row r="931" spans="1:4" ht="15.5" x14ac:dyDescent="0.35">
      <c r="A931" s="14"/>
      <c r="B931" s="14"/>
      <c r="C931" s="14"/>
      <c r="D931" s="13"/>
    </row>
    <row r="932" spans="1:4" ht="15.5" x14ac:dyDescent="0.35">
      <c r="A932" s="14"/>
      <c r="B932" s="14"/>
      <c r="C932" s="14"/>
      <c r="D932" s="13"/>
    </row>
    <row r="933" spans="1:4" ht="15.5" x14ac:dyDescent="0.35">
      <c r="A933" s="14"/>
      <c r="B933" s="14"/>
      <c r="C933" s="14"/>
      <c r="D933" s="13"/>
    </row>
    <row r="934" spans="1:4" ht="13.5" customHeight="1" x14ac:dyDescent="0.35">
      <c r="A934" s="14"/>
      <c r="B934" s="14"/>
      <c r="C934" s="14"/>
      <c r="D934" s="13"/>
    </row>
    <row r="935" spans="1:4" ht="15.5" x14ac:dyDescent="0.35">
      <c r="A935" s="14"/>
      <c r="B935" s="14"/>
      <c r="C935" s="14"/>
      <c r="D935" s="13"/>
    </row>
    <row r="936" spans="1:4" ht="15.5" x14ac:dyDescent="0.35">
      <c r="A936" s="14"/>
      <c r="B936" s="14"/>
      <c r="C936" s="14"/>
      <c r="D936" s="13"/>
    </row>
    <row r="937" spans="1:4" ht="15.5" x14ac:dyDescent="0.35">
      <c r="A937" s="14"/>
      <c r="B937" s="14"/>
      <c r="C937" s="14"/>
      <c r="D937" s="13"/>
    </row>
    <row r="938" spans="1:4" ht="15.5" x14ac:dyDescent="0.35">
      <c r="A938" s="14"/>
      <c r="B938" s="14"/>
      <c r="C938" s="14"/>
      <c r="D938" s="13"/>
    </row>
    <row r="939" spans="1:4" ht="15.5" x14ac:dyDescent="0.35">
      <c r="A939" s="14"/>
      <c r="B939" s="14"/>
      <c r="C939" s="14"/>
      <c r="D939" s="13"/>
    </row>
    <row r="940" spans="1:4" ht="15.5" x14ac:dyDescent="0.35">
      <c r="A940" s="14"/>
      <c r="B940" s="14"/>
      <c r="C940" s="14"/>
      <c r="D940" s="13"/>
    </row>
    <row r="941" spans="1:4" ht="15.5" x14ac:dyDescent="0.35">
      <c r="A941" s="14"/>
      <c r="B941" s="14"/>
      <c r="C941" s="14"/>
      <c r="D941" s="13"/>
    </row>
    <row r="942" spans="1:4" ht="15.5" x14ac:dyDescent="0.35">
      <c r="A942" s="14"/>
      <c r="B942" s="14"/>
      <c r="C942" s="14"/>
      <c r="D942" s="13"/>
    </row>
    <row r="943" spans="1:4" ht="15.5" x14ac:dyDescent="0.35">
      <c r="A943" s="14"/>
      <c r="B943" s="14"/>
      <c r="C943" s="14"/>
      <c r="D943" s="13"/>
    </row>
    <row r="944" spans="1:4" ht="15.5" x14ac:dyDescent="0.35">
      <c r="A944" s="14"/>
      <c r="B944" s="14"/>
      <c r="C944" s="14"/>
      <c r="D944" s="13"/>
    </row>
    <row r="945" spans="1:4" ht="15.5" x14ac:dyDescent="0.35">
      <c r="A945" s="14"/>
      <c r="B945" s="14"/>
      <c r="C945" s="14"/>
      <c r="D945" s="13"/>
    </row>
    <row r="946" spans="1:4" ht="15.5" x14ac:dyDescent="0.35">
      <c r="A946" s="14"/>
      <c r="B946" s="14"/>
      <c r="C946" s="14"/>
      <c r="D946" s="13"/>
    </row>
    <row r="947" spans="1:4" ht="15.5" x14ac:dyDescent="0.35">
      <c r="A947" s="14"/>
      <c r="B947" s="14"/>
      <c r="C947" s="14"/>
      <c r="D947" s="13"/>
    </row>
    <row r="948" spans="1:4" ht="15.5" x14ac:dyDescent="0.35">
      <c r="A948" s="14"/>
      <c r="B948" s="14"/>
      <c r="C948" s="14"/>
      <c r="D948" s="13"/>
    </row>
    <row r="949" spans="1:4" ht="15.5" x14ac:dyDescent="0.35">
      <c r="A949" s="14"/>
      <c r="B949" s="14"/>
      <c r="C949" s="14"/>
      <c r="D949" s="13"/>
    </row>
    <row r="950" spans="1:4" ht="15.5" x14ac:dyDescent="0.35">
      <c r="A950" s="14"/>
      <c r="B950" s="14"/>
      <c r="C950" s="14"/>
      <c r="D950" s="13"/>
    </row>
    <row r="951" spans="1:4" ht="15.5" x14ac:dyDescent="0.35">
      <c r="A951" s="14"/>
      <c r="B951" s="14"/>
      <c r="C951" s="14"/>
      <c r="D951" s="13"/>
    </row>
    <row r="952" spans="1:4" ht="15.5" x14ac:dyDescent="0.35">
      <c r="A952" s="14"/>
      <c r="B952" s="14"/>
      <c r="C952" s="14"/>
      <c r="D952" s="13"/>
    </row>
    <row r="953" spans="1:4" ht="15.5" x14ac:dyDescent="0.35">
      <c r="A953" s="14"/>
      <c r="B953" s="14"/>
      <c r="C953" s="14"/>
      <c r="D953" s="13"/>
    </row>
    <row r="954" spans="1:4" ht="15.5" x14ac:dyDescent="0.35">
      <c r="A954" s="14"/>
      <c r="B954" s="14"/>
      <c r="C954" s="14"/>
      <c r="D954" s="13"/>
    </row>
    <row r="955" spans="1:4" ht="15.5" x14ac:dyDescent="0.35">
      <c r="A955" s="14"/>
      <c r="B955" s="14"/>
      <c r="C955" s="14"/>
      <c r="D955" s="13"/>
    </row>
    <row r="956" spans="1:4" ht="15.5" x14ac:dyDescent="0.35">
      <c r="A956" s="14"/>
      <c r="B956" s="14"/>
      <c r="C956" s="14"/>
      <c r="D956" s="13"/>
    </row>
    <row r="957" spans="1:4" ht="15.5" x14ac:dyDescent="0.35">
      <c r="A957" s="14"/>
      <c r="B957" s="14"/>
      <c r="C957" s="14"/>
      <c r="D957" s="13"/>
    </row>
    <row r="958" spans="1:4" ht="15.5" x14ac:dyDescent="0.35">
      <c r="A958" s="14"/>
      <c r="B958" s="14"/>
      <c r="C958" s="14"/>
      <c r="D958" s="13"/>
    </row>
    <row r="959" spans="1:4" ht="15.5" x14ac:dyDescent="0.35">
      <c r="A959" s="14"/>
      <c r="B959" s="14"/>
      <c r="C959" s="14"/>
      <c r="D959" s="13"/>
    </row>
    <row r="960" spans="1:4" ht="15.5" x14ac:dyDescent="0.35">
      <c r="A960" s="14"/>
      <c r="B960" s="14"/>
      <c r="C960" s="14"/>
      <c r="D960" s="13"/>
    </row>
    <row r="961" spans="1:4" ht="15.5" x14ac:dyDescent="0.35">
      <c r="A961" s="14"/>
      <c r="B961" s="14"/>
      <c r="C961" s="14"/>
      <c r="D961" s="13"/>
    </row>
    <row r="962" spans="1:4" ht="15.5" x14ac:dyDescent="0.35">
      <c r="A962" s="14"/>
      <c r="B962" s="14"/>
      <c r="C962" s="14"/>
      <c r="D962" s="13"/>
    </row>
    <row r="963" spans="1:4" ht="15.5" x14ac:dyDescent="0.35">
      <c r="A963" s="14"/>
      <c r="B963" s="14"/>
      <c r="C963" s="14"/>
      <c r="D963" s="13"/>
    </row>
    <row r="964" spans="1:4" ht="15.5" x14ac:dyDescent="0.35">
      <c r="A964" s="14"/>
      <c r="B964" s="14"/>
      <c r="C964" s="14"/>
      <c r="D964" s="13"/>
    </row>
    <row r="965" spans="1:4" ht="15.5" x14ac:dyDescent="0.35">
      <c r="A965" s="14"/>
      <c r="B965" s="14"/>
      <c r="C965" s="14"/>
      <c r="D965" s="13"/>
    </row>
    <row r="966" spans="1:4" ht="15.5" x14ac:dyDescent="0.35">
      <c r="A966" s="14"/>
      <c r="B966" s="14"/>
      <c r="C966" s="14"/>
      <c r="D966" s="13"/>
    </row>
    <row r="967" spans="1:4" ht="15.5" x14ac:dyDescent="0.35">
      <c r="A967" s="14"/>
      <c r="B967" s="14"/>
      <c r="C967" s="14"/>
      <c r="D967" s="13"/>
    </row>
    <row r="968" spans="1:4" ht="15.5" x14ac:dyDescent="0.35">
      <c r="A968" s="14"/>
      <c r="B968" s="14"/>
      <c r="C968" s="14"/>
      <c r="D968" s="13"/>
    </row>
    <row r="969" spans="1:4" ht="15.5" x14ac:dyDescent="0.35">
      <c r="A969" s="14"/>
      <c r="B969" s="14"/>
      <c r="C969" s="14"/>
      <c r="D969" s="13"/>
    </row>
    <row r="970" spans="1:4" ht="15.5" x14ac:dyDescent="0.35">
      <c r="A970" s="14"/>
      <c r="B970" s="14"/>
      <c r="C970" s="14"/>
      <c r="D970" s="13"/>
    </row>
    <row r="971" spans="1:4" ht="15.5" x14ac:dyDescent="0.35">
      <c r="A971" s="14"/>
      <c r="B971" s="14"/>
      <c r="C971" s="14"/>
      <c r="D971" s="13"/>
    </row>
    <row r="972" spans="1:4" ht="15.5" x14ac:dyDescent="0.35">
      <c r="A972" s="14"/>
      <c r="B972" s="14"/>
      <c r="C972" s="14"/>
      <c r="D972" s="13"/>
    </row>
    <row r="973" spans="1:4" ht="15.5" x14ac:dyDescent="0.35">
      <c r="A973" s="14"/>
      <c r="B973" s="14"/>
      <c r="C973" s="14"/>
      <c r="D973" s="13"/>
    </row>
    <row r="974" spans="1:4" ht="15.5" x14ac:dyDescent="0.35">
      <c r="A974" s="14"/>
      <c r="B974" s="14"/>
      <c r="C974" s="14"/>
      <c r="D974" s="13"/>
    </row>
    <row r="975" spans="1:4" ht="15.5" x14ac:dyDescent="0.35">
      <c r="A975" s="14"/>
      <c r="B975" s="14"/>
      <c r="C975" s="14"/>
      <c r="D975" s="13"/>
    </row>
    <row r="976" spans="1:4" ht="15.5" x14ac:dyDescent="0.35">
      <c r="A976" s="14"/>
      <c r="B976" s="14"/>
      <c r="C976" s="14"/>
      <c r="D976" s="13"/>
    </row>
    <row r="977" spans="1:4" ht="15.5" x14ac:dyDescent="0.35">
      <c r="A977" s="14"/>
      <c r="B977" s="14"/>
      <c r="C977" s="14"/>
      <c r="D977" s="13"/>
    </row>
    <row r="978" spans="1:4" ht="15.5" x14ac:dyDescent="0.35">
      <c r="A978" s="14"/>
      <c r="B978" s="14"/>
      <c r="C978" s="14"/>
      <c r="D978" s="13"/>
    </row>
    <row r="979" spans="1:4" ht="15.5" x14ac:dyDescent="0.35">
      <c r="A979" s="14"/>
      <c r="B979" s="14"/>
      <c r="C979" s="14"/>
      <c r="D979" s="13"/>
    </row>
    <row r="980" spans="1:4" ht="15.5" x14ac:dyDescent="0.35">
      <c r="A980" s="14"/>
      <c r="B980" s="14"/>
      <c r="C980" s="14"/>
      <c r="D980" s="13"/>
    </row>
    <row r="981" spans="1:4" ht="15.5" x14ac:dyDescent="0.35">
      <c r="A981" s="14"/>
      <c r="B981" s="14"/>
      <c r="C981" s="14"/>
      <c r="D981" s="13"/>
    </row>
    <row r="982" spans="1:4" ht="15.5" x14ac:dyDescent="0.35">
      <c r="A982" s="14"/>
      <c r="B982" s="14"/>
      <c r="C982" s="14"/>
      <c r="D982" s="13"/>
    </row>
    <row r="983" spans="1:4" ht="15.5" x14ac:dyDescent="0.35">
      <c r="A983" s="14"/>
      <c r="B983" s="14"/>
      <c r="C983" s="14"/>
      <c r="D983" s="13"/>
    </row>
    <row r="984" spans="1:4" ht="15.5" x14ac:dyDescent="0.35">
      <c r="A984" s="14"/>
      <c r="B984" s="14"/>
      <c r="C984" s="14"/>
      <c r="D984" s="13"/>
    </row>
    <row r="985" spans="1:4" ht="15.5" x14ac:dyDescent="0.35">
      <c r="A985" s="14"/>
      <c r="B985" s="14"/>
      <c r="C985" s="14"/>
      <c r="D985" s="13"/>
    </row>
    <row r="986" spans="1:4" ht="15.5" x14ac:dyDescent="0.35">
      <c r="A986" s="14"/>
      <c r="B986" s="14"/>
      <c r="C986" s="14"/>
      <c r="D986" s="13"/>
    </row>
    <row r="987" spans="1:4" ht="15.5" x14ac:dyDescent="0.35">
      <c r="A987" s="14"/>
      <c r="B987" s="14"/>
      <c r="C987" s="14"/>
      <c r="D987" s="13"/>
    </row>
    <row r="988" spans="1:4" ht="15.5" x14ac:dyDescent="0.35">
      <c r="A988" s="14"/>
      <c r="B988" s="14"/>
      <c r="C988" s="14"/>
      <c r="D988" s="13"/>
    </row>
    <row r="989" spans="1:4" ht="15.5" x14ac:dyDescent="0.35">
      <c r="A989" s="14"/>
      <c r="B989" s="14"/>
      <c r="C989" s="14"/>
      <c r="D989" s="13"/>
    </row>
    <row r="990" spans="1:4" ht="15.5" x14ac:dyDescent="0.35">
      <c r="A990" s="14"/>
      <c r="B990" s="14"/>
      <c r="C990" s="14"/>
      <c r="D990" s="13"/>
    </row>
    <row r="991" spans="1:4" ht="15.5" x14ac:dyDescent="0.35">
      <c r="A991" s="14"/>
      <c r="B991" s="14"/>
      <c r="C991" s="14"/>
      <c r="D991" s="13"/>
    </row>
    <row r="992" spans="1:4" ht="15.5" x14ac:dyDescent="0.35">
      <c r="A992" s="14"/>
      <c r="B992" s="14"/>
      <c r="C992" s="14"/>
      <c r="D992" s="13"/>
    </row>
    <row r="993" spans="1:4" ht="15.5" x14ac:dyDescent="0.35">
      <c r="A993" s="14"/>
      <c r="B993" s="14"/>
      <c r="C993" s="14"/>
      <c r="D993" s="13"/>
    </row>
    <row r="994" spans="1:4" ht="15.5" x14ac:dyDescent="0.35">
      <c r="A994" s="14"/>
      <c r="B994" s="14"/>
      <c r="C994" s="14"/>
      <c r="D994" s="13"/>
    </row>
    <row r="995" spans="1:4" ht="15.5" x14ac:dyDescent="0.35">
      <c r="A995" s="14"/>
      <c r="B995" s="14"/>
      <c r="C995" s="14"/>
      <c r="D995" s="13"/>
    </row>
    <row r="996" spans="1:4" ht="15.5" x14ac:dyDescent="0.35">
      <c r="A996" s="14"/>
      <c r="B996" s="14"/>
      <c r="C996" s="14"/>
      <c r="D996" s="13"/>
    </row>
    <row r="997" spans="1:4" ht="15.5" x14ac:dyDescent="0.35">
      <c r="A997" s="14"/>
      <c r="B997" s="14"/>
      <c r="C997" s="14"/>
      <c r="D997" s="13"/>
    </row>
    <row r="998" spans="1:4" ht="15.5" x14ac:dyDescent="0.35">
      <c r="A998" s="14"/>
      <c r="B998" s="14"/>
      <c r="C998" s="14"/>
      <c r="D998" s="13"/>
    </row>
    <row r="999" spans="1:4" ht="15.5" x14ac:dyDescent="0.35">
      <c r="A999" s="14"/>
      <c r="B999" s="14"/>
      <c r="C999" s="14"/>
      <c r="D999" s="13"/>
    </row>
    <row r="1000" spans="1:4" ht="15.5" x14ac:dyDescent="0.35">
      <c r="A1000" s="14"/>
      <c r="B1000" s="14"/>
      <c r="C1000" s="14"/>
      <c r="D1000" s="13"/>
    </row>
    <row r="1001" spans="1:4" ht="15.5" x14ac:dyDescent="0.35">
      <c r="A1001" s="14"/>
      <c r="B1001" s="14"/>
      <c r="C1001" s="14"/>
      <c r="D1001" s="13"/>
    </row>
    <row r="1002" spans="1:4" ht="15.5" x14ac:dyDescent="0.35">
      <c r="A1002" s="14"/>
      <c r="B1002" s="14"/>
      <c r="C1002" s="14"/>
      <c r="D1002" s="13"/>
    </row>
    <row r="1003" spans="1:4" ht="15.5" x14ac:dyDescent="0.35">
      <c r="A1003" s="14"/>
      <c r="B1003" s="14"/>
      <c r="C1003" s="14"/>
      <c r="D1003" s="13"/>
    </row>
    <row r="1004" spans="1:4" ht="15.5" x14ac:dyDescent="0.35">
      <c r="A1004" s="14"/>
      <c r="B1004" s="14"/>
      <c r="C1004" s="14"/>
      <c r="D1004" s="13"/>
    </row>
    <row r="1005" spans="1:4" ht="15.5" x14ac:dyDescent="0.35">
      <c r="A1005" s="14"/>
      <c r="B1005" s="14"/>
      <c r="C1005" s="14"/>
      <c r="D1005" s="13"/>
    </row>
    <row r="1006" spans="1:4" ht="15.5" x14ac:dyDescent="0.35">
      <c r="A1006" s="14"/>
      <c r="B1006" s="14"/>
      <c r="C1006" s="14"/>
      <c r="D1006" s="13"/>
    </row>
    <row r="1007" spans="1:4" ht="15.5" x14ac:dyDescent="0.35">
      <c r="A1007" s="14"/>
      <c r="B1007" s="14"/>
      <c r="C1007" s="14"/>
      <c r="D1007" s="13"/>
    </row>
    <row r="1008" spans="1:4" ht="15.5" x14ac:dyDescent="0.35">
      <c r="A1008" s="14"/>
      <c r="B1008" s="14"/>
      <c r="C1008" s="14"/>
      <c r="D1008" s="13"/>
    </row>
    <row r="1009" spans="1:4" ht="15.5" x14ac:dyDescent="0.35">
      <c r="A1009" s="14"/>
      <c r="B1009" s="14"/>
      <c r="C1009" s="14"/>
      <c r="D1009" s="13"/>
    </row>
    <row r="1010" spans="1:4" ht="15.5" x14ac:dyDescent="0.35">
      <c r="A1010" s="14"/>
      <c r="B1010" s="14"/>
      <c r="C1010" s="14"/>
      <c r="D1010" s="13"/>
    </row>
    <row r="1011" spans="1:4" ht="15.5" x14ac:dyDescent="0.35">
      <c r="A1011" s="14"/>
      <c r="B1011" s="14"/>
      <c r="C1011" s="14"/>
      <c r="D1011" s="13"/>
    </row>
    <row r="1012" spans="1:4" ht="15.5" x14ac:dyDescent="0.35">
      <c r="A1012" s="14"/>
      <c r="B1012" s="14"/>
      <c r="C1012" s="14"/>
      <c r="D1012" s="13"/>
    </row>
    <row r="1013" spans="1:4" ht="15.5" x14ac:dyDescent="0.35">
      <c r="A1013" s="14"/>
      <c r="B1013" s="14"/>
      <c r="C1013" s="14"/>
      <c r="D1013" s="13"/>
    </row>
    <row r="1014" spans="1:4" ht="15.5" x14ac:dyDescent="0.35">
      <c r="A1014" s="14"/>
      <c r="B1014" s="14"/>
      <c r="C1014" s="14"/>
      <c r="D1014" s="13"/>
    </row>
    <row r="1015" spans="1:4" ht="15.5" x14ac:dyDescent="0.35">
      <c r="A1015" s="14"/>
      <c r="B1015" s="14"/>
      <c r="C1015" s="14"/>
      <c r="D1015" s="13"/>
    </row>
    <row r="1016" spans="1:4" ht="15.5" x14ac:dyDescent="0.35">
      <c r="A1016" s="14"/>
      <c r="B1016" s="14"/>
      <c r="C1016" s="14"/>
      <c r="D1016" s="13"/>
    </row>
    <row r="1017" spans="1:4" ht="15.5" x14ac:dyDescent="0.35">
      <c r="A1017" s="14"/>
      <c r="B1017" s="14"/>
      <c r="C1017" s="14"/>
      <c r="D1017" s="13"/>
    </row>
    <row r="1018" spans="1:4" ht="15.5" x14ac:dyDescent="0.35">
      <c r="A1018" s="14"/>
      <c r="B1018" s="14"/>
      <c r="C1018" s="14"/>
      <c r="D1018" s="13"/>
    </row>
    <row r="1019" spans="1:4" ht="15.5" x14ac:dyDescent="0.35">
      <c r="A1019" s="14"/>
      <c r="B1019" s="14"/>
      <c r="C1019" s="14"/>
      <c r="D1019" s="13"/>
    </row>
    <row r="1020" spans="1:4" ht="15.5" x14ac:dyDescent="0.35">
      <c r="A1020" s="14"/>
      <c r="B1020" s="14"/>
      <c r="C1020" s="14"/>
      <c r="D1020" s="13"/>
    </row>
    <row r="1021" spans="1:4" ht="15.5" x14ac:dyDescent="0.35">
      <c r="A1021" s="14"/>
      <c r="B1021" s="14"/>
      <c r="C1021" s="14"/>
      <c r="D1021" s="13"/>
    </row>
    <row r="1022" spans="1:4" ht="15.5" x14ac:dyDescent="0.35">
      <c r="A1022" s="14"/>
      <c r="B1022" s="14"/>
      <c r="C1022" s="14"/>
      <c r="D1022" s="13"/>
    </row>
    <row r="1023" spans="1:4" ht="15.5" x14ac:dyDescent="0.35">
      <c r="A1023" s="14"/>
      <c r="B1023" s="14"/>
      <c r="C1023" s="14"/>
      <c r="D1023" s="13"/>
    </row>
    <row r="1024" spans="1:4" ht="15.5" x14ac:dyDescent="0.35">
      <c r="A1024" s="14"/>
      <c r="B1024" s="14"/>
      <c r="C1024" s="14"/>
      <c r="D1024" s="13"/>
    </row>
    <row r="1025" spans="1:4" ht="15.5" x14ac:dyDescent="0.35">
      <c r="A1025" s="14"/>
      <c r="B1025" s="14"/>
      <c r="C1025" s="14"/>
      <c r="D1025" s="13"/>
    </row>
    <row r="1026" spans="1:4" ht="15.5" x14ac:dyDescent="0.35">
      <c r="A1026" s="14"/>
      <c r="B1026" s="14"/>
      <c r="C1026" s="14"/>
      <c r="D1026" s="13"/>
    </row>
    <row r="1027" spans="1:4" ht="15.5" x14ac:dyDescent="0.35">
      <c r="A1027" s="14"/>
      <c r="B1027" s="14"/>
      <c r="C1027" s="14"/>
      <c r="D1027" s="13"/>
    </row>
    <row r="1028" spans="1:4" ht="15.5" x14ac:dyDescent="0.35">
      <c r="A1028" s="14"/>
      <c r="B1028" s="14"/>
      <c r="C1028" s="14"/>
      <c r="D1028" s="13"/>
    </row>
    <row r="1029" spans="1:4" ht="15.5" x14ac:dyDescent="0.35">
      <c r="A1029" s="14"/>
      <c r="B1029" s="14"/>
      <c r="C1029" s="14"/>
      <c r="D1029" s="13"/>
    </row>
    <row r="1030" spans="1:4" ht="15.5" x14ac:dyDescent="0.35">
      <c r="A1030" s="14"/>
      <c r="B1030" s="14"/>
      <c r="C1030" s="14"/>
      <c r="D1030" s="13"/>
    </row>
    <row r="1031" spans="1:4" ht="15.5" x14ac:dyDescent="0.35">
      <c r="A1031" s="14"/>
      <c r="B1031" s="14"/>
      <c r="C1031" s="14"/>
      <c r="D1031" s="13"/>
    </row>
    <row r="1032" spans="1:4" ht="15.5" x14ac:dyDescent="0.35">
      <c r="A1032" s="14"/>
      <c r="B1032" s="14"/>
      <c r="C1032" s="14"/>
      <c r="D1032" s="13"/>
    </row>
    <row r="1033" spans="1:4" ht="15.5" x14ac:dyDescent="0.35">
      <c r="A1033" s="14"/>
      <c r="B1033" s="14"/>
      <c r="C1033" s="14"/>
      <c r="D1033" s="13"/>
    </row>
    <row r="1034" spans="1:4" x14ac:dyDescent="0.35">
      <c r="B1034" s="14"/>
      <c r="C1034" s="14"/>
      <c r="D1034" s="13"/>
    </row>
  </sheetData>
  <dataConsolidate topLabels="1">
    <dataRefs count="1">
      <dataRef name="D19, D343, D355, D362, D367"/>
    </dataRefs>
  </dataConsolidate>
  <mergeCells count="10">
    <mergeCell ref="B533:C533"/>
    <mergeCell ref="B609:C609"/>
    <mergeCell ref="A535:D535"/>
    <mergeCell ref="A611:D611"/>
    <mergeCell ref="A832:B832"/>
    <mergeCell ref="A612:D612"/>
    <mergeCell ref="A706:D706"/>
    <mergeCell ref="B760:C760"/>
    <mergeCell ref="B704:C704"/>
    <mergeCell ref="A632:D632"/>
  </mergeCells>
  <phoneticPr fontId="0" type="noConversion"/>
  <pageMargins left="0.25" right="0.25" top="1" bottom="1" header="0.5" footer="0.5"/>
  <pageSetup scale="70" firstPageNumber="63" orientation="landscape" r:id="rId1"/>
  <headerFooter alignWithMargins="0">
    <oddHeader>&amp;C&amp;"Arial,Bold"&amp;20Order Form</oddHeader>
    <oddFooter xml:space="preserve">&amp;L&amp;24    &amp;"Arial,Bold"&amp;16 Ordering Information&amp;R&amp;"Arial,Bold"&amp;16Page &amp;P+60   &amp;"Arial Narrow,Regular"&amp;24 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OrderFm04</vt:lpstr>
      <vt:lpstr>OrderFm04!Print_Area</vt:lpstr>
    </vt:vector>
  </TitlesOfParts>
  <Manager>DLIELC/LEC Chief</Manager>
  <Company>USAF, DLIELC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Electronic Order Form</dc:title>
  <dc:subject>2004 Catalog of Materials, Courses and Support</dc:subject>
  <dc:creator>DLIELC/LEC</dc:creator>
  <cp:lastModifiedBy>Carina Negreanu</cp:lastModifiedBy>
  <cp:lastPrinted>2003-10-02T20:05:46Z</cp:lastPrinted>
  <dcterms:created xsi:type="dcterms:W3CDTF">1998-08-21T15:09:45Z</dcterms:created>
  <dcterms:modified xsi:type="dcterms:W3CDTF">2020-01-27T11:56:38Z</dcterms:modified>
</cp:coreProperties>
</file>