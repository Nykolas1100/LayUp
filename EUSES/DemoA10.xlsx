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61B92E-E7FE-425C-825A-12C975209A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Count="1"/>
</workbook>
</file>

<file path=xl/calcChain.xml><?xml version="1.0" encoding="utf-8"?>
<calcChain xmlns="http://schemas.openxmlformats.org/spreadsheetml/2006/main">
  <c r="C10" i="1" l="1"/>
  <c r="D10" i="1"/>
  <c r="A11" i="1"/>
  <c r="C11" i="1"/>
  <c r="D11" i="1"/>
  <c r="A12" i="1"/>
  <c r="C12" i="1"/>
  <c r="D12" i="1"/>
  <c r="A13" i="1"/>
  <c r="C13" i="1"/>
  <c r="D13" i="1"/>
  <c r="A14" i="1"/>
  <c r="C14" i="1"/>
  <c r="D14" i="1"/>
  <c r="A15" i="1"/>
  <c r="C15" i="1"/>
  <c r="D15" i="1"/>
  <c r="A16" i="1"/>
  <c r="C16" i="1"/>
  <c r="D16" i="1"/>
  <c r="A17" i="1"/>
  <c r="C17" i="1"/>
  <c r="D17" i="1"/>
  <c r="A18" i="1"/>
  <c r="C18" i="1"/>
  <c r="D18" i="1"/>
  <c r="A19" i="1"/>
  <c r="C19" i="1"/>
  <c r="D19" i="1"/>
  <c r="A20" i="1"/>
  <c r="C20" i="1"/>
  <c r="D20" i="1"/>
  <c r="A21" i="1"/>
  <c r="C21" i="1"/>
  <c r="D21" i="1"/>
  <c r="A22" i="1"/>
  <c r="C22" i="1"/>
  <c r="D22" i="1"/>
  <c r="A23" i="1"/>
  <c r="C23" i="1"/>
  <c r="D23" i="1"/>
  <c r="A24" i="1"/>
  <c r="C24" i="1"/>
  <c r="D24" i="1"/>
  <c r="A25" i="1"/>
  <c r="C25" i="1"/>
  <c r="D25" i="1"/>
  <c r="A26" i="1"/>
  <c r="C26" i="1"/>
  <c r="A27" i="1"/>
  <c r="C27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C102" i="1"/>
  <c r="D102" i="1"/>
  <c r="A103" i="1"/>
  <c r="C103" i="1"/>
  <c r="D103" i="1"/>
  <c r="A104" i="1"/>
  <c r="C104" i="1"/>
  <c r="D104" i="1"/>
  <c r="A105" i="1"/>
  <c r="C105" i="1"/>
  <c r="D105" i="1"/>
  <c r="A106" i="1"/>
  <c r="C106" i="1"/>
  <c r="D106" i="1"/>
  <c r="A107" i="1"/>
  <c r="C107" i="1"/>
  <c r="D107" i="1"/>
  <c r="A108" i="1"/>
  <c r="C108" i="1"/>
  <c r="D108" i="1"/>
  <c r="A109" i="1"/>
  <c r="C109" i="1"/>
  <c r="D109" i="1"/>
  <c r="A110" i="1"/>
  <c r="C110" i="1"/>
  <c r="D110" i="1"/>
  <c r="A111" i="1"/>
  <c r="C111" i="1"/>
  <c r="D111" i="1"/>
  <c r="A112" i="1"/>
  <c r="C112" i="1"/>
  <c r="D112" i="1"/>
  <c r="A113" i="1"/>
  <c r="C113" i="1"/>
  <c r="D113" i="1"/>
  <c r="A114" i="1"/>
  <c r="C114" i="1"/>
  <c r="A115" i="1"/>
  <c r="C115" i="1"/>
  <c r="H103" i="1"/>
  <c r="H108" i="1"/>
  <c r="H113" i="1"/>
  <c r="H107" i="1"/>
  <c r="H109" i="1"/>
  <c r="H105" i="1"/>
  <c r="H104" i="1"/>
  <c r="H110" i="1"/>
  <c r="H112" i="1"/>
  <c r="H106" i="1"/>
  <c r="H111" i="1"/>
  <c r="H102" i="1"/>
</calcChain>
</file>

<file path=xl/sharedStrings.xml><?xml version="1.0" encoding="utf-8"?>
<sst xmlns="http://schemas.openxmlformats.org/spreadsheetml/2006/main" count="77" uniqueCount="44">
  <si>
    <t>Demonstration: Hashing algorithm for sequence searching</t>
  </si>
  <si>
    <t>Author: R.F. Murphy, Feb. 6, 1995 (revised Feb. 15, 1996)</t>
  </si>
  <si>
    <t>This demonstration takes a piece of database sequence, calculates hash values for each</t>
  </si>
  <si>
    <t>ktuple, builds a hash table (listing the positions in the database of the occurence of each</t>
  </si>
  <si>
    <t>hash value), and uses a simplified version of the hash table to find the positions in the</t>
  </si>
  <si>
    <t xml:space="preserve"> database sequence of the first occurence of each ktuple in a query sequence.</t>
  </si>
  <si>
    <t>database sequence</t>
  </si>
  <si>
    <t>seq(i)</t>
  </si>
  <si>
    <t xml:space="preserve">   i</t>
  </si>
  <si>
    <t>as char</t>
  </si>
  <si>
    <t>as int</t>
  </si>
  <si>
    <t>hash value</t>
  </si>
  <si>
    <t>a</t>
  </si>
  <si>
    <t>c</t>
  </si>
  <si>
    <t xml:space="preserve">This section converts each base to a number </t>
  </si>
  <si>
    <t>g</t>
  </si>
  <si>
    <t xml:space="preserve">from 0 to 3 and combines those numbers three </t>
  </si>
  <si>
    <t>t</t>
  </si>
  <si>
    <t>at a time to form an integer from 0 to 63 that</t>
  </si>
  <si>
    <t>is unique for each three base sequence.</t>
  </si>
  <si>
    <t>Each three base sequence is called a "ktuple."</t>
  </si>
  <si>
    <t>hash</t>
  </si>
  <si>
    <t>first hit</t>
  </si>
  <si>
    <t>value</t>
  </si>
  <si>
    <t>pos1</t>
  </si>
  <si>
    <t>pos2</t>
  </si>
  <si>
    <t>pos3</t>
  </si>
  <si>
    <r>
      <t>hash table for the</t>
    </r>
    <r>
      <rPr>
        <b/>
        <sz val="10"/>
        <rFont val="Geneva"/>
      </rPr>
      <t xml:space="preserve"> database sequence</t>
    </r>
  </si>
  <si>
    <t>hash table</t>
  </si>
  <si>
    <t>Note: In a real implementation, the first hit hash table would be replaced by a linked list</t>
  </si>
  <si>
    <t>pointing to the locations of all hits of a given ktuple (i.e., a compressed version of the</t>
  </si>
  <si>
    <t>hash table above).</t>
  </si>
  <si>
    <t>query sequence</t>
  </si>
  <si>
    <t>q(i) as</t>
  </si>
  <si>
    <t>locations</t>
  </si>
  <si>
    <t>char</t>
  </si>
  <si>
    <t>int</t>
  </si>
  <si>
    <t>of matches</t>
  </si>
  <si>
    <t>This section also takes three bases</t>
  </si>
  <si>
    <t>at a time and calculates hash values.</t>
  </si>
  <si>
    <t>It then looks in the appropriate place</t>
  </si>
  <si>
    <t>in the hash table to see if that three</t>
  </si>
  <si>
    <t>base sequence is present in the</t>
  </si>
  <si>
    <t>database sequence, and if so, where.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</si>
</sst>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Geneva"/>
    </font>
    <font>
      <b/>
      <sz val="10"/>
      <name val="Geneva"/>
    </font>
    <font>
      <b/>
      <sz val="14"/>
      <name val="Geneva"/>
    </font>
    <font>
      <sz val="14"/>
      <name val="Geneva"/>
    </font>
    <font>
      <sz val="12"/>
      <name val="Geneva"/>
    </font>
    <font>
      <sz val="12"/>
      <color indexed="10"/>
      <name val="Geneva"/>
    </font>
    <font>
      <sz val="14"/>
      <color indexed="8"/>
      <name val="Geneva"/>
    </font>
    <font>
      <sz val="10"/>
      <color indexed="8"/>
      <name val="Geneva"/>
    </font>
    <font>
      <b/>
      <sz val="14"/>
      <color indexed="8"/>
      <name val="Geneva"/>
    </font>
    <font>
      <sz val="12"/>
      <color indexed="36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6"/>
        <bgColor indexed="8"/>
      </patternFill>
    </fill>
    <fill>
      <patternFill patternType="solid">
        <fgColor indexed="65"/>
        <bgColor indexed="8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Border="1"/>
    <xf numFmtId="0" fontId="4" fillId="0" borderId="0" xfId="0" applyFont="1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49" fontId="3" fillId="2" borderId="9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horizontal="center"/>
    </xf>
    <xf numFmtId="0" fontId="7" fillId="0" borderId="7" xfId="0" applyFont="1" applyFill="1" applyBorder="1"/>
    <xf numFmtId="0" fontId="8" fillId="0" borderId="7" xfId="0" applyFont="1" applyFill="1" applyBorder="1" applyAlignment="1">
      <alignment horizontal="center"/>
    </xf>
    <xf numFmtId="0" fontId="6" fillId="0" borderId="7" xfId="0" applyFont="1" applyFill="1" applyBorder="1"/>
    <xf numFmtId="0" fontId="6" fillId="2" borderId="4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2" xfId="0" quotePrefix="1" applyFont="1" applyFill="1" applyBorder="1"/>
    <xf numFmtId="0" fontId="3" fillId="2" borderId="13" xfId="0" applyFont="1" applyFill="1" applyBorder="1"/>
    <xf numFmtId="0" fontId="2" fillId="2" borderId="13" xfId="0" applyFont="1" applyFill="1" applyBorder="1" applyAlignment="1">
      <alignment horizontal="center"/>
    </xf>
    <xf numFmtId="0" fontId="3" fillId="2" borderId="14" xfId="0" applyFont="1" applyFill="1" applyBorder="1"/>
    <xf numFmtId="0" fontId="0" fillId="2" borderId="12" xfId="0" quotePrefix="1" applyFill="1" applyBorder="1"/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/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49" fontId="2" fillId="2" borderId="0" xfId="0" applyNumberFormat="1" applyFont="1" applyFill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0" fontId="0" fillId="2" borderId="12" xfId="0" applyFill="1" applyBorder="1"/>
    <xf numFmtId="0" fontId="3" fillId="3" borderId="13" xfId="0" applyFont="1" applyFill="1" applyBorder="1"/>
    <xf numFmtId="0" fontId="3" fillId="4" borderId="2" xfId="0" applyFont="1" applyFill="1" applyBorder="1"/>
    <xf numFmtId="0" fontId="3" fillId="4" borderId="9" xfId="0" applyFont="1" applyFill="1" applyBorder="1"/>
    <xf numFmtId="0" fontId="3" fillId="0" borderId="11" xfId="0" applyFont="1" applyBorder="1"/>
    <xf numFmtId="0" fontId="3" fillId="0" borderId="9" xfId="0" applyFont="1" applyBorder="1"/>
    <xf numFmtId="0" fontId="9" fillId="0" borderId="0" xfId="0" applyFont="1"/>
    <xf numFmtId="0" fontId="9" fillId="0" borderId="0" xfId="0" applyFont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93</xdr:row>
      <xdr:rowOff>50800</xdr:rowOff>
    </xdr:from>
    <xdr:to>
      <xdr:col>21</xdr:col>
      <xdr:colOff>12700</xdr:colOff>
      <xdr:row>93</xdr:row>
      <xdr:rowOff>95250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20349808-48F0-489E-BD0E-A34C12ED4184}"/>
            </a:ext>
          </a:extLst>
        </xdr:cNvPr>
        <xdr:cNvSpPr>
          <a:spLocks noChangeArrowheads="1"/>
        </xdr:cNvSpPr>
      </xdr:nvSpPr>
      <xdr:spPr bwMode="auto">
        <a:xfrm>
          <a:off x="0" y="20542250"/>
          <a:ext cx="5676900" cy="4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97</xdr:row>
      <xdr:rowOff>50800</xdr:rowOff>
    </xdr:from>
    <xdr:to>
      <xdr:col>21</xdr:col>
      <xdr:colOff>12700</xdr:colOff>
      <xdr:row>97</xdr:row>
      <xdr:rowOff>95250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6CF4D399-291F-49CF-9F75-77B8E1BD5BB9}"/>
            </a:ext>
          </a:extLst>
        </xdr:cNvPr>
        <xdr:cNvSpPr>
          <a:spLocks noChangeArrowheads="1"/>
        </xdr:cNvSpPr>
      </xdr:nvSpPr>
      <xdr:spPr bwMode="auto">
        <a:xfrm>
          <a:off x="0" y="21291550"/>
          <a:ext cx="5676900" cy="4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5"/>
  <sheetViews>
    <sheetView tabSelected="1" workbookViewId="0">
      <selection activeCell="U30" sqref="U30:U93"/>
    </sheetView>
  </sheetViews>
  <sheetFormatPr defaultRowHeight="12.5"/>
  <cols>
    <col min="1" max="1" width="4.7265625" customWidth="1"/>
    <col min="2" max="2" width="8.54296875" customWidth="1"/>
    <col min="3" max="3" width="7.453125" customWidth="1"/>
    <col min="4" max="4" width="3.81640625" customWidth="1"/>
    <col min="5" max="7" width="3" customWidth="1"/>
    <col min="8" max="8" width="3.81640625" customWidth="1"/>
    <col min="9" max="20" width="3" customWidth="1"/>
    <col min="21" max="21" width="7.7265625" customWidth="1"/>
    <col min="22" max="256" width="10.90625" customWidth="1"/>
  </cols>
  <sheetData>
    <row r="1" spans="1:22" s="2" customFormat="1" ht="17.5">
      <c r="A1" s="2" t="s">
        <v>0</v>
      </c>
    </row>
    <row r="2" spans="1:22" ht="11" customHeight="1">
      <c r="A2" t="s">
        <v>1</v>
      </c>
    </row>
    <row r="3" spans="1:22" s="5" customFormat="1" ht="15.5">
      <c r="B3" s="60" t="s">
        <v>2</v>
      </c>
    </row>
    <row r="4" spans="1:22" s="5" customFormat="1" ht="15.5">
      <c r="B4" s="60" t="s">
        <v>3</v>
      </c>
    </row>
    <row r="5" spans="1:22" s="7" customFormat="1" ht="15.5">
      <c r="B5" s="61" t="s">
        <v>4</v>
      </c>
    </row>
    <row r="6" spans="1:22" s="7" customFormat="1" ht="15.5">
      <c r="B6" s="61" t="s">
        <v>5</v>
      </c>
    </row>
    <row r="7" spans="1:22" ht="18">
      <c r="A7" s="54"/>
      <c r="B7" s="55"/>
      <c r="C7" s="43" t="s">
        <v>6</v>
      </c>
      <c r="D7" s="42"/>
      <c r="E7" s="46"/>
      <c r="F7" s="46"/>
      <c r="G7" s="48"/>
    </row>
    <row r="8" spans="1:22" ht="17.5">
      <c r="A8" s="8"/>
      <c r="B8" s="57" t="s">
        <v>7</v>
      </c>
      <c r="C8" s="59" t="s">
        <v>7</v>
      </c>
      <c r="D8" s="56"/>
      <c r="E8" s="9"/>
      <c r="F8" s="9"/>
      <c r="G8" s="10"/>
    </row>
    <row r="9" spans="1:22" ht="17.5">
      <c r="A9" s="13" t="s">
        <v>8</v>
      </c>
      <c r="B9" s="58" t="s">
        <v>9</v>
      </c>
      <c r="C9" s="58" t="s">
        <v>10</v>
      </c>
      <c r="D9" s="21" t="s">
        <v>11</v>
      </c>
      <c r="E9" s="14"/>
      <c r="F9" s="14"/>
      <c r="G9" s="15"/>
    </row>
    <row r="10" spans="1:22" ht="18">
      <c r="A10" s="2">
        <v>1</v>
      </c>
      <c r="B10" s="52" t="s">
        <v>12</v>
      </c>
      <c r="C10" s="40">
        <f>IF($B10="a",0,IF($B10="c",1,IF($B10="g",2,IF($B10="t",3,-1))))</f>
        <v>0</v>
      </c>
      <c r="D10" s="4">
        <f t="shared" ref="D10:D20" si="0">(C10*4+C11)*4+C12</f>
        <v>6</v>
      </c>
    </row>
    <row r="11" spans="1:22" ht="18">
      <c r="A11" s="2">
        <f>+A10+1</f>
        <v>2</v>
      </c>
      <c r="B11" s="52" t="s">
        <v>13</v>
      </c>
      <c r="C11" s="40">
        <f t="shared" ref="C11:C26" si="1">IF($B11="a",0,IF($B11="c",1,IF($B11="g",2,IF($B11="t",3,-1))))</f>
        <v>1</v>
      </c>
      <c r="D11" s="4">
        <f t="shared" si="0"/>
        <v>27</v>
      </c>
      <c r="H11" s="8" t="s">
        <v>14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</row>
    <row r="12" spans="1:22" ht="18">
      <c r="A12" s="2">
        <f t="shared" ref="A12:A27" si="2">+A11+1</f>
        <v>3</v>
      </c>
      <c r="B12" s="52" t="s">
        <v>15</v>
      </c>
      <c r="C12" s="40">
        <f t="shared" si="1"/>
        <v>2</v>
      </c>
      <c r="D12" s="4">
        <f t="shared" si="0"/>
        <v>47</v>
      </c>
      <c r="H12" s="11" t="s">
        <v>16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2"/>
    </row>
    <row r="13" spans="1:22" ht="18">
      <c r="A13" s="2">
        <f t="shared" si="2"/>
        <v>4</v>
      </c>
      <c r="B13" s="52" t="s">
        <v>17</v>
      </c>
      <c r="C13" s="40">
        <f t="shared" si="1"/>
        <v>3</v>
      </c>
      <c r="D13" s="4">
        <f t="shared" si="0"/>
        <v>63</v>
      </c>
      <c r="H13" s="11" t="s">
        <v>18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2"/>
    </row>
    <row r="14" spans="1:22" ht="18">
      <c r="A14" s="2">
        <f t="shared" si="2"/>
        <v>5</v>
      </c>
      <c r="B14" s="52" t="s">
        <v>17</v>
      </c>
      <c r="C14" s="40">
        <f t="shared" si="1"/>
        <v>3</v>
      </c>
      <c r="D14" s="4">
        <f t="shared" si="0"/>
        <v>63</v>
      </c>
      <c r="H14" s="11" t="s">
        <v>19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2"/>
    </row>
    <row r="15" spans="1:22" ht="18">
      <c r="A15" s="2">
        <f t="shared" si="2"/>
        <v>6</v>
      </c>
      <c r="B15" s="52" t="s">
        <v>17</v>
      </c>
      <c r="C15" s="40">
        <f t="shared" si="1"/>
        <v>3</v>
      </c>
      <c r="D15" s="4">
        <f t="shared" si="0"/>
        <v>60</v>
      </c>
      <c r="H15" s="13" t="s">
        <v>20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</row>
    <row r="16" spans="1:22" ht="18">
      <c r="A16" s="2">
        <f t="shared" si="2"/>
        <v>7</v>
      </c>
      <c r="B16" s="52" t="s">
        <v>17</v>
      </c>
      <c r="C16" s="40">
        <f t="shared" si="1"/>
        <v>3</v>
      </c>
      <c r="D16" s="4">
        <f t="shared" si="0"/>
        <v>48</v>
      </c>
    </row>
    <row r="17" spans="1:21" ht="18">
      <c r="A17" s="2">
        <f t="shared" si="2"/>
        <v>8</v>
      </c>
      <c r="B17" s="52" t="s">
        <v>12</v>
      </c>
      <c r="C17" s="40">
        <f t="shared" si="1"/>
        <v>0</v>
      </c>
      <c r="D17" s="4">
        <f t="shared" si="0"/>
        <v>0</v>
      </c>
    </row>
    <row r="18" spans="1:21" ht="18">
      <c r="A18" s="2">
        <f t="shared" si="2"/>
        <v>9</v>
      </c>
      <c r="B18" s="52" t="s">
        <v>12</v>
      </c>
      <c r="C18" s="40">
        <f t="shared" si="1"/>
        <v>0</v>
      </c>
      <c r="D18" s="4">
        <f t="shared" si="0"/>
        <v>0</v>
      </c>
    </row>
    <row r="19" spans="1:21" ht="18">
      <c r="A19" s="2">
        <f t="shared" si="2"/>
        <v>10</v>
      </c>
      <c r="B19" s="52" t="s">
        <v>12</v>
      </c>
      <c r="C19" s="40">
        <f t="shared" si="1"/>
        <v>0</v>
      </c>
      <c r="D19" s="4">
        <f t="shared" si="0"/>
        <v>1</v>
      </c>
    </row>
    <row r="20" spans="1:21" ht="18">
      <c r="A20" s="2">
        <f t="shared" si="2"/>
        <v>11</v>
      </c>
      <c r="B20" s="52" t="s">
        <v>12</v>
      </c>
      <c r="C20" s="40">
        <f t="shared" si="1"/>
        <v>0</v>
      </c>
      <c r="D20" s="4">
        <f t="shared" si="0"/>
        <v>6</v>
      </c>
    </row>
    <row r="21" spans="1:21" ht="18">
      <c r="A21" s="2">
        <f t="shared" si="2"/>
        <v>12</v>
      </c>
      <c r="B21" s="52" t="s">
        <v>13</v>
      </c>
      <c r="C21" s="40">
        <f t="shared" si="1"/>
        <v>1</v>
      </c>
      <c r="D21" s="4">
        <f t="shared" ref="D21:D25" si="3">(C21*4+C22)*4+C23</f>
        <v>24</v>
      </c>
    </row>
    <row r="22" spans="1:21" ht="18">
      <c r="A22" s="2">
        <f t="shared" si="2"/>
        <v>13</v>
      </c>
      <c r="B22" s="52" t="s">
        <v>15</v>
      </c>
      <c r="C22" s="40">
        <f t="shared" si="1"/>
        <v>2</v>
      </c>
      <c r="D22" s="4">
        <f t="shared" si="3"/>
        <v>33</v>
      </c>
    </row>
    <row r="23" spans="1:21" ht="18">
      <c r="A23" s="2">
        <f t="shared" si="2"/>
        <v>14</v>
      </c>
      <c r="B23" s="52" t="s">
        <v>12</v>
      </c>
      <c r="C23" s="40">
        <f t="shared" si="1"/>
        <v>0</v>
      </c>
      <c r="D23" s="4">
        <f t="shared" si="3"/>
        <v>4</v>
      </c>
    </row>
    <row r="24" spans="1:21" ht="18">
      <c r="A24" s="2">
        <f t="shared" si="2"/>
        <v>15</v>
      </c>
      <c r="B24" s="52" t="s">
        <v>13</v>
      </c>
      <c r="C24" s="40">
        <f t="shared" si="1"/>
        <v>1</v>
      </c>
      <c r="D24" s="4">
        <f t="shared" si="3"/>
        <v>17</v>
      </c>
    </row>
    <row r="25" spans="1:21" ht="18">
      <c r="A25" s="2">
        <f t="shared" si="2"/>
        <v>16</v>
      </c>
      <c r="B25" s="52" t="s">
        <v>12</v>
      </c>
      <c r="C25" s="40">
        <f t="shared" si="1"/>
        <v>0</v>
      </c>
      <c r="D25" s="4">
        <f t="shared" si="3"/>
        <v>5</v>
      </c>
    </row>
    <row r="26" spans="1:21" ht="18">
      <c r="A26" s="2">
        <f t="shared" si="2"/>
        <v>17</v>
      </c>
      <c r="B26" s="52" t="s">
        <v>13</v>
      </c>
      <c r="C26" s="40">
        <f t="shared" si="1"/>
        <v>1</v>
      </c>
      <c r="D26" s="4"/>
    </row>
    <row r="27" spans="1:21" s="14" customFormat="1" ht="18">
      <c r="A27" s="21">
        <f t="shared" si="2"/>
        <v>18</v>
      </c>
      <c r="B27" s="53" t="s">
        <v>13</v>
      </c>
      <c r="C27" s="50">
        <f>IF($B27="a",0,IF($B27="c",1,IF($B27="g",2,IF($B27="t",3,-1))))</f>
        <v>1</v>
      </c>
      <c r="D27" s="51"/>
    </row>
    <row r="28" spans="1:21" ht="13">
      <c r="A28" t="s">
        <v>21</v>
      </c>
      <c r="U28" s="1" t="s">
        <v>22</v>
      </c>
    </row>
    <row r="29" spans="1:21" s="14" customFormat="1" ht="13">
      <c r="A29" s="14" t="s">
        <v>23</v>
      </c>
      <c r="B29" s="14" t="s">
        <v>24</v>
      </c>
      <c r="C29" s="14" t="s">
        <v>25</v>
      </c>
      <c r="D29" s="14" t="s">
        <v>26</v>
      </c>
      <c r="E29" s="45"/>
      <c r="F29" s="46"/>
      <c r="G29" s="46"/>
      <c r="H29" s="46"/>
      <c r="I29" s="46"/>
      <c r="J29" s="46"/>
      <c r="K29" s="46"/>
      <c r="L29" s="47" t="s">
        <v>27</v>
      </c>
      <c r="M29" s="46"/>
      <c r="N29" s="46"/>
      <c r="O29" s="46"/>
      <c r="P29" s="46"/>
      <c r="Q29" s="46"/>
      <c r="R29" s="46"/>
      <c r="S29" s="46"/>
      <c r="T29" s="48"/>
      <c r="U29" s="49" t="s">
        <v>28</v>
      </c>
    </row>
    <row r="30" spans="1:21" ht="17.5">
      <c r="A30" s="2">
        <v>0</v>
      </c>
      <c r="B30" s="2" t="str">
        <f>IF(MOD(TRUNC($A30/16),4)=0,"a",IF(MOD(TRUNC($A30/16),4)=1,"c",IF(MOD(TRUNC($A30/16),4)=2,"g",IF(MOD(TRUNC($A30/16),4)=3,"t","?"))))</f>
        <v>a</v>
      </c>
      <c r="C30" s="2" t="str">
        <f>IF(MOD(TRUNC($A30/4),4)=0,"a",IF(MOD(TRUNC($A30/4),4)=1,"c",IF(MOD(TRUNC($A30/4),4)=2,"g",IF(MOD(TRUNC($A30/4),4)=3,"t","?"))))</f>
        <v>a</v>
      </c>
      <c r="D30" s="2" t="str">
        <f>IF(MOD($A30,4)=0,"a",IF(MOD($A30,4)=1,"c",IF(MOD($A30,4)=2,"g",IF(MOD($A30,4)=3,"t","?"))))</f>
        <v>a</v>
      </c>
      <c r="E30" t="str">
        <f>IF($D$10=$A30,$A$10," ")</f>
        <v xml:space="preserve"> </v>
      </c>
      <c r="F30" t="str">
        <f>IF($D$11=$A30,$A$11," ")</f>
        <v xml:space="preserve"> </v>
      </c>
      <c r="G30" t="str">
        <f>IF($D$12=$A30,$A$12," ")</f>
        <v xml:space="preserve"> </v>
      </c>
      <c r="H30" t="str">
        <f>IF($D$13=$A30,$A$13," ")</f>
        <v xml:space="preserve"> </v>
      </c>
      <c r="I30" t="str">
        <f>IF($D$14=$A30,$A$14," ")</f>
        <v xml:space="preserve"> </v>
      </c>
      <c r="J30" t="str">
        <f>IF($D$15=$A30,$A$15," ")</f>
        <v xml:space="preserve"> </v>
      </c>
      <c r="K30" t="str">
        <f>IF($D$16=$A30,$A$16," ")</f>
        <v xml:space="preserve"> </v>
      </c>
      <c r="L30">
        <f>IF($D$17=$A30,$A$17," ")</f>
        <v>8</v>
      </c>
      <c r="M30">
        <f>IF($D$18=$A30,$A$18," ")</f>
        <v>9</v>
      </c>
      <c r="N30" t="str">
        <f>IF($D$19=$A30,$A$19," ")</f>
        <v xml:space="preserve"> </v>
      </c>
      <c r="O30" t="str">
        <f>IF($D$20=$A30,$A$20," ")</f>
        <v xml:space="preserve"> </v>
      </c>
      <c r="P30" t="str">
        <f>IF($D$21=$A30,$A$21," ")</f>
        <v xml:space="preserve"> </v>
      </c>
      <c r="Q30" t="str">
        <f>IF($D$22=$A30,$A$22," ")</f>
        <v xml:space="preserve"> </v>
      </c>
      <c r="R30" t="str">
        <f>IF($D$23=$A30,$A$23," ")</f>
        <v xml:space="preserve"> </v>
      </c>
      <c r="S30" t="str">
        <f>IF($D$24=$A30,$A$24," ")</f>
        <v xml:space="preserve"> </v>
      </c>
      <c r="T30" t="str">
        <f>IF($D$25=$A30,$A$25," ")</f>
        <v xml:space="preserve"> </v>
      </c>
      <c r="U30" s="62">
        <f t="shared" ref="U30:U61" si="4">IF(MIN(E30:T30)&gt;0,MIN(E30:T30),"not found ")</f>
        <v>8</v>
      </c>
    </row>
    <row r="31" spans="1:21" ht="17.5">
      <c r="A31" s="2">
        <f>A30+1</f>
        <v>1</v>
      </c>
      <c r="B31" s="2" t="str">
        <f t="shared" ref="B31:B46" si="5">IF(MOD(TRUNC($A31/16),4)=0,"a",IF(MOD(TRUNC($A31/16),4)=1,"c",IF(MOD(TRUNC($A31/16),4)=2,"g",IF(MOD(TRUNC($A31/16),4)=3,"t","?"))))</f>
        <v>a</v>
      </c>
      <c r="C31" s="2" t="str">
        <f t="shared" ref="C31:C46" si="6">IF(MOD(TRUNC($A31/4),4)=0,"a",IF(MOD(TRUNC($A31/4),4)=1,"c",IF(MOD(TRUNC($A31/4),4)=2,"g",IF(MOD(TRUNC($A31/4),4)=3,"t","?"))))</f>
        <v>a</v>
      </c>
      <c r="D31" s="2" t="str">
        <f t="shared" ref="D31:D46" si="7">IF(MOD($A31,4)=0,"a",IF(MOD($A31,4)=1,"c",IF(MOD($A31,4)=2,"g",IF(MOD($A31,4)=3,"t","?"))))</f>
        <v>c</v>
      </c>
      <c r="E31" t="str">
        <f t="shared" ref="E31:E46" si="8">IF($D$10=$A31,$A$10," ")</f>
        <v xml:space="preserve"> </v>
      </c>
      <c r="F31" t="str">
        <f t="shared" ref="F31:F46" si="9">IF($D$11=$A31,$A$11," ")</f>
        <v xml:space="preserve"> </v>
      </c>
      <c r="G31" t="str">
        <f t="shared" ref="G31:G46" si="10">IF($D$12=$A31,$A$12," ")</f>
        <v xml:space="preserve"> </v>
      </c>
      <c r="H31" t="str">
        <f t="shared" ref="H31:H46" si="11">IF($D$13=$A31,$A$13," ")</f>
        <v xml:space="preserve"> </v>
      </c>
      <c r="I31" t="str">
        <f t="shared" ref="I31:I46" si="12">IF($D$14=$A31,$A$14," ")</f>
        <v xml:space="preserve"> </v>
      </c>
      <c r="J31" t="str">
        <f t="shared" ref="J31:J46" si="13">IF($D$15=$A31,$A$15," ")</f>
        <v xml:space="preserve"> </v>
      </c>
      <c r="K31" t="str">
        <f t="shared" ref="K31:K46" si="14">IF($D$16=$A31,$A$16," ")</f>
        <v xml:space="preserve"> </v>
      </c>
      <c r="L31" t="str">
        <f t="shared" ref="L31:L46" si="15">IF($D$17=$A31,$A$17," ")</f>
        <v xml:space="preserve"> </v>
      </c>
      <c r="M31" t="str">
        <f t="shared" ref="M31:M46" si="16">IF($D$18=$A31,$A$18," ")</f>
        <v xml:space="preserve"> </v>
      </c>
      <c r="N31">
        <f t="shared" ref="N31:N46" si="17">IF($D$19=$A31,$A$19," ")</f>
        <v>10</v>
      </c>
      <c r="O31" t="str">
        <f t="shared" ref="O31:O46" si="18">IF($D$20=$A31,$A$20," ")</f>
        <v xml:space="preserve"> </v>
      </c>
      <c r="P31" t="str">
        <f t="shared" ref="P31:P46" si="19">IF($D$21=$A31,$A$21," ")</f>
        <v xml:space="preserve"> </v>
      </c>
      <c r="Q31" t="str">
        <f t="shared" ref="Q31:Q46" si="20">IF($D$22=$A31,$A$22," ")</f>
        <v xml:space="preserve"> </v>
      </c>
      <c r="R31" t="str">
        <f t="shared" ref="R31:R46" si="21">IF($D$23=$A31,$A$23," ")</f>
        <v xml:space="preserve"> </v>
      </c>
      <c r="S31" t="str">
        <f t="shared" ref="S31:S46" si="22">IF($D$24=$A31,$A$24," ")</f>
        <v xml:space="preserve"> </v>
      </c>
      <c r="T31" t="str">
        <f t="shared" ref="T31:T46" si="23">IF($D$25=$A31,$A$25," ")</f>
        <v xml:space="preserve"> </v>
      </c>
      <c r="U31" s="62">
        <f t="shared" si="4"/>
        <v>10</v>
      </c>
    </row>
    <row r="32" spans="1:21" ht="17.5">
      <c r="A32" s="2">
        <f t="shared" ref="A32:A47" si="24">A31+1</f>
        <v>2</v>
      </c>
      <c r="B32" s="2" t="str">
        <f t="shared" si="5"/>
        <v>a</v>
      </c>
      <c r="C32" s="2" t="str">
        <f t="shared" si="6"/>
        <v>a</v>
      </c>
      <c r="D32" s="2" t="str">
        <f t="shared" si="7"/>
        <v>g</v>
      </c>
      <c r="E32" t="str">
        <f t="shared" si="8"/>
        <v xml:space="preserve"> </v>
      </c>
      <c r="F32" t="str">
        <f t="shared" si="9"/>
        <v xml:space="preserve"> </v>
      </c>
      <c r="G32" t="str">
        <f t="shared" si="10"/>
        <v xml:space="preserve"> </v>
      </c>
      <c r="H32" t="str">
        <f t="shared" si="11"/>
        <v xml:space="preserve"> </v>
      </c>
      <c r="I32" t="str">
        <f t="shared" si="12"/>
        <v xml:space="preserve"> </v>
      </c>
      <c r="J32" t="str">
        <f t="shared" si="13"/>
        <v xml:space="preserve"> </v>
      </c>
      <c r="K32" t="str">
        <f t="shared" si="14"/>
        <v xml:space="preserve"> </v>
      </c>
      <c r="L32" t="str">
        <f t="shared" si="15"/>
        <v xml:space="preserve"> </v>
      </c>
      <c r="M32" t="str">
        <f t="shared" si="16"/>
        <v xml:space="preserve"> </v>
      </c>
      <c r="N32" t="str">
        <f t="shared" si="17"/>
        <v xml:space="preserve"> </v>
      </c>
      <c r="O32" t="str">
        <f t="shared" si="18"/>
        <v xml:space="preserve"> </v>
      </c>
      <c r="P32" t="str">
        <f t="shared" si="19"/>
        <v xml:space="preserve"> </v>
      </c>
      <c r="Q32" t="str">
        <f t="shared" si="20"/>
        <v xml:space="preserve"> </v>
      </c>
      <c r="R32" t="str">
        <f t="shared" si="21"/>
        <v xml:space="preserve"> </v>
      </c>
      <c r="S32" t="str">
        <f t="shared" si="22"/>
        <v xml:space="preserve"> </v>
      </c>
      <c r="T32" t="str">
        <f t="shared" si="23"/>
        <v xml:space="preserve"> </v>
      </c>
      <c r="U32" s="62" t="str">
        <f t="shared" si="4"/>
        <v xml:space="preserve">not found </v>
      </c>
    </row>
    <row r="33" spans="1:21" ht="17.5">
      <c r="A33" s="2">
        <f t="shared" si="24"/>
        <v>3</v>
      </c>
      <c r="B33" s="2" t="str">
        <f t="shared" si="5"/>
        <v>a</v>
      </c>
      <c r="C33" s="2" t="str">
        <f t="shared" si="6"/>
        <v>a</v>
      </c>
      <c r="D33" s="2" t="str">
        <f t="shared" si="7"/>
        <v>t</v>
      </c>
      <c r="E33" t="str">
        <f t="shared" si="8"/>
        <v xml:space="preserve"> </v>
      </c>
      <c r="F33" t="str">
        <f t="shared" si="9"/>
        <v xml:space="preserve"> </v>
      </c>
      <c r="G33" t="str">
        <f t="shared" si="10"/>
        <v xml:space="preserve"> </v>
      </c>
      <c r="H33" t="str">
        <f t="shared" si="11"/>
        <v xml:space="preserve"> </v>
      </c>
      <c r="I33" t="str">
        <f t="shared" si="12"/>
        <v xml:space="preserve"> </v>
      </c>
      <c r="J33" t="str">
        <f t="shared" si="13"/>
        <v xml:space="preserve"> </v>
      </c>
      <c r="K33" t="str">
        <f t="shared" si="14"/>
        <v xml:space="preserve"> </v>
      </c>
      <c r="L33" t="str">
        <f t="shared" si="15"/>
        <v xml:space="preserve"> </v>
      </c>
      <c r="M33" t="str">
        <f t="shared" si="16"/>
        <v xml:space="preserve"> </v>
      </c>
      <c r="N33" t="str">
        <f t="shared" si="17"/>
        <v xml:space="preserve"> </v>
      </c>
      <c r="O33" t="str">
        <f t="shared" si="18"/>
        <v xml:space="preserve"> </v>
      </c>
      <c r="P33" t="str">
        <f t="shared" si="19"/>
        <v xml:space="preserve"> </v>
      </c>
      <c r="Q33" t="str">
        <f t="shared" si="20"/>
        <v xml:space="preserve"> </v>
      </c>
      <c r="R33" t="str">
        <f t="shared" si="21"/>
        <v xml:space="preserve"> </v>
      </c>
      <c r="S33" t="str">
        <f t="shared" si="22"/>
        <v xml:space="preserve"> </v>
      </c>
      <c r="T33" t="str">
        <f t="shared" si="23"/>
        <v xml:space="preserve"> </v>
      </c>
      <c r="U33" s="62" t="str">
        <f t="shared" si="4"/>
        <v xml:space="preserve">not found </v>
      </c>
    </row>
    <row r="34" spans="1:21" ht="17.5">
      <c r="A34" s="2">
        <f t="shared" si="24"/>
        <v>4</v>
      </c>
      <c r="B34" s="2" t="str">
        <f t="shared" si="5"/>
        <v>a</v>
      </c>
      <c r="C34" s="2" t="str">
        <f t="shared" si="6"/>
        <v>c</v>
      </c>
      <c r="D34" s="2" t="str">
        <f t="shared" si="7"/>
        <v>a</v>
      </c>
      <c r="E34" t="str">
        <f t="shared" si="8"/>
        <v xml:space="preserve"> </v>
      </c>
      <c r="F34" t="str">
        <f t="shared" si="9"/>
        <v xml:space="preserve"> </v>
      </c>
      <c r="G34" t="str">
        <f t="shared" si="10"/>
        <v xml:space="preserve"> </v>
      </c>
      <c r="H34" t="str">
        <f t="shared" si="11"/>
        <v xml:space="preserve"> </v>
      </c>
      <c r="I34" t="str">
        <f t="shared" si="12"/>
        <v xml:space="preserve"> </v>
      </c>
      <c r="J34" t="str">
        <f t="shared" si="13"/>
        <v xml:space="preserve"> </v>
      </c>
      <c r="K34" t="str">
        <f t="shared" si="14"/>
        <v xml:space="preserve"> </v>
      </c>
      <c r="L34" t="str">
        <f t="shared" si="15"/>
        <v xml:space="preserve"> </v>
      </c>
      <c r="M34" t="str">
        <f t="shared" si="16"/>
        <v xml:space="preserve"> </v>
      </c>
      <c r="N34" t="str">
        <f t="shared" si="17"/>
        <v xml:space="preserve"> </v>
      </c>
      <c r="O34" t="str">
        <f t="shared" si="18"/>
        <v xml:space="preserve"> </v>
      </c>
      <c r="P34" t="str">
        <f t="shared" si="19"/>
        <v xml:space="preserve"> </v>
      </c>
      <c r="Q34" t="str">
        <f t="shared" si="20"/>
        <v xml:space="preserve"> </v>
      </c>
      <c r="R34">
        <f t="shared" si="21"/>
        <v>14</v>
      </c>
      <c r="S34" t="str">
        <f t="shared" si="22"/>
        <v xml:space="preserve"> </v>
      </c>
      <c r="T34" t="str">
        <f t="shared" si="23"/>
        <v xml:space="preserve"> </v>
      </c>
      <c r="U34" s="62">
        <f t="shared" si="4"/>
        <v>14</v>
      </c>
    </row>
    <row r="35" spans="1:21" ht="17.5">
      <c r="A35" s="2">
        <f t="shared" si="24"/>
        <v>5</v>
      </c>
      <c r="B35" s="2" t="str">
        <f t="shared" si="5"/>
        <v>a</v>
      </c>
      <c r="C35" s="2" t="str">
        <f t="shared" si="6"/>
        <v>c</v>
      </c>
      <c r="D35" s="2" t="str">
        <f t="shared" si="7"/>
        <v>c</v>
      </c>
      <c r="E35" t="str">
        <f t="shared" si="8"/>
        <v xml:space="preserve"> </v>
      </c>
      <c r="F35" t="str">
        <f t="shared" si="9"/>
        <v xml:space="preserve"> </v>
      </c>
      <c r="G35" t="str">
        <f t="shared" si="10"/>
        <v xml:space="preserve"> </v>
      </c>
      <c r="H35" t="str">
        <f t="shared" si="11"/>
        <v xml:space="preserve"> </v>
      </c>
      <c r="I35" t="str">
        <f t="shared" si="12"/>
        <v xml:space="preserve"> </v>
      </c>
      <c r="J35" t="str">
        <f t="shared" si="13"/>
        <v xml:space="preserve"> </v>
      </c>
      <c r="K35" t="str">
        <f t="shared" si="14"/>
        <v xml:space="preserve"> </v>
      </c>
      <c r="L35" t="str">
        <f t="shared" si="15"/>
        <v xml:space="preserve"> </v>
      </c>
      <c r="M35" t="str">
        <f t="shared" si="16"/>
        <v xml:space="preserve"> </v>
      </c>
      <c r="N35" t="str">
        <f t="shared" si="17"/>
        <v xml:space="preserve"> </v>
      </c>
      <c r="O35" t="str">
        <f t="shared" si="18"/>
        <v xml:space="preserve"> </v>
      </c>
      <c r="P35" t="str">
        <f t="shared" si="19"/>
        <v xml:space="preserve"> </v>
      </c>
      <c r="Q35" t="str">
        <f t="shared" si="20"/>
        <v xml:space="preserve"> </v>
      </c>
      <c r="R35" t="str">
        <f t="shared" si="21"/>
        <v xml:space="preserve"> </v>
      </c>
      <c r="S35" t="str">
        <f t="shared" si="22"/>
        <v xml:space="preserve"> </v>
      </c>
      <c r="T35">
        <f t="shared" si="23"/>
        <v>16</v>
      </c>
      <c r="U35" s="62">
        <f t="shared" si="4"/>
        <v>16</v>
      </c>
    </row>
    <row r="36" spans="1:21" ht="17.5">
      <c r="A36" s="2">
        <f t="shared" si="24"/>
        <v>6</v>
      </c>
      <c r="B36" s="2" t="str">
        <f t="shared" si="5"/>
        <v>a</v>
      </c>
      <c r="C36" s="2" t="str">
        <f t="shared" si="6"/>
        <v>c</v>
      </c>
      <c r="D36" s="2" t="str">
        <f t="shared" si="7"/>
        <v>g</v>
      </c>
      <c r="E36">
        <f t="shared" si="8"/>
        <v>1</v>
      </c>
      <c r="F36" t="str">
        <f t="shared" si="9"/>
        <v xml:space="preserve"> </v>
      </c>
      <c r="G36" t="str">
        <f t="shared" si="10"/>
        <v xml:space="preserve"> </v>
      </c>
      <c r="H36" t="str">
        <f t="shared" si="11"/>
        <v xml:space="preserve"> </v>
      </c>
      <c r="I36" t="str">
        <f t="shared" si="12"/>
        <v xml:space="preserve"> </v>
      </c>
      <c r="J36" t="str">
        <f t="shared" si="13"/>
        <v xml:space="preserve"> </v>
      </c>
      <c r="K36" t="str">
        <f t="shared" si="14"/>
        <v xml:space="preserve"> </v>
      </c>
      <c r="L36" t="str">
        <f t="shared" si="15"/>
        <v xml:space="preserve"> </v>
      </c>
      <c r="M36" t="str">
        <f t="shared" si="16"/>
        <v xml:space="preserve"> </v>
      </c>
      <c r="N36" t="str">
        <f t="shared" si="17"/>
        <v xml:space="preserve"> </v>
      </c>
      <c r="O36">
        <f t="shared" si="18"/>
        <v>11</v>
      </c>
      <c r="P36" t="str">
        <f t="shared" si="19"/>
        <v xml:space="preserve"> </v>
      </c>
      <c r="Q36" t="str">
        <f t="shared" si="20"/>
        <v xml:space="preserve"> </v>
      </c>
      <c r="R36" t="str">
        <f t="shared" si="21"/>
        <v xml:space="preserve"> </v>
      </c>
      <c r="S36" t="str">
        <f t="shared" si="22"/>
        <v xml:space="preserve"> </v>
      </c>
      <c r="T36" t="str">
        <f t="shared" si="23"/>
        <v xml:space="preserve"> </v>
      </c>
      <c r="U36" s="62">
        <f t="shared" si="4"/>
        <v>1</v>
      </c>
    </row>
    <row r="37" spans="1:21" ht="17.5">
      <c r="A37" s="2">
        <f t="shared" si="24"/>
        <v>7</v>
      </c>
      <c r="B37" s="2" t="str">
        <f t="shared" si="5"/>
        <v>a</v>
      </c>
      <c r="C37" s="2" t="str">
        <f t="shared" si="6"/>
        <v>c</v>
      </c>
      <c r="D37" s="2" t="str">
        <f t="shared" si="7"/>
        <v>t</v>
      </c>
      <c r="E37" t="str">
        <f t="shared" si="8"/>
        <v xml:space="preserve"> </v>
      </c>
      <c r="F37" t="str">
        <f t="shared" si="9"/>
        <v xml:space="preserve"> </v>
      </c>
      <c r="G37" t="str">
        <f t="shared" si="10"/>
        <v xml:space="preserve"> </v>
      </c>
      <c r="H37" t="str">
        <f t="shared" si="11"/>
        <v xml:space="preserve"> </v>
      </c>
      <c r="I37" t="str">
        <f t="shared" si="12"/>
        <v xml:space="preserve"> </v>
      </c>
      <c r="J37" t="str">
        <f t="shared" si="13"/>
        <v xml:space="preserve"> </v>
      </c>
      <c r="K37" t="str">
        <f t="shared" si="14"/>
        <v xml:space="preserve"> </v>
      </c>
      <c r="L37" t="str">
        <f t="shared" si="15"/>
        <v xml:space="preserve"> </v>
      </c>
      <c r="M37" t="str">
        <f t="shared" si="16"/>
        <v xml:space="preserve"> </v>
      </c>
      <c r="N37" t="str">
        <f t="shared" si="17"/>
        <v xml:space="preserve"> </v>
      </c>
      <c r="O37" t="str">
        <f t="shared" si="18"/>
        <v xml:space="preserve"> </v>
      </c>
      <c r="P37" t="str">
        <f t="shared" si="19"/>
        <v xml:space="preserve"> </v>
      </c>
      <c r="Q37" t="str">
        <f t="shared" si="20"/>
        <v xml:space="preserve"> </v>
      </c>
      <c r="R37" t="str">
        <f t="shared" si="21"/>
        <v xml:space="preserve"> </v>
      </c>
      <c r="S37" t="str">
        <f t="shared" si="22"/>
        <v xml:space="preserve"> </v>
      </c>
      <c r="T37" t="str">
        <f t="shared" si="23"/>
        <v xml:space="preserve"> </v>
      </c>
      <c r="U37" s="62" t="str">
        <f t="shared" si="4"/>
        <v xml:space="preserve">not found </v>
      </c>
    </row>
    <row r="38" spans="1:21" ht="17.5">
      <c r="A38" s="2">
        <f t="shared" si="24"/>
        <v>8</v>
      </c>
      <c r="B38" s="2" t="str">
        <f t="shared" si="5"/>
        <v>a</v>
      </c>
      <c r="C38" s="2" t="str">
        <f t="shared" si="6"/>
        <v>g</v>
      </c>
      <c r="D38" s="2" t="str">
        <f t="shared" si="7"/>
        <v>a</v>
      </c>
      <c r="E38" t="str">
        <f t="shared" si="8"/>
        <v xml:space="preserve"> </v>
      </c>
      <c r="F38" t="str">
        <f t="shared" si="9"/>
        <v xml:space="preserve"> </v>
      </c>
      <c r="G38" t="str">
        <f t="shared" si="10"/>
        <v xml:space="preserve"> </v>
      </c>
      <c r="H38" t="str">
        <f t="shared" si="11"/>
        <v xml:space="preserve"> </v>
      </c>
      <c r="I38" t="str">
        <f t="shared" si="12"/>
        <v xml:space="preserve"> </v>
      </c>
      <c r="J38" t="str">
        <f t="shared" si="13"/>
        <v xml:space="preserve"> </v>
      </c>
      <c r="K38" t="str">
        <f t="shared" si="14"/>
        <v xml:space="preserve"> </v>
      </c>
      <c r="L38" t="str">
        <f t="shared" si="15"/>
        <v xml:space="preserve"> </v>
      </c>
      <c r="M38" t="str">
        <f t="shared" si="16"/>
        <v xml:space="preserve"> </v>
      </c>
      <c r="N38" t="str">
        <f t="shared" si="17"/>
        <v xml:space="preserve"> </v>
      </c>
      <c r="O38" t="str">
        <f t="shared" si="18"/>
        <v xml:space="preserve"> </v>
      </c>
      <c r="P38" t="str">
        <f t="shared" si="19"/>
        <v xml:space="preserve"> </v>
      </c>
      <c r="Q38" t="str">
        <f t="shared" si="20"/>
        <v xml:space="preserve"> </v>
      </c>
      <c r="R38" t="str">
        <f t="shared" si="21"/>
        <v xml:space="preserve"> </v>
      </c>
      <c r="S38" t="str">
        <f t="shared" si="22"/>
        <v xml:space="preserve"> </v>
      </c>
      <c r="T38" t="str">
        <f t="shared" si="23"/>
        <v xml:space="preserve"> </v>
      </c>
      <c r="U38" s="62" t="str">
        <f t="shared" si="4"/>
        <v xml:space="preserve">not found </v>
      </c>
    </row>
    <row r="39" spans="1:21" ht="17.5">
      <c r="A39" s="2">
        <f t="shared" si="24"/>
        <v>9</v>
      </c>
      <c r="B39" s="2" t="str">
        <f t="shared" si="5"/>
        <v>a</v>
      </c>
      <c r="C39" s="2" t="str">
        <f t="shared" si="6"/>
        <v>g</v>
      </c>
      <c r="D39" s="2" t="str">
        <f t="shared" si="7"/>
        <v>c</v>
      </c>
      <c r="E39" t="str">
        <f t="shared" si="8"/>
        <v xml:space="preserve"> </v>
      </c>
      <c r="F39" t="str">
        <f t="shared" si="9"/>
        <v xml:space="preserve"> </v>
      </c>
      <c r="G39" t="str">
        <f t="shared" si="10"/>
        <v xml:space="preserve"> </v>
      </c>
      <c r="H39" t="str">
        <f t="shared" si="11"/>
        <v xml:space="preserve"> </v>
      </c>
      <c r="I39" t="str">
        <f t="shared" si="12"/>
        <v xml:space="preserve"> </v>
      </c>
      <c r="J39" t="str">
        <f t="shared" si="13"/>
        <v xml:space="preserve"> </v>
      </c>
      <c r="K39" t="str">
        <f t="shared" si="14"/>
        <v xml:space="preserve"> </v>
      </c>
      <c r="L39" t="str">
        <f t="shared" si="15"/>
        <v xml:space="preserve"> </v>
      </c>
      <c r="M39" t="str">
        <f t="shared" si="16"/>
        <v xml:space="preserve"> </v>
      </c>
      <c r="N39" t="str">
        <f t="shared" si="17"/>
        <v xml:space="preserve"> </v>
      </c>
      <c r="O39" t="str">
        <f t="shared" si="18"/>
        <v xml:space="preserve"> </v>
      </c>
      <c r="P39" t="str">
        <f t="shared" si="19"/>
        <v xml:space="preserve"> </v>
      </c>
      <c r="Q39" t="str">
        <f t="shared" si="20"/>
        <v xml:space="preserve"> </v>
      </c>
      <c r="R39" t="str">
        <f t="shared" si="21"/>
        <v xml:space="preserve"> </v>
      </c>
      <c r="S39" t="str">
        <f t="shared" si="22"/>
        <v xml:space="preserve"> </v>
      </c>
      <c r="T39" t="str">
        <f t="shared" si="23"/>
        <v xml:space="preserve"> </v>
      </c>
      <c r="U39" s="62" t="str">
        <f t="shared" si="4"/>
        <v xml:space="preserve">not found </v>
      </c>
    </row>
    <row r="40" spans="1:21" ht="17.5">
      <c r="A40" s="2">
        <f t="shared" si="24"/>
        <v>10</v>
      </c>
      <c r="B40" s="2" t="str">
        <f t="shared" si="5"/>
        <v>a</v>
      </c>
      <c r="C40" s="2" t="str">
        <f t="shared" si="6"/>
        <v>g</v>
      </c>
      <c r="D40" s="2" t="str">
        <f t="shared" si="7"/>
        <v>g</v>
      </c>
      <c r="E40" t="str">
        <f t="shared" si="8"/>
        <v xml:space="preserve"> </v>
      </c>
      <c r="F40" t="str">
        <f t="shared" si="9"/>
        <v xml:space="preserve"> </v>
      </c>
      <c r="G40" t="str">
        <f t="shared" si="10"/>
        <v xml:space="preserve"> </v>
      </c>
      <c r="H40" t="str">
        <f t="shared" si="11"/>
        <v xml:space="preserve"> </v>
      </c>
      <c r="I40" t="str">
        <f t="shared" si="12"/>
        <v xml:space="preserve"> </v>
      </c>
      <c r="J40" t="str">
        <f t="shared" si="13"/>
        <v xml:space="preserve"> </v>
      </c>
      <c r="K40" t="str">
        <f t="shared" si="14"/>
        <v xml:space="preserve"> </v>
      </c>
      <c r="L40" t="str">
        <f t="shared" si="15"/>
        <v xml:space="preserve"> </v>
      </c>
      <c r="M40" t="str">
        <f t="shared" si="16"/>
        <v xml:space="preserve"> </v>
      </c>
      <c r="N40" t="str">
        <f t="shared" si="17"/>
        <v xml:space="preserve"> </v>
      </c>
      <c r="O40" t="str">
        <f t="shared" si="18"/>
        <v xml:space="preserve"> </v>
      </c>
      <c r="P40" t="str">
        <f t="shared" si="19"/>
        <v xml:space="preserve"> </v>
      </c>
      <c r="Q40" t="str">
        <f t="shared" si="20"/>
        <v xml:space="preserve"> </v>
      </c>
      <c r="R40" t="str">
        <f t="shared" si="21"/>
        <v xml:space="preserve"> </v>
      </c>
      <c r="S40" t="str">
        <f t="shared" si="22"/>
        <v xml:space="preserve"> </v>
      </c>
      <c r="T40" t="str">
        <f t="shared" si="23"/>
        <v xml:space="preserve"> </v>
      </c>
      <c r="U40" s="62" t="str">
        <f t="shared" si="4"/>
        <v xml:space="preserve">not found </v>
      </c>
    </row>
    <row r="41" spans="1:21" ht="17.5">
      <c r="A41" s="2">
        <f t="shared" si="24"/>
        <v>11</v>
      </c>
      <c r="B41" s="2" t="str">
        <f t="shared" si="5"/>
        <v>a</v>
      </c>
      <c r="C41" s="2" t="str">
        <f t="shared" si="6"/>
        <v>g</v>
      </c>
      <c r="D41" s="2" t="str">
        <f t="shared" si="7"/>
        <v>t</v>
      </c>
      <c r="E41" t="str">
        <f t="shared" si="8"/>
        <v xml:space="preserve"> </v>
      </c>
      <c r="F41" t="str">
        <f t="shared" si="9"/>
        <v xml:space="preserve"> </v>
      </c>
      <c r="G41" t="str">
        <f t="shared" si="10"/>
        <v xml:space="preserve"> </v>
      </c>
      <c r="H41" t="str">
        <f t="shared" si="11"/>
        <v xml:space="preserve"> </v>
      </c>
      <c r="I41" t="str">
        <f t="shared" si="12"/>
        <v xml:space="preserve"> </v>
      </c>
      <c r="J41" t="str">
        <f t="shared" si="13"/>
        <v xml:space="preserve"> </v>
      </c>
      <c r="K41" t="str">
        <f t="shared" si="14"/>
        <v xml:space="preserve"> </v>
      </c>
      <c r="L41" t="str">
        <f t="shared" si="15"/>
        <v xml:space="preserve"> </v>
      </c>
      <c r="M41" t="str">
        <f t="shared" si="16"/>
        <v xml:space="preserve"> </v>
      </c>
      <c r="N41" t="str">
        <f t="shared" si="17"/>
        <v xml:space="preserve"> </v>
      </c>
      <c r="O41" t="str">
        <f t="shared" si="18"/>
        <v xml:space="preserve"> </v>
      </c>
      <c r="P41" t="str">
        <f t="shared" si="19"/>
        <v xml:space="preserve"> </v>
      </c>
      <c r="Q41" t="str">
        <f t="shared" si="20"/>
        <v xml:space="preserve"> </v>
      </c>
      <c r="R41" t="str">
        <f t="shared" si="21"/>
        <v xml:space="preserve"> </v>
      </c>
      <c r="S41" t="str">
        <f t="shared" si="22"/>
        <v xml:space="preserve"> </v>
      </c>
      <c r="T41" t="str">
        <f t="shared" si="23"/>
        <v xml:space="preserve"> </v>
      </c>
      <c r="U41" s="62" t="str">
        <f t="shared" si="4"/>
        <v xml:space="preserve">not found </v>
      </c>
    </row>
    <row r="42" spans="1:21" ht="17.5">
      <c r="A42" s="2">
        <f t="shared" si="24"/>
        <v>12</v>
      </c>
      <c r="B42" s="2" t="str">
        <f t="shared" si="5"/>
        <v>a</v>
      </c>
      <c r="C42" s="2" t="str">
        <f t="shared" si="6"/>
        <v>t</v>
      </c>
      <c r="D42" s="2" t="str">
        <f t="shared" si="7"/>
        <v>a</v>
      </c>
      <c r="E42" t="str">
        <f t="shared" si="8"/>
        <v xml:space="preserve"> </v>
      </c>
      <c r="F42" t="str">
        <f t="shared" si="9"/>
        <v xml:space="preserve"> </v>
      </c>
      <c r="G42" t="str">
        <f t="shared" si="10"/>
        <v xml:space="preserve"> </v>
      </c>
      <c r="H42" t="str">
        <f t="shared" si="11"/>
        <v xml:space="preserve"> </v>
      </c>
      <c r="I42" t="str">
        <f t="shared" si="12"/>
        <v xml:space="preserve"> </v>
      </c>
      <c r="J42" t="str">
        <f t="shared" si="13"/>
        <v xml:space="preserve"> </v>
      </c>
      <c r="K42" t="str">
        <f t="shared" si="14"/>
        <v xml:space="preserve"> </v>
      </c>
      <c r="L42" t="str">
        <f t="shared" si="15"/>
        <v xml:space="preserve"> </v>
      </c>
      <c r="M42" t="str">
        <f t="shared" si="16"/>
        <v xml:space="preserve"> </v>
      </c>
      <c r="N42" t="str">
        <f t="shared" si="17"/>
        <v xml:space="preserve"> </v>
      </c>
      <c r="O42" t="str">
        <f t="shared" si="18"/>
        <v xml:space="preserve"> </v>
      </c>
      <c r="P42" t="str">
        <f t="shared" si="19"/>
        <v xml:space="preserve"> </v>
      </c>
      <c r="Q42" t="str">
        <f t="shared" si="20"/>
        <v xml:space="preserve"> </v>
      </c>
      <c r="R42" t="str">
        <f t="shared" si="21"/>
        <v xml:space="preserve"> </v>
      </c>
      <c r="S42" t="str">
        <f t="shared" si="22"/>
        <v xml:space="preserve"> </v>
      </c>
      <c r="T42" t="str">
        <f t="shared" si="23"/>
        <v xml:space="preserve"> </v>
      </c>
      <c r="U42" s="62" t="str">
        <f t="shared" si="4"/>
        <v xml:space="preserve">not found </v>
      </c>
    </row>
    <row r="43" spans="1:21" ht="17.5">
      <c r="A43" s="2">
        <f t="shared" si="24"/>
        <v>13</v>
      </c>
      <c r="B43" s="2" t="str">
        <f t="shared" si="5"/>
        <v>a</v>
      </c>
      <c r="C43" s="2" t="str">
        <f t="shared" si="6"/>
        <v>t</v>
      </c>
      <c r="D43" s="2" t="str">
        <f t="shared" si="7"/>
        <v>c</v>
      </c>
      <c r="E43" t="str">
        <f t="shared" si="8"/>
        <v xml:space="preserve"> </v>
      </c>
      <c r="F43" t="str">
        <f t="shared" si="9"/>
        <v xml:space="preserve"> </v>
      </c>
      <c r="G43" t="str">
        <f t="shared" si="10"/>
        <v xml:space="preserve"> </v>
      </c>
      <c r="H43" t="str">
        <f t="shared" si="11"/>
        <v xml:space="preserve"> </v>
      </c>
      <c r="I43" t="str">
        <f t="shared" si="12"/>
        <v xml:space="preserve"> </v>
      </c>
      <c r="J43" t="str">
        <f t="shared" si="13"/>
        <v xml:space="preserve"> </v>
      </c>
      <c r="K43" t="str">
        <f t="shared" si="14"/>
        <v xml:space="preserve"> </v>
      </c>
      <c r="L43" t="str">
        <f t="shared" si="15"/>
        <v xml:space="preserve"> </v>
      </c>
      <c r="M43" t="str">
        <f t="shared" si="16"/>
        <v xml:space="preserve"> </v>
      </c>
      <c r="N43" t="str">
        <f t="shared" si="17"/>
        <v xml:space="preserve"> </v>
      </c>
      <c r="O43" t="str">
        <f t="shared" si="18"/>
        <v xml:space="preserve"> </v>
      </c>
      <c r="P43" t="str">
        <f t="shared" si="19"/>
        <v xml:space="preserve"> </v>
      </c>
      <c r="Q43" t="str">
        <f t="shared" si="20"/>
        <v xml:space="preserve"> </v>
      </c>
      <c r="R43" t="str">
        <f t="shared" si="21"/>
        <v xml:space="preserve"> </v>
      </c>
      <c r="S43" t="str">
        <f t="shared" si="22"/>
        <v xml:space="preserve"> </v>
      </c>
      <c r="T43" t="str">
        <f t="shared" si="23"/>
        <v xml:space="preserve"> </v>
      </c>
      <c r="U43" s="62" t="str">
        <f t="shared" si="4"/>
        <v xml:space="preserve">not found </v>
      </c>
    </row>
    <row r="44" spans="1:21" ht="17.5">
      <c r="A44" s="2">
        <f t="shared" si="24"/>
        <v>14</v>
      </c>
      <c r="B44" s="2" t="str">
        <f t="shared" si="5"/>
        <v>a</v>
      </c>
      <c r="C44" s="2" t="str">
        <f t="shared" si="6"/>
        <v>t</v>
      </c>
      <c r="D44" s="2" t="str">
        <f t="shared" si="7"/>
        <v>g</v>
      </c>
      <c r="E44" t="str">
        <f t="shared" si="8"/>
        <v xml:space="preserve"> </v>
      </c>
      <c r="F44" t="str">
        <f t="shared" si="9"/>
        <v xml:space="preserve"> </v>
      </c>
      <c r="G44" t="str">
        <f t="shared" si="10"/>
        <v xml:space="preserve"> </v>
      </c>
      <c r="H44" t="str">
        <f t="shared" si="11"/>
        <v xml:space="preserve"> </v>
      </c>
      <c r="I44" t="str">
        <f t="shared" si="12"/>
        <v xml:space="preserve"> </v>
      </c>
      <c r="J44" t="str">
        <f t="shared" si="13"/>
        <v xml:space="preserve"> </v>
      </c>
      <c r="K44" t="str">
        <f t="shared" si="14"/>
        <v xml:space="preserve"> </v>
      </c>
      <c r="L44" t="str">
        <f t="shared" si="15"/>
        <v xml:space="preserve"> </v>
      </c>
      <c r="M44" t="str">
        <f t="shared" si="16"/>
        <v xml:space="preserve"> </v>
      </c>
      <c r="N44" t="str">
        <f t="shared" si="17"/>
        <v xml:space="preserve"> </v>
      </c>
      <c r="O44" t="str">
        <f t="shared" si="18"/>
        <v xml:space="preserve"> </v>
      </c>
      <c r="P44" t="str">
        <f t="shared" si="19"/>
        <v xml:space="preserve"> </v>
      </c>
      <c r="Q44" t="str">
        <f t="shared" si="20"/>
        <v xml:space="preserve"> </v>
      </c>
      <c r="R44" t="str">
        <f t="shared" si="21"/>
        <v xml:space="preserve"> </v>
      </c>
      <c r="S44" t="str">
        <f t="shared" si="22"/>
        <v xml:space="preserve"> </v>
      </c>
      <c r="T44" t="str">
        <f t="shared" si="23"/>
        <v xml:space="preserve"> </v>
      </c>
      <c r="U44" s="62" t="str">
        <f t="shared" si="4"/>
        <v xml:space="preserve">not found </v>
      </c>
    </row>
    <row r="45" spans="1:21" ht="17.5">
      <c r="A45" s="2">
        <f t="shared" si="24"/>
        <v>15</v>
      </c>
      <c r="B45" s="2" t="str">
        <f t="shared" si="5"/>
        <v>a</v>
      </c>
      <c r="C45" s="2" t="str">
        <f t="shared" si="6"/>
        <v>t</v>
      </c>
      <c r="D45" s="2" t="str">
        <f t="shared" si="7"/>
        <v>t</v>
      </c>
      <c r="E45" t="str">
        <f t="shared" si="8"/>
        <v xml:space="preserve"> </v>
      </c>
      <c r="F45" t="str">
        <f t="shared" si="9"/>
        <v xml:space="preserve"> </v>
      </c>
      <c r="G45" t="str">
        <f t="shared" si="10"/>
        <v xml:space="preserve"> </v>
      </c>
      <c r="H45" t="str">
        <f t="shared" si="11"/>
        <v xml:space="preserve"> </v>
      </c>
      <c r="I45" t="str">
        <f t="shared" si="12"/>
        <v xml:space="preserve"> </v>
      </c>
      <c r="J45" t="str">
        <f t="shared" si="13"/>
        <v xml:space="preserve"> </v>
      </c>
      <c r="K45" t="str">
        <f t="shared" si="14"/>
        <v xml:space="preserve"> </v>
      </c>
      <c r="L45" t="str">
        <f t="shared" si="15"/>
        <v xml:space="preserve"> </v>
      </c>
      <c r="M45" t="str">
        <f t="shared" si="16"/>
        <v xml:space="preserve"> </v>
      </c>
      <c r="N45" t="str">
        <f t="shared" si="17"/>
        <v xml:space="preserve"> </v>
      </c>
      <c r="O45" t="str">
        <f t="shared" si="18"/>
        <v xml:space="preserve"> </v>
      </c>
      <c r="P45" t="str">
        <f t="shared" si="19"/>
        <v xml:space="preserve"> </v>
      </c>
      <c r="Q45" t="str">
        <f t="shared" si="20"/>
        <v xml:space="preserve"> </v>
      </c>
      <c r="R45" t="str">
        <f t="shared" si="21"/>
        <v xml:space="preserve"> </v>
      </c>
      <c r="S45" t="str">
        <f t="shared" si="22"/>
        <v xml:space="preserve"> </v>
      </c>
      <c r="T45" t="str">
        <f t="shared" si="23"/>
        <v xml:space="preserve"> </v>
      </c>
      <c r="U45" s="62" t="str">
        <f t="shared" si="4"/>
        <v xml:space="preserve">not found </v>
      </c>
    </row>
    <row r="46" spans="1:21" ht="17.5">
      <c r="A46" s="2">
        <f t="shared" si="24"/>
        <v>16</v>
      </c>
      <c r="B46" s="2" t="str">
        <f t="shared" si="5"/>
        <v>c</v>
      </c>
      <c r="C46" s="2" t="str">
        <f t="shared" si="6"/>
        <v>a</v>
      </c>
      <c r="D46" s="2" t="str">
        <f t="shared" si="7"/>
        <v>a</v>
      </c>
      <c r="E46" t="str">
        <f t="shared" si="8"/>
        <v xml:space="preserve"> </v>
      </c>
      <c r="F46" t="str">
        <f t="shared" si="9"/>
        <v xml:space="preserve"> </v>
      </c>
      <c r="G46" t="str">
        <f t="shared" si="10"/>
        <v xml:space="preserve"> </v>
      </c>
      <c r="H46" t="str">
        <f t="shared" si="11"/>
        <v xml:space="preserve"> </v>
      </c>
      <c r="I46" t="str">
        <f t="shared" si="12"/>
        <v xml:space="preserve"> </v>
      </c>
      <c r="J46" t="str">
        <f t="shared" si="13"/>
        <v xml:space="preserve"> </v>
      </c>
      <c r="K46" t="str">
        <f t="shared" si="14"/>
        <v xml:space="preserve"> </v>
      </c>
      <c r="L46" t="str">
        <f t="shared" si="15"/>
        <v xml:space="preserve"> </v>
      </c>
      <c r="M46" t="str">
        <f t="shared" si="16"/>
        <v xml:space="preserve"> </v>
      </c>
      <c r="N46" t="str">
        <f t="shared" si="17"/>
        <v xml:space="preserve"> </v>
      </c>
      <c r="O46" t="str">
        <f t="shared" si="18"/>
        <v xml:space="preserve"> </v>
      </c>
      <c r="P46" t="str">
        <f t="shared" si="19"/>
        <v xml:space="preserve"> </v>
      </c>
      <c r="Q46" t="str">
        <f t="shared" si="20"/>
        <v xml:space="preserve"> </v>
      </c>
      <c r="R46" t="str">
        <f t="shared" si="21"/>
        <v xml:space="preserve"> </v>
      </c>
      <c r="S46" t="str">
        <f t="shared" si="22"/>
        <v xml:space="preserve"> </v>
      </c>
      <c r="T46" t="str">
        <f t="shared" si="23"/>
        <v xml:space="preserve"> </v>
      </c>
      <c r="U46" s="62" t="str">
        <f t="shared" si="4"/>
        <v xml:space="preserve">not found </v>
      </c>
    </row>
    <row r="47" spans="1:21" ht="17.5">
      <c r="A47" s="2">
        <f t="shared" si="24"/>
        <v>17</v>
      </c>
      <c r="B47" s="2" t="str">
        <f t="shared" ref="B47:B62" si="25">IF(MOD(TRUNC($A47/16),4)=0,"a",IF(MOD(TRUNC($A47/16),4)=1,"c",IF(MOD(TRUNC($A47/16),4)=2,"g",IF(MOD(TRUNC($A47/16),4)=3,"t","?"))))</f>
        <v>c</v>
      </c>
      <c r="C47" s="2" t="str">
        <f t="shared" ref="C47:C62" si="26">IF(MOD(TRUNC($A47/4),4)=0,"a",IF(MOD(TRUNC($A47/4),4)=1,"c",IF(MOD(TRUNC($A47/4),4)=2,"g",IF(MOD(TRUNC($A47/4),4)=3,"t","?"))))</f>
        <v>a</v>
      </c>
      <c r="D47" s="2" t="str">
        <f t="shared" ref="D47:D62" si="27">IF(MOD($A47,4)=0,"a",IF(MOD($A47,4)=1,"c",IF(MOD($A47,4)=2,"g",IF(MOD($A47,4)=3,"t","?"))))</f>
        <v>c</v>
      </c>
      <c r="E47" t="str">
        <f t="shared" ref="E47:E62" si="28">IF($D$10=$A47,$A$10," ")</f>
        <v xml:space="preserve"> </v>
      </c>
      <c r="F47" t="str">
        <f t="shared" ref="F47:F62" si="29">IF($D$11=$A47,$A$11," ")</f>
        <v xml:space="preserve"> </v>
      </c>
      <c r="G47" t="str">
        <f t="shared" ref="G47:G62" si="30">IF($D$12=$A47,$A$12," ")</f>
        <v xml:space="preserve"> </v>
      </c>
      <c r="H47" t="str">
        <f t="shared" ref="H47:H62" si="31">IF($D$13=$A47,$A$13," ")</f>
        <v xml:space="preserve"> </v>
      </c>
      <c r="I47" t="str">
        <f t="shared" ref="I47:I62" si="32">IF($D$14=$A47,$A$14," ")</f>
        <v xml:space="preserve"> </v>
      </c>
      <c r="J47" t="str">
        <f t="shared" ref="J47:J62" si="33">IF($D$15=$A47,$A$15," ")</f>
        <v xml:space="preserve"> </v>
      </c>
      <c r="K47" t="str">
        <f t="shared" ref="K47:K62" si="34">IF($D$16=$A47,$A$16," ")</f>
        <v xml:space="preserve"> </v>
      </c>
      <c r="L47" t="str">
        <f t="shared" ref="L47:L62" si="35">IF($D$17=$A47,$A$17," ")</f>
        <v xml:space="preserve"> </v>
      </c>
      <c r="M47" t="str">
        <f t="shared" ref="M47:M62" si="36">IF($D$18=$A47,$A$18," ")</f>
        <v xml:space="preserve"> </v>
      </c>
      <c r="N47" t="str">
        <f t="shared" ref="N47:N62" si="37">IF($D$19=$A47,$A$19," ")</f>
        <v xml:space="preserve"> </v>
      </c>
      <c r="O47" t="str">
        <f t="shared" ref="O47:O62" si="38">IF($D$20=$A47,$A$20," ")</f>
        <v xml:space="preserve"> </v>
      </c>
      <c r="P47" t="str">
        <f t="shared" ref="P47:P62" si="39">IF($D$21=$A47,$A$21," ")</f>
        <v xml:space="preserve"> </v>
      </c>
      <c r="Q47" t="str">
        <f t="shared" ref="Q47:Q62" si="40">IF($D$22=$A47,$A$22," ")</f>
        <v xml:space="preserve"> </v>
      </c>
      <c r="R47" t="str">
        <f t="shared" ref="R47:R62" si="41">IF($D$23=$A47,$A$23," ")</f>
        <v xml:space="preserve"> </v>
      </c>
      <c r="S47">
        <f t="shared" ref="S47:S62" si="42">IF($D$24=$A47,$A$24," ")</f>
        <v>15</v>
      </c>
      <c r="T47" t="str">
        <f t="shared" ref="T47:T62" si="43">IF($D$25=$A47,$A$25," ")</f>
        <v xml:space="preserve"> </v>
      </c>
      <c r="U47" s="62">
        <f t="shared" si="4"/>
        <v>15</v>
      </c>
    </row>
    <row r="48" spans="1:21" ht="17.5">
      <c r="A48" s="2">
        <f t="shared" ref="A48:A63" si="44">A47+1</f>
        <v>18</v>
      </c>
      <c r="B48" s="2" t="str">
        <f t="shared" si="25"/>
        <v>c</v>
      </c>
      <c r="C48" s="2" t="str">
        <f t="shared" si="26"/>
        <v>a</v>
      </c>
      <c r="D48" s="2" t="str">
        <f t="shared" si="27"/>
        <v>g</v>
      </c>
      <c r="E48" t="str">
        <f t="shared" si="28"/>
        <v xml:space="preserve"> </v>
      </c>
      <c r="F48" t="str">
        <f t="shared" si="29"/>
        <v xml:space="preserve"> </v>
      </c>
      <c r="G48" t="str">
        <f t="shared" si="30"/>
        <v xml:space="preserve"> </v>
      </c>
      <c r="H48" t="str">
        <f t="shared" si="31"/>
        <v xml:space="preserve"> </v>
      </c>
      <c r="I48" t="str">
        <f t="shared" si="32"/>
        <v xml:space="preserve"> </v>
      </c>
      <c r="J48" t="str">
        <f t="shared" si="33"/>
        <v xml:space="preserve"> </v>
      </c>
      <c r="K48" t="str">
        <f t="shared" si="34"/>
        <v xml:space="preserve"> </v>
      </c>
      <c r="L48" t="str">
        <f t="shared" si="35"/>
        <v xml:space="preserve"> </v>
      </c>
      <c r="M48" t="str">
        <f t="shared" si="36"/>
        <v xml:space="preserve"> </v>
      </c>
      <c r="N48" t="str">
        <f t="shared" si="37"/>
        <v xml:space="preserve"> </v>
      </c>
      <c r="O48" t="str">
        <f t="shared" si="38"/>
        <v xml:space="preserve"> </v>
      </c>
      <c r="P48" t="str">
        <f t="shared" si="39"/>
        <v xml:space="preserve"> </v>
      </c>
      <c r="Q48" t="str">
        <f t="shared" si="40"/>
        <v xml:space="preserve"> </v>
      </c>
      <c r="R48" t="str">
        <f t="shared" si="41"/>
        <v xml:space="preserve"> </v>
      </c>
      <c r="S48" t="str">
        <f t="shared" si="42"/>
        <v xml:space="preserve"> </v>
      </c>
      <c r="T48" t="str">
        <f t="shared" si="43"/>
        <v xml:space="preserve"> </v>
      </c>
      <c r="U48" s="62" t="str">
        <f t="shared" si="4"/>
        <v xml:space="preserve">not found </v>
      </c>
    </row>
    <row r="49" spans="1:21" ht="17.5">
      <c r="A49" s="2">
        <f t="shared" si="44"/>
        <v>19</v>
      </c>
      <c r="B49" s="2" t="str">
        <f t="shared" si="25"/>
        <v>c</v>
      </c>
      <c r="C49" s="2" t="str">
        <f t="shared" si="26"/>
        <v>a</v>
      </c>
      <c r="D49" s="2" t="str">
        <f t="shared" si="27"/>
        <v>t</v>
      </c>
      <c r="E49" t="str">
        <f t="shared" si="28"/>
        <v xml:space="preserve"> </v>
      </c>
      <c r="F49" t="str">
        <f t="shared" si="29"/>
        <v xml:space="preserve"> </v>
      </c>
      <c r="G49" t="str">
        <f t="shared" si="30"/>
        <v xml:space="preserve"> </v>
      </c>
      <c r="H49" t="str">
        <f t="shared" si="31"/>
        <v xml:space="preserve"> </v>
      </c>
      <c r="I49" t="str">
        <f t="shared" si="32"/>
        <v xml:space="preserve"> </v>
      </c>
      <c r="J49" t="str">
        <f t="shared" si="33"/>
        <v xml:space="preserve"> </v>
      </c>
      <c r="K49" t="str">
        <f t="shared" si="34"/>
        <v xml:space="preserve"> </v>
      </c>
      <c r="L49" t="str">
        <f t="shared" si="35"/>
        <v xml:space="preserve"> </v>
      </c>
      <c r="M49" t="str">
        <f t="shared" si="36"/>
        <v xml:space="preserve"> </v>
      </c>
      <c r="N49" t="str">
        <f t="shared" si="37"/>
        <v xml:space="preserve"> </v>
      </c>
      <c r="O49" t="str">
        <f t="shared" si="38"/>
        <v xml:space="preserve"> </v>
      </c>
      <c r="P49" t="str">
        <f t="shared" si="39"/>
        <v xml:space="preserve"> </v>
      </c>
      <c r="Q49" t="str">
        <f t="shared" si="40"/>
        <v xml:space="preserve"> </v>
      </c>
      <c r="R49" t="str">
        <f t="shared" si="41"/>
        <v xml:space="preserve"> </v>
      </c>
      <c r="S49" t="str">
        <f t="shared" si="42"/>
        <v xml:space="preserve"> </v>
      </c>
      <c r="T49" t="str">
        <f t="shared" si="43"/>
        <v xml:space="preserve"> </v>
      </c>
      <c r="U49" s="62" t="str">
        <f t="shared" si="4"/>
        <v xml:space="preserve">not found </v>
      </c>
    </row>
    <row r="50" spans="1:21" ht="17.5">
      <c r="A50" s="2">
        <f t="shared" si="44"/>
        <v>20</v>
      </c>
      <c r="B50" s="2" t="str">
        <f t="shared" si="25"/>
        <v>c</v>
      </c>
      <c r="C50" s="2" t="str">
        <f t="shared" si="26"/>
        <v>c</v>
      </c>
      <c r="D50" s="2" t="str">
        <f t="shared" si="27"/>
        <v>a</v>
      </c>
      <c r="E50" t="str">
        <f t="shared" si="28"/>
        <v xml:space="preserve"> </v>
      </c>
      <c r="F50" t="str">
        <f t="shared" si="29"/>
        <v xml:space="preserve"> </v>
      </c>
      <c r="G50" t="str">
        <f t="shared" si="30"/>
        <v xml:space="preserve"> </v>
      </c>
      <c r="H50" t="str">
        <f t="shared" si="31"/>
        <v xml:space="preserve"> </v>
      </c>
      <c r="I50" t="str">
        <f t="shared" si="32"/>
        <v xml:space="preserve"> </v>
      </c>
      <c r="J50" t="str">
        <f t="shared" si="33"/>
        <v xml:space="preserve"> </v>
      </c>
      <c r="K50" t="str">
        <f t="shared" si="34"/>
        <v xml:space="preserve"> </v>
      </c>
      <c r="L50" t="str">
        <f t="shared" si="35"/>
        <v xml:space="preserve"> </v>
      </c>
      <c r="M50" t="str">
        <f t="shared" si="36"/>
        <v xml:space="preserve"> </v>
      </c>
      <c r="N50" t="str">
        <f t="shared" si="37"/>
        <v xml:space="preserve"> </v>
      </c>
      <c r="O50" t="str">
        <f t="shared" si="38"/>
        <v xml:space="preserve"> </v>
      </c>
      <c r="P50" t="str">
        <f t="shared" si="39"/>
        <v xml:space="preserve"> </v>
      </c>
      <c r="Q50" t="str">
        <f t="shared" si="40"/>
        <v xml:space="preserve"> </v>
      </c>
      <c r="R50" t="str">
        <f t="shared" si="41"/>
        <v xml:space="preserve"> </v>
      </c>
      <c r="S50" t="str">
        <f t="shared" si="42"/>
        <v xml:space="preserve"> </v>
      </c>
      <c r="T50" t="str">
        <f t="shared" si="43"/>
        <v xml:space="preserve"> </v>
      </c>
      <c r="U50" s="62" t="str">
        <f t="shared" si="4"/>
        <v xml:space="preserve">not found </v>
      </c>
    </row>
    <row r="51" spans="1:21" ht="17.5">
      <c r="A51" s="2">
        <f t="shared" si="44"/>
        <v>21</v>
      </c>
      <c r="B51" s="2" t="str">
        <f t="shared" si="25"/>
        <v>c</v>
      </c>
      <c r="C51" s="2" t="str">
        <f t="shared" si="26"/>
        <v>c</v>
      </c>
      <c r="D51" s="2" t="str">
        <f t="shared" si="27"/>
        <v>c</v>
      </c>
      <c r="E51" t="str">
        <f t="shared" si="28"/>
        <v xml:space="preserve"> </v>
      </c>
      <c r="F51" t="str">
        <f t="shared" si="29"/>
        <v xml:space="preserve"> </v>
      </c>
      <c r="G51" t="str">
        <f t="shared" si="30"/>
        <v xml:space="preserve"> </v>
      </c>
      <c r="H51" t="str">
        <f t="shared" si="31"/>
        <v xml:space="preserve"> </v>
      </c>
      <c r="I51" t="str">
        <f t="shared" si="32"/>
        <v xml:space="preserve"> </v>
      </c>
      <c r="J51" t="str">
        <f t="shared" si="33"/>
        <v xml:space="preserve"> </v>
      </c>
      <c r="K51" t="str">
        <f t="shared" si="34"/>
        <v xml:space="preserve"> </v>
      </c>
      <c r="L51" t="str">
        <f t="shared" si="35"/>
        <v xml:space="preserve"> </v>
      </c>
      <c r="M51" t="str">
        <f t="shared" si="36"/>
        <v xml:space="preserve"> </v>
      </c>
      <c r="N51" t="str">
        <f t="shared" si="37"/>
        <v xml:space="preserve"> </v>
      </c>
      <c r="O51" t="str">
        <f t="shared" si="38"/>
        <v xml:space="preserve"> </v>
      </c>
      <c r="P51" t="str">
        <f t="shared" si="39"/>
        <v xml:space="preserve"> </v>
      </c>
      <c r="Q51" t="str">
        <f t="shared" si="40"/>
        <v xml:space="preserve"> </v>
      </c>
      <c r="R51" t="str">
        <f t="shared" si="41"/>
        <v xml:space="preserve"> </v>
      </c>
      <c r="S51" t="str">
        <f t="shared" si="42"/>
        <v xml:space="preserve"> </v>
      </c>
      <c r="T51" t="str">
        <f t="shared" si="43"/>
        <v xml:space="preserve"> </v>
      </c>
      <c r="U51" s="62" t="str">
        <f t="shared" si="4"/>
        <v xml:space="preserve">not found </v>
      </c>
    </row>
    <row r="52" spans="1:21" ht="17.5">
      <c r="A52" s="2">
        <f t="shared" si="44"/>
        <v>22</v>
      </c>
      <c r="B52" s="2" t="str">
        <f t="shared" si="25"/>
        <v>c</v>
      </c>
      <c r="C52" s="2" t="str">
        <f t="shared" si="26"/>
        <v>c</v>
      </c>
      <c r="D52" s="2" t="str">
        <f t="shared" si="27"/>
        <v>g</v>
      </c>
      <c r="E52" t="str">
        <f t="shared" si="28"/>
        <v xml:space="preserve"> </v>
      </c>
      <c r="F52" t="str">
        <f t="shared" si="29"/>
        <v xml:space="preserve"> </v>
      </c>
      <c r="G52" t="str">
        <f t="shared" si="30"/>
        <v xml:space="preserve"> </v>
      </c>
      <c r="H52" t="str">
        <f t="shared" si="31"/>
        <v xml:space="preserve"> </v>
      </c>
      <c r="I52" t="str">
        <f t="shared" si="32"/>
        <v xml:space="preserve"> </v>
      </c>
      <c r="J52" t="str">
        <f t="shared" si="33"/>
        <v xml:space="preserve"> </v>
      </c>
      <c r="K52" t="str">
        <f t="shared" si="34"/>
        <v xml:space="preserve"> </v>
      </c>
      <c r="L52" t="str">
        <f t="shared" si="35"/>
        <v xml:space="preserve"> </v>
      </c>
      <c r="M52" t="str">
        <f t="shared" si="36"/>
        <v xml:space="preserve"> </v>
      </c>
      <c r="N52" t="str">
        <f t="shared" si="37"/>
        <v xml:space="preserve"> </v>
      </c>
      <c r="O52" t="str">
        <f t="shared" si="38"/>
        <v xml:space="preserve"> </v>
      </c>
      <c r="P52" t="str">
        <f t="shared" si="39"/>
        <v xml:space="preserve"> </v>
      </c>
      <c r="Q52" t="str">
        <f t="shared" si="40"/>
        <v xml:space="preserve"> </v>
      </c>
      <c r="R52" t="str">
        <f t="shared" si="41"/>
        <v xml:space="preserve"> </v>
      </c>
      <c r="S52" t="str">
        <f t="shared" si="42"/>
        <v xml:space="preserve"> </v>
      </c>
      <c r="T52" t="str">
        <f t="shared" si="43"/>
        <v xml:space="preserve"> </v>
      </c>
      <c r="U52" s="62" t="str">
        <f t="shared" si="4"/>
        <v xml:space="preserve">not found </v>
      </c>
    </row>
    <row r="53" spans="1:21" ht="17.5">
      <c r="A53" s="2">
        <f t="shared" si="44"/>
        <v>23</v>
      </c>
      <c r="B53" s="2" t="str">
        <f t="shared" si="25"/>
        <v>c</v>
      </c>
      <c r="C53" s="2" t="str">
        <f t="shared" si="26"/>
        <v>c</v>
      </c>
      <c r="D53" s="2" t="str">
        <f t="shared" si="27"/>
        <v>t</v>
      </c>
      <c r="E53" t="str">
        <f t="shared" si="28"/>
        <v xml:space="preserve"> </v>
      </c>
      <c r="F53" t="str">
        <f t="shared" si="29"/>
        <v xml:space="preserve"> </v>
      </c>
      <c r="G53" t="str">
        <f t="shared" si="30"/>
        <v xml:space="preserve"> </v>
      </c>
      <c r="H53" t="str">
        <f t="shared" si="31"/>
        <v xml:space="preserve"> </v>
      </c>
      <c r="I53" t="str">
        <f t="shared" si="32"/>
        <v xml:space="preserve"> </v>
      </c>
      <c r="J53" t="str">
        <f t="shared" si="33"/>
        <v xml:space="preserve"> </v>
      </c>
      <c r="K53" t="str">
        <f t="shared" si="34"/>
        <v xml:space="preserve"> </v>
      </c>
      <c r="L53" t="str">
        <f t="shared" si="35"/>
        <v xml:space="preserve"> </v>
      </c>
      <c r="M53" t="str">
        <f t="shared" si="36"/>
        <v xml:space="preserve"> </v>
      </c>
      <c r="N53" t="str">
        <f t="shared" si="37"/>
        <v xml:space="preserve"> </v>
      </c>
      <c r="O53" t="str">
        <f t="shared" si="38"/>
        <v xml:space="preserve"> </v>
      </c>
      <c r="P53" t="str">
        <f t="shared" si="39"/>
        <v xml:space="preserve"> </v>
      </c>
      <c r="Q53" t="str">
        <f t="shared" si="40"/>
        <v xml:space="preserve"> </v>
      </c>
      <c r="R53" t="str">
        <f t="shared" si="41"/>
        <v xml:space="preserve"> </v>
      </c>
      <c r="S53" t="str">
        <f t="shared" si="42"/>
        <v xml:space="preserve"> </v>
      </c>
      <c r="T53" t="str">
        <f t="shared" si="43"/>
        <v xml:space="preserve"> </v>
      </c>
      <c r="U53" s="62" t="str">
        <f t="shared" si="4"/>
        <v xml:space="preserve">not found </v>
      </c>
    </row>
    <row r="54" spans="1:21" ht="17.5">
      <c r="A54" s="2">
        <f t="shared" si="44"/>
        <v>24</v>
      </c>
      <c r="B54" s="2" t="str">
        <f t="shared" si="25"/>
        <v>c</v>
      </c>
      <c r="C54" s="2" t="str">
        <f t="shared" si="26"/>
        <v>g</v>
      </c>
      <c r="D54" s="2" t="str">
        <f t="shared" si="27"/>
        <v>a</v>
      </c>
      <c r="E54" t="str">
        <f t="shared" si="28"/>
        <v xml:space="preserve"> </v>
      </c>
      <c r="F54" t="str">
        <f t="shared" si="29"/>
        <v xml:space="preserve"> </v>
      </c>
      <c r="G54" t="str">
        <f t="shared" si="30"/>
        <v xml:space="preserve"> </v>
      </c>
      <c r="H54" t="str">
        <f t="shared" si="31"/>
        <v xml:space="preserve"> </v>
      </c>
      <c r="I54" t="str">
        <f t="shared" si="32"/>
        <v xml:space="preserve"> </v>
      </c>
      <c r="J54" t="str">
        <f t="shared" si="33"/>
        <v xml:space="preserve"> </v>
      </c>
      <c r="K54" t="str">
        <f t="shared" si="34"/>
        <v xml:space="preserve"> </v>
      </c>
      <c r="L54" t="str">
        <f t="shared" si="35"/>
        <v xml:space="preserve"> </v>
      </c>
      <c r="M54" t="str">
        <f t="shared" si="36"/>
        <v xml:space="preserve"> </v>
      </c>
      <c r="N54" t="str">
        <f t="shared" si="37"/>
        <v xml:space="preserve"> </v>
      </c>
      <c r="O54" t="str">
        <f t="shared" si="38"/>
        <v xml:space="preserve"> </v>
      </c>
      <c r="P54">
        <f t="shared" si="39"/>
        <v>12</v>
      </c>
      <c r="Q54" t="str">
        <f t="shared" si="40"/>
        <v xml:space="preserve"> </v>
      </c>
      <c r="R54" t="str">
        <f t="shared" si="41"/>
        <v xml:space="preserve"> </v>
      </c>
      <c r="S54" t="str">
        <f t="shared" si="42"/>
        <v xml:space="preserve"> </v>
      </c>
      <c r="T54" t="str">
        <f t="shared" si="43"/>
        <v xml:space="preserve"> </v>
      </c>
      <c r="U54" s="62">
        <f t="shared" si="4"/>
        <v>12</v>
      </c>
    </row>
    <row r="55" spans="1:21" ht="17.5">
      <c r="A55" s="2">
        <f t="shared" si="44"/>
        <v>25</v>
      </c>
      <c r="B55" s="2" t="str">
        <f t="shared" si="25"/>
        <v>c</v>
      </c>
      <c r="C55" s="2" t="str">
        <f t="shared" si="26"/>
        <v>g</v>
      </c>
      <c r="D55" s="2" t="str">
        <f t="shared" si="27"/>
        <v>c</v>
      </c>
      <c r="E55" t="str">
        <f t="shared" si="28"/>
        <v xml:space="preserve"> </v>
      </c>
      <c r="F55" t="str">
        <f t="shared" si="29"/>
        <v xml:space="preserve"> </v>
      </c>
      <c r="G55" t="str">
        <f t="shared" si="30"/>
        <v xml:space="preserve"> </v>
      </c>
      <c r="H55" t="str">
        <f t="shared" si="31"/>
        <v xml:space="preserve"> </v>
      </c>
      <c r="I55" t="str">
        <f t="shared" si="32"/>
        <v xml:space="preserve"> </v>
      </c>
      <c r="J55" t="str">
        <f t="shared" si="33"/>
        <v xml:space="preserve"> </v>
      </c>
      <c r="K55" t="str">
        <f t="shared" si="34"/>
        <v xml:space="preserve"> </v>
      </c>
      <c r="L55" t="str">
        <f t="shared" si="35"/>
        <v xml:space="preserve"> </v>
      </c>
      <c r="M55" t="str">
        <f t="shared" si="36"/>
        <v xml:space="preserve"> </v>
      </c>
      <c r="N55" t="str">
        <f t="shared" si="37"/>
        <v xml:space="preserve"> </v>
      </c>
      <c r="O55" t="str">
        <f t="shared" si="38"/>
        <v xml:space="preserve"> </v>
      </c>
      <c r="P55" t="str">
        <f t="shared" si="39"/>
        <v xml:space="preserve"> </v>
      </c>
      <c r="Q55" t="str">
        <f t="shared" si="40"/>
        <v xml:space="preserve"> </v>
      </c>
      <c r="R55" t="str">
        <f t="shared" si="41"/>
        <v xml:space="preserve"> </v>
      </c>
      <c r="S55" t="str">
        <f t="shared" si="42"/>
        <v xml:space="preserve"> </v>
      </c>
      <c r="T55" t="str">
        <f t="shared" si="43"/>
        <v xml:space="preserve"> </v>
      </c>
      <c r="U55" s="62" t="str">
        <f t="shared" si="4"/>
        <v xml:space="preserve">not found </v>
      </c>
    </row>
    <row r="56" spans="1:21" ht="17.5">
      <c r="A56" s="2">
        <f t="shared" si="44"/>
        <v>26</v>
      </c>
      <c r="B56" s="2" t="str">
        <f t="shared" si="25"/>
        <v>c</v>
      </c>
      <c r="C56" s="2" t="str">
        <f t="shared" si="26"/>
        <v>g</v>
      </c>
      <c r="D56" s="2" t="str">
        <f t="shared" si="27"/>
        <v>g</v>
      </c>
      <c r="E56" t="str">
        <f t="shared" si="28"/>
        <v xml:space="preserve"> </v>
      </c>
      <c r="F56" t="str">
        <f t="shared" si="29"/>
        <v xml:space="preserve"> </v>
      </c>
      <c r="G56" t="str">
        <f t="shared" si="30"/>
        <v xml:space="preserve"> </v>
      </c>
      <c r="H56" t="str">
        <f t="shared" si="31"/>
        <v xml:space="preserve"> </v>
      </c>
      <c r="I56" t="str">
        <f t="shared" si="32"/>
        <v xml:space="preserve"> </v>
      </c>
      <c r="J56" t="str">
        <f t="shared" si="33"/>
        <v xml:space="preserve"> </v>
      </c>
      <c r="K56" t="str">
        <f t="shared" si="34"/>
        <v xml:space="preserve"> </v>
      </c>
      <c r="L56" t="str">
        <f t="shared" si="35"/>
        <v xml:space="preserve"> </v>
      </c>
      <c r="M56" t="str">
        <f t="shared" si="36"/>
        <v xml:space="preserve"> </v>
      </c>
      <c r="N56" t="str">
        <f t="shared" si="37"/>
        <v xml:space="preserve"> </v>
      </c>
      <c r="O56" t="str">
        <f t="shared" si="38"/>
        <v xml:space="preserve"> </v>
      </c>
      <c r="P56" t="str">
        <f t="shared" si="39"/>
        <v xml:space="preserve"> </v>
      </c>
      <c r="Q56" t="str">
        <f t="shared" si="40"/>
        <v xml:space="preserve"> </v>
      </c>
      <c r="R56" t="str">
        <f t="shared" si="41"/>
        <v xml:space="preserve"> </v>
      </c>
      <c r="S56" t="str">
        <f t="shared" si="42"/>
        <v xml:space="preserve"> </v>
      </c>
      <c r="T56" t="str">
        <f t="shared" si="43"/>
        <v xml:space="preserve"> </v>
      </c>
      <c r="U56" s="62" t="str">
        <f t="shared" si="4"/>
        <v xml:space="preserve">not found </v>
      </c>
    </row>
    <row r="57" spans="1:21" ht="17.5">
      <c r="A57" s="2">
        <f t="shared" si="44"/>
        <v>27</v>
      </c>
      <c r="B57" s="2" t="str">
        <f t="shared" si="25"/>
        <v>c</v>
      </c>
      <c r="C57" s="2" t="str">
        <f t="shared" si="26"/>
        <v>g</v>
      </c>
      <c r="D57" s="2" t="str">
        <f t="shared" si="27"/>
        <v>t</v>
      </c>
      <c r="E57" t="str">
        <f t="shared" si="28"/>
        <v xml:space="preserve"> </v>
      </c>
      <c r="F57">
        <f t="shared" si="29"/>
        <v>2</v>
      </c>
      <c r="G57" t="str">
        <f t="shared" si="30"/>
        <v xml:space="preserve"> </v>
      </c>
      <c r="H57" t="str">
        <f t="shared" si="31"/>
        <v xml:space="preserve"> </v>
      </c>
      <c r="I57" t="str">
        <f t="shared" si="32"/>
        <v xml:space="preserve"> </v>
      </c>
      <c r="J57" t="str">
        <f t="shared" si="33"/>
        <v xml:space="preserve"> </v>
      </c>
      <c r="K57" t="str">
        <f t="shared" si="34"/>
        <v xml:space="preserve"> </v>
      </c>
      <c r="L57" t="str">
        <f t="shared" si="35"/>
        <v xml:space="preserve"> </v>
      </c>
      <c r="M57" t="str">
        <f t="shared" si="36"/>
        <v xml:space="preserve"> </v>
      </c>
      <c r="N57" t="str">
        <f t="shared" si="37"/>
        <v xml:space="preserve"> </v>
      </c>
      <c r="O57" t="str">
        <f t="shared" si="38"/>
        <v xml:space="preserve"> </v>
      </c>
      <c r="P57" t="str">
        <f t="shared" si="39"/>
        <v xml:space="preserve"> </v>
      </c>
      <c r="Q57" t="str">
        <f t="shared" si="40"/>
        <v xml:space="preserve"> </v>
      </c>
      <c r="R57" t="str">
        <f t="shared" si="41"/>
        <v xml:space="preserve"> </v>
      </c>
      <c r="S57" t="str">
        <f t="shared" si="42"/>
        <v xml:space="preserve"> </v>
      </c>
      <c r="T57" t="str">
        <f t="shared" si="43"/>
        <v xml:space="preserve"> </v>
      </c>
      <c r="U57" s="62">
        <f t="shared" si="4"/>
        <v>2</v>
      </c>
    </row>
    <row r="58" spans="1:21" ht="17.5">
      <c r="A58" s="2">
        <f t="shared" si="44"/>
        <v>28</v>
      </c>
      <c r="B58" s="2" t="str">
        <f t="shared" si="25"/>
        <v>c</v>
      </c>
      <c r="C58" s="2" t="str">
        <f t="shared" si="26"/>
        <v>t</v>
      </c>
      <c r="D58" s="2" t="str">
        <f t="shared" si="27"/>
        <v>a</v>
      </c>
      <c r="E58" t="str">
        <f t="shared" si="28"/>
        <v xml:space="preserve"> </v>
      </c>
      <c r="F58" t="str">
        <f t="shared" si="29"/>
        <v xml:space="preserve"> </v>
      </c>
      <c r="G58" t="str">
        <f t="shared" si="30"/>
        <v xml:space="preserve"> </v>
      </c>
      <c r="H58" t="str">
        <f t="shared" si="31"/>
        <v xml:space="preserve"> </v>
      </c>
      <c r="I58" t="str">
        <f t="shared" si="32"/>
        <v xml:space="preserve"> </v>
      </c>
      <c r="J58" t="str">
        <f t="shared" si="33"/>
        <v xml:space="preserve"> </v>
      </c>
      <c r="K58" t="str">
        <f t="shared" si="34"/>
        <v xml:space="preserve"> </v>
      </c>
      <c r="L58" t="str">
        <f t="shared" si="35"/>
        <v xml:space="preserve"> </v>
      </c>
      <c r="M58" t="str">
        <f t="shared" si="36"/>
        <v xml:space="preserve"> </v>
      </c>
      <c r="N58" t="str">
        <f t="shared" si="37"/>
        <v xml:space="preserve"> </v>
      </c>
      <c r="O58" t="str">
        <f t="shared" si="38"/>
        <v xml:space="preserve"> </v>
      </c>
      <c r="P58" t="str">
        <f t="shared" si="39"/>
        <v xml:space="preserve"> </v>
      </c>
      <c r="Q58" t="str">
        <f t="shared" si="40"/>
        <v xml:space="preserve"> </v>
      </c>
      <c r="R58" t="str">
        <f t="shared" si="41"/>
        <v xml:space="preserve"> </v>
      </c>
      <c r="S58" t="str">
        <f t="shared" si="42"/>
        <v xml:space="preserve"> </v>
      </c>
      <c r="T58" t="str">
        <f t="shared" si="43"/>
        <v xml:space="preserve"> </v>
      </c>
      <c r="U58" s="62" t="str">
        <f t="shared" si="4"/>
        <v xml:space="preserve">not found </v>
      </c>
    </row>
    <row r="59" spans="1:21" ht="17.5">
      <c r="A59" s="2">
        <f t="shared" si="44"/>
        <v>29</v>
      </c>
      <c r="B59" s="2" t="str">
        <f t="shared" si="25"/>
        <v>c</v>
      </c>
      <c r="C59" s="2" t="str">
        <f t="shared" si="26"/>
        <v>t</v>
      </c>
      <c r="D59" s="2" t="str">
        <f t="shared" si="27"/>
        <v>c</v>
      </c>
      <c r="E59" t="str">
        <f t="shared" si="28"/>
        <v xml:space="preserve"> </v>
      </c>
      <c r="F59" t="str">
        <f t="shared" si="29"/>
        <v xml:space="preserve"> </v>
      </c>
      <c r="G59" t="str">
        <f t="shared" si="30"/>
        <v xml:space="preserve"> </v>
      </c>
      <c r="H59" t="str">
        <f t="shared" si="31"/>
        <v xml:space="preserve"> </v>
      </c>
      <c r="I59" t="str">
        <f t="shared" si="32"/>
        <v xml:space="preserve"> </v>
      </c>
      <c r="J59" t="str">
        <f t="shared" si="33"/>
        <v xml:space="preserve"> </v>
      </c>
      <c r="K59" t="str">
        <f t="shared" si="34"/>
        <v xml:space="preserve"> </v>
      </c>
      <c r="L59" t="str">
        <f t="shared" si="35"/>
        <v xml:space="preserve"> </v>
      </c>
      <c r="M59" t="str">
        <f t="shared" si="36"/>
        <v xml:space="preserve"> </v>
      </c>
      <c r="N59" t="str">
        <f t="shared" si="37"/>
        <v xml:space="preserve"> </v>
      </c>
      <c r="O59" t="str">
        <f t="shared" si="38"/>
        <v xml:space="preserve"> </v>
      </c>
      <c r="P59" t="str">
        <f t="shared" si="39"/>
        <v xml:space="preserve"> </v>
      </c>
      <c r="Q59" t="str">
        <f t="shared" si="40"/>
        <v xml:space="preserve"> </v>
      </c>
      <c r="R59" t="str">
        <f t="shared" si="41"/>
        <v xml:space="preserve"> </v>
      </c>
      <c r="S59" t="str">
        <f t="shared" si="42"/>
        <v xml:space="preserve"> </v>
      </c>
      <c r="T59" t="str">
        <f t="shared" si="43"/>
        <v xml:space="preserve"> </v>
      </c>
      <c r="U59" s="62" t="str">
        <f t="shared" si="4"/>
        <v xml:space="preserve">not found </v>
      </c>
    </row>
    <row r="60" spans="1:21" ht="17.5">
      <c r="A60" s="2">
        <f t="shared" si="44"/>
        <v>30</v>
      </c>
      <c r="B60" s="2" t="str">
        <f t="shared" si="25"/>
        <v>c</v>
      </c>
      <c r="C60" s="2" t="str">
        <f t="shared" si="26"/>
        <v>t</v>
      </c>
      <c r="D60" s="2" t="str">
        <f t="shared" si="27"/>
        <v>g</v>
      </c>
      <c r="E60" t="str">
        <f t="shared" si="28"/>
        <v xml:space="preserve"> </v>
      </c>
      <c r="F60" t="str">
        <f t="shared" si="29"/>
        <v xml:space="preserve"> </v>
      </c>
      <c r="G60" t="str">
        <f t="shared" si="30"/>
        <v xml:space="preserve"> </v>
      </c>
      <c r="H60" t="str">
        <f t="shared" si="31"/>
        <v xml:space="preserve"> </v>
      </c>
      <c r="I60" t="str">
        <f t="shared" si="32"/>
        <v xml:space="preserve"> </v>
      </c>
      <c r="J60" t="str">
        <f t="shared" si="33"/>
        <v xml:space="preserve"> </v>
      </c>
      <c r="K60" t="str">
        <f t="shared" si="34"/>
        <v xml:space="preserve"> </v>
      </c>
      <c r="L60" t="str">
        <f t="shared" si="35"/>
        <v xml:space="preserve"> </v>
      </c>
      <c r="M60" t="str">
        <f t="shared" si="36"/>
        <v xml:space="preserve"> </v>
      </c>
      <c r="N60" t="str">
        <f t="shared" si="37"/>
        <v xml:space="preserve"> </v>
      </c>
      <c r="O60" t="str">
        <f t="shared" si="38"/>
        <v xml:space="preserve"> </v>
      </c>
      <c r="P60" t="str">
        <f t="shared" si="39"/>
        <v xml:space="preserve"> </v>
      </c>
      <c r="Q60" t="str">
        <f t="shared" si="40"/>
        <v xml:space="preserve"> </v>
      </c>
      <c r="R60" t="str">
        <f t="shared" si="41"/>
        <v xml:space="preserve"> </v>
      </c>
      <c r="S60" t="str">
        <f t="shared" si="42"/>
        <v xml:space="preserve"> </v>
      </c>
      <c r="T60" t="str">
        <f t="shared" si="43"/>
        <v xml:space="preserve"> </v>
      </c>
      <c r="U60" s="62" t="str">
        <f t="shared" si="4"/>
        <v xml:space="preserve">not found </v>
      </c>
    </row>
    <row r="61" spans="1:21" ht="17.5">
      <c r="A61" s="2">
        <f t="shared" si="44"/>
        <v>31</v>
      </c>
      <c r="B61" s="2" t="str">
        <f t="shared" si="25"/>
        <v>c</v>
      </c>
      <c r="C61" s="2" t="str">
        <f t="shared" si="26"/>
        <v>t</v>
      </c>
      <c r="D61" s="2" t="str">
        <f t="shared" si="27"/>
        <v>t</v>
      </c>
      <c r="E61" t="str">
        <f t="shared" si="28"/>
        <v xml:space="preserve"> </v>
      </c>
      <c r="F61" t="str">
        <f t="shared" si="29"/>
        <v xml:space="preserve"> </v>
      </c>
      <c r="G61" t="str">
        <f t="shared" si="30"/>
        <v xml:space="preserve"> </v>
      </c>
      <c r="H61" t="str">
        <f t="shared" si="31"/>
        <v xml:space="preserve"> </v>
      </c>
      <c r="I61" t="str">
        <f t="shared" si="32"/>
        <v xml:space="preserve"> </v>
      </c>
      <c r="J61" t="str">
        <f t="shared" si="33"/>
        <v xml:space="preserve"> </v>
      </c>
      <c r="K61" t="str">
        <f t="shared" si="34"/>
        <v xml:space="preserve"> </v>
      </c>
      <c r="L61" t="str">
        <f t="shared" si="35"/>
        <v xml:space="preserve"> </v>
      </c>
      <c r="M61" t="str">
        <f t="shared" si="36"/>
        <v xml:space="preserve"> </v>
      </c>
      <c r="N61" t="str">
        <f t="shared" si="37"/>
        <v xml:space="preserve"> </v>
      </c>
      <c r="O61" t="str">
        <f t="shared" si="38"/>
        <v xml:space="preserve"> </v>
      </c>
      <c r="P61" t="str">
        <f t="shared" si="39"/>
        <v xml:space="preserve"> </v>
      </c>
      <c r="Q61" t="str">
        <f t="shared" si="40"/>
        <v xml:space="preserve"> </v>
      </c>
      <c r="R61" t="str">
        <f t="shared" si="41"/>
        <v xml:space="preserve"> </v>
      </c>
      <c r="S61" t="str">
        <f t="shared" si="42"/>
        <v xml:space="preserve"> </v>
      </c>
      <c r="T61" t="str">
        <f t="shared" si="43"/>
        <v xml:space="preserve"> </v>
      </c>
      <c r="U61" s="62" t="str">
        <f t="shared" si="4"/>
        <v xml:space="preserve">not found </v>
      </c>
    </row>
    <row r="62" spans="1:21" ht="17.5">
      <c r="A62" s="2">
        <f t="shared" si="44"/>
        <v>32</v>
      </c>
      <c r="B62" s="2" t="str">
        <f t="shared" si="25"/>
        <v>g</v>
      </c>
      <c r="C62" s="2" t="str">
        <f t="shared" si="26"/>
        <v>a</v>
      </c>
      <c r="D62" s="2" t="str">
        <f t="shared" si="27"/>
        <v>a</v>
      </c>
      <c r="E62" t="str">
        <f t="shared" si="28"/>
        <v xml:space="preserve"> </v>
      </c>
      <c r="F62" t="str">
        <f t="shared" si="29"/>
        <v xml:space="preserve"> </v>
      </c>
      <c r="G62" t="str">
        <f t="shared" si="30"/>
        <v xml:space="preserve"> </v>
      </c>
      <c r="H62" t="str">
        <f t="shared" si="31"/>
        <v xml:space="preserve"> </v>
      </c>
      <c r="I62" t="str">
        <f t="shared" si="32"/>
        <v xml:space="preserve"> </v>
      </c>
      <c r="J62" t="str">
        <f t="shared" si="33"/>
        <v xml:space="preserve"> </v>
      </c>
      <c r="K62" t="str">
        <f t="shared" si="34"/>
        <v xml:space="preserve"> </v>
      </c>
      <c r="L62" t="str">
        <f t="shared" si="35"/>
        <v xml:space="preserve"> </v>
      </c>
      <c r="M62" t="str">
        <f t="shared" si="36"/>
        <v xml:space="preserve"> </v>
      </c>
      <c r="N62" t="str">
        <f t="shared" si="37"/>
        <v xml:space="preserve"> </v>
      </c>
      <c r="O62" t="str">
        <f t="shared" si="38"/>
        <v xml:space="preserve"> </v>
      </c>
      <c r="P62" t="str">
        <f t="shared" si="39"/>
        <v xml:space="preserve"> </v>
      </c>
      <c r="Q62" t="str">
        <f t="shared" si="40"/>
        <v xml:space="preserve"> </v>
      </c>
      <c r="R62" t="str">
        <f t="shared" si="41"/>
        <v xml:space="preserve"> </v>
      </c>
      <c r="S62" t="str">
        <f t="shared" si="42"/>
        <v xml:space="preserve"> </v>
      </c>
      <c r="T62" t="str">
        <f t="shared" si="43"/>
        <v xml:space="preserve"> </v>
      </c>
      <c r="U62" s="62" t="str">
        <f t="shared" ref="U62:U93" si="45">IF(MIN(E62:T62)&gt;0,MIN(E62:T62),"not found ")</f>
        <v xml:space="preserve">not found </v>
      </c>
    </row>
    <row r="63" spans="1:21" ht="17.5">
      <c r="A63" s="2">
        <f t="shared" si="44"/>
        <v>33</v>
      </c>
      <c r="B63" s="2" t="str">
        <f t="shared" ref="B63:B78" si="46">IF(MOD(TRUNC($A63/16),4)=0,"a",IF(MOD(TRUNC($A63/16),4)=1,"c",IF(MOD(TRUNC($A63/16),4)=2,"g",IF(MOD(TRUNC($A63/16),4)=3,"t","?"))))</f>
        <v>g</v>
      </c>
      <c r="C63" s="2" t="str">
        <f t="shared" ref="C63:C78" si="47">IF(MOD(TRUNC($A63/4),4)=0,"a",IF(MOD(TRUNC($A63/4),4)=1,"c",IF(MOD(TRUNC($A63/4),4)=2,"g",IF(MOD(TRUNC($A63/4),4)=3,"t","?"))))</f>
        <v>a</v>
      </c>
      <c r="D63" s="2" t="str">
        <f t="shared" ref="D63:D78" si="48">IF(MOD($A63,4)=0,"a",IF(MOD($A63,4)=1,"c",IF(MOD($A63,4)=2,"g",IF(MOD($A63,4)=3,"t","?"))))</f>
        <v>c</v>
      </c>
      <c r="E63" t="str">
        <f t="shared" ref="E63:E78" si="49">IF($D$10=$A63,$A$10," ")</f>
        <v xml:space="preserve"> </v>
      </c>
      <c r="F63" t="str">
        <f t="shared" ref="F63:F78" si="50">IF($D$11=$A63,$A$11," ")</f>
        <v xml:space="preserve"> </v>
      </c>
      <c r="G63" t="str">
        <f t="shared" ref="G63:G78" si="51">IF($D$12=$A63,$A$12," ")</f>
        <v xml:space="preserve"> </v>
      </c>
      <c r="H63" t="str">
        <f t="shared" ref="H63:H78" si="52">IF($D$13=$A63,$A$13," ")</f>
        <v xml:space="preserve"> </v>
      </c>
      <c r="I63" t="str">
        <f t="shared" ref="I63:I78" si="53">IF($D$14=$A63,$A$14," ")</f>
        <v xml:space="preserve"> </v>
      </c>
      <c r="J63" t="str">
        <f t="shared" ref="J63:J78" si="54">IF($D$15=$A63,$A$15," ")</f>
        <v xml:space="preserve"> </v>
      </c>
      <c r="K63" t="str">
        <f t="shared" ref="K63:K78" si="55">IF($D$16=$A63,$A$16," ")</f>
        <v xml:space="preserve"> </v>
      </c>
      <c r="L63" t="str">
        <f t="shared" ref="L63:L78" si="56">IF($D$17=$A63,$A$17," ")</f>
        <v xml:space="preserve"> </v>
      </c>
      <c r="M63" t="str">
        <f t="shared" ref="M63:M78" si="57">IF($D$18=$A63,$A$18," ")</f>
        <v xml:space="preserve"> </v>
      </c>
      <c r="N63" t="str">
        <f t="shared" ref="N63:N78" si="58">IF($D$19=$A63,$A$19," ")</f>
        <v xml:space="preserve"> </v>
      </c>
      <c r="O63" t="str">
        <f t="shared" ref="O63:O78" si="59">IF($D$20=$A63,$A$20," ")</f>
        <v xml:space="preserve"> </v>
      </c>
      <c r="P63" t="str">
        <f t="shared" ref="P63:P78" si="60">IF($D$21=$A63,$A$21," ")</f>
        <v xml:space="preserve"> </v>
      </c>
      <c r="Q63">
        <f t="shared" ref="Q63:Q78" si="61">IF($D$22=$A63,$A$22," ")</f>
        <v>13</v>
      </c>
      <c r="R63" t="str">
        <f t="shared" ref="R63:R78" si="62">IF($D$23=$A63,$A$23," ")</f>
        <v xml:space="preserve"> </v>
      </c>
      <c r="S63" t="str">
        <f t="shared" ref="S63:S78" si="63">IF($D$24=$A63,$A$24," ")</f>
        <v xml:space="preserve"> </v>
      </c>
      <c r="T63" t="str">
        <f t="shared" ref="T63:T78" si="64">IF($D$25=$A63,$A$25," ")</f>
        <v xml:space="preserve"> </v>
      </c>
      <c r="U63" s="62">
        <f t="shared" si="45"/>
        <v>13</v>
      </c>
    </row>
    <row r="64" spans="1:21" ht="17.5">
      <c r="A64" s="2">
        <f t="shared" ref="A64:A79" si="65">A63+1</f>
        <v>34</v>
      </c>
      <c r="B64" s="2" t="str">
        <f t="shared" si="46"/>
        <v>g</v>
      </c>
      <c r="C64" s="2" t="str">
        <f t="shared" si="47"/>
        <v>a</v>
      </c>
      <c r="D64" s="2" t="str">
        <f t="shared" si="48"/>
        <v>g</v>
      </c>
      <c r="E64" t="str">
        <f t="shared" si="49"/>
        <v xml:space="preserve"> </v>
      </c>
      <c r="F64" t="str">
        <f t="shared" si="50"/>
        <v xml:space="preserve"> </v>
      </c>
      <c r="G64" t="str">
        <f t="shared" si="51"/>
        <v xml:space="preserve"> </v>
      </c>
      <c r="H64" t="str">
        <f t="shared" si="52"/>
        <v xml:space="preserve"> </v>
      </c>
      <c r="I64" t="str">
        <f t="shared" si="53"/>
        <v xml:space="preserve"> </v>
      </c>
      <c r="J64" t="str">
        <f t="shared" si="54"/>
        <v xml:space="preserve"> </v>
      </c>
      <c r="K64" t="str">
        <f t="shared" si="55"/>
        <v xml:space="preserve"> </v>
      </c>
      <c r="L64" t="str">
        <f t="shared" si="56"/>
        <v xml:space="preserve"> </v>
      </c>
      <c r="M64" t="str">
        <f t="shared" si="57"/>
        <v xml:space="preserve"> </v>
      </c>
      <c r="N64" t="str">
        <f t="shared" si="58"/>
        <v xml:space="preserve"> </v>
      </c>
      <c r="O64" t="str">
        <f t="shared" si="59"/>
        <v xml:space="preserve"> </v>
      </c>
      <c r="P64" t="str">
        <f t="shared" si="60"/>
        <v xml:space="preserve"> </v>
      </c>
      <c r="Q64" t="str">
        <f t="shared" si="61"/>
        <v xml:space="preserve"> </v>
      </c>
      <c r="R64" t="str">
        <f t="shared" si="62"/>
        <v xml:space="preserve"> </v>
      </c>
      <c r="S64" t="str">
        <f t="shared" si="63"/>
        <v xml:space="preserve"> </v>
      </c>
      <c r="T64" t="str">
        <f t="shared" si="64"/>
        <v xml:space="preserve"> </v>
      </c>
      <c r="U64" s="62" t="str">
        <f t="shared" si="45"/>
        <v xml:space="preserve">not found </v>
      </c>
    </row>
    <row r="65" spans="1:21" ht="17.5">
      <c r="A65" s="2">
        <f t="shared" si="65"/>
        <v>35</v>
      </c>
      <c r="B65" s="2" t="str">
        <f t="shared" si="46"/>
        <v>g</v>
      </c>
      <c r="C65" s="2" t="str">
        <f t="shared" si="47"/>
        <v>a</v>
      </c>
      <c r="D65" s="2" t="str">
        <f t="shared" si="48"/>
        <v>t</v>
      </c>
      <c r="E65" t="str">
        <f t="shared" si="49"/>
        <v xml:space="preserve"> </v>
      </c>
      <c r="F65" t="str">
        <f t="shared" si="50"/>
        <v xml:space="preserve"> </v>
      </c>
      <c r="G65" t="str">
        <f t="shared" si="51"/>
        <v xml:space="preserve"> </v>
      </c>
      <c r="H65" t="str">
        <f t="shared" si="52"/>
        <v xml:space="preserve"> </v>
      </c>
      <c r="I65" t="str">
        <f t="shared" si="53"/>
        <v xml:space="preserve"> </v>
      </c>
      <c r="J65" t="str">
        <f t="shared" si="54"/>
        <v xml:space="preserve"> </v>
      </c>
      <c r="K65" t="str">
        <f t="shared" si="55"/>
        <v xml:space="preserve"> </v>
      </c>
      <c r="L65" t="str">
        <f t="shared" si="56"/>
        <v xml:space="preserve"> </v>
      </c>
      <c r="M65" t="str">
        <f t="shared" si="57"/>
        <v xml:space="preserve"> </v>
      </c>
      <c r="N65" t="str">
        <f t="shared" si="58"/>
        <v xml:space="preserve"> </v>
      </c>
      <c r="O65" t="str">
        <f t="shared" si="59"/>
        <v xml:space="preserve"> </v>
      </c>
      <c r="P65" t="str">
        <f t="shared" si="60"/>
        <v xml:space="preserve"> </v>
      </c>
      <c r="Q65" t="str">
        <f t="shared" si="61"/>
        <v xml:space="preserve"> </v>
      </c>
      <c r="R65" t="str">
        <f t="shared" si="62"/>
        <v xml:space="preserve"> </v>
      </c>
      <c r="S65" t="str">
        <f t="shared" si="63"/>
        <v xml:space="preserve"> </v>
      </c>
      <c r="T65" t="str">
        <f t="shared" si="64"/>
        <v xml:space="preserve"> </v>
      </c>
      <c r="U65" s="62" t="str">
        <f t="shared" si="45"/>
        <v xml:space="preserve">not found </v>
      </c>
    </row>
    <row r="66" spans="1:21" ht="17.5">
      <c r="A66" s="2">
        <f t="shared" si="65"/>
        <v>36</v>
      </c>
      <c r="B66" s="2" t="str">
        <f t="shared" si="46"/>
        <v>g</v>
      </c>
      <c r="C66" s="2" t="str">
        <f t="shared" si="47"/>
        <v>c</v>
      </c>
      <c r="D66" s="2" t="str">
        <f t="shared" si="48"/>
        <v>a</v>
      </c>
      <c r="E66" t="str">
        <f t="shared" si="49"/>
        <v xml:space="preserve"> </v>
      </c>
      <c r="F66" t="str">
        <f t="shared" si="50"/>
        <v xml:space="preserve"> </v>
      </c>
      <c r="G66" t="str">
        <f t="shared" si="51"/>
        <v xml:space="preserve"> </v>
      </c>
      <c r="H66" t="str">
        <f t="shared" si="52"/>
        <v xml:space="preserve"> </v>
      </c>
      <c r="I66" t="str">
        <f t="shared" si="53"/>
        <v xml:space="preserve"> </v>
      </c>
      <c r="J66" t="str">
        <f t="shared" si="54"/>
        <v xml:space="preserve"> </v>
      </c>
      <c r="K66" t="str">
        <f t="shared" si="55"/>
        <v xml:space="preserve"> </v>
      </c>
      <c r="L66" t="str">
        <f t="shared" si="56"/>
        <v xml:space="preserve"> </v>
      </c>
      <c r="M66" t="str">
        <f t="shared" si="57"/>
        <v xml:space="preserve"> </v>
      </c>
      <c r="N66" t="str">
        <f t="shared" si="58"/>
        <v xml:space="preserve"> </v>
      </c>
      <c r="O66" t="str">
        <f t="shared" si="59"/>
        <v xml:space="preserve"> </v>
      </c>
      <c r="P66" t="str">
        <f t="shared" si="60"/>
        <v xml:space="preserve"> </v>
      </c>
      <c r="Q66" t="str">
        <f t="shared" si="61"/>
        <v xml:space="preserve"> </v>
      </c>
      <c r="R66" t="str">
        <f t="shared" si="62"/>
        <v xml:space="preserve"> </v>
      </c>
      <c r="S66" t="str">
        <f t="shared" si="63"/>
        <v xml:space="preserve"> </v>
      </c>
      <c r="T66" t="str">
        <f t="shared" si="64"/>
        <v xml:space="preserve"> </v>
      </c>
      <c r="U66" s="62" t="str">
        <f t="shared" si="45"/>
        <v xml:space="preserve">not found </v>
      </c>
    </row>
    <row r="67" spans="1:21" ht="17.5">
      <c r="A67" s="2">
        <f t="shared" si="65"/>
        <v>37</v>
      </c>
      <c r="B67" s="2" t="str">
        <f t="shared" si="46"/>
        <v>g</v>
      </c>
      <c r="C67" s="2" t="str">
        <f t="shared" si="47"/>
        <v>c</v>
      </c>
      <c r="D67" s="2" t="str">
        <f t="shared" si="48"/>
        <v>c</v>
      </c>
      <c r="E67" t="str">
        <f t="shared" si="49"/>
        <v xml:space="preserve"> </v>
      </c>
      <c r="F67" t="str">
        <f t="shared" si="50"/>
        <v xml:space="preserve"> </v>
      </c>
      <c r="G67" t="str">
        <f t="shared" si="51"/>
        <v xml:space="preserve"> </v>
      </c>
      <c r="H67" t="str">
        <f t="shared" si="52"/>
        <v xml:space="preserve"> </v>
      </c>
      <c r="I67" t="str">
        <f t="shared" si="53"/>
        <v xml:space="preserve"> </v>
      </c>
      <c r="J67" t="str">
        <f t="shared" si="54"/>
        <v xml:space="preserve"> </v>
      </c>
      <c r="K67" t="str">
        <f t="shared" si="55"/>
        <v xml:space="preserve"> </v>
      </c>
      <c r="L67" t="str">
        <f t="shared" si="56"/>
        <v xml:space="preserve"> </v>
      </c>
      <c r="M67" t="str">
        <f t="shared" si="57"/>
        <v xml:space="preserve"> </v>
      </c>
      <c r="N67" t="str">
        <f t="shared" si="58"/>
        <v xml:space="preserve"> </v>
      </c>
      <c r="O67" t="str">
        <f t="shared" si="59"/>
        <v xml:space="preserve"> </v>
      </c>
      <c r="P67" t="str">
        <f t="shared" si="60"/>
        <v xml:space="preserve"> </v>
      </c>
      <c r="Q67" t="str">
        <f t="shared" si="61"/>
        <v xml:space="preserve"> </v>
      </c>
      <c r="R67" t="str">
        <f t="shared" si="62"/>
        <v xml:space="preserve"> </v>
      </c>
      <c r="S67" t="str">
        <f t="shared" si="63"/>
        <v xml:space="preserve"> </v>
      </c>
      <c r="T67" t="str">
        <f t="shared" si="64"/>
        <v xml:space="preserve"> </v>
      </c>
      <c r="U67" s="62" t="str">
        <f t="shared" si="45"/>
        <v xml:space="preserve">not found </v>
      </c>
    </row>
    <row r="68" spans="1:21" ht="17.5">
      <c r="A68" s="2">
        <f t="shared" si="65"/>
        <v>38</v>
      </c>
      <c r="B68" s="2" t="str">
        <f t="shared" si="46"/>
        <v>g</v>
      </c>
      <c r="C68" s="2" t="str">
        <f t="shared" si="47"/>
        <v>c</v>
      </c>
      <c r="D68" s="2" t="str">
        <f t="shared" si="48"/>
        <v>g</v>
      </c>
      <c r="E68" t="str">
        <f t="shared" si="49"/>
        <v xml:space="preserve"> </v>
      </c>
      <c r="F68" t="str">
        <f t="shared" si="50"/>
        <v xml:space="preserve"> </v>
      </c>
      <c r="G68" t="str">
        <f t="shared" si="51"/>
        <v xml:space="preserve"> </v>
      </c>
      <c r="H68" t="str">
        <f t="shared" si="52"/>
        <v xml:space="preserve"> </v>
      </c>
      <c r="I68" t="str">
        <f t="shared" si="53"/>
        <v xml:space="preserve"> </v>
      </c>
      <c r="J68" t="str">
        <f t="shared" si="54"/>
        <v xml:space="preserve"> </v>
      </c>
      <c r="K68" t="str">
        <f t="shared" si="55"/>
        <v xml:space="preserve"> </v>
      </c>
      <c r="L68" t="str">
        <f t="shared" si="56"/>
        <v xml:space="preserve"> </v>
      </c>
      <c r="M68" t="str">
        <f t="shared" si="57"/>
        <v xml:space="preserve"> </v>
      </c>
      <c r="N68" t="str">
        <f t="shared" si="58"/>
        <v xml:space="preserve"> </v>
      </c>
      <c r="O68" t="str">
        <f t="shared" si="59"/>
        <v xml:space="preserve"> </v>
      </c>
      <c r="P68" t="str">
        <f t="shared" si="60"/>
        <v xml:space="preserve"> </v>
      </c>
      <c r="Q68" t="str">
        <f t="shared" si="61"/>
        <v xml:space="preserve"> </v>
      </c>
      <c r="R68" t="str">
        <f t="shared" si="62"/>
        <v xml:space="preserve"> </v>
      </c>
      <c r="S68" t="str">
        <f t="shared" si="63"/>
        <v xml:space="preserve"> </v>
      </c>
      <c r="T68" t="str">
        <f t="shared" si="64"/>
        <v xml:space="preserve"> </v>
      </c>
      <c r="U68" s="62" t="str">
        <f t="shared" si="45"/>
        <v xml:space="preserve">not found </v>
      </c>
    </row>
    <row r="69" spans="1:21" ht="17.5">
      <c r="A69" s="2">
        <f t="shared" si="65"/>
        <v>39</v>
      </c>
      <c r="B69" s="2" t="str">
        <f t="shared" si="46"/>
        <v>g</v>
      </c>
      <c r="C69" s="2" t="str">
        <f t="shared" si="47"/>
        <v>c</v>
      </c>
      <c r="D69" s="2" t="str">
        <f t="shared" si="48"/>
        <v>t</v>
      </c>
      <c r="E69" t="str">
        <f t="shared" si="49"/>
        <v xml:space="preserve"> </v>
      </c>
      <c r="F69" t="str">
        <f t="shared" si="50"/>
        <v xml:space="preserve"> </v>
      </c>
      <c r="G69" t="str">
        <f t="shared" si="51"/>
        <v xml:space="preserve"> </v>
      </c>
      <c r="H69" t="str">
        <f t="shared" si="52"/>
        <v xml:space="preserve"> </v>
      </c>
      <c r="I69" t="str">
        <f t="shared" si="53"/>
        <v xml:space="preserve"> </v>
      </c>
      <c r="J69" t="str">
        <f t="shared" si="54"/>
        <v xml:space="preserve"> </v>
      </c>
      <c r="K69" t="str">
        <f t="shared" si="55"/>
        <v xml:space="preserve"> </v>
      </c>
      <c r="L69" t="str">
        <f t="shared" si="56"/>
        <v xml:space="preserve"> </v>
      </c>
      <c r="M69" t="str">
        <f t="shared" si="57"/>
        <v xml:space="preserve"> </v>
      </c>
      <c r="N69" t="str">
        <f t="shared" si="58"/>
        <v xml:space="preserve"> </v>
      </c>
      <c r="O69" t="str">
        <f t="shared" si="59"/>
        <v xml:space="preserve"> </v>
      </c>
      <c r="P69" t="str">
        <f t="shared" si="60"/>
        <v xml:space="preserve"> </v>
      </c>
      <c r="Q69" t="str">
        <f t="shared" si="61"/>
        <v xml:space="preserve"> </v>
      </c>
      <c r="R69" t="str">
        <f t="shared" si="62"/>
        <v xml:space="preserve"> </v>
      </c>
      <c r="S69" t="str">
        <f t="shared" si="63"/>
        <v xml:space="preserve"> </v>
      </c>
      <c r="T69" t="str">
        <f t="shared" si="64"/>
        <v xml:space="preserve"> </v>
      </c>
      <c r="U69" s="62" t="str">
        <f t="shared" si="45"/>
        <v xml:space="preserve">not found </v>
      </c>
    </row>
    <row r="70" spans="1:21" ht="17.5">
      <c r="A70" s="2">
        <f t="shared" si="65"/>
        <v>40</v>
      </c>
      <c r="B70" s="2" t="str">
        <f t="shared" si="46"/>
        <v>g</v>
      </c>
      <c r="C70" s="2" t="str">
        <f t="shared" si="47"/>
        <v>g</v>
      </c>
      <c r="D70" s="2" t="str">
        <f t="shared" si="48"/>
        <v>a</v>
      </c>
      <c r="E70" t="str">
        <f t="shared" si="49"/>
        <v xml:space="preserve"> </v>
      </c>
      <c r="F70" t="str">
        <f t="shared" si="50"/>
        <v xml:space="preserve"> </v>
      </c>
      <c r="G70" t="str">
        <f t="shared" si="51"/>
        <v xml:space="preserve"> </v>
      </c>
      <c r="H70" t="str">
        <f t="shared" si="52"/>
        <v xml:space="preserve"> </v>
      </c>
      <c r="I70" t="str">
        <f t="shared" si="53"/>
        <v xml:space="preserve"> </v>
      </c>
      <c r="J70" t="str">
        <f t="shared" si="54"/>
        <v xml:space="preserve"> </v>
      </c>
      <c r="K70" t="str">
        <f t="shared" si="55"/>
        <v xml:space="preserve"> </v>
      </c>
      <c r="L70" t="str">
        <f t="shared" si="56"/>
        <v xml:space="preserve"> </v>
      </c>
      <c r="M70" t="str">
        <f t="shared" si="57"/>
        <v xml:space="preserve"> </v>
      </c>
      <c r="N70" t="str">
        <f t="shared" si="58"/>
        <v xml:space="preserve"> </v>
      </c>
      <c r="O70" t="str">
        <f t="shared" si="59"/>
        <v xml:space="preserve"> </v>
      </c>
      <c r="P70" t="str">
        <f t="shared" si="60"/>
        <v xml:space="preserve"> </v>
      </c>
      <c r="Q70" t="str">
        <f t="shared" si="61"/>
        <v xml:space="preserve"> </v>
      </c>
      <c r="R70" t="str">
        <f t="shared" si="62"/>
        <v xml:space="preserve"> </v>
      </c>
      <c r="S70" t="str">
        <f t="shared" si="63"/>
        <v xml:space="preserve"> </v>
      </c>
      <c r="T70" t="str">
        <f t="shared" si="64"/>
        <v xml:space="preserve"> </v>
      </c>
      <c r="U70" s="62" t="str">
        <f t="shared" si="45"/>
        <v xml:space="preserve">not found </v>
      </c>
    </row>
    <row r="71" spans="1:21" ht="17.5">
      <c r="A71" s="2">
        <f t="shared" si="65"/>
        <v>41</v>
      </c>
      <c r="B71" s="2" t="str">
        <f t="shared" si="46"/>
        <v>g</v>
      </c>
      <c r="C71" s="2" t="str">
        <f t="shared" si="47"/>
        <v>g</v>
      </c>
      <c r="D71" s="2" t="str">
        <f t="shared" si="48"/>
        <v>c</v>
      </c>
      <c r="E71" t="str">
        <f t="shared" si="49"/>
        <v xml:space="preserve"> </v>
      </c>
      <c r="F71" t="str">
        <f t="shared" si="50"/>
        <v xml:space="preserve"> </v>
      </c>
      <c r="G71" t="str">
        <f t="shared" si="51"/>
        <v xml:space="preserve"> </v>
      </c>
      <c r="H71" t="str">
        <f t="shared" si="52"/>
        <v xml:space="preserve"> </v>
      </c>
      <c r="I71" t="str">
        <f t="shared" si="53"/>
        <v xml:space="preserve"> </v>
      </c>
      <c r="J71" t="str">
        <f t="shared" si="54"/>
        <v xml:space="preserve"> </v>
      </c>
      <c r="K71" t="str">
        <f t="shared" si="55"/>
        <v xml:space="preserve"> </v>
      </c>
      <c r="L71" t="str">
        <f t="shared" si="56"/>
        <v xml:space="preserve"> </v>
      </c>
      <c r="M71" t="str">
        <f t="shared" si="57"/>
        <v xml:space="preserve"> </v>
      </c>
      <c r="N71" t="str">
        <f t="shared" si="58"/>
        <v xml:space="preserve"> </v>
      </c>
      <c r="O71" t="str">
        <f t="shared" si="59"/>
        <v xml:space="preserve"> </v>
      </c>
      <c r="P71" t="str">
        <f t="shared" si="60"/>
        <v xml:space="preserve"> </v>
      </c>
      <c r="Q71" t="str">
        <f t="shared" si="61"/>
        <v xml:space="preserve"> </v>
      </c>
      <c r="R71" t="str">
        <f t="shared" si="62"/>
        <v xml:space="preserve"> </v>
      </c>
      <c r="S71" t="str">
        <f t="shared" si="63"/>
        <v xml:space="preserve"> </v>
      </c>
      <c r="T71" t="str">
        <f t="shared" si="64"/>
        <v xml:space="preserve"> </v>
      </c>
      <c r="U71" s="62" t="str">
        <f t="shared" si="45"/>
        <v xml:space="preserve">not found </v>
      </c>
    </row>
    <row r="72" spans="1:21" ht="17.5">
      <c r="A72" s="2">
        <f t="shared" si="65"/>
        <v>42</v>
      </c>
      <c r="B72" s="2" t="str">
        <f t="shared" si="46"/>
        <v>g</v>
      </c>
      <c r="C72" s="2" t="str">
        <f t="shared" si="47"/>
        <v>g</v>
      </c>
      <c r="D72" s="2" t="str">
        <f t="shared" si="48"/>
        <v>g</v>
      </c>
      <c r="E72" t="str">
        <f t="shared" si="49"/>
        <v xml:space="preserve"> </v>
      </c>
      <c r="F72" t="str">
        <f t="shared" si="50"/>
        <v xml:space="preserve"> </v>
      </c>
      <c r="G72" t="str">
        <f t="shared" si="51"/>
        <v xml:space="preserve"> </v>
      </c>
      <c r="H72" t="str">
        <f t="shared" si="52"/>
        <v xml:space="preserve"> </v>
      </c>
      <c r="I72" t="str">
        <f t="shared" si="53"/>
        <v xml:space="preserve"> </v>
      </c>
      <c r="J72" t="str">
        <f t="shared" si="54"/>
        <v xml:space="preserve"> </v>
      </c>
      <c r="K72" t="str">
        <f t="shared" si="55"/>
        <v xml:space="preserve"> </v>
      </c>
      <c r="L72" t="str">
        <f t="shared" si="56"/>
        <v xml:space="preserve"> </v>
      </c>
      <c r="M72" t="str">
        <f t="shared" si="57"/>
        <v xml:space="preserve"> </v>
      </c>
      <c r="N72" t="str">
        <f t="shared" si="58"/>
        <v xml:space="preserve"> </v>
      </c>
      <c r="O72" t="str">
        <f t="shared" si="59"/>
        <v xml:space="preserve"> </v>
      </c>
      <c r="P72" t="str">
        <f t="shared" si="60"/>
        <v xml:space="preserve"> </v>
      </c>
      <c r="Q72" t="str">
        <f t="shared" si="61"/>
        <v xml:space="preserve"> </v>
      </c>
      <c r="R72" t="str">
        <f t="shared" si="62"/>
        <v xml:space="preserve"> </v>
      </c>
      <c r="S72" t="str">
        <f t="shared" si="63"/>
        <v xml:space="preserve"> </v>
      </c>
      <c r="T72" t="str">
        <f t="shared" si="64"/>
        <v xml:space="preserve"> </v>
      </c>
      <c r="U72" s="62" t="str">
        <f t="shared" si="45"/>
        <v xml:space="preserve">not found </v>
      </c>
    </row>
    <row r="73" spans="1:21" ht="17.5">
      <c r="A73" s="2">
        <f t="shared" si="65"/>
        <v>43</v>
      </c>
      <c r="B73" s="2" t="str">
        <f t="shared" si="46"/>
        <v>g</v>
      </c>
      <c r="C73" s="2" t="str">
        <f t="shared" si="47"/>
        <v>g</v>
      </c>
      <c r="D73" s="2" t="str">
        <f t="shared" si="48"/>
        <v>t</v>
      </c>
      <c r="E73" t="str">
        <f t="shared" si="49"/>
        <v xml:space="preserve"> </v>
      </c>
      <c r="F73" t="str">
        <f t="shared" si="50"/>
        <v xml:space="preserve"> </v>
      </c>
      <c r="G73" t="str">
        <f t="shared" si="51"/>
        <v xml:space="preserve"> </v>
      </c>
      <c r="H73" t="str">
        <f t="shared" si="52"/>
        <v xml:space="preserve"> </v>
      </c>
      <c r="I73" t="str">
        <f t="shared" si="53"/>
        <v xml:space="preserve"> </v>
      </c>
      <c r="J73" t="str">
        <f t="shared" si="54"/>
        <v xml:space="preserve"> </v>
      </c>
      <c r="K73" t="str">
        <f t="shared" si="55"/>
        <v xml:space="preserve"> </v>
      </c>
      <c r="L73" t="str">
        <f t="shared" si="56"/>
        <v xml:space="preserve"> </v>
      </c>
      <c r="M73" t="str">
        <f t="shared" si="57"/>
        <v xml:space="preserve"> </v>
      </c>
      <c r="N73" t="str">
        <f t="shared" si="58"/>
        <v xml:space="preserve"> </v>
      </c>
      <c r="O73" t="str">
        <f t="shared" si="59"/>
        <v xml:space="preserve"> </v>
      </c>
      <c r="P73" t="str">
        <f t="shared" si="60"/>
        <v xml:space="preserve"> </v>
      </c>
      <c r="Q73" t="str">
        <f t="shared" si="61"/>
        <v xml:space="preserve"> </v>
      </c>
      <c r="R73" t="str">
        <f t="shared" si="62"/>
        <v xml:space="preserve"> </v>
      </c>
      <c r="S73" t="str">
        <f t="shared" si="63"/>
        <v xml:space="preserve"> </v>
      </c>
      <c r="T73" t="str">
        <f t="shared" si="64"/>
        <v xml:space="preserve"> </v>
      </c>
      <c r="U73" s="62" t="str">
        <f t="shared" si="45"/>
        <v xml:space="preserve">not found </v>
      </c>
    </row>
    <row r="74" spans="1:21" ht="17.5">
      <c r="A74" s="2">
        <f t="shared" si="65"/>
        <v>44</v>
      </c>
      <c r="B74" s="2" t="str">
        <f t="shared" si="46"/>
        <v>g</v>
      </c>
      <c r="C74" s="2" t="str">
        <f t="shared" si="47"/>
        <v>t</v>
      </c>
      <c r="D74" s="2" t="str">
        <f t="shared" si="48"/>
        <v>a</v>
      </c>
      <c r="E74" t="str">
        <f t="shared" si="49"/>
        <v xml:space="preserve"> </v>
      </c>
      <c r="F74" t="str">
        <f t="shared" si="50"/>
        <v xml:space="preserve"> </v>
      </c>
      <c r="G74" t="str">
        <f t="shared" si="51"/>
        <v xml:space="preserve"> </v>
      </c>
      <c r="H74" t="str">
        <f t="shared" si="52"/>
        <v xml:space="preserve"> </v>
      </c>
      <c r="I74" t="str">
        <f t="shared" si="53"/>
        <v xml:space="preserve"> </v>
      </c>
      <c r="J74" t="str">
        <f t="shared" si="54"/>
        <v xml:space="preserve"> </v>
      </c>
      <c r="K74" t="str">
        <f t="shared" si="55"/>
        <v xml:space="preserve"> </v>
      </c>
      <c r="L74" t="str">
        <f t="shared" si="56"/>
        <v xml:space="preserve"> </v>
      </c>
      <c r="M74" t="str">
        <f t="shared" si="57"/>
        <v xml:space="preserve"> </v>
      </c>
      <c r="N74" t="str">
        <f t="shared" si="58"/>
        <v xml:space="preserve"> </v>
      </c>
      <c r="O74" t="str">
        <f t="shared" si="59"/>
        <v xml:space="preserve"> </v>
      </c>
      <c r="P74" t="str">
        <f t="shared" si="60"/>
        <v xml:space="preserve"> </v>
      </c>
      <c r="Q74" t="str">
        <f t="shared" si="61"/>
        <v xml:space="preserve"> </v>
      </c>
      <c r="R74" t="str">
        <f t="shared" si="62"/>
        <v xml:space="preserve"> </v>
      </c>
      <c r="S74" t="str">
        <f t="shared" si="63"/>
        <v xml:space="preserve"> </v>
      </c>
      <c r="T74" t="str">
        <f t="shared" si="64"/>
        <v xml:space="preserve"> </v>
      </c>
      <c r="U74" s="62" t="str">
        <f t="shared" si="45"/>
        <v xml:space="preserve">not found </v>
      </c>
    </row>
    <row r="75" spans="1:21" ht="17.5">
      <c r="A75" s="2">
        <f t="shared" si="65"/>
        <v>45</v>
      </c>
      <c r="B75" s="2" t="str">
        <f t="shared" si="46"/>
        <v>g</v>
      </c>
      <c r="C75" s="2" t="str">
        <f t="shared" si="47"/>
        <v>t</v>
      </c>
      <c r="D75" s="2" t="str">
        <f t="shared" si="48"/>
        <v>c</v>
      </c>
      <c r="E75" t="str">
        <f t="shared" si="49"/>
        <v xml:space="preserve"> </v>
      </c>
      <c r="F75" t="str">
        <f t="shared" si="50"/>
        <v xml:space="preserve"> </v>
      </c>
      <c r="G75" t="str">
        <f t="shared" si="51"/>
        <v xml:space="preserve"> </v>
      </c>
      <c r="H75" t="str">
        <f t="shared" si="52"/>
        <v xml:space="preserve"> </v>
      </c>
      <c r="I75" t="str">
        <f t="shared" si="53"/>
        <v xml:space="preserve"> </v>
      </c>
      <c r="J75" t="str">
        <f t="shared" si="54"/>
        <v xml:space="preserve"> </v>
      </c>
      <c r="K75" t="str">
        <f t="shared" si="55"/>
        <v xml:space="preserve"> </v>
      </c>
      <c r="L75" t="str">
        <f t="shared" si="56"/>
        <v xml:space="preserve"> </v>
      </c>
      <c r="M75" t="str">
        <f t="shared" si="57"/>
        <v xml:space="preserve"> </v>
      </c>
      <c r="N75" t="str">
        <f t="shared" si="58"/>
        <v xml:space="preserve"> </v>
      </c>
      <c r="O75" t="str">
        <f t="shared" si="59"/>
        <v xml:space="preserve"> </v>
      </c>
      <c r="P75" t="str">
        <f t="shared" si="60"/>
        <v xml:space="preserve"> </v>
      </c>
      <c r="Q75" t="str">
        <f t="shared" si="61"/>
        <v xml:space="preserve"> </v>
      </c>
      <c r="R75" t="str">
        <f t="shared" si="62"/>
        <v xml:space="preserve"> </v>
      </c>
      <c r="S75" t="str">
        <f t="shared" si="63"/>
        <v xml:space="preserve"> </v>
      </c>
      <c r="T75" t="str">
        <f t="shared" si="64"/>
        <v xml:space="preserve"> </v>
      </c>
      <c r="U75" s="62" t="str">
        <f t="shared" si="45"/>
        <v xml:space="preserve">not found </v>
      </c>
    </row>
    <row r="76" spans="1:21" ht="17.5">
      <c r="A76" s="2">
        <f t="shared" si="65"/>
        <v>46</v>
      </c>
      <c r="B76" s="2" t="str">
        <f t="shared" si="46"/>
        <v>g</v>
      </c>
      <c r="C76" s="2" t="str">
        <f t="shared" si="47"/>
        <v>t</v>
      </c>
      <c r="D76" s="2" t="str">
        <f t="shared" si="48"/>
        <v>g</v>
      </c>
      <c r="E76" t="str">
        <f t="shared" si="49"/>
        <v xml:space="preserve"> </v>
      </c>
      <c r="F76" t="str">
        <f t="shared" si="50"/>
        <v xml:space="preserve"> </v>
      </c>
      <c r="G76" t="str">
        <f t="shared" si="51"/>
        <v xml:space="preserve"> </v>
      </c>
      <c r="H76" t="str">
        <f t="shared" si="52"/>
        <v xml:space="preserve"> </v>
      </c>
      <c r="I76" t="str">
        <f t="shared" si="53"/>
        <v xml:space="preserve"> </v>
      </c>
      <c r="J76" t="str">
        <f t="shared" si="54"/>
        <v xml:space="preserve"> </v>
      </c>
      <c r="K76" t="str">
        <f t="shared" si="55"/>
        <v xml:space="preserve"> </v>
      </c>
      <c r="L76" t="str">
        <f t="shared" si="56"/>
        <v xml:space="preserve"> </v>
      </c>
      <c r="M76" t="str">
        <f t="shared" si="57"/>
        <v xml:space="preserve"> </v>
      </c>
      <c r="N76" t="str">
        <f t="shared" si="58"/>
        <v xml:space="preserve"> </v>
      </c>
      <c r="O76" t="str">
        <f t="shared" si="59"/>
        <v xml:space="preserve"> </v>
      </c>
      <c r="P76" t="str">
        <f t="shared" si="60"/>
        <v xml:space="preserve"> </v>
      </c>
      <c r="Q76" t="str">
        <f t="shared" si="61"/>
        <v xml:space="preserve"> </v>
      </c>
      <c r="R76" t="str">
        <f t="shared" si="62"/>
        <v xml:space="preserve"> </v>
      </c>
      <c r="S76" t="str">
        <f t="shared" si="63"/>
        <v xml:space="preserve"> </v>
      </c>
      <c r="T76" t="str">
        <f t="shared" si="64"/>
        <v xml:space="preserve"> </v>
      </c>
      <c r="U76" s="62" t="str">
        <f t="shared" si="45"/>
        <v xml:space="preserve">not found </v>
      </c>
    </row>
    <row r="77" spans="1:21" ht="17.5">
      <c r="A77" s="2">
        <f t="shared" si="65"/>
        <v>47</v>
      </c>
      <c r="B77" s="2" t="str">
        <f t="shared" si="46"/>
        <v>g</v>
      </c>
      <c r="C77" s="2" t="str">
        <f t="shared" si="47"/>
        <v>t</v>
      </c>
      <c r="D77" s="2" t="str">
        <f t="shared" si="48"/>
        <v>t</v>
      </c>
      <c r="E77" t="str">
        <f t="shared" si="49"/>
        <v xml:space="preserve"> </v>
      </c>
      <c r="F77" t="str">
        <f t="shared" si="50"/>
        <v xml:space="preserve"> </v>
      </c>
      <c r="G77">
        <f t="shared" si="51"/>
        <v>3</v>
      </c>
      <c r="H77" t="str">
        <f t="shared" si="52"/>
        <v xml:space="preserve"> </v>
      </c>
      <c r="I77" t="str">
        <f t="shared" si="53"/>
        <v xml:space="preserve"> </v>
      </c>
      <c r="J77" t="str">
        <f t="shared" si="54"/>
        <v xml:space="preserve"> </v>
      </c>
      <c r="K77" t="str">
        <f t="shared" si="55"/>
        <v xml:space="preserve"> </v>
      </c>
      <c r="L77" t="str">
        <f t="shared" si="56"/>
        <v xml:space="preserve"> </v>
      </c>
      <c r="M77" t="str">
        <f t="shared" si="57"/>
        <v xml:space="preserve"> </v>
      </c>
      <c r="N77" t="str">
        <f t="shared" si="58"/>
        <v xml:space="preserve"> </v>
      </c>
      <c r="O77" t="str">
        <f t="shared" si="59"/>
        <v xml:space="preserve"> </v>
      </c>
      <c r="P77" t="str">
        <f t="shared" si="60"/>
        <v xml:space="preserve"> </v>
      </c>
      <c r="Q77" t="str">
        <f t="shared" si="61"/>
        <v xml:space="preserve"> </v>
      </c>
      <c r="R77" t="str">
        <f t="shared" si="62"/>
        <v xml:space="preserve"> </v>
      </c>
      <c r="S77" t="str">
        <f t="shared" si="63"/>
        <v xml:space="preserve"> </v>
      </c>
      <c r="T77" t="str">
        <f t="shared" si="64"/>
        <v xml:space="preserve"> </v>
      </c>
      <c r="U77" s="62">
        <f t="shared" si="45"/>
        <v>3</v>
      </c>
    </row>
    <row r="78" spans="1:21" ht="17.5">
      <c r="A78" s="2">
        <f t="shared" si="65"/>
        <v>48</v>
      </c>
      <c r="B78" s="2" t="str">
        <f t="shared" si="46"/>
        <v>t</v>
      </c>
      <c r="C78" s="2" t="str">
        <f t="shared" si="47"/>
        <v>a</v>
      </c>
      <c r="D78" s="2" t="str">
        <f t="shared" si="48"/>
        <v>a</v>
      </c>
      <c r="E78" t="str">
        <f t="shared" si="49"/>
        <v xml:space="preserve"> </v>
      </c>
      <c r="F78" t="str">
        <f t="shared" si="50"/>
        <v xml:space="preserve"> </v>
      </c>
      <c r="G78" t="str">
        <f t="shared" si="51"/>
        <v xml:space="preserve"> </v>
      </c>
      <c r="H78" t="str">
        <f t="shared" si="52"/>
        <v xml:space="preserve"> </v>
      </c>
      <c r="I78" t="str">
        <f t="shared" si="53"/>
        <v xml:space="preserve"> </v>
      </c>
      <c r="J78" t="str">
        <f t="shared" si="54"/>
        <v xml:space="preserve"> </v>
      </c>
      <c r="K78">
        <f t="shared" si="55"/>
        <v>7</v>
      </c>
      <c r="L78" t="str">
        <f t="shared" si="56"/>
        <v xml:space="preserve"> </v>
      </c>
      <c r="M78" t="str">
        <f t="shared" si="57"/>
        <v xml:space="preserve"> </v>
      </c>
      <c r="N78" t="str">
        <f t="shared" si="58"/>
        <v xml:space="preserve"> </v>
      </c>
      <c r="O78" t="str">
        <f t="shared" si="59"/>
        <v xml:space="preserve"> </v>
      </c>
      <c r="P78" t="str">
        <f t="shared" si="60"/>
        <v xml:space="preserve"> </v>
      </c>
      <c r="Q78" t="str">
        <f t="shared" si="61"/>
        <v xml:space="preserve"> </v>
      </c>
      <c r="R78" t="str">
        <f t="shared" si="62"/>
        <v xml:space="preserve"> </v>
      </c>
      <c r="S78" t="str">
        <f t="shared" si="63"/>
        <v xml:space="preserve"> </v>
      </c>
      <c r="T78" t="str">
        <f t="shared" si="64"/>
        <v xml:space="preserve"> </v>
      </c>
      <c r="U78" s="62">
        <f t="shared" si="45"/>
        <v>7</v>
      </c>
    </row>
    <row r="79" spans="1:21" ht="17.5">
      <c r="A79" s="2">
        <f t="shared" si="65"/>
        <v>49</v>
      </c>
      <c r="B79" s="2" t="str">
        <f t="shared" ref="B79:B93" si="66">IF(MOD(TRUNC($A79/16),4)=0,"a",IF(MOD(TRUNC($A79/16),4)=1,"c",IF(MOD(TRUNC($A79/16),4)=2,"g",IF(MOD(TRUNC($A79/16),4)=3,"t","?"))))</f>
        <v>t</v>
      </c>
      <c r="C79" s="2" t="str">
        <f t="shared" ref="C79:C93" si="67">IF(MOD(TRUNC($A79/4),4)=0,"a",IF(MOD(TRUNC($A79/4),4)=1,"c",IF(MOD(TRUNC($A79/4),4)=2,"g",IF(MOD(TRUNC($A79/4),4)=3,"t","?"))))</f>
        <v>a</v>
      </c>
      <c r="D79" s="2" t="str">
        <f t="shared" ref="D79:D93" si="68">IF(MOD($A79,4)=0,"a",IF(MOD($A79,4)=1,"c",IF(MOD($A79,4)=2,"g",IF(MOD($A79,4)=3,"t","?"))))</f>
        <v>c</v>
      </c>
      <c r="E79" t="str">
        <f t="shared" ref="E79:E93" si="69">IF($D$10=$A79,$A$10," ")</f>
        <v xml:space="preserve"> </v>
      </c>
      <c r="F79" t="str">
        <f t="shared" ref="F79:F93" si="70">IF($D$11=$A79,$A$11," ")</f>
        <v xml:space="preserve"> </v>
      </c>
      <c r="G79" t="str">
        <f t="shared" ref="G79:G93" si="71">IF($D$12=$A79,$A$12," ")</f>
        <v xml:space="preserve"> </v>
      </c>
      <c r="H79" t="str">
        <f t="shared" ref="H79:H93" si="72">IF($D$13=$A79,$A$13," ")</f>
        <v xml:space="preserve"> </v>
      </c>
      <c r="I79" t="str">
        <f t="shared" ref="I79:I93" si="73">IF($D$14=$A79,$A$14," ")</f>
        <v xml:space="preserve"> </v>
      </c>
      <c r="J79" t="str">
        <f t="shared" ref="J79:J93" si="74">IF($D$15=$A79,$A$15," ")</f>
        <v xml:space="preserve"> </v>
      </c>
      <c r="K79" t="str">
        <f t="shared" ref="K79:K93" si="75">IF($D$16=$A79,$A$16," ")</f>
        <v xml:space="preserve"> </v>
      </c>
      <c r="L79" t="str">
        <f t="shared" ref="L79:L93" si="76">IF($D$17=$A79,$A$17," ")</f>
        <v xml:space="preserve"> </v>
      </c>
      <c r="M79" t="str">
        <f t="shared" ref="M79:M93" si="77">IF($D$18=$A79,$A$18," ")</f>
        <v xml:space="preserve"> </v>
      </c>
      <c r="N79" t="str">
        <f t="shared" ref="N79:N93" si="78">IF($D$19=$A79,$A$19," ")</f>
        <v xml:space="preserve"> </v>
      </c>
      <c r="O79" t="str">
        <f t="shared" ref="O79:O93" si="79">IF($D$20=$A79,$A$20," ")</f>
        <v xml:space="preserve"> </v>
      </c>
      <c r="P79" t="str">
        <f t="shared" ref="P79:P93" si="80">IF($D$21=$A79,$A$21," ")</f>
        <v xml:space="preserve"> </v>
      </c>
      <c r="Q79" t="str">
        <f t="shared" ref="Q79:Q93" si="81">IF($D$22=$A79,$A$22," ")</f>
        <v xml:space="preserve"> </v>
      </c>
      <c r="R79" t="str">
        <f t="shared" ref="R79:R93" si="82">IF($D$23=$A79,$A$23," ")</f>
        <v xml:space="preserve"> </v>
      </c>
      <c r="S79" t="str">
        <f t="shared" ref="S79:S93" si="83">IF($D$24=$A79,$A$24," ")</f>
        <v xml:space="preserve"> </v>
      </c>
      <c r="T79" t="str">
        <f t="shared" ref="T79:T93" si="84">IF($D$25=$A79,$A$25," ")</f>
        <v xml:space="preserve"> </v>
      </c>
      <c r="U79" s="62" t="str">
        <f t="shared" si="45"/>
        <v xml:space="preserve">not found </v>
      </c>
    </row>
    <row r="80" spans="1:21" ht="17.5">
      <c r="A80" s="2">
        <f t="shared" ref="A80:A93" si="85">A79+1</f>
        <v>50</v>
      </c>
      <c r="B80" s="2" t="str">
        <f t="shared" si="66"/>
        <v>t</v>
      </c>
      <c r="C80" s="2" t="str">
        <f t="shared" si="67"/>
        <v>a</v>
      </c>
      <c r="D80" s="2" t="str">
        <f t="shared" si="68"/>
        <v>g</v>
      </c>
      <c r="E80" t="str">
        <f t="shared" si="69"/>
        <v xml:space="preserve"> </v>
      </c>
      <c r="F80" t="str">
        <f t="shared" si="70"/>
        <v xml:space="preserve"> </v>
      </c>
      <c r="G80" t="str">
        <f t="shared" si="71"/>
        <v xml:space="preserve"> </v>
      </c>
      <c r="H80" t="str">
        <f t="shared" si="72"/>
        <v xml:space="preserve"> </v>
      </c>
      <c r="I80" t="str">
        <f t="shared" si="73"/>
        <v xml:space="preserve"> </v>
      </c>
      <c r="J80" t="str">
        <f t="shared" si="74"/>
        <v xml:space="preserve"> </v>
      </c>
      <c r="K80" t="str">
        <f t="shared" si="75"/>
        <v xml:space="preserve"> </v>
      </c>
      <c r="L80" t="str">
        <f t="shared" si="76"/>
        <v xml:space="preserve"> </v>
      </c>
      <c r="M80" t="str">
        <f t="shared" si="77"/>
        <v xml:space="preserve"> </v>
      </c>
      <c r="N80" t="str">
        <f t="shared" si="78"/>
        <v xml:space="preserve"> </v>
      </c>
      <c r="O80" t="str">
        <f t="shared" si="79"/>
        <v xml:space="preserve"> </v>
      </c>
      <c r="P80" t="str">
        <f t="shared" si="80"/>
        <v xml:space="preserve"> </v>
      </c>
      <c r="Q80" t="str">
        <f t="shared" si="81"/>
        <v xml:space="preserve"> </v>
      </c>
      <c r="R80" t="str">
        <f t="shared" si="82"/>
        <v xml:space="preserve"> </v>
      </c>
      <c r="S80" t="str">
        <f t="shared" si="83"/>
        <v xml:space="preserve"> </v>
      </c>
      <c r="T80" t="str">
        <f t="shared" si="84"/>
        <v xml:space="preserve"> </v>
      </c>
      <c r="U80" s="62" t="str">
        <f t="shared" si="45"/>
        <v xml:space="preserve">not found </v>
      </c>
    </row>
    <row r="81" spans="1:21" ht="17.5">
      <c r="A81" s="2">
        <f t="shared" si="85"/>
        <v>51</v>
      </c>
      <c r="B81" s="2" t="str">
        <f t="shared" si="66"/>
        <v>t</v>
      </c>
      <c r="C81" s="2" t="str">
        <f t="shared" si="67"/>
        <v>a</v>
      </c>
      <c r="D81" s="2" t="str">
        <f t="shared" si="68"/>
        <v>t</v>
      </c>
      <c r="E81" t="str">
        <f t="shared" si="69"/>
        <v xml:space="preserve"> </v>
      </c>
      <c r="F81" t="str">
        <f t="shared" si="70"/>
        <v xml:space="preserve"> </v>
      </c>
      <c r="G81" t="str">
        <f t="shared" si="71"/>
        <v xml:space="preserve"> </v>
      </c>
      <c r="H81" t="str">
        <f t="shared" si="72"/>
        <v xml:space="preserve"> </v>
      </c>
      <c r="I81" t="str">
        <f t="shared" si="73"/>
        <v xml:space="preserve"> </v>
      </c>
      <c r="J81" t="str">
        <f t="shared" si="74"/>
        <v xml:space="preserve"> </v>
      </c>
      <c r="K81" t="str">
        <f t="shared" si="75"/>
        <v xml:space="preserve"> </v>
      </c>
      <c r="L81" t="str">
        <f t="shared" si="76"/>
        <v xml:space="preserve"> </v>
      </c>
      <c r="M81" t="str">
        <f t="shared" si="77"/>
        <v xml:space="preserve"> </v>
      </c>
      <c r="N81" t="str">
        <f t="shared" si="78"/>
        <v xml:space="preserve"> </v>
      </c>
      <c r="O81" t="str">
        <f t="shared" si="79"/>
        <v xml:space="preserve"> </v>
      </c>
      <c r="P81" t="str">
        <f t="shared" si="80"/>
        <v xml:space="preserve"> </v>
      </c>
      <c r="Q81" t="str">
        <f t="shared" si="81"/>
        <v xml:space="preserve"> </v>
      </c>
      <c r="R81" t="str">
        <f t="shared" si="82"/>
        <v xml:space="preserve"> </v>
      </c>
      <c r="S81" t="str">
        <f t="shared" si="83"/>
        <v xml:space="preserve"> </v>
      </c>
      <c r="T81" t="str">
        <f t="shared" si="84"/>
        <v xml:space="preserve"> </v>
      </c>
      <c r="U81" s="62" t="str">
        <f t="shared" si="45"/>
        <v xml:space="preserve">not found </v>
      </c>
    </row>
    <row r="82" spans="1:21" ht="17.5">
      <c r="A82" s="2">
        <f t="shared" si="85"/>
        <v>52</v>
      </c>
      <c r="B82" s="2" t="str">
        <f t="shared" si="66"/>
        <v>t</v>
      </c>
      <c r="C82" s="2" t="str">
        <f t="shared" si="67"/>
        <v>c</v>
      </c>
      <c r="D82" s="2" t="str">
        <f t="shared" si="68"/>
        <v>a</v>
      </c>
      <c r="E82" t="str">
        <f t="shared" si="69"/>
        <v xml:space="preserve"> </v>
      </c>
      <c r="F82" t="str">
        <f t="shared" si="70"/>
        <v xml:space="preserve"> </v>
      </c>
      <c r="G82" t="str">
        <f t="shared" si="71"/>
        <v xml:space="preserve"> </v>
      </c>
      <c r="H82" t="str">
        <f t="shared" si="72"/>
        <v xml:space="preserve"> </v>
      </c>
      <c r="I82" t="str">
        <f t="shared" si="73"/>
        <v xml:space="preserve"> </v>
      </c>
      <c r="J82" t="str">
        <f t="shared" si="74"/>
        <v xml:space="preserve"> </v>
      </c>
      <c r="K82" t="str">
        <f t="shared" si="75"/>
        <v xml:space="preserve"> </v>
      </c>
      <c r="L82" t="str">
        <f t="shared" si="76"/>
        <v xml:space="preserve"> </v>
      </c>
      <c r="M82" t="str">
        <f t="shared" si="77"/>
        <v xml:space="preserve"> </v>
      </c>
      <c r="N82" t="str">
        <f t="shared" si="78"/>
        <v xml:space="preserve"> </v>
      </c>
      <c r="O82" t="str">
        <f t="shared" si="79"/>
        <v xml:space="preserve"> </v>
      </c>
      <c r="P82" t="str">
        <f t="shared" si="80"/>
        <v xml:space="preserve"> </v>
      </c>
      <c r="Q82" t="str">
        <f t="shared" si="81"/>
        <v xml:space="preserve"> </v>
      </c>
      <c r="R82" t="str">
        <f t="shared" si="82"/>
        <v xml:space="preserve"> </v>
      </c>
      <c r="S82" t="str">
        <f t="shared" si="83"/>
        <v xml:space="preserve"> </v>
      </c>
      <c r="T82" t="str">
        <f t="shared" si="84"/>
        <v xml:space="preserve"> </v>
      </c>
      <c r="U82" s="62" t="str">
        <f t="shared" si="45"/>
        <v xml:space="preserve">not found </v>
      </c>
    </row>
    <row r="83" spans="1:21" ht="17.5">
      <c r="A83" s="2">
        <f t="shared" si="85"/>
        <v>53</v>
      </c>
      <c r="B83" s="2" t="str">
        <f t="shared" si="66"/>
        <v>t</v>
      </c>
      <c r="C83" s="2" t="str">
        <f t="shared" si="67"/>
        <v>c</v>
      </c>
      <c r="D83" s="2" t="str">
        <f t="shared" si="68"/>
        <v>c</v>
      </c>
      <c r="E83" t="str">
        <f t="shared" si="69"/>
        <v xml:space="preserve"> </v>
      </c>
      <c r="F83" t="str">
        <f t="shared" si="70"/>
        <v xml:space="preserve"> </v>
      </c>
      <c r="G83" t="str">
        <f t="shared" si="71"/>
        <v xml:space="preserve"> </v>
      </c>
      <c r="H83" t="str">
        <f t="shared" si="72"/>
        <v xml:space="preserve"> </v>
      </c>
      <c r="I83" t="str">
        <f t="shared" si="73"/>
        <v xml:space="preserve"> </v>
      </c>
      <c r="J83" t="str">
        <f t="shared" si="74"/>
        <v xml:space="preserve"> </v>
      </c>
      <c r="K83" t="str">
        <f t="shared" si="75"/>
        <v xml:space="preserve"> </v>
      </c>
      <c r="L83" t="str">
        <f t="shared" si="76"/>
        <v xml:space="preserve"> </v>
      </c>
      <c r="M83" t="str">
        <f t="shared" si="77"/>
        <v xml:space="preserve"> </v>
      </c>
      <c r="N83" t="str">
        <f t="shared" si="78"/>
        <v xml:space="preserve"> </v>
      </c>
      <c r="O83" t="str">
        <f t="shared" si="79"/>
        <v xml:space="preserve"> </v>
      </c>
      <c r="P83" t="str">
        <f t="shared" si="80"/>
        <v xml:space="preserve"> </v>
      </c>
      <c r="Q83" t="str">
        <f t="shared" si="81"/>
        <v xml:space="preserve"> </v>
      </c>
      <c r="R83" t="str">
        <f t="shared" si="82"/>
        <v xml:space="preserve"> </v>
      </c>
      <c r="S83" t="str">
        <f t="shared" si="83"/>
        <v xml:space="preserve"> </v>
      </c>
      <c r="T83" t="str">
        <f t="shared" si="84"/>
        <v xml:space="preserve"> </v>
      </c>
      <c r="U83" s="62" t="str">
        <f t="shared" si="45"/>
        <v xml:space="preserve">not found </v>
      </c>
    </row>
    <row r="84" spans="1:21" ht="17.5">
      <c r="A84" s="2">
        <f t="shared" si="85"/>
        <v>54</v>
      </c>
      <c r="B84" s="2" t="str">
        <f t="shared" si="66"/>
        <v>t</v>
      </c>
      <c r="C84" s="2" t="str">
        <f t="shared" si="67"/>
        <v>c</v>
      </c>
      <c r="D84" s="2" t="str">
        <f t="shared" si="68"/>
        <v>g</v>
      </c>
      <c r="E84" t="str">
        <f t="shared" si="69"/>
        <v xml:space="preserve"> </v>
      </c>
      <c r="F84" t="str">
        <f t="shared" si="70"/>
        <v xml:space="preserve"> </v>
      </c>
      <c r="G84" t="str">
        <f t="shared" si="71"/>
        <v xml:space="preserve"> </v>
      </c>
      <c r="H84" t="str">
        <f t="shared" si="72"/>
        <v xml:space="preserve"> </v>
      </c>
      <c r="I84" t="str">
        <f t="shared" si="73"/>
        <v xml:space="preserve"> </v>
      </c>
      <c r="J84" t="str">
        <f t="shared" si="74"/>
        <v xml:space="preserve"> </v>
      </c>
      <c r="K84" t="str">
        <f t="shared" si="75"/>
        <v xml:space="preserve"> </v>
      </c>
      <c r="L84" t="str">
        <f t="shared" si="76"/>
        <v xml:space="preserve"> </v>
      </c>
      <c r="M84" t="str">
        <f t="shared" si="77"/>
        <v xml:space="preserve"> </v>
      </c>
      <c r="N84" t="str">
        <f t="shared" si="78"/>
        <v xml:space="preserve"> </v>
      </c>
      <c r="O84" t="str">
        <f t="shared" si="79"/>
        <v xml:space="preserve"> </v>
      </c>
      <c r="P84" t="str">
        <f t="shared" si="80"/>
        <v xml:space="preserve"> </v>
      </c>
      <c r="Q84" t="str">
        <f t="shared" si="81"/>
        <v xml:space="preserve"> </v>
      </c>
      <c r="R84" t="str">
        <f t="shared" si="82"/>
        <v xml:space="preserve"> </v>
      </c>
      <c r="S84" t="str">
        <f t="shared" si="83"/>
        <v xml:space="preserve"> </v>
      </c>
      <c r="T84" t="str">
        <f t="shared" si="84"/>
        <v xml:space="preserve"> </v>
      </c>
      <c r="U84" s="62" t="str">
        <f t="shared" si="45"/>
        <v xml:space="preserve">not found </v>
      </c>
    </row>
    <row r="85" spans="1:21" ht="17.5">
      <c r="A85" s="2">
        <f t="shared" si="85"/>
        <v>55</v>
      </c>
      <c r="B85" s="2" t="str">
        <f t="shared" si="66"/>
        <v>t</v>
      </c>
      <c r="C85" s="2" t="str">
        <f t="shared" si="67"/>
        <v>c</v>
      </c>
      <c r="D85" s="2" t="str">
        <f t="shared" si="68"/>
        <v>t</v>
      </c>
      <c r="E85" t="str">
        <f t="shared" si="69"/>
        <v xml:space="preserve"> </v>
      </c>
      <c r="F85" t="str">
        <f t="shared" si="70"/>
        <v xml:space="preserve"> </v>
      </c>
      <c r="G85" t="str">
        <f t="shared" si="71"/>
        <v xml:space="preserve"> </v>
      </c>
      <c r="H85" t="str">
        <f t="shared" si="72"/>
        <v xml:space="preserve"> </v>
      </c>
      <c r="I85" t="str">
        <f t="shared" si="73"/>
        <v xml:space="preserve"> </v>
      </c>
      <c r="J85" t="str">
        <f t="shared" si="74"/>
        <v xml:space="preserve"> </v>
      </c>
      <c r="K85" t="str">
        <f t="shared" si="75"/>
        <v xml:space="preserve"> </v>
      </c>
      <c r="L85" t="str">
        <f t="shared" si="76"/>
        <v xml:space="preserve"> </v>
      </c>
      <c r="M85" t="str">
        <f t="shared" si="77"/>
        <v xml:space="preserve"> </v>
      </c>
      <c r="N85" t="str">
        <f t="shared" si="78"/>
        <v xml:space="preserve"> </v>
      </c>
      <c r="O85" t="str">
        <f t="shared" si="79"/>
        <v xml:space="preserve"> </v>
      </c>
      <c r="P85" t="str">
        <f t="shared" si="80"/>
        <v xml:space="preserve"> </v>
      </c>
      <c r="Q85" t="str">
        <f t="shared" si="81"/>
        <v xml:space="preserve"> </v>
      </c>
      <c r="R85" t="str">
        <f t="shared" si="82"/>
        <v xml:space="preserve"> </v>
      </c>
      <c r="S85" t="str">
        <f t="shared" si="83"/>
        <v xml:space="preserve"> </v>
      </c>
      <c r="T85" t="str">
        <f t="shared" si="84"/>
        <v xml:space="preserve"> </v>
      </c>
      <c r="U85" s="62" t="str">
        <f t="shared" si="45"/>
        <v xml:space="preserve">not found </v>
      </c>
    </row>
    <row r="86" spans="1:21" ht="17.5">
      <c r="A86" s="2">
        <f t="shared" si="85"/>
        <v>56</v>
      </c>
      <c r="B86" s="2" t="str">
        <f t="shared" si="66"/>
        <v>t</v>
      </c>
      <c r="C86" s="2" t="str">
        <f t="shared" si="67"/>
        <v>g</v>
      </c>
      <c r="D86" s="2" t="str">
        <f t="shared" si="68"/>
        <v>a</v>
      </c>
      <c r="E86" t="str">
        <f t="shared" si="69"/>
        <v xml:space="preserve"> </v>
      </c>
      <c r="F86" t="str">
        <f t="shared" si="70"/>
        <v xml:space="preserve"> </v>
      </c>
      <c r="G86" t="str">
        <f t="shared" si="71"/>
        <v xml:space="preserve"> </v>
      </c>
      <c r="H86" t="str">
        <f t="shared" si="72"/>
        <v xml:space="preserve"> </v>
      </c>
      <c r="I86" t="str">
        <f t="shared" si="73"/>
        <v xml:space="preserve"> </v>
      </c>
      <c r="J86" t="str">
        <f t="shared" si="74"/>
        <v xml:space="preserve"> </v>
      </c>
      <c r="K86" t="str">
        <f t="shared" si="75"/>
        <v xml:space="preserve"> </v>
      </c>
      <c r="L86" t="str">
        <f t="shared" si="76"/>
        <v xml:space="preserve"> </v>
      </c>
      <c r="M86" t="str">
        <f t="shared" si="77"/>
        <v xml:space="preserve"> </v>
      </c>
      <c r="N86" t="str">
        <f t="shared" si="78"/>
        <v xml:space="preserve"> </v>
      </c>
      <c r="O86" t="str">
        <f t="shared" si="79"/>
        <v xml:space="preserve"> </v>
      </c>
      <c r="P86" t="str">
        <f t="shared" si="80"/>
        <v xml:space="preserve"> </v>
      </c>
      <c r="Q86" t="str">
        <f t="shared" si="81"/>
        <v xml:space="preserve"> </v>
      </c>
      <c r="R86" t="str">
        <f t="shared" si="82"/>
        <v xml:space="preserve"> </v>
      </c>
      <c r="S86" t="str">
        <f t="shared" si="83"/>
        <v xml:space="preserve"> </v>
      </c>
      <c r="T86" t="str">
        <f t="shared" si="84"/>
        <v xml:space="preserve"> </v>
      </c>
      <c r="U86" s="62" t="str">
        <f t="shared" si="45"/>
        <v xml:space="preserve">not found </v>
      </c>
    </row>
    <row r="87" spans="1:21" ht="17.5">
      <c r="A87" s="2">
        <f t="shared" si="85"/>
        <v>57</v>
      </c>
      <c r="B87" s="2" t="str">
        <f t="shared" si="66"/>
        <v>t</v>
      </c>
      <c r="C87" s="2" t="str">
        <f t="shared" si="67"/>
        <v>g</v>
      </c>
      <c r="D87" s="2" t="str">
        <f t="shared" si="68"/>
        <v>c</v>
      </c>
      <c r="E87" t="str">
        <f t="shared" si="69"/>
        <v xml:space="preserve"> </v>
      </c>
      <c r="F87" t="str">
        <f t="shared" si="70"/>
        <v xml:space="preserve"> </v>
      </c>
      <c r="G87" t="str">
        <f t="shared" si="71"/>
        <v xml:space="preserve"> </v>
      </c>
      <c r="H87" t="str">
        <f t="shared" si="72"/>
        <v xml:space="preserve"> </v>
      </c>
      <c r="I87" t="str">
        <f t="shared" si="73"/>
        <v xml:space="preserve"> </v>
      </c>
      <c r="J87" t="str">
        <f t="shared" si="74"/>
        <v xml:space="preserve"> </v>
      </c>
      <c r="K87" t="str">
        <f t="shared" si="75"/>
        <v xml:space="preserve"> </v>
      </c>
      <c r="L87" t="str">
        <f t="shared" si="76"/>
        <v xml:space="preserve"> </v>
      </c>
      <c r="M87" t="str">
        <f t="shared" si="77"/>
        <v xml:space="preserve"> </v>
      </c>
      <c r="N87" t="str">
        <f t="shared" si="78"/>
        <v xml:space="preserve"> </v>
      </c>
      <c r="O87" t="str">
        <f t="shared" si="79"/>
        <v xml:space="preserve"> </v>
      </c>
      <c r="P87" t="str">
        <f t="shared" si="80"/>
        <v xml:space="preserve"> </v>
      </c>
      <c r="Q87" t="str">
        <f t="shared" si="81"/>
        <v xml:space="preserve"> </v>
      </c>
      <c r="R87" t="str">
        <f t="shared" si="82"/>
        <v xml:space="preserve"> </v>
      </c>
      <c r="S87" t="str">
        <f t="shared" si="83"/>
        <v xml:space="preserve"> </v>
      </c>
      <c r="T87" t="str">
        <f t="shared" si="84"/>
        <v xml:space="preserve"> </v>
      </c>
      <c r="U87" s="62" t="str">
        <f t="shared" si="45"/>
        <v xml:space="preserve">not found </v>
      </c>
    </row>
    <row r="88" spans="1:21" ht="17.5">
      <c r="A88" s="2">
        <f t="shared" si="85"/>
        <v>58</v>
      </c>
      <c r="B88" s="2" t="str">
        <f t="shared" si="66"/>
        <v>t</v>
      </c>
      <c r="C88" s="2" t="str">
        <f t="shared" si="67"/>
        <v>g</v>
      </c>
      <c r="D88" s="2" t="str">
        <f t="shared" si="68"/>
        <v>g</v>
      </c>
      <c r="E88" t="str">
        <f t="shared" si="69"/>
        <v xml:space="preserve"> </v>
      </c>
      <c r="F88" t="str">
        <f t="shared" si="70"/>
        <v xml:space="preserve"> </v>
      </c>
      <c r="G88" t="str">
        <f t="shared" si="71"/>
        <v xml:space="preserve"> </v>
      </c>
      <c r="H88" t="str">
        <f t="shared" si="72"/>
        <v xml:space="preserve"> </v>
      </c>
      <c r="I88" t="str">
        <f t="shared" si="73"/>
        <v xml:space="preserve"> </v>
      </c>
      <c r="J88" t="str">
        <f t="shared" si="74"/>
        <v xml:space="preserve"> </v>
      </c>
      <c r="K88" t="str">
        <f t="shared" si="75"/>
        <v xml:space="preserve"> </v>
      </c>
      <c r="L88" t="str">
        <f t="shared" si="76"/>
        <v xml:space="preserve"> </v>
      </c>
      <c r="M88" t="str">
        <f t="shared" si="77"/>
        <v xml:space="preserve"> </v>
      </c>
      <c r="N88" t="str">
        <f t="shared" si="78"/>
        <v xml:space="preserve"> </v>
      </c>
      <c r="O88" t="str">
        <f t="shared" si="79"/>
        <v xml:space="preserve"> </v>
      </c>
      <c r="P88" t="str">
        <f t="shared" si="80"/>
        <v xml:space="preserve"> </v>
      </c>
      <c r="Q88" t="str">
        <f t="shared" si="81"/>
        <v xml:space="preserve"> </v>
      </c>
      <c r="R88" t="str">
        <f t="shared" si="82"/>
        <v xml:space="preserve"> </v>
      </c>
      <c r="S88" t="str">
        <f t="shared" si="83"/>
        <v xml:space="preserve"> </v>
      </c>
      <c r="T88" t="str">
        <f t="shared" si="84"/>
        <v xml:space="preserve"> </v>
      </c>
      <c r="U88" s="62" t="str">
        <f t="shared" si="45"/>
        <v xml:space="preserve">not found </v>
      </c>
    </row>
    <row r="89" spans="1:21" ht="17.5">
      <c r="A89" s="2">
        <f t="shared" si="85"/>
        <v>59</v>
      </c>
      <c r="B89" s="2" t="str">
        <f t="shared" si="66"/>
        <v>t</v>
      </c>
      <c r="C89" s="2" t="str">
        <f t="shared" si="67"/>
        <v>g</v>
      </c>
      <c r="D89" s="2" t="str">
        <f t="shared" si="68"/>
        <v>t</v>
      </c>
      <c r="E89" t="str">
        <f t="shared" si="69"/>
        <v xml:space="preserve"> </v>
      </c>
      <c r="F89" t="str">
        <f t="shared" si="70"/>
        <v xml:space="preserve"> </v>
      </c>
      <c r="G89" t="str">
        <f t="shared" si="71"/>
        <v xml:space="preserve"> </v>
      </c>
      <c r="H89" t="str">
        <f t="shared" si="72"/>
        <v xml:space="preserve"> </v>
      </c>
      <c r="I89" t="str">
        <f t="shared" si="73"/>
        <v xml:space="preserve"> </v>
      </c>
      <c r="J89" t="str">
        <f t="shared" si="74"/>
        <v xml:space="preserve"> </v>
      </c>
      <c r="K89" t="str">
        <f t="shared" si="75"/>
        <v xml:space="preserve"> </v>
      </c>
      <c r="L89" t="str">
        <f t="shared" si="76"/>
        <v xml:space="preserve"> </v>
      </c>
      <c r="M89" t="str">
        <f t="shared" si="77"/>
        <v xml:space="preserve"> </v>
      </c>
      <c r="N89" t="str">
        <f t="shared" si="78"/>
        <v xml:space="preserve"> </v>
      </c>
      <c r="O89" t="str">
        <f t="shared" si="79"/>
        <v xml:space="preserve"> </v>
      </c>
      <c r="P89" t="str">
        <f t="shared" si="80"/>
        <v xml:space="preserve"> </v>
      </c>
      <c r="Q89" t="str">
        <f t="shared" si="81"/>
        <v xml:space="preserve"> </v>
      </c>
      <c r="R89" t="str">
        <f t="shared" si="82"/>
        <v xml:space="preserve"> </v>
      </c>
      <c r="S89" t="str">
        <f t="shared" si="83"/>
        <v xml:space="preserve"> </v>
      </c>
      <c r="T89" t="str">
        <f t="shared" si="84"/>
        <v xml:space="preserve"> </v>
      </c>
      <c r="U89" s="62" t="str">
        <f t="shared" si="45"/>
        <v xml:space="preserve">not found </v>
      </c>
    </row>
    <row r="90" spans="1:21" ht="17.5">
      <c r="A90" s="2">
        <f t="shared" si="85"/>
        <v>60</v>
      </c>
      <c r="B90" s="2" t="str">
        <f t="shared" si="66"/>
        <v>t</v>
      </c>
      <c r="C90" s="2" t="str">
        <f t="shared" si="67"/>
        <v>t</v>
      </c>
      <c r="D90" s="2" t="str">
        <f t="shared" si="68"/>
        <v>a</v>
      </c>
      <c r="E90" t="str">
        <f t="shared" si="69"/>
        <v xml:space="preserve"> </v>
      </c>
      <c r="F90" t="str">
        <f t="shared" si="70"/>
        <v xml:space="preserve"> </v>
      </c>
      <c r="G90" t="str">
        <f t="shared" si="71"/>
        <v xml:space="preserve"> </v>
      </c>
      <c r="H90" t="str">
        <f t="shared" si="72"/>
        <v xml:space="preserve"> </v>
      </c>
      <c r="I90" t="str">
        <f t="shared" si="73"/>
        <v xml:space="preserve"> </v>
      </c>
      <c r="J90">
        <f t="shared" si="74"/>
        <v>6</v>
      </c>
      <c r="K90" t="str">
        <f t="shared" si="75"/>
        <v xml:space="preserve"> </v>
      </c>
      <c r="L90" t="str">
        <f t="shared" si="76"/>
        <v xml:space="preserve"> </v>
      </c>
      <c r="M90" t="str">
        <f t="shared" si="77"/>
        <v xml:space="preserve"> </v>
      </c>
      <c r="N90" t="str">
        <f t="shared" si="78"/>
        <v xml:space="preserve"> </v>
      </c>
      <c r="O90" t="str">
        <f t="shared" si="79"/>
        <v xml:space="preserve"> </v>
      </c>
      <c r="P90" t="str">
        <f t="shared" si="80"/>
        <v xml:space="preserve"> </v>
      </c>
      <c r="Q90" t="str">
        <f t="shared" si="81"/>
        <v xml:space="preserve"> </v>
      </c>
      <c r="R90" t="str">
        <f t="shared" si="82"/>
        <v xml:space="preserve"> </v>
      </c>
      <c r="S90" t="str">
        <f t="shared" si="83"/>
        <v xml:space="preserve"> </v>
      </c>
      <c r="T90" t="str">
        <f t="shared" si="84"/>
        <v xml:space="preserve"> </v>
      </c>
      <c r="U90" s="62">
        <f t="shared" si="45"/>
        <v>6</v>
      </c>
    </row>
    <row r="91" spans="1:21" ht="17.5">
      <c r="A91" s="2">
        <f t="shared" si="85"/>
        <v>61</v>
      </c>
      <c r="B91" s="2" t="str">
        <f t="shared" si="66"/>
        <v>t</v>
      </c>
      <c r="C91" s="2" t="str">
        <f t="shared" si="67"/>
        <v>t</v>
      </c>
      <c r="D91" s="2" t="str">
        <f t="shared" si="68"/>
        <v>c</v>
      </c>
      <c r="E91" t="str">
        <f t="shared" si="69"/>
        <v xml:space="preserve"> </v>
      </c>
      <c r="F91" t="str">
        <f t="shared" si="70"/>
        <v xml:space="preserve"> </v>
      </c>
      <c r="G91" t="str">
        <f t="shared" si="71"/>
        <v xml:space="preserve"> </v>
      </c>
      <c r="H91" t="str">
        <f t="shared" si="72"/>
        <v xml:space="preserve"> </v>
      </c>
      <c r="I91" t="str">
        <f t="shared" si="73"/>
        <v xml:space="preserve"> </v>
      </c>
      <c r="J91" t="str">
        <f t="shared" si="74"/>
        <v xml:space="preserve"> </v>
      </c>
      <c r="K91" t="str">
        <f t="shared" si="75"/>
        <v xml:space="preserve"> </v>
      </c>
      <c r="L91" t="str">
        <f t="shared" si="76"/>
        <v xml:space="preserve"> </v>
      </c>
      <c r="M91" t="str">
        <f t="shared" si="77"/>
        <v xml:space="preserve"> </v>
      </c>
      <c r="N91" t="str">
        <f t="shared" si="78"/>
        <v xml:space="preserve"> </v>
      </c>
      <c r="O91" t="str">
        <f t="shared" si="79"/>
        <v xml:space="preserve"> </v>
      </c>
      <c r="P91" t="str">
        <f t="shared" si="80"/>
        <v xml:space="preserve"> </v>
      </c>
      <c r="Q91" t="str">
        <f t="shared" si="81"/>
        <v xml:space="preserve"> </v>
      </c>
      <c r="R91" t="str">
        <f t="shared" si="82"/>
        <v xml:space="preserve"> </v>
      </c>
      <c r="S91" t="str">
        <f t="shared" si="83"/>
        <v xml:space="preserve"> </v>
      </c>
      <c r="T91" t="str">
        <f t="shared" si="84"/>
        <v xml:space="preserve"> </v>
      </c>
      <c r="U91" s="62" t="str">
        <f t="shared" si="45"/>
        <v xml:space="preserve">not found </v>
      </c>
    </row>
    <row r="92" spans="1:21" ht="17.5">
      <c r="A92" s="2">
        <f t="shared" si="85"/>
        <v>62</v>
      </c>
      <c r="B92" s="2" t="str">
        <f t="shared" si="66"/>
        <v>t</v>
      </c>
      <c r="C92" s="2" t="str">
        <f t="shared" si="67"/>
        <v>t</v>
      </c>
      <c r="D92" s="2" t="str">
        <f t="shared" si="68"/>
        <v>g</v>
      </c>
      <c r="E92" t="str">
        <f t="shared" si="69"/>
        <v xml:space="preserve"> </v>
      </c>
      <c r="F92" t="str">
        <f t="shared" si="70"/>
        <v xml:space="preserve"> </v>
      </c>
      <c r="G92" t="str">
        <f t="shared" si="71"/>
        <v xml:space="preserve"> </v>
      </c>
      <c r="H92" t="str">
        <f t="shared" si="72"/>
        <v xml:space="preserve"> </v>
      </c>
      <c r="I92" t="str">
        <f t="shared" si="73"/>
        <v xml:space="preserve"> </v>
      </c>
      <c r="J92" t="str">
        <f t="shared" si="74"/>
        <v xml:space="preserve"> </v>
      </c>
      <c r="K92" t="str">
        <f t="shared" si="75"/>
        <v xml:space="preserve"> </v>
      </c>
      <c r="L92" t="str">
        <f t="shared" si="76"/>
        <v xml:space="preserve"> </v>
      </c>
      <c r="M92" t="str">
        <f t="shared" si="77"/>
        <v xml:space="preserve"> </v>
      </c>
      <c r="N92" t="str">
        <f t="shared" si="78"/>
        <v xml:space="preserve"> </v>
      </c>
      <c r="O92" t="str">
        <f t="shared" si="79"/>
        <v xml:space="preserve"> </v>
      </c>
      <c r="P92" t="str">
        <f t="shared" si="80"/>
        <v xml:space="preserve"> </v>
      </c>
      <c r="Q92" t="str">
        <f t="shared" si="81"/>
        <v xml:space="preserve"> </v>
      </c>
      <c r="R92" t="str">
        <f t="shared" si="82"/>
        <v xml:space="preserve"> </v>
      </c>
      <c r="S92" t="str">
        <f t="shared" si="83"/>
        <v xml:space="preserve"> </v>
      </c>
      <c r="T92" t="str">
        <f t="shared" si="84"/>
        <v xml:space="preserve"> </v>
      </c>
      <c r="U92" s="62" t="str">
        <f t="shared" si="45"/>
        <v xml:space="preserve">not found </v>
      </c>
    </row>
    <row r="93" spans="1:21" ht="17.5">
      <c r="A93" s="2">
        <f t="shared" si="85"/>
        <v>63</v>
      </c>
      <c r="B93" s="2" t="str">
        <f t="shared" si="66"/>
        <v>t</v>
      </c>
      <c r="C93" s="2" t="str">
        <f t="shared" si="67"/>
        <v>t</v>
      </c>
      <c r="D93" s="2" t="str">
        <f t="shared" si="68"/>
        <v>t</v>
      </c>
      <c r="E93" t="str">
        <f t="shared" si="69"/>
        <v xml:space="preserve"> </v>
      </c>
      <c r="F93" t="str">
        <f t="shared" si="70"/>
        <v xml:space="preserve"> </v>
      </c>
      <c r="G93" t="str">
        <f t="shared" si="71"/>
        <v xml:space="preserve"> </v>
      </c>
      <c r="H93">
        <f t="shared" si="72"/>
        <v>4</v>
      </c>
      <c r="I93">
        <f t="shared" si="73"/>
        <v>5</v>
      </c>
      <c r="J93" t="str">
        <f t="shared" si="74"/>
        <v xml:space="preserve"> </v>
      </c>
      <c r="K93" t="str">
        <f t="shared" si="75"/>
        <v xml:space="preserve"> </v>
      </c>
      <c r="L93" t="str">
        <f t="shared" si="76"/>
        <v xml:space="preserve"> </v>
      </c>
      <c r="M93" t="str">
        <f t="shared" si="77"/>
        <v xml:space="preserve"> </v>
      </c>
      <c r="N93" t="str">
        <f t="shared" si="78"/>
        <v xml:space="preserve"> </v>
      </c>
      <c r="O93" t="str">
        <f t="shared" si="79"/>
        <v xml:space="preserve"> </v>
      </c>
      <c r="P93" t="str">
        <f t="shared" si="80"/>
        <v xml:space="preserve"> </v>
      </c>
      <c r="Q93" t="str">
        <f t="shared" si="81"/>
        <v xml:space="preserve"> </v>
      </c>
      <c r="R93" t="str">
        <f t="shared" si="82"/>
        <v xml:space="preserve"> </v>
      </c>
      <c r="S93" t="str">
        <f t="shared" si="83"/>
        <v xml:space="preserve"> </v>
      </c>
      <c r="T93" t="str">
        <f t="shared" si="84"/>
        <v xml:space="preserve"> </v>
      </c>
      <c r="U93" s="62">
        <f t="shared" si="45"/>
        <v>4</v>
      </c>
    </row>
    <row r="95" spans="1:21" s="5" customFormat="1" ht="15.5">
      <c r="A95" s="16" t="s">
        <v>29</v>
      </c>
    </row>
    <row r="96" spans="1:21" s="5" customFormat="1" ht="15.5">
      <c r="A96" s="16" t="s">
        <v>30</v>
      </c>
    </row>
    <row r="97" spans="1:22" s="5" customFormat="1" ht="15.5">
      <c r="A97" s="16" t="s">
        <v>31</v>
      </c>
    </row>
    <row r="99" spans="1:22" s="2" customFormat="1" ht="18">
      <c r="A99" s="41"/>
      <c r="B99" s="42"/>
      <c r="C99" s="42"/>
      <c r="D99" s="43" t="s">
        <v>32</v>
      </c>
      <c r="E99" s="42"/>
      <c r="F99" s="42"/>
      <c r="G99" s="42"/>
      <c r="H99" s="42"/>
      <c r="I99" s="42"/>
      <c r="J99" s="44"/>
    </row>
    <row r="100" spans="1:22" s="2" customFormat="1" ht="18">
      <c r="B100" s="2" t="s">
        <v>33</v>
      </c>
      <c r="C100" s="2" t="s">
        <v>33</v>
      </c>
      <c r="D100" s="2" t="s">
        <v>21</v>
      </c>
      <c r="F100" s="37"/>
      <c r="G100" s="38"/>
      <c r="H100" s="39" t="s">
        <v>34</v>
      </c>
      <c r="I100" s="37"/>
      <c r="J100" s="37"/>
    </row>
    <row r="101" spans="1:22" s="2" customFormat="1" ht="18">
      <c r="A101" s="21" t="s">
        <v>8</v>
      </c>
      <c r="B101" s="21" t="s">
        <v>35</v>
      </c>
      <c r="C101" s="21" t="s">
        <v>36</v>
      </c>
      <c r="D101" s="21" t="s">
        <v>23</v>
      </c>
      <c r="E101" s="21"/>
      <c r="F101" s="28"/>
      <c r="G101" s="26"/>
      <c r="H101" s="27" t="s">
        <v>37</v>
      </c>
      <c r="I101" s="28"/>
      <c r="J101" s="28"/>
    </row>
    <row r="102" spans="1:22" s="2" customFormat="1" ht="17.5">
      <c r="A102" s="2">
        <v>1</v>
      </c>
      <c r="B102" s="23" t="s">
        <v>12</v>
      </c>
      <c r="C102" s="3">
        <f t="shared" ref="C102:C115" si="86">IF($B102="a",0,IF($B102="c",1,IF($B102="g",2,IF($B102="t",3,-1))))</f>
        <v>0</v>
      </c>
      <c r="D102" s="2">
        <f t="shared" ref="D102:D113" si="87">(C102*4+C103)*4+C104</f>
        <v>0</v>
      </c>
      <c r="F102" s="29"/>
      <c r="G102" s="30"/>
      <c r="H102" s="31">
        <f t="shared" ref="H102:H113" ca="1" si="88">INDIRECT(ADDRESS(ROW(A$30)+D102,COLUMN($U30)))</f>
        <v>8</v>
      </c>
      <c r="I102" s="30"/>
      <c r="J102" s="32"/>
    </row>
    <row r="103" spans="1:22" s="2" customFormat="1" ht="17.5">
      <c r="A103" s="2">
        <f t="shared" ref="A103:A115" si="89">+A102+1</f>
        <v>2</v>
      </c>
      <c r="B103" s="24" t="s">
        <v>12</v>
      </c>
      <c r="C103" s="3">
        <f t="shared" si="86"/>
        <v>0</v>
      </c>
      <c r="D103" s="2">
        <f t="shared" si="87"/>
        <v>3</v>
      </c>
      <c r="F103" s="29"/>
      <c r="G103" s="30"/>
      <c r="H103" s="31" t="str">
        <f t="shared" ca="1" si="88"/>
        <v xml:space="preserve">not found </v>
      </c>
      <c r="I103" s="30"/>
      <c r="J103" s="32"/>
      <c r="L103" s="8" t="s">
        <v>38</v>
      </c>
      <c r="M103" s="9"/>
      <c r="N103" s="17"/>
      <c r="O103" s="17"/>
      <c r="P103" s="17"/>
      <c r="Q103" s="17"/>
      <c r="R103" s="17"/>
      <c r="S103" s="17"/>
      <c r="T103" s="17"/>
      <c r="U103" s="17"/>
      <c r="V103" s="18"/>
    </row>
    <row r="104" spans="1:22" s="2" customFormat="1" ht="17.5">
      <c r="A104" s="2">
        <f t="shared" si="89"/>
        <v>3</v>
      </c>
      <c r="B104" s="24" t="s">
        <v>12</v>
      </c>
      <c r="C104" s="3">
        <f t="shared" si="86"/>
        <v>0</v>
      </c>
      <c r="D104" s="2">
        <f t="shared" si="87"/>
        <v>13</v>
      </c>
      <c r="F104" s="29"/>
      <c r="G104" s="30"/>
      <c r="H104" s="31" t="str">
        <f t="shared" ca="1" si="88"/>
        <v xml:space="preserve">not found </v>
      </c>
      <c r="I104" s="30"/>
      <c r="J104" s="32"/>
      <c r="L104" s="11" t="s">
        <v>39</v>
      </c>
      <c r="M104" s="19"/>
      <c r="N104" s="19"/>
      <c r="O104" s="19"/>
      <c r="P104" s="19"/>
      <c r="Q104" s="19"/>
      <c r="R104" s="19"/>
      <c r="S104" s="19"/>
      <c r="T104" s="19"/>
      <c r="U104" s="19"/>
      <c r="V104" s="20"/>
    </row>
    <row r="105" spans="1:22" s="2" customFormat="1" ht="17.5">
      <c r="A105" s="2">
        <f t="shared" si="89"/>
        <v>4</v>
      </c>
      <c r="B105" s="24" t="s">
        <v>17</v>
      </c>
      <c r="C105" s="3">
        <f t="shared" si="86"/>
        <v>3</v>
      </c>
      <c r="D105" s="2">
        <f t="shared" si="87"/>
        <v>54</v>
      </c>
      <c r="F105" s="29"/>
      <c r="G105" s="30"/>
      <c r="H105" s="31" t="str">
        <f t="shared" ca="1" si="88"/>
        <v xml:space="preserve">not found </v>
      </c>
      <c r="I105" s="30"/>
      <c r="J105" s="32"/>
      <c r="L105" s="11" t="s">
        <v>40</v>
      </c>
      <c r="M105" s="19"/>
      <c r="N105" s="19"/>
      <c r="O105" s="19"/>
      <c r="P105" s="19"/>
      <c r="Q105" s="19"/>
      <c r="R105" s="19"/>
      <c r="S105" s="19"/>
      <c r="T105" s="19"/>
      <c r="U105" s="19"/>
      <c r="V105" s="20"/>
    </row>
    <row r="106" spans="1:22" s="2" customFormat="1" ht="17.5">
      <c r="A106" s="2">
        <f t="shared" si="89"/>
        <v>5</v>
      </c>
      <c r="B106" s="24" t="s">
        <v>13</v>
      </c>
      <c r="C106" s="3">
        <f t="shared" si="86"/>
        <v>1</v>
      </c>
      <c r="D106" s="2">
        <f t="shared" si="87"/>
        <v>24</v>
      </c>
      <c r="F106" s="29"/>
      <c r="G106" s="30"/>
      <c r="H106" s="31">
        <f t="shared" ca="1" si="88"/>
        <v>12</v>
      </c>
      <c r="I106" s="30"/>
      <c r="J106" s="32"/>
      <c r="L106" s="11" t="s">
        <v>41</v>
      </c>
      <c r="M106" s="19"/>
      <c r="N106" s="19"/>
      <c r="O106" s="19"/>
      <c r="P106" s="19"/>
      <c r="Q106" s="19"/>
      <c r="R106" s="19"/>
      <c r="S106" s="19"/>
      <c r="T106" s="19"/>
      <c r="U106" s="19"/>
      <c r="V106" s="20"/>
    </row>
    <row r="107" spans="1:22" s="2" customFormat="1" ht="17.5">
      <c r="A107" s="2">
        <f t="shared" si="89"/>
        <v>6</v>
      </c>
      <c r="B107" s="24" t="s">
        <v>15</v>
      </c>
      <c r="C107" s="3">
        <f t="shared" si="86"/>
        <v>2</v>
      </c>
      <c r="D107" s="2">
        <f t="shared" si="87"/>
        <v>33</v>
      </c>
      <c r="F107" s="29"/>
      <c r="G107" s="30"/>
      <c r="H107" s="31">
        <f t="shared" ca="1" si="88"/>
        <v>13</v>
      </c>
      <c r="I107" s="30"/>
      <c r="J107" s="32"/>
      <c r="L107" s="11" t="s">
        <v>42</v>
      </c>
      <c r="M107" s="19"/>
      <c r="N107" s="19"/>
      <c r="O107" s="19"/>
      <c r="P107" s="19"/>
      <c r="Q107" s="19"/>
      <c r="R107" s="19"/>
      <c r="S107" s="19"/>
      <c r="T107" s="19"/>
      <c r="U107" s="19"/>
      <c r="V107" s="20"/>
    </row>
    <row r="108" spans="1:22" s="2" customFormat="1" ht="17.5">
      <c r="A108" s="2">
        <f t="shared" si="89"/>
        <v>7</v>
      </c>
      <c r="B108" s="24" t="s">
        <v>12</v>
      </c>
      <c r="C108" s="3">
        <f t="shared" si="86"/>
        <v>0</v>
      </c>
      <c r="D108" s="2">
        <f t="shared" si="87"/>
        <v>5</v>
      </c>
      <c r="F108" s="29"/>
      <c r="G108" s="30"/>
      <c r="H108" s="31">
        <f t="shared" ca="1" si="88"/>
        <v>16</v>
      </c>
      <c r="I108" s="30"/>
      <c r="J108" s="32"/>
      <c r="L108" s="13" t="s">
        <v>43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2"/>
    </row>
    <row r="109" spans="1:22" s="2" customFormat="1" ht="17.5">
      <c r="A109" s="2">
        <f t="shared" si="89"/>
        <v>8</v>
      </c>
      <c r="B109" s="24" t="s">
        <v>13</v>
      </c>
      <c r="C109" s="3">
        <f t="shared" si="86"/>
        <v>1</v>
      </c>
      <c r="D109" s="2">
        <f t="shared" si="87"/>
        <v>20</v>
      </c>
      <c r="F109" s="29"/>
      <c r="G109" s="30"/>
      <c r="H109" s="31" t="str">
        <f t="shared" ca="1" si="88"/>
        <v xml:space="preserve">not found </v>
      </c>
      <c r="I109" s="30"/>
      <c r="J109" s="32"/>
    </row>
    <row r="110" spans="1:22" s="2" customFormat="1" ht="17.5">
      <c r="A110" s="2">
        <f t="shared" si="89"/>
        <v>9</v>
      </c>
      <c r="B110" s="24" t="s">
        <v>13</v>
      </c>
      <c r="C110" s="3">
        <f t="shared" si="86"/>
        <v>1</v>
      </c>
      <c r="D110" s="2">
        <f t="shared" si="87"/>
        <v>16</v>
      </c>
      <c r="F110" s="29"/>
      <c r="G110" s="30"/>
      <c r="H110" s="31" t="str">
        <f t="shared" ca="1" si="88"/>
        <v xml:space="preserve">not found </v>
      </c>
      <c r="I110" s="30"/>
      <c r="J110" s="32"/>
    </row>
    <row r="111" spans="1:22" s="2" customFormat="1" ht="17.5">
      <c r="A111" s="2">
        <f t="shared" si="89"/>
        <v>10</v>
      </c>
      <c r="B111" s="24" t="s">
        <v>12</v>
      </c>
      <c r="C111" s="3">
        <f t="shared" si="86"/>
        <v>0</v>
      </c>
      <c r="D111" s="2">
        <f t="shared" si="87"/>
        <v>1</v>
      </c>
      <c r="F111" s="29"/>
      <c r="G111" s="30"/>
      <c r="H111" s="31">
        <f t="shared" ca="1" si="88"/>
        <v>10</v>
      </c>
      <c r="I111" s="30"/>
      <c r="J111" s="32"/>
    </row>
    <row r="112" spans="1:22" s="2" customFormat="1" ht="17.5">
      <c r="A112" s="2">
        <f t="shared" si="89"/>
        <v>11</v>
      </c>
      <c r="B112" s="24" t="s">
        <v>12</v>
      </c>
      <c r="C112" s="3">
        <f t="shared" si="86"/>
        <v>0</v>
      </c>
      <c r="D112" s="2">
        <f t="shared" si="87"/>
        <v>6</v>
      </c>
      <c r="F112" s="29"/>
      <c r="G112" s="30"/>
      <c r="H112" s="31">
        <f t="shared" ca="1" si="88"/>
        <v>1</v>
      </c>
      <c r="I112" s="30"/>
      <c r="J112" s="32"/>
    </row>
    <row r="113" spans="1:10" s="2" customFormat="1" ht="17.5">
      <c r="A113" s="2">
        <f t="shared" si="89"/>
        <v>12</v>
      </c>
      <c r="B113" s="24" t="s">
        <v>13</v>
      </c>
      <c r="C113" s="3">
        <f t="shared" si="86"/>
        <v>1</v>
      </c>
      <c r="D113" s="2">
        <f t="shared" si="87"/>
        <v>27</v>
      </c>
      <c r="F113" s="29"/>
      <c r="G113" s="30"/>
      <c r="H113" s="31">
        <f t="shared" ca="1" si="88"/>
        <v>2</v>
      </c>
      <c r="I113" s="30"/>
      <c r="J113" s="32"/>
    </row>
    <row r="114" spans="1:10" s="2" customFormat="1" ht="17.5">
      <c r="A114" s="2">
        <f t="shared" si="89"/>
        <v>13</v>
      </c>
      <c r="B114" s="24" t="s">
        <v>15</v>
      </c>
      <c r="C114" s="3">
        <f t="shared" si="86"/>
        <v>2</v>
      </c>
      <c r="F114" s="29"/>
      <c r="G114" s="30"/>
      <c r="H114" s="31"/>
      <c r="I114" s="30"/>
      <c r="J114" s="32"/>
    </row>
    <row r="115" spans="1:10" s="2" customFormat="1" ht="17.5">
      <c r="A115" s="2">
        <f t="shared" si="89"/>
        <v>14</v>
      </c>
      <c r="B115" s="25" t="s">
        <v>17</v>
      </c>
      <c r="C115" s="3">
        <f t="shared" si="86"/>
        <v>3</v>
      </c>
      <c r="F115" s="33"/>
      <c r="G115" s="34"/>
      <c r="H115" s="35"/>
      <c r="I115" s="34"/>
      <c r="J115" s="36"/>
    </row>
  </sheetData>
  <sheetCalcPr fullCalcOnLoad="1"/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hashing table demo</dc:title>
  <dc:subject/>
  <dc:creator>Robert F. Murphy</dc:creator>
  <cp:keywords>computational biology</cp:keywords>
  <dc:description/>
  <cp:lastModifiedBy>Carina Negreanu</cp:lastModifiedBy>
  <dcterms:created xsi:type="dcterms:W3CDTF">2020-01-27T11:28:15Z</dcterms:created>
  <dcterms:modified xsi:type="dcterms:W3CDTF">2020-01-27T11:28:15Z</dcterms:modified>
</cp:coreProperties>
</file>