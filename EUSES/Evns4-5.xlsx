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067749-4F36-40E4-A627-F76EAF725D31}" xr6:coauthVersionLast="45" xr6:coauthVersionMax="45" xr10:uidLastSave="{00000000-0000-0000-0000-000000000000}"/>
  <bookViews>
    <workbookView xWindow="1900" yWindow="1900" windowWidth="28800" windowHeight="15460"/>
  </bookViews>
  <sheets>
    <sheet name="Sheet2" sheetId="1" r:id="rId1"/>
    <sheet name="Sheet4" sheetId="2" r:id="rId2"/>
    <sheet name="Sheet5" sheetId="3" r:id="rId3"/>
    <sheet name="Sheet6" sheetId="4" r:id="rId4"/>
    <sheet name="Sheet7" sheetId="5" r:id="rId5"/>
    <sheet name="Sheet8" sheetId="6" r:id="rId6"/>
    <sheet name="Sheet9" sheetId="7" r:id="rId7"/>
    <sheet name="Sheet10" sheetId="8" r:id="rId8"/>
    <sheet name="Sheet11" sheetId="9" r:id="rId9"/>
    <sheet name="Sheet12" sheetId="10" r:id="rId10"/>
    <sheet name="Sheet13" sheetId="11" r:id="rId11"/>
    <sheet name="Sheet14" sheetId="12" r:id="rId12"/>
    <sheet name="Sheet15" sheetId="13" r:id="rId13"/>
    <sheet name="Sheet16" sheetId="14" r:id="rId14"/>
  </sheets>
  <calcPr calcId="0"/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</calcChain>
</file>

<file path=xl/sharedStrings.xml><?xml version="1.0" encoding="utf-8"?>
<sst xmlns="http://schemas.openxmlformats.org/spreadsheetml/2006/main" count="18" uniqueCount="16">
  <si>
    <t>Problem 4-5</t>
  </si>
  <si>
    <t>1st Quarter</t>
  </si>
  <si>
    <t>2nd Quarter</t>
  </si>
  <si>
    <t>Unit Selling Price</t>
  </si>
  <si>
    <t>Total Revenues</t>
  </si>
  <si>
    <t>Total Units Sold</t>
  </si>
  <si>
    <t>Total Costs</t>
  </si>
  <si>
    <t>Labor hours</t>
  </si>
  <si>
    <t>Profit</t>
  </si>
  <si>
    <t>Labor Cost/Hour</t>
  </si>
  <si>
    <t>Total Factor Productivity</t>
  </si>
  <si>
    <t>Material Usage (lbs)</t>
  </si>
  <si>
    <t>Labor Productivity (Revenues/labor $)</t>
  </si>
  <si>
    <t>Material Cost ($/lb)</t>
  </si>
  <si>
    <t>Mat'l Productivity (Revenues/mat'l $)</t>
  </si>
  <si>
    <t>Other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</si>
</sst>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67" formatCode="&quot;$&quot;#,##0.00_);[Red]\(&quot;$&quot;#,##0.00\)"/>
    <numFmt numFmtId="172" formatCode="0.000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67" fontId="0" fillId="0" borderId="0" xfId="0" applyNumberFormat="1"/>
    <xf numFmtId="3" fontId="0" fillId="0" borderId="0" xfId="0" applyNumberFormat="1"/>
    <xf numFmtId="172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165" fontId="0" fillId="0" borderId="2" xfId="0" applyNumberFormat="1" applyBorder="1"/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11" sqref="A11"/>
    </sheetView>
  </sheetViews>
  <sheetFormatPr defaultRowHeight="12.5" x14ac:dyDescent="0.25"/>
  <cols>
    <col min="1" max="1" width="17.26953125" customWidth="1"/>
    <col min="2" max="2" width="9" customWidth="1"/>
    <col min="3" max="3" width="9.1796875" customWidth="1"/>
    <col min="4" max="4" width="20.1796875" customWidth="1"/>
    <col min="5" max="5" width="8.54296875" customWidth="1"/>
    <col min="6" max="6" width="8.26953125" customWidth="1"/>
  </cols>
  <sheetData>
    <row r="1" spans="1:6" ht="13" x14ac:dyDescent="0.3">
      <c r="A1" s="6" t="s">
        <v>0</v>
      </c>
      <c r="D1" s="7"/>
    </row>
    <row r="2" spans="1:6" ht="25" x14ac:dyDescent="0.25">
      <c r="B2" s="2" t="s">
        <v>1</v>
      </c>
      <c r="C2" s="2" t="s">
        <v>2</v>
      </c>
      <c r="D2" s="7"/>
      <c r="E2" s="2" t="s">
        <v>1</v>
      </c>
      <c r="F2" s="2" t="s">
        <v>2</v>
      </c>
    </row>
    <row r="3" spans="1:6" x14ac:dyDescent="0.25">
      <c r="A3" s="1" t="s">
        <v>3</v>
      </c>
      <c r="B3" s="3">
        <v>20</v>
      </c>
      <c r="C3" s="3">
        <v>21</v>
      </c>
      <c r="D3" s="8" t="s">
        <v>4</v>
      </c>
      <c r="E3">
        <f t="shared" ref="E3:F3" si="0">B4*B3</f>
        <v>200000</v>
      </c>
      <c r="F3">
        <f t="shared" si="0"/>
        <v>178500</v>
      </c>
    </row>
    <row r="4" spans="1:6" x14ac:dyDescent="0.25">
      <c r="A4" s="1" t="s">
        <v>5</v>
      </c>
      <c r="B4" s="4">
        <v>10000</v>
      </c>
      <c r="C4" s="4">
        <v>8500</v>
      </c>
      <c r="D4" s="8" t="s">
        <v>6</v>
      </c>
      <c r="E4">
        <f t="shared" ref="E4:F4" si="1">B5*B6+B7*B8+B9</f>
        <v>185000</v>
      </c>
      <c r="F4">
        <f t="shared" si="1"/>
        <v>165250</v>
      </c>
    </row>
    <row r="5" spans="1:6" x14ac:dyDescent="0.25">
      <c r="A5" s="1" t="s">
        <v>7</v>
      </c>
      <c r="B5" s="4">
        <v>9000</v>
      </c>
      <c r="C5" s="4">
        <v>7750</v>
      </c>
      <c r="D5" s="8" t="s">
        <v>8</v>
      </c>
      <c r="E5">
        <f t="shared" ref="E5:F5" si="2">E3-E4</f>
        <v>15000</v>
      </c>
      <c r="F5">
        <f t="shared" si="2"/>
        <v>13250</v>
      </c>
    </row>
    <row r="6" spans="1:6" ht="25" x14ac:dyDescent="0.25">
      <c r="A6" s="1" t="s">
        <v>9</v>
      </c>
      <c r="B6" s="3">
        <v>10</v>
      </c>
      <c r="C6" s="3">
        <v>10</v>
      </c>
      <c r="D6" s="8" t="s">
        <v>10</v>
      </c>
      <c r="E6" s="5">
        <f t="shared" ref="E6:F6" si="3">E3/E4</f>
        <v>1.0810810810810811</v>
      </c>
      <c r="F6" s="5">
        <f t="shared" si="3"/>
        <v>1.0801815431164901</v>
      </c>
    </row>
    <row r="7" spans="1:6" ht="25" x14ac:dyDescent="0.25">
      <c r="A7" s="1" t="s">
        <v>11</v>
      </c>
      <c r="B7" s="4">
        <v>5000</v>
      </c>
      <c r="C7">
        <v>4500</v>
      </c>
      <c r="D7" s="8" t="s">
        <v>12</v>
      </c>
      <c r="E7" s="5">
        <f t="shared" ref="E7:F7" si="4">E3/(B5*B6)</f>
        <v>2.2222222222222223</v>
      </c>
      <c r="F7" s="5">
        <f t="shared" si="4"/>
        <v>2.3032258064516129</v>
      </c>
    </row>
    <row r="8" spans="1:6" ht="25" x14ac:dyDescent="0.25">
      <c r="A8" s="1" t="s">
        <v>13</v>
      </c>
      <c r="B8" s="3">
        <v>15</v>
      </c>
      <c r="C8" s="3">
        <v>15.5</v>
      </c>
      <c r="D8" s="8" t="s">
        <v>14</v>
      </c>
      <c r="E8" s="5">
        <f t="shared" ref="E8:F8" si="5">E4/(B7*B8)</f>
        <v>2.4666666666666668</v>
      </c>
      <c r="F8" s="5">
        <f t="shared" si="5"/>
        <v>2.3691756272401432</v>
      </c>
    </row>
    <row r="9" spans="1:6" x14ac:dyDescent="0.25">
      <c r="A9" s="9" t="s">
        <v>15</v>
      </c>
      <c r="B9" s="10">
        <v>20000</v>
      </c>
      <c r="C9" s="10">
        <v>18000</v>
      </c>
      <c r="D9" s="11"/>
      <c r="E9" s="9"/>
      <c r="F9" s="12"/>
    </row>
  </sheetData>
  <printOptions gridLines="1" gridLinesSet="0"/>
  <pageMargins left="0.75" right="0.75" top="1" bottom="1" header="0.5" footer="0.5"/>
  <pageSetup orientation="portrait" horizontalDpi="300" verticalDpi="30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problem 4-1 OPSM 330</dc:title>
  <dc:subject>Pareto Analysis Quality Measures</dc:subject>
  <dc:creator>Microsoft Education Select Agr</dc:creator>
  <cp:keywords/>
  <dc:description/>
  <cp:lastModifiedBy>Carina Negreanu</cp:lastModifiedBy>
  <dcterms:created xsi:type="dcterms:W3CDTF">2020-01-27T11:32:01Z</dcterms:created>
  <dcterms:modified xsi:type="dcterms:W3CDTF">2020-01-27T11:32:02Z</dcterms:modified>
</cp:coreProperties>
</file>