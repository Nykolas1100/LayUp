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66B18E-155B-4D43-A2B8-88B13311EBA8}" xr6:coauthVersionLast="45" xr6:coauthVersionMax="45" xr10:uidLastSave="{00000000-0000-0000-0000-000000000000}"/>
  <bookViews>
    <workbookView xWindow="1900" yWindow="1900" windowWidth="28800" windowHeight="15460"/>
  </bookViews>
  <sheets>
    <sheet name="SalesCom" sheetId="1" r:id="rId1"/>
    <sheet name="BS" sheetId="2" r:id="rId2"/>
    <sheet name="ExpValues" sheetId="3" r:id="rId3"/>
    <sheet name="PFolio" sheetId="4" r:id="rId4"/>
    <sheet name="Data" sheetId="5" r:id="rId5"/>
    <sheet name="Arrays" sheetId="6" r:id="rId6"/>
    <sheet name="CRRTree" sheetId="7" r:id="rId7"/>
    <sheet name="FinArith" sheetId="8" r:id="rId8"/>
  </sheets>
  <definedNames>
    <definedName name="cflow1">FinArith!$B$6:$B$11</definedName>
    <definedName name="cflow2">FinArith!$E$6:$E$11</definedName>
    <definedName name="dvec">Data!$A$9:$A$128</definedName>
    <definedName name="lookup">PFolio!$B$5:$D$7</definedName>
  </definedNames>
  <calcPr calcId="0" iterate="1"/>
</workbook>
</file>

<file path=xl/calcChain.xml><?xml version="1.0" encoding="utf-8"?>
<calcChain xmlns="http://schemas.openxmlformats.org/spreadsheetml/2006/main">
  <c r="G3" i="6" l="1"/>
  <c r="G3" i="6" a="1"/>
  <c r="H3" i="6"/>
  <c r="I3" i="6"/>
  <c r="C16" i="6"/>
  <c r="C16" i="6" a="1"/>
  <c r="D16" i="6"/>
  <c r="E16" i="6"/>
  <c r="C17" i="6"/>
  <c r="D17" i="6"/>
  <c r="E17" i="6"/>
  <c r="C18" i="6"/>
  <c r="D18" i="6"/>
  <c r="E18" i="6"/>
  <c r="C20" i="6"/>
  <c r="C20" i="6" a="1"/>
  <c r="G20" i="6"/>
  <c r="G20" i="6" a="1"/>
  <c r="H20" i="6"/>
  <c r="I20" i="6"/>
  <c r="C21" i="6"/>
  <c r="C22" i="6"/>
  <c r="C24" i="6"/>
  <c r="C24" i="6" a="1"/>
  <c r="D24" i="6"/>
  <c r="E24" i="6"/>
  <c r="G24" i="6"/>
  <c r="G24" i="6" a="1"/>
  <c r="H24" i="6"/>
  <c r="I24" i="6"/>
  <c r="G26" i="6"/>
  <c r="G26" i="6" a="1"/>
  <c r="H26" i="6"/>
  <c r="I26" i="6"/>
  <c r="C28" i="6"/>
  <c r="C28" i="6" a="1"/>
  <c r="G4" i="2"/>
  <c r="H4" i="2"/>
  <c r="G5" i="2"/>
  <c r="H5" i="2"/>
  <c r="G8" i="2"/>
  <c r="G9" i="2"/>
  <c r="G11" i="2"/>
  <c r="D12" i="2"/>
  <c r="G12" i="2"/>
  <c r="D15" i="2"/>
  <c r="D16" i="2"/>
  <c r="G6" i="7"/>
  <c r="G7" i="7"/>
  <c r="G8" i="7"/>
  <c r="G9" i="7"/>
  <c r="G10" i="7"/>
  <c r="G11" i="7"/>
  <c r="D12" i="7"/>
  <c r="G12" i="7"/>
  <c r="G16" i="7"/>
  <c r="I16" i="7"/>
  <c r="D17" i="7"/>
  <c r="G17" i="7"/>
  <c r="C21" i="7"/>
  <c r="D21" i="7"/>
  <c r="E21" i="7"/>
  <c r="F21" i="7"/>
  <c r="G21" i="7"/>
  <c r="H21" i="7"/>
  <c r="I21" i="7"/>
  <c r="J21" i="7"/>
  <c r="C22" i="7"/>
  <c r="D22" i="7"/>
  <c r="E22" i="7"/>
  <c r="F22" i="7"/>
  <c r="G22" i="7"/>
  <c r="H22" i="7"/>
  <c r="I22" i="7"/>
  <c r="C23" i="7"/>
  <c r="D23" i="7"/>
  <c r="E23" i="7"/>
  <c r="F23" i="7"/>
  <c r="G23" i="7"/>
  <c r="H23" i="7"/>
  <c r="C24" i="7"/>
  <c r="D24" i="7"/>
  <c r="E24" i="7"/>
  <c r="F24" i="7"/>
  <c r="G24" i="7"/>
  <c r="C25" i="7"/>
  <c r="D25" i="7"/>
  <c r="E25" i="7"/>
  <c r="F25" i="7"/>
  <c r="C26" i="7"/>
  <c r="D26" i="7"/>
  <c r="E26" i="7"/>
  <c r="C27" i="7"/>
  <c r="D27" i="7"/>
  <c r="C28" i="7"/>
  <c r="C29" i="7"/>
  <c r="D28" i="7" s="1"/>
  <c r="D29" i="7"/>
  <c r="E29" i="7"/>
  <c r="F29" i="7"/>
  <c r="G29" i="7" s="1"/>
  <c r="H29" i="7" s="1"/>
  <c r="I29" i="7" s="1"/>
  <c r="J29" i="7" s="1"/>
  <c r="K29" i="7" s="1"/>
  <c r="K43" i="7" s="1"/>
  <c r="K57" i="7" s="1"/>
  <c r="B30" i="7"/>
  <c r="C30" i="7"/>
  <c r="D30" i="7"/>
  <c r="E30" i="7" s="1"/>
  <c r="F30" i="7" s="1"/>
  <c r="G30" i="7" s="1"/>
  <c r="H30" i="7" s="1"/>
  <c r="I30" i="7" s="1"/>
  <c r="J30" i="7" s="1"/>
  <c r="K30" i="7" s="1"/>
  <c r="K44" i="7" s="1"/>
  <c r="K58" i="7" s="1"/>
  <c r="N58" i="7" s="1"/>
  <c r="B49" i="7"/>
  <c r="C49" i="7"/>
  <c r="D49" i="7"/>
  <c r="E49" i="7"/>
  <c r="F49" i="7"/>
  <c r="G49" i="7"/>
  <c r="H49" i="7"/>
  <c r="I49" i="7"/>
  <c r="J49" i="7"/>
  <c r="M49" i="7"/>
  <c r="B50" i="7"/>
  <c r="C50" i="7"/>
  <c r="D50" i="7"/>
  <c r="E50" i="7"/>
  <c r="F50" i="7"/>
  <c r="G50" i="7"/>
  <c r="H50" i="7"/>
  <c r="I50" i="7"/>
  <c r="M50" i="7"/>
  <c r="B51" i="7"/>
  <c r="C51" i="7"/>
  <c r="D51" i="7"/>
  <c r="E51" i="7"/>
  <c r="F51" i="7"/>
  <c r="G51" i="7"/>
  <c r="H51" i="7"/>
  <c r="M51" i="7"/>
  <c r="B52" i="7"/>
  <c r="C52" i="7"/>
  <c r="D52" i="7"/>
  <c r="E52" i="7"/>
  <c r="F52" i="7"/>
  <c r="G52" i="7"/>
  <c r="M52" i="7"/>
  <c r="B53" i="7"/>
  <c r="C53" i="7"/>
  <c r="D53" i="7"/>
  <c r="E53" i="7"/>
  <c r="F53" i="7"/>
  <c r="M53" i="7"/>
  <c r="B54" i="7"/>
  <c r="C54" i="7"/>
  <c r="D54" i="7"/>
  <c r="E54" i="7"/>
  <c r="M54" i="7"/>
  <c r="B55" i="7"/>
  <c r="C55" i="7"/>
  <c r="D55" i="7"/>
  <c r="M55" i="7"/>
  <c r="B56" i="7"/>
  <c r="C56" i="7"/>
  <c r="M56" i="7"/>
  <c r="B57" i="7"/>
  <c r="M57" i="7"/>
  <c r="M58" i="7"/>
  <c r="M60" i="7"/>
  <c r="B4" i="5"/>
  <c r="B5" i="5"/>
  <c r="B6" i="5"/>
  <c r="C9" i="5"/>
  <c r="C9" i="5" a="1"/>
  <c r="D9" i="5"/>
  <c r="F9" i="5"/>
  <c r="F9" i="5" a="1"/>
  <c r="G9" i="5"/>
  <c r="C10" i="5"/>
  <c r="D10" i="5"/>
  <c r="F10" i="5"/>
  <c r="G10" i="5"/>
  <c r="C11" i="5"/>
  <c r="D11" i="5"/>
  <c r="F11" i="5"/>
  <c r="G11" i="5"/>
  <c r="C12" i="5"/>
  <c r="D12" i="5"/>
  <c r="F12" i="5"/>
  <c r="G12" i="5"/>
  <c r="C13" i="5"/>
  <c r="D13" i="5"/>
  <c r="F13" i="5"/>
  <c r="G13" i="5"/>
  <c r="C14" i="5"/>
  <c r="D14" i="5"/>
  <c r="F14" i="5"/>
  <c r="G14" i="5"/>
  <c r="C15" i="5"/>
  <c r="D15" i="5"/>
  <c r="F15" i="5"/>
  <c r="G15" i="5"/>
  <c r="C16" i="5"/>
  <c r="D16" i="5"/>
  <c r="F16" i="5"/>
  <c r="G16" i="5"/>
  <c r="C17" i="5"/>
  <c r="D17" i="5"/>
  <c r="F17" i="5"/>
  <c r="G17" i="5"/>
  <c r="C18" i="5"/>
  <c r="D18" i="5"/>
  <c r="F18" i="5"/>
  <c r="G18" i="5"/>
  <c r="C19" i="5"/>
  <c r="D19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E11" i="3"/>
  <c r="E12" i="3"/>
  <c r="C15" i="3"/>
  <c r="C16" i="3"/>
  <c r="C17" i="3"/>
  <c r="C19" i="3"/>
  <c r="C6" i="8"/>
  <c r="F6" i="8"/>
  <c r="C7" i="8"/>
  <c r="E7" i="8"/>
  <c r="F7" i="8"/>
  <c r="C8" i="8"/>
  <c r="F8" i="8"/>
  <c r="C9" i="8"/>
  <c r="F9" i="8"/>
  <c r="C10" i="8"/>
  <c r="F10" i="8"/>
  <c r="C11" i="8"/>
  <c r="F11" i="8"/>
  <c r="C13" i="8"/>
  <c r="F13" i="8"/>
  <c r="C14" i="8"/>
  <c r="F14" i="8"/>
  <c r="C15" i="8"/>
  <c r="F15" i="8"/>
  <c r="C20" i="8"/>
  <c r="E5" i="4"/>
  <c r="G5" i="4"/>
  <c r="E6" i="4"/>
  <c r="E7" i="4"/>
  <c r="G7" i="4"/>
  <c r="E8" i="4"/>
  <c r="D10" i="4"/>
  <c r="E10" i="4"/>
  <c r="E11" i="4"/>
  <c r="C15" i="4"/>
  <c r="D15" i="4"/>
  <c r="E15" i="4"/>
  <c r="C16" i="4"/>
  <c r="D16" i="4"/>
  <c r="E16" i="4"/>
  <c r="C17" i="4"/>
  <c r="D17" i="4"/>
  <c r="E17" i="4"/>
  <c r="G17" i="4"/>
  <c r="G17" i="4" a="1"/>
  <c r="B5" i="1"/>
  <c r="B6" i="1"/>
  <c r="B7" i="1"/>
  <c r="B13" i="1"/>
  <c r="B14" i="1"/>
  <c r="N57" i="7" l="1"/>
  <c r="J58" i="7"/>
  <c r="E28" i="7"/>
  <c r="F28" i="7" s="1"/>
  <c r="G28" i="7" s="1"/>
  <c r="H28" i="7" s="1"/>
  <c r="I28" i="7" s="1"/>
  <c r="J28" i="7" s="1"/>
  <c r="K28" i="7" s="1"/>
  <c r="K42" i="7" s="1"/>
  <c r="K56" i="7" s="1"/>
  <c r="E27" i="7"/>
  <c r="J57" i="7" l="1"/>
  <c r="I58" i="7" s="1"/>
  <c r="N56" i="7"/>
  <c r="F26" i="7"/>
  <c r="F27" i="7"/>
  <c r="G27" i="7" s="1"/>
  <c r="H27" i="7" s="1"/>
  <c r="I27" i="7" s="1"/>
  <c r="J27" i="7" s="1"/>
  <c r="K27" i="7" s="1"/>
  <c r="K41" i="7" s="1"/>
  <c r="K55" i="7" s="1"/>
  <c r="N55" i="7" l="1"/>
  <c r="J56" i="7"/>
  <c r="I57" i="7" s="1"/>
  <c r="H58" i="7" s="1"/>
  <c r="G25" i="7"/>
  <c r="G26" i="7"/>
  <c r="H26" i="7" s="1"/>
  <c r="I26" i="7" s="1"/>
  <c r="J26" i="7" s="1"/>
  <c r="K26" i="7" s="1"/>
  <c r="K40" i="7" s="1"/>
  <c r="K54" i="7" s="1"/>
  <c r="J55" i="7" l="1"/>
  <c r="I56" i="7" s="1"/>
  <c r="H57" i="7" s="1"/>
  <c r="G58" i="7" s="1"/>
  <c r="N54" i="7"/>
  <c r="H25" i="7"/>
  <c r="I25" i="7" s="1"/>
  <c r="J25" i="7" s="1"/>
  <c r="K25" i="7" s="1"/>
  <c r="K39" i="7" s="1"/>
  <c r="K53" i="7" s="1"/>
  <c r="H24" i="7"/>
  <c r="I23" i="7" l="1"/>
  <c r="I24" i="7"/>
  <c r="J24" i="7" s="1"/>
  <c r="K24" i="7" s="1"/>
  <c r="K38" i="7" s="1"/>
  <c r="K52" i="7" s="1"/>
  <c r="N53" i="7"/>
  <c r="J54" i="7"/>
  <c r="I55" i="7" s="1"/>
  <c r="H56" i="7" s="1"/>
  <c r="G57" i="7" s="1"/>
  <c r="F58" i="7" s="1"/>
  <c r="N52" i="7" l="1"/>
  <c r="J53" i="7"/>
  <c r="I54" i="7" s="1"/>
  <c r="H55" i="7" s="1"/>
  <c r="G56" i="7" s="1"/>
  <c r="F57" i="7" s="1"/>
  <c r="E58" i="7" s="1"/>
  <c r="J23" i="7"/>
  <c r="K23" i="7" s="1"/>
  <c r="K37" i="7" s="1"/>
  <c r="K51" i="7" s="1"/>
  <c r="J22" i="7"/>
  <c r="J52" i="7" l="1"/>
  <c r="I53" i="7" s="1"/>
  <c r="H54" i="7" s="1"/>
  <c r="G55" i="7" s="1"/>
  <c r="F56" i="7" s="1"/>
  <c r="E57" i="7" s="1"/>
  <c r="D58" i="7" s="1"/>
  <c r="N51" i="7"/>
  <c r="K21" i="7"/>
  <c r="K35" i="7" s="1"/>
  <c r="K49" i="7" s="1"/>
  <c r="K22" i="7"/>
  <c r="K36" i="7" s="1"/>
  <c r="K50" i="7" s="1"/>
  <c r="J50" i="7" l="1"/>
  <c r="I51" i="7" s="1"/>
  <c r="H52" i="7" s="1"/>
  <c r="G53" i="7" s="1"/>
  <c r="F54" i="7" s="1"/>
  <c r="E55" i="7" s="1"/>
  <c r="D56" i="7" s="1"/>
  <c r="C57" i="7" s="1"/>
  <c r="B58" i="7" s="1"/>
  <c r="G15" i="7" s="1"/>
  <c r="N49" i="7"/>
  <c r="N50" i="7"/>
  <c r="J51" i="7"/>
  <c r="I52" i="7" s="1"/>
  <c r="H53" i="7" s="1"/>
  <c r="G54" i="7" s="1"/>
  <c r="F55" i="7" s="1"/>
  <c r="E56" i="7" s="1"/>
  <c r="D57" i="7" s="1"/>
  <c r="C58" i="7" s="1"/>
  <c r="N60" i="7" l="1"/>
</calcChain>
</file>

<file path=xl/sharedStrings.xml><?xml version="1.0" encoding="utf-8"?>
<sst xmlns="http://schemas.openxmlformats.org/spreadsheetml/2006/main" count="142" uniqueCount="112">
  <si>
    <t>VBFns.xls</t>
  </si>
  <si>
    <t>Sales Commission Function</t>
  </si>
  <si>
    <t>Sales</t>
  </si>
  <si>
    <t>Commission</t>
  </si>
  <si>
    <t>Sales &gt;=</t>
  </si>
  <si>
    <t>CommRate</t>
  </si>
  <si>
    <t>Formula:</t>
  </si>
  <si>
    <t>=IF(AND(A5&gt;=0,A5&lt;10000),A5*0.08,IF(AND(A5&gt;=10000,A5&lt;20000),A5*0.105,A5*0.12))</t>
  </si>
  <si>
    <t>Using Fn.:</t>
  </si>
  <si>
    <t>Years</t>
  </si>
  <si>
    <t>=Commission(Sales)</t>
  </si>
  <si>
    <t>=Commission1(Sales,ComRateTab)</t>
  </si>
  <si>
    <t>Black-Scholes Formula</t>
  </si>
  <si>
    <t>Call</t>
  </si>
  <si>
    <t>Put</t>
  </si>
  <si>
    <t>Share price (S)</t>
  </si>
  <si>
    <t>BS value</t>
  </si>
  <si>
    <t>Exercise price (X)</t>
  </si>
  <si>
    <t>BSval via fn</t>
  </si>
  <si>
    <t>Int rate-cont (r)</t>
  </si>
  <si>
    <t>Dividend yield (q)</t>
  </si>
  <si>
    <r>
      <t>d</t>
    </r>
    <r>
      <rPr>
        <vertAlign val="subscript"/>
        <sz val="10"/>
        <rFont val="Times New Roman"/>
        <family val="1"/>
      </rPr>
      <t>1</t>
    </r>
  </si>
  <si>
    <r>
      <t>N (d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)</t>
    </r>
  </si>
  <si>
    <t>Time now (0, years)</t>
  </si>
  <si>
    <t>Time maturity (T, years)</t>
  </si>
  <si>
    <r>
      <t>d</t>
    </r>
    <r>
      <rPr>
        <vertAlign val="subscript"/>
        <sz val="10"/>
        <rFont val="Times New Roman"/>
        <family val="1"/>
      </rPr>
      <t>2</t>
    </r>
  </si>
  <si>
    <t>Option life (T, years)</t>
  </si>
  <si>
    <r>
      <t>N (d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</si>
  <si>
    <t>Volatility (s)</t>
  </si>
  <si>
    <t>Exp (-rT)</t>
  </si>
  <si>
    <t>Exp (-qT)</t>
  </si>
  <si>
    <t>Expected Values</t>
  </si>
  <si>
    <t>Probs p(i)</t>
  </si>
  <si>
    <t>Cflows Cf(I)</t>
  </si>
  <si>
    <t>Devs</t>
  </si>
  <si>
    <t>p(I)*Cf(i)</t>
  </si>
  <si>
    <t>p(i) * Dev2</t>
  </si>
  <si>
    <t>Variance</t>
  </si>
  <si>
    <t>Std Dev</t>
  </si>
  <si>
    <t>User-Defined Functions</t>
  </si>
  <si>
    <t>Expected Value</t>
  </si>
  <si>
    <t>=ExpVal(B4:B7,A4:A8)</t>
  </si>
  <si>
    <t>Portfolio Risk &amp; Return</t>
  </si>
  <si>
    <t>e</t>
  </si>
  <si>
    <t>w</t>
  </si>
  <si>
    <t>Portfolio</t>
  </si>
  <si>
    <t>Asset Data</t>
  </si>
  <si>
    <t>Exp Ret</t>
  </si>
  <si>
    <t>StDevRet</t>
  </si>
  <si>
    <t>weights</t>
  </si>
  <si>
    <t>ExpRet</t>
  </si>
  <si>
    <t>A</t>
  </si>
  <si>
    <t>B</t>
  </si>
  <si>
    <t>StDev</t>
  </si>
  <si>
    <t>C</t>
  </si>
  <si>
    <t>Correlations</t>
  </si>
  <si>
    <t>VCV Matrix  V</t>
  </si>
  <si>
    <r>
      <t xml:space="preserve">  =w</t>
    </r>
    <r>
      <rPr>
        <b/>
        <vertAlign val="superscript"/>
        <sz val="10"/>
        <rFont val="Times New Roman"/>
        <family val="1"/>
      </rPr>
      <t>T</t>
    </r>
    <r>
      <rPr>
        <b/>
        <sz val="10"/>
        <rFont val="Times New Roman"/>
        <family val="1"/>
      </rPr>
      <t>Vw</t>
    </r>
  </si>
  <si>
    <t>Data for Summary</t>
  </si>
  <si>
    <t>count n</t>
  </si>
  <si>
    <t>mean M</t>
  </si>
  <si>
    <t>variance V</t>
  </si>
  <si>
    <t>dvec</t>
  </si>
  <si>
    <t>deciles</t>
  </si>
  <si>
    <t>percent</t>
  </si>
  <si>
    <t>z score</t>
  </si>
  <si>
    <t>norm score</t>
  </si>
  <si>
    <t>Manipulating Arrays</t>
  </si>
  <si>
    <t>Avec</t>
  </si>
  <si>
    <t>AvecT</t>
  </si>
  <si>
    <t>Amat1</t>
  </si>
  <si>
    <t>Amat2</t>
  </si>
  <si>
    <t>ArrayDemo1</t>
  </si>
  <si>
    <t>ArrayDemo2</t>
  </si>
  <si>
    <t>ArrayDemo3</t>
  </si>
  <si>
    <t>ArrayDemo4</t>
  </si>
  <si>
    <t>ArrayDemo5</t>
  </si>
  <si>
    <t>CRR Option Valuation</t>
  </si>
  <si>
    <t>Cox, Ross &amp; Rubinstein</t>
  </si>
  <si>
    <t>dt</t>
  </si>
  <si>
    <t>erdt</t>
  </si>
  <si>
    <t>ermqdt</t>
  </si>
  <si>
    <t>u</t>
  </si>
  <si>
    <t>d</t>
  </si>
  <si>
    <t>p</t>
  </si>
  <si>
    <t>p*</t>
  </si>
  <si>
    <t>European</t>
  </si>
  <si>
    <t>American</t>
  </si>
  <si>
    <t>Steps in tree (n)</t>
  </si>
  <si>
    <t>via CRRtree</t>
  </si>
  <si>
    <t>iopt</t>
  </si>
  <si>
    <t>via fn</t>
  </si>
  <si>
    <t>option type</t>
  </si>
  <si>
    <t>Share</t>
  </si>
  <si>
    <t>Option Payoff</t>
  </si>
  <si>
    <t>Option Value</t>
  </si>
  <si>
    <t>pdf</t>
  </si>
  <si>
    <t>expectation</t>
  </si>
  <si>
    <t>Payback Function</t>
  </si>
  <si>
    <t>Proposal A</t>
  </si>
  <si>
    <t>Proposal B</t>
  </si>
  <si>
    <t>year</t>
  </si>
  <si>
    <t>Cashflow</t>
  </si>
  <si>
    <t>Cum Cflow</t>
  </si>
  <si>
    <t>=B6</t>
  </si>
  <si>
    <t>=B7+C6</t>
  </si>
  <si>
    <t>NPV</t>
  </si>
  <si>
    <t>IRR</t>
  </si>
  <si>
    <t>Payback Period</t>
  </si>
  <si>
    <t>Discount Rate</t>
  </si>
  <si>
    <t>Net Present Value Function</t>
  </si>
  <si>
    <t>Net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</si>
</sst>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7" formatCode="&quot;£&quot;#,##0.00_);\(&quot;£&quot;#,##0.00\)"/>
    <numFmt numFmtId="172" formatCode="0.0%"/>
    <numFmt numFmtId="173" formatCode="0.0000"/>
    <numFmt numFmtId="174" formatCode="0.0"/>
    <numFmt numFmtId="175" formatCode="0.0_)"/>
    <numFmt numFmtId="176" formatCode="General_)"/>
    <numFmt numFmtId="177" formatCode="0.000"/>
  </numFmts>
  <fonts count="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6" fontId="1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quotePrefix="1" applyFont="1" applyBorder="1"/>
    <xf numFmtId="172" fontId="1" fillId="0" borderId="2" xfId="0" applyNumberFormat="1" applyFont="1" applyBorder="1"/>
    <xf numFmtId="0" fontId="1" fillId="0" borderId="3" xfId="0" applyFont="1" applyBorder="1"/>
    <xf numFmtId="172" fontId="1" fillId="0" borderId="4" xfId="0" applyNumberFormat="1" applyFont="1" applyBorder="1"/>
    <xf numFmtId="0" fontId="1" fillId="0" borderId="5" xfId="0" applyFont="1" applyBorder="1"/>
    <xf numFmtId="172" fontId="1" fillId="0" borderId="6" xfId="0" applyNumberFormat="1" applyFont="1" applyBorder="1"/>
    <xf numFmtId="172" fontId="1" fillId="0" borderId="0" xfId="0" applyNumberFormat="1" applyFont="1" applyBorder="1"/>
    <xf numFmtId="0" fontId="2" fillId="0" borderId="0" xfId="0" quotePrefix="1" applyFont="1" applyBorder="1"/>
    <xf numFmtId="0" fontId="1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/>
    </xf>
    <xf numFmtId="2" fontId="1" fillId="0" borderId="0" xfId="0" quotePrefix="1" applyNumberFormat="1" applyFont="1"/>
    <xf numFmtId="10" fontId="2" fillId="0" borderId="0" xfId="0" applyNumberFormat="1" applyFont="1"/>
    <xf numFmtId="17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quotePrefix="1" applyFont="1" applyBorder="1" applyAlignment="1">
      <alignment horizontal="left"/>
    </xf>
    <xf numFmtId="174" fontId="1" fillId="0" borderId="0" xfId="0" applyNumberFormat="1" applyFont="1" applyBorder="1"/>
    <xf numFmtId="174" fontId="1" fillId="0" borderId="0" xfId="0" applyNumberFormat="1" applyFont="1"/>
    <xf numFmtId="0" fontId="1" fillId="0" borderId="0" xfId="0" quotePrefix="1" applyFont="1"/>
    <xf numFmtId="172" fontId="2" fillId="0" borderId="0" xfId="0" applyNumberFormat="1" applyFont="1" applyBorder="1" applyAlignment="1" applyProtection="1">
      <alignment horizontal="right"/>
    </xf>
    <xf numFmtId="15" fontId="2" fillId="0" borderId="0" xfId="0" applyNumberFormat="1" applyFont="1" applyAlignment="1">
      <alignment horizontal="left"/>
    </xf>
    <xf numFmtId="9" fontId="2" fillId="0" borderId="0" xfId="0" applyNumberFormat="1" applyFont="1" applyBorder="1" applyAlignment="1" applyProtection="1">
      <alignment horizontal="right"/>
    </xf>
    <xf numFmtId="10" fontId="2" fillId="0" borderId="0" xfId="0" applyNumberFormat="1" applyFont="1" applyBorder="1" applyAlignment="1" applyProtection="1">
      <alignment horizontal="right"/>
    </xf>
    <xf numFmtId="2" fontId="1" fillId="0" borderId="0" xfId="0" applyNumberFormat="1" applyFont="1" applyBorder="1" applyAlignment="1" applyProtection="1">
      <alignment horizontal="right"/>
    </xf>
    <xf numFmtId="2" fontId="1" fillId="0" borderId="0" xfId="0" applyNumberFormat="1" applyFont="1" applyBorder="1" applyAlignment="1" applyProtection="1">
      <alignment horizontal="left"/>
    </xf>
    <xf numFmtId="173" fontId="1" fillId="0" borderId="0" xfId="0" applyNumberFormat="1" applyFont="1" applyAlignment="1">
      <alignment horizontal="right"/>
    </xf>
    <xf numFmtId="0" fontId="2" fillId="0" borderId="0" xfId="0" quotePrefix="1" applyFont="1"/>
    <xf numFmtId="175" fontId="1" fillId="0" borderId="0" xfId="0" applyNumberFormat="1" applyFont="1" applyProtection="1"/>
    <xf numFmtId="9" fontId="1" fillId="0" borderId="0" xfId="0" applyNumberFormat="1" applyFont="1"/>
    <xf numFmtId="176" fontId="1" fillId="0" borderId="0" xfId="1" quotePrefix="1" applyFont="1" applyAlignment="1">
      <alignment horizontal="left"/>
    </xf>
    <xf numFmtId="176" fontId="1" fillId="0" borderId="0" xfId="1" quotePrefix="1" applyFont="1" applyAlignment="1" applyProtection="1">
      <alignment horizontal="left"/>
    </xf>
    <xf numFmtId="176" fontId="1" fillId="0" borderId="0" xfId="1" applyFont="1" applyAlignment="1" applyProtection="1">
      <alignment horizontal="left"/>
    </xf>
    <xf numFmtId="177" fontId="1" fillId="0" borderId="0" xfId="0" applyNumberFormat="1" applyFont="1"/>
    <xf numFmtId="173" fontId="2" fillId="0" borderId="0" xfId="0" applyNumberFormat="1" applyFont="1"/>
    <xf numFmtId="172" fontId="2" fillId="0" borderId="0" xfId="0" applyNumberFormat="1" applyFont="1"/>
    <xf numFmtId="1" fontId="2" fillId="0" borderId="0" xfId="1" applyNumberFormat="1" applyFont="1" applyProtection="1"/>
    <xf numFmtId="0" fontId="2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Protection="1"/>
    <xf numFmtId="0" fontId="2" fillId="0" borderId="0" xfId="0" applyFont="1" applyBorder="1" applyProtection="1"/>
    <xf numFmtId="0" fontId="1" fillId="0" borderId="0" xfId="0" quotePrefix="1" applyFont="1" applyBorder="1" applyProtection="1"/>
    <xf numFmtId="0" fontId="1" fillId="0" borderId="0" xfId="0" applyFont="1" applyFill="1" applyBorder="1" applyProtection="1"/>
    <xf numFmtId="174" fontId="1" fillId="0" borderId="0" xfId="0" applyNumberFormat="1" applyFont="1" applyBorder="1" applyProtection="1"/>
    <xf numFmtId="172" fontId="1" fillId="0" borderId="0" xfId="0" applyNumberFormat="1" applyFont="1" applyBorder="1" applyProtection="1"/>
    <xf numFmtId="7" fontId="1" fillId="0" borderId="0" xfId="0" applyNumberFormat="1" applyFont="1" applyBorder="1" applyProtection="1"/>
    <xf numFmtId="0" fontId="2" fillId="0" borderId="0" xfId="0" applyFont="1" applyBorder="1" applyAlignment="1" applyProtection="1">
      <alignment horizontal="left"/>
    </xf>
    <xf numFmtId="10" fontId="1" fillId="0" borderId="0" xfId="0" applyNumberFormat="1" applyFont="1" applyBorder="1" applyProtection="1"/>
    <xf numFmtId="9" fontId="2" fillId="0" borderId="0" xfId="0" applyNumberFormat="1" applyFont="1"/>
  </cellXfs>
  <cellStyles count="2">
    <cellStyle name="Normal" xfId="0" builtinId="0"/>
    <cellStyle name="Normal_Call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ColWidth="9.1796875" defaultRowHeight="13" x14ac:dyDescent="0.3"/>
  <cols>
    <col min="1" max="1" width="9.1796875" style="1"/>
    <col min="2" max="2" width="10.7265625" style="1" customWidth="1"/>
    <col min="3" max="3" width="5.453125" style="1" customWidth="1"/>
    <col min="4" max="16384" width="9.1796875" style="1"/>
  </cols>
  <sheetData>
    <row r="1" spans="1:8" x14ac:dyDescent="0.3">
      <c r="A1" s="1" t="s">
        <v>0</v>
      </c>
    </row>
    <row r="2" spans="1:8" x14ac:dyDescent="0.3">
      <c r="A2" s="2" t="s">
        <v>1</v>
      </c>
    </row>
    <row r="3" spans="1:8" x14ac:dyDescent="0.3">
      <c r="F3" s="3"/>
      <c r="G3" s="3"/>
      <c r="H3" s="3"/>
    </row>
    <row r="4" spans="1:8" x14ac:dyDescent="0.3">
      <c r="A4" s="1" t="s">
        <v>2</v>
      </c>
      <c r="B4" s="4" t="s">
        <v>3</v>
      </c>
      <c r="D4" s="5" t="s">
        <v>4</v>
      </c>
      <c r="E4" s="6" t="s">
        <v>5</v>
      </c>
      <c r="F4" s="3"/>
      <c r="G4" s="7"/>
      <c r="H4" s="3"/>
    </row>
    <row r="5" spans="1:8" x14ac:dyDescent="0.3">
      <c r="A5" s="1">
        <v>25000</v>
      </c>
      <c r="B5" s="7">
        <f t="shared" ref="B5:B7" si="0">IF(AND(A5&gt;=0,A5&lt;10000),A5*0.08,IF(AND(A5&gt;=10000,A5&lt;20000),A5*0.105,A5*0.12))</f>
        <v>3000</v>
      </c>
      <c r="D5" s="5">
        <v>0</v>
      </c>
      <c r="E5" s="8">
        <v>0.08</v>
      </c>
      <c r="F5" s="3"/>
      <c r="G5" s="3"/>
      <c r="H5" s="3"/>
    </row>
    <row r="6" spans="1:8" x14ac:dyDescent="0.3">
      <c r="A6" s="1">
        <v>9999</v>
      </c>
      <c r="B6" s="7">
        <f t="shared" si="0"/>
        <v>799.92000000000007</v>
      </c>
      <c r="D6" s="9">
        <v>10000</v>
      </c>
      <c r="E6" s="10">
        <v>0.105</v>
      </c>
      <c r="F6" s="3"/>
      <c r="G6" s="7"/>
      <c r="H6" s="3"/>
    </row>
    <row r="7" spans="1:8" x14ac:dyDescent="0.3">
      <c r="A7" s="1">
        <v>10000</v>
      </c>
      <c r="B7" s="7">
        <f t="shared" si="0"/>
        <v>1050</v>
      </c>
      <c r="D7" s="11">
        <v>20000</v>
      </c>
      <c r="E7" s="12">
        <v>0.12</v>
      </c>
      <c r="F7" s="3"/>
      <c r="G7" s="3"/>
      <c r="H7" s="3"/>
    </row>
    <row r="8" spans="1:8" x14ac:dyDescent="0.3">
      <c r="B8" s="1" t="s">
        <v>6</v>
      </c>
      <c r="D8" s="3"/>
      <c r="E8" s="13"/>
      <c r="F8" s="3"/>
      <c r="G8" s="3"/>
      <c r="H8" s="3"/>
    </row>
    <row r="9" spans="1:8" x14ac:dyDescent="0.3">
      <c r="B9" s="14" t="s">
        <v>7</v>
      </c>
      <c r="D9" s="3"/>
      <c r="E9" s="13"/>
      <c r="F9" s="3"/>
      <c r="G9" s="3"/>
      <c r="H9" s="3"/>
    </row>
    <row r="10" spans="1:8" x14ac:dyDescent="0.3">
      <c r="B10" s="7"/>
      <c r="D10" s="3"/>
      <c r="E10" s="13"/>
      <c r="F10" s="3"/>
      <c r="G10" s="3"/>
      <c r="H10" s="3"/>
    </row>
    <row r="11" spans="1:8" x14ac:dyDescent="0.3">
      <c r="A11" s="2"/>
      <c r="B11" s="1" t="s">
        <v>8</v>
      </c>
      <c r="E11" s="3"/>
      <c r="F11" s="3"/>
      <c r="G11" s="3"/>
      <c r="H11" s="3"/>
    </row>
    <row r="12" spans="1:8" x14ac:dyDescent="0.3">
      <c r="A12" s="4" t="s">
        <v>2</v>
      </c>
      <c r="B12" s="4" t="s">
        <v>3</v>
      </c>
      <c r="C12" s="4" t="s">
        <v>9</v>
      </c>
      <c r="E12" s="3"/>
      <c r="F12" s="3"/>
      <c r="G12" s="3"/>
      <c r="H12" s="3"/>
    </row>
    <row r="13" spans="1:8" x14ac:dyDescent="0.3">
      <c r="A13" s="1">
        <v>25000</v>
      </c>
      <c r="B13" s="1">
        <f>Commission(A13)</f>
        <v>3000</v>
      </c>
      <c r="D13" s="15" t="s">
        <v>10</v>
      </c>
      <c r="E13" s="3"/>
      <c r="H13" s="3"/>
    </row>
    <row r="14" spans="1:8" x14ac:dyDescent="0.3">
      <c r="A14" s="1">
        <v>9999</v>
      </c>
      <c r="B14" s="1">
        <f>Commission1(A14,$D$5:$E$7)</f>
        <v>799.92000000000007</v>
      </c>
      <c r="D14" s="15" t="s">
        <v>11</v>
      </c>
    </row>
    <row r="15" spans="1:8" x14ac:dyDescent="0.3">
      <c r="D15" s="15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ColWidth="9.1796875" defaultRowHeight="13" x14ac:dyDescent="0.3"/>
  <cols>
    <col min="1" max="2" width="9.1796875" style="1"/>
    <col min="3" max="3" width="4.26953125" style="1" customWidth="1"/>
    <col min="4" max="4" width="9.1796875" style="1"/>
    <col min="5" max="5" width="3.81640625" style="1" customWidth="1"/>
    <col min="6" max="6" width="10.7265625" style="1" customWidth="1"/>
    <col min="7" max="16384" width="9.1796875" style="1"/>
  </cols>
  <sheetData>
    <row r="1" spans="1:13" x14ac:dyDescent="0.3">
      <c r="A1" s="1" t="s">
        <v>0</v>
      </c>
      <c r="B1" s="16"/>
      <c r="C1" s="16"/>
    </row>
    <row r="2" spans="1:13" x14ac:dyDescent="0.3">
      <c r="A2" s="16" t="s">
        <v>12</v>
      </c>
      <c r="B2" s="16"/>
      <c r="C2" s="16"/>
    </row>
    <row r="3" spans="1:13" x14ac:dyDescent="0.3">
      <c r="G3" s="17" t="s">
        <v>13</v>
      </c>
      <c r="H3" s="17" t="s">
        <v>14</v>
      </c>
    </row>
    <row r="4" spans="1:13" x14ac:dyDescent="0.3">
      <c r="A4" s="15" t="s">
        <v>15</v>
      </c>
      <c r="B4" s="15"/>
      <c r="C4" s="15"/>
      <c r="D4" s="18">
        <v>100</v>
      </c>
      <c r="F4" s="1" t="s">
        <v>16</v>
      </c>
      <c r="G4" s="19">
        <f>D4*D16*G9-D5*D15*G12</f>
        <v>9.7257629574651006</v>
      </c>
      <c r="H4" s="19">
        <f>D4*D16*(G9-1)-D5*D15*(G12-1)</f>
        <v>2.4895657166295493</v>
      </c>
      <c r="J4"/>
      <c r="K4"/>
      <c r="L4"/>
      <c r="M4"/>
    </row>
    <row r="5" spans="1:13" x14ac:dyDescent="0.3">
      <c r="A5" s="20" t="s">
        <v>17</v>
      </c>
      <c r="B5" s="20"/>
      <c r="C5" s="20"/>
      <c r="D5" s="18">
        <v>95</v>
      </c>
      <c r="F5" s="15" t="s">
        <v>18</v>
      </c>
      <c r="G5" s="19">
        <f>BSCallValue(D4,D5,D6,D8,D12,D13)</f>
        <v>9.7257629574651006</v>
      </c>
      <c r="H5" s="21">
        <f>BSOptValue(-1,D4,D5,D6,D8,D12,D13)</f>
        <v>2.4895657166295493</v>
      </c>
      <c r="J5"/>
      <c r="K5"/>
      <c r="L5"/>
      <c r="M5"/>
    </row>
    <row r="6" spans="1:13" x14ac:dyDescent="0.3">
      <c r="A6" s="15" t="s">
        <v>19</v>
      </c>
      <c r="B6" s="15"/>
      <c r="C6" s="15"/>
      <c r="D6" s="22">
        <v>0.08</v>
      </c>
      <c r="G6" s="21"/>
      <c r="J6"/>
      <c r="K6"/>
      <c r="L6"/>
      <c r="M6"/>
    </row>
    <row r="7" spans="1:13" x14ac:dyDescent="0.3">
      <c r="J7"/>
      <c r="K7"/>
      <c r="L7"/>
      <c r="M7"/>
    </row>
    <row r="8" spans="1:13" ht="15" x14ac:dyDescent="0.4">
      <c r="A8" s="20" t="s">
        <v>20</v>
      </c>
      <c r="B8" s="15"/>
      <c r="C8" s="15"/>
      <c r="D8" s="22">
        <v>0.03</v>
      </c>
      <c r="F8" s="15" t="s">
        <v>21</v>
      </c>
      <c r="G8" s="23">
        <f>(LN(D4/D5)+(D6-D8+0.5*D13^2)*D12)/(D13*SQRT(D12))</f>
        <v>0.61018573632363982</v>
      </c>
      <c r="J8"/>
      <c r="K8"/>
      <c r="L8"/>
      <c r="M8"/>
    </row>
    <row r="9" spans="1:13" ht="15" x14ac:dyDescent="0.4">
      <c r="F9" s="15" t="s">
        <v>22</v>
      </c>
      <c r="G9" s="23">
        <f>NORMSDIST(G8)</f>
        <v>0.7291306676505882</v>
      </c>
      <c r="I9" s="24"/>
      <c r="J9"/>
      <c r="K9"/>
      <c r="L9"/>
      <c r="M9"/>
    </row>
    <row r="10" spans="1:13" x14ac:dyDescent="0.3">
      <c r="A10" s="15" t="s">
        <v>23</v>
      </c>
      <c r="D10" s="19">
        <v>0</v>
      </c>
      <c r="G10" s="23"/>
      <c r="I10" s="23"/>
      <c r="J10"/>
      <c r="K10"/>
      <c r="L10"/>
      <c r="M10"/>
    </row>
    <row r="11" spans="1:13" ht="15" x14ac:dyDescent="0.4">
      <c r="A11" s="15" t="s">
        <v>24</v>
      </c>
      <c r="D11" s="18">
        <v>0.5</v>
      </c>
      <c r="F11" s="15" t="s">
        <v>25</v>
      </c>
      <c r="G11" s="23">
        <f>G8-D13*SQRT(D12)</f>
        <v>0.46876438008633026</v>
      </c>
      <c r="J11"/>
      <c r="K11"/>
      <c r="L11"/>
      <c r="M11"/>
    </row>
    <row r="12" spans="1:13" ht="15" x14ac:dyDescent="0.4">
      <c r="A12" s="15" t="s">
        <v>26</v>
      </c>
      <c r="B12" s="15"/>
      <c r="C12" s="15"/>
      <c r="D12" s="18">
        <f>D11-D10</f>
        <v>0.5</v>
      </c>
      <c r="F12" s="15" t="s">
        <v>27</v>
      </c>
      <c r="G12" s="23">
        <f>NORMSDIST(G11)</f>
        <v>0.68038095752264316</v>
      </c>
      <c r="J12"/>
      <c r="K12"/>
      <c r="L12"/>
      <c r="M12"/>
    </row>
    <row r="13" spans="1:13" x14ac:dyDescent="0.3">
      <c r="A13" s="15" t="s">
        <v>28</v>
      </c>
      <c r="B13" s="15"/>
      <c r="C13" s="15"/>
      <c r="D13" s="22">
        <v>0.2</v>
      </c>
      <c r="J13"/>
      <c r="K13"/>
      <c r="L13"/>
      <c r="M13"/>
    </row>
    <row r="14" spans="1:13" x14ac:dyDescent="0.3">
      <c r="A14" s="15"/>
      <c r="B14" s="15"/>
      <c r="C14" s="15"/>
      <c r="D14" s="23"/>
      <c r="I14" s="23"/>
      <c r="J14"/>
      <c r="K14"/>
      <c r="L14"/>
      <c r="M14"/>
    </row>
    <row r="15" spans="1:13" x14ac:dyDescent="0.3">
      <c r="A15" s="15" t="s">
        <v>29</v>
      </c>
      <c r="B15" s="15"/>
      <c r="C15" s="15"/>
      <c r="D15" s="23">
        <f>EXP(-D6*D12)</f>
        <v>0.96078943915232318</v>
      </c>
      <c r="J15"/>
      <c r="K15"/>
      <c r="L15"/>
      <c r="M15"/>
    </row>
    <row r="16" spans="1:13" x14ac:dyDescent="0.3">
      <c r="A16" s="1" t="s">
        <v>30</v>
      </c>
      <c r="D16" s="23">
        <f>EXP(-D8*D12)</f>
        <v>0.98511193960306265</v>
      </c>
    </row>
    <row r="17" spans="1:4" x14ac:dyDescent="0.3">
      <c r="A17"/>
      <c r="B17"/>
      <c r="C17"/>
      <c r="D17"/>
    </row>
    <row r="18" spans="1:4" x14ac:dyDescent="0.3">
      <c r="A18"/>
      <c r="B18"/>
      <c r="C18"/>
      <c r="D18"/>
    </row>
    <row r="19" spans="1:4" x14ac:dyDescent="0.3">
      <c r="A19"/>
      <c r="B19"/>
      <c r="C19"/>
      <c r="D19"/>
    </row>
    <row r="20" spans="1:4" x14ac:dyDescent="0.3">
      <c r="A20"/>
      <c r="B20"/>
      <c r="C20"/>
      <c r="D20"/>
    </row>
    <row r="21" spans="1:4" x14ac:dyDescent="0.3">
      <c r="A21"/>
      <c r="B21"/>
      <c r="C21"/>
      <c r="D21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ColWidth="9.1796875" defaultRowHeight="13" x14ac:dyDescent="0.3"/>
  <cols>
    <col min="1" max="1" width="9.1796875" style="1"/>
    <col min="2" max="2" width="11" style="1" customWidth="1"/>
    <col min="3" max="4" width="9.1796875" style="1"/>
    <col min="5" max="5" width="10.453125" style="1" customWidth="1"/>
    <col min="6" max="16384" width="9.1796875" style="1"/>
  </cols>
  <sheetData>
    <row r="1" spans="1:11" ht="12.75" customHeight="1" x14ac:dyDescent="0.3">
      <c r="A1" s="1" t="s">
        <v>0</v>
      </c>
    </row>
    <row r="2" spans="1:11" ht="12.75" customHeight="1" x14ac:dyDescent="0.3">
      <c r="A2" s="25" t="s">
        <v>31</v>
      </c>
      <c r="C2" s="25"/>
    </row>
    <row r="3" spans="1:11" ht="12.75" customHeight="1" x14ac:dyDescent="0.3"/>
    <row r="4" spans="1:11" x14ac:dyDescent="0.3">
      <c r="A4" s="26" t="s">
        <v>32</v>
      </c>
      <c r="B4" s="26" t="s">
        <v>33</v>
      </c>
      <c r="C4" s="26" t="s">
        <v>34</v>
      </c>
      <c r="D4" s="26" t="s">
        <v>35</v>
      </c>
      <c r="E4" s="26" t="s">
        <v>36</v>
      </c>
    </row>
    <row r="5" spans="1:11" x14ac:dyDescent="0.3">
      <c r="A5" s="3">
        <v>0.05</v>
      </c>
      <c r="B5" s="3">
        <v>-500</v>
      </c>
      <c r="C5" s="3">
        <f t="shared" ref="C5:C9" si="0">B5-$D$10</f>
        <v>-1250</v>
      </c>
      <c r="D5" s="3">
        <f t="shared" ref="D5:D9" si="1">A5*B5</f>
        <v>-25</v>
      </c>
      <c r="E5" s="3">
        <f t="shared" ref="E5:E9" si="2">A5*C5^2</f>
        <v>78125</v>
      </c>
      <c r="G5" s="3"/>
      <c r="H5" s="3"/>
      <c r="I5" s="3"/>
      <c r="J5" s="3"/>
      <c r="K5" s="3"/>
    </row>
    <row r="6" spans="1:11" x14ac:dyDescent="0.3">
      <c r="A6" s="3">
        <v>0.2</v>
      </c>
      <c r="B6" s="3">
        <v>100</v>
      </c>
      <c r="C6" s="3">
        <f t="shared" si="0"/>
        <v>-650</v>
      </c>
      <c r="D6" s="3">
        <f t="shared" si="1"/>
        <v>20</v>
      </c>
      <c r="E6" s="3">
        <f t="shared" si="2"/>
        <v>84500</v>
      </c>
      <c r="G6" s="3"/>
      <c r="H6" s="3"/>
      <c r="I6" s="3"/>
      <c r="J6" s="3"/>
    </row>
    <row r="7" spans="1:11" x14ac:dyDescent="0.3">
      <c r="A7" s="3">
        <v>0.5</v>
      </c>
      <c r="B7" s="3">
        <v>700</v>
      </c>
      <c r="C7" s="3">
        <f t="shared" si="0"/>
        <v>-50</v>
      </c>
      <c r="D7" s="3">
        <f t="shared" si="1"/>
        <v>350</v>
      </c>
      <c r="E7" s="3">
        <f t="shared" si="2"/>
        <v>1250</v>
      </c>
      <c r="G7" s="3"/>
      <c r="H7" s="3"/>
      <c r="I7" s="3"/>
      <c r="J7" s="3"/>
    </row>
    <row r="8" spans="1:11" x14ac:dyDescent="0.3">
      <c r="A8" s="3">
        <v>0.2</v>
      </c>
      <c r="B8" s="3">
        <v>1300</v>
      </c>
      <c r="C8" s="3">
        <f t="shared" si="0"/>
        <v>550</v>
      </c>
      <c r="D8" s="3">
        <f t="shared" si="1"/>
        <v>260</v>
      </c>
      <c r="E8" s="3">
        <f t="shared" si="2"/>
        <v>60500</v>
      </c>
      <c r="G8" s="3"/>
      <c r="H8" s="3"/>
      <c r="I8" s="3"/>
      <c r="J8" s="3"/>
    </row>
    <row r="9" spans="1:11" x14ac:dyDescent="0.3">
      <c r="A9" s="3">
        <v>0.05</v>
      </c>
      <c r="B9" s="3">
        <v>2900</v>
      </c>
      <c r="C9" s="3">
        <f t="shared" si="0"/>
        <v>2150</v>
      </c>
      <c r="D9" s="3">
        <f t="shared" si="1"/>
        <v>145</v>
      </c>
      <c r="E9" s="3">
        <f t="shared" si="2"/>
        <v>231125</v>
      </c>
      <c r="G9" s="3"/>
      <c r="H9" s="3"/>
      <c r="I9" s="3"/>
      <c r="J9" s="3"/>
    </row>
    <row r="10" spans="1:11" x14ac:dyDescent="0.3">
      <c r="A10" s="3" t="s">
        <v>31</v>
      </c>
      <c r="B10" s="3"/>
      <c r="C10" s="3"/>
      <c r="D10" s="3">
        <f>SUM(D5:D9)</f>
        <v>750</v>
      </c>
      <c r="E10" s="3"/>
    </row>
    <row r="11" spans="1:11" x14ac:dyDescent="0.3">
      <c r="A11" s="3" t="s">
        <v>37</v>
      </c>
      <c r="B11" s="3"/>
      <c r="C11" s="3"/>
      <c r="D11" s="3"/>
      <c r="E11" s="3">
        <f>SUM(E5:E9)</f>
        <v>455500</v>
      </c>
    </row>
    <row r="12" spans="1:11" x14ac:dyDescent="0.3">
      <c r="A12" s="3" t="s">
        <v>38</v>
      </c>
      <c r="B12" s="3"/>
      <c r="C12" s="3"/>
      <c r="D12" s="3"/>
      <c r="E12" s="27">
        <f>SQRT(E11)</f>
        <v>674.90740105587815</v>
      </c>
    </row>
    <row r="14" spans="1:11" ht="12.75" customHeight="1" x14ac:dyDescent="0.3">
      <c r="A14" s="25" t="s">
        <v>39</v>
      </c>
    </row>
    <row r="15" spans="1:11" x14ac:dyDescent="0.3">
      <c r="A15" s="1" t="s">
        <v>40</v>
      </c>
      <c r="C15" s="1">
        <f>ExpVal(B5:B9,A5:A9)</f>
        <v>750</v>
      </c>
    </row>
    <row r="16" spans="1:11" x14ac:dyDescent="0.3">
      <c r="A16" s="1" t="s">
        <v>37</v>
      </c>
      <c r="C16" s="1">
        <f>WVariance(B5:B9,A5:A9)</f>
        <v>455500</v>
      </c>
    </row>
    <row r="17" spans="1:3" x14ac:dyDescent="0.3">
      <c r="A17" s="1" t="s">
        <v>38</v>
      </c>
      <c r="C17" s="28">
        <f>StdDev(B5:B9,A5:A9)</f>
        <v>674.91</v>
      </c>
    </row>
    <row r="19" spans="1:3" x14ac:dyDescent="0.3">
      <c r="A19" s="29" t="s">
        <v>41</v>
      </c>
      <c r="C19" s="1">
        <f>ExpVal(B5:B8,A5:A9)</f>
        <v>-1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ColWidth="9.1796875" defaultRowHeight="13" x14ac:dyDescent="0.3"/>
  <cols>
    <col min="1" max="1" width="9.1796875" style="1"/>
    <col min="2" max="2" width="6.54296875" style="1" customWidth="1"/>
    <col min="3" max="5" width="9.1796875" style="1"/>
    <col min="6" max="6" width="4.1796875" style="1" customWidth="1"/>
    <col min="7" max="16384" width="9.1796875" style="1"/>
  </cols>
  <sheetData>
    <row r="1" spans="1:12" ht="12.75" customHeight="1" x14ac:dyDescent="0.3">
      <c r="A1" s="20" t="s">
        <v>0</v>
      </c>
    </row>
    <row r="2" spans="1:12" x14ac:dyDescent="0.3">
      <c r="A2" s="2" t="s">
        <v>42</v>
      </c>
    </row>
    <row r="3" spans="1:12" x14ac:dyDescent="0.3">
      <c r="A3" s="20"/>
      <c r="C3" s="17" t="s">
        <v>43</v>
      </c>
      <c r="D3" s="24"/>
      <c r="E3" s="17" t="s">
        <v>44</v>
      </c>
      <c r="G3" s="2" t="s">
        <v>45</v>
      </c>
      <c r="H3" s="24"/>
      <c r="J3" s="30"/>
      <c r="K3" s="30"/>
      <c r="L3" s="30"/>
    </row>
    <row r="4" spans="1:12" x14ac:dyDescent="0.3">
      <c r="A4" s="31" t="s">
        <v>46</v>
      </c>
      <c r="C4" s="24" t="s">
        <v>47</v>
      </c>
      <c r="D4" s="24" t="s">
        <v>48</v>
      </c>
      <c r="E4" s="24" t="s">
        <v>49</v>
      </c>
      <c r="G4" s="24" t="s">
        <v>50</v>
      </c>
    </row>
    <row r="5" spans="1:12" x14ac:dyDescent="0.3">
      <c r="A5" s="20"/>
      <c r="B5" s="24" t="s">
        <v>51</v>
      </c>
      <c r="C5" s="32">
        <v>0.08</v>
      </c>
      <c r="D5" s="32">
        <v>0.04</v>
      </c>
      <c r="E5" s="30">
        <f t="shared" ref="E5:E7" si="0">1/3</f>
        <v>0.33333333333333331</v>
      </c>
      <c r="G5" s="30">
        <f>SUMPRODUCT(C5:C7,E5:E7)</f>
        <v>9.3333333333333324E-2</v>
      </c>
      <c r="I5" s="30"/>
    </row>
    <row r="6" spans="1:12" x14ac:dyDescent="0.3">
      <c r="A6" s="20"/>
      <c r="B6" s="24" t="s">
        <v>52</v>
      </c>
      <c r="C6" s="32">
        <v>0.15</v>
      </c>
      <c r="D6" s="32">
        <v>0.05</v>
      </c>
      <c r="E6" s="30">
        <f t="shared" si="0"/>
        <v>0.33333333333333331</v>
      </c>
      <c r="G6" s="24" t="s">
        <v>53</v>
      </c>
      <c r="I6" s="30"/>
    </row>
    <row r="7" spans="1:12" x14ac:dyDescent="0.3">
      <c r="A7" s="20"/>
      <c r="B7" s="24" t="s">
        <v>54</v>
      </c>
      <c r="C7" s="32">
        <v>0.05</v>
      </c>
      <c r="D7" s="32">
        <v>0.01</v>
      </c>
      <c r="E7" s="30">
        <f t="shared" si="0"/>
        <v>0.33333333333333331</v>
      </c>
      <c r="G7" s="33">
        <f>SQRT(G17)</f>
        <v>2.5690465157330259E-2</v>
      </c>
    </row>
    <row r="8" spans="1:12" x14ac:dyDescent="0.3">
      <c r="A8" s="20"/>
      <c r="E8" s="32">
        <f>SUM(E5:E7)</f>
        <v>1</v>
      </c>
    </row>
    <row r="9" spans="1:12" x14ac:dyDescent="0.3">
      <c r="A9" s="20"/>
      <c r="E9" s="34"/>
    </row>
    <row r="10" spans="1:12" x14ac:dyDescent="0.3">
      <c r="A10" s="2" t="s">
        <v>55</v>
      </c>
      <c r="B10" s="24"/>
      <c r="C10" s="24">
        <v>1</v>
      </c>
      <c r="D10" s="17">
        <f>C11</f>
        <v>0.5</v>
      </c>
      <c r="E10" s="17">
        <f>C12</f>
        <v>-0.2</v>
      </c>
    </row>
    <row r="11" spans="1:12" x14ac:dyDescent="0.3">
      <c r="A11" s="20"/>
      <c r="B11" s="24"/>
      <c r="C11" s="24">
        <v>0.5</v>
      </c>
      <c r="D11" s="24">
        <v>1</v>
      </c>
      <c r="E11" s="17">
        <f>D12</f>
        <v>-0.1</v>
      </c>
    </row>
    <row r="12" spans="1:12" x14ac:dyDescent="0.3">
      <c r="A12" s="20"/>
      <c r="B12" s="24"/>
      <c r="C12" s="24">
        <v>-0.2</v>
      </c>
      <c r="D12" s="24">
        <v>-0.1</v>
      </c>
      <c r="E12" s="24">
        <v>1</v>
      </c>
    </row>
    <row r="13" spans="1:12" x14ac:dyDescent="0.3">
      <c r="A13" s="20"/>
    </row>
    <row r="14" spans="1:12" x14ac:dyDescent="0.3">
      <c r="A14" s="2" t="s">
        <v>56</v>
      </c>
      <c r="B14" s="24"/>
      <c r="C14" s="24" t="s">
        <v>51</v>
      </c>
      <c r="D14" s="24" t="s">
        <v>52</v>
      </c>
      <c r="E14" s="24" t="s">
        <v>54</v>
      </c>
    </row>
    <row r="15" spans="1:12" x14ac:dyDescent="0.3">
      <c r="A15" s="35"/>
      <c r="B15" s="24" t="s">
        <v>51</v>
      </c>
      <c r="C15" s="36">
        <f t="shared" ref="C15:C17" si="1">C10*VLOOKUP(C$14,lookup,3,FALSE)*VLOOKUP( $B15,lookup,3,FALSE)</f>
        <v>1.6000000000000001E-3</v>
      </c>
      <c r="D15" s="36">
        <f t="shared" ref="D15:E17" si="2">D10*VLOOKUP(D$14,lookup,3,FALSE)*VLOOKUP( $B15,lookup,3,FALSE)</f>
        <v>1E-3</v>
      </c>
      <c r="E15" s="36">
        <f t="shared" si="2"/>
        <v>-8.0000000000000007E-5</v>
      </c>
      <c r="G15" s="24" t="s">
        <v>37</v>
      </c>
    </row>
    <row r="16" spans="1:12" ht="15" x14ac:dyDescent="0.3">
      <c r="A16" s="35"/>
      <c r="B16" s="24" t="s">
        <v>52</v>
      </c>
      <c r="C16" s="36">
        <f t="shared" si="1"/>
        <v>1E-3</v>
      </c>
      <c r="D16" s="36">
        <f t="shared" si="2"/>
        <v>2.5000000000000005E-3</v>
      </c>
      <c r="E16" s="36">
        <f t="shared" si="2"/>
        <v>-5.0000000000000002E-5</v>
      </c>
      <c r="G16" s="37" t="s">
        <v>57</v>
      </c>
    </row>
    <row r="17" spans="1:7" x14ac:dyDescent="0.3">
      <c r="A17" s="35"/>
      <c r="B17" s="24" t="s">
        <v>54</v>
      </c>
      <c r="C17" s="36">
        <f t="shared" si="1"/>
        <v>-8.0000000000000007E-5</v>
      </c>
      <c r="D17" s="36">
        <f t="shared" si="2"/>
        <v>-5.0000000000000009E-5</v>
      </c>
      <c r="E17" s="36">
        <f t="shared" si="2"/>
        <v>1E-4</v>
      </c>
      <c r="G17" s="36">
        <f t="array" ref="G17">MMULT(TRANSPOSE(E5:E7),MMULT(C15:E17,E5:E7))</f>
        <v>6.6E-4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/>
  </sheetViews>
  <sheetFormatPr defaultColWidth="9.1796875" defaultRowHeight="13" x14ac:dyDescent="0.3"/>
  <cols>
    <col min="1" max="16384" width="9.1796875" style="1"/>
  </cols>
  <sheetData>
    <row r="1" spans="1:7" x14ac:dyDescent="0.3">
      <c r="A1" s="1" t="s">
        <v>0</v>
      </c>
    </row>
    <row r="2" spans="1:7" x14ac:dyDescent="0.3">
      <c r="A2" s="25" t="s">
        <v>58</v>
      </c>
    </row>
    <row r="4" spans="1:7" x14ac:dyDescent="0.3">
      <c r="A4" s="1" t="s">
        <v>59</v>
      </c>
      <c r="B4" s="1">
        <f>COUNT($A$9:$A$128)</f>
        <v>120</v>
      </c>
    </row>
    <row r="5" spans="1:7" x14ac:dyDescent="0.3">
      <c r="A5" s="1" t="s">
        <v>60</v>
      </c>
      <c r="B5" s="19">
        <f>AVERAGE($A$9:$A$128)</f>
        <v>250.10166666666666</v>
      </c>
    </row>
    <row r="6" spans="1:7" x14ac:dyDescent="0.3">
      <c r="A6" s="1" t="s">
        <v>61</v>
      </c>
      <c r="B6" s="19">
        <f>VAR($A$9:$A$128)</f>
        <v>1.0862156862486936</v>
      </c>
    </row>
    <row r="8" spans="1:7" x14ac:dyDescent="0.3">
      <c r="A8" s="4" t="s">
        <v>62</v>
      </c>
      <c r="C8" s="4" t="s">
        <v>63</v>
      </c>
      <c r="D8" s="4" t="s">
        <v>64</v>
      </c>
      <c r="F8" s="4" t="s">
        <v>65</v>
      </c>
      <c r="G8" s="4" t="s">
        <v>66</v>
      </c>
    </row>
    <row r="9" spans="1:7" x14ac:dyDescent="0.3">
      <c r="A9" s="38">
        <v>249.1</v>
      </c>
      <c r="C9" s="19">
        <f t="array" ref="C9:D19">DecilesMat(A9:A128)</f>
        <v>247.4</v>
      </c>
      <c r="D9" s="39">
        <v>0</v>
      </c>
      <c r="F9" s="19">
        <f t="array" ref="F9:G128">ZNplotmat(dvec)</f>
        <v>-0.9610924962552535</v>
      </c>
      <c r="G9" s="19">
        <v>-0.91599986262735911</v>
      </c>
    </row>
    <row r="10" spans="1:7" x14ac:dyDescent="0.3">
      <c r="A10" s="38">
        <v>250.8</v>
      </c>
      <c r="C10" s="19">
        <v>248.69</v>
      </c>
      <c r="D10" s="39">
        <v>0.1</v>
      </c>
      <c r="F10" s="19">
        <v>0.67004618291341522</v>
      </c>
      <c r="G10" s="19">
        <v>0.53519443099503405</v>
      </c>
    </row>
    <row r="11" spans="1:7" x14ac:dyDescent="0.3">
      <c r="A11" s="38">
        <v>250.1</v>
      </c>
      <c r="C11" s="19">
        <v>249.17999999999998</v>
      </c>
      <c r="D11" s="39">
        <v>0.2</v>
      </c>
      <c r="F11" s="19">
        <v>-1.5991555678109498E-3</v>
      </c>
      <c r="G11" s="19">
        <v>-9.3941707746125758E-2</v>
      </c>
    </row>
    <row r="12" spans="1:7" x14ac:dyDescent="0.3">
      <c r="A12" s="38">
        <v>252.1</v>
      </c>
      <c r="C12" s="19">
        <v>249.6</v>
      </c>
      <c r="D12" s="39">
        <v>0.30000000000000004</v>
      </c>
      <c r="F12" s="19">
        <v>1.9173875258070743</v>
      </c>
      <c r="G12" s="19">
        <v>2.2111271391622722</v>
      </c>
    </row>
    <row r="13" spans="1:7" x14ac:dyDescent="0.3">
      <c r="A13" s="38">
        <v>247.9</v>
      </c>
      <c r="C13" s="19">
        <v>249.9</v>
      </c>
      <c r="D13" s="39">
        <v>0.4</v>
      </c>
      <c r="F13" s="19">
        <v>-2.1124845050801735</v>
      </c>
      <c r="G13" s="19">
        <v>-2.0173501980025321</v>
      </c>
    </row>
    <row r="14" spans="1:7" x14ac:dyDescent="0.3">
      <c r="A14" s="38">
        <v>250.7</v>
      </c>
      <c r="C14" s="19">
        <v>250.1</v>
      </c>
      <c r="D14" s="39">
        <v>0.5</v>
      </c>
      <c r="F14" s="19">
        <v>0.57409684884464918</v>
      </c>
      <c r="G14" s="19">
        <v>0.41837211028905585</v>
      </c>
    </row>
    <row r="15" spans="1:7" x14ac:dyDescent="0.3">
      <c r="A15" s="38">
        <v>251.2</v>
      </c>
      <c r="C15" s="19">
        <v>250.44</v>
      </c>
      <c r="D15" s="39">
        <v>0.60000000000000009</v>
      </c>
      <c r="F15" s="19">
        <v>1.0538435191883704</v>
      </c>
      <c r="G15" s="19">
        <v>1.0157009455724619</v>
      </c>
    </row>
    <row r="16" spans="1:7" x14ac:dyDescent="0.3">
      <c r="A16" s="38">
        <v>249.8</v>
      </c>
      <c r="C16" s="19">
        <v>250.73</v>
      </c>
      <c r="D16" s="39">
        <v>0.70000000000000007</v>
      </c>
      <c r="F16" s="19">
        <v>-0.28944715777402735</v>
      </c>
      <c r="G16" s="19">
        <v>-0.37328049984353129</v>
      </c>
    </row>
    <row r="17" spans="1:7" x14ac:dyDescent="0.3">
      <c r="A17" s="38">
        <v>251.9</v>
      </c>
      <c r="C17" s="19">
        <v>251</v>
      </c>
      <c r="D17" s="39">
        <v>0.8</v>
      </c>
      <c r="F17" s="19">
        <v>1.7254888576695966</v>
      </c>
      <c r="G17" s="19">
        <v>1.7688216757960618</v>
      </c>
    </row>
    <row r="18" spans="1:7" x14ac:dyDescent="0.3">
      <c r="A18" s="38">
        <v>251.8</v>
      </c>
      <c r="C18" s="19">
        <v>251.4</v>
      </c>
      <c r="D18" s="39">
        <v>0.9</v>
      </c>
      <c r="F18" s="19">
        <v>1.6295395236008579</v>
      </c>
      <c r="G18" s="19">
        <v>1.6769354260759428</v>
      </c>
    </row>
    <row r="19" spans="1:7" x14ac:dyDescent="0.3">
      <c r="A19" s="38">
        <v>250</v>
      </c>
      <c r="C19" s="19">
        <v>252.6</v>
      </c>
      <c r="D19" s="39">
        <v>1</v>
      </c>
      <c r="F19" s="19">
        <v>-9.7548489636549746E-2</v>
      </c>
      <c r="G19" s="19">
        <v>-0.15698105926276185</v>
      </c>
    </row>
    <row r="20" spans="1:7" x14ac:dyDescent="0.3">
      <c r="A20" s="38">
        <v>248.8</v>
      </c>
      <c r="F20" s="19">
        <v>-1.2489404984614698</v>
      </c>
      <c r="G20" s="19">
        <v>-1.1669180821627378</v>
      </c>
    </row>
    <row r="21" spans="1:7" x14ac:dyDescent="0.3">
      <c r="A21" s="38">
        <v>249.8</v>
      </c>
      <c r="F21" s="19">
        <v>-0.28944715777402735</v>
      </c>
      <c r="G21" s="19">
        <v>-0.37328049984353129</v>
      </c>
    </row>
    <row r="22" spans="1:7" x14ac:dyDescent="0.3">
      <c r="A22" s="38">
        <v>251</v>
      </c>
      <c r="F22" s="19">
        <v>0.8619448510508928</v>
      </c>
      <c r="G22" s="19">
        <v>0.79571918831788935</v>
      </c>
    </row>
    <row r="23" spans="1:7" x14ac:dyDescent="0.3">
      <c r="A23" s="38">
        <v>250.3</v>
      </c>
      <c r="F23" s="19">
        <v>0.19029951256969393</v>
      </c>
      <c r="G23" s="19">
        <v>9.3941707746125758E-2</v>
      </c>
    </row>
    <row r="24" spans="1:7" x14ac:dyDescent="0.3">
      <c r="A24" s="38">
        <v>250.6</v>
      </c>
      <c r="F24" s="19">
        <v>0.47814751477591033</v>
      </c>
      <c r="G24" s="19">
        <v>0.32893694879021496</v>
      </c>
    </row>
    <row r="25" spans="1:7" x14ac:dyDescent="0.3">
      <c r="A25" s="38">
        <v>249.5</v>
      </c>
      <c r="F25" s="19">
        <v>-0.57729515998027103</v>
      </c>
      <c r="G25" s="19">
        <v>-0.63414290707441978</v>
      </c>
    </row>
    <row r="26" spans="1:7" x14ac:dyDescent="0.3">
      <c r="A26" s="38">
        <v>249.4</v>
      </c>
      <c r="F26" s="19">
        <v>-0.67324449404900988</v>
      </c>
      <c r="G26" s="19">
        <v>-0.73973751568701118</v>
      </c>
    </row>
    <row r="27" spans="1:7" x14ac:dyDescent="0.3">
      <c r="A27" s="38">
        <v>249.9</v>
      </c>
      <c r="F27" s="19">
        <v>-0.19349782370528856</v>
      </c>
      <c r="G27" s="19">
        <v>-0.2635852069943212</v>
      </c>
    </row>
    <row r="28" spans="1:7" x14ac:dyDescent="0.3">
      <c r="A28" s="38">
        <v>251.1</v>
      </c>
      <c r="F28" s="19">
        <v>0.95789418511963165</v>
      </c>
      <c r="G28" s="19">
        <v>0.8847359822539147</v>
      </c>
    </row>
    <row r="29" spans="1:7" x14ac:dyDescent="0.3">
      <c r="A29" s="38">
        <v>251.1</v>
      </c>
      <c r="F29" s="19">
        <v>0.95789418511963165</v>
      </c>
      <c r="G29" s="19">
        <v>0.8847359822539147</v>
      </c>
    </row>
    <row r="30" spans="1:7" x14ac:dyDescent="0.3">
      <c r="A30" s="38">
        <v>250.2</v>
      </c>
      <c r="F30" s="19">
        <v>9.4350178500927848E-2</v>
      </c>
      <c r="G30" s="19">
        <v>5.2136783779133111E-2</v>
      </c>
    </row>
    <row r="31" spans="1:7" x14ac:dyDescent="0.3">
      <c r="A31" s="38">
        <v>250.1</v>
      </c>
      <c r="F31" s="19">
        <v>-1.5991555678109498E-3</v>
      </c>
      <c r="G31" s="19">
        <v>-9.3941707746125758E-2</v>
      </c>
    </row>
    <row r="32" spans="1:7" x14ac:dyDescent="0.3">
      <c r="A32" s="38">
        <v>250.1</v>
      </c>
      <c r="F32" s="19">
        <v>-1.5991555678109498E-3</v>
      </c>
      <c r="G32" s="19">
        <v>-9.3941707746125758E-2</v>
      </c>
    </row>
    <row r="33" spans="1:7" x14ac:dyDescent="0.3">
      <c r="A33" s="38">
        <v>248.6</v>
      </c>
      <c r="F33" s="19">
        <v>-1.4408391665989748</v>
      </c>
      <c r="G33" s="19">
        <v>-1.4047918739379384</v>
      </c>
    </row>
    <row r="34" spans="1:7" x14ac:dyDescent="0.3">
      <c r="A34" s="38">
        <v>249</v>
      </c>
      <c r="F34" s="19">
        <v>-1.0570418303239923</v>
      </c>
      <c r="G34" s="19">
        <v>-1.051259914675029</v>
      </c>
    </row>
    <row r="35" spans="1:7" x14ac:dyDescent="0.3">
      <c r="A35" s="38">
        <v>250.8</v>
      </c>
      <c r="F35" s="19">
        <v>0.67004618291341522</v>
      </c>
      <c r="G35" s="19">
        <v>0.53519443099503405</v>
      </c>
    </row>
    <row r="36" spans="1:7" x14ac:dyDescent="0.3">
      <c r="A36" s="38">
        <v>250.3</v>
      </c>
      <c r="F36" s="19">
        <v>0.19029951256969393</v>
      </c>
      <c r="G36" s="19">
        <v>9.3941707746125758E-2</v>
      </c>
    </row>
    <row r="37" spans="1:7" x14ac:dyDescent="0.3">
      <c r="A37" s="38">
        <v>252.6</v>
      </c>
      <c r="F37" s="19">
        <v>2.3971341961507955</v>
      </c>
      <c r="G37" s="19">
        <v>2.562410372775048</v>
      </c>
    </row>
    <row r="38" spans="1:7" x14ac:dyDescent="0.3">
      <c r="A38" s="38">
        <v>248.4</v>
      </c>
      <c r="F38" s="19">
        <v>-1.6327378347364523</v>
      </c>
      <c r="G38" s="19">
        <v>-1.5267687558662146</v>
      </c>
    </row>
    <row r="39" spans="1:7" x14ac:dyDescent="0.3">
      <c r="A39" s="38">
        <v>250.7</v>
      </c>
      <c r="F39" s="19">
        <v>0.57409684884464918</v>
      </c>
      <c r="G39" s="19">
        <v>0.41837211028905585</v>
      </c>
    </row>
    <row r="40" spans="1:7" x14ac:dyDescent="0.3">
      <c r="A40" s="38">
        <v>249.9</v>
      </c>
      <c r="F40" s="19">
        <v>-0.19349782370528856</v>
      </c>
      <c r="G40" s="19">
        <v>-0.2635852069943212</v>
      </c>
    </row>
    <row r="41" spans="1:7" x14ac:dyDescent="0.3">
      <c r="A41" s="38">
        <v>250.1</v>
      </c>
      <c r="F41" s="19">
        <v>-1.5991555678109498E-3</v>
      </c>
      <c r="G41" s="19">
        <v>-9.3941707746125758E-2</v>
      </c>
    </row>
    <row r="42" spans="1:7" x14ac:dyDescent="0.3">
      <c r="A42" s="38">
        <v>250.9</v>
      </c>
      <c r="F42" s="19">
        <v>0.76599551698215396</v>
      </c>
      <c r="G42" s="19">
        <v>0.65984067987301387</v>
      </c>
    </row>
    <row r="43" spans="1:7" x14ac:dyDescent="0.3">
      <c r="A43" s="38">
        <v>250.4</v>
      </c>
      <c r="F43" s="19">
        <v>0.28624884663843275</v>
      </c>
      <c r="G43" s="19">
        <v>0.17812112673709635</v>
      </c>
    </row>
    <row r="44" spans="1:7" x14ac:dyDescent="0.3">
      <c r="A44" s="38">
        <v>250.1</v>
      </c>
      <c r="F44" s="19">
        <v>-1.5991555678109498E-3</v>
      </c>
      <c r="G44" s="19">
        <v>-9.3941707746125758E-2</v>
      </c>
    </row>
    <row r="45" spans="1:7" x14ac:dyDescent="0.3">
      <c r="A45" s="38">
        <v>251.9</v>
      </c>
      <c r="F45" s="19">
        <v>1.7254888576695966</v>
      </c>
      <c r="G45" s="19">
        <v>1.7688216757960618</v>
      </c>
    </row>
    <row r="46" spans="1:7" x14ac:dyDescent="0.3">
      <c r="A46" s="38">
        <v>249.5</v>
      </c>
      <c r="F46" s="19">
        <v>-0.57729515998027103</v>
      </c>
      <c r="G46" s="19">
        <v>-0.63414290707441978</v>
      </c>
    </row>
    <row r="47" spans="1:7" x14ac:dyDescent="0.3">
      <c r="A47" s="38">
        <v>249.4</v>
      </c>
      <c r="F47" s="19">
        <v>-0.67324449404900988</v>
      </c>
      <c r="G47" s="19">
        <v>-0.73973751568701118</v>
      </c>
    </row>
    <row r="48" spans="1:7" x14ac:dyDescent="0.3">
      <c r="A48" s="38">
        <v>250.5</v>
      </c>
      <c r="F48" s="19">
        <v>0.38219818070717154</v>
      </c>
      <c r="G48" s="19">
        <v>0.2635852069943212</v>
      </c>
    </row>
    <row r="49" spans="1:7" x14ac:dyDescent="0.3">
      <c r="A49" s="38">
        <v>250.7</v>
      </c>
      <c r="F49" s="19">
        <v>0.57409684884464918</v>
      </c>
      <c r="G49" s="19">
        <v>0.41837211028905585</v>
      </c>
    </row>
    <row r="50" spans="1:7" x14ac:dyDescent="0.3">
      <c r="A50" s="38">
        <v>250.9</v>
      </c>
      <c r="F50" s="19">
        <v>0.76599551698215396</v>
      </c>
      <c r="G50" s="19">
        <v>0.65984067987301387</v>
      </c>
    </row>
    <row r="51" spans="1:7" x14ac:dyDescent="0.3">
      <c r="A51" s="38">
        <v>248.7</v>
      </c>
      <c r="F51" s="19">
        <v>-1.3448898325302361</v>
      </c>
      <c r="G51" s="19">
        <v>-1.2536224858195055</v>
      </c>
    </row>
    <row r="52" spans="1:7" x14ac:dyDescent="0.3">
      <c r="A52" s="38">
        <v>248.7</v>
      </c>
      <c r="F52" s="19">
        <v>-1.3448898325302361</v>
      </c>
      <c r="G52" s="19">
        <v>-1.2536224858195055</v>
      </c>
    </row>
    <row r="53" spans="1:7" x14ac:dyDescent="0.3">
      <c r="A53" s="38">
        <v>249</v>
      </c>
      <c r="F53" s="19">
        <v>-1.0570418303239923</v>
      </c>
      <c r="G53" s="19">
        <v>-1.051259914675029</v>
      </c>
    </row>
    <row r="54" spans="1:7" x14ac:dyDescent="0.3">
      <c r="A54" s="38">
        <v>249.8</v>
      </c>
      <c r="F54" s="19">
        <v>-0.28944715777402735</v>
      </c>
      <c r="G54" s="19">
        <v>-0.37328049984353129</v>
      </c>
    </row>
    <row r="55" spans="1:7" x14ac:dyDescent="0.3">
      <c r="A55" s="38">
        <v>250.7</v>
      </c>
      <c r="F55" s="19">
        <v>0.57409684884464918</v>
      </c>
      <c r="G55" s="19">
        <v>0.41837211028905585</v>
      </c>
    </row>
    <row r="56" spans="1:7" x14ac:dyDescent="0.3">
      <c r="A56" s="38">
        <v>250.2</v>
      </c>
      <c r="F56" s="19">
        <v>9.4350178500927848E-2</v>
      </c>
      <c r="G56" s="19">
        <v>5.2136783779133111E-2</v>
      </c>
    </row>
    <row r="57" spans="1:7" x14ac:dyDescent="0.3">
      <c r="A57" s="38">
        <v>250.1</v>
      </c>
      <c r="F57" s="19">
        <v>-1.5991555678109498E-3</v>
      </c>
      <c r="G57" s="19">
        <v>-9.3941707746125758E-2</v>
      </c>
    </row>
    <row r="58" spans="1:7" x14ac:dyDescent="0.3">
      <c r="A58" s="38">
        <v>251.1</v>
      </c>
      <c r="F58" s="19">
        <v>0.95789418511963165</v>
      </c>
      <c r="G58" s="19">
        <v>0.8847359822539147</v>
      </c>
    </row>
    <row r="59" spans="1:7" x14ac:dyDescent="0.3">
      <c r="A59" s="38">
        <v>250.4</v>
      </c>
      <c r="F59" s="19">
        <v>0.28624884663843275</v>
      </c>
      <c r="G59" s="19">
        <v>0.17812112673709635</v>
      </c>
    </row>
    <row r="60" spans="1:7" x14ac:dyDescent="0.3">
      <c r="A60" s="38">
        <v>251</v>
      </c>
      <c r="F60" s="19">
        <v>0.8619448510508928</v>
      </c>
      <c r="G60" s="19">
        <v>0.79571918831788935</v>
      </c>
    </row>
    <row r="61" spans="1:7" x14ac:dyDescent="0.3">
      <c r="A61" s="38">
        <v>251.4</v>
      </c>
      <c r="F61" s="19">
        <v>1.2457421873258754</v>
      </c>
      <c r="G61" s="19">
        <v>1.2091345524822827</v>
      </c>
    </row>
    <row r="62" spans="1:7" x14ac:dyDescent="0.3">
      <c r="A62" s="38">
        <v>248.1</v>
      </c>
      <c r="F62" s="19">
        <v>-1.920585836942696</v>
      </c>
      <c r="G62" s="19">
        <v>-1.7688216757960618</v>
      </c>
    </row>
    <row r="63" spans="1:7" x14ac:dyDescent="0.3">
      <c r="A63" s="38">
        <v>249.7</v>
      </c>
      <c r="F63" s="19">
        <v>-0.38539649184279345</v>
      </c>
      <c r="G63" s="19">
        <v>-0.44123453335487284</v>
      </c>
    </row>
    <row r="64" spans="1:7" x14ac:dyDescent="0.3">
      <c r="A64" s="38">
        <v>250.7</v>
      </c>
      <c r="F64" s="19">
        <v>0.57409684884464918</v>
      </c>
      <c r="G64" s="19">
        <v>0.41837211028905585</v>
      </c>
    </row>
    <row r="65" spans="1:7" x14ac:dyDescent="0.3">
      <c r="A65" s="38">
        <v>251</v>
      </c>
      <c r="F65" s="19">
        <v>0.8619448510508928</v>
      </c>
      <c r="G65" s="19">
        <v>0.79571918831788935</v>
      </c>
    </row>
    <row r="66" spans="1:7" x14ac:dyDescent="0.3">
      <c r="A66" s="38">
        <v>248.9</v>
      </c>
      <c r="F66" s="19">
        <v>-1.1529911643927311</v>
      </c>
      <c r="G66" s="19">
        <v>-1.0881990419875365</v>
      </c>
    </row>
    <row r="67" spans="1:7" x14ac:dyDescent="0.3">
      <c r="A67" s="38">
        <v>249.6</v>
      </c>
      <c r="F67" s="19">
        <v>-0.48134582591153224</v>
      </c>
      <c r="G67" s="19">
        <v>-0.55940745369298384</v>
      </c>
    </row>
    <row r="68" spans="1:7" x14ac:dyDescent="0.3">
      <c r="A68" s="38">
        <v>249.4</v>
      </c>
      <c r="F68" s="19">
        <v>-0.67324449404900988</v>
      </c>
      <c r="G68" s="19">
        <v>-0.73973751568701118</v>
      </c>
    </row>
    <row r="69" spans="1:7" x14ac:dyDescent="0.3">
      <c r="A69" s="38">
        <v>251.3</v>
      </c>
      <c r="F69" s="19">
        <v>1.1497928532571364</v>
      </c>
      <c r="G69" s="19">
        <v>1.0881990419875365</v>
      </c>
    </row>
    <row r="70" spans="1:7" x14ac:dyDescent="0.3">
      <c r="A70" s="38">
        <v>250</v>
      </c>
      <c r="F70" s="19">
        <v>-9.7548489636549746E-2</v>
      </c>
      <c r="G70" s="19">
        <v>-0.15698105926276185</v>
      </c>
    </row>
    <row r="71" spans="1:7" x14ac:dyDescent="0.3">
      <c r="A71" s="38">
        <v>251.4</v>
      </c>
      <c r="F71" s="19">
        <v>1.2457421873258754</v>
      </c>
      <c r="G71" s="19">
        <v>1.2091345524822827</v>
      </c>
    </row>
    <row r="72" spans="1:7" x14ac:dyDescent="0.3">
      <c r="A72" s="38">
        <v>251.4</v>
      </c>
      <c r="F72" s="19">
        <v>1.2457421873258754</v>
      </c>
      <c r="G72" s="19">
        <v>1.2091345524822827</v>
      </c>
    </row>
    <row r="73" spans="1:7" x14ac:dyDescent="0.3">
      <c r="A73" s="38">
        <v>249.6</v>
      </c>
      <c r="F73" s="19">
        <v>-0.48134582591153224</v>
      </c>
      <c r="G73" s="19">
        <v>-0.55940745369298384</v>
      </c>
    </row>
    <row r="74" spans="1:7" x14ac:dyDescent="0.3">
      <c r="A74" s="38">
        <v>251.5</v>
      </c>
      <c r="F74" s="19">
        <v>1.3416915213946141</v>
      </c>
      <c r="G74" s="19">
        <v>1.5267687558662146</v>
      </c>
    </row>
    <row r="75" spans="1:7" x14ac:dyDescent="0.3">
      <c r="A75" s="38">
        <v>249.4</v>
      </c>
      <c r="F75" s="19">
        <v>-0.67324449404900988</v>
      </c>
      <c r="G75" s="19">
        <v>-0.73973751568701118</v>
      </c>
    </row>
    <row r="76" spans="1:7" x14ac:dyDescent="0.3">
      <c r="A76" s="38">
        <v>249.3</v>
      </c>
      <c r="F76" s="19">
        <v>-0.76919382811774861</v>
      </c>
      <c r="G76" s="19">
        <v>-0.79571918831788935</v>
      </c>
    </row>
    <row r="77" spans="1:7" x14ac:dyDescent="0.3">
      <c r="A77" s="38">
        <v>249.1</v>
      </c>
      <c r="F77" s="19">
        <v>-0.9610924962552535</v>
      </c>
      <c r="G77" s="19">
        <v>-0.91599986262735911</v>
      </c>
    </row>
    <row r="78" spans="1:7" x14ac:dyDescent="0.3">
      <c r="A78" s="38">
        <v>250.6</v>
      </c>
      <c r="F78" s="19">
        <v>0.47814751477591033</v>
      </c>
      <c r="G78" s="19">
        <v>0.32893694879021496</v>
      </c>
    </row>
    <row r="79" spans="1:7" x14ac:dyDescent="0.3">
      <c r="A79" s="38">
        <v>249.1</v>
      </c>
      <c r="F79" s="19">
        <v>-0.9610924962552535</v>
      </c>
      <c r="G79" s="19">
        <v>-0.91599986262735911</v>
      </c>
    </row>
    <row r="80" spans="1:7" x14ac:dyDescent="0.3">
      <c r="A80" s="38">
        <v>249.6</v>
      </c>
      <c r="F80" s="19">
        <v>-0.48134582591153224</v>
      </c>
      <c r="G80" s="19">
        <v>-0.55940745369298384</v>
      </c>
    </row>
    <row r="81" spans="1:7" x14ac:dyDescent="0.3">
      <c r="A81" s="38">
        <v>251.3</v>
      </c>
      <c r="F81" s="19">
        <v>1.1497928532571364</v>
      </c>
      <c r="G81" s="19">
        <v>1.0881990419875365</v>
      </c>
    </row>
    <row r="82" spans="1:7" x14ac:dyDescent="0.3">
      <c r="A82" s="38">
        <v>249</v>
      </c>
      <c r="F82" s="19">
        <v>-1.0570418303239923</v>
      </c>
      <c r="G82" s="19">
        <v>-1.051259914675029</v>
      </c>
    </row>
    <row r="83" spans="1:7" x14ac:dyDescent="0.3">
      <c r="A83" s="38">
        <v>250.5</v>
      </c>
      <c r="F83" s="19">
        <v>0.38219818070717154</v>
      </c>
      <c r="G83" s="19">
        <v>0.2635852069943212</v>
      </c>
    </row>
    <row r="84" spans="1:7" x14ac:dyDescent="0.3">
      <c r="A84" s="38">
        <v>249.9</v>
      </c>
      <c r="F84" s="19">
        <v>-0.19349782370528856</v>
      </c>
      <c r="G84" s="19">
        <v>-0.2635852069943212</v>
      </c>
    </row>
    <row r="85" spans="1:7" x14ac:dyDescent="0.3">
      <c r="A85" s="38">
        <v>247.8</v>
      </c>
      <c r="F85" s="19">
        <v>-2.2084338391489124</v>
      </c>
      <c r="G85" s="19">
        <v>-2.2111271391622722</v>
      </c>
    </row>
    <row r="86" spans="1:7" x14ac:dyDescent="0.3">
      <c r="A86" s="38">
        <v>250.1</v>
      </c>
      <c r="F86" s="19">
        <v>-1.5991555678109498E-3</v>
      </c>
      <c r="G86" s="19">
        <v>-9.3941707746125758E-2</v>
      </c>
    </row>
    <row r="87" spans="1:7" x14ac:dyDescent="0.3">
      <c r="A87" s="38">
        <v>249.7</v>
      </c>
      <c r="F87" s="19">
        <v>-0.38539649184279345</v>
      </c>
      <c r="G87" s="19">
        <v>-0.44123453335487284</v>
      </c>
    </row>
    <row r="88" spans="1:7" x14ac:dyDescent="0.3">
      <c r="A88" s="38">
        <v>250.8</v>
      </c>
      <c r="F88" s="19">
        <v>0.67004618291341522</v>
      </c>
      <c r="G88" s="19">
        <v>0.53519443099503405</v>
      </c>
    </row>
    <row r="89" spans="1:7" x14ac:dyDescent="0.3">
      <c r="A89" s="38">
        <v>250.8</v>
      </c>
      <c r="F89" s="19">
        <v>0.67004618291341522</v>
      </c>
      <c r="G89" s="19">
        <v>0.53519443099503405</v>
      </c>
    </row>
    <row r="90" spans="1:7" x14ac:dyDescent="0.3">
      <c r="A90" s="38">
        <v>250.3</v>
      </c>
      <c r="F90" s="19">
        <v>0.19029951256969393</v>
      </c>
      <c r="G90" s="19">
        <v>9.3941707746125758E-2</v>
      </c>
    </row>
    <row r="91" spans="1:7" x14ac:dyDescent="0.3">
      <c r="A91" s="38">
        <v>249.2</v>
      </c>
      <c r="F91" s="19">
        <v>-0.86514316218651466</v>
      </c>
      <c r="G91" s="19">
        <v>-0.82466158346505836</v>
      </c>
    </row>
    <row r="92" spans="1:7" x14ac:dyDescent="0.3">
      <c r="A92" s="38">
        <v>250.6</v>
      </c>
      <c r="F92" s="19">
        <v>0.47814751477591033</v>
      </c>
      <c r="G92" s="19">
        <v>0.32893694879021496</v>
      </c>
    </row>
    <row r="93" spans="1:7" x14ac:dyDescent="0.3">
      <c r="A93" s="38">
        <v>249</v>
      </c>
      <c r="F93" s="19">
        <v>-1.0570418303239923</v>
      </c>
      <c r="G93" s="19">
        <v>-1.051259914675029</v>
      </c>
    </row>
    <row r="94" spans="1:7" x14ac:dyDescent="0.3">
      <c r="A94" s="38">
        <v>251.1</v>
      </c>
      <c r="F94" s="19">
        <v>0.95789418511963165</v>
      </c>
      <c r="G94" s="19">
        <v>0.8847359822539147</v>
      </c>
    </row>
    <row r="95" spans="1:7" x14ac:dyDescent="0.3">
      <c r="A95" s="38">
        <v>250.3</v>
      </c>
      <c r="F95" s="19">
        <v>0.19029951256969393</v>
      </c>
      <c r="G95" s="19">
        <v>9.3941707746125758E-2</v>
      </c>
    </row>
    <row r="96" spans="1:7" x14ac:dyDescent="0.3">
      <c r="A96" s="38">
        <v>249.6</v>
      </c>
      <c r="F96" s="19">
        <v>-0.48134582591153224</v>
      </c>
      <c r="G96" s="19">
        <v>-0.55940745369298384</v>
      </c>
    </row>
    <row r="97" spans="1:7" x14ac:dyDescent="0.3">
      <c r="A97" s="38">
        <v>248.8</v>
      </c>
      <c r="F97" s="19">
        <v>-1.2489404984614698</v>
      </c>
      <c r="G97" s="19">
        <v>-1.1669180821627378</v>
      </c>
    </row>
    <row r="98" spans="1:7" x14ac:dyDescent="0.3">
      <c r="A98" s="38">
        <v>251.3</v>
      </c>
      <c r="F98" s="19">
        <v>1.1497928532571364</v>
      </c>
      <c r="G98" s="19">
        <v>1.0881990419875365</v>
      </c>
    </row>
    <row r="99" spans="1:7" x14ac:dyDescent="0.3">
      <c r="A99" s="38">
        <v>250.4</v>
      </c>
      <c r="F99" s="19">
        <v>0.28624884663843275</v>
      </c>
      <c r="G99" s="19">
        <v>0.17812112673709635</v>
      </c>
    </row>
    <row r="100" spans="1:7" x14ac:dyDescent="0.3">
      <c r="A100" s="38">
        <v>251.4</v>
      </c>
      <c r="F100" s="19">
        <v>1.2457421873258754</v>
      </c>
      <c r="G100" s="19">
        <v>1.2091345524822827</v>
      </c>
    </row>
    <row r="101" spans="1:7" x14ac:dyDescent="0.3">
      <c r="A101" s="38">
        <v>248.6</v>
      </c>
      <c r="F101" s="19">
        <v>-1.4408391665989748</v>
      </c>
      <c r="G101" s="19">
        <v>-1.4047918739379384</v>
      </c>
    </row>
    <row r="102" spans="1:7" x14ac:dyDescent="0.3">
      <c r="A102" s="38">
        <v>250.9</v>
      </c>
      <c r="F102" s="19">
        <v>0.76599551698215396</v>
      </c>
      <c r="G102" s="19">
        <v>0.65984067987301387</v>
      </c>
    </row>
    <row r="103" spans="1:7" x14ac:dyDescent="0.3">
      <c r="A103" s="38">
        <v>249.7</v>
      </c>
      <c r="F103" s="19">
        <v>-0.38539649184279345</v>
      </c>
      <c r="G103" s="19">
        <v>-0.44123453335487284</v>
      </c>
    </row>
    <row r="104" spans="1:7" x14ac:dyDescent="0.3">
      <c r="A104" s="38">
        <v>248</v>
      </c>
      <c r="F104" s="19">
        <v>-2.016535171011435</v>
      </c>
      <c r="G104" s="19">
        <v>-1.8786613509291783</v>
      </c>
    </row>
    <row r="105" spans="1:7" x14ac:dyDescent="0.3">
      <c r="A105" s="38">
        <v>250.9</v>
      </c>
      <c r="F105" s="19">
        <v>0.76599551698215396</v>
      </c>
      <c r="G105" s="19">
        <v>0.65984067987301387</v>
      </c>
    </row>
    <row r="106" spans="1:7" x14ac:dyDescent="0.3">
      <c r="A106" s="38">
        <v>247.4</v>
      </c>
      <c r="F106" s="19">
        <v>-2.5922311754238949</v>
      </c>
      <c r="G106" s="19">
        <v>-2.562410372775048</v>
      </c>
    </row>
    <row r="107" spans="1:7" x14ac:dyDescent="0.3">
      <c r="A107" s="38">
        <v>250</v>
      </c>
      <c r="F107" s="19">
        <v>-9.7548489636549746E-2</v>
      </c>
      <c r="G107" s="19">
        <v>-0.15698105926276185</v>
      </c>
    </row>
    <row r="108" spans="1:7" x14ac:dyDescent="0.3">
      <c r="A108" s="38">
        <v>251.2</v>
      </c>
      <c r="F108" s="19">
        <v>1.0538435191883704</v>
      </c>
      <c r="G108" s="19">
        <v>1.0157009455724619</v>
      </c>
    </row>
    <row r="109" spans="1:7" x14ac:dyDescent="0.3">
      <c r="A109" s="38">
        <v>248.3</v>
      </c>
      <c r="F109" s="19">
        <v>-1.7286871688051912</v>
      </c>
      <c r="G109" s="19">
        <v>-1.5973546396708116</v>
      </c>
    </row>
    <row r="110" spans="1:7" x14ac:dyDescent="0.3">
      <c r="A110" s="38">
        <v>249.5</v>
      </c>
      <c r="F110" s="19">
        <v>-0.57729515998027103</v>
      </c>
      <c r="G110" s="19">
        <v>-0.63414290707441978</v>
      </c>
    </row>
    <row r="111" spans="1:7" x14ac:dyDescent="0.3">
      <c r="A111" s="38">
        <v>248.4</v>
      </c>
      <c r="F111" s="19">
        <v>-1.6327378347364523</v>
      </c>
      <c r="G111" s="19">
        <v>-1.5267687558662146</v>
      </c>
    </row>
    <row r="112" spans="1:7" x14ac:dyDescent="0.3">
      <c r="A112" s="38">
        <v>249.9</v>
      </c>
      <c r="F112" s="19">
        <v>-0.19349782370528856</v>
      </c>
      <c r="G112" s="19">
        <v>-0.2635852069943212</v>
      </c>
    </row>
    <row r="113" spans="1:7" x14ac:dyDescent="0.3">
      <c r="A113" s="38">
        <v>249.3</v>
      </c>
      <c r="F113" s="19">
        <v>-0.76919382811774861</v>
      </c>
      <c r="G113" s="19">
        <v>-0.79571918831788935</v>
      </c>
    </row>
    <row r="114" spans="1:7" x14ac:dyDescent="0.3">
      <c r="A114" s="38">
        <v>250.6</v>
      </c>
      <c r="F114" s="19">
        <v>0.47814751477591033</v>
      </c>
      <c r="G114" s="19">
        <v>0.32893694879021496</v>
      </c>
    </row>
    <row r="115" spans="1:7" x14ac:dyDescent="0.3">
      <c r="A115" s="38">
        <v>250.8</v>
      </c>
      <c r="F115" s="19">
        <v>0.67004618291341522</v>
      </c>
      <c r="G115" s="19">
        <v>0.53519443099503405</v>
      </c>
    </row>
    <row r="116" spans="1:7" x14ac:dyDescent="0.3">
      <c r="A116" s="38">
        <v>248.2</v>
      </c>
      <c r="F116" s="19">
        <v>-1.8246365028739573</v>
      </c>
      <c r="G116" s="19">
        <v>-1.6769354260759428</v>
      </c>
    </row>
    <row r="117" spans="1:7" x14ac:dyDescent="0.3">
      <c r="A117" s="38">
        <v>251.4</v>
      </c>
      <c r="F117" s="19">
        <v>1.2457421873258754</v>
      </c>
      <c r="G117" s="19">
        <v>1.2091345524822827</v>
      </c>
    </row>
    <row r="118" spans="1:7" x14ac:dyDescent="0.3">
      <c r="A118" s="38">
        <v>252</v>
      </c>
      <c r="F118" s="19">
        <v>1.8214381917383353</v>
      </c>
      <c r="G118" s="19">
        <v>2.0173501980025321</v>
      </c>
    </row>
    <row r="119" spans="1:7" x14ac:dyDescent="0.3">
      <c r="A119" s="38">
        <v>249.8</v>
      </c>
      <c r="F119" s="19">
        <v>-0.28944715777402735</v>
      </c>
      <c r="G119" s="19">
        <v>-0.37328049984353129</v>
      </c>
    </row>
    <row r="120" spans="1:7" x14ac:dyDescent="0.3">
      <c r="A120" s="38">
        <v>249.8</v>
      </c>
      <c r="F120" s="19">
        <v>-0.28944715777402735</v>
      </c>
      <c r="G120" s="19">
        <v>-0.37328049984353129</v>
      </c>
    </row>
    <row r="121" spans="1:7" x14ac:dyDescent="0.3">
      <c r="A121" s="38">
        <v>251.5</v>
      </c>
      <c r="F121" s="19">
        <v>1.3416915213946141</v>
      </c>
      <c r="G121" s="19">
        <v>1.5267687558662146</v>
      </c>
    </row>
    <row r="122" spans="1:7" x14ac:dyDescent="0.3">
      <c r="A122" s="38">
        <v>248.6</v>
      </c>
      <c r="F122" s="19">
        <v>-1.4408391665989748</v>
      </c>
      <c r="G122" s="19">
        <v>-1.4047918739379384</v>
      </c>
    </row>
    <row r="123" spans="1:7" x14ac:dyDescent="0.3">
      <c r="A123" s="38">
        <v>251.4</v>
      </c>
      <c r="F123" s="19">
        <v>1.2457421873258754</v>
      </c>
      <c r="G123" s="19">
        <v>1.2091345524822827</v>
      </c>
    </row>
    <row r="124" spans="1:7" x14ac:dyDescent="0.3">
      <c r="A124" s="38">
        <v>249.6</v>
      </c>
      <c r="F124" s="19">
        <v>-0.48134582591153224</v>
      </c>
      <c r="G124" s="19">
        <v>-0.55940745369298384</v>
      </c>
    </row>
    <row r="125" spans="1:7" x14ac:dyDescent="0.3">
      <c r="A125" s="38">
        <v>250.5</v>
      </c>
      <c r="F125" s="19">
        <v>0.38219818070717154</v>
      </c>
      <c r="G125" s="19">
        <v>0.2635852069943212</v>
      </c>
    </row>
    <row r="126" spans="1:7" x14ac:dyDescent="0.3">
      <c r="A126" s="38">
        <v>249.9</v>
      </c>
      <c r="F126" s="19">
        <v>-0.19349782370528856</v>
      </c>
      <c r="G126" s="19">
        <v>-0.2635852069943212</v>
      </c>
    </row>
    <row r="127" spans="1:7" x14ac:dyDescent="0.3">
      <c r="A127" s="38">
        <v>250.9</v>
      </c>
      <c r="F127" s="19">
        <v>0.76599551698215396</v>
      </c>
      <c r="G127" s="19">
        <v>0.65984067987301387</v>
      </c>
    </row>
    <row r="128" spans="1:7" x14ac:dyDescent="0.3">
      <c r="A128" s="38">
        <v>250.4</v>
      </c>
      <c r="F128" s="19">
        <v>0.28624884663843275</v>
      </c>
      <c r="G128" s="19">
        <v>0.17812112673709635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ColWidth="9.1796875" defaultRowHeight="13" x14ac:dyDescent="0.3"/>
  <cols>
    <col min="1" max="1" width="9.1796875" style="1"/>
    <col min="2" max="2" width="13.7265625" style="1" customWidth="1"/>
    <col min="3" max="5" width="7.7265625" style="1" customWidth="1"/>
    <col min="6" max="6" width="6.1796875" style="1" customWidth="1"/>
    <col min="7" max="9" width="7.7265625" style="1" customWidth="1"/>
    <col min="10" max="16384" width="9.1796875" style="1"/>
  </cols>
  <sheetData>
    <row r="1" spans="1:9" x14ac:dyDescent="0.3">
      <c r="A1" s="1" t="s">
        <v>0</v>
      </c>
    </row>
    <row r="2" spans="1:9" x14ac:dyDescent="0.3">
      <c r="A2" s="25" t="s">
        <v>67</v>
      </c>
    </row>
    <row r="3" spans="1:9" x14ac:dyDescent="0.3">
      <c r="B3" s="15" t="s">
        <v>68</v>
      </c>
      <c r="C3" s="1">
        <v>3</v>
      </c>
      <c r="F3" s="1" t="s">
        <v>69</v>
      </c>
      <c r="G3" s="1">
        <f t="array" ref="G3:I3">TRANSPOSE(C3:C5)</f>
        <v>3</v>
      </c>
      <c r="H3" s="1">
        <v>4</v>
      </c>
      <c r="I3" s="1">
        <v>5</v>
      </c>
    </row>
    <row r="4" spans="1:9" x14ac:dyDescent="0.3">
      <c r="C4" s="1">
        <v>4</v>
      </c>
    </row>
    <row r="5" spans="1:9" x14ac:dyDescent="0.3">
      <c r="C5" s="1">
        <v>5</v>
      </c>
    </row>
    <row r="7" spans="1:9" x14ac:dyDescent="0.3">
      <c r="B7" s="1" t="s">
        <v>70</v>
      </c>
      <c r="C7" s="28">
        <v>1.1000000000000001</v>
      </c>
      <c r="D7" s="28">
        <v>1.2</v>
      </c>
      <c r="E7" s="28">
        <v>1.3</v>
      </c>
    </row>
    <row r="8" spans="1:9" x14ac:dyDescent="0.3">
      <c r="C8" s="28">
        <v>1.6</v>
      </c>
      <c r="D8" s="28">
        <v>1.5</v>
      </c>
      <c r="E8" s="28">
        <v>1.4</v>
      </c>
    </row>
    <row r="9" spans="1:9" x14ac:dyDescent="0.3">
      <c r="C9" s="28">
        <v>1.8</v>
      </c>
      <c r="D9" s="28">
        <v>1.8</v>
      </c>
      <c r="E9" s="28">
        <v>1.9</v>
      </c>
    </row>
    <row r="11" spans="1:9" x14ac:dyDescent="0.3">
      <c r="B11" s="1" t="s">
        <v>71</v>
      </c>
      <c r="C11" s="28">
        <v>1</v>
      </c>
      <c r="D11" s="28">
        <v>2</v>
      </c>
      <c r="E11" s="28">
        <v>3</v>
      </c>
    </row>
    <row r="12" spans="1:9" x14ac:dyDescent="0.3">
      <c r="C12" s="28">
        <v>1.5</v>
      </c>
      <c r="D12" s="28">
        <v>0.5</v>
      </c>
      <c r="E12" s="28">
        <v>0</v>
      </c>
    </row>
    <row r="13" spans="1:9" x14ac:dyDescent="0.3">
      <c r="C13" s="28">
        <v>2</v>
      </c>
      <c r="D13" s="28">
        <v>2</v>
      </c>
      <c r="E13" s="28">
        <v>1</v>
      </c>
    </row>
    <row r="16" spans="1:9" x14ac:dyDescent="0.3">
      <c r="B16" s="25" t="s">
        <v>72</v>
      </c>
      <c r="C16" s="28">
        <f t="array" ref="C16:E18">ArrayDemo1(C7:E9,C11:E13)</f>
        <v>23.121693121692971</v>
      </c>
      <c r="D16" s="28">
        <v>13.12169312169293</v>
      </c>
      <c r="E16" s="28">
        <v>-25.714285714285467</v>
      </c>
      <c r="G16" s="19"/>
      <c r="H16" s="19"/>
      <c r="I16" s="19"/>
    </row>
    <row r="17" spans="2:9" x14ac:dyDescent="0.3">
      <c r="C17" s="28">
        <v>-30.846560846560578</v>
      </c>
      <c r="D17" s="28">
        <v>-20.846560846560543</v>
      </c>
      <c r="E17" s="28">
        <v>37.142857142856727</v>
      </c>
      <c r="G17" s="19"/>
      <c r="H17" s="19"/>
      <c r="I17" s="19"/>
    </row>
    <row r="18" spans="2:9" x14ac:dyDescent="0.3">
      <c r="C18" s="28">
        <v>8.7830687830686536</v>
      </c>
      <c r="D18" s="28">
        <v>8.7830687830686536</v>
      </c>
      <c r="E18" s="28">
        <v>-12.857142857142668</v>
      </c>
      <c r="G18" s="19"/>
      <c r="H18" s="19"/>
      <c r="I18" s="19"/>
    </row>
    <row r="20" spans="2:9" x14ac:dyDescent="0.3">
      <c r="B20" s="25" t="s">
        <v>73</v>
      </c>
      <c r="C20" s="1">
        <f t="array" ref="C20:C22">ArrayDemo2a(C3:C5,C7:E9)</f>
        <v>14.6</v>
      </c>
      <c r="G20" s="1">
        <f t="array" ref="G20:I20">ArrayDemo2b(C3:C5,C7:E9)</f>
        <v>18.700000000000003</v>
      </c>
      <c r="H20" s="1">
        <v>18.600000000000001</v>
      </c>
      <c r="I20" s="1">
        <v>19</v>
      </c>
    </row>
    <row r="21" spans="2:9" x14ac:dyDescent="0.3">
      <c r="C21" s="1">
        <v>17.8</v>
      </c>
    </row>
    <row r="22" spans="2:9" x14ac:dyDescent="0.3">
      <c r="C22" s="1">
        <v>22.1</v>
      </c>
    </row>
    <row r="24" spans="2:9" x14ac:dyDescent="0.3">
      <c r="B24" s="25" t="s">
        <v>74</v>
      </c>
      <c r="C24" s="1">
        <f t="array" ref="C24:E24">ArrayDemo3(C3:C5)</f>
        <v>3</v>
      </c>
      <c r="D24" s="1">
        <v>4</v>
      </c>
      <c r="E24" s="1">
        <v>5</v>
      </c>
      <c r="G24" s="1">
        <f t="array" ref="G24:I24">ArrayDemo3(G3:I3)</f>
        <v>3</v>
      </c>
      <c r="H24" s="1">
        <v>4</v>
      </c>
      <c r="I24" s="1">
        <v>5</v>
      </c>
    </row>
    <row r="26" spans="2:9" x14ac:dyDescent="0.3">
      <c r="B26" s="25" t="s">
        <v>75</v>
      </c>
      <c r="G26" s="1">
        <f t="array" ref="G26:I26">ArrayDemo4(C7:E9)</f>
        <v>18.700000000000003</v>
      </c>
      <c r="H26" s="1">
        <v>18.600000000000001</v>
      </c>
      <c r="I26" s="1">
        <v>19</v>
      </c>
    </row>
    <row r="28" spans="2:9" x14ac:dyDescent="0.3">
      <c r="B28" s="25" t="s">
        <v>76</v>
      </c>
      <c r="C28" s="1">
        <f t="array" ref="C28">ArrayDemo5(C7:E9)</f>
        <v>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ColWidth="9.1796875" defaultRowHeight="13" x14ac:dyDescent="0.3"/>
  <cols>
    <col min="1" max="5" width="8.7265625" style="1" customWidth="1"/>
    <col min="6" max="6" width="10" style="1" customWidth="1"/>
    <col min="7" max="11" width="8.7265625" style="1" customWidth="1"/>
    <col min="12" max="12" width="5.453125" style="1" customWidth="1"/>
    <col min="13" max="43" width="8.7265625" style="1" customWidth="1"/>
    <col min="44" max="16384" width="9.1796875" style="1"/>
  </cols>
  <sheetData>
    <row r="1" spans="1:16" x14ac:dyDescent="0.3">
      <c r="A1" s="1" t="s">
        <v>0</v>
      </c>
    </row>
    <row r="2" spans="1:16" x14ac:dyDescent="0.3">
      <c r="A2" s="16" t="s">
        <v>77</v>
      </c>
    </row>
    <row r="4" spans="1:16" x14ac:dyDescent="0.3">
      <c r="A4" s="15" t="s">
        <v>15</v>
      </c>
      <c r="D4" s="18">
        <v>100</v>
      </c>
      <c r="F4" s="16" t="s">
        <v>78</v>
      </c>
      <c r="I4" s="19"/>
      <c r="J4" s="19"/>
    </row>
    <row r="5" spans="1:16" x14ac:dyDescent="0.3">
      <c r="A5" s="20" t="s">
        <v>17</v>
      </c>
      <c r="D5" s="18">
        <v>95</v>
      </c>
      <c r="F5" s="40"/>
      <c r="I5" s="19"/>
      <c r="J5" s="19"/>
      <c r="L5" s="19"/>
    </row>
    <row r="6" spans="1:16" x14ac:dyDescent="0.3">
      <c r="A6" s="15" t="s">
        <v>19</v>
      </c>
      <c r="D6" s="22">
        <v>0.08</v>
      </c>
      <c r="F6" s="40" t="s">
        <v>79</v>
      </c>
      <c r="G6" s="23">
        <f>D12/D15</f>
        <v>5.5555555555555552E-2</v>
      </c>
      <c r="J6" s="19"/>
      <c r="L6" s="19"/>
      <c r="M6" s="19"/>
    </row>
    <row r="7" spans="1:16" x14ac:dyDescent="0.3">
      <c r="F7" s="41" t="s">
        <v>80</v>
      </c>
      <c r="G7" s="23">
        <f>EXP(D6*G6)</f>
        <v>1.0044543356358424</v>
      </c>
      <c r="M7" s="15"/>
      <c r="N7" s="15"/>
      <c r="O7" s="15"/>
      <c r="P7" s="18"/>
    </row>
    <row r="8" spans="1:16" x14ac:dyDescent="0.3">
      <c r="A8" s="20" t="s">
        <v>20</v>
      </c>
      <c r="B8" s="15"/>
      <c r="C8" s="15"/>
      <c r="D8" s="22">
        <v>0.03</v>
      </c>
      <c r="F8" s="1" t="s">
        <v>81</v>
      </c>
      <c r="G8" s="23">
        <f>EXP((D6-D8)*G6)</f>
        <v>1.0027816393771962</v>
      </c>
      <c r="M8" s="15"/>
      <c r="N8" s="15"/>
      <c r="O8" s="15"/>
      <c r="P8" s="22"/>
    </row>
    <row r="9" spans="1:16" x14ac:dyDescent="0.3">
      <c r="F9" s="42" t="s">
        <v>82</v>
      </c>
      <c r="G9" s="23">
        <f>EXP(D13*SQRT(G6))</f>
        <v>1.0482692303335082</v>
      </c>
      <c r="N9" s="43"/>
      <c r="O9" s="43"/>
    </row>
    <row r="10" spans="1:16" x14ac:dyDescent="0.3">
      <c r="A10" s="15" t="s">
        <v>23</v>
      </c>
      <c r="D10" s="23">
        <v>0</v>
      </c>
      <c r="F10" s="42" t="s">
        <v>83</v>
      </c>
      <c r="G10" s="23">
        <f>1/G9</f>
        <v>0.95395340344183222</v>
      </c>
      <c r="N10" s="43"/>
      <c r="O10" s="43"/>
    </row>
    <row r="11" spans="1:16" x14ac:dyDescent="0.3">
      <c r="A11" s="15" t="s">
        <v>24</v>
      </c>
      <c r="D11" s="44">
        <v>0.5</v>
      </c>
      <c r="F11" s="42" t="s">
        <v>84</v>
      </c>
      <c r="G11" s="23">
        <f>(G8-G10)/(G9-G10)</f>
        <v>0.51770988544101337</v>
      </c>
      <c r="N11" s="43"/>
      <c r="O11" s="43"/>
    </row>
    <row r="12" spans="1:16" x14ac:dyDescent="0.3">
      <c r="A12" s="15" t="s">
        <v>26</v>
      </c>
      <c r="D12" s="23">
        <f>D11-D10</f>
        <v>0.5</v>
      </c>
      <c r="F12" s="1" t="s">
        <v>85</v>
      </c>
      <c r="G12" s="23">
        <f>1-G11</f>
        <v>0.48229011455898663</v>
      </c>
      <c r="N12" s="43"/>
      <c r="O12" s="43"/>
    </row>
    <row r="13" spans="1:16" x14ac:dyDescent="0.3">
      <c r="A13" s="15" t="s">
        <v>28</v>
      </c>
      <c r="D13" s="45">
        <v>0.2</v>
      </c>
      <c r="N13" s="43"/>
      <c r="O13" s="43"/>
    </row>
    <row r="14" spans="1:16" x14ac:dyDescent="0.3">
      <c r="G14" s="1" t="s">
        <v>86</v>
      </c>
      <c r="I14" s="1" t="s">
        <v>87</v>
      </c>
      <c r="N14" s="43"/>
      <c r="O14" s="43"/>
    </row>
    <row r="15" spans="1:16" x14ac:dyDescent="0.3">
      <c r="A15" s="42" t="s">
        <v>88</v>
      </c>
      <c r="D15" s="46">
        <v>9</v>
      </c>
      <c r="F15" s="1" t="s">
        <v>89</v>
      </c>
      <c r="G15" s="19">
        <f ca="1">B58</f>
        <v>9.6332371978806126</v>
      </c>
      <c r="I15" s="19"/>
      <c r="N15" s="43"/>
      <c r="O15" s="43"/>
    </row>
    <row r="16" spans="1:16" x14ac:dyDescent="0.3">
      <c r="A16" s="1" t="s">
        <v>90</v>
      </c>
      <c r="D16" s="25">
        <v>1</v>
      </c>
      <c r="F16" s="1" t="s">
        <v>91</v>
      </c>
      <c r="G16" s="21">
        <f>BinOptVal(D16,1,D4,D5,D6,D8,D12,D13,D15)</f>
        <v>9.6332371978806002</v>
      </c>
      <c r="I16" s="21">
        <f>BinOptVal(D16,2,D4,D5,D6,D8,D12,D13,D15)</f>
        <v>9.6332371978806002</v>
      </c>
      <c r="N16" s="43"/>
      <c r="O16" s="43"/>
    </row>
    <row r="17" spans="1:15" x14ac:dyDescent="0.3">
      <c r="A17" s="1" t="s">
        <v>92</v>
      </c>
      <c r="D17" s="24" t="str">
        <f>IF(D16=1,"Call","Put")</f>
        <v>Call</v>
      </c>
      <c r="F17" s="1" t="s">
        <v>16</v>
      </c>
      <c r="G17" s="19">
        <f>BSOptValue(D16,D4,D5,D6,D8,D12,D13)</f>
        <v>9.7257629574651006</v>
      </c>
      <c r="N17" s="43"/>
      <c r="O17" s="43"/>
    </row>
    <row r="18" spans="1:15" x14ac:dyDescent="0.3">
      <c r="A18" s="16"/>
      <c r="N18" s="43"/>
      <c r="O18" s="43"/>
    </row>
    <row r="19" spans="1:15" x14ac:dyDescent="0.3">
      <c r="A19" s="25" t="s">
        <v>93</v>
      </c>
    </row>
    <row r="20" spans="1:15" x14ac:dyDescent="0.3">
      <c r="B20" s="24">
        <v>0</v>
      </c>
      <c r="C20" s="24">
        <v>1</v>
      </c>
      <c r="D20" s="24">
        <v>2</v>
      </c>
      <c r="E20" s="24">
        <v>3</v>
      </c>
      <c r="F20" s="24">
        <v>4</v>
      </c>
      <c r="G20" s="24">
        <v>5</v>
      </c>
      <c r="H20" s="24">
        <v>6</v>
      </c>
      <c r="I20" s="24">
        <v>7</v>
      </c>
      <c r="J20" s="24">
        <v>8</v>
      </c>
      <c r="K20" s="24">
        <v>9</v>
      </c>
    </row>
    <row r="21" spans="1:15" x14ac:dyDescent="0.3">
      <c r="A21" s="1">
        <v>9</v>
      </c>
      <c r="C21" s="19" t="str">
        <f t="shared" ref="C21:K30" ca="1" si="0">IF($A21&lt;C$20,$G$10*OFFSET(C21,0,-1),IF($A21=C$20,$G$9*OFFSET(C21,1,-1),""))</f>
        <v/>
      </c>
      <c r="D21" s="19" t="str">
        <f t="shared" ca="1" si="0"/>
        <v/>
      </c>
      <c r="E21" s="19" t="str">
        <f t="shared" ca="1" si="0"/>
        <v/>
      </c>
      <c r="F21" s="19" t="str">
        <f t="shared" ca="1" si="0"/>
        <v/>
      </c>
      <c r="G21" s="19" t="str">
        <f t="shared" ca="1" si="0"/>
        <v/>
      </c>
      <c r="H21" s="19" t="str">
        <f t="shared" ca="1" si="0"/>
        <v/>
      </c>
      <c r="I21" s="19" t="str">
        <f t="shared" ca="1" si="0"/>
        <v/>
      </c>
      <c r="J21" s="19" t="str">
        <f t="shared" ca="1" si="0"/>
        <v/>
      </c>
      <c r="K21" s="19">
        <f t="shared" ca="1" si="0"/>
        <v>152.84651603231768</v>
      </c>
    </row>
    <row r="22" spans="1:15" x14ac:dyDescent="0.3">
      <c r="A22" s="1">
        <v>8</v>
      </c>
      <c r="C22" s="19" t="str">
        <f t="shared" ca="1" si="0"/>
        <v/>
      </c>
      <c r="D22" s="19" t="str">
        <f t="shared" ca="1" si="0"/>
        <v/>
      </c>
      <c r="E22" s="19" t="str">
        <f t="shared" ca="1" si="0"/>
        <v/>
      </c>
      <c r="F22" s="19" t="str">
        <f t="shared" ca="1" si="0"/>
        <v/>
      </c>
      <c r="G22" s="19" t="str">
        <f t="shared" ca="1" si="0"/>
        <v/>
      </c>
      <c r="H22" s="19" t="str">
        <f t="shared" ca="1" si="0"/>
        <v/>
      </c>
      <c r="I22" s="19" t="str">
        <f t="shared" ca="1" si="0"/>
        <v/>
      </c>
      <c r="J22" s="19">
        <f t="shared" ca="1" si="0"/>
        <v>145.80845417325602</v>
      </c>
      <c r="K22" s="19">
        <f t="shared" ca="1" si="0"/>
        <v>139.09447110917</v>
      </c>
    </row>
    <row r="23" spans="1:15" x14ac:dyDescent="0.3">
      <c r="A23" s="1">
        <v>7</v>
      </c>
      <c r="C23" s="19" t="str">
        <f t="shared" ca="1" si="0"/>
        <v/>
      </c>
      <c r="D23" s="19" t="str">
        <f t="shared" ca="1" si="0"/>
        <v/>
      </c>
      <c r="E23" s="19" t="str">
        <f t="shared" ca="1" si="0"/>
        <v/>
      </c>
      <c r="F23" s="19" t="str">
        <f t="shared" ca="1" si="0"/>
        <v/>
      </c>
      <c r="G23" s="19" t="str">
        <f t="shared" ca="1" si="0"/>
        <v/>
      </c>
      <c r="H23" s="19" t="str">
        <f t="shared" ca="1" si="0"/>
        <v/>
      </c>
      <c r="I23" s="19">
        <f t="shared" ca="1" si="0"/>
        <v>139.09447110917</v>
      </c>
      <c r="J23" s="19">
        <f t="shared" ca="1" si="0"/>
        <v>132.68964411453433</v>
      </c>
      <c r="K23" s="19">
        <f t="shared" ca="1" si="0"/>
        <v>126.57973760454551</v>
      </c>
    </row>
    <row r="24" spans="1:15" x14ac:dyDescent="0.3">
      <c r="A24" s="1">
        <v>6</v>
      </c>
      <c r="C24" s="19" t="str">
        <f t="shared" ca="1" si="0"/>
        <v/>
      </c>
      <c r="D24" s="19" t="str">
        <f t="shared" ca="1" si="0"/>
        <v/>
      </c>
      <c r="E24" s="19" t="str">
        <f t="shared" ca="1" si="0"/>
        <v/>
      </c>
      <c r="F24" s="19" t="str">
        <f t="shared" ca="1" si="0"/>
        <v/>
      </c>
      <c r="G24" s="19" t="str">
        <f t="shared" ca="1" si="0"/>
        <v/>
      </c>
      <c r="H24" s="19">
        <f t="shared" ca="1" si="0"/>
        <v>132.68964411453433</v>
      </c>
      <c r="I24" s="19">
        <f t="shared" ca="1" si="0"/>
        <v>126.57973760454551</v>
      </c>
      <c r="J24" s="19">
        <f t="shared" ca="1" si="0"/>
        <v>120.75117149463027</v>
      </c>
      <c r="K24" s="19">
        <f t="shared" ca="1" si="0"/>
        <v>115.19099101689091</v>
      </c>
    </row>
    <row r="25" spans="1:15" x14ac:dyDescent="0.3">
      <c r="A25" s="1">
        <v>5</v>
      </c>
      <c r="C25" s="19" t="str">
        <f t="shared" ca="1" si="0"/>
        <v/>
      </c>
      <c r="D25" s="19" t="str">
        <f t="shared" ca="1" si="0"/>
        <v/>
      </c>
      <c r="E25" s="19" t="str">
        <f t="shared" ca="1" si="0"/>
        <v/>
      </c>
      <c r="F25" s="19" t="str">
        <f t="shared" ca="1" si="0"/>
        <v/>
      </c>
      <c r="G25" s="19">
        <f t="shared" ca="1" si="0"/>
        <v>126.5797376045455</v>
      </c>
      <c r="H25" s="19">
        <f t="shared" ca="1" si="0"/>
        <v>120.75117149463026</v>
      </c>
      <c r="I25" s="19">
        <f t="shared" ca="1" si="0"/>
        <v>115.19099101689089</v>
      </c>
      <c r="J25" s="19">
        <f t="shared" ca="1" si="0"/>
        <v>109.88683792640059</v>
      </c>
      <c r="K25" s="19">
        <f t="shared" ca="1" si="0"/>
        <v>104.82692303335085</v>
      </c>
    </row>
    <row r="26" spans="1:15" x14ac:dyDescent="0.3">
      <c r="A26" s="1">
        <v>4</v>
      </c>
      <c r="C26" s="19" t="str">
        <f t="shared" ca="1" si="0"/>
        <v/>
      </c>
      <c r="D26" s="19" t="str">
        <f t="shared" ca="1" si="0"/>
        <v/>
      </c>
      <c r="E26" s="19" t="str">
        <f t="shared" ca="1" si="0"/>
        <v/>
      </c>
      <c r="F26" s="19">
        <f t="shared" ca="1" si="0"/>
        <v>120.75117149463024</v>
      </c>
      <c r="G26" s="19">
        <f t="shared" ca="1" si="0"/>
        <v>115.19099101689088</v>
      </c>
      <c r="H26" s="19">
        <f t="shared" ca="1" si="0"/>
        <v>109.88683792640057</v>
      </c>
      <c r="I26" s="19">
        <f t="shared" ca="1" si="0"/>
        <v>104.82692303335084</v>
      </c>
      <c r="J26" s="19">
        <f t="shared" ca="1" si="0"/>
        <v>100.00000000000003</v>
      </c>
      <c r="K26" s="19">
        <f t="shared" ca="1" si="0"/>
        <v>95.395340344183253</v>
      </c>
    </row>
    <row r="27" spans="1:15" x14ac:dyDescent="0.3">
      <c r="A27" s="1">
        <v>3</v>
      </c>
      <c r="C27" s="19" t="str">
        <f t="shared" ca="1" si="0"/>
        <v/>
      </c>
      <c r="D27" s="19" t="str">
        <f t="shared" ca="1" si="0"/>
        <v/>
      </c>
      <c r="E27" s="19">
        <f t="shared" ca="1" si="0"/>
        <v>115.19099101689086</v>
      </c>
      <c r="F27" s="19">
        <f t="shared" ca="1" si="0"/>
        <v>109.88683792640056</v>
      </c>
      <c r="G27" s="19">
        <f t="shared" ca="1" si="0"/>
        <v>104.82692303335082</v>
      </c>
      <c r="H27" s="19">
        <f t="shared" ca="1" si="0"/>
        <v>100.00000000000001</v>
      </c>
      <c r="I27" s="19">
        <f t="shared" ca="1" si="0"/>
        <v>95.395340344183239</v>
      </c>
      <c r="J27" s="19">
        <f t="shared" ca="1" si="0"/>
        <v>91.002709593825529</v>
      </c>
      <c r="K27" s="19">
        <f t="shared" ca="1" si="0"/>
        <v>86.812344539458536</v>
      </c>
    </row>
    <row r="28" spans="1:15" x14ac:dyDescent="0.3">
      <c r="A28" s="1">
        <v>2</v>
      </c>
      <c r="C28" s="19" t="str">
        <f t="shared" ca="1" si="0"/>
        <v/>
      </c>
      <c r="D28" s="19">
        <f t="shared" ca="1" si="0"/>
        <v>109.88683792640056</v>
      </c>
      <c r="E28" s="19">
        <f t="shared" ca="1" si="0"/>
        <v>104.82692303335082</v>
      </c>
      <c r="F28" s="19">
        <f t="shared" ca="1" si="0"/>
        <v>100.00000000000001</v>
      </c>
      <c r="G28" s="19">
        <f t="shared" ca="1" si="0"/>
        <v>95.395340344183239</v>
      </c>
      <c r="H28" s="19">
        <f t="shared" ca="1" si="0"/>
        <v>91.002709593825529</v>
      </c>
      <c r="I28" s="19">
        <f t="shared" ca="1" si="0"/>
        <v>86.812344539458536</v>
      </c>
      <c r="J28" s="19">
        <f t="shared" ca="1" si="0"/>
        <v>82.814931534181426</v>
      </c>
      <c r="K28" s="19">
        <f t="shared" ca="1" si="0"/>
        <v>79.001585792834689</v>
      </c>
    </row>
    <row r="29" spans="1:15" x14ac:dyDescent="0.3">
      <c r="A29" s="1">
        <v>1</v>
      </c>
      <c r="C29" s="19">
        <f t="shared" ca="1" si="0"/>
        <v>104.82692303335082</v>
      </c>
      <c r="D29" s="19">
        <f t="shared" ca="1" si="0"/>
        <v>100.00000000000001</v>
      </c>
      <c r="E29" s="19">
        <f t="shared" ca="1" si="0"/>
        <v>95.395340344183239</v>
      </c>
      <c r="F29" s="19">
        <f t="shared" ca="1" si="0"/>
        <v>91.002709593825529</v>
      </c>
      <c r="G29" s="19">
        <f t="shared" ca="1" si="0"/>
        <v>86.812344539458536</v>
      </c>
      <c r="H29" s="19">
        <f t="shared" ca="1" si="0"/>
        <v>82.814931534181426</v>
      </c>
      <c r="I29" s="19">
        <f t="shared" ca="1" si="0"/>
        <v>79.001585792834689</v>
      </c>
      <c r="J29" s="19">
        <f t="shared" ca="1" si="0"/>
        <v>75.363831644376546</v>
      </c>
      <c r="K29" s="19">
        <f t="shared" ca="1" si="0"/>
        <v>71.893583693570264</v>
      </c>
    </row>
    <row r="30" spans="1:15" x14ac:dyDescent="0.3">
      <c r="A30" s="1">
        <v>0</v>
      </c>
      <c r="B30" s="18">
        <f>$D$4</f>
        <v>100</v>
      </c>
      <c r="C30" s="18">
        <f t="shared" ca="1" si="0"/>
        <v>95.395340344183225</v>
      </c>
      <c r="D30" s="19">
        <f t="shared" ca="1" si="0"/>
        <v>91.002709593825514</v>
      </c>
      <c r="E30" s="19">
        <f t="shared" ca="1" si="0"/>
        <v>86.812344539458522</v>
      </c>
      <c r="F30" s="19">
        <f t="shared" ca="1" si="0"/>
        <v>82.814931534181412</v>
      </c>
      <c r="G30" s="19">
        <f t="shared" ca="1" si="0"/>
        <v>79.001585792834675</v>
      </c>
      <c r="H30" s="19">
        <f t="shared" ca="1" si="0"/>
        <v>75.363831644376532</v>
      </c>
      <c r="I30" s="19">
        <f t="shared" ca="1" si="0"/>
        <v>71.89358369357025</v>
      </c>
      <c r="J30" s="19">
        <f t="shared" ca="1" si="0"/>
        <v>68.583128850111549</v>
      </c>
      <c r="K30" s="19">
        <f t="shared" ca="1" si="0"/>
        <v>65.425109185253632</v>
      </c>
    </row>
    <row r="33" spans="1:14" x14ac:dyDescent="0.3">
      <c r="A33" s="16" t="s">
        <v>94</v>
      </c>
    </row>
    <row r="34" spans="1:14" x14ac:dyDescent="0.3">
      <c r="B34" s="24">
        <v>0</v>
      </c>
      <c r="C34" s="24">
        <v>1</v>
      </c>
      <c r="D34" s="24">
        <v>2</v>
      </c>
      <c r="E34" s="24">
        <v>3</v>
      </c>
      <c r="F34" s="24">
        <v>4</v>
      </c>
      <c r="G34" s="24">
        <v>5</v>
      </c>
      <c r="H34" s="24">
        <v>6</v>
      </c>
      <c r="I34" s="24">
        <v>7</v>
      </c>
      <c r="J34" s="24">
        <v>8</v>
      </c>
      <c r="K34" s="24">
        <v>9</v>
      </c>
    </row>
    <row r="35" spans="1:14" x14ac:dyDescent="0.3">
      <c r="A35" s="1">
        <v>9</v>
      </c>
      <c r="K35" s="19">
        <f t="shared" ref="K35:K44" ca="1" si="1">MAX($D$16*(K21-$D$5),0)</f>
        <v>57.84651603231768</v>
      </c>
    </row>
    <row r="36" spans="1:14" x14ac:dyDescent="0.3">
      <c r="A36" s="1">
        <v>8</v>
      </c>
      <c r="K36" s="19">
        <f t="shared" ca="1" si="1"/>
        <v>44.094471109170001</v>
      </c>
    </row>
    <row r="37" spans="1:14" x14ac:dyDescent="0.3">
      <c r="A37" s="1">
        <v>7</v>
      </c>
      <c r="K37" s="19">
        <f t="shared" ca="1" si="1"/>
        <v>31.579737604545514</v>
      </c>
    </row>
    <row r="38" spans="1:14" x14ac:dyDescent="0.3">
      <c r="A38" s="1">
        <v>6</v>
      </c>
      <c r="K38" s="19">
        <f t="shared" ca="1" si="1"/>
        <v>20.190991016890905</v>
      </c>
    </row>
    <row r="39" spans="1:14" x14ac:dyDescent="0.3">
      <c r="A39" s="1">
        <v>5</v>
      </c>
      <c r="K39" s="19">
        <f t="shared" ca="1" si="1"/>
        <v>9.8269230333508517</v>
      </c>
    </row>
    <row r="40" spans="1:14" x14ac:dyDescent="0.3">
      <c r="A40" s="1">
        <v>4</v>
      </c>
      <c r="K40" s="19">
        <f t="shared" ca="1" si="1"/>
        <v>0.39534034418325348</v>
      </c>
    </row>
    <row r="41" spans="1:14" x14ac:dyDescent="0.3">
      <c r="A41" s="1">
        <v>3</v>
      </c>
      <c r="K41" s="19">
        <f t="shared" ca="1" si="1"/>
        <v>0</v>
      </c>
    </row>
    <row r="42" spans="1:14" x14ac:dyDescent="0.3">
      <c r="A42" s="1">
        <v>2</v>
      </c>
      <c r="K42" s="19">
        <f t="shared" ca="1" si="1"/>
        <v>0</v>
      </c>
    </row>
    <row r="43" spans="1:14" x14ac:dyDescent="0.3">
      <c r="A43" s="1">
        <v>1</v>
      </c>
      <c r="K43" s="19">
        <f t="shared" ca="1" si="1"/>
        <v>0</v>
      </c>
    </row>
    <row r="44" spans="1:14" x14ac:dyDescent="0.3">
      <c r="A44" s="1">
        <v>0</v>
      </c>
      <c r="K44" s="18">
        <f t="shared" ca="1" si="1"/>
        <v>0</v>
      </c>
    </row>
    <row r="47" spans="1:14" x14ac:dyDescent="0.3">
      <c r="A47" s="16" t="s">
        <v>95</v>
      </c>
      <c r="M47" s="47" t="s">
        <v>96</v>
      </c>
      <c r="N47" s="47" t="s">
        <v>97</v>
      </c>
    </row>
    <row r="48" spans="1:14" x14ac:dyDescent="0.3">
      <c r="B48" s="24">
        <v>0</v>
      </c>
      <c r="C48" s="24">
        <v>1</v>
      </c>
      <c r="D48" s="24">
        <v>2</v>
      </c>
      <c r="E48" s="24">
        <v>3</v>
      </c>
      <c r="F48" s="24">
        <v>4</v>
      </c>
      <c r="G48" s="24">
        <v>5</v>
      </c>
      <c r="H48" s="24">
        <v>6</v>
      </c>
      <c r="I48" s="24">
        <v>7</v>
      </c>
      <c r="J48" s="24">
        <v>8</v>
      </c>
      <c r="K48" s="24">
        <v>9</v>
      </c>
    </row>
    <row r="49" spans="1:14" x14ac:dyDescent="0.3">
      <c r="A49" s="1">
        <v>9</v>
      </c>
      <c r="B49" s="19" t="str">
        <f t="shared" ref="B49:J58" si="2">IF($A49&lt;=B$48,($G$11*C48+$G$12*C49)/$G$7,"")</f>
        <v/>
      </c>
      <c r="C49" s="19" t="str">
        <f t="shared" si="2"/>
        <v/>
      </c>
      <c r="D49" s="19" t="str">
        <f t="shared" si="2"/>
        <v/>
      </c>
      <c r="E49" s="19" t="str">
        <f t="shared" si="2"/>
        <v/>
      </c>
      <c r="F49" s="19" t="str">
        <f t="shared" si="2"/>
        <v/>
      </c>
      <c r="G49" s="19" t="str">
        <f t="shared" si="2"/>
        <v/>
      </c>
      <c r="H49" s="19" t="str">
        <f t="shared" si="2"/>
        <v/>
      </c>
      <c r="I49" s="19" t="str">
        <f t="shared" si="2"/>
        <v/>
      </c>
      <c r="J49" s="19" t="str">
        <f t="shared" si="2"/>
        <v/>
      </c>
      <c r="K49" s="19">
        <f t="shared" ref="K49:K58" ca="1" si="3">K35</f>
        <v>57.84651603231768</v>
      </c>
      <c r="M49" s="43">
        <f t="shared" ref="M49:M58" si="4">COMBIN($D$15,A49)*$G$11^A49*$G$12^($D$15-A49)</f>
        <v>2.6716411218499427E-3</v>
      </c>
      <c r="N49" s="19">
        <f t="shared" ref="N49:N58" ca="1" si="5">M49*K49</f>
        <v>0.1545451309876919</v>
      </c>
    </row>
    <row r="50" spans="1:14" x14ac:dyDescent="0.3">
      <c r="A50" s="1">
        <v>8</v>
      </c>
      <c r="B50" s="19" t="str">
        <f t="shared" si="2"/>
        <v/>
      </c>
      <c r="C50" s="19" t="str">
        <f t="shared" si="2"/>
        <v/>
      </c>
      <c r="D50" s="19" t="str">
        <f t="shared" si="2"/>
        <v/>
      </c>
      <c r="E50" s="19" t="str">
        <f t="shared" si="2"/>
        <v/>
      </c>
      <c r="F50" s="19" t="str">
        <f t="shared" si="2"/>
        <v/>
      </c>
      <c r="G50" s="19" t="str">
        <f t="shared" si="2"/>
        <v/>
      </c>
      <c r="H50" s="19" t="str">
        <f t="shared" si="2"/>
        <v/>
      </c>
      <c r="I50" s="19" t="str">
        <f t="shared" si="2"/>
        <v/>
      </c>
      <c r="J50" s="19">
        <f t="shared" ca="1" si="2"/>
        <v>50.986927821355664</v>
      </c>
      <c r="K50" s="19">
        <f t="shared" ca="1" si="3"/>
        <v>44.094471109170001</v>
      </c>
      <c r="M50" s="43">
        <f t="shared" si="4"/>
        <v>2.2399717004783482E-2</v>
      </c>
      <c r="N50" s="19">
        <f t="shared" ca="1" si="5"/>
        <v>0.98770367432100925</v>
      </c>
    </row>
    <row r="51" spans="1:14" x14ac:dyDescent="0.3">
      <c r="A51" s="1">
        <v>7</v>
      </c>
      <c r="B51" s="19" t="str">
        <f t="shared" si="2"/>
        <v/>
      </c>
      <c r="C51" s="19" t="str">
        <f t="shared" si="2"/>
        <v/>
      </c>
      <c r="D51" s="19" t="str">
        <f t="shared" si="2"/>
        <v/>
      </c>
      <c r="E51" s="19" t="str">
        <f t="shared" si="2"/>
        <v/>
      </c>
      <c r="F51" s="19" t="str">
        <f t="shared" si="2"/>
        <v/>
      </c>
      <c r="G51" s="19" t="str">
        <f t="shared" si="2"/>
        <v/>
      </c>
      <c r="H51" s="19" t="str">
        <f t="shared" si="2"/>
        <v/>
      </c>
      <c r="I51" s="19">
        <f t="shared" ca="1" si="2"/>
        <v>44.472297214921234</v>
      </c>
      <c r="J51" s="19">
        <f t="shared" ca="1" si="2"/>
        <v>37.889964235613981</v>
      </c>
      <c r="K51" s="19">
        <f t="shared" ca="1" si="3"/>
        <v>31.579737604545514</v>
      </c>
      <c r="M51" s="43">
        <f t="shared" si="4"/>
        <v>8.3468849130614448E-2</v>
      </c>
      <c r="N51" s="19">
        <f t="shared" ca="1" si="5"/>
        <v>2.6359243536982011</v>
      </c>
    </row>
    <row r="52" spans="1:14" x14ac:dyDescent="0.3">
      <c r="A52" s="1">
        <v>6</v>
      </c>
      <c r="B52" s="19" t="str">
        <f t="shared" si="2"/>
        <v/>
      </c>
      <c r="C52" s="19" t="str">
        <f t="shared" si="2"/>
        <v/>
      </c>
      <c r="D52" s="19" t="str">
        <f t="shared" si="2"/>
        <v/>
      </c>
      <c r="E52" s="19" t="str">
        <f t="shared" si="2"/>
        <v/>
      </c>
      <c r="F52" s="19" t="str">
        <f t="shared" si="2"/>
        <v/>
      </c>
      <c r="G52" s="19" t="str">
        <f t="shared" si="2"/>
        <v/>
      </c>
      <c r="H52" s="19">
        <f t="shared" ca="1" si="2"/>
        <v>38.286111381913862</v>
      </c>
      <c r="I52" s="19">
        <f t="shared" ca="1" si="2"/>
        <v>31.999210039535356</v>
      </c>
      <c r="J52" s="19">
        <f t="shared" ca="1" si="2"/>
        <v>25.971372498072405</v>
      </c>
      <c r="K52" s="19">
        <f t="shared" ca="1" si="3"/>
        <v>20.190991016890905</v>
      </c>
      <c r="M52" s="43">
        <f t="shared" si="4"/>
        <v>0.18143585406276252</v>
      </c>
      <c r="N52" s="19">
        <f t="shared" ca="1" si="5"/>
        <v>3.6633696995231673</v>
      </c>
    </row>
    <row r="53" spans="1:14" x14ac:dyDescent="0.3">
      <c r="A53" s="1">
        <v>5</v>
      </c>
      <c r="B53" s="19" t="str">
        <f t="shared" si="2"/>
        <v/>
      </c>
      <c r="C53" s="19" t="str">
        <f t="shared" si="2"/>
        <v/>
      </c>
      <c r="D53" s="19" t="str">
        <f t="shared" si="2"/>
        <v/>
      </c>
      <c r="E53" s="19" t="str">
        <f t="shared" si="2"/>
        <v/>
      </c>
      <c r="F53" s="19" t="str">
        <f t="shared" si="2"/>
        <v/>
      </c>
      <c r="G53" s="19">
        <f t="shared" ca="1" si="2"/>
        <v>32.41264444106578</v>
      </c>
      <c r="H53" s="19">
        <f t="shared" ca="1" si="2"/>
        <v>26.40718214260917</v>
      </c>
      <c r="I53" s="19">
        <f t="shared" ca="1" si="2"/>
        <v>20.648362739934246</v>
      </c>
      <c r="J53" s="19">
        <f t="shared" ca="1" si="2"/>
        <v>15.12513107148375</v>
      </c>
      <c r="K53" s="19">
        <f t="shared" ca="1" si="3"/>
        <v>9.8269230333508517</v>
      </c>
      <c r="M53" s="43">
        <f t="shared" si="4"/>
        <v>0.25353403895261545</v>
      </c>
      <c r="N53" s="19">
        <f t="shared" ca="1" si="5"/>
        <v>2.4914594871219289</v>
      </c>
    </row>
    <row r="54" spans="1:14" x14ac:dyDescent="0.3">
      <c r="A54" s="1">
        <v>4</v>
      </c>
      <c r="B54" s="19" t="str">
        <f t="shared" si="2"/>
        <v/>
      </c>
      <c r="C54" s="19" t="str">
        <f t="shared" si="2"/>
        <v/>
      </c>
      <c r="D54" s="19" t="str">
        <f t="shared" si="2"/>
        <v/>
      </c>
      <c r="E54" s="19" t="str">
        <f t="shared" si="2"/>
        <v/>
      </c>
      <c r="F54" s="19">
        <f t="shared" ca="1" si="2"/>
        <v>26.836919972846285</v>
      </c>
      <c r="G54" s="19">
        <f t="shared" ca="1" si="2"/>
        <v>21.099570308875844</v>
      </c>
      <c r="H54" s="19">
        <f t="shared" ca="1" si="2"/>
        <v>15.597034664108683</v>
      </c>
      <c r="I54" s="19">
        <f t="shared" ca="1" si="2"/>
        <v>10.318784135439657</v>
      </c>
      <c r="J54" s="19">
        <f t="shared" ca="1" si="2"/>
        <v>5.2547574842000735</v>
      </c>
      <c r="K54" s="19">
        <f t="shared" ca="1" si="3"/>
        <v>0.39534034418325348</v>
      </c>
      <c r="M54" s="43">
        <f t="shared" si="4"/>
        <v>0.23618818981387105</v>
      </c>
      <c r="N54" s="19">
        <f t="shared" ca="1" si="5"/>
        <v>9.3374720253035379E-2</v>
      </c>
    </row>
    <row r="55" spans="1:14" x14ac:dyDescent="0.3">
      <c r="A55" s="1">
        <v>3</v>
      </c>
      <c r="B55" s="19" t="str">
        <f t="shared" si="2"/>
        <v/>
      </c>
      <c r="C55" s="19" t="str">
        <f t="shared" si="2"/>
        <v/>
      </c>
      <c r="D55" s="19" t="str">
        <f t="shared" si="2"/>
        <v/>
      </c>
      <c r="E55" s="19">
        <f t="shared" ca="1" si="2"/>
        <v>21.645004791023116</v>
      </c>
      <c r="F55" s="19">
        <f t="shared" ca="1" si="2"/>
        <v>16.271700177072653</v>
      </c>
      <c r="G55" s="19">
        <f t="shared" ca="1" si="2"/>
        <v>11.239549598733118</v>
      </c>
      <c r="H55" s="19">
        <f t="shared" ca="1" si="2"/>
        <v>6.6658535989403038</v>
      </c>
      <c r="I55" s="19">
        <f t="shared" ca="1" si="2"/>
        <v>2.8062134276957731</v>
      </c>
      <c r="J55" s="19">
        <f t="shared" ca="1" si="2"/>
        <v>0.20376397117919867</v>
      </c>
      <c r="K55" s="19">
        <f t="shared" ca="1" si="3"/>
        <v>0</v>
      </c>
      <c r="M55" s="43">
        <f t="shared" si="4"/>
        <v>0.14668605246066951</v>
      </c>
      <c r="N55" s="19">
        <f t="shared" ca="1" si="5"/>
        <v>0</v>
      </c>
    </row>
    <row r="56" spans="1:14" x14ac:dyDescent="0.3">
      <c r="A56" s="1">
        <v>2</v>
      </c>
      <c r="B56" s="19" t="str">
        <f t="shared" si="2"/>
        <v/>
      </c>
      <c r="C56" s="19" t="str">
        <f t="shared" si="2"/>
        <v/>
      </c>
      <c r="D56" s="19">
        <f t="shared" ca="1" si="2"/>
        <v>16.978435257251366</v>
      </c>
      <c r="E56" s="19">
        <f t="shared" ca="1" si="2"/>
        <v>12.125958586307597</v>
      </c>
      <c r="F56" s="19">
        <f t="shared" ca="1" si="2"/>
        <v>7.787743368095021</v>
      </c>
      <c r="G56" s="19">
        <f t="shared" ca="1" si="2"/>
        <v>4.1543597831478234</v>
      </c>
      <c r="H56" s="19">
        <f t="shared" ca="1" si="2"/>
        <v>1.4967886985619892</v>
      </c>
      <c r="I56" s="19">
        <f t="shared" ca="1" si="2"/>
        <v>0.10502281530738869</v>
      </c>
      <c r="J56" s="19">
        <f t="shared" ca="1" si="2"/>
        <v>0</v>
      </c>
      <c r="K56" s="19">
        <f t="shared" ca="1" si="3"/>
        <v>0</v>
      </c>
      <c r="M56" s="43">
        <f t="shared" si="4"/>
        <v>5.8564432404230621E-2</v>
      </c>
      <c r="N56" s="19">
        <f t="shared" ca="1" si="5"/>
        <v>0</v>
      </c>
    </row>
    <row r="57" spans="1:14" x14ac:dyDescent="0.3">
      <c r="A57" s="1">
        <v>1</v>
      </c>
      <c r="B57" s="19" t="str">
        <f t="shared" si="2"/>
        <v/>
      </c>
      <c r="C57" s="19">
        <f t="shared" ca="1" si="2"/>
        <v>12.956617039317122</v>
      </c>
      <c r="D57" s="19">
        <f t="shared" ca="1" si="2"/>
        <v>8.7590980216936991</v>
      </c>
      <c r="E57" s="19">
        <f t="shared" ca="1" si="2"/>
        <v>5.2258698187800627</v>
      </c>
      <c r="F57" s="19">
        <f t="shared" ca="1" si="2"/>
        <v>2.5241153265494822</v>
      </c>
      <c r="G57" s="19">
        <f t="shared" ca="1" si="2"/>
        <v>0.79745664357019641</v>
      </c>
      <c r="H57" s="19">
        <f t="shared" ca="1" si="2"/>
        <v>5.413023544476276E-2</v>
      </c>
      <c r="I57" s="19">
        <f t="shared" ca="1" si="2"/>
        <v>0</v>
      </c>
      <c r="J57" s="19">
        <f t="shared" ca="1" si="2"/>
        <v>0</v>
      </c>
      <c r="K57" s="19">
        <f t="shared" ca="1" si="3"/>
        <v>0</v>
      </c>
      <c r="M57" s="43">
        <f t="shared" si="4"/>
        <v>1.3639418334294388E-2</v>
      </c>
      <c r="N57" s="19">
        <f t="shared" ca="1" si="5"/>
        <v>0</v>
      </c>
    </row>
    <row r="58" spans="1:14" x14ac:dyDescent="0.3">
      <c r="A58" s="1">
        <v>0</v>
      </c>
      <c r="B58" s="19">
        <f t="shared" ca="1" si="2"/>
        <v>9.6332371978806126</v>
      </c>
      <c r="C58" s="19">
        <f t="shared" ca="1" si="2"/>
        <v>6.1547563528355456</v>
      </c>
      <c r="D58" s="19">
        <f t="shared" ca="1" si="2"/>
        <v>3.4159938598715733</v>
      </c>
      <c r="E58" s="19">
        <f t="shared" ca="1" si="2"/>
        <v>1.5047486065658984</v>
      </c>
      <c r="F58" s="19">
        <f t="shared" ca="1" si="2"/>
        <v>0.4244163402487397</v>
      </c>
      <c r="G58" s="19">
        <f t="shared" ca="1" si="2"/>
        <v>2.7899484323758265E-2</v>
      </c>
      <c r="H58" s="19">
        <f t="shared" ca="1" si="2"/>
        <v>0</v>
      </c>
      <c r="I58" s="19">
        <f t="shared" ca="1" si="2"/>
        <v>0</v>
      </c>
      <c r="J58" s="18">
        <f t="shared" ca="1" si="2"/>
        <v>0</v>
      </c>
      <c r="K58" s="18">
        <f t="shared" ca="1" si="3"/>
        <v>0</v>
      </c>
      <c r="M58" s="43">
        <f t="shared" si="4"/>
        <v>1.4118067143083326E-3</v>
      </c>
      <c r="N58" s="19">
        <f t="shared" ca="1" si="5"/>
        <v>0</v>
      </c>
    </row>
    <row r="59" spans="1:14" x14ac:dyDescent="0.3">
      <c r="M59" s="43"/>
    </row>
    <row r="60" spans="1:14" x14ac:dyDescent="0.3">
      <c r="M60" s="43">
        <f>SUM(M49:M58)</f>
        <v>0.99999999999999978</v>
      </c>
      <c r="N60" s="19">
        <f ca="1">SUM(N49:N58)*EXP(-D6*D12)</f>
        <v>9.6332371978806144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ColWidth="9.1796875" defaultRowHeight="13" x14ac:dyDescent="0.3"/>
  <cols>
    <col min="1" max="3" width="9.1796875" style="1"/>
    <col min="4" max="4" width="7.453125" style="1" customWidth="1"/>
    <col min="5" max="16384" width="9.1796875" style="1"/>
  </cols>
  <sheetData>
    <row r="1" spans="1:7" x14ac:dyDescent="0.3">
      <c r="A1" s="1" t="s">
        <v>0</v>
      </c>
    </row>
    <row r="2" spans="1:7" x14ac:dyDescent="0.3">
      <c r="A2" s="25" t="s">
        <v>98</v>
      </c>
    </row>
    <row r="3" spans="1:7" x14ac:dyDescent="0.3">
      <c r="B3" s="48" t="s">
        <v>99</v>
      </c>
      <c r="C3" s="3"/>
      <c r="D3" s="3"/>
      <c r="E3" s="48" t="s">
        <v>100</v>
      </c>
      <c r="F3" s="3"/>
      <c r="G3" s="3"/>
    </row>
    <row r="4" spans="1:7" x14ac:dyDescent="0.3">
      <c r="A4" s="48" t="s">
        <v>101</v>
      </c>
      <c r="B4" s="1" t="s">
        <v>102</v>
      </c>
      <c r="C4" s="3" t="s">
        <v>103</v>
      </c>
      <c r="D4" s="3"/>
      <c r="E4" s="1" t="s">
        <v>102</v>
      </c>
      <c r="F4" s="3" t="s">
        <v>103</v>
      </c>
      <c r="G4" s="3"/>
    </row>
    <row r="5" spans="1:7" x14ac:dyDescent="0.3">
      <c r="A5" s="48"/>
      <c r="B5" s="3"/>
      <c r="C5" s="3"/>
      <c r="D5" s="3"/>
      <c r="E5" s="3"/>
      <c r="F5" s="3"/>
    </row>
    <row r="6" spans="1:7" x14ac:dyDescent="0.3">
      <c r="A6" s="49">
        <v>0</v>
      </c>
      <c r="B6" s="50">
        <v>-100</v>
      </c>
      <c r="C6" s="49">
        <f>B6</f>
        <v>-100</v>
      </c>
      <c r="D6" s="51" t="s">
        <v>104</v>
      </c>
      <c r="E6" s="50">
        <v>-150</v>
      </c>
      <c r="F6" s="49">
        <f>E6</f>
        <v>-150</v>
      </c>
    </row>
    <row r="7" spans="1:7" x14ac:dyDescent="0.3">
      <c r="A7" s="49">
        <v>1</v>
      </c>
      <c r="B7" s="50">
        <v>35</v>
      </c>
      <c r="C7" s="51">
        <f t="shared" ref="C7:C10" si="0">B7+C6</f>
        <v>-65</v>
      </c>
      <c r="D7" s="51" t="s">
        <v>105</v>
      </c>
      <c r="E7" s="50">
        <f>60</f>
        <v>60</v>
      </c>
      <c r="F7" s="49">
        <f t="shared" ref="F7:F10" si="1">E7+F6</f>
        <v>-90</v>
      </c>
    </row>
    <row r="8" spans="1:7" x14ac:dyDescent="0.3">
      <c r="A8" s="49">
        <v>2</v>
      </c>
      <c r="B8" s="50">
        <v>45</v>
      </c>
      <c r="C8" s="49">
        <f t="shared" si="0"/>
        <v>-20</v>
      </c>
      <c r="D8" s="49"/>
      <c r="E8" s="50">
        <v>65</v>
      </c>
      <c r="F8" s="49">
        <f t="shared" si="1"/>
        <v>-25</v>
      </c>
    </row>
    <row r="9" spans="1:7" x14ac:dyDescent="0.3">
      <c r="A9" s="49">
        <v>3</v>
      </c>
      <c r="B9" s="50">
        <v>55</v>
      </c>
      <c r="C9" s="49">
        <f t="shared" si="0"/>
        <v>35</v>
      </c>
      <c r="D9" s="49"/>
      <c r="E9" s="50">
        <v>65</v>
      </c>
      <c r="F9" s="49">
        <f t="shared" si="1"/>
        <v>40</v>
      </c>
    </row>
    <row r="10" spans="1:7" x14ac:dyDescent="0.3">
      <c r="A10" s="49">
        <v>4</v>
      </c>
      <c r="B10" s="50">
        <v>60</v>
      </c>
      <c r="C10" s="49">
        <f t="shared" si="0"/>
        <v>95</v>
      </c>
      <c r="D10" s="49"/>
      <c r="E10" s="50">
        <v>80</v>
      </c>
      <c r="F10" s="49">
        <f t="shared" si="1"/>
        <v>120</v>
      </c>
    </row>
    <row r="11" spans="1:7" x14ac:dyDescent="0.3">
      <c r="A11" s="49">
        <v>5</v>
      </c>
      <c r="B11" s="50">
        <v>60</v>
      </c>
      <c r="C11" s="52">
        <f>SUM(B6:B11)</f>
        <v>155</v>
      </c>
      <c r="D11" s="52"/>
      <c r="E11" s="50">
        <v>75</v>
      </c>
      <c r="F11" s="52">
        <f>SUM(E6:E11)</f>
        <v>195</v>
      </c>
    </row>
    <row r="12" spans="1:7" x14ac:dyDescent="0.3">
      <c r="A12" s="49"/>
      <c r="B12" s="50"/>
      <c r="C12" s="52"/>
      <c r="D12" s="52"/>
      <c r="E12" s="50"/>
      <c r="F12" s="52"/>
    </row>
    <row r="13" spans="1:7" x14ac:dyDescent="0.3">
      <c r="A13" s="3" t="s">
        <v>106</v>
      </c>
      <c r="C13" s="53">
        <f>B6+NPV($C$17,B7:B11)</f>
        <v>64.76043927428978</v>
      </c>
      <c r="D13" s="3"/>
      <c r="E13" s="3"/>
      <c r="F13" s="53">
        <f>E6+NPV($C$17,E7:E11)</f>
        <v>77.090321320663037</v>
      </c>
      <c r="G13" s="3"/>
    </row>
    <row r="14" spans="1:7" x14ac:dyDescent="0.3">
      <c r="A14" s="3" t="s">
        <v>107</v>
      </c>
      <c r="C14" s="54">
        <f>IRR(B6:B11,$C$17)</f>
        <v>0.37193348064571846</v>
      </c>
      <c r="D14" s="55"/>
      <c r="F14" s="54">
        <f>IRR(E6:E11,$C$17)</f>
        <v>0.3405666970127123</v>
      </c>
    </row>
    <row r="15" spans="1:7" x14ac:dyDescent="0.3">
      <c r="A15" s="56" t="s">
        <v>108</v>
      </c>
      <c r="C15" s="1">
        <f>PayBack(cflow1)</f>
        <v>2.4</v>
      </c>
      <c r="D15" s="57"/>
      <c r="F15" s="1">
        <f>PayBack(cflow2)</f>
        <v>2.4</v>
      </c>
    </row>
    <row r="17" spans="1:4" x14ac:dyDescent="0.3">
      <c r="A17" s="1" t="s">
        <v>109</v>
      </c>
      <c r="C17" s="58">
        <v>0.15</v>
      </c>
    </row>
    <row r="18" spans="1:4" x14ac:dyDescent="0.3">
      <c r="C18" s="58"/>
    </row>
    <row r="19" spans="1:4" x14ac:dyDescent="0.3">
      <c r="A19" s="25" t="s">
        <v>110</v>
      </c>
      <c r="C19" s="58"/>
    </row>
    <row r="20" spans="1:4" x14ac:dyDescent="0.3">
      <c r="A20" s="1" t="s">
        <v>111</v>
      </c>
      <c r="C20" s="19">
        <f>NetPV(cflow1,C17)</f>
        <v>64.760439274289809</v>
      </c>
    </row>
    <row r="22" spans="1:4" x14ac:dyDescent="0.3">
      <c r="A22"/>
      <c r="B22"/>
      <c r="C22"/>
    </row>
    <row r="23" spans="1:4" x14ac:dyDescent="0.3">
      <c r="A23"/>
      <c r="B23"/>
      <c r="C23"/>
      <c r="D23" s="39"/>
    </row>
    <row r="24" spans="1:4" x14ac:dyDescent="0.3">
      <c r="A24"/>
      <c r="B24"/>
      <c r="C24"/>
    </row>
    <row r="25" spans="1:4" x14ac:dyDescent="0.3">
      <c r="A25"/>
      <c r="B25"/>
      <c r="C25"/>
    </row>
    <row r="26" spans="1:4" x14ac:dyDescent="0.3">
      <c r="A26"/>
      <c r="B26"/>
      <c r="C26"/>
    </row>
    <row r="27" spans="1:4" x14ac:dyDescent="0.3">
      <c r="A27"/>
      <c r="B27"/>
      <c r="C27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SalesCom</vt:lpstr>
      <vt:lpstr>BS</vt:lpstr>
      <vt:lpstr>ExpValues</vt:lpstr>
      <vt:lpstr>PFolio</vt:lpstr>
      <vt:lpstr>Data</vt:lpstr>
      <vt:lpstr>Arrays</vt:lpstr>
      <vt:lpstr>CRRTree</vt:lpstr>
      <vt:lpstr>FinArith</vt:lpstr>
      <vt:lpstr>cflow1</vt:lpstr>
      <vt:lpstr>cflow2</vt:lpstr>
      <vt:lpstr>dvec</vt:lpstr>
      <vt:lpstr>lookup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AMFchapter 4</dc:title>
  <dc:creator>Mary Jackson and Mike Staunton</dc:creator>
  <dc:description/>
  <cp:lastModifiedBy>Carina Negreanu</cp:lastModifiedBy>
  <dcterms:created xsi:type="dcterms:W3CDTF">2000-09-19T17:27:05Z</dcterms:created>
  <dcterms:modified xsi:type="dcterms:W3CDTF">2020-01-27T12:49:18Z</dcterms:modified>
</cp:coreProperties>
</file>