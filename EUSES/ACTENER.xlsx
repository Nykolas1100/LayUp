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BDD062D-C511-43A4-BA14-79D86D26FE87}" xr6:coauthVersionLast="45" xr6:coauthVersionMax="45" xr10:uidLastSave="{00000000-0000-0000-0000-000000000000}"/>
  <bookViews>
    <workbookView xWindow="3420" yWindow="3420" windowWidth="28800" windowHeight="15460"/>
  </bookViews>
  <sheets>
    <sheet name="Step 1. Raw Data" sheetId="1" r:id="rId1"/>
    <sheet name="Step 2. Adding Text" sheetId="2" r:id="rId2"/>
    <sheet name="Step 3. Averaging I" sheetId="3" r:id="rId3"/>
    <sheet name="Step 4. Averaging II" sheetId="4" r:id="rId4"/>
    <sheet name="Step 5. Borders" sheetId="5" r:id="rId5"/>
    <sheet name="Step 6. Inserting" sheetId="6" r:id="rId6"/>
    <sheet name="Step 7. Charting" sheetId="7" r:id="rId7"/>
    <sheet name="Step 8. Regression" sheetId="8" r:id="rId8"/>
    <sheet name="Step 9. RegrResults" sheetId="9" r:id="rId9"/>
    <sheet name="Step 10. FinalResults" sheetId="10" r:id="rId10"/>
  </sheets>
  <definedNames>
    <definedName name="_Fill" hidden="1">#REF!</definedName>
    <definedName name="_Regression_Out" hidden="1">#REF!</definedName>
    <definedName name="_Regression_X" hidden="1">#REF!</definedName>
    <definedName name="_Regression_Y" hidden="1">#REF!</definedName>
    <definedName name="Intcpt">'Step 9. RegrResults'!$B$17</definedName>
    <definedName name="_xlnm.Print_Area" localSheetId="9">'Step 10. FinalResults'!$C$3:$L$20</definedName>
    <definedName name="R_">'Step 10. FinalResults'!$Q$11</definedName>
    <definedName name="R_Square">'Step 9. RegrResults'!$B$5</definedName>
    <definedName name="ScratchPad">'Step 10. FinalResults'!$T$2</definedName>
    <definedName name="Slope">'Step 9. RegrResults'!$B$18</definedName>
  </definedNames>
  <calcPr calcId="0" iterate="1" iterateCount="1"/>
</workbook>
</file>

<file path=xl/calcChain.xml><?xml version="1.0" encoding="utf-8"?>
<calcChain xmlns="http://schemas.openxmlformats.org/spreadsheetml/2006/main">
  <c r="D5" i="10" l="1"/>
  <c r="K5" i="10"/>
  <c r="L5" i="10"/>
  <c r="R5" i="10"/>
  <c r="D6" i="10"/>
  <c r="K6" i="10"/>
  <c r="L6" i="10"/>
  <c r="R6" i="10"/>
  <c r="D7" i="10"/>
  <c r="K7" i="10"/>
  <c r="L7" i="10"/>
  <c r="R7" i="10"/>
  <c r="D8" i="10"/>
  <c r="K8" i="10"/>
  <c r="L8" i="10"/>
  <c r="D9" i="10"/>
  <c r="K9" i="10"/>
  <c r="L9" i="10"/>
  <c r="D10" i="10"/>
  <c r="K10" i="10"/>
  <c r="L10" i="10"/>
  <c r="D11" i="10"/>
  <c r="K11" i="10"/>
  <c r="L11" i="10"/>
  <c r="D12" i="10"/>
  <c r="K12" i="10"/>
  <c r="L12" i="10"/>
  <c r="F17" i="10"/>
  <c r="G17" i="10"/>
  <c r="F18" i="10"/>
  <c r="F19" i="10"/>
  <c r="L19" i="10"/>
  <c r="I5" i="3"/>
  <c r="J5" i="4"/>
  <c r="J5" i="5"/>
  <c r="J6" i="5"/>
  <c r="J7" i="5"/>
  <c r="J8" i="5"/>
  <c r="J9" i="5"/>
  <c r="J10" i="5"/>
  <c r="J11" i="5"/>
  <c r="J12" i="5"/>
  <c r="D5" i="6"/>
  <c r="K5" i="6"/>
  <c r="L5" i="6"/>
  <c r="K6" i="6"/>
  <c r="K7" i="6"/>
  <c r="K8" i="6"/>
  <c r="K9" i="6"/>
  <c r="K10" i="6"/>
  <c r="K11" i="6"/>
  <c r="K12" i="6"/>
  <c r="D5" i="7"/>
  <c r="K5" i="7"/>
  <c r="L5" i="7"/>
  <c r="D6" i="7"/>
  <c r="K6" i="7"/>
  <c r="L6" i="7"/>
  <c r="D7" i="7"/>
  <c r="K7" i="7"/>
  <c r="L7" i="7"/>
  <c r="D8" i="7"/>
  <c r="K8" i="7"/>
  <c r="L8" i="7"/>
  <c r="D9" i="7"/>
  <c r="K9" i="7"/>
  <c r="L9" i="7"/>
  <c r="D10" i="7"/>
  <c r="K10" i="7"/>
  <c r="L10" i="7"/>
  <c r="D11" i="7"/>
  <c r="K11" i="7"/>
  <c r="L11" i="7"/>
  <c r="D12" i="7"/>
  <c r="K12" i="7"/>
  <c r="L12" i="7"/>
  <c r="D5" i="8"/>
  <c r="K5" i="8"/>
  <c r="L5" i="8"/>
  <c r="D6" i="8"/>
  <c r="K6" i="8"/>
  <c r="L6" i="8"/>
  <c r="D7" i="8"/>
  <c r="K7" i="8"/>
  <c r="L7" i="8"/>
  <c r="D8" i="8"/>
  <c r="K8" i="8"/>
  <c r="L8" i="8"/>
  <c r="D9" i="8"/>
  <c r="K9" i="8"/>
  <c r="L9" i="8"/>
  <c r="D10" i="8"/>
  <c r="K10" i="8"/>
  <c r="L10" i="8"/>
  <c r="D11" i="8"/>
  <c r="K11" i="8"/>
  <c r="L11" i="8"/>
  <c r="D12" i="8"/>
  <c r="K12" i="8"/>
  <c r="L12" i="8"/>
</calcChain>
</file>

<file path=xl/comments1.xml><?xml version="1.0" encoding="utf-8"?>
<comments xmlns="http://schemas.openxmlformats.org/spreadsheetml/2006/main">
  <authors>
    <author/>
  </authors>
  <commentList>
    <comment ref="I3" authorId="0" shapeId="0">
      <text>
        <r>
          <rPr>
            <sz val="9"/>
            <color indexed="81"/>
            <rFont val="Tahoma"/>
          </rPr>
          <t>Gordon Filby:
Thermal Decomposition of Benzoyl Peroxide: Results of Mon. 7 June 1997</t>
        </r>
      </text>
    </comment>
  </commentList>
</comments>
</file>

<file path=xl/sharedStrings.xml><?xml version="1.0" encoding="utf-8"?>
<sst xmlns="http://schemas.openxmlformats.org/spreadsheetml/2006/main" count="86" uniqueCount="55">
  <si>
    <t>T/K</t>
  </si>
  <si>
    <r>
      <t>k/M</t>
    </r>
    <r>
      <rPr>
        <sz val="10"/>
        <rFont val="Courier"/>
        <family val="3"/>
      </rPr>
      <t>-1</t>
    </r>
    <r>
      <rPr>
        <sz val="10"/>
        <rFont val="Courier"/>
      </rPr>
      <t xml:space="preserve"> s-1</t>
    </r>
  </si>
  <si>
    <r>
      <t>k/M</t>
    </r>
    <r>
      <rPr>
        <vertAlign val="superscript"/>
        <sz val="10"/>
        <rFont val="Courier"/>
        <family val="3"/>
      </rPr>
      <t>-1</t>
    </r>
    <r>
      <rPr>
        <sz val="10"/>
        <rFont val="Courier"/>
      </rPr>
      <t xml:space="preserve"> s</t>
    </r>
    <r>
      <rPr>
        <vertAlign val="superscript"/>
        <sz val="10"/>
        <rFont val="Courier"/>
        <family val="3"/>
      </rPr>
      <t>-1</t>
    </r>
    <r>
      <rPr>
        <sz val="10"/>
        <rFont val="Courier"/>
      </rPr>
      <t xml:space="preserve"> </t>
    </r>
  </si>
  <si>
    <t xml:space="preserve">   Exercise: complete the copying in column J</t>
  </si>
  <si>
    <t>Average</t>
  </si>
  <si>
    <r>
      <t>k/M</t>
    </r>
    <r>
      <rPr>
        <b/>
        <vertAlign val="superscript"/>
        <sz val="10"/>
        <rFont val="Courier"/>
        <family val="3"/>
      </rPr>
      <t>-1</t>
    </r>
    <r>
      <rPr>
        <b/>
        <sz val="10"/>
        <rFont val="Courier"/>
        <family val="3"/>
      </rPr>
      <t xml:space="preserve"> s</t>
    </r>
    <r>
      <rPr>
        <b/>
        <vertAlign val="superscript"/>
        <sz val="10"/>
        <rFont val="Courier"/>
        <family val="3"/>
      </rPr>
      <t>-1</t>
    </r>
    <r>
      <rPr>
        <b/>
        <sz val="10"/>
        <rFont val="Courier"/>
        <family val="3"/>
      </rPr>
      <t xml:space="preserve"> </t>
    </r>
  </si>
  <si>
    <t>Rate</t>
  </si>
  <si>
    <t xml:space="preserve">Table now too wide, tab once more. </t>
  </si>
  <si>
    <t>LN(Ave Rate)</t>
  </si>
  <si>
    <t>Complete the tables of 1/T and LN(Ave Rate) by copying</t>
  </si>
  <si>
    <t>1/T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</si>
  <si>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</si>
  <si>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</si>
  <si>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</si>
  <si>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</si>
  <si>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</si>
  <si>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</si>
  <si>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</si>
  <si>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</si>
  <si>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</si>
  <si>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</si>
  <si>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</si>
  <si>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</si>
  <si>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</si>
  <si>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</si>
  <si>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</si>
  <si>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</si>
  <si>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</si>
  <si>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</si>
  <si>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</si>
  <si>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</si>
  <si>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</si>
  <si>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</si>
  <si>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</si>
  <si>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</si>
  <si>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</si>
  <si>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Final Results</t>
  </si>
  <si>
    <t>SCRATCHPAD AREA</t>
  </si>
  <si>
    <t>Output from Step 9.</t>
  </si>
  <si>
    <t>Slope</t>
  </si>
  <si>
    <t>Constants used</t>
  </si>
  <si>
    <t>R_</t>
  </si>
  <si>
    <t>&lt;--- Univ gas constant</t>
  </si>
  <si>
    <t>List of Named Ranges</t>
  </si>
  <si>
    <t>Intcpt</t>
  </si>
  <si>
    <t>='Step 9. RegrResults'!$B$17</t>
  </si>
  <si>
    <t>Activ. Energy</t>
  </si>
  <si>
    <t>='Step 10. FinalResults'!$Q$11</t>
  </si>
  <si>
    <t>Pre-exp Factor</t>
  </si>
  <si>
    <t>R_Square</t>
  </si>
  <si>
    <t>='Step 9. RegrResults'!$B$5</t>
  </si>
  <si>
    <t>Correlation</t>
  </si>
  <si>
    <t>ScratchPad</t>
  </si>
  <si>
    <t>='Step 10. FinalResults'!$T$2</t>
  </si>
  <si>
    <t>='Step 9. RegrResults'!$B$18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</si>
</sst>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80" formatCode=";;;"/>
    <numFmt numFmtId="181" formatCode="0.0000E+00_)"/>
    <numFmt numFmtId="182" formatCode="d/mmm/yy"/>
  </numFmts>
  <fonts count="12" x14ac:knownFonts="1">
    <font>
      <sz val="10"/>
      <name val="Courier"/>
    </font>
    <font>
      <vertAlign val="superscript"/>
      <sz val="10"/>
      <name val="Courier"/>
      <family val="3"/>
    </font>
    <font>
      <sz val="10"/>
      <name val="Courier"/>
      <family val="3"/>
    </font>
    <font>
      <b/>
      <sz val="10"/>
      <name val="Courier"/>
      <family val="3"/>
    </font>
    <font>
      <b/>
      <vertAlign val="superscript"/>
      <sz val="10"/>
      <name val="Courier"/>
      <family val="3"/>
    </font>
    <font>
      <sz val="9"/>
      <color indexed="10"/>
      <name val="Arial Narrow"/>
      <family val="2"/>
    </font>
    <font>
      <sz val="11"/>
      <color indexed="10"/>
      <name val="Arial Narrow"/>
      <family val="2"/>
    </font>
    <font>
      <i/>
      <sz val="10"/>
      <name val="Courier"/>
    </font>
    <font>
      <sz val="18"/>
      <color indexed="10"/>
      <name val="Univers"/>
      <family val="2"/>
    </font>
    <font>
      <b/>
      <sz val="12"/>
      <color indexed="10"/>
      <name val="Univers"/>
      <family val="2"/>
    </font>
    <font>
      <i/>
      <u/>
      <sz val="10"/>
      <name val="Courier"/>
      <family val="3"/>
    </font>
    <font>
      <sz val="9"/>
      <color indexed="81"/>
      <name val="Tahoma"/>
    </font>
  </fonts>
  <fills count="4">
    <fill>
      <patternFill patternType="none"/>
    </fill>
    <fill>
      <patternFill patternType="gray125"/>
    </fill>
    <fill>
      <patternFill patternType="lightGray">
        <bgColor indexed="55"/>
      </patternFill>
    </fill>
    <fill>
      <patternFill patternType="solid">
        <fgColor indexed="5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right"/>
    </xf>
    <xf numFmtId="180" fontId="0" fillId="0" borderId="0" xfId="0" applyNumberFormat="1" applyAlignment="1" applyProtection="1">
      <alignment horizontal="left"/>
    </xf>
    <xf numFmtId="0" fontId="0" fillId="0" borderId="0" xfId="0" applyProtection="1"/>
    <xf numFmtId="0" fontId="0" fillId="0" borderId="0" xfId="0" applyAlignment="1" applyProtection="1">
      <alignment horizontal="center"/>
    </xf>
    <xf numFmtId="181" fontId="0" fillId="0" borderId="0" xfId="0" applyNumberFormat="1" applyProtection="1"/>
    <xf numFmtId="0" fontId="0" fillId="0" borderId="0" xfId="0" applyAlignment="1" applyProtection="1">
      <alignment horizontal="centerContinuous"/>
    </xf>
    <xf numFmtId="0" fontId="0" fillId="0" borderId="0" xfId="0" applyAlignment="1">
      <alignment horizontal="centerContinuous"/>
    </xf>
    <xf numFmtId="0" fontId="0" fillId="2" borderId="0" xfId="0" applyFill="1"/>
    <xf numFmtId="0" fontId="3" fillId="0" borderId="0" xfId="0" applyFont="1"/>
    <xf numFmtId="0" fontId="3" fillId="0" borderId="0" xfId="0" applyFont="1" applyAlignment="1" applyProtection="1">
      <alignment horizontal="center"/>
    </xf>
    <xf numFmtId="0" fontId="3" fillId="0" borderId="0" xfId="0" applyFont="1" applyAlignment="1" applyProtection="1">
      <alignment horizontal="right"/>
    </xf>
    <xf numFmtId="0" fontId="3" fillId="0" borderId="0" xfId="0" applyFont="1" applyAlignment="1" applyProtection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0" fillId="0" borderId="0" xfId="0" applyFill="1" applyBorder="1" applyAlignment="1"/>
    <xf numFmtId="0" fontId="0" fillId="0" borderId="1" xfId="0" applyFill="1" applyBorder="1" applyAlignment="1"/>
    <xf numFmtId="0" fontId="7" fillId="0" borderId="2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Continuous"/>
    </xf>
    <xf numFmtId="0" fontId="0" fillId="0" borderId="0" xfId="0" applyNumberFormat="1"/>
    <xf numFmtId="0" fontId="0" fillId="0" borderId="0" xfId="0" applyNumberFormat="1" applyAlignment="1" applyProtection="1">
      <alignment horizontal="left"/>
    </xf>
    <xf numFmtId="0" fontId="8" fillId="3" borderId="3" xfId="0" applyFont="1" applyFill="1" applyBorder="1" applyAlignment="1">
      <alignment horizontal="centerContinuous"/>
    </xf>
    <xf numFmtId="0" fontId="8" fillId="3" borderId="4" xfId="0" applyFont="1" applyFill="1" applyBorder="1" applyAlignment="1">
      <alignment horizontal="centerContinuous"/>
    </xf>
    <xf numFmtId="14" fontId="0" fillId="0" borderId="0" xfId="0" applyNumberFormat="1"/>
    <xf numFmtId="0" fontId="9" fillId="3" borderId="5" xfId="0" applyFont="1" applyFill="1" applyBorder="1" applyAlignment="1">
      <alignment horizontal="centerContinuous"/>
    </xf>
    <xf numFmtId="0" fontId="10" fillId="0" borderId="0" xfId="0" applyFont="1" applyAlignment="1">
      <alignment horizontal="centerContinuous"/>
    </xf>
    <xf numFmtId="0" fontId="10" fillId="0" borderId="0" xfId="0" applyFont="1" applyAlignment="1" applyProtection="1">
      <alignment horizontal="centerContinuous"/>
    </xf>
    <xf numFmtId="0" fontId="8" fillId="3" borderId="5" xfId="0" applyFont="1" applyFill="1" applyBorder="1" applyAlignment="1">
      <alignment horizontal="centerContinuous" vertical="center"/>
    </xf>
    <xf numFmtId="0" fontId="8" fillId="3" borderId="3" xfId="0" applyFont="1" applyFill="1" applyBorder="1" applyAlignment="1">
      <alignment horizontal="centerContinuous" vertical="center"/>
    </xf>
    <xf numFmtId="0" fontId="8" fillId="3" borderId="4" xfId="0" applyFont="1" applyFill="1" applyBorder="1" applyAlignment="1">
      <alignment horizontal="centerContinuous" vertical="center"/>
    </xf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Temperature Depce. of Reaction Rate</a:t>
            </a:r>
          </a:p>
        </c:rich>
      </c:tx>
      <c:layout>
        <c:manualLayout>
          <c:xMode val="edge"/>
          <c:yMode val="edge"/>
          <c:x val="0.2340794031554142"/>
          <c:y val="3.66391286946632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604275554522301"/>
          <c:y val="0.21121380071041193"/>
          <c:w val="0.80473451617334701"/>
          <c:h val="0.63795188786001966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'Step 7. Charting'!$D$5:$D$12</c:f>
              <c:numCache>
                <c:formatCode>General</c:formatCode>
                <c:ptCount val="8"/>
                <c:pt idx="0">
                  <c:v>1.4285714285714286E-3</c:v>
                </c:pt>
                <c:pt idx="1">
                  <c:v>1.3698630136986301E-3</c:v>
                </c:pt>
                <c:pt idx="2">
                  <c:v>1.3157894736842105E-3</c:v>
                </c:pt>
                <c:pt idx="3">
                  <c:v>1.2658227848101266E-3</c:v>
                </c:pt>
                <c:pt idx="4">
                  <c:v>1.2345679012345679E-3</c:v>
                </c:pt>
                <c:pt idx="5">
                  <c:v>1.1904761904761906E-3</c:v>
                </c:pt>
                <c:pt idx="6">
                  <c:v>1.0989010989010989E-3</c:v>
                </c:pt>
                <c:pt idx="7">
                  <c:v>1E-3</c:v>
                </c:pt>
              </c:numCache>
            </c:numRef>
          </c:xVal>
          <c:yVal>
            <c:numRef>
              <c:f>'Step 7. Charting'!$L$5:$L$12</c:f>
              <c:numCache>
                <c:formatCode>General</c:formatCode>
                <c:ptCount val="8"/>
                <c:pt idx="0">
                  <c:v>-4.4498773015820561</c:v>
                </c:pt>
                <c:pt idx="1">
                  <c:v>-3.366795954944823</c:v>
                </c:pt>
                <c:pt idx="2">
                  <c:v>-2.2557015070951953</c:v>
                </c:pt>
                <c:pt idx="3">
                  <c:v>-1.0700248318161969</c:v>
                </c:pt>
                <c:pt idx="4">
                  <c:v>-0.23851102844533148</c:v>
                </c:pt>
                <c:pt idx="5">
                  <c:v>0.77730448856666867</c:v>
                </c:pt>
                <c:pt idx="6">
                  <c:v>2.9981293981537127</c:v>
                </c:pt>
                <c:pt idx="7">
                  <c:v>4.9794885650994187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8B-4EBD-931F-7497F6DA3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10095"/>
        <c:axId val="1"/>
      </c:scatterChart>
      <c:valAx>
        <c:axId val="695710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1/T</a:t>
                </a:r>
              </a:p>
            </c:rich>
          </c:tx>
          <c:layout>
            <c:manualLayout>
              <c:xMode val="edge"/>
              <c:yMode val="edge"/>
              <c:x val="0.50555610740666379"/>
              <c:y val="0.8814943315363110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LN (AveRate)</a:t>
                </a:r>
              </a:p>
            </c:rich>
          </c:tx>
          <c:layout>
            <c:manualLayout>
              <c:xMode val="edge"/>
              <c:yMode val="edge"/>
              <c:x val="3.6012215870063723E-2"/>
              <c:y val="0.398719929912512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5710095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254000</xdr:colOff>
      <xdr:row>8</xdr:row>
      <xdr:rowOff>152400</xdr:rowOff>
    </xdr:from>
    <xdr:to>
      <xdr:col>10</xdr:col>
      <xdr:colOff>577850</xdr:colOff>
      <xdr:row>27</xdr:row>
      <xdr:rowOff>82550</xdr:rowOff>
    </xdr:to>
    <xdr:graphicFrame macro="">
      <xdr:nvGraphicFramePr>
        <xdr:cNvPr id="1030" name="Chart 6">
          <a:extLst>
            <a:ext uri="{FF2B5EF4-FFF2-40B4-BE49-F238E27FC236}">
              <a16:creationId xmlns:a16="http://schemas.microsoft.com/office/drawing/2014/main" id="{DCC60386-BB04-4E14-9DF4-985168A931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I12"/>
  <sheetViews>
    <sheetView tabSelected="1" workbookViewId="0"/>
  </sheetViews>
  <sheetFormatPr defaultColWidth="8.9140625" defaultRowHeight="12.5" x14ac:dyDescent="0.25"/>
  <sheetData>
    <row r="2" spans="1:9" x14ac:dyDescent="0.25">
      <c r="A2" s="1"/>
    </row>
    <row r="3" spans="1:9" x14ac:dyDescent="0.25">
      <c r="A3" s="1"/>
    </row>
    <row r="4" spans="1:9" x14ac:dyDescent="0.25">
      <c r="A4" s="1"/>
    </row>
    <row r="5" spans="1:9" x14ac:dyDescent="0.25">
      <c r="A5" s="1"/>
      <c r="C5" s="4">
        <v>700</v>
      </c>
      <c r="D5" s="4">
        <v>1.0999999999999999E-2</v>
      </c>
      <c r="E5" s="4">
        <v>1.0999999999999999E-2</v>
      </c>
      <c r="F5" s="4">
        <v>1.2E-2</v>
      </c>
      <c r="G5" s="4">
        <v>1.2999999999999999E-2</v>
      </c>
      <c r="H5" s="4">
        <v>1.14E-2</v>
      </c>
    </row>
    <row r="6" spans="1:9" x14ac:dyDescent="0.25">
      <c r="A6" s="1"/>
      <c r="C6" s="4">
        <v>730</v>
      </c>
      <c r="D6" s="4">
        <v>3.5000000000000003E-2</v>
      </c>
      <c r="E6" s="4">
        <v>3.5000000000000003E-2</v>
      </c>
      <c r="F6" s="4">
        <v>3.2000000000000001E-2</v>
      </c>
      <c r="G6" s="4">
        <v>3.56E-2</v>
      </c>
      <c r="H6" s="4">
        <v>3.49E-2</v>
      </c>
    </row>
    <row r="7" spans="1:9" x14ac:dyDescent="0.25">
      <c r="A7" s="1"/>
      <c r="C7" s="4">
        <v>760</v>
      </c>
      <c r="D7" s="4">
        <v>0.105</v>
      </c>
      <c r="E7" s="4">
        <v>0.105</v>
      </c>
      <c r="F7" s="4">
        <v>0.1055</v>
      </c>
      <c r="G7" s="4">
        <v>0.104</v>
      </c>
      <c r="H7" s="4">
        <v>0.1045</v>
      </c>
    </row>
    <row r="8" spans="1:9" x14ac:dyDescent="0.25">
      <c r="C8" s="4">
        <v>790</v>
      </c>
      <c r="D8" s="4">
        <v>0.34300000000000003</v>
      </c>
      <c r="E8" s="4">
        <v>0.34300000000000003</v>
      </c>
      <c r="F8" s="4">
        <v>0.34499999999999997</v>
      </c>
      <c r="G8" s="4">
        <v>0.34200000000000003</v>
      </c>
      <c r="H8" s="4">
        <v>0.34200000000000003</v>
      </c>
    </row>
    <row r="9" spans="1:9" x14ac:dyDescent="0.25">
      <c r="A9" s="1"/>
      <c r="C9" s="4">
        <v>810</v>
      </c>
      <c r="D9" s="4">
        <v>0.78900000000000003</v>
      </c>
      <c r="E9" s="4">
        <v>0.78900000000000003</v>
      </c>
      <c r="F9" s="4">
        <v>0.78700000000000003</v>
      </c>
      <c r="G9" s="4">
        <v>0.78400000000000003</v>
      </c>
      <c r="H9" s="4">
        <v>0.79</v>
      </c>
    </row>
    <row r="10" spans="1:9" x14ac:dyDescent="0.25">
      <c r="C10" s="4">
        <v>840</v>
      </c>
      <c r="D10" s="4">
        <v>2.17</v>
      </c>
      <c r="E10" s="4">
        <v>2.17</v>
      </c>
      <c r="F10" s="4">
        <v>2.1680000000000001</v>
      </c>
      <c r="G10" s="4">
        <v>2.1800000000000002</v>
      </c>
      <c r="H10" s="4">
        <v>2.19</v>
      </c>
    </row>
    <row r="11" spans="1:9" x14ac:dyDescent="0.25">
      <c r="C11" s="4">
        <v>910</v>
      </c>
      <c r="D11" s="4">
        <v>20</v>
      </c>
      <c r="E11" s="4">
        <v>20</v>
      </c>
      <c r="F11" s="4">
        <v>20.05</v>
      </c>
      <c r="G11" s="4">
        <v>20.100000000000001</v>
      </c>
      <c r="H11" s="4">
        <v>20.09</v>
      </c>
    </row>
    <row r="12" spans="1:9" x14ac:dyDescent="0.25">
      <c r="C12" s="4">
        <v>1000</v>
      </c>
      <c r="D12" s="4">
        <v>145</v>
      </c>
      <c r="E12" s="4">
        <v>145</v>
      </c>
      <c r="F12" s="4">
        <v>146</v>
      </c>
      <c r="G12" s="4">
        <v>146</v>
      </c>
      <c r="H12" s="4">
        <v>145</v>
      </c>
    </row>
  </sheetData>
  <pageMargins left="0.75" right="0.75" top="1" bottom="1" header="0.5" footer="0.5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H12"/>
  <sheetViews>
    <sheetView workbookViewId="0"/>
  </sheetViews>
  <sheetFormatPr defaultColWidth="8.9140625" defaultRowHeight="12.5" x14ac:dyDescent="0.25"/>
  <sheetData>
    <row r="1" spans="3:8" x14ac:dyDescent="0.25">
      <c r="C1" s="2"/>
    </row>
    <row r="4" spans="3:8" x14ac:dyDescent="0.25">
      <c r="C4" s="1" t="s">
        <v>0</v>
      </c>
      <c r="D4" s="2" t="s">
        <v>1</v>
      </c>
    </row>
    <row r="5" spans="3:8" x14ac:dyDescent="0.25">
      <c r="C5" s="4">
        <v>700</v>
      </c>
      <c r="D5" s="4">
        <v>1.0999999999999999E-2</v>
      </c>
      <c r="E5" s="4">
        <v>1.0999999999999999E-2</v>
      </c>
      <c r="F5" s="4">
        <v>1.2E-2</v>
      </c>
      <c r="G5" s="4">
        <v>1.2999999999999999E-2</v>
      </c>
      <c r="H5" s="4">
        <v>1.14E-2</v>
      </c>
    </row>
    <row r="6" spans="3:8" x14ac:dyDescent="0.25">
      <c r="C6" s="4">
        <v>730</v>
      </c>
      <c r="D6" s="4">
        <v>3.5000000000000003E-2</v>
      </c>
      <c r="E6" s="4">
        <v>3.5000000000000003E-2</v>
      </c>
      <c r="F6" s="4">
        <v>3.2000000000000001E-2</v>
      </c>
      <c r="G6" s="4">
        <v>3.56E-2</v>
      </c>
      <c r="H6" s="4">
        <v>3.49E-2</v>
      </c>
    </row>
    <row r="7" spans="3:8" x14ac:dyDescent="0.25">
      <c r="C7" s="4">
        <v>760</v>
      </c>
      <c r="D7" s="4">
        <v>0.105</v>
      </c>
      <c r="E7" s="4">
        <v>0.105</v>
      </c>
      <c r="F7" s="4">
        <v>0.1055</v>
      </c>
      <c r="G7" s="4">
        <v>0.104</v>
      </c>
      <c r="H7" s="4">
        <v>0.1045</v>
      </c>
    </row>
    <row r="8" spans="3:8" x14ac:dyDescent="0.25">
      <c r="C8" s="4">
        <v>790</v>
      </c>
      <c r="D8" s="4">
        <v>0.34300000000000003</v>
      </c>
      <c r="E8" s="4">
        <v>0.34300000000000003</v>
      </c>
      <c r="F8" s="4">
        <v>0.34499999999999997</v>
      </c>
      <c r="G8" s="4">
        <v>0.34200000000000003</v>
      </c>
      <c r="H8" s="4">
        <v>0.34200000000000003</v>
      </c>
    </row>
    <row r="9" spans="3:8" x14ac:dyDescent="0.25">
      <c r="C9" s="4">
        <v>810</v>
      </c>
      <c r="D9" s="4">
        <v>0.78900000000000003</v>
      </c>
      <c r="E9" s="4">
        <v>0.78900000000000003</v>
      </c>
      <c r="F9" s="4">
        <v>0.78700000000000003</v>
      </c>
      <c r="G9" s="4">
        <v>0.78400000000000003</v>
      </c>
      <c r="H9" s="4">
        <v>0.79</v>
      </c>
    </row>
    <row r="10" spans="3:8" x14ac:dyDescent="0.25">
      <c r="C10" s="4">
        <v>840</v>
      </c>
      <c r="D10" s="4">
        <v>2.17</v>
      </c>
      <c r="E10" s="4">
        <v>2.17</v>
      </c>
      <c r="F10" s="4">
        <v>2.1680000000000001</v>
      </c>
      <c r="G10" s="4">
        <v>2.1800000000000002</v>
      </c>
      <c r="H10" s="4">
        <v>2.19</v>
      </c>
    </row>
    <row r="11" spans="3:8" x14ac:dyDescent="0.25">
      <c r="C11" s="4">
        <v>910</v>
      </c>
      <c r="D11" s="4">
        <v>20</v>
      </c>
      <c r="E11" s="4">
        <v>20</v>
      </c>
      <c r="F11" s="4">
        <v>20.05</v>
      </c>
      <c r="G11" s="4">
        <v>20.100000000000001</v>
      </c>
      <c r="H11" s="4">
        <v>20.09</v>
      </c>
    </row>
    <row r="12" spans="3:8" x14ac:dyDescent="0.25">
      <c r="C12" s="4">
        <v>1000</v>
      </c>
      <c r="D12" s="4">
        <v>145</v>
      </c>
      <c r="E12" s="4">
        <v>145</v>
      </c>
      <c r="F12" s="4">
        <v>146</v>
      </c>
      <c r="G12" s="4">
        <v>146</v>
      </c>
      <c r="H12" s="4">
        <v>145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/>
  </sheetViews>
  <sheetFormatPr defaultColWidth="8.9140625" defaultRowHeight="12.5" x14ac:dyDescent="0.25"/>
  <sheetData>
    <row r="1" spans="1:9" x14ac:dyDescent="0.25">
      <c r="A1" s="2"/>
      <c r="B1" s="1"/>
    </row>
    <row r="4" spans="1:9" ht="15" x14ac:dyDescent="0.25">
      <c r="A4" s="2"/>
      <c r="B4" s="7"/>
      <c r="C4" s="2" t="s">
        <v>0</v>
      </c>
      <c r="D4" s="7" t="s">
        <v>2</v>
      </c>
      <c r="E4" s="8"/>
      <c r="F4" s="8"/>
      <c r="G4" s="8"/>
      <c r="H4" s="8"/>
    </row>
    <row r="5" spans="1:9" x14ac:dyDescent="0.25">
      <c r="A5" s="4"/>
      <c r="B5" s="4"/>
      <c r="C5" s="4">
        <v>700</v>
      </c>
      <c r="D5" s="4">
        <v>1.0999999999999999E-2</v>
      </c>
      <c r="E5" s="4">
        <v>1.0999999999999999E-2</v>
      </c>
      <c r="F5" s="4">
        <v>1.2E-2</v>
      </c>
      <c r="G5" s="4">
        <v>1.2999999999999999E-2</v>
      </c>
      <c r="H5" s="4">
        <v>1.14E-2</v>
      </c>
      <c r="I5" s="4">
        <f>(D5+E5+F5+G5+H5)/5</f>
        <v>1.1679999999999999E-2</v>
      </c>
    </row>
    <row r="6" spans="1:9" x14ac:dyDescent="0.25">
      <c r="A6" s="4"/>
      <c r="B6" s="4"/>
      <c r="C6" s="4">
        <v>730</v>
      </c>
      <c r="D6" s="4">
        <v>3.5000000000000003E-2</v>
      </c>
      <c r="E6" s="4">
        <v>3.5000000000000003E-2</v>
      </c>
      <c r="F6" s="4">
        <v>3.2000000000000001E-2</v>
      </c>
      <c r="G6" s="4">
        <v>3.56E-2</v>
      </c>
      <c r="H6" s="4">
        <v>3.49E-2</v>
      </c>
    </row>
    <row r="7" spans="1:9" x14ac:dyDescent="0.25">
      <c r="A7" s="4"/>
      <c r="B7" s="4"/>
      <c r="C7" s="4">
        <v>760</v>
      </c>
      <c r="D7" s="4">
        <v>0.105</v>
      </c>
      <c r="E7" s="4">
        <v>0.105</v>
      </c>
      <c r="F7" s="4">
        <v>0.1055</v>
      </c>
      <c r="G7" s="4">
        <v>0.104</v>
      </c>
      <c r="H7" s="4">
        <v>0.1045</v>
      </c>
    </row>
    <row r="8" spans="1:9" x14ac:dyDescent="0.25">
      <c r="A8" s="4"/>
      <c r="B8" s="4"/>
      <c r="C8" s="4">
        <v>790</v>
      </c>
      <c r="D8" s="4">
        <v>0.34300000000000003</v>
      </c>
      <c r="E8" s="4">
        <v>0.34300000000000003</v>
      </c>
      <c r="F8" s="4">
        <v>0.34499999999999997</v>
      </c>
      <c r="G8" s="4">
        <v>0.34200000000000003</v>
      </c>
      <c r="H8" s="4">
        <v>0.34200000000000003</v>
      </c>
    </row>
    <row r="9" spans="1:9" x14ac:dyDescent="0.25">
      <c r="A9" s="4"/>
      <c r="B9" s="4"/>
      <c r="C9" s="4">
        <v>810</v>
      </c>
      <c r="D9" s="4">
        <v>0.78900000000000003</v>
      </c>
      <c r="E9" s="4">
        <v>0.78900000000000003</v>
      </c>
      <c r="F9" s="4">
        <v>0.78700000000000003</v>
      </c>
      <c r="G9" s="4">
        <v>0.78400000000000003</v>
      </c>
      <c r="H9" s="4">
        <v>0.79</v>
      </c>
    </row>
    <row r="10" spans="1:9" x14ac:dyDescent="0.25">
      <c r="A10" s="4"/>
      <c r="B10" s="4"/>
      <c r="C10" s="4">
        <v>840</v>
      </c>
      <c r="D10" s="4">
        <v>2.17</v>
      </c>
      <c r="E10" s="4">
        <v>2.17</v>
      </c>
      <c r="F10" s="4">
        <v>2.1680000000000001</v>
      </c>
      <c r="G10" s="4">
        <v>2.1800000000000002</v>
      </c>
      <c r="H10" s="4">
        <v>2.19</v>
      </c>
    </row>
    <row r="11" spans="1:9" x14ac:dyDescent="0.25">
      <c r="A11" s="4"/>
      <c r="B11" s="4"/>
      <c r="C11" s="4">
        <v>910</v>
      </c>
      <c r="D11" s="4">
        <v>20</v>
      </c>
      <c r="E11" s="4">
        <v>20</v>
      </c>
      <c r="F11" s="4">
        <v>20.05</v>
      </c>
      <c r="G11" s="4">
        <v>20.100000000000001</v>
      </c>
      <c r="H11" s="4">
        <v>20.09</v>
      </c>
    </row>
    <row r="12" spans="1:9" x14ac:dyDescent="0.25">
      <c r="A12" s="4"/>
      <c r="B12" s="4"/>
      <c r="C12" s="4">
        <v>1000</v>
      </c>
      <c r="D12" s="4">
        <v>145</v>
      </c>
      <c r="E12" s="4">
        <v>145</v>
      </c>
      <c r="F12" s="4">
        <v>146</v>
      </c>
      <c r="G12" s="4">
        <v>146</v>
      </c>
      <c r="H12" s="4">
        <v>145</v>
      </c>
    </row>
  </sheetData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/>
  </sheetViews>
  <sheetFormatPr defaultColWidth="8.9140625" defaultRowHeight="12.5" x14ac:dyDescent="0.25"/>
  <cols>
    <col min="9" max="9" width="2.33203125" customWidth="1"/>
  </cols>
  <sheetData>
    <row r="1" spans="1:10" x14ac:dyDescent="0.25">
      <c r="A1" s="2"/>
      <c r="B1" s="1"/>
    </row>
    <row r="2" spans="1:10" x14ac:dyDescent="0.25">
      <c r="C2" s="8"/>
      <c r="D2" s="7" t="s">
        <v>3</v>
      </c>
      <c r="E2" s="8"/>
      <c r="F2" s="8"/>
      <c r="G2" s="8"/>
      <c r="H2" s="7"/>
    </row>
    <row r="4" spans="1:10" ht="15" x14ac:dyDescent="0.25">
      <c r="C4" s="2" t="s">
        <v>0</v>
      </c>
      <c r="D4" s="7" t="s">
        <v>2</v>
      </c>
      <c r="E4" s="8"/>
      <c r="F4" s="8"/>
      <c r="G4" s="8"/>
      <c r="H4" s="8"/>
    </row>
    <row r="5" spans="1:10" x14ac:dyDescent="0.25">
      <c r="C5" s="4">
        <v>700</v>
      </c>
      <c r="D5" s="4">
        <v>1.0999999999999999E-2</v>
      </c>
      <c r="E5" s="4">
        <v>1.0999999999999999E-2</v>
      </c>
      <c r="F5" s="4">
        <v>1.2E-2</v>
      </c>
      <c r="G5" s="4">
        <v>1.2999999999999999E-2</v>
      </c>
      <c r="H5" s="4">
        <v>1.14E-2</v>
      </c>
      <c r="J5">
        <f>AVERAGE(D5:H5)</f>
        <v>1.1679999999999999E-2</v>
      </c>
    </row>
    <row r="6" spans="1:10" x14ac:dyDescent="0.25">
      <c r="C6" s="4">
        <v>730</v>
      </c>
      <c r="D6" s="4">
        <v>3.5000000000000003E-2</v>
      </c>
      <c r="E6" s="4">
        <v>3.5000000000000003E-2</v>
      </c>
      <c r="F6" s="4">
        <v>3.2000000000000001E-2</v>
      </c>
      <c r="G6" s="4">
        <v>3.56E-2</v>
      </c>
      <c r="H6" s="4">
        <v>3.49E-2</v>
      </c>
    </row>
    <row r="7" spans="1:10" x14ac:dyDescent="0.25">
      <c r="C7" s="4">
        <v>760</v>
      </c>
      <c r="D7" s="4">
        <v>0.105</v>
      </c>
      <c r="E7" s="4">
        <v>0.105</v>
      </c>
      <c r="F7" s="4">
        <v>0.1055</v>
      </c>
      <c r="G7" s="4">
        <v>0.104</v>
      </c>
      <c r="H7" s="4">
        <v>0.1045</v>
      </c>
    </row>
    <row r="8" spans="1:10" x14ac:dyDescent="0.25">
      <c r="C8" s="4">
        <v>790</v>
      </c>
      <c r="D8" s="4">
        <v>0.34300000000000003</v>
      </c>
      <c r="E8" s="4">
        <v>0.34300000000000003</v>
      </c>
      <c r="F8" s="4">
        <v>0.34499999999999997</v>
      </c>
      <c r="G8" s="4">
        <v>0.34200000000000003</v>
      </c>
      <c r="H8" s="4">
        <v>0.34200000000000003</v>
      </c>
    </row>
    <row r="9" spans="1:10" x14ac:dyDescent="0.25">
      <c r="C9" s="4">
        <v>810</v>
      </c>
      <c r="D9" s="4">
        <v>0.78900000000000003</v>
      </c>
      <c r="E9" s="4">
        <v>0.78900000000000003</v>
      </c>
      <c r="F9" s="4">
        <v>0.78700000000000003</v>
      </c>
      <c r="G9" s="4">
        <v>0.78400000000000003</v>
      </c>
      <c r="H9" s="4">
        <v>0.79</v>
      </c>
    </row>
    <row r="10" spans="1:10" x14ac:dyDescent="0.25">
      <c r="C10" s="4">
        <v>840</v>
      </c>
      <c r="D10" s="4">
        <v>2.17</v>
      </c>
      <c r="E10" s="4">
        <v>2.17</v>
      </c>
      <c r="F10" s="4">
        <v>2.1680000000000001</v>
      </c>
      <c r="G10" s="4">
        <v>2.1800000000000002</v>
      </c>
      <c r="H10" s="4">
        <v>2.19</v>
      </c>
    </row>
    <row r="11" spans="1:10" x14ac:dyDescent="0.25">
      <c r="C11" s="4">
        <v>910</v>
      </c>
      <c r="D11" s="4">
        <v>20</v>
      </c>
      <c r="E11" s="4">
        <v>20</v>
      </c>
      <c r="F11" s="4">
        <v>20.05</v>
      </c>
      <c r="G11" s="4">
        <v>20.100000000000001</v>
      </c>
      <c r="H11" s="4">
        <v>20.09</v>
      </c>
    </row>
    <row r="12" spans="1:10" x14ac:dyDescent="0.25">
      <c r="C12" s="4">
        <v>1000</v>
      </c>
      <c r="D12" s="4">
        <v>145</v>
      </c>
      <c r="E12" s="4">
        <v>145</v>
      </c>
      <c r="F12" s="4">
        <v>146</v>
      </c>
      <c r="G12" s="4">
        <v>146</v>
      </c>
      <c r="H12" s="4">
        <v>145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/>
  </sheetViews>
  <sheetFormatPr defaultColWidth="8.9140625" defaultRowHeight="12.5" x14ac:dyDescent="0.25"/>
  <cols>
    <col min="9" max="9" width="2.33203125" customWidth="1"/>
  </cols>
  <sheetData>
    <row r="1" spans="1:10" x14ac:dyDescent="0.25">
      <c r="A1" s="2"/>
      <c r="B1" s="1"/>
    </row>
    <row r="2" spans="1:10" x14ac:dyDescent="0.25">
      <c r="B2" s="1"/>
    </row>
    <row r="3" spans="1:10" x14ac:dyDescent="0.25">
      <c r="B3" s="1"/>
      <c r="C3" s="10"/>
      <c r="D3" s="10"/>
      <c r="E3" s="10"/>
      <c r="F3" s="10"/>
      <c r="G3" s="10"/>
      <c r="H3" s="11"/>
      <c r="I3" s="11"/>
      <c r="J3" s="11" t="s">
        <v>4</v>
      </c>
    </row>
    <row r="4" spans="1:10" ht="15" x14ac:dyDescent="0.25">
      <c r="B4" s="2"/>
      <c r="C4" s="12" t="s">
        <v>0</v>
      </c>
      <c r="D4" s="13" t="s">
        <v>5</v>
      </c>
      <c r="E4" s="14"/>
      <c r="F4" s="14"/>
      <c r="G4" s="14"/>
      <c r="H4" s="14"/>
      <c r="I4" s="10"/>
      <c r="J4" s="15" t="s">
        <v>6</v>
      </c>
    </row>
    <row r="5" spans="1:10" x14ac:dyDescent="0.25">
      <c r="A5" s="4"/>
      <c r="B5" s="4"/>
      <c r="C5" s="4">
        <v>700</v>
      </c>
      <c r="D5" s="4">
        <v>1.0999999999999999E-2</v>
      </c>
      <c r="E5" s="4">
        <v>1.0999999999999999E-2</v>
      </c>
      <c r="F5" s="4">
        <v>1.2E-2</v>
      </c>
      <c r="G5" s="4">
        <v>1.2999999999999999E-2</v>
      </c>
      <c r="H5" s="4">
        <v>1.14E-2</v>
      </c>
      <c r="I5" s="9"/>
      <c r="J5">
        <f>AVERAGE(D5:H5)</f>
        <v>1.1679999999999999E-2</v>
      </c>
    </row>
    <row r="6" spans="1:10" x14ac:dyDescent="0.25">
      <c r="A6" s="4"/>
      <c r="B6" s="4"/>
      <c r="C6" s="4">
        <v>730</v>
      </c>
      <c r="D6" s="4">
        <v>3.5000000000000003E-2</v>
      </c>
      <c r="E6" s="4">
        <v>3.5000000000000003E-2</v>
      </c>
      <c r="F6" s="4">
        <v>3.2000000000000001E-2</v>
      </c>
      <c r="G6" s="4">
        <v>3.56E-2</v>
      </c>
      <c r="H6" s="4">
        <v>3.49E-2</v>
      </c>
      <c r="I6" s="9"/>
      <c r="J6">
        <f t="shared" ref="J6:J12" si="0">AVERAGE(D6:H6)</f>
        <v>3.4499999999999996E-2</v>
      </c>
    </row>
    <row r="7" spans="1:10" x14ac:dyDescent="0.25">
      <c r="A7" s="4"/>
      <c r="B7" s="4"/>
      <c r="C7" s="4">
        <v>760</v>
      </c>
      <c r="D7" s="4">
        <v>0.105</v>
      </c>
      <c r="E7" s="4">
        <v>0.105</v>
      </c>
      <c r="F7" s="4">
        <v>0.1055</v>
      </c>
      <c r="G7" s="4">
        <v>0.104</v>
      </c>
      <c r="H7" s="4">
        <v>0.1045</v>
      </c>
      <c r="I7" s="9"/>
      <c r="J7">
        <f t="shared" si="0"/>
        <v>0.1048</v>
      </c>
    </row>
    <row r="8" spans="1:10" x14ac:dyDescent="0.25">
      <c r="A8" s="4"/>
      <c r="B8" s="4"/>
      <c r="C8" s="4">
        <v>790</v>
      </c>
      <c r="D8" s="4">
        <v>0.34300000000000003</v>
      </c>
      <c r="E8" s="4">
        <v>0.34300000000000003</v>
      </c>
      <c r="F8" s="4">
        <v>0.34499999999999997</v>
      </c>
      <c r="G8" s="4">
        <v>0.34200000000000003</v>
      </c>
      <c r="H8" s="4">
        <v>0.34200000000000003</v>
      </c>
      <c r="I8" s="9"/>
      <c r="J8">
        <f t="shared" si="0"/>
        <v>0.34300000000000008</v>
      </c>
    </row>
    <row r="9" spans="1:10" x14ac:dyDescent="0.25">
      <c r="A9" s="4"/>
      <c r="B9" s="4"/>
      <c r="C9" s="4">
        <v>810</v>
      </c>
      <c r="D9" s="4">
        <v>0.78900000000000003</v>
      </c>
      <c r="E9" s="4">
        <v>0.78900000000000003</v>
      </c>
      <c r="F9" s="4">
        <v>0.78700000000000003</v>
      </c>
      <c r="G9" s="4">
        <v>0.78400000000000003</v>
      </c>
      <c r="H9" s="4">
        <v>0.79</v>
      </c>
      <c r="I9" s="9"/>
      <c r="J9">
        <f t="shared" si="0"/>
        <v>0.78780000000000006</v>
      </c>
    </row>
    <row r="10" spans="1:10" x14ac:dyDescent="0.25">
      <c r="A10" s="4"/>
      <c r="B10" s="4"/>
      <c r="C10" s="4">
        <v>840</v>
      </c>
      <c r="D10" s="4">
        <v>2.17</v>
      </c>
      <c r="E10" s="4">
        <v>2.17</v>
      </c>
      <c r="F10" s="4">
        <v>2.1680000000000001</v>
      </c>
      <c r="G10" s="4">
        <v>2.1800000000000002</v>
      </c>
      <c r="H10" s="4">
        <v>2.19</v>
      </c>
      <c r="I10" s="9"/>
      <c r="J10">
        <f t="shared" si="0"/>
        <v>2.1756000000000002</v>
      </c>
    </row>
    <row r="11" spans="1:10" x14ac:dyDescent="0.25">
      <c r="A11" s="4"/>
      <c r="B11" s="4"/>
      <c r="C11" s="4">
        <v>910</v>
      </c>
      <c r="D11" s="4">
        <v>20</v>
      </c>
      <c r="E11" s="4">
        <v>20</v>
      </c>
      <c r="F11" s="4">
        <v>20.05</v>
      </c>
      <c r="G11" s="4">
        <v>20.100000000000001</v>
      </c>
      <c r="H11" s="4">
        <v>20.09</v>
      </c>
      <c r="I11" s="9"/>
      <c r="J11">
        <f t="shared" si="0"/>
        <v>20.048000000000002</v>
      </c>
    </row>
    <row r="12" spans="1:10" x14ac:dyDescent="0.25">
      <c r="A12" s="4"/>
      <c r="B12" s="4"/>
      <c r="C12" s="4">
        <v>1000</v>
      </c>
      <c r="D12" s="4">
        <v>145</v>
      </c>
      <c r="E12" s="4">
        <v>145</v>
      </c>
      <c r="F12" s="4">
        <v>146</v>
      </c>
      <c r="G12" s="4">
        <v>146</v>
      </c>
      <c r="H12" s="4">
        <v>145</v>
      </c>
      <c r="I12" s="9"/>
      <c r="J12">
        <f t="shared" si="0"/>
        <v>145.4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/>
  </sheetViews>
  <sheetFormatPr defaultColWidth="8.9140625" defaultRowHeight="12.5" x14ac:dyDescent="0.25"/>
  <cols>
    <col min="10" max="10" width="2.4140625" customWidth="1"/>
  </cols>
  <sheetData>
    <row r="1" spans="1:12" x14ac:dyDescent="0.25">
      <c r="A1" s="2"/>
      <c r="C1" s="1"/>
      <c r="D1" s="1"/>
      <c r="J1" s="3" t="s">
        <v>7</v>
      </c>
    </row>
    <row r="2" spans="1:12" x14ac:dyDescent="0.25">
      <c r="C2" s="1"/>
      <c r="D2" s="1"/>
    </row>
    <row r="3" spans="1:12" x14ac:dyDescent="0.25">
      <c r="J3" s="5"/>
      <c r="K3" s="11" t="s">
        <v>4</v>
      </c>
    </row>
    <row r="4" spans="1:12" ht="15" x14ac:dyDescent="0.25">
      <c r="A4" s="2"/>
      <c r="C4" s="12" t="s">
        <v>0</v>
      </c>
      <c r="D4" s="12"/>
      <c r="E4" s="13" t="s">
        <v>5</v>
      </c>
      <c r="F4" s="14"/>
      <c r="G4" s="14"/>
      <c r="H4" s="14"/>
      <c r="I4" s="14"/>
      <c r="J4" s="10"/>
      <c r="K4" s="15" t="s">
        <v>6</v>
      </c>
      <c r="L4" s="1" t="s">
        <v>8</v>
      </c>
    </row>
    <row r="5" spans="1:12" x14ac:dyDescent="0.25">
      <c r="A5" s="4"/>
      <c r="B5" s="4"/>
      <c r="C5" s="4">
        <v>700</v>
      </c>
      <c r="D5" s="4" t="e">
        <f>1/C4</f>
        <v>#VALUE!</v>
      </c>
      <c r="E5" s="4">
        <v>1.0999999999999999E-2</v>
      </c>
      <c r="F5" s="4">
        <v>1.0999999999999999E-2</v>
      </c>
      <c r="G5" s="4">
        <v>1.2E-2</v>
      </c>
      <c r="H5" s="4">
        <v>1.2999999999999999E-2</v>
      </c>
      <c r="I5" s="4">
        <v>1.14E-2</v>
      </c>
      <c r="J5" s="9"/>
      <c r="K5">
        <f>AVERAGE(E5:I5)</f>
        <v>1.1679999999999999E-2</v>
      </c>
      <c r="L5">
        <f>LN(K5)</f>
        <v>-4.4498773015820561</v>
      </c>
    </row>
    <row r="6" spans="1:12" x14ac:dyDescent="0.25">
      <c r="A6" s="4"/>
      <c r="C6" s="4">
        <v>730</v>
      </c>
      <c r="D6" s="4"/>
      <c r="E6" s="4">
        <v>3.5000000000000003E-2</v>
      </c>
      <c r="F6" s="4">
        <v>3.5000000000000003E-2</v>
      </c>
      <c r="G6" s="4">
        <v>3.2000000000000001E-2</v>
      </c>
      <c r="H6" s="4">
        <v>3.56E-2</v>
      </c>
      <c r="I6" s="4">
        <v>3.49E-2</v>
      </c>
      <c r="J6" s="9"/>
      <c r="K6">
        <f t="shared" ref="K6:K12" si="0">AVERAGE(E6:I6)</f>
        <v>3.4499999999999996E-2</v>
      </c>
    </row>
    <row r="7" spans="1:12" x14ac:dyDescent="0.25">
      <c r="A7" s="4"/>
      <c r="C7" s="4">
        <v>760</v>
      </c>
      <c r="D7" s="4"/>
      <c r="E7" s="4">
        <v>0.105</v>
      </c>
      <c r="F7" s="4">
        <v>0.105</v>
      </c>
      <c r="G7" s="4">
        <v>0.1055</v>
      </c>
      <c r="H7" s="4">
        <v>0.104</v>
      </c>
      <c r="I7" s="4">
        <v>0.1045</v>
      </c>
      <c r="J7" s="9"/>
      <c r="K7">
        <f t="shared" si="0"/>
        <v>0.1048</v>
      </c>
    </row>
    <row r="8" spans="1:12" x14ac:dyDescent="0.25">
      <c r="A8" s="4"/>
      <c r="C8" s="4">
        <v>790</v>
      </c>
      <c r="D8" s="4"/>
      <c r="E8" s="4">
        <v>0.34300000000000003</v>
      </c>
      <c r="F8" s="4">
        <v>0.34300000000000003</v>
      </c>
      <c r="G8" s="4">
        <v>0.34499999999999997</v>
      </c>
      <c r="H8" s="4">
        <v>0.34200000000000003</v>
      </c>
      <c r="I8" s="4">
        <v>0.34200000000000003</v>
      </c>
      <c r="J8" s="9"/>
      <c r="K8">
        <f t="shared" si="0"/>
        <v>0.34300000000000008</v>
      </c>
    </row>
    <row r="9" spans="1:12" x14ac:dyDescent="0.25">
      <c r="A9" s="4"/>
      <c r="C9" s="4">
        <v>810</v>
      </c>
      <c r="D9" s="4"/>
      <c r="E9" s="4">
        <v>0.78900000000000003</v>
      </c>
      <c r="F9" s="4">
        <v>0.78900000000000003</v>
      </c>
      <c r="G9" s="4">
        <v>0.78700000000000003</v>
      </c>
      <c r="H9" s="4">
        <v>0.78400000000000003</v>
      </c>
      <c r="I9" s="4">
        <v>0.79</v>
      </c>
      <c r="J9" s="9"/>
      <c r="K9">
        <f t="shared" si="0"/>
        <v>0.78780000000000006</v>
      </c>
    </row>
    <row r="10" spans="1:12" x14ac:dyDescent="0.25">
      <c r="A10" s="4"/>
      <c r="C10" s="4">
        <v>840</v>
      </c>
      <c r="D10" s="4"/>
      <c r="E10" s="4">
        <v>2.17</v>
      </c>
      <c r="F10" s="4">
        <v>2.17</v>
      </c>
      <c r="G10" s="4">
        <v>2.1680000000000001</v>
      </c>
      <c r="H10" s="4">
        <v>2.1800000000000002</v>
      </c>
      <c r="I10" s="4">
        <v>2.19</v>
      </c>
      <c r="J10" s="9"/>
      <c r="K10">
        <f t="shared" si="0"/>
        <v>2.1756000000000002</v>
      </c>
    </row>
    <row r="11" spans="1:12" x14ac:dyDescent="0.25">
      <c r="A11" s="4"/>
      <c r="C11" s="4">
        <v>910</v>
      </c>
      <c r="D11" s="4"/>
      <c r="E11" s="4">
        <v>20</v>
      </c>
      <c r="F11" s="4">
        <v>20</v>
      </c>
      <c r="G11" s="4">
        <v>20.05</v>
      </c>
      <c r="H11" s="4">
        <v>20.100000000000001</v>
      </c>
      <c r="I11" s="4">
        <v>20.09</v>
      </c>
      <c r="J11" s="9"/>
      <c r="K11">
        <f t="shared" si="0"/>
        <v>20.048000000000002</v>
      </c>
    </row>
    <row r="12" spans="1:12" x14ac:dyDescent="0.25">
      <c r="A12" s="4"/>
      <c r="C12" s="4">
        <v>1000</v>
      </c>
      <c r="D12" s="4"/>
      <c r="E12" s="4">
        <v>145</v>
      </c>
      <c r="F12" s="4">
        <v>145</v>
      </c>
      <c r="G12" s="4">
        <v>146</v>
      </c>
      <c r="H12" s="4">
        <v>146</v>
      </c>
      <c r="I12" s="4">
        <v>145</v>
      </c>
      <c r="J12" s="9"/>
      <c r="K12">
        <f t="shared" si="0"/>
        <v>145.4</v>
      </c>
    </row>
    <row r="14" spans="1:12" x14ac:dyDescent="0.25">
      <c r="C14" s="4"/>
      <c r="D14" s="4"/>
      <c r="E14" s="4"/>
      <c r="F14" s="4"/>
      <c r="G14" s="4"/>
      <c r="H14" s="4"/>
      <c r="I14" s="4"/>
    </row>
    <row r="16" spans="1:12" ht="14" x14ac:dyDescent="0.3">
      <c r="D16" s="17" t="s">
        <v>9</v>
      </c>
      <c r="E16" s="16"/>
      <c r="F16" s="16"/>
      <c r="G16" s="16"/>
      <c r="H16" s="16"/>
      <c r="I16" s="16"/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Views>
    <sheetView workbookViewId="0"/>
  </sheetViews>
  <sheetFormatPr defaultColWidth="8.9140625" defaultRowHeight="12.5" x14ac:dyDescent="0.25"/>
  <cols>
    <col min="10" max="10" width="2.4140625" customWidth="1"/>
  </cols>
  <sheetData>
    <row r="1" spans="1:17" x14ac:dyDescent="0.25">
      <c r="A1" s="2"/>
      <c r="C1" s="1"/>
      <c r="I1" s="3" t="s">
        <v>7</v>
      </c>
    </row>
    <row r="2" spans="1:17" x14ac:dyDescent="0.25">
      <c r="C2" s="1"/>
    </row>
    <row r="3" spans="1:17" x14ac:dyDescent="0.25">
      <c r="J3" s="5"/>
      <c r="K3" s="11" t="s">
        <v>4</v>
      </c>
      <c r="N3" s="1"/>
    </row>
    <row r="4" spans="1:17" ht="15" x14ac:dyDescent="0.25">
      <c r="A4" s="2"/>
      <c r="B4" s="5"/>
      <c r="C4" s="12" t="s">
        <v>0</v>
      </c>
      <c r="D4" s="12" t="s">
        <v>10</v>
      </c>
      <c r="E4" s="13" t="s">
        <v>5</v>
      </c>
      <c r="F4" s="14"/>
      <c r="G4" s="14"/>
      <c r="H4" s="14"/>
      <c r="I4" s="14"/>
      <c r="J4" s="10"/>
      <c r="K4" s="15" t="s">
        <v>6</v>
      </c>
      <c r="L4" s="1" t="s">
        <v>8</v>
      </c>
    </row>
    <row r="5" spans="1:17" x14ac:dyDescent="0.25">
      <c r="A5" s="4"/>
      <c r="B5" s="4"/>
      <c r="C5" s="4">
        <v>700</v>
      </c>
      <c r="D5" s="4">
        <f>1/C5</f>
        <v>1.4285714285714286E-3</v>
      </c>
      <c r="E5" s="4">
        <v>1.0999999999999999E-2</v>
      </c>
      <c r="F5" s="4">
        <v>1.0999999999999999E-2</v>
      </c>
      <c r="G5" s="4">
        <v>1.2E-2</v>
      </c>
      <c r="H5" s="4">
        <v>1.2999999999999999E-2</v>
      </c>
      <c r="I5" s="4">
        <v>1.14E-2</v>
      </c>
      <c r="J5" s="9"/>
      <c r="K5">
        <f>AVERAGE(E5:I5)</f>
        <v>1.1679999999999999E-2</v>
      </c>
      <c r="L5">
        <f>LN(K5)</f>
        <v>-4.4498773015820561</v>
      </c>
      <c r="O5" s="1"/>
    </row>
    <row r="6" spans="1:17" x14ac:dyDescent="0.25">
      <c r="A6" s="4"/>
      <c r="B6" s="4"/>
      <c r="C6" s="4">
        <v>730</v>
      </c>
      <c r="D6" s="4">
        <f t="shared" ref="D6:D12" si="0">1/C6</f>
        <v>1.3698630136986301E-3</v>
      </c>
      <c r="E6" s="4">
        <v>3.5000000000000003E-2</v>
      </c>
      <c r="F6" s="4">
        <v>3.5000000000000003E-2</v>
      </c>
      <c r="G6" s="4">
        <v>3.2000000000000001E-2</v>
      </c>
      <c r="H6" s="4">
        <v>3.56E-2</v>
      </c>
      <c r="I6" s="4">
        <v>3.49E-2</v>
      </c>
      <c r="J6" s="9"/>
      <c r="K6">
        <f t="shared" ref="K6:K12" si="1">AVERAGE(E6:I6)</f>
        <v>3.4499999999999996E-2</v>
      </c>
      <c r="L6">
        <f t="shared" ref="L6:L12" si="2">LN(K6)</f>
        <v>-3.366795954944823</v>
      </c>
      <c r="N6" s="1"/>
      <c r="Q6" s="4"/>
    </row>
    <row r="7" spans="1:17" x14ac:dyDescent="0.25">
      <c r="A7" s="4"/>
      <c r="B7" s="4"/>
      <c r="C7" s="4">
        <v>760</v>
      </c>
      <c r="D7" s="4">
        <f t="shared" si="0"/>
        <v>1.3157894736842105E-3</v>
      </c>
      <c r="E7" s="4">
        <v>0.105</v>
      </c>
      <c r="F7" s="4">
        <v>0.105</v>
      </c>
      <c r="G7" s="4">
        <v>0.1055</v>
      </c>
      <c r="H7" s="4">
        <v>0.104</v>
      </c>
      <c r="I7" s="4">
        <v>0.1045</v>
      </c>
      <c r="J7" s="9"/>
      <c r="K7">
        <f t="shared" si="1"/>
        <v>0.1048</v>
      </c>
      <c r="L7">
        <f t="shared" si="2"/>
        <v>-2.2557015070951953</v>
      </c>
      <c r="N7" s="1"/>
      <c r="Q7" s="4"/>
    </row>
    <row r="8" spans="1:17" x14ac:dyDescent="0.25">
      <c r="A8" s="4"/>
      <c r="B8" s="4"/>
      <c r="C8" s="4">
        <v>790</v>
      </c>
      <c r="D8" s="4">
        <f t="shared" si="0"/>
        <v>1.2658227848101266E-3</v>
      </c>
      <c r="E8" s="4">
        <v>0.34300000000000003</v>
      </c>
      <c r="F8" s="4">
        <v>0.34300000000000003</v>
      </c>
      <c r="G8" s="4">
        <v>0.34499999999999997</v>
      </c>
      <c r="H8" s="4">
        <v>0.34200000000000003</v>
      </c>
      <c r="I8" s="4">
        <v>0.34200000000000003</v>
      </c>
      <c r="J8" s="9"/>
      <c r="K8">
        <f t="shared" si="1"/>
        <v>0.34300000000000008</v>
      </c>
      <c r="L8">
        <f t="shared" si="2"/>
        <v>-1.0700248318161969</v>
      </c>
      <c r="N8" s="1"/>
      <c r="Q8" s="4"/>
    </row>
    <row r="9" spans="1:17" x14ac:dyDescent="0.25">
      <c r="A9" s="4"/>
      <c r="B9" s="4"/>
      <c r="C9" s="4">
        <v>810</v>
      </c>
      <c r="D9" s="4">
        <f t="shared" si="0"/>
        <v>1.2345679012345679E-3</v>
      </c>
      <c r="E9" s="4">
        <v>0.78900000000000003</v>
      </c>
      <c r="F9" s="4">
        <v>0.78900000000000003</v>
      </c>
      <c r="G9" s="4">
        <v>0.78700000000000003</v>
      </c>
      <c r="H9" s="4">
        <v>0.78400000000000003</v>
      </c>
      <c r="I9" s="4">
        <v>0.79</v>
      </c>
      <c r="J9" s="9"/>
      <c r="K9">
        <f t="shared" si="1"/>
        <v>0.78780000000000006</v>
      </c>
      <c r="L9">
        <f t="shared" si="2"/>
        <v>-0.23851102844533148</v>
      </c>
      <c r="N9" s="1"/>
      <c r="Q9" s="4"/>
    </row>
    <row r="10" spans="1:17" x14ac:dyDescent="0.25">
      <c r="A10" s="4"/>
      <c r="B10" s="4"/>
      <c r="C10" s="4">
        <v>840</v>
      </c>
      <c r="D10" s="4">
        <f t="shared" si="0"/>
        <v>1.1904761904761906E-3</v>
      </c>
      <c r="E10" s="4">
        <v>2.17</v>
      </c>
      <c r="F10" s="4">
        <v>2.17</v>
      </c>
      <c r="G10" s="4">
        <v>2.1680000000000001</v>
      </c>
      <c r="H10" s="4">
        <v>2.1800000000000002</v>
      </c>
      <c r="I10" s="4">
        <v>2.19</v>
      </c>
      <c r="J10" s="9"/>
      <c r="K10">
        <f t="shared" si="1"/>
        <v>2.1756000000000002</v>
      </c>
      <c r="L10">
        <f t="shared" si="2"/>
        <v>0.77730448856666867</v>
      </c>
      <c r="N10" s="1"/>
      <c r="Q10" s="4"/>
    </row>
    <row r="11" spans="1:17" x14ac:dyDescent="0.25">
      <c r="A11" s="4"/>
      <c r="B11" s="4"/>
      <c r="C11" s="4">
        <v>910</v>
      </c>
      <c r="D11" s="4">
        <f t="shared" si="0"/>
        <v>1.0989010989010989E-3</v>
      </c>
      <c r="E11" s="4">
        <v>20</v>
      </c>
      <c r="F11" s="4">
        <v>20</v>
      </c>
      <c r="G11" s="4">
        <v>20.05</v>
      </c>
      <c r="H11" s="4">
        <v>20.100000000000001</v>
      </c>
      <c r="I11" s="4">
        <v>20.09</v>
      </c>
      <c r="J11" s="9"/>
      <c r="K11">
        <f t="shared" si="1"/>
        <v>20.048000000000002</v>
      </c>
      <c r="L11">
        <f t="shared" si="2"/>
        <v>2.9981293981537127</v>
      </c>
    </row>
    <row r="12" spans="1:17" x14ac:dyDescent="0.25">
      <c r="A12" s="4"/>
      <c r="B12" s="4"/>
      <c r="C12" s="4">
        <v>1000</v>
      </c>
      <c r="D12" s="4">
        <f t="shared" si="0"/>
        <v>1E-3</v>
      </c>
      <c r="E12" s="4">
        <v>145</v>
      </c>
      <c r="F12" s="4">
        <v>145</v>
      </c>
      <c r="G12" s="4">
        <v>146</v>
      </c>
      <c r="H12" s="4">
        <v>146</v>
      </c>
      <c r="I12" s="4">
        <v>145</v>
      </c>
      <c r="J12" s="9"/>
      <c r="K12">
        <f t="shared" si="1"/>
        <v>145.4</v>
      </c>
      <c r="L12">
        <f t="shared" si="2"/>
        <v>4.9794885650994187</v>
      </c>
      <c r="N12" s="1"/>
      <c r="P12" s="4"/>
    </row>
    <row r="13" spans="1:17" x14ac:dyDescent="0.25">
      <c r="N13" s="1"/>
      <c r="P13" s="4"/>
    </row>
    <row r="16" spans="1:17" x14ac:dyDescent="0.25">
      <c r="B16" s="1"/>
      <c r="D16" s="4"/>
      <c r="E16" s="4"/>
      <c r="N16" s="1"/>
      <c r="O16" s="4"/>
      <c r="P16" s="1"/>
    </row>
    <row r="17" spans="2:15" x14ac:dyDescent="0.25">
      <c r="B17" s="1"/>
      <c r="D17" s="6"/>
      <c r="E17" s="1"/>
    </row>
    <row r="18" spans="2:15" x14ac:dyDescent="0.25">
      <c r="B18" s="1"/>
      <c r="D18" s="4"/>
      <c r="E18" s="12"/>
    </row>
    <row r="19" spans="2:15" x14ac:dyDescent="0.25">
      <c r="E19" s="12"/>
      <c r="N19" s="1"/>
    </row>
    <row r="20" spans="2:15" x14ac:dyDescent="0.25">
      <c r="E20" s="4"/>
    </row>
    <row r="21" spans="2:15" x14ac:dyDescent="0.25">
      <c r="E21" s="4"/>
      <c r="N21" s="1"/>
      <c r="O21" s="1"/>
    </row>
    <row r="22" spans="2:15" x14ac:dyDescent="0.25">
      <c r="E22" s="4"/>
      <c r="N22" s="1"/>
      <c r="O22" s="1"/>
    </row>
    <row r="23" spans="2:15" x14ac:dyDescent="0.25">
      <c r="E23" s="4"/>
      <c r="N23" s="1"/>
      <c r="O23" s="1"/>
    </row>
    <row r="24" spans="2:15" x14ac:dyDescent="0.25">
      <c r="E24" s="4"/>
      <c r="N24" s="1"/>
      <c r="O24" s="1"/>
    </row>
    <row r="25" spans="2:15" x14ac:dyDescent="0.25">
      <c r="E25" s="4"/>
      <c r="N25" s="1"/>
      <c r="O25" s="1"/>
    </row>
    <row r="26" spans="2:15" x14ac:dyDescent="0.25">
      <c r="E26" s="4"/>
      <c r="N26" s="1"/>
      <c r="O26" s="1"/>
    </row>
    <row r="27" spans="2:15" x14ac:dyDescent="0.25">
      <c r="E27" s="4"/>
    </row>
    <row r="28" spans="2:15" x14ac:dyDescent="0.25">
      <c r="N28" s="1"/>
    </row>
    <row r="30" spans="2:15" x14ac:dyDescent="0.25">
      <c r="N30" s="1"/>
    </row>
    <row r="32" spans="2:15" x14ac:dyDescent="0.25">
      <c r="N32" s="1"/>
      <c r="O32" s="1"/>
    </row>
    <row r="35" spans="14:15" x14ac:dyDescent="0.25">
      <c r="N35" s="1"/>
    </row>
    <row r="37" spans="14:15" x14ac:dyDescent="0.25">
      <c r="N37" s="1"/>
      <c r="O37" s="1"/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L12"/>
  <sheetViews>
    <sheetView workbookViewId="0"/>
  </sheetViews>
  <sheetFormatPr defaultColWidth="8.9140625" defaultRowHeight="12.5" x14ac:dyDescent="0.25"/>
  <cols>
    <col min="10" max="10" width="2.4140625" customWidth="1"/>
  </cols>
  <sheetData>
    <row r="3" spans="3:12" x14ac:dyDescent="0.25">
      <c r="J3" s="5"/>
      <c r="K3" s="11" t="s">
        <v>4</v>
      </c>
    </row>
    <row r="4" spans="3:12" ht="15" x14ac:dyDescent="0.25">
      <c r="C4" s="12" t="s">
        <v>0</v>
      </c>
      <c r="D4" s="11" t="s">
        <v>10</v>
      </c>
      <c r="E4" s="13" t="s">
        <v>5</v>
      </c>
      <c r="F4" s="14"/>
      <c r="G4" s="14"/>
      <c r="H4" s="14"/>
      <c r="I4" s="14"/>
      <c r="J4" s="10"/>
      <c r="K4" s="15" t="s">
        <v>6</v>
      </c>
      <c r="L4" s="1" t="s">
        <v>8</v>
      </c>
    </row>
    <row r="5" spans="3:12" x14ac:dyDescent="0.25">
      <c r="C5" s="4">
        <v>700</v>
      </c>
      <c r="D5" s="4">
        <f>1/C5</f>
        <v>1.4285714285714286E-3</v>
      </c>
      <c r="E5" s="4">
        <v>1.0999999999999999E-2</v>
      </c>
      <c r="F5" s="4">
        <v>1.0999999999999999E-2</v>
      </c>
      <c r="G5" s="4">
        <v>1.2E-2</v>
      </c>
      <c r="H5" s="4">
        <v>1.2999999999999999E-2</v>
      </c>
      <c r="I5" s="4">
        <v>1.14E-2</v>
      </c>
      <c r="J5" s="9"/>
      <c r="K5">
        <f>AVERAGE(E5:I5)</f>
        <v>1.1679999999999999E-2</v>
      </c>
      <c r="L5">
        <f>LN(K5)</f>
        <v>-4.4498773015820561</v>
      </c>
    </row>
    <row r="6" spans="3:12" x14ac:dyDescent="0.25">
      <c r="C6" s="4">
        <v>730</v>
      </c>
      <c r="D6" s="4">
        <f t="shared" ref="D6:D12" si="0">1/C6</f>
        <v>1.3698630136986301E-3</v>
      </c>
      <c r="E6" s="4">
        <v>3.5000000000000003E-2</v>
      </c>
      <c r="F6" s="4">
        <v>3.5000000000000003E-2</v>
      </c>
      <c r="G6" s="4">
        <v>3.2000000000000001E-2</v>
      </c>
      <c r="H6" s="4">
        <v>3.56E-2</v>
      </c>
      <c r="I6" s="4">
        <v>3.49E-2</v>
      </c>
      <c r="J6" s="9"/>
      <c r="K6">
        <f t="shared" ref="K6:K12" si="1">AVERAGE(E6:I6)</f>
        <v>3.4499999999999996E-2</v>
      </c>
      <c r="L6">
        <f t="shared" ref="L6:L12" si="2">LN(K6)</f>
        <v>-3.366795954944823</v>
      </c>
    </row>
    <row r="7" spans="3:12" x14ac:dyDescent="0.25">
      <c r="C7" s="4">
        <v>760</v>
      </c>
      <c r="D7" s="4">
        <f t="shared" si="0"/>
        <v>1.3157894736842105E-3</v>
      </c>
      <c r="E7" s="4">
        <v>0.105</v>
      </c>
      <c r="F7" s="4">
        <v>0.105</v>
      </c>
      <c r="G7" s="4">
        <v>0.1055</v>
      </c>
      <c r="H7" s="4">
        <v>0.104</v>
      </c>
      <c r="I7" s="4">
        <v>0.1045</v>
      </c>
      <c r="J7" s="9"/>
      <c r="K7">
        <f t="shared" si="1"/>
        <v>0.1048</v>
      </c>
      <c r="L7">
        <f t="shared" si="2"/>
        <v>-2.2557015070951953</v>
      </c>
    </row>
    <row r="8" spans="3:12" x14ac:dyDescent="0.25">
      <c r="C8" s="4">
        <v>790</v>
      </c>
      <c r="D8" s="4">
        <f t="shared" si="0"/>
        <v>1.2658227848101266E-3</v>
      </c>
      <c r="E8" s="4">
        <v>0.34300000000000003</v>
      </c>
      <c r="F8" s="4">
        <v>0.34300000000000003</v>
      </c>
      <c r="G8" s="4">
        <v>0.34499999999999997</v>
      </c>
      <c r="H8" s="4">
        <v>0.34200000000000003</v>
      </c>
      <c r="I8" s="4">
        <v>0.34200000000000003</v>
      </c>
      <c r="J8" s="9"/>
      <c r="K8">
        <f t="shared" si="1"/>
        <v>0.34300000000000008</v>
      </c>
      <c r="L8">
        <f t="shared" si="2"/>
        <v>-1.0700248318161969</v>
      </c>
    </row>
    <row r="9" spans="3:12" x14ac:dyDescent="0.25">
      <c r="C9" s="4">
        <v>810</v>
      </c>
      <c r="D9" s="4">
        <f t="shared" si="0"/>
        <v>1.2345679012345679E-3</v>
      </c>
      <c r="E9" s="4">
        <v>0.78900000000000003</v>
      </c>
      <c r="F9" s="4">
        <v>0.78900000000000003</v>
      </c>
      <c r="G9" s="4">
        <v>0.78700000000000003</v>
      </c>
      <c r="H9" s="4">
        <v>0.78400000000000003</v>
      </c>
      <c r="I9" s="4">
        <v>0.79</v>
      </c>
      <c r="J9" s="9"/>
      <c r="K9">
        <f t="shared" si="1"/>
        <v>0.78780000000000006</v>
      </c>
      <c r="L9">
        <f t="shared" si="2"/>
        <v>-0.23851102844533148</v>
      </c>
    </row>
    <row r="10" spans="3:12" x14ac:dyDescent="0.25">
      <c r="C10" s="4">
        <v>840</v>
      </c>
      <c r="D10" s="4">
        <f t="shared" si="0"/>
        <v>1.1904761904761906E-3</v>
      </c>
      <c r="E10" s="4">
        <v>2.17</v>
      </c>
      <c r="F10" s="4">
        <v>2.17</v>
      </c>
      <c r="G10" s="4">
        <v>2.1680000000000001</v>
      </c>
      <c r="H10" s="4">
        <v>2.1800000000000002</v>
      </c>
      <c r="I10" s="4">
        <v>2.19</v>
      </c>
      <c r="J10" s="9"/>
      <c r="K10">
        <f t="shared" si="1"/>
        <v>2.1756000000000002</v>
      </c>
      <c r="L10">
        <f t="shared" si="2"/>
        <v>0.77730448856666867</v>
      </c>
    </row>
    <row r="11" spans="3:12" x14ac:dyDescent="0.25">
      <c r="C11" s="4">
        <v>910</v>
      </c>
      <c r="D11" s="4">
        <f t="shared" si="0"/>
        <v>1.0989010989010989E-3</v>
      </c>
      <c r="E11" s="4">
        <v>20</v>
      </c>
      <c r="F11" s="4">
        <v>20</v>
      </c>
      <c r="G11" s="4">
        <v>20.05</v>
      </c>
      <c r="H11" s="4">
        <v>20.100000000000001</v>
      </c>
      <c r="I11" s="4">
        <v>20.09</v>
      </c>
      <c r="J11" s="9"/>
      <c r="K11">
        <f t="shared" si="1"/>
        <v>20.048000000000002</v>
      </c>
      <c r="L11">
        <f t="shared" si="2"/>
        <v>2.9981293981537127</v>
      </c>
    </row>
    <row r="12" spans="3:12" x14ac:dyDescent="0.25">
      <c r="C12" s="4">
        <v>1000</v>
      </c>
      <c r="D12" s="4">
        <f t="shared" si="0"/>
        <v>1E-3</v>
      </c>
      <c r="E12" s="4">
        <v>145</v>
      </c>
      <c r="F12" s="4">
        <v>145</v>
      </c>
      <c r="G12" s="4">
        <v>146</v>
      </c>
      <c r="H12" s="4">
        <v>146</v>
      </c>
      <c r="I12" s="4">
        <v>145</v>
      </c>
      <c r="J12" s="9"/>
      <c r="K12">
        <f t="shared" si="1"/>
        <v>145.4</v>
      </c>
      <c r="L12">
        <f t="shared" si="2"/>
        <v>4.9794885650994187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/>
  </sheetViews>
  <sheetFormatPr defaultColWidth="8.9140625" defaultRowHeight="12.5" x14ac:dyDescent="0.25"/>
  <sheetData>
    <row r="1" spans="1:9" x14ac:dyDescent="0.25">
      <c r="A1" t="s">
        <v>11</v>
      </c>
    </row>
    <row r="2" spans="1:9" ht="13" thickBot="1" x14ac:dyDescent="0.3"/>
    <row r="3" spans="1:9" x14ac:dyDescent="0.25">
      <c r="A3" s="21" t="s">
        <v>12</v>
      </c>
      <c r="B3" s="21"/>
    </row>
    <row r="4" spans="1:9" x14ac:dyDescent="0.25">
      <c r="A4" s="18" t="s">
        <v>13</v>
      </c>
      <c r="B4" s="18">
        <v>0.99916257227578309</v>
      </c>
    </row>
    <row r="5" spans="1:9" x14ac:dyDescent="0.25">
      <c r="A5" s="18" t="s">
        <v>14</v>
      </c>
      <c r="B5" s="18">
        <v>0.99832584583675943</v>
      </c>
    </row>
    <row r="6" spans="1:9" x14ac:dyDescent="0.25">
      <c r="A6" s="18" t="s">
        <v>15</v>
      </c>
      <c r="B6" s="18">
        <v>0.99804682014288604</v>
      </c>
    </row>
    <row r="7" spans="1:9" x14ac:dyDescent="0.25">
      <c r="A7" s="18" t="s">
        <v>16</v>
      </c>
      <c r="B7" s="18">
        <v>0.14070439978741195</v>
      </c>
    </row>
    <row r="8" spans="1:9" ht="13" thickBot="1" x14ac:dyDescent="0.3">
      <c r="A8" s="19" t="s">
        <v>17</v>
      </c>
      <c r="B8" s="19">
        <v>8</v>
      </c>
    </row>
    <row r="10" spans="1:9" ht="13" thickBot="1" x14ac:dyDescent="0.3">
      <c r="A10" t="s">
        <v>18</v>
      </c>
    </row>
    <row r="11" spans="1:9" x14ac:dyDescent="0.25">
      <c r="A11" s="20"/>
      <c r="B11" s="20" t="s">
        <v>19</v>
      </c>
      <c r="C11" s="20" t="s">
        <v>20</v>
      </c>
      <c r="D11" s="20" t="s">
        <v>21</v>
      </c>
      <c r="E11" s="20" t="s">
        <v>22</v>
      </c>
      <c r="F11" s="20" t="s">
        <v>23</v>
      </c>
    </row>
    <row r="12" spans="1:9" x14ac:dyDescent="0.25">
      <c r="A12" s="18" t="s">
        <v>24</v>
      </c>
      <c r="B12" s="18">
        <v>1</v>
      </c>
      <c r="C12" s="18">
        <v>70.834278364153604</v>
      </c>
      <c r="D12" s="18">
        <v>70.834278364153604</v>
      </c>
      <c r="E12" s="18">
        <v>3577.8993395841367</v>
      </c>
      <c r="F12" s="18">
        <v>1.4672671862017851E-9</v>
      </c>
    </row>
    <row r="13" spans="1:9" x14ac:dyDescent="0.25">
      <c r="A13" s="18" t="s">
        <v>25</v>
      </c>
      <c r="B13" s="18">
        <v>6</v>
      </c>
      <c r="C13" s="18">
        <v>0.1187863687172151</v>
      </c>
      <c r="D13" s="18">
        <v>1.9797728119535851E-2</v>
      </c>
      <c r="E13" s="18"/>
      <c r="F13" s="18"/>
    </row>
    <row r="14" spans="1:9" ht="13" thickBot="1" x14ac:dyDescent="0.3">
      <c r="A14" s="19" t="s">
        <v>26</v>
      </c>
      <c r="B14" s="19">
        <v>7</v>
      </c>
      <c r="C14" s="19">
        <v>70.953064732870814</v>
      </c>
      <c r="D14" s="19"/>
      <c r="E14" s="19"/>
      <c r="F14" s="19"/>
    </row>
    <row r="15" spans="1:9" ht="13" thickBot="1" x14ac:dyDescent="0.3"/>
    <row r="16" spans="1:9" x14ac:dyDescent="0.25">
      <c r="A16" s="20"/>
      <c r="B16" s="20" t="s">
        <v>27</v>
      </c>
      <c r="C16" s="20" t="s">
        <v>16</v>
      </c>
      <c r="D16" s="20" t="s">
        <v>28</v>
      </c>
      <c r="E16" s="20" t="s">
        <v>29</v>
      </c>
      <c r="F16" s="20" t="s">
        <v>30</v>
      </c>
      <c r="G16" s="20" t="s">
        <v>31</v>
      </c>
      <c r="H16" s="20" t="s">
        <v>32</v>
      </c>
      <c r="I16" s="20" t="s">
        <v>33</v>
      </c>
    </row>
    <row r="17" spans="1:9" x14ac:dyDescent="0.25">
      <c r="A17" s="18" t="s">
        <v>34</v>
      </c>
      <c r="B17" s="18">
        <v>27.639504299155533</v>
      </c>
      <c r="C17" s="18">
        <v>0.47020556675436032</v>
      </c>
      <c r="D17" s="18">
        <v>58.781746226315228</v>
      </c>
      <c r="E17" s="18">
        <v>1.6288119034581903E-9</v>
      </c>
      <c r="F17" s="18">
        <v>26.488951883979691</v>
      </c>
      <c r="G17" s="18">
        <v>28.790056714331374</v>
      </c>
      <c r="H17" s="18">
        <v>26.488951883979691</v>
      </c>
      <c r="I17" s="18">
        <v>28.790056714331374</v>
      </c>
    </row>
    <row r="18" spans="1:9" ht="13" thickBot="1" x14ac:dyDescent="0.3">
      <c r="A18" s="19" t="s">
        <v>35</v>
      </c>
      <c r="B18" s="19">
        <v>-22591.095087641177</v>
      </c>
      <c r="C18" s="19">
        <v>377.67933658434458</v>
      </c>
      <c r="D18" s="19">
        <v>-59.815544297314396</v>
      </c>
      <c r="E18" s="19">
        <v>1.4672671862019778E-9</v>
      </c>
      <c r="F18" s="19">
        <v>-23515.243808101</v>
      </c>
      <c r="G18" s="19">
        <v>-21666.946367181354</v>
      </c>
      <c r="H18" s="19">
        <v>-23515.243808101</v>
      </c>
      <c r="I18" s="19">
        <v>-21666.946367181354</v>
      </c>
    </row>
  </sheetData>
  <pageMargins left="0.75" right="0.75" top="1" bottom="1" header="0.5" footer="0.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S36"/>
  <sheetViews>
    <sheetView topLeftCell="C1" workbookViewId="0">
      <selection activeCell="C1" sqref="C1"/>
    </sheetView>
  </sheetViews>
  <sheetFormatPr defaultColWidth="8.9140625" defaultRowHeight="12.5" x14ac:dyDescent="0.25"/>
  <cols>
    <col min="6" max="6" width="11.9140625" customWidth="1"/>
    <col min="10" max="10" width="2.33203125" customWidth="1"/>
    <col min="12" max="12" width="13.33203125" customWidth="1"/>
  </cols>
  <sheetData>
    <row r="2" spans="3:19" ht="23" x14ac:dyDescent="0.5">
      <c r="C2" s="30" t="s">
        <v>36</v>
      </c>
      <c r="D2" s="31"/>
      <c r="E2" s="31"/>
      <c r="F2" s="31"/>
      <c r="G2" s="31"/>
      <c r="H2" s="31"/>
      <c r="I2" s="31"/>
      <c r="J2" s="31"/>
      <c r="K2" s="31"/>
      <c r="L2" s="32"/>
      <c r="P2" s="27" t="s">
        <v>37</v>
      </c>
      <c r="Q2" s="24"/>
      <c r="R2" s="25"/>
    </row>
    <row r="3" spans="3:19" x14ac:dyDescent="0.25">
      <c r="J3" s="5"/>
      <c r="K3" s="11" t="s">
        <v>4</v>
      </c>
    </row>
    <row r="4" spans="3:19" ht="15" x14ac:dyDescent="0.25">
      <c r="C4" s="12" t="s">
        <v>0</v>
      </c>
      <c r="D4" s="11" t="s">
        <v>10</v>
      </c>
      <c r="E4" s="13" t="s">
        <v>5</v>
      </c>
      <c r="F4" s="14"/>
      <c r="G4" s="14"/>
      <c r="H4" s="14"/>
      <c r="I4" s="14"/>
      <c r="J4" s="10"/>
      <c r="K4" s="15" t="s">
        <v>6</v>
      </c>
      <c r="L4" s="5" t="s">
        <v>8</v>
      </c>
      <c r="P4" s="28" t="s">
        <v>38</v>
      </c>
      <c r="Q4" s="29"/>
      <c r="R4" s="28"/>
    </row>
    <row r="5" spans="3:19" x14ac:dyDescent="0.25">
      <c r="C5" s="4">
        <v>700</v>
      </c>
      <c r="D5" s="4">
        <f>1/C5</f>
        <v>1.4285714285714286E-3</v>
      </c>
      <c r="E5" s="4">
        <v>1.0999999999999999E-2</v>
      </c>
      <c r="F5" s="4">
        <v>1.0999999999999999E-2</v>
      </c>
      <c r="G5" s="4">
        <v>1.2E-2</v>
      </c>
      <c r="H5" s="4">
        <v>1.2999999999999999E-2</v>
      </c>
      <c r="I5" s="4">
        <v>1.14E-2</v>
      </c>
      <c r="J5" s="9"/>
      <c r="K5">
        <f>AVERAGE(E5:I5)</f>
        <v>1.1679999999999999E-2</v>
      </c>
      <c r="L5">
        <f>LN(K5)</f>
        <v>-4.4498773015820561</v>
      </c>
      <c r="P5" s="1" t="s">
        <v>34</v>
      </c>
      <c r="R5" s="4">
        <f>Intcpt</f>
        <v>27.639504299155533</v>
      </c>
      <c r="S5" s="4"/>
    </row>
    <row r="6" spans="3:19" x14ac:dyDescent="0.25">
      <c r="C6" s="4">
        <v>730</v>
      </c>
      <c r="D6" s="4">
        <f t="shared" ref="D6:D12" si="0">1/C6</f>
        <v>1.3698630136986301E-3</v>
      </c>
      <c r="E6" s="4">
        <v>3.5000000000000003E-2</v>
      </c>
      <c r="F6" s="4">
        <v>3.5000000000000003E-2</v>
      </c>
      <c r="G6" s="4">
        <v>3.2000000000000001E-2</v>
      </c>
      <c r="H6" s="4">
        <v>3.56E-2</v>
      </c>
      <c r="I6" s="4">
        <v>3.49E-2</v>
      </c>
      <c r="J6" s="9"/>
      <c r="K6">
        <f t="shared" ref="K6:K12" si="1">AVERAGE(E6:I6)</f>
        <v>3.4499999999999996E-2</v>
      </c>
      <c r="L6">
        <f t="shared" ref="L6:L12" si="2">LN(K6)</f>
        <v>-3.366795954944823</v>
      </c>
      <c r="P6" s="1" t="s">
        <v>39</v>
      </c>
      <c r="Q6" s="4"/>
      <c r="R6" s="4">
        <f>Slope</f>
        <v>-22591.095087641177</v>
      </c>
      <c r="S6" s="4"/>
    </row>
    <row r="7" spans="3:19" x14ac:dyDescent="0.25">
      <c r="C7" s="4">
        <v>760</v>
      </c>
      <c r="D7" s="4">
        <f t="shared" si="0"/>
        <v>1.3157894736842105E-3</v>
      </c>
      <c r="E7" s="4">
        <v>0.105</v>
      </c>
      <c r="F7" s="4">
        <v>0.105</v>
      </c>
      <c r="G7" s="4">
        <v>0.1055</v>
      </c>
      <c r="H7" s="4">
        <v>0.104</v>
      </c>
      <c r="I7" s="4">
        <v>0.1045</v>
      </c>
      <c r="J7" s="9"/>
      <c r="K7">
        <f t="shared" si="1"/>
        <v>0.1048</v>
      </c>
      <c r="L7">
        <f t="shared" si="2"/>
        <v>-2.2557015070951953</v>
      </c>
      <c r="P7" s="1" t="s">
        <v>14</v>
      </c>
      <c r="R7">
        <f>R_Square</f>
        <v>0.99832584583675943</v>
      </c>
      <c r="S7" s="4"/>
    </row>
    <row r="8" spans="3:19" x14ac:dyDescent="0.25">
      <c r="C8" s="4">
        <v>790</v>
      </c>
      <c r="D8" s="4">
        <f t="shared" si="0"/>
        <v>1.2658227848101266E-3</v>
      </c>
      <c r="E8" s="4">
        <v>0.34300000000000003</v>
      </c>
      <c r="F8" s="4">
        <v>0.34300000000000003</v>
      </c>
      <c r="G8" s="4">
        <v>0.34499999999999997</v>
      </c>
      <c r="H8" s="4">
        <v>0.34200000000000003</v>
      </c>
      <c r="I8" s="4">
        <v>0.34200000000000003</v>
      </c>
      <c r="J8" s="9"/>
      <c r="K8">
        <f t="shared" si="1"/>
        <v>0.34300000000000008</v>
      </c>
      <c r="L8">
        <f t="shared" si="2"/>
        <v>-1.0700248318161969</v>
      </c>
      <c r="P8" s="1"/>
      <c r="S8" s="4"/>
    </row>
    <row r="9" spans="3:19" x14ac:dyDescent="0.25">
      <c r="C9" s="4">
        <v>810</v>
      </c>
      <c r="D9" s="4">
        <f t="shared" si="0"/>
        <v>1.2345679012345679E-3</v>
      </c>
      <c r="E9" s="4">
        <v>0.78900000000000003</v>
      </c>
      <c r="F9" s="4">
        <v>0.78900000000000003</v>
      </c>
      <c r="G9" s="4">
        <v>0.78700000000000003</v>
      </c>
      <c r="H9" s="4">
        <v>0.78400000000000003</v>
      </c>
      <c r="I9" s="4">
        <v>0.79</v>
      </c>
      <c r="J9" s="9"/>
      <c r="K9">
        <f t="shared" si="1"/>
        <v>0.78780000000000006</v>
      </c>
      <c r="L9">
        <f t="shared" si="2"/>
        <v>-0.23851102844533148</v>
      </c>
      <c r="P9" s="1"/>
      <c r="Q9" s="4"/>
      <c r="S9" s="4"/>
    </row>
    <row r="10" spans="3:19" x14ac:dyDescent="0.25">
      <c r="C10" s="4">
        <v>840</v>
      </c>
      <c r="D10" s="4">
        <f t="shared" si="0"/>
        <v>1.1904761904761906E-3</v>
      </c>
      <c r="E10" s="4">
        <v>2.17</v>
      </c>
      <c r="F10" s="4">
        <v>2.17</v>
      </c>
      <c r="G10" s="4">
        <v>2.1680000000000001</v>
      </c>
      <c r="H10" s="4">
        <v>2.1800000000000002</v>
      </c>
      <c r="I10" s="4">
        <v>2.19</v>
      </c>
      <c r="J10" s="9"/>
      <c r="K10">
        <f t="shared" si="1"/>
        <v>2.1756000000000002</v>
      </c>
      <c r="L10">
        <f t="shared" si="2"/>
        <v>0.77730448856666867</v>
      </c>
      <c r="P10" s="28" t="s">
        <v>40</v>
      </c>
      <c r="Q10" s="29"/>
      <c r="R10" s="28"/>
    </row>
    <row r="11" spans="3:19" x14ac:dyDescent="0.25">
      <c r="C11" s="4">
        <v>910</v>
      </c>
      <c r="D11" s="4">
        <f t="shared" si="0"/>
        <v>1.0989010989010989E-3</v>
      </c>
      <c r="E11" s="4">
        <v>20</v>
      </c>
      <c r="F11" s="4">
        <v>20</v>
      </c>
      <c r="G11" s="4">
        <v>20.05</v>
      </c>
      <c r="H11" s="4">
        <v>20.100000000000001</v>
      </c>
      <c r="I11" s="4">
        <v>20.09</v>
      </c>
      <c r="J11" s="9"/>
      <c r="K11">
        <f t="shared" si="1"/>
        <v>20.048000000000002</v>
      </c>
      <c r="L11">
        <f t="shared" si="2"/>
        <v>2.9981293981537127</v>
      </c>
      <c r="P11" s="1" t="s">
        <v>41</v>
      </c>
      <c r="Q11" s="4">
        <v>8.3140000000000001</v>
      </c>
      <c r="R11" s="1" t="s">
        <v>42</v>
      </c>
    </row>
    <row r="12" spans="3:19" x14ac:dyDescent="0.25">
      <c r="C12" s="4">
        <v>1000</v>
      </c>
      <c r="D12" s="4">
        <f t="shared" si="0"/>
        <v>1E-3</v>
      </c>
      <c r="E12" s="4">
        <v>145</v>
      </c>
      <c r="F12" s="4">
        <v>145</v>
      </c>
      <c r="G12" s="4">
        <v>146</v>
      </c>
      <c r="H12" s="4">
        <v>146</v>
      </c>
      <c r="I12" s="4">
        <v>145</v>
      </c>
      <c r="J12" s="9"/>
      <c r="K12">
        <f t="shared" si="1"/>
        <v>145.4</v>
      </c>
      <c r="L12">
        <f t="shared" si="2"/>
        <v>4.9794885650994187</v>
      </c>
      <c r="P12" s="1"/>
      <c r="Q12" s="4"/>
      <c r="R12" s="1"/>
    </row>
    <row r="13" spans="3:19" x14ac:dyDescent="0.25">
      <c r="P13" s="1"/>
      <c r="Q13" s="4"/>
      <c r="R13" s="1"/>
    </row>
    <row r="14" spans="3:19" x14ac:dyDescent="0.25">
      <c r="P14" s="28" t="s">
        <v>43</v>
      </c>
      <c r="Q14" s="29"/>
      <c r="R14" s="28"/>
    </row>
    <row r="15" spans="3:19" x14ac:dyDescent="0.25">
      <c r="P15" s="1"/>
      <c r="Q15" s="4"/>
      <c r="R15" s="1"/>
    </row>
    <row r="16" spans="3:19" x14ac:dyDescent="0.25">
      <c r="P16" s="22" t="s">
        <v>44</v>
      </c>
      <c r="Q16" s="22" t="s">
        <v>45</v>
      </c>
    </row>
    <row r="17" spans="4:17" x14ac:dyDescent="0.25">
      <c r="D17" s="1" t="s">
        <v>46</v>
      </c>
      <c r="F17" s="4">
        <f>(-Slope*R_/1000)</f>
        <v>187.82236455864876</v>
      </c>
      <c r="G17" s="4" t="str">
        <f>IF(R_=8.314,"kJ mol^-1",IF(R_=1.987,"kcal mol^-1"," Check Result-incorrect unit!"))</f>
        <v>kJ mol^-1</v>
      </c>
      <c r="P17" s="22" t="s">
        <v>41</v>
      </c>
      <c r="Q17" s="22" t="s">
        <v>47</v>
      </c>
    </row>
    <row r="18" spans="4:17" x14ac:dyDescent="0.25">
      <c r="D18" s="1" t="s">
        <v>48</v>
      </c>
      <c r="F18" s="6" t="str">
        <f>FIXED(EXP(Intcpt),4,TRUE)&amp;"  M^-1 s^-1"</f>
        <v>1008519267389.8300  M^-1 s^-1</v>
      </c>
      <c r="G18" s="1"/>
      <c r="P18" s="23" t="s">
        <v>49</v>
      </c>
      <c r="Q18" s="22" t="s">
        <v>50</v>
      </c>
    </row>
    <row r="19" spans="4:17" x14ac:dyDescent="0.25">
      <c r="D19" s="1" t="s">
        <v>51</v>
      </c>
      <c r="F19" s="4" t="str">
        <f>IF('Step 9. RegrResults'!B5&gt;0.95,"Well correlated","Poor Correlation")</f>
        <v>Well correlated</v>
      </c>
      <c r="L19" s="33">
        <f ca="1">TODAY()</f>
        <v>43857</v>
      </c>
      <c r="P19" s="22" t="s">
        <v>52</v>
      </c>
      <c r="Q19" s="22" t="s">
        <v>53</v>
      </c>
    </row>
    <row r="20" spans="4:17" x14ac:dyDescent="0.25">
      <c r="P20" s="23" t="s">
        <v>39</v>
      </c>
      <c r="Q20" s="23" t="s">
        <v>54</v>
      </c>
    </row>
    <row r="21" spans="4:17" x14ac:dyDescent="0.25">
      <c r="P21" s="23"/>
      <c r="Q21" s="23"/>
    </row>
    <row r="22" spans="4:17" x14ac:dyDescent="0.25">
      <c r="P22" s="1"/>
      <c r="Q22" s="1"/>
    </row>
    <row r="23" spans="4:17" x14ac:dyDescent="0.25">
      <c r="F23" s="26"/>
      <c r="P23" s="1"/>
      <c r="Q23" s="1"/>
    </row>
    <row r="24" spans="4:17" x14ac:dyDescent="0.25">
      <c r="P24" s="1"/>
      <c r="Q24" s="1"/>
    </row>
    <row r="25" spans="4:17" x14ac:dyDescent="0.25">
      <c r="P25" s="1"/>
      <c r="Q25" s="1"/>
    </row>
    <row r="27" spans="4:17" x14ac:dyDescent="0.25">
      <c r="P27" s="1"/>
    </row>
    <row r="29" spans="4:17" x14ac:dyDescent="0.25">
      <c r="P29" s="1"/>
    </row>
    <row r="31" spans="4:17" x14ac:dyDescent="0.25">
      <c r="P31" s="1"/>
      <c r="Q31" s="1"/>
    </row>
    <row r="34" spans="16:17" x14ac:dyDescent="0.25">
      <c r="P34" s="1"/>
    </row>
    <row r="36" spans="16:17" x14ac:dyDescent="0.25">
      <c r="P36" s="1"/>
      <c r="Q36" s="1"/>
    </row>
  </sheetData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6</vt:i4>
      </vt:variant>
    </vt:vector>
  </HeadingPairs>
  <TitlesOfParts>
    <vt:vector size="16" baseType="lpstr">
      <vt:lpstr>Step 1. Raw Data</vt:lpstr>
      <vt:lpstr>Step 2. Adding Text</vt:lpstr>
      <vt:lpstr>Step 3. Averaging I</vt:lpstr>
      <vt:lpstr>Step 4. Averaging II</vt:lpstr>
      <vt:lpstr>Step 5. Borders</vt:lpstr>
      <vt:lpstr>Step 6. Inserting</vt:lpstr>
      <vt:lpstr>Step 7. Charting</vt:lpstr>
      <vt:lpstr>Step 8. Regression</vt:lpstr>
      <vt:lpstr>Step 9. RegrResults</vt:lpstr>
      <vt:lpstr>Step 10. FinalResults</vt:lpstr>
      <vt:lpstr>Intcpt</vt:lpstr>
      <vt:lpstr>'Step 10. FinalResults'!Print_Area</vt:lpstr>
      <vt:lpstr>R_</vt:lpstr>
      <vt:lpstr>R_Square</vt:lpstr>
      <vt:lpstr>ScratchPad</vt:lpstr>
      <vt:lpstr>Slope</vt:lpstr>
    </vt:vector>
  </TitlesOfParts>
  <Company>FZK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Filby</dc:creator>
  <cp:lastModifiedBy>Carina Negreanu</cp:lastModifiedBy>
  <cp:lastPrinted>1997-07-24T09:34:09Z</cp:lastPrinted>
  <dcterms:created xsi:type="dcterms:W3CDTF">1997-07-07T12:07:49Z</dcterms:created>
  <dcterms:modified xsi:type="dcterms:W3CDTF">2020-01-27T11:13:46Z</dcterms:modified>
</cp:coreProperties>
</file>