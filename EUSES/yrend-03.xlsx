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9B2F91D-E0C3-4EC8-B7D3-619C826F653D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Sheet1!$A$1:$H$90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6" i="1" l="1"/>
  <c r="G21" i="1"/>
  <c r="G25" i="1"/>
  <c r="G37" i="1"/>
  <c r="G42" i="1"/>
  <c r="G44" i="1"/>
  <c r="G46" i="1" s="1"/>
  <c r="G49" i="1" s="1"/>
  <c r="G76" i="1" s="1"/>
  <c r="G64" i="1"/>
  <c r="G73" i="1"/>
  <c r="G74" i="1"/>
  <c r="G85" i="1"/>
  <c r="A23" i="2"/>
  <c r="I23" i="2" s="1"/>
  <c r="B23" i="2"/>
  <c r="C23" i="2"/>
  <c r="D23" i="2"/>
  <c r="E23" i="2"/>
  <c r="F23" i="2"/>
  <c r="G23" i="2"/>
  <c r="H23" i="2"/>
  <c r="J36" i="2"/>
  <c r="K36" i="2"/>
  <c r="L36" i="2"/>
  <c r="M36" i="2"/>
  <c r="N36" i="2"/>
  <c r="O36" i="2"/>
  <c r="P36" i="2"/>
  <c r="Q36" i="2"/>
  <c r="R36" i="2"/>
  <c r="S36" i="2"/>
  <c r="T36" i="2"/>
  <c r="U36" i="2"/>
  <c r="J37" i="2"/>
</calcChain>
</file>

<file path=xl/sharedStrings.xml><?xml version="1.0" encoding="utf-8"?>
<sst xmlns="http://schemas.openxmlformats.org/spreadsheetml/2006/main" count="85" uniqueCount="73">
  <si>
    <t>Base:</t>
  </si>
  <si>
    <t>Treasurer:</t>
  </si>
  <si>
    <t>Telephone #:</t>
  </si>
  <si>
    <t>Email Address:</t>
  </si>
  <si>
    <t>Add Receipts</t>
  </si>
  <si>
    <t>Dues:</t>
  </si>
  <si>
    <t>Annual</t>
  </si>
  <si>
    <t>Life</t>
  </si>
  <si>
    <t>Donations Received:</t>
  </si>
  <si>
    <t>Memorial Fund</t>
  </si>
  <si>
    <t>Scholarship Fund</t>
  </si>
  <si>
    <t>Other</t>
  </si>
  <si>
    <t>Interest &amp; Dividend Income</t>
  </si>
  <si>
    <t>Money Received From Other Bases/National</t>
  </si>
  <si>
    <t>Fund Raising Receipts:</t>
  </si>
  <si>
    <t>Sale of Items</t>
  </si>
  <si>
    <t>Raffles (net)</t>
  </si>
  <si>
    <t>Advertising Income</t>
  </si>
  <si>
    <t>Meetings</t>
  </si>
  <si>
    <t>Events (picnics, dinners, luncheons)</t>
  </si>
  <si>
    <t>Cash in Checking #1</t>
  </si>
  <si>
    <t>Cash in Checking #2</t>
  </si>
  <si>
    <t>Cash in Savings #1</t>
  </si>
  <si>
    <t>Cash in Savings #2</t>
  </si>
  <si>
    <t>Convention (National,</t>
  </si>
  <si>
    <t>Total Cash Available (from page 1, line 9)</t>
  </si>
  <si>
    <t>Less Cash Expended</t>
  </si>
  <si>
    <t>Payments to USSVI:</t>
  </si>
  <si>
    <t>Dues Paid to National</t>
  </si>
  <si>
    <t>Other Amounts Paid to National:</t>
  </si>
  <si>
    <t>Scholarship</t>
  </si>
  <si>
    <t>Memorial</t>
  </si>
  <si>
    <t>Advertising</t>
  </si>
  <si>
    <t>Boat Sponsorships</t>
  </si>
  <si>
    <t>Amounts Paid to Other Bases</t>
  </si>
  <si>
    <t>Total Paid to USSVI National &amp; Local</t>
  </si>
  <si>
    <t>Donations made (not to National)</t>
  </si>
  <si>
    <t>Newsletter Expense</t>
  </si>
  <si>
    <t>Meeting Expense</t>
  </si>
  <si>
    <t>Summary:</t>
  </si>
  <si>
    <t xml:space="preserve">    Regional or District receipts)</t>
  </si>
  <si>
    <t>Dues</t>
  </si>
  <si>
    <t>Mem</t>
  </si>
  <si>
    <t>stoorkeeper</t>
  </si>
  <si>
    <t>raffle</t>
  </si>
  <si>
    <t>donation</t>
  </si>
  <si>
    <t>void</t>
  </si>
  <si>
    <t>Postage</t>
  </si>
  <si>
    <t>Scholar</t>
  </si>
  <si>
    <t>Misc</t>
  </si>
  <si>
    <t>Donation</t>
  </si>
  <si>
    <t>Store</t>
  </si>
  <si>
    <t>Am Sub</t>
  </si>
  <si>
    <t>WEB</t>
  </si>
  <si>
    <t>Phil</t>
  </si>
  <si>
    <t>.</t>
  </si>
  <si>
    <t>(as of 12/31/03)</t>
  </si>
  <si>
    <t>Total Cash Available at December 31, 2003</t>
  </si>
  <si>
    <t xml:space="preserve">Total Receipts </t>
  </si>
  <si>
    <t>Has each checking and savings account been reconciled at December 31, 2003?  (please type yes or no below)</t>
  </si>
  <si>
    <t>Other Receipts (explain below)</t>
  </si>
  <si>
    <t xml:space="preserve">Total Cash Available </t>
  </si>
  <si>
    <t>Other (explain below)</t>
  </si>
  <si>
    <t xml:space="preserve">Memorial  Expense </t>
  </si>
  <si>
    <t>Other Base Expenses (list below)</t>
  </si>
  <si>
    <t>Total Other Expenses</t>
  </si>
  <si>
    <t xml:space="preserve">Total Expense </t>
  </si>
  <si>
    <t>Total (this will agree to line 17):</t>
  </si>
  <si>
    <t>**INSERT DATA INTO YELLOW BOXES**</t>
  </si>
  <si>
    <t>U.S.S.V.I. - BASE FINANCIAL REPORT - FYE DECEMBER 31, 2003 - PAGE 1 OF 2</t>
  </si>
  <si>
    <t>(as of 1/1/03)</t>
  </si>
  <si>
    <t>Total Cash at January 1, 2003</t>
  </si>
  <si>
    <t>U.S.S.V.I. - BASE FINANCIAL REPORT - FYE DECEMBER 31, 2003 -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</si>
</sst>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name val="Arial"/>
    </font>
    <font>
      <sz val="10"/>
      <name val="CG Times"/>
      <family val="1"/>
    </font>
    <font>
      <sz val="11"/>
      <name val="CG Times"/>
      <family val="1"/>
    </font>
    <font>
      <sz val="10"/>
      <name val="Bookman Old Style"/>
      <family val="1"/>
    </font>
    <font>
      <sz val="11"/>
      <name val="Bookman Old Style"/>
      <family val="1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1" fillId="0" borderId="0" xfId="0" applyFont="1" applyBorder="1"/>
    <xf numFmtId="0" fontId="3" fillId="0" borderId="0" xfId="0" applyFont="1"/>
    <xf numFmtId="0" fontId="3" fillId="0" borderId="0" xfId="0" applyFont="1" applyBorder="1"/>
    <xf numFmtId="0" fontId="4" fillId="0" borderId="0" xfId="0" applyFont="1"/>
    <xf numFmtId="0" fontId="0" fillId="0" borderId="0" xfId="0" applyBorder="1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2" fontId="0" fillId="0" borderId="0" xfId="0" applyNumberFormat="1"/>
    <xf numFmtId="2" fontId="2" fillId="0" borderId="0" xfId="0" applyNumberFormat="1" applyFont="1"/>
    <xf numFmtId="2" fontId="2" fillId="0" borderId="0" xfId="0" applyNumberFormat="1" applyFont="1" applyBorder="1"/>
    <xf numFmtId="2" fontId="1" fillId="0" borderId="0" xfId="0" applyNumberFormat="1" applyFont="1"/>
    <xf numFmtId="4" fontId="2" fillId="0" borderId="0" xfId="0" applyNumberFormat="1" applyFont="1"/>
    <xf numFmtId="4" fontId="2" fillId="0" borderId="1" xfId="0" applyNumberFormat="1" applyFont="1" applyBorder="1"/>
    <xf numFmtId="4" fontId="2" fillId="0" borderId="0" xfId="0" applyNumberFormat="1" applyFont="1" applyBorder="1"/>
    <xf numFmtId="4" fontId="0" fillId="0" borderId="0" xfId="0" applyNumberFormat="1"/>
    <xf numFmtId="4" fontId="0" fillId="0" borderId="0" xfId="0" applyNumberFormat="1" applyBorder="1"/>
    <xf numFmtId="0" fontId="2" fillId="0" borderId="0" xfId="0" applyFont="1" applyProtection="1">
      <protection locked="0"/>
    </xf>
    <xf numFmtId="0" fontId="2" fillId="2" borderId="2" xfId="0" applyFont="1" applyFill="1" applyBorder="1" applyProtection="1">
      <protection locked="0"/>
    </xf>
    <xf numFmtId="0" fontId="2" fillId="2" borderId="3" xfId="0" applyFont="1" applyFill="1" applyBorder="1" applyProtection="1">
      <protection locked="0"/>
    </xf>
    <xf numFmtId="4" fontId="2" fillId="2" borderId="2" xfId="0" applyNumberFormat="1" applyFont="1" applyFill="1" applyBorder="1" applyProtection="1">
      <protection locked="0"/>
    </xf>
    <xf numFmtId="4" fontId="2" fillId="2" borderId="3" xfId="0" applyNumberFormat="1" applyFont="1" applyFill="1" applyBorder="1" applyProtection="1">
      <protection locked="0"/>
    </xf>
    <xf numFmtId="4" fontId="2" fillId="2" borderId="0" xfId="0" applyNumberFormat="1" applyFont="1" applyFill="1"/>
    <xf numFmtId="2" fontId="2" fillId="2" borderId="2" xfId="0" applyNumberFormat="1" applyFont="1" applyFill="1" applyBorder="1" applyProtection="1">
      <protection locked="0"/>
    </xf>
    <xf numFmtId="0" fontId="2" fillId="0" borderId="0" xfId="0" applyFont="1" applyProtection="1"/>
    <xf numFmtId="4" fontId="2" fillId="0" borderId="0" xfId="0" applyNumberFormat="1" applyFont="1" applyFill="1"/>
    <xf numFmtId="4" fontId="5" fillId="2" borderId="0" xfId="0" applyNumberFormat="1" applyFont="1" applyFill="1" applyProtection="1">
      <protection locked="0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2"/>
  <sheetViews>
    <sheetView tabSelected="1" topLeftCell="A40" zoomScaleNormal="100" workbookViewId="0">
      <selection activeCell="B50" sqref="B50"/>
    </sheetView>
  </sheetViews>
  <sheetFormatPr defaultRowHeight="12.5"/>
  <cols>
    <col min="1" max="1" width="20.7265625" customWidth="1"/>
    <col min="2" max="2" width="18.453125" customWidth="1"/>
    <col min="3" max="3" width="13.453125" customWidth="1"/>
    <col min="4" max="4" width="3" customWidth="1"/>
    <col min="5" max="5" width="13" customWidth="1"/>
    <col min="6" max="6" width="1.26953125" customWidth="1"/>
    <col min="7" max="7" width="13" style="13" customWidth="1"/>
    <col min="8" max="8" width="3.26953125" customWidth="1"/>
    <col min="9" max="9" width="12.7265625" customWidth="1"/>
    <col min="10" max="10" width="8.26953125" customWidth="1"/>
    <col min="11" max="11" width="9.7265625" customWidth="1"/>
  </cols>
  <sheetData>
    <row r="1" spans="1:13" ht="14">
      <c r="A1" s="2" t="s">
        <v>69</v>
      </c>
      <c r="B1" s="2"/>
      <c r="C1" s="2"/>
      <c r="D1" s="2"/>
      <c r="E1" s="2"/>
      <c r="F1" s="2"/>
      <c r="G1" s="14"/>
      <c r="H1" s="2"/>
    </row>
    <row r="2" spans="1:13" ht="14">
      <c r="A2" s="2"/>
      <c r="B2" s="2"/>
      <c r="C2" s="2"/>
      <c r="D2" s="2"/>
      <c r="E2" s="2"/>
      <c r="F2" s="2"/>
      <c r="G2" s="14"/>
      <c r="H2" s="2"/>
    </row>
    <row r="3" spans="1:13" ht="14">
      <c r="A3" s="2" t="s">
        <v>68</v>
      </c>
      <c r="B3" s="2"/>
      <c r="C3" s="2"/>
      <c r="D3" s="2"/>
      <c r="E3" s="2"/>
      <c r="F3" s="2"/>
      <c r="G3" s="14"/>
      <c r="H3" s="2"/>
    </row>
    <row r="4" spans="1:13" ht="14">
      <c r="A4" s="2"/>
      <c r="B4" s="2"/>
      <c r="C4" s="2"/>
      <c r="D4" s="2"/>
      <c r="E4" s="2"/>
      <c r="F4" s="2"/>
      <c r="G4" s="14"/>
      <c r="H4" s="2"/>
    </row>
    <row r="5" spans="1:13" ht="14">
      <c r="A5" s="2" t="s">
        <v>0</v>
      </c>
      <c r="B5" s="23"/>
      <c r="C5" s="2"/>
      <c r="D5" s="2"/>
      <c r="E5" s="2"/>
      <c r="F5" s="2"/>
      <c r="G5" s="14"/>
      <c r="H5" s="10"/>
      <c r="I5" s="5"/>
      <c r="J5" s="5"/>
      <c r="K5" s="5"/>
      <c r="L5" s="5"/>
      <c r="M5" s="5"/>
    </row>
    <row r="6" spans="1:13" ht="14">
      <c r="A6" s="2"/>
      <c r="B6" s="3"/>
      <c r="C6" s="2"/>
      <c r="D6" s="2"/>
      <c r="E6" s="29"/>
      <c r="F6" s="2"/>
      <c r="G6" s="14"/>
      <c r="H6" s="10"/>
      <c r="I6" s="5"/>
      <c r="J6" s="5"/>
      <c r="K6" s="5"/>
      <c r="L6" s="5"/>
      <c r="M6" s="5"/>
    </row>
    <row r="7" spans="1:13" ht="14">
      <c r="A7" s="2" t="s">
        <v>1</v>
      </c>
      <c r="B7" s="23"/>
      <c r="C7" s="22"/>
      <c r="D7" s="2"/>
      <c r="E7" s="2"/>
      <c r="F7" s="2"/>
      <c r="G7" s="14"/>
      <c r="H7" s="10"/>
      <c r="I7" s="5"/>
      <c r="J7" s="5"/>
      <c r="K7" s="5"/>
      <c r="L7" s="5"/>
      <c r="M7" s="5"/>
    </row>
    <row r="8" spans="1:13" ht="14">
      <c r="A8" s="2" t="s">
        <v>2</v>
      </c>
      <c r="B8" s="24"/>
      <c r="C8" s="2" t="s">
        <v>55</v>
      </c>
      <c r="D8" s="2"/>
      <c r="E8" s="2"/>
      <c r="F8" s="2"/>
      <c r="G8" s="14"/>
      <c r="H8" s="10"/>
      <c r="I8" s="5"/>
      <c r="J8" s="5"/>
      <c r="K8" s="5"/>
      <c r="L8" s="5"/>
      <c r="M8" s="5"/>
    </row>
    <row r="9" spans="1:13" ht="14">
      <c r="A9" s="2" t="s">
        <v>3</v>
      </c>
      <c r="B9" s="24"/>
      <c r="C9" s="2"/>
      <c r="D9" s="2"/>
      <c r="E9" s="2"/>
      <c r="F9" s="2"/>
      <c r="G9" s="14"/>
      <c r="H9" s="10"/>
      <c r="I9" s="5"/>
      <c r="J9" s="5"/>
      <c r="K9" s="5"/>
      <c r="L9" s="5"/>
      <c r="M9" s="5"/>
    </row>
    <row r="10" spans="1:13" ht="14">
      <c r="A10" s="2"/>
      <c r="B10" s="3"/>
      <c r="C10" s="3"/>
      <c r="D10" s="2"/>
      <c r="E10" s="2"/>
      <c r="F10" s="2"/>
      <c r="G10" s="14"/>
      <c r="H10" s="10"/>
      <c r="I10" s="5"/>
      <c r="J10" s="5"/>
      <c r="K10" s="5"/>
      <c r="L10" s="5"/>
      <c r="M10" s="5"/>
    </row>
    <row r="11" spans="1:13" ht="14">
      <c r="A11" s="2" t="s">
        <v>20</v>
      </c>
      <c r="B11" s="3" t="s">
        <v>70</v>
      </c>
      <c r="C11" s="3"/>
      <c r="D11" s="2"/>
      <c r="E11" s="2"/>
      <c r="F11" s="2"/>
      <c r="G11" s="25"/>
      <c r="H11" s="10"/>
      <c r="I11" s="5"/>
      <c r="J11" s="5"/>
      <c r="K11" s="5"/>
      <c r="L11" s="5"/>
      <c r="M11" s="5"/>
    </row>
    <row r="12" spans="1:13" ht="14">
      <c r="A12" s="2" t="s">
        <v>21</v>
      </c>
      <c r="B12" s="3" t="s">
        <v>70</v>
      </c>
      <c r="C12" s="3"/>
      <c r="D12" s="2"/>
      <c r="E12" s="2"/>
      <c r="F12" s="2"/>
      <c r="G12" s="26"/>
      <c r="H12" s="10"/>
      <c r="I12" s="5"/>
      <c r="J12" s="5"/>
      <c r="K12" s="5"/>
      <c r="L12" s="5"/>
      <c r="M12" s="5"/>
    </row>
    <row r="13" spans="1:13" ht="14">
      <c r="A13" s="2" t="s">
        <v>22</v>
      </c>
      <c r="B13" s="2" t="s">
        <v>70</v>
      </c>
      <c r="C13" s="2"/>
      <c r="D13" s="2"/>
      <c r="E13" s="2"/>
      <c r="F13" s="2"/>
      <c r="G13" s="26"/>
      <c r="H13" s="10"/>
      <c r="I13" s="5"/>
      <c r="J13" s="5"/>
      <c r="K13" s="5"/>
      <c r="L13" s="5"/>
      <c r="M13" s="5"/>
    </row>
    <row r="14" spans="1:13" ht="14">
      <c r="A14" s="2" t="s">
        <v>23</v>
      </c>
      <c r="B14" s="2" t="s">
        <v>70</v>
      </c>
      <c r="C14" s="2"/>
      <c r="D14" s="2"/>
      <c r="E14" s="2"/>
      <c r="F14" s="2"/>
      <c r="G14" s="26"/>
      <c r="H14" s="10"/>
      <c r="I14" s="5"/>
      <c r="J14" s="5"/>
      <c r="K14" s="5"/>
      <c r="L14" s="5"/>
      <c r="M14" s="5"/>
    </row>
    <row r="15" spans="1:13" ht="14">
      <c r="A15" s="2"/>
      <c r="B15" s="2"/>
      <c r="C15" s="2"/>
      <c r="D15" s="2"/>
      <c r="E15" s="2"/>
      <c r="F15" s="2"/>
      <c r="G15" s="30"/>
      <c r="H15" s="10"/>
      <c r="I15" s="6"/>
      <c r="J15" s="6"/>
      <c r="K15" s="6"/>
      <c r="L15" s="5"/>
      <c r="M15" s="5"/>
    </row>
    <row r="16" spans="1:13" ht="14">
      <c r="A16" s="11" t="s">
        <v>71</v>
      </c>
      <c r="B16" s="2"/>
      <c r="C16" s="2"/>
      <c r="D16" s="2"/>
      <c r="E16" s="2"/>
      <c r="F16" s="2"/>
      <c r="G16" s="18">
        <f>G11+G12+G13+G14</f>
        <v>0</v>
      </c>
      <c r="H16" s="10">
        <v>1</v>
      </c>
      <c r="I16" s="6"/>
      <c r="J16" s="6"/>
      <c r="K16" s="6"/>
      <c r="L16" s="5"/>
      <c r="M16" s="5"/>
    </row>
    <row r="17" spans="1:13" ht="14">
      <c r="A17" s="2"/>
      <c r="B17" s="2"/>
      <c r="C17" s="2"/>
      <c r="D17" s="2"/>
      <c r="E17" s="2"/>
      <c r="F17" s="2"/>
      <c r="G17" s="14"/>
      <c r="H17" s="10"/>
      <c r="I17" s="6"/>
      <c r="J17" s="6"/>
      <c r="K17" s="6"/>
      <c r="L17" s="5"/>
      <c r="M17" s="5"/>
    </row>
    <row r="18" spans="1:13" ht="14">
      <c r="A18" s="2" t="s">
        <v>4</v>
      </c>
      <c r="B18" s="2"/>
      <c r="C18" s="2"/>
      <c r="D18" s="2"/>
      <c r="E18" s="2"/>
      <c r="F18" s="2"/>
      <c r="G18" s="14"/>
      <c r="H18" s="10"/>
      <c r="I18" s="6"/>
      <c r="J18" s="6"/>
      <c r="K18" s="6"/>
      <c r="L18" s="5"/>
      <c r="M18" s="5"/>
    </row>
    <row r="19" spans="1:13" ht="14">
      <c r="A19" s="2"/>
      <c r="B19" s="2"/>
      <c r="C19" s="2"/>
      <c r="D19" s="2"/>
      <c r="E19" s="2"/>
      <c r="F19" s="2"/>
      <c r="G19" s="14"/>
      <c r="H19" s="10"/>
      <c r="I19" s="6"/>
      <c r="J19" s="6"/>
      <c r="K19" s="6"/>
      <c r="L19" s="5"/>
      <c r="M19" s="5"/>
    </row>
    <row r="20" spans="1:13" ht="14">
      <c r="A20" s="2" t="s">
        <v>5</v>
      </c>
      <c r="B20" s="2" t="s">
        <v>6</v>
      </c>
      <c r="C20" s="2"/>
      <c r="D20" s="2"/>
      <c r="E20" s="25"/>
      <c r="F20" s="3"/>
      <c r="G20" s="14"/>
      <c r="H20" s="10"/>
      <c r="I20" s="6"/>
      <c r="J20" s="6"/>
      <c r="K20" s="6"/>
      <c r="L20" s="5"/>
      <c r="M20" s="5"/>
    </row>
    <row r="21" spans="1:13" ht="14">
      <c r="A21" s="2"/>
      <c r="B21" s="2" t="s">
        <v>7</v>
      </c>
      <c r="C21" s="2"/>
      <c r="D21" s="2"/>
      <c r="E21" s="26"/>
      <c r="F21" s="3"/>
      <c r="G21" s="18">
        <f>E20+E21</f>
        <v>0</v>
      </c>
      <c r="H21" s="10">
        <v>2</v>
      </c>
      <c r="I21" s="5"/>
      <c r="J21" s="5"/>
      <c r="K21" s="5"/>
      <c r="L21" s="5"/>
      <c r="M21" s="5"/>
    </row>
    <row r="22" spans="1:13" ht="14">
      <c r="A22" s="2"/>
      <c r="B22" s="2"/>
      <c r="C22" s="2"/>
      <c r="D22" s="2"/>
      <c r="E22" s="17"/>
      <c r="F22" s="2"/>
      <c r="G22" s="14"/>
      <c r="H22" s="10"/>
      <c r="I22" s="5"/>
      <c r="J22" s="5"/>
      <c r="K22" s="5"/>
      <c r="L22" s="5"/>
      <c r="M22" s="5"/>
    </row>
    <row r="23" spans="1:13" ht="14">
      <c r="A23" s="2" t="s">
        <v>8</v>
      </c>
      <c r="B23" s="2" t="s">
        <v>9</v>
      </c>
      <c r="C23" s="2"/>
      <c r="D23" s="2"/>
      <c r="E23" s="25"/>
      <c r="F23" s="2"/>
      <c r="G23" s="14"/>
      <c r="H23" s="10"/>
      <c r="I23" s="5"/>
      <c r="J23" s="5"/>
      <c r="K23" s="5"/>
      <c r="L23" s="5"/>
      <c r="M23" s="5"/>
    </row>
    <row r="24" spans="1:13" ht="14">
      <c r="A24" s="2"/>
      <c r="B24" s="2" t="s">
        <v>10</v>
      </c>
      <c r="C24" s="2"/>
      <c r="D24" s="2"/>
      <c r="E24" s="26"/>
      <c r="F24" s="2"/>
      <c r="G24" s="14"/>
      <c r="H24" s="10"/>
      <c r="I24" s="5"/>
      <c r="J24" s="5"/>
      <c r="K24" s="5"/>
      <c r="L24" s="5"/>
      <c r="M24" s="5"/>
    </row>
    <row r="25" spans="1:13" ht="14">
      <c r="A25" s="2"/>
      <c r="B25" s="2" t="s">
        <v>11</v>
      </c>
      <c r="C25" s="2"/>
      <c r="D25" s="2"/>
      <c r="E25" s="26"/>
      <c r="F25" s="2"/>
      <c r="G25" s="18">
        <f>E23+E24+E25</f>
        <v>0</v>
      </c>
      <c r="H25" s="10">
        <v>3</v>
      </c>
      <c r="I25" s="5"/>
      <c r="J25" s="5"/>
      <c r="K25" s="5"/>
      <c r="L25" s="5"/>
      <c r="M25" s="5"/>
    </row>
    <row r="26" spans="1:13" ht="14">
      <c r="A26" s="2"/>
      <c r="B26" s="2"/>
      <c r="C26" s="2"/>
      <c r="D26" s="2"/>
      <c r="E26" s="2"/>
      <c r="F26" s="2"/>
      <c r="G26" s="17"/>
      <c r="H26" s="10"/>
      <c r="I26" s="5"/>
      <c r="J26" s="5"/>
      <c r="K26" s="5"/>
      <c r="L26" s="5"/>
      <c r="M26" s="5"/>
    </row>
    <row r="27" spans="1:13" ht="14">
      <c r="A27" s="2" t="s">
        <v>12</v>
      </c>
      <c r="B27" s="2"/>
      <c r="C27" s="2"/>
      <c r="D27" s="2"/>
      <c r="E27" s="2"/>
      <c r="F27" s="2"/>
      <c r="G27" s="25"/>
      <c r="H27" s="10">
        <v>4</v>
      </c>
      <c r="I27" s="5"/>
      <c r="J27" s="5"/>
      <c r="K27" s="5"/>
      <c r="L27" s="5"/>
      <c r="M27" s="5"/>
    </row>
    <row r="28" spans="1:13" ht="14">
      <c r="A28" s="2"/>
      <c r="B28" s="2"/>
      <c r="C28" s="2"/>
      <c r="D28" s="2"/>
      <c r="E28" s="2"/>
      <c r="F28" s="2"/>
      <c r="G28" s="17"/>
      <c r="H28" s="10"/>
      <c r="I28" s="5"/>
      <c r="J28" s="5"/>
      <c r="K28" s="5"/>
      <c r="L28" s="5"/>
      <c r="M28" s="5"/>
    </row>
    <row r="29" spans="1:13" ht="14">
      <c r="A29" s="2" t="s">
        <v>13</v>
      </c>
      <c r="B29" s="2"/>
      <c r="C29" s="2"/>
      <c r="D29" s="2"/>
      <c r="E29" s="2"/>
      <c r="F29" s="2"/>
      <c r="G29" s="25"/>
      <c r="H29" s="10">
        <v>5</v>
      </c>
      <c r="I29" s="5"/>
      <c r="J29" s="5"/>
      <c r="K29" s="5"/>
      <c r="L29" s="5"/>
      <c r="M29" s="5"/>
    </row>
    <row r="30" spans="1:13" ht="14">
      <c r="A30" s="2"/>
      <c r="B30" s="2"/>
      <c r="C30" s="2"/>
      <c r="D30" s="2"/>
      <c r="E30" s="2"/>
      <c r="F30" s="2"/>
      <c r="G30" s="17"/>
      <c r="H30" s="10"/>
      <c r="I30" s="5"/>
      <c r="J30" s="5"/>
      <c r="K30" s="5"/>
      <c r="L30" s="5"/>
      <c r="M30" s="5"/>
    </row>
    <row r="31" spans="1:13" ht="14">
      <c r="A31" s="2" t="s">
        <v>14</v>
      </c>
      <c r="B31" s="2" t="s">
        <v>15</v>
      </c>
      <c r="C31" s="2"/>
      <c r="D31" s="2"/>
      <c r="E31" s="25"/>
      <c r="F31" s="2"/>
      <c r="G31" s="17"/>
      <c r="H31" s="10"/>
      <c r="I31" s="5"/>
      <c r="J31" s="5"/>
      <c r="K31" s="5"/>
      <c r="L31" s="5"/>
      <c r="M31" s="5"/>
    </row>
    <row r="32" spans="1:13" ht="14">
      <c r="A32" s="2"/>
      <c r="B32" s="2" t="s">
        <v>16</v>
      </c>
      <c r="C32" s="2"/>
      <c r="D32" s="2"/>
      <c r="E32" s="26"/>
      <c r="F32" s="2"/>
      <c r="G32" s="17"/>
      <c r="H32" s="10"/>
      <c r="I32" s="5"/>
      <c r="J32" s="5"/>
      <c r="K32" s="5"/>
      <c r="L32" s="5"/>
      <c r="M32" s="5"/>
    </row>
    <row r="33" spans="1:13" ht="14">
      <c r="A33" s="2"/>
      <c r="B33" s="2" t="s">
        <v>24</v>
      </c>
      <c r="C33" s="2"/>
      <c r="D33" s="2"/>
      <c r="E33" s="19"/>
      <c r="F33" s="2"/>
      <c r="G33" s="17"/>
      <c r="H33" s="10"/>
      <c r="I33" s="5"/>
      <c r="J33" s="5"/>
      <c r="K33" s="5"/>
      <c r="L33" s="5"/>
      <c r="M33" s="5"/>
    </row>
    <row r="34" spans="1:13" ht="14">
      <c r="A34" s="2"/>
      <c r="B34" s="11" t="s">
        <v>40</v>
      </c>
      <c r="C34" s="2"/>
      <c r="D34" s="2"/>
      <c r="E34" s="25"/>
      <c r="F34" s="2"/>
      <c r="G34" s="17"/>
      <c r="H34" s="10"/>
      <c r="I34" s="5"/>
      <c r="J34" s="5"/>
      <c r="K34" s="5"/>
      <c r="L34" s="5"/>
      <c r="M34" s="5"/>
    </row>
    <row r="35" spans="1:13" ht="14">
      <c r="A35" s="2"/>
      <c r="B35" s="2" t="s">
        <v>17</v>
      </c>
      <c r="C35" s="2"/>
      <c r="D35" s="2"/>
      <c r="E35" s="26"/>
      <c r="F35" s="2"/>
      <c r="G35" s="17"/>
      <c r="H35" s="10"/>
      <c r="I35" s="5"/>
      <c r="J35" s="5"/>
      <c r="K35" s="5"/>
      <c r="L35" s="5"/>
      <c r="M35" s="5"/>
    </row>
    <row r="36" spans="1:13" ht="14">
      <c r="A36" s="2"/>
      <c r="B36" s="2" t="s">
        <v>18</v>
      </c>
      <c r="C36" s="2"/>
      <c r="D36" s="2"/>
      <c r="E36" s="26"/>
      <c r="F36" s="2"/>
      <c r="G36" s="17"/>
      <c r="H36" s="10"/>
      <c r="I36" s="5"/>
      <c r="J36" s="5"/>
      <c r="K36" s="5"/>
      <c r="L36" s="5"/>
      <c r="M36" s="5"/>
    </row>
    <row r="37" spans="1:13" ht="14">
      <c r="A37" s="2"/>
      <c r="B37" s="2" t="s">
        <v>19</v>
      </c>
      <c r="C37" s="2"/>
      <c r="D37" s="2"/>
      <c r="E37" s="26"/>
      <c r="F37" s="2"/>
      <c r="G37" s="18">
        <f>E31+E32+E34+E35+E36+E37</f>
        <v>0</v>
      </c>
      <c r="H37" s="10">
        <v>6</v>
      </c>
      <c r="I37" s="5"/>
      <c r="J37" s="5"/>
      <c r="K37" s="5"/>
      <c r="L37" s="5"/>
      <c r="M37" s="5"/>
    </row>
    <row r="38" spans="1:13" ht="14">
      <c r="A38" s="2"/>
      <c r="B38" s="2"/>
      <c r="C38" s="2"/>
      <c r="D38" s="2"/>
      <c r="E38" s="17"/>
      <c r="F38" s="2"/>
      <c r="G38" s="14"/>
      <c r="H38" s="10"/>
      <c r="I38" s="5"/>
      <c r="J38" s="5"/>
      <c r="K38" s="5"/>
      <c r="L38" s="5"/>
      <c r="M38" s="5"/>
    </row>
    <row r="39" spans="1:13" ht="14">
      <c r="A39" s="2"/>
      <c r="B39" s="2"/>
      <c r="C39" s="2"/>
      <c r="D39" s="2"/>
      <c r="E39" s="17"/>
      <c r="F39" s="2"/>
      <c r="G39" s="14"/>
      <c r="H39" s="10"/>
      <c r="I39" s="5"/>
      <c r="J39" s="5"/>
      <c r="K39" s="5"/>
      <c r="L39" s="5"/>
      <c r="M39" s="5"/>
    </row>
    <row r="40" spans="1:13" ht="14">
      <c r="A40" s="2" t="s">
        <v>60</v>
      </c>
      <c r="B40" s="2"/>
      <c r="C40" s="2"/>
      <c r="D40" s="2"/>
      <c r="E40" s="19"/>
      <c r="F40" s="2"/>
      <c r="I40" s="5"/>
      <c r="J40" s="5"/>
      <c r="K40" s="5"/>
      <c r="L40" s="5"/>
      <c r="M40" s="5"/>
    </row>
    <row r="41" spans="1:13" ht="14">
      <c r="A41" s="23"/>
      <c r="B41" s="2"/>
      <c r="C41" s="2"/>
      <c r="D41" s="2"/>
      <c r="E41" s="25"/>
      <c r="F41" s="2"/>
      <c r="G41" s="15"/>
      <c r="H41" s="10"/>
      <c r="I41" s="5"/>
      <c r="J41" s="5"/>
      <c r="K41" s="5"/>
      <c r="L41" s="5"/>
      <c r="M41" s="5"/>
    </row>
    <row r="42" spans="1:13" ht="14">
      <c r="A42" s="24"/>
      <c r="B42" s="2"/>
      <c r="C42" s="2"/>
      <c r="D42" s="2"/>
      <c r="E42" s="26"/>
      <c r="F42" s="2"/>
      <c r="G42" s="18">
        <f>E40+E41+E42</f>
        <v>0</v>
      </c>
      <c r="H42" s="10">
        <v>7</v>
      </c>
      <c r="I42" s="5"/>
      <c r="J42" s="5"/>
      <c r="K42" s="5"/>
      <c r="L42" s="5"/>
      <c r="M42" s="5"/>
    </row>
    <row r="43" spans="1:13" ht="14">
      <c r="A43" s="2"/>
      <c r="B43" s="2"/>
      <c r="C43" s="2"/>
      <c r="D43" s="2"/>
      <c r="E43" s="17"/>
      <c r="F43" s="2"/>
      <c r="G43" s="17"/>
      <c r="H43" s="10"/>
      <c r="I43" s="5"/>
      <c r="J43" s="5"/>
      <c r="K43" s="5"/>
      <c r="L43" s="5"/>
      <c r="M43" s="5"/>
    </row>
    <row r="44" spans="1:13" ht="18" customHeight="1">
      <c r="A44" s="2" t="s">
        <v>58</v>
      </c>
      <c r="B44" s="2"/>
      <c r="C44" s="2"/>
      <c r="D44" s="2"/>
      <c r="E44" s="17"/>
      <c r="F44" s="2"/>
      <c r="G44" s="18">
        <f>G21+G25+G27+G29+G37+G42</f>
        <v>0</v>
      </c>
      <c r="H44" s="10">
        <v>8</v>
      </c>
      <c r="I44" s="5"/>
      <c r="J44" s="5"/>
      <c r="K44" s="5"/>
      <c r="L44" s="5"/>
      <c r="M44" s="5"/>
    </row>
    <row r="45" spans="1:13" ht="14">
      <c r="A45" s="2"/>
      <c r="B45" s="2"/>
      <c r="C45" s="2"/>
      <c r="D45" s="2"/>
      <c r="E45" s="17"/>
      <c r="F45" s="2"/>
      <c r="G45" s="17"/>
      <c r="H45" s="10"/>
      <c r="I45" s="5"/>
      <c r="J45" s="5"/>
      <c r="K45" s="5"/>
      <c r="L45" s="5"/>
      <c r="M45" s="5"/>
    </row>
    <row r="46" spans="1:13" ht="14">
      <c r="A46" s="2" t="s">
        <v>61</v>
      </c>
      <c r="B46" s="2"/>
      <c r="C46" s="2"/>
      <c r="D46" s="2"/>
      <c r="E46" s="17"/>
      <c r="F46" s="2"/>
      <c r="G46" s="18">
        <f>G16+G44</f>
        <v>0</v>
      </c>
      <c r="H46" s="10">
        <v>9</v>
      </c>
      <c r="I46" s="5"/>
      <c r="J46" s="5"/>
      <c r="K46" s="5"/>
      <c r="L46" s="5"/>
      <c r="M46" s="5"/>
    </row>
    <row r="47" spans="1:13" ht="14">
      <c r="A47" s="2" t="s">
        <v>72</v>
      </c>
      <c r="B47" s="2"/>
      <c r="C47" s="2"/>
      <c r="D47" s="2"/>
      <c r="E47" s="2"/>
      <c r="F47" s="2"/>
      <c r="G47" s="17"/>
      <c r="H47" s="10"/>
      <c r="I47" s="5"/>
      <c r="J47" s="5"/>
      <c r="K47" s="5"/>
      <c r="L47" s="5"/>
      <c r="M47" s="5"/>
    </row>
    <row r="48" spans="1:13" ht="14">
      <c r="A48" s="2"/>
      <c r="B48" s="2"/>
      <c r="C48" s="2"/>
      <c r="D48" s="2"/>
      <c r="E48" s="2"/>
      <c r="F48" s="2"/>
      <c r="G48" s="17"/>
      <c r="H48" s="10"/>
      <c r="I48" s="5"/>
      <c r="J48" s="5"/>
      <c r="K48" s="5"/>
      <c r="L48" s="5"/>
      <c r="M48" s="5"/>
    </row>
    <row r="49" spans="1:13" ht="14">
      <c r="A49" s="2" t="s">
        <v>25</v>
      </c>
      <c r="B49" s="2"/>
      <c r="C49" s="2"/>
      <c r="D49" s="2"/>
      <c r="E49" s="2"/>
      <c r="F49" s="2"/>
      <c r="G49" s="18">
        <f>G46</f>
        <v>0</v>
      </c>
      <c r="H49" s="10">
        <v>9</v>
      </c>
      <c r="I49" s="5"/>
      <c r="J49" s="5"/>
      <c r="K49" s="5"/>
      <c r="L49" s="5"/>
      <c r="M49" s="5"/>
    </row>
    <row r="50" spans="1:13" ht="14">
      <c r="A50" s="2"/>
      <c r="B50" s="2"/>
      <c r="C50" s="2"/>
      <c r="D50" s="2"/>
      <c r="E50" s="2"/>
      <c r="F50" s="2"/>
      <c r="G50" s="14"/>
      <c r="H50" s="10"/>
      <c r="I50" s="5"/>
      <c r="J50" s="5"/>
      <c r="K50" s="5"/>
      <c r="L50" s="5"/>
      <c r="M50" s="5"/>
    </row>
    <row r="51" spans="1:13" ht="14">
      <c r="A51" s="2" t="s">
        <v>26</v>
      </c>
      <c r="B51" s="2"/>
      <c r="C51" s="2"/>
      <c r="D51" s="2"/>
      <c r="E51" s="2"/>
      <c r="F51" s="2"/>
      <c r="G51" s="14"/>
      <c r="H51" s="10"/>
      <c r="I51" s="5"/>
      <c r="J51" s="5"/>
      <c r="K51" s="5"/>
      <c r="L51" s="5"/>
      <c r="M51" s="5"/>
    </row>
    <row r="52" spans="1:13" ht="14">
      <c r="A52" s="2"/>
      <c r="B52" s="2"/>
      <c r="C52" s="2"/>
      <c r="D52" s="2"/>
      <c r="E52" s="2"/>
      <c r="F52" s="2"/>
      <c r="G52" s="14"/>
      <c r="H52" s="10"/>
      <c r="I52" s="5"/>
      <c r="J52" s="5"/>
      <c r="K52" s="5"/>
      <c r="L52" s="5"/>
      <c r="M52" s="5"/>
    </row>
    <row r="53" spans="1:13" ht="14">
      <c r="A53" s="2" t="s">
        <v>27</v>
      </c>
      <c r="B53" s="2"/>
      <c r="C53" s="2"/>
      <c r="D53" s="2"/>
      <c r="E53" s="2"/>
      <c r="F53" s="2"/>
      <c r="G53" s="14"/>
      <c r="H53" s="10"/>
      <c r="I53" s="5"/>
      <c r="J53" s="5"/>
      <c r="K53" s="5"/>
      <c r="L53" s="5"/>
      <c r="M53" s="5"/>
    </row>
    <row r="54" spans="1:13" ht="14">
      <c r="A54" s="12" t="s">
        <v>28</v>
      </c>
      <c r="B54" s="2"/>
      <c r="C54" s="2"/>
      <c r="D54" s="2"/>
      <c r="E54" s="28"/>
      <c r="F54" s="2"/>
      <c r="G54" s="14"/>
      <c r="H54" s="10"/>
      <c r="I54" s="5"/>
      <c r="J54" s="5"/>
      <c r="K54" s="5"/>
      <c r="L54" s="5"/>
      <c r="M54" s="5"/>
    </row>
    <row r="55" spans="1:13" ht="14">
      <c r="A55" s="2"/>
      <c r="B55" s="2"/>
      <c r="C55" s="2"/>
      <c r="D55" s="2"/>
      <c r="E55" s="2"/>
      <c r="F55" s="2"/>
      <c r="G55" s="14"/>
      <c r="H55" s="10"/>
      <c r="I55" s="5"/>
      <c r="J55" s="5"/>
      <c r="K55" s="5"/>
      <c r="L55" s="5"/>
      <c r="M55" s="5"/>
    </row>
    <row r="56" spans="1:13" ht="14">
      <c r="A56" s="2" t="s">
        <v>29</v>
      </c>
      <c r="B56" s="2"/>
      <c r="C56" s="2"/>
      <c r="D56" s="2"/>
      <c r="E56" s="2"/>
      <c r="F56" s="2"/>
      <c r="G56" s="14"/>
      <c r="H56" s="10"/>
      <c r="I56" s="5"/>
      <c r="J56" s="5"/>
      <c r="K56" s="5"/>
      <c r="L56" s="5"/>
      <c r="M56" s="5"/>
    </row>
    <row r="57" spans="1:13" ht="14">
      <c r="A57" s="2"/>
      <c r="B57" s="2" t="s">
        <v>30</v>
      </c>
      <c r="C57" s="2"/>
      <c r="D57" s="2"/>
      <c r="E57" s="25"/>
      <c r="F57" s="2"/>
      <c r="G57" s="14"/>
      <c r="H57" s="10"/>
      <c r="I57" s="5"/>
      <c r="J57" s="5"/>
      <c r="K57" s="5"/>
      <c r="L57" s="5"/>
      <c r="M57" s="5"/>
    </row>
    <row r="58" spans="1:13" ht="14">
      <c r="A58" s="2"/>
      <c r="B58" s="2" t="s">
        <v>31</v>
      </c>
      <c r="C58" s="2"/>
      <c r="D58" s="2"/>
      <c r="E58" s="25"/>
      <c r="F58" s="2"/>
      <c r="G58" s="14"/>
      <c r="H58" s="10"/>
      <c r="I58" s="5"/>
      <c r="J58" s="5"/>
      <c r="K58" s="5"/>
      <c r="L58" s="5"/>
      <c r="M58" s="5"/>
    </row>
    <row r="59" spans="1:13" ht="14">
      <c r="A59" s="2"/>
      <c r="B59" s="2" t="s">
        <v>32</v>
      </c>
      <c r="C59" s="2"/>
      <c r="D59" s="2"/>
      <c r="E59" s="26"/>
      <c r="F59" s="2"/>
      <c r="G59" s="14"/>
      <c r="H59" s="10"/>
      <c r="I59" s="5"/>
      <c r="J59" s="5"/>
      <c r="K59" s="5"/>
      <c r="L59" s="5"/>
      <c r="M59" s="5"/>
    </row>
    <row r="60" spans="1:13" ht="14">
      <c r="A60" s="2"/>
      <c r="B60" s="2" t="s">
        <v>33</v>
      </c>
      <c r="C60" s="2"/>
      <c r="D60" s="2"/>
      <c r="E60" s="26"/>
      <c r="F60" s="2"/>
      <c r="G60" s="14"/>
      <c r="H60" s="10"/>
      <c r="I60" s="5"/>
      <c r="J60" s="5"/>
      <c r="K60" s="5"/>
      <c r="L60" s="5"/>
      <c r="M60" s="5"/>
    </row>
    <row r="61" spans="1:13" ht="14">
      <c r="A61" s="2"/>
      <c r="B61" s="2" t="s">
        <v>62</v>
      </c>
      <c r="C61" s="2"/>
      <c r="D61" s="2"/>
      <c r="E61" s="25"/>
      <c r="F61" s="2"/>
      <c r="G61" s="14"/>
      <c r="H61" s="10"/>
      <c r="I61" s="5"/>
      <c r="J61" s="5"/>
      <c r="K61" s="5"/>
      <c r="L61" s="5"/>
      <c r="M61" s="5"/>
    </row>
    <row r="62" spans="1:13" ht="14">
      <c r="A62" s="2"/>
      <c r="B62" s="23"/>
      <c r="C62" s="2"/>
      <c r="D62" s="2"/>
      <c r="E62" s="25"/>
      <c r="F62" s="2"/>
      <c r="G62" s="14"/>
      <c r="H62" s="10"/>
      <c r="I62" s="5"/>
      <c r="J62" s="5"/>
      <c r="K62" s="5"/>
      <c r="L62" s="5"/>
      <c r="M62" s="5"/>
    </row>
    <row r="63" spans="1:13" ht="14">
      <c r="A63" s="2" t="s">
        <v>34</v>
      </c>
      <c r="B63" s="2"/>
      <c r="C63" s="2"/>
      <c r="D63" s="2"/>
      <c r="E63" s="26"/>
      <c r="F63" s="2"/>
      <c r="G63" s="14"/>
      <c r="H63" s="10"/>
      <c r="I63" s="5"/>
      <c r="J63" s="5"/>
      <c r="K63" s="5"/>
      <c r="L63" s="5"/>
      <c r="M63" s="5"/>
    </row>
    <row r="64" spans="1:13" ht="14">
      <c r="A64" s="2" t="s">
        <v>35</v>
      </c>
      <c r="B64" s="2"/>
      <c r="C64" s="2"/>
      <c r="D64" s="2"/>
      <c r="E64" s="20"/>
      <c r="F64" s="2"/>
      <c r="G64" s="18">
        <f>E54+E57+E58+E59+E60+E61+E63+E62</f>
        <v>0</v>
      </c>
      <c r="H64" s="10">
        <v>10</v>
      </c>
      <c r="I64" s="5"/>
      <c r="J64" s="5"/>
      <c r="K64" s="5"/>
      <c r="L64" s="5"/>
      <c r="M64" s="5"/>
    </row>
    <row r="65" spans="1:13" ht="14">
      <c r="A65" s="2" t="s">
        <v>36</v>
      </c>
      <c r="B65" s="2"/>
      <c r="C65" s="2"/>
      <c r="D65" s="2"/>
      <c r="E65" s="20"/>
      <c r="F65" s="2"/>
      <c r="G65" s="26"/>
      <c r="H65" s="10">
        <v>11</v>
      </c>
      <c r="I65" s="5"/>
      <c r="J65" s="5"/>
      <c r="K65" s="5"/>
      <c r="L65" s="5"/>
      <c r="M65" s="5"/>
    </row>
    <row r="66" spans="1:13" ht="14">
      <c r="A66" s="2" t="s">
        <v>37</v>
      </c>
      <c r="B66" s="2"/>
      <c r="C66" s="2"/>
      <c r="D66" s="2"/>
      <c r="E66" s="20"/>
      <c r="F66" s="2"/>
      <c r="G66" s="31"/>
      <c r="H66" s="10">
        <v>12</v>
      </c>
      <c r="I66" s="5"/>
      <c r="J66" s="5"/>
      <c r="K66" s="5"/>
      <c r="L66" s="5"/>
      <c r="M66" s="5"/>
    </row>
    <row r="67" spans="1:13" ht="14">
      <c r="A67" s="2" t="s">
        <v>38</v>
      </c>
      <c r="B67" s="2"/>
      <c r="C67" s="2"/>
      <c r="D67" s="2"/>
      <c r="E67" s="20"/>
      <c r="F67" s="2"/>
      <c r="G67" s="26"/>
      <c r="H67" s="10">
        <v>13</v>
      </c>
      <c r="I67" s="5"/>
      <c r="J67" s="5"/>
      <c r="K67" s="5"/>
      <c r="L67" s="5"/>
      <c r="M67" s="5"/>
    </row>
    <row r="68" spans="1:13" ht="14">
      <c r="A68" s="2" t="s">
        <v>63</v>
      </c>
      <c r="B68" s="2"/>
      <c r="C68" s="2"/>
      <c r="D68" s="2"/>
      <c r="E68" s="20"/>
      <c r="F68" s="2"/>
      <c r="G68" s="26"/>
      <c r="H68" s="10">
        <v>14</v>
      </c>
      <c r="I68" s="5"/>
      <c r="J68" s="5"/>
      <c r="K68" s="5"/>
      <c r="L68" s="5"/>
      <c r="M68" s="5"/>
    </row>
    <row r="69" spans="1:13" ht="14">
      <c r="A69" s="2" t="s">
        <v>64</v>
      </c>
      <c r="B69" s="2"/>
      <c r="C69" s="2"/>
      <c r="D69" s="2"/>
      <c r="E69" s="20"/>
      <c r="F69" s="2"/>
      <c r="G69" s="19"/>
      <c r="H69" s="10"/>
      <c r="I69" s="5"/>
      <c r="J69" s="5"/>
      <c r="K69" s="5"/>
      <c r="L69" s="5"/>
      <c r="M69" s="5"/>
    </row>
    <row r="70" spans="1:13" ht="14">
      <c r="A70" s="23"/>
      <c r="B70" s="2"/>
      <c r="C70" s="2"/>
      <c r="D70" s="2"/>
      <c r="E70" s="20"/>
      <c r="F70" s="2"/>
      <c r="G70" s="25"/>
      <c r="H70" s="10"/>
      <c r="I70" s="5"/>
      <c r="J70" s="5"/>
      <c r="K70" s="5"/>
      <c r="L70" s="5"/>
      <c r="M70" s="5"/>
    </row>
    <row r="71" spans="1:13" ht="14">
      <c r="A71" s="24"/>
      <c r="B71" s="2"/>
      <c r="C71" s="2"/>
      <c r="D71" s="2"/>
      <c r="E71" s="20"/>
      <c r="F71" s="2"/>
      <c r="G71" s="26"/>
      <c r="H71" s="10"/>
      <c r="I71" s="5"/>
      <c r="J71" s="5"/>
      <c r="K71" s="5"/>
      <c r="L71" s="5"/>
      <c r="M71" s="5"/>
    </row>
    <row r="72" spans="1:13" ht="14">
      <c r="A72" s="24"/>
      <c r="B72" s="2"/>
      <c r="C72" s="2"/>
      <c r="D72" s="2"/>
      <c r="E72" s="20"/>
      <c r="F72" s="2"/>
      <c r="G72" s="26"/>
      <c r="H72" s="10"/>
      <c r="I72" s="5"/>
      <c r="J72" s="5"/>
      <c r="K72" s="5"/>
      <c r="L72" s="5"/>
      <c r="M72" s="5"/>
    </row>
    <row r="73" spans="1:13" ht="14">
      <c r="A73" s="2" t="s">
        <v>65</v>
      </c>
      <c r="B73" s="2"/>
      <c r="C73" s="2"/>
      <c r="D73" s="2"/>
      <c r="E73" s="21"/>
      <c r="F73" s="2"/>
      <c r="G73" s="18">
        <f>G72+G71+G70</f>
        <v>0</v>
      </c>
      <c r="H73" s="10">
        <v>15</v>
      </c>
      <c r="I73" s="5"/>
      <c r="J73" s="5"/>
      <c r="K73" s="5"/>
      <c r="L73" s="5"/>
      <c r="M73" s="5"/>
    </row>
    <row r="74" spans="1:13" ht="14">
      <c r="A74" s="2" t="s">
        <v>66</v>
      </c>
      <c r="B74" s="2"/>
      <c r="C74" s="2"/>
      <c r="D74" s="2"/>
      <c r="E74" s="19"/>
      <c r="F74" s="2"/>
      <c r="G74" s="18">
        <f>G64+G65+G66+G67+G68+G73</f>
        <v>0</v>
      </c>
      <c r="H74" s="10">
        <v>16</v>
      </c>
      <c r="I74" s="5"/>
      <c r="J74" s="5"/>
      <c r="K74" s="5"/>
      <c r="L74" s="5"/>
      <c r="M74" s="5"/>
    </row>
    <row r="75" spans="1:13" ht="14">
      <c r="A75" s="2"/>
      <c r="B75" s="2"/>
      <c r="C75" s="2"/>
      <c r="D75" s="2"/>
      <c r="E75" s="19"/>
      <c r="F75" s="2"/>
      <c r="G75" s="17"/>
      <c r="H75" s="10"/>
      <c r="I75" s="5"/>
      <c r="J75" s="5"/>
      <c r="K75" s="5"/>
      <c r="L75" s="5"/>
      <c r="M75" s="5"/>
    </row>
    <row r="76" spans="1:13" ht="14">
      <c r="A76" s="2" t="s">
        <v>57</v>
      </c>
      <c r="B76" s="2"/>
      <c r="C76" s="2"/>
      <c r="D76" s="2"/>
      <c r="E76" s="19"/>
      <c r="F76" s="2"/>
      <c r="G76" s="18">
        <f>G49-G74</f>
        <v>0</v>
      </c>
      <c r="H76" s="10">
        <v>17</v>
      </c>
      <c r="I76" s="5"/>
      <c r="J76" s="5"/>
      <c r="K76" s="5"/>
      <c r="L76" s="5"/>
      <c r="M76" s="5"/>
    </row>
    <row r="77" spans="1:13" ht="14">
      <c r="A77" s="2"/>
      <c r="B77" s="2"/>
      <c r="C77" s="2"/>
      <c r="D77" s="2"/>
      <c r="E77" s="19"/>
      <c r="F77" s="2"/>
      <c r="G77" s="17"/>
      <c r="H77" s="10"/>
      <c r="I77" s="5"/>
      <c r="J77" s="5"/>
      <c r="K77" s="5"/>
      <c r="L77" s="5"/>
      <c r="M77" s="5"/>
    </row>
    <row r="78" spans="1:13" ht="14">
      <c r="A78" s="2" t="s">
        <v>39</v>
      </c>
      <c r="B78" s="2"/>
      <c r="C78" s="2"/>
      <c r="D78" s="2"/>
      <c r="E78" s="17"/>
      <c r="F78" s="2"/>
      <c r="G78" s="17"/>
      <c r="H78" s="10"/>
      <c r="I78" s="5"/>
      <c r="J78" s="5"/>
      <c r="K78" s="5"/>
      <c r="L78" s="5"/>
      <c r="M78" s="5"/>
    </row>
    <row r="79" spans="1:13" ht="14">
      <c r="A79" s="2"/>
      <c r="B79" s="2"/>
      <c r="C79" s="2"/>
      <c r="D79" s="2"/>
      <c r="E79" s="17"/>
      <c r="F79" s="2"/>
      <c r="G79" s="17"/>
      <c r="H79" s="10"/>
      <c r="I79" s="5"/>
      <c r="J79" s="5"/>
      <c r="K79" s="5"/>
      <c r="L79" s="5"/>
      <c r="M79" s="5"/>
    </row>
    <row r="80" spans="1:13" ht="14">
      <c r="A80" s="2" t="s">
        <v>20</v>
      </c>
      <c r="B80" s="3" t="s">
        <v>56</v>
      </c>
      <c r="C80" s="3"/>
      <c r="D80" s="2"/>
      <c r="E80" s="17"/>
      <c r="F80" s="2"/>
      <c r="G80" s="25"/>
      <c r="H80" s="10"/>
      <c r="I80" s="5"/>
      <c r="J80" s="5"/>
      <c r="K80" s="5"/>
      <c r="L80" s="5"/>
      <c r="M80" s="5"/>
    </row>
    <row r="81" spans="1:13" ht="14">
      <c r="A81" s="2" t="s">
        <v>21</v>
      </c>
      <c r="B81" s="3" t="s">
        <v>56</v>
      </c>
      <c r="C81" s="3"/>
      <c r="D81" s="2"/>
      <c r="E81" s="17"/>
      <c r="F81" s="2"/>
      <c r="G81" s="26"/>
      <c r="H81" s="10"/>
      <c r="I81" s="5"/>
      <c r="J81" s="5"/>
      <c r="K81" s="5"/>
      <c r="L81" s="5"/>
      <c r="M81" s="5"/>
    </row>
    <row r="82" spans="1:13" ht="14">
      <c r="A82" s="2" t="s">
        <v>22</v>
      </c>
      <c r="B82" s="2" t="s">
        <v>56</v>
      </c>
      <c r="C82" s="2"/>
      <c r="D82" s="2"/>
      <c r="E82" s="17"/>
      <c r="F82" s="2"/>
      <c r="G82" s="26"/>
      <c r="H82" s="10"/>
      <c r="I82" s="5"/>
      <c r="J82" s="5"/>
      <c r="K82" s="5"/>
      <c r="L82" s="5"/>
      <c r="M82" s="5"/>
    </row>
    <row r="83" spans="1:13" ht="14">
      <c r="A83" s="2" t="s">
        <v>23</v>
      </c>
      <c r="B83" s="2" t="s">
        <v>56</v>
      </c>
      <c r="C83" s="2"/>
      <c r="D83" s="2"/>
      <c r="E83" s="17"/>
      <c r="F83" s="2"/>
      <c r="G83" s="26"/>
      <c r="H83" s="10"/>
      <c r="I83" s="5"/>
      <c r="J83" s="5"/>
      <c r="K83" s="5"/>
      <c r="L83" s="5"/>
      <c r="M83" s="5"/>
    </row>
    <row r="84" spans="1:13" ht="14">
      <c r="A84" s="2"/>
      <c r="B84" s="2"/>
      <c r="C84" s="2"/>
      <c r="D84" s="2"/>
      <c r="E84" s="17"/>
      <c r="F84" s="2"/>
      <c r="G84" s="27"/>
      <c r="H84" s="10"/>
      <c r="I84" s="5"/>
      <c r="J84" s="5"/>
      <c r="K84" s="5"/>
      <c r="L84" s="5"/>
      <c r="M84" s="5"/>
    </row>
    <row r="85" spans="1:13" ht="14">
      <c r="A85" s="2" t="s">
        <v>67</v>
      </c>
      <c r="B85" s="2"/>
      <c r="C85" s="2"/>
      <c r="D85" s="2"/>
      <c r="E85" s="17"/>
      <c r="F85" s="2"/>
      <c r="G85" s="18">
        <f>G80+G81+G82+G83</f>
        <v>0</v>
      </c>
      <c r="H85" s="10">
        <v>18</v>
      </c>
      <c r="I85" s="5"/>
      <c r="J85" s="5"/>
      <c r="K85" s="5"/>
      <c r="L85" s="5"/>
      <c r="M85" s="5"/>
    </row>
    <row r="86" spans="1:13" ht="14">
      <c r="A86" s="2"/>
      <c r="B86" s="2"/>
      <c r="C86" s="2"/>
      <c r="D86" s="2"/>
      <c r="E86" s="2"/>
      <c r="F86" s="2"/>
      <c r="G86" s="14"/>
      <c r="H86" s="10"/>
      <c r="I86" s="5"/>
      <c r="J86" s="5"/>
      <c r="K86" s="5"/>
      <c r="L86" s="5"/>
      <c r="M86" s="5"/>
    </row>
    <row r="87" spans="1:13" ht="14">
      <c r="A87" s="2"/>
      <c r="B87" s="2"/>
      <c r="C87" s="2"/>
      <c r="D87" s="2"/>
      <c r="E87" s="2"/>
      <c r="F87" s="2"/>
      <c r="G87" s="14"/>
      <c r="H87" s="10"/>
      <c r="I87" s="5"/>
      <c r="J87" s="5"/>
      <c r="K87" s="5"/>
      <c r="L87" s="5"/>
      <c r="M87" s="5"/>
    </row>
    <row r="88" spans="1:13" s="32" customFormat="1" ht="13">
      <c r="A88" s="1" t="s">
        <v>59</v>
      </c>
      <c r="B88" s="1"/>
      <c r="C88" s="1"/>
      <c r="D88" s="1"/>
      <c r="E88" s="1"/>
      <c r="F88" s="1"/>
      <c r="G88" s="16"/>
      <c r="H88" s="9"/>
      <c r="I88" s="5"/>
      <c r="J88" s="5"/>
      <c r="K88" s="5"/>
      <c r="L88" s="5"/>
      <c r="M88" s="5"/>
    </row>
    <row r="89" spans="1:13" ht="14">
      <c r="A89" s="2"/>
      <c r="B89" s="2"/>
      <c r="C89" s="2"/>
      <c r="D89" s="2"/>
      <c r="E89" s="2"/>
      <c r="F89" s="2"/>
      <c r="G89" s="14"/>
      <c r="H89" s="10"/>
      <c r="I89" s="5"/>
      <c r="J89" s="5"/>
      <c r="K89" s="5"/>
      <c r="L89" s="5"/>
      <c r="M89" s="5"/>
    </row>
    <row r="90" spans="1:13" ht="14">
      <c r="A90" s="2"/>
      <c r="B90" s="23"/>
      <c r="C90" s="2"/>
      <c r="D90" s="2"/>
      <c r="E90" s="2"/>
      <c r="F90" s="2"/>
      <c r="G90" s="14"/>
      <c r="H90" s="10"/>
      <c r="I90" s="5"/>
      <c r="J90" s="5"/>
      <c r="K90" s="5"/>
      <c r="L90" s="5"/>
      <c r="M90" s="5"/>
    </row>
    <row r="91" spans="1:13" ht="14">
      <c r="A91" s="2"/>
      <c r="B91" s="2"/>
      <c r="C91" s="2"/>
      <c r="D91" s="2"/>
      <c r="E91" s="2"/>
      <c r="F91" s="2"/>
      <c r="G91" s="14"/>
      <c r="H91" s="10"/>
      <c r="I91" s="5"/>
      <c r="J91" s="5"/>
      <c r="K91" s="5"/>
      <c r="L91" s="5"/>
      <c r="M91" s="5"/>
    </row>
    <row r="92" spans="1:13" ht="14">
      <c r="A92" s="2"/>
      <c r="B92" s="2"/>
      <c r="C92" s="2"/>
      <c r="D92" s="2"/>
      <c r="E92" s="2"/>
      <c r="F92" s="2"/>
      <c r="G92" s="14"/>
      <c r="H92" s="10"/>
      <c r="I92" s="5"/>
      <c r="J92" s="5"/>
      <c r="K92" s="5"/>
      <c r="L92" s="5"/>
      <c r="M92" s="5"/>
    </row>
    <row r="93" spans="1:13" ht="14">
      <c r="A93" s="2"/>
      <c r="B93" s="2"/>
      <c r="C93" s="2"/>
      <c r="D93" s="2"/>
      <c r="E93" s="2"/>
      <c r="F93" s="2"/>
      <c r="G93" s="14"/>
      <c r="H93" s="10"/>
      <c r="I93" s="5"/>
      <c r="J93" s="5"/>
      <c r="K93" s="5"/>
      <c r="L93" s="5"/>
      <c r="M93" s="5"/>
    </row>
    <row r="94" spans="1:13" ht="14">
      <c r="A94" s="2"/>
      <c r="B94" s="2"/>
      <c r="C94" s="2"/>
      <c r="D94" s="2"/>
      <c r="E94" s="2"/>
      <c r="F94" s="2"/>
      <c r="G94" s="14"/>
      <c r="H94" s="10"/>
      <c r="I94" s="5"/>
      <c r="J94" s="5"/>
      <c r="K94" s="5"/>
      <c r="L94" s="5"/>
      <c r="M94" s="5"/>
    </row>
    <row r="95" spans="1:13" ht="14">
      <c r="A95" s="2"/>
      <c r="B95" s="2"/>
      <c r="C95" s="2"/>
      <c r="D95" s="2"/>
      <c r="E95" s="2"/>
      <c r="F95" s="2"/>
      <c r="G95" s="14"/>
      <c r="H95" s="10"/>
      <c r="I95" s="5"/>
      <c r="J95" s="5"/>
      <c r="K95" s="5"/>
      <c r="L95" s="5"/>
      <c r="M95" s="5"/>
    </row>
    <row r="96" spans="1:13" ht="14">
      <c r="A96" s="2"/>
      <c r="B96" s="2"/>
      <c r="C96" s="2"/>
      <c r="D96" s="2"/>
      <c r="E96" s="2"/>
      <c r="F96" s="2"/>
      <c r="G96" s="14"/>
      <c r="H96" s="10"/>
      <c r="I96" s="5"/>
      <c r="J96" s="5"/>
      <c r="K96" s="5"/>
      <c r="L96" s="5"/>
      <c r="M96" s="5"/>
    </row>
    <row r="97" spans="1:13" ht="14">
      <c r="A97" s="2"/>
      <c r="B97" s="2"/>
      <c r="C97" s="2"/>
      <c r="D97" s="2"/>
      <c r="E97" s="2"/>
      <c r="F97" s="2"/>
      <c r="G97" s="14"/>
      <c r="H97" s="10"/>
      <c r="I97" s="5"/>
      <c r="J97" s="5"/>
      <c r="K97" s="5"/>
      <c r="L97" s="5"/>
      <c r="M97" s="5"/>
    </row>
    <row r="98" spans="1:13" ht="14">
      <c r="A98" s="2"/>
      <c r="B98" s="2"/>
      <c r="C98" s="2"/>
      <c r="D98" s="2"/>
      <c r="E98" s="2"/>
      <c r="F98" s="2"/>
      <c r="G98" s="14"/>
      <c r="H98" s="10"/>
      <c r="I98" s="5"/>
      <c r="J98" s="5"/>
      <c r="K98" s="5"/>
      <c r="L98" s="5"/>
      <c r="M98" s="5"/>
    </row>
    <row r="99" spans="1:13" ht="14">
      <c r="A99" s="2"/>
      <c r="B99" s="2"/>
      <c r="C99" s="2"/>
      <c r="D99" s="2"/>
      <c r="E99" s="2"/>
      <c r="F99" s="2"/>
      <c r="G99" s="14"/>
      <c r="H99" s="10"/>
      <c r="I99" s="5"/>
      <c r="J99" s="5"/>
      <c r="K99" s="5"/>
      <c r="L99" s="5"/>
      <c r="M99" s="5"/>
    </row>
    <row r="100" spans="1:13" ht="14">
      <c r="A100" s="2"/>
      <c r="B100" s="2"/>
      <c r="C100" s="2"/>
      <c r="D100" s="2"/>
      <c r="E100" s="2"/>
      <c r="F100" s="2"/>
      <c r="G100" s="14"/>
      <c r="H100" s="10"/>
      <c r="I100" s="5"/>
      <c r="J100" s="5"/>
      <c r="K100" s="5"/>
      <c r="L100" s="5"/>
      <c r="M100" s="5"/>
    </row>
    <row r="101" spans="1:13" ht="14">
      <c r="A101" s="2"/>
      <c r="B101" s="2"/>
      <c r="C101" s="2"/>
      <c r="D101" s="2"/>
      <c r="E101" s="2"/>
      <c r="F101" s="2"/>
      <c r="G101" s="14"/>
      <c r="H101" s="10"/>
      <c r="I101" s="5"/>
      <c r="J101" s="5"/>
      <c r="K101" s="5"/>
      <c r="L101" s="5"/>
      <c r="M101" s="5"/>
    </row>
    <row r="102" spans="1:13" ht="14">
      <c r="A102" s="2"/>
      <c r="B102" s="2"/>
      <c r="C102" s="2"/>
      <c r="D102" s="2"/>
      <c r="E102" s="2"/>
      <c r="F102" s="2"/>
      <c r="G102" s="14"/>
      <c r="H102" s="10"/>
      <c r="I102" s="5"/>
      <c r="J102" s="5"/>
      <c r="K102" s="5"/>
      <c r="L102" s="5"/>
      <c r="M102" s="5"/>
    </row>
    <row r="103" spans="1:13" ht="14">
      <c r="A103" s="2"/>
      <c r="B103" s="2"/>
      <c r="C103" s="2"/>
      <c r="D103" s="2"/>
      <c r="E103" s="2"/>
      <c r="F103" s="2"/>
      <c r="G103" s="14"/>
      <c r="H103" s="10"/>
      <c r="I103" s="5"/>
      <c r="J103" s="5"/>
      <c r="K103" s="5"/>
      <c r="L103" s="5"/>
      <c r="M103" s="5"/>
    </row>
    <row r="104" spans="1:13" ht="14">
      <c r="A104" s="2"/>
      <c r="B104" s="2"/>
      <c r="C104" s="2"/>
      <c r="D104" s="2"/>
      <c r="E104" s="2"/>
      <c r="F104" s="2"/>
      <c r="G104" s="14"/>
      <c r="H104" s="10"/>
      <c r="I104" s="5"/>
      <c r="J104" s="5"/>
      <c r="K104" s="5"/>
      <c r="L104" s="5"/>
      <c r="M104" s="5"/>
    </row>
    <row r="105" spans="1:13" ht="14">
      <c r="A105" s="2"/>
      <c r="B105" s="2"/>
      <c r="C105" s="2"/>
      <c r="D105" s="2"/>
      <c r="E105" s="2"/>
      <c r="F105" s="2"/>
      <c r="G105" s="14"/>
      <c r="H105" s="10"/>
      <c r="I105" s="5"/>
      <c r="J105" s="5"/>
      <c r="K105" s="5"/>
      <c r="L105" s="5"/>
      <c r="M105" s="5"/>
    </row>
    <row r="106" spans="1:13" ht="14">
      <c r="A106" s="2"/>
      <c r="B106" s="2"/>
      <c r="C106" s="2"/>
      <c r="D106" s="2"/>
      <c r="E106" s="2"/>
      <c r="F106" s="2"/>
      <c r="G106" s="14"/>
      <c r="H106" s="10"/>
      <c r="I106" s="5"/>
      <c r="J106" s="5"/>
      <c r="K106" s="5"/>
      <c r="L106" s="5"/>
      <c r="M106" s="5"/>
    </row>
    <row r="107" spans="1:13" ht="14">
      <c r="A107" s="2"/>
      <c r="B107" s="2"/>
      <c r="C107" s="2"/>
      <c r="D107" s="2"/>
      <c r="E107" s="2"/>
      <c r="F107" s="2"/>
      <c r="G107" s="14"/>
      <c r="H107" s="10"/>
      <c r="I107" s="5"/>
      <c r="J107" s="5"/>
      <c r="K107" s="5"/>
      <c r="L107" s="5"/>
      <c r="M107" s="5"/>
    </row>
    <row r="108" spans="1:13" ht="14">
      <c r="A108" s="2"/>
      <c r="B108" s="2"/>
      <c r="C108" s="2"/>
      <c r="D108" s="2"/>
      <c r="E108" s="2"/>
      <c r="F108" s="2"/>
      <c r="G108" s="14"/>
      <c r="H108" s="10"/>
      <c r="I108" s="5"/>
      <c r="J108" s="5"/>
      <c r="K108" s="5"/>
      <c r="L108" s="5"/>
      <c r="M108" s="5"/>
    </row>
    <row r="109" spans="1:13" ht="14">
      <c r="A109" s="2"/>
      <c r="B109" s="2"/>
      <c r="C109" s="2"/>
      <c r="D109" s="2"/>
      <c r="E109" s="2"/>
      <c r="F109" s="2"/>
      <c r="G109" s="14"/>
      <c r="H109" s="10"/>
      <c r="I109" s="5"/>
      <c r="J109" s="5"/>
      <c r="K109" s="5"/>
      <c r="L109" s="5"/>
      <c r="M109" s="5"/>
    </row>
    <row r="110" spans="1:13" ht="14">
      <c r="A110" s="2"/>
      <c r="B110" s="2"/>
      <c r="C110" s="2"/>
      <c r="D110" s="2"/>
      <c r="E110" s="2"/>
      <c r="F110" s="2"/>
      <c r="G110" s="14"/>
      <c r="H110" s="10"/>
      <c r="I110" s="5"/>
      <c r="J110" s="5"/>
      <c r="K110" s="5"/>
      <c r="L110" s="5"/>
      <c r="M110" s="5"/>
    </row>
    <row r="111" spans="1:13" ht="14">
      <c r="A111" s="2"/>
      <c r="B111" s="2"/>
      <c r="C111" s="2"/>
      <c r="D111" s="2"/>
      <c r="E111" s="2"/>
      <c r="F111" s="2"/>
      <c r="G111" s="14"/>
      <c r="H111" s="10"/>
      <c r="I111" s="5"/>
      <c r="J111" s="5"/>
      <c r="K111" s="5"/>
      <c r="L111" s="5"/>
      <c r="M111" s="5"/>
    </row>
    <row r="112" spans="1:13" ht="14">
      <c r="A112" s="2"/>
      <c r="B112" s="2"/>
      <c r="C112" s="2"/>
      <c r="D112" s="2"/>
      <c r="E112" s="2"/>
      <c r="F112" s="2"/>
      <c r="G112" s="14"/>
      <c r="H112" s="10"/>
      <c r="I112" s="5"/>
      <c r="J112" s="5"/>
      <c r="K112" s="5"/>
      <c r="L112" s="5"/>
      <c r="M112" s="5"/>
    </row>
    <row r="113" spans="1:13" ht="14">
      <c r="A113" s="2"/>
      <c r="B113" s="2"/>
      <c r="C113" s="2"/>
      <c r="D113" s="2"/>
      <c r="E113" s="2"/>
      <c r="F113" s="2"/>
      <c r="G113" s="14"/>
      <c r="H113" s="10"/>
      <c r="I113" s="5"/>
      <c r="J113" s="5"/>
      <c r="K113" s="5"/>
      <c r="L113" s="5"/>
      <c r="M113" s="5"/>
    </row>
    <row r="114" spans="1:13" ht="14">
      <c r="A114" s="2"/>
      <c r="B114" s="2"/>
      <c r="C114" s="2"/>
      <c r="D114" s="2"/>
      <c r="E114" s="2"/>
      <c r="F114" s="2"/>
      <c r="G114" s="14"/>
      <c r="H114" s="10"/>
      <c r="I114" s="5"/>
      <c r="J114" s="5"/>
      <c r="K114" s="5"/>
      <c r="L114" s="5"/>
      <c r="M114" s="5"/>
    </row>
    <row r="115" spans="1:13" ht="14">
      <c r="A115" s="2"/>
      <c r="B115" s="2"/>
      <c r="C115" s="2"/>
      <c r="D115" s="2"/>
      <c r="E115" s="2"/>
      <c r="F115" s="2"/>
      <c r="G115" s="14"/>
      <c r="H115" s="10"/>
      <c r="I115" s="5"/>
      <c r="J115" s="5"/>
      <c r="K115" s="5"/>
      <c r="L115" s="5"/>
      <c r="M115" s="5"/>
    </row>
    <row r="116" spans="1:13" ht="14">
      <c r="A116" s="2"/>
      <c r="B116" s="2"/>
      <c r="C116" s="2"/>
      <c r="D116" s="2"/>
      <c r="E116" s="2"/>
      <c r="F116" s="2"/>
      <c r="G116" s="14"/>
      <c r="H116" s="10"/>
      <c r="I116" s="5"/>
      <c r="J116" s="5"/>
      <c r="K116" s="5"/>
      <c r="L116" s="5"/>
      <c r="M116" s="5"/>
    </row>
    <row r="117" spans="1:13" ht="14">
      <c r="A117" s="2"/>
      <c r="B117" s="2"/>
      <c r="C117" s="2"/>
      <c r="D117" s="2"/>
      <c r="E117" s="2"/>
      <c r="F117" s="2"/>
      <c r="G117" s="14"/>
      <c r="H117" s="10"/>
      <c r="I117" s="5"/>
      <c r="J117" s="5"/>
      <c r="K117" s="5"/>
      <c r="L117" s="5"/>
      <c r="M117" s="5"/>
    </row>
    <row r="118" spans="1:13" ht="14">
      <c r="A118" s="2"/>
      <c r="B118" s="2"/>
      <c r="C118" s="2"/>
      <c r="D118" s="2"/>
      <c r="E118" s="2"/>
      <c r="F118" s="2"/>
      <c r="G118" s="14"/>
      <c r="H118" s="10"/>
      <c r="I118" s="5"/>
      <c r="J118" s="5"/>
      <c r="K118" s="5"/>
      <c r="L118" s="5"/>
      <c r="M118" s="5"/>
    </row>
    <row r="119" spans="1:13" ht="14">
      <c r="A119" s="2"/>
      <c r="B119" s="2"/>
      <c r="C119" s="2"/>
      <c r="D119" s="2"/>
      <c r="E119" s="2"/>
      <c r="F119" s="2"/>
      <c r="G119" s="14"/>
      <c r="H119" s="10"/>
      <c r="I119" s="5"/>
      <c r="J119" s="5"/>
      <c r="K119" s="5"/>
      <c r="L119" s="5"/>
      <c r="M119" s="5"/>
    </row>
    <row r="120" spans="1:13" ht="14">
      <c r="A120" s="2"/>
      <c r="B120" s="2"/>
      <c r="C120" s="2"/>
      <c r="D120" s="2"/>
      <c r="E120" s="2"/>
      <c r="F120" s="2"/>
      <c r="G120" s="14"/>
      <c r="H120" s="10"/>
      <c r="I120" s="5"/>
      <c r="J120" s="5"/>
      <c r="K120" s="5"/>
      <c r="L120" s="5"/>
      <c r="M120" s="5"/>
    </row>
    <row r="121" spans="1:13" ht="14">
      <c r="A121" s="2"/>
      <c r="B121" s="2"/>
      <c r="C121" s="2"/>
      <c r="D121" s="2"/>
      <c r="E121" s="2"/>
      <c r="F121" s="2"/>
      <c r="G121" s="14"/>
      <c r="H121" s="10"/>
      <c r="I121" s="5"/>
      <c r="J121" s="5"/>
      <c r="K121" s="5"/>
      <c r="L121" s="5"/>
      <c r="M121" s="5"/>
    </row>
    <row r="122" spans="1:13" ht="14">
      <c r="A122" s="2"/>
      <c r="B122" s="2"/>
      <c r="C122" s="2"/>
      <c r="D122" s="2"/>
      <c r="E122" s="2"/>
      <c r="F122" s="2"/>
      <c r="G122" s="14"/>
      <c r="H122" s="10"/>
      <c r="I122" s="5"/>
      <c r="J122" s="5"/>
      <c r="K122" s="5"/>
      <c r="L122" s="5"/>
      <c r="M122" s="5"/>
    </row>
    <row r="123" spans="1:13" ht="14">
      <c r="A123" s="2"/>
      <c r="B123" s="2"/>
      <c r="C123" s="2"/>
      <c r="D123" s="2"/>
      <c r="E123" s="2"/>
      <c r="F123" s="2"/>
      <c r="G123" s="14"/>
      <c r="H123" s="10"/>
      <c r="I123" s="5"/>
      <c r="J123" s="5"/>
      <c r="K123" s="5"/>
      <c r="L123" s="5"/>
      <c r="M123" s="5"/>
    </row>
    <row r="124" spans="1:13" ht="14">
      <c r="A124" s="2"/>
      <c r="B124" s="2"/>
      <c r="C124" s="2"/>
      <c r="D124" s="2"/>
      <c r="E124" s="2"/>
      <c r="F124" s="2"/>
      <c r="G124" s="14"/>
      <c r="H124" s="10"/>
      <c r="I124" s="5"/>
      <c r="J124" s="5"/>
      <c r="K124" s="5"/>
      <c r="L124" s="5"/>
      <c r="M124" s="5"/>
    </row>
    <row r="125" spans="1:13" ht="14">
      <c r="A125" s="2"/>
      <c r="B125" s="2"/>
      <c r="C125" s="2"/>
      <c r="D125" s="2"/>
      <c r="E125" s="2"/>
      <c r="F125" s="2"/>
      <c r="G125" s="14"/>
      <c r="H125" s="10"/>
      <c r="I125" s="5"/>
      <c r="J125" s="5"/>
      <c r="K125" s="5"/>
      <c r="L125" s="5"/>
      <c r="M125" s="5"/>
    </row>
    <row r="126" spans="1:13" ht="14">
      <c r="A126" s="2"/>
      <c r="B126" s="2"/>
      <c r="C126" s="2"/>
      <c r="D126" s="2"/>
      <c r="E126" s="2"/>
      <c r="F126" s="2"/>
      <c r="G126" s="14"/>
      <c r="H126" s="10"/>
      <c r="I126" s="5"/>
      <c r="J126" s="5"/>
      <c r="K126" s="5"/>
      <c r="L126" s="5"/>
      <c r="M126" s="5"/>
    </row>
    <row r="127" spans="1:13" ht="14">
      <c r="A127" s="2"/>
      <c r="B127" s="2"/>
      <c r="C127" s="2"/>
      <c r="D127" s="2"/>
      <c r="E127" s="2"/>
      <c r="F127" s="2"/>
      <c r="G127" s="14"/>
      <c r="H127" s="10"/>
      <c r="I127" s="5"/>
      <c r="J127" s="5"/>
      <c r="K127" s="5"/>
      <c r="L127" s="5"/>
      <c r="M127" s="5"/>
    </row>
    <row r="128" spans="1:13" ht="14">
      <c r="A128" s="2"/>
      <c r="B128" s="2"/>
      <c r="C128" s="2"/>
      <c r="D128" s="2"/>
      <c r="E128" s="2"/>
      <c r="F128" s="2"/>
      <c r="G128" s="14"/>
      <c r="H128" s="10"/>
      <c r="I128" s="5"/>
      <c r="J128" s="5"/>
      <c r="K128" s="5"/>
      <c r="L128" s="5"/>
      <c r="M128" s="5"/>
    </row>
    <row r="129" spans="1:13" ht="14">
      <c r="A129" s="2"/>
      <c r="B129" s="2"/>
      <c r="C129" s="2"/>
      <c r="D129" s="2"/>
      <c r="E129" s="2"/>
      <c r="F129" s="2"/>
      <c r="G129" s="14"/>
      <c r="H129" s="10"/>
      <c r="I129" s="5"/>
      <c r="J129" s="5"/>
      <c r="K129" s="5"/>
      <c r="L129" s="5"/>
      <c r="M129" s="5"/>
    </row>
    <row r="130" spans="1:13" ht="14">
      <c r="A130" s="2"/>
      <c r="B130" s="2"/>
      <c r="C130" s="2"/>
      <c r="D130" s="2"/>
      <c r="E130" s="2"/>
      <c r="F130" s="2"/>
      <c r="G130" s="14"/>
      <c r="H130" s="10"/>
      <c r="I130" s="5"/>
      <c r="J130" s="5"/>
      <c r="K130" s="5"/>
      <c r="L130" s="5"/>
      <c r="M130" s="5"/>
    </row>
    <row r="131" spans="1:13" ht="14">
      <c r="A131" s="2"/>
      <c r="B131" s="2"/>
      <c r="C131" s="2"/>
      <c r="D131" s="2"/>
      <c r="E131" s="2"/>
      <c r="F131" s="2"/>
      <c r="G131" s="14"/>
      <c r="H131" s="10"/>
      <c r="I131" s="5"/>
      <c r="J131" s="5"/>
      <c r="K131" s="5"/>
      <c r="L131" s="5"/>
      <c r="M131" s="5"/>
    </row>
    <row r="132" spans="1:13" ht="14">
      <c r="A132" s="2"/>
      <c r="B132" s="2"/>
      <c r="C132" s="2"/>
      <c r="D132" s="2"/>
      <c r="E132" s="2"/>
      <c r="F132" s="2"/>
      <c r="G132" s="14"/>
      <c r="H132" s="10"/>
      <c r="I132" s="5"/>
      <c r="J132" s="5"/>
      <c r="K132" s="5"/>
      <c r="L132" s="5"/>
      <c r="M132" s="5"/>
    </row>
    <row r="133" spans="1:13" ht="14">
      <c r="A133" s="2"/>
      <c r="B133" s="2"/>
      <c r="C133" s="2"/>
      <c r="D133" s="2"/>
      <c r="E133" s="2"/>
      <c r="F133" s="2"/>
      <c r="G133" s="14"/>
      <c r="H133" s="10"/>
      <c r="I133" s="5"/>
      <c r="J133" s="5"/>
      <c r="K133" s="5"/>
      <c r="L133" s="5"/>
      <c r="M133" s="5"/>
    </row>
    <row r="134" spans="1:13" ht="14">
      <c r="A134" s="2"/>
      <c r="B134" s="2"/>
      <c r="C134" s="2"/>
      <c r="D134" s="2"/>
      <c r="E134" s="2"/>
      <c r="F134" s="2"/>
      <c r="G134" s="14"/>
      <c r="H134" s="10"/>
      <c r="I134" s="5"/>
      <c r="J134" s="5"/>
      <c r="K134" s="5"/>
      <c r="L134" s="5"/>
      <c r="M134" s="5"/>
    </row>
    <row r="135" spans="1:13" ht="14">
      <c r="A135" s="2"/>
      <c r="B135" s="2"/>
      <c r="C135" s="2"/>
      <c r="D135" s="2"/>
      <c r="E135" s="2"/>
      <c r="F135" s="2"/>
      <c r="G135" s="14"/>
      <c r="H135" s="10"/>
      <c r="I135" s="5"/>
      <c r="J135" s="5"/>
      <c r="K135" s="5"/>
      <c r="L135" s="5"/>
      <c r="M135" s="5"/>
    </row>
    <row r="136" spans="1:13" ht="14">
      <c r="A136" s="2"/>
      <c r="B136" s="2"/>
      <c r="C136" s="2"/>
      <c r="D136" s="2"/>
      <c r="E136" s="2"/>
      <c r="F136" s="2"/>
      <c r="G136" s="14"/>
      <c r="H136" s="10"/>
      <c r="I136" s="5"/>
      <c r="J136" s="5"/>
      <c r="K136" s="5"/>
      <c r="L136" s="5"/>
      <c r="M136" s="5"/>
    </row>
    <row r="137" spans="1:13" ht="14">
      <c r="A137" s="2"/>
      <c r="B137" s="2"/>
      <c r="C137" s="2"/>
      <c r="D137" s="2"/>
      <c r="E137" s="2"/>
      <c r="F137" s="2"/>
      <c r="G137" s="14"/>
      <c r="H137" s="10"/>
      <c r="I137" s="5"/>
      <c r="J137" s="5"/>
      <c r="K137" s="5"/>
      <c r="L137" s="5"/>
      <c r="M137" s="5"/>
    </row>
    <row r="138" spans="1:13" ht="14">
      <c r="A138" s="2"/>
      <c r="B138" s="2"/>
      <c r="C138" s="2"/>
      <c r="D138" s="2"/>
      <c r="E138" s="2"/>
      <c r="F138" s="2"/>
      <c r="G138" s="14"/>
      <c r="H138" s="10"/>
      <c r="I138" s="5"/>
      <c r="J138" s="5"/>
      <c r="K138" s="5"/>
      <c r="L138" s="5"/>
      <c r="M138" s="5"/>
    </row>
    <row r="139" spans="1:13" ht="14">
      <c r="A139" s="2"/>
      <c r="B139" s="2"/>
      <c r="C139" s="2"/>
      <c r="D139" s="2"/>
      <c r="E139" s="2"/>
      <c r="F139" s="2"/>
      <c r="G139" s="14"/>
      <c r="H139" s="10"/>
      <c r="I139" s="5"/>
      <c r="J139" s="5"/>
      <c r="K139" s="5"/>
      <c r="L139" s="5"/>
      <c r="M139" s="5"/>
    </row>
    <row r="140" spans="1:13" ht="14">
      <c r="A140" s="2"/>
      <c r="B140" s="2"/>
      <c r="C140" s="2"/>
      <c r="D140" s="2"/>
      <c r="E140" s="2"/>
      <c r="F140" s="2"/>
      <c r="G140" s="14"/>
      <c r="H140" s="10"/>
      <c r="I140" s="5"/>
      <c r="J140" s="5"/>
      <c r="K140" s="5"/>
      <c r="L140" s="5"/>
      <c r="M140" s="5"/>
    </row>
    <row r="141" spans="1:13" ht="14">
      <c r="A141" s="2"/>
      <c r="B141" s="2"/>
      <c r="C141" s="2"/>
      <c r="D141" s="2"/>
      <c r="E141" s="2"/>
      <c r="F141" s="2"/>
      <c r="G141" s="14"/>
      <c r="H141" s="10"/>
      <c r="I141" s="5"/>
      <c r="J141" s="5"/>
      <c r="K141" s="5"/>
      <c r="L141" s="5"/>
      <c r="M141" s="5"/>
    </row>
    <row r="142" spans="1:13" ht="14">
      <c r="A142" s="2"/>
      <c r="B142" s="2"/>
      <c r="C142" s="2"/>
      <c r="D142" s="2"/>
      <c r="E142" s="2"/>
      <c r="F142" s="2"/>
      <c r="G142" s="14"/>
      <c r="H142" s="10"/>
      <c r="I142" s="5"/>
      <c r="J142" s="5"/>
      <c r="K142" s="5"/>
      <c r="L142" s="5"/>
      <c r="M142" s="5"/>
    </row>
    <row r="143" spans="1:13" ht="14">
      <c r="A143" s="2"/>
      <c r="B143" s="2"/>
      <c r="C143" s="2"/>
      <c r="D143" s="2"/>
      <c r="E143" s="2"/>
      <c r="F143" s="2"/>
      <c r="G143" s="14"/>
      <c r="H143" s="10"/>
      <c r="I143" s="5"/>
      <c r="J143" s="5"/>
      <c r="K143" s="5"/>
      <c r="L143" s="5"/>
      <c r="M143" s="5"/>
    </row>
    <row r="144" spans="1:13" ht="14">
      <c r="A144" s="2"/>
      <c r="B144" s="2"/>
      <c r="C144" s="2"/>
      <c r="D144" s="2"/>
      <c r="E144" s="2"/>
      <c r="F144" s="2"/>
      <c r="G144" s="14"/>
      <c r="H144" s="10"/>
      <c r="I144" s="5"/>
      <c r="J144" s="5"/>
      <c r="K144" s="5"/>
      <c r="L144" s="5"/>
      <c r="M144" s="5"/>
    </row>
    <row r="145" spans="1:13" ht="14">
      <c r="A145" s="2"/>
      <c r="B145" s="2"/>
      <c r="C145" s="2"/>
      <c r="D145" s="2"/>
      <c r="E145" s="2"/>
      <c r="F145" s="2"/>
      <c r="G145" s="14"/>
      <c r="H145" s="10"/>
      <c r="I145" s="5"/>
      <c r="J145" s="5"/>
      <c r="K145" s="5"/>
      <c r="L145" s="5"/>
      <c r="M145" s="5"/>
    </row>
    <row r="146" spans="1:13" ht="14">
      <c r="A146" s="2"/>
      <c r="B146" s="2"/>
      <c r="C146" s="2"/>
      <c r="D146" s="2"/>
      <c r="E146" s="2"/>
      <c r="F146" s="2"/>
      <c r="G146" s="14"/>
      <c r="H146" s="10"/>
      <c r="I146" s="5"/>
      <c r="J146" s="5"/>
      <c r="K146" s="5"/>
      <c r="L146" s="5"/>
      <c r="M146" s="5"/>
    </row>
    <row r="147" spans="1:13" ht="14">
      <c r="A147" s="2"/>
      <c r="B147" s="2"/>
      <c r="C147" s="2"/>
      <c r="D147" s="2"/>
      <c r="E147" s="2"/>
      <c r="F147" s="2"/>
      <c r="G147" s="14"/>
      <c r="H147" s="10"/>
      <c r="I147" s="5"/>
      <c r="J147" s="5"/>
      <c r="K147" s="5"/>
      <c r="L147" s="5"/>
      <c r="M147" s="5"/>
    </row>
    <row r="148" spans="1:13" ht="14">
      <c r="A148" s="2"/>
      <c r="B148" s="2"/>
      <c r="C148" s="2"/>
      <c r="D148" s="2"/>
      <c r="E148" s="2"/>
      <c r="F148" s="2"/>
      <c r="G148" s="14"/>
      <c r="H148" s="10"/>
      <c r="I148" s="5"/>
      <c r="J148" s="5"/>
      <c r="K148" s="5"/>
      <c r="L148" s="5"/>
      <c r="M148" s="5"/>
    </row>
    <row r="149" spans="1:13" ht="14">
      <c r="A149" s="2"/>
      <c r="B149" s="2"/>
      <c r="C149" s="2"/>
      <c r="D149" s="2"/>
      <c r="E149" s="2"/>
      <c r="F149" s="2"/>
      <c r="G149" s="14"/>
      <c r="H149" s="10"/>
      <c r="I149" s="5"/>
      <c r="J149" s="5"/>
      <c r="K149" s="5"/>
      <c r="L149" s="5"/>
      <c r="M149" s="5"/>
    </row>
    <row r="150" spans="1:13" ht="14">
      <c r="A150" s="2"/>
      <c r="B150" s="2"/>
      <c r="C150" s="2"/>
      <c r="D150" s="2"/>
      <c r="E150" s="2"/>
      <c r="F150" s="2"/>
      <c r="G150" s="14"/>
      <c r="H150" s="10"/>
      <c r="I150" s="5"/>
      <c r="J150" s="5"/>
      <c r="K150" s="5"/>
      <c r="L150" s="5"/>
      <c r="M150" s="5"/>
    </row>
    <row r="151" spans="1:13" ht="14">
      <c r="A151" s="2"/>
      <c r="B151" s="2"/>
      <c r="C151" s="2"/>
      <c r="D151" s="2"/>
      <c r="E151" s="2"/>
      <c r="F151" s="2"/>
      <c r="G151" s="14"/>
      <c r="H151" s="10"/>
      <c r="I151" s="5"/>
      <c r="J151" s="5"/>
      <c r="K151" s="5"/>
      <c r="L151" s="5"/>
      <c r="M151" s="5"/>
    </row>
    <row r="152" spans="1:13" ht="14">
      <c r="A152" s="2"/>
      <c r="B152" s="2"/>
      <c r="C152" s="2"/>
      <c r="D152" s="2"/>
      <c r="E152" s="2"/>
      <c r="F152" s="2"/>
      <c r="G152" s="14"/>
      <c r="H152" s="10"/>
      <c r="I152" s="5"/>
      <c r="J152" s="5"/>
      <c r="K152" s="5"/>
      <c r="L152" s="5"/>
      <c r="M152" s="5"/>
    </row>
    <row r="153" spans="1:13" ht="14">
      <c r="A153" s="2"/>
      <c r="B153" s="2"/>
      <c r="C153" s="2"/>
      <c r="D153" s="2"/>
      <c r="E153" s="2"/>
      <c r="F153" s="2"/>
      <c r="G153" s="14"/>
      <c r="H153" s="10"/>
      <c r="I153" s="5"/>
      <c r="J153" s="5"/>
      <c r="K153" s="5"/>
      <c r="L153" s="5"/>
      <c r="M153" s="5"/>
    </row>
    <row r="154" spans="1:13" ht="14">
      <c r="A154" s="2"/>
      <c r="B154" s="2"/>
      <c r="C154" s="2"/>
      <c r="D154" s="2"/>
      <c r="E154" s="2"/>
      <c r="F154" s="2"/>
      <c r="G154" s="14"/>
      <c r="H154" s="10"/>
      <c r="I154" s="5"/>
      <c r="J154" s="5"/>
      <c r="K154" s="5"/>
      <c r="L154" s="5"/>
      <c r="M154" s="5"/>
    </row>
    <row r="155" spans="1:13" ht="14">
      <c r="A155" s="2"/>
      <c r="B155" s="2"/>
      <c r="C155" s="2"/>
      <c r="D155" s="2"/>
      <c r="E155" s="2"/>
      <c r="F155" s="2"/>
      <c r="G155" s="14"/>
      <c r="H155" s="10"/>
      <c r="I155" s="5"/>
      <c r="J155" s="5"/>
      <c r="K155" s="5"/>
      <c r="L155" s="5"/>
      <c r="M155" s="5"/>
    </row>
    <row r="156" spans="1:13" ht="14">
      <c r="A156" s="2"/>
      <c r="B156" s="2"/>
      <c r="C156" s="2"/>
      <c r="D156" s="2"/>
      <c r="E156" s="2"/>
      <c r="F156" s="2"/>
      <c r="G156" s="14"/>
      <c r="H156" s="10"/>
      <c r="I156" s="5"/>
      <c r="J156" s="5"/>
      <c r="K156" s="5"/>
      <c r="L156" s="5"/>
      <c r="M156" s="5"/>
    </row>
    <row r="157" spans="1:13" ht="14">
      <c r="A157" s="2"/>
      <c r="B157" s="2"/>
      <c r="C157" s="2"/>
      <c r="D157" s="2"/>
      <c r="E157" s="2"/>
      <c r="F157" s="2"/>
      <c r="G157" s="14"/>
      <c r="H157" s="10"/>
      <c r="I157" s="5"/>
      <c r="J157" s="5"/>
      <c r="K157" s="5"/>
      <c r="L157" s="5"/>
      <c r="M157" s="5"/>
    </row>
    <row r="158" spans="1:13" ht="14">
      <c r="A158" s="2"/>
      <c r="B158" s="2"/>
      <c r="C158" s="2"/>
      <c r="D158" s="2"/>
      <c r="E158" s="2"/>
      <c r="F158" s="2"/>
      <c r="G158" s="14"/>
      <c r="H158" s="10"/>
      <c r="I158" s="5"/>
      <c r="J158" s="5"/>
      <c r="K158" s="5"/>
      <c r="L158" s="5"/>
      <c r="M158" s="5"/>
    </row>
    <row r="159" spans="1:13" ht="14">
      <c r="A159" s="2"/>
      <c r="B159" s="2"/>
      <c r="C159" s="2"/>
      <c r="D159" s="2"/>
      <c r="E159" s="2"/>
      <c r="F159" s="2"/>
      <c r="G159" s="14"/>
      <c r="H159" s="10"/>
      <c r="I159" s="5"/>
      <c r="J159" s="5"/>
      <c r="K159" s="5"/>
      <c r="L159" s="5"/>
      <c r="M159" s="5"/>
    </row>
    <row r="160" spans="1:13" ht="13">
      <c r="A160" s="1"/>
      <c r="B160" s="1"/>
      <c r="C160" s="1"/>
      <c r="D160" s="1"/>
      <c r="E160" s="1"/>
      <c r="F160" s="1"/>
      <c r="G160" s="16"/>
      <c r="H160" s="9"/>
      <c r="I160" s="5"/>
      <c r="J160" s="5"/>
      <c r="K160" s="5"/>
      <c r="L160" s="5"/>
      <c r="M160" s="5"/>
    </row>
    <row r="161" spans="1:13" ht="13">
      <c r="A161" s="1"/>
      <c r="B161" s="1"/>
      <c r="C161" s="1"/>
      <c r="D161" s="1"/>
      <c r="E161" s="1"/>
      <c r="F161" s="1"/>
      <c r="G161" s="16"/>
      <c r="H161" s="9"/>
      <c r="I161" s="5"/>
      <c r="J161" s="5"/>
      <c r="K161" s="5"/>
      <c r="L161" s="5"/>
      <c r="M161" s="5"/>
    </row>
    <row r="162" spans="1:13" ht="13">
      <c r="A162" s="1"/>
      <c r="B162" s="1"/>
      <c r="C162" s="1"/>
      <c r="D162" s="1"/>
      <c r="E162" s="1"/>
      <c r="F162" s="1"/>
      <c r="G162" s="16"/>
      <c r="H162" s="9"/>
      <c r="I162" s="5"/>
      <c r="J162" s="5"/>
      <c r="K162" s="5"/>
      <c r="L162" s="5"/>
      <c r="M162" s="5"/>
    </row>
    <row r="163" spans="1:13" ht="13">
      <c r="A163" s="1"/>
      <c r="B163" s="1"/>
      <c r="C163" s="1"/>
      <c r="D163" s="1"/>
      <c r="E163" s="1"/>
      <c r="F163" s="1"/>
      <c r="G163" s="16"/>
      <c r="H163" s="9"/>
      <c r="I163" s="5"/>
      <c r="J163" s="5"/>
      <c r="K163" s="5"/>
      <c r="L163" s="5"/>
      <c r="M163" s="5"/>
    </row>
    <row r="164" spans="1:13" ht="13">
      <c r="A164" s="1"/>
      <c r="B164" s="1"/>
      <c r="C164" s="1"/>
      <c r="D164" s="1"/>
      <c r="E164" s="1"/>
      <c r="F164" s="1"/>
      <c r="G164" s="16"/>
      <c r="H164" s="9"/>
      <c r="I164" s="5"/>
      <c r="J164" s="5"/>
      <c r="K164" s="5"/>
      <c r="L164" s="5"/>
      <c r="M164" s="5"/>
    </row>
    <row r="165" spans="1:13" ht="13">
      <c r="A165" s="1"/>
      <c r="B165" s="1"/>
      <c r="C165" s="1"/>
      <c r="D165" s="1"/>
      <c r="E165" s="1"/>
      <c r="F165" s="1"/>
      <c r="G165" s="16"/>
      <c r="H165" s="9"/>
      <c r="I165" s="5"/>
      <c r="J165" s="5"/>
      <c r="K165" s="5"/>
      <c r="L165" s="5"/>
      <c r="M165" s="5"/>
    </row>
    <row r="166" spans="1:13" ht="13">
      <c r="A166" s="1"/>
      <c r="B166" s="1"/>
      <c r="C166" s="1"/>
      <c r="D166" s="1"/>
      <c r="E166" s="1"/>
      <c r="F166" s="1"/>
      <c r="G166" s="16"/>
      <c r="H166" s="9"/>
      <c r="I166" s="5"/>
      <c r="J166" s="5"/>
      <c r="K166" s="5"/>
      <c r="L166" s="5"/>
      <c r="M166" s="5"/>
    </row>
    <row r="167" spans="1:13" ht="13">
      <c r="A167" s="1"/>
      <c r="B167" s="1"/>
      <c r="C167" s="1"/>
      <c r="D167" s="1"/>
      <c r="E167" s="1"/>
      <c r="F167" s="1"/>
      <c r="G167" s="16"/>
      <c r="H167" s="9"/>
      <c r="I167" s="5"/>
      <c r="J167" s="5"/>
      <c r="K167" s="5"/>
      <c r="L167" s="5"/>
      <c r="M167" s="5"/>
    </row>
    <row r="168" spans="1:13" ht="13">
      <c r="A168" s="1"/>
      <c r="B168" s="1"/>
      <c r="C168" s="1"/>
      <c r="D168" s="1"/>
      <c r="E168" s="1"/>
      <c r="F168" s="1"/>
      <c r="G168" s="16"/>
      <c r="H168" s="9"/>
      <c r="I168" s="5"/>
      <c r="J168" s="5"/>
      <c r="K168" s="5"/>
      <c r="L168" s="5"/>
      <c r="M168" s="5"/>
    </row>
    <row r="169" spans="1:13" ht="13">
      <c r="A169" s="1"/>
      <c r="B169" s="1"/>
      <c r="C169" s="1"/>
      <c r="D169" s="1"/>
      <c r="E169" s="1"/>
      <c r="F169" s="1"/>
      <c r="G169" s="16"/>
      <c r="H169" s="9"/>
      <c r="I169" s="5"/>
      <c r="J169" s="5"/>
      <c r="K169" s="5"/>
      <c r="L169" s="5"/>
      <c r="M169" s="5"/>
    </row>
    <row r="170" spans="1:13" ht="13">
      <c r="A170" s="1"/>
      <c r="B170" s="1"/>
      <c r="C170" s="1"/>
      <c r="D170" s="1"/>
      <c r="E170" s="1"/>
      <c r="F170" s="1"/>
      <c r="G170" s="16"/>
      <c r="H170" s="9"/>
      <c r="I170" s="5"/>
      <c r="J170" s="5"/>
      <c r="K170" s="5"/>
      <c r="L170" s="5"/>
      <c r="M170" s="5"/>
    </row>
    <row r="171" spans="1:13" ht="13">
      <c r="A171" s="1"/>
      <c r="B171" s="1"/>
      <c r="C171" s="1"/>
      <c r="D171" s="1"/>
      <c r="E171" s="1"/>
      <c r="F171" s="1"/>
      <c r="G171" s="16"/>
      <c r="H171" s="9"/>
      <c r="I171" s="5"/>
      <c r="J171" s="5"/>
      <c r="K171" s="5"/>
      <c r="L171" s="5"/>
      <c r="M171" s="5"/>
    </row>
    <row r="172" spans="1:13" ht="13">
      <c r="A172" s="1"/>
      <c r="B172" s="1"/>
      <c r="C172" s="1"/>
      <c r="D172" s="1"/>
      <c r="E172" s="1"/>
      <c r="F172" s="1"/>
      <c r="G172" s="16"/>
      <c r="H172" s="9"/>
      <c r="I172" s="5"/>
      <c r="J172" s="5"/>
      <c r="K172" s="5"/>
      <c r="L172" s="5"/>
      <c r="M172" s="5"/>
    </row>
    <row r="173" spans="1:13" ht="13">
      <c r="A173" s="1"/>
      <c r="B173" s="1"/>
      <c r="C173" s="1"/>
      <c r="D173" s="1"/>
      <c r="E173" s="1"/>
      <c r="F173" s="1"/>
      <c r="G173" s="16"/>
      <c r="H173" s="9"/>
      <c r="I173" s="5"/>
      <c r="J173" s="5"/>
      <c r="K173" s="5"/>
      <c r="L173" s="5"/>
      <c r="M173" s="5"/>
    </row>
    <row r="174" spans="1:13" ht="13">
      <c r="A174" s="1"/>
      <c r="B174" s="1"/>
      <c r="C174" s="1"/>
      <c r="D174" s="1"/>
      <c r="E174" s="1"/>
      <c r="F174" s="1"/>
      <c r="G174" s="16"/>
      <c r="H174" s="9"/>
      <c r="I174" s="5"/>
      <c r="J174" s="5"/>
      <c r="K174" s="5"/>
      <c r="L174" s="5"/>
      <c r="M174" s="5"/>
    </row>
    <row r="175" spans="1:13" ht="13">
      <c r="A175" s="1"/>
      <c r="B175" s="1"/>
      <c r="C175" s="1"/>
      <c r="D175" s="1"/>
      <c r="E175" s="1"/>
      <c r="F175" s="1"/>
      <c r="G175" s="16"/>
      <c r="H175" s="9"/>
      <c r="I175" s="5"/>
      <c r="J175" s="5"/>
      <c r="K175" s="5"/>
      <c r="L175" s="5"/>
      <c r="M175" s="5"/>
    </row>
    <row r="176" spans="1:13" ht="13">
      <c r="A176" s="1"/>
      <c r="B176" s="1"/>
      <c r="C176" s="1"/>
      <c r="D176" s="1"/>
      <c r="E176" s="1"/>
      <c r="F176" s="1"/>
      <c r="G176" s="16"/>
      <c r="H176" s="9"/>
      <c r="I176" s="5"/>
      <c r="J176" s="5"/>
      <c r="K176" s="5"/>
      <c r="L176" s="5"/>
      <c r="M176" s="5"/>
    </row>
    <row r="177" spans="1:13" ht="13">
      <c r="A177" s="1"/>
      <c r="B177" s="1"/>
      <c r="C177" s="1"/>
      <c r="D177" s="1"/>
      <c r="E177" s="1"/>
      <c r="F177" s="1"/>
      <c r="G177" s="16"/>
      <c r="H177" s="9"/>
      <c r="I177" s="5"/>
      <c r="J177" s="5"/>
      <c r="K177" s="5"/>
      <c r="L177" s="5"/>
      <c r="M177" s="5"/>
    </row>
    <row r="178" spans="1:13" ht="13">
      <c r="A178" s="1"/>
      <c r="B178" s="1"/>
      <c r="C178" s="1"/>
      <c r="D178" s="1"/>
      <c r="E178" s="1"/>
      <c r="F178" s="1"/>
      <c r="G178" s="16"/>
      <c r="H178" s="9"/>
      <c r="I178" s="5"/>
      <c r="J178" s="5"/>
      <c r="K178" s="5"/>
      <c r="L178" s="5"/>
      <c r="M178" s="5"/>
    </row>
    <row r="179" spans="1:13" ht="13">
      <c r="A179" s="1"/>
      <c r="B179" s="1"/>
      <c r="C179" s="1"/>
      <c r="D179" s="1"/>
      <c r="E179" s="1"/>
      <c r="F179" s="1"/>
      <c r="G179" s="16"/>
      <c r="H179" s="4"/>
      <c r="I179" s="5"/>
      <c r="J179" s="5"/>
      <c r="K179" s="5"/>
      <c r="L179" s="5"/>
      <c r="M179" s="5"/>
    </row>
    <row r="180" spans="1:13" ht="13">
      <c r="A180" s="1"/>
      <c r="B180" s="1"/>
      <c r="C180" s="1"/>
      <c r="D180" s="1"/>
      <c r="E180" s="1"/>
      <c r="F180" s="1"/>
      <c r="G180" s="16"/>
      <c r="H180" s="4"/>
      <c r="I180" s="5"/>
      <c r="J180" s="5"/>
      <c r="K180" s="5"/>
      <c r="L180" s="5"/>
      <c r="M180" s="5"/>
    </row>
    <row r="181" spans="1:13" ht="13">
      <c r="A181" s="1"/>
      <c r="B181" s="1"/>
      <c r="C181" s="1"/>
      <c r="D181" s="1"/>
      <c r="E181" s="1"/>
      <c r="F181" s="1"/>
      <c r="G181" s="16"/>
      <c r="H181" s="4"/>
      <c r="I181" s="5"/>
      <c r="J181" s="5"/>
      <c r="K181" s="5"/>
      <c r="L181" s="5"/>
      <c r="M181" s="5"/>
    </row>
    <row r="182" spans="1:13" ht="13">
      <c r="A182" s="1"/>
      <c r="B182" s="1"/>
      <c r="C182" s="1"/>
      <c r="D182" s="1"/>
      <c r="E182" s="1"/>
      <c r="F182" s="1"/>
      <c r="G182" s="16"/>
      <c r="H182" s="4"/>
      <c r="I182" s="5"/>
      <c r="J182" s="5"/>
      <c r="K182" s="5"/>
      <c r="L182" s="5"/>
      <c r="M182" s="5"/>
    </row>
    <row r="183" spans="1:13" ht="13">
      <c r="A183" s="1"/>
      <c r="B183" s="1"/>
      <c r="C183" s="1"/>
      <c r="D183" s="1"/>
      <c r="E183" s="1"/>
      <c r="F183" s="1"/>
      <c r="G183" s="16"/>
      <c r="H183" s="4"/>
      <c r="I183" s="5"/>
      <c r="J183" s="5"/>
      <c r="K183" s="5"/>
      <c r="L183" s="5"/>
      <c r="M183" s="5"/>
    </row>
    <row r="184" spans="1:13" ht="13">
      <c r="A184" s="1"/>
      <c r="B184" s="1"/>
      <c r="C184" s="1"/>
      <c r="D184" s="1"/>
      <c r="E184" s="1"/>
      <c r="F184" s="1"/>
      <c r="G184" s="16"/>
      <c r="H184" s="4"/>
      <c r="I184" s="5"/>
      <c r="J184" s="5"/>
      <c r="K184" s="5"/>
      <c r="L184" s="5"/>
      <c r="M184" s="5"/>
    </row>
    <row r="185" spans="1:13" ht="13">
      <c r="A185" s="1"/>
      <c r="B185" s="1"/>
      <c r="C185" s="1"/>
      <c r="D185" s="1"/>
      <c r="E185" s="1"/>
      <c r="F185" s="1"/>
      <c r="G185" s="16"/>
      <c r="H185" s="4"/>
      <c r="I185" s="5"/>
      <c r="J185" s="5"/>
      <c r="K185" s="5"/>
      <c r="L185" s="5"/>
      <c r="M185" s="5"/>
    </row>
    <row r="186" spans="1:13" ht="13">
      <c r="A186" s="1"/>
      <c r="B186" s="1"/>
      <c r="C186" s="1"/>
      <c r="D186" s="1"/>
      <c r="E186" s="1"/>
      <c r="F186" s="1"/>
      <c r="G186" s="16"/>
      <c r="H186" s="4"/>
      <c r="I186" s="5"/>
      <c r="J186" s="5"/>
      <c r="K186" s="5"/>
      <c r="L186" s="5"/>
      <c r="M186" s="5"/>
    </row>
    <row r="187" spans="1:13" ht="13">
      <c r="A187" s="1"/>
      <c r="B187" s="1"/>
      <c r="C187" s="1"/>
      <c r="D187" s="1"/>
      <c r="E187" s="1"/>
      <c r="F187" s="1"/>
      <c r="G187" s="16"/>
      <c r="H187" s="4"/>
      <c r="I187" s="5"/>
      <c r="J187" s="5"/>
      <c r="K187" s="5"/>
      <c r="L187" s="5"/>
      <c r="M187" s="5"/>
    </row>
    <row r="188" spans="1:13" ht="13">
      <c r="A188" s="1"/>
      <c r="B188" s="1"/>
      <c r="C188" s="1"/>
      <c r="D188" s="1"/>
      <c r="E188" s="1"/>
      <c r="F188" s="1"/>
      <c r="G188" s="16"/>
      <c r="H188" s="4"/>
      <c r="I188" s="5"/>
      <c r="J188" s="5"/>
      <c r="K188" s="5"/>
      <c r="L188" s="5"/>
      <c r="M188" s="5"/>
    </row>
    <row r="189" spans="1:13" ht="13">
      <c r="A189" s="1"/>
      <c r="B189" s="1"/>
      <c r="C189" s="1"/>
      <c r="D189" s="1"/>
      <c r="E189" s="1"/>
      <c r="F189" s="1"/>
      <c r="G189" s="16"/>
      <c r="H189" s="4"/>
      <c r="I189" s="5"/>
      <c r="J189" s="5"/>
      <c r="K189" s="5"/>
      <c r="L189" s="5"/>
      <c r="M189" s="5"/>
    </row>
    <row r="190" spans="1:13" ht="13">
      <c r="A190" s="1"/>
      <c r="B190" s="1"/>
      <c r="C190" s="1"/>
      <c r="D190" s="1"/>
      <c r="E190" s="1"/>
      <c r="F190" s="1"/>
      <c r="G190" s="16"/>
      <c r="H190" s="4"/>
      <c r="I190" s="5"/>
      <c r="J190" s="5"/>
      <c r="K190" s="5"/>
      <c r="L190" s="5"/>
      <c r="M190" s="5"/>
    </row>
    <row r="191" spans="1:13" ht="13">
      <c r="A191" s="1"/>
      <c r="B191" s="1"/>
      <c r="C191" s="1"/>
      <c r="D191" s="1"/>
      <c r="E191" s="1"/>
      <c r="F191" s="1"/>
      <c r="G191" s="16"/>
      <c r="H191" s="4"/>
      <c r="I191" s="5"/>
      <c r="J191" s="5"/>
      <c r="K191" s="5"/>
      <c r="L191" s="5"/>
      <c r="M191" s="5"/>
    </row>
    <row r="192" spans="1:13" ht="13">
      <c r="A192" s="1"/>
      <c r="B192" s="1"/>
      <c r="C192" s="1"/>
      <c r="D192" s="1"/>
      <c r="E192" s="1"/>
      <c r="F192" s="1"/>
      <c r="G192" s="16"/>
      <c r="H192" s="4"/>
      <c r="I192" s="5"/>
      <c r="J192" s="5"/>
      <c r="K192" s="5"/>
      <c r="L192" s="5"/>
      <c r="M192" s="5"/>
    </row>
    <row r="193" spans="1:13" ht="13">
      <c r="A193" s="1"/>
      <c r="B193" s="1"/>
      <c r="C193" s="1"/>
      <c r="D193" s="1"/>
      <c r="E193" s="1"/>
      <c r="F193" s="1"/>
      <c r="G193" s="16"/>
      <c r="H193" s="4"/>
      <c r="I193" s="5"/>
      <c r="J193" s="5"/>
      <c r="K193" s="5"/>
      <c r="L193" s="5"/>
      <c r="M193" s="5"/>
    </row>
    <row r="194" spans="1:13" ht="13">
      <c r="A194" s="1"/>
      <c r="B194" s="1"/>
      <c r="C194" s="1"/>
      <c r="D194" s="1"/>
      <c r="E194" s="1"/>
      <c r="F194" s="1"/>
      <c r="G194" s="16"/>
      <c r="H194" s="4"/>
      <c r="I194" s="5"/>
      <c r="J194" s="5"/>
      <c r="K194" s="5"/>
      <c r="L194" s="5"/>
      <c r="M194" s="5"/>
    </row>
    <row r="195" spans="1:13" ht="13">
      <c r="A195" s="1"/>
      <c r="B195" s="1"/>
      <c r="C195" s="1"/>
      <c r="D195" s="1"/>
      <c r="E195" s="1"/>
      <c r="F195" s="1"/>
      <c r="G195" s="16"/>
      <c r="H195" s="4"/>
      <c r="I195" s="5"/>
      <c r="J195" s="5"/>
      <c r="K195" s="5"/>
      <c r="L195" s="5"/>
      <c r="M195" s="5"/>
    </row>
    <row r="196" spans="1:13" ht="13">
      <c r="A196" s="1"/>
      <c r="B196" s="1"/>
      <c r="C196" s="1"/>
      <c r="D196" s="1"/>
      <c r="E196" s="1"/>
      <c r="F196" s="1"/>
      <c r="G196" s="16"/>
      <c r="H196" s="4"/>
      <c r="I196" s="5"/>
      <c r="J196" s="5"/>
      <c r="K196" s="5"/>
      <c r="L196" s="5"/>
      <c r="M196" s="5"/>
    </row>
    <row r="197" spans="1:13" ht="13">
      <c r="A197" s="1"/>
      <c r="B197" s="1"/>
      <c r="C197" s="1"/>
      <c r="D197" s="1"/>
      <c r="E197" s="1"/>
      <c r="F197" s="1"/>
      <c r="G197" s="16"/>
      <c r="H197" s="4"/>
      <c r="I197" s="5"/>
      <c r="J197" s="5"/>
      <c r="K197" s="5"/>
      <c r="L197" s="5"/>
      <c r="M197" s="5"/>
    </row>
    <row r="198" spans="1:13" ht="13">
      <c r="A198" s="1"/>
      <c r="B198" s="1"/>
      <c r="C198" s="1"/>
      <c r="D198" s="1"/>
      <c r="E198" s="1"/>
      <c r="F198" s="1"/>
      <c r="G198" s="16"/>
      <c r="H198" s="4"/>
      <c r="I198" s="5"/>
      <c r="J198" s="5"/>
      <c r="K198" s="5"/>
      <c r="L198" s="5"/>
      <c r="M198" s="5"/>
    </row>
    <row r="199" spans="1:13" ht="13">
      <c r="A199" s="1"/>
      <c r="B199" s="1"/>
      <c r="C199" s="1"/>
      <c r="D199" s="1"/>
      <c r="E199" s="1"/>
      <c r="F199" s="1"/>
      <c r="G199" s="16"/>
      <c r="H199" s="4"/>
      <c r="I199" s="5"/>
      <c r="J199" s="5"/>
      <c r="K199" s="5"/>
      <c r="L199" s="5"/>
      <c r="M199" s="5"/>
    </row>
    <row r="200" spans="1:13" ht="13">
      <c r="A200" s="1"/>
      <c r="B200" s="1"/>
      <c r="C200" s="1"/>
      <c r="D200" s="1"/>
      <c r="E200" s="1"/>
      <c r="F200" s="1"/>
      <c r="G200" s="16"/>
      <c r="H200" s="4"/>
      <c r="I200" s="5"/>
      <c r="J200" s="5"/>
      <c r="K200" s="5"/>
      <c r="L200" s="5"/>
      <c r="M200" s="5"/>
    </row>
    <row r="201" spans="1:13" ht="13">
      <c r="A201" s="1"/>
      <c r="B201" s="1"/>
      <c r="C201" s="1"/>
      <c r="D201" s="1"/>
      <c r="E201" s="1"/>
      <c r="F201" s="1"/>
      <c r="G201" s="16"/>
      <c r="H201" s="4"/>
      <c r="I201" s="5"/>
      <c r="J201" s="5"/>
      <c r="K201" s="5"/>
      <c r="L201" s="5"/>
      <c r="M201" s="5"/>
    </row>
    <row r="202" spans="1:13" ht="13">
      <c r="A202" s="1"/>
      <c r="B202" s="1"/>
      <c r="C202" s="1"/>
      <c r="D202" s="1"/>
      <c r="E202" s="1"/>
      <c r="F202" s="1"/>
      <c r="G202" s="16"/>
      <c r="H202" s="4"/>
      <c r="I202" s="5"/>
      <c r="J202" s="5"/>
      <c r="K202" s="5"/>
      <c r="L202" s="5"/>
      <c r="M202" s="5"/>
    </row>
    <row r="203" spans="1:13" ht="13">
      <c r="A203" s="1"/>
      <c r="B203" s="1"/>
      <c r="C203" s="1"/>
      <c r="D203" s="1"/>
      <c r="E203" s="1"/>
      <c r="F203" s="1"/>
      <c r="G203" s="16"/>
      <c r="H203" s="4"/>
      <c r="I203" s="5"/>
      <c r="J203" s="5"/>
      <c r="K203" s="5"/>
      <c r="L203" s="5"/>
      <c r="M203" s="5"/>
    </row>
    <row r="204" spans="1:13" ht="13">
      <c r="A204" s="1"/>
      <c r="B204" s="1"/>
      <c r="C204" s="1"/>
      <c r="D204" s="1"/>
      <c r="E204" s="1"/>
      <c r="F204" s="1"/>
      <c r="G204" s="16"/>
      <c r="H204" s="4"/>
      <c r="I204" s="5"/>
      <c r="J204" s="5"/>
      <c r="K204" s="5"/>
      <c r="L204" s="5"/>
      <c r="M204" s="5"/>
    </row>
    <row r="205" spans="1:13" ht="13">
      <c r="A205" s="1"/>
      <c r="B205" s="1"/>
      <c r="C205" s="1"/>
      <c r="D205" s="1"/>
      <c r="E205" s="1"/>
      <c r="F205" s="1"/>
      <c r="G205" s="16"/>
      <c r="H205" s="4"/>
      <c r="I205" s="5"/>
      <c r="J205" s="5"/>
      <c r="K205" s="5"/>
      <c r="L205" s="5"/>
      <c r="M205" s="5"/>
    </row>
    <row r="206" spans="1:13" ht="13">
      <c r="A206" s="1"/>
      <c r="B206" s="1"/>
      <c r="C206" s="1"/>
      <c r="D206" s="1"/>
      <c r="E206" s="1"/>
      <c r="F206" s="1"/>
      <c r="G206" s="16"/>
      <c r="H206" s="4"/>
      <c r="I206" s="5"/>
      <c r="J206" s="5"/>
      <c r="K206" s="5"/>
      <c r="L206" s="5"/>
      <c r="M206" s="5"/>
    </row>
    <row r="207" spans="1:13" ht="13">
      <c r="A207" s="1"/>
      <c r="B207" s="1"/>
      <c r="C207" s="1"/>
      <c r="D207" s="1"/>
      <c r="E207" s="1"/>
      <c r="F207" s="1"/>
      <c r="G207" s="16"/>
      <c r="H207" s="4"/>
      <c r="I207" s="5"/>
      <c r="J207" s="5"/>
      <c r="K207" s="5"/>
      <c r="L207" s="5"/>
      <c r="M207" s="5"/>
    </row>
    <row r="208" spans="1:13" ht="13">
      <c r="A208" s="1"/>
      <c r="B208" s="1"/>
      <c r="C208" s="1"/>
      <c r="D208" s="1"/>
      <c r="E208" s="1"/>
      <c r="F208" s="1"/>
      <c r="G208" s="16"/>
      <c r="H208" s="4"/>
      <c r="I208" s="5"/>
      <c r="J208" s="5"/>
      <c r="K208" s="5"/>
      <c r="L208" s="5"/>
      <c r="M208" s="5"/>
    </row>
    <row r="209" spans="1:13" ht="13">
      <c r="A209" s="1"/>
      <c r="B209" s="1"/>
      <c r="C209" s="1"/>
      <c r="D209" s="1"/>
      <c r="E209" s="1"/>
      <c r="F209" s="1"/>
      <c r="G209" s="16"/>
      <c r="H209" s="4"/>
      <c r="I209" s="5"/>
      <c r="J209" s="5"/>
      <c r="K209" s="5"/>
      <c r="L209" s="5"/>
      <c r="M209" s="5"/>
    </row>
    <row r="210" spans="1:13" ht="13">
      <c r="A210" s="1"/>
      <c r="B210" s="1"/>
      <c r="C210" s="1"/>
      <c r="D210" s="1"/>
      <c r="E210" s="1"/>
      <c r="F210" s="1"/>
      <c r="G210" s="16"/>
      <c r="H210" s="4"/>
      <c r="I210" s="5"/>
      <c r="J210" s="5"/>
      <c r="K210" s="5"/>
      <c r="L210" s="5"/>
      <c r="M210" s="5"/>
    </row>
    <row r="211" spans="1:13" ht="13">
      <c r="A211" s="1"/>
      <c r="B211" s="1"/>
      <c r="C211" s="1"/>
      <c r="D211" s="1"/>
      <c r="E211" s="1"/>
      <c r="F211" s="1"/>
      <c r="G211" s="16"/>
      <c r="H211" s="4"/>
      <c r="I211" s="5"/>
      <c r="J211" s="5"/>
      <c r="K211" s="5"/>
      <c r="L211" s="5"/>
      <c r="M211" s="5"/>
    </row>
    <row r="212" spans="1:13" ht="13">
      <c r="A212" s="1"/>
      <c r="B212" s="1"/>
      <c r="C212" s="1"/>
      <c r="D212" s="1"/>
      <c r="E212" s="1"/>
      <c r="F212" s="1"/>
      <c r="G212" s="16"/>
      <c r="H212" s="4"/>
      <c r="I212" s="5"/>
      <c r="J212" s="5"/>
      <c r="K212" s="5"/>
      <c r="L212" s="5"/>
      <c r="M212" s="5"/>
    </row>
    <row r="213" spans="1:13" ht="13">
      <c r="A213" s="1"/>
      <c r="B213" s="1"/>
      <c r="C213" s="1"/>
      <c r="D213" s="1"/>
      <c r="E213" s="1"/>
      <c r="F213" s="1"/>
      <c r="G213" s="16"/>
      <c r="H213" s="4"/>
      <c r="I213" s="5"/>
      <c r="J213" s="5"/>
      <c r="K213" s="5"/>
      <c r="L213" s="5"/>
      <c r="M213" s="5"/>
    </row>
    <row r="214" spans="1:13" ht="14">
      <c r="A214" s="2"/>
      <c r="B214" s="2"/>
      <c r="C214" s="2"/>
      <c r="D214" s="2"/>
      <c r="E214" s="2"/>
      <c r="F214" s="2"/>
      <c r="G214" s="14"/>
      <c r="H214" s="3"/>
      <c r="I214" s="7"/>
      <c r="J214" s="7"/>
      <c r="K214" s="7"/>
      <c r="L214" s="5"/>
      <c r="M214" s="5"/>
    </row>
    <row r="215" spans="1:13" ht="14">
      <c r="A215" s="2"/>
      <c r="B215" s="2"/>
      <c r="C215" s="2"/>
      <c r="D215" s="2"/>
      <c r="E215" s="2"/>
      <c r="F215" s="2"/>
      <c r="G215" s="14"/>
      <c r="H215" s="3"/>
      <c r="I215" s="7"/>
      <c r="J215" s="7"/>
      <c r="K215" s="7"/>
      <c r="L215" s="5"/>
      <c r="M215" s="5"/>
    </row>
    <row r="216" spans="1:13" ht="14">
      <c r="A216" s="2"/>
      <c r="B216" s="2"/>
      <c r="C216" s="2"/>
      <c r="D216" s="2"/>
      <c r="E216" s="2"/>
      <c r="F216" s="2"/>
      <c r="G216" s="14"/>
      <c r="H216" s="3"/>
      <c r="I216" s="2"/>
      <c r="J216" s="2"/>
      <c r="K216" s="2"/>
    </row>
    <row r="217" spans="1:13" ht="14">
      <c r="A217" s="2"/>
      <c r="B217" s="2"/>
      <c r="C217" s="2"/>
      <c r="D217" s="2"/>
      <c r="E217" s="2"/>
      <c r="F217" s="2"/>
      <c r="G217" s="14"/>
      <c r="H217" s="3"/>
      <c r="I217" s="2"/>
      <c r="J217" s="2"/>
      <c r="K217" s="2"/>
    </row>
    <row r="218" spans="1:13" ht="13">
      <c r="A218" s="1"/>
      <c r="B218" s="1"/>
      <c r="C218" s="1"/>
      <c r="D218" s="1"/>
      <c r="E218" s="1"/>
      <c r="F218" s="1"/>
      <c r="G218" s="16"/>
      <c r="H218" s="4"/>
    </row>
    <row r="219" spans="1:13" ht="13">
      <c r="A219" s="1"/>
      <c r="B219" s="1"/>
      <c r="C219" s="1"/>
      <c r="D219" s="1"/>
      <c r="E219" s="1"/>
      <c r="F219" s="1"/>
      <c r="G219" s="16"/>
      <c r="H219" s="4"/>
    </row>
    <row r="220" spans="1:13" ht="13">
      <c r="A220" s="1"/>
      <c r="B220" s="1"/>
      <c r="C220" s="1"/>
      <c r="D220" s="1"/>
      <c r="E220" s="1"/>
      <c r="F220" s="1"/>
      <c r="G220" s="16"/>
      <c r="H220" s="4"/>
    </row>
    <row r="221" spans="1:13" ht="13">
      <c r="A221" s="1"/>
      <c r="B221" s="1"/>
      <c r="C221" s="1"/>
      <c r="D221" s="1"/>
      <c r="E221" s="1"/>
      <c r="F221" s="1"/>
      <c r="G221" s="16"/>
      <c r="H221" s="4"/>
    </row>
    <row r="222" spans="1:13" ht="13">
      <c r="A222" s="1"/>
      <c r="B222" s="1"/>
      <c r="C222" s="1"/>
      <c r="D222" s="1"/>
      <c r="E222" s="1"/>
      <c r="F222" s="1"/>
      <c r="G222" s="16"/>
      <c r="H222" s="4"/>
    </row>
    <row r="223" spans="1:13" ht="13">
      <c r="A223" s="1"/>
      <c r="B223" s="1"/>
      <c r="C223" s="1"/>
      <c r="D223" s="1"/>
      <c r="E223" s="1"/>
      <c r="F223" s="1"/>
      <c r="G223" s="16"/>
      <c r="H223" s="4"/>
    </row>
    <row r="224" spans="1:13" ht="13">
      <c r="A224" s="1"/>
      <c r="B224" s="1"/>
      <c r="C224" s="1"/>
      <c r="D224" s="1"/>
      <c r="E224" s="1"/>
      <c r="F224" s="1"/>
      <c r="G224" s="16"/>
      <c r="H224" s="4"/>
    </row>
    <row r="225" spans="1:8" ht="13">
      <c r="A225" s="1"/>
      <c r="B225" s="1"/>
      <c r="C225" s="1"/>
      <c r="D225" s="1"/>
      <c r="E225" s="1"/>
      <c r="F225" s="1"/>
      <c r="G225" s="16"/>
      <c r="H225" s="4"/>
    </row>
    <row r="226" spans="1:8">
      <c r="H226" s="8"/>
    </row>
    <row r="227" spans="1:8">
      <c r="H227" s="8"/>
    </row>
    <row r="228" spans="1:8">
      <c r="H228" s="8"/>
    </row>
    <row r="229" spans="1:8">
      <c r="H229" s="8"/>
    </row>
    <row r="230" spans="1:8">
      <c r="H230" s="8"/>
    </row>
    <row r="231" spans="1:8">
      <c r="H231" s="8"/>
    </row>
    <row r="232" spans="1:8">
      <c r="H232" s="8"/>
    </row>
    <row r="233" spans="1:8">
      <c r="H233" s="8"/>
    </row>
    <row r="234" spans="1:8">
      <c r="H234" s="8"/>
    </row>
    <row r="235" spans="1:8">
      <c r="H235" s="8"/>
    </row>
    <row r="236" spans="1:8">
      <c r="H236" s="8"/>
    </row>
    <row r="237" spans="1:8">
      <c r="H237" s="8"/>
    </row>
    <row r="238" spans="1:8">
      <c r="H238" s="8"/>
    </row>
    <row r="239" spans="1:8">
      <c r="H239" s="8"/>
    </row>
    <row r="240" spans="1:8">
      <c r="H240" s="8"/>
    </row>
    <row r="241" spans="8:8">
      <c r="H241" s="8"/>
    </row>
    <row r="242" spans="8:8">
      <c r="H242" s="8"/>
    </row>
    <row r="243" spans="8:8">
      <c r="H243" s="8"/>
    </row>
    <row r="244" spans="8:8">
      <c r="H244" s="8"/>
    </row>
    <row r="245" spans="8:8">
      <c r="H245" s="8"/>
    </row>
    <row r="246" spans="8:8">
      <c r="H246" s="8"/>
    </row>
    <row r="247" spans="8:8">
      <c r="H247" s="8"/>
    </row>
    <row r="248" spans="8:8">
      <c r="H248" s="8"/>
    </row>
    <row r="249" spans="8:8">
      <c r="H249" s="8"/>
    </row>
    <row r="250" spans="8:8">
      <c r="H250" s="8"/>
    </row>
    <row r="251" spans="8:8">
      <c r="H251" s="8"/>
    </row>
    <row r="252" spans="8:8">
      <c r="H252" s="8"/>
    </row>
    <row r="253" spans="8:8">
      <c r="H253" s="8"/>
    </row>
    <row r="254" spans="8:8">
      <c r="H254" s="8"/>
    </row>
    <row r="255" spans="8:8">
      <c r="H255" s="8"/>
    </row>
    <row r="256" spans="8:8">
      <c r="H256" s="8"/>
    </row>
    <row r="257" spans="8:8">
      <c r="H257" s="8"/>
    </row>
    <row r="258" spans="8:8">
      <c r="H258" s="8"/>
    </row>
    <row r="259" spans="8:8">
      <c r="H259" s="8"/>
    </row>
    <row r="260" spans="8:8">
      <c r="H260" s="8"/>
    </row>
    <row r="261" spans="8:8">
      <c r="H261" s="8"/>
    </row>
    <row r="262" spans="8:8">
      <c r="H262" s="8"/>
    </row>
    <row r="263" spans="8:8">
      <c r="H263" s="8"/>
    </row>
    <row r="264" spans="8:8">
      <c r="H264" s="8"/>
    </row>
    <row r="265" spans="8:8">
      <c r="H265" s="8"/>
    </row>
    <row r="266" spans="8:8">
      <c r="H266" s="8"/>
    </row>
    <row r="267" spans="8:8">
      <c r="H267" s="8"/>
    </row>
    <row r="268" spans="8:8">
      <c r="H268" s="8"/>
    </row>
    <row r="269" spans="8:8">
      <c r="H269" s="8"/>
    </row>
    <row r="270" spans="8:8">
      <c r="H270" s="8"/>
    </row>
    <row r="271" spans="8:8">
      <c r="H271" s="8"/>
    </row>
    <row r="272" spans="8:8">
      <c r="H272" s="8"/>
    </row>
    <row r="273" spans="8:8">
      <c r="H273" s="8"/>
    </row>
    <row r="274" spans="8:8">
      <c r="H274" s="8"/>
    </row>
    <row r="275" spans="8:8">
      <c r="H275" s="8"/>
    </row>
    <row r="276" spans="8:8">
      <c r="H276" s="8"/>
    </row>
    <row r="277" spans="8:8">
      <c r="H277" s="8"/>
    </row>
    <row r="278" spans="8:8">
      <c r="H278" s="8"/>
    </row>
    <row r="279" spans="8:8">
      <c r="H279" s="8"/>
    </row>
    <row r="280" spans="8:8">
      <c r="H280" s="8"/>
    </row>
    <row r="281" spans="8:8">
      <c r="H281" s="8"/>
    </row>
    <row r="282" spans="8:8">
      <c r="H282" s="8"/>
    </row>
    <row r="283" spans="8:8">
      <c r="H283" s="8"/>
    </row>
    <row r="284" spans="8:8">
      <c r="H284" s="8"/>
    </row>
    <row r="285" spans="8:8">
      <c r="H285" s="8"/>
    </row>
    <row r="286" spans="8:8">
      <c r="H286" s="8"/>
    </row>
    <row r="287" spans="8:8">
      <c r="H287" s="8"/>
    </row>
    <row r="288" spans="8:8">
      <c r="H288" s="8"/>
    </row>
    <row r="289" spans="8:8">
      <c r="H289" s="8"/>
    </row>
    <row r="290" spans="8:8">
      <c r="H290" s="8"/>
    </row>
    <row r="291" spans="8:8">
      <c r="H291" s="8"/>
    </row>
    <row r="292" spans="8:8">
      <c r="H292" s="8"/>
    </row>
    <row r="293" spans="8:8">
      <c r="H293" s="8"/>
    </row>
    <row r="294" spans="8:8">
      <c r="H294" s="8"/>
    </row>
    <row r="295" spans="8:8">
      <c r="H295" s="8"/>
    </row>
    <row r="296" spans="8:8">
      <c r="H296" s="8"/>
    </row>
    <row r="297" spans="8:8">
      <c r="H297" s="8"/>
    </row>
    <row r="298" spans="8:8">
      <c r="H298" s="8"/>
    </row>
    <row r="299" spans="8:8">
      <c r="H299" s="8"/>
    </row>
    <row r="300" spans="8:8">
      <c r="H300" s="8"/>
    </row>
    <row r="301" spans="8:8">
      <c r="H301" s="8"/>
    </row>
    <row r="302" spans="8:8">
      <c r="H302" s="8"/>
    </row>
    <row r="303" spans="8:8">
      <c r="H303" s="8"/>
    </row>
    <row r="304" spans="8:8">
      <c r="H304" s="8"/>
    </row>
    <row r="305" spans="8:8">
      <c r="H305" s="8"/>
    </row>
    <row r="306" spans="8:8">
      <c r="H306" s="8"/>
    </row>
    <row r="307" spans="8:8">
      <c r="H307" s="8"/>
    </row>
    <row r="308" spans="8:8">
      <c r="H308" s="8"/>
    </row>
    <row r="309" spans="8:8">
      <c r="H309" s="8"/>
    </row>
    <row r="310" spans="8:8">
      <c r="H310" s="8"/>
    </row>
    <row r="311" spans="8:8">
      <c r="H311" s="8"/>
    </row>
    <row r="312" spans="8:8">
      <c r="H312" s="8"/>
    </row>
    <row r="313" spans="8:8">
      <c r="H313" s="8"/>
    </row>
    <row r="314" spans="8:8">
      <c r="H314" s="8"/>
    </row>
    <row r="315" spans="8:8">
      <c r="H315" s="8"/>
    </row>
    <row r="316" spans="8:8">
      <c r="H316" s="8"/>
    </row>
    <row r="317" spans="8:8">
      <c r="H317" s="8"/>
    </row>
    <row r="318" spans="8:8">
      <c r="H318" s="8"/>
    </row>
    <row r="319" spans="8:8">
      <c r="H319" s="8"/>
    </row>
    <row r="320" spans="8:8">
      <c r="H320" s="8"/>
    </row>
    <row r="321" spans="8:8">
      <c r="H321" s="8"/>
    </row>
    <row r="322" spans="8:8">
      <c r="H322" s="8"/>
    </row>
    <row r="323" spans="8:8">
      <c r="H323" s="8"/>
    </row>
    <row r="324" spans="8:8">
      <c r="H324" s="8"/>
    </row>
    <row r="325" spans="8:8">
      <c r="H325" s="8"/>
    </row>
    <row r="326" spans="8:8">
      <c r="H326" s="8"/>
    </row>
    <row r="327" spans="8:8">
      <c r="H327" s="8"/>
    </row>
    <row r="328" spans="8:8">
      <c r="H328" s="8"/>
    </row>
    <row r="329" spans="8:8">
      <c r="H329" s="8"/>
    </row>
    <row r="330" spans="8:8">
      <c r="H330" s="8"/>
    </row>
    <row r="331" spans="8:8">
      <c r="H331" s="8"/>
    </row>
    <row r="332" spans="8:8">
      <c r="H332" s="8"/>
    </row>
    <row r="333" spans="8:8">
      <c r="H333" s="8"/>
    </row>
    <row r="334" spans="8:8">
      <c r="H334" s="8"/>
    </row>
    <row r="335" spans="8:8">
      <c r="H335" s="8"/>
    </row>
    <row r="336" spans="8:8">
      <c r="H336" s="8"/>
    </row>
    <row r="337" spans="8:8">
      <c r="H337" s="8"/>
    </row>
    <row r="338" spans="8:8">
      <c r="H338" s="8"/>
    </row>
    <row r="339" spans="8:8">
      <c r="H339" s="8"/>
    </row>
    <row r="340" spans="8:8">
      <c r="H340" s="8"/>
    </row>
    <row r="341" spans="8:8">
      <c r="H341" s="8"/>
    </row>
    <row r="342" spans="8:8">
      <c r="H342" s="8"/>
    </row>
    <row r="343" spans="8:8">
      <c r="H343" s="8"/>
    </row>
    <row r="344" spans="8:8">
      <c r="H344" s="8"/>
    </row>
    <row r="345" spans="8:8">
      <c r="H345" s="8"/>
    </row>
    <row r="346" spans="8:8">
      <c r="H346" s="8"/>
    </row>
    <row r="347" spans="8:8">
      <c r="H347" s="8"/>
    </row>
    <row r="348" spans="8:8">
      <c r="H348" s="8"/>
    </row>
    <row r="349" spans="8:8">
      <c r="H349" s="8"/>
    </row>
    <row r="350" spans="8:8">
      <c r="H350" s="8"/>
    </row>
    <row r="351" spans="8:8">
      <c r="H351" s="8"/>
    </row>
    <row r="352" spans="8:8">
      <c r="H352" s="8"/>
    </row>
    <row r="353" spans="8:8">
      <c r="H353" s="8"/>
    </row>
    <row r="354" spans="8:8">
      <c r="H354" s="8"/>
    </row>
    <row r="355" spans="8:8">
      <c r="H355" s="8"/>
    </row>
    <row r="356" spans="8:8">
      <c r="H356" s="8"/>
    </row>
    <row r="357" spans="8:8">
      <c r="H357" s="8"/>
    </row>
    <row r="358" spans="8:8">
      <c r="H358" s="8"/>
    </row>
    <row r="359" spans="8:8">
      <c r="H359" s="8"/>
    </row>
    <row r="360" spans="8:8">
      <c r="H360" s="8"/>
    </row>
    <row r="361" spans="8:8">
      <c r="H361" s="8"/>
    </row>
    <row r="362" spans="8:8">
      <c r="H362" s="8"/>
    </row>
  </sheetData>
  <pageMargins left="0.75" right="0.75" top="0.5" bottom="0.5" header="0.5" footer="0.5"/>
  <pageSetup orientation="portrait" horizontalDpi="300" verticalDpi="300" r:id="rId1"/>
  <headerFooter alignWithMargins="0">
    <oddHeader xml:space="preserve">&amp;C&amp;"CG Times,Regular"&amp;11
</oddHeader>
  </headerFooter>
  <rowBreaks count="1" manualBreakCount="1">
    <brk id="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topLeftCell="E1" workbookViewId="0">
      <selection activeCell="M36" sqref="M36"/>
    </sheetView>
  </sheetViews>
  <sheetFormatPr defaultRowHeight="12.5"/>
  <cols>
    <col min="1" max="1" width="5.26953125" bestFit="1" customWidth="1"/>
    <col min="2" max="2" width="5.1796875" bestFit="1" customWidth="1"/>
    <col min="4" max="4" width="13.26953125" customWidth="1"/>
    <col min="5" max="5" width="4.81640625" bestFit="1" customWidth="1"/>
    <col min="6" max="6" width="4" bestFit="1" customWidth="1"/>
    <col min="7" max="7" width="8" bestFit="1" customWidth="1"/>
    <col min="8" max="8" width="4.1796875" bestFit="1" customWidth="1"/>
    <col min="9" max="9" width="5" bestFit="1" customWidth="1"/>
    <col min="12" max="12" width="8.81640625" customWidth="1"/>
    <col min="13" max="13" width="5.26953125" bestFit="1" customWidth="1"/>
    <col min="14" max="14" width="7.81640625" bestFit="1" customWidth="1"/>
    <col min="15" max="15" width="7.26953125" bestFit="1" customWidth="1"/>
    <col min="16" max="16" width="5" bestFit="1" customWidth="1"/>
    <col min="17" max="17" width="8.26953125" bestFit="1" customWidth="1"/>
    <col min="18" max="18" width="8" bestFit="1" customWidth="1"/>
    <col min="19" max="19" width="7.7265625" bestFit="1" customWidth="1"/>
    <col min="20" max="20" width="6" bestFit="1" customWidth="1"/>
  </cols>
  <sheetData>
    <row r="1" spans="1:20">
      <c r="A1" t="s">
        <v>41</v>
      </c>
      <c r="B1" t="s">
        <v>42</v>
      </c>
      <c r="C1" t="s">
        <v>30</v>
      </c>
      <c r="D1" t="s">
        <v>43</v>
      </c>
      <c r="E1" t="s">
        <v>44</v>
      </c>
      <c r="F1" t="s">
        <v>54</v>
      </c>
      <c r="G1" t="s">
        <v>45</v>
      </c>
      <c r="H1" t="s">
        <v>46</v>
      </c>
      <c r="J1">
        <v>2167.56</v>
      </c>
      <c r="K1">
        <v>500</v>
      </c>
      <c r="M1" t="s">
        <v>41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</row>
    <row r="2" spans="1:20">
      <c r="A2">
        <v>1195</v>
      </c>
      <c r="C2">
        <v>50</v>
      </c>
      <c r="E2">
        <v>349</v>
      </c>
      <c r="F2">
        <v>500</v>
      </c>
      <c r="G2">
        <v>10</v>
      </c>
      <c r="H2">
        <v>10</v>
      </c>
      <c r="J2">
        <v>1195</v>
      </c>
      <c r="K2">
        <v>60.19</v>
      </c>
      <c r="M2">
        <v>540</v>
      </c>
      <c r="N2">
        <v>61.91</v>
      </c>
      <c r="O2">
        <v>25</v>
      </c>
      <c r="P2">
        <v>500</v>
      </c>
      <c r="Q2">
        <v>100</v>
      </c>
      <c r="R2">
        <v>200</v>
      </c>
      <c r="S2">
        <v>25</v>
      </c>
      <c r="T2">
        <v>36.94</v>
      </c>
    </row>
    <row r="3" spans="1:20">
      <c r="A3">
        <v>250</v>
      </c>
      <c r="H3">
        <v>120</v>
      </c>
      <c r="J3">
        <v>250</v>
      </c>
      <c r="K3">
        <v>540</v>
      </c>
      <c r="M3">
        <v>220</v>
      </c>
      <c r="N3">
        <v>73.53</v>
      </c>
      <c r="O3">
        <v>500</v>
      </c>
      <c r="P3">
        <v>35</v>
      </c>
      <c r="R3">
        <v>172.1</v>
      </c>
    </row>
    <row r="4" spans="1:20">
      <c r="A4">
        <v>90</v>
      </c>
      <c r="J4">
        <v>500</v>
      </c>
      <c r="K4">
        <v>25</v>
      </c>
      <c r="M4">
        <v>170</v>
      </c>
      <c r="N4">
        <v>48.13</v>
      </c>
      <c r="O4">
        <v>25</v>
      </c>
      <c r="R4">
        <v>1029.9100000000001</v>
      </c>
    </row>
    <row r="5" spans="1:20">
      <c r="A5">
        <v>245</v>
      </c>
      <c r="J5">
        <v>90</v>
      </c>
      <c r="K5">
        <v>220</v>
      </c>
      <c r="M5">
        <v>90</v>
      </c>
      <c r="N5">
        <v>44.83</v>
      </c>
      <c r="O5">
        <v>50</v>
      </c>
    </row>
    <row r="6" spans="1:20">
      <c r="A6">
        <v>80</v>
      </c>
      <c r="J6">
        <v>10</v>
      </c>
      <c r="K6">
        <v>500</v>
      </c>
      <c r="M6">
        <v>130</v>
      </c>
      <c r="N6">
        <v>18.84</v>
      </c>
      <c r="O6">
        <v>25</v>
      </c>
    </row>
    <row r="7" spans="1:20">
      <c r="A7">
        <v>70</v>
      </c>
      <c r="J7">
        <v>245</v>
      </c>
      <c r="K7">
        <v>61.91</v>
      </c>
      <c r="M7">
        <v>50</v>
      </c>
      <c r="N7">
        <v>60.19</v>
      </c>
    </row>
    <row r="8" spans="1:20">
      <c r="A8">
        <v>260</v>
      </c>
      <c r="J8">
        <v>80</v>
      </c>
      <c r="K8">
        <v>170</v>
      </c>
      <c r="M8">
        <v>100</v>
      </c>
    </row>
    <row r="9" spans="1:20">
      <c r="A9">
        <v>290</v>
      </c>
      <c r="J9">
        <v>70</v>
      </c>
      <c r="K9">
        <v>90</v>
      </c>
      <c r="M9">
        <v>20</v>
      </c>
    </row>
    <row r="10" spans="1:20">
      <c r="A10">
        <v>160</v>
      </c>
      <c r="J10">
        <v>260</v>
      </c>
      <c r="K10">
        <v>130</v>
      </c>
      <c r="M10">
        <v>160</v>
      </c>
    </row>
    <row r="11" spans="1:20">
      <c r="A11">
        <v>60</v>
      </c>
      <c r="J11">
        <v>50</v>
      </c>
      <c r="K11">
        <v>50</v>
      </c>
      <c r="M11">
        <v>260</v>
      </c>
    </row>
    <row r="12" spans="1:20">
      <c r="A12">
        <v>120</v>
      </c>
      <c r="J12">
        <v>290</v>
      </c>
      <c r="K12">
        <v>25</v>
      </c>
      <c r="M12">
        <v>50</v>
      </c>
    </row>
    <row r="13" spans="1:20">
      <c r="A13">
        <v>1200</v>
      </c>
      <c r="J13">
        <v>160</v>
      </c>
      <c r="K13">
        <v>100</v>
      </c>
      <c r="M13">
        <v>220</v>
      </c>
    </row>
    <row r="14" spans="1:20">
      <c r="A14">
        <v>120</v>
      </c>
      <c r="J14">
        <v>60</v>
      </c>
      <c r="K14">
        <v>200</v>
      </c>
      <c r="M14">
        <v>1090</v>
      </c>
    </row>
    <row r="15" spans="1:20">
      <c r="A15">
        <v>120</v>
      </c>
      <c r="J15">
        <v>120</v>
      </c>
      <c r="K15">
        <v>100</v>
      </c>
      <c r="M15">
        <v>120</v>
      </c>
    </row>
    <row r="16" spans="1:20">
      <c r="A16">
        <v>80</v>
      </c>
      <c r="J16">
        <v>1200</v>
      </c>
      <c r="K16">
        <v>20</v>
      </c>
      <c r="M16">
        <v>120</v>
      </c>
    </row>
    <row r="17" spans="1:11">
      <c r="A17">
        <v>200</v>
      </c>
      <c r="J17">
        <v>120</v>
      </c>
      <c r="K17">
        <v>25</v>
      </c>
    </row>
    <row r="18" spans="1:11">
      <c r="A18">
        <v>60</v>
      </c>
      <c r="J18">
        <v>349</v>
      </c>
      <c r="K18">
        <v>73.53</v>
      </c>
    </row>
    <row r="19" spans="1:11">
      <c r="A19">
        <v>70</v>
      </c>
      <c r="J19">
        <v>120</v>
      </c>
      <c r="K19">
        <v>50</v>
      </c>
    </row>
    <row r="20" spans="1:11">
      <c r="A20">
        <v>20</v>
      </c>
      <c r="J20">
        <v>80</v>
      </c>
      <c r="K20">
        <v>160</v>
      </c>
    </row>
    <row r="21" spans="1:11">
      <c r="A21">
        <v>40</v>
      </c>
      <c r="J21">
        <v>200</v>
      </c>
      <c r="K21">
        <v>260</v>
      </c>
    </row>
    <row r="22" spans="1:11">
      <c r="J22">
        <v>10</v>
      </c>
      <c r="K22">
        <v>48.13</v>
      </c>
    </row>
    <row r="23" spans="1:11">
      <c r="A23">
        <f>SUM(A2:A22)</f>
        <v>4730</v>
      </c>
      <c r="B23">
        <f t="shared" ref="B23:H23" si="0">SUM(B2:B22)</f>
        <v>0</v>
      </c>
      <c r="C23">
        <f>SUM(C2:C22)</f>
        <v>50</v>
      </c>
      <c r="D23">
        <f t="shared" si="0"/>
        <v>0</v>
      </c>
      <c r="E23">
        <f t="shared" si="0"/>
        <v>349</v>
      </c>
      <c r="F23">
        <f>SUM(F2:F22)</f>
        <v>500</v>
      </c>
      <c r="G23">
        <f>SUM(G2:G22)</f>
        <v>10</v>
      </c>
      <c r="H23">
        <f t="shared" si="0"/>
        <v>130</v>
      </c>
      <c r="I23">
        <f>SUM(A23:H23)</f>
        <v>5769</v>
      </c>
      <c r="J23">
        <v>60</v>
      </c>
      <c r="K23">
        <v>172.1</v>
      </c>
    </row>
    <row r="24" spans="1:11">
      <c r="J24">
        <v>70</v>
      </c>
      <c r="K24">
        <v>1029.9100000000001</v>
      </c>
    </row>
    <row r="25" spans="1:11">
      <c r="J25">
        <v>120</v>
      </c>
      <c r="K25">
        <v>50</v>
      </c>
    </row>
    <row r="26" spans="1:11">
      <c r="J26">
        <v>20</v>
      </c>
      <c r="K26">
        <v>220</v>
      </c>
    </row>
    <row r="27" spans="1:11">
      <c r="J27">
        <v>40</v>
      </c>
      <c r="K27">
        <v>25</v>
      </c>
    </row>
    <row r="28" spans="1:11">
      <c r="K28">
        <v>36.94</v>
      </c>
    </row>
    <row r="29" spans="1:11">
      <c r="K29">
        <v>1090</v>
      </c>
    </row>
    <row r="30" spans="1:11">
      <c r="K30">
        <v>120</v>
      </c>
    </row>
    <row r="31" spans="1:11">
      <c r="K31">
        <v>44.83</v>
      </c>
    </row>
    <row r="32" spans="1:11">
      <c r="K32">
        <v>35</v>
      </c>
    </row>
    <row r="33" spans="10:21">
      <c r="K33">
        <v>18.84</v>
      </c>
    </row>
    <row r="34" spans="10:21">
      <c r="K34">
        <v>120</v>
      </c>
    </row>
    <row r="36" spans="10:21">
      <c r="J36">
        <f>SUM(J1:J35)</f>
        <v>7936.5599999999995</v>
      </c>
      <c r="K36">
        <f>SUM(K1:K35)</f>
        <v>6371.38</v>
      </c>
      <c r="L36">
        <f>J36-K36</f>
        <v>1565.1799999999994</v>
      </c>
      <c r="M36">
        <f t="shared" ref="M36:T36" si="1">SUM(M1:M35)</f>
        <v>3340</v>
      </c>
      <c r="N36">
        <f t="shared" si="1"/>
        <v>307.42999999999995</v>
      </c>
      <c r="O36">
        <f t="shared" si="1"/>
        <v>625</v>
      </c>
      <c r="P36">
        <f t="shared" si="1"/>
        <v>535</v>
      </c>
      <c r="Q36">
        <f t="shared" si="1"/>
        <v>100</v>
      </c>
      <c r="R36">
        <f t="shared" si="1"/>
        <v>1402.0100000000002</v>
      </c>
      <c r="S36">
        <f t="shared" si="1"/>
        <v>25</v>
      </c>
      <c r="T36">
        <f t="shared" si="1"/>
        <v>36.94</v>
      </c>
      <c r="U36">
        <f>SUM(M36:T36)</f>
        <v>6371.38</v>
      </c>
    </row>
    <row r="37" spans="10:21">
      <c r="J37">
        <f>SUM(J2:J35)</f>
        <v>5769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Andersen, Horie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</dc:creator>
  <cp:lastModifiedBy>Carina Negreanu</cp:lastModifiedBy>
  <cp:lastPrinted>2003-12-10T21:23:21Z</cp:lastPrinted>
  <dcterms:created xsi:type="dcterms:W3CDTF">1999-11-23T18:45:20Z</dcterms:created>
  <dcterms:modified xsi:type="dcterms:W3CDTF">2020-01-27T12:51:39Z</dcterms:modified>
</cp:coreProperties>
</file>