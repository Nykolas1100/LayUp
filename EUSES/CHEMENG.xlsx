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88FCCB-38DA-4752-A677-DC344C0CFB52}" xr6:coauthVersionLast="45" xr6:coauthVersionMax="45" xr10:uidLastSave="{00000000-0000-0000-0000-000000000000}"/>
  <bookViews>
    <workbookView visibility="hidden" xWindow="3420" yWindow="3420" windowWidth="28800" windowHeight="15460" firstSheet="2" activeTab="2"/>
  </bookViews>
  <sheets>
    <sheet name="Flowsheet" sheetId="1" r:id="rId1"/>
    <sheet name="Flash" sheetId="2" r:id="rId2"/>
    <sheet name="Interp" sheetId="3" r:id="rId3"/>
    <sheet name="Regress" sheetId="4" r:id="rId4"/>
    <sheet name="Eqn. Solve" sheetId="5" r:id="rId5"/>
    <sheet name="Index" sheetId="7" r:id="rId6"/>
  </sheets>
  <definedNames>
    <definedName name="BASIS">Flowsheet!$H$1</definedName>
    <definedName name="CONV">Flowsheet!$H$2</definedName>
    <definedName name="CONVERGE">#REF!</definedName>
    <definedName name="EXITP">Flowsheet!$H$18</definedName>
    <definedName name="EXITR1">Flowsheet!$H$15</definedName>
    <definedName name="EXITR2">Flowsheet!$H$16</definedName>
    <definedName name="EXITR3">Flowsheet!$H$17</definedName>
    <definedName name="FEEDR1">Flowsheet!$H$6</definedName>
    <definedName name="FEEDR2">Flowsheet!$H$7</definedName>
    <definedName name="FEEDR3">Flowsheet!$H$8</definedName>
    <definedName name="GOAL">Flowsheet!$C$19</definedName>
    <definedName name="HIGHINDEX">Interp!$G$6</definedName>
    <definedName name="HIGHK">Interp!$G$12</definedName>
    <definedName name="HIGHTEMP">Interp!$G$9</definedName>
    <definedName name="INERTS">Flowsheet!$C$17</definedName>
    <definedName name="INLETP">'Eqn. Solve'!$F$5</definedName>
    <definedName name="INLETR1">'Eqn. Solve'!$F$2</definedName>
    <definedName name="INLETR2">'Eqn. Solve'!$F$3</definedName>
    <definedName name="INLETR3">'Eqn. Solve'!$F$4</definedName>
    <definedName name="KEQ">Flowsheet!$E$3</definedName>
    <definedName name="KNOB">Flowsheet!$C$21</definedName>
    <definedName name="KP">Flash!$C$6</definedName>
    <definedName name="_KR1">Flash!$C$3</definedName>
    <definedName name="_KR2">Flash!$C$4</definedName>
    <definedName name="_KR3">Flash!$C$5</definedName>
    <definedName name="KTABLE">Interp!$B$3:$C$11</definedName>
    <definedName name="LININTERP">Interp!$G$14</definedName>
    <definedName name="LIQP">Flash!$E$34</definedName>
    <definedName name="LIQR1">Flash!$E$31</definedName>
    <definedName name="LIQR2">Flash!$E$32</definedName>
    <definedName name="LIQR3">Flash!$E$33</definedName>
    <definedName name="LOGINTERP">Interp!$G$15</definedName>
    <definedName name="LOWINDEX">Interp!$G$5</definedName>
    <definedName name="LOWK">Interp!$G$11</definedName>
    <definedName name="LOWTEMP">Interp!$G$8</definedName>
    <definedName name="NEWCONV">'Eqn. Solve'!$M$37</definedName>
    <definedName name="OLDCONV">'Eqn. Solve'!$M$35</definedName>
    <definedName name="PRES">Flowsheet!$J$7</definedName>
    <definedName name="PURITY">Flowsheet!$H$3</definedName>
    <definedName name="PURP">Flowsheet!$C$15</definedName>
    <definedName name="PURR1">Flowsheet!$C$12</definedName>
    <definedName name="PURR2">Flowsheet!$C$13</definedName>
    <definedName name="PURR3">Flowsheet!$C$14</definedName>
    <definedName name="RECYP">Flowsheet!$E$18</definedName>
    <definedName name="RECYR1">Flowsheet!$E$15</definedName>
    <definedName name="RECYR2">Flowsheet!$E$16</definedName>
    <definedName name="RECYR3">Flowsheet!$E$17</definedName>
    <definedName name="SELECT">Flowsheet!$E$2</definedName>
    <definedName name="SENS">Flowsheet!$J$8</definedName>
    <definedName name="SOLUTION">'Eqn. Solve'!$M$38</definedName>
    <definedName name="solver_adj" localSheetId="4" hidden="1">'Eqn. Solve'!$J$5</definedName>
    <definedName name="solver_adj" localSheetId="1" hidden="1">Flash!$D$9</definedName>
    <definedName name="solver_lhs1" localSheetId="4" hidden="1">'Eqn. Solve'!$J$5</definedName>
    <definedName name="solver_lhs1" localSheetId="1" hidden="1">Flash!$D$9</definedName>
    <definedName name="solver_lhs2" localSheetId="4" hidden="1">'Eqn. Solve'!$J$5</definedName>
    <definedName name="solver_lhs2" localSheetId="1" hidden="1">Flash!$D$9</definedName>
    <definedName name="solver_lin" localSheetId="4" hidden="1">0</definedName>
    <definedName name="solver_lin" localSheetId="1" hidden="1">0</definedName>
    <definedName name="solver_num" localSheetId="4" hidden="1">2</definedName>
    <definedName name="solver_num" localSheetId="1" hidden="1">2</definedName>
    <definedName name="solver_opt" localSheetId="4" hidden="1">'Eqn. Solve'!$L$9</definedName>
    <definedName name="solver_opt" localSheetId="1" hidden="1">Flash!$E$9</definedName>
    <definedName name="solver_rel1" localSheetId="4" hidden="1">3</definedName>
    <definedName name="solver_rel1" localSheetId="1" hidden="1">1</definedName>
    <definedName name="solver_rel2" localSheetId="4" hidden="1">1</definedName>
    <definedName name="solver_rel2" localSheetId="1" hidden="1">3</definedName>
    <definedName name="solver_rhs1" localSheetId="4" hidden="1">0</definedName>
    <definedName name="solver_rhs1" localSheetId="1" hidden="1">1</definedName>
    <definedName name="solver_rhs2" localSheetId="4" hidden="1">135</definedName>
    <definedName name="solver_rhs2" localSheetId="1" hidden="1">0</definedName>
    <definedName name="solver_tmp" localSheetId="4" hidden="1">0</definedName>
    <definedName name="solver_tmp" localSheetId="1" hidden="1">0</definedName>
    <definedName name="solver_typ" localSheetId="4" hidden="1">3</definedName>
    <definedName name="solver_typ" localSheetId="1" hidden="1">3</definedName>
    <definedName name="solver_val" localSheetId="4" hidden="1">0</definedName>
    <definedName name="solver_val" localSheetId="1" hidden="1">0</definedName>
    <definedName name="TABLE1">Interp!$A$3:$C$11</definedName>
    <definedName name="TABLE2">Interp!$B$3:$D$11</definedName>
    <definedName name="TEMP">Flowsheet!$J$6</definedName>
    <definedName name="TOTFED">Flash!$F$35</definedName>
    <definedName name="TOTL">Flash!$E$35</definedName>
    <definedName name="TOTV">Flash!$D$35</definedName>
    <definedName name="TOTX">Flash!$C$35</definedName>
    <definedName name="TOTY">Flash!$B$35</definedName>
    <definedName name="TTEMP">Interp!$G$3</definedName>
    <definedName name="VAPP">Flash!$D$34</definedName>
    <definedName name="VAPR1">Flash!$D$31</definedName>
    <definedName name="VAPR2">Flash!$D$32</definedName>
    <definedName name="VAPR3">Flash!$D$33</definedName>
    <definedName name="XP">Flash!$C$34</definedName>
    <definedName name="_XR1">Flash!$C$31</definedName>
    <definedName name="_XR2">Flash!$C$32</definedName>
    <definedName name="_XR3">Flash!$C$33</definedName>
    <definedName name="XSR2">Flowsheet!$H$4</definedName>
    <definedName name="YP">Flash!$B$34</definedName>
    <definedName name="_YR1">Flash!$B$31</definedName>
    <definedName name="_YR2">Flash!$B$32</definedName>
    <definedName name="_YR3">Flash!$B$33</definedName>
    <definedName name="ZP">Flash!$B$6</definedName>
    <definedName name="_ZR1">Flash!$B$3</definedName>
    <definedName name="_ZR2">Flash!$B$4</definedName>
    <definedName name="_ZR3">Flash!$B$5</definedName>
  </definedNames>
  <calcPr calcId="0" iterate="1" iterateCount="1" iterateDelta="1E-4"/>
</workbook>
</file>

<file path=xl/calcChain.xml><?xml version="1.0" encoding="utf-8"?>
<calcChain xmlns="http://schemas.openxmlformats.org/spreadsheetml/2006/main">
  <c r="F7" i="5" l="1"/>
  <c r="E3" i="1"/>
  <c r="A6" i="1"/>
  <c r="H6" i="1"/>
  <c r="H8" i="1"/>
  <c r="I10" i="1"/>
  <c r="I11" i="1"/>
  <c r="G3" i="3"/>
  <c r="G5" i="3"/>
  <c r="G6" i="3"/>
  <c r="G8" i="3"/>
  <c r="G9" i="3"/>
  <c r="G11" i="3"/>
  <c r="G12" i="3"/>
  <c r="G14" i="3"/>
  <c r="G15" i="3"/>
  <c r="M25" i="3"/>
  <c r="N25" i="3"/>
  <c r="P25" i="3"/>
  <c r="M26" i="3"/>
  <c r="N26" i="3"/>
  <c r="P26" i="3"/>
  <c r="M27" i="3"/>
  <c r="N27" i="3"/>
  <c r="P27" i="3"/>
  <c r="M28" i="3"/>
  <c r="N28" i="3"/>
  <c r="P28" i="3"/>
  <c r="M29" i="3"/>
  <c r="N29" i="3"/>
  <c r="P29" i="3"/>
  <c r="M30" i="3"/>
  <c r="N30" i="3"/>
  <c r="P30" i="3"/>
  <c r="M31" i="3"/>
  <c r="N31" i="3"/>
  <c r="P31" i="3"/>
  <c r="M32" i="3"/>
  <c r="N32" i="3"/>
  <c r="P32" i="3"/>
  <c r="M33" i="3"/>
  <c r="N33" i="3"/>
  <c r="P33" i="3"/>
  <c r="F2" i="5"/>
  <c r="F3" i="5"/>
  <c r="F4" i="5"/>
  <c r="F5" i="5"/>
  <c r="H9" i="5"/>
  <c r="I9" i="5"/>
  <c r="J9" i="5"/>
  <c r="K9" i="5"/>
  <c r="L9" i="5"/>
  <c r="G10" i="5"/>
  <c r="H10" i="5"/>
  <c r="I10" i="5"/>
  <c r="J10" i="5"/>
  <c r="K10" i="5"/>
  <c r="L10" i="5"/>
  <c r="G11" i="5"/>
  <c r="H11" i="5"/>
  <c r="I11" i="5"/>
  <c r="J11" i="5"/>
  <c r="K11" i="5"/>
  <c r="L11" i="5"/>
  <c r="G12" i="5"/>
  <c r="H12" i="5"/>
  <c r="I12" i="5"/>
  <c r="J12" i="5"/>
  <c r="K12" i="5"/>
  <c r="L12" i="5"/>
  <c r="G13" i="5"/>
  <c r="H13" i="5"/>
  <c r="I13" i="5"/>
  <c r="J13" i="5"/>
  <c r="K13" i="5"/>
  <c r="L13" i="5"/>
  <c r="G14" i="5"/>
  <c r="H14" i="5"/>
  <c r="I14" i="5"/>
  <c r="J14" i="5"/>
  <c r="K14" i="5"/>
  <c r="L14" i="5"/>
  <c r="G15" i="5"/>
  <c r="H15" i="5"/>
  <c r="I15" i="5"/>
  <c r="J15" i="5"/>
  <c r="K15" i="5"/>
  <c r="L15" i="5"/>
  <c r="G16" i="5"/>
  <c r="H16" i="5"/>
  <c r="I16" i="5"/>
  <c r="J16" i="5"/>
  <c r="K16" i="5"/>
  <c r="L16" i="5"/>
  <c r="G17" i="5"/>
  <c r="H17" i="5"/>
  <c r="I17" i="5"/>
  <c r="J17" i="5"/>
  <c r="K17" i="5"/>
  <c r="L17" i="5"/>
  <c r="G18" i="5"/>
  <c r="H18" i="5"/>
  <c r="I18" i="5"/>
  <c r="J18" i="5"/>
  <c r="K18" i="5"/>
  <c r="L18" i="5"/>
  <c r="G19" i="5"/>
  <c r="H19" i="5"/>
  <c r="I19" i="5"/>
  <c r="J19" i="5"/>
  <c r="K19" i="5"/>
  <c r="L19" i="5"/>
  <c r="G20" i="5"/>
  <c r="H20" i="5"/>
  <c r="I20" i="5"/>
  <c r="J20" i="5"/>
  <c r="K20" i="5"/>
  <c r="L20" i="5"/>
  <c r="G21" i="5"/>
  <c r="H21" i="5"/>
  <c r="I21" i="5"/>
  <c r="J21" i="5"/>
  <c r="K21" i="5"/>
  <c r="L21" i="5"/>
  <c r="G22" i="5"/>
  <c r="H22" i="5"/>
  <c r="I22" i="5"/>
  <c r="J22" i="5"/>
  <c r="K22" i="5"/>
  <c r="L22" i="5"/>
  <c r="G23" i="5"/>
  <c r="H23" i="5"/>
  <c r="I23" i="5"/>
  <c r="J23" i="5"/>
  <c r="K23" i="5"/>
  <c r="L23" i="5"/>
  <c r="G24" i="5"/>
  <c r="H24" i="5"/>
  <c r="I24" i="5"/>
  <c r="J24" i="5"/>
  <c r="K24" i="5"/>
  <c r="L24" i="5"/>
  <c r="G25" i="5"/>
  <c r="H25" i="5"/>
  <c r="I25" i="5"/>
  <c r="J25" i="5"/>
  <c r="K25" i="5"/>
  <c r="L25" i="5"/>
  <c r="G26" i="5"/>
  <c r="H26" i="5"/>
  <c r="I26" i="5"/>
  <c r="J26" i="5"/>
  <c r="K26" i="5"/>
  <c r="L26" i="5"/>
  <c r="G27" i="5"/>
  <c r="H27" i="5"/>
  <c r="I27" i="5"/>
  <c r="J27" i="5"/>
  <c r="K27" i="5"/>
  <c r="L27" i="5"/>
  <c r="G28" i="5"/>
  <c r="H28" i="5"/>
  <c r="I28" i="5"/>
  <c r="J28" i="5"/>
  <c r="K28" i="5"/>
  <c r="L28" i="5"/>
  <c r="G29" i="5"/>
  <c r="H29" i="5"/>
  <c r="I29" i="5"/>
  <c r="J29" i="5"/>
  <c r="K29" i="5"/>
  <c r="L29" i="5"/>
  <c r="G30" i="5"/>
  <c r="H30" i="5"/>
  <c r="I30" i="5"/>
  <c r="J30" i="5"/>
  <c r="K30" i="5"/>
  <c r="L30" i="5"/>
  <c r="G31" i="5"/>
  <c r="H31" i="5"/>
  <c r="I31" i="5"/>
  <c r="J31" i="5"/>
  <c r="K31" i="5"/>
  <c r="L31" i="5"/>
  <c r="G32" i="5"/>
  <c r="H32" i="5"/>
  <c r="I32" i="5"/>
  <c r="J32" i="5"/>
  <c r="K32" i="5"/>
  <c r="L32" i="5"/>
  <c r="G33" i="5"/>
  <c r="H33" i="5"/>
  <c r="I33" i="5"/>
  <c r="J33" i="5"/>
  <c r="K33" i="5"/>
  <c r="L33" i="5"/>
  <c r="M35" i="5"/>
  <c r="M36" i="5"/>
  <c r="M37" i="5"/>
  <c r="M38" i="5"/>
  <c r="B3" i="2"/>
  <c r="B4" i="2"/>
  <c r="B5" i="2"/>
  <c r="B6" i="2"/>
  <c r="B7" i="2"/>
  <c r="E9" i="2"/>
  <c r="G9" i="2"/>
  <c r="H9" i="2"/>
  <c r="I9" i="2"/>
  <c r="D10" i="2"/>
  <c r="E10" i="2"/>
  <c r="F10" i="2"/>
  <c r="G10" i="2"/>
  <c r="H10" i="2"/>
  <c r="I10" i="2"/>
  <c r="D11" i="2"/>
  <c r="E11" i="2"/>
  <c r="F11" i="2"/>
  <c r="G11" i="2"/>
  <c r="H11" i="2"/>
  <c r="I11" i="2"/>
  <c r="D12" i="2"/>
  <c r="E12" i="2"/>
  <c r="F12" i="2"/>
  <c r="G12" i="2"/>
  <c r="H12" i="2"/>
  <c r="I12" i="2"/>
  <c r="D13" i="2"/>
  <c r="E13" i="2"/>
  <c r="F13" i="2"/>
  <c r="G13" i="2"/>
  <c r="H13" i="2"/>
  <c r="I13" i="2"/>
  <c r="D14" i="2"/>
  <c r="E14" i="2"/>
  <c r="F14" i="2"/>
  <c r="G14" i="2"/>
  <c r="H14" i="2"/>
  <c r="I14" i="2"/>
  <c r="D15" i="2"/>
  <c r="E15" i="2"/>
  <c r="F15" i="2"/>
  <c r="G15" i="2"/>
  <c r="H15" i="2"/>
  <c r="I15" i="2"/>
  <c r="D16" i="2"/>
  <c r="E16" i="2"/>
  <c r="F16" i="2"/>
  <c r="G16" i="2"/>
  <c r="H16" i="2"/>
  <c r="I16" i="2"/>
  <c r="D17" i="2"/>
  <c r="E17" i="2"/>
  <c r="F17" i="2"/>
  <c r="G17" i="2"/>
  <c r="H17" i="2"/>
  <c r="I17" i="2"/>
  <c r="D18" i="2"/>
  <c r="E18" i="2"/>
  <c r="F18" i="2"/>
  <c r="G18" i="2"/>
  <c r="H18" i="2"/>
  <c r="I18" i="2"/>
  <c r="D19" i="2"/>
  <c r="E19" i="2"/>
  <c r="F19" i="2"/>
  <c r="G19" i="2"/>
  <c r="H19" i="2"/>
  <c r="I19" i="2"/>
  <c r="D20" i="2"/>
  <c r="E20" i="2"/>
  <c r="F20" i="2"/>
  <c r="G20" i="2"/>
  <c r="H20" i="2"/>
  <c r="I20" i="2"/>
  <c r="D21" i="2"/>
  <c r="E21" i="2"/>
  <c r="F21" i="2"/>
  <c r="G21" i="2"/>
  <c r="H21" i="2"/>
  <c r="I21" i="2"/>
  <c r="D22" i="2"/>
  <c r="E22" i="2"/>
  <c r="F22" i="2"/>
  <c r="G22" i="2"/>
  <c r="H22" i="2"/>
  <c r="I22" i="2"/>
  <c r="B24" i="2"/>
  <c r="C24" i="2"/>
  <c r="B25" i="2"/>
  <c r="C25" i="2"/>
  <c r="B26" i="2"/>
  <c r="C26" i="2"/>
  <c r="B27" i="2"/>
  <c r="C27" i="2"/>
  <c r="B31" i="2"/>
  <c r="C31" i="2"/>
  <c r="D31" i="2"/>
  <c r="E31" i="2"/>
  <c r="F31" i="2"/>
  <c r="G31" i="2"/>
  <c r="B32" i="2"/>
  <c r="C32" i="2"/>
  <c r="D32" i="2"/>
  <c r="E32" i="2"/>
  <c r="F32" i="2"/>
  <c r="G32" i="2"/>
  <c r="H32" i="2"/>
  <c r="B33" i="2"/>
  <c r="C33" i="2"/>
  <c r="D33" i="2"/>
  <c r="E33" i="2"/>
  <c r="F33" i="2"/>
  <c r="G33" i="2"/>
  <c r="B34" i="2"/>
  <c r="C34" i="2"/>
  <c r="D34" i="2"/>
  <c r="E34" i="2"/>
  <c r="F34" i="2"/>
  <c r="H34" i="2"/>
  <c r="B35" i="2"/>
  <c r="C35" i="2"/>
  <c r="D35" i="2"/>
  <c r="E35" i="2"/>
  <c r="F35" i="2"/>
  <c r="G35" i="2"/>
  <c r="H35" i="2"/>
  <c r="D37" i="2"/>
  <c r="E37" i="2"/>
  <c r="D38" i="2"/>
  <c r="E38" i="2"/>
  <c r="G38" i="2"/>
  <c r="D39" i="2"/>
  <c r="E39" i="2"/>
  <c r="D40" i="2"/>
  <c r="E40" i="2"/>
  <c r="H2" i="1"/>
  <c r="H7" i="1"/>
  <c r="C12" i="1"/>
  <c r="C13" i="1"/>
  <c r="C15" i="1"/>
  <c r="E15" i="1"/>
  <c r="H15" i="1"/>
  <c r="E16" i="1"/>
  <c r="H16" i="1"/>
  <c r="C17" i="1"/>
  <c r="E17" i="1"/>
  <c r="H17" i="1"/>
  <c r="E18" i="1"/>
  <c r="H18" i="1"/>
  <c r="F24" i="1"/>
  <c r="H24" i="1"/>
  <c r="F25" i="1"/>
  <c r="H25" i="1"/>
  <c r="H26" i="1"/>
  <c r="H27" i="1"/>
  <c r="J29" i="1"/>
  <c r="H33" i="1"/>
  <c r="H34" i="1"/>
  <c r="H35" i="1"/>
</calcChain>
</file>

<file path=xl/comments1.xml><?xml version="1.0" encoding="utf-8"?>
<comments xmlns="http://schemas.openxmlformats.org/spreadsheetml/2006/main">
  <authors>
    <author/>
  </authors>
  <commentList>
    <comment ref="E2" authorId="0" shapeId="0">
      <text>
        <r>
          <rPr>
            <sz val="9"/>
            <color indexed="81"/>
            <rFont val="Tahoma"/>
          </rPr>
          <t>This cell enables the user to specify the conversion of R1 per pass through the reactor or to calculate the equilibrium conversion.  If this cell has the value zero, then the equilibrium conversion as calculated on sheet EQN. SOLVE will be used.  If this cell has any value other than zero, then the value of this cell will be used for the conversion per pass.</t>
        </r>
      </text>
    </comment>
    <comment ref="J6" authorId="0" shapeId="0">
      <text>
        <r>
          <rPr>
            <sz val="9"/>
            <color indexed="81"/>
            <rFont val="Tahoma"/>
          </rPr>
          <t>This cell represents the temperature of the reactor exit.  If equilibrium conversion is assumed, use the actual temperature.  If conversion is expected to be less than equilibrium, adjust this temperature to show the actual temperature plus the "approach to equilibrium" which is appropriate for the quantity of catalyst being used.</t>
        </r>
      </text>
    </comment>
  </commentList>
</comments>
</file>

<file path=xl/sharedStrings.xml><?xml version="1.0" encoding="utf-8"?>
<sst xmlns="http://schemas.openxmlformats.org/spreadsheetml/2006/main" count="390" uniqueCount="348">
  <si>
    <t>BASIS =</t>
  </si>
  <si>
    <t>mol/hr R1</t>
  </si>
  <si>
    <t>SELECT =</t>
  </si>
  <si>
    <t>R1 CONV =</t>
  </si>
  <si>
    <t>KEQ =</t>
  </si>
  <si>
    <t>R1 PURITY =</t>
  </si>
  <si>
    <t>XSR2 =</t>
  </si>
  <si>
    <t>PROCESS FLOWSHEET</t>
  </si>
  <si>
    <t>R1</t>
  </si>
  <si>
    <t>TEMP =</t>
  </si>
  <si>
    <r>
      <t>O</t>
    </r>
    <r>
      <rPr>
        <sz val="10"/>
        <rFont val="Arial"/>
        <family val="2"/>
      </rPr>
      <t>C</t>
    </r>
  </si>
  <si>
    <t>All Flows are in Mol/hr</t>
  </si>
  <si>
    <t>R2</t>
  </si>
  <si>
    <t>PRES =</t>
  </si>
  <si>
    <t>Atm</t>
  </si>
  <si>
    <t>R3</t>
  </si>
  <si>
    <t>SENS =</t>
  </si>
  <si>
    <t xml:space="preserve"> REACTOR</t>
  </si>
  <si>
    <t>P</t>
  </si>
  <si>
    <t>INERTS =</t>
  </si>
  <si>
    <t>GOAL =</t>
  </si>
  <si>
    <t>KNOB =</t>
  </si>
  <si>
    <t>FLASH</t>
  </si>
  <si>
    <t>SEPARATOR</t>
  </si>
  <si>
    <t>z</t>
  </si>
  <si>
    <t>k</t>
  </si>
  <si>
    <t>SOLUTION OF FLASH EQUATION</t>
  </si>
  <si>
    <t>R1 =</t>
  </si>
  <si>
    <t>by LINEAR INVERSE INTERPOLATION</t>
  </si>
  <si>
    <t>R2 =</t>
  </si>
  <si>
    <t>R3 =</t>
  </si>
  <si>
    <t>P =</t>
  </si>
  <si>
    <t>TOTZ</t>
  </si>
  <si>
    <t>Vlow</t>
  </si>
  <si>
    <t>f(Vlow)</t>
  </si>
  <si>
    <t>Vhi</t>
  </si>
  <si>
    <t>f(Vhi)</t>
  </si>
  <si>
    <t>Vmid</t>
  </si>
  <si>
    <t>f(Vmid)</t>
  </si>
  <si>
    <t>V</t>
  </si>
  <si>
    <t>L</t>
  </si>
  <si>
    <t>PER FLOWSHEET</t>
  </si>
  <si>
    <t>y</t>
  </si>
  <si>
    <t>x</t>
  </si>
  <si>
    <t>Z</t>
  </si>
  <si>
    <t>RECY</t>
  </si>
  <si>
    <t>TOT</t>
  </si>
  <si>
    <t>AVERAGE</t>
  </si>
  <si>
    <t>TEMP</t>
  </si>
  <si>
    <r>
      <t>K</t>
    </r>
    <r>
      <rPr>
        <vertAlign val="subscript"/>
        <sz val="10"/>
        <rFont val="Arial"/>
        <family val="2"/>
      </rPr>
      <t>eq</t>
    </r>
  </si>
  <si>
    <t>INTERPOLATION</t>
  </si>
  <si>
    <r>
      <t>(</t>
    </r>
    <r>
      <rPr>
        <vertAlign val="superscript"/>
        <sz val="10"/>
        <rFont val="Arial"/>
        <family val="2"/>
      </rPr>
      <t>o</t>
    </r>
    <r>
      <rPr>
        <sz val="10"/>
        <rFont val="Arial"/>
        <family val="2"/>
      </rPr>
      <t>C)</t>
    </r>
  </si>
  <si>
    <r>
      <t>(Atm</t>
    </r>
    <r>
      <rPr>
        <vertAlign val="superscript"/>
        <sz val="10"/>
        <rFont val="Arial"/>
        <family val="2"/>
      </rPr>
      <t>-1</t>
    </r>
    <r>
      <rPr>
        <sz val="10"/>
        <rFont val="Arial"/>
        <family val="2"/>
      </rPr>
      <t>)</t>
    </r>
  </si>
  <si>
    <t>TableTemp =</t>
  </si>
  <si>
    <t>(Constrained to bounds of table)</t>
  </si>
  <si>
    <t>Low Index =</t>
  </si>
  <si>
    <t>High Index =</t>
  </si>
  <si>
    <t>Low Temp =</t>
  </si>
  <si>
    <t>High Temp =</t>
  </si>
  <si>
    <r>
      <t>Low K</t>
    </r>
    <r>
      <rPr>
        <vertAlign val="subscript"/>
        <sz val="10"/>
        <rFont val="Arial"/>
        <family val="2"/>
      </rPr>
      <t>eq</t>
    </r>
    <r>
      <rPr>
        <sz val="10"/>
        <rFont val="Arial"/>
        <family val="2"/>
      </rPr>
      <t xml:space="preserve"> =</t>
    </r>
  </si>
  <si>
    <r>
      <t>High K</t>
    </r>
    <r>
      <rPr>
        <vertAlign val="subscript"/>
        <sz val="10"/>
        <rFont val="Arial"/>
        <family val="2"/>
      </rPr>
      <t>eq</t>
    </r>
    <r>
      <rPr>
        <sz val="10"/>
        <rFont val="Arial"/>
        <family val="2"/>
      </rPr>
      <t xml:space="preserve"> =</t>
    </r>
  </si>
  <si>
    <r>
      <t>Interpolated K</t>
    </r>
    <r>
      <rPr>
        <vertAlign val="subscript"/>
        <sz val="10"/>
        <rFont val="Arial"/>
        <family val="2"/>
      </rPr>
      <t>eq</t>
    </r>
    <r>
      <rPr>
        <sz val="10"/>
        <rFont val="Arial"/>
        <family val="2"/>
      </rPr>
      <t xml:space="preserve"> =</t>
    </r>
  </si>
  <si>
    <t>(Linear Interpolation)</t>
  </si>
  <si>
    <t>(Logarithmic Interpolation)</t>
  </si>
  <si>
    <r>
      <t>TEMP(</t>
    </r>
    <r>
      <rPr>
        <vertAlign val="superscript"/>
        <sz val="10"/>
        <rFont val="Arial"/>
        <family val="2"/>
      </rPr>
      <t>o</t>
    </r>
    <r>
      <rPr>
        <sz val="10"/>
        <rFont val="Arial"/>
        <family val="2"/>
      </rPr>
      <t>C)</t>
    </r>
  </si>
  <si>
    <r>
      <t>K</t>
    </r>
    <r>
      <rPr>
        <vertAlign val="subscript"/>
        <sz val="10"/>
        <rFont val="Arial"/>
        <family val="2"/>
      </rPr>
      <t>eq</t>
    </r>
    <r>
      <rPr>
        <sz val="10"/>
        <rFont val="Arial"/>
        <family val="2"/>
      </rPr>
      <t>(Atm</t>
    </r>
    <r>
      <rPr>
        <vertAlign val="superscript"/>
        <sz val="10"/>
        <rFont val="Arial"/>
        <family val="2"/>
      </rPr>
      <t>-1</t>
    </r>
    <r>
      <rPr>
        <sz val="10"/>
        <rFont val="Arial"/>
        <family val="2"/>
      </rPr>
      <t>)</t>
    </r>
  </si>
  <si>
    <t>LnT</t>
  </si>
  <si>
    <t>LnK</t>
  </si>
  <si>
    <t>Predicted LnK</t>
  </si>
  <si>
    <t>EXP (CALC)</t>
  </si>
  <si>
    <t>Intercept</t>
  </si>
  <si>
    <t>X Variable 1</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</si>
  <si>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</si>
  <si>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</si>
  <si>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</si>
  <si>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</si>
  <si>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</si>
  <si>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</si>
  <si>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</si>
  <si>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</si>
  <si>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</si>
  <si>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</si>
  <si>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</si>
  <si>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</si>
  <si>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</si>
  <si>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</si>
  <si>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</si>
  <si>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</si>
  <si>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</si>
  <si>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</si>
  <si>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</si>
  <si>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</si>
  <si>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</si>
  <si>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</si>
  <si>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</si>
  <si>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RESIDUAL OUTPUT</t>
  </si>
  <si>
    <t>Observation</t>
  </si>
  <si>
    <t>Residuals</t>
  </si>
  <si>
    <t>R1 FED</t>
  </si>
  <si>
    <t>SOLUTION OF EQUILIBRIUM EQUATION</t>
  </si>
  <si>
    <t>R2 FED</t>
  </si>
  <si>
    <t>BY THE BISECTION METHOD</t>
  </si>
  <si>
    <t>R3 FED</t>
  </si>
  <si>
    <t>P   FED</t>
  </si>
  <si>
    <t>X = MOLS R1 REACTED</t>
  </si>
  <si>
    <t>K</t>
  </si>
  <si>
    <t>(from INTERP!</t>
  </si>
  <si>
    <t>xlow</t>
  </si>
  <si>
    <t>f(xlow)</t>
  </si>
  <si>
    <t>xhi</t>
  </si>
  <si>
    <t>f(xhi)</t>
  </si>
  <si>
    <t>xmid</t>
  </si>
  <si>
    <t>f(xmid)</t>
  </si>
  <si>
    <t>Log Interpolation)</t>
  </si>
  <si>
    <t>OLD CONV</t>
  </si>
  <si>
    <t>R1 REACTED</t>
  </si>
  <si>
    <t>NEW CONV</t>
  </si>
  <si>
    <t>ACC CONV</t>
  </si>
  <si>
    <t>NAME OF CELL OR RANGE</t>
  </si>
  <si>
    <t>ADDRESS OF CELL OR RANGE</t>
  </si>
  <si>
    <t>FUNCTION OF CELL OR RANGE</t>
  </si>
  <si>
    <t>BASIS</t>
  </si>
  <si>
    <t>=Flowsheet!$H$1</t>
  </si>
  <si>
    <t>Value of R1 feed rate on which flowsheet is based</t>
  </si>
  <si>
    <t>CONV</t>
  </si>
  <si>
    <t>=Flowsheet!$H$2</t>
  </si>
  <si>
    <t>Conversion of R1 per pass through the Reactor</t>
  </si>
  <si>
    <t>CONVERGE</t>
  </si>
  <si>
    <t>=#REF!$A$1:$A$21</t>
  </si>
  <si>
    <t>A macro which adjusts the inerts in the flowsheet to a desired value</t>
  </si>
  <si>
    <t>EXITP</t>
  </si>
  <si>
    <t>=Flowsheet!$H$18</t>
  </si>
  <si>
    <t>Flow rate of the product "P" in the Reactor exit stream</t>
  </si>
  <si>
    <t>EXITR1</t>
  </si>
  <si>
    <t>=Flowsheet!$H$15</t>
  </si>
  <si>
    <t>Flow rate of unreacted R1 in the Reactor exit stream</t>
  </si>
  <si>
    <t>EXITR2</t>
  </si>
  <si>
    <t>=Flowsheet!$H$16</t>
  </si>
  <si>
    <t>Flow rate of unreacted R2 in the Reactor exit stream</t>
  </si>
  <si>
    <t>EXITR3</t>
  </si>
  <si>
    <t>=Flowsheet!$H$17</t>
  </si>
  <si>
    <t>Flow rate of R3 in the Reactor exit stream</t>
  </si>
  <si>
    <t>FEEDR1</t>
  </si>
  <si>
    <t>=Flowsheet!$H$6</t>
  </si>
  <si>
    <t>Flow rate of makeup R1 fed to the Reactor</t>
  </si>
  <si>
    <t>FEEDR2</t>
  </si>
  <si>
    <t>=Flowsheet!$H$7</t>
  </si>
  <si>
    <t>Flow rate of makeup R2 fed to the Reactor</t>
  </si>
  <si>
    <t>FEEDR3</t>
  </si>
  <si>
    <t>=Flowsheet!$H$8</t>
  </si>
  <si>
    <t>Flow rate of makeup R3 fed to the Reactor</t>
  </si>
  <si>
    <t>GOAL</t>
  </si>
  <si>
    <t>=Flowsheet!$C$19</t>
  </si>
  <si>
    <t>Desired percent inerts (R3) in the flowsheet recycle</t>
  </si>
  <si>
    <t>HIGHINDEX</t>
  </si>
  <si>
    <t>=Interp!$G$6</t>
  </si>
  <si>
    <r>
      <t>Number of row in KTABLE with temperature above the temperature for which value of K</t>
    </r>
    <r>
      <rPr>
        <vertAlign val="subscript"/>
        <sz val="10"/>
        <rFont val="Arial"/>
        <family val="2"/>
      </rPr>
      <t>eq</t>
    </r>
    <r>
      <rPr>
        <sz val="10"/>
        <rFont val="Arial"/>
        <family val="2"/>
      </rPr>
      <t xml:space="preserve"> is desired</t>
    </r>
  </si>
  <si>
    <t>HIGHK</t>
  </si>
  <si>
    <t>=Interp!$G$12</t>
  </si>
  <si>
    <r>
      <t>Value of K</t>
    </r>
    <r>
      <rPr>
        <vertAlign val="subscript"/>
        <sz val="10"/>
        <rFont val="Arial"/>
        <family val="2"/>
      </rPr>
      <t>eq</t>
    </r>
    <r>
      <rPr>
        <sz val="10"/>
        <rFont val="Arial"/>
        <family val="2"/>
      </rPr>
      <t xml:space="preserve"> from KTABLE in row HIGHINDEX</t>
    </r>
  </si>
  <si>
    <t>HIGHTEMP</t>
  </si>
  <si>
    <t>=Interp!$G$9</t>
  </si>
  <si>
    <t>Value of temperature from KTABLE in row HIGHINDEX</t>
  </si>
  <si>
    <t>INERTS</t>
  </si>
  <si>
    <t>=Flowsheet!$C$17</t>
  </si>
  <si>
    <t>Percent inerts (R3) in flowsheet recycle stream</t>
  </si>
  <si>
    <t>INLETP</t>
  </si>
  <si>
    <t>='Eqn. Solve'!$F$5</t>
  </si>
  <si>
    <t>Sum of all flows of P into the Reactor</t>
  </si>
  <si>
    <t>INLETR1</t>
  </si>
  <si>
    <t>='Eqn. Solve'!$F$2</t>
  </si>
  <si>
    <t>Sum of all flows of R1 into the Reactor</t>
  </si>
  <si>
    <t>INLETR2</t>
  </si>
  <si>
    <t>='Eqn. Solve'!$F$3</t>
  </si>
  <si>
    <t>Sum of all flows of R2 into the Reactor</t>
  </si>
  <si>
    <t>INLETR3</t>
  </si>
  <si>
    <t>='Eqn. Solve'!$F$4</t>
  </si>
  <si>
    <t>Sum of all flows of R3 into the Reactor</t>
  </si>
  <si>
    <t>KEQ</t>
  </si>
  <si>
    <t>=Flowsheet!$E$3</t>
  </si>
  <si>
    <t>Calculated value of reaction equilibrium constant</t>
  </si>
  <si>
    <t>KNOB</t>
  </si>
  <si>
    <t>=Flowsheet!$C$21</t>
  </si>
  <si>
    <t>Sensitivity of adjustment of PURR3 to control inerts</t>
  </si>
  <si>
    <t>KP</t>
  </si>
  <si>
    <t>=Flash!$C$6</t>
  </si>
  <si>
    <t>K value (vapor/liquid ratio) of P at Flash conditions</t>
  </si>
  <si>
    <t>KR1</t>
  </si>
  <si>
    <t>=Flash!$C$3</t>
  </si>
  <si>
    <t>K value (vapor/liquid ratio) of R1 at Flash conditions</t>
  </si>
  <si>
    <t>KR2</t>
  </si>
  <si>
    <t>=Flash!$C$4</t>
  </si>
  <si>
    <t>K value (vapor/liquid ratio) of R2 at Flash conditions</t>
  </si>
  <si>
    <t>KR3</t>
  </si>
  <si>
    <t>=Flash!$C$5</t>
  </si>
  <si>
    <t>K value (vapor/liquid ratio) of R3 at Flash conditions</t>
  </si>
  <si>
    <t>KTABLE</t>
  </si>
  <si>
    <t>='Eqn. Solve'!$B$3:$C$24</t>
  </si>
  <si>
    <r>
      <t>Table of K</t>
    </r>
    <r>
      <rPr>
        <vertAlign val="subscript"/>
        <sz val="10"/>
        <rFont val="Arial"/>
        <family val="2"/>
      </rPr>
      <t>eq</t>
    </r>
    <r>
      <rPr>
        <sz val="10"/>
        <rFont val="Arial"/>
        <family val="2"/>
      </rPr>
      <t xml:space="preserve"> at various temperatures</t>
    </r>
  </si>
  <si>
    <t>LININTERP</t>
  </si>
  <si>
    <t>=Interp!$G$14</t>
  </si>
  <si>
    <t>Value of Keq from KTABLE by linear interpolation</t>
  </si>
  <si>
    <t>LIQP</t>
  </si>
  <si>
    <t>=Flash!$E$34</t>
  </si>
  <si>
    <t>Flow rate of P in liquid from Flash</t>
  </si>
  <si>
    <t>LIQR1</t>
  </si>
  <si>
    <t>=Flash!$E$31</t>
  </si>
  <si>
    <t>Flow rate of R1 in liquid from Flash</t>
  </si>
  <si>
    <t>LIQR2</t>
  </si>
  <si>
    <t>=Flash!$E$32</t>
  </si>
  <si>
    <t>Flow rate of R2 in liquid from Flash</t>
  </si>
  <si>
    <t>LIQR3</t>
  </si>
  <si>
    <t>=Flash!$E$33</t>
  </si>
  <si>
    <t>Flow rate of R3 in liquid from Flash</t>
  </si>
  <si>
    <t>LOGINTERP</t>
  </si>
  <si>
    <t>=Interp!$G$15</t>
  </si>
  <si>
    <t>Value of Keq from KTABLE by logarithmic interpolation</t>
  </si>
  <si>
    <t>LOWINDEX</t>
  </si>
  <si>
    <t>=Interp!$G$5</t>
  </si>
  <si>
    <r>
      <t>Number of row in KTABLE with temperature below the temperature for which value of K</t>
    </r>
    <r>
      <rPr>
        <vertAlign val="subscript"/>
        <sz val="10"/>
        <rFont val="Arial"/>
        <family val="2"/>
      </rPr>
      <t>eq</t>
    </r>
    <r>
      <rPr>
        <sz val="10"/>
        <rFont val="Arial"/>
        <family val="2"/>
      </rPr>
      <t xml:space="preserve"> is desired</t>
    </r>
  </si>
  <si>
    <t>LOWK</t>
  </si>
  <si>
    <t>=Interp!$G$11</t>
  </si>
  <si>
    <r>
      <t>Value of K</t>
    </r>
    <r>
      <rPr>
        <vertAlign val="subscript"/>
        <sz val="10"/>
        <rFont val="Arial"/>
        <family val="2"/>
      </rPr>
      <t>eq</t>
    </r>
    <r>
      <rPr>
        <sz val="10"/>
        <rFont val="Arial"/>
        <family val="2"/>
      </rPr>
      <t xml:space="preserve"> from KTABLE in row LOWINDEX</t>
    </r>
  </si>
  <si>
    <t>LOWTEMP</t>
  </si>
  <si>
    <t>=Interp!$G$8</t>
  </si>
  <si>
    <t>Value of temperature from KTABLE in row LOWINDEX</t>
  </si>
  <si>
    <t>NEWCONV</t>
  </si>
  <si>
    <t>='Eqn. Solve'!$M$37</t>
  </si>
  <si>
    <r>
      <t>Value of conversion of R1 calculated from most recent solution of equation for K</t>
    </r>
    <r>
      <rPr>
        <vertAlign val="subscript"/>
        <sz val="10"/>
        <rFont val="Arial"/>
        <family val="2"/>
      </rPr>
      <t>eq</t>
    </r>
  </si>
  <si>
    <t>OLDCONV</t>
  </si>
  <si>
    <t>='Eqn. Solve'!$M$35</t>
  </si>
  <si>
    <r>
      <t>Value of conversion of R1 calculated from previous solution of equation for K</t>
    </r>
    <r>
      <rPr>
        <vertAlign val="subscript"/>
        <sz val="10"/>
        <rFont val="Arial"/>
        <family val="2"/>
      </rPr>
      <t>eq</t>
    </r>
  </si>
  <si>
    <t>PRES</t>
  </si>
  <si>
    <t>=Flowsheet!$J$7</t>
  </si>
  <si>
    <t>Reactor pressure in absolute atmospheres</t>
  </si>
  <si>
    <t>PURITY</t>
  </si>
  <si>
    <t>=Flowsheet!$H$3</t>
  </si>
  <si>
    <t>Purity of makeup R1 fed to the Reactor</t>
  </si>
  <si>
    <t>PURP</t>
  </si>
  <si>
    <t>=Flowsheet!$C$15</t>
  </si>
  <si>
    <t>Flow rate of P in the purge</t>
  </si>
  <si>
    <t>PURR1</t>
  </si>
  <si>
    <t>=Flowsheet!$C$12</t>
  </si>
  <si>
    <t>Flow rate of R1 in the purge</t>
  </si>
  <si>
    <t>PURR2</t>
  </si>
  <si>
    <t>=Flowsheet!$C$13</t>
  </si>
  <si>
    <t>Flow rate of R2 in the purge</t>
  </si>
  <si>
    <t>PURR3</t>
  </si>
  <si>
    <t>=Flowsheet!$C$14</t>
  </si>
  <si>
    <t>Flow rate of R3 in the purge</t>
  </si>
  <si>
    <t>RECYP</t>
  </si>
  <si>
    <t>=Flowsheet!$E$18</t>
  </si>
  <si>
    <t>Flow rate of P in the recycle</t>
  </si>
  <si>
    <t>RECYR1</t>
  </si>
  <si>
    <t>=Flowsheet!$E$15</t>
  </si>
  <si>
    <t>Flow rate of R1 in the recycle</t>
  </si>
  <si>
    <t>RECYR2</t>
  </si>
  <si>
    <t>=Flowsheet!$E$16</t>
  </si>
  <si>
    <t>Flow rate of R2 in the recycle</t>
  </si>
  <si>
    <t>RECYR3</t>
  </si>
  <si>
    <t>=Flowsheet!$E$17</t>
  </si>
  <si>
    <t>Flow rate of R3 in the recycle</t>
  </si>
  <si>
    <t>SELECT</t>
  </si>
  <si>
    <t>=Flowsheet!$E$2</t>
  </si>
  <si>
    <t>Selected conversion of R1 per pass in the Reactor</t>
  </si>
  <si>
    <t>SENS</t>
  </si>
  <si>
    <t>=Flowsheet!$J$8</t>
  </si>
  <si>
    <t>Relative weighting of OLDCONV and NEWCONV used for final value of conversion of R1</t>
  </si>
  <si>
    <t>SOLUTION</t>
  </si>
  <si>
    <t>='Eqn. Solve'!$M$38</t>
  </si>
  <si>
    <t>Final value of conversion of R1 after damping with SENS</t>
  </si>
  <si>
    <t>TABLE1</t>
  </si>
  <si>
    <t>=Interp!$A$3:$C$11</t>
  </si>
  <si>
    <t>KTABLE plus first index column</t>
  </si>
  <si>
    <t>TABLE2</t>
  </si>
  <si>
    <t>=Interp!$B$3:$D$11</t>
  </si>
  <si>
    <t>KTABLE plus second index column</t>
  </si>
  <si>
    <t>TTEMP</t>
  </si>
  <si>
    <t>=Interp!$G$3</t>
  </si>
  <si>
    <t>Temperature used to enter KTABLE</t>
  </si>
  <si>
    <t>=Flowsheet!$J$6</t>
  </si>
  <si>
    <r>
      <t>Temperature at which K</t>
    </r>
    <r>
      <rPr>
        <vertAlign val="subscript"/>
        <sz val="10"/>
        <rFont val="Arial"/>
        <family val="2"/>
      </rPr>
      <t>eq</t>
    </r>
    <r>
      <rPr>
        <sz val="10"/>
        <rFont val="Arial"/>
        <family val="2"/>
      </rPr>
      <t xml:space="preserve"> is to be calculated</t>
    </r>
  </si>
  <si>
    <t>TOTFED</t>
  </si>
  <si>
    <t>=Flash!$F$35</t>
  </si>
  <si>
    <t>Total mols/hr fed to Flash</t>
  </si>
  <si>
    <t>TOTL</t>
  </si>
  <si>
    <t>=Flash!$E$35</t>
  </si>
  <si>
    <t>Total mols/hr of liquid from Flash</t>
  </si>
  <si>
    <t>TOTV</t>
  </si>
  <si>
    <t>=Flash!$D$35</t>
  </si>
  <si>
    <t>Total mols/hr of vapor from Flash</t>
  </si>
  <si>
    <t>TOTX</t>
  </si>
  <si>
    <t>=Flash!$C$35</t>
  </si>
  <si>
    <t>Total of mol fractions in liquid from Flash</t>
  </si>
  <si>
    <t>TOTY</t>
  </si>
  <si>
    <t>=Flash!$B$35</t>
  </si>
  <si>
    <t>Total of mol fractions in vapor from Flash</t>
  </si>
  <si>
    <t>VAPP</t>
  </si>
  <si>
    <t>=Flash!$D$34</t>
  </si>
  <si>
    <t>Flow rate of P in vapor from Flash</t>
  </si>
  <si>
    <t>VAPR1</t>
  </si>
  <si>
    <t>=Flash!$D$31</t>
  </si>
  <si>
    <t>Flow rate of R1 in vapor from Flash</t>
  </si>
  <si>
    <t>VAPR2</t>
  </si>
  <si>
    <t>=Flash!$D$32</t>
  </si>
  <si>
    <t>Flow rate of R2 in vapor from Flash</t>
  </si>
  <si>
    <t>VAPR3</t>
  </si>
  <si>
    <t>=Flash!$D$33</t>
  </si>
  <si>
    <t>Flow rate of R3 in vapor from Flash</t>
  </si>
  <si>
    <t>XP</t>
  </si>
  <si>
    <t>=Flash!$C$34</t>
  </si>
  <si>
    <t>Mol fraction of P in liquid from Flash</t>
  </si>
  <si>
    <t>XR1</t>
  </si>
  <si>
    <t>=Flash!$C$31</t>
  </si>
  <si>
    <t>Mol fraction of R1 in liquid from Flash</t>
  </si>
  <si>
    <t>XR2</t>
  </si>
  <si>
    <t>=Flash!$C$32</t>
  </si>
  <si>
    <t>Mol fraction of R2 in liquid from Flash</t>
  </si>
  <si>
    <t>XR3</t>
  </si>
  <si>
    <t>=Flash!$C$33</t>
  </si>
  <si>
    <t>Mol fraction of R3 in liquid from Flash</t>
  </si>
  <si>
    <t>XSR2</t>
  </si>
  <si>
    <t>=Flowsheet!$H$4</t>
  </si>
  <si>
    <t>Excess R2 (above stoichiometric) fed to Reactor</t>
  </si>
  <si>
    <t>YP</t>
  </si>
  <si>
    <t>=Flash!$B$34</t>
  </si>
  <si>
    <t>Mol fraction of P in vapor from Flash</t>
  </si>
  <si>
    <t>YR1</t>
  </si>
  <si>
    <t>=Flash!$B$31</t>
  </si>
  <si>
    <t>Mol fraction of R1 in vapor from Flash</t>
  </si>
  <si>
    <t>YR2</t>
  </si>
  <si>
    <t>=Flash!$B$32</t>
  </si>
  <si>
    <t>Mol fraction of R2 in vapor from Flash</t>
  </si>
  <si>
    <t>YR3</t>
  </si>
  <si>
    <t>=Flash!$B$33</t>
  </si>
  <si>
    <t>Mol fraction of R3 in vapor from Flash</t>
  </si>
  <si>
    <t>ZP</t>
  </si>
  <si>
    <t>=Flash!$B$6</t>
  </si>
  <si>
    <t>Mol fraction of P in feed to Flash</t>
  </si>
  <si>
    <t>ZR1</t>
  </si>
  <si>
    <t>=Flash!$B$3</t>
  </si>
  <si>
    <t>Mol fraction of R1 in feed to Flash</t>
  </si>
  <si>
    <t>ZR2</t>
  </si>
  <si>
    <t>=Flash!$B$4</t>
  </si>
  <si>
    <t>Mol fraction of R2 in feed to Flash</t>
  </si>
  <si>
    <t>ZR3</t>
  </si>
  <si>
    <t>=Flash!$B$5</t>
  </si>
  <si>
    <t>Mol fraction of R3 in feed to 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</si>
</sst>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80" formatCode="0.0%"/>
    <numFmt numFmtId="181" formatCode="0.0"/>
    <numFmt numFmtId="183" formatCode="0.0000%"/>
    <numFmt numFmtId="184" formatCode="0.000"/>
    <numFmt numFmtId="185" formatCode="0.0000"/>
    <numFmt numFmtId="186" formatCode="0.00000"/>
  </numFmts>
  <fonts count="8" x14ac:knownFonts="1">
    <font>
      <sz val="10"/>
      <name val="Arial"/>
    </font>
    <font>
      <b/>
      <sz val="10"/>
      <name val="Arial"/>
    </font>
    <font>
      <i/>
      <sz val="10"/>
      <name val="Arial"/>
    </font>
    <font>
      <sz val="10"/>
      <name val="Arial"/>
    </font>
    <font>
      <vertAlign val="superscript"/>
      <sz val="10"/>
      <name val="Arial"/>
      <family val="2"/>
    </font>
    <font>
      <sz val="10"/>
      <name val="Arial"/>
      <family val="2"/>
    </font>
    <font>
      <vertAlign val="subscript"/>
      <sz val="10"/>
      <name val="Arial"/>
      <family val="2"/>
    </font>
    <font>
      <sz val="9"/>
      <color indexed="81"/>
      <name val="Tahoma"/>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50">
    <xf numFmtId="0" fontId="0" fillId="0" borderId="0" xfId="0"/>
    <xf numFmtId="180" fontId="0" fillId="0" borderId="0" xfId="1" applyNumberFormat="1" applyFont="1" applyAlignment="1">
      <alignment horizontal="center"/>
    </xf>
    <xf numFmtId="181" fontId="2" fillId="0" borderId="0" xfId="0" applyNumberFormat="1" applyFont="1"/>
    <xf numFmtId="181" fontId="0" fillId="0" borderId="0" xfId="0" applyNumberFormat="1"/>
    <xf numFmtId="181" fontId="0" fillId="0" borderId="0" xfId="0" applyNumberFormat="1" applyAlignment="1">
      <alignment horizontal="center"/>
    </xf>
    <xf numFmtId="181" fontId="1" fillId="0" borderId="0" xfId="0" applyNumberFormat="1" applyFont="1"/>
    <xf numFmtId="181" fontId="0" fillId="0" borderId="0" xfId="0" applyNumberFormat="1" applyAlignment="1">
      <alignment horizontal="right"/>
    </xf>
    <xf numFmtId="181" fontId="1" fillId="0" borderId="0" xfId="0" applyNumberFormat="1" applyFont="1" applyAlignment="1">
      <alignment horizontal="centerContinuous"/>
    </xf>
    <xf numFmtId="181" fontId="0" fillId="0" borderId="0" xfId="0" applyNumberFormat="1" applyAlignment="1">
      <alignment horizontal="centerContinuous"/>
    </xf>
    <xf numFmtId="2" fontId="0" fillId="0" borderId="0" xfId="0" applyNumberFormat="1"/>
    <xf numFmtId="0" fontId="0" fillId="0" borderId="0" xfId="0" applyAlignment="1">
      <alignment horizontal="center"/>
    </xf>
    <xf numFmtId="1" fontId="0" fillId="0" borderId="0" xfId="0" applyNumberFormat="1"/>
    <xf numFmtId="10" fontId="0" fillId="0" borderId="0" xfId="1" applyNumberFormat="1" applyFont="1"/>
    <xf numFmtId="0" fontId="0" fillId="0" borderId="0" xfId="0" applyNumberFormat="1"/>
    <xf numFmtId="0" fontId="0" fillId="0" borderId="0" xfId="0" applyAlignment="1">
      <alignment horizontal="right"/>
    </xf>
    <xf numFmtId="10" fontId="0" fillId="0" borderId="0" xfId="0" applyNumberFormat="1"/>
    <xf numFmtId="185" fontId="0" fillId="0" borderId="0" xfId="0" applyNumberFormat="1" applyAlignment="1">
      <alignment horizontal="center"/>
    </xf>
    <xf numFmtId="10" fontId="0" fillId="0" borderId="0" xfId="1" applyNumberFormat="1" applyFont="1" applyAlignment="1">
      <alignment horizontal="center"/>
    </xf>
    <xf numFmtId="10" fontId="0" fillId="0" borderId="0" xfId="1" applyNumberFormat="1" applyFont="1" applyAlignment="1">
      <alignment horizontal="right"/>
    </xf>
    <xf numFmtId="183" fontId="0" fillId="0" borderId="0" xfId="1" applyNumberFormat="1" applyFont="1" applyAlignment="1">
      <alignment horizontal="right"/>
    </xf>
    <xf numFmtId="186" fontId="0" fillId="0" borderId="0" xfId="0" applyNumberFormat="1" applyAlignment="1">
      <alignment horizontal="center"/>
    </xf>
    <xf numFmtId="184" fontId="0" fillId="0" borderId="0" xfId="0" applyNumberFormat="1" applyAlignment="1">
      <alignment horizontal="center"/>
    </xf>
    <xf numFmtId="0" fontId="0" fillId="0" borderId="0" xfId="0" applyAlignment="1">
      <alignment horizontal="centerContinuous"/>
    </xf>
    <xf numFmtId="181" fontId="0" fillId="0" borderId="0" xfId="0" applyNumberFormat="1" applyAlignment="1">
      <alignment horizontal="left"/>
    </xf>
    <xf numFmtId="185" fontId="0" fillId="0" borderId="0" xfId="0" applyNumberFormat="1"/>
    <xf numFmtId="0" fontId="5" fillId="0" borderId="0" xfId="0" applyFont="1"/>
    <xf numFmtId="0" fontId="1" fillId="0" borderId="0" xfId="0" applyFont="1" applyAlignment="1">
      <alignment horizontal="centerContinuous"/>
    </xf>
    <xf numFmtId="0" fontId="5" fillId="0" borderId="0" xfId="0" applyFont="1" applyAlignment="1">
      <alignment horizontal="center"/>
    </xf>
    <xf numFmtId="2" fontId="5" fillId="0" borderId="0" xfId="0" applyNumberFormat="1" applyFont="1" applyAlignment="1">
      <alignment horizontal="center"/>
    </xf>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9" fontId="0" fillId="0" borderId="0" xfId="1" applyFont="1" applyAlignment="1">
      <alignment horizontal="center"/>
    </xf>
    <xf numFmtId="181" fontId="4" fillId="0" borderId="0" xfId="0" applyNumberFormat="1" applyFont="1"/>
    <xf numFmtId="186" fontId="0" fillId="0" borderId="0" xfId="0" applyNumberFormat="1" applyFill="1" applyBorder="1" applyAlignment="1"/>
    <xf numFmtId="186" fontId="0" fillId="0" borderId="1" xfId="0" applyNumberFormat="1" applyFill="1" applyBorder="1" applyAlignment="1"/>
    <xf numFmtId="0" fontId="0" fillId="0" borderId="0" xfId="0" applyAlignment="1">
      <alignment horizontal="center" wrapText="1"/>
    </xf>
    <xf numFmtId="0" fontId="3" fillId="0" borderId="0" xfId="0" applyFont="1" applyFill="1" applyBorder="1" applyAlignment="1">
      <alignment horizontal="center" wrapText="1"/>
    </xf>
    <xf numFmtId="0" fontId="5" fillId="0" borderId="0" xfId="0" applyFont="1" applyAlignment="1">
      <alignment horizontal="center" vertical="center"/>
    </xf>
    <xf numFmtId="2" fontId="5" fillId="0" borderId="0" xfId="0" applyNumberFormat="1" applyFont="1" applyAlignment="1">
      <alignment horizontal="center" vertical="center"/>
    </xf>
    <xf numFmtId="0" fontId="0" fillId="0" borderId="0" xfId="0" applyAlignment="1">
      <alignment horizontal="center" vertical="center"/>
    </xf>
    <xf numFmtId="0" fontId="1" fillId="0" borderId="0" xfId="0" applyFont="1"/>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181" fontId="0" fillId="0" borderId="0" xfId="0" applyNumberFormat="1" applyAlignment="1">
      <alignment vertical="center"/>
    </xf>
    <xf numFmtId="181"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left"/>
    </xf>
  </cellXfs>
  <cellStyles count="2">
    <cellStyle name="Normal" xfId="0" builtinId="0"/>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0</xdr:colOff>
      <xdr:row>9</xdr:row>
      <xdr:rowOff>6350</xdr:rowOff>
    </xdr:from>
    <xdr:to>
      <xdr:col>8</xdr:col>
      <xdr:colOff>0</xdr:colOff>
      <xdr:row>12</xdr:row>
      <xdr:rowOff>0</xdr:rowOff>
    </xdr:to>
    <xdr:sp macro="" textlink="">
      <xdr:nvSpPr>
        <xdr:cNvPr id="1025" name="Rectangle 1">
          <a:extLst>
            <a:ext uri="{FF2B5EF4-FFF2-40B4-BE49-F238E27FC236}">
              <a16:creationId xmlns:a16="http://schemas.microsoft.com/office/drawing/2014/main" id="{C645E177-0E33-43D7-8658-85262C03A105}"/>
            </a:ext>
          </a:extLst>
        </xdr:cNvPr>
        <xdr:cNvSpPr>
          <a:spLocks noChangeArrowheads="1"/>
        </xdr:cNvSpPr>
      </xdr:nvSpPr>
      <xdr:spPr bwMode="auto">
        <a:xfrm>
          <a:off x="3987800" y="1479550"/>
          <a:ext cx="1282700" cy="476250"/>
        </a:xfrm>
        <a:prstGeom prst="rect">
          <a:avLst/>
        </a:prstGeom>
        <a:noFill/>
        <a:ln w="17145" cap="flat">
          <a:solidFill>
            <a:srgbClr xmlns:mc="http://schemas.openxmlformats.org/markup-compatibility/2006" xmlns:a14="http://schemas.microsoft.com/office/drawing/2010/main" val="000000" mc:Ignorable="a14" a14:legacySpreadsheetColorIndex="8"/>
          </a:solidFill>
          <a:prstDash val="solid"/>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6</xdr:col>
      <xdr:colOff>0</xdr:colOff>
      <xdr:row>19</xdr:row>
      <xdr:rowOff>0</xdr:rowOff>
    </xdr:from>
    <xdr:to>
      <xdr:col>8</xdr:col>
      <xdr:colOff>12700</xdr:colOff>
      <xdr:row>22</xdr:row>
      <xdr:rowOff>0</xdr:rowOff>
    </xdr:to>
    <xdr:sp macro="" textlink="">
      <xdr:nvSpPr>
        <xdr:cNvPr id="1026" name="Rectangle 2">
          <a:extLst>
            <a:ext uri="{FF2B5EF4-FFF2-40B4-BE49-F238E27FC236}">
              <a16:creationId xmlns:a16="http://schemas.microsoft.com/office/drawing/2014/main" id="{3139F166-D1C0-4A26-ABEC-DB3A61811810}"/>
            </a:ext>
          </a:extLst>
        </xdr:cNvPr>
        <xdr:cNvSpPr>
          <a:spLocks noChangeArrowheads="1"/>
        </xdr:cNvSpPr>
      </xdr:nvSpPr>
      <xdr:spPr bwMode="auto">
        <a:xfrm>
          <a:off x="3987800" y="3067050"/>
          <a:ext cx="1295400" cy="482600"/>
        </a:xfrm>
        <a:prstGeom prst="rect">
          <a:avLst/>
        </a:prstGeom>
        <a:noFill/>
        <a:ln w="17145" cap="flat">
          <a:solidFill>
            <a:srgbClr xmlns:mc="http://schemas.openxmlformats.org/markup-compatibility/2006" xmlns:a14="http://schemas.microsoft.com/office/drawing/2010/main" val="000000" mc:Ignorable="a14" a14:legacySpreadsheetColorIndex="8"/>
          </a:solidFill>
          <a:prstDash val="solid"/>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7</xdr:col>
      <xdr:colOff>12700</xdr:colOff>
      <xdr:row>4</xdr:row>
      <xdr:rowOff>6350</xdr:rowOff>
    </xdr:from>
    <xdr:to>
      <xdr:col>7</xdr:col>
      <xdr:colOff>12700</xdr:colOff>
      <xdr:row>9</xdr:row>
      <xdr:rowOff>6350</xdr:rowOff>
    </xdr:to>
    <xdr:sp macro="" textlink="">
      <xdr:nvSpPr>
        <xdr:cNvPr id="1027" name="Line 3">
          <a:extLst>
            <a:ext uri="{FF2B5EF4-FFF2-40B4-BE49-F238E27FC236}">
              <a16:creationId xmlns:a16="http://schemas.microsoft.com/office/drawing/2014/main" id="{BB973A99-F1AE-41E5-89BC-5B5B837EF60E}"/>
            </a:ext>
          </a:extLst>
        </xdr:cNvPr>
        <xdr:cNvSpPr>
          <a:spLocks noChangeShapeType="1"/>
        </xdr:cNvSpPr>
      </xdr:nvSpPr>
      <xdr:spPr bwMode="auto">
        <a:xfrm>
          <a:off x="4641850" y="654050"/>
          <a:ext cx="0" cy="82550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12</xdr:row>
      <xdr:rowOff>0</xdr:rowOff>
    </xdr:from>
    <xdr:to>
      <xdr:col>7</xdr:col>
      <xdr:colOff>12700</xdr:colOff>
      <xdr:row>19</xdr:row>
      <xdr:rowOff>0</xdr:rowOff>
    </xdr:to>
    <xdr:sp macro="" textlink="">
      <xdr:nvSpPr>
        <xdr:cNvPr id="1028" name="Line 4">
          <a:extLst>
            <a:ext uri="{FF2B5EF4-FFF2-40B4-BE49-F238E27FC236}">
              <a16:creationId xmlns:a16="http://schemas.microsoft.com/office/drawing/2014/main" id="{201E278E-1357-4769-BBCB-1B3F63C8B3CF}"/>
            </a:ext>
          </a:extLst>
        </xdr:cNvPr>
        <xdr:cNvSpPr>
          <a:spLocks noChangeShapeType="1"/>
        </xdr:cNvSpPr>
      </xdr:nvSpPr>
      <xdr:spPr bwMode="auto">
        <a:xfrm>
          <a:off x="4641850" y="1955800"/>
          <a:ext cx="0" cy="111125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0</xdr:rowOff>
    </xdr:from>
    <xdr:to>
      <xdr:col>7</xdr:col>
      <xdr:colOff>0</xdr:colOff>
      <xdr:row>27</xdr:row>
      <xdr:rowOff>152400</xdr:rowOff>
    </xdr:to>
    <xdr:sp macro="" textlink="">
      <xdr:nvSpPr>
        <xdr:cNvPr id="1029" name="Line 5">
          <a:extLst>
            <a:ext uri="{FF2B5EF4-FFF2-40B4-BE49-F238E27FC236}">
              <a16:creationId xmlns:a16="http://schemas.microsoft.com/office/drawing/2014/main" id="{0A7BB308-0EEF-4FBE-8A5D-50CB502D9624}"/>
            </a:ext>
          </a:extLst>
        </xdr:cNvPr>
        <xdr:cNvSpPr>
          <a:spLocks noChangeShapeType="1"/>
        </xdr:cNvSpPr>
      </xdr:nvSpPr>
      <xdr:spPr bwMode="auto">
        <a:xfrm>
          <a:off x="4629150" y="3549650"/>
          <a:ext cx="0" cy="94615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10</xdr:row>
      <xdr:rowOff>76200</xdr:rowOff>
    </xdr:from>
    <xdr:to>
      <xdr:col>5</xdr:col>
      <xdr:colOff>628650</xdr:colOff>
      <xdr:row>20</xdr:row>
      <xdr:rowOff>88900</xdr:rowOff>
    </xdr:to>
    <xdr:sp macro="" textlink="">
      <xdr:nvSpPr>
        <xdr:cNvPr id="1030" name="Drawing 6">
          <a:extLst>
            <a:ext uri="{FF2B5EF4-FFF2-40B4-BE49-F238E27FC236}">
              <a16:creationId xmlns:a16="http://schemas.microsoft.com/office/drawing/2014/main" id="{252B27EF-569D-4AA5-B55B-41F983355564}"/>
            </a:ext>
          </a:extLst>
        </xdr:cNvPr>
        <xdr:cNvSpPr>
          <a:spLocks/>
        </xdr:cNvSpPr>
      </xdr:nvSpPr>
      <xdr:spPr bwMode="auto">
        <a:xfrm>
          <a:off x="2705100" y="1708150"/>
          <a:ext cx="1270000" cy="1606550"/>
        </a:xfrm>
        <a:custGeom>
          <a:avLst/>
          <a:gdLst>
            <a:gd name="T0" fmla="*/ 16384 w 16384"/>
            <a:gd name="T1" fmla="*/ 16384 h 16384"/>
            <a:gd name="T2" fmla="*/ 0 w 16384"/>
            <a:gd name="T3" fmla="*/ 16384 h 16384"/>
            <a:gd name="T4" fmla="*/ 0 w 16384"/>
            <a:gd name="T5" fmla="*/ 0 h 16384"/>
            <a:gd name="T6" fmla="*/ 16255 w 16384"/>
            <a:gd name="T7" fmla="*/ 0 h 16384"/>
          </a:gdLst>
          <a:ahLst/>
          <a:cxnLst>
            <a:cxn ang="0">
              <a:pos x="T0" y="T1"/>
            </a:cxn>
            <a:cxn ang="0">
              <a:pos x="T2" y="T3"/>
            </a:cxn>
            <a:cxn ang="0">
              <a:pos x="T4" y="T5"/>
            </a:cxn>
            <a:cxn ang="0">
              <a:pos x="T6" y="T7"/>
            </a:cxn>
          </a:cxnLst>
          <a:rect l="0" t="0" r="r" b="b"/>
          <a:pathLst>
            <a:path w="16384" h="16384">
              <a:moveTo>
                <a:pt x="16384" y="16384"/>
              </a:moveTo>
              <a:lnTo>
                <a:pt x="0" y="16384"/>
              </a:lnTo>
              <a:lnTo>
                <a:pt x="0" y="0"/>
              </a:lnTo>
              <a:lnTo>
                <a:pt x="16255" y="0"/>
              </a:lnTo>
            </a:path>
          </a:pathLst>
        </a:custGeom>
        <a:noFill/>
        <a:ln w="17145" cap="flat">
          <a:solidFill>
            <a:srgbClr xmlns:mc="http://schemas.openxmlformats.org/markup-compatibility/2006" xmlns:a14="http://schemas.microsoft.com/office/drawing/2010/main" val="000000" mc:Ignorable="a14" a14:legacySpreadsheetColorIndex="8"/>
          </a:solidFill>
          <a:prstDash val="solid"/>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5</xdr:col>
      <xdr:colOff>292100</xdr:colOff>
      <xdr:row>10</xdr:row>
      <xdr:rowOff>76200</xdr:rowOff>
    </xdr:from>
    <xdr:to>
      <xdr:col>5</xdr:col>
      <xdr:colOff>635000</xdr:colOff>
      <xdr:row>10</xdr:row>
      <xdr:rowOff>76200</xdr:rowOff>
    </xdr:to>
    <xdr:sp macro="" textlink="">
      <xdr:nvSpPr>
        <xdr:cNvPr id="1031" name="Line 7">
          <a:extLst>
            <a:ext uri="{FF2B5EF4-FFF2-40B4-BE49-F238E27FC236}">
              <a16:creationId xmlns:a16="http://schemas.microsoft.com/office/drawing/2014/main" id="{98450B89-1661-4485-B807-81F7D0B2A70C}"/>
            </a:ext>
          </a:extLst>
        </xdr:cNvPr>
        <xdr:cNvSpPr>
          <a:spLocks noChangeShapeType="1"/>
        </xdr:cNvSpPr>
      </xdr:nvSpPr>
      <xdr:spPr bwMode="auto">
        <a:xfrm flipV="1">
          <a:off x="3638550" y="1708150"/>
          <a:ext cx="34290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12700</xdr:colOff>
      <xdr:row>12</xdr:row>
      <xdr:rowOff>0</xdr:rowOff>
    </xdr:from>
    <xdr:to>
      <xdr:col>4</xdr:col>
      <xdr:colOff>0</xdr:colOff>
      <xdr:row>12</xdr:row>
      <xdr:rowOff>0</xdr:rowOff>
    </xdr:to>
    <xdr:sp macro="" textlink="">
      <xdr:nvSpPr>
        <xdr:cNvPr id="1032" name="Line 8">
          <a:extLst>
            <a:ext uri="{FF2B5EF4-FFF2-40B4-BE49-F238E27FC236}">
              <a16:creationId xmlns:a16="http://schemas.microsoft.com/office/drawing/2014/main" id="{64B6D234-0C9B-48F3-A9E4-001E099D5B00}"/>
            </a:ext>
          </a:extLst>
        </xdr:cNvPr>
        <xdr:cNvSpPr>
          <a:spLocks noChangeShapeType="1"/>
        </xdr:cNvSpPr>
      </xdr:nvSpPr>
      <xdr:spPr bwMode="auto">
        <a:xfrm flipH="1">
          <a:off x="654050" y="1955800"/>
          <a:ext cx="2051050" cy="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12700</xdr:colOff>
      <xdr:row>29</xdr:row>
      <xdr:rowOff>88900</xdr:rowOff>
    </xdr:from>
    <xdr:to>
      <xdr:col>10</xdr:col>
      <xdr:colOff>57150</xdr:colOff>
      <xdr:row>29</xdr:row>
      <xdr:rowOff>88900</xdr:rowOff>
    </xdr:to>
    <xdr:sp macro="" textlink="">
      <xdr:nvSpPr>
        <xdr:cNvPr id="1033" name="Line 9">
          <a:extLst>
            <a:ext uri="{FF2B5EF4-FFF2-40B4-BE49-F238E27FC236}">
              <a16:creationId xmlns:a16="http://schemas.microsoft.com/office/drawing/2014/main" id="{C3CA174B-6E02-4EB1-A3C6-F753EA7595B3}"/>
            </a:ext>
          </a:extLst>
        </xdr:cNvPr>
        <xdr:cNvSpPr>
          <a:spLocks noChangeShapeType="1"/>
        </xdr:cNvSpPr>
      </xdr:nvSpPr>
      <xdr:spPr bwMode="auto">
        <a:xfrm>
          <a:off x="5283200" y="4749800"/>
          <a:ext cx="1136650" cy="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628650</xdr:colOff>
      <xdr:row>28</xdr:row>
      <xdr:rowOff>0</xdr:rowOff>
    </xdr:from>
    <xdr:to>
      <xdr:col>7</xdr:col>
      <xdr:colOff>939800</xdr:colOff>
      <xdr:row>31</xdr:row>
      <xdr:rowOff>0</xdr:rowOff>
    </xdr:to>
    <xdr:sp macro="" textlink="">
      <xdr:nvSpPr>
        <xdr:cNvPr id="1034" name="Rectangle 10">
          <a:extLst>
            <a:ext uri="{FF2B5EF4-FFF2-40B4-BE49-F238E27FC236}">
              <a16:creationId xmlns:a16="http://schemas.microsoft.com/office/drawing/2014/main" id="{BC6482EA-BD31-4832-84E3-210FC38A43F3}"/>
            </a:ext>
          </a:extLst>
        </xdr:cNvPr>
        <xdr:cNvSpPr>
          <a:spLocks noChangeArrowheads="1"/>
        </xdr:cNvSpPr>
      </xdr:nvSpPr>
      <xdr:spPr bwMode="auto">
        <a:xfrm>
          <a:off x="3975100" y="4502150"/>
          <a:ext cx="1295400" cy="482600"/>
        </a:xfrm>
        <a:prstGeom prst="rect">
          <a:avLst/>
        </a:prstGeom>
        <a:noFill/>
        <a:ln w="17145" cap="flat">
          <a:solidFill>
            <a:srgbClr xmlns:mc="http://schemas.openxmlformats.org/markup-compatibility/2006" xmlns:a14="http://schemas.microsoft.com/office/drawing/2010/main" val="000000" mc:Ignorable="a14" a14:legacySpreadsheetColorIndex="8"/>
          </a:solidFill>
          <a:prstDash val="solid"/>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7</xdr:col>
      <xdr:colOff>0</xdr:colOff>
      <xdr:row>31</xdr:row>
      <xdr:rowOff>6350</xdr:rowOff>
    </xdr:from>
    <xdr:to>
      <xdr:col>7</xdr:col>
      <xdr:colOff>0</xdr:colOff>
      <xdr:row>36</xdr:row>
      <xdr:rowOff>25400</xdr:rowOff>
    </xdr:to>
    <xdr:sp macro="" textlink="">
      <xdr:nvSpPr>
        <xdr:cNvPr id="1035" name="Line 11">
          <a:extLst>
            <a:ext uri="{FF2B5EF4-FFF2-40B4-BE49-F238E27FC236}">
              <a16:creationId xmlns:a16="http://schemas.microsoft.com/office/drawing/2014/main" id="{3183185B-0B1F-4AE7-A2FE-03487F97CF27}"/>
            </a:ext>
          </a:extLst>
        </xdr:cNvPr>
        <xdr:cNvSpPr>
          <a:spLocks noChangeShapeType="1"/>
        </xdr:cNvSpPr>
      </xdr:nvSpPr>
      <xdr:spPr bwMode="auto">
        <a:xfrm>
          <a:off x="4629150" y="4991100"/>
          <a:ext cx="0" cy="81280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31750</xdr:colOff>
      <xdr:row>29</xdr:row>
      <xdr:rowOff>88900</xdr:rowOff>
    </xdr:from>
    <xdr:to>
      <xdr:col>5</xdr:col>
      <xdr:colOff>635000</xdr:colOff>
      <xdr:row>29</xdr:row>
      <xdr:rowOff>88900</xdr:rowOff>
    </xdr:to>
    <xdr:sp macro="" textlink="">
      <xdr:nvSpPr>
        <xdr:cNvPr id="1039" name="Line 15">
          <a:extLst>
            <a:ext uri="{FF2B5EF4-FFF2-40B4-BE49-F238E27FC236}">
              <a16:creationId xmlns:a16="http://schemas.microsoft.com/office/drawing/2014/main" id="{7F45255F-E01C-4ADA-9247-A0B3D51A6A0F}"/>
            </a:ext>
          </a:extLst>
        </xdr:cNvPr>
        <xdr:cNvSpPr>
          <a:spLocks noChangeShapeType="1"/>
        </xdr:cNvSpPr>
      </xdr:nvSpPr>
      <xdr:spPr bwMode="auto">
        <a:xfrm flipH="1">
          <a:off x="3378200" y="4749800"/>
          <a:ext cx="603250" cy="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20</xdr:row>
      <xdr:rowOff>127000</xdr:rowOff>
    </xdr:from>
    <xdr:to>
      <xdr:col>5</xdr:col>
      <xdr:colOff>0</xdr:colOff>
      <xdr:row>29</xdr:row>
      <xdr:rowOff>88900</xdr:rowOff>
    </xdr:to>
    <xdr:sp macro="" textlink="">
      <xdr:nvSpPr>
        <xdr:cNvPr id="1041" name="Line 17">
          <a:extLst>
            <a:ext uri="{FF2B5EF4-FFF2-40B4-BE49-F238E27FC236}">
              <a16:creationId xmlns:a16="http://schemas.microsoft.com/office/drawing/2014/main" id="{90869DF2-1D90-4B47-83E6-1B24CFD612A9}"/>
            </a:ext>
          </a:extLst>
        </xdr:cNvPr>
        <xdr:cNvSpPr>
          <a:spLocks noChangeShapeType="1"/>
        </xdr:cNvSpPr>
      </xdr:nvSpPr>
      <xdr:spPr bwMode="auto">
        <a:xfrm flipV="1">
          <a:off x="3346450" y="3352800"/>
          <a:ext cx="0" cy="1397000"/>
        </a:xfrm>
        <a:prstGeom prst="line">
          <a:avLst/>
        </a:prstGeom>
        <a:noFill/>
        <a:ln w="17145" cap="flat">
          <a:solidFill>
            <a:srgbClr xmlns:mc="http://schemas.openxmlformats.org/markup-compatibility/2006" xmlns:a14="http://schemas.microsoft.com/office/drawing/2010/main" val="000000" mc:Ignorable="a14" a14:legacySpreadsheetColorIndex="8"/>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400050</xdr:colOff>
      <xdr:row>33</xdr:row>
      <xdr:rowOff>25400</xdr:rowOff>
    </xdr:from>
    <xdr:to>
      <xdr:col>12</xdr:col>
      <xdr:colOff>190500</xdr:colOff>
      <xdr:row>35</xdr:row>
      <xdr:rowOff>76200</xdr:rowOff>
    </xdr:to>
    <xdr:sp macro="" textlink="">
      <xdr:nvSpPr>
        <xdr:cNvPr id="2050" name="Line 2">
          <a:extLst>
            <a:ext uri="{FF2B5EF4-FFF2-40B4-BE49-F238E27FC236}">
              <a16:creationId xmlns:a16="http://schemas.microsoft.com/office/drawing/2014/main" id="{4214C2C4-559F-4A6D-BB10-933B2B562EDF}"/>
            </a:ext>
          </a:extLst>
        </xdr:cNvPr>
        <xdr:cNvSpPr>
          <a:spLocks noChangeShapeType="1"/>
        </xdr:cNvSpPr>
      </xdr:nvSpPr>
      <xdr:spPr bwMode="auto">
        <a:xfrm>
          <a:off x="6661150" y="5264150"/>
          <a:ext cx="1022350" cy="36830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6"/>
  <sheetViews>
    <sheetView workbookViewId="0"/>
  </sheetViews>
  <sheetFormatPr defaultColWidth="9.1796875" defaultRowHeight="12.5" x14ac:dyDescent="0.25"/>
  <cols>
    <col min="1" max="1" width="9.1796875" style="3"/>
    <col min="2" max="2" width="11.1796875" style="6" customWidth="1"/>
    <col min="3" max="3" width="9.1796875" style="4"/>
    <col min="4" max="4" width="9.1796875" style="6"/>
    <col min="5" max="5" width="9.1796875" style="4"/>
    <col min="6" max="6" width="9.1796875" style="3"/>
    <col min="7" max="7" width="9.1796875" style="6"/>
    <col min="8" max="8" width="9.1796875" style="4"/>
    <col min="9" max="9" width="9.1796875" style="3"/>
    <col min="10" max="10" width="6.453125" style="3" customWidth="1"/>
    <col min="11" max="16384" width="9.1796875" style="3"/>
  </cols>
  <sheetData>
    <row r="1" spans="1:11" ht="13" x14ac:dyDescent="0.3">
      <c r="A1" s="2"/>
      <c r="G1" s="6" t="s">
        <v>0</v>
      </c>
      <c r="H1" s="4">
        <v>100</v>
      </c>
      <c r="I1" s="3" t="s">
        <v>1</v>
      </c>
    </row>
    <row r="2" spans="1:11" x14ac:dyDescent="0.25">
      <c r="D2" s="6" t="s">
        <v>2</v>
      </c>
      <c r="E2" s="17">
        <v>0</v>
      </c>
      <c r="G2" s="6" t="s">
        <v>3</v>
      </c>
      <c r="H2" s="17">
        <f ca="1">IF(SELECT=0,SOLUTION,SELECT)</f>
        <v>0.67200595181461709</v>
      </c>
    </row>
    <row r="3" spans="1:11" ht="13" x14ac:dyDescent="0.3">
      <c r="A3" s="5"/>
      <c r="D3" s="6" t="s">
        <v>4</v>
      </c>
      <c r="E3" s="21">
        <f>'Eqn. Solve'!F7</f>
        <v>73.549756646995178</v>
      </c>
      <c r="G3" s="6" t="s">
        <v>5</v>
      </c>
      <c r="H3" s="1">
        <v>0.99</v>
      </c>
    </row>
    <row r="4" spans="1:11" x14ac:dyDescent="0.25">
      <c r="C4" s="16"/>
      <c r="G4" s="6" t="s">
        <v>6</v>
      </c>
      <c r="H4" s="33">
        <v>0.1</v>
      </c>
    </row>
    <row r="5" spans="1:11" x14ac:dyDescent="0.25">
      <c r="A5"/>
    </row>
    <row r="6" spans="1:11" ht="15" x14ac:dyDescent="0.3">
      <c r="A6" s="23" t="str">
        <f>IF(OR(TEMP&lt;100,TEMP&gt;500),"WARNING! Temperature is outside bounds of experimental data.","")</f>
        <v/>
      </c>
      <c r="B6" s="42" t="s">
        <v>7</v>
      </c>
      <c r="G6" s="6" t="s">
        <v>8</v>
      </c>
      <c r="H6" s="4">
        <f>BASIS*PURITY</f>
        <v>99</v>
      </c>
      <c r="I6" s="6" t="s">
        <v>9</v>
      </c>
      <c r="J6" s="11">
        <v>170</v>
      </c>
      <c r="K6" s="34" t="s">
        <v>10</v>
      </c>
    </row>
    <row r="7" spans="1:11" x14ac:dyDescent="0.25">
      <c r="B7" s="8" t="s">
        <v>11</v>
      </c>
      <c r="C7" s="8"/>
      <c r="G7" s="6" t="s">
        <v>12</v>
      </c>
      <c r="H7" s="4">
        <f ca="1">MAX(0.01,2*(FEEDR1-PURR1)*(1+XSR2))</f>
        <v>201.92607607274536</v>
      </c>
      <c r="I7" s="6" t="s">
        <v>13</v>
      </c>
      <c r="J7" s="3">
        <v>4</v>
      </c>
      <c r="K7" s="3" t="s">
        <v>14</v>
      </c>
    </row>
    <row r="8" spans="1:11" x14ac:dyDescent="0.25">
      <c r="G8" s="6" t="s">
        <v>15</v>
      </c>
      <c r="H8" s="4">
        <f>BASIS*(1-PURITY)</f>
        <v>1.0000000000000009</v>
      </c>
      <c r="I8" s="6" t="s">
        <v>16</v>
      </c>
      <c r="J8" s="3">
        <v>1</v>
      </c>
    </row>
    <row r="10" spans="1:11" x14ac:dyDescent="0.25">
      <c r="I10" s="3" t="str">
        <f>IF(OR(TEMP&lt;100,TEMP&gt;499),"WARNING! Temperature is outside","")</f>
        <v/>
      </c>
    </row>
    <row r="11" spans="1:11" ht="13" x14ac:dyDescent="0.3">
      <c r="B11"/>
      <c r="C11"/>
      <c r="G11" s="7" t="s">
        <v>17</v>
      </c>
      <c r="H11" s="8"/>
      <c r="I11" s="3" t="str">
        <f>IF(OR(TEMP&lt;100,TEMP&gt;499),"of range of table of Keq values.","")</f>
        <v/>
      </c>
      <c r="J11"/>
    </row>
    <row r="12" spans="1:11" x14ac:dyDescent="0.25">
      <c r="B12" s="6" t="s">
        <v>8</v>
      </c>
      <c r="C12" s="4">
        <f ca="1">MIN(RECYR1,PURR3*RECYR1/MAX(0.01,RECYR3))</f>
        <v>7.2154201944965104</v>
      </c>
      <c r="I12"/>
      <c r="J12"/>
    </row>
    <row r="13" spans="1:11" x14ac:dyDescent="0.25">
      <c r="B13" s="14" t="s">
        <v>12</v>
      </c>
      <c r="C13" s="4">
        <f ca="1">PURR3*RECYR2/MAX(0.01,RECYR3)</f>
        <v>1.4699051505793364</v>
      </c>
      <c r="I13"/>
      <c r="J13"/>
    </row>
    <row r="14" spans="1:11" x14ac:dyDescent="0.25">
      <c r="B14" s="6" t="s">
        <v>15</v>
      </c>
      <c r="C14" s="20">
        <v>1</v>
      </c>
    </row>
    <row r="15" spans="1:11" x14ac:dyDescent="0.25">
      <c r="B15" s="6" t="s">
        <v>18</v>
      </c>
      <c r="C15" s="4">
        <f ca="1">MIN(RECYP,PURR3*RECYP/MAX(0.01,RECYR3))</f>
        <v>0.31382007443775323</v>
      </c>
      <c r="D15" s="6" t="s">
        <v>8</v>
      </c>
      <c r="E15" s="4">
        <f ca="1">MAX(0.01,F24+Flash!D37)</f>
        <v>44.711838344306095</v>
      </c>
      <c r="G15" s="6" t="s">
        <v>8</v>
      </c>
      <c r="H15" s="4">
        <f ca="1">(1-CONV)*(FEEDR1+RECYR1-PURR1)</f>
        <v>44.770012751760817</v>
      </c>
      <c r="I15"/>
    </row>
    <row r="16" spans="1:11" x14ac:dyDescent="0.25">
      <c r="D16" s="14" t="s">
        <v>12</v>
      </c>
      <c r="E16" s="4">
        <f ca="1">MAX(0.01,Flash!D38)</f>
        <v>9.1085701403205519</v>
      </c>
      <c r="G16" s="6" t="s">
        <v>12</v>
      </c>
      <c r="H16" s="4">
        <f ca="1">FEEDR2+RECYR2-PURR2-EXITP</f>
        <v>26.111929890809989</v>
      </c>
      <c r="I16"/>
    </row>
    <row r="17" spans="1:10" x14ac:dyDescent="0.25">
      <c r="A17"/>
      <c r="B17" s="6" t="s">
        <v>19</v>
      </c>
      <c r="C17" s="19">
        <f ca="1">RECYR3/(RECYR3+RECYR2+RECYR1+RECYP)</f>
        <v>0.10000854459816742</v>
      </c>
      <c r="D17" s="6" t="s">
        <v>15</v>
      </c>
      <c r="E17" s="4">
        <f ca="1">MAX(0.01,F25+Flash!D39)</f>
        <v>6.1967059091737386</v>
      </c>
      <c r="G17" s="6" t="s">
        <v>15</v>
      </c>
      <c r="H17" s="4">
        <f ca="1">FEEDR3+RECYR3-PURR3</f>
        <v>6.1967059091737395</v>
      </c>
      <c r="I17"/>
    </row>
    <row r="18" spans="1:10" x14ac:dyDescent="0.25">
      <c r="A18"/>
      <c r="C18" s="6"/>
      <c r="D18" s="6" t="s">
        <v>18</v>
      </c>
      <c r="E18" s="4">
        <f ca="1">MAX(0.01,Flash!D40)</f>
        <v>1.944650767619063</v>
      </c>
      <c r="G18" s="6" t="s">
        <v>18</v>
      </c>
      <c r="H18" s="4">
        <f ca="1">2*CONV*(FEEDR1+RECYR1-PURR1)</f>
        <v>183.45281079609754</v>
      </c>
      <c r="I18"/>
    </row>
    <row r="19" spans="1:10" x14ac:dyDescent="0.25">
      <c r="A19"/>
      <c r="B19" s="6" t="s">
        <v>20</v>
      </c>
      <c r="C19" s="18">
        <v>0.1</v>
      </c>
      <c r="D19"/>
      <c r="E19"/>
      <c r="G19"/>
      <c r="H19"/>
    </row>
    <row r="20" spans="1:10" x14ac:dyDescent="0.25">
      <c r="A20"/>
      <c r="C20" s="6"/>
      <c r="I20"/>
      <c r="J20"/>
    </row>
    <row r="21" spans="1:10" ht="13" x14ac:dyDescent="0.3">
      <c r="A21"/>
      <c r="B21" s="6" t="s">
        <v>21</v>
      </c>
      <c r="C21" s="6">
        <v>4</v>
      </c>
      <c r="G21" s="26" t="s">
        <v>22</v>
      </c>
      <c r="H21" s="8"/>
    </row>
    <row r="24" spans="1:10" x14ac:dyDescent="0.25">
      <c r="E24" s="6" t="s">
        <v>8</v>
      </c>
      <c r="F24" s="4">
        <f ca="1">H24-H33</f>
        <v>5.7590201352814203</v>
      </c>
      <c r="G24" s="6" t="s">
        <v>8</v>
      </c>
      <c r="H24" s="4">
        <f ca="1">Flash!E37</f>
        <v>5.8171920678847489</v>
      </c>
    </row>
    <row r="25" spans="1:10" x14ac:dyDescent="0.25">
      <c r="E25" s="6" t="s">
        <v>15</v>
      </c>
      <c r="F25" s="4">
        <f ca="1">H26</f>
        <v>0.97479633754716022</v>
      </c>
      <c r="G25" s="14" t="s">
        <v>12</v>
      </c>
      <c r="H25" s="4">
        <f ca="1">Flash!E38</f>
        <v>17.003359573744767</v>
      </c>
    </row>
    <row r="26" spans="1:10" x14ac:dyDescent="0.25">
      <c r="E26"/>
      <c r="F26"/>
      <c r="G26" s="6" t="s">
        <v>15</v>
      </c>
      <c r="H26" s="4">
        <f ca="1">Flash!E39</f>
        <v>0.97479631014344914</v>
      </c>
    </row>
    <row r="27" spans="1:10" x14ac:dyDescent="0.25">
      <c r="G27" s="6" t="s">
        <v>18</v>
      </c>
      <c r="H27" s="4">
        <f ca="1">Flash!E40</f>
        <v>181.50816065419272</v>
      </c>
    </row>
    <row r="28" spans="1:10" x14ac:dyDescent="0.25">
      <c r="G28"/>
      <c r="H28"/>
    </row>
    <row r="29" spans="1:10" x14ac:dyDescent="0.25">
      <c r="I29" s="6" t="s">
        <v>12</v>
      </c>
      <c r="J29" s="4">
        <f ca="1">H25-H34</f>
        <v>16.663292379093253</v>
      </c>
    </row>
    <row r="30" spans="1:10" ht="13" x14ac:dyDescent="0.3">
      <c r="G30" s="7" t="s">
        <v>23</v>
      </c>
      <c r="H30" s="22"/>
    </row>
    <row r="33" spans="7:8" x14ac:dyDescent="0.25">
      <c r="G33" s="6" t="s">
        <v>8</v>
      </c>
      <c r="H33" s="4">
        <f ca="1">0.01*H24</f>
        <v>5.8171920678847487E-2</v>
      </c>
    </row>
    <row r="34" spans="7:8" x14ac:dyDescent="0.25">
      <c r="G34" s="6" t="s">
        <v>12</v>
      </c>
      <c r="H34" s="4">
        <f ca="1">0.02*H25</f>
        <v>0.34006719147489534</v>
      </c>
    </row>
    <row r="35" spans="7:8" x14ac:dyDescent="0.25">
      <c r="G35" s="6" t="s">
        <v>18</v>
      </c>
      <c r="H35" s="4">
        <f ca="1">H27</f>
        <v>181.50816065419272</v>
      </c>
    </row>
    <row r="36" spans="7:8" x14ac:dyDescent="0.25">
      <c r="G36"/>
      <c r="H36"/>
    </row>
  </sheetData>
  <printOptions headings="1" gridLines="1" gridLinesSet="0"/>
  <pageMargins left="0.75" right="0.75" top="1" bottom="1" header="0.5" footer="0.5"/>
  <pageSetup orientation="portrait" horizontalDpi="4294967292" r:id="rId1"/>
  <headerFooter alignWithMargins="0">
    <oddHeader>&amp;A</oddHeader>
    <oddFooter>Page &amp;P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0"/>
  <sheetViews>
    <sheetView workbookViewId="0"/>
  </sheetViews>
  <sheetFormatPr defaultColWidth="8.81640625" defaultRowHeight="12.5" x14ac:dyDescent="0.25"/>
  <cols>
    <col min="1" max="1" width="5.1796875" customWidth="1"/>
  </cols>
  <sheetData>
    <row r="2" spans="1:9" x14ac:dyDescent="0.25">
      <c r="B2" s="10" t="s">
        <v>24</v>
      </c>
      <c r="C2" s="10" t="s">
        <v>25</v>
      </c>
      <c r="E2" s="22" t="s">
        <v>26</v>
      </c>
      <c r="F2" s="22"/>
      <c r="G2" s="22"/>
      <c r="H2" s="22"/>
    </row>
    <row r="3" spans="1:9" x14ac:dyDescent="0.25">
      <c r="A3" t="s">
        <v>27</v>
      </c>
      <c r="B3" s="24">
        <f ca="1">EXITR1/SUM(Flowsheet!H15:H18)</f>
        <v>0.17184109720836011</v>
      </c>
      <c r="C3">
        <v>25</v>
      </c>
      <c r="E3" s="22" t="s">
        <v>28</v>
      </c>
      <c r="F3" s="22"/>
      <c r="G3" s="22"/>
      <c r="H3" s="22"/>
    </row>
    <row r="4" spans="1:9" x14ac:dyDescent="0.25">
      <c r="A4" t="s">
        <v>29</v>
      </c>
      <c r="B4" s="24">
        <f ca="1">EXITR2/SUM(Flowsheet!H15:H18)</f>
        <v>0.10022563123169152</v>
      </c>
      <c r="C4">
        <v>2</v>
      </c>
    </row>
    <row r="5" spans="1:9" x14ac:dyDescent="0.25">
      <c r="A5" t="s">
        <v>30</v>
      </c>
      <c r="B5" s="24">
        <f ca="1">EXITR3/SUM(Flowsheet!H15:H18)</f>
        <v>2.3784866457140005E-2</v>
      </c>
      <c r="C5">
        <v>20</v>
      </c>
    </row>
    <row r="6" spans="1:9" x14ac:dyDescent="0.25">
      <c r="A6" t="s">
        <v>31</v>
      </c>
      <c r="B6" s="24">
        <f ca="1">EXITP/SUM(Flowsheet!H15:H18)</f>
        <v>0.70414840510280818</v>
      </c>
      <c r="C6">
        <v>0.04</v>
      </c>
    </row>
    <row r="7" spans="1:9" x14ac:dyDescent="0.25">
      <c r="A7" t="s">
        <v>32</v>
      </c>
      <c r="B7" s="24">
        <f ca="1">SUM(B3:B6)</f>
        <v>0.99999999999999978</v>
      </c>
    </row>
    <row r="8" spans="1:9" x14ac:dyDescent="0.25">
      <c r="D8" s="10" t="s">
        <v>33</v>
      </c>
      <c r="E8" s="10" t="s">
        <v>34</v>
      </c>
      <c r="F8" s="10" t="s">
        <v>35</v>
      </c>
      <c r="G8" s="10" t="s">
        <v>36</v>
      </c>
      <c r="H8" s="10" t="s">
        <v>37</v>
      </c>
      <c r="I8" s="10" t="s">
        <v>38</v>
      </c>
    </row>
    <row r="9" spans="1:9" x14ac:dyDescent="0.25">
      <c r="D9">
        <v>0</v>
      </c>
      <c r="E9">
        <f t="shared" ref="E9:E22" ca="1" si="0">_ZR1*(1-_KR1)/(1+D9*(_KR1-1))+_ZR2*(1-_KR2)/(1+D9*(_KR2-1))+_ZR3*(1-_KR3)/(1+D9*(_KR3-1))+ZP*(1-KP)/(1+D9*(KP-1))</f>
        <v>-4.0003419580192974</v>
      </c>
      <c r="F9">
        <v>1</v>
      </c>
      <c r="G9">
        <f t="shared" ref="G9:G22" ca="1" si="1">_ZR1*(1-_KR1)/(1+F9*(_KR1-1))+_ZR2*(1-_KR2)/(1+F9*(_KR2-1))+_ZR3*(1-_KR3)/(1+F9*(_KR3-1))+ZP*(1-KP)/(1+F9*(KP-1))</f>
        <v>16.661885830397228</v>
      </c>
      <c r="H9">
        <f ca="1">(D9*G9-F9*E9)/(G9-E9)</f>
        <v>0.19360651711825252</v>
      </c>
      <c r="I9">
        <f t="shared" ref="I9:I22" ca="1" si="2">_ZR1*(1-_KR1)/(1+H9*(_KR1-1))+_ZR2*(1-_KR2)/(1+H9*(_KR2-1))+_ZR3*(1-_KR3)/(1+H9*(_KR3-1))+ZP*(1-KP)/(1+H9*(KP-1))</f>
        <v>-8.0646550414808171E-2</v>
      </c>
    </row>
    <row r="10" spans="1:9" x14ac:dyDescent="0.25">
      <c r="D10">
        <f ca="1">IF(E9*I9&gt;0,H9,D9)</f>
        <v>0.19360651711825252</v>
      </c>
      <c r="E10">
        <f t="shared" ca="1" si="0"/>
        <v>-8.0646550414808171E-2</v>
      </c>
      <c r="F10">
        <f ca="1">IF(E9*I9&gt;0,F9,H9)</f>
        <v>1</v>
      </c>
      <c r="G10">
        <f t="shared" ca="1" si="1"/>
        <v>16.661885830397228</v>
      </c>
      <c r="H10">
        <f t="shared" ref="H10:H22" ca="1" si="3">(D10*G10-F10*E10)/(G10-E10)</f>
        <v>0.19749080721202156</v>
      </c>
      <c r="I10">
        <f t="shared" ca="1" si="2"/>
        <v>-6.3191004284440022E-2</v>
      </c>
    </row>
    <row r="11" spans="1:9" x14ac:dyDescent="0.25">
      <c r="D11">
        <f t="shared" ref="D11:D22" ca="1" si="4">IF(E10*I10&gt;0,H10,D10)</f>
        <v>0.19749080721202156</v>
      </c>
      <c r="E11">
        <f t="shared" ca="1" si="0"/>
        <v>-6.3191004284440022E-2</v>
      </c>
      <c r="F11">
        <f t="shared" ref="F11:F22" ca="1" si="5">IF(E10*I10&gt;0,F10,H10)</f>
        <v>1</v>
      </c>
      <c r="G11">
        <f t="shared" ca="1" si="1"/>
        <v>16.661885830397228</v>
      </c>
      <c r="H11">
        <f t="shared" ca="1" si="3"/>
        <v>0.20052286275000333</v>
      </c>
      <c r="I11">
        <f t="shared" ca="1" si="2"/>
        <v>-4.9838435753863819E-2</v>
      </c>
    </row>
    <row r="12" spans="1:9" x14ac:dyDescent="0.25">
      <c r="D12">
        <f t="shared" ca="1" si="4"/>
        <v>0.20052286275000333</v>
      </c>
      <c r="E12">
        <f t="shared" ca="1" si="0"/>
        <v>-4.9838435753863819E-2</v>
      </c>
      <c r="F12">
        <f t="shared" ca="1" si="5"/>
        <v>1</v>
      </c>
      <c r="G12">
        <f t="shared" ca="1" si="1"/>
        <v>16.661885830397228</v>
      </c>
      <c r="H12">
        <f t="shared" ca="1" si="3"/>
        <v>0.20290709847020494</v>
      </c>
      <c r="I12">
        <f t="shared" ca="1" si="2"/>
        <v>-3.9499849513570329E-2</v>
      </c>
    </row>
    <row r="13" spans="1:9" x14ac:dyDescent="0.25">
      <c r="D13">
        <f t="shared" ca="1" si="4"/>
        <v>0.20290709847020494</v>
      </c>
      <c r="E13">
        <f t="shared" ca="1" si="0"/>
        <v>-3.9499849513570329E-2</v>
      </c>
      <c r="F13">
        <f t="shared" ca="1" si="5"/>
        <v>1</v>
      </c>
      <c r="G13">
        <f t="shared" ca="1" si="1"/>
        <v>16.661885830397228</v>
      </c>
      <c r="H13">
        <f t="shared" ca="1" si="3"/>
        <v>0.20479227436292344</v>
      </c>
      <c r="I13">
        <f t="shared" ca="1" si="2"/>
        <v>-3.1422400976409803E-2</v>
      </c>
    </row>
    <row r="14" spans="1:9" x14ac:dyDescent="0.25">
      <c r="D14">
        <f t="shared" ca="1" si="4"/>
        <v>0.20479227436292344</v>
      </c>
      <c r="E14">
        <f t="shared" ca="1" si="0"/>
        <v>-3.1422400976409803E-2</v>
      </c>
      <c r="F14">
        <f t="shared" ca="1" si="5"/>
        <v>1</v>
      </c>
      <c r="G14">
        <f t="shared" ca="1" si="1"/>
        <v>16.661885830397228</v>
      </c>
      <c r="H14">
        <f t="shared" ca="1" si="3"/>
        <v>0.20628912182228717</v>
      </c>
      <c r="I14">
        <f t="shared" ca="1" si="2"/>
        <v>-2.5068315070434721E-2</v>
      </c>
    </row>
    <row r="15" spans="1:9" x14ac:dyDescent="0.25">
      <c r="D15">
        <f t="shared" ca="1" si="4"/>
        <v>0.20628912182228717</v>
      </c>
      <c r="E15">
        <f t="shared" ca="1" si="0"/>
        <v>-2.5068315070434721E-2</v>
      </c>
      <c r="F15">
        <f t="shared" ca="1" si="5"/>
        <v>1</v>
      </c>
      <c r="G15">
        <f t="shared" ca="1" si="1"/>
        <v>16.661885830397228</v>
      </c>
      <c r="H15">
        <f t="shared" ca="1" si="3"/>
        <v>0.20748149007568678</v>
      </c>
      <c r="I15">
        <f t="shared" ca="1" si="2"/>
        <v>-2.0043637355260935E-2</v>
      </c>
    </row>
    <row r="16" spans="1:9" x14ac:dyDescent="0.25">
      <c r="D16">
        <f t="shared" ca="1" si="4"/>
        <v>0.20748149007568678</v>
      </c>
      <c r="E16">
        <f t="shared" ca="1" si="0"/>
        <v>-2.0043637355260935E-2</v>
      </c>
      <c r="F16">
        <f t="shared" ca="1" si="5"/>
        <v>1</v>
      </c>
      <c r="G16">
        <f t="shared" ca="1" si="1"/>
        <v>16.661885830397228</v>
      </c>
      <c r="H16">
        <f t="shared" ca="1" si="3"/>
        <v>0.20843371527487378</v>
      </c>
      <c r="I16">
        <f t="shared" ca="1" si="2"/>
        <v>-1.6054044946110624E-2</v>
      </c>
    </row>
    <row r="17" spans="1:9" x14ac:dyDescent="0.25">
      <c r="D17">
        <f t="shared" ca="1" si="4"/>
        <v>0.20843371527487378</v>
      </c>
      <c r="E17">
        <f t="shared" ca="1" si="0"/>
        <v>-1.6054044946110624E-2</v>
      </c>
      <c r="F17">
        <f t="shared" ca="1" si="5"/>
        <v>1</v>
      </c>
      <c r="G17">
        <f t="shared" ca="1" si="1"/>
        <v>16.661885830397228</v>
      </c>
      <c r="H17">
        <f t="shared" ca="1" si="3"/>
        <v>0.20919567033693695</v>
      </c>
      <c r="I17">
        <f t="shared" ca="1" si="2"/>
        <v>-1.2876228593057704E-2</v>
      </c>
    </row>
    <row r="18" spans="1:9" x14ac:dyDescent="0.25">
      <c r="D18">
        <f t="shared" ca="1" si="4"/>
        <v>0.20919567033693695</v>
      </c>
      <c r="E18">
        <f t="shared" ca="1" si="0"/>
        <v>-1.2876228593057704E-2</v>
      </c>
      <c r="F18">
        <f t="shared" ca="1" si="5"/>
        <v>1</v>
      </c>
      <c r="G18">
        <f t="shared" ca="1" si="1"/>
        <v>16.661885830397228</v>
      </c>
      <c r="H18">
        <f t="shared" ca="1" si="3"/>
        <v>0.20980632836522536</v>
      </c>
      <c r="I18">
        <f t="shared" ca="1" si="2"/>
        <v>-1.0338678146370905E-2</v>
      </c>
    </row>
    <row r="19" spans="1:9" x14ac:dyDescent="0.25">
      <c r="D19">
        <f t="shared" ca="1" si="4"/>
        <v>0.20980632836522536</v>
      </c>
      <c r="E19">
        <f t="shared" ca="1" si="0"/>
        <v>-1.0338678146370905E-2</v>
      </c>
      <c r="F19">
        <f t="shared" ca="1" si="5"/>
        <v>1</v>
      </c>
      <c r="G19">
        <f t="shared" ca="1" si="1"/>
        <v>16.661885830397228</v>
      </c>
      <c r="H19">
        <f t="shared" ca="1" si="3"/>
        <v>0.21029633844397305</v>
      </c>
      <c r="I19">
        <f t="shared" ca="1" si="2"/>
        <v>-8.3083842319758849E-3</v>
      </c>
    </row>
    <row r="20" spans="1:9" x14ac:dyDescent="0.25">
      <c r="D20">
        <f t="shared" ca="1" si="4"/>
        <v>0.21029633844397305</v>
      </c>
      <c r="E20">
        <f t="shared" ca="1" si="0"/>
        <v>-8.3083842319758849E-3</v>
      </c>
      <c r="F20">
        <f t="shared" ca="1" si="5"/>
        <v>1</v>
      </c>
      <c r="G20">
        <f t="shared" ca="1" si="1"/>
        <v>16.661885830397228</v>
      </c>
      <c r="H20">
        <f t="shared" ca="1" si="3"/>
        <v>0.21068992482725873</v>
      </c>
      <c r="I20">
        <f t="shared" ca="1" si="2"/>
        <v>-6.6813958022006181E-3</v>
      </c>
    </row>
    <row r="21" spans="1:9" x14ac:dyDescent="0.25">
      <c r="D21">
        <f t="shared" ca="1" si="4"/>
        <v>0.21068992482725873</v>
      </c>
      <c r="E21">
        <f t="shared" ca="1" si="0"/>
        <v>-6.6813958022006181E-3</v>
      </c>
      <c r="F21">
        <f t="shared" ca="1" si="5"/>
        <v>1</v>
      </c>
      <c r="G21">
        <f t="shared" ca="1" si="1"/>
        <v>16.661885830397228</v>
      </c>
      <c r="H21">
        <f t="shared" ca="1" si="3"/>
        <v>0.21100631033006337</v>
      </c>
      <c r="I21">
        <f t="shared" ca="1" si="2"/>
        <v>-5.3759689822641121E-3</v>
      </c>
    </row>
    <row r="22" spans="1:9" x14ac:dyDescent="0.25">
      <c r="D22">
        <f t="shared" ca="1" si="4"/>
        <v>0.21100631033006337</v>
      </c>
      <c r="E22">
        <f t="shared" ca="1" si="0"/>
        <v>-5.3759689822641121E-3</v>
      </c>
      <c r="F22">
        <f t="shared" ca="1" si="5"/>
        <v>1</v>
      </c>
      <c r="G22">
        <f t="shared" ca="1" si="1"/>
        <v>16.661885830397228</v>
      </c>
      <c r="H22">
        <f t="shared" ca="1" si="3"/>
        <v>0.21126079757901423</v>
      </c>
      <c r="I22">
        <f t="shared" ca="1" si="2"/>
        <v>-4.3275046353490332E-3</v>
      </c>
    </row>
    <row r="23" spans="1:9" x14ac:dyDescent="0.25">
      <c r="B23" s="10" t="s">
        <v>39</v>
      </c>
      <c r="C23" s="10" t="s">
        <v>40</v>
      </c>
    </row>
    <row r="24" spans="1:9" x14ac:dyDescent="0.25">
      <c r="A24" t="s">
        <v>8</v>
      </c>
      <c r="B24" s="9">
        <f ca="1">VAPR1</f>
        <v>38.952817701885898</v>
      </c>
      <c r="C24" s="9">
        <f ca="1">LIQR1</f>
        <v>5.8171920619207294</v>
      </c>
    </row>
    <row r="25" spans="1:9" x14ac:dyDescent="0.25">
      <c r="A25" t="s">
        <v>12</v>
      </c>
      <c r="B25" s="9">
        <f ca="1">VAPR2</f>
        <v>9.1085700703955848</v>
      </c>
      <c r="C25" s="9">
        <f ca="1">LIQR2</f>
        <v>17.003359652461231</v>
      </c>
    </row>
    <row r="26" spans="1:9" x14ac:dyDescent="0.25">
      <c r="A26" t="s">
        <v>15</v>
      </c>
      <c r="B26" s="9">
        <f ca="1">VAPR3</f>
        <v>5.221909552356915</v>
      </c>
      <c r="C26" s="9">
        <f ca="1">LIQR3</f>
        <v>0.97479632373834635</v>
      </c>
    </row>
    <row r="27" spans="1:9" x14ac:dyDescent="0.25">
      <c r="A27" t="s">
        <v>18</v>
      </c>
      <c r="B27" s="9">
        <f ca="1">VAPP</f>
        <v>1.9446507459702629</v>
      </c>
      <c r="C27" s="9">
        <f ca="1">LIQP</f>
        <v>181.50816086724888</v>
      </c>
    </row>
    <row r="29" spans="1:9" x14ac:dyDescent="0.25">
      <c r="G29" t="s">
        <v>41</v>
      </c>
    </row>
    <row r="30" spans="1:9" x14ac:dyDescent="0.25">
      <c r="B30" s="10" t="s">
        <v>42</v>
      </c>
      <c r="C30" s="10" t="s">
        <v>43</v>
      </c>
      <c r="D30" s="10" t="s">
        <v>39</v>
      </c>
      <c r="E30" s="10" t="s">
        <v>40</v>
      </c>
      <c r="F30" s="10" t="s">
        <v>44</v>
      </c>
      <c r="G30" s="10" t="s">
        <v>45</v>
      </c>
      <c r="H30" s="10" t="s">
        <v>18</v>
      </c>
    </row>
    <row r="31" spans="1:9" x14ac:dyDescent="0.25">
      <c r="A31" t="s">
        <v>8</v>
      </c>
      <c r="B31" s="24">
        <f ca="1">_KR1*_ZR1/(1+$H$22*(_KR1-1))</f>
        <v>0.70771730329570881</v>
      </c>
      <c r="C31" s="24">
        <f ca="1">_ZR1/(1+$H$22*(_KR1-1))</f>
        <v>2.8308692131828354E-2</v>
      </c>
      <c r="D31" s="9">
        <f ca="1">_YR1*TOTV</f>
        <v>38.952818740487842</v>
      </c>
      <c r="E31" s="9">
        <f ca="1">_XR1*TOTL</f>
        <v>5.8171920738487692</v>
      </c>
      <c r="F31" s="9">
        <f ca="1">VAPR1+LIQR1</f>
        <v>44.770010814336615</v>
      </c>
      <c r="G31" s="9">
        <f ca="1">Flowsheet!E15</f>
        <v>44.711837285023861</v>
      </c>
      <c r="H31">
        <v>0</v>
      </c>
    </row>
    <row r="32" spans="1:9" x14ac:dyDescent="0.25">
      <c r="A32" t="s">
        <v>12</v>
      </c>
      <c r="B32" s="24">
        <f ca="1">_KR2*_ZR2/(1+$H$22*(_KR2-1))</f>
        <v>0.16548976311627639</v>
      </c>
      <c r="C32" s="24">
        <f ca="1">_ZR2/(1+$H$22*(_KR2-1))</f>
        <v>8.2744881558138195E-2</v>
      </c>
      <c r="D32" s="9">
        <f ca="1">_YR2*TOTV</f>
        <v>9.1085702102455173</v>
      </c>
      <c r="E32" s="9">
        <f ca="1">_XR2*TOTL</f>
        <v>17.003359495028306</v>
      </c>
      <c r="F32" s="9">
        <f ca="1">VAPR2+LIQR2</f>
        <v>26.111929705273823</v>
      </c>
      <c r="G32" s="9">
        <f ca="1">Flowsheet!E16</f>
        <v>9.1085699994645779</v>
      </c>
      <c r="H32" s="9">
        <f ca="1">Flowsheet!H25</f>
        <v>17.00335973257576</v>
      </c>
    </row>
    <row r="33" spans="1:8" x14ac:dyDescent="0.25">
      <c r="A33" t="s">
        <v>15</v>
      </c>
      <c r="B33" s="24">
        <f ca="1">_KR3*_ZR3/(1+$H$22*(_KR3-1))</f>
        <v>9.4874667708820831E-2</v>
      </c>
      <c r="C33" s="24">
        <f ca="1">_ZR3/(1+$H$22*(_KR3-1))</f>
        <v>4.743733385441041E-3</v>
      </c>
      <c r="D33" s="9">
        <f ca="1">_YR3*TOTV</f>
        <v>5.2219095352280069</v>
      </c>
      <c r="E33" s="9">
        <f ca="1">_XR3*TOTL</f>
        <v>0.97479629654855204</v>
      </c>
      <c r="F33" s="9">
        <f ca="1">VAPR3+LIQR3</f>
        <v>6.1967058317765593</v>
      </c>
      <c r="G33" s="9">
        <f ca="1">Flowsheet!E17</f>
        <v>6.1967059547172827</v>
      </c>
      <c r="H33">
        <v>0</v>
      </c>
    </row>
    <row r="34" spans="1:8" x14ac:dyDescent="0.25">
      <c r="A34" t="s">
        <v>18</v>
      </c>
      <c r="B34" s="24">
        <f ca="1">KP*ZP/(1+$H$22*(KP-1))</f>
        <v>3.5331538433752058E-2</v>
      </c>
      <c r="C34" s="24">
        <f ca="1">ZP/(1+$H$22*(KP-1))</f>
        <v>0.88328846084380153</v>
      </c>
      <c r="D34" s="9">
        <f ca="1">YP*TOTV</f>
        <v>1.9446507892678631</v>
      </c>
      <c r="E34" s="9">
        <f ca="1">XP*TOTL</f>
        <v>181.50816044113657</v>
      </c>
      <c r="F34" s="9">
        <f ca="1">VAPP+LIQP</f>
        <v>183.45281123040442</v>
      </c>
      <c r="G34" s="11">
        <v>0</v>
      </c>
      <c r="H34" s="9">
        <f ca="1">Flowsheet!H27</f>
        <v>181.50816108324184</v>
      </c>
    </row>
    <row r="35" spans="1:8" x14ac:dyDescent="0.25">
      <c r="A35" t="s">
        <v>46</v>
      </c>
      <c r="B35">
        <f ca="1">SUM(_YR1:(YP))</f>
        <v>1.0034132725545581</v>
      </c>
      <c r="C35">
        <f ca="1">SUM(_XR1:(XP))</f>
        <v>0.99908576791920911</v>
      </c>
      <c r="D35" s="9">
        <f ca="1">H22*TOTFED</f>
        <v>55.040083650055188</v>
      </c>
      <c r="E35" s="9">
        <f ca="1">TOTFED-TOTV</f>
        <v>205.49137453242895</v>
      </c>
      <c r="F35" s="9">
        <f ca="1">SUM(Flowsheet!H15:H18)</f>
        <v>260.53145876953567</v>
      </c>
      <c r="G35" s="9">
        <f ca="1">SUM(G31:G34)</f>
        <v>60.01711323920572</v>
      </c>
      <c r="H35">
        <f ca="1">SUM(H31:H34)</f>
        <v>198.51152081581762</v>
      </c>
    </row>
    <row r="36" spans="1:8" x14ac:dyDescent="0.25">
      <c r="D36" s="22" t="s">
        <v>47</v>
      </c>
      <c r="F36" s="22"/>
    </row>
    <row r="37" spans="1:8" x14ac:dyDescent="0.25">
      <c r="A37" t="s">
        <v>8</v>
      </c>
      <c r="D37">
        <f ca="1">(VAPR1+B24)/2</f>
        <v>38.952818221186874</v>
      </c>
      <c r="E37">
        <f ca="1">(LIQR1+C24)/2</f>
        <v>5.8171920678847489</v>
      </c>
    </row>
    <row r="38" spans="1:8" x14ac:dyDescent="0.25">
      <c r="A38" t="s">
        <v>12</v>
      </c>
      <c r="D38">
        <f ca="1">(VAPR2+B25)/2</f>
        <v>9.1085701403205519</v>
      </c>
      <c r="E38">
        <f ca="1">(LIQR2+C25)/2</f>
        <v>17.003359573744767</v>
      </c>
      <c r="G38">
        <f ca="1">TOTFED</f>
        <v>260.53145876953567</v>
      </c>
    </row>
    <row r="39" spans="1:8" x14ac:dyDescent="0.25">
      <c r="A39" t="s">
        <v>15</v>
      </c>
      <c r="D39">
        <f ca="1">(VAPR3+B26)/2</f>
        <v>5.221909543792461</v>
      </c>
      <c r="E39">
        <f ca="1">(LIQR3+C26)/2</f>
        <v>0.97479631014344914</v>
      </c>
    </row>
    <row r="40" spans="1:8" x14ac:dyDescent="0.25">
      <c r="A40" t="s">
        <v>18</v>
      </c>
      <c r="D40">
        <f ca="1">(VAPP+B27)/2</f>
        <v>1.944650767619063</v>
      </c>
      <c r="E40">
        <f ca="1">(LIQP+C27)/2</f>
        <v>181.50816065419272</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tabSelected="1" workbookViewId="0">
      <selection activeCell="B13" sqref="B13"/>
    </sheetView>
  </sheetViews>
  <sheetFormatPr defaultColWidth="8.81640625" defaultRowHeight="12.5" x14ac:dyDescent="0.25"/>
  <cols>
    <col min="1" max="1" width="5.26953125" customWidth="1"/>
    <col min="3" max="3" width="9.1796875" style="3" customWidth="1"/>
    <col min="4" max="4" width="3.81640625" customWidth="1"/>
    <col min="6" max="6" width="11.81640625" customWidth="1"/>
  </cols>
  <sheetData>
    <row r="1" spans="1:8" ht="15.5" x14ac:dyDescent="0.4">
      <c r="B1" s="27" t="s">
        <v>48</v>
      </c>
      <c r="C1" s="4" t="s">
        <v>49</v>
      </c>
      <c r="F1" s="22" t="s">
        <v>50</v>
      </c>
      <c r="G1" s="22"/>
    </row>
    <row r="2" spans="1:8" ht="14.5" x14ac:dyDescent="0.25">
      <c r="B2" s="28" t="s">
        <v>51</v>
      </c>
      <c r="C2" s="27" t="s">
        <v>52</v>
      </c>
    </row>
    <row r="3" spans="1:8" x14ac:dyDescent="0.25">
      <c r="A3">
        <v>1</v>
      </c>
      <c r="B3">
        <v>100</v>
      </c>
      <c r="C3" s="3">
        <v>250</v>
      </c>
      <c r="D3">
        <v>1</v>
      </c>
      <c r="F3" t="s">
        <v>53</v>
      </c>
      <c r="G3">
        <f>IF(TEMP&lt;100,100,IF(TEMP&gt;499,499,TEMP))</f>
        <v>170</v>
      </c>
      <c r="H3" t="s">
        <v>54</v>
      </c>
    </row>
    <row r="4" spans="1:8" x14ac:dyDescent="0.25">
      <c r="A4">
        <v>2</v>
      </c>
      <c r="B4">
        <v>150</v>
      </c>
      <c r="C4" s="3">
        <v>92</v>
      </c>
      <c r="D4">
        <v>2</v>
      </c>
    </row>
    <row r="5" spans="1:8" x14ac:dyDescent="0.25">
      <c r="A5">
        <v>3</v>
      </c>
      <c r="B5">
        <v>200</v>
      </c>
      <c r="C5" s="3">
        <v>55</v>
      </c>
      <c r="D5">
        <v>3</v>
      </c>
      <c r="F5" t="s">
        <v>55</v>
      </c>
      <c r="G5">
        <f>VLOOKUP(TTEMP,TABLE2,3)</f>
        <v>2</v>
      </c>
    </row>
    <row r="6" spans="1:8" x14ac:dyDescent="0.25">
      <c r="A6">
        <v>4</v>
      </c>
      <c r="B6">
        <v>250</v>
      </c>
      <c r="C6" s="3">
        <v>34</v>
      </c>
      <c r="D6">
        <v>4</v>
      </c>
      <c r="F6" t="s">
        <v>56</v>
      </c>
      <c r="G6">
        <f>G5+1</f>
        <v>3</v>
      </c>
    </row>
    <row r="7" spans="1:8" x14ac:dyDescent="0.25">
      <c r="A7">
        <v>5</v>
      </c>
      <c r="B7">
        <v>300</v>
      </c>
      <c r="C7" s="3">
        <v>28</v>
      </c>
      <c r="D7">
        <v>5</v>
      </c>
    </row>
    <row r="8" spans="1:8" x14ac:dyDescent="0.25">
      <c r="A8">
        <v>6</v>
      </c>
      <c r="B8">
        <v>350</v>
      </c>
      <c r="C8" s="3">
        <v>17</v>
      </c>
      <c r="D8">
        <v>6</v>
      </c>
      <c r="F8" t="s">
        <v>57</v>
      </c>
      <c r="G8">
        <f>VLOOKUP(LOWINDEX,TABLE1,2)</f>
        <v>150</v>
      </c>
    </row>
    <row r="9" spans="1:8" x14ac:dyDescent="0.25">
      <c r="A9">
        <v>7</v>
      </c>
      <c r="B9">
        <v>400</v>
      </c>
      <c r="C9" s="3">
        <v>13</v>
      </c>
      <c r="D9">
        <v>7</v>
      </c>
      <c r="F9" t="s">
        <v>58</v>
      </c>
      <c r="G9">
        <f>VLOOKUP(HIGHINDEX,TABLE1,2)</f>
        <v>200</v>
      </c>
    </row>
    <row r="10" spans="1:8" x14ac:dyDescent="0.25">
      <c r="A10">
        <v>8</v>
      </c>
      <c r="B10">
        <v>450</v>
      </c>
      <c r="C10" s="3">
        <v>10</v>
      </c>
      <c r="D10">
        <v>8</v>
      </c>
    </row>
    <row r="11" spans="1:8" ht="15.5" x14ac:dyDescent="0.4">
      <c r="A11">
        <v>9</v>
      </c>
      <c r="B11">
        <v>500</v>
      </c>
      <c r="C11" s="3">
        <v>8</v>
      </c>
      <c r="D11">
        <v>9</v>
      </c>
      <c r="F11" t="s">
        <v>59</v>
      </c>
      <c r="G11" s="3">
        <f>VLOOKUP(LOWTEMP,TABLE2,2)</f>
        <v>92</v>
      </c>
    </row>
    <row r="12" spans="1:8" ht="15.5" x14ac:dyDescent="0.4">
      <c r="F12" t="s">
        <v>60</v>
      </c>
      <c r="G12" s="3">
        <f>VLOOKUP(HIGHTEMP,TABLE2,2)</f>
        <v>55</v>
      </c>
    </row>
    <row r="13" spans="1:8" x14ac:dyDescent="0.25">
      <c r="A13" s="25"/>
    </row>
    <row r="14" spans="1:8" ht="15.5" x14ac:dyDescent="0.4">
      <c r="F14" s="14" t="s">
        <v>61</v>
      </c>
      <c r="G14" s="9">
        <f>(HIGHK-LOWK)*(TTEMP-LOWTEMP)/(HIGHTEMP-LOWTEMP)+LOWK</f>
        <v>77.2</v>
      </c>
      <c r="H14" t="s">
        <v>62</v>
      </c>
    </row>
    <row r="15" spans="1:8" ht="15.5" x14ac:dyDescent="0.4">
      <c r="F15" s="14" t="s">
        <v>61</v>
      </c>
      <c r="G15" s="9">
        <f>EXP((LN(HIGHK)-LN(LOWK))*(LN(TTEMP)-LN(LOWTEMP))/(LN(HIGHTEMP)-LN(LOWTEMP))+LN(LOWK))</f>
        <v>73.549756646995178</v>
      </c>
      <c r="H15" t="s">
        <v>63</v>
      </c>
    </row>
    <row r="23" spans="11:16" x14ac:dyDescent="0.25">
      <c r="K23" s="27"/>
      <c r="L23" s="4"/>
    </row>
    <row r="24" spans="11:16" ht="25" x14ac:dyDescent="0.25">
      <c r="K24" s="40" t="s">
        <v>64</v>
      </c>
      <c r="L24" s="39" t="s">
        <v>65</v>
      </c>
      <c r="M24" s="41" t="s">
        <v>66</v>
      </c>
      <c r="N24" s="41" t="s">
        <v>67</v>
      </c>
      <c r="O24" s="38" t="s">
        <v>68</v>
      </c>
      <c r="P24" s="37" t="s">
        <v>69</v>
      </c>
    </row>
    <row r="25" spans="11:16" x14ac:dyDescent="0.25">
      <c r="K25">
        <v>100</v>
      </c>
      <c r="L25" s="3">
        <v>250</v>
      </c>
      <c r="M25" s="29">
        <f t="shared" ref="M25:N33" si="0">LN(K25)</f>
        <v>4.6051701859880918</v>
      </c>
      <c r="N25">
        <f t="shared" si="0"/>
        <v>5.521460917862246</v>
      </c>
      <c r="O25" s="29">
        <v>5.4711610969368145</v>
      </c>
      <c r="P25">
        <f t="shared" ref="P25:P33" si="1">EXP(O25)</f>
        <v>237.73606719108167</v>
      </c>
    </row>
    <row r="26" spans="11:16" x14ac:dyDescent="0.25">
      <c r="K26">
        <v>150</v>
      </c>
      <c r="L26" s="3">
        <v>92</v>
      </c>
      <c r="M26" s="29">
        <f t="shared" si="0"/>
        <v>5.0106352940962555</v>
      </c>
      <c r="N26">
        <f t="shared" si="0"/>
        <v>4.5217885770490405</v>
      </c>
      <c r="O26" s="29">
        <v>4.6227791488101646</v>
      </c>
      <c r="P26">
        <f t="shared" si="1"/>
        <v>101.77649146463794</v>
      </c>
    </row>
    <row r="27" spans="11:16" x14ac:dyDescent="0.25">
      <c r="K27">
        <v>200</v>
      </c>
      <c r="L27" s="3">
        <v>55</v>
      </c>
      <c r="M27" s="29">
        <f t="shared" si="0"/>
        <v>5.2983173665480363</v>
      </c>
      <c r="N27">
        <f t="shared" si="0"/>
        <v>4.0073331852324712</v>
      </c>
      <c r="O27" s="29">
        <v>4.0208425772355616</v>
      </c>
      <c r="P27">
        <f t="shared" si="1"/>
        <v>55.748058088236448</v>
      </c>
    </row>
    <row r="28" spans="11:16" x14ac:dyDescent="0.25">
      <c r="K28">
        <v>250</v>
      </c>
      <c r="L28" s="3">
        <v>34</v>
      </c>
      <c r="M28" s="29">
        <f t="shared" si="0"/>
        <v>5.521460917862246</v>
      </c>
      <c r="N28">
        <f t="shared" si="0"/>
        <v>3.5263605246161616</v>
      </c>
      <c r="O28" s="29">
        <v>3.5539442992082773</v>
      </c>
      <c r="P28">
        <f t="shared" si="1"/>
        <v>34.950902788629307</v>
      </c>
    </row>
    <row r="29" spans="11:16" x14ac:dyDescent="0.25">
      <c r="K29">
        <v>300</v>
      </c>
      <c r="L29" s="3">
        <v>28</v>
      </c>
      <c r="M29" s="29">
        <f t="shared" si="0"/>
        <v>5.7037824746562009</v>
      </c>
      <c r="N29">
        <f t="shared" si="0"/>
        <v>3.3322045101752038</v>
      </c>
      <c r="O29" s="29">
        <v>3.1724606291089095</v>
      </c>
      <c r="P29">
        <f t="shared" si="1"/>
        <v>23.86613787813333</v>
      </c>
    </row>
    <row r="30" spans="11:16" x14ac:dyDescent="0.25">
      <c r="K30">
        <v>350</v>
      </c>
      <c r="L30" s="3">
        <v>17</v>
      </c>
      <c r="M30" s="29">
        <f t="shared" si="0"/>
        <v>5.857933154483459</v>
      </c>
      <c r="N30">
        <f t="shared" si="0"/>
        <v>2.8332133440562162</v>
      </c>
      <c r="O30" s="29">
        <v>2.8499207818034553</v>
      </c>
      <c r="P30">
        <f t="shared" si="1"/>
        <v>17.286412387911472</v>
      </c>
    </row>
    <row r="31" spans="11:16" x14ac:dyDescent="0.25">
      <c r="K31">
        <v>400</v>
      </c>
      <c r="L31" s="3">
        <v>13</v>
      </c>
      <c r="M31" s="29">
        <f t="shared" si="0"/>
        <v>5.9914645471079817</v>
      </c>
      <c r="N31">
        <f t="shared" si="0"/>
        <v>2.5649493574615367</v>
      </c>
      <c r="O31" s="29">
        <v>2.5705240575343065</v>
      </c>
      <c r="P31">
        <f t="shared" si="1"/>
        <v>13.072673479163049</v>
      </c>
    </row>
    <row r="32" spans="11:16" x14ac:dyDescent="0.25">
      <c r="K32">
        <v>450</v>
      </c>
      <c r="L32" s="3">
        <v>10</v>
      </c>
      <c r="M32" s="29">
        <f t="shared" si="0"/>
        <v>6.1092475827643655</v>
      </c>
      <c r="N32">
        <f t="shared" si="0"/>
        <v>2.3025850929940459</v>
      </c>
      <c r="O32" s="29">
        <v>2.3240786809822578</v>
      </c>
      <c r="P32">
        <f t="shared" si="1"/>
        <v>10.217262389956899</v>
      </c>
    </row>
    <row r="33" spans="11:16" ht="13" thickBot="1" x14ac:dyDescent="0.3">
      <c r="K33">
        <v>500</v>
      </c>
      <c r="L33" s="3">
        <v>8</v>
      </c>
      <c r="M33" s="29">
        <f t="shared" si="0"/>
        <v>6.2146080984221914</v>
      </c>
      <c r="N33">
        <f t="shared" si="0"/>
        <v>2.0794415416798357</v>
      </c>
      <c r="O33" s="30">
        <v>2.1036257795070221</v>
      </c>
      <c r="P33">
        <f t="shared" si="1"/>
        <v>8.1958323863864297</v>
      </c>
    </row>
    <row r="35" spans="11:16" x14ac:dyDescent="0.25">
      <c r="K35" s="29" t="s">
        <v>70</v>
      </c>
      <c r="L35" s="29">
        <v>15.252214183254388</v>
      </c>
    </row>
    <row r="36" spans="11:16" ht="13" thickBot="1" x14ac:dyDescent="0.3">
      <c r="K36" s="30" t="s">
        <v>71</v>
      </c>
      <c r="L36" s="30">
        <v>-2.1189621704385342</v>
      </c>
    </row>
  </sheetData>
  <pageMargins left="0.75" right="0.75" top="1" bottom="1" header="0.5" footer="0.5"/>
  <pageSetup orientation="portrait"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heetViews>
  <sheetFormatPr defaultColWidth="8.81640625" defaultRowHeight="12.5" x14ac:dyDescent="0.25"/>
  <cols>
    <col min="1" max="1" width="18.453125" customWidth="1"/>
    <col min="2" max="2" width="13" customWidth="1"/>
    <col min="3" max="3" width="13.26953125" customWidth="1"/>
    <col min="4" max="4" width="12.54296875" customWidth="1"/>
    <col min="5" max="5" width="12" customWidth="1"/>
    <col min="6" max="6" width="13.1796875" customWidth="1"/>
    <col min="7" max="9" width="12.54296875" customWidth="1"/>
  </cols>
  <sheetData>
    <row r="1" spans="1:9" x14ac:dyDescent="0.25">
      <c r="A1" t="s">
        <v>72</v>
      </c>
    </row>
    <row r="2" spans="1:9" ht="13" thickBot="1" x14ac:dyDescent="0.3"/>
    <row r="3" spans="1:9" ht="13" x14ac:dyDescent="0.3">
      <c r="A3" s="32" t="s">
        <v>73</v>
      </c>
      <c r="B3" s="32"/>
    </row>
    <row r="4" spans="1:9" x14ac:dyDescent="0.25">
      <c r="A4" s="29" t="s">
        <v>74</v>
      </c>
      <c r="B4" s="35">
        <v>0.99799350999614056</v>
      </c>
    </row>
    <row r="5" spans="1:9" x14ac:dyDescent="0.25">
      <c r="A5" s="29" t="s">
        <v>75</v>
      </c>
      <c r="B5" s="35">
        <v>0.99599104599441668</v>
      </c>
    </row>
    <row r="6" spans="1:9" x14ac:dyDescent="0.25">
      <c r="A6" s="29" t="s">
        <v>76</v>
      </c>
      <c r="B6" s="35">
        <v>0.99541833827933335</v>
      </c>
    </row>
    <row r="7" spans="1:9" x14ac:dyDescent="0.25">
      <c r="A7" s="29" t="s">
        <v>77</v>
      </c>
      <c r="B7" s="35">
        <v>7.6108673094840901E-2</v>
      </c>
    </row>
    <row r="8" spans="1:9" ht="13" thickBot="1" x14ac:dyDescent="0.3">
      <c r="A8" s="30" t="s">
        <v>78</v>
      </c>
      <c r="B8" s="30">
        <v>9</v>
      </c>
    </row>
    <row r="10" spans="1:9" ht="13" thickBot="1" x14ac:dyDescent="0.3">
      <c r="A10" t="s">
        <v>79</v>
      </c>
    </row>
    <row r="11" spans="1:9" ht="13" x14ac:dyDescent="0.3">
      <c r="A11" s="31"/>
      <c r="B11" s="31" t="s">
        <v>80</v>
      </c>
      <c r="C11" s="31" t="s">
        <v>81</v>
      </c>
      <c r="D11" s="31" t="s">
        <v>82</v>
      </c>
      <c r="E11" s="31" t="s">
        <v>83</v>
      </c>
      <c r="F11" s="31" t="s">
        <v>84</v>
      </c>
    </row>
    <row r="12" spans="1:9" x14ac:dyDescent="0.25">
      <c r="A12" s="29" t="s">
        <v>85</v>
      </c>
      <c r="B12" s="29">
        <v>1</v>
      </c>
      <c r="C12" s="35">
        <v>10.07373915434296</v>
      </c>
      <c r="D12" s="35">
        <v>10.07373915434296</v>
      </c>
      <c r="E12" s="35">
        <v>1739.0913720264584</v>
      </c>
      <c r="F12" s="35">
        <v>1.1891018122526204E-9</v>
      </c>
    </row>
    <row r="13" spans="1:9" x14ac:dyDescent="0.25">
      <c r="A13" s="29" t="s">
        <v>86</v>
      </c>
      <c r="B13" s="29">
        <v>7</v>
      </c>
      <c r="C13" s="35">
        <v>4.0547710841801525E-2</v>
      </c>
      <c r="D13" s="35">
        <v>5.7925301202573611E-3</v>
      </c>
      <c r="E13" s="35"/>
      <c r="F13" s="35"/>
    </row>
    <row r="14" spans="1:9" ht="13" thickBot="1" x14ac:dyDescent="0.3">
      <c r="A14" s="30" t="s">
        <v>87</v>
      </c>
      <c r="B14" s="30">
        <v>8</v>
      </c>
      <c r="C14" s="36">
        <v>10.114286865184761</v>
      </c>
      <c r="D14" s="36"/>
      <c r="E14" s="36"/>
      <c r="F14" s="36"/>
    </row>
    <row r="15" spans="1:9" ht="13" thickBot="1" x14ac:dyDescent="0.3"/>
    <row r="16" spans="1:9" ht="13" x14ac:dyDescent="0.3">
      <c r="A16" s="31"/>
      <c r="B16" s="31" t="s">
        <v>88</v>
      </c>
      <c r="C16" s="31" t="s">
        <v>77</v>
      </c>
      <c r="D16" s="31" t="s">
        <v>89</v>
      </c>
      <c r="E16" s="31" t="s">
        <v>90</v>
      </c>
      <c r="F16" s="31" t="s">
        <v>91</v>
      </c>
      <c r="G16" s="31" t="s">
        <v>92</v>
      </c>
      <c r="H16" s="31" t="s">
        <v>93</v>
      </c>
      <c r="I16" s="31" t="s">
        <v>94</v>
      </c>
    </row>
    <row r="17" spans="1:9" x14ac:dyDescent="0.25">
      <c r="A17" s="29" t="s">
        <v>70</v>
      </c>
      <c r="B17" s="35">
        <v>15.106868771198913</v>
      </c>
      <c r="C17" s="35">
        <v>0.28163095945834937</v>
      </c>
      <c r="D17" s="35">
        <v>53.640653713119491</v>
      </c>
      <c r="E17" s="35">
        <v>2.0513208921652531E-10</v>
      </c>
      <c r="F17" s="35">
        <v>14.440917850874749</v>
      </c>
      <c r="G17" s="29">
        <v>15.772819691523077</v>
      </c>
      <c r="H17" s="29">
        <v>14.440917850874749</v>
      </c>
      <c r="I17" s="29">
        <v>15.772819691523077</v>
      </c>
    </row>
    <row r="18" spans="1:9" ht="13" thickBot="1" x14ac:dyDescent="0.3">
      <c r="A18" s="30" t="s">
        <v>66</v>
      </c>
      <c r="B18" s="36">
        <v>-2.0923673360824226</v>
      </c>
      <c r="C18" s="36">
        <v>5.0173769625480868E-2</v>
      </c>
      <c r="D18" s="36">
        <v>-41.702414462791509</v>
      </c>
      <c r="E18" s="36">
        <v>1.1891018122526586E-9</v>
      </c>
      <c r="F18" s="36">
        <v>-2.2110093636580985</v>
      </c>
      <c r="G18" s="30">
        <v>-1.9737253085067468</v>
      </c>
      <c r="H18" s="30">
        <v>-2.2110093636580985</v>
      </c>
      <c r="I18" s="30">
        <v>-1.9737253085067468</v>
      </c>
    </row>
    <row r="22" spans="1:9" x14ac:dyDescent="0.25">
      <c r="A22" t="s">
        <v>95</v>
      </c>
    </row>
    <row r="23" spans="1:9" ht="13" thickBot="1" x14ac:dyDescent="0.3"/>
    <row r="24" spans="1:9" ht="13" x14ac:dyDescent="0.3">
      <c r="A24" s="31" t="s">
        <v>96</v>
      </c>
      <c r="B24" s="31" t="s">
        <v>68</v>
      </c>
      <c r="C24" s="31" t="s">
        <v>97</v>
      </c>
    </row>
    <row r="25" spans="1:9" x14ac:dyDescent="0.25">
      <c r="A25" s="29">
        <v>1</v>
      </c>
      <c r="B25" s="35">
        <v>5.4711610969368145</v>
      </c>
      <c r="C25" s="35">
        <v>5.0299820925431504E-2</v>
      </c>
    </row>
    <row r="26" spans="1:9" x14ac:dyDescent="0.25">
      <c r="A26" s="29">
        <v>2</v>
      </c>
      <c r="B26" s="35">
        <v>4.6227791488101646</v>
      </c>
      <c r="C26" s="35">
        <v>-0.10099057176112414</v>
      </c>
    </row>
    <row r="27" spans="1:9" x14ac:dyDescent="0.25">
      <c r="A27" s="29">
        <v>3</v>
      </c>
      <c r="B27" s="35">
        <v>4.0208425772355616</v>
      </c>
      <c r="C27" s="35">
        <v>-1.3509392003090426E-2</v>
      </c>
    </row>
    <row r="28" spans="1:9" x14ac:dyDescent="0.25">
      <c r="A28" s="29">
        <v>4</v>
      </c>
      <c r="B28" s="35">
        <v>3.5539442992082773</v>
      </c>
      <c r="C28" s="35">
        <v>-2.7583774592115695E-2</v>
      </c>
    </row>
    <row r="29" spans="1:9" x14ac:dyDescent="0.25">
      <c r="A29" s="29">
        <v>5</v>
      </c>
      <c r="B29" s="35">
        <v>3.1724606291089095</v>
      </c>
      <c r="C29" s="35">
        <v>0.15974388106629434</v>
      </c>
    </row>
    <row r="30" spans="1:9" x14ac:dyDescent="0.25">
      <c r="A30" s="29">
        <v>6</v>
      </c>
      <c r="B30" s="35">
        <v>2.8499207818034553</v>
      </c>
      <c r="C30" s="35">
        <v>-1.6707437747239151E-2</v>
      </c>
    </row>
    <row r="31" spans="1:9" x14ac:dyDescent="0.25">
      <c r="A31" s="29">
        <v>7</v>
      </c>
      <c r="B31" s="35">
        <v>2.5705240575343065</v>
      </c>
      <c r="C31" s="35">
        <v>-5.5747000727697227E-3</v>
      </c>
    </row>
    <row r="32" spans="1:9" x14ac:dyDescent="0.25">
      <c r="A32" s="29">
        <v>8</v>
      </c>
      <c r="B32" s="35">
        <v>2.3240786809822578</v>
      </c>
      <c r="C32" s="35">
        <v>-2.1493587988211882E-2</v>
      </c>
    </row>
    <row r="33" spans="1:3" ht="13" thickBot="1" x14ac:dyDescent="0.3">
      <c r="A33" s="30">
        <v>9</v>
      </c>
      <c r="B33" s="36">
        <v>2.1036257795070221</v>
      </c>
      <c r="C33" s="36">
        <v>-2.4184237827186372E-2</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8"/>
  <sheetViews>
    <sheetView workbookViewId="0"/>
  </sheetViews>
  <sheetFormatPr defaultColWidth="8.81640625" defaultRowHeight="12.5" x14ac:dyDescent="0.25"/>
  <cols>
    <col min="2" max="2" width="9.1796875" style="13" customWidth="1"/>
    <col min="5" max="5" width="9.54296875" customWidth="1"/>
    <col min="6" max="6" width="9.1796875" style="9" customWidth="1"/>
  </cols>
  <sheetData>
    <row r="1" spans="2:12" x14ac:dyDescent="0.25">
      <c r="B1"/>
    </row>
    <row r="2" spans="2:12" x14ac:dyDescent="0.25">
      <c r="B2"/>
      <c r="E2" t="s">
        <v>98</v>
      </c>
      <c r="F2" s="9">
        <f ca="1">IF(OR(ISERROR(RECYR1),ISERROR(PURR1)),100,FEEDR1+RECYR1-PURR1)</f>
        <v>136.49641731808993</v>
      </c>
      <c r="H2" s="49" t="s">
        <v>99</v>
      </c>
    </row>
    <row r="3" spans="2:12" x14ac:dyDescent="0.25">
      <c r="B3"/>
      <c r="E3" t="s">
        <v>100</v>
      </c>
      <c r="F3" s="9">
        <f ca="1">IF(OR(ISERROR(RECYR2),ISERROR(PURR2)),200,FEEDR2+RECYR2-PURR2)</f>
        <v>209.56474146438052</v>
      </c>
      <c r="H3" s="22" t="s">
        <v>101</v>
      </c>
      <c r="I3" s="22"/>
      <c r="J3" s="22"/>
      <c r="K3" s="22"/>
    </row>
    <row r="4" spans="2:12" x14ac:dyDescent="0.25">
      <c r="B4"/>
      <c r="E4" t="s">
        <v>102</v>
      </c>
      <c r="F4" s="9">
        <f ca="1">IF(OR(ISERROR(RECYR3),ISERROR(PURR3)),2,FEEDR3+RECYR3-PURR3)</f>
        <v>6.1967059547172836</v>
      </c>
      <c r="H4" s="14"/>
    </row>
    <row r="5" spans="2:12" x14ac:dyDescent="0.25">
      <c r="B5"/>
      <c r="E5" t="s">
        <v>103</v>
      </c>
      <c r="F5" s="9">
        <f ca="1">RECYP-PURP</f>
        <v>1.6308306590393133</v>
      </c>
      <c r="H5" t="s">
        <v>104</v>
      </c>
    </row>
    <row r="6" spans="2:12" x14ac:dyDescent="0.25">
      <c r="B6"/>
      <c r="F6"/>
    </row>
    <row r="7" spans="2:12" x14ac:dyDescent="0.25">
      <c r="B7"/>
      <c r="E7" t="s">
        <v>105</v>
      </c>
      <c r="F7" s="9">
        <f>[0]!LOGINTERP</f>
        <v>73.549756646995178</v>
      </c>
    </row>
    <row r="8" spans="2:12" x14ac:dyDescent="0.25">
      <c r="B8"/>
      <c r="F8" s="14" t="s">
        <v>106</v>
      </c>
      <c r="G8" s="10" t="s">
        <v>107</v>
      </c>
      <c r="H8" s="10" t="s">
        <v>108</v>
      </c>
      <c r="I8" s="10" t="s">
        <v>109</v>
      </c>
      <c r="J8" s="10" t="s">
        <v>110</v>
      </c>
      <c r="K8" s="10" t="s">
        <v>111</v>
      </c>
      <c r="L8" s="10" t="s">
        <v>112</v>
      </c>
    </row>
    <row r="9" spans="2:12" x14ac:dyDescent="0.25">
      <c r="B9"/>
      <c r="F9" s="14" t="s">
        <v>113</v>
      </c>
      <c r="G9">
        <v>0</v>
      </c>
      <c r="H9">
        <f t="shared" ref="H9:H33" ca="1" si="0">(2*G9+INLETP)^2/(INLETR1-G9)/(INLETR2-2*G9)^2*(INLETR1+INLETR2+INLETR3+INLETP-G9)-$F$7*PRES</f>
        <v>-294.19886957818795</v>
      </c>
      <c r="I9" s="9">
        <f ca="1">MIN(0.9999*INLETR1,0.9999*INLETR2/2)</f>
        <v>104.77189249511704</v>
      </c>
      <c r="J9">
        <f t="shared" ref="J9:J33" ca="1" si="1">(2*I9+INLETP)^2/(INLETR1-I9)/(INLETR2-2*I9)^2*(INLETR1+INLETR2+INLETR3+INLETP-I9)-$F$7*PRES</f>
        <v>797360520.06348944</v>
      </c>
      <c r="K9">
        <f ca="1">(I9+G9)/2</f>
        <v>52.385946247558522</v>
      </c>
      <c r="L9">
        <f t="shared" ref="L9:L33" ca="1" si="2">(2*K9+INLETP)^2/(INLETR1-K9)/(INLETR2-2*K9)^2*(INLETR1+INLETR2+INLETR3+INLETP-K9)-$F$7*PRES</f>
        <v>-290.50343983245239</v>
      </c>
    </row>
    <row r="10" spans="2:12" x14ac:dyDescent="0.25">
      <c r="B10"/>
      <c r="G10">
        <f ca="1">IF(H9*L9&gt;0,K9,G9)</f>
        <v>52.385946247558522</v>
      </c>
      <c r="H10">
        <f t="shared" ca="1" si="0"/>
        <v>-290.50343983245239</v>
      </c>
      <c r="I10">
        <f ca="1">IF(H9*L9&gt;0,I9,K9)</f>
        <v>104.77189249511704</v>
      </c>
      <c r="J10">
        <f t="shared" ca="1" si="1"/>
        <v>797360520.06348944</v>
      </c>
      <c r="K10">
        <f ca="1">(I10+G10)/2</f>
        <v>78.578919371337776</v>
      </c>
      <c r="L10">
        <f t="shared" ca="1" si="2"/>
        <v>-250.56011870426443</v>
      </c>
    </row>
    <row r="11" spans="2:12" x14ac:dyDescent="0.25">
      <c r="B11"/>
      <c r="C11" s="14"/>
      <c r="D11" s="14"/>
      <c r="E11" s="14"/>
      <c r="G11">
        <f t="shared" ref="G11:G26" ca="1" si="3">IF(H10*L10&gt;0,K10,G10)</f>
        <v>78.578919371337776</v>
      </c>
      <c r="H11">
        <f t="shared" ca="1" si="0"/>
        <v>-250.56011870426443</v>
      </c>
      <c r="I11">
        <f t="shared" ref="I11:I26" ca="1" si="4">IF(H10*L10&gt;0,I10,K10)</f>
        <v>104.77189249511704</v>
      </c>
      <c r="J11">
        <f t="shared" ca="1" si="1"/>
        <v>797360520.06348944</v>
      </c>
      <c r="K11">
        <f t="shared" ref="K11:K26" ca="1" si="5">(I11+G11)/2</f>
        <v>91.67540593322741</v>
      </c>
      <c r="L11">
        <f t="shared" ca="1" si="2"/>
        <v>-2.8818769598780136</v>
      </c>
    </row>
    <row r="12" spans="2:12" x14ac:dyDescent="0.25">
      <c r="G12">
        <f t="shared" ca="1" si="3"/>
        <v>91.67540593322741</v>
      </c>
      <c r="H12">
        <f t="shared" ca="1" si="0"/>
        <v>-2.8818769598780136</v>
      </c>
      <c r="I12">
        <f t="shared" ca="1" si="4"/>
        <v>104.77189249511704</v>
      </c>
      <c r="J12">
        <f t="shared" ca="1" si="1"/>
        <v>797360520.06348944</v>
      </c>
      <c r="K12">
        <f t="shared" ca="1" si="5"/>
        <v>98.223649214172227</v>
      </c>
      <c r="L12">
        <f t="shared" ca="1" si="2"/>
        <v>1228.9982668636594</v>
      </c>
    </row>
    <row r="13" spans="2:12" x14ac:dyDescent="0.25">
      <c r="G13">
        <f t="shared" ca="1" si="3"/>
        <v>91.67540593322741</v>
      </c>
      <c r="H13">
        <f t="shared" ca="1" si="0"/>
        <v>-2.8818769598780136</v>
      </c>
      <c r="I13">
        <f t="shared" ca="1" si="4"/>
        <v>98.223649214172227</v>
      </c>
      <c r="J13">
        <f t="shared" ca="1" si="1"/>
        <v>1228.9982668636594</v>
      </c>
      <c r="K13">
        <f t="shared" ca="1" si="5"/>
        <v>94.949527573699811</v>
      </c>
      <c r="L13">
        <f t="shared" ca="1" si="2"/>
        <v>296.97332553755632</v>
      </c>
    </row>
    <row r="14" spans="2:12" x14ac:dyDescent="0.25">
      <c r="G14">
        <f t="shared" ca="1" si="3"/>
        <v>91.67540593322741</v>
      </c>
      <c r="H14">
        <f t="shared" ca="1" si="0"/>
        <v>-2.8818769598780136</v>
      </c>
      <c r="I14">
        <f t="shared" ca="1" si="4"/>
        <v>94.949527573699811</v>
      </c>
      <c r="J14">
        <f t="shared" ca="1" si="1"/>
        <v>296.97332553755632</v>
      </c>
      <c r="K14">
        <f t="shared" ca="1" si="5"/>
        <v>93.31246675346361</v>
      </c>
      <c r="L14">
        <f t="shared" ca="1" si="2"/>
        <v>112.17826707883245</v>
      </c>
    </row>
    <row r="15" spans="2:12" x14ac:dyDescent="0.25">
      <c r="G15">
        <f t="shared" ca="1" si="3"/>
        <v>91.67540593322741</v>
      </c>
      <c r="H15">
        <f t="shared" ca="1" si="0"/>
        <v>-2.8818769598780136</v>
      </c>
      <c r="I15">
        <f t="shared" ca="1" si="4"/>
        <v>93.31246675346361</v>
      </c>
      <c r="J15">
        <f t="shared" ca="1" si="1"/>
        <v>112.17826707883245</v>
      </c>
      <c r="K15">
        <f t="shared" ca="1" si="5"/>
        <v>92.49393634334551</v>
      </c>
      <c r="L15">
        <f t="shared" ca="1" si="2"/>
        <v>48.313883512454026</v>
      </c>
    </row>
    <row r="16" spans="2:12" x14ac:dyDescent="0.25">
      <c r="G16">
        <f t="shared" ca="1" si="3"/>
        <v>91.67540593322741</v>
      </c>
      <c r="H16">
        <f t="shared" ca="1" si="0"/>
        <v>-2.8818769598780136</v>
      </c>
      <c r="I16">
        <f t="shared" ca="1" si="4"/>
        <v>92.49393634334551</v>
      </c>
      <c r="J16">
        <f t="shared" ca="1" si="1"/>
        <v>48.313883512454026</v>
      </c>
      <c r="K16">
        <f t="shared" ca="1" si="5"/>
        <v>92.084671138286467</v>
      </c>
      <c r="L16">
        <f t="shared" ca="1" si="2"/>
        <v>21.34546916342606</v>
      </c>
    </row>
    <row r="17" spans="7:12" x14ac:dyDescent="0.25">
      <c r="G17">
        <f t="shared" ca="1" si="3"/>
        <v>91.67540593322741</v>
      </c>
      <c r="H17">
        <f t="shared" ca="1" si="0"/>
        <v>-2.8818769598780136</v>
      </c>
      <c r="I17">
        <f t="shared" ca="1" si="4"/>
        <v>92.084671138286467</v>
      </c>
      <c r="J17">
        <f t="shared" ca="1" si="1"/>
        <v>21.34546916342606</v>
      </c>
      <c r="K17">
        <f t="shared" ca="1" si="5"/>
        <v>91.880038535756938</v>
      </c>
      <c r="L17">
        <f t="shared" ca="1" si="2"/>
        <v>8.9120127662411619</v>
      </c>
    </row>
    <row r="18" spans="7:12" x14ac:dyDescent="0.25">
      <c r="G18">
        <f t="shared" ca="1" si="3"/>
        <v>91.67540593322741</v>
      </c>
      <c r="H18">
        <f t="shared" ca="1" si="0"/>
        <v>-2.8818769598780136</v>
      </c>
      <c r="I18">
        <f t="shared" ca="1" si="4"/>
        <v>91.880038535756938</v>
      </c>
      <c r="J18">
        <f t="shared" ca="1" si="1"/>
        <v>8.9120127662411619</v>
      </c>
      <c r="K18">
        <f t="shared" ca="1" si="5"/>
        <v>91.777722234492174</v>
      </c>
      <c r="L18">
        <f t="shared" ca="1" si="2"/>
        <v>2.9377759984660656</v>
      </c>
    </row>
    <row r="19" spans="7:12" x14ac:dyDescent="0.25">
      <c r="G19">
        <f t="shared" ca="1" si="3"/>
        <v>91.67540593322741</v>
      </c>
      <c r="H19">
        <f t="shared" ca="1" si="0"/>
        <v>-2.8818769598780136</v>
      </c>
      <c r="I19">
        <f t="shared" ca="1" si="4"/>
        <v>91.777722234492174</v>
      </c>
      <c r="J19">
        <f t="shared" ca="1" si="1"/>
        <v>2.9377759984660656</v>
      </c>
      <c r="K19">
        <f t="shared" ca="1" si="5"/>
        <v>91.726564083859785</v>
      </c>
      <c r="L19">
        <f t="shared" ca="1" si="2"/>
        <v>8.9465461651911937E-3</v>
      </c>
    </row>
    <row r="20" spans="7:12" x14ac:dyDescent="0.25">
      <c r="G20">
        <f t="shared" ca="1" si="3"/>
        <v>91.67540593322741</v>
      </c>
      <c r="H20">
        <f t="shared" ca="1" si="0"/>
        <v>-2.8818769598780136</v>
      </c>
      <c r="I20">
        <f t="shared" ca="1" si="4"/>
        <v>91.726564083859785</v>
      </c>
      <c r="J20">
        <f t="shared" ca="1" si="1"/>
        <v>8.9465461651911937E-3</v>
      </c>
      <c r="K20">
        <f t="shared" ca="1" si="5"/>
        <v>91.700985008543597</v>
      </c>
      <c r="L20">
        <f t="shared" ca="1" si="2"/>
        <v>-1.441176657032031</v>
      </c>
    </row>
    <row r="21" spans="7:12" x14ac:dyDescent="0.25">
      <c r="G21">
        <f t="shared" ca="1" si="3"/>
        <v>91.700985008543597</v>
      </c>
      <c r="H21">
        <f t="shared" ca="1" si="0"/>
        <v>-1.441176657032031</v>
      </c>
      <c r="I21">
        <f t="shared" ca="1" si="4"/>
        <v>91.726564083859785</v>
      </c>
      <c r="J21">
        <f t="shared" ca="1" si="1"/>
        <v>8.9465461651911937E-3</v>
      </c>
      <c r="K21">
        <f t="shared" ca="1" si="5"/>
        <v>91.713774546201691</v>
      </c>
      <c r="L21">
        <f t="shared" ca="1" si="2"/>
        <v>-0.71729779853359332</v>
      </c>
    </row>
    <row r="22" spans="7:12" x14ac:dyDescent="0.25">
      <c r="G22">
        <f t="shared" ca="1" si="3"/>
        <v>91.713774546201691</v>
      </c>
      <c r="H22">
        <f t="shared" ca="1" si="0"/>
        <v>-0.71729779853359332</v>
      </c>
      <c r="I22">
        <f t="shared" ca="1" si="4"/>
        <v>91.726564083859785</v>
      </c>
      <c r="J22">
        <f t="shared" ca="1" si="1"/>
        <v>8.9465461651911937E-3</v>
      </c>
      <c r="K22">
        <f t="shared" ca="1" si="5"/>
        <v>91.720169315030745</v>
      </c>
      <c r="L22">
        <f t="shared" ca="1" si="2"/>
        <v>-0.35447192473333189</v>
      </c>
    </row>
    <row r="23" spans="7:12" x14ac:dyDescent="0.25">
      <c r="G23">
        <f t="shared" ca="1" si="3"/>
        <v>91.720169315030745</v>
      </c>
      <c r="H23">
        <f t="shared" ca="1" si="0"/>
        <v>-0.35447192473333189</v>
      </c>
      <c r="I23">
        <f t="shared" ca="1" si="4"/>
        <v>91.726564083859785</v>
      </c>
      <c r="J23">
        <f t="shared" ca="1" si="1"/>
        <v>8.9465461651911937E-3</v>
      </c>
      <c r="K23">
        <f t="shared" ca="1" si="5"/>
        <v>91.723366699445265</v>
      </c>
      <c r="L23">
        <f t="shared" ca="1" si="2"/>
        <v>-0.1728368406880918</v>
      </c>
    </row>
    <row r="24" spans="7:12" x14ac:dyDescent="0.25">
      <c r="G24">
        <f t="shared" ca="1" si="3"/>
        <v>91.723366699445265</v>
      </c>
      <c r="H24">
        <f t="shared" ca="1" si="0"/>
        <v>-0.1728368406880918</v>
      </c>
      <c r="I24">
        <f t="shared" ca="1" si="4"/>
        <v>91.726564083859785</v>
      </c>
      <c r="J24">
        <f t="shared" ca="1" si="1"/>
        <v>8.9465461651911937E-3</v>
      </c>
      <c r="K24">
        <f t="shared" ca="1" si="5"/>
        <v>91.724965391652518</v>
      </c>
      <c r="L24">
        <f t="shared" ca="1" si="2"/>
        <v>-8.1963694719377145E-2</v>
      </c>
    </row>
    <row r="25" spans="7:12" x14ac:dyDescent="0.25">
      <c r="G25">
        <f t="shared" ca="1" si="3"/>
        <v>91.724965391652518</v>
      </c>
      <c r="H25">
        <f t="shared" ca="1" si="0"/>
        <v>-8.1963694719377145E-2</v>
      </c>
      <c r="I25">
        <f t="shared" ca="1" si="4"/>
        <v>91.726564083859785</v>
      </c>
      <c r="J25">
        <f t="shared" ca="1" si="1"/>
        <v>8.9465461651911937E-3</v>
      </c>
      <c r="K25">
        <f t="shared" ca="1" si="5"/>
        <v>91.725764737756151</v>
      </c>
      <c r="L25">
        <f t="shared" ca="1" si="2"/>
        <v>-3.6513212342867973E-2</v>
      </c>
    </row>
    <row r="26" spans="7:12" x14ac:dyDescent="0.25">
      <c r="G26">
        <f t="shared" ca="1" si="3"/>
        <v>91.725764737756151</v>
      </c>
      <c r="H26">
        <f t="shared" ca="1" si="0"/>
        <v>-3.6513212342867973E-2</v>
      </c>
      <c r="I26">
        <f t="shared" ca="1" si="4"/>
        <v>91.726564083859785</v>
      </c>
      <c r="J26">
        <f t="shared" ca="1" si="1"/>
        <v>8.9465461651911937E-3</v>
      </c>
      <c r="K26">
        <f t="shared" ca="1" si="5"/>
        <v>91.726164410807968</v>
      </c>
      <c r="L26">
        <f t="shared" ca="1" si="2"/>
        <v>-1.3784492755632982E-2</v>
      </c>
    </row>
    <row r="27" spans="7:12" x14ac:dyDescent="0.25">
      <c r="G27">
        <f t="shared" ref="G27:G33" ca="1" si="6">IF(H26*L26&gt;0,K26,G26)</f>
        <v>91.726164410807968</v>
      </c>
      <c r="H27">
        <f t="shared" ca="1" si="0"/>
        <v>-1.3784492755632982E-2</v>
      </c>
      <c r="I27">
        <f t="shared" ref="I27:I33" ca="1" si="7">IF(H26*L26&gt;0,I26,K26)</f>
        <v>91.726564083859785</v>
      </c>
      <c r="J27">
        <f t="shared" ca="1" si="1"/>
        <v>8.9465461651911937E-3</v>
      </c>
      <c r="K27">
        <f t="shared" ref="K27:K33" ca="1" si="8">(I27+G27)/2</f>
        <v>91.726364247333876</v>
      </c>
      <c r="L27">
        <f t="shared" ca="1" si="2"/>
        <v>-2.4192632305926054E-3</v>
      </c>
    </row>
    <row r="28" spans="7:12" x14ac:dyDescent="0.25">
      <c r="G28">
        <f t="shared" ca="1" si="6"/>
        <v>91.726364247333876</v>
      </c>
      <c r="H28">
        <f t="shared" ca="1" si="0"/>
        <v>-2.4192632305926054E-3</v>
      </c>
      <c r="I28">
        <f t="shared" ca="1" si="7"/>
        <v>91.726564083859785</v>
      </c>
      <c r="J28">
        <f t="shared" ca="1" si="1"/>
        <v>8.9465461651911937E-3</v>
      </c>
      <c r="K28">
        <f t="shared" ca="1" si="8"/>
        <v>91.726464165596838</v>
      </c>
      <c r="L28">
        <f t="shared" ca="1" si="2"/>
        <v>3.2635689814810576E-3</v>
      </c>
    </row>
    <row r="29" spans="7:12" x14ac:dyDescent="0.25">
      <c r="G29">
        <f t="shared" ca="1" si="6"/>
        <v>91.726364247333876</v>
      </c>
      <c r="H29">
        <f t="shared" ca="1" si="0"/>
        <v>-2.4192632305926054E-3</v>
      </c>
      <c r="I29">
        <f t="shared" ca="1" si="7"/>
        <v>91.726464165596838</v>
      </c>
      <c r="J29">
        <f t="shared" ca="1" si="1"/>
        <v>3.2635689814810576E-3</v>
      </c>
      <c r="K29">
        <f t="shared" ca="1" si="8"/>
        <v>91.726414206465364</v>
      </c>
      <c r="L29">
        <f t="shared" ca="1" si="2"/>
        <v>4.2213475455810112E-4</v>
      </c>
    </row>
    <row r="30" spans="7:12" x14ac:dyDescent="0.25">
      <c r="G30">
        <f t="shared" ca="1" si="6"/>
        <v>91.726364247333876</v>
      </c>
      <c r="H30">
        <f t="shared" ca="1" si="0"/>
        <v>-2.4192632305926054E-3</v>
      </c>
      <c r="I30">
        <f t="shared" ca="1" si="7"/>
        <v>91.726414206465364</v>
      </c>
      <c r="J30">
        <f t="shared" ca="1" si="1"/>
        <v>4.2213475455810112E-4</v>
      </c>
      <c r="K30">
        <f t="shared" ca="1" si="8"/>
        <v>91.726389226899613</v>
      </c>
      <c r="L30">
        <f t="shared" ca="1" si="2"/>
        <v>-9.9856876875037415E-4</v>
      </c>
    </row>
    <row r="31" spans="7:12" x14ac:dyDescent="0.25">
      <c r="G31">
        <f t="shared" ca="1" si="6"/>
        <v>91.726389226899613</v>
      </c>
      <c r="H31">
        <f t="shared" ca="1" si="0"/>
        <v>-9.9856876875037415E-4</v>
      </c>
      <c r="I31">
        <f t="shared" ca="1" si="7"/>
        <v>91.726414206465364</v>
      </c>
      <c r="J31">
        <f t="shared" ca="1" si="1"/>
        <v>4.2213475455810112E-4</v>
      </c>
      <c r="K31">
        <f t="shared" ca="1" si="8"/>
        <v>91.726401716682489</v>
      </c>
      <c r="L31">
        <f t="shared" ca="1" si="2"/>
        <v>-2.882181396444139E-4</v>
      </c>
    </row>
    <row r="32" spans="7:12" x14ac:dyDescent="0.25">
      <c r="G32">
        <f t="shared" ca="1" si="6"/>
        <v>91.726401716682489</v>
      </c>
      <c r="H32">
        <f t="shared" ca="1" si="0"/>
        <v>-2.882181396444139E-4</v>
      </c>
      <c r="I32">
        <f t="shared" ca="1" si="7"/>
        <v>91.726414206465364</v>
      </c>
      <c r="J32">
        <f t="shared" ca="1" si="1"/>
        <v>4.2213475455810112E-4</v>
      </c>
      <c r="K32">
        <f t="shared" ca="1" si="8"/>
        <v>91.726407961573926</v>
      </c>
      <c r="L32">
        <f t="shared" ca="1" si="2"/>
        <v>6.6958024319774267E-5</v>
      </c>
    </row>
    <row r="33" spans="7:13" x14ac:dyDescent="0.25">
      <c r="G33">
        <f t="shared" ca="1" si="6"/>
        <v>91.726401716682489</v>
      </c>
      <c r="H33">
        <f t="shared" ca="1" si="0"/>
        <v>-2.882181396444139E-4</v>
      </c>
      <c r="I33">
        <f t="shared" ca="1" si="7"/>
        <v>91.726407961573926</v>
      </c>
      <c r="J33">
        <f t="shared" ca="1" si="1"/>
        <v>6.6958024319774267E-5</v>
      </c>
      <c r="K33">
        <f t="shared" ca="1" si="8"/>
        <v>91.726404839128207</v>
      </c>
      <c r="L33">
        <f t="shared" ca="1" si="2"/>
        <v>-1.1063012846079801E-4</v>
      </c>
    </row>
    <row r="35" spans="7:13" x14ac:dyDescent="0.25">
      <c r="L35" s="14" t="s">
        <v>114</v>
      </c>
      <c r="M35" s="15">
        <f ca="1">NEWCONV</f>
        <v>0.67200595728516421</v>
      </c>
    </row>
    <row r="36" spans="7:13" x14ac:dyDescent="0.25">
      <c r="L36" t="s">
        <v>115</v>
      </c>
      <c r="M36" s="9">
        <f ca="1">IF(AND(H9*J9&gt;0,J9*L9&gt;0),0.9999*INLETR1,K33)</f>
        <v>91.726404839128207</v>
      </c>
    </row>
    <row r="37" spans="7:13" x14ac:dyDescent="0.25">
      <c r="L37" s="14" t="s">
        <v>116</v>
      </c>
      <c r="M37" s="12">
        <f ca="1">MIN(0.9999,M36/INLETR1)</f>
        <v>0.67200595181461709</v>
      </c>
    </row>
    <row r="38" spans="7:13" x14ac:dyDescent="0.25">
      <c r="L38" s="14" t="s">
        <v>117</v>
      </c>
      <c r="M38" s="12">
        <f ca="1">MAX(0.000001,MIN(0.9999,OLDCONV+SENS*(NEWCONV-OLDCONV)))</f>
        <v>0.67200595181461709</v>
      </c>
    </row>
  </sheetData>
  <printOptions gridLines="1" gridLinesSet="0"/>
  <pageMargins left="0.75" right="0.75" top="1" bottom="1" header="0.5" footer="0.5"/>
  <pageSetup orientation="portrait" horizontalDpi="4294967292"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Views>
    <sheetView workbookViewId="0"/>
  </sheetViews>
  <sheetFormatPr defaultColWidth="8.81640625" defaultRowHeight="12.5" x14ac:dyDescent="0.25"/>
  <cols>
    <col min="1" max="1" width="12" style="45" customWidth="1"/>
    <col min="2" max="2" width="22.1796875" style="45" customWidth="1"/>
    <col min="3" max="3" width="48" style="44" customWidth="1"/>
  </cols>
  <sheetData>
    <row r="1" spans="1:3" ht="37.5" x14ac:dyDescent="0.25">
      <c r="A1" s="43" t="s">
        <v>118</v>
      </c>
      <c r="B1" s="43" t="s">
        <v>119</v>
      </c>
      <c r="C1" s="44" t="s">
        <v>120</v>
      </c>
    </row>
    <row r="2" spans="1:3" ht="6" customHeight="1" x14ac:dyDescent="0.25"/>
    <row r="3" spans="1:3" x14ac:dyDescent="0.25">
      <c r="A3" s="46" t="s">
        <v>121</v>
      </c>
      <c r="B3" s="46" t="s">
        <v>122</v>
      </c>
      <c r="C3" s="44" t="s">
        <v>123</v>
      </c>
    </row>
    <row r="4" spans="1:3" x14ac:dyDescent="0.25">
      <c r="A4" s="46" t="s">
        <v>124</v>
      </c>
      <c r="B4" s="46" t="s">
        <v>125</v>
      </c>
      <c r="C4" s="44" t="s">
        <v>126</v>
      </c>
    </row>
    <row r="5" spans="1:3" ht="25" x14ac:dyDescent="0.25">
      <c r="A5" s="46" t="s">
        <v>127</v>
      </c>
      <c r="B5" s="46" t="s">
        <v>128</v>
      </c>
      <c r="C5" s="44" t="s">
        <v>129</v>
      </c>
    </row>
    <row r="6" spans="1:3" x14ac:dyDescent="0.25">
      <c r="A6" s="46" t="s">
        <v>130</v>
      </c>
      <c r="B6" s="46" t="s">
        <v>131</v>
      </c>
      <c r="C6" s="44" t="s">
        <v>132</v>
      </c>
    </row>
    <row r="7" spans="1:3" x14ac:dyDescent="0.25">
      <c r="A7" s="46" t="s">
        <v>133</v>
      </c>
      <c r="B7" s="46" t="s">
        <v>134</v>
      </c>
      <c r="C7" s="44" t="s">
        <v>135</v>
      </c>
    </row>
    <row r="8" spans="1:3" x14ac:dyDescent="0.25">
      <c r="A8" s="46" t="s">
        <v>136</v>
      </c>
      <c r="B8" s="46" t="s">
        <v>137</v>
      </c>
      <c r="C8" s="44" t="s">
        <v>138</v>
      </c>
    </row>
    <row r="9" spans="1:3" x14ac:dyDescent="0.25">
      <c r="A9" s="46" t="s">
        <v>139</v>
      </c>
      <c r="B9" s="46" t="s">
        <v>140</v>
      </c>
      <c r="C9" s="44" t="s">
        <v>141</v>
      </c>
    </row>
    <row r="10" spans="1:3" x14ac:dyDescent="0.25">
      <c r="A10" s="46" t="s">
        <v>142</v>
      </c>
      <c r="B10" s="46" t="s">
        <v>143</v>
      </c>
      <c r="C10" s="44" t="s">
        <v>144</v>
      </c>
    </row>
    <row r="11" spans="1:3" x14ac:dyDescent="0.25">
      <c r="A11" s="46" t="s">
        <v>145</v>
      </c>
      <c r="B11" s="46" t="s">
        <v>146</v>
      </c>
      <c r="C11" s="44" t="s">
        <v>147</v>
      </c>
    </row>
    <row r="12" spans="1:3" x14ac:dyDescent="0.25">
      <c r="A12" s="46" t="s">
        <v>148</v>
      </c>
      <c r="B12" s="46" t="s">
        <v>149</v>
      </c>
      <c r="C12" s="44" t="s">
        <v>150</v>
      </c>
    </row>
    <row r="13" spans="1:3" x14ac:dyDescent="0.25">
      <c r="A13" s="46" t="s">
        <v>151</v>
      </c>
      <c r="B13" s="46" t="s">
        <v>152</v>
      </c>
      <c r="C13" s="44" t="s">
        <v>153</v>
      </c>
    </row>
    <row r="14" spans="1:3" ht="28" x14ac:dyDescent="0.25">
      <c r="A14" s="46" t="s">
        <v>154</v>
      </c>
      <c r="B14" s="46" t="s">
        <v>155</v>
      </c>
      <c r="C14" s="44" t="s">
        <v>156</v>
      </c>
    </row>
    <row r="15" spans="1:3" ht="15.5" x14ac:dyDescent="0.25">
      <c r="A15" s="46" t="s">
        <v>157</v>
      </c>
      <c r="B15" s="46" t="s">
        <v>158</v>
      </c>
      <c r="C15" s="44" t="s">
        <v>159</v>
      </c>
    </row>
    <row r="16" spans="1:3" x14ac:dyDescent="0.25">
      <c r="A16" s="46" t="s">
        <v>160</v>
      </c>
      <c r="B16" s="46" t="s">
        <v>161</v>
      </c>
      <c r="C16" s="44" t="s">
        <v>162</v>
      </c>
    </row>
    <row r="17" spans="1:3" x14ac:dyDescent="0.25">
      <c r="A17" s="46" t="s">
        <v>163</v>
      </c>
      <c r="B17" s="46" t="s">
        <v>164</v>
      </c>
      <c r="C17" s="44" t="s">
        <v>165</v>
      </c>
    </row>
    <row r="18" spans="1:3" x14ac:dyDescent="0.25">
      <c r="A18" s="46" t="s">
        <v>166</v>
      </c>
      <c r="B18" s="46" t="s">
        <v>167</v>
      </c>
      <c r="C18" s="44" t="s">
        <v>168</v>
      </c>
    </row>
    <row r="19" spans="1:3" x14ac:dyDescent="0.25">
      <c r="A19" s="46" t="s">
        <v>169</v>
      </c>
      <c r="B19" s="46" t="s">
        <v>170</v>
      </c>
      <c r="C19" s="44" t="s">
        <v>171</v>
      </c>
    </row>
    <row r="20" spans="1:3" x14ac:dyDescent="0.25">
      <c r="A20" s="46" t="s">
        <v>172</v>
      </c>
      <c r="B20" s="46" t="s">
        <v>173</v>
      </c>
      <c r="C20" s="44" t="s">
        <v>174</v>
      </c>
    </row>
    <row r="21" spans="1:3" x14ac:dyDescent="0.25">
      <c r="A21" s="46" t="s">
        <v>175</v>
      </c>
      <c r="B21" s="46" t="s">
        <v>176</v>
      </c>
      <c r="C21" s="44" t="s">
        <v>177</v>
      </c>
    </row>
    <row r="22" spans="1:3" x14ac:dyDescent="0.25">
      <c r="A22" s="46" t="s">
        <v>178</v>
      </c>
      <c r="B22" s="46" t="s">
        <v>179</v>
      </c>
      <c r="C22" s="44" t="s">
        <v>180</v>
      </c>
    </row>
    <row r="23" spans="1:3" x14ac:dyDescent="0.25">
      <c r="A23" s="46" t="s">
        <v>181</v>
      </c>
      <c r="B23" s="46" t="s">
        <v>182</v>
      </c>
      <c r="C23" s="44" t="s">
        <v>183</v>
      </c>
    </row>
    <row r="24" spans="1:3" x14ac:dyDescent="0.25">
      <c r="A24" s="46" t="s">
        <v>184</v>
      </c>
      <c r="B24" s="46" t="s">
        <v>185</v>
      </c>
      <c r="C24" s="44" t="s">
        <v>186</v>
      </c>
    </row>
    <row r="25" spans="1:3" x14ac:dyDescent="0.25">
      <c r="A25" s="46" t="s">
        <v>187</v>
      </c>
      <c r="B25" s="46" t="s">
        <v>188</v>
      </c>
      <c r="C25" s="44" t="s">
        <v>189</v>
      </c>
    </row>
    <row r="26" spans="1:3" x14ac:dyDescent="0.25">
      <c r="A26" s="46" t="s">
        <v>190</v>
      </c>
      <c r="B26" s="46" t="s">
        <v>191</v>
      </c>
      <c r="C26" s="44" t="s">
        <v>192</v>
      </c>
    </row>
    <row r="27" spans="1:3" x14ac:dyDescent="0.25">
      <c r="A27" s="46" t="s">
        <v>193</v>
      </c>
      <c r="B27" s="46" t="s">
        <v>194</v>
      </c>
      <c r="C27" s="44" t="s">
        <v>195</v>
      </c>
    </row>
    <row r="28" spans="1:3" ht="15.5" x14ac:dyDescent="0.25">
      <c r="A28" s="46" t="s">
        <v>196</v>
      </c>
      <c r="B28" s="46" t="s">
        <v>197</v>
      </c>
      <c r="C28" s="44" t="s">
        <v>198</v>
      </c>
    </row>
    <row r="29" spans="1:3" x14ac:dyDescent="0.25">
      <c r="A29" s="46" t="s">
        <v>199</v>
      </c>
      <c r="B29" s="46" t="s">
        <v>200</v>
      </c>
      <c r="C29" s="44" t="s">
        <v>201</v>
      </c>
    </row>
    <row r="30" spans="1:3" x14ac:dyDescent="0.25">
      <c r="A30" s="46" t="s">
        <v>202</v>
      </c>
      <c r="B30" s="46" t="s">
        <v>203</v>
      </c>
      <c r="C30" s="44" t="s">
        <v>204</v>
      </c>
    </row>
    <row r="31" spans="1:3" x14ac:dyDescent="0.25">
      <c r="A31" s="46" t="s">
        <v>205</v>
      </c>
      <c r="B31" s="46" t="s">
        <v>206</v>
      </c>
      <c r="C31" s="44" t="s">
        <v>207</v>
      </c>
    </row>
    <row r="32" spans="1:3" x14ac:dyDescent="0.25">
      <c r="A32" s="46" t="s">
        <v>208</v>
      </c>
      <c r="B32" s="46" t="s">
        <v>209</v>
      </c>
      <c r="C32" s="44" t="s">
        <v>210</v>
      </c>
    </row>
    <row r="33" spans="1:3" x14ac:dyDescent="0.25">
      <c r="A33" s="46" t="s">
        <v>211</v>
      </c>
      <c r="B33" s="46" t="s">
        <v>212</v>
      </c>
      <c r="C33" s="44" t="s">
        <v>213</v>
      </c>
    </row>
    <row r="34" spans="1:3" x14ac:dyDescent="0.25">
      <c r="A34" s="46" t="s">
        <v>214</v>
      </c>
      <c r="B34" s="46" t="s">
        <v>215</v>
      </c>
      <c r="C34" s="44" t="s">
        <v>216</v>
      </c>
    </row>
    <row r="35" spans="1:3" ht="28" x14ac:dyDescent="0.25">
      <c r="A35" s="46" t="s">
        <v>217</v>
      </c>
      <c r="B35" s="46" t="s">
        <v>218</v>
      </c>
      <c r="C35" s="44" t="s">
        <v>219</v>
      </c>
    </row>
    <row r="36" spans="1:3" ht="15.5" x14ac:dyDescent="0.25">
      <c r="A36" s="46" t="s">
        <v>220</v>
      </c>
      <c r="B36" s="46" t="s">
        <v>221</v>
      </c>
      <c r="C36" s="44" t="s">
        <v>222</v>
      </c>
    </row>
    <row r="37" spans="1:3" x14ac:dyDescent="0.25">
      <c r="A37" s="46" t="s">
        <v>223</v>
      </c>
      <c r="B37" s="46" t="s">
        <v>224</v>
      </c>
      <c r="C37" s="44" t="s">
        <v>225</v>
      </c>
    </row>
    <row r="38" spans="1:3" ht="28" x14ac:dyDescent="0.25">
      <c r="A38" s="46" t="s">
        <v>226</v>
      </c>
      <c r="B38" s="46" t="s">
        <v>227</v>
      </c>
      <c r="C38" s="44" t="s">
        <v>228</v>
      </c>
    </row>
    <row r="39" spans="1:3" ht="28" x14ac:dyDescent="0.25">
      <c r="A39" s="46" t="s">
        <v>229</v>
      </c>
      <c r="B39" s="46" t="s">
        <v>230</v>
      </c>
      <c r="C39" s="44" t="s">
        <v>231</v>
      </c>
    </row>
    <row r="40" spans="1:3" x14ac:dyDescent="0.25">
      <c r="A40" s="46" t="s">
        <v>232</v>
      </c>
      <c r="B40" s="46" t="s">
        <v>233</v>
      </c>
      <c r="C40" s="44" t="s">
        <v>234</v>
      </c>
    </row>
    <row r="41" spans="1:3" x14ac:dyDescent="0.25">
      <c r="A41" s="46" t="s">
        <v>235</v>
      </c>
      <c r="B41" s="46" t="s">
        <v>236</v>
      </c>
      <c r="C41" s="44" t="s">
        <v>237</v>
      </c>
    </row>
    <row r="42" spans="1:3" x14ac:dyDescent="0.25">
      <c r="A42" s="46" t="s">
        <v>238</v>
      </c>
      <c r="B42" s="46" t="s">
        <v>239</v>
      </c>
      <c r="C42" s="44" t="s">
        <v>240</v>
      </c>
    </row>
    <row r="43" spans="1:3" x14ac:dyDescent="0.25">
      <c r="A43" s="46" t="s">
        <v>241</v>
      </c>
      <c r="B43" s="46" t="s">
        <v>242</v>
      </c>
      <c r="C43" s="44" t="s">
        <v>243</v>
      </c>
    </row>
    <row r="44" spans="1:3" x14ac:dyDescent="0.25">
      <c r="A44" s="46" t="s">
        <v>244</v>
      </c>
      <c r="B44" s="46" t="s">
        <v>245</v>
      </c>
      <c r="C44" s="44" t="s">
        <v>246</v>
      </c>
    </row>
    <row r="45" spans="1:3" x14ac:dyDescent="0.25">
      <c r="A45" s="46" t="s">
        <v>247</v>
      </c>
      <c r="B45" s="46" t="s">
        <v>248</v>
      </c>
      <c r="C45" s="44" t="s">
        <v>249</v>
      </c>
    </row>
    <row r="46" spans="1:3" x14ac:dyDescent="0.25">
      <c r="A46" s="46" t="s">
        <v>250</v>
      </c>
      <c r="B46" s="46" t="s">
        <v>251</v>
      </c>
      <c r="C46" s="44" t="s">
        <v>252</v>
      </c>
    </row>
    <row r="47" spans="1:3" x14ac:dyDescent="0.25">
      <c r="A47" s="46" t="s">
        <v>253</v>
      </c>
      <c r="B47" s="46" t="s">
        <v>254</v>
      </c>
      <c r="C47" s="44" t="s">
        <v>255</v>
      </c>
    </row>
    <row r="48" spans="1:3" x14ac:dyDescent="0.25">
      <c r="A48" s="46" t="s">
        <v>256</v>
      </c>
      <c r="B48" s="46" t="s">
        <v>257</v>
      </c>
      <c r="C48" s="44" t="s">
        <v>258</v>
      </c>
    </row>
    <row r="49" spans="1:3" x14ac:dyDescent="0.25">
      <c r="A49" s="46" t="s">
        <v>259</v>
      </c>
      <c r="B49" s="46" t="s">
        <v>260</v>
      </c>
      <c r="C49" s="44" t="s">
        <v>261</v>
      </c>
    </row>
    <row r="50" spans="1:3" x14ac:dyDescent="0.25">
      <c r="A50" s="46" t="s">
        <v>262</v>
      </c>
      <c r="B50" s="46" t="s">
        <v>263</v>
      </c>
      <c r="C50" s="44" t="s">
        <v>264</v>
      </c>
    </row>
    <row r="51" spans="1:3" s="45" customFormat="1" ht="25.5" customHeight="1" x14ac:dyDescent="0.25">
      <c r="A51" s="46" t="s">
        <v>265</v>
      </c>
      <c r="B51" s="46" t="s">
        <v>266</v>
      </c>
      <c r="C51" s="44" t="s">
        <v>267</v>
      </c>
    </row>
    <row r="52" spans="1:3" s="48" customFormat="1" x14ac:dyDescent="0.25">
      <c r="A52" s="47" t="s">
        <v>268</v>
      </c>
      <c r="B52" s="47" t="s">
        <v>269</v>
      </c>
      <c r="C52" s="44" t="s">
        <v>270</v>
      </c>
    </row>
    <row r="53" spans="1:3" x14ac:dyDescent="0.25">
      <c r="A53" s="46" t="s">
        <v>271</v>
      </c>
      <c r="B53" s="46" t="s">
        <v>272</v>
      </c>
      <c r="C53" s="44" t="s">
        <v>273</v>
      </c>
    </row>
    <row r="54" spans="1:3" x14ac:dyDescent="0.25">
      <c r="A54" s="46" t="s">
        <v>274</v>
      </c>
      <c r="B54" s="46" t="s">
        <v>275</v>
      </c>
      <c r="C54" s="44" t="s">
        <v>276</v>
      </c>
    </row>
    <row r="55" spans="1:3" ht="12.75" customHeight="1" x14ac:dyDescent="0.25">
      <c r="A55" s="46" t="s">
        <v>277</v>
      </c>
      <c r="B55" s="46" t="s">
        <v>278</v>
      </c>
      <c r="C55" t="s">
        <v>279</v>
      </c>
    </row>
    <row r="56" spans="1:3" ht="15.5" x14ac:dyDescent="0.25">
      <c r="A56" s="46" t="s">
        <v>48</v>
      </c>
      <c r="B56" s="46" t="s">
        <v>280</v>
      </c>
      <c r="C56" s="44" t="s">
        <v>281</v>
      </c>
    </row>
    <row r="57" spans="1:3" x14ac:dyDescent="0.25">
      <c r="A57" s="46" t="s">
        <v>282</v>
      </c>
      <c r="B57" s="46" t="s">
        <v>283</v>
      </c>
      <c r="C57" s="44" t="s">
        <v>284</v>
      </c>
    </row>
    <row r="58" spans="1:3" x14ac:dyDescent="0.25">
      <c r="A58" s="46" t="s">
        <v>285</v>
      </c>
      <c r="B58" s="46" t="s">
        <v>286</v>
      </c>
      <c r="C58" s="44" t="s">
        <v>287</v>
      </c>
    </row>
    <row r="59" spans="1:3" x14ac:dyDescent="0.25">
      <c r="A59" s="46" t="s">
        <v>288</v>
      </c>
      <c r="B59" s="46" t="s">
        <v>289</v>
      </c>
      <c r="C59" s="44" t="s">
        <v>290</v>
      </c>
    </row>
    <row r="60" spans="1:3" x14ac:dyDescent="0.25">
      <c r="A60" s="46" t="s">
        <v>291</v>
      </c>
      <c r="B60" s="46" t="s">
        <v>292</v>
      </c>
      <c r="C60" s="44" t="s">
        <v>293</v>
      </c>
    </row>
    <row r="61" spans="1:3" x14ac:dyDescent="0.25">
      <c r="A61" s="46" t="s">
        <v>294</v>
      </c>
      <c r="B61" s="46" t="s">
        <v>295</v>
      </c>
      <c r="C61" s="44" t="s">
        <v>296</v>
      </c>
    </row>
    <row r="62" spans="1:3" x14ac:dyDescent="0.25">
      <c r="A62" s="46" t="s">
        <v>297</v>
      </c>
      <c r="B62" s="46" t="s">
        <v>298</v>
      </c>
      <c r="C62" s="44" t="s">
        <v>299</v>
      </c>
    </row>
    <row r="63" spans="1:3" x14ac:dyDescent="0.25">
      <c r="A63" s="46" t="s">
        <v>300</v>
      </c>
      <c r="B63" s="46" t="s">
        <v>301</v>
      </c>
      <c r="C63" s="44" t="s">
        <v>302</v>
      </c>
    </row>
    <row r="64" spans="1:3" x14ac:dyDescent="0.25">
      <c r="A64" s="46" t="s">
        <v>303</v>
      </c>
      <c r="B64" s="46" t="s">
        <v>304</v>
      </c>
      <c r="C64" s="44" t="s">
        <v>305</v>
      </c>
    </row>
    <row r="65" spans="1:3" x14ac:dyDescent="0.25">
      <c r="A65" s="46" t="s">
        <v>306</v>
      </c>
      <c r="B65" s="46" t="s">
        <v>307</v>
      </c>
      <c r="C65" s="44" t="s">
        <v>308</v>
      </c>
    </row>
    <row r="66" spans="1:3" x14ac:dyDescent="0.25">
      <c r="A66" s="46" t="s">
        <v>309</v>
      </c>
      <c r="B66" s="46" t="s">
        <v>310</v>
      </c>
      <c r="C66" s="44" t="s">
        <v>311</v>
      </c>
    </row>
    <row r="67" spans="1:3" x14ac:dyDescent="0.25">
      <c r="A67" s="46" t="s">
        <v>312</v>
      </c>
      <c r="B67" s="46" t="s">
        <v>313</v>
      </c>
      <c r="C67" s="44" t="s">
        <v>314</v>
      </c>
    </row>
    <row r="68" spans="1:3" x14ac:dyDescent="0.25">
      <c r="A68" s="46" t="s">
        <v>315</v>
      </c>
      <c r="B68" s="46" t="s">
        <v>316</v>
      </c>
      <c r="C68" s="44" t="s">
        <v>317</v>
      </c>
    </row>
    <row r="69" spans="1:3" x14ac:dyDescent="0.25">
      <c r="A69" s="46" t="s">
        <v>318</v>
      </c>
      <c r="B69" s="46" t="s">
        <v>319</v>
      </c>
      <c r="C69" s="44" t="s">
        <v>320</v>
      </c>
    </row>
    <row r="70" spans="1:3" x14ac:dyDescent="0.25">
      <c r="A70" s="46" t="s">
        <v>321</v>
      </c>
      <c r="B70" s="46" t="s">
        <v>322</v>
      </c>
      <c r="C70" s="44" t="s">
        <v>323</v>
      </c>
    </row>
    <row r="71" spans="1:3" x14ac:dyDescent="0.25">
      <c r="A71" s="46" t="s">
        <v>324</v>
      </c>
      <c r="B71" s="46" t="s">
        <v>325</v>
      </c>
      <c r="C71" s="44" t="s">
        <v>326</v>
      </c>
    </row>
    <row r="72" spans="1:3" x14ac:dyDescent="0.25">
      <c r="A72" s="46" t="s">
        <v>327</v>
      </c>
      <c r="B72" s="46" t="s">
        <v>328</v>
      </c>
      <c r="C72" s="44" t="s">
        <v>329</v>
      </c>
    </row>
    <row r="73" spans="1:3" x14ac:dyDescent="0.25">
      <c r="A73" s="46" t="s">
        <v>330</v>
      </c>
      <c r="B73" s="46" t="s">
        <v>331</v>
      </c>
      <c r="C73" s="44" t="s">
        <v>332</v>
      </c>
    </row>
    <row r="74" spans="1:3" x14ac:dyDescent="0.25">
      <c r="A74" s="46" t="s">
        <v>333</v>
      </c>
      <c r="B74" s="46" t="s">
        <v>334</v>
      </c>
      <c r="C74" s="44" t="s">
        <v>335</v>
      </c>
    </row>
    <row r="75" spans="1:3" x14ac:dyDescent="0.25">
      <c r="A75" s="46" t="s">
        <v>336</v>
      </c>
      <c r="B75" s="46" t="s">
        <v>337</v>
      </c>
      <c r="C75" s="44" t="s">
        <v>338</v>
      </c>
    </row>
    <row r="76" spans="1:3" x14ac:dyDescent="0.25">
      <c r="A76" s="46" t="s">
        <v>339</v>
      </c>
      <c r="B76" s="46" t="s">
        <v>340</v>
      </c>
      <c r="C76" s="44" t="s">
        <v>341</v>
      </c>
    </row>
    <row r="77" spans="1:3" x14ac:dyDescent="0.25">
      <c r="A77" s="46" t="s">
        <v>342</v>
      </c>
      <c r="B77" s="46" t="s">
        <v>343</v>
      </c>
      <c r="C77" s="44" t="s">
        <v>344</v>
      </c>
    </row>
    <row r="78" spans="1:3" x14ac:dyDescent="0.25">
      <c r="A78" s="46" t="s">
        <v>345</v>
      </c>
      <c r="B78" s="46" t="s">
        <v>346</v>
      </c>
      <c r="C78" s="44" t="s">
        <v>347</v>
      </c>
    </row>
  </sheetData>
  <printOptions gridLines="1"/>
  <pageMargins left="0.75" right="0.75" top="0.75" bottom="0.75" header="0" footer="0"/>
  <pageSetup orientation="portrait" r:id="rId1"/>
  <headerFooter alignWithMargins="0">
    <oddHeader>&amp;CFigure 11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75</vt:i4>
      </vt:variant>
    </vt:vector>
  </HeadingPairs>
  <TitlesOfParts>
    <vt:vector size="81" baseType="lpstr">
      <vt:lpstr>Flowsheet</vt:lpstr>
      <vt:lpstr>Flash</vt:lpstr>
      <vt:lpstr>Interp</vt:lpstr>
      <vt:lpstr>Regress</vt:lpstr>
      <vt:lpstr>Eqn. Solve</vt:lpstr>
      <vt:lpstr>Index</vt:lpstr>
      <vt:lpstr>BASIS</vt:lpstr>
      <vt:lpstr>CONV</vt:lpstr>
      <vt:lpstr>EXITP</vt:lpstr>
      <vt:lpstr>EXITR1</vt:lpstr>
      <vt:lpstr>EXITR2</vt:lpstr>
      <vt:lpstr>EXITR3</vt:lpstr>
      <vt:lpstr>FEEDR1</vt:lpstr>
      <vt:lpstr>FEEDR2</vt:lpstr>
      <vt:lpstr>FEEDR3</vt:lpstr>
      <vt:lpstr>GOAL</vt:lpstr>
      <vt:lpstr>HIGHINDEX</vt:lpstr>
      <vt:lpstr>HIGHK</vt:lpstr>
      <vt:lpstr>HIGHTEMP</vt:lpstr>
      <vt:lpstr>INERTS</vt:lpstr>
      <vt:lpstr>INLETP</vt:lpstr>
      <vt:lpstr>INLETR1</vt:lpstr>
      <vt:lpstr>INLETR2</vt:lpstr>
      <vt:lpstr>INLETR3</vt:lpstr>
      <vt:lpstr>KEQ</vt:lpstr>
      <vt:lpstr>KNOB</vt:lpstr>
      <vt:lpstr>KP</vt:lpstr>
      <vt:lpstr>KR1</vt:lpstr>
      <vt:lpstr>KR2</vt:lpstr>
      <vt:lpstr>KR3</vt:lpstr>
      <vt:lpstr>KTABLE</vt:lpstr>
      <vt:lpstr>LININTERP</vt:lpstr>
      <vt:lpstr>LIQP</vt:lpstr>
      <vt:lpstr>LIQR1</vt:lpstr>
      <vt:lpstr>LIQR2</vt:lpstr>
      <vt:lpstr>LIQR3</vt:lpstr>
      <vt:lpstr>LOGINTERP</vt:lpstr>
      <vt:lpstr>LOWINDEX</vt:lpstr>
      <vt:lpstr>LOWK</vt:lpstr>
      <vt:lpstr>LOWTEMP</vt:lpstr>
      <vt:lpstr>NEWCONV</vt:lpstr>
      <vt:lpstr>OLDCONV</vt:lpstr>
      <vt:lpstr>PRES</vt:lpstr>
      <vt:lpstr>PURITY</vt:lpstr>
      <vt:lpstr>PURP</vt:lpstr>
      <vt:lpstr>PURR1</vt:lpstr>
      <vt:lpstr>PURR2</vt:lpstr>
      <vt:lpstr>PURR3</vt:lpstr>
      <vt:lpstr>RECYP</vt:lpstr>
      <vt:lpstr>RECYR1</vt:lpstr>
      <vt:lpstr>RECYR2</vt:lpstr>
      <vt:lpstr>RECYR3</vt:lpstr>
      <vt:lpstr>SELECT</vt:lpstr>
      <vt:lpstr>SENS</vt:lpstr>
      <vt:lpstr>SOLUTION</vt:lpstr>
      <vt:lpstr>TABLE1</vt:lpstr>
      <vt:lpstr>TABLE2</vt:lpstr>
      <vt:lpstr>TEMP</vt:lpstr>
      <vt:lpstr>TOTFED</vt:lpstr>
      <vt:lpstr>TOTL</vt:lpstr>
      <vt:lpstr>TOTV</vt:lpstr>
      <vt:lpstr>TOTX</vt:lpstr>
      <vt:lpstr>TOTY</vt:lpstr>
      <vt:lpstr>TTEMP</vt:lpstr>
      <vt:lpstr>VAPP</vt:lpstr>
      <vt:lpstr>VAPR1</vt:lpstr>
      <vt:lpstr>VAPR2</vt:lpstr>
      <vt:lpstr>VAPR3</vt:lpstr>
      <vt:lpstr>XP</vt:lpstr>
      <vt:lpstr>XR1</vt:lpstr>
      <vt:lpstr>XR2</vt:lpstr>
      <vt:lpstr>XR3</vt:lpstr>
      <vt:lpstr>XSR2</vt:lpstr>
      <vt:lpstr>YP</vt:lpstr>
      <vt:lpstr>YR1</vt:lpstr>
      <vt:lpstr>YR2</vt:lpstr>
      <vt:lpstr>YR3</vt:lpstr>
      <vt:lpstr>ZP</vt:lpstr>
      <vt:lpstr>ZR1</vt:lpstr>
      <vt:lpstr>ZR2</vt:lpstr>
      <vt:lpstr>ZR3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FOR FLOWSHEET</dc:title>
  <dc:creator>F. M. JULIAN</dc:creator>
  <cp:lastModifiedBy>Carina Negreanu</cp:lastModifiedBy>
  <dcterms:created xsi:type="dcterms:W3CDTF">2020-01-27T11:19:38Z</dcterms:created>
  <dcterms:modified xsi:type="dcterms:W3CDTF">2020-01-27T11:19:40Z</dcterms:modified>
</cp:coreProperties>
</file>