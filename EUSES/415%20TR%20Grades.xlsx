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howObjects="placeholder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62E25F-7898-436D-A359-785D70D3A25A}" xr6:coauthVersionLast="45" xr6:coauthVersionMax="45" xr10:uidLastSave="{00000000-0000-0000-0000-000000000000}"/>
  <bookViews>
    <workbookView xWindow="3420" yWindow="3420" windowWidth="28800" windowHeight="15460" tabRatio="209"/>
  </bookViews>
  <sheets>
    <sheet name="student" sheetId="2" r:id="rId1"/>
    <sheet name="Spring2004" sheetId="1" r:id="rId2"/>
  </sheets>
  <definedNames>
    <definedName name="_Key1" localSheetId="1" hidden="1">Spring2004!#REF!</definedName>
    <definedName name="_Order1" localSheetId="1" hidden="1">255</definedName>
    <definedName name="_Regression_Int" localSheetId="1" hidden="1">1</definedName>
    <definedName name="_Sort" localSheetId="1" hidden="1">Spring2004!#REF!</definedName>
    <definedName name="Print_Area_MI">Spring2004!#REF!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V25" i="1"/>
  <c r="AB25" i="1"/>
  <c r="AD25" i="1" s="1"/>
  <c r="AG25" i="1"/>
  <c r="AX25" i="1"/>
  <c r="V26" i="1"/>
  <c r="U26" i="1" s="1"/>
  <c r="X26" i="1"/>
  <c r="Z26" i="1"/>
  <c r="AB26" i="1"/>
  <c r="AX26" i="1" s="1"/>
  <c r="AD26" i="1"/>
  <c r="AG26" i="1"/>
  <c r="V27" i="1"/>
  <c r="U27" i="1" s="1"/>
  <c r="X27" i="1"/>
  <c r="Z27" i="1"/>
  <c r="AB27" i="1"/>
  <c r="AD27" i="1"/>
  <c r="AG27" i="1"/>
  <c r="AX27" i="1"/>
  <c r="V28" i="1"/>
  <c r="X28" i="1"/>
  <c r="Z28" i="1"/>
  <c r="U28" i="1" s="1"/>
  <c r="AB28" i="1"/>
  <c r="AD28" i="1"/>
  <c r="AG28" i="1"/>
  <c r="AX28" i="1"/>
  <c r="U29" i="1"/>
  <c r="V29" i="1"/>
  <c r="X29" i="1"/>
  <c r="Z29" i="1"/>
  <c r="AB29" i="1"/>
  <c r="AD29" i="1"/>
  <c r="AG29" i="1"/>
  <c r="AX29" i="1"/>
  <c r="V30" i="1"/>
  <c r="X30" i="1"/>
  <c r="Z30" i="1"/>
  <c r="AB30" i="1"/>
  <c r="AD30" i="1" s="1"/>
  <c r="AG30" i="1"/>
  <c r="AX30" i="1"/>
  <c r="V31" i="1"/>
  <c r="X31" i="1"/>
  <c r="Z31" i="1"/>
  <c r="AB31" i="1"/>
  <c r="AX31" i="1" s="1"/>
  <c r="AG31" i="1"/>
  <c r="V32" i="1"/>
  <c r="X32" i="1"/>
  <c r="Z32" i="1"/>
  <c r="AB32" i="1"/>
  <c r="AD32" i="1" s="1"/>
  <c r="AG32" i="1"/>
  <c r="AX32" i="1"/>
  <c r="V33" i="1"/>
  <c r="X33" i="1"/>
  <c r="Z33" i="1"/>
  <c r="U33" i="1" s="1"/>
  <c r="AB33" i="1"/>
  <c r="AD33" i="1"/>
  <c r="AG33" i="1"/>
  <c r="AX33" i="1"/>
  <c r="U34" i="1"/>
  <c r="V34" i="1"/>
  <c r="X34" i="1"/>
  <c r="Z34" i="1"/>
  <c r="AB34" i="1"/>
  <c r="AD34" i="1"/>
  <c r="AG34" i="1"/>
  <c r="AX34" i="1"/>
  <c r="AG35" i="1"/>
  <c r="V36" i="1"/>
  <c r="U36" i="1" s="1"/>
  <c r="X36" i="1"/>
  <c r="Z36" i="1"/>
  <c r="AB36" i="1"/>
  <c r="AD36" i="1"/>
  <c r="AG36" i="1"/>
  <c r="AG402" i="1" s="1"/>
  <c r="H12" i="2" s="1"/>
  <c r="V37" i="1"/>
  <c r="U37" i="1" s="1"/>
  <c r="X37" i="1"/>
  <c r="Z37" i="1"/>
  <c r="AB37" i="1"/>
  <c r="AD37" i="1" s="1"/>
  <c r="AG37" i="1"/>
  <c r="V38" i="1"/>
  <c r="U38" i="1" s="1"/>
  <c r="X38" i="1"/>
  <c r="Z38" i="1"/>
  <c r="AB38" i="1"/>
  <c r="AD38" i="1"/>
  <c r="AG38" i="1"/>
  <c r="V39" i="1"/>
  <c r="X39" i="1"/>
  <c r="Z39" i="1" s="1"/>
  <c r="AB39" i="1"/>
  <c r="AD39" i="1"/>
  <c r="AG39" i="1"/>
  <c r="V40" i="1"/>
  <c r="X40" i="1"/>
  <c r="Z40" i="1"/>
  <c r="AB40" i="1"/>
  <c r="AD40" i="1" s="1"/>
  <c r="AG40" i="1"/>
  <c r="V41" i="1"/>
  <c r="X41" i="1"/>
  <c r="Z41" i="1"/>
  <c r="AB41" i="1"/>
  <c r="AD41" i="1" s="1"/>
  <c r="AG41" i="1"/>
  <c r="V42" i="1"/>
  <c r="X42" i="1"/>
  <c r="Z42" i="1"/>
  <c r="AB42" i="1"/>
  <c r="AB402" i="1" s="1"/>
  <c r="F11" i="2" s="1"/>
  <c r="AG42" i="1"/>
  <c r="V43" i="1"/>
  <c r="X43" i="1"/>
  <c r="Z43" i="1" s="1"/>
  <c r="AB43" i="1"/>
  <c r="AD43" i="1"/>
  <c r="AG43" i="1"/>
  <c r="V44" i="1"/>
  <c r="U44" i="1" s="1"/>
  <c r="X44" i="1"/>
  <c r="Z44" i="1"/>
  <c r="AB44" i="1"/>
  <c r="AD44" i="1"/>
  <c r="AG44" i="1"/>
  <c r="V45" i="1"/>
  <c r="X45" i="1"/>
  <c r="Z45" i="1"/>
  <c r="U45" i="1" s="1"/>
  <c r="AB45" i="1"/>
  <c r="AD45" i="1"/>
  <c r="AG45" i="1"/>
  <c r="V46" i="1"/>
  <c r="AB46" i="1"/>
  <c r="AD46" i="1" s="1"/>
  <c r="AG46" i="1"/>
  <c r="V47" i="1"/>
  <c r="X47" i="1"/>
  <c r="Z47" i="1"/>
  <c r="AB47" i="1"/>
  <c r="AD47" i="1" s="1"/>
  <c r="AG47" i="1"/>
  <c r="V48" i="1"/>
  <c r="U48" i="1" s="1"/>
  <c r="X48" i="1"/>
  <c r="Z48" i="1"/>
  <c r="AD48" i="1"/>
  <c r="AG48" i="1"/>
  <c r="V49" i="1"/>
  <c r="X49" i="1"/>
  <c r="Z49" i="1"/>
  <c r="AB49" i="1"/>
  <c r="AD49" i="1" s="1"/>
  <c r="AG49" i="1"/>
  <c r="V50" i="1"/>
  <c r="X50" i="1"/>
  <c r="Z50" i="1"/>
  <c r="AB50" i="1"/>
  <c r="AD50" i="1" s="1"/>
  <c r="AG50" i="1"/>
  <c r="V51" i="1"/>
  <c r="X51" i="1"/>
  <c r="Z51" i="1"/>
  <c r="AB51" i="1"/>
  <c r="AD51" i="1" s="1"/>
  <c r="AG51" i="1"/>
  <c r="V52" i="1"/>
  <c r="U52" i="1" s="1"/>
  <c r="X52" i="1"/>
  <c r="Z52" i="1" s="1"/>
  <c r="AB52" i="1"/>
  <c r="AD52" i="1"/>
  <c r="AG52" i="1"/>
  <c r="V53" i="1"/>
  <c r="U53" i="1" s="1"/>
  <c r="X53" i="1"/>
  <c r="Z53" i="1"/>
  <c r="AB53" i="1"/>
  <c r="AD53" i="1"/>
  <c r="AG53" i="1"/>
  <c r="V54" i="1"/>
  <c r="X54" i="1"/>
  <c r="Z54" i="1"/>
  <c r="U54" i="1" s="1"/>
  <c r="AB54" i="1"/>
  <c r="AD54" i="1"/>
  <c r="AG54" i="1"/>
  <c r="V55" i="1"/>
  <c r="X55" i="1"/>
  <c r="Z55" i="1" s="1"/>
  <c r="AB55" i="1"/>
  <c r="AD55" i="1"/>
  <c r="AG55" i="1"/>
  <c r="V56" i="1"/>
  <c r="X56" i="1"/>
  <c r="Z56" i="1" s="1"/>
  <c r="AB56" i="1"/>
  <c r="AD56" i="1"/>
  <c r="AG56" i="1"/>
  <c r="V57" i="1"/>
  <c r="X57" i="1"/>
  <c r="X402" i="1" s="1"/>
  <c r="F10" i="2" s="1"/>
  <c r="AB57" i="1"/>
  <c r="AD57" i="1" s="1"/>
  <c r="AG57" i="1"/>
  <c r="U58" i="1"/>
  <c r="V58" i="1"/>
  <c r="X58" i="1"/>
  <c r="Z58" i="1"/>
  <c r="AG58" i="1"/>
  <c r="V59" i="1"/>
  <c r="U59" i="1" s="1"/>
  <c r="X59" i="1"/>
  <c r="Z59" i="1"/>
  <c r="AG59" i="1"/>
  <c r="V60" i="1"/>
  <c r="U60" i="1" s="1"/>
  <c r="X60" i="1"/>
  <c r="Z60" i="1" s="1"/>
  <c r="AB60" i="1"/>
  <c r="AD60" i="1"/>
  <c r="AG60" i="1"/>
  <c r="V61" i="1"/>
  <c r="X61" i="1"/>
  <c r="Z61" i="1"/>
  <c r="AB61" i="1"/>
  <c r="AD61" i="1" s="1"/>
  <c r="AG61" i="1"/>
  <c r="V62" i="1"/>
  <c r="X62" i="1"/>
  <c r="Z62" i="1" s="1"/>
  <c r="AB62" i="1"/>
  <c r="AD62" i="1" s="1"/>
  <c r="AG62" i="1"/>
  <c r="V63" i="1"/>
  <c r="X63" i="1"/>
  <c r="Z63" i="1"/>
  <c r="AB63" i="1"/>
  <c r="AD63" i="1" s="1"/>
  <c r="AG63" i="1"/>
  <c r="V64" i="1"/>
  <c r="X64" i="1"/>
  <c r="Z64" i="1" s="1"/>
  <c r="AB64" i="1"/>
  <c r="AD64" i="1"/>
  <c r="AG64" i="1"/>
  <c r="V65" i="1"/>
  <c r="U65" i="1" s="1"/>
  <c r="X65" i="1"/>
  <c r="Z65" i="1"/>
  <c r="AB65" i="1"/>
  <c r="AD65" i="1"/>
  <c r="AG65" i="1"/>
  <c r="V66" i="1"/>
  <c r="X66" i="1"/>
  <c r="Z66" i="1"/>
  <c r="U66" i="1" s="1"/>
  <c r="AB66" i="1"/>
  <c r="AD66" i="1"/>
  <c r="AG66" i="1"/>
  <c r="V67" i="1"/>
  <c r="X67" i="1"/>
  <c r="Z67" i="1" s="1"/>
  <c r="AB67" i="1"/>
  <c r="AD67" i="1"/>
  <c r="AG67" i="1"/>
  <c r="V68" i="1"/>
  <c r="X68" i="1"/>
  <c r="Z68" i="1" s="1"/>
  <c r="U68" i="1" s="1"/>
  <c r="AB68" i="1"/>
  <c r="AD68" i="1"/>
  <c r="AG68" i="1"/>
  <c r="V69" i="1"/>
  <c r="X69" i="1"/>
  <c r="Z69" i="1" s="1"/>
  <c r="AB69" i="1"/>
  <c r="AD69" i="1" s="1"/>
  <c r="AG69" i="1"/>
  <c r="U70" i="1"/>
  <c r="V70" i="1"/>
  <c r="X70" i="1"/>
  <c r="Z70" i="1"/>
  <c r="AB70" i="1"/>
  <c r="AD70" i="1"/>
  <c r="AG70" i="1"/>
  <c r="V71" i="1"/>
  <c r="U71" i="1" s="1"/>
  <c r="AB71" i="1"/>
  <c r="AD71" i="1"/>
  <c r="AG71" i="1"/>
  <c r="V72" i="1"/>
  <c r="X72" i="1"/>
  <c r="Z72" i="1"/>
  <c r="U72" i="1" s="1"/>
  <c r="AD72" i="1"/>
  <c r="AG72" i="1"/>
  <c r="V73" i="1"/>
  <c r="X73" i="1"/>
  <c r="Z73" i="1" s="1"/>
  <c r="AB73" i="1"/>
  <c r="AD73" i="1"/>
  <c r="AG73" i="1"/>
  <c r="V74" i="1"/>
  <c r="U74" i="1" s="1"/>
  <c r="X74" i="1"/>
  <c r="Z74" i="1"/>
  <c r="AB74" i="1"/>
  <c r="AD74" i="1"/>
  <c r="AG74" i="1"/>
  <c r="V75" i="1"/>
  <c r="X75" i="1"/>
  <c r="Z75" i="1"/>
  <c r="U75" i="1" s="1"/>
  <c r="AB75" i="1"/>
  <c r="AD75" i="1"/>
  <c r="AG75" i="1"/>
  <c r="V76" i="1"/>
  <c r="U76" i="1" s="1"/>
  <c r="X76" i="1"/>
  <c r="Z76" i="1" s="1"/>
  <c r="AB76" i="1"/>
  <c r="AD76" i="1"/>
  <c r="AG76" i="1"/>
  <c r="V77" i="1"/>
  <c r="U77" i="1" s="1"/>
  <c r="X77" i="1"/>
  <c r="Z77" i="1" s="1"/>
  <c r="AB77" i="1"/>
  <c r="AD77" i="1"/>
  <c r="AG77" i="1"/>
  <c r="V78" i="1"/>
  <c r="X78" i="1"/>
  <c r="Z78" i="1" s="1"/>
  <c r="AB78" i="1"/>
  <c r="AD78" i="1" s="1"/>
  <c r="AG78" i="1"/>
  <c r="U79" i="1"/>
  <c r="V79" i="1"/>
  <c r="X79" i="1"/>
  <c r="Z79" i="1"/>
  <c r="AB79" i="1"/>
  <c r="AD79" i="1"/>
  <c r="AG79" i="1"/>
  <c r="V80" i="1"/>
  <c r="U80" i="1" s="1"/>
  <c r="X80" i="1"/>
  <c r="Z80" i="1"/>
  <c r="AB80" i="1"/>
  <c r="AD80" i="1"/>
  <c r="AG80" i="1"/>
  <c r="V81" i="1"/>
  <c r="V402" i="1" s="1"/>
  <c r="X81" i="1"/>
  <c r="Z81" i="1"/>
  <c r="AB81" i="1"/>
  <c r="AD81" i="1"/>
  <c r="AG81" i="1"/>
  <c r="U82" i="1"/>
  <c r="V82" i="1"/>
  <c r="X82" i="1"/>
  <c r="Z82" i="1"/>
  <c r="AB82" i="1"/>
  <c r="AD82" i="1"/>
  <c r="AG82" i="1"/>
  <c r="V83" i="1"/>
  <c r="X83" i="1"/>
  <c r="Z83" i="1"/>
  <c r="U83" i="1" s="1"/>
  <c r="AB83" i="1"/>
  <c r="AD83" i="1"/>
  <c r="AG83" i="1"/>
  <c r="V84" i="1"/>
  <c r="X84" i="1"/>
  <c r="Z84" i="1" s="1"/>
  <c r="U84" i="1" s="1"/>
  <c r="AB84" i="1"/>
  <c r="AD84" i="1"/>
  <c r="AG84" i="1"/>
  <c r="V85" i="1"/>
  <c r="U85" i="1" s="1"/>
  <c r="X85" i="1"/>
  <c r="Z85" i="1"/>
  <c r="AB85" i="1"/>
  <c r="AD85" i="1"/>
  <c r="AG85" i="1"/>
  <c r="V86" i="1"/>
  <c r="U86" i="1" s="1"/>
  <c r="X86" i="1"/>
  <c r="Z86" i="1" s="1"/>
  <c r="AB86" i="1"/>
  <c r="AD86" i="1"/>
  <c r="AG86" i="1"/>
  <c r="V87" i="1"/>
  <c r="U87" i="1" s="1"/>
  <c r="X87" i="1"/>
  <c r="Z87" i="1"/>
  <c r="AB87" i="1"/>
  <c r="AD87" i="1"/>
  <c r="AG87" i="1"/>
  <c r="V88" i="1"/>
  <c r="U88" i="1" s="1"/>
  <c r="X88" i="1"/>
  <c r="Z88" i="1"/>
  <c r="AB88" i="1"/>
  <c r="AD88" i="1"/>
  <c r="AG88" i="1"/>
  <c r="V89" i="1"/>
  <c r="U89" i="1" s="1"/>
  <c r="X89" i="1"/>
  <c r="Z89" i="1"/>
  <c r="AB89" i="1"/>
  <c r="AD89" i="1"/>
  <c r="AG89" i="1"/>
  <c r="V90" i="1"/>
  <c r="X90" i="1"/>
  <c r="Z90" i="1"/>
  <c r="AB90" i="1"/>
  <c r="AD90" i="1" s="1"/>
  <c r="AG90" i="1"/>
  <c r="V91" i="1"/>
  <c r="U91" i="1" s="1"/>
  <c r="X91" i="1"/>
  <c r="Z91" i="1"/>
  <c r="AB91" i="1"/>
  <c r="AD91" i="1" s="1"/>
  <c r="AG91" i="1"/>
  <c r="V92" i="1"/>
  <c r="X92" i="1"/>
  <c r="Z92" i="1"/>
  <c r="AB92" i="1"/>
  <c r="AD92" i="1" s="1"/>
  <c r="AG92" i="1"/>
  <c r="V93" i="1"/>
  <c r="U93" i="1" s="1"/>
  <c r="X93" i="1"/>
  <c r="Z93" i="1"/>
  <c r="AB93" i="1"/>
  <c r="AD93" i="1"/>
  <c r="AG93" i="1"/>
  <c r="V94" i="1"/>
  <c r="U94" i="1" s="1"/>
  <c r="X94" i="1"/>
  <c r="Z94" i="1"/>
  <c r="AB94" i="1"/>
  <c r="AD94" i="1"/>
  <c r="AG94" i="1"/>
  <c r="V95" i="1"/>
  <c r="U95" i="1" s="1"/>
  <c r="X95" i="1"/>
  <c r="Z95" i="1"/>
  <c r="AB95" i="1"/>
  <c r="AD95" i="1"/>
  <c r="AG95" i="1"/>
  <c r="V96" i="1"/>
  <c r="X96" i="1"/>
  <c r="Z96" i="1" s="1"/>
  <c r="AB96" i="1"/>
  <c r="AD96" i="1"/>
  <c r="AG96" i="1"/>
  <c r="V97" i="1"/>
  <c r="X97" i="1"/>
  <c r="Z97" i="1" s="1"/>
  <c r="AB97" i="1"/>
  <c r="AD97" i="1"/>
  <c r="AG97" i="1"/>
  <c r="V98" i="1"/>
  <c r="X98" i="1"/>
  <c r="Z98" i="1" s="1"/>
  <c r="AB98" i="1"/>
  <c r="AD98" i="1" s="1"/>
  <c r="AG98" i="1"/>
  <c r="U99" i="1"/>
  <c r="V99" i="1"/>
  <c r="X99" i="1"/>
  <c r="Z99" i="1"/>
  <c r="AB99" i="1"/>
  <c r="AD99" i="1"/>
  <c r="AG99" i="1"/>
  <c r="V100" i="1"/>
  <c r="X100" i="1"/>
  <c r="Z100" i="1"/>
  <c r="AB100" i="1"/>
  <c r="AD100" i="1" s="1"/>
  <c r="AG100" i="1"/>
  <c r="V101" i="1"/>
  <c r="U101" i="1" s="1"/>
  <c r="X101" i="1"/>
  <c r="Z101" i="1"/>
  <c r="AB101" i="1"/>
  <c r="AD101" i="1"/>
  <c r="AG101" i="1"/>
  <c r="U102" i="1"/>
  <c r="V102" i="1"/>
  <c r="X102" i="1"/>
  <c r="Z102" i="1"/>
  <c r="AB102" i="1"/>
  <c r="AD102" i="1"/>
  <c r="AG102" i="1"/>
  <c r="V103" i="1"/>
  <c r="X103" i="1"/>
  <c r="Z103" i="1"/>
  <c r="U103" i="1" s="1"/>
  <c r="AB103" i="1"/>
  <c r="AD103" i="1"/>
  <c r="AG103" i="1"/>
  <c r="V104" i="1"/>
  <c r="X104" i="1"/>
  <c r="Z104" i="1" s="1"/>
  <c r="U104" i="1" s="1"/>
  <c r="AB104" i="1"/>
  <c r="AD104" i="1"/>
  <c r="AG104" i="1"/>
  <c r="V105" i="1"/>
  <c r="X105" i="1"/>
  <c r="Z105" i="1"/>
  <c r="AB105" i="1"/>
  <c r="AD105" i="1" s="1"/>
  <c r="AG105" i="1"/>
  <c r="V106" i="1"/>
  <c r="X106" i="1"/>
  <c r="Z106" i="1" s="1"/>
  <c r="AB106" i="1"/>
  <c r="AD106" i="1" s="1"/>
  <c r="AG106" i="1"/>
  <c r="V107" i="1"/>
  <c r="U107" i="1" s="1"/>
  <c r="X107" i="1"/>
  <c r="Z107" i="1"/>
  <c r="AB107" i="1"/>
  <c r="AD107" i="1"/>
  <c r="AG107" i="1"/>
  <c r="V108" i="1"/>
  <c r="X108" i="1"/>
  <c r="Z108" i="1"/>
  <c r="AB108" i="1"/>
  <c r="AD108" i="1" s="1"/>
  <c r="AG108" i="1"/>
  <c r="V109" i="1"/>
  <c r="U109" i="1" s="1"/>
  <c r="X109" i="1"/>
  <c r="Z109" i="1"/>
  <c r="AB109" i="1"/>
  <c r="AD109" i="1"/>
  <c r="AG109" i="1"/>
  <c r="V110" i="1"/>
  <c r="X110" i="1"/>
  <c r="Z110" i="1"/>
  <c r="AB110" i="1"/>
  <c r="AD110" i="1" s="1"/>
  <c r="AG110" i="1"/>
  <c r="V111" i="1"/>
  <c r="X111" i="1"/>
  <c r="Z111" i="1" s="1"/>
  <c r="AG111" i="1"/>
  <c r="V112" i="1"/>
  <c r="U112" i="1" s="1"/>
  <c r="X112" i="1"/>
  <c r="Z112" i="1" s="1"/>
  <c r="AB112" i="1"/>
  <c r="AD112" i="1" s="1"/>
  <c r="AG112" i="1"/>
  <c r="V113" i="1"/>
  <c r="U113" i="1" s="1"/>
  <c r="X113" i="1"/>
  <c r="Z113" i="1"/>
  <c r="AG113" i="1"/>
  <c r="U114" i="1"/>
  <c r="V114" i="1"/>
  <c r="X114" i="1"/>
  <c r="Z114" i="1"/>
  <c r="AB114" i="1"/>
  <c r="AD114" i="1"/>
  <c r="AG114" i="1"/>
  <c r="AG115" i="1"/>
  <c r="V116" i="1"/>
  <c r="X116" i="1"/>
  <c r="Z116" i="1" s="1"/>
  <c r="AB116" i="1"/>
  <c r="AD116" i="1" s="1"/>
  <c r="AG116" i="1"/>
  <c r="V117" i="1"/>
  <c r="U117" i="1" s="1"/>
  <c r="X117" i="1"/>
  <c r="Z117" i="1"/>
  <c r="AB117" i="1"/>
  <c r="AD117" i="1"/>
  <c r="AG117" i="1"/>
  <c r="V118" i="1"/>
  <c r="U118" i="1" s="1"/>
  <c r="X118" i="1"/>
  <c r="Z118" i="1"/>
  <c r="AB118" i="1"/>
  <c r="AD118" i="1"/>
  <c r="AG118" i="1"/>
  <c r="V119" i="1"/>
  <c r="U119" i="1" s="1"/>
  <c r="X119" i="1"/>
  <c r="Z119" i="1"/>
  <c r="AB119" i="1"/>
  <c r="AD119" i="1"/>
  <c r="AG119" i="1"/>
  <c r="V120" i="1"/>
  <c r="X120" i="1"/>
  <c r="Z120" i="1"/>
  <c r="U120" i="1" s="1"/>
  <c r="AB120" i="1"/>
  <c r="AD120" i="1" s="1"/>
  <c r="AG120" i="1"/>
  <c r="V121" i="1"/>
  <c r="U121" i="1" s="1"/>
  <c r="X121" i="1"/>
  <c r="Z121" i="1"/>
  <c r="AB121" i="1"/>
  <c r="AD121" i="1" s="1"/>
  <c r="AG121" i="1"/>
  <c r="V122" i="1"/>
  <c r="X122" i="1"/>
  <c r="Z122" i="1"/>
  <c r="U122" i="1" s="1"/>
  <c r="AB122" i="1"/>
  <c r="AD122" i="1" s="1"/>
  <c r="AG122" i="1"/>
  <c r="V123" i="1"/>
  <c r="U123" i="1" s="1"/>
  <c r="X123" i="1"/>
  <c r="Z123" i="1" s="1"/>
  <c r="AB123" i="1"/>
  <c r="AD123" i="1"/>
  <c r="AG123" i="1"/>
  <c r="V124" i="1"/>
  <c r="U124" i="1" s="1"/>
  <c r="X124" i="1"/>
  <c r="Z124" i="1" s="1"/>
  <c r="AB124" i="1"/>
  <c r="AD124" i="1"/>
  <c r="AG124" i="1"/>
  <c r="V125" i="1"/>
  <c r="U125" i="1" s="1"/>
  <c r="Z125" i="1"/>
  <c r="AB125" i="1"/>
  <c r="AD125" i="1" s="1"/>
  <c r="AG125" i="1"/>
  <c r="V126" i="1"/>
  <c r="X126" i="1"/>
  <c r="Z126" i="1" s="1"/>
  <c r="U126" i="1" s="1"/>
  <c r="AB126" i="1"/>
  <c r="AD126" i="1"/>
  <c r="AG126" i="1"/>
  <c r="V127" i="1"/>
  <c r="X127" i="1"/>
  <c r="Z127" i="1" s="1"/>
  <c r="AB127" i="1"/>
  <c r="AD127" i="1"/>
  <c r="AG127" i="1"/>
  <c r="AG128" i="1"/>
  <c r="V129" i="1"/>
  <c r="X129" i="1"/>
  <c r="Z129" i="1" s="1"/>
  <c r="AB129" i="1"/>
  <c r="AD129" i="1" s="1"/>
  <c r="AG129" i="1"/>
  <c r="U130" i="1"/>
  <c r="V130" i="1"/>
  <c r="X130" i="1"/>
  <c r="Z130" i="1"/>
  <c r="AB130" i="1"/>
  <c r="AD130" i="1"/>
  <c r="AG130" i="1"/>
  <c r="V131" i="1"/>
  <c r="X131" i="1"/>
  <c r="Z131" i="1"/>
  <c r="AB131" i="1"/>
  <c r="AD131" i="1" s="1"/>
  <c r="AG131" i="1"/>
  <c r="AG132" i="1"/>
  <c r="V133" i="1"/>
  <c r="X133" i="1"/>
  <c r="Z133" i="1" s="1"/>
  <c r="U133" i="1" s="1"/>
  <c r="AB133" i="1"/>
  <c r="AD133" i="1"/>
  <c r="AG133" i="1"/>
  <c r="V134" i="1"/>
  <c r="U134" i="1" s="1"/>
  <c r="X134" i="1"/>
  <c r="Z134" i="1"/>
  <c r="AB134" i="1"/>
  <c r="AD134" i="1"/>
  <c r="AG134" i="1"/>
  <c r="V135" i="1"/>
  <c r="X135" i="1"/>
  <c r="Z135" i="1" s="1"/>
  <c r="AB135" i="1"/>
  <c r="AD135" i="1" s="1"/>
  <c r="AG135" i="1"/>
  <c r="V136" i="1"/>
  <c r="U136" i="1" s="1"/>
  <c r="X136" i="1"/>
  <c r="Z136" i="1" s="1"/>
  <c r="AB136" i="1"/>
  <c r="AD136" i="1" s="1"/>
  <c r="AG136" i="1"/>
  <c r="V137" i="1"/>
  <c r="X137" i="1"/>
  <c r="Z137" i="1"/>
  <c r="AB137" i="1"/>
  <c r="AD137" i="1" s="1"/>
  <c r="AG137" i="1"/>
  <c r="V138" i="1"/>
  <c r="U138" i="1" s="1"/>
  <c r="X138" i="1"/>
  <c r="Z138" i="1"/>
  <c r="AB138" i="1"/>
  <c r="AD138" i="1"/>
  <c r="AG138" i="1"/>
  <c r="V139" i="1"/>
  <c r="X139" i="1"/>
  <c r="Z139" i="1"/>
  <c r="AB139" i="1"/>
  <c r="AD139" i="1" s="1"/>
  <c r="AG139" i="1"/>
  <c r="V140" i="1"/>
  <c r="U140" i="1" s="1"/>
  <c r="X140" i="1"/>
  <c r="Z140" i="1"/>
  <c r="AB140" i="1"/>
  <c r="AD140" i="1" s="1"/>
  <c r="AG140" i="1"/>
  <c r="V141" i="1"/>
  <c r="X141" i="1"/>
  <c r="Z141" i="1" s="1"/>
  <c r="AB141" i="1"/>
  <c r="AD141" i="1" s="1"/>
  <c r="AG141" i="1"/>
  <c r="V142" i="1"/>
  <c r="X142" i="1"/>
  <c r="Z142" i="1"/>
  <c r="U142" i="1" s="1"/>
  <c r="AB142" i="1"/>
  <c r="AD142" i="1"/>
  <c r="AG142" i="1"/>
  <c r="V143" i="1"/>
  <c r="X143" i="1"/>
  <c r="Z143" i="1" s="1"/>
  <c r="AB143" i="1"/>
  <c r="AD143" i="1"/>
  <c r="AG143" i="1"/>
  <c r="V144" i="1"/>
  <c r="U144" i="1" s="1"/>
  <c r="X144" i="1"/>
  <c r="Z144" i="1"/>
  <c r="AB144" i="1"/>
  <c r="AD144" i="1"/>
  <c r="AG144" i="1"/>
  <c r="V145" i="1"/>
  <c r="X145" i="1"/>
  <c r="Z145" i="1" s="1"/>
  <c r="AB145" i="1"/>
  <c r="AD145" i="1"/>
  <c r="AG145" i="1"/>
  <c r="V146" i="1"/>
  <c r="X146" i="1"/>
  <c r="Z146" i="1" s="1"/>
  <c r="AB146" i="1"/>
  <c r="AD146" i="1" s="1"/>
  <c r="AG146" i="1"/>
  <c r="V147" i="1"/>
  <c r="X147" i="1"/>
  <c r="Z147" i="1" s="1"/>
  <c r="U147" i="1" s="1"/>
  <c r="AB147" i="1"/>
  <c r="AD147" i="1" s="1"/>
  <c r="AG147" i="1"/>
  <c r="U148" i="1"/>
  <c r="V148" i="1"/>
  <c r="X148" i="1"/>
  <c r="Z148" i="1"/>
  <c r="AB148" i="1"/>
  <c r="AD148" i="1"/>
  <c r="AG148" i="1"/>
  <c r="V149" i="1"/>
  <c r="X149" i="1"/>
  <c r="Z149" i="1"/>
  <c r="U149" i="1" s="1"/>
  <c r="AB149" i="1"/>
  <c r="AD149" i="1" s="1"/>
  <c r="AG149" i="1"/>
  <c r="V150" i="1"/>
  <c r="X150" i="1"/>
  <c r="Z150" i="1"/>
  <c r="AB150" i="1"/>
  <c r="AD150" i="1" s="1"/>
  <c r="AG150" i="1"/>
  <c r="U151" i="1"/>
  <c r="V151" i="1"/>
  <c r="X151" i="1"/>
  <c r="Z151" i="1"/>
  <c r="AB151" i="1"/>
  <c r="AD151" i="1"/>
  <c r="AG151" i="1"/>
  <c r="V152" i="1"/>
  <c r="X152" i="1"/>
  <c r="Z152" i="1" s="1"/>
  <c r="U152" i="1" s="1"/>
  <c r="AB152" i="1"/>
  <c r="AD152" i="1"/>
  <c r="AG152" i="1"/>
  <c r="V153" i="1"/>
  <c r="X153" i="1"/>
  <c r="Z153" i="1" s="1"/>
  <c r="U153" i="1" s="1"/>
  <c r="AB153" i="1"/>
  <c r="AD153" i="1"/>
  <c r="AG153" i="1"/>
  <c r="V154" i="1"/>
  <c r="U154" i="1" s="1"/>
  <c r="X154" i="1"/>
  <c r="Z154" i="1" s="1"/>
  <c r="AB154" i="1"/>
  <c r="AD154" i="1"/>
  <c r="AG154" i="1"/>
  <c r="V155" i="1"/>
  <c r="X155" i="1"/>
  <c r="Z155" i="1" s="1"/>
  <c r="AB155" i="1"/>
  <c r="AD155" i="1" s="1"/>
  <c r="AG155" i="1"/>
  <c r="V156" i="1"/>
  <c r="X156" i="1"/>
  <c r="Z156" i="1" s="1"/>
  <c r="AB156" i="1"/>
  <c r="AD156" i="1" s="1"/>
  <c r="AG156" i="1"/>
  <c r="V157" i="1"/>
  <c r="X157" i="1"/>
  <c r="Z157" i="1"/>
  <c r="AB157" i="1"/>
  <c r="AD157" i="1" s="1"/>
  <c r="AG157" i="1"/>
  <c r="V158" i="1"/>
  <c r="X158" i="1"/>
  <c r="Z158" i="1"/>
  <c r="U158" i="1" s="1"/>
  <c r="AB158" i="1"/>
  <c r="AD158" i="1"/>
  <c r="AG158" i="1"/>
  <c r="AG159" i="1"/>
  <c r="V160" i="1"/>
  <c r="X160" i="1"/>
  <c r="Z160" i="1"/>
  <c r="U160" i="1" s="1"/>
  <c r="AB160" i="1"/>
  <c r="AD160" i="1"/>
  <c r="AG160" i="1"/>
  <c r="V161" i="1"/>
  <c r="X161" i="1"/>
  <c r="Z161" i="1" s="1"/>
  <c r="AB161" i="1"/>
  <c r="AD161" i="1"/>
  <c r="AG161" i="1"/>
  <c r="V162" i="1"/>
  <c r="U162" i="1" s="1"/>
  <c r="X162" i="1"/>
  <c r="Z162" i="1"/>
  <c r="AB162" i="1"/>
  <c r="AD162" i="1"/>
  <c r="AG162" i="1"/>
  <c r="V163" i="1"/>
  <c r="X163" i="1"/>
  <c r="Z163" i="1" s="1"/>
  <c r="AB163" i="1"/>
  <c r="AD163" i="1"/>
  <c r="AG163" i="1"/>
  <c r="V164" i="1"/>
  <c r="U164" i="1" s="1"/>
  <c r="X164" i="1"/>
  <c r="Z164" i="1" s="1"/>
  <c r="AB164" i="1"/>
  <c r="AD164" i="1" s="1"/>
  <c r="AG164" i="1"/>
  <c r="V165" i="1"/>
  <c r="X165" i="1"/>
  <c r="Z165" i="1" s="1"/>
  <c r="U165" i="1" s="1"/>
  <c r="AB165" i="1"/>
  <c r="AD165" i="1" s="1"/>
  <c r="AG165" i="1"/>
  <c r="U166" i="1"/>
  <c r="V166" i="1"/>
  <c r="X166" i="1"/>
  <c r="Z166" i="1"/>
  <c r="AB166" i="1"/>
  <c r="AD166" i="1"/>
  <c r="AG166" i="1"/>
  <c r="V167" i="1"/>
  <c r="X167" i="1"/>
  <c r="Z167" i="1"/>
  <c r="U167" i="1" s="1"/>
  <c r="AB167" i="1"/>
  <c r="AD167" i="1"/>
  <c r="AG167" i="1"/>
  <c r="V168" i="1"/>
  <c r="U168" i="1" s="1"/>
  <c r="X168" i="1"/>
  <c r="Z168" i="1"/>
  <c r="AB168" i="1"/>
  <c r="AD168" i="1"/>
  <c r="AG168" i="1"/>
  <c r="U169" i="1"/>
  <c r="V169" i="1"/>
  <c r="X169" i="1"/>
  <c r="Z169" i="1"/>
  <c r="AB169" i="1"/>
  <c r="AD169" i="1"/>
  <c r="AG169" i="1"/>
  <c r="V170" i="1"/>
  <c r="X170" i="1"/>
  <c r="Z170" i="1" s="1"/>
  <c r="U170" i="1" s="1"/>
  <c r="AB170" i="1"/>
  <c r="AD170" i="1"/>
  <c r="AG170" i="1"/>
  <c r="V171" i="1"/>
  <c r="X171" i="1"/>
  <c r="Z171" i="1" s="1"/>
  <c r="U171" i="1" s="1"/>
  <c r="AB171" i="1"/>
  <c r="AD171" i="1"/>
  <c r="AG171" i="1"/>
  <c r="V172" i="1"/>
  <c r="U172" i="1" s="1"/>
  <c r="X172" i="1"/>
  <c r="Z172" i="1"/>
  <c r="AB172" i="1"/>
  <c r="AD172" i="1"/>
  <c r="AG172" i="1"/>
  <c r="V173" i="1"/>
  <c r="U173" i="1" s="1"/>
  <c r="X173" i="1"/>
  <c r="Z173" i="1" s="1"/>
  <c r="AB173" i="1"/>
  <c r="AD173" i="1"/>
  <c r="AG173" i="1"/>
  <c r="V174" i="1"/>
  <c r="X174" i="1"/>
  <c r="Z174" i="1" s="1"/>
  <c r="AB174" i="1"/>
  <c r="AD174" i="1"/>
  <c r="AG174" i="1"/>
  <c r="V175" i="1"/>
  <c r="U175" i="1" s="1"/>
  <c r="X175" i="1"/>
  <c r="Z175" i="1"/>
  <c r="AB175" i="1"/>
  <c r="AD175" i="1" s="1"/>
  <c r="AG175" i="1"/>
  <c r="V176" i="1"/>
  <c r="X176" i="1"/>
  <c r="Z176" i="1"/>
  <c r="U176" i="1" s="1"/>
  <c r="AB176" i="1"/>
  <c r="AD176" i="1"/>
  <c r="AG176" i="1"/>
  <c r="V177" i="1"/>
  <c r="X177" i="1"/>
  <c r="Z177" i="1"/>
  <c r="AB177" i="1"/>
  <c r="AD177" i="1" s="1"/>
  <c r="AG177" i="1"/>
  <c r="V178" i="1"/>
  <c r="U178" i="1" s="1"/>
  <c r="X178" i="1"/>
  <c r="Z178" i="1"/>
  <c r="AB178" i="1"/>
  <c r="AD178" i="1" s="1"/>
  <c r="AG178" i="1"/>
  <c r="V179" i="1"/>
  <c r="X179" i="1"/>
  <c r="Z179" i="1"/>
  <c r="AB179" i="1"/>
  <c r="AD179" i="1" s="1"/>
  <c r="AG179" i="1"/>
  <c r="V180" i="1"/>
  <c r="X180" i="1"/>
  <c r="Z180" i="1" s="1"/>
  <c r="U180" i="1" s="1"/>
  <c r="AB180" i="1"/>
  <c r="AD180" i="1"/>
  <c r="AG180" i="1"/>
  <c r="V181" i="1"/>
  <c r="U181" i="1" s="1"/>
  <c r="X181" i="1"/>
  <c r="Z181" i="1"/>
  <c r="AG181" i="1"/>
  <c r="V182" i="1"/>
  <c r="X182" i="1"/>
  <c r="Z182" i="1"/>
  <c r="U182" i="1" s="1"/>
  <c r="AB182" i="1"/>
  <c r="AD182" i="1"/>
  <c r="AG182" i="1"/>
  <c r="V183" i="1"/>
  <c r="X183" i="1"/>
  <c r="Z183" i="1"/>
  <c r="AB183" i="1"/>
  <c r="AD183" i="1" s="1"/>
  <c r="AG183" i="1"/>
  <c r="V184" i="1"/>
  <c r="X184" i="1"/>
  <c r="Z184" i="1"/>
  <c r="AB184" i="1"/>
  <c r="AD184" i="1" s="1"/>
  <c r="AG184" i="1"/>
  <c r="V185" i="1"/>
  <c r="X185" i="1"/>
  <c r="Z185" i="1" s="1"/>
  <c r="AB185" i="1"/>
  <c r="AD185" i="1" s="1"/>
  <c r="AG185" i="1"/>
  <c r="V186" i="1"/>
  <c r="X186" i="1"/>
  <c r="Z186" i="1"/>
  <c r="U186" i="1" s="1"/>
  <c r="AB186" i="1"/>
  <c r="AD186" i="1"/>
  <c r="AG186" i="1"/>
  <c r="V187" i="1"/>
  <c r="U187" i="1" s="1"/>
  <c r="X187" i="1"/>
  <c r="Z187" i="1"/>
  <c r="AB187" i="1"/>
  <c r="AD187" i="1"/>
  <c r="AG187" i="1"/>
  <c r="V188" i="1"/>
  <c r="U188" i="1" s="1"/>
  <c r="X188" i="1"/>
  <c r="Z188" i="1"/>
  <c r="AB188" i="1"/>
  <c r="AD188" i="1"/>
  <c r="AG188" i="1"/>
  <c r="V189" i="1"/>
  <c r="U189" i="1" s="1"/>
  <c r="X189" i="1"/>
  <c r="Z189" i="1" s="1"/>
  <c r="AB189" i="1"/>
  <c r="AD189" i="1"/>
  <c r="AG189" i="1"/>
  <c r="V190" i="1"/>
  <c r="X190" i="1"/>
  <c r="Z190" i="1" s="1"/>
  <c r="AB190" i="1"/>
  <c r="AD190" i="1" s="1"/>
  <c r="AG190" i="1"/>
  <c r="V191" i="1"/>
  <c r="X191" i="1"/>
  <c r="Z191" i="1" s="1"/>
  <c r="U191" i="1" s="1"/>
  <c r="AB191" i="1"/>
  <c r="AD191" i="1"/>
  <c r="AG191" i="1"/>
  <c r="U192" i="1"/>
  <c r="V192" i="1"/>
  <c r="X192" i="1"/>
  <c r="Z192" i="1"/>
  <c r="AB192" i="1"/>
  <c r="AD192" i="1"/>
  <c r="AG192" i="1"/>
  <c r="V193" i="1"/>
  <c r="X193" i="1"/>
  <c r="Z193" i="1"/>
  <c r="U193" i="1" s="1"/>
  <c r="AB193" i="1"/>
  <c r="AD193" i="1" s="1"/>
  <c r="AG193" i="1"/>
  <c r="V194" i="1"/>
  <c r="X194" i="1"/>
  <c r="Z194" i="1"/>
  <c r="AB194" i="1"/>
  <c r="AD194" i="1" s="1"/>
  <c r="AG194" i="1"/>
  <c r="U195" i="1"/>
  <c r="V195" i="1"/>
  <c r="X195" i="1"/>
  <c r="Z195" i="1"/>
  <c r="AB195" i="1"/>
  <c r="AD195" i="1"/>
  <c r="AG195" i="1"/>
  <c r="V196" i="1"/>
  <c r="X196" i="1"/>
  <c r="Z196" i="1" s="1"/>
  <c r="U196" i="1" s="1"/>
  <c r="AB196" i="1"/>
  <c r="AD196" i="1"/>
  <c r="AG196" i="1"/>
  <c r="U197" i="1"/>
  <c r="V197" i="1"/>
  <c r="X197" i="1"/>
  <c r="Z197" i="1"/>
  <c r="AB197" i="1"/>
  <c r="AD197" i="1"/>
  <c r="AG197" i="1"/>
  <c r="V198" i="1"/>
  <c r="U198" i="1" s="1"/>
  <c r="X198" i="1"/>
  <c r="Z198" i="1"/>
  <c r="AB198" i="1"/>
  <c r="AD198" i="1"/>
  <c r="AG198" i="1"/>
  <c r="V199" i="1"/>
  <c r="X199" i="1"/>
  <c r="Z199" i="1" s="1"/>
  <c r="V200" i="1"/>
  <c r="X200" i="1"/>
  <c r="Z200" i="1" s="1"/>
  <c r="U200" i="1" s="1"/>
  <c r="AB200" i="1"/>
  <c r="AD200" i="1"/>
  <c r="AG200" i="1"/>
  <c r="U201" i="1"/>
  <c r="V201" i="1"/>
  <c r="X201" i="1"/>
  <c r="Z201" i="1"/>
  <c r="AB201" i="1"/>
  <c r="AD201" i="1"/>
  <c r="AG201" i="1"/>
  <c r="V202" i="1"/>
  <c r="X202" i="1"/>
  <c r="Z202" i="1"/>
  <c r="AB202" i="1"/>
  <c r="AD202" i="1" s="1"/>
  <c r="AG202" i="1"/>
  <c r="V203" i="1"/>
  <c r="U203" i="1" s="1"/>
  <c r="X203" i="1"/>
  <c r="Z203" i="1"/>
  <c r="AB203" i="1"/>
  <c r="AD203" i="1" s="1"/>
  <c r="AG203" i="1"/>
  <c r="U204" i="1"/>
  <c r="V204" i="1"/>
  <c r="X204" i="1"/>
  <c r="Z204" i="1"/>
  <c r="AB204" i="1"/>
  <c r="AD204" i="1"/>
  <c r="AG204" i="1"/>
  <c r="V205" i="1"/>
  <c r="X205" i="1"/>
  <c r="Z205" i="1" s="1"/>
  <c r="U205" i="1" s="1"/>
  <c r="AB205" i="1"/>
  <c r="AD205" i="1"/>
  <c r="AG205" i="1"/>
  <c r="U206" i="1"/>
  <c r="V206" i="1"/>
  <c r="X206" i="1"/>
  <c r="Z206" i="1"/>
  <c r="AB206" i="1"/>
  <c r="AD206" i="1"/>
  <c r="AG206" i="1"/>
  <c r="V207" i="1"/>
  <c r="U207" i="1" s="1"/>
  <c r="X207" i="1"/>
  <c r="Z207" i="1"/>
  <c r="AB207" i="1"/>
  <c r="AD207" i="1"/>
  <c r="AG207" i="1"/>
  <c r="V208" i="1"/>
  <c r="X208" i="1"/>
  <c r="Z208" i="1" s="1"/>
  <c r="AB208" i="1"/>
  <c r="AD208" i="1" s="1"/>
  <c r="AG208" i="1"/>
  <c r="V209" i="1"/>
  <c r="X209" i="1"/>
  <c r="Z209" i="1" s="1"/>
  <c r="AB209" i="1"/>
  <c r="AD209" i="1" s="1"/>
  <c r="AG209" i="1"/>
  <c r="V210" i="1"/>
  <c r="U210" i="1" s="1"/>
  <c r="AB210" i="1"/>
  <c r="AD210" i="1"/>
  <c r="AG210" i="1"/>
  <c r="V211" i="1"/>
  <c r="X211" i="1"/>
  <c r="Z211" i="1" s="1"/>
  <c r="U211" i="1" s="1"/>
  <c r="AB211" i="1"/>
  <c r="AD211" i="1"/>
  <c r="AG211" i="1"/>
  <c r="U212" i="1"/>
  <c r="V212" i="1"/>
  <c r="AB212" i="1"/>
  <c r="AD212" i="1"/>
  <c r="AG212" i="1"/>
  <c r="V213" i="1"/>
  <c r="U213" i="1" s="1"/>
  <c r="X213" i="1"/>
  <c r="Z213" i="1"/>
  <c r="AB213" i="1"/>
  <c r="AD213" i="1"/>
  <c r="AG213" i="1"/>
  <c r="V214" i="1"/>
  <c r="X214" i="1"/>
  <c r="Z214" i="1"/>
  <c r="AB214" i="1"/>
  <c r="AD214" i="1" s="1"/>
  <c r="AG214" i="1"/>
  <c r="V215" i="1"/>
  <c r="X215" i="1"/>
  <c r="Z215" i="1"/>
  <c r="AB215" i="1"/>
  <c r="AD215" i="1" s="1"/>
  <c r="AG215" i="1"/>
  <c r="U216" i="1"/>
  <c r="V216" i="1"/>
  <c r="X216" i="1"/>
  <c r="Z216" i="1"/>
  <c r="AB216" i="1"/>
  <c r="AD216" i="1"/>
  <c r="AG216" i="1"/>
  <c r="V217" i="1"/>
  <c r="X217" i="1"/>
  <c r="Z217" i="1" s="1"/>
  <c r="U217" i="1" s="1"/>
  <c r="AB217" i="1"/>
  <c r="AD217" i="1"/>
  <c r="AG217" i="1"/>
  <c r="U218" i="1"/>
  <c r="V218" i="1"/>
  <c r="X218" i="1"/>
  <c r="Z218" i="1"/>
  <c r="AB218" i="1"/>
  <c r="AD218" i="1"/>
  <c r="AG218" i="1"/>
  <c r="V219" i="1"/>
  <c r="U219" i="1" s="1"/>
  <c r="X219" i="1"/>
  <c r="Z219" i="1"/>
  <c r="AB219" i="1"/>
  <c r="AD219" i="1"/>
  <c r="AG219" i="1"/>
  <c r="V220" i="1"/>
  <c r="X220" i="1"/>
  <c r="Z220" i="1" s="1"/>
  <c r="AB220" i="1"/>
  <c r="AD220" i="1"/>
  <c r="AG220" i="1"/>
  <c r="V221" i="1"/>
  <c r="X221" i="1"/>
  <c r="Z221" i="1" s="1"/>
  <c r="AG221" i="1"/>
  <c r="U222" i="1"/>
  <c r="V222" i="1"/>
  <c r="X222" i="1"/>
  <c r="Z222" i="1"/>
  <c r="AB222" i="1"/>
  <c r="AD222" i="1"/>
  <c r="AG222" i="1"/>
  <c r="V223" i="1"/>
  <c r="X223" i="1"/>
  <c r="Z223" i="1" s="1"/>
  <c r="U223" i="1" s="1"/>
  <c r="AB223" i="1"/>
  <c r="AD223" i="1"/>
  <c r="AG223" i="1"/>
  <c r="U224" i="1"/>
  <c r="V224" i="1"/>
  <c r="X224" i="1"/>
  <c r="Z224" i="1"/>
  <c r="AB224" i="1"/>
  <c r="AD224" i="1"/>
  <c r="AG224" i="1"/>
  <c r="V225" i="1"/>
  <c r="U225" i="1" s="1"/>
  <c r="X225" i="1"/>
  <c r="Z225" i="1"/>
  <c r="AB225" i="1"/>
  <c r="AD225" i="1"/>
  <c r="AG225" i="1"/>
  <c r="V226" i="1"/>
  <c r="U226" i="1" s="1"/>
  <c r="X226" i="1"/>
  <c r="Z226" i="1" s="1"/>
  <c r="AB226" i="1"/>
  <c r="AD226" i="1"/>
  <c r="AG226" i="1"/>
  <c r="V227" i="1"/>
  <c r="X227" i="1"/>
  <c r="Z227" i="1" s="1"/>
  <c r="AB227" i="1"/>
  <c r="AD227" i="1"/>
  <c r="AG227" i="1"/>
  <c r="V228" i="1"/>
  <c r="U228" i="1" s="1"/>
  <c r="X228" i="1"/>
  <c r="Z228" i="1"/>
  <c r="AB228" i="1"/>
  <c r="AD228" i="1"/>
  <c r="AG228" i="1"/>
  <c r="V229" i="1"/>
  <c r="X229" i="1"/>
  <c r="Z229" i="1"/>
  <c r="U229" i="1" s="1"/>
  <c r="AB229" i="1"/>
  <c r="AD229" i="1"/>
  <c r="AG229" i="1"/>
  <c r="V230" i="1"/>
  <c r="X230" i="1"/>
  <c r="Z230" i="1"/>
  <c r="AB230" i="1"/>
  <c r="AD230" i="1" s="1"/>
  <c r="AG230" i="1"/>
  <c r="V231" i="1"/>
  <c r="X231" i="1"/>
  <c r="Z231" i="1"/>
  <c r="AB231" i="1"/>
  <c r="AD231" i="1" s="1"/>
  <c r="AG231" i="1"/>
  <c r="V232" i="1"/>
  <c r="X232" i="1"/>
  <c r="Z232" i="1" s="1"/>
  <c r="AB232" i="1"/>
  <c r="AD232" i="1" s="1"/>
  <c r="AG232" i="1"/>
  <c r="V233" i="1"/>
  <c r="X233" i="1"/>
  <c r="Z233" i="1"/>
  <c r="U233" i="1" s="1"/>
  <c r="AB233" i="1"/>
  <c r="AD233" i="1"/>
  <c r="AG233" i="1"/>
  <c r="V234" i="1"/>
  <c r="U234" i="1" s="1"/>
  <c r="X234" i="1"/>
  <c r="Z234" i="1"/>
  <c r="AB234" i="1"/>
  <c r="AD234" i="1"/>
  <c r="AG234" i="1"/>
  <c r="V235" i="1"/>
  <c r="U235" i="1" s="1"/>
  <c r="X235" i="1"/>
  <c r="Z235" i="1"/>
  <c r="AB235" i="1"/>
  <c r="AD235" i="1"/>
  <c r="AG235" i="1"/>
  <c r="V236" i="1"/>
  <c r="U236" i="1" s="1"/>
  <c r="X236" i="1"/>
  <c r="Z236" i="1" s="1"/>
  <c r="AB236" i="1"/>
  <c r="AD236" i="1"/>
  <c r="AG236" i="1"/>
  <c r="V237" i="1"/>
  <c r="U237" i="1" s="1"/>
  <c r="X237" i="1"/>
  <c r="Z237" i="1" s="1"/>
  <c r="AB237" i="1"/>
  <c r="AD237" i="1" s="1"/>
  <c r="AG237" i="1"/>
  <c r="V238" i="1"/>
  <c r="X238" i="1"/>
  <c r="Z238" i="1" s="1"/>
  <c r="U238" i="1" s="1"/>
  <c r="AB238" i="1"/>
  <c r="AD238" i="1"/>
  <c r="AG238" i="1"/>
  <c r="AG239" i="1"/>
  <c r="U240" i="1"/>
  <c r="V240" i="1"/>
  <c r="X240" i="1"/>
  <c r="Z240" i="1"/>
  <c r="AB240" i="1"/>
  <c r="AD240" i="1"/>
  <c r="AG240" i="1"/>
  <c r="V241" i="1"/>
  <c r="X241" i="1"/>
  <c r="Z241" i="1" s="1"/>
  <c r="U241" i="1" s="1"/>
  <c r="AB241" i="1"/>
  <c r="AD241" i="1"/>
  <c r="AG241" i="1"/>
  <c r="U242" i="1"/>
  <c r="V242" i="1"/>
  <c r="X242" i="1"/>
  <c r="Z242" i="1"/>
  <c r="AB242" i="1"/>
  <c r="AD242" i="1"/>
  <c r="AG242" i="1"/>
  <c r="V243" i="1"/>
  <c r="U243" i="1" s="1"/>
  <c r="X243" i="1"/>
  <c r="Z243" i="1"/>
  <c r="AB243" i="1"/>
  <c r="AD243" i="1"/>
  <c r="AG243" i="1"/>
  <c r="V244" i="1"/>
  <c r="X244" i="1"/>
  <c r="Z244" i="1" s="1"/>
  <c r="AB244" i="1"/>
  <c r="AD244" i="1" s="1"/>
  <c r="AG244" i="1"/>
  <c r="V245" i="1"/>
  <c r="AB245" i="1"/>
  <c r="AD245" i="1" s="1"/>
  <c r="AG245" i="1"/>
  <c r="U246" i="1"/>
  <c r="V246" i="1"/>
  <c r="X246" i="1"/>
  <c r="Z246" i="1"/>
  <c r="AB246" i="1"/>
  <c r="AD246" i="1"/>
  <c r="AG246" i="1"/>
  <c r="V247" i="1"/>
  <c r="X247" i="1"/>
  <c r="Z247" i="1" s="1"/>
  <c r="U247" i="1" s="1"/>
  <c r="AB247" i="1"/>
  <c r="AD247" i="1"/>
  <c r="AG247" i="1"/>
  <c r="U248" i="1"/>
  <c r="V248" i="1"/>
  <c r="X248" i="1"/>
  <c r="Z248" i="1"/>
  <c r="AB248" i="1"/>
  <c r="AD248" i="1"/>
  <c r="AG248" i="1"/>
  <c r="V249" i="1"/>
  <c r="U249" i="1" s="1"/>
  <c r="X249" i="1"/>
  <c r="Z249" i="1"/>
  <c r="AB249" i="1"/>
  <c r="AD249" i="1"/>
  <c r="AG249" i="1"/>
  <c r="V250" i="1"/>
  <c r="U250" i="1" s="1"/>
  <c r="X250" i="1"/>
  <c r="Z250" i="1" s="1"/>
  <c r="AB250" i="1"/>
  <c r="AD250" i="1" s="1"/>
  <c r="AG250" i="1"/>
  <c r="V251" i="1"/>
  <c r="U251" i="1" s="1"/>
  <c r="X251" i="1"/>
  <c r="Z251" i="1" s="1"/>
  <c r="AB251" i="1"/>
  <c r="AD251" i="1"/>
  <c r="AG251" i="1"/>
  <c r="V252" i="1"/>
  <c r="U252" i="1" s="1"/>
  <c r="X252" i="1"/>
  <c r="Z252" i="1"/>
  <c r="AB252" i="1"/>
  <c r="AD252" i="1"/>
  <c r="AG252" i="1"/>
  <c r="V253" i="1"/>
  <c r="X253" i="1"/>
  <c r="Z253" i="1"/>
  <c r="U253" i="1" s="1"/>
  <c r="AB253" i="1"/>
  <c r="AD253" i="1"/>
  <c r="AG253" i="1"/>
  <c r="V254" i="1"/>
  <c r="X254" i="1"/>
  <c r="Z254" i="1"/>
  <c r="AB254" i="1"/>
  <c r="AD254" i="1" s="1"/>
  <c r="AG254" i="1"/>
  <c r="V255" i="1"/>
  <c r="X255" i="1"/>
  <c r="Z255" i="1"/>
  <c r="AB255" i="1"/>
  <c r="AD255" i="1" s="1"/>
  <c r="AG255" i="1"/>
  <c r="V256" i="1"/>
  <c r="X256" i="1"/>
  <c r="Z256" i="1" s="1"/>
  <c r="AB256" i="1"/>
  <c r="AD256" i="1" s="1"/>
  <c r="AG256" i="1"/>
  <c r="V257" i="1"/>
  <c r="X257" i="1"/>
  <c r="Z257" i="1"/>
  <c r="U257" i="1" s="1"/>
  <c r="AB257" i="1"/>
  <c r="AD257" i="1"/>
  <c r="AG257" i="1"/>
  <c r="V258" i="1"/>
  <c r="U258" i="1" s="1"/>
  <c r="X258" i="1"/>
  <c r="Z258" i="1"/>
  <c r="AB258" i="1"/>
  <c r="AD258" i="1"/>
  <c r="AG258" i="1"/>
  <c r="V259" i="1"/>
  <c r="U259" i="1" s="1"/>
  <c r="X259" i="1"/>
  <c r="Z259" i="1"/>
  <c r="AB259" i="1"/>
  <c r="AD259" i="1"/>
  <c r="AG259" i="1"/>
  <c r="V260" i="1"/>
  <c r="U260" i="1" s="1"/>
  <c r="X260" i="1"/>
  <c r="Z260" i="1" s="1"/>
  <c r="AB260" i="1"/>
  <c r="AD260" i="1"/>
  <c r="AG260" i="1"/>
  <c r="V261" i="1"/>
  <c r="X261" i="1"/>
  <c r="Z261" i="1" s="1"/>
  <c r="AB261" i="1"/>
  <c r="AD261" i="1" s="1"/>
  <c r="AG261" i="1"/>
  <c r="V262" i="1"/>
  <c r="X262" i="1"/>
  <c r="Z262" i="1" s="1"/>
  <c r="U262" i="1" s="1"/>
  <c r="AB262" i="1"/>
  <c r="AD262" i="1"/>
  <c r="AG262" i="1"/>
  <c r="U263" i="1"/>
  <c r="V263" i="1"/>
  <c r="X263" i="1"/>
  <c r="Z263" i="1"/>
  <c r="AB263" i="1"/>
  <c r="AD263" i="1"/>
  <c r="AG263" i="1"/>
  <c r="V264" i="1"/>
  <c r="U264" i="1" s="1"/>
  <c r="X264" i="1"/>
  <c r="Z264" i="1"/>
  <c r="AB264" i="1"/>
  <c r="AD264" i="1" s="1"/>
  <c r="AG264" i="1"/>
  <c r="V265" i="1"/>
  <c r="U265" i="1" s="1"/>
  <c r="X265" i="1"/>
  <c r="Z265" i="1"/>
  <c r="AB265" i="1"/>
  <c r="AD265" i="1"/>
  <c r="AG265" i="1"/>
  <c r="U266" i="1"/>
  <c r="V266" i="1"/>
  <c r="X266" i="1"/>
  <c r="Z266" i="1"/>
  <c r="AB266" i="1"/>
  <c r="AD266" i="1"/>
  <c r="AG266" i="1"/>
  <c r="V267" i="1"/>
  <c r="X267" i="1"/>
  <c r="Z267" i="1" s="1"/>
  <c r="U267" i="1" s="1"/>
  <c r="AB267" i="1"/>
  <c r="AD267" i="1"/>
  <c r="AG267" i="1"/>
  <c r="U268" i="1"/>
  <c r="V268" i="1"/>
  <c r="X268" i="1"/>
  <c r="Z268" i="1"/>
  <c r="AB268" i="1"/>
  <c r="AD268" i="1"/>
  <c r="AG268" i="1"/>
  <c r="V269" i="1"/>
  <c r="U269" i="1" s="1"/>
  <c r="X269" i="1"/>
  <c r="Z269" i="1"/>
  <c r="AB269" i="1"/>
  <c r="AD269" i="1"/>
  <c r="AG269" i="1"/>
  <c r="V270" i="1"/>
  <c r="U270" i="1" s="1"/>
  <c r="X270" i="1"/>
  <c r="Z270" i="1" s="1"/>
  <c r="AB270" i="1"/>
  <c r="AD270" i="1" s="1"/>
  <c r="AG270" i="1"/>
  <c r="V271" i="1"/>
  <c r="U271" i="1" s="1"/>
  <c r="X271" i="1"/>
  <c r="Z271" i="1"/>
  <c r="AB271" i="1"/>
  <c r="AD271" i="1"/>
  <c r="AG271" i="1"/>
  <c r="V272" i="1"/>
  <c r="U272" i="1" s="1"/>
  <c r="X272" i="1"/>
  <c r="Z272" i="1"/>
  <c r="AB272" i="1"/>
  <c r="AD272" i="1"/>
  <c r="AG272" i="1"/>
  <c r="V273" i="1"/>
  <c r="X273" i="1"/>
  <c r="Z273" i="1"/>
  <c r="U273" i="1" s="1"/>
  <c r="AB273" i="1"/>
  <c r="AD273" i="1"/>
  <c r="AG273" i="1"/>
  <c r="V274" i="1"/>
  <c r="U274" i="1" s="1"/>
  <c r="X274" i="1"/>
  <c r="Z274" i="1"/>
  <c r="AB274" i="1"/>
  <c r="AD274" i="1" s="1"/>
  <c r="AG274" i="1"/>
  <c r="V275" i="1"/>
  <c r="X275" i="1"/>
  <c r="Z275" i="1"/>
  <c r="AB275" i="1"/>
  <c r="AD275" i="1" s="1"/>
  <c r="AG275" i="1"/>
  <c r="V276" i="1"/>
  <c r="X276" i="1"/>
  <c r="Z276" i="1"/>
  <c r="U276" i="1" s="1"/>
  <c r="AB276" i="1"/>
  <c r="AD276" i="1" s="1"/>
  <c r="AG276" i="1"/>
  <c r="V277" i="1"/>
  <c r="X277" i="1"/>
  <c r="Z277" i="1" s="1"/>
  <c r="U277" i="1" s="1"/>
  <c r="AB277" i="1"/>
  <c r="AD277" i="1"/>
  <c r="AG277" i="1"/>
  <c r="V278" i="1"/>
  <c r="U278" i="1" s="1"/>
  <c r="X278" i="1"/>
  <c r="Z278" i="1"/>
  <c r="AB278" i="1"/>
  <c r="AD278" i="1"/>
  <c r="AG278" i="1"/>
  <c r="V279" i="1"/>
  <c r="U279" i="1" s="1"/>
  <c r="X279" i="1"/>
  <c r="Z279" i="1"/>
  <c r="AB279" i="1"/>
  <c r="AD279" i="1"/>
  <c r="AG279" i="1"/>
  <c r="V280" i="1"/>
  <c r="U280" i="1" s="1"/>
  <c r="X280" i="1"/>
  <c r="Z280" i="1" s="1"/>
  <c r="AB280" i="1"/>
  <c r="AD280" i="1"/>
  <c r="V281" i="1"/>
  <c r="U281" i="1" s="1"/>
  <c r="X281" i="1"/>
  <c r="Z281" i="1"/>
  <c r="AB281" i="1"/>
  <c r="AD281" i="1"/>
  <c r="AG281" i="1"/>
  <c r="V282" i="1"/>
  <c r="U282" i="1" s="1"/>
  <c r="X282" i="1"/>
  <c r="Z282" i="1"/>
  <c r="AB282" i="1"/>
  <c r="AD282" i="1"/>
  <c r="AG282" i="1"/>
  <c r="V283" i="1"/>
  <c r="U283" i="1" s="1"/>
  <c r="X283" i="1"/>
  <c r="Z283" i="1" s="1"/>
  <c r="AB283" i="1"/>
  <c r="AD283" i="1"/>
  <c r="AG283" i="1"/>
  <c r="V284" i="1"/>
  <c r="X284" i="1"/>
  <c r="Z284" i="1" s="1"/>
  <c r="AB284" i="1"/>
  <c r="AD284" i="1" s="1"/>
  <c r="AG284" i="1"/>
  <c r="V285" i="1"/>
  <c r="X285" i="1"/>
  <c r="Z285" i="1" s="1"/>
  <c r="U285" i="1" s="1"/>
  <c r="AB285" i="1"/>
  <c r="AD285" i="1"/>
  <c r="AG285" i="1"/>
  <c r="U286" i="1"/>
  <c r="V286" i="1"/>
  <c r="X286" i="1"/>
  <c r="Z286" i="1"/>
  <c r="AB286" i="1"/>
  <c r="AD286" i="1"/>
  <c r="AG286" i="1"/>
  <c r="V287" i="1"/>
  <c r="U287" i="1" s="1"/>
  <c r="X287" i="1"/>
  <c r="Z287" i="1"/>
  <c r="AB287" i="1"/>
  <c r="AD287" i="1"/>
  <c r="AG287" i="1"/>
  <c r="V288" i="1"/>
  <c r="U288" i="1" s="1"/>
  <c r="X288" i="1"/>
  <c r="Z288" i="1"/>
  <c r="AB288" i="1"/>
  <c r="AD288" i="1"/>
  <c r="AG288" i="1"/>
  <c r="U289" i="1"/>
  <c r="V289" i="1"/>
  <c r="X289" i="1"/>
  <c r="Z289" i="1"/>
  <c r="AB289" i="1"/>
  <c r="AD289" i="1"/>
  <c r="AG289" i="1"/>
  <c r="V290" i="1"/>
  <c r="X290" i="1"/>
  <c r="Z290" i="1" s="1"/>
  <c r="U290" i="1" s="1"/>
  <c r="AB290" i="1"/>
  <c r="AD290" i="1"/>
  <c r="AG290" i="1"/>
  <c r="U291" i="1"/>
  <c r="V291" i="1"/>
  <c r="X291" i="1"/>
  <c r="Z291" i="1"/>
  <c r="AB291" i="1"/>
  <c r="AD291" i="1"/>
  <c r="AG291" i="1"/>
  <c r="V292" i="1"/>
  <c r="U292" i="1" s="1"/>
  <c r="X292" i="1"/>
  <c r="Z292" i="1"/>
  <c r="AB292" i="1"/>
  <c r="AD292" i="1"/>
  <c r="AG292" i="1"/>
  <c r="V293" i="1"/>
  <c r="X293" i="1"/>
  <c r="Z293" i="1"/>
  <c r="AB293" i="1"/>
  <c r="AD293" i="1" s="1"/>
  <c r="AG293" i="1"/>
  <c r="V294" i="1"/>
  <c r="U294" i="1" s="1"/>
  <c r="X294" i="1"/>
  <c r="Z294" i="1"/>
  <c r="AB294" i="1"/>
  <c r="AD294" i="1"/>
  <c r="AG294" i="1"/>
  <c r="V295" i="1"/>
  <c r="U295" i="1" s="1"/>
  <c r="X295" i="1"/>
  <c r="Z295" i="1"/>
  <c r="AB295" i="1"/>
  <c r="AD295" i="1"/>
  <c r="AG295" i="1"/>
  <c r="V296" i="1"/>
  <c r="X296" i="1"/>
  <c r="Z296" i="1"/>
  <c r="U296" i="1" s="1"/>
  <c r="AB296" i="1"/>
  <c r="AD296" i="1"/>
  <c r="AG296" i="1"/>
  <c r="V297" i="1"/>
  <c r="X297" i="1"/>
  <c r="Z297" i="1"/>
  <c r="AB297" i="1"/>
  <c r="AD297" i="1" s="1"/>
  <c r="AG297" i="1"/>
  <c r="V298" i="1"/>
  <c r="X298" i="1"/>
  <c r="Z298" i="1"/>
  <c r="AB298" i="1"/>
  <c r="AD298" i="1" s="1"/>
  <c r="AG298" i="1"/>
  <c r="V299" i="1"/>
  <c r="X299" i="1"/>
  <c r="Z299" i="1"/>
  <c r="AB299" i="1"/>
  <c r="AD299" i="1" s="1"/>
  <c r="AG299" i="1"/>
  <c r="V300" i="1"/>
  <c r="X300" i="1"/>
  <c r="Z300" i="1" s="1"/>
  <c r="AB300" i="1"/>
  <c r="AD300" i="1"/>
  <c r="AG300" i="1"/>
  <c r="V301" i="1"/>
  <c r="U301" i="1" s="1"/>
  <c r="X301" i="1"/>
  <c r="Z301" i="1"/>
  <c r="AB301" i="1"/>
  <c r="AD301" i="1"/>
  <c r="AG301" i="1"/>
  <c r="V302" i="1"/>
  <c r="U302" i="1" s="1"/>
  <c r="X302" i="1"/>
  <c r="Z302" i="1"/>
  <c r="AB302" i="1"/>
  <c r="AD302" i="1"/>
  <c r="AG302" i="1"/>
  <c r="V303" i="1"/>
  <c r="U303" i="1" s="1"/>
  <c r="X303" i="1"/>
  <c r="Z303" i="1" s="1"/>
  <c r="AB303" i="1"/>
  <c r="AD303" i="1"/>
  <c r="AG303" i="1"/>
  <c r="V304" i="1"/>
  <c r="X304" i="1"/>
  <c r="Z304" i="1" s="1"/>
  <c r="AB304" i="1"/>
  <c r="AD304" i="1" s="1"/>
  <c r="AG304" i="1"/>
  <c r="V305" i="1"/>
  <c r="X305" i="1"/>
  <c r="Z305" i="1" s="1"/>
  <c r="U305" i="1" s="1"/>
  <c r="AB305" i="1"/>
  <c r="AD305" i="1"/>
  <c r="AG305" i="1"/>
  <c r="U306" i="1"/>
  <c r="V306" i="1"/>
  <c r="X306" i="1"/>
  <c r="Z306" i="1"/>
  <c r="AB306" i="1"/>
  <c r="AD306" i="1"/>
  <c r="AG306" i="1"/>
  <c r="V307" i="1"/>
  <c r="X307" i="1"/>
  <c r="Z307" i="1"/>
  <c r="AB307" i="1"/>
  <c r="AD307" i="1" s="1"/>
  <c r="AG307" i="1"/>
  <c r="V308" i="1"/>
  <c r="U308" i="1" s="1"/>
  <c r="X308" i="1"/>
  <c r="Z308" i="1"/>
  <c r="AB308" i="1"/>
  <c r="AD308" i="1"/>
  <c r="AG308" i="1"/>
  <c r="U309" i="1"/>
  <c r="V309" i="1"/>
  <c r="AB309" i="1"/>
  <c r="AD309" i="1"/>
  <c r="AG309" i="1"/>
  <c r="V310" i="1"/>
  <c r="U310" i="1" s="1"/>
  <c r="X310" i="1"/>
  <c r="Z310" i="1" s="1"/>
  <c r="AB310" i="1"/>
  <c r="AD310" i="1" s="1"/>
  <c r="AG310" i="1"/>
  <c r="V311" i="1"/>
  <c r="X311" i="1"/>
  <c r="Z311" i="1" s="1"/>
  <c r="U311" i="1" s="1"/>
  <c r="AB311" i="1"/>
  <c r="AD311" i="1"/>
  <c r="AG311" i="1"/>
  <c r="U312" i="1"/>
  <c r="V312" i="1"/>
  <c r="X312" i="1"/>
  <c r="Z312" i="1"/>
  <c r="AB312" i="1"/>
  <c r="AD312" i="1"/>
  <c r="AG312" i="1"/>
  <c r="AG313" i="1"/>
  <c r="V314" i="1"/>
  <c r="X314" i="1"/>
  <c r="Z314" i="1" s="1"/>
  <c r="U314" i="1" s="1"/>
  <c r="AB314" i="1"/>
  <c r="AD314" i="1"/>
  <c r="AG314" i="1"/>
  <c r="U315" i="1"/>
  <c r="V315" i="1"/>
  <c r="X315" i="1"/>
  <c r="Z315" i="1"/>
  <c r="AB315" i="1"/>
  <c r="AD315" i="1"/>
  <c r="AG315" i="1"/>
  <c r="V316" i="1"/>
  <c r="U316" i="1" s="1"/>
  <c r="X316" i="1"/>
  <c r="Z316" i="1"/>
  <c r="AB316" i="1"/>
  <c r="AD316" i="1"/>
  <c r="AG316" i="1"/>
  <c r="V317" i="1"/>
  <c r="X317" i="1"/>
  <c r="Z317" i="1" s="1"/>
  <c r="AB317" i="1"/>
  <c r="AD317" i="1" s="1"/>
  <c r="AG317" i="1"/>
  <c r="V318" i="1"/>
  <c r="X318" i="1"/>
  <c r="Z318" i="1" s="1"/>
  <c r="AB318" i="1"/>
  <c r="AD318" i="1" s="1"/>
  <c r="AG318" i="1"/>
  <c r="V319" i="1"/>
  <c r="U319" i="1" s="1"/>
  <c r="X319" i="1"/>
  <c r="Z319" i="1"/>
  <c r="AB319" i="1"/>
  <c r="AD319" i="1" s="1"/>
  <c r="AG319" i="1"/>
  <c r="V320" i="1"/>
  <c r="X320" i="1"/>
  <c r="Z320" i="1"/>
  <c r="U320" i="1" s="1"/>
  <c r="AB320" i="1"/>
  <c r="AD320" i="1"/>
  <c r="AG320" i="1"/>
  <c r="V321" i="1"/>
  <c r="X321" i="1"/>
  <c r="Z321" i="1"/>
  <c r="AB321" i="1"/>
  <c r="AD321" i="1" s="1"/>
  <c r="AG321" i="1"/>
  <c r="V322" i="1"/>
  <c r="X322" i="1"/>
  <c r="Z322" i="1"/>
  <c r="AB322" i="1"/>
  <c r="AD322" i="1" s="1"/>
  <c r="AG322" i="1"/>
  <c r="V323" i="1"/>
  <c r="X323" i="1"/>
  <c r="Z323" i="1" s="1"/>
  <c r="AB323" i="1"/>
  <c r="AD323" i="1" s="1"/>
  <c r="AG323" i="1"/>
  <c r="V324" i="1"/>
  <c r="X324" i="1"/>
  <c r="Z324" i="1" s="1"/>
  <c r="U324" i="1" s="1"/>
  <c r="AB324" i="1"/>
  <c r="AD324" i="1"/>
  <c r="AG324" i="1"/>
  <c r="V325" i="1"/>
  <c r="X325" i="1"/>
  <c r="Z325" i="1" s="1"/>
  <c r="AB325" i="1"/>
  <c r="AD325" i="1"/>
  <c r="AG325" i="1"/>
  <c r="V326" i="1"/>
  <c r="U326" i="1" s="1"/>
  <c r="X326" i="1"/>
  <c r="Z326" i="1"/>
  <c r="AB326" i="1"/>
  <c r="AD326" i="1"/>
  <c r="AG326" i="1"/>
  <c r="V327" i="1"/>
  <c r="U327" i="1" s="1"/>
  <c r="X327" i="1"/>
  <c r="Z327" i="1" s="1"/>
  <c r="AB327" i="1"/>
  <c r="AD327" i="1"/>
  <c r="AG327" i="1"/>
  <c r="V328" i="1"/>
  <c r="X328" i="1"/>
  <c r="Z328" i="1" s="1"/>
  <c r="AB328" i="1"/>
  <c r="AD328" i="1" s="1"/>
  <c r="AG328" i="1"/>
  <c r="V329" i="1"/>
  <c r="X329" i="1"/>
  <c r="Z329" i="1" s="1"/>
  <c r="U329" i="1" s="1"/>
  <c r="AB329" i="1"/>
  <c r="AD329" i="1"/>
  <c r="AG329" i="1"/>
  <c r="U330" i="1"/>
  <c r="V330" i="1"/>
  <c r="X330" i="1"/>
  <c r="Z330" i="1"/>
  <c r="AB330" i="1"/>
  <c r="AD330" i="1"/>
  <c r="AG330" i="1"/>
  <c r="AG331" i="1"/>
  <c r="V332" i="1"/>
  <c r="X332" i="1"/>
  <c r="Z332" i="1" s="1"/>
  <c r="U332" i="1" s="1"/>
  <c r="AB332" i="1"/>
  <c r="AD332" i="1"/>
  <c r="AG332" i="1"/>
  <c r="U333" i="1"/>
  <c r="V333" i="1"/>
  <c r="X333" i="1"/>
  <c r="Z333" i="1"/>
  <c r="AB333" i="1"/>
  <c r="AD333" i="1"/>
  <c r="AG333" i="1"/>
  <c r="V334" i="1"/>
  <c r="U334" i="1" s="1"/>
  <c r="X334" i="1"/>
  <c r="Z334" i="1"/>
  <c r="AB334" i="1"/>
  <c r="AD334" i="1"/>
  <c r="AG334" i="1"/>
  <c r="V335" i="1"/>
  <c r="U335" i="1" s="1"/>
  <c r="X335" i="1"/>
  <c r="Z335" i="1"/>
  <c r="AB335" i="1"/>
  <c r="AD335" i="1" s="1"/>
  <c r="AG335" i="1"/>
  <c r="V336" i="1"/>
  <c r="X336" i="1"/>
  <c r="Z336" i="1" s="1"/>
  <c r="U336" i="1" s="1"/>
  <c r="AB336" i="1"/>
  <c r="AD336" i="1" s="1"/>
  <c r="AG336" i="1"/>
  <c r="V337" i="1"/>
  <c r="U337" i="1" s="1"/>
  <c r="X337" i="1"/>
  <c r="Z337" i="1"/>
  <c r="AB337" i="1"/>
  <c r="AD337" i="1"/>
  <c r="AG337" i="1"/>
  <c r="V338" i="1"/>
  <c r="X338" i="1"/>
  <c r="Z338" i="1"/>
  <c r="U338" i="1" s="1"/>
  <c r="AB338" i="1"/>
  <c r="AD338" i="1"/>
  <c r="AG338" i="1"/>
  <c r="V339" i="1"/>
  <c r="U339" i="1" s="1"/>
  <c r="AB339" i="1"/>
  <c r="AD339" i="1"/>
  <c r="AG339" i="1"/>
  <c r="V340" i="1"/>
  <c r="U340" i="1" s="1"/>
  <c r="X340" i="1"/>
  <c r="Z340" i="1"/>
  <c r="AB340" i="1"/>
  <c r="AD340" i="1"/>
  <c r="AG340" i="1"/>
  <c r="V341" i="1"/>
  <c r="X341" i="1"/>
  <c r="Z341" i="1" s="1"/>
  <c r="AB341" i="1"/>
  <c r="AD341" i="1" s="1"/>
  <c r="AG341" i="1"/>
  <c r="V342" i="1"/>
  <c r="X342" i="1"/>
  <c r="Z342" i="1" s="1"/>
  <c r="U342" i="1" s="1"/>
  <c r="AB342" i="1"/>
  <c r="AD342" i="1" s="1"/>
  <c r="AG342" i="1"/>
  <c r="V343" i="1"/>
  <c r="U343" i="1" s="1"/>
  <c r="X343" i="1"/>
  <c r="Z343" i="1"/>
  <c r="AB343" i="1"/>
  <c r="AD343" i="1"/>
  <c r="AG343" i="1"/>
  <c r="V344" i="1"/>
  <c r="X344" i="1"/>
  <c r="Z344" i="1"/>
  <c r="U344" i="1" s="1"/>
  <c r="AB344" i="1"/>
  <c r="AD344" i="1"/>
  <c r="AG344" i="1"/>
  <c r="V345" i="1"/>
  <c r="X345" i="1"/>
  <c r="Z345" i="1"/>
  <c r="AB345" i="1"/>
  <c r="AD345" i="1" s="1"/>
  <c r="AG345" i="1"/>
  <c r="V346" i="1"/>
  <c r="U346" i="1" s="1"/>
  <c r="X346" i="1"/>
  <c r="Z346" i="1"/>
  <c r="AB346" i="1"/>
  <c r="AD346" i="1" s="1"/>
  <c r="AG346" i="1"/>
  <c r="V347" i="1"/>
  <c r="X347" i="1"/>
  <c r="Z347" i="1" s="1"/>
  <c r="AB347" i="1"/>
  <c r="AD347" i="1" s="1"/>
  <c r="AG347" i="1"/>
  <c r="V348" i="1"/>
  <c r="X348" i="1"/>
  <c r="Z348" i="1" s="1"/>
  <c r="U348" i="1" s="1"/>
  <c r="AB348" i="1"/>
  <c r="AD348" i="1"/>
  <c r="AG348" i="1"/>
  <c r="V349" i="1"/>
  <c r="U349" i="1" s="1"/>
  <c r="X349" i="1"/>
  <c r="Z349" i="1"/>
  <c r="AB349" i="1"/>
  <c r="AD349" i="1"/>
  <c r="AG349" i="1"/>
  <c r="V350" i="1"/>
  <c r="U350" i="1" s="1"/>
  <c r="X350" i="1"/>
  <c r="Z350" i="1"/>
  <c r="AB350" i="1"/>
  <c r="AD350" i="1" s="1"/>
  <c r="AG350" i="1"/>
  <c r="V351" i="1"/>
  <c r="X351" i="1"/>
  <c r="Z351" i="1" s="1"/>
  <c r="AB351" i="1"/>
  <c r="AD351" i="1"/>
  <c r="AG351" i="1"/>
  <c r="V352" i="1"/>
  <c r="U352" i="1" s="1"/>
  <c r="X352" i="1"/>
  <c r="Z352" i="1" s="1"/>
  <c r="AB352" i="1"/>
  <c r="AD352" i="1" s="1"/>
  <c r="AG352" i="1"/>
  <c r="V353" i="1"/>
  <c r="X353" i="1"/>
  <c r="Z353" i="1" s="1"/>
  <c r="U353" i="1" s="1"/>
  <c r="AB353" i="1"/>
  <c r="AD353" i="1"/>
  <c r="AG353" i="1"/>
  <c r="U354" i="1"/>
  <c r="V354" i="1"/>
  <c r="X354" i="1"/>
  <c r="Z354" i="1"/>
  <c r="AB354" i="1"/>
  <c r="AD354" i="1"/>
  <c r="AG354" i="1"/>
  <c r="V355" i="1"/>
  <c r="U355" i="1" s="1"/>
  <c r="X355" i="1"/>
  <c r="Z355" i="1"/>
  <c r="AB355" i="1"/>
  <c r="AD355" i="1"/>
  <c r="AG355" i="1"/>
  <c r="V356" i="1"/>
  <c r="X356" i="1"/>
  <c r="Z356" i="1" s="1"/>
  <c r="AB356" i="1"/>
  <c r="AD356" i="1" s="1"/>
  <c r="AG356" i="1"/>
  <c r="U357" i="1"/>
  <c r="V357" i="1"/>
  <c r="X357" i="1"/>
  <c r="Z357" i="1"/>
  <c r="AB357" i="1"/>
  <c r="AD357" i="1"/>
  <c r="AG357" i="1"/>
  <c r="V358" i="1"/>
  <c r="X358" i="1"/>
  <c r="Z358" i="1" s="1"/>
  <c r="U358" i="1" s="1"/>
  <c r="AB358" i="1"/>
  <c r="AD358" i="1"/>
  <c r="AG358" i="1"/>
  <c r="U359" i="1"/>
  <c r="V359" i="1"/>
  <c r="X359" i="1"/>
  <c r="Z359" i="1"/>
  <c r="AB359" i="1"/>
  <c r="AD359" i="1"/>
  <c r="AG359" i="1"/>
  <c r="V360" i="1"/>
  <c r="U360" i="1" s="1"/>
  <c r="X360" i="1"/>
  <c r="Z360" i="1"/>
  <c r="AB360" i="1"/>
  <c r="AD360" i="1"/>
  <c r="AG360" i="1"/>
  <c r="V361" i="1"/>
  <c r="X361" i="1"/>
  <c r="Z361" i="1" s="1"/>
  <c r="AB361" i="1"/>
  <c r="AD361" i="1" s="1"/>
  <c r="AG361" i="1"/>
  <c r="V362" i="1"/>
  <c r="X362" i="1"/>
  <c r="Z362" i="1" s="1"/>
  <c r="AB362" i="1"/>
  <c r="AD362" i="1" s="1"/>
  <c r="AG362" i="1"/>
  <c r="V363" i="1"/>
  <c r="U363" i="1" s="1"/>
  <c r="X363" i="1"/>
  <c r="Z363" i="1"/>
  <c r="AB363" i="1"/>
  <c r="AD363" i="1"/>
  <c r="AG363" i="1"/>
  <c r="V364" i="1"/>
  <c r="X364" i="1"/>
  <c r="Z364" i="1"/>
  <c r="U364" i="1" s="1"/>
  <c r="AB364" i="1"/>
  <c r="U365" i="1"/>
  <c r="V365" i="1"/>
  <c r="X365" i="1"/>
  <c r="Z365" i="1"/>
  <c r="AB365" i="1"/>
  <c r="AD365" i="1"/>
  <c r="AG365" i="1"/>
  <c r="V366" i="1"/>
  <c r="U366" i="1" s="1"/>
  <c r="X366" i="1"/>
  <c r="Z366" i="1"/>
  <c r="AB366" i="1"/>
  <c r="AD366" i="1"/>
  <c r="AG366" i="1"/>
  <c r="V367" i="1"/>
  <c r="X367" i="1"/>
  <c r="Z367" i="1" s="1"/>
  <c r="AB367" i="1"/>
  <c r="AD367" i="1" s="1"/>
  <c r="AG367" i="1"/>
  <c r="V368" i="1"/>
  <c r="X368" i="1"/>
  <c r="Z368" i="1" s="1"/>
  <c r="U368" i="1" s="1"/>
  <c r="AB368" i="1"/>
  <c r="AD368" i="1"/>
  <c r="AG368" i="1"/>
  <c r="V369" i="1"/>
  <c r="U369" i="1" s="1"/>
  <c r="X369" i="1"/>
  <c r="Z369" i="1"/>
  <c r="AB369" i="1"/>
  <c r="AD369" i="1"/>
  <c r="AG369" i="1"/>
  <c r="V370" i="1"/>
  <c r="X370" i="1"/>
  <c r="Z370" i="1"/>
  <c r="U370" i="1" s="1"/>
  <c r="AB370" i="1"/>
  <c r="AD370" i="1"/>
  <c r="AG370" i="1"/>
  <c r="V371" i="1"/>
  <c r="X371" i="1"/>
  <c r="Z371" i="1"/>
  <c r="AB371" i="1"/>
  <c r="AD371" i="1" s="1"/>
  <c r="AG371" i="1"/>
  <c r="V372" i="1"/>
  <c r="U372" i="1" s="1"/>
  <c r="X372" i="1"/>
  <c r="Z372" i="1"/>
  <c r="AB372" i="1"/>
  <c r="AD372" i="1" s="1"/>
  <c r="AG372" i="1"/>
  <c r="V373" i="1"/>
  <c r="X373" i="1"/>
  <c r="Z373" i="1" s="1"/>
  <c r="U373" i="1" s="1"/>
  <c r="AB373" i="1"/>
  <c r="AD373" i="1" s="1"/>
  <c r="AG373" i="1"/>
  <c r="U374" i="1"/>
  <c r="V374" i="1"/>
  <c r="X374" i="1"/>
  <c r="Z374" i="1"/>
  <c r="AB374" i="1"/>
  <c r="AD374" i="1"/>
  <c r="AG374" i="1"/>
  <c r="V375" i="1"/>
  <c r="U375" i="1" s="1"/>
  <c r="X375" i="1"/>
  <c r="Z375" i="1"/>
  <c r="AB375" i="1"/>
  <c r="AD375" i="1"/>
  <c r="AG375" i="1"/>
  <c r="V376" i="1"/>
  <c r="U376" i="1" s="1"/>
  <c r="X376" i="1"/>
  <c r="Z376" i="1"/>
  <c r="AB376" i="1"/>
  <c r="AD376" i="1" s="1"/>
  <c r="AG376" i="1"/>
  <c r="V377" i="1"/>
  <c r="X377" i="1"/>
  <c r="Z377" i="1" s="1"/>
  <c r="AB377" i="1"/>
  <c r="AD377" i="1"/>
  <c r="AG377" i="1"/>
  <c r="V378" i="1"/>
  <c r="U378" i="1" s="1"/>
  <c r="X378" i="1"/>
  <c r="Z378" i="1" s="1"/>
  <c r="AB378" i="1"/>
  <c r="AD378" i="1" s="1"/>
  <c r="AG378" i="1"/>
  <c r="V379" i="1"/>
  <c r="X379" i="1"/>
  <c r="Z379" i="1" s="1"/>
  <c r="U379" i="1" s="1"/>
  <c r="AB379" i="1"/>
  <c r="AD379" i="1"/>
  <c r="AG379" i="1"/>
  <c r="U380" i="1"/>
  <c r="V380" i="1"/>
  <c r="X380" i="1"/>
  <c r="Z380" i="1"/>
  <c r="AB380" i="1"/>
  <c r="AD380" i="1"/>
  <c r="AG380" i="1"/>
  <c r="V381" i="1"/>
  <c r="U381" i="1" s="1"/>
  <c r="X381" i="1"/>
  <c r="Z381" i="1"/>
  <c r="AB381" i="1"/>
  <c r="AD381" i="1"/>
  <c r="AG381" i="1"/>
  <c r="V382" i="1"/>
  <c r="X382" i="1"/>
  <c r="Z382" i="1" s="1"/>
  <c r="AB382" i="1"/>
  <c r="AD382" i="1" s="1"/>
  <c r="AG382" i="1"/>
  <c r="U383" i="1"/>
  <c r="V383" i="1"/>
  <c r="X383" i="1"/>
  <c r="Z383" i="1"/>
  <c r="AB383" i="1"/>
  <c r="AD383" i="1"/>
  <c r="AG383" i="1"/>
  <c r="V384" i="1"/>
  <c r="X384" i="1"/>
  <c r="Z384" i="1" s="1"/>
  <c r="U384" i="1" s="1"/>
  <c r="AB384" i="1"/>
  <c r="AD384" i="1"/>
  <c r="AG384" i="1"/>
  <c r="U385" i="1"/>
  <c r="V385" i="1"/>
  <c r="X385" i="1"/>
  <c r="Z385" i="1"/>
  <c r="AB385" i="1"/>
  <c r="AD385" i="1"/>
  <c r="AG385" i="1"/>
  <c r="V386" i="1"/>
  <c r="U386" i="1" s="1"/>
  <c r="X386" i="1"/>
  <c r="Z386" i="1"/>
  <c r="AB386" i="1"/>
  <c r="AD386" i="1"/>
  <c r="AG386" i="1"/>
  <c r="V387" i="1"/>
  <c r="X387" i="1"/>
  <c r="Z387" i="1" s="1"/>
  <c r="AB387" i="1"/>
  <c r="AD387" i="1" s="1"/>
  <c r="AG387" i="1"/>
  <c r="V388" i="1"/>
  <c r="X388" i="1"/>
  <c r="Z388" i="1" s="1"/>
  <c r="U388" i="1" s="1"/>
  <c r="AB388" i="1"/>
  <c r="AD388" i="1" s="1"/>
  <c r="AG388" i="1"/>
  <c r="V389" i="1"/>
  <c r="X389" i="1"/>
  <c r="Z389" i="1"/>
  <c r="AB389" i="1"/>
  <c r="AD389" i="1" s="1"/>
  <c r="AG389" i="1"/>
  <c r="V390" i="1"/>
  <c r="X390" i="1"/>
  <c r="Z390" i="1"/>
  <c r="U390" i="1" s="1"/>
  <c r="AB390" i="1"/>
  <c r="AD390" i="1"/>
  <c r="AG390" i="1"/>
  <c r="V391" i="1"/>
  <c r="U391" i="1" s="1"/>
  <c r="X391" i="1"/>
  <c r="Z391" i="1"/>
  <c r="AB391" i="1"/>
  <c r="AD391" i="1" s="1"/>
  <c r="AG391" i="1"/>
  <c r="V392" i="1"/>
  <c r="X392" i="1"/>
  <c r="Z392" i="1"/>
  <c r="AB392" i="1"/>
  <c r="AD392" i="1" s="1"/>
  <c r="AG392" i="1"/>
  <c r="V393" i="1"/>
  <c r="X393" i="1"/>
  <c r="Z393" i="1" s="1"/>
  <c r="U393" i="1" s="1"/>
  <c r="AB393" i="1"/>
  <c r="AD393" i="1" s="1"/>
  <c r="AG393" i="1"/>
  <c r="U394" i="1"/>
  <c r="V394" i="1"/>
  <c r="AB394" i="1"/>
  <c r="AD394" i="1"/>
  <c r="AG394" i="1"/>
  <c r="V395" i="1"/>
  <c r="X395" i="1"/>
  <c r="Z395" i="1"/>
  <c r="AB395" i="1"/>
  <c r="AD395" i="1" s="1"/>
  <c r="AG395" i="1"/>
  <c r="V396" i="1"/>
  <c r="X396" i="1"/>
  <c r="Z396" i="1"/>
  <c r="U396" i="1" s="1"/>
  <c r="AB396" i="1"/>
  <c r="AD396" i="1"/>
  <c r="AG396" i="1"/>
  <c r="V397" i="1"/>
  <c r="U397" i="1" s="1"/>
  <c r="X397" i="1"/>
  <c r="Z397" i="1"/>
  <c r="AB397" i="1"/>
  <c r="AD397" i="1" s="1"/>
  <c r="AG397" i="1"/>
  <c r="V398" i="1"/>
  <c r="X398" i="1"/>
  <c r="Z398" i="1"/>
  <c r="AB398" i="1"/>
  <c r="AD398" i="1" s="1"/>
  <c r="AG398" i="1"/>
  <c r="V399" i="1"/>
  <c r="X399" i="1"/>
  <c r="Z399" i="1" s="1"/>
  <c r="U399" i="1" s="1"/>
  <c r="AG399" i="1"/>
  <c r="V400" i="1"/>
  <c r="X400" i="1"/>
  <c r="Z400" i="1" s="1"/>
  <c r="U400" i="1" s="1"/>
  <c r="AB400" i="1"/>
  <c r="AD400" i="1" s="1"/>
  <c r="AG400" i="1"/>
  <c r="V401" i="1"/>
  <c r="X401" i="1"/>
  <c r="Z401" i="1"/>
  <c r="AB401" i="1"/>
  <c r="AD401" i="1" s="1"/>
  <c r="AG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Y402" i="1"/>
  <c r="G10" i="2" s="1"/>
  <c r="AC402" i="1"/>
  <c r="G11" i="2" s="1"/>
  <c r="AE402" i="1"/>
  <c r="AF402" i="1"/>
  <c r="G12" i="2" s="1"/>
  <c r="AH402" i="1"/>
  <c r="F13" i="2" s="1"/>
  <c r="AI402" i="1"/>
  <c r="F15" i="2" s="1"/>
  <c r="B6" i="2"/>
  <c r="B7" i="2" s="1"/>
  <c r="B10" i="2"/>
  <c r="C10" i="2"/>
  <c r="D10" i="2"/>
  <c r="B11" i="2"/>
  <c r="C11" i="2"/>
  <c r="D11" i="2"/>
  <c r="B12" i="2"/>
  <c r="C12" i="2"/>
  <c r="D12" i="2"/>
  <c r="F12" i="2"/>
  <c r="B13" i="2"/>
  <c r="B15" i="2"/>
  <c r="B17" i="2"/>
  <c r="U245" i="1" l="1"/>
  <c r="U185" i="1"/>
  <c r="U56" i="1"/>
  <c r="U40" i="1"/>
  <c r="U387" i="1"/>
  <c r="U361" i="1"/>
  <c r="U299" i="1"/>
  <c r="U256" i="1"/>
  <c r="U215" i="1"/>
  <c r="U177" i="1"/>
  <c r="U150" i="1"/>
  <c r="U146" i="1"/>
  <c r="U108" i="1"/>
  <c r="U97" i="1"/>
  <c r="U395" i="1"/>
  <c r="U322" i="1"/>
  <c r="U318" i="1"/>
  <c r="U199" i="1"/>
  <c r="U129" i="1"/>
  <c r="U64" i="1"/>
  <c r="U111" i="1"/>
  <c r="U100" i="1"/>
  <c r="U55" i="1"/>
  <c r="U298" i="1"/>
  <c r="U255" i="1"/>
  <c r="U232" i="1"/>
  <c r="U221" i="1"/>
  <c r="U214" i="1"/>
  <c r="U184" i="1"/>
  <c r="U157" i="1"/>
  <c r="U145" i="1"/>
  <c r="U141" i="1"/>
  <c r="U116" i="1"/>
  <c r="U96" i="1"/>
  <c r="U67" i="1"/>
  <c r="U32" i="1"/>
  <c r="U398" i="1"/>
  <c r="U345" i="1"/>
  <c r="U341" i="1"/>
  <c r="U317" i="1"/>
  <c r="U284" i="1"/>
  <c r="U202" i="1"/>
  <c r="U51" i="1"/>
  <c r="U47" i="1"/>
  <c r="U43" i="1"/>
  <c r="U39" i="1"/>
  <c r="U244" i="1"/>
  <c r="U321" i="1"/>
  <c r="U161" i="1"/>
  <c r="U137" i="1"/>
  <c r="U110" i="1"/>
  <c r="U78" i="1"/>
  <c r="U63" i="1"/>
  <c r="U371" i="1"/>
  <c r="U325" i="1"/>
  <c r="U92" i="1"/>
  <c r="U25" i="1"/>
  <c r="U382" i="1"/>
  <c r="U367" i="1"/>
  <c r="U356" i="1"/>
  <c r="U209" i="1"/>
  <c r="U156" i="1"/>
  <c r="U127" i="1"/>
  <c r="U46" i="1"/>
  <c r="U297" i="1"/>
  <c r="U254" i="1"/>
  <c r="U231" i="1"/>
  <c r="U220" i="1"/>
  <c r="U183" i="1"/>
  <c r="U179" i="1"/>
  <c r="U131" i="1"/>
  <c r="U106" i="1"/>
  <c r="F17" i="2"/>
  <c r="U62" i="1"/>
  <c r="U50" i="1"/>
  <c r="U42" i="1"/>
  <c r="U389" i="1"/>
  <c r="U328" i="1"/>
  <c r="U227" i="1"/>
  <c r="U194" i="1"/>
  <c r="U261" i="1"/>
  <c r="U208" i="1"/>
  <c r="U190" i="1"/>
  <c r="U155" i="1"/>
  <c r="U401" i="1"/>
  <c r="U275" i="1"/>
  <c r="U139" i="1"/>
  <c r="U98" i="1"/>
  <c r="U61" i="1"/>
  <c r="U49" i="1"/>
  <c r="U41" i="1"/>
  <c r="U293" i="1"/>
  <c r="U362" i="1"/>
  <c r="U307" i="1"/>
  <c r="U300" i="1"/>
  <c r="U230" i="1"/>
  <c r="U135" i="1"/>
  <c r="U105" i="1"/>
  <c r="U73" i="1"/>
  <c r="U69" i="1"/>
  <c r="U304" i="1"/>
  <c r="U392" i="1"/>
  <c r="U377" i="1"/>
  <c r="U351" i="1"/>
  <c r="U347" i="1"/>
  <c r="U323" i="1"/>
  <c r="U174" i="1"/>
  <c r="U163" i="1"/>
  <c r="U143" i="1"/>
  <c r="U90" i="1"/>
  <c r="U30" i="1"/>
  <c r="AD31" i="1"/>
  <c r="U31" i="1" s="1"/>
  <c r="Z57" i="1"/>
  <c r="U57" i="1" s="1"/>
  <c r="AD42" i="1"/>
  <c r="U81" i="1"/>
  <c r="Z402" i="1"/>
  <c r="H10" i="2" s="1"/>
  <c r="AD402" i="1" l="1"/>
  <c r="H11" i="2" s="1"/>
  <c r="U402" i="1" l="1"/>
  <c r="F6" i="2" s="1"/>
  <c r="F7" i="2" s="1"/>
</calcChain>
</file>

<file path=xl/sharedStrings.xml><?xml version="1.0" encoding="utf-8"?>
<sst xmlns="http://schemas.openxmlformats.org/spreadsheetml/2006/main" count="63" uniqueCount="43">
  <si>
    <t>Drawings</t>
  </si>
  <si>
    <t>INCOME</t>
  </si>
  <si>
    <t xml:space="preserve">CLASS </t>
  </si>
  <si>
    <t>Final</t>
  </si>
  <si>
    <t>Student ID</t>
  </si>
  <si>
    <t xml:space="preserve">Total </t>
  </si>
  <si>
    <t>Extra</t>
  </si>
  <si>
    <t>Project</t>
  </si>
  <si>
    <t>#1</t>
  </si>
  <si>
    <t>Class Average</t>
  </si>
  <si>
    <t>* Note - If you would like to protect the privacy of your grade please submit a new ID of your choosing to the TA.</t>
  </si>
  <si>
    <t>Current grade</t>
  </si>
  <si>
    <t>Exam #2</t>
  </si>
  <si>
    <t>Exam #1</t>
  </si>
  <si>
    <t>Exam #3</t>
  </si>
  <si>
    <t>Final Exam</t>
  </si>
  <si>
    <t>Project #1</t>
  </si>
  <si>
    <t>Total Extra Credit</t>
  </si>
  <si>
    <t>Current income</t>
  </si>
  <si>
    <t xml:space="preserve">      F</t>
  </si>
  <si>
    <t xml:space="preserve">      D</t>
  </si>
  <si>
    <t xml:space="preserve">      C</t>
  </si>
  <si>
    <t xml:space="preserve">      C+</t>
  </si>
  <si>
    <t xml:space="preserve">      B-</t>
  </si>
  <si>
    <t xml:space="preserve">      B</t>
  </si>
  <si>
    <t xml:space="preserve">      B+</t>
  </si>
  <si>
    <t xml:space="preserve">      A-</t>
  </si>
  <si>
    <t xml:space="preserve">      A</t>
  </si>
  <si>
    <t>GRADE CALCULATOR</t>
  </si>
  <si>
    <t xml:space="preserve">  Your Grade  </t>
  </si>
  <si>
    <t>Multiple Choice</t>
  </si>
  <si>
    <t>Essay</t>
  </si>
  <si>
    <t>Your Student ID # ---&gt;</t>
  </si>
  <si>
    <t>Exam 1</t>
  </si>
  <si>
    <t>Exam 2</t>
  </si>
  <si>
    <t>Exam 3</t>
  </si>
  <si>
    <t>Total</t>
  </si>
  <si>
    <t>Games</t>
  </si>
  <si>
    <t>Homeworks</t>
  </si>
  <si>
    <t>** - The spreasheet calculates your current letter grade based on all relevant exams/assignments. If you have missed an exam your income is correct but NOT your letter grade.</t>
  </si>
  <si>
    <t>M/C</t>
  </si>
  <si>
    <t>&lt;----Type your ID# and then hit enter.</t>
  </si>
  <si>
    <t>Movie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</si>
</sst>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General_)"/>
    <numFmt numFmtId="174" formatCode="&quot;$&quot;#,##0"/>
  </numFmts>
  <fonts count="18" x14ac:knownFonts="1">
    <font>
      <sz val="12"/>
      <name val="Helv"/>
    </font>
    <font>
      <b/>
      <sz val="12"/>
      <name val="Helv"/>
    </font>
    <font>
      <b/>
      <u/>
      <sz val="12"/>
      <name val="Helv"/>
    </font>
    <font>
      <sz val="12"/>
      <name val="Helv"/>
    </font>
    <font>
      <sz val="8"/>
      <name val="Helv"/>
    </font>
    <font>
      <sz val="12"/>
      <name val="Arial"/>
      <family val="2"/>
    </font>
    <font>
      <b/>
      <sz val="12"/>
      <name val="Arial"/>
      <family val="2"/>
    </font>
    <font>
      <sz val="12"/>
      <name val="Helv"/>
    </font>
    <font>
      <sz val="12"/>
      <color indexed="50"/>
      <name val="Helv"/>
    </font>
    <font>
      <b/>
      <sz val="12"/>
      <color indexed="50"/>
      <name val="Helv"/>
    </font>
    <font>
      <sz val="12"/>
      <color indexed="39"/>
      <name val="Helv"/>
    </font>
    <font>
      <b/>
      <sz val="12"/>
      <color indexed="39"/>
      <name val="Helv"/>
    </font>
    <font>
      <b/>
      <sz val="12"/>
      <color indexed="61"/>
      <name val="Helv"/>
    </font>
    <font>
      <sz val="12"/>
      <color indexed="56"/>
      <name val="Helv"/>
    </font>
    <font>
      <b/>
      <sz val="12"/>
      <color indexed="56"/>
      <name val="Helv"/>
    </font>
    <font>
      <b/>
      <u/>
      <sz val="18"/>
      <color indexed="39"/>
      <name val="Helv"/>
    </font>
    <font>
      <b/>
      <u/>
      <sz val="12"/>
      <color indexed="48"/>
      <name val="Helv"/>
    </font>
    <font>
      <sz val="9"/>
      <name val="Helv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2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172" fontId="0" fillId="0" borderId="0"/>
  </cellStyleXfs>
  <cellXfs count="61">
    <xf numFmtId="172" fontId="0" fillId="0" borderId="0" xfId="0"/>
    <xf numFmtId="172" fontId="0" fillId="0" borderId="0" xfId="0" applyBorder="1"/>
    <xf numFmtId="172" fontId="1" fillId="0" borderId="0" xfId="0" applyFont="1" applyBorder="1"/>
    <xf numFmtId="172" fontId="3" fillId="0" borderId="0" xfId="0" applyFont="1" applyBorder="1"/>
    <xf numFmtId="174" fontId="0" fillId="0" borderId="1" xfId="0" applyNumberFormat="1" applyBorder="1" applyAlignment="1">
      <alignment horizontal="center"/>
    </xf>
    <xf numFmtId="172" fontId="8" fillId="2" borderId="2" xfId="0" applyFont="1" applyFill="1" applyBorder="1"/>
    <xf numFmtId="172" fontId="9" fillId="2" borderId="2" xfId="0" applyFont="1" applyFill="1" applyBorder="1"/>
    <xf numFmtId="172" fontId="9" fillId="2" borderId="3" xfId="0" applyFont="1" applyFill="1" applyBorder="1" applyAlignment="1" applyProtection="1">
      <alignment horizontal="right"/>
    </xf>
    <xf numFmtId="172" fontId="10" fillId="3" borderId="4" xfId="0" applyFont="1" applyFill="1" applyBorder="1"/>
    <xf numFmtId="172" fontId="10" fillId="3" borderId="2" xfId="0" applyFont="1" applyFill="1" applyBorder="1"/>
    <xf numFmtId="172" fontId="11" fillId="3" borderId="2" xfId="0" applyFont="1" applyFill="1" applyBorder="1" applyAlignment="1">
      <alignment horizontal="right"/>
    </xf>
    <xf numFmtId="172" fontId="11" fillId="3" borderId="5" xfId="0" applyFont="1" applyFill="1" applyBorder="1" applyAlignment="1" applyProtection="1">
      <alignment horizontal="right"/>
    </xf>
    <xf numFmtId="172" fontId="11" fillId="3" borderId="3" xfId="0" applyFont="1" applyFill="1" applyBorder="1" applyAlignment="1" applyProtection="1">
      <alignment horizontal="right"/>
    </xf>
    <xf numFmtId="172" fontId="11" fillId="3" borderId="3" xfId="0" applyFont="1" applyFill="1" applyBorder="1" applyAlignment="1">
      <alignment horizontal="right"/>
    </xf>
    <xf numFmtId="172" fontId="13" fillId="4" borderId="4" xfId="0" applyFont="1" applyFill="1" applyBorder="1"/>
    <xf numFmtId="172" fontId="14" fillId="4" borderId="5" xfId="0" applyFont="1" applyFill="1" applyBorder="1"/>
    <xf numFmtId="172" fontId="1" fillId="5" borderId="1" xfId="0" applyFont="1" applyFill="1" applyBorder="1" applyAlignment="1">
      <alignment horizontal="center"/>
    </xf>
    <xf numFmtId="172" fontId="1" fillId="5" borderId="1" xfId="0" applyFont="1" applyFill="1" applyBorder="1"/>
    <xf numFmtId="172" fontId="6" fillId="5" borderId="1" xfId="0" applyFont="1" applyFill="1" applyBorder="1" applyAlignment="1">
      <alignment horizontal="center"/>
    </xf>
    <xf numFmtId="172" fontId="7" fillId="5" borderId="1" xfId="0" applyNumberFormat="1" applyFont="1" applyFill="1" applyBorder="1"/>
    <xf numFmtId="172" fontId="7" fillId="5" borderId="1" xfId="0" applyFont="1" applyFill="1" applyBorder="1"/>
    <xf numFmtId="172" fontId="1" fillId="5" borderId="1" xfId="0" applyNumberFormat="1" applyFont="1" applyFill="1" applyBorder="1"/>
    <xf numFmtId="172" fontId="15" fillId="2" borderId="6" xfId="0" applyFont="1" applyFill="1" applyBorder="1" applyAlignment="1">
      <alignment horizontal="center"/>
    </xf>
    <xf numFmtId="172" fontId="10" fillId="2" borderId="7" xfId="0" applyFont="1" applyFill="1" applyBorder="1"/>
    <xf numFmtId="172" fontId="11" fillId="2" borderId="6" xfId="0" applyFont="1" applyFill="1" applyBorder="1"/>
    <xf numFmtId="172" fontId="1" fillId="6" borderId="0" xfId="0" applyFont="1" applyFill="1" applyBorder="1" applyAlignment="1">
      <alignment horizontal="center"/>
    </xf>
    <xf numFmtId="172" fontId="1" fillId="5" borderId="1" xfId="0" applyFont="1" applyFill="1" applyBorder="1" applyAlignment="1" applyProtection="1">
      <alignment horizontal="center"/>
    </xf>
    <xf numFmtId="172" fontId="15" fillId="2" borderId="6" xfId="0" applyFont="1" applyFill="1" applyBorder="1" applyAlignment="1">
      <alignment horizontal="left"/>
    </xf>
    <xf numFmtId="172" fontId="8" fillId="7" borderId="4" xfId="0" applyFont="1" applyFill="1" applyBorder="1"/>
    <xf numFmtId="172" fontId="8" fillId="7" borderId="2" xfId="0" applyFont="1" applyFill="1" applyBorder="1"/>
    <xf numFmtId="172" fontId="8" fillId="7" borderId="8" xfId="0" applyFont="1" applyFill="1" applyBorder="1"/>
    <xf numFmtId="172" fontId="9" fillId="7" borderId="5" xfId="0" applyFont="1" applyFill="1" applyBorder="1" applyAlignment="1" applyProtection="1">
      <alignment horizontal="right"/>
    </xf>
    <xf numFmtId="172" fontId="9" fillId="7" borderId="3" xfId="0" applyFont="1" applyFill="1" applyBorder="1" applyAlignment="1" applyProtection="1">
      <alignment horizontal="right"/>
    </xf>
    <xf numFmtId="172" fontId="9" fillId="7" borderId="9" xfId="0" applyFont="1" applyFill="1" applyBorder="1" applyAlignment="1" applyProtection="1">
      <alignment horizontal="right"/>
    </xf>
    <xf numFmtId="172" fontId="9" fillId="7" borderId="2" xfId="0" applyFont="1" applyFill="1" applyBorder="1"/>
    <xf numFmtId="172" fontId="11" fillId="3" borderId="2" xfId="0" applyFont="1" applyFill="1" applyBorder="1"/>
    <xf numFmtId="172" fontId="17" fillId="0" borderId="0" xfId="0" applyFont="1" applyFill="1" applyBorder="1" applyAlignment="1">
      <alignment horizontal="left"/>
    </xf>
    <xf numFmtId="172" fontId="5" fillId="5" borderId="1" xfId="0" applyFont="1" applyFill="1" applyBorder="1" applyAlignment="1">
      <alignment horizontal="right"/>
    </xf>
    <xf numFmtId="172" fontId="1" fillId="6" borderId="3" xfId="0" applyFont="1" applyFill="1" applyBorder="1" applyAlignment="1">
      <alignment horizontal="center"/>
    </xf>
    <xf numFmtId="172" fontId="1" fillId="6" borderId="0" xfId="0" applyFont="1" applyFill="1" applyBorder="1" applyAlignment="1">
      <alignment horizontal="right"/>
    </xf>
    <xf numFmtId="172" fontId="17" fillId="0" borderId="0" xfId="0" applyFont="1"/>
    <xf numFmtId="172" fontId="1" fillId="0" borderId="10" xfId="0" applyFont="1" applyBorder="1" applyAlignment="1">
      <alignment horizontal="center"/>
    </xf>
    <xf numFmtId="172" fontId="0" fillId="6" borderId="4" xfId="0" applyFill="1" applyBorder="1"/>
    <xf numFmtId="172" fontId="0" fillId="6" borderId="2" xfId="0" applyFill="1" applyBorder="1"/>
    <xf numFmtId="172" fontId="0" fillId="6" borderId="8" xfId="0" applyFill="1" applyBorder="1"/>
    <xf numFmtId="172" fontId="0" fillId="6" borderId="11" xfId="0" applyFill="1" applyBorder="1"/>
    <xf numFmtId="172" fontId="0" fillId="6" borderId="0" xfId="0" applyFill="1" applyBorder="1"/>
    <xf numFmtId="172" fontId="0" fillId="6" borderId="12" xfId="0" applyFill="1" applyBorder="1"/>
    <xf numFmtId="172" fontId="1" fillId="6" borderId="11" xfId="0" applyFont="1" applyFill="1" applyBorder="1"/>
    <xf numFmtId="172" fontId="1" fillId="6" borderId="0" xfId="0" quotePrefix="1" applyFont="1" applyFill="1" applyBorder="1"/>
    <xf numFmtId="172" fontId="4" fillId="6" borderId="11" xfId="0" applyFont="1" applyFill="1" applyBorder="1"/>
    <xf numFmtId="172" fontId="16" fillId="2" borderId="0" xfId="0" applyFont="1" applyFill="1" applyBorder="1" applyAlignment="1">
      <alignment horizontal="left"/>
    </xf>
    <xf numFmtId="172" fontId="2" fillId="6" borderId="0" xfId="0" applyFont="1" applyFill="1" applyBorder="1" applyAlignment="1">
      <alignment horizontal="center"/>
    </xf>
    <xf numFmtId="172" fontId="16" fillId="2" borderId="0" xfId="0" applyFont="1" applyFill="1" applyBorder="1"/>
    <xf numFmtId="172" fontId="1" fillId="6" borderId="11" xfId="0" applyFont="1" applyFill="1" applyBorder="1" applyAlignment="1">
      <alignment horizontal="right"/>
    </xf>
    <xf numFmtId="172" fontId="1" fillId="6" borderId="0" xfId="0" applyFont="1" applyFill="1" applyBorder="1"/>
    <xf numFmtId="172" fontId="0" fillId="6" borderId="5" xfId="0" applyFill="1" applyBorder="1"/>
    <xf numFmtId="172" fontId="0" fillId="6" borderId="3" xfId="0" applyFill="1" applyBorder="1"/>
    <xf numFmtId="172" fontId="0" fillId="6" borderId="9" xfId="0" applyFill="1" applyBorder="1"/>
    <xf numFmtId="172" fontId="12" fillId="8" borderId="4" xfId="0" applyFont="1" applyFill="1" applyBorder="1" applyAlignment="1">
      <alignment horizontal="left"/>
    </xf>
    <xf numFmtId="172" fontId="12" fillId="8" borderId="5" xfId="0" applyFont="1" applyFill="1" applyBorder="1" applyAlignment="1">
      <alignment horizontal="left"/>
    </xf>
  </cellXfs>
  <cellStyles count="1">
    <cellStyle name="Normal" xfId="0" builtinId="0"/>
  </cellStyles>
  <dxfs count="6">
    <dxf>
      <font>
        <b/>
        <i val="0"/>
        <condense val="0"/>
        <extend val="0"/>
        <color indexed="56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6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39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B3" sqref="B3"/>
    </sheetView>
  </sheetViews>
  <sheetFormatPr defaultRowHeight="15.5" x14ac:dyDescent="0.35"/>
  <cols>
    <col min="1" max="1" width="21" customWidth="1"/>
    <col min="2" max="2" width="14" customWidth="1"/>
    <col min="3" max="3" width="10.53515625" customWidth="1"/>
    <col min="4" max="4" width="10.69140625" customWidth="1"/>
    <col min="5" max="5" width="4.4609375" customWidth="1"/>
    <col min="6" max="6" width="14.07421875" customWidth="1"/>
    <col min="7" max="7" width="10.69140625" customWidth="1"/>
    <col min="8" max="8" width="10.07421875" customWidth="1"/>
    <col min="9" max="9" width="3.765625" customWidth="1"/>
  </cols>
  <sheetData>
    <row r="1" spans="1:9" ht="27" customHeight="1" x14ac:dyDescent="0.65">
      <c r="A1" s="42"/>
      <c r="B1" s="24"/>
      <c r="C1" s="27" t="s">
        <v>28</v>
      </c>
      <c r="D1" s="22"/>
      <c r="E1" s="22"/>
      <c r="F1" s="23"/>
      <c r="G1" s="43"/>
      <c r="H1" s="43"/>
      <c r="I1" s="44"/>
    </row>
    <row r="2" spans="1:9" x14ac:dyDescent="0.35">
      <c r="A2" s="45"/>
      <c r="B2" s="46"/>
      <c r="C2" s="46"/>
      <c r="D2" s="46"/>
      <c r="E2" s="46"/>
      <c r="F2" s="46"/>
      <c r="G2" s="46"/>
      <c r="H2" s="46"/>
      <c r="I2" s="47"/>
    </row>
    <row r="3" spans="1:9" x14ac:dyDescent="0.35">
      <c r="A3" s="48" t="s">
        <v>32</v>
      </c>
      <c r="B3">
        <v>0</v>
      </c>
      <c r="C3" s="49" t="s">
        <v>41</v>
      </c>
      <c r="D3" s="49"/>
      <c r="E3" s="49"/>
      <c r="F3" s="46"/>
      <c r="G3" s="46"/>
      <c r="H3" s="46"/>
      <c r="I3" s="47"/>
    </row>
    <row r="4" spans="1:9" x14ac:dyDescent="0.35">
      <c r="A4" s="50"/>
      <c r="B4" s="46"/>
      <c r="C4" s="46"/>
      <c r="D4" s="46"/>
      <c r="E4" s="46"/>
      <c r="F4" s="46"/>
      <c r="G4" s="46"/>
      <c r="H4" s="46"/>
      <c r="I4" s="47"/>
    </row>
    <row r="5" spans="1:9" x14ac:dyDescent="0.35">
      <c r="A5" s="45"/>
      <c r="B5" s="51" t="s">
        <v>29</v>
      </c>
      <c r="C5" s="52"/>
      <c r="D5" s="52"/>
      <c r="E5" s="46"/>
      <c r="F5" s="53" t="s">
        <v>9</v>
      </c>
      <c r="G5" s="46"/>
      <c r="H5" s="46"/>
      <c r="I5" s="47"/>
    </row>
    <row r="6" spans="1:9" x14ac:dyDescent="0.35">
      <c r="A6" s="54" t="s">
        <v>18</v>
      </c>
      <c r="B6" s="4" t="e">
        <f>VLOOKUP($B$3,Spring2004!$T$25:'Spring2004'!AI402,2,FALSE)</f>
        <v>#N/A</v>
      </c>
      <c r="C6" s="46"/>
      <c r="D6" s="46"/>
      <c r="E6" s="46"/>
      <c r="F6" s="4">
        <f>Spring2004!U402</f>
        <v>319307.10027100268</v>
      </c>
      <c r="G6" s="46"/>
      <c r="H6" s="46"/>
      <c r="I6" s="47"/>
    </row>
    <row r="7" spans="1:9" x14ac:dyDescent="0.35">
      <c r="A7" s="54" t="s">
        <v>11</v>
      </c>
      <c r="B7" s="41" t="e">
        <f>VLOOKUP(B6,Spring2004!$T$1:'Spring2004'!$U$9, 2)</f>
        <v>#N/A</v>
      </c>
      <c r="C7" s="55"/>
      <c r="D7" s="39"/>
      <c r="E7" s="55"/>
      <c r="F7" s="41" t="str">
        <f>VLOOKUP(F6,Spring2004!$T$1:'Spring2004'!$U$9, 2)</f>
        <v xml:space="preserve">      B+</v>
      </c>
      <c r="G7" s="46"/>
      <c r="H7" s="46"/>
      <c r="I7" s="47"/>
    </row>
    <row r="8" spans="1:9" x14ac:dyDescent="0.35">
      <c r="A8" s="54"/>
      <c r="B8" s="39"/>
      <c r="C8" s="39"/>
      <c r="D8" s="39"/>
      <c r="E8" s="39"/>
      <c r="F8" s="39"/>
      <c r="G8" s="46"/>
      <c r="H8" s="46"/>
      <c r="I8" s="47"/>
    </row>
    <row r="9" spans="1:9" x14ac:dyDescent="0.35">
      <c r="A9" s="54"/>
      <c r="B9" s="38" t="s">
        <v>30</v>
      </c>
      <c r="C9" s="25" t="s">
        <v>31</v>
      </c>
      <c r="D9" s="25" t="s">
        <v>36</v>
      </c>
      <c r="E9" s="46"/>
      <c r="F9" s="38" t="s">
        <v>30</v>
      </c>
      <c r="G9" s="25" t="s">
        <v>31</v>
      </c>
      <c r="H9" s="25" t="s">
        <v>36</v>
      </c>
      <c r="I9" s="47"/>
    </row>
    <row r="10" spans="1:9" x14ac:dyDescent="0.35">
      <c r="A10" s="54" t="s">
        <v>13</v>
      </c>
      <c r="B10" s="4" t="e">
        <f>VLOOKUP($B$3,Spring2004!$T$25:'Spring2004'!AI402,5,FALSE)</f>
        <v>#N/A</v>
      </c>
      <c r="C10" s="4" t="e">
        <f>VLOOKUP($B$3,Spring2004!$T$25:'Spring2004'!AI402,6,FALSE)</f>
        <v>#N/A</v>
      </c>
      <c r="D10" s="4" t="e">
        <f>VLOOKUP($B$3,Spring2004!$T$25:'Spring2004'!AI402,7,FALSE)</f>
        <v>#N/A</v>
      </c>
      <c r="E10" s="46"/>
      <c r="F10" s="4">
        <f>Spring2004!X402</f>
        <v>147073.17073170733</v>
      </c>
      <c r="G10" s="4">
        <f>Spring2004!Y402</f>
        <v>14816.25</v>
      </c>
      <c r="H10" s="4">
        <f>Spring2004!Z402</f>
        <v>150285.36585365853</v>
      </c>
      <c r="I10" s="47"/>
    </row>
    <row r="11" spans="1:9" x14ac:dyDescent="0.35">
      <c r="A11" s="54" t="s">
        <v>12</v>
      </c>
      <c r="B11" s="4" t="e">
        <f>VLOOKUP($B$3,Spring2004!$T$25:'Spring2004'!AI402,9,FALSE)</f>
        <v>#N/A</v>
      </c>
      <c r="C11" s="4" t="e">
        <f>VLOOKUP($B$3,Spring2004!$T$25:'Spring2004'!AI402,10,FALSE)</f>
        <v>#N/A</v>
      </c>
      <c r="D11" s="4" t="e">
        <f>VLOOKUP($B$3,Spring2004!$T$25:'Spring2004'!AI402,11,FALSE)</f>
        <v>#N/A</v>
      </c>
      <c r="E11" s="46"/>
      <c r="F11" s="4">
        <f>Spring2004!AB402</f>
        <v>140144.04432132965</v>
      </c>
      <c r="G11" s="4">
        <f>Spring2004!AC402</f>
        <v>17506.557377049179</v>
      </c>
      <c r="H11" s="4">
        <f>Spring2004!AD402</f>
        <v>145949.44444444444</v>
      </c>
      <c r="I11" s="47"/>
    </row>
    <row r="12" spans="1:9" x14ac:dyDescent="0.35">
      <c r="A12" s="54" t="s">
        <v>14</v>
      </c>
      <c r="B12" s="4" t="e">
        <f>VLOOKUP($B$3,Spring2004!$T$25:'Spring2004'!AI402,15,FALSE)</f>
        <v>#N/A</v>
      </c>
      <c r="C12" s="4" t="e">
        <f>VLOOKUP($B$3,Spring2004!$T$25:'Spring2004'!AI402,14,FALSE)</f>
        <v>#N/A</v>
      </c>
      <c r="D12" s="4" t="e">
        <f>VLOOKUP($B$3,Spring2004!$T$25:'Spring2004'!AI402,12,FALSE)</f>
        <v>#N/A</v>
      </c>
      <c r="E12" s="46"/>
      <c r="F12" s="4">
        <f>Spring2004!AE402</f>
        <v>0</v>
      </c>
      <c r="G12" s="4">
        <f>Spring2004!AF402</f>
        <v>0</v>
      </c>
      <c r="H12" s="4">
        <f>Spring2004!AG402</f>
        <v>0</v>
      </c>
      <c r="I12" s="47"/>
    </row>
    <row r="13" spans="1:9" x14ac:dyDescent="0.35">
      <c r="A13" s="54" t="s">
        <v>15</v>
      </c>
      <c r="B13" s="4" t="e">
        <f>VLOOKUP($B$3,Spring2004!$T$25:'Spring2004'!AI402,13,FALSE)</f>
        <v>#N/A</v>
      </c>
      <c r="C13" s="46"/>
      <c r="D13" s="46"/>
      <c r="E13" s="46"/>
      <c r="F13" s="4">
        <f>Spring2004!AH402</f>
        <v>0</v>
      </c>
      <c r="G13" s="46"/>
      <c r="H13" s="46"/>
      <c r="I13" s="47"/>
    </row>
    <row r="14" spans="1:9" x14ac:dyDescent="0.35">
      <c r="A14" s="54"/>
      <c r="B14" s="46"/>
      <c r="C14" s="46"/>
      <c r="D14" s="46"/>
      <c r="E14" s="46"/>
      <c r="F14" s="46"/>
      <c r="G14" s="46"/>
      <c r="H14" s="46"/>
      <c r="I14" s="47"/>
    </row>
    <row r="15" spans="1:9" x14ac:dyDescent="0.35">
      <c r="A15" s="54" t="s">
        <v>16</v>
      </c>
      <c r="B15" s="4" t="e">
        <f>VLOOKUP($B$3,Spring2004!$T$25:'Spring2004'!AI402,14,FALSE)</f>
        <v>#N/A</v>
      </c>
      <c r="C15" s="46"/>
      <c r="D15" s="46"/>
      <c r="E15" s="39" t="s">
        <v>16</v>
      </c>
      <c r="F15" s="4">
        <f>Spring2004!AI402</f>
        <v>0</v>
      </c>
      <c r="G15" s="46"/>
      <c r="H15" s="46"/>
      <c r="I15" s="47"/>
    </row>
    <row r="16" spans="1:9" x14ac:dyDescent="0.35">
      <c r="A16" s="54"/>
      <c r="B16" s="46"/>
      <c r="C16" s="46"/>
      <c r="D16" s="46"/>
      <c r="E16" s="46"/>
      <c r="F16" s="46"/>
      <c r="G16" s="46"/>
      <c r="H16" s="46"/>
      <c r="I16" s="47"/>
    </row>
    <row r="17" spans="1:9" x14ac:dyDescent="0.35">
      <c r="A17" s="54" t="s">
        <v>17</v>
      </c>
      <c r="B17" s="4" t="e">
        <f>VLOOKUP($B$3,Spring2004!$T$25:'Spring2004'!AI402,3,FALSE)</f>
        <v>#N/A</v>
      </c>
      <c r="C17" s="46"/>
      <c r="D17" s="46"/>
      <c r="E17" s="39" t="s">
        <v>17</v>
      </c>
      <c r="F17" s="4">
        <f>Spring2004!V402</f>
        <v>23072.289972899729</v>
      </c>
      <c r="G17" s="46"/>
      <c r="H17" s="46"/>
      <c r="I17" s="47"/>
    </row>
    <row r="18" spans="1:9" x14ac:dyDescent="0.35">
      <c r="A18" s="56"/>
      <c r="B18" s="57"/>
      <c r="C18" s="57"/>
      <c r="D18" s="57"/>
      <c r="E18" s="57"/>
      <c r="F18" s="57"/>
      <c r="G18" s="57"/>
      <c r="H18" s="57"/>
      <c r="I18" s="58"/>
    </row>
    <row r="19" spans="1:9" x14ac:dyDescent="0.35">
      <c r="A19" s="40" t="s">
        <v>10</v>
      </c>
    </row>
    <row r="20" spans="1:9" x14ac:dyDescent="0.35">
      <c r="A20" s="36" t="s">
        <v>39</v>
      </c>
    </row>
  </sheetData>
  <phoneticPr fontId="4" type="noConversion"/>
  <conditionalFormatting sqref="B6">
    <cfRule type="expression" dxfId="5" priority="1" stopIfTrue="1">
      <formula>B6-F6&gt;0</formula>
    </cfRule>
    <cfRule type="expression" dxfId="4" priority="2" stopIfTrue="1">
      <formula>B6-F6&lt;0</formula>
    </cfRule>
  </conditionalFormatting>
  <conditionalFormatting sqref="B10:B13 D11:D12 B17 C10:D10 C12 B15">
    <cfRule type="expression" dxfId="3" priority="3" stopIfTrue="1">
      <formula>B10-F10&gt;0</formula>
    </cfRule>
    <cfRule type="expression" dxfId="2" priority="4" stopIfTrue="1">
      <formula>B10-F10&lt;0</formula>
    </cfRule>
  </conditionalFormatting>
  <conditionalFormatting sqref="C11">
    <cfRule type="expression" dxfId="1" priority="5" stopIfTrue="1">
      <formula>C11-G11&gt;0</formula>
    </cfRule>
    <cfRule type="expression" dxfId="0" priority="6" stopIfTrue="1">
      <formula>C10-G11&lt;0</formula>
    </cfRule>
  </conditionalFormatting>
  <pageMargins left="0.75" right="0.75" top="1" bottom="1" header="0.5" footer="0.5"/>
  <pageSetup orientation="portrait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375" transitionEvaluation="1" codeName="Sheet1">
    <pageSetUpPr fitToPage="1"/>
  </sheetPr>
  <dimension ref="A1:AY403"/>
  <sheetViews>
    <sheetView topLeftCell="A375" zoomScale="75" zoomScaleNormal="100" workbookViewId="0">
      <pane xSplit="1" topLeftCell="B1" activePane="topRight" state="frozen"/>
      <selection activeCell="A17" sqref="A17"/>
      <selection pane="topRight" activeCell="A21" sqref="A21:IV403"/>
    </sheetView>
  </sheetViews>
  <sheetFormatPr defaultColWidth="8.765625" defaultRowHeight="14.15" customHeight="1" x14ac:dyDescent="0.35"/>
  <cols>
    <col min="1" max="1" width="6.07421875" style="1" customWidth="1"/>
    <col min="2" max="2" width="6.23046875" style="1" customWidth="1"/>
    <col min="3" max="4" width="6" style="1" customWidth="1"/>
    <col min="5" max="11" width="6.23046875" style="1" customWidth="1"/>
    <col min="12" max="12" width="6.84375" style="1" customWidth="1"/>
    <col min="13" max="13" width="5.53515625" style="1" customWidth="1"/>
    <col min="14" max="14" width="5.765625" style="1" customWidth="1"/>
    <col min="15" max="16" width="5.53515625" style="1" customWidth="1"/>
    <col min="17" max="17" width="5.69140625" style="1" customWidth="1"/>
    <col min="18" max="18" width="5.3046875" style="1" customWidth="1"/>
    <col min="19" max="19" width="7.84375" style="1" customWidth="1"/>
    <col min="20" max="20" width="12.765625" style="1" customWidth="1"/>
    <col min="21" max="21" width="8.765625" style="1"/>
    <col min="22" max="22" width="8.84375" style="1" customWidth="1"/>
    <col min="23" max="23" width="8.84375" style="1" hidden="1" customWidth="1"/>
    <col min="24" max="26" width="8.84375" style="1" customWidth="1"/>
    <col min="27" max="27" width="0.23046875" style="1" customWidth="1"/>
    <col min="28" max="30" width="8.765625" style="1"/>
    <col min="31" max="34" width="8.69140625" style="1" customWidth="1"/>
    <col min="35" max="16384" width="8.765625" style="1"/>
  </cols>
  <sheetData>
    <row r="1" spans="2:31" ht="14.15" customHeight="1" x14ac:dyDescent="0.35">
      <c r="T1" s="1">
        <v>0</v>
      </c>
      <c r="U1" s="1" t="s">
        <v>19</v>
      </c>
    </row>
    <row r="2" spans="2:31" ht="14.15" customHeight="1" x14ac:dyDescent="0.35">
      <c r="B2" s="2"/>
      <c r="C2" s="2"/>
      <c r="D2" s="2"/>
      <c r="T2" s="1">
        <f>0.58*AE3</f>
        <v>208800</v>
      </c>
      <c r="U2" s="1" t="s">
        <v>20</v>
      </c>
    </row>
    <row r="3" spans="2:31" ht="14.15" customHeight="1" x14ac:dyDescent="0.35">
      <c r="B3" s="2"/>
      <c r="C3" s="2"/>
      <c r="D3" s="2"/>
      <c r="T3" s="1">
        <f>0.68*AE3</f>
        <v>244800.00000000003</v>
      </c>
      <c r="U3" s="1" t="s">
        <v>21</v>
      </c>
      <c r="AE3" s="1">
        <v>360000</v>
      </c>
    </row>
    <row r="4" spans="2:31" ht="14.25" customHeight="1" x14ac:dyDescent="0.35">
      <c r="T4" s="1">
        <f>0.76*AE3</f>
        <v>273600</v>
      </c>
      <c r="U4" s="1" t="s">
        <v>22</v>
      </c>
    </row>
    <row r="5" spans="2:31" ht="15" customHeight="1" x14ac:dyDescent="0.35">
      <c r="T5" s="1">
        <f>0.8*AE3</f>
        <v>288000</v>
      </c>
      <c r="U5" s="1" t="s">
        <v>23</v>
      </c>
    </row>
    <row r="6" spans="2:31" ht="14.15" customHeight="1" x14ac:dyDescent="0.35">
      <c r="T6" s="1">
        <f>0.82*AE3</f>
        <v>295200</v>
      </c>
      <c r="U6" s="1" t="s">
        <v>24</v>
      </c>
    </row>
    <row r="7" spans="2:31" ht="14.15" customHeight="1" x14ac:dyDescent="0.35">
      <c r="T7" s="1">
        <f>0.86*AE3</f>
        <v>309600</v>
      </c>
      <c r="U7" s="1" t="s">
        <v>25</v>
      </c>
    </row>
    <row r="8" spans="2:31" ht="14.15" customHeight="1" x14ac:dyDescent="0.35">
      <c r="T8" s="1">
        <f>0.9*AE3</f>
        <v>324000</v>
      </c>
      <c r="U8" s="1" t="s">
        <v>26</v>
      </c>
    </row>
    <row r="9" spans="2:31" ht="14.15" customHeight="1" x14ac:dyDescent="0.35">
      <c r="T9" s="1">
        <f>0.93*AE3</f>
        <v>334800</v>
      </c>
      <c r="U9" s="1" t="s">
        <v>27</v>
      </c>
    </row>
    <row r="10" spans="2:31" ht="14.25" customHeight="1" x14ac:dyDescent="0.35">
      <c r="T10"/>
      <c r="U10"/>
      <c r="V10"/>
      <c r="W10"/>
    </row>
    <row r="11" spans="2:31" ht="14.25" customHeight="1" x14ac:dyDescent="0.35">
      <c r="T11"/>
      <c r="U11"/>
      <c r="V11"/>
      <c r="W11"/>
    </row>
    <row r="12" spans="2:31" ht="14.25" customHeight="1" x14ac:dyDescent="0.35">
      <c r="T12"/>
      <c r="U12"/>
      <c r="V12"/>
      <c r="W12"/>
    </row>
    <row r="13" spans="2:31" ht="14.25" customHeight="1" x14ac:dyDescent="0.35"/>
    <row r="14" spans="2:31" ht="14.25" customHeight="1" x14ac:dyDescent="0.35"/>
    <row r="15" spans="2:31" ht="14.25" customHeight="1" x14ac:dyDescent="0.35"/>
    <row r="16" spans="2:31" ht="14.25" customHeight="1" x14ac:dyDescent="0.35"/>
    <row r="17" spans="1:51" ht="15" customHeight="1" x14ac:dyDescent="0.35"/>
    <row r="18" spans="1:51" ht="14.25" customHeight="1" x14ac:dyDescent="0.35">
      <c r="T18"/>
    </row>
    <row r="19" spans="1:51" ht="14.25" customHeight="1" x14ac:dyDescent="0.35"/>
    <row r="20" spans="1:51" ht="14.25" customHeight="1" x14ac:dyDescent="0.35"/>
    <row r="21" spans="1:51" ht="15.5" hidden="1" x14ac:dyDescent="0.35"/>
    <row r="22" spans="1:51" ht="14.15" hidden="1" customHeight="1" x14ac:dyDescent="0.35"/>
    <row r="23" spans="1:51" ht="13.5" hidden="1" customHeight="1" x14ac:dyDescent="0.35">
      <c r="A23" s="5"/>
      <c r="B23" s="6" t="s">
        <v>38</v>
      </c>
      <c r="C23" s="6"/>
      <c r="D23" s="5"/>
      <c r="E23" s="28"/>
      <c r="F23" s="34" t="s">
        <v>37</v>
      </c>
      <c r="G23" s="29"/>
      <c r="H23" s="29"/>
      <c r="I23" s="29"/>
      <c r="J23" s="29"/>
      <c r="K23" s="30"/>
      <c r="L23" s="8"/>
      <c r="M23" s="35" t="s">
        <v>0</v>
      </c>
      <c r="N23" s="10"/>
      <c r="O23" s="10"/>
      <c r="P23" s="9"/>
      <c r="Q23" s="9"/>
      <c r="R23" s="9"/>
      <c r="S23" s="59" t="s">
        <v>42</v>
      </c>
      <c r="T23" s="14"/>
      <c r="U23" s="16" t="s">
        <v>2</v>
      </c>
      <c r="V23" s="16" t="s">
        <v>5</v>
      </c>
      <c r="W23" s="16"/>
      <c r="X23" s="16" t="s">
        <v>33</v>
      </c>
      <c r="Y23" s="16" t="s">
        <v>33</v>
      </c>
      <c r="Z23" s="16" t="s">
        <v>33</v>
      </c>
      <c r="AA23" s="16"/>
      <c r="AB23" s="16" t="s">
        <v>34</v>
      </c>
      <c r="AC23" s="16" t="s">
        <v>34</v>
      </c>
      <c r="AD23" s="16" t="s">
        <v>34</v>
      </c>
      <c r="AE23" s="16" t="s">
        <v>35</v>
      </c>
      <c r="AF23" s="16" t="s">
        <v>35</v>
      </c>
      <c r="AG23" s="16" t="s">
        <v>35</v>
      </c>
      <c r="AH23" s="17"/>
      <c r="AI23" s="16" t="s">
        <v>7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 spans="1:51" ht="14.15" hidden="1" customHeight="1" x14ac:dyDescent="0.35">
      <c r="A24" s="7">
        <v>1</v>
      </c>
      <c r="B24" s="7">
        <v>2</v>
      </c>
      <c r="C24" s="7">
        <v>3</v>
      </c>
      <c r="D24" s="7">
        <v>4</v>
      </c>
      <c r="E24" s="31">
        <v>1</v>
      </c>
      <c r="F24" s="32">
        <v>2</v>
      </c>
      <c r="G24" s="32">
        <v>3</v>
      </c>
      <c r="H24" s="32">
        <v>4</v>
      </c>
      <c r="I24" s="32">
        <v>5</v>
      </c>
      <c r="J24" s="32">
        <v>6</v>
      </c>
      <c r="K24" s="33">
        <v>7</v>
      </c>
      <c r="L24" s="11">
        <v>1</v>
      </c>
      <c r="M24" s="12">
        <v>2</v>
      </c>
      <c r="N24" s="13">
        <v>3</v>
      </c>
      <c r="O24" s="13">
        <v>4</v>
      </c>
      <c r="P24" s="13">
        <v>5</v>
      </c>
      <c r="Q24" s="13">
        <v>6</v>
      </c>
      <c r="R24" s="13">
        <v>7</v>
      </c>
      <c r="S24" s="60" t="s">
        <v>7</v>
      </c>
      <c r="T24" s="15" t="s">
        <v>4</v>
      </c>
      <c r="U24" s="16" t="s">
        <v>1</v>
      </c>
      <c r="V24" s="16" t="s">
        <v>6</v>
      </c>
      <c r="W24" s="16"/>
      <c r="X24" s="26" t="s">
        <v>40</v>
      </c>
      <c r="Y24" s="26" t="s">
        <v>31</v>
      </c>
      <c r="Z24" s="26" t="s">
        <v>36</v>
      </c>
      <c r="AA24" s="26"/>
      <c r="AB24" s="26" t="s">
        <v>40</v>
      </c>
      <c r="AC24" s="26" t="s">
        <v>31</v>
      </c>
      <c r="AD24" s="26" t="s">
        <v>36</v>
      </c>
      <c r="AE24" s="26" t="s">
        <v>40</v>
      </c>
      <c r="AF24" s="26" t="s">
        <v>31</v>
      </c>
      <c r="AG24" s="26" t="s">
        <v>36</v>
      </c>
      <c r="AH24" s="16" t="s">
        <v>3</v>
      </c>
      <c r="AI24" s="18" t="s">
        <v>8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 spans="1:51" ht="14.15" hidden="1" customHeight="1" x14ac:dyDescent="0.35">
      <c r="A25">
        <v>3550</v>
      </c>
      <c r="B25">
        <v>0</v>
      </c>
      <c r="C25">
        <v>0</v>
      </c>
      <c r="D25">
        <v>0</v>
      </c>
      <c r="E25">
        <v>6000</v>
      </c>
      <c r="F25">
        <v>2700</v>
      </c>
      <c r="G25">
        <v>1500</v>
      </c>
      <c r="H25">
        <v>1450</v>
      </c>
      <c r="I25">
        <v>0</v>
      </c>
      <c r="J25">
        <v>0</v>
      </c>
      <c r="K25">
        <v>0</v>
      </c>
      <c r="L25">
        <v>1500</v>
      </c>
      <c r="M25">
        <v>2000</v>
      </c>
      <c r="N25">
        <v>1500</v>
      </c>
      <c r="O25">
        <v>3000</v>
      </c>
      <c r="P25">
        <v>0</v>
      </c>
      <c r="Q25">
        <v>0</v>
      </c>
      <c r="R25">
        <v>0</v>
      </c>
      <c r="S25">
        <v>0</v>
      </c>
      <c r="T25">
        <v>211809639</v>
      </c>
      <c r="U25" s="19">
        <f t="shared" ref="U25:U34" si="0" xml:space="preserve"> SUM(V25, Z25, AD25, AG25, AH25, AI25)</f>
        <v>311200</v>
      </c>
      <c r="V25" s="20">
        <f>SUM(A25:S25)</f>
        <v>23200</v>
      </c>
      <c r="W25" s="20"/>
      <c r="X25" s="20">
        <v>144000</v>
      </c>
      <c r="Y25" s="20"/>
      <c r="Z25" s="20">
        <v>144000</v>
      </c>
      <c r="AA25" s="20">
        <v>126000</v>
      </c>
      <c r="AB25" s="20">
        <f>AA25+18000</f>
        <v>144000</v>
      </c>
      <c r="AC25" s="20"/>
      <c r="AD25" s="20">
        <f>SUM(AB25:AC25)</f>
        <v>144000</v>
      </c>
      <c r="AE25" s="20">
        <v>0</v>
      </c>
      <c r="AF25" s="20">
        <v>0</v>
      </c>
      <c r="AG25" s="20">
        <f>SUM(AE25:AF25)</f>
        <v>0</v>
      </c>
      <c r="AH25" s="20">
        <v>0</v>
      </c>
      <c r="AI25" s="37">
        <v>0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f t="shared" ref="AX25:AX34" si="1">(AB25+18000)</f>
        <v>162000</v>
      </c>
      <c r="AY25" s="3"/>
    </row>
    <row r="26" spans="1:51" ht="14.15" hidden="1" customHeight="1" x14ac:dyDescent="0.35">
      <c r="A26">
        <v>5000</v>
      </c>
      <c r="B26">
        <v>5000</v>
      </c>
      <c r="C26">
        <v>0</v>
      </c>
      <c r="D26">
        <v>0</v>
      </c>
      <c r="E26">
        <v>6000</v>
      </c>
      <c r="F26">
        <v>2700</v>
      </c>
      <c r="G26">
        <v>1000</v>
      </c>
      <c r="H26">
        <v>1200</v>
      </c>
      <c r="I26">
        <v>0</v>
      </c>
      <c r="J26">
        <v>0</v>
      </c>
      <c r="K26">
        <v>0</v>
      </c>
      <c r="L26">
        <v>1500</v>
      </c>
      <c r="M26">
        <v>2000</v>
      </c>
      <c r="N26">
        <v>1500</v>
      </c>
      <c r="O26">
        <v>3000</v>
      </c>
      <c r="P26">
        <v>0</v>
      </c>
      <c r="Q26">
        <v>0</v>
      </c>
      <c r="R26">
        <v>0</v>
      </c>
      <c r="S26">
        <v>0</v>
      </c>
      <c r="T26">
        <v>208640915</v>
      </c>
      <c r="U26" s="19">
        <f t="shared" si="0"/>
        <v>394900</v>
      </c>
      <c r="V26" s="20">
        <f t="shared" ref="V26:V89" si="2">SUM(A26:S26)</f>
        <v>28900</v>
      </c>
      <c r="W26" s="20">
        <v>168000</v>
      </c>
      <c r="X26" s="20">
        <f>W26+3*6000</f>
        <v>186000</v>
      </c>
      <c r="Y26" s="20"/>
      <c r="Z26" s="20">
        <f t="shared" ref="Z26:Z89" si="3">SUM(X26:Y26)</f>
        <v>186000</v>
      </c>
      <c r="AA26" s="20">
        <v>162000</v>
      </c>
      <c r="AB26" s="20">
        <f t="shared" ref="AB26:AB89" si="4">AA26+18000</f>
        <v>180000</v>
      </c>
      <c r="AC26" s="20"/>
      <c r="AD26" s="20">
        <f t="shared" ref="AD26:AD89" si="5">SUM(AB26:AC26)</f>
        <v>180000</v>
      </c>
      <c r="AE26" s="20">
        <v>0</v>
      </c>
      <c r="AF26" s="20">
        <v>0</v>
      </c>
      <c r="AG26" s="20">
        <f t="shared" ref="AG26:AG89" si="6">SUM(AE26:AF26)</f>
        <v>0</v>
      </c>
      <c r="AH26" s="20">
        <v>0</v>
      </c>
      <c r="AI26" s="37">
        <v>0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f t="shared" si="1"/>
        <v>198000</v>
      </c>
      <c r="AY26" s="3"/>
    </row>
    <row r="27" spans="1:51" ht="14.15" hidden="1" customHeight="1" x14ac:dyDescent="0.35">
      <c r="A27">
        <v>3500</v>
      </c>
      <c r="B27">
        <v>5000</v>
      </c>
      <c r="C27">
        <v>0</v>
      </c>
      <c r="D27">
        <v>0</v>
      </c>
      <c r="E27">
        <v>6000</v>
      </c>
      <c r="F27">
        <v>2700</v>
      </c>
      <c r="G27">
        <v>1500</v>
      </c>
      <c r="H27">
        <v>1450</v>
      </c>
      <c r="I27">
        <v>0</v>
      </c>
      <c r="J27">
        <v>0</v>
      </c>
      <c r="K27">
        <v>0</v>
      </c>
      <c r="L27">
        <v>1500</v>
      </c>
      <c r="M27">
        <v>2000</v>
      </c>
      <c r="N27">
        <v>1500</v>
      </c>
      <c r="O27">
        <v>0</v>
      </c>
      <c r="P27">
        <v>0</v>
      </c>
      <c r="Q27">
        <v>0</v>
      </c>
      <c r="R27">
        <v>0</v>
      </c>
      <c r="S27">
        <v>0</v>
      </c>
      <c r="T27">
        <v>196700350</v>
      </c>
      <c r="U27" s="19">
        <f t="shared" si="0"/>
        <v>283150</v>
      </c>
      <c r="V27" s="20">
        <f t="shared" si="2"/>
        <v>25150</v>
      </c>
      <c r="W27" s="20">
        <v>114000</v>
      </c>
      <c r="X27" s="20">
        <f t="shared" ref="X27:X45" si="7">W27+3*6000</f>
        <v>132000</v>
      </c>
      <c r="Y27" s="20"/>
      <c r="Z27" s="20">
        <f t="shared" si="3"/>
        <v>132000</v>
      </c>
      <c r="AA27" s="20">
        <v>108000</v>
      </c>
      <c r="AB27" s="20">
        <f t="shared" si="4"/>
        <v>126000</v>
      </c>
      <c r="AC27" s="20"/>
      <c r="AD27" s="20">
        <f t="shared" si="5"/>
        <v>126000</v>
      </c>
      <c r="AE27" s="20">
        <v>0</v>
      </c>
      <c r="AF27" s="20">
        <v>0</v>
      </c>
      <c r="AG27" s="20">
        <f t="shared" si="6"/>
        <v>0</v>
      </c>
      <c r="AH27" s="20">
        <v>0</v>
      </c>
      <c r="AI27" s="37">
        <v>0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f t="shared" si="1"/>
        <v>144000</v>
      </c>
      <c r="AY27" s="3"/>
    </row>
    <row r="28" spans="1:51" ht="14.15" hidden="1" customHeight="1" x14ac:dyDescent="0.35">
      <c r="A28">
        <v>4350</v>
      </c>
      <c r="B28">
        <v>5000</v>
      </c>
      <c r="C28">
        <v>0</v>
      </c>
      <c r="D28">
        <v>0</v>
      </c>
      <c r="E28">
        <v>6000</v>
      </c>
      <c r="F28">
        <v>2700</v>
      </c>
      <c r="G28">
        <v>1500</v>
      </c>
      <c r="H28">
        <v>1450</v>
      </c>
      <c r="I28">
        <v>0</v>
      </c>
      <c r="J28">
        <v>0</v>
      </c>
      <c r="K28">
        <v>0</v>
      </c>
      <c r="L28">
        <v>1500</v>
      </c>
      <c r="M28">
        <v>2000</v>
      </c>
      <c r="N28">
        <v>1500</v>
      </c>
      <c r="O28">
        <v>0</v>
      </c>
      <c r="P28">
        <v>0</v>
      </c>
      <c r="Q28">
        <v>0</v>
      </c>
      <c r="R28">
        <v>0</v>
      </c>
      <c r="S28">
        <v>0</v>
      </c>
      <c r="T28">
        <v>205669687</v>
      </c>
      <c r="U28" s="19">
        <f t="shared" si="0"/>
        <v>416000</v>
      </c>
      <c r="V28" s="20">
        <f t="shared" si="2"/>
        <v>26000</v>
      </c>
      <c r="W28" s="20">
        <v>162000</v>
      </c>
      <c r="X28" s="20">
        <f t="shared" si="7"/>
        <v>180000</v>
      </c>
      <c r="Y28" s="20">
        <v>18000</v>
      </c>
      <c r="Z28" s="20">
        <f t="shared" si="3"/>
        <v>198000</v>
      </c>
      <c r="AA28" s="20">
        <v>156000</v>
      </c>
      <c r="AB28" s="20">
        <f t="shared" si="4"/>
        <v>174000</v>
      </c>
      <c r="AC28" s="20">
        <v>18000</v>
      </c>
      <c r="AD28" s="20">
        <f t="shared" si="5"/>
        <v>192000</v>
      </c>
      <c r="AE28" s="20">
        <v>0</v>
      </c>
      <c r="AF28" s="20">
        <v>0</v>
      </c>
      <c r="AG28" s="20">
        <f t="shared" si="6"/>
        <v>0</v>
      </c>
      <c r="AH28" s="20">
        <v>0</v>
      </c>
      <c r="AI28" s="37">
        <v>0</v>
      </c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f t="shared" si="1"/>
        <v>192000</v>
      </c>
      <c r="AY28" s="3"/>
    </row>
    <row r="29" spans="1:51" ht="14.15" hidden="1" customHeight="1" x14ac:dyDescent="0.35">
      <c r="A29">
        <v>0</v>
      </c>
      <c r="B29">
        <v>0</v>
      </c>
      <c r="C29">
        <v>0</v>
      </c>
      <c r="D29">
        <v>0</v>
      </c>
      <c r="E29">
        <v>6000</v>
      </c>
      <c r="F29">
        <v>2700</v>
      </c>
      <c r="G29">
        <v>1500</v>
      </c>
      <c r="H29">
        <v>0</v>
      </c>
      <c r="I29">
        <v>0</v>
      </c>
      <c r="J29">
        <v>0</v>
      </c>
      <c r="K29">
        <v>0</v>
      </c>
      <c r="L29">
        <v>1500</v>
      </c>
      <c r="M29">
        <v>2000</v>
      </c>
      <c r="N29">
        <v>0</v>
      </c>
      <c r="O29">
        <v>3000</v>
      </c>
      <c r="P29">
        <v>0</v>
      </c>
      <c r="Q29">
        <v>0</v>
      </c>
      <c r="R29">
        <v>0</v>
      </c>
      <c r="S29">
        <v>0</v>
      </c>
      <c r="T29">
        <v>129749410</v>
      </c>
      <c r="U29" s="19">
        <f t="shared" si="0"/>
        <v>316700</v>
      </c>
      <c r="V29" s="20">
        <f t="shared" si="2"/>
        <v>16700</v>
      </c>
      <c r="W29" s="20">
        <v>132000</v>
      </c>
      <c r="X29" s="20">
        <f t="shared" si="7"/>
        <v>150000</v>
      </c>
      <c r="Y29" s="20"/>
      <c r="Z29" s="20">
        <f t="shared" si="3"/>
        <v>150000</v>
      </c>
      <c r="AA29" s="20">
        <v>132000</v>
      </c>
      <c r="AB29" s="20">
        <f t="shared" si="4"/>
        <v>150000</v>
      </c>
      <c r="AC29" s="20"/>
      <c r="AD29" s="20">
        <f t="shared" si="5"/>
        <v>150000</v>
      </c>
      <c r="AE29" s="20">
        <v>0</v>
      </c>
      <c r="AF29" s="20">
        <v>0</v>
      </c>
      <c r="AG29" s="20">
        <f t="shared" si="6"/>
        <v>0</v>
      </c>
      <c r="AH29" s="20">
        <v>0</v>
      </c>
      <c r="AI29" s="37">
        <v>0</v>
      </c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f t="shared" si="1"/>
        <v>168000</v>
      </c>
      <c r="AY29" s="3"/>
    </row>
    <row r="30" spans="1:51" ht="14.15" hidden="1" customHeight="1" x14ac:dyDescent="0.35">
      <c r="A30">
        <v>0</v>
      </c>
      <c r="B30">
        <v>5000</v>
      </c>
      <c r="C30">
        <v>0</v>
      </c>
      <c r="D30">
        <v>0</v>
      </c>
      <c r="E30">
        <v>6000</v>
      </c>
      <c r="F30">
        <v>2700</v>
      </c>
      <c r="G30">
        <v>1000</v>
      </c>
      <c r="H30">
        <v>1450</v>
      </c>
      <c r="I30">
        <v>0</v>
      </c>
      <c r="J30">
        <v>0</v>
      </c>
      <c r="K30">
        <v>0</v>
      </c>
      <c r="L30">
        <v>0</v>
      </c>
      <c r="M30">
        <v>2000</v>
      </c>
      <c r="N30">
        <v>1500</v>
      </c>
      <c r="O30">
        <v>3000</v>
      </c>
      <c r="P30">
        <v>0</v>
      </c>
      <c r="Q30">
        <v>0</v>
      </c>
      <c r="R30">
        <v>0</v>
      </c>
      <c r="S30">
        <v>0</v>
      </c>
      <c r="T30">
        <v>152785217</v>
      </c>
      <c r="U30" s="19">
        <f t="shared" si="0"/>
        <v>310650</v>
      </c>
      <c r="V30" s="20">
        <f t="shared" si="2"/>
        <v>22650</v>
      </c>
      <c r="W30" s="20">
        <v>138000</v>
      </c>
      <c r="X30" s="20">
        <f t="shared" si="7"/>
        <v>156000</v>
      </c>
      <c r="Y30" s="20"/>
      <c r="Z30" s="20">
        <f t="shared" si="3"/>
        <v>156000</v>
      </c>
      <c r="AA30" s="20">
        <v>114000</v>
      </c>
      <c r="AB30" s="20">
        <f t="shared" si="4"/>
        <v>132000</v>
      </c>
      <c r="AC30" s="20"/>
      <c r="AD30" s="20">
        <f t="shared" si="5"/>
        <v>132000</v>
      </c>
      <c r="AE30" s="20">
        <v>0</v>
      </c>
      <c r="AF30" s="20">
        <v>0</v>
      </c>
      <c r="AG30" s="20">
        <f t="shared" si="6"/>
        <v>0</v>
      </c>
      <c r="AH30" s="20">
        <v>0</v>
      </c>
      <c r="AI30" s="37">
        <v>0</v>
      </c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f t="shared" si="1"/>
        <v>150000</v>
      </c>
      <c r="AY30" s="3"/>
    </row>
    <row r="31" spans="1:51" ht="14.15" hidden="1" customHeight="1" x14ac:dyDescent="0.35">
      <c r="A31">
        <v>0</v>
      </c>
      <c r="B31">
        <v>0</v>
      </c>
      <c r="C31">
        <v>0</v>
      </c>
      <c r="D31">
        <v>0</v>
      </c>
      <c r="E31">
        <v>6000</v>
      </c>
      <c r="F31">
        <v>2700</v>
      </c>
      <c r="G31">
        <v>3500</v>
      </c>
      <c r="H31">
        <v>1700</v>
      </c>
      <c r="I31">
        <v>0</v>
      </c>
      <c r="J31">
        <v>0</v>
      </c>
      <c r="K31">
        <v>0</v>
      </c>
      <c r="L31">
        <v>1500</v>
      </c>
      <c r="M31">
        <v>2000</v>
      </c>
      <c r="N31">
        <v>1500</v>
      </c>
      <c r="O31">
        <v>0</v>
      </c>
      <c r="P31">
        <v>0</v>
      </c>
      <c r="Q31">
        <v>0</v>
      </c>
      <c r="R31">
        <v>0</v>
      </c>
      <c r="S31">
        <v>0</v>
      </c>
      <c r="T31">
        <v>211688367</v>
      </c>
      <c r="U31" s="19">
        <f t="shared" si="0"/>
        <v>288900</v>
      </c>
      <c r="V31" s="20">
        <f t="shared" si="2"/>
        <v>18900</v>
      </c>
      <c r="W31" s="20">
        <v>102000</v>
      </c>
      <c r="X31" s="20">
        <f t="shared" si="7"/>
        <v>120000</v>
      </c>
      <c r="Y31" s="20"/>
      <c r="Z31" s="20">
        <f t="shared" si="3"/>
        <v>120000</v>
      </c>
      <c r="AA31" s="20">
        <v>114000</v>
      </c>
      <c r="AB31" s="20">
        <f t="shared" si="4"/>
        <v>132000</v>
      </c>
      <c r="AC31" s="20">
        <v>18000</v>
      </c>
      <c r="AD31" s="20">
        <f t="shared" si="5"/>
        <v>150000</v>
      </c>
      <c r="AE31" s="20">
        <v>0</v>
      </c>
      <c r="AF31" s="20">
        <v>0</v>
      </c>
      <c r="AG31" s="20">
        <f t="shared" si="6"/>
        <v>0</v>
      </c>
      <c r="AH31" s="20">
        <v>0</v>
      </c>
      <c r="AI31" s="37">
        <v>0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f t="shared" si="1"/>
        <v>150000</v>
      </c>
      <c r="AY31" s="3"/>
    </row>
    <row r="32" spans="1:51" ht="14.15" hidden="1" customHeight="1" x14ac:dyDescent="0.35">
      <c r="A32">
        <v>3750</v>
      </c>
      <c r="B32">
        <v>5000</v>
      </c>
      <c r="C32">
        <v>0</v>
      </c>
      <c r="D32">
        <v>0</v>
      </c>
      <c r="E32">
        <v>6000</v>
      </c>
      <c r="F32">
        <v>2700</v>
      </c>
      <c r="G32">
        <v>1500</v>
      </c>
      <c r="H32">
        <v>1450</v>
      </c>
      <c r="I32">
        <v>0</v>
      </c>
      <c r="J32">
        <v>0</v>
      </c>
      <c r="K32">
        <v>0</v>
      </c>
      <c r="L32">
        <v>1500</v>
      </c>
      <c r="M32">
        <v>2000</v>
      </c>
      <c r="N32">
        <v>1500</v>
      </c>
      <c r="O32">
        <v>3000</v>
      </c>
      <c r="P32">
        <v>0</v>
      </c>
      <c r="Q32">
        <v>0</v>
      </c>
      <c r="R32">
        <v>0</v>
      </c>
      <c r="S32">
        <v>0</v>
      </c>
      <c r="T32">
        <v>168626361</v>
      </c>
      <c r="U32" s="19">
        <f t="shared" si="0"/>
        <v>370400</v>
      </c>
      <c r="V32" s="20">
        <f t="shared" si="2"/>
        <v>28400</v>
      </c>
      <c r="W32" s="20">
        <v>156000</v>
      </c>
      <c r="X32" s="20">
        <f t="shared" si="7"/>
        <v>174000</v>
      </c>
      <c r="Y32" s="20"/>
      <c r="Z32" s="20">
        <f t="shared" si="3"/>
        <v>174000</v>
      </c>
      <c r="AA32" s="20">
        <v>150000</v>
      </c>
      <c r="AB32" s="20">
        <f t="shared" si="4"/>
        <v>168000</v>
      </c>
      <c r="AC32" s="20"/>
      <c r="AD32" s="20">
        <f t="shared" si="5"/>
        <v>168000</v>
      </c>
      <c r="AE32" s="20">
        <v>0</v>
      </c>
      <c r="AF32" s="20">
        <v>0</v>
      </c>
      <c r="AG32" s="20">
        <f t="shared" si="6"/>
        <v>0</v>
      </c>
      <c r="AH32" s="20">
        <v>0</v>
      </c>
      <c r="AI32" s="37">
        <v>0</v>
      </c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f t="shared" si="1"/>
        <v>186000</v>
      </c>
      <c r="AY32" s="3"/>
    </row>
    <row r="33" spans="1:51" ht="14.15" hidden="1" customHeight="1" x14ac:dyDescent="0.35">
      <c r="A33">
        <v>3600</v>
      </c>
      <c r="B33">
        <v>5000</v>
      </c>
      <c r="C33">
        <v>0</v>
      </c>
      <c r="D33">
        <v>0</v>
      </c>
      <c r="E33">
        <v>6000</v>
      </c>
      <c r="F33">
        <v>2700</v>
      </c>
      <c r="G33">
        <v>1500</v>
      </c>
      <c r="H33">
        <v>1450</v>
      </c>
      <c r="I33">
        <v>0</v>
      </c>
      <c r="J33">
        <v>0</v>
      </c>
      <c r="K33">
        <v>0</v>
      </c>
      <c r="L33">
        <v>0</v>
      </c>
      <c r="M33">
        <v>2000</v>
      </c>
      <c r="N33">
        <v>1500</v>
      </c>
      <c r="O33">
        <v>3000</v>
      </c>
      <c r="P33">
        <v>0</v>
      </c>
      <c r="Q33">
        <v>0</v>
      </c>
      <c r="R33">
        <v>0</v>
      </c>
      <c r="S33">
        <v>0</v>
      </c>
      <c r="T33">
        <v>160660768</v>
      </c>
      <c r="U33" s="19">
        <f t="shared" si="0"/>
        <v>290750</v>
      </c>
      <c r="V33" s="20">
        <f t="shared" si="2"/>
        <v>26750</v>
      </c>
      <c r="W33" s="20">
        <v>114000</v>
      </c>
      <c r="X33" s="20">
        <f t="shared" si="7"/>
        <v>132000</v>
      </c>
      <c r="Y33" s="20"/>
      <c r="Z33" s="20">
        <f t="shared" si="3"/>
        <v>132000</v>
      </c>
      <c r="AA33" s="20">
        <v>114000</v>
      </c>
      <c r="AB33" s="20">
        <f t="shared" si="4"/>
        <v>132000</v>
      </c>
      <c r="AC33" s="20"/>
      <c r="AD33" s="20">
        <f t="shared" si="5"/>
        <v>132000</v>
      </c>
      <c r="AE33" s="20">
        <v>0</v>
      </c>
      <c r="AF33" s="20">
        <v>0</v>
      </c>
      <c r="AG33" s="20">
        <f t="shared" si="6"/>
        <v>0</v>
      </c>
      <c r="AH33" s="20">
        <v>0</v>
      </c>
      <c r="AI33" s="37">
        <v>0</v>
      </c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f t="shared" si="1"/>
        <v>150000</v>
      </c>
      <c r="AY33" s="3"/>
    </row>
    <row r="34" spans="1:51" ht="14.15" hidden="1" customHeight="1" x14ac:dyDescent="0.35">
      <c r="A34">
        <v>4750</v>
      </c>
      <c r="B34">
        <v>0</v>
      </c>
      <c r="C34">
        <v>0</v>
      </c>
      <c r="D34">
        <v>0</v>
      </c>
      <c r="E34">
        <v>6000</v>
      </c>
      <c r="F34">
        <v>2700</v>
      </c>
      <c r="G34">
        <v>0</v>
      </c>
      <c r="H34">
        <v>0</v>
      </c>
      <c r="I34">
        <v>0</v>
      </c>
      <c r="J34">
        <v>0</v>
      </c>
      <c r="K34">
        <v>0</v>
      </c>
      <c r="L34">
        <v>1500</v>
      </c>
      <c r="M34">
        <v>2000</v>
      </c>
      <c r="N34">
        <v>1500</v>
      </c>
      <c r="O34">
        <v>0</v>
      </c>
      <c r="P34">
        <v>0</v>
      </c>
      <c r="Q34">
        <v>0</v>
      </c>
      <c r="R34">
        <v>0</v>
      </c>
      <c r="S34">
        <v>0</v>
      </c>
      <c r="T34">
        <v>173661902</v>
      </c>
      <c r="U34" s="19">
        <f t="shared" si="0"/>
        <v>300450</v>
      </c>
      <c r="V34" s="20">
        <f t="shared" si="2"/>
        <v>18450</v>
      </c>
      <c r="W34" s="20">
        <v>114000</v>
      </c>
      <c r="X34" s="20">
        <f t="shared" si="7"/>
        <v>132000</v>
      </c>
      <c r="Y34" s="20"/>
      <c r="Z34" s="20">
        <f t="shared" si="3"/>
        <v>132000</v>
      </c>
      <c r="AA34" s="20">
        <v>132000</v>
      </c>
      <c r="AB34" s="20">
        <f t="shared" si="4"/>
        <v>150000</v>
      </c>
      <c r="AC34" s="20"/>
      <c r="AD34" s="20">
        <f t="shared" si="5"/>
        <v>150000</v>
      </c>
      <c r="AE34" s="20">
        <v>0</v>
      </c>
      <c r="AF34" s="20">
        <v>0</v>
      </c>
      <c r="AG34" s="20">
        <f t="shared" si="6"/>
        <v>0</v>
      </c>
      <c r="AH34" s="20">
        <v>0</v>
      </c>
      <c r="AI34" s="37">
        <v>0</v>
      </c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f t="shared" si="1"/>
        <v>168000</v>
      </c>
      <c r="AY34" s="3"/>
    </row>
    <row r="35" spans="1:51" ht="14.15" hidden="1" customHeight="1" x14ac:dyDescent="0.35">
      <c r="A35">
        <v>3250</v>
      </c>
      <c r="B35">
        <v>0</v>
      </c>
      <c r="C35">
        <v>0</v>
      </c>
      <c r="D35">
        <v>0</v>
      </c>
      <c r="E35">
        <v>6000</v>
      </c>
      <c r="F35">
        <v>2700</v>
      </c>
      <c r="G35">
        <v>0</v>
      </c>
      <c r="H35">
        <v>0</v>
      </c>
      <c r="I35">
        <v>0</v>
      </c>
      <c r="J35">
        <v>0</v>
      </c>
      <c r="K35">
        <v>0</v>
      </c>
      <c r="L35">
        <v>1500</v>
      </c>
      <c r="M35">
        <v>2000</v>
      </c>
      <c r="N35">
        <v>1500</v>
      </c>
      <c r="O35">
        <v>0</v>
      </c>
      <c r="P35">
        <v>0</v>
      </c>
      <c r="Q35">
        <v>0</v>
      </c>
      <c r="R35">
        <v>0</v>
      </c>
      <c r="S35">
        <v>0</v>
      </c>
      <c r="T35">
        <v>117742264</v>
      </c>
      <c r="U35" s="19"/>
      <c r="V35" s="20"/>
      <c r="W35" s="20"/>
      <c r="X35" s="20"/>
      <c r="Y35" s="20"/>
      <c r="Z35" s="20"/>
      <c r="AA35" s="20"/>
      <c r="AB35" s="20"/>
      <c r="AC35" s="20"/>
      <c r="AD35" s="20"/>
      <c r="AE35" s="20">
        <v>0</v>
      </c>
      <c r="AF35" s="20">
        <v>0</v>
      </c>
      <c r="AG35" s="20">
        <f t="shared" si="6"/>
        <v>0</v>
      </c>
      <c r="AH35" s="20">
        <v>0</v>
      </c>
      <c r="AI35" s="37">
        <v>0</v>
      </c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 spans="1:51" ht="14.15" hidden="1" customHeight="1" x14ac:dyDescent="0.35">
      <c r="A36">
        <v>0</v>
      </c>
      <c r="B36">
        <v>5000</v>
      </c>
      <c r="C36">
        <v>0</v>
      </c>
      <c r="D36">
        <v>0</v>
      </c>
      <c r="E36">
        <v>6000</v>
      </c>
      <c r="F36">
        <v>2700</v>
      </c>
      <c r="G36">
        <v>0</v>
      </c>
      <c r="H36">
        <v>650</v>
      </c>
      <c r="I36">
        <v>0</v>
      </c>
      <c r="J36">
        <v>0</v>
      </c>
      <c r="K36">
        <v>0</v>
      </c>
      <c r="L36">
        <v>1500</v>
      </c>
      <c r="M36">
        <v>2000</v>
      </c>
      <c r="N36">
        <v>1500</v>
      </c>
      <c r="O36">
        <v>3000</v>
      </c>
      <c r="P36">
        <v>0</v>
      </c>
      <c r="Q36">
        <v>0</v>
      </c>
      <c r="R36">
        <v>0</v>
      </c>
      <c r="S36">
        <v>0</v>
      </c>
      <c r="T36">
        <v>178665412</v>
      </c>
      <c r="U36" s="19">
        <f t="shared" ref="U36:U67" si="8" xml:space="preserve"> SUM(V36, Z36, AD36, AG36, AH36, AI36)</f>
        <v>172350</v>
      </c>
      <c r="V36" s="20">
        <f t="shared" si="2"/>
        <v>22350</v>
      </c>
      <c r="W36" s="20">
        <v>42000</v>
      </c>
      <c r="X36" s="20">
        <f t="shared" si="7"/>
        <v>60000</v>
      </c>
      <c r="Y36" s="20"/>
      <c r="Z36" s="20">
        <f t="shared" si="3"/>
        <v>60000</v>
      </c>
      <c r="AA36" s="20">
        <v>54000</v>
      </c>
      <c r="AB36" s="20">
        <f t="shared" si="4"/>
        <v>72000</v>
      </c>
      <c r="AC36" s="20">
        <v>18000</v>
      </c>
      <c r="AD36" s="20">
        <f t="shared" si="5"/>
        <v>90000</v>
      </c>
      <c r="AE36" s="20">
        <v>0</v>
      </c>
      <c r="AF36" s="20">
        <v>0</v>
      </c>
      <c r="AG36" s="20">
        <f t="shared" si="6"/>
        <v>0</v>
      </c>
      <c r="AH36" s="20">
        <v>0</v>
      </c>
      <c r="AI36" s="37">
        <v>0</v>
      </c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 spans="1:51" ht="14.15" hidden="1" customHeight="1" x14ac:dyDescent="0.35">
      <c r="A37">
        <v>4050</v>
      </c>
      <c r="B37">
        <v>4000</v>
      </c>
      <c r="C37">
        <v>0</v>
      </c>
      <c r="D37">
        <v>0</v>
      </c>
      <c r="E37">
        <v>6000</v>
      </c>
      <c r="F37">
        <v>2700</v>
      </c>
      <c r="G37">
        <v>1000</v>
      </c>
      <c r="H37">
        <v>1200</v>
      </c>
      <c r="I37">
        <v>0</v>
      </c>
      <c r="J37">
        <v>0</v>
      </c>
      <c r="K37">
        <v>0</v>
      </c>
      <c r="L37">
        <v>1500</v>
      </c>
      <c r="M37">
        <v>2000</v>
      </c>
      <c r="N37">
        <v>1500</v>
      </c>
      <c r="O37">
        <v>3000</v>
      </c>
      <c r="P37">
        <v>0</v>
      </c>
      <c r="Q37">
        <v>0</v>
      </c>
      <c r="R37">
        <v>0</v>
      </c>
      <c r="S37">
        <v>0</v>
      </c>
      <c r="T37">
        <v>164709696</v>
      </c>
      <c r="U37" s="19">
        <f t="shared" si="8"/>
        <v>302950</v>
      </c>
      <c r="V37" s="20">
        <f t="shared" si="2"/>
        <v>26950</v>
      </c>
      <c r="W37" s="20">
        <v>96000</v>
      </c>
      <c r="X37" s="20">
        <f t="shared" si="7"/>
        <v>114000</v>
      </c>
      <c r="Y37" s="20"/>
      <c r="Z37" s="20">
        <f t="shared" si="3"/>
        <v>114000</v>
      </c>
      <c r="AA37" s="20">
        <v>126000</v>
      </c>
      <c r="AB37" s="20">
        <f t="shared" si="4"/>
        <v>144000</v>
      </c>
      <c r="AC37" s="20">
        <v>18000</v>
      </c>
      <c r="AD37" s="20">
        <f t="shared" si="5"/>
        <v>162000</v>
      </c>
      <c r="AE37" s="20">
        <v>0</v>
      </c>
      <c r="AF37" s="20">
        <v>0</v>
      </c>
      <c r="AG37" s="20">
        <f t="shared" si="6"/>
        <v>0</v>
      </c>
      <c r="AH37" s="20">
        <v>0</v>
      </c>
      <c r="AI37" s="37">
        <v>0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spans="1:51" ht="14.15" hidden="1" customHeight="1" x14ac:dyDescent="0.35">
      <c r="A38">
        <v>0</v>
      </c>
      <c r="B38">
        <v>4000</v>
      </c>
      <c r="C38">
        <v>0</v>
      </c>
      <c r="D38">
        <v>0</v>
      </c>
      <c r="E38">
        <v>6000</v>
      </c>
      <c r="F38">
        <v>2700</v>
      </c>
      <c r="G38">
        <v>2000</v>
      </c>
      <c r="H38">
        <v>1450</v>
      </c>
      <c r="I38">
        <v>0</v>
      </c>
      <c r="J38">
        <v>0</v>
      </c>
      <c r="K38">
        <v>0</v>
      </c>
      <c r="L38">
        <v>1500</v>
      </c>
      <c r="M38">
        <v>2000</v>
      </c>
      <c r="N38">
        <v>1500</v>
      </c>
      <c r="O38">
        <v>3000</v>
      </c>
      <c r="P38">
        <v>0</v>
      </c>
      <c r="Q38">
        <v>0</v>
      </c>
      <c r="R38">
        <v>0</v>
      </c>
      <c r="S38">
        <v>0</v>
      </c>
      <c r="T38">
        <v>170668270</v>
      </c>
      <c r="U38" s="19">
        <f t="shared" si="8"/>
        <v>258150</v>
      </c>
      <c r="V38" s="20">
        <f t="shared" si="2"/>
        <v>24150</v>
      </c>
      <c r="W38" s="20">
        <v>96000</v>
      </c>
      <c r="X38" s="20">
        <f t="shared" si="7"/>
        <v>114000</v>
      </c>
      <c r="Y38" s="20"/>
      <c r="Z38" s="20">
        <f t="shared" si="3"/>
        <v>114000</v>
      </c>
      <c r="AA38" s="20">
        <v>102000</v>
      </c>
      <c r="AB38" s="20">
        <f t="shared" si="4"/>
        <v>120000</v>
      </c>
      <c r="AC38" s="20"/>
      <c r="AD38" s="20">
        <f t="shared" si="5"/>
        <v>120000</v>
      </c>
      <c r="AE38" s="20">
        <v>0</v>
      </c>
      <c r="AF38" s="20">
        <v>0</v>
      </c>
      <c r="AG38" s="20">
        <f t="shared" si="6"/>
        <v>0</v>
      </c>
      <c r="AH38" s="20">
        <v>0</v>
      </c>
      <c r="AI38" s="37">
        <v>0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 spans="1:51" ht="14.15" hidden="1" customHeight="1" x14ac:dyDescent="0.35">
      <c r="A39">
        <v>0</v>
      </c>
      <c r="B39">
        <v>0</v>
      </c>
      <c r="C39">
        <v>0</v>
      </c>
      <c r="D39">
        <v>0</v>
      </c>
      <c r="E39">
        <v>6000</v>
      </c>
      <c r="F39">
        <v>2700</v>
      </c>
      <c r="G39">
        <v>1000</v>
      </c>
      <c r="H39"/>
      <c r="I39">
        <v>0</v>
      </c>
      <c r="J39">
        <v>0</v>
      </c>
      <c r="K39">
        <v>0</v>
      </c>
      <c r="L39">
        <v>1500</v>
      </c>
      <c r="M39">
        <v>2000</v>
      </c>
      <c r="N39">
        <v>1500</v>
      </c>
      <c r="O39">
        <v>0</v>
      </c>
      <c r="P39">
        <v>0</v>
      </c>
      <c r="Q39">
        <v>0</v>
      </c>
      <c r="R39">
        <v>0</v>
      </c>
      <c r="S39">
        <v>0</v>
      </c>
      <c r="T39">
        <v>592907444</v>
      </c>
      <c r="U39" s="19">
        <f t="shared" si="8"/>
        <v>342900</v>
      </c>
      <c r="V39" s="20">
        <f t="shared" si="2"/>
        <v>14700</v>
      </c>
      <c r="W39" s="20">
        <v>144000</v>
      </c>
      <c r="X39" s="20">
        <f t="shared" si="7"/>
        <v>162000</v>
      </c>
      <c r="Y39" s="20">
        <v>16200</v>
      </c>
      <c r="Z39" s="20">
        <f t="shared" si="3"/>
        <v>178200</v>
      </c>
      <c r="AA39" s="20">
        <v>114000</v>
      </c>
      <c r="AB39" s="20">
        <f t="shared" si="4"/>
        <v>132000</v>
      </c>
      <c r="AC39" s="20">
        <v>18000</v>
      </c>
      <c r="AD39" s="20">
        <f t="shared" si="5"/>
        <v>150000</v>
      </c>
      <c r="AE39" s="20">
        <v>0</v>
      </c>
      <c r="AF39" s="20">
        <v>0</v>
      </c>
      <c r="AG39" s="20">
        <f t="shared" si="6"/>
        <v>0</v>
      </c>
      <c r="AH39" s="20">
        <v>0</v>
      </c>
      <c r="AI39" s="37">
        <v>0</v>
      </c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spans="1:51" ht="14.15" hidden="1" customHeight="1" x14ac:dyDescent="0.35">
      <c r="A40">
        <v>4300</v>
      </c>
      <c r="B40">
        <v>0</v>
      </c>
      <c r="C40">
        <v>0</v>
      </c>
      <c r="D40">
        <v>0</v>
      </c>
      <c r="E40">
        <v>6000</v>
      </c>
      <c r="F40">
        <v>2700</v>
      </c>
      <c r="G40">
        <v>1500</v>
      </c>
      <c r="H40">
        <v>0</v>
      </c>
      <c r="I40">
        <v>0</v>
      </c>
      <c r="J40">
        <v>0</v>
      </c>
      <c r="K40">
        <v>0</v>
      </c>
      <c r="L40">
        <v>1500</v>
      </c>
      <c r="M40">
        <v>2000</v>
      </c>
      <c r="N40">
        <v>1500</v>
      </c>
      <c r="O40">
        <v>3000</v>
      </c>
      <c r="P40">
        <v>0</v>
      </c>
      <c r="Q40">
        <v>0</v>
      </c>
      <c r="R40">
        <v>0</v>
      </c>
      <c r="S40">
        <v>0</v>
      </c>
      <c r="T40">
        <v>164682035</v>
      </c>
      <c r="U40" s="19">
        <f t="shared" si="8"/>
        <v>340500</v>
      </c>
      <c r="V40" s="20">
        <f t="shared" si="2"/>
        <v>22500</v>
      </c>
      <c r="W40" s="20">
        <v>150000</v>
      </c>
      <c r="X40" s="20">
        <f t="shared" si="7"/>
        <v>168000</v>
      </c>
      <c r="Y40" s="20"/>
      <c r="Z40" s="20">
        <f t="shared" si="3"/>
        <v>168000</v>
      </c>
      <c r="AA40" s="20">
        <v>132000</v>
      </c>
      <c r="AB40" s="20">
        <f t="shared" si="4"/>
        <v>150000</v>
      </c>
      <c r="AC40" s="20"/>
      <c r="AD40" s="20">
        <f t="shared" si="5"/>
        <v>150000</v>
      </c>
      <c r="AE40" s="20">
        <v>0</v>
      </c>
      <c r="AF40" s="20">
        <v>0</v>
      </c>
      <c r="AG40" s="20">
        <f t="shared" si="6"/>
        <v>0</v>
      </c>
      <c r="AH40" s="20">
        <v>0</v>
      </c>
      <c r="AI40" s="37">
        <v>0</v>
      </c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 spans="1:51" ht="14.15" hidden="1" customHeight="1" x14ac:dyDescent="0.35">
      <c r="A41">
        <v>5000</v>
      </c>
      <c r="B41">
        <v>4500</v>
      </c>
      <c r="C41">
        <v>0</v>
      </c>
      <c r="D41">
        <v>0</v>
      </c>
      <c r="E41">
        <v>6000</v>
      </c>
      <c r="F41">
        <v>2700</v>
      </c>
      <c r="G41">
        <v>1000</v>
      </c>
      <c r="H41">
        <v>1450</v>
      </c>
      <c r="I41">
        <v>0</v>
      </c>
      <c r="J41">
        <v>0</v>
      </c>
      <c r="K41">
        <v>0</v>
      </c>
      <c r="L41">
        <v>1500</v>
      </c>
      <c r="M41">
        <v>2000</v>
      </c>
      <c r="N41">
        <v>0</v>
      </c>
      <c r="O41">
        <v>3000</v>
      </c>
      <c r="P41">
        <v>0</v>
      </c>
      <c r="Q41">
        <v>0</v>
      </c>
      <c r="R41">
        <v>0</v>
      </c>
      <c r="S41">
        <v>0</v>
      </c>
      <c r="T41">
        <v>200667452</v>
      </c>
      <c r="U41" s="19">
        <f t="shared" si="8"/>
        <v>285150</v>
      </c>
      <c r="V41" s="20">
        <f t="shared" si="2"/>
        <v>27150</v>
      </c>
      <c r="W41" s="20">
        <v>108000</v>
      </c>
      <c r="X41" s="20">
        <f t="shared" si="7"/>
        <v>126000</v>
      </c>
      <c r="Y41" s="20"/>
      <c r="Z41" s="20">
        <f t="shared" si="3"/>
        <v>126000</v>
      </c>
      <c r="AA41" s="20">
        <v>96000</v>
      </c>
      <c r="AB41" s="20">
        <f t="shared" si="4"/>
        <v>114000</v>
      </c>
      <c r="AC41" s="20">
        <v>18000</v>
      </c>
      <c r="AD41" s="20">
        <f t="shared" si="5"/>
        <v>132000</v>
      </c>
      <c r="AE41" s="20">
        <v>0</v>
      </c>
      <c r="AF41" s="20">
        <v>0</v>
      </c>
      <c r="AG41" s="20">
        <f t="shared" si="6"/>
        <v>0</v>
      </c>
      <c r="AH41" s="20">
        <v>0</v>
      </c>
      <c r="AI41" s="37">
        <v>0</v>
      </c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 spans="1:51" ht="14.15" hidden="1" customHeight="1" x14ac:dyDescent="0.35">
      <c r="A42">
        <v>3500</v>
      </c>
      <c r="B42">
        <v>5000</v>
      </c>
      <c r="C42">
        <v>0</v>
      </c>
      <c r="D42">
        <v>0</v>
      </c>
      <c r="E42">
        <v>6000</v>
      </c>
      <c r="F42">
        <v>2700</v>
      </c>
      <c r="G42">
        <v>1000</v>
      </c>
      <c r="H42">
        <v>1450</v>
      </c>
      <c r="I42">
        <v>0</v>
      </c>
      <c r="J42">
        <v>0</v>
      </c>
      <c r="K42">
        <v>0</v>
      </c>
      <c r="L42">
        <v>1500</v>
      </c>
      <c r="M42">
        <v>2000</v>
      </c>
      <c r="N42">
        <v>1500</v>
      </c>
      <c r="O42">
        <v>3000</v>
      </c>
      <c r="P42">
        <v>0</v>
      </c>
      <c r="Q42">
        <v>0</v>
      </c>
      <c r="R42">
        <v>0</v>
      </c>
      <c r="S42">
        <v>0</v>
      </c>
      <c r="T42">
        <v>203644670</v>
      </c>
      <c r="U42" s="19">
        <f t="shared" si="8"/>
        <v>391850</v>
      </c>
      <c r="V42" s="20">
        <f t="shared" si="2"/>
        <v>27650</v>
      </c>
      <c r="W42" s="20">
        <v>180000</v>
      </c>
      <c r="X42" s="20">
        <f t="shared" si="7"/>
        <v>198000</v>
      </c>
      <c r="Y42" s="20"/>
      <c r="Z42" s="20">
        <f t="shared" si="3"/>
        <v>198000</v>
      </c>
      <c r="AA42" s="20">
        <v>132000</v>
      </c>
      <c r="AB42" s="20">
        <f t="shared" si="4"/>
        <v>150000</v>
      </c>
      <c r="AC42" s="20">
        <v>16200</v>
      </c>
      <c r="AD42" s="20">
        <f t="shared" si="5"/>
        <v>166200</v>
      </c>
      <c r="AE42" s="20">
        <v>0</v>
      </c>
      <c r="AF42" s="20">
        <v>0</v>
      </c>
      <c r="AG42" s="20">
        <f t="shared" si="6"/>
        <v>0</v>
      </c>
      <c r="AH42" s="20">
        <v>0</v>
      </c>
      <c r="AI42" s="37">
        <v>0</v>
      </c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spans="1:51" ht="14.15" hidden="1" customHeight="1" x14ac:dyDescent="0.35">
      <c r="A43">
        <v>3550</v>
      </c>
      <c r="B43">
        <v>4500</v>
      </c>
      <c r="C43">
        <v>0</v>
      </c>
      <c r="D43">
        <v>0</v>
      </c>
      <c r="E43">
        <v>6000</v>
      </c>
      <c r="F43">
        <v>2700</v>
      </c>
      <c r="G43">
        <v>1000</v>
      </c>
      <c r="H43">
        <v>0</v>
      </c>
      <c r="I43">
        <v>0</v>
      </c>
      <c r="J43">
        <v>0</v>
      </c>
      <c r="K43">
        <v>0</v>
      </c>
      <c r="L43">
        <v>1500</v>
      </c>
      <c r="M43">
        <v>2000</v>
      </c>
      <c r="N43">
        <v>1500</v>
      </c>
      <c r="O43">
        <v>0</v>
      </c>
      <c r="P43">
        <v>0</v>
      </c>
      <c r="Q43">
        <v>0</v>
      </c>
      <c r="R43">
        <v>0</v>
      </c>
      <c r="S43">
        <v>0</v>
      </c>
      <c r="T43">
        <v>560775299</v>
      </c>
      <c r="U43" s="19">
        <f t="shared" si="8"/>
        <v>310750</v>
      </c>
      <c r="V43" s="20">
        <f t="shared" si="2"/>
        <v>22750</v>
      </c>
      <c r="W43" s="20">
        <v>132000</v>
      </c>
      <c r="X43" s="20">
        <f t="shared" si="7"/>
        <v>150000</v>
      </c>
      <c r="Y43" s="20"/>
      <c r="Z43" s="20">
        <f t="shared" si="3"/>
        <v>150000</v>
      </c>
      <c r="AA43" s="20">
        <v>120000</v>
      </c>
      <c r="AB43" s="20">
        <f t="shared" si="4"/>
        <v>138000</v>
      </c>
      <c r="AC43" s="20"/>
      <c r="AD43" s="20">
        <f t="shared" si="5"/>
        <v>138000</v>
      </c>
      <c r="AE43" s="20">
        <v>0</v>
      </c>
      <c r="AF43" s="20">
        <v>0</v>
      </c>
      <c r="AG43" s="20">
        <f t="shared" si="6"/>
        <v>0</v>
      </c>
      <c r="AH43" s="20">
        <v>0</v>
      </c>
      <c r="AI43" s="37">
        <v>0</v>
      </c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spans="1:51" ht="14.15" hidden="1" customHeight="1" x14ac:dyDescent="0.35">
      <c r="A44">
        <v>4550</v>
      </c>
      <c r="B44">
        <v>5000</v>
      </c>
      <c r="C44">
        <v>0</v>
      </c>
      <c r="D44">
        <v>0</v>
      </c>
      <c r="E44">
        <v>6000</v>
      </c>
      <c r="F44">
        <v>1275</v>
      </c>
      <c r="G44">
        <v>2000</v>
      </c>
      <c r="H44">
        <v>1450</v>
      </c>
      <c r="I44">
        <v>0</v>
      </c>
      <c r="J44">
        <v>0</v>
      </c>
      <c r="K44">
        <v>0</v>
      </c>
      <c r="L44">
        <v>1500</v>
      </c>
      <c r="M44">
        <v>2000</v>
      </c>
      <c r="N44">
        <v>1500</v>
      </c>
      <c r="O44">
        <v>3000</v>
      </c>
      <c r="P44">
        <v>0</v>
      </c>
      <c r="Q44">
        <v>0</v>
      </c>
      <c r="R44">
        <v>0</v>
      </c>
      <c r="S44">
        <v>0</v>
      </c>
      <c r="T44">
        <v>186665782</v>
      </c>
      <c r="U44" s="19">
        <f t="shared" si="8"/>
        <v>358275</v>
      </c>
      <c r="V44" s="20">
        <f t="shared" si="2"/>
        <v>28275</v>
      </c>
      <c r="W44" s="20">
        <v>150000</v>
      </c>
      <c r="X44" s="20">
        <f t="shared" si="7"/>
        <v>168000</v>
      </c>
      <c r="Y44" s="20"/>
      <c r="Z44" s="20">
        <f t="shared" si="3"/>
        <v>168000</v>
      </c>
      <c r="AA44" s="20">
        <v>144000</v>
      </c>
      <c r="AB44" s="20">
        <f t="shared" si="4"/>
        <v>162000</v>
      </c>
      <c r="AC44" s="20"/>
      <c r="AD44" s="20">
        <f t="shared" si="5"/>
        <v>162000</v>
      </c>
      <c r="AE44" s="20">
        <v>0</v>
      </c>
      <c r="AF44" s="20">
        <v>0</v>
      </c>
      <c r="AG44" s="20">
        <f t="shared" si="6"/>
        <v>0</v>
      </c>
      <c r="AH44" s="20">
        <v>0</v>
      </c>
      <c r="AI44" s="37">
        <v>0</v>
      </c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 spans="1:51" ht="14.15" hidden="1" customHeight="1" x14ac:dyDescent="0.35">
      <c r="A45">
        <v>0</v>
      </c>
      <c r="B45">
        <v>0</v>
      </c>
      <c r="C45">
        <v>0</v>
      </c>
      <c r="D45">
        <v>0</v>
      </c>
      <c r="E45">
        <v>6000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1500</v>
      </c>
      <c r="M45">
        <v>2000</v>
      </c>
      <c r="N45">
        <v>1500</v>
      </c>
      <c r="O45">
        <v>0</v>
      </c>
      <c r="P45">
        <v>0</v>
      </c>
      <c r="Q45">
        <v>0</v>
      </c>
      <c r="R45">
        <v>0</v>
      </c>
      <c r="S45">
        <v>0</v>
      </c>
      <c r="T45">
        <v>187644085</v>
      </c>
      <c r="U45" s="19">
        <f t="shared" si="8"/>
        <v>335000</v>
      </c>
      <c r="V45" s="20">
        <f t="shared" si="2"/>
        <v>11000</v>
      </c>
      <c r="W45" s="20">
        <v>144000</v>
      </c>
      <c r="X45" s="20">
        <f t="shared" si="7"/>
        <v>162000</v>
      </c>
      <c r="Y45" s="20"/>
      <c r="Z45" s="20">
        <f t="shared" si="3"/>
        <v>162000</v>
      </c>
      <c r="AA45" s="20">
        <v>144000</v>
      </c>
      <c r="AB45" s="20">
        <f t="shared" si="4"/>
        <v>162000</v>
      </c>
      <c r="AC45" s="20"/>
      <c r="AD45" s="20">
        <f t="shared" si="5"/>
        <v>162000</v>
      </c>
      <c r="AE45" s="20">
        <v>0</v>
      </c>
      <c r="AF45" s="20">
        <v>0</v>
      </c>
      <c r="AG45" s="20">
        <f t="shared" si="6"/>
        <v>0</v>
      </c>
      <c r="AH45" s="20">
        <v>0</v>
      </c>
      <c r="AI45" s="37">
        <v>0</v>
      </c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spans="1:51" ht="14.15" hidden="1" customHeight="1" x14ac:dyDescent="0.35">
      <c r="A46">
        <v>0</v>
      </c>
      <c r="B46">
        <v>0</v>
      </c>
      <c r="C46">
        <v>0</v>
      </c>
      <c r="D46">
        <v>0</v>
      </c>
      <c r="E46">
        <v>6000</v>
      </c>
      <c r="F46">
        <v>2700</v>
      </c>
      <c r="G46">
        <v>1500</v>
      </c>
      <c r="H46">
        <v>1450</v>
      </c>
      <c r="I46">
        <v>0</v>
      </c>
      <c r="J46">
        <v>0</v>
      </c>
      <c r="K46">
        <v>0</v>
      </c>
      <c r="L46">
        <v>1500</v>
      </c>
      <c r="M46">
        <v>2000</v>
      </c>
      <c r="N46">
        <v>1500</v>
      </c>
      <c r="O46">
        <v>3000</v>
      </c>
      <c r="P46">
        <v>0</v>
      </c>
      <c r="Q46">
        <v>0</v>
      </c>
      <c r="R46">
        <v>0</v>
      </c>
      <c r="S46">
        <v>0</v>
      </c>
      <c r="T46">
        <v>228352008</v>
      </c>
      <c r="U46" s="19">
        <f t="shared" si="8"/>
        <v>319650</v>
      </c>
      <c r="V46" s="20">
        <f t="shared" si="2"/>
        <v>19650</v>
      </c>
      <c r="W46" s="20"/>
      <c r="X46" s="20">
        <v>150000</v>
      </c>
      <c r="Y46" s="20"/>
      <c r="Z46" s="20">
        <v>150000</v>
      </c>
      <c r="AA46" s="20">
        <v>132000</v>
      </c>
      <c r="AB46" s="20">
        <f t="shared" si="4"/>
        <v>150000</v>
      </c>
      <c r="AC46" s="20"/>
      <c r="AD46" s="20">
        <f t="shared" si="5"/>
        <v>150000</v>
      </c>
      <c r="AE46" s="20">
        <v>0</v>
      </c>
      <c r="AF46" s="20">
        <v>0</v>
      </c>
      <c r="AG46" s="20">
        <f t="shared" si="6"/>
        <v>0</v>
      </c>
      <c r="AH46" s="20">
        <v>0</v>
      </c>
      <c r="AI46" s="37">
        <v>0</v>
      </c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 spans="1:51" ht="14.15" hidden="1" customHeight="1" x14ac:dyDescent="0.35">
      <c r="A47">
        <v>0</v>
      </c>
      <c r="B47">
        <v>0</v>
      </c>
      <c r="C47">
        <v>0</v>
      </c>
      <c r="D47">
        <v>0</v>
      </c>
      <c r="E47">
        <v>6000</v>
      </c>
      <c r="F47">
        <v>2700</v>
      </c>
      <c r="G47">
        <v>2000</v>
      </c>
      <c r="H47">
        <v>1450</v>
      </c>
      <c r="I47">
        <v>0</v>
      </c>
      <c r="J47">
        <v>0</v>
      </c>
      <c r="K47">
        <v>0</v>
      </c>
      <c r="L47">
        <v>1500</v>
      </c>
      <c r="M47">
        <v>2000</v>
      </c>
      <c r="N47">
        <v>1500</v>
      </c>
      <c r="O47">
        <v>3000</v>
      </c>
      <c r="P47">
        <v>0</v>
      </c>
      <c r="Q47">
        <v>0</v>
      </c>
      <c r="R47">
        <v>0</v>
      </c>
      <c r="S47">
        <v>0</v>
      </c>
      <c r="T47">
        <v>181681578</v>
      </c>
      <c r="U47" s="19">
        <f t="shared" si="8"/>
        <v>266150</v>
      </c>
      <c r="V47" s="20">
        <f t="shared" si="2"/>
        <v>20150</v>
      </c>
      <c r="W47" s="20">
        <v>120000</v>
      </c>
      <c r="X47" s="20">
        <f t="shared" ref="X47:X70" si="9">W47+3*6000</f>
        <v>138000</v>
      </c>
      <c r="Y47" s="20"/>
      <c r="Z47" s="20">
        <f t="shared" si="3"/>
        <v>138000</v>
      </c>
      <c r="AA47" s="20">
        <v>90000</v>
      </c>
      <c r="AB47" s="20">
        <f t="shared" si="4"/>
        <v>108000</v>
      </c>
      <c r="AC47" s="20"/>
      <c r="AD47" s="20">
        <f t="shared" si="5"/>
        <v>108000</v>
      </c>
      <c r="AE47" s="20">
        <v>0</v>
      </c>
      <c r="AF47" s="20">
        <v>0</v>
      </c>
      <c r="AG47" s="20">
        <f t="shared" si="6"/>
        <v>0</v>
      </c>
      <c r="AH47" s="20">
        <v>0</v>
      </c>
      <c r="AI47" s="37">
        <v>0</v>
      </c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 spans="1:51" ht="14.15" hidden="1" customHeight="1" x14ac:dyDescent="0.35">
      <c r="A48">
        <v>3800</v>
      </c>
      <c r="B48">
        <v>5000</v>
      </c>
      <c r="C48">
        <v>0</v>
      </c>
      <c r="D48">
        <v>0</v>
      </c>
      <c r="E48">
        <v>6000</v>
      </c>
      <c r="F48">
        <v>0</v>
      </c>
      <c r="G48">
        <v>1500</v>
      </c>
      <c r="H48">
        <v>0</v>
      </c>
      <c r="I48">
        <v>0</v>
      </c>
      <c r="J48">
        <v>0</v>
      </c>
      <c r="K48">
        <v>0</v>
      </c>
      <c r="L48">
        <v>1500</v>
      </c>
      <c r="M48">
        <v>2000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194646235</v>
      </c>
      <c r="U48" s="19">
        <f t="shared" si="8"/>
        <v>354600</v>
      </c>
      <c r="V48" s="20">
        <f t="shared" si="2"/>
        <v>19800</v>
      </c>
      <c r="W48" s="20">
        <v>156000</v>
      </c>
      <c r="X48" s="20">
        <f t="shared" si="9"/>
        <v>174000</v>
      </c>
      <c r="Y48" s="20">
        <v>10800</v>
      </c>
      <c r="Z48" s="20">
        <f t="shared" si="3"/>
        <v>184800</v>
      </c>
      <c r="AA48" s="20"/>
      <c r="AB48" s="20">
        <v>150000</v>
      </c>
      <c r="AC48" s="20"/>
      <c r="AD48" s="20">
        <f t="shared" si="5"/>
        <v>150000</v>
      </c>
      <c r="AE48" s="20">
        <v>0</v>
      </c>
      <c r="AF48" s="20">
        <v>0</v>
      </c>
      <c r="AG48" s="20">
        <f t="shared" si="6"/>
        <v>0</v>
      </c>
      <c r="AH48" s="20">
        <v>0</v>
      </c>
      <c r="AI48" s="37">
        <v>0</v>
      </c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 spans="1:51" ht="14.15" hidden="1" customHeight="1" x14ac:dyDescent="0.35">
      <c r="A49">
        <v>4350</v>
      </c>
      <c r="B49">
        <v>4000</v>
      </c>
      <c r="C49">
        <v>0</v>
      </c>
      <c r="D49">
        <v>0</v>
      </c>
      <c r="E49">
        <v>6000</v>
      </c>
      <c r="F49">
        <v>0</v>
      </c>
      <c r="G49">
        <v>1500</v>
      </c>
      <c r="H49">
        <v>1700</v>
      </c>
      <c r="I49">
        <v>0</v>
      </c>
      <c r="J49">
        <v>0</v>
      </c>
      <c r="K49">
        <v>0</v>
      </c>
      <c r="L49">
        <v>1500</v>
      </c>
      <c r="M49">
        <v>2000</v>
      </c>
      <c r="N49">
        <v>1500</v>
      </c>
      <c r="O49">
        <v>3000</v>
      </c>
      <c r="P49">
        <v>0</v>
      </c>
      <c r="Q49">
        <v>0</v>
      </c>
      <c r="R49">
        <v>0</v>
      </c>
      <c r="S49">
        <v>0</v>
      </c>
      <c r="T49">
        <v>8668755</v>
      </c>
      <c r="U49" s="19">
        <f t="shared" si="8"/>
        <v>307550</v>
      </c>
      <c r="V49" s="20">
        <f t="shared" si="2"/>
        <v>25550</v>
      </c>
      <c r="W49" s="20">
        <v>126000</v>
      </c>
      <c r="X49" s="20">
        <f t="shared" si="9"/>
        <v>144000</v>
      </c>
      <c r="Y49" s="20"/>
      <c r="Z49" s="20">
        <f t="shared" si="3"/>
        <v>144000</v>
      </c>
      <c r="AA49" s="20">
        <v>120000</v>
      </c>
      <c r="AB49" s="20">
        <f t="shared" si="4"/>
        <v>138000</v>
      </c>
      <c r="AC49" s="20"/>
      <c r="AD49" s="20">
        <f t="shared" si="5"/>
        <v>138000</v>
      </c>
      <c r="AE49" s="20">
        <v>0</v>
      </c>
      <c r="AF49" s="20">
        <v>0</v>
      </c>
      <c r="AG49" s="20">
        <f t="shared" si="6"/>
        <v>0</v>
      </c>
      <c r="AH49" s="20">
        <v>0</v>
      </c>
      <c r="AI49" s="37">
        <v>0</v>
      </c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spans="1:51" ht="14.15" hidden="1" customHeight="1" x14ac:dyDescent="0.35">
      <c r="A50">
        <v>4250</v>
      </c>
      <c r="B50">
        <v>4500</v>
      </c>
      <c r="C50">
        <v>0</v>
      </c>
      <c r="D50">
        <v>0</v>
      </c>
      <c r="E50">
        <v>6000</v>
      </c>
      <c r="F50">
        <v>2700</v>
      </c>
      <c r="G50">
        <v>2500</v>
      </c>
      <c r="H50">
        <v>1450</v>
      </c>
      <c r="I50">
        <v>0</v>
      </c>
      <c r="J50">
        <v>0</v>
      </c>
      <c r="K50">
        <v>0</v>
      </c>
      <c r="L50">
        <v>1500</v>
      </c>
      <c r="M50">
        <v>2000</v>
      </c>
      <c r="N50">
        <v>1500</v>
      </c>
      <c r="O50">
        <v>3000</v>
      </c>
      <c r="P50">
        <v>0</v>
      </c>
      <c r="Q50">
        <v>0</v>
      </c>
      <c r="R50">
        <v>0</v>
      </c>
      <c r="S50">
        <v>0</v>
      </c>
      <c r="T50">
        <v>164646182</v>
      </c>
      <c r="U50" s="19">
        <f t="shared" si="8"/>
        <v>263400</v>
      </c>
      <c r="V50" s="20">
        <f t="shared" si="2"/>
        <v>29400</v>
      </c>
      <c r="W50" s="20">
        <v>102000</v>
      </c>
      <c r="X50" s="20">
        <f t="shared" si="9"/>
        <v>120000</v>
      </c>
      <c r="Y50" s="20"/>
      <c r="Z50" s="20">
        <f t="shared" si="3"/>
        <v>120000</v>
      </c>
      <c r="AA50" s="20">
        <v>96000</v>
      </c>
      <c r="AB50" s="20">
        <f t="shared" si="4"/>
        <v>114000</v>
      </c>
      <c r="AC50" s="20"/>
      <c r="AD50" s="20">
        <f t="shared" si="5"/>
        <v>114000</v>
      </c>
      <c r="AE50" s="20">
        <v>0</v>
      </c>
      <c r="AF50" s="20">
        <v>0</v>
      </c>
      <c r="AG50" s="20">
        <f t="shared" si="6"/>
        <v>0</v>
      </c>
      <c r="AH50" s="20">
        <v>0</v>
      </c>
      <c r="AI50" s="37">
        <v>0</v>
      </c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 spans="1:51" ht="14.15" hidden="1" customHeight="1" x14ac:dyDescent="0.35">
      <c r="A51">
        <v>3550</v>
      </c>
      <c r="B51">
        <v>0</v>
      </c>
      <c r="C51">
        <v>0</v>
      </c>
      <c r="D51">
        <v>0</v>
      </c>
      <c r="E51">
        <v>6000</v>
      </c>
      <c r="F51">
        <v>2700</v>
      </c>
      <c r="G51">
        <v>0</v>
      </c>
      <c r="H51">
        <v>1450</v>
      </c>
      <c r="I51">
        <v>0</v>
      </c>
      <c r="J51">
        <v>0</v>
      </c>
      <c r="K51">
        <v>0</v>
      </c>
      <c r="L51">
        <v>1500</v>
      </c>
      <c r="M51">
        <v>2000</v>
      </c>
      <c r="N51">
        <v>1500</v>
      </c>
      <c r="O51">
        <v>0</v>
      </c>
      <c r="P51">
        <v>0</v>
      </c>
      <c r="Q51">
        <v>0</v>
      </c>
      <c r="R51">
        <v>0</v>
      </c>
      <c r="S51">
        <v>0</v>
      </c>
      <c r="T51">
        <v>195741470</v>
      </c>
      <c r="U51" s="19">
        <f t="shared" si="8"/>
        <v>264700</v>
      </c>
      <c r="V51" s="20">
        <f t="shared" si="2"/>
        <v>18700</v>
      </c>
      <c r="W51" s="20">
        <v>114000</v>
      </c>
      <c r="X51" s="20">
        <f t="shared" si="9"/>
        <v>132000</v>
      </c>
      <c r="Y51" s="20"/>
      <c r="Z51" s="20">
        <f t="shared" si="3"/>
        <v>132000</v>
      </c>
      <c r="AA51" s="20">
        <v>96000</v>
      </c>
      <c r="AB51" s="20">
        <f t="shared" si="4"/>
        <v>114000</v>
      </c>
      <c r="AC51" s="20"/>
      <c r="AD51" s="20">
        <f t="shared" si="5"/>
        <v>114000</v>
      </c>
      <c r="AE51" s="20">
        <v>0</v>
      </c>
      <c r="AF51" s="20">
        <v>0</v>
      </c>
      <c r="AG51" s="20">
        <f t="shared" si="6"/>
        <v>0</v>
      </c>
      <c r="AH51" s="20">
        <v>0</v>
      </c>
      <c r="AI51" s="37">
        <v>0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spans="1:51" ht="14.15" hidden="1" customHeight="1" x14ac:dyDescent="0.35">
      <c r="A52">
        <v>3550</v>
      </c>
      <c r="B52">
        <v>4500</v>
      </c>
      <c r="C52">
        <v>0</v>
      </c>
      <c r="D52">
        <v>0</v>
      </c>
      <c r="E52">
        <v>6000</v>
      </c>
      <c r="F52">
        <v>2700</v>
      </c>
      <c r="G52">
        <v>1500</v>
      </c>
      <c r="H52">
        <v>0</v>
      </c>
      <c r="I52">
        <v>0</v>
      </c>
      <c r="J52">
        <v>0</v>
      </c>
      <c r="K52">
        <v>0</v>
      </c>
      <c r="L52">
        <v>1500</v>
      </c>
      <c r="M52">
        <v>2000</v>
      </c>
      <c r="N52">
        <v>1500</v>
      </c>
      <c r="O52">
        <v>3000</v>
      </c>
      <c r="P52">
        <v>0</v>
      </c>
      <c r="Q52">
        <v>0</v>
      </c>
      <c r="R52">
        <v>0</v>
      </c>
      <c r="S52">
        <v>0</v>
      </c>
      <c r="T52">
        <v>3689537</v>
      </c>
      <c r="U52" s="19">
        <f t="shared" si="8"/>
        <v>356250</v>
      </c>
      <c r="V52" s="20">
        <f t="shared" si="2"/>
        <v>26250</v>
      </c>
      <c r="W52" s="20">
        <v>144000</v>
      </c>
      <c r="X52" s="20">
        <f t="shared" si="9"/>
        <v>162000</v>
      </c>
      <c r="Y52" s="20"/>
      <c r="Z52" s="20">
        <f t="shared" si="3"/>
        <v>162000</v>
      </c>
      <c r="AA52" s="20">
        <v>150000</v>
      </c>
      <c r="AB52" s="20">
        <f t="shared" si="4"/>
        <v>168000</v>
      </c>
      <c r="AC52" s="20"/>
      <c r="AD52" s="20">
        <f t="shared" si="5"/>
        <v>168000</v>
      </c>
      <c r="AE52" s="20">
        <v>0</v>
      </c>
      <c r="AF52" s="20">
        <v>0</v>
      </c>
      <c r="AG52" s="20">
        <f t="shared" si="6"/>
        <v>0</v>
      </c>
      <c r="AH52" s="20">
        <v>0</v>
      </c>
      <c r="AI52" s="37">
        <v>0</v>
      </c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spans="1:51" ht="14.15" hidden="1" customHeight="1" x14ac:dyDescent="0.35">
      <c r="A53">
        <v>4100</v>
      </c>
      <c r="B53">
        <v>5000</v>
      </c>
      <c r="C53">
        <v>0</v>
      </c>
      <c r="D53">
        <v>0</v>
      </c>
      <c r="E53">
        <v>6000</v>
      </c>
      <c r="F53">
        <v>2700</v>
      </c>
      <c r="G53">
        <v>0</v>
      </c>
      <c r="H53">
        <v>1450</v>
      </c>
      <c r="I53">
        <v>0</v>
      </c>
      <c r="J53">
        <v>0</v>
      </c>
      <c r="K53">
        <v>0</v>
      </c>
      <c r="L53">
        <v>1500</v>
      </c>
      <c r="M53">
        <v>2000</v>
      </c>
      <c r="N53">
        <v>1500</v>
      </c>
      <c r="O53">
        <v>3000</v>
      </c>
      <c r="P53">
        <v>0</v>
      </c>
      <c r="Q53">
        <v>0</v>
      </c>
      <c r="R53">
        <v>0</v>
      </c>
      <c r="S53">
        <v>0</v>
      </c>
      <c r="T53">
        <v>169665771</v>
      </c>
      <c r="U53" s="19">
        <f t="shared" si="8"/>
        <v>227650</v>
      </c>
      <c r="V53" s="20">
        <f t="shared" si="2"/>
        <v>27250</v>
      </c>
      <c r="W53" s="20">
        <v>90000</v>
      </c>
      <c r="X53" s="20">
        <f t="shared" si="9"/>
        <v>108000</v>
      </c>
      <c r="Y53" s="20">
        <v>14400</v>
      </c>
      <c r="Z53" s="20">
        <f t="shared" si="3"/>
        <v>122400</v>
      </c>
      <c r="AA53" s="20">
        <v>60000</v>
      </c>
      <c r="AB53" s="20">
        <f t="shared" si="4"/>
        <v>78000</v>
      </c>
      <c r="AC53" s="20"/>
      <c r="AD53" s="20">
        <f t="shared" si="5"/>
        <v>78000</v>
      </c>
      <c r="AE53" s="20">
        <v>0</v>
      </c>
      <c r="AF53" s="20">
        <v>0</v>
      </c>
      <c r="AG53" s="20">
        <f t="shared" si="6"/>
        <v>0</v>
      </c>
      <c r="AH53" s="20">
        <v>0</v>
      </c>
      <c r="AI53" s="37">
        <v>0</v>
      </c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spans="1:51" ht="14.15" hidden="1" customHeight="1" x14ac:dyDescent="0.35">
      <c r="A54">
        <v>0</v>
      </c>
      <c r="B54">
        <v>0</v>
      </c>
      <c r="C54">
        <v>0</v>
      </c>
      <c r="D54">
        <v>0</v>
      </c>
      <c r="E54">
        <v>6000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1500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54725504</v>
      </c>
      <c r="U54" s="19">
        <f t="shared" si="8"/>
        <v>259500</v>
      </c>
      <c r="V54" s="20">
        <f t="shared" si="2"/>
        <v>7500</v>
      </c>
      <c r="W54" s="20">
        <v>120000</v>
      </c>
      <c r="X54" s="20">
        <f t="shared" si="9"/>
        <v>138000</v>
      </c>
      <c r="Y54" s="20"/>
      <c r="Z54" s="20">
        <f t="shared" si="3"/>
        <v>138000</v>
      </c>
      <c r="AA54" s="20">
        <v>96000</v>
      </c>
      <c r="AB54" s="20">
        <f t="shared" si="4"/>
        <v>114000</v>
      </c>
      <c r="AC54" s="20"/>
      <c r="AD54" s="20">
        <f t="shared" si="5"/>
        <v>114000</v>
      </c>
      <c r="AE54" s="20">
        <v>0</v>
      </c>
      <c r="AF54" s="20">
        <v>0</v>
      </c>
      <c r="AG54" s="20">
        <f t="shared" si="6"/>
        <v>0</v>
      </c>
      <c r="AH54" s="20">
        <v>0</v>
      </c>
      <c r="AI54" s="37">
        <v>0</v>
      </c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spans="1:51" ht="14.15" hidden="1" customHeight="1" x14ac:dyDescent="0.35">
      <c r="A55">
        <v>3550</v>
      </c>
      <c r="B55">
        <v>5000</v>
      </c>
      <c r="C55">
        <v>0</v>
      </c>
      <c r="D55">
        <v>0</v>
      </c>
      <c r="E55">
        <v>6000</v>
      </c>
      <c r="F55">
        <v>2700</v>
      </c>
      <c r="G55">
        <v>0</v>
      </c>
      <c r="H55">
        <v>0</v>
      </c>
      <c r="I55">
        <v>0</v>
      </c>
      <c r="J55">
        <v>0</v>
      </c>
      <c r="K55">
        <v>0</v>
      </c>
      <c r="L55">
        <v>1500</v>
      </c>
      <c r="M55">
        <v>2000</v>
      </c>
      <c r="N55">
        <v>1500</v>
      </c>
      <c r="O55">
        <v>0</v>
      </c>
      <c r="P55">
        <v>0</v>
      </c>
      <c r="Q55">
        <v>0</v>
      </c>
      <c r="R55">
        <v>0</v>
      </c>
      <c r="S55">
        <v>0</v>
      </c>
      <c r="T55">
        <v>513885549</v>
      </c>
      <c r="U55" s="19">
        <f t="shared" si="8"/>
        <v>298250</v>
      </c>
      <c r="V55" s="20">
        <f t="shared" si="2"/>
        <v>22250</v>
      </c>
      <c r="W55" s="20">
        <v>114000</v>
      </c>
      <c r="X55" s="20">
        <f t="shared" si="9"/>
        <v>132000</v>
      </c>
      <c r="Y55" s="20"/>
      <c r="Z55" s="20">
        <f t="shared" si="3"/>
        <v>132000</v>
      </c>
      <c r="AA55" s="20">
        <v>126000</v>
      </c>
      <c r="AB55" s="20">
        <f t="shared" si="4"/>
        <v>144000</v>
      </c>
      <c r="AC55" s="20"/>
      <c r="AD55" s="20">
        <f t="shared" si="5"/>
        <v>144000</v>
      </c>
      <c r="AE55" s="20">
        <v>0</v>
      </c>
      <c r="AF55" s="20">
        <v>0</v>
      </c>
      <c r="AG55" s="20">
        <f t="shared" si="6"/>
        <v>0</v>
      </c>
      <c r="AH55" s="20">
        <v>0</v>
      </c>
      <c r="AI55" s="37">
        <v>0</v>
      </c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 spans="1:51" ht="14.15" hidden="1" customHeight="1" x14ac:dyDescent="0.35">
      <c r="A56">
        <v>0</v>
      </c>
      <c r="B56">
        <v>5000</v>
      </c>
      <c r="C56">
        <v>0</v>
      </c>
      <c r="D56">
        <v>0</v>
      </c>
      <c r="E56">
        <v>6000</v>
      </c>
      <c r="F56">
        <v>2700</v>
      </c>
      <c r="G56">
        <v>1000</v>
      </c>
      <c r="H56">
        <v>1450</v>
      </c>
      <c r="I56">
        <v>0</v>
      </c>
      <c r="J56">
        <v>0</v>
      </c>
      <c r="K56">
        <v>0</v>
      </c>
      <c r="L56">
        <v>1500</v>
      </c>
      <c r="M56">
        <v>2000</v>
      </c>
      <c r="N56">
        <v>1500</v>
      </c>
      <c r="O56">
        <v>3000</v>
      </c>
      <c r="P56">
        <v>0</v>
      </c>
      <c r="Q56">
        <v>0</v>
      </c>
      <c r="R56">
        <v>0</v>
      </c>
      <c r="S56">
        <v>0</v>
      </c>
      <c r="T56">
        <v>142882915</v>
      </c>
      <c r="U56" s="19">
        <f t="shared" si="8"/>
        <v>384150</v>
      </c>
      <c r="V56" s="20">
        <f t="shared" si="2"/>
        <v>24150</v>
      </c>
      <c r="W56" s="20">
        <v>168000</v>
      </c>
      <c r="X56" s="20">
        <f t="shared" si="9"/>
        <v>186000</v>
      </c>
      <c r="Y56" s="20"/>
      <c r="Z56" s="20">
        <f t="shared" si="3"/>
        <v>186000</v>
      </c>
      <c r="AA56" s="20">
        <v>156000</v>
      </c>
      <c r="AB56" s="20">
        <f t="shared" si="4"/>
        <v>174000</v>
      </c>
      <c r="AC56" s="20"/>
      <c r="AD56" s="20">
        <f t="shared" si="5"/>
        <v>174000</v>
      </c>
      <c r="AE56" s="20">
        <v>0</v>
      </c>
      <c r="AF56" s="20">
        <v>0</v>
      </c>
      <c r="AG56" s="20">
        <f t="shared" si="6"/>
        <v>0</v>
      </c>
      <c r="AH56" s="20">
        <v>0</v>
      </c>
      <c r="AI56" s="37">
        <v>0</v>
      </c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spans="1:51" ht="14.15" hidden="1" customHeight="1" x14ac:dyDescent="0.35">
      <c r="A57">
        <v>4300</v>
      </c>
      <c r="B57">
        <v>5000</v>
      </c>
      <c r="C57">
        <v>0</v>
      </c>
      <c r="D57">
        <v>0</v>
      </c>
      <c r="E57">
        <v>6000</v>
      </c>
      <c r="F57">
        <v>2700</v>
      </c>
      <c r="G57">
        <v>2000</v>
      </c>
      <c r="H57">
        <v>1450</v>
      </c>
      <c r="I57">
        <v>0</v>
      </c>
      <c r="J57">
        <v>0</v>
      </c>
      <c r="K57">
        <v>0</v>
      </c>
      <c r="L57">
        <v>1500</v>
      </c>
      <c r="M57">
        <v>2000</v>
      </c>
      <c r="N57">
        <v>1500</v>
      </c>
      <c r="O57">
        <v>3000</v>
      </c>
      <c r="P57">
        <v>0</v>
      </c>
      <c r="Q57">
        <v>0</v>
      </c>
      <c r="R57">
        <v>0</v>
      </c>
      <c r="S57">
        <v>0</v>
      </c>
      <c r="T57">
        <v>184724012</v>
      </c>
      <c r="U57" s="19">
        <f t="shared" si="8"/>
        <v>341450</v>
      </c>
      <c r="V57" s="20">
        <f t="shared" si="2"/>
        <v>29450</v>
      </c>
      <c r="W57" s="20">
        <v>120000</v>
      </c>
      <c r="X57" s="20">
        <f t="shared" si="9"/>
        <v>138000</v>
      </c>
      <c r="Y57" s="20"/>
      <c r="Z57" s="20">
        <f t="shared" si="3"/>
        <v>138000</v>
      </c>
      <c r="AA57" s="20">
        <v>138000</v>
      </c>
      <c r="AB57" s="20">
        <f t="shared" si="4"/>
        <v>156000</v>
      </c>
      <c r="AC57" s="20">
        <v>18000</v>
      </c>
      <c r="AD57" s="20">
        <f t="shared" si="5"/>
        <v>174000</v>
      </c>
      <c r="AE57" s="20">
        <v>0</v>
      </c>
      <c r="AF57" s="20">
        <v>0</v>
      </c>
      <c r="AG57" s="20">
        <f t="shared" si="6"/>
        <v>0</v>
      </c>
      <c r="AH57" s="20">
        <v>0</v>
      </c>
      <c r="AI57" s="37">
        <v>0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 spans="1:51" ht="14.15" hidden="1" customHeight="1" x14ac:dyDescent="0.35">
      <c r="A58">
        <v>4250</v>
      </c>
      <c r="B58">
        <v>5000</v>
      </c>
      <c r="C58">
        <v>0</v>
      </c>
      <c r="D58">
        <v>0</v>
      </c>
      <c r="E58">
        <v>6000</v>
      </c>
      <c r="F58">
        <v>0</v>
      </c>
      <c r="G58">
        <v>2000</v>
      </c>
      <c r="H58">
        <v>0</v>
      </c>
      <c r="I58">
        <v>0</v>
      </c>
      <c r="J58">
        <v>0</v>
      </c>
      <c r="K58">
        <v>0</v>
      </c>
      <c r="L58">
        <v>1500</v>
      </c>
      <c r="M58">
        <v>2000</v>
      </c>
      <c r="N58">
        <v>1500</v>
      </c>
      <c r="O58">
        <v>3000</v>
      </c>
      <c r="P58">
        <v>0</v>
      </c>
      <c r="Q58">
        <v>0</v>
      </c>
      <c r="R58">
        <v>0</v>
      </c>
      <c r="S58">
        <v>0</v>
      </c>
      <c r="T58">
        <v>331784996</v>
      </c>
      <c r="U58" s="19">
        <f t="shared" si="8"/>
        <v>193250</v>
      </c>
      <c r="V58" s="20">
        <f t="shared" si="2"/>
        <v>25250</v>
      </c>
      <c r="W58" s="20">
        <v>150000</v>
      </c>
      <c r="X58" s="20">
        <f t="shared" si="9"/>
        <v>168000</v>
      </c>
      <c r="Y58" s="20"/>
      <c r="Z58" s="20">
        <f t="shared" si="3"/>
        <v>168000</v>
      </c>
      <c r="AA58" s="20"/>
      <c r="AB58" s="20"/>
      <c r="AC58" s="20"/>
      <c r="AD58" s="20"/>
      <c r="AE58" s="20">
        <v>0</v>
      </c>
      <c r="AF58" s="20">
        <v>0</v>
      </c>
      <c r="AG58" s="20">
        <f t="shared" si="6"/>
        <v>0</v>
      </c>
      <c r="AH58" s="20">
        <v>0</v>
      </c>
      <c r="AI58" s="37">
        <v>0</v>
      </c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 spans="1:51" ht="14.15" hidden="1" customHeight="1" x14ac:dyDescent="0.35">
      <c r="A59">
        <v>4800</v>
      </c>
      <c r="B59">
        <v>3000</v>
      </c>
      <c r="C59">
        <v>0</v>
      </c>
      <c r="D59">
        <v>0</v>
      </c>
      <c r="E59">
        <v>6000</v>
      </c>
      <c r="F59">
        <v>1275</v>
      </c>
      <c r="G59">
        <v>1500</v>
      </c>
      <c r="H59">
        <v>0</v>
      </c>
      <c r="I59">
        <v>0</v>
      </c>
      <c r="J59">
        <v>0</v>
      </c>
      <c r="K59">
        <v>0</v>
      </c>
      <c r="L59">
        <v>1500</v>
      </c>
      <c r="M59">
        <v>2000</v>
      </c>
      <c r="N59">
        <v>1500</v>
      </c>
      <c r="O59">
        <v>3000</v>
      </c>
      <c r="P59">
        <v>0</v>
      </c>
      <c r="Q59">
        <v>0</v>
      </c>
      <c r="R59">
        <v>0</v>
      </c>
      <c r="S59">
        <v>0</v>
      </c>
      <c r="T59">
        <v>191646495</v>
      </c>
      <c r="U59" s="19">
        <f t="shared" si="8"/>
        <v>168575</v>
      </c>
      <c r="V59" s="20">
        <f t="shared" si="2"/>
        <v>24575</v>
      </c>
      <c r="W59" s="20">
        <v>126000</v>
      </c>
      <c r="X59" s="20">
        <f t="shared" si="9"/>
        <v>144000</v>
      </c>
      <c r="Y59" s="20"/>
      <c r="Z59" s="20">
        <f t="shared" si="3"/>
        <v>144000</v>
      </c>
      <c r="AA59" s="20"/>
      <c r="AB59" s="20"/>
      <c r="AC59" s="20"/>
      <c r="AD59" s="20"/>
      <c r="AE59" s="20">
        <v>0</v>
      </c>
      <c r="AF59" s="20">
        <v>0</v>
      </c>
      <c r="AG59" s="20">
        <f t="shared" si="6"/>
        <v>0</v>
      </c>
      <c r="AH59" s="20">
        <v>0</v>
      </c>
      <c r="AI59" s="37">
        <v>0</v>
      </c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 spans="1:51" ht="14.15" hidden="1" customHeight="1" x14ac:dyDescent="0.35">
      <c r="A60">
        <v>4300</v>
      </c>
      <c r="B60">
        <v>5000</v>
      </c>
      <c r="C60">
        <v>0</v>
      </c>
      <c r="D60">
        <v>0</v>
      </c>
      <c r="E60">
        <v>6000</v>
      </c>
      <c r="F60">
        <v>2700</v>
      </c>
      <c r="G60">
        <v>1000</v>
      </c>
      <c r="H60">
        <v>1700</v>
      </c>
      <c r="I60">
        <v>0</v>
      </c>
      <c r="J60">
        <v>0</v>
      </c>
      <c r="K60">
        <v>0</v>
      </c>
      <c r="L60">
        <v>1500</v>
      </c>
      <c r="M60">
        <v>2000</v>
      </c>
      <c r="N60">
        <v>1500</v>
      </c>
      <c r="O60">
        <v>3000</v>
      </c>
      <c r="P60">
        <v>0</v>
      </c>
      <c r="Q60">
        <v>0</v>
      </c>
      <c r="R60">
        <v>0</v>
      </c>
      <c r="S60">
        <v>0</v>
      </c>
      <c r="T60">
        <v>107763820</v>
      </c>
      <c r="U60" s="19">
        <f t="shared" si="8"/>
        <v>352700</v>
      </c>
      <c r="V60" s="20">
        <f t="shared" si="2"/>
        <v>28700</v>
      </c>
      <c r="W60" s="20">
        <v>114000</v>
      </c>
      <c r="X60" s="20">
        <f t="shared" si="9"/>
        <v>132000</v>
      </c>
      <c r="Y60" s="20"/>
      <c r="Z60" s="20">
        <f t="shared" si="3"/>
        <v>132000</v>
      </c>
      <c r="AA60" s="20">
        <v>156000</v>
      </c>
      <c r="AB60" s="20">
        <f t="shared" si="4"/>
        <v>174000</v>
      </c>
      <c r="AC60" s="20">
        <v>18000</v>
      </c>
      <c r="AD60" s="20">
        <f t="shared" si="5"/>
        <v>192000</v>
      </c>
      <c r="AE60" s="20">
        <v>0</v>
      </c>
      <c r="AF60" s="20">
        <v>0</v>
      </c>
      <c r="AG60" s="20">
        <f t="shared" si="6"/>
        <v>0</v>
      </c>
      <c r="AH60" s="20">
        <v>0</v>
      </c>
      <c r="AI60" s="37">
        <v>0</v>
      </c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 spans="1:51" ht="14.15" hidden="1" customHeight="1" x14ac:dyDescent="0.35">
      <c r="A61">
        <v>0</v>
      </c>
      <c r="B61">
        <v>0</v>
      </c>
      <c r="C61">
        <v>0</v>
      </c>
      <c r="D61">
        <v>0</v>
      </c>
      <c r="E61">
        <v>6000</v>
      </c>
      <c r="F61">
        <v>0</v>
      </c>
      <c r="G61">
        <v>1000</v>
      </c>
      <c r="H61">
        <v>0</v>
      </c>
      <c r="I61">
        <v>0</v>
      </c>
      <c r="J61">
        <v>0</v>
      </c>
      <c r="K61">
        <v>0</v>
      </c>
      <c r="L61">
        <v>0</v>
      </c>
      <c r="M61">
        <v>2000</v>
      </c>
      <c r="N61">
        <v>1500</v>
      </c>
      <c r="O61">
        <v>0</v>
      </c>
      <c r="P61">
        <v>0</v>
      </c>
      <c r="Q61">
        <v>0</v>
      </c>
      <c r="R61">
        <v>0</v>
      </c>
      <c r="S61">
        <v>0</v>
      </c>
      <c r="T61">
        <v>139824332</v>
      </c>
      <c r="U61" s="19">
        <f t="shared" si="8"/>
        <v>249600</v>
      </c>
      <c r="V61" s="20">
        <f t="shared" si="2"/>
        <v>10500</v>
      </c>
      <c r="W61" s="20">
        <v>102000</v>
      </c>
      <c r="X61" s="20">
        <f t="shared" si="9"/>
        <v>120000</v>
      </c>
      <c r="Y61" s="20">
        <v>17100</v>
      </c>
      <c r="Z61" s="20">
        <f t="shared" si="3"/>
        <v>137100</v>
      </c>
      <c r="AA61" s="20">
        <v>66000</v>
      </c>
      <c r="AB61" s="20">
        <f t="shared" si="4"/>
        <v>84000</v>
      </c>
      <c r="AC61" s="20">
        <v>18000</v>
      </c>
      <c r="AD61" s="20">
        <f t="shared" si="5"/>
        <v>102000</v>
      </c>
      <c r="AE61" s="20">
        <v>0</v>
      </c>
      <c r="AF61" s="20">
        <v>0</v>
      </c>
      <c r="AG61" s="20">
        <f t="shared" si="6"/>
        <v>0</v>
      </c>
      <c r="AH61" s="20">
        <v>0</v>
      </c>
      <c r="AI61" s="37">
        <v>0</v>
      </c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 spans="1:51" ht="14.15" hidden="1" customHeight="1" x14ac:dyDescent="0.35">
      <c r="A62">
        <v>4750</v>
      </c>
      <c r="B62">
        <v>4500</v>
      </c>
      <c r="C62">
        <v>0</v>
      </c>
      <c r="D62">
        <v>0</v>
      </c>
      <c r="E62">
        <v>6000</v>
      </c>
      <c r="F62">
        <v>2700</v>
      </c>
      <c r="G62">
        <v>1000</v>
      </c>
      <c r="H62">
        <v>1700</v>
      </c>
      <c r="I62">
        <v>0</v>
      </c>
      <c r="J62">
        <v>0</v>
      </c>
      <c r="K62">
        <v>0</v>
      </c>
      <c r="L62">
        <v>1500</v>
      </c>
      <c r="M62">
        <v>2000</v>
      </c>
      <c r="N62">
        <v>1500</v>
      </c>
      <c r="O62">
        <v>3000</v>
      </c>
      <c r="P62">
        <v>0</v>
      </c>
      <c r="Q62">
        <v>0</v>
      </c>
      <c r="R62">
        <v>0</v>
      </c>
      <c r="S62">
        <v>0</v>
      </c>
      <c r="T62">
        <v>106722567</v>
      </c>
      <c r="U62" s="19">
        <f t="shared" si="8"/>
        <v>346650</v>
      </c>
      <c r="V62" s="20">
        <f t="shared" si="2"/>
        <v>28650</v>
      </c>
      <c r="W62" s="20">
        <v>156000</v>
      </c>
      <c r="X62" s="20">
        <f t="shared" si="9"/>
        <v>174000</v>
      </c>
      <c r="Y62" s="20"/>
      <c r="Z62" s="20">
        <f t="shared" si="3"/>
        <v>174000</v>
      </c>
      <c r="AA62" s="20">
        <v>126000</v>
      </c>
      <c r="AB62" s="20">
        <f t="shared" si="4"/>
        <v>144000</v>
      </c>
      <c r="AC62" s="20"/>
      <c r="AD62" s="20">
        <f t="shared" si="5"/>
        <v>144000</v>
      </c>
      <c r="AE62" s="20">
        <v>0</v>
      </c>
      <c r="AF62" s="20">
        <v>0</v>
      </c>
      <c r="AG62" s="20">
        <f t="shared" si="6"/>
        <v>0</v>
      </c>
      <c r="AH62" s="20">
        <v>0</v>
      </c>
      <c r="AI62" s="37">
        <v>0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 spans="1:51" ht="14.15" hidden="1" customHeight="1" x14ac:dyDescent="0.35">
      <c r="A63">
        <v>3500</v>
      </c>
      <c r="B63">
        <v>0</v>
      </c>
      <c r="C63">
        <v>0</v>
      </c>
      <c r="D63">
        <v>0</v>
      </c>
      <c r="E63">
        <v>6000</v>
      </c>
      <c r="F63">
        <v>2700</v>
      </c>
      <c r="G63">
        <v>1500</v>
      </c>
      <c r="H63">
        <v>0</v>
      </c>
      <c r="I63">
        <v>0</v>
      </c>
      <c r="J63">
        <v>0</v>
      </c>
      <c r="K63">
        <v>0</v>
      </c>
      <c r="L63">
        <v>1500</v>
      </c>
      <c r="M63">
        <v>2000</v>
      </c>
      <c r="N63">
        <v>1500</v>
      </c>
      <c r="O63">
        <v>3000</v>
      </c>
      <c r="P63">
        <v>0</v>
      </c>
      <c r="Q63">
        <v>0</v>
      </c>
      <c r="R63">
        <v>0</v>
      </c>
      <c r="S63">
        <v>0</v>
      </c>
      <c r="T63">
        <v>195724023</v>
      </c>
      <c r="U63" s="19">
        <f t="shared" si="8"/>
        <v>315700</v>
      </c>
      <c r="V63" s="20">
        <f t="shared" si="2"/>
        <v>21700</v>
      </c>
      <c r="W63" s="20">
        <v>132000</v>
      </c>
      <c r="X63" s="20">
        <f t="shared" si="9"/>
        <v>150000</v>
      </c>
      <c r="Y63" s="20"/>
      <c r="Z63" s="20">
        <f t="shared" si="3"/>
        <v>150000</v>
      </c>
      <c r="AA63" s="20">
        <v>126000</v>
      </c>
      <c r="AB63" s="20">
        <f t="shared" si="4"/>
        <v>144000</v>
      </c>
      <c r="AC63" s="20"/>
      <c r="AD63" s="20">
        <f t="shared" si="5"/>
        <v>144000</v>
      </c>
      <c r="AE63" s="20">
        <v>0</v>
      </c>
      <c r="AF63" s="20">
        <v>0</v>
      </c>
      <c r="AG63" s="20">
        <f t="shared" si="6"/>
        <v>0</v>
      </c>
      <c r="AH63" s="20">
        <v>0</v>
      </c>
      <c r="AI63" s="37">
        <v>0</v>
      </c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 spans="1:51" ht="14.15" hidden="1" customHeight="1" x14ac:dyDescent="0.35">
      <c r="A64">
        <v>3800</v>
      </c>
      <c r="B64">
        <v>4000</v>
      </c>
      <c r="C64">
        <v>0</v>
      </c>
      <c r="D64">
        <v>0</v>
      </c>
      <c r="E64">
        <v>6000</v>
      </c>
      <c r="F64">
        <v>2700</v>
      </c>
      <c r="G64">
        <v>1000</v>
      </c>
      <c r="H64">
        <v>1800</v>
      </c>
      <c r="I64">
        <v>0</v>
      </c>
      <c r="J64">
        <v>0</v>
      </c>
      <c r="K64">
        <v>0</v>
      </c>
      <c r="L64">
        <v>1500</v>
      </c>
      <c r="M64">
        <v>2000</v>
      </c>
      <c r="N64">
        <v>1500</v>
      </c>
      <c r="O64">
        <v>3000</v>
      </c>
      <c r="P64">
        <v>0</v>
      </c>
      <c r="Q64">
        <v>0</v>
      </c>
      <c r="R64">
        <v>0</v>
      </c>
      <c r="S64">
        <v>0</v>
      </c>
      <c r="T64">
        <v>199709696</v>
      </c>
      <c r="U64" s="19">
        <f t="shared" si="8"/>
        <v>373500</v>
      </c>
      <c r="V64" s="20">
        <f t="shared" si="2"/>
        <v>27300</v>
      </c>
      <c r="W64" s="20">
        <v>144000</v>
      </c>
      <c r="X64" s="20">
        <f t="shared" si="9"/>
        <v>162000</v>
      </c>
      <c r="Y64" s="20">
        <v>16200</v>
      </c>
      <c r="Z64" s="20">
        <f t="shared" si="3"/>
        <v>178200</v>
      </c>
      <c r="AA64" s="20">
        <v>132000</v>
      </c>
      <c r="AB64" s="20">
        <f t="shared" si="4"/>
        <v>150000</v>
      </c>
      <c r="AC64" s="20">
        <v>18000</v>
      </c>
      <c r="AD64" s="20">
        <f t="shared" si="5"/>
        <v>168000</v>
      </c>
      <c r="AE64" s="20">
        <v>0</v>
      </c>
      <c r="AF64" s="20">
        <v>0</v>
      </c>
      <c r="AG64" s="20">
        <f t="shared" si="6"/>
        <v>0</v>
      </c>
      <c r="AH64" s="20">
        <v>0</v>
      </c>
      <c r="AI64" s="37">
        <v>0</v>
      </c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 spans="1:51" ht="14.15" hidden="1" customHeight="1" x14ac:dyDescent="0.35">
      <c r="A65">
        <v>0</v>
      </c>
      <c r="B65">
        <v>5000</v>
      </c>
      <c r="C65">
        <v>0</v>
      </c>
      <c r="D65">
        <v>0</v>
      </c>
      <c r="E65">
        <v>6000</v>
      </c>
      <c r="F65">
        <v>2700</v>
      </c>
      <c r="G65">
        <v>1500</v>
      </c>
      <c r="H65">
        <v>1200</v>
      </c>
      <c r="I65">
        <v>0</v>
      </c>
      <c r="J65">
        <v>0</v>
      </c>
      <c r="K65">
        <v>0</v>
      </c>
      <c r="L65">
        <v>1500</v>
      </c>
      <c r="M65">
        <v>2000</v>
      </c>
      <c r="N65">
        <v>1500</v>
      </c>
      <c r="O65">
        <v>0</v>
      </c>
      <c r="P65">
        <v>0</v>
      </c>
      <c r="Q65">
        <v>0</v>
      </c>
      <c r="R65">
        <v>0</v>
      </c>
      <c r="S65">
        <v>0</v>
      </c>
      <c r="T65">
        <v>138787769</v>
      </c>
      <c r="U65" s="19">
        <f t="shared" si="8"/>
        <v>303400</v>
      </c>
      <c r="V65" s="20">
        <f t="shared" si="2"/>
        <v>21400</v>
      </c>
      <c r="W65" s="20">
        <v>132000</v>
      </c>
      <c r="X65" s="20">
        <f t="shared" si="9"/>
        <v>150000</v>
      </c>
      <c r="Y65" s="20"/>
      <c r="Z65" s="20">
        <f t="shared" si="3"/>
        <v>150000</v>
      </c>
      <c r="AA65" s="20">
        <v>96000</v>
      </c>
      <c r="AB65" s="20">
        <f t="shared" si="4"/>
        <v>114000</v>
      </c>
      <c r="AC65" s="20">
        <v>18000</v>
      </c>
      <c r="AD65" s="20">
        <f t="shared" si="5"/>
        <v>132000</v>
      </c>
      <c r="AE65" s="20">
        <v>0</v>
      </c>
      <c r="AF65" s="20">
        <v>0</v>
      </c>
      <c r="AG65" s="20">
        <f t="shared" si="6"/>
        <v>0</v>
      </c>
      <c r="AH65" s="20">
        <v>0</v>
      </c>
      <c r="AI65" s="37">
        <v>0</v>
      </c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 spans="1:51" ht="14.15" hidden="1" customHeight="1" x14ac:dyDescent="0.35">
      <c r="A66">
        <v>4750</v>
      </c>
      <c r="B66">
        <v>0</v>
      </c>
      <c r="C66">
        <v>0</v>
      </c>
      <c r="D66">
        <v>0</v>
      </c>
      <c r="E66">
        <v>6000</v>
      </c>
      <c r="F66">
        <v>2700</v>
      </c>
      <c r="G66">
        <v>1000</v>
      </c>
      <c r="H66">
        <v>1200</v>
      </c>
      <c r="I66">
        <v>0</v>
      </c>
      <c r="J66">
        <v>0</v>
      </c>
      <c r="K66">
        <v>0</v>
      </c>
      <c r="L66">
        <v>1500</v>
      </c>
      <c r="M66">
        <v>2000</v>
      </c>
      <c r="N66">
        <v>1500</v>
      </c>
      <c r="O66">
        <v>3000</v>
      </c>
      <c r="P66">
        <v>0</v>
      </c>
      <c r="Q66">
        <v>0</v>
      </c>
      <c r="R66">
        <v>0</v>
      </c>
      <c r="S66">
        <v>0</v>
      </c>
      <c r="T66">
        <v>91703586</v>
      </c>
      <c r="U66" s="19">
        <f t="shared" si="8"/>
        <v>275650</v>
      </c>
      <c r="V66" s="20">
        <f t="shared" si="2"/>
        <v>23650</v>
      </c>
      <c r="W66" s="20">
        <v>114000</v>
      </c>
      <c r="X66" s="20">
        <f t="shared" si="9"/>
        <v>132000</v>
      </c>
      <c r="Y66" s="20"/>
      <c r="Z66" s="20">
        <f t="shared" si="3"/>
        <v>132000</v>
      </c>
      <c r="AA66" s="20">
        <v>102000</v>
      </c>
      <c r="AB66" s="20">
        <f t="shared" si="4"/>
        <v>120000</v>
      </c>
      <c r="AC66" s="20"/>
      <c r="AD66" s="20">
        <f t="shared" si="5"/>
        <v>120000</v>
      </c>
      <c r="AE66" s="20">
        <v>0</v>
      </c>
      <c r="AF66" s="20">
        <v>0</v>
      </c>
      <c r="AG66" s="20">
        <f t="shared" si="6"/>
        <v>0</v>
      </c>
      <c r="AH66" s="20">
        <v>0</v>
      </c>
      <c r="AI66" s="37">
        <v>0</v>
      </c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spans="1:51" ht="14.15" hidden="1" customHeight="1" x14ac:dyDescent="0.35">
      <c r="A67">
        <v>3550</v>
      </c>
      <c r="B67">
        <v>5000</v>
      </c>
      <c r="C67">
        <v>0</v>
      </c>
      <c r="D67">
        <v>0</v>
      </c>
      <c r="E67">
        <v>6000</v>
      </c>
      <c r="F67">
        <v>2700</v>
      </c>
      <c r="G67">
        <v>2000</v>
      </c>
      <c r="H67">
        <v>1800</v>
      </c>
      <c r="I67">
        <v>0</v>
      </c>
      <c r="J67">
        <v>0</v>
      </c>
      <c r="K67">
        <v>0</v>
      </c>
      <c r="L67">
        <v>1500</v>
      </c>
      <c r="M67">
        <v>2000</v>
      </c>
      <c r="N67">
        <v>1500</v>
      </c>
      <c r="O67">
        <v>3000</v>
      </c>
      <c r="P67">
        <v>0</v>
      </c>
      <c r="Q67">
        <v>0</v>
      </c>
      <c r="R67">
        <v>0</v>
      </c>
      <c r="S67">
        <v>0</v>
      </c>
      <c r="T67">
        <v>165665048</v>
      </c>
      <c r="U67" s="19">
        <f t="shared" si="8"/>
        <v>305050</v>
      </c>
      <c r="V67" s="20">
        <f t="shared" si="2"/>
        <v>29050</v>
      </c>
      <c r="W67" s="20">
        <v>108000</v>
      </c>
      <c r="X67" s="20">
        <f t="shared" si="9"/>
        <v>126000</v>
      </c>
      <c r="Y67" s="20"/>
      <c r="Z67" s="20">
        <f t="shared" si="3"/>
        <v>126000</v>
      </c>
      <c r="AA67" s="20">
        <v>132000</v>
      </c>
      <c r="AB67" s="20">
        <f t="shared" si="4"/>
        <v>150000</v>
      </c>
      <c r="AC67" s="20"/>
      <c r="AD67" s="20">
        <f t="shared" si="5"/>
        <v>150000</v>
      </c>
      <c r="AE67" s="20">
        <v>0</v>
      </c>
      <c r="AF67" s="20">
        <v>0</v>
      </c>
      <c r="AG67" s="20">
        <f t="shared" si="6"/>
        <v>0</v>
      </c>
      <c r="AH67" s="20">
        <v>0</v>
      </c>
      <c r="AI67" s="37">
        <v>0</v>
      </c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spans="1:51" ht="14.15" hidden="1" customHeight="1" x14ac:dyDescent="0.35">
      <c r="A68">
        <v>0</v>
      </c>
      <c r="B68">
        <v>5000</v>
      </c>
      <c r="C68">
        <v>0</v>
      </c>
      <c r="D68">
        <v>0</v>
      </c>
      <c r="E68">
        <v>6000</v>
      </c>
      <c r="F68">
        <v>2700</v>
      </c>
      <c r="G68">
        <v>1500</v>
      </c>
      <c r="H68">
        <v>1450</v>
      </c>
      <c r="I68">
        <v>0</v>
      </c>
      <c r="J68">
        <v>0</v>
      </c>
      <c r="K68">
        <v>0</v>
      </c>
      <c r="L68">
        <v>1500</v>
      </c>
      <c r="M68">
        <v>2000</v>
      </c>
      <c r="N68">
        <v>1500</v>
      </c>
      <c r="O68">
        <v>3000</v>
      </c>
      <c r="P68">
        <v>0</v>
      </c>
      <c r="Q68">
        <v>0</v>
      </c>
      <c r="R68">
        <v>0</v>
      </c>
      <c r="S68">
        <v>0</v>
      </c>
      <c r="T68">
        <v>187669872</v>
      </c>
      <c r="U68" s="19">
        <f t="shared" ref="U68:U99" si="10" xml:space="preserve"> SUM(V68, Z68, AD68, AG68, AH68, AI68)</f>
        <v>348650</v>
      </c>
      <c r="V68" s="20">
        <f t="shared" si="2"/>
        <v>24650</v>
      </c>
      <c r="W68" s="20">
        <v>144000</v>
      </c>
      <c r="X68" s="20">
        <f t="shared" si="9"/>
        <v>162000</v>
      </c>
      <c r="Y68" s="20"/>
      <c r="Z68" s="20">
        <f t="shared" si="3"/>
        <v>162000</v>
      </c>
      <c r="AA68" s="20">
        <v>144000</v>
      </c>
      <c r="AB68" s="20">
        <f t="shared" si="4"/>
        <v>162000</v>
      </c>
      <c r="AC68" s="20"/>
      <c r="AD68" s="20">
        <f t="shared" si="5"/>
        <v>162000</v>
      </c>
      <c r="AE68" s="20">
        <v>0</v>
      </c>
      <c r="AF68" s="20">
        <v>0</v>
      </c>
      <c r="AG68" s="20">
        <f t="shared" si="6"/>
        <v>0</v>
      </c>
      <c r="AH68" s="20">
        <v>0</v>
      </c>
      <c r="AI68" s="37">
        <v>0</v>
      </c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spans="1:51" ht="14.15" hidden="1" customHeight="1" x14ac:dyDescent="0.35">
      <c r="A69">
        <v>0</v>
      </c>
      <c r="B69">
        <v>0</v>
      </c>
      <c r="C69">
        <v>0</v>
      </c>
      <c r="D69">
        <v>0</v>
      </c>
      <c r="E69">
        <v>6000</v>
      </c>
      <c r="F69">
        <v>1275</v>
      </c>
      <c r="G69">
        <v>2000</v>
      </c>
      <c r="H69">
        <v>1700</v>
      </c>
      <c r="I69">
        <v>0</v>
      </c>
      <c r="J69">
        <v>0</v>
      </c>
      <c r="K69">
        <v>0</v>
      </c>
      <c r="L69">
        <v>1500</v>
      </c>
      <c r="M69">
        <v>2000</v>
      </c>
      <c r="N69">
        <v>1500</v>
      </c>
      <c r="O69">
        <v>3000</v>
      </c>
      <c r="P69">
        <v>0</v>
      </c>
      <c r="Q69">
        <v>0</v>
      </c>
      <c r="R69">
        <v>0</v>
      </c>
      <c r="S69">
        <v>0</v>
      </c>
      <c r="T69">
        <v>79721574</v>
      </c>
      <c r="U69" s="19">
        <f t="shared" si="10"/>
        <v>312975</v>
      </c>
      <c r="V69" s="20">
        <f t="shared" si="2"/>
        <v>18975</v>
      </c>
      <c r="W69" s="20">
        <v>120000</v>
      </c>
      <c r="X69" s="20">
        <f t="shared" si="9"/>
        <v>138000</v>
      </c>
      <c r="Y69" s="20"/>
      <c r="Z69" s="20">
        <f t="shared" si="3"/>
        <v>138000</v>
      </c>
      <c r="AA69" s="20">
        <v>138000</v>
      </c>
      <c r="AB69" s="20">
        <f t="shared" si="4"/>
        <v>156000</v>
      </c>
      <c r="AC69" s="20"/>
      <c r="AD69" s="20">
        <f t="shared" si="5"/>
        <v>156000</v>
      </c>
      <c r="AE69" s="20">
        <v>0</v>
      </c>
      <c r="AF69" s="20">
        <v>0</v>
      </c>
      <c r="AG69" s="20">
        <f t="shared" si="6"/>
        <v>0</v>
      </c>
      <c r="AH69" s="20">
        <v>0</v>
      </c>
      <c r="AI69" s="37">
        <v>0</v>
      </c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1:51" ht="14.15" hidden="1" customHeight="1" x14ac:dyDescent="0.35">
      <c r="A70">
        <v>4550</v>
      </c>
      <c r="B70">
        <v>0</v>
      </c>
      <c r="C70">
        <v>0</v>
      </c>
      <c r="D70">
        <v>0</v>
      </c>
      <c r="E70">
        <v>6000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163666773</v>
      </c>
      <c r="U70" s="19">
        <f t="shared" si="10"/>
        <v>275150</v>
      </c>
      <c r="V70" s="20">
        <f t="shared" si="2"/>
        <v>10550</v>
      </c>
      <c r="W70" s="20">
        <v>120000</v>
      </c>
      <c r="X70" s="20">
        <f t="shared" si="9"/>
        <v>138000</v>
      </c>
      <c r="Y70" s="20">
        <v>12600</v>
      </c>
      <c r="Z70" s="20">
        <f t="shared" si="3"/>
        <v>150600</v>
      </c>
      <c r="AA70" s="20">
        <v>96000</v>
      </c>
      <c r="AB70" s="20">
        <f t="shared" si="4"/>
        <v>114000</v>
      </c>
      <c r="AC70" s="20"/>
      <c r="AD70" s="20">
        <f t="shared" si="5"/>
        <v>114000</v>
      </c>
      <c r="AE70" s="20">
        <v>0</v>
      </c>
      <c r="AF70" s="20">
        <v>0</v>
      </c>
      <c r="AG70" s="20">
        <f t="shared" si="6"/>
        <v>0</v>
      </c>
      <c r="AH70" s="20">
        <v>0</v>
      </c>
      <c r="AI70" s="37">
        <v>0</v>
      </c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spans="1:51" ht="14.15" hidden="1" customHeight="1" x14ac:dyDescent="0.35">
      <c r="A71">
        <v>0</v>
      </c>
      <c r="B71">
        <v>0</v>
      </c>
      <c r="C71">
        <v>0</v>
      </c>
      <c r="D71">
        <v>0</v>
      </c>
      <c r="E71">
        <v>6000</v>
      </c>
      <c r="F71">
        <v>2700</v>
      </c>
      <c r="G71">
        <v>1000</v>
      </c>
      <c r="H71">
        <v>1700</v>
      </c>
      <c r="I71">
        <v>0</v>
      </c>
      <c r="J71">
        <v>0</v>
      </c>
      <c r="K71">
        <v>0</v>
      </c>
      <c r="L71">
        <v>0</v>
      </c>
      <c r="M71">
        <v>0</v>
      </c>
      <c r="N71">
        <v>1500</v>
      </c>
      <c r="O71">
        <v>0</v>
      </c>
      <c r="P71">
        <v>0</v>
      </c>
      <c r="Q71">
        <v>0</v>
      </c>
      <c r="R71">
        <v>0</v>
      </c>
      <c r="S71">
        <v>0</v>
      </c>
      <c r="T71">
        <v>190660810</v>
      </c>
      <c r="U71" s="19">
        <f t="shared" si="10"/>
        <v>257700</v>
      </c>
      <c r="V71" s="20">
        <f t="shared" si="2"/>
        <v>12900</v>
      </c>
      <c r="W71" s="20"/>
      <c r="X71" s="20">
        <v>108000</v>
      </c>
      <c r="Y71" s="20">
        <v>14400</v>
      </c>
      <c r="Z71" s="20">
        <v>122400</v>
      </c>
      <c r="AA71" s="20">
        <v>90000</v>
      </c>
      <c r="AB71" s="20">
        <f t="shared" si="4"/>
        <v>108000</v>
      </c>
      <c r="AC71" s="20">
        <v>14400</v>
      </c>
      <c r="AD71" s="20">
        <f t="shared" si="5"/>
        <v>122400</v>
      </c>
      <c r="AE71" s="20">
        <v>0</v>
      </c>
      <c r="AF71" s="20">
        <v>0</v>
      </c>
      <c r="AG71" s="20">
        <f t="shared" si="6"/>
        <v>0</v>
      </c>
      <c r="AH71" s="20">
        <v>0</v>
      </c>
      <c r="AI71" s="37">
        <v>0</v>
      </c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spans="1:51" ht="14.15" hidden="1" customHeight="1" x14ac:dyDescent="0.35">
      <c r="A72">
        <v>4500</v>
      </c>
      <c r="B72">
        <v>0</v>
      </c>
      <c r="C72">
        <v>0</v>
      </c>
      <c r="D72">
        <v>0</v>
      </c>
      <c r="E72">
        <v>6000</v>
      </c>
      <c r="F72">
        <v>2700</v>
      </c>
      <c r="G72">
        <v>3000</v>
      </c>
      <c r="H72">
        <v>1800</v>
      </c>
      <c r="I72">
        <v>0</v>
      </c>
      <c r="J72">
        <v>0</v>
      </c>
      <c r="K72">
        <v>0</v>
      </c>
      <c r="L72">
        <v>1500</v>
      </c>
      <c r="M72">
        <v>2000</v>
      </c>
      <c r="N72">
        <v>1500</v>
      </c>
      <c r="O72">
        <v>3000</v>
      </c>
      <c r="P72">
        <v>0</v>
      </c>
      <c r="Q72">
        <v>0</v>
      </c>
      <c r="R72">
        <v>0</v>
      </c>
      <c r="S72">
        <v>0</v>
      </c>
      <c r="T72">
        <v>221726363</v>
      </c>
      <c r="U72" s="19">
        <f t="shared" si="10"/>
        <v>404000</v>
      </c>
      <c r="V72" s="20">
        <f t="shared" si="2"/>
        <v>26000</v>
      </c>
      <c r="W72" s="20">
        <v>174000</v>
      </c>
      <c r="X72" s="20">
        <f t="shared" ref="X72:X114" si="11">W72+3*6000</f>
        <v>192000</v>
      </c>
      <c r="Y72" s="20"/>
      <c r="Z72" s="20">
        <f t="shared" si="3"/>
        <v>192000</v>
      </c>
      <c r="AA72" s="20"/>
      <c r="AB72" s="20">
        <v>168000</v>
      </c>
      <c r="AC72" s="20">
        <v>18000</v>
      </c>
      <c r="AD72" s="20">
        <f t="shared" si="5"/>
        <v>186000</v>
      </c>
      <c r="AE72" s="20">
        <v>0</v>
      </c>
      <c r="AF72" s="20">
        <v>0</v>
      </c>
      <c r="AG72" s="20">
        <f t="shared" si="6"/>
        <v>0</v>
      </c>
      <c r="AH72" s="20">
        <v>0</v>
      </c>
      <c r="AI72" s="37">
        <v>0</v>
      </c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spans="1:51" ht="14.15" hidden="1" customHeight="1" x14ac:dyDescent="0.35">
      <c r="A73">
        <v>0</v>
      </c>
      <c r="B73">
        <v>0</v>
      </c>
      <c r="C73">
        <v>0</v>
      </c>
      <c r="D73">
        <v>0</v>
      </c>
      <c r="E73">
        <v>6000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208608407</v>
      </c>
      <c r="U73" s="19">
        <f t="shared" si="10"/>
        <v>270000</v>
      </c>
      <c r="V73" s="20">
        <f t="shared" si="2"/>
        <v>6000</v>
      </c>
      <c r="W73" s="20">
        <v>90000</v>
      </c>
      <c r="X73" s="20">
        <f t="shared" si="11"/>
        <v>108000</v>
      </c>
      <c r="Y73" s="20"/>
      <c r="Z73" s="20">
        <f t="shared" si="3"/>
        <v>108000</v>
      </c>
      <c r="AA73" s="20">
        <v>138000</v>
      </c>
      <c r="AB73" s="20">
        <f t="shared" si="4"/>
        <v>156000</v>
      </c>
      <c r="AC73" s="20"/>
      <c r="AD73" s="20">
        <f t="shared" si="5"/>
        <v>156000</v>
      </c>
      <c r="AE73" s="20">
        <v>0</v>
      </c>
      <c r="AF73" s="20">
        <v>0</v>
      </c>
      <c r="AG73" s="20">
        <f t="shared" si="6"/>
        <v>0</v>
      </c>
      <c r="AH73" s="20">
        <v>0</v>
      </c>
      <c r="AI73" s="37">
        <v>0</v>
      </c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spans="1:51" ht="14.15" hidden="1" customHeight="1" x14ac:dyDescent="0.35">
      <c r="A74">
        <v>4050</v>
      </c>
      <c r="B74">
        <v>5000</v>
      </c>
      <c r="C74">
        <v>0</v>
      </c>
      <c r="D74">
        <v>0</v>
      </c>
      <c r="E74">
        <v>6000</v>
      </c>
      <c r="F74">
        <v>2700</v>
      </c>
      <c r="G74">
        <v>1000</v>
      </c>
      <c r="H74">
        <v>1450</v>
      </c>
      <c r="I74">
        <v>0</v>
      </c>
      <c r="J74">
        <v>0</v>
      </c>
      <c r="K74">
        <v>0</v>
      </c>
      <c r="L74">
        <v>1500</v>
      </c>
      <c r="M74">
        <v>2000</v>
      </c>
      <c r="N74">
        <v>1500</v>
      </c>
      <c r="O74">
        <v>3000</v>
      </c>
      <c r="P74">
        <v>0</v>
      </c>
      <c r="Q74">
        <v>0</v>
      </c>
      <c r="R74">
        <v>0</v>
      </c>
      <c r="S74">
        <v>0</v>
      </c>
      <c r="T74">
        <v>190706258</v>
      </c>
      <c r="U74" s="19">
        <f t="shared" si="10"/>
        <v>321000</v>
      </c>
      <c r="V74" s="20">
        <f t="shared" si="2"/>
        <v>28200</v>
      </c>
      <c r="W74" s="20">
        <v>108000</v>
      </c>
      <c r="X74" s="20">
        <f t="shared" si="11"/>
        <v>126000</v>
      </c>
      <c r="Y74" s="20">
        <v>10800</v>
      </c>
      <c r="Z74" s="20">
        <f t="shared" si="3"/>
        <v>136800</v>
      </c>
      <c r="AA74" s="20">
        <v>138000</v>
      </c>
      <c r="AB74" s="20">
        <f t="shared" si="4"/>
        <v>156000</v>
      </c>
      <c r="AC74" s="20"/>
      <c r="AD74" s="20">
        <f t="shared" si="5"/>
        <v>156000</v>
      </c>
      <c r="AE74" s="20">
        <v>0</v>
      </c>
      <c r="AF74" s="20">
        <v>0</v>
      </c>
      <c r="AG74" s="20">
        <f t="shared" si="6"/>
        <v>0</v>
      </c>
      <c r="AH74" s="20">
        <v>0</v>
      </c>
      <c r="AI74" s="37">
        <v>0</v>
      </c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1:51" ht="14.15" hidden="1" customHeight="1" x14ac:dyDescent="0.35">
      <c r="A75">
        <v>4000</v>
      </c>
      <c r="B75">
        <v>5000</v>
      </c>
      <c r="C75">
        <v>0</v>
      </c>
      <c r="D75">
        <v>0</v>
      </c>
      <c r="E75">
        <v>6000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1500</v>
      </c>
      <c r="M75">
        <v>2000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152882424</v>
      </c>
      <c r="U75" s="19">
        <f t="shared" si="10"/>
        <v>342500</v>
      </c>
      <c r="V75" s="20">
        <f t="shared" si="2"/>
        <v>18500</v>
      </c>
      <c r="W75" s="20">
        <v>150000</v>
      </c>
      <c r="X75" s="20">
        <f t="shared" si="11"/>
        <v>168000</v>
      </c>
      <c r="Y75" s="20"/>
      <c r="Z75" s="20">
        <f t="shared" si="3"/>
        <v>168000</v>
      </c>
      <c r="AA75" s="20">
        <v>138000</v>
      </c>
      <c r="AB75" s="20">
        <f t="shared" si="4"/>
        <v>156000</v>
      </c>
      <c r="AC75" s="20"/>
      <c r="AD75" s="20">
        <f t="shared" si="5"/>
        <v>156000</v>
      </c>
      <c r="AE75" s="20">
        <v>0</v>
      </c>
      <c r="AF75" s="20">
        <v>0</v>
      </c>
      <c r="AG75" s="20">
        <f t="shared" si="6"/>
        <v>0</v>
      </c>
      <c r="AH75" s="20">
        <v>0</v>
      </c>
      <c r="AI75" s="37">
        <v>0</v>
      </c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1:51" ht="14.15" hidden="1" customHeight="1" x14ac:dyDescent="0.35">
      <c r="A76">
        <v>3750</v>
      </c>
      <c r="B76">
        <v>5000</v>
      </c>
      <c r="C76">
        <v>0</v>
      </c>
      <c r="D76">
        <v>0</v>
      </c>
      <c r="E76">
        <v>6000</v>
      </c>
      <c r="F76">
        <v>1275</v>
      </c>
      <c r="G76">
        <v>1500</v>
      </c>
      <c r="H76">
        <v>1450</v>
      </c>
      <c r="I76">
        <v>0</v>
      </c>
      <c r="J76">
        <v>0</v>
      </c>
      <c r="K76">
        <v>0</v>
      </c>
      <c r="L76">
        <v>1500</v>
      </c>
      <c r="M76">
        <v>2000</v>
      </c>
      <c r="N76">
        <v>0</v>
      </c>
      <c r="O76">
        <v>3000</v>
      </c>
      <c r="P76">
        <v>0</v>
      </c>
      <c r="Q76">
        <v>0</v>
      </c>
      <c r="R76">
        <v>0</v>
      </c>
      <c r="S76">
        <v>0</v>
      </c>
      <c r="T76">
        <v>201689697</v>
      </c>
      <c r="U76" s="19">
        <f t="shared" si="10"/>
        <v>289475</v>
      </c>
      <c r="V76" s="20">
        <f t="shared" si="2"/>
        <v>25475</v>
      </c>
      <c r="W76" s="20">
        <v>120000</v>
      </c>
      <c r="X76" s="20">
        <f t="shared" si="11"/>
        <v>138000</v>
      </c>
      <c r="Y76" s="20"/>
      <c r="Z76" s="20">
        <f t="shared" si="3"/>
        <v>138000</v>
      </c>
      <c r="AA76" s="20">
        <v>108000</v>
      </c>
      <c r="AB76" s="20">
        <f t="shared" si="4"/>
        <v>126000</v>
      </c>
      <c r="AC76" s="20"/>
      <c r="AD76" s="20">
        <f t="shared" si="5"/>
        <v>126000</v>
      </c>
      <c r="AE76" s="20">
        <v>0</v>
      </c>
      <c r="AF76" s="20">
        <v>0</v>
      </c>
      <c r="AG76" s="20">
        <f t="shared" si="6"/>
        <v>0</v>
      </c>
      <c r="AH76" s="20">
        <v>0</v>
      </c>
      <c r="AI76" s="37">
        <v>0</v>
      </c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1:51" ht="14.15" hidden="1" customHeight="1" x14ac:dyDescent="0.35">
      <c r="A77">
        <v>0</v>
      </c>
      <c r="B77">
        <v>0</v>
      </c>
      <c r="C77">
        <v>0</v>
      </c>
      <c r="D77">
        <v>0</v>
      </c>
      <c r="E77">
        <v>6000</v>
      </c>
      <c r="F77">
        <v>2700</v>
      </c>
      <c r="G77">
        <v>1000</v>
      </c>
      <c r="H77">
        <v>0</v>
      </c>
      <c r="I77">
        <v>0</v>
      </c>
      <c r="J77">
        <v>0</v>
      </c>
      <c r="K77">
        <v>0</v>
      </c>
      <c r="L77">
        <v>1500</v>
      </c>
      <c r="M77">
        <v>2000</v>
      </c>
      <c r="N77">
        <v>0</v>
      </c>
      <c r="O77">
        <v>3000</v>
      </c>
      <c r="P77">
        <v>0</v>
      </c>
      <c r="Q77">
        <v>0</v>
      </c>
      <c r="R77">
        <v>0</v>
      </c>
      <c r="S77">
        <v>0</v>
      </c>
      <c r="T77">
        <v>40845740</v>
      </c>
      <c r="U77" s="19">
        <f t="shared" si="10"/>
        <v>346800</v>
      </c>
      <c r="V77" s="20">
        <f t="shared" si="2"/>
        <v>16200</v>
      </c>
      <c r="W77" s="20">
        <v>132000</v>
      </c>
      <c r="X77" s="20">
        <f t="shared" si="11"/>
        <v>150000</v>
      </c>
      <c r="Y77" s="20">
        <v>12600</v>
      </c>
      <c r="Z77" s="20">
        <f t="shared" si="3"/>
        <v>162600</v>
      </c>
      <c r="AA77" s="20">
        <v>132000</v>
      </c>
      <c r="AB77" s="20">
        <f t="shared" si="4"/>
        <v>150000</v>
      </c>
      <c r="AC77" s="20">
        <v>18000</v>
      </c>
      <c r="AD77" s="20">
        <f t="shared" si="5"/>
        <v>168000</v>
      </c>
      <c r="AE77" s="20">
        <v>0</v>
      </c>
      <c r="AF77" s="20">
        <v>0</v>
      </c>
      <c r="AG77" s="20">
        <f t="shared" si="6"/>
        <v>0</v>
      </c>
      <c r="AH77" s="20">
        <v>0</v>
      </c>
      <c r="AI77" s="37">
        <v>0</v>
      </c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1:51" ht="14.15" hidden="1" customHeight="1" x14ac:dyDescent="0.35">
      <c r="A78">
        <v>0</v>
      </c>
      <c r="B78">
        <v>0</v>
      </c>
      <c r="C78">
        <v>0</v>
      </c>
      <c r="D78">
        <v>0</v>
      </c>
      <c r="E78">
        <v>6000</v>
      </c>
      <c r="F78">
        <v>2700</v>
      </c>
      <c r="G78">
        <v>1000</v>
      </c>
      <c r="H78">
        <v>1450</v>
      </c>
      <c r="I78">
        <v>0</v>
      </c>
      <c r="J78">
        <v>0</v>
      </c>
      <c r="K78">
        <v>0</v>
      </c>
      <c r="L78">
        <v>1500</v>
      </c>
      <c r="M78">
        <v>2000</v>
      </c>
      <c r="N78">
        <v>1500</v>
      </c>
      <c r="O78">
        <v>3000</v>
      </c>
      <c r="P78">
        <v>0</v>
      </c>
      <c r="Q78">
        <v>0</v>
      </c>
      <c r="R78">
        <v>0</v>
      </c>
      <c r="S78">
        <v>0</v>
      </c>
      <c r="T78">
        <v>5902184</v>
      </c>
      <c r="U78" s="19">
        <f t="shared" si="10"/>
        <v>265150</v>
      </c>
      <c r="V78" s="20">
        <f t="shared" si="2"/>
        <v>19150</v>
      </c>
      <c r="W78" s="20">
        <v>120000</v>
      </c>
      <c r="X78" s="20">
        <f t="shared" si="11"/>
        <v>138000</v>
      </c>
      <c r="Y78" s="20"/>
      <c r="Z78" s="20">
        <f t="shared" si="3"/>
        <v>138000</v>
      </c>
      <c r="AA78" s="20">
        <v>90000</v>
      </c>
      <c r="AB78" s="20">
        <f t="shared" si="4"/>
        <v>108000</v>
      </c>
      <c r="AC78" s="20"/>
      <c r="AD78" s="20">
        <f t="shared" si="5"/>
        <v>108000</v>
      </c>
      <c r="AE78" s="20">
        <v>0</v>
      </c>
      <c r="AF78" s="20">
        <v>0</v>
      </c>
      <c r="AG78" s="20">
        <f t="shared" si="6"/>
        <v>0</v>
      </c>
      <c r="AH78" s="20">
        <v>0</v>
      </c>
      <c r="AI78" s="37">
        <v>0</v>
      </c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1:51" ht="14.15" hidden="1" customHeight="1" x14ac:dyDescent="0.35">
      <c r="A79">
        <v>4500</v>
      </c>
      <c r="B79">
        <v>5000</v>
      </c>
      <c r="C79">
        <v>0</v>
      </c>
      <c r="D79">
        <v>0</v>
      </c>
      <c r="E79">
        <v>6000</v>
      </c>
      <c r="F79">
        <v>2700</v>
      </c>
      <c r="G79">
        <v>3000</v>
      </c>
      <c r="H79">
        <v>1450</v>
      </c>
      <c r="I79">
        <v>0</v>
      </c>
      <c r="J79">
        <v>0</v>
      </c>
      <c r="K79">
        <v>0</v>
      </c>
      <c r="L79">
        <v>1500</v>
      </c>
      <c r="M79">
        <v>2000</v>
      </c>
      <c r="N79">
        <v>1500</v>
      </c>
      <c r="O79">
        <v>3000</v>
      </c>
      <c r="P79">
        <v>0</v>
      </c>
      <c r="Q79">
        <v>0</v>
      </c>
      <c r="R79">
        <v>0</v>
      </c>
      <c r="S79">
        <v>0</v>
      </c>
      <c r="T79">
        <v>802889520</v>
      </c>
      <c r="U79" s="19">
        <f t="shared" si="10"/>
        <v>384650</v>
      </c>
      <c r="V79" s="20">
        <f t="shared" si="2"/>
        <v>30650</v>
      </c>
      <c r="W79" s="20">
        <v>168000</v>
      </c>
      <c r="X79" s="20">
        <f t="shared" si="11"/>
        <v>186000</v>
      </c>
      <c r="Y79" s="20"/>
      <c r="Z79" s="20">
        <f t="shared" si="3"/>
        <v>186000</v>
      </c>
      <c r="AA79" s="20">
        <v>150000</v>
      </c>
      <c r="AB79" s="20">
        <f t="shared" si="4"/>
        <v>168000</v>
      </c>
      <c r="AC79" s="20"/>
      <c r="AD79" s="20">
        <f t="shared" si="5"/>
        <v>168000</v>
      </c>
      <c r="AE79" s="20">
        <v>0</v>
      </c>
      <c r="AF79" s="20">
        <v>0</v>
      </c>
      <c r="AG79" s="20">
        <f t="shared" si="6"/>
        <v>0</v>
      </c>
      <c r="AH79" s="20">
        <v>0</v>
      </c>
      <c r="AI79" s="37">
        <v>0</v>
      </c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spans="1:51" ht="14.15" hidden="1" customHeight="1" x14ac:dyDescent="0.35">
      <c r="A80">
        <v>4000</v>
      </c>
      <c r="B80">
        <v>5000</v>
      </c>
      <c r="C80">
        <v>0</v>
      </c>
      <c r="D80">
        <v>0</v>
      </c>
      <c r="E80">
        <v>6000</v>
      </c>
      <c r="F80">
        <v>2700</v>
      </c>
      <c r="G80">
        <v>0</v>
      </c>
      <c r="H80">
        <v>0</v>
      </c>
      <c r="I80">
        <v>0</v>
      </c>
      <c r="J80">
        <v>0</v>
      </c>
      <c r="K80">
        <v>0</v>
      </c>
      <c r="L80">
        <v>1500</v>
      </c>
      <c r="M80">
        <v>0</v>
      </c>
      <c r="N80">
        <v>1500</v>
      </c>
      <c r="O80">
        <v>0</v>
      </c>
      <c r="P80">
        <v>0</v>
      </c>
      <c r="Q80">
        <v>0</v>
      </c>
      <c r="R80">
        <v>0</v>
      </c>
      <c r="S80">
        <v>0</v>
      </c>
      <c r="T80">
        <v>651079935</v>
      </c>
      <c r="U80" s="19">
        <f t="shared" si="10"/>
        <v>314700</v>
      </c>
      <c r="V80" s="20">
        <f t="shared" si="2"/>
        <v>20700</v>
      </c>
      <c r="W80" s="20">
        <v>120000</v>
      </c>
      <c r="X80" s="20">
        <f t="shared" si="11"/>
        <v>138000</v>
      </c>
      <c r="Y80" s="20"/>
      <c r="Z80" s="20">
        <f t="shared" si="3"/>
        <v>138000</v>
      </c>
      <c r="AA80" s="20">
        <v>138000</v>
      </c>
      <c r="AB80" s="20">
        <f t="shared" si="4"/>
        <v>156000</v>
      </c>
      <c r="AC80" s="20"/>
      <c r="AD80" s="20">
        <f t="shared" si="5"/>
        <v>156000</v>
      </c>
      <c r="AE80" s="20">
        <v>0</v>
      </c>
      <c r="AF80" s="20">
        <v>0</v>
      </c>
      <c r="AG80" s="20">
        <f t="shared" si="6"/>
        <v>0</v>
      </c>
      <c r="AH80" s="20">
        <v>0</v>
      </c>
      <c r="AI80" s="37">
        <v>0</v>
      </c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1:51" ht="14.15" hidden="1" customHeight="1" x14ac:dyDescent="0.35">
      <c r="A81">
        <v>5000</v>
      </c>
      <c r="B81">
        <v>5000</v>
      </c>
      <c r="C81">
        <v>0</v>
      </c>
      <c r="D81">
        <v>0</v>
      </c>
      <c r="E81">
        <v>6000</v>
      </c>
      <c r="F81">
        <v>1275</v>
      </c>
      <c r="G81">
        <v>0</v>
      </c>
      <c r="H81">
        <v>0</v>
      </c>
      <c r="I81">
        <v>0</v>
      </c>
      <c r="J81">
        <v>0</v>
      </c>
      <c r="K81">
        <v>0</v>
      </c>
      <c r="L81">
        <v>1500</v>
      </c>
      <c r="M81">
        <v>0</v>
      </c>
      <c r="N81">
        <v>1500</v>
      </c>
      <c r="O81">
        <v>0</v>
      </c>
      <c r="P81">
        <v>0</v>
      </c>
      <c r="Q81">
        <v>0</v>
      </c>
      <c r="R81">
        <v>0</v>
      </c>
      <c r="S81">
        <v>0</v>
      </c>
      <c r="T81">
        <v>802870010</v>
      </c>
      <c r="U81" s="19">
        <f t="shared" si="10"/>
        <v>356275</v>
      </c>
      <c r="V81" s="20">
        <f t="shared" si="2"/>
        <v>20275</v>
      </c>
      <c r="W81" s="20">
        <v>144000</v>
      </c>
      <c r="X81" s="20">
        <f t="shared" si="11"/>
        <v>162000</v>
      </c>
      <c r="Y81" s="20"/>
      <c r="Z81" s="20">
        <f t="shared" si="3"/>
        <v>162000</v>
      </c>
      <c r="AA81" s="20">
        <v>138000</v>
      </c>
      <c r="AB81" s="20">
        <f t="shared" si="4"/>
        <v>156000</v>
      </c>
      <c r="AC81" s="20">
        <v>18000</v>
      </c>
      <c r="AD81" s="20">
        <f t="shared" si="5"/>
        <v>174000</v>
      </c>
      <c r="AE81" s="20">
        <v>0</v>
      </c>
      <c r="AF81" s="20">
        <v>0</v>
      </c>
      <c r="AG81" s="20">
        <f t="shared" si="6"/>
        <v>0</v>
      </c>
      <c r="AH81" s="20">
        <v>0</v>
      </c>
      <c r="AI81" s="37">
        <v>0</v>
      </c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spans="1:51" ht="14.15" hidden="1" customHeight="1" x14ac:dyDescent="0.35">
      <c r="A82">
        <v>4500</v>
      </c>
      <c r="B82">
        <v>5000</v>
      </c>
      <c r="C82">
        <v>0</v>
      </c>
      <c r="D82">
        <v>0</v>
      </c>
      <c r="E82">
        <v>6000</v>
      </c>
      <c r="F82">
        <v>2700</v>
      </c>
      <c r="G82">
        <v>2000</v>
      </c>
      <c r="H82">
        <v>0</v>
      </c>
      <c r="I82">
        <v>0</v>
      </c>
      <c r="J82">
        <v>0</v>
      </c>
      <c r="K82">
        <v>0</v>
      </c>
      <c r="L82">
        <v>1500</v>
      </c>
      <c r="M82">
        <v>2000</v>
      </c>
      <c r="N82">
        <v>1500</v>
      </c>
      <c r="O82">
        <v>3000</v>
      </c>
      <c r="P82">
        <v>0</v>
      </c>
      <c r="Q82">
        <v>0</v>
      </c>
      <c r="R82">
        <v>0</v>
      </c>
      <c r="S82">
        <v>0</v>
      </c>
      <c r="T82">
        <v>193647888</v>
      </c>
      <c r="U82" s="19">
        <f t="shared" si="10"/>
        <v>338400</v>
      </c>
      <c r="V82" s="20">
        <f t="shared" si="2"/>
        <v>28200</v>
      </c>
      <c r="W82" s="20">
        <v>126000</v>
      </c>
      <c r="X82" s="20">
        <f t="shared" si="11"/>
        <v>144000</v>
      </c>
      <c r="Y82" s="20">
        <v>18000</v>
      </c>
      <c r="Z82" s="20">
        <f t="shared" si="3"/>
        <v>162000</v>
      </c>
      <c r="AA82" s="20">
        <v>114000</v>
      </c>
      <c r="AB82" s="20">
        <f t="shared" si="4"/>
        <v>132000</v>
      </c>
      <c r="AC82" s="20">
        <v>16200</v>
      </c>
      <c r="AD82" s="20">
        <f t="shared" si="5"/>
        <v>148200</v>
      </c>
      <c r="AE82" s="20">
        <v>0</v>
      </c>
      <c r="AF82" s="20">
        <v>0</v>
      </c>
      <c r="AG82" s="20">
        <f t="shared" si="6"/>
        <v>0</v>
      </c>
      <c r="AH82" s="20">
        <v>0</v>
      </c>
      <c r="AI82" s="37">
        <v>0</v>
      </c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1:51" ht="14.15" hidden="1" customHeight="1" x14ac:dyDescent="0.35">
      <c r="A83">
        <v>3500</v>
      </c>
      <c r="B83">
        <v>5000</v>
      </c>
      <c r="C83">
        <v>0</v>
      </c>
      <c r="D83">
        <v>0</v>
      </c>
      <c r="E83">
        <v>6000</v>
      </c>
      <c r="F83">
        <v>2700</v>
      </c>
      <c r="G83">
        <v>2000</v>
      </c>
      <c r="H83">
        <v>0</v>
      </c>
      <c r="I83">
        <v>0</v>
      </c>
      <c r="J83">
        <v>0</v>
      </c>
      <c r="K83">
        <v>0</v>
      </c>
      <c r="L83">
        <v>1500</v>
      </c>
      <c r="M83">
        <v>2000</v>
      </c>
      <c r="N83">
        <v>1500</v>
      </c>
      <c r="O83">
        <v>3000</v>
      </c>
      <c r="P83">
        <v>0</v>
      </c>
      <c r="Q83">
        <v>0</v>
      </c>
      <c r="R83">
        <v>0</v>
      </c>
      <c r="S83">
        <v>0</v>
      </c>
      <c r="T83">
        <v>159663801</v>
      </c>
      <c r="U83" s="19">
        <f t="shared" si="10"/>
        <v>300200</v>
      </c>
      <c r="V83" s="20">
        <f t="shared" si="2"/>
        <v>27200</v>
      </c>
      <c r="W83" s="20">
        <v>114000</v>
      </c>
      <c r="X83" s="20">
        <f t="shared" si="11"/>
        <v>132000</v>
      </c>
      <c r="Y83" s="20">
        <v>10800</v>
      </c>
      <c r="Z83" s="20">
        <f t="shared" si="3"/>
        <v>142800</v>
      </c>
      <c r="AA83" s="20">
        <v>96000</v>
      </c>
      <c r="AB83" s="20">
        <f t="shared" si="4"/>
        <v>114000</v>
      </c>
      <c r="AC83" s="20">
        <v>16200</v>
      </c>
      <c r="AD83" s="20">
        <f t="shared" si="5"/>
        <v>130200</v>
      </c>
      <c r="AE83" s="20">
        <v>0</v>
      </c>
      <c r="AF83" s="20">
        <v>0</v>
      </c>
      <c r="AG83" s="20">
        <f t="shared" si="6"/>
        <v>0</v>
      </c>
      <c r="AH83" s="20">
        <v>0</v>
      </c>
      <c r="AI83" s="37">
        <v>0</v>
      </c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1:51" ht="14.15" hidden="1" customHeight="1" x14ac:dyDescent="0.35">
      <c r="A84">
        <v>4550</v>
      </c>
      <c r="B84">
        <v>5000</v>
      </c>
      <c r="C84">
        <v>0</v>
      </c>
      <c r="D84">
        <v>0</v>
      </c>
      <c r="E84">
        <v>6000</v>
      </c>
      <c r="F84">
        <v>1275</v>
      </c>
      <c r="G84">
        <v>1500</v>
      </c>
      <c r="H84">
        <v>0</v>
      </c>
      <c r="I84">
        <v>0</v>
      </c>
      <c r="J84">
        <v>0</v>
      </c>
      <c r="K84">
        <v>0</v>
      </c>
      <c r="L84">
        <v>1500</v>
      </c>
      <c r="M84">
        <v>2000</v>
      </c>
      <c r="N84">
        <v>1500</v>
      </c>
      <c r="O84">
        <v>3000</v>
      </c>
      <c r="P84">
        <v>0</v>
      </c>
      <c r="Q84">
        <v>0</v>
      </c>
      <c r="R84">
        <v>0</v>
      </c>
      <c r="S84">
        <v>0</v>
      </c>
      <c r="T84">
        <v>155784383</v>
      </c>
      <c r="U84" s="19">
        <f t="shared" si="10"/>
        <v>332325</v>
      </c>
      <c r="V84" s="20">
        <f t="shared" si="2"/>
        <v>26325</v>
      </c>
      <c r="W84" s="20">
        <v>126000</v>
      </c>
      <c r="X84" s="20">
        <f t="shared" si="11"/>
        <v>144000</v>
      </c>
      <c r="Y84" s="20"/>
      <c r="Z84" s="20">
        <f t="shared" si="3"/>
        <v>144000</v>
      </c>
      <c r="AA84" s="20">
        <v>144000</v>
      </c>
      <c r="AB84" s="20">
        <f t="shared" si="4"/>
        <v>162000</v>
      </c>
      <c r="AC84" s="20"/>
      <c r="AD84" s="20">
        <f t="shared" si="5"/>
        <v>162000</v>
      </c>
      <c r="AE84" s="20">
        <v>0</v>
      </c>
      <c r="AF84" s="20">
        <v>0</v>
      </c>
      <c r="AG84" s="20">
        <f t="shared" si="6"/>
        <v>0</v>
      </c>
      <c r="AH84" s="20">
        <v>0</v>
      </c>
      <c r="AI84" s="37">
        <v>0</v>
      </c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1:51" ht="14.15" hidden="1" customHeight="1" x14ac:dyDescent="0.35">
      <c r="A85">
        <v>4800</v>
      </c>
      <c r="B85">
        <v>5000</v>
      </c>
      <c r="C85">
        <v>0</v>
      </c>
      <c r="D85">
        <v>0</v>
      </c>
      <c r="E85">
        <v>6000</v>
      </c>
      <c r="F85">
        <v>2700</v>
      </c>
      <c r="G85">
        <v>1000</v>
      </c>
      <c r="H85">
        <v>1450</v>
      </c>
      <c r="I85">
        <v>0</v>
      </c>
      <c r="J85">
        <v>0</v>
      </c>
      <c r="K85">
        <v>0</v>
      </c>
      <c r="L85">
        <v>1500</v>
      </c>
      <c r="M85">
        <v>2000</v>
      </c>
      <c r="N85">
        <v>1500</v>
      </c>
      <c r="O85">
        <v>0</v>
      </c>
      <c r="P85">
        <v>0</v>
      </c>
      <c r="Q85">
        <v>0</v>
      </c>
      <c r="R85">
        <v>0</v>
      </c>
      <c r="S85">
        <v>0</v>
      </c>
      <c r="T85">
        <v>165705545</v>
      </c>
      <c r="U85" s="19">
        <f t="shared" si="10"/>
        <v>379950</v>
      </c>
      <c r="V85" s="20">
        <f t="shared" si="2"/>
        <v>25950</v>
      </c>
      <c r="W85" s="20">
        <v>156000</v>
      </c>
      <c r="X85" s="20">
        <f t="shared" si="11"/>
        <v>174000</v>
      </c>
      <c r="Y85" s="20"/>
      <c r="Z85" s="20">
        <f t="shared" si="3"/>
        <v>174000</v>
      </c>
      <c r="AA85" s="20">
        <v>144000</v>
      </c>
      <c r="AB85" s="20">
        <f t="shared" si="4"/>
        <v>162000</v>
      </c>
      <c r="AC85" s="20">
        <v>18000</v>
      </c>
      <c r="AD85" s="20">
        <f t="shared" si="5"/>
        <v>180000</v>
      </c>
      <c r="AE85" s="20">
        <v>0</v>
      </c>
      <c r="AF85" s="20">
        <v>0</v>
      </c>
      <c r="AG85" s="20">
        <f t="shared" si="6"/>
        <v>0</v>
      </c>
      <c r="AH85" s="20">
        <v>0</v>
      </c>
      <c r="AI85" s="37">
        <v>0</v>
      </c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spans="1:51" ht="14.15" hidden="1" customHeight="1" x14ac:dyDescent="0.35">
      <c r="A86">
        <v>4100</v>
      </c>
      <c r="B86">
        <v>4000</v>
      </c>
      <c r="C86">
        <v>0</v>
      </c>
      <c r="D86">
        <v>0</v>
      </c>
      <c r="E86">
        <v>6000</v>
      </c>
      <c r="F86">
        <v>0</v>
      </c>
      <c r="G86">
        <v>3000</v>
      </c>
      <c r="H86">
        <v>1700</v>
      </c>
      <c r="I86">
        <v>0</v>
      </c>
      <c r="J86">
        <v>0</v>
      </c>
      <c r="K86">
        <v>0</v>
      </c>
      <c r="L86">
        <v>1500</v>
      </c>
      <c r="M86">
        <v>2000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187684878</v>
      </c>
      <c r="U86" s="19">
        <f t="shared" si="10"/>
        <v>352300</v>
      </c>
      <c r="V86" s="20">
        <f t="shared" si="2"/>
        <v>22300</v>
      </c>
      <c r="W86" s="20">
        <v>156000</v>
      </c>
      <c r="X86" s="20">
        <f t="shared" si="11"/>
        <v>174000</v>
      </c>
      <c r="Y86" s="20"/>
      <c r="Z86" s="20">
        <f t="shared" si="3"/>
        <v>174000</v>
      </c>
      <c r="AA86" s="20">
        <v>138000</v>
      </c>
      <c r="AB86" s="20">
        <f t="shared" si="4"/>
        <v>156000</v>
      </c>
      <c r="AC86" s="20"/>
      <c r="AD86" s="20">
        <f t="shared" si="5"/>
        <v>156000</v>
      </c>
      <c r="AE86" s="20">
        <v>0</v>
      </c>
      <c r="AF86" s="20">
        <v>0</v>
      </c>
      <c r="AG86" s="20">
        <f t="shared" si="6"/>
        <v>0</v>
      </c>
      <c r="AH86" s="20">
        <v>0</v>
      </c>
      <c r="AI86" s="37">
        <v>0</v>
      </c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1:51" ht="14.15" hidden="1" customHeight="1" x14ac:dyDescent="0.35">
      <c r="A87">
        <v>0</v>
      </c>
      <c r="B87">
        <v>0</v>
      </c>
      <c r="C87">
        <v>0</v>
      </c>
      <c r="D87">
        <v>0</v>
      </c>
      <c r="E87">
        <v>6000</v>
      </c>
      <c r="F87">
        <v>2700</v>
      </c>
      <c r="G87">
        <v>1500</v>
      </c>
      <c r="H87">
        <v>0</v>
      </c>
      <c r="I87">
        <v>0</v>
      </c>
      <c r="J87">
        <v>0</v>
      </c>
      <c r="K87">
        <v>0</v>
      </c>
      <c r="L87">
        <v>1500</v>
      </c>
      <c r="M87">
        <v>2000</v>
      </c>
      <c r="N87">
        <v>1500</v>
      </c>
      <c r="O87">
        <v>3000</v>
      </c>
      <c r="P87">
        <v>0</v>
      </c>
      <c r="Q87">
        <v>0</v>
      </c>
      <c r="R87">
        <v>0</v>
      </c>
      <c r="S87">
        <v>0</v>
      </c>
      <c r="T87">
        <v>187685556</v>
      </c>
      <c r="U87" s="19">
        <f t="shared" si="10"/>
        <v>198200</v>
      </c>
      <c r="V87" s="20">
        <f t="shared" si="2"/>
        <v>18200</v>
      </c>
      <c r="W87" s="20">
        <v>84000</v>
      </c>
      <c r="X87" s="20">
        <f t="shared" si="11"/>
        <v>102000</v>
      </c>
      <c r="Y87" s="20"/>
      <c r="Z87" s="20">
        <f t="shared" si="3"/>
        <v>102000</v>
      </c>
      <c r="AA87" s="20">
        <v>60000</v>
      </c>
      <c r="AB87" s="20">
        <f t="shared" si="4"/>
        <v>78000</v>
      </c>
      <c r="AC87" s="20"/>
      <c r="AD87" s="20">
        <f t="shared" si="5"/>
        <v>78000</v>
      </c>
      <c r="AE87" s="20">
        <v>0</v>
      </c>
      <c r="AF87" s="20">
        <v>0</v>
      </c>
      <c r="AG87" s="20">
        <f t="shared" si="6"/>
        <v>0</v>
      </c>
      <c r="AH87" s="20">
        <v>0</v>
      </c>
      <c r="AI87" s="37">
        <v>0</v>
      </c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1:51" ht="14.15" hidden="1" customHeight="1" x14ac:dyDescent="0.35">
      <c r="A88">
        <v>0</v>
      </c>
      <c r="B88">
        <v>5000</v>
      </c>
      <c r="C88">
        <v>0</v>
      </c>
      <c r="D88">
        <v>0</v>
      </c>
      <c r="E88">
        <v>6000</v>
      </c>
      <c r="F88">
        <v>2700</v>
      </c>
      <c r="G88">
        <v>1500</v>
      </c>
      <c r="H88">
        <v>1450</v>
      </c>
      <c r="I88">
        <v>0</v>
      </c>
      <c r="J88">
        <v>0</v>
      </c>
      <c r="K88">
        <v>0</v>
      </c>
      <c r="L88">
        <v>1500</v>
      </c>
      <c r="M88">
        <v>2000</v>
      </c>
      <c r="N88">
        <v>1500</v>
      </c>
      <c r="O88">
        <v>3000</v>
      </c>
      <c r="P88">
        <v>0</v>
      </c>
      <c r="Q88">
        <v>0</v>
      </c>
      <c r="R88">
        <v>0</v>
      </c>
      <c r="S88">
        <v>0</v>
      </c>
      <c r="T88">
        <v>204644594</v>
      </c>
      <c r="U88" s="19">
        <f t="shared" si="10"/>
        <v>354650</v>
      </c>
      <c r="V88" s="20">
        <f t="shared" si="2"/>
        <v>24650</v>
      </c>
      <c r="W88" s="20">
        <v>144000</v>
      </c>
      <c r="X88" s="20">
        <f t="shared" si="11"/>
        <v>162000</v>
      </c>
      <c r="Y88" s="20"/>
      <c r="Z88" s="20">
        <f t="shared" si="3"/>
        <v>162000</v>
      </c>
      <c r="AA88" s="20">
        <v>132000</v>
      </c>
      <c r="AB88" s="20">
        <f t="shared" si="4"/>
        <v>150000</v>
      </c>
      <c r="AC88" s="20">
        <v>18000</v>
      </c>
      <c r="AD88" s="20">
        <f t="shared" si="5"/>
        <v>168000</v>
      </c>
      <c r="AE88" s="20">
        <v>0</v>
      </c>
      <c r="AF88" s="20">
        <v>0</v>
      </c>
      <c r="AG88" s="20">
        <f t="shared" si="6"/>
        <v>0</v>
      </c>
      <c r="AH88" s="20">
        <v>0</v>
      </c>
      <c r="AI88" s="37">
        <v>0</v>
      </c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1:51" ht="14.15" hidden="1" customHeight="1" x14ac:dyDescent="0.35">
      <c r="A89">
        <v>4550</v>
      </c>
      <c r="B89">
        <v>5000</v>
      </c>
      <c r="C89">
        <v>0</v>
      </c>
      <c r="D89">
        <v>0</v>
      </c>
      <c r="E89">
        <v>6000</v>
      </c>
      <c r="F89">
        <v>2700</v>
      </c>
      <c r="G89">
        <v>2500</v>
      </c>
      <c r="H89">
        <v>1700</v>
      </c>
      <c r="I89">
        <v>0</v>
      </c>
      <c r="J89">
        <v>0</v>
      </c>
      <c r="K89">
        <v>0</v>
      </c>
      <c r="L89">
        <v>0</v>
      </c>
      <c r="M89">
        <v>2000</v>
      </c>
      <c r="N89">
        <v>1500</v>
      </c>
      <c r="O89">
        <v>3000</v>
      </c>
      <c r="P89">
        <v>0</v>
      </c>
      <c r="Q89">
        <v>0</v>
      </c>
      <c r="R89">
        <v>0</v>
      </c>
      <c r="S89">
        <v>0</v>
      </c>
      <c r="T89">
        <v>175707104</v>
      </c>
      <c r="U89" s="19">
        <f t="shared" si="10"/>
        <v>354450</v>
      </c>
      <c r="V89" s="20">
        <f t="shared" si="2"/>
        <v>28950</v>
      </c>
      <c r="W89" s="20">
        <v>138000</v>
      </c>
      <c r="X89" s="20">
        <f t="shared" si="11"/>
        <v>156000</v>
      </c>
      <c r="Y89" s="20">
        <v>13500</v>
      </c>
      <c r="Z89" s="20">
        <f t="shared" si="3"/>
        <v>169500</v>
      </c>
      <c r="AA89" s="20">
        <v>138000</v>
      </c>
      <c r="AB89" s="20">
        <f t="shared" si="4"/>
        <v>156000</v>
      </c>
      <c r="AC89" s="20"/>
      <c r="AD89" s="20">
        <f t="shared" si="5"/>
        <v>156000</v>
      </c>
      <c r="AE89" s="20">
        <v>0</v>
      </c>
      <c r="AF89" s="20">
        <v>0</v>
      </c>
      <c r="AG89" s="20">
        <f t="shared" si="6"/>
        <v>0</v>
      </c>
      <c r="AH89" s="20">
        <v>0</v>
      </c>
      <c r="AI89" s="37">
        <v>0</v>
      </c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1:51" ht="14.15" hidden="1" customHeight="1" x14ac:dyDescent="0.35">
      <c r="A90">
        <v>4050</v>
      </c>
      <c r="B90">
        <v>5000</v>
      </c>
      <c r="C90">
        <v>0</v>
      </c>
      <c r="D90">
        <v>0</v>
      </c>
      <c r="E90">
        <v>6000</v>
      </c>
      <c r="F90">
        <v>2700</v>
      </c>
      <c r="G90">
        <v>0</v>
      </c>
      <c r="H90">
        <v>0</v>
      </c>
      <c r="I90">
        <v>0</v>
      </c>
      <c r="J90">
        <v>0</v>
      </c>
      <c r="K90">
        <v>0</v>
      </c>
      <c r="L90">
        <v>1500</v>
      </c>
      <c r="M90">
        <v>2000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84704510</v>
      </c>
      <c r="U90" s="19">
        <f t="shared" si="10"/>
        <v>357250</v>
      </c>
      <c r="V90" s="20">
        <f t="shared" ref="V90:V153" si="12">SUM(A90:S90)</f>
        <v>21250</v>
      </c>
      <c r="W90" s="20">
        <v>168000</v>
      </c>
      <c r="X90" s="20">
        <f t="shared" si="11"/>
        <v>186000</v>
      </c>
      <c r="Y90" s="20"/>
      <c r="Z90" s="20">
        <f t="shared" ref="Z90:Z153" si="13">SUM(X90:Y90)</f>
        <v>186000</v>
      </c>
      <c r="AA90" s="20">
        <v>132000</v>
      </c>
      <c r="AB90" s="20">
        <f t="shared" ref="AB90:AB153" si="14">AA90+18000</f>
        <v>150000</v>
      </c>
      <c r="AC90" s="20"/>
      <c r="AD90" s="20">
        <f t="shared" ref="AD90:AD153" si="15">SUM(AB90:AC90)</f>
        <v>150000</v>
      </c>
      <c r="AE90" s="20">
        <v>0</v>
      </c>
      <c r="AF90" s="20">
        <v>0</v>
      </c>
      <c r="AG90" s="20">
        <f t="shared" ref="AG90:AG153" si="16">SUM(AE90:AF90)</f>
        <v>0</v>
      </c>
      <c r="AH90" s="20">
        <v>0</v>
      </c>
      <c r="AI90" s="37">
        <v>0</v>
      </c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1:51" ht="14.15" hidden="1" customHeight="1" x14ac:dyDescent="0.35">
      <c r="A91">
        <v>3300</v>
      </c>
      <c r="B91">
        <v>5000</v>
      </c>
      <c r="C91">
        <v>0</v>
      </c>
      <c r="D91">
        <v>0</v>
      </c>
      <c r="E91">
        <v>6000</v>
      </c>
      <c r="F91">
        <v>2700</v>
      </c>
      <c r="G91">
        <v>1500</v>
      </c>
      <c r="H91">
        <v>0</v>
      </c>
      <c r="I91">
        <v>0</v>
      </c>
      <c r="J91">
        <v>0</v>
      </c>
      <c r="K91">
        <v>0</v>
      </c>
      <c r="L91">
        <v>1500</v>
      </c>
      <c r="M91">
        <v>2000</v>
      </c>
      <c r="N91">
        <v>1500</v>
      </c>
      <c r="O91">
        <v>3000</v>
      </c>
      <c r="P91">
        <v>0</v>
      </c>
      <c r="Q91">
        <v>0</v>
      </c>
      <c r="R91">
        <v>0</v>
      </c>
      <c r="S91">
        <v>0</v>
      </c>
      <c r="T91">
        <v>76705537</v>
      </c>
      <c r="U91" s="19">
        <f t="shared" si="10"/>
        <v>332500</v>
      </c>
      <c r="V91" s="20">
        <f t="shared" si="12"/>
        <v>26500</v>
      </c>
      <c r="W91" s="20">
        <v>126000</v>
      </c>
      <c r="X91" s="20">
        <f t="shared" si="11"/>
        <v>144000</v>
      </c>
      <c r="Y91" s="20"/>
      <c r="Z91" s="20">
        <f t="shared" si="13"/>
        <v>144000</v>
      </c>
      <c r="AA91" s="20">
        <v>126000</v>
      </c>
      <c r="AB91" s="20">
        <f t="shared" si="14"/>
        <v>144000</v>
      </c>
      <c r="AC91" s="20">
        <v>18000</v>
      </c>
      <c r="AD91" s="20">
        <f t="shared" si="15"/>
        <v>162000</v>
      </c>
      <c r="AE91" s="20">
        <v>0</v>
      </c>
      <c r="AF91" s="20">
        <v>0</v>
      </c>
      <c r="AG91" s="20">
        <f t="shared" si="16"/>
        <v>0</v>
      </c>
      <c r="AH91" s="20">
        <v>0</v>
      </c>
      <c r="AI91" s="37">
        <v>0</v>
      </c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1:51" ht="14.15" hidden="1" customHeight="1" x14ac:dyDescent="0.35">
      <c r="A92">
        <v>3800</v>
      </c>
      <c r="B92">
        <v>3500</v>
      </c>
      <c r="C92">
        <v>0</v>
      </c>
      <c r="D92">
        <v>0</v>
      </c>
      <c r="E92">
        <v>6000</v>
      </c>
      <c r="F92">
        <v>2700</v>
      </c>
      <c r="G92">
        <v>1000</v>
      </c>
      <c r="H92">
        <v>1450</v>
      </c>
      <c r="I92">
        <v>0</v>
      </c>
      <c r="J92">
        <v>0</v>
      </c>
      <c r="K92">
        <v>0</v>
      </c>
      <c r="L92">
        <v>1500</v>
      </c>
      <c r="M92">
        <v>2000</v>
      </c>
      <c r="N92">
        <v>1500</v>
      </c>
      <c r="O92">
        <v>0</v>
      </c>
      <c r="P92">
        <v>0</v>
      </c>
      <c r="Q92">
        <v>0</v>
      </c>
      <c r="R92">
        <v>0</v>
      </c>
      <c r="S92">
        <v>0</v>
      </c>
      <c r="T92">
        <v>176646612</v>
      </c>
      <c r="U92" s="19">
        <f t="shared" si="10"/>
        <v>320750</v>
      </c>
      <c r="V92" s="20">
        <f t="shared" si="12"/>
        <v>23450</v>
      </c>
      <c r="W92" s="20">
        <v>126000</v>
      </c>
      <c r="X92" s="20">
        <f t="shared" si="11"/>
        <v>144000</v>
      </c>
      <c r="Y92" s="20">
        <v>15300</v>
      </c>
      <c r="Z92" s="20">
        <f t="shared" si="13"/>
        <v>159300</v>
      </c>
      <c r="AA92" s="20">
        <v>120000</v>
      </c>
      <c r="AB92" s="20">
        <f t="shared" si="14"/>
        <v>138000</v>
      </c>
      <c r="AC92" s="20"/>
      <c r="AD92" s="20">
        <f t="shared" si="15"/>
        <v>138000</v>
      </c>
      <c r="AE92" s="20">
        <v>0</v>
      </c>
      <c r="AF92" s="20">
        <v>0</v>
      </c>
      <c r="AG92" s="20">
        <f t="shared" si="16"/>
        <v>0</v>
      </c>
      <c r="AH92" s="20">
        <v>0</v>
      </c>
      <c r="AI92" s="37">
        <v>0</v>
      </c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1:51" ht="14.15" hidden="1" customHeight="1" x14ac:dyDescent="0.35">
      <c r="A93">
        <v>4500</v>
      </c>
      <c r="B93">
        <v>5000</v>
      </c>
      <c r="C93">
        <v>0</v>
      </c>
      <c r="D93">
        <v>0</v>
      </c>
      <c r="E93">
        <v>6000</v>
      </c>
      <c r="F93">
        <v>2700</v>
      </c>
      <c r="G93">
        <v>1000</v>
      </c>
      <c r="H93">
        <v>1450</v>
      </c>
      <c r="I93">
        <v>0</v>
      </c>
      <c r="J93">
        <v>0</v>
      </c>
      <c r="K93">
        <v>0</v>
      </c>
      <c r="L93">
        <v>1500</v>
      </c>
      <c r="M93">
        <v>2000</v>
      </c>
      <c r="N93">
        <v>1500</v>
      </c>
      <c r="O93">
        <v>3000</v>
      </c>
      <c r="P93">
        <v>0</v>
      </c>
      <c r="Q93">
        <v>0</v>
      </c>
      <c r="R93">
        <v>0</v>
      </c>
      <c r="S93">
        <v>0</v>
      </c>
      <c r="T93">
        <v>208684430</v>
      </c>
      <c r="U93" s="19">
        <f t="shared" si="10"/>
        <v>418650</v>
      </c>
      <c r="V93" s="20">
        <f t="shared" si="12"/>
        <v>28650</v>
      </c>
      <c r="W93" s="20">
        <v>180000</v>
      </c>
      <c r="X93" s="20">
        <f t="shared" si="11"/>
        <v>198000</v>
      </c>
      <c r="Y93" s="20"/>
      <c r="Z93" s="20">
        <f t="shared" si="13"/>
        <v>198000</v>
      </c>
      <c r="AA93" s="20">
        <v>156000</v>
      </c>
      <c r="AB93" s="20">
        <f t="shared" si="14"/>
        <v>174000</v>
      </c>
      <c r="AC93" s="20">
        <v>18000</v>
      </c>
      <c r="AD93" s="20">
        <f t="shared" si="15"/>
        <v>192000</v>
      </c>
      <c r="AE93" s="20">
        <v>0</v>
      </c>
      <c r="AF93" s="20">
        <v>0</v>
      </c>
      <c r="AG93" s="20">
        <f t="shared" si="16"/>
        <v>0</v>
      </c>
      <c r="AH93" s="20">
        <v>0</v>
      </c>
      <c r="AI93" s="37">
        <v>0</v>
      </c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1:51" ht="14.15" hidden="1" customHeight="1" x14ac:dyDescent="0.35">
      <c r="A94">
        <v>3000</v>
      </c>
      <c r="B94">
        <v>5000</v>
      </c>
      <c r="C94">
        <v>0</v>
      </c>
      <c r="D94">
        <v>0</v>
      </c>
      <c r="E94">
        <v>6000</v>
      </c>
      <c r="F94">
        <v>2700</v>
      </c>
      <c r="G94">
        <v>1000</v>
      </c>
      <c r="H94">
        <v>1700</v>
      </c>
      <c r="I94">
        <v>0</v>
      </c>
      <c r="J94">
        <v>0</v>
      </c>
      <c r="K94">
        <v>0</v>
      </c>
      <c r="L94">
        <v>1500</v>
      </c>
      <c r="M94">
        <v>2000</v>
      </c>
      <c r="N94">
        <v>1500</v>
      </c>
      <c r="O94">
        <v>3000</v>
      </c>
      <c r="P94">
        <v>0</v>
      </c>
      <c r="Q94">
        <v>0</v>
      </c>
      <c r="R94">
        <v>0</v>
      </c>
      <c r="S94">
        <v>0</v>
      </c>
      <c r="T94">
        <v>173668321</v>
      </c>
      <c r="U94" s="19">
        <f t="shared" si="10"/>
        <v>303400</v>
      </c>
      <c r="V94" s="20">
        <f t="shared" si="12"/>
        <v>27400</v>
      </c>
      <c r="W94" s="20">
        <v>126000</v>
      </c>
      <c r="X94" s="20">
        <f t="shared" si="11"/>
        <v>144000</v>
      </c>
      <c r="Y94" s="20"/>
      <c r="Z94" s="20">
        <f t="shared" si="13"/>
        <v>144000</v>
      </c>
      <c r="AA94" s="20">
        <v>114000</v>
      </c>
      <c r="AB94" s="20">
        <f t="shared" si="14"/>
        <v>132000</v>
      </c>
      <c r="AC94" s="20"/>
      <c r="AD94" s="20">
        <f t="shared" si="15"/>
        <v>132000</v>
      </c>
      <c r="AE94" s="20">
        <v>0</v>
      </c>
      <c r="AF94" s="20">
        <v>0</v>
      </c>
      <c r="AG94" s="20">
        <f t="shared" si="16"/>
        <v>0</v>
      </c>
      <c r="AH94" s="20">
        <v>0</v>
      </c>
      <c r="AI94" s="37">
        <v>0</v>
      </c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ht="14.15" hidden="1" customHeight="1" x14ac:dyDescent="0.35">
      <c r="A95">
        <v>4000</v>
      </c>
      <c r="B95">
        <v>0</v>
      </c>
      <c r="C95">
        <v>0</v>
      </c>
      <c r="D95">
        <v>0</v>
      </c>
      <c r="E95">
        <v>6000</v>
      </c>
      <c r="F95">
        <v>2700</v>
      </c>
      <c r="G95">
        <v>1500</v>
      </c>
      <c r="H95">
        <v>1800</v>
      </c>
      <c r="I95">
        <v>0</v>
      </c>
      <c r="J95">
        <v>0</v>
      </c>
      <c r="K95">
        <v>0</v>
      </c>
      <c r="L95">
        <v>1500</v>
      </c>
      <c r="M95">
        <v>2000</v>
      </c>
      <c r="N95">
        <v>1500</v>
      </c>
      <c r="O95">
        <v>3000</v>
      </c>
      <c r="P95">
        <v>0</v>
      </c>
      <c r="Q95">
        <v>0</v>
      </c>
      <c r="R95">
        <v>0</v>
      </c>
      <c r="S95">
        <v>0</v>
      </c>
      <c r="T95">
        <v>175660117</v>
      </c>
      <c r="U95" s="19">
        <f t="shared" si="10"/>
        <v>264000</v>
      </c>
      <c r="V95" s="20">
        <f t="shared" si="12"/>
        <v>24000</v>
      </c>
      <c r="W95" s="20">
        <v>102000</v>
      </c>
      <c r="X95" s="20">
        <f t="shared" si="11"/>
        <v>120000</v>
      </c>
      <c r="Y95" s="20"/>
      <c r="Z95" s="20">
        <f t="shared" si="13"/>
        <v>120000</v>
      </c>
      <c r="AA95" s="20">
        <v>102000</v>
      </c>
      <c r="AB95" s="20">
        <f t="shared" si="14"/>
        <v>120000</v>
      </c>
      <c r="AC95" s="20"/>
      <c r="AD95" s="20">
        <f t="shared" si="15"/>
        <v>120000</v>
      </c>
      <c r="AE95" s="20">
        <v>0</v>
      </c>
      <c r="AF95" s="20">
        <v>0</v>
      </c>
      <c r="AG95" s="20">
        <f t="shared" si="16"/>
        <v>0</v>
      </c>
      <c r="AH95" s="20">
        <v>0</v>
      </c>
      <c r="AI95" s="37">
        <v>0</v>
      </c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1:51" ht="14.15" hidden="1" customHeight="1" x14ac:dyDescent="0.35">
      <c r="A96">
        <v>0</v>
      </c>
      <c r="B96">
        <v>0</v>
      </c>
      <c r="C96">
        <v>0</v>
      </c>
      <c r="D96">
        <v>0</v>
      </c>
      <c r="E96">
        <v>6000</v>
      </c>
      <c r="F96">
        <v>2700</v>
      </c>
      <c r="G96">
        <v>1000</v>
      </c>
      <c r="H96">
        <v>0</v>
      </c>
      <c r="I96">
        <v>0</v>
      </c>
      <c r="J96">
        <v>0</v>
      </c>
      <c r="K96">
        <v>0</v>
      </c>
      <c r="L96">
        <v>1500</v>
      </c>
      <c r="M96">
        <v>2000</v>
      </c>
      <c r="N96">
        <v>1500</v>
      </c>
      <c r="O96">
        <v>0</v>
      </c>
      <c r="P96">
        <v>0</v>
      </c>
      <c r="Q96">
        <v>0</v>
      </c>
      <c r="R96">
        <v>0</v>
      </c>
      <c r="S96">
        <v>0</v>
      </c>
      <c r="T96">
        <v>166642245</v>
      </c>
      <c r="U96" s="19">
        <f t="shared" si="10"/>
        <v>362700</v>
      </c>
      <c r="V96" s="20">
        <f t="shared" si="12"/>
        <v>14700</v>
      </c>
      <c r="W96" s="20">
        <v>156000</v>
      </c>
      <c r="X96" s="20">
        <f t="shared" si="11"/>
        <v>174000</v>
      </c>
      <c r="Y96" s="20"/>
      <c r="Z96" s="20">
        <f t="shared" si="13"/>
        <v>174000</v>
      </c>
      <c r="AA96" s="20">
        <v>156000</v>
      </c>
      <c r="AB96" s="20">
        <f t="shared" si="14"/>
        <v>174000</v>
      </c>
      <c r="AC96" s="20"/>
      <c r="AD96" s="20">
        <f t="shared" si="15"/>
        <v>174000</v>
      </c>
      <c r="AE96" s="20">
        <v>0</v>
      </c>
      <c r="AF96" s="20">
        <v>0</v>
      </c>
      <c r="AG96" s="20">
        <f t="shared" si="16"/>
        <v>0</v>
      </c>
      <c r="AH96" s="20">
        <v>0</v>
      </c>
      <c r="AI96" s="37">
        <v>0</v>
      </c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1:51" ht="14.15" hidden="1" customHeight="1" x14ac:dyDescent="0.35">
      <c r="A97">
        <v>0</v>
      </c>
      <c r="B97">
        <v>0</v>
      </c>
      <c r="C97">
        <v>0</v>
      </c>
      <c r="D97">
        <v>0</v>
      </c>
      <c r="E97">
        <v>6000</v>
      </c>
      <c r="F97">
        <v>2700</v>
      </c>
      <c r="G97">
        <v>0</v>
      </c>
      <c r="H97">
        <v>1700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166667624</v>
      </c>
      <c r="U97" s="19">
        <f t="shared" si="10"/>
        <v>268400</v>
      </c>
      <c r="V97" s="20">
        <f t="shared" si="12"/>
        <v>10400</v>
      </c>
      <c r="W97" s="20">
        <v>102000</v>
      </c>
      <c r="X97" s="20">
        <f t="shared" si="11"/>
        <v>120000</v>
      </c>
      <c r="Y97" s="20"/>
      <c r="Z97" s="20">
        <f t="shared" si="13"/>
        <v>120000</v>
      </c>
      <c r="AA97" s="20">
        <v>120000</v>
      </c>
      <c r="AB97" s="20">
        <f t="shared" si="14"/>
        <v>138000</v>
      </c>
      <c r="AC97" s="20"/>
      <c r="AD97" s="20">
        <f t="shared" si="15"/>
        <v>138000</v>
      </c>
      <c r="AE97" s="20">
        <v>0</v>
      </c>
      <c r="AF97" s="20">
        <v>0</v>
      </c>
      <c r="AG97" s="20">
        <f t="shared" si="16"/>
        <v>0</v>
      </c>
      <c r="AH97" s="20">
        <v>0</v>
      </c>
      <c r="AI97" s="37">
        <v>0</v>
      </c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spans="1:51" ht="14.15" hidden="1" customHeight="1" x14ac:dyDescent="0.35">
      <c r="A98">
        <v>4500</v>
      </c>
      <c r="B98">
        <v>5000</v>
      </c>
      <c r="C98">
        <v>0</v>
      </c>
      <c r="D98">
        <v>0</v>
      </c>
      <c r="E98">
        <v>6000</v>
      </c>
      <c r="F98">
        <v>2700</v>
      </c>
      <c r="G98">
        <v>1000</v>
      </c>
      <c r="H98">
        <v>1700</v>
      </c>
      <c r="I98">
        <v>0</v>
      </c>
      <c r="J98">
        <v>0</v>
      </c>
      <c r="K98">
        <v>0</v>
      </c>
      <c r="L98">
        <v>1500</v>
      </c>
      <c r="M98">
        <v>2000</v>
      </c>
      <c r="N98">
        <v>1500</v>
      </c>
      <c r="O98">
        <v>3000</v>
      </c>
      <c r="P98">
        <v>0</v>
      </c>
      <c r="Q98">
        <v>0</v>
      </c>
      <c r="R98">
        <v>0</v>
      </c>
      <c r="S98">
        <v>0</v>
      </c>
      <c r="T98">
        <v>138888128</v>
      </c>
      <c r="U98" s="19">
        <f t="shared" si="10"/>
        <v>339100</v>
      </c>
      <c r="V98" s="20">
        <f t="shared" si="12"/>
        <v>28900</v>
      </c>
      <c r="W98" s="20">
        <v>120000</v>
      </c>
      <c r="X98" s="20">
        <f t="shared" si="11"/>
        <v>138000</v>
      </c>
      <c r="Y98" s="20"/>
      <c r="Z98" s="20">
        <f t="shared" si="13"/>
        <v>138000</v>
      </c>
      <c r="AA98" s="20">
        <v>138000</v>
      </c>
      <c r="AB98" s="20">
        <f t="shared" si="14"/>
        <v>156000</v>
      </c>
      <c r="AC98" s="20">
        <v>16200</v>
      </c>
      <c r="AD98" s="20">
        <f t="shared" si="15"/>
        <v>172200</v>
      </c>
      <c r="AE98" s="20">
        <v>0</v>
      </c>
      <c r="AF98" s="20">
        <v>0</v>
      </c>
      <c r="AG98" s="20">
        <f t="shared" si="16"/>
        <v>0</v>
      </c>
      <c r="AH98" s="20">
        <v>0</v>
      </c>
      <c r="AI98" s="37">
        <v>0</v>
      </c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1:51" ht="14.15" hidden="1" customHeight="1" x14ac:dyDescent="0.35">
      <c r="A99">
        <v>4300</v>
      </c>
      <c r="B99">
        <v>5000</v>
      </c>
      <c r="C99">
        <v>0</v>
      </c>
      <c r="D99">
        <v>0</v>
      </c>
      <c r="E99">
        <v>6000</v>
      </c>
      <c r="F99">
        <v>2700</v>
      </c>
      <c r="G99">
        <v>2000</v>
      </c>
      <c r="H99">
        <v>1450</v>
      </c>
      <c r="I99">
        <v>0</v>
      </c>
      <c r="J99">
        <v>0</v>
      </c>
      <c r="K99">
        <v>0</v>
      </c>
      <c r="L99">
        <v>1500</v>
      </c>
      <c r="M99">
        <v>2000</v>
      </c>
      <c r="N99">
        <v>1500</v>
      </c>
      <c r="O99">
        <v>3000</v>
      </c>
      <c r="P99">
        <v>0</v>
      </c>
      <c r="Q99">
        <v>0</v>
      </c>
      <c r="R99">
        <v>0</v>
      </c>
      <c r="S99">
        <v>0</v>
      </c>
      <c r="T99">
        <v>523613259</v>
      </c>
      <c r="U99" s="19">
        <f t="shared" si="10"/>
        <v>378050</v>
      </c>
      <c r="V99" s="20">
        <f t="shared" si="12"/>
        <v>29450</v>
      </c>
      <c r="W99" s="20">
        <v>138000</v>
      </c>
      <c r="X99" s="20">
        <f t="shared" si="11"/>
        <v>156000</v>
      </c>
      <c r="Y99" s="20">
        <v>12600</v>
      </c>
      <c r="Z99" s="20">
        <f t="shared" si="13"/>
        <v>168600</v>
      </c>
      <c r="AA99" s="20">
        <v>144000</v>
      </c>
      <c r="AB99" s="20">
        <f t="shared" si="14"/>
        <v>162000</v>
      </c>
      <c r="AC99" s="20">
        <v>18000</v>
      </c>
      <c r="AD99" s="20">
        <f t="shared" si="15"/>
        <v>180000</v>
      </c>
      <c r="AE99" s="20">
        <v>0</v>
      </c>
      <c r="AF99" s="20">
        <v>0</v>
      </c>
      <c r="AG99" s="20">
        <f t="shared" si="16"/>
        <v>0</v>
      </c>
      <c r="AH99" s="20">
        <v>0</v>
      </c>
      <c r="AI99" s="37">
        <v>0</v>
      </c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1:51" ht="14.15" hidden="1" customHeight="1" x14ac:dyDescent="0.35">
      <c r="A100">
        <v>4250</v>
      </c>
      <c r="B100">
        <v>5000</v>
      </c>
      <c r="C100">
        <v>0</v>
      </c>
      <c r="D100">
        <v>0</v>
      </c>
      <c r="E100">
        <v>6000</v>
      </c>
      <c r="F100">
        <v>2700</v>
      </c>
      <c r="G100">
        <v>1500</v>
      </c>
      <c r="H100">
        <v>1450</v>
      </c>
      <c r="I100">
        <v>0</v>
      </c>
      <c r="J100">
        <v>0</v>
      </c>
      <c r="K100">
        <v>0</v>
      </c>
      <c r="L100">
        <v>1500</v>
      </c>
      <c r="M100">
        <v>2000</v>
      </c>
      <c r="N100">
        <v>1500</v>
      </c>
      <c r="O100">
        <v>3000</v>
      </c>
      <c r="P100">
        <v>0</v>
      </c>
      <c r="Q100">
        <v>0</v>
      </c>
      <c r="R100">
        <v>0</v>
      </c>
      <c r="S100">
        <v>0</v>
      </c>
      <c r="T100">
        <v>195682314</v>
      </c>
      <c r="U100" s="19">
        <f t="shared" ref="U100:U114" si="17" xml:space="preserve"> SUM(V100, Z100, AD100, AG100, AH100, AI100)</f>
        <v>393100</v>
      </c>
      <c r="V100" s="20">
        <f t="shared" si="12"/>
        <v>28900</v>
      </c>
      <c r="W100" s="20">
        <v>156000</v>
      </c>
      <c r="X100" s="20">
        <f t="shared" si="11"/>
        <v>174000</v>
      </c>
      <c r="Y100" s="20">
        <v>16200</v>
      </c>
      <c r="Z100" s="20">
        <f t="shared" si="13"/>
        <v>190200</v>
      </c>
      <c r="AA100" s="20">
        <v>138000</v>
      </c>
      <c r="AB100" s="20">
        <f t="shared" si="14"/>
        <v>156000</v>
      </c>
      <c r="AC100" s="20">
        <v>18000</v>
      </c>
      <c r="AD100" s="20">
        <f t="shared" si="15"/>
        <v>174000</v>
      </c>
      <c r="AE100" s="20">
        <v>0</v>
      </c>
      <c r="AF100" s="20">
        <v>0</v>
      </c>
      <c r="AG100" s="20">
        <f t="shared" si="16"/>
        <v>0</v>
      </c>
      <c r="AH100" s="20">
        <v>0</v>
      </c>
      <c r="AI100" s="37">
        <v>0</v>
      </c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1:51" ht="14.15" hidden="1" customHeight="1" x14ac:dyDescent="0.35">
      <c r="A101">
        <v>2550</v>
      </c>
      <c r="B101">
        <v>5000</v>
      </c>
      <c r="C101">
        <v>0</v>
      </c>
      <c r="D101">
        <v>0</v>
      </c>
      <c r="E101">
        <v>6000</v>
      </c>
      <c r="F101">
        <v>0</v>
      </c>
      <c r="G101">
        <v>1000</v>
      </c>
      <c r="H101">
        <v>1450</v>
      </c>
      <c r="I101">
        <v>0</v>
      </c>
      <c r="J101">
        <v>0</v>
      </c>
      <c r="K101">
        <v>0</v>
      </c>
      <c r="L101">
        <v>1500</v>
      </c>
      <c r="M101">
        <v>2000</v>
      </c>
      <c r="N101">
        <v>1500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136783158</v>
      </c>
      <c r="U101" s="19">
        <f t="shared" si="17"/>
        <v>285000</v>
      </c>
      <c r="V101" s="20">
        <f t="shared" si="12"/>
        <v>21000</v>
      </c>
      <c r="W101" s="20">
        <v>132000</v>
      </c>
      <c r="X101" s="20">
        <f t="shared" si="11"/>
        <v>150000</v>
      </c>
      <c r="Y101" s="20"/>
      <c r="Z101" s="20">
        <f t="shared" si="13"/>
        <v>150000</v>
      </c>
      <c r="AA101" s="20">
        <v>96000</v>
      </c>
      <c r="AB101" s="20">
        <f t="shared" si="14"/>
        <v>114000</v>
      </c>
      <c r="AC101" s="20"/>
      <c r="AD101" s="20">
        <f t="shared" si="15"/>
        <v>114000</v>
      </c>
      <c r="AE101" s="20">
        <v>0</v>
      </c>
      <c r="AF101" s="20">
        <v>0</v>
      </c>
      <c r="AG101" s="20">
        <f t="shared" si="16"/>
        <v>0</v>
      </c>
      <c r="AH101" s="20">
        <v>0</v>
      </c>
      <c r="AI101" s="37">
        <v>0</v>
      </c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spans="1:51" ht="14.15" hidden="1" customHeight="1" x14ac:dyDescent="0.35">
      <c r="A102">
        <v>0</v>
      </c>
      <c r="B102">
        <v>0</v>
      </c>
      <c r="C102">
        <v>0</v>
      </c>
      <c r="D102">
        <v>0</v>
      </c>
      <c r="E102">
        <v>6000</v>
      </c>
      <c r="F102">
        <v>2700</v>
      </c>
      <c r="G102">
        <v>1000</v>
      </c>
      <c r="H102">
        <v>1450</v>
      </c>
      <c r="I102">
        <v>0</v>
      </c>
      <c r="J102">
        <v>0</v>
      </c>
      <c r="K102">
        <v>0</v>
      </c>
      <c r="L102">
        <v>1500</v>
      </c>
      <c r="M102">
        <v>2000</v>
      </c>
      <c r="N102">
        <v>1500</v>
      </c>
      <c r="O102">
        <v>3000</v>
      </c>
      <c r="P102">
        <v>0</v>
      </c>
      <c r="Q102">
        <v>0</v>
      </c>
      <c r="R102">
        <v>0</v>
      </c>
      <c r="S102">
        <v>0</v>
      </c>
      <c r="T102">
        <v>124682792</v>
      </c>
      <c r="U102" s="19">
        <f t="shared" si="17"/>
        <v>379150</v>
      </c>
      <c r="V102" s="20">
        <f t="shared" si="12"/>
        <v>19150</v>
      </c>
      <c r="W102" s="20">
        <v>156000</v>
      </c>
      <c r="X102" s="20">
        <f t="shared" si="11"/>
        <v>174000</v>
      </c>
      <c r="Y102" s="20"/>
      <c r="Z102" s="20">
        <f t="shared" si="13"/>
        <v>174000</v>
      </c>
      <c r="AA102" s="20">
        <v>168000</v>
      </c>
      <c r="AB102" s="20">
        <f t="shared" si="14"/>
        <v>186000</v>
      </c>
      <c r="AC102" s="20"/>
      <c r="AD102" s="20">
        <f t="shared" si="15"/>
        <v>186000</v>
      </c>
      <c r="AE102" s="20">
        <v>0</v>
      </c>
      <c r="AF102" s="20">
        <v>0</v>
      </c>
      <c r="AG102" s="20">
        <f t="shared" si="16"/>
        <v>0</v>
      </c>
      <c r="AH102" s="20">
        <v>0</v>
      </c>
      <c r="AI102" s="37">
        <v>0</v>
      </c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1:51" ht="14.15" hidden="1" customHeight="1" x14ac:dyDescent="0.35">
      <c r="A103">
        <v>4500</v>
      </c>
      <c r="B103">
        <v>5000</v>
      </c>
      <c r="C103">
        <v>0</v>
      </c>
      <c r="D103">
        <v>0</v>
      </c>
      <c r="E103">
        <v>6000</v>
      </c>
      <c r="F103">
        <v>2700</v>
      </c>
      <c r="G103">
        <v>1000</v>
      </c>
      <c r="H103">
        <v>0</v>
      </c>
      <c r="I103">
        <v>0</v>
      </c>
      <c r="J103">
        <v>0</v>
      </c>
      <c r="K103">
        <v>0</v>
      </c>
      <c r="L103">
        <v>1500</v>
      </c>
      <c r="M103">
        <v>2000</v>
      </c>
      <c r="N103">
        <v>1500</v>
      </c>
      <c r="O103">
        <v>3000</v>
      </c>
      <c r="P103">
        <v>0</v>
      </c>
      <c r="Q103">
        <v>0</v>
      </c>
      <c r="R103">
        <v>0</v>
      </c>
      <c r="S103">
        <v>0</v>
      </c>
      <c r="T103">
        <v>179721656</v>
      </c>
      <c r="U103" s="19">
        <f t="shared" si="17"/>
        <v>285200</v>
      </c>
      <c r="V103" s="20">
        <f t="shared" si="12"/>
        <v>27200</v>
      </c>
      <c r="W103" s="20">
        <v>90000</v>
      </c>
      <c r="X103" s="20">
        <f t="shared" si="11"/>
        <v>108000</v>
      </c>
      <c r="Y103" s="20"/>
      <c r="Z103" s="20">
        <f t="shared" si="13"/>
        <v>108000</v>
      </c>
      <c r="AA103" s="20">
        <v>132000</v>
      </c>
      <c r="AB103" s="20">
        <f t="shared" si="14"/>
        <v>150000</v>
      </c>
      <c r="AC103" s="20"/>
      <c r="AD103" s="20">
        <f t="shared" si="15"/>
        <v>150000</v>
      </c>
      <c r="AE103" s="20">
        <v>0</v>
      </c>
      <c r="AF103" s="20">
        <v>0</v>
      </c>
      <c r="AG103" s="20">
        <f t="shared" si="16"/>
        <v>0</v>
      </c>
      <c r="AH103" s="20">
        <v>0</v>
      </c>
      <c r="AI103" s="37">
        <v>0</v>
      </c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1:51" ht="14.15" hidden="1" customHeight="1" x14ac:dyDescent="0.35">
      <c r="A104">
        <v>0</v>
      </c>
      <c r="B104">
        <v>5000</v>
      </c>
      <c r="C104">
        <v>0</v>
      </c>
      <c r="D104">
        <v>0</v>
      </c>
      <c r="E104">
        <v>6000</v>
      </c>
      <c r="F104">
        <v>2700</v>
      </c>
      <c r="G104">
        <v>1500</v>
      </c>
      <c r="H104">
        <v>0</v>
      </c>
      <c r="I104">
        <v>0</v>
      </c>
      <c r="J104">
        <v>0</v>
      </c>
      <c r="K104">
        <v>0</v>
      </c>
      <c r="L104">
        <v>1500</v>
      </c>
      <c r="M104">
        <v>2000</v>
      </c>
      <c r="N104">
        <v>1500</v>
      </c>
      <c r="O104">
        <v>3000</v>
      </c>
      <c r="P104">
        <v>0</v>
      </c>
      <c r="Q104">
        <v>0</v>
      </c>
      <c r="R104">
        <v>0</v>
      </c>
      <c r="S104">
        <v>0</v>
      </c>
      <c r="T104">
        <v>273861958</v>
      </c>
      <c r="U104" s="19">
        <f t="shared" si="17"/>
        <v>293200</v>
      </c>
      <c r="V104" s="20">
        <f t="shared" si="12"/>
        <v>23200</v>
      </c>
      <c r="W104" s="20">
        <v>114000</v>
      </c>
      <c r="X104" s="20">
        <f t="shared" si="11"/>
        <v>132000</v>
      </c>
      <c r="Y104" s="20"/>
      <c r="Z104" s="20">
        <f t="shared" si="13"/>
        <v>132000</v>
      </c>
      <c r="AA104" s="20">
        <v>120000</v>
      </c>
      <c r="AB104" s="20">
        <f t="shared" si="14"/>
        <v>138000</v>
      </c>
      <c r="AC104" s="20"/>
      <c r="AD104" s="20">
        <f t="shared" si="15"/>
        <v>138000</v>
      </c>
      <c r="AE104" s="20">
        <v>0</v>
      </c>
      <c r="AF104" s="20">
        <v>0</v>
      </c>
      <c r="AG104" s="20">
        <f t="shared" si="16"/>
        <v>0</v>
      </c>
      <c r="AH104" s="20">
        <v>0</v>
      </c>
      <c r="AI104" s="37">
        <v>0</v>
      </c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1:51" ht="14.15" hidden="1" customHeight="1" x14ac:dyDescent="0.35">
      <c r="A105">
        <v>5000</v>
      </c>
      <c r="B105">
        <v>4500</v>
      </c>
      <c r="C105">
        <v>0</v>
      </c>
      <c r="D105">
        <v>0</v>
      </c>
      <c r="E105">
        <v>6000</v>
      </c>
      <c r="F105">
        <v>2700</v>
      </c>
      <c r="G105">
        <v>1000</v>
      </c>
      <c r="H105">
        <v>1450</v>
      </c>
      <c r="I105">
        <v>0</v>
      </c>
      <c r="J105">
        <v>0</v>
      </c>
      <c r="K105">
        <v>0</v>
      </c>
      <c r="L105">
        <v>1500</v>
      </c>
      <c r="M105">
        <v>2000</v>
      </c>
      <c r="N105">
        <v>1500</v>
      </c>
      <c r="O105">
        <v>3000</v>
      </c>
      <c r="P105">
        <v>0</v>
      </c>
      <c r="Q105">
        <v>0</v>
      </c>
      <c r="R105">
        <v>0</v>
      </c>
      <c r="S105">
        <v>0</v>
      </c>
      <c r="T105">
        <v>370086361</v>
      </c>
      <c r="U105" s="19">
        <f t="shared" si="17"/>
        <v>376650</v>
      </c>
      <c r="V105" s="20">
        <f t="shared" si="12"/>
        <v>28650</v>
      </c>
      <c r="W105" s="20">
        <v>162000</v>
      </c>
      <c r="X105" s="20">
        <f t="shared" si="11"/>
        <v>180000</v>
      </c>
      <c r="Y105" s="20"/>
      <c r="Z105" s="20">
        <f t="shared" si="13"/>
        <v>180000</v>
      </c>
      <c r="AA105" s="20">
        <v>132000</v>
      </c>
      <c r="AB105" s="20">
        <f t="shared" si="14"/>
        <v>150000</v>
      </c>
      <c r="AC105" s="20">
        <v>18000</v>
      </c>
      <c r="AD105" s="20">
        <f t="shared" si="15"/>
        <v>168000</v>
      </c>
      <c r="AE105" s="20">
        <v>0</v>
      </c>
      <c r="AF105" s="20">
        <v>0</v>
      </c>
      <c r="AG105" s="20">
        <f t="shared" si="16"/>
        <v>0</v>
      </c>
      <c r="AH105" s="20">
        <v>0</v>
      </c>
      <c r="AI105" s="37">
        <v>0</v>
      </c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1:51" ht="14.15" hidden="1" customHeight="1" x14ac:dyDescent="0.35">
      <c r="A106">
        <v>3550</v>
      </c>
      <c r="B106">
        <v>4000</v>
      </c>
      <c r="C106">
        <v>0</v>
      </c>
      <c r="D106">
        <v>0</v>
      </c>
      <c r="E106">
        <v>6000</v>
      </c>
      <c r="F106">
        <v>2700</v>
      </c>
      <c r="G106">
        <v>1500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2000</v>
      </c>
      <c r="N106">
        <v>1500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179742377</v>
      </c>
      <c r="U106" s="19">
        <f t="shared" si="17"/>
        <v>348550</v>
      </c>
      <c r="V106" s="20">
        <f t="shared" si="12"/>
        <v>21250</v>
      </c>
      <c r="W106" s="20">
        <v>132000</v>
      </c>
      <c r="X106" s="20">
        <f t="shared" si="11"/>
        <v>150000</v>
      </c>
      <c r="Y106" s="20">
        <v>17100</v>
      </c>
      <c r="Z106" s="20">
        <f t="shared" si="13"/>
        <v>167100</v>
      </c>
      <c r="AA106" s="20">
        <v>126000</v>
      </c>
      <c r="AB106" s="20">
        <f t="shared" si="14"/>
        <v>144000</v>
      </c>
      <c r="AC106" s="20">
        <v>16200</v>
      </c>
      <c r="AD106" s="20">
        <f t="shared" si="15"/>
        <v>160200</v>
      </c>
      <c r="AE106" s="20">
        <v>0</v>
      </c>
      <c r="AF106" s="20">
        <v>0</v>
      </c>
      <c r="AG106" s="20">
        <f t="shared" si="16"/>
        <v>0</v>
      </c>
      <c r="AH106" s="20">
        <v>0</v>
      </c>
      <c r="AI106" s="37">
        <v>0</v>
      </c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1:51" ht="14.15" hidden="1" customHeight="1" x14ac:dyDescent="0.35">
      <c r="A107">
        <v>4300</v>
      </c>
      <c r="B107">
        <v>5000</v>
      </c>
      <c r="C107">
        <v>0</v>
      </c>
      <c r="D107">
        <v>0</v>
      </c>
      <c r="E107">
        <v>6000</v>
      </c>
      <c r="F107">
        <v>1275</v>
      </c>
      <c r="G107">
        <v>0</v>
      </c>
      <c r="H107">
        <v>1700</v>
      </c>
      <c r="I107">
        <v>0</v>
      </c>
      <c r="J107">
        <v>0</v>
      </c>
      <c r="K107">
        <v>0</v>
      </c>
      <c r="L107">
        <v>1500</v>
      </c>
      <c r="M107">
        <v>2000</v>
      </c>
      <c r="N107">
        <v>1500</v>
      </c>
      <c r="O107">
        <v>3000</v>
      </c>
      <c r="P107">
        <v>0</v>
      </c>
      <c r="Q107">
        <v>0</v>
      </c>
      <c r="R107">
        <v>0</v>
      </c>
      <c r="S107">
        <v>0</v>
      </c>
      <c r="T107">
        <v>304946172</v>
      </c>
      <c r="U107" s="19">
        <f t="shared" si="17"/>
        <v>317275</v>
      </c>
      <c r="V107" s="20">
        <f t="shared" si="12"/>
        <v>26275</v>
      </c>
      <c r="W107" s="20">
        <v>120000</v>
      </c>
      <c r="X107" s="20">
        <f t="shared" si="11"/>
        <v>138000</v>
      </c>
      <c r="Y107" s="20">
        <v>12600</v>
      </c>
      <c r="Z107" s="20">
        <f t="shared" si="13"/>
        <v>150600</v>
      </c>
      <c r="AA107" s="20">
        <v>108000</v>
      </c>
      <c r="AB107" s="20">
        <f t="shared" si="14"/>
        <v>126000</v>
      </c>
      <c r="AC107" s="20">
        <v>14400</v>
      </c>
      <c r="AD107" s="20">
        <f t="shared" si="15"/>
        <v>140400</v>
      </c>
      <c r="AE107" s="20">
        <v>0</v>
      </c>
      <c r="AF107" s="20">
        <v>0</v>
      </c>
      <c r="AG107" s="20">
        <f t="shared" si="16"/>
        <v>0</v>
      </c>
      <c r="AH107" s="20">
        <v>0</v>
      </c>
      <c r="AI107" s="37">
        <v>0</v>
      </c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1:51" ht="14.15" hidden="1" customHeight="1" x14ac:dyDescent="0.35">
      <c r="A108">
        <v>4100</v>
      </c>
      <c r="B108">
        <v>5000</v>
      </c>
      <c r="C108">
        <v>0</v>
      </c>
      <c r="D108">
        <v>0</v>
      </c>
      <c r="E108">
        <v>6000</v>
      </c>
      <c r="F108">
        <v>2700</v>
      </c>
      <c r="G108">
        <v>1000</v>
      </c>
      <c r="H108">
        <v>0</v>
      </c>
      <c r="I108">
        <v>0</v>
      </c>
      <c r="J108">
        <v>0</v>
      </c>
      <c r="K108">
        <v>0</v>
      </c>
      <c r="L108">
        <v>1500</v>
      </c>
      <c r="M108">
        <v>2000</v>
      </c>
      <c r="N108">
        <v>1500</v>
      </c>
      <c r="O108">
        <v>3000</v>
      </c>
      <c r="P108">
        <v>0</v>
      </c>
      <c r="Q108">
        <v>0</v>
      </c>
      <c r="R108">
        <v>0</v>
      </c>
      <c r="S108">
        <v>0</v>
      </c>
      <c r="T108">
        <v>152764604</v>
      </c>
      <c r="U108" s="19">
        <f t="shared" si="17"/>
        <v>308800</v>
      </c>
      <c r="V108" s="20">
        <f t="shared" si="12"/>
        <v>26800</v>
      </c>
      <c r="W108" s="20">
        <v>114000</v>
      </c>
      <c r="X108" s="20">
        <f t="shared" si="11"/>
        <v>132000</v>
      </c>
      <c r="Y108" s="20"/>
      <c r="Z108" s="20">
        <f t="shared" si="13"/>
        <v>132000</v>
      </c>
      <c r="AA108" s="20">
        <v>132000</v>
      </c>
      <c r="AB108" s="20">
        <f t="shared" si="14"/>
        <v>150000</v>
      </c>
      <c r="AC108" s="20"/>
      <c r="AD108" s="20">
        <f t="shared" si="15"/>
        <v>150000</v>
      </c>
      <c r="AE108" s="20">
        <v>0</v>
      </c>
      <c r="AF108" s="20">
        <v>0</v>
      </c>
      <c r="AG108" s="20">
        <f t="shared" si="16"/>
        <v>0</v>
      </c>
      <c r="AH108" s="20">
        <v>0</v>
      </c>
      <c r="AI108" s="37">
        <v>0</v>
      </c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spans="1:51" ht="14.15" hidden="1" customHeight="1" x14ac:dyDescent="0.35">
      <c r="A109">
        <v>4550</v>
      </c>
      <c r="B109">
        <v>0</v>
      </c>
      <c r="C109">
        <v>0</v>
      </c>
      <c r="D109">
        <v>0</v>
      </c>
      <c r="E109">
        <v>6000</v>
      </c>
      <c r="F109">
        <v>1275</v>
      </c>
      <c r="G109">
        <v>2000</v>
      </c>
      <c r="H109">
        <v>1450</v>
      </c>
      <c r="I109">
        <v>0</v>
      </c>
      <c r="J109">
        <v>0</v>
      </c>
      <c r="K109">
        <v>0</v>
      </c>
      <c r="L109">
        <v>1500</v>
      </c>
      <c r="M109">
        <v>2000</v>
      </c>
      <c r="N109">
        <v>1500</v>
      </c>
      <c r="O109">
        <v>3000</v>
      </c>
      <c r="P109">
        <v>0</v>
      </c>
      <c r="Q109">
        <v>0</v>
      </c>
      <c r="R109">
        <v>0</v>
      </c>
      <c r="S109">
        <v>0</v>
      </c>
      <c r="T109">
        <v>190642024</v>
      </c>
      <c r="U109" s="19">
        <f t="shared" si="17"/>
        <v>293275</v>
      </c>
      <c r="V109" s="20">
        <f t="shared" si="12"/>
        <v>23275</v>
      </c>
      <c r="W109" s="20">
        <v>138000</v>
      </c>
      <c r="X109" s="20">
        <f t="shared" si="11"/>
        <v>156000</v>
      </c>
      <c r="Y109" s="20"/>
      <c r="Z109" s="20">
        <f t="shared" si="13"/>
        <v>156000</v>
      </c>
      <c r="AA109" s="20">
        <v>96000</v>
      </c>
      <c r="AB109" s="20">
        <f t="shared" si="14"/>
        <v>114000</v>
      </c>
      <c r="AC109" s="20"/>
      <c r="AD109" s="20">
        <f t="shared" si="15"/>
        <v>114000</v>
      </c>
      <c r="AE109" s="20">
        <v>0</v>
      </c>
      <c r="AF109" s="20">
        <v>0</v>
      </c>
      <c r="AG109" s="20">
        <f t="shared" si="16"/>
        <v>0</v>
      </c>
      <c r="AH109" s="20">
        <v>0</v>
      </c>
      <c r="AI109" s="37">
        <v>0</v>
      </c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spans="1:51" ht="14.15" hidden="1" customHeight="1" x14ac:dyDescent="0.35">
      <c r="A110">
        <v>4100</v>
      </c>
      <c r="B110">
        <v>5000</v>
      </c>
      <c r="C110">
        <v>0</v>
      </c>
      <c r="D110">
        <v>0</v>
      </c>
      <c r="E110">
        <v>6000</v>
      </c>
      <c r="F110">
        <v>2700</v>
      </c>
      <c r="G110">
        <v>1500</v>
      </c>
      <c r="H110">
        <v>0</v>
      </c>
      <c r="I110">
        <v>0</v>
      </c>
      <c r="J110">
        <v>0</v>
      </c>
      <c r="K110">
        <v>0</v>
      </c>
      <c r="L110">
        <v>1500</v>
      </c>
      <c r="M110">
        <v>2000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154848281</v>
      </c>
      <c r="U110" s="19">
        <f t="shared" si="17"/>
        <v>270300</v>
      </c>
      <c r="V110" s="20">
        <f t="shared" si="12"/>
        <v>22800</v>
      </c>
      <c r="W110" s="20">
        <v>102000</v>
      </c>
      <c r="X110" s="20">
        <f t="shared" si="11"/>
        <v>120000</v>
      </c>
      <c r="Y110" s="20">
        <v>13500</v>
      </c>
      <c r="Z110" s="20">
        <f t="shared" si="13"/>
        <v>133500</v>
      </c>
      <c r="AA110" s="20">
        <v>96000</v>
      </c>
      <c r="AB110" s="20">
        <f t="shared" si="14"/>
        <v>114000</v>
      </c>
      <c r="AC110" s="20"/>
      <c r="AD110" s="20">
        <f t="shared" si="15"/>
        <v>114000</v>
      </c>
      <c r="AE110" s="20">
        <v>0</v>
      </c>
      <c r="AF110" s="20">
        <v>0</v>
      </c>
      <c r="AG110" s="20">
        <f t="shared" si="16"/>
        <v>0</v>
      </c>
      <c r="AH110" s="20">
        <v>0</v>
      </c>
      <c r="AI110" s="37">
        <v>0</v>
      </c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spans="1:51" ht="14.15" hidden="1" customHeight="1" x14ac:dyDescent="0.35">
      <c r="A111">
        <v>0</v>
      </c>
      <c r="B111">
        <v>0</v>
      </c>
      <c r="C111">
        <v>0</v>
      </c>
      <c r="D111">
        <v>0</v>
      </c>
      <c r="E111">
        <v>6000</v>
      </c>
      <c r="F111">
        <v>2700</v>
      </c>
      <c r="G111">
        <v>1000</v>
      </c>
      <c r="H111">
        <v>0</v>
      </c>
      <c r="I111">
        <v>0</v>
      </c>
      <c r="J111">
        <v>0</v>
      </c>
      <c r="K111">
        <v>0</v>
      </c>
      <c r="L111">
        <v>1500</v>
      </c>
      <c r="M111">
        <v>2000</v>
      </c>
      <c r="N111">
        <v>1500</v>
      </c>
      <c r="O111">
        <v>3000</v>
      </c>
      <c r="P111">
        <v>0</v>
      </c>
      <c r="Q111">
        <v>0</v>
      </c>
      <c r="R111">
        <v>0</v>
      </c>
      <c r="S111">
        <v>0</v>
      </c>
      <c r="T111">
        <v>175665977</v>
      </c>
      <c r="U111" s="19">
        <f t="shared" si="17"/>
        <v>155700</v>
      </c>
      <c r="V111" s="20">
        <f t="shared" si="12"/>
        <v>17700</v>
      </c>
      <c r="W111" s="20">
        <v>102000</v>
      </c>
      <c r="X111" s="20">
        <f t="shared" si="11"/>
        <v>120000</v>
      </c>
      <c r="Y111" s="20">
        <v>18000</v>
      </c>
      <c r="Z111" s="20">
        <f t="shared" si="13"/>
        <v>138000</v>
      </c>
      <c r="AA111" s="20"/>
      <c r="AB111" s="20"/>
      <c r="AC111" s="20"/>
      <c r="AD111" s="20"/>
      <c r="AE111" s="20">
        <v>0</v>
      </c>
      <c r="AF111" s="20">
        <v>0</v>
      </c>
      <c r="AG111" s="20">
        <f t="shared" si="16"/>
        <v>0</v>
      </c>
      <c r="AH111" s="20">
        <v>0</v>
      </c>
      <c r="AI111" s="37">
        <v>0</v>
      </c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spans="1:51" ht="14.15" hidden="1" customHeight="1" x14ac:dyDescent="0.35">
      <c r="A112">
        <v>0</v>
      </c>
      <c r="B112">
        <v>0</v>
      </c>
      <c r="C112">
        <v>0</v>
      </c>
      <c r="D112">
        <v>0</v>
      </c>
      <c r="E112">
        <v>6000</v>
      </c>
      <c r="F112">
        <v>2700</v>
      </c>
      <c r="G112">
        <v>1500</v>
      </c>
      <c r="H112">
        <v>1200</v>
      </c>
      <c r="I112">
        <v>0</v>
      </c>
      <c r="J112">
        <v>0</v>
      </c>
      <c r="K112">
        <v>0</v>
      </c>
      <c r="L112">
        <v>1500</v>
      </c>
      <c r="M112">
        <v>2000</v>
      </c>
      <c r="N112">
        <v>1500</v>
      </c>
      <c r="O112">
        <v>3000</v>
      </c>
      <c r="P112">
        <v>0</v>
      </c>
      <c r="Q112">
        <v>0</v>
      </c>
      <c r="R112">
        <v>0</v>
      </c>
      <c r="S112">
        <v>0</v>
      </c>
      <c r="T112">
        <v>203704355</v>
      </c>
      <c r="U112" s="19">
        <f t="shared" si="17"/>
        <v>343400</v>
      </c>
      <c r="V112" s="20">
        <f t="shared" si="12"/>
        <v>19400</v>
      </c>
      <c r="W112" s="20">
        <v>138000</v>
      </c>
      <c r="X112" s="20">
        <f t="shared" si="11"/>
        <v>156000</v>
      </c>
      <c r="Y112" s="20"/>
      <c r="Z112" s="20">
        <f t="shared" si="13"/>
        <v>156000</v>
      </c>
      <c r="AA112" s="20">
        <v>150000</v>
      </c>
      <c r="AB112" s="20">
        <f t="shared" si="14"/>
        <v>168000</v>
      </c>
      <c r="AC112" s="20"/>
      <c r="AD112" s="20">
        <f t="shared" si="15"/>
        <v>168000</v>
      </c>
      <c r="AE112" s="20">
        <v>0</v>
      </c>
      <c r="AF112" s="20">
        <v>0</v>
      </c>
      <c r="AG112" s="20">
        <f t="shared" si="16"/>
        <v>0</v>
      </c>
      <c r="AH112" s="20">
        <v>0</v>
      </c>
      <c r="AI112" s="37">
        <v>0</v>
      </c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spans="1:51" ht="14.15" hidden="1" customHeight="1" x14ac:dyDescent="0.35">
      <c r="A113">
        <v>0</v>
      </c>
      <c r="B113">
        <v>0</v>
      </c>
      <c r="C113">
        <v>0</v>
      </c>
      <c r="D113">
        <v>0</v>
      </c>
      <c r="E113">
        <v>6000</v>
      </c>
      <c r="F113">
        <v>2700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1500</v>
      </c>
      <c r="M113">
        <v>2000</v>
      </c>
      <c r="N113">
        <v>1500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191665759</v>
      </c>
      <c r="U113" s="19">
        <f t="shared" si="17"/>
        <v>133700</v>
      </c>
      <c r="V113" s="20">
        <f t="shared" si="12"/>
        <v>13700</v>
      </c>
      <c r="W113" s="20">
        <v>102000</v>
      </c>
      <c r="X113" s="20">
        <f t="shared" si="11"/>
        <v>120000</v>
      </c>
      <c r="Y113" s="20"/>
      <c r="Z113" s="20">
        <f t="shared" si="13"/>
        <v>120000</v>
      </c>
      <c r="AA113" s="20"/>
      <c r="AB113" s="20"/>
      <c r="AC113" s="20"/>
      <c r="AD113" s="20"/>
      <c r="AE113" s="20">
        <v>0</v>
      </c>
      <c r="AF113" s="20">
        <v>0</v>
      </c>
      <c r="AG113" s="20">
        <f t="shared" si="16"/>
        <v>0</v>
      </c>
      <c r="AH113" s="20">
        <v>0</v>
      </c>
      <c r="AI113" s="37">
        <v>0</v>
      </c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spans="1:51" ht="14.15" hidden="1" customHeight="1" x14ac:dyDescent="0.35">
      <c r="A114">
        <v>4000</v>
      </c>
      <c r="B114">
        <v>5000</v>
      </c>
      <c r="C114">
        <v>0</v>
      </c>
      <c r="D114">
        <v>0</v>
      </c>
      <c r="E114">
        <v>6000</v>
      </c>
      <c r="F114">
        <v>2700</v>
      </c>
      <c r="G114">
        <v>1500</v>
      </c>
      <c r="H114">
        <v>1700</v>
      </c>
      <c r="I114">
        <v>0</v>
      </c>
      <c r="J114">
        <v>0</v>
      </c>
      <c r="K114">
        <v>0</v>
      </c>
      <c r="L114">
        <v>1500</v>
      </c>
      <c r="M114">
        <v>2000</v>
      </c>
      <c r="N114">
        <v>1500</v>
      </c>
      <c r="O114">
        <v>3000</v>
      </c>
      <c r="P114">
        <v>0</v>
      </c>
      <c r="Q114">
        <v>0</v>
      </c>
      <c r="R114">
        <v>0</v>
      </c>
      <c r="S114">
        <v>0</v>
      </c>
      <c r="T114">
        <v>148785482</v>
      </c>
      <c r="U114" s="19">
        <f t="shared" si="17"/>
        <v>346900</v>
      </c>
      <c r="V114" s="20">
        <f t="shared" si="12"/>
        <v>28900</v>
      </c>
      <c r="W114" s="20">
        <v>144000</v>
      </c>
      <c r="X114" s="20">
        <f t="shared" si="11"/>
        <v>162000</v>
      </c>
      <c r="Y114" s="20"/>
      <c r="Z114" s="20">
        <f t="shared" si="13"/>
        <v>162000</v>
      </c>
      <c r="AA114" s="20">
        <v>138000</v>
      </c>
      <c r="AB114" s="20">
        <f t="shared" si="14"/>
        <v>156000</v>
      </c>
      <c r="AC114" s="20"/>
      <c r="AD114" s="20">
        <f t="shared" si="15"/>
        <v>156000</v>
      </c>
      <c r="AE114" s="20">
        <v>0</v>
      </c>
      <c r="AF114" s="20">
        <v>0</v>
      </c>
      <c r="AG114" s="20">
        <f t="shared" si="16"/>
        <v>0</v>
      </c>
      <c r="AH114" s="20">
        <v>0</v>
      </c>
      <c r="AI114" s="37">
        <v>0</v>
      </c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spans="1:51" ht="14.15" hidden="1" customHeight="1" x14ac:dyDescent="0.35">
      <c r="A115">
        <v>0</v>
      </c>
      <c r="B115">
        <v>0</v>
      </c>
      <c r="C115">
        <v>0</v>
      </c>
      <c r="D115">
        <v>0</v>
      </c>
      <c r="E115">
        <v>6000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52743274</v>
      </c>
      <c r="U115" s="19"/>
      <c r="V115" s="20"/>
      <c r="W115" s="20"/>
      <c r="X115" s="20"/>
      <c r="Y115" s="20"/>
      <c r="Z115" s="20"/>
      <c r="AA115" s="20"/>
      <c r="AB115" s="20"/>
      <c r="AC115" s="20"/>
      <c r="AD115" s="20"/>
      <c r="AE115" s="20">
        <v>0</v>
      </c>
      <c r="AF115" s="20">
        <v>0</v>
      </c>
      <c r="AG115" s="20">
        <f t="shared" si="16"/>
        <v>0</v>
      </c>
      <c r="AH115" s="20">
        <v>0</v>
      </c>
      <c r="AI115" s="37">
        <v>0</v>
      </c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spans="1:51" ht="14.15" hidden="1" customHeight="1" x14ac:dyDescent="0.35">
      <c r="A116">
        <v>0</v>
      </c>
      <c r="B116">
        <v>0</v>
      </c>
      <c r="C116">
        <v>0</v>
      </c>
      <c r="D116">
        <v>0</v>
      </c>
      <c r="E116">
        <v>6000</v>
      </c>
      <c r="F116">
        <v>2700</v>
      </c>
      <c r="G116">
        <v>1500</v>
      </c>
      <c r="H116">
        <v>1900</v>
      </c>
      <c r="I116">
        <v>0</v>
      </c>
      <c r="J116">
        <v>0</v>
      </c>
      <c r="K116">
        <v>0</v>
      </c>
      <c r="L116">
        <v>0</v>
      </c>
      <c r="M116">
        <v>2000</v>
      </c>
      <c r="N116">
        <v>1500</v>
      </c>
      <c r="O116">
        <v>3000</v>
      </c>
      <c r="P116">
        <v>0</v>
      </c>
      <c r="Q116">
        <v>0</v>
      </c>
      <c r="R116">
        <v>0</v>
      </c>
      <c r="S116">
        <v>0</v>
      </c>
      <c r="T116">
        <v>34708707</v>
      </c>
      <c r="U116" s="19">
        <f t="shared" ref="U116:U127" si="18" xml:space="preserve"> SUM(V116, Z116, AD116, AG116, AH116, AI116)</f>
        <v>288600</v>
      </c>
      <c r="V116" s="20">
        <f t="shared" si="12"/>
        <v>18600</v>
      </c>
      <c r="W116" s="20">
        <v>114000</v>
      </c>
      <c r="X116" s="20">
        <f t="shared" ref="X116:X124" si="19">W116+3*6000</f>
        <v>132000</v>
      </c>
      <c r="Y116" s="20"/>
      <c r="Z116" s="20">
        <f t="shared" si="13"/>
        <v>132000</v>
      </c>
      <c r="AA116" s="20">
        <v>120000</v>
      </c>
      <c r="AB116" s="20">
        <f t="shared" si="14"/>
        <v>138000</v>
      </c>
      <c r="AC116" s="20"/>
      <c r="AD116" s="20">
        <f t="shared" si="15"/>
        <v>138000</v>
      </c>
      <c r="AE116" s="20">
        <v>0</v>
      </c>
      <c r="AF116" s="20">
        <v>0</v>
      </c>
      <c r="AG116" s="20">
        <f t="shared" si="16"/>
        <v>0</v>
      </c>
      <c r="AH116" s="20">
        <v>0</v>
      </c>
      <c r="AI116" s="37">
        <v>0</v>
      </c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spans="1:51" ht="14.15" hidden="1" customHeight="1" x14ac:dyDescent="0.35">
      <c r="A117">
        <v>4300</v>
      </c>
      <c r="B117">
        <v>5000</v>
      </c>
      <c r="C117">
        <v>0</v>
      </c>
      <c r="D117">
        <v>0</v>
      </c>
      <c r="E117">
        <v>6000</v>
      </c>
      <c r="F117">
        <v>2700</v>
      </c>
      <c r="G117">
        <v>0</v>
      </c>
      <c r="H117">
        <v>1450</v>
      </c>
      <c r="I117">
        <v>0</v>
      </c>
      <c r="J117">
        <v>0</v>
      </c>
      <c r="K117">
        <v>0</v>
      </c>
      <c r="L117">
        <v>1500</v>
      </c>
      <c r="M117">
        <v>0</v>
      </c>
      <c r="N117">
        <v>1500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182700142</v>
      </c>
      <c r="U117" s="19">
        <f t="shared" si="18"/>
        <v>376450</v>
      </c>
      <c r="V117" s="20">
        <f t="shared" si="12"/>
        <v>22450</v>
      </c>
      <c r="W117" s="20">
        <v>144000</v>
      </c>
      <c r="X117" s="20">
        <f t="shared" si="19"/>
        <v>162000</v>
      </c>
      <c r="Y117" s="20">
        <v>18000</v>
      </c>
      <c r="Z117" s="20">
        <f t="shared" si="13"/>
        <v>180000</v>
      </c>
      <c r="AA117" s="20">
        <v>138000</v>
      </c>
      <c r="AB117" s="20">
        <f t="shared" si="14"/>
        <v>156000</v>
      </c>
      <c r="AC117" s="20">
        <v>18000</v>
      </c>
      <c r="AD117" s="20">
        <f t="shared" si="15"/>
        <v>174000</v>
      </c>
      <c r="AE117" s="20">
        <v>0</v>
      </c>
      <c r="AF117" s="20">
        <v>0</v>
      </c>
      <c r="AG117" s="20">
        <f t="shared" si="16"/>
        <v>0</v>
      </c>
      <c r="AH117" s="20">
        <v>0</v>
      </c>
      <c r="AI117" s="37">
        <v>0</v>
      </c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spans="1:51" ht="14.15" hidden="1" customHeight="1" x14ac:dyDescent="0.35">
      <c r="A118">
        <v>4550</v>
      </c>
      <c r="B118">
        <v>5000</v>
      </c>
      <c r="C118">
        <v>0</v>
      </c>
      <c r="D118">
        <v>0</v>
      </c>
      <c r="E118">
        <v>6000</v>
      </c>
      <c r="F118">
        <v>2700</v>
      </c>
      <c r="G118">
        <v>0</v>
      </c>
      <c r="H118">
        <v>1700</v>
      </c>
      <c r="I118">
        <v>0</v>
      </c>
      <c r="J118">
        <v>0</v>
      </c>
      <c r="K118">
        <v>0</v>
      </c>
      <c r="L118">
        <v>1500</v>
      </c>
      <c r="M118">
        <v>2000</v>
      </c>
      <c r="N118">
        <v>1500</v>
      </c>
      <c r="O118">
        <v>3000</v>
      </c>
      <c r="P118">
        <v>0</v>
      </c>
      <c r="Q118">
        <v>0</v>
      </c>
      <c r="R118">
        <v>0</v>
      </c>
      <c r="S118">
        <v>0</v>
      </c>
      <c r="T118">
        <v>220084830</v>
      </c>
      <c r="U118" s="19">
        <f t="shared" si="18"/>
        <v>267950</v>
      </c>
      <c r="V118" s="20">
        <f t="shared" si="12"/>
        <v>27950</v>
      </c>
      <c r="W118" s="20">
        <v>126000</v>
      </c>
      <c r="X118" s="20">
        <f t="shared" si="19"/>
        <v>144000</v>
      </c>
      <c r="Y118" s="20"/>
      <c r="Z118" s="20">
        <f t="shared" si="13"/>
        <v>144000</v>
      </c>
      <c r="AA118" s="20">
        <v>78000</v>
      </c>
      <c r="AB118" s="20">
        <f t="shared" si="14"/>
        <v>96000</v>
      </c>
      <c r="AC118" s="20"/>
      <c r="AD118" s="20">
        <f t="shared" si="15"/>
        <v>96000</v>
      </c>
      <c r="AE118" s="20">
        <v>0</v>
      </c>
      <c r="AF118" s="20">
        <v>0</v>
      </c>
      <c r="AG118" s="20">
        <f t="shared" si="16"/>
        <v>0</v>
      </c>
      <c r="AH118" s="20">
        <v>0</v>
      </c>
      <c r="AI118" s="37">
        <v>0</v>
      </c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spans="1:51" ht="14.15" hidden="1" customHeight="1" x14ac:dyDescent="0.35">
      <c r="A119">
        <v>3750</v>
      </c>
      <c r="B119">
        <v>5000</v>
      </c>
      <c r="C119">
        <v>0</v>
      </c>
      <c r="D119">
        <v>0</v>
      </c>
      <c r="E119">
        <v>6000</v>
      </c>
      <c r="F119">
        <v>2700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1500</v>
      </c>
      <c r="M119">
        <v>2000</v>
      </c>
      <c r="N119">
        <v>1500</v>
      </c>
      <c r="O119">
        <v>3000</v>
      </c>
      <c r="P119">
        <v>0</v>
      </c>
      <c r="Q119">
        <v>0</v>
      </c>
      <c r="R119">
        <v>0</v>
      </c>
      <c r="S119">
        <v>0</v>
      </c>
      <c r="T119">
        <v>206642078</v>
      </c>
      <c r="U119" s="19">
        <f t="shared" si="18"/>
        <v>303450</v>
      </c>
      <c r="V119" s="20">
        <f t="shared" si="12"/>
        <v>27450</v>
      </c>
      <c r="W119" s="20">
        <v>114000</v>
      </c>
      <c r="X119" s="20">
        <f t="shared" si="19"/>
        <v>132000</v>
      </c>
      <c r="Y119" s="20"/>
      <c r="Z119" s="20">
        <f t="shared" si="13"/>
        <v>132000</v>
      </c>
      <c r="AA119" s="20">
        <v>126000</v>
      </c>
      <c r="AB119" s="20">
        <f t="shared" si="14"/>
        <v>144000</v>
      </c>
      <c r="AC119" s="20"/>
      <c r="AD119" s="20">
        <f t="shared" si="15"/>
        <v>144000</v>
      </c>
      <c r="AE119" s="20">
        <v>0</v>
      </c>
      <c r="AF119" s="20">
        <v>0</v>
      </c>
      <c r="AG119" s="20">
        <f t="shared" si="16"/>
        <v>0</v>
      </c>
      <c r="AH119" s="20">
        <v>0</v>
      </c>
      <c r="AI119" s="37">
        <v>0</v>
      </c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spans="1:51" ht="14.15" hidden="1" customHeight="1" x14ac:dyDescent="0.35">
      <c r="A120">
        <v>3850</v>
      </c>
      <c r="B120">
        <v>0</v>
      </c>
      <c r="C120">
        <v>0</v>
      </c>
      <c r="D120">
        <v>0</v>
      </c>
      <c r="E120">
        <v>6000</v>
      </c>
      <c r="F120">
        <v>0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1500</v>
      </c>
      <c r="M120">
        <v>2000</v>
      </c>
      <c r="N120">
        <v>1500</v>
      </c>
      <c r="O120">
        <v>3000</v>
      </c>
      <c r="P120">
        <v>0</v>
      </c>
      <c r="Q120">
        <v>0</v>
      </c>
      <c r="R120">
        <v>0</v>
      </c>
      <c r="S120">
        <v>0</v>
      </c>
      <c r="T120">
        <v>194641668</v>
      </c>
      <c r="U120" s="19">
        <f t="shared" si="18"/>
        <v>319850</v>
      </c>
      <c r="V120" s="20">
        <f t="shared" si="12"/>
        <v>19850</v>
      </c>
      <c r="W120" s="20">
        <v>132000</v>
      </c>
      <c r="X120" s="20">
        <f t="shared" si="19"/>
        <v>150000</v>
      </c>
      <c r="Y120" s="20"/>
      <c r="Z120" s="20">
        <f t="shared" si="13"/>
        <v>150000</v>
      </c>
      <c r="AA120" s="20">
        <v>114000</v>
      </c>
      <c r="AB120" s="20">
        <f t="shared" si="14"/>
        <v>132000</v>
      </c>
      <c r="AC120" s="20">
        <v>18000</v>
      </c>
      <c r="AD120" s="20">
        <f t="shared" si="15"/>
        <v>150000</v>
      </c>
      <c r="AE120" s="20">
        <v>0</v>
      </c>
      <c r="AF120" s="20">
        <v>0</v>
      </c>
      <c r="AG120" s="20">
        <f t="shared" si="16"/>
        <v>0</v>
      </c>
      <c r="AH120" s="20">
        <v>0</v>
      </c>
      <c r="AI120" s="37">
        <v>0</v>
      </c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spans="1:51" ht="14.15" hidden="1" customHeight="1" x14ac:dyDescent="0.35">
      <c r="A121">
        <v>0</v>
      </c>
      <c r="B121">
        <v>0</v>
      </c>
      <c r="C121">
        <v>0</v>
      </c>
      <c r="D121">
        <v>0</v>
      </c>
      <c r="E121">
        <v>6000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1500</v>
      </c>
      <c r="M121">
        <v>2000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206665656</v>
      </c>
      <c r="U121" s="19">
        <f t="shared" si="18"/>
        <v>319700</v>
      </c>
      <c r="V121" s="20">
        <f t="shared" si="12"/>
        <v>9500</v>
      </c>
      <c r="W121" s="20">
        <v>126000</v>
      </c>
      <c r="X121" s="20">
        <f t="shared" si="19"/>
        <v>144000</v>
      </c>
      <c r="Y121" s="20">
        <v>16200</v>
      </c>
      <c r="Z121" s="20">
        <f t="shared" si="13"/>
        <v>160200</v>
      </c>
      <c r="AA121" s="20">
        <v>114000</v>
      </c>
      <c r="AB121" s="20">
        <f t="shared" si="14"/>
        <v>132000</v>
      </c>
      <c r="AC121" s="20">
        <v>18000</v>
      </c>
      <c r="AD121" s="20">
        <f t="shared" si="15"/>
        <v>150000</v>
      </c>
      <c r="AE121" s="20">
        <v>0</v>
      </c>
      <c r="AF121" s="20">
        <v>0</v>
      </c>
      <c r="AG121" s="20">
        <f t="shared" si="16"/>
        <v>0</v>
      </c>
      <c r="AH121" s="20">
        <v>0</v>
      </c>
      <c r="AI121" s="37">
        <v>0</v>
      </c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spans="1:51" ht="14.15" hidden="1" customHeight="1" x14ac:dyDescent="0.35">
      <c r="A122">
        <v>3550</v>
      </c>
      <c r="B122">
        <v>5000</v>
      </c>
      <c r="C122">
        <v>0</v>
      </c>
      <c r="D122">
        <v>0</v>
      </c>
      <c r="E122">
        <v>6000</v>
      </c>
      <c r="F122">
        <v>2700</v>
      </c>
      <c r="G122">
        <v>1000</v>
      </c>
      <c r="H122">
        <v>1700</v>
      </c>
      <c r="I122">
        <v>0</v>
      </c>
      <c r="J122">
        <v>0</v>
      </c>
      <c r="K122">
        <v>0</v>
      </c>
      <c r="L122">
        <v>1500</v>
      </c>
      <c r="M122">
        <v>2000</v>
      </c>
      <c r="N122">
        <v>0</v>
      </c>
      <c r="O122">
        <v>3000</v>
      </c>
      <c r="P122">
        <v>0</v>
      </c>
      <c r="Q122">
        <v>0</v>
      </c>
      <c r="R122">
        <v>0</v>
      </c>
      <c r="S122">
        <v>0</v>
      </c>
      <c r="T122">
        <v>16663737</v>
      </c>
      <c r="U122" s="19">
        <f t="shared" si="18"/>
        <v>308450</v>
      </c>
      <c r="V122" s="20">
        <f t="shared" si="12"/>
        <v>26450</v>
      </c>
      <c r="W122" s="20">
        <v>126000</v>
      </c>
      <c r="X122" s="20">
        <f t="shared" si="19"/>
        <v>144000</v>
      </c>
      <c r="Y122" s="20"/>
      <c r="Z122" s="20">
        <f t="shared" si="13"/>
        <v>144000</v>
      </c>
      <c r="AA122" s="20">
        <v>120000</v>
      </c>
      <c r="AB122" s="20">
        <f t="shared" si="14"/>
        <v>138000</v>
      </c>
      <c r="AC122" s="20"/>
      <c r="AD122" s="20">
        <f t="shared" si="15"/>
        <v>138000</v>
      </c>
      <c r="AE122" s="20">
        <v>0</v>
      </c>
      <c r="AF122" s="20">
        <v>0</v>
      </c>
      <c r="AG122" s="20">
        <f t="shared" si="16"/>
        <v>0</v>
      </c>
      <c r="AH122" s="20">
        <v>0</v>
      </c>
      <c r="AI122" s="37">
        <v>0</v>
      </c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spans="1:51" ht="14.15" hidden="1" customHeight="1" x14ac:dyDescent="0.35">
      <c r="A123">
        <v>3300</v>
      </c>
      <c r="B123">
        <v>5000</v>
      </c>
      <c r="C123">
        <v>0</v>
      </c>
      <c r="D123">
        <v>0</v>
      </c>
      <c r="E123">
        <v>6000</v>
      </c>
      <c r="F123">
        <v>2700</v>
      </c>
      <c r="G123">
        <v>2000</v>
      </c>
      <c r="H123">
        <v>1700</v>
      </c>
      <c r="I123">
        <v>0</v>
      </c>
      <c r="J123">
        <v>0</v>
      </c>
      <c r="K123">
        <v>0</v>
      </c>
      <c r="L123">
        <v>1500</v>
      </c>
      <c r="M123">
        <v>2000</v>
      </c>
      <c r="N123">
        <v>1500</v>
      </c>
      <c r="O123">
        <v>3000</v>
      </c>
      <c r="P123">
        <v>0</v>
      </c>
      <c r="Q123">
        <v>0</v>
      </c>
      <c r="R123">
        <v>0</v>
      </c>
      <c r="S123">
        <v>0</v>
      </c>
      <c r="T123">
        <v>149787052</v>
      </c>
      <c r="U123" s="19">
        <f t="shared" si="18"/>
        <v>256700</v>
      </c>
      <c r="V123" s="20">
        <f t="shared" si="12"/>
        <v>28700</v>
      </c>
      <c r="W123" s="20">
        <v>96000</v>
      </c>
      <c r="X123" s="20">
        <f t="shared" si="19"/>
        <v>114000</v>
      </c>
      <c r="Y123" s="20"/>
      <c r="Z123" s="20">
        <f t="shared" si="13"/>
        <v>114000</v>
      </c>
      <c r="AA123" s="20">
        <v>96000</v>
      </c>
      <c r="AB123" s="20">
        <f t="shared" si="14"/>
        <v>114000</v>
      </c>
      <c r="AC123" s="20"/>
      <c r="AD123" s="20">
        <f t="shared" si="15"/>
        <v>114000</v>
      </c>
      <c r="AE123" s="20">
        <v>0</v>
      </c>
      <c r="AF123" s="20">
        <v>0</v>
      </c>
      <c r="AG123" s="20">
        <f t="shared" si="16"/>
        <v>0</v>
      </c>
      <c r="AH123" s="20">
        <v>0</v>
      </c>
      <c r="AI123" s="37">
        <v>0</v>
      </c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1:51" ht="14.15" hidden="1" customHeight="1" x14ac:dyDescent="0.35">
      <c r="A124">
        <v>0</v>
      </c>
      <c r="B124">
        <v>5000</v>
      </c>
      <c r="C124">
        <v>0</v>
      </c>
      <c r="D124">
        <v>0</v>
      </c>
      <c r="E124">
        <v>6000</v>
      </c>
      <c r="F124">
        <v>2700</v>
      </c>
      <c r="G124">
        <v>1500</v>
      </c>
      <c r="H124">
        <v>1700</v>
      </c>
      <c r="I124">
        <v>0</v>
      </c>
      <c r="J124">
        <v>0</v>
      </c>
      <c r="K124">
        <v>0</v>
      </c>
      <c r="L124">
        <v>1500</v>
      </c>
      <c r="M124">
        <v>2000</v>
      </c>
      <c r="N124">
        <v>1500</v>
      </c>
      <c r="O124">
        <v>3000</v>
      </c>
      <c r="P124">
        <v>0</v>
      </c>
      <c r="Q124">
        <v>0</v>
      </c>
      <c r="R124">
        <v>0</v>
      </c>
      <c r="S124">
        <v>0</v>
      </c>
      <c r="T124">
        <v>155825356</v>
      </c>
      <c r="U124" s="19">
        <f t="shared" si="18"/>
        <v>276900</v>
      </c>
      <c r="V124" s="20">
        <f t="shared" si="12"/>
        <v>24900</v>
      </c>
      <c r="W124" s="20">
        <v>114000</v>
      </c>
      <c r="X124" s="20">
        <f t="shared" si="19"/>
        <v>132000</v>
      </c>
      <c r="Y124" s="20"/>
      <c r="Z124" s="20">
        <f t="shared" si="13"/>
        <v>132000</v>
      </c>
      <c r="AA124" s="20">
        <v>102000</v>
      </c>
      <c r="AB124" s="20">
        <f t="shared" si="14"/>
        <v>120000</v>
      </c>
      <c r="AC124" s="20"/>
      <c r="AD124" s="20">
        <f t="shared" si="15"/>
        <v>120000</v>
      </c>
      <c r="AE124" s="20">
        <v>0</v>
      </c>
      <c r="AF124" s="20">
        <v>0</v>
      </c>
      <c r="AG124" s="20">
        <f t="shared" si="16"/>
        <v>0</v>
      </c>
      <c r="AH124" s="20">
        <v>0</v>
      </c>
      <c r="AI124" s="37">
        <v>0</v>
      </c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1:51" ht="14.15" hidden="1" customHeight="1" x14ac:dyDescent="0.35">
      <c r="A125">
        <v>3550</v>
      </c>
      <c r="B125">
        <v>5000</v>
      </c>
      <c r="C125">
        <v>0</v>
      </c>
      <c r="D125">
        <v>0</v>
      </c>
      <c r="E125">
        <v>6000</v>
      </c>
      <c r="F125">
        <v>2700</v>
      </c>
      <c r="G125">
        <v>1000</v>
      </c>
      <c r="H125">
        <v>0</v>
      </c>
      <c r="I125">
        <v>0</v>
      </c>
      <c r="J125">
        <v>0</v>
      </c>
      <c r="K125">
        <v>0</v>
      </c>
      <c r="L125">
        <v>1500</v>
      </c>
      <c r="M125">
        <v>2000</v>
      </c>
      <c r="N125">
        <v>1500</v>
      </c>
      <c r="O125">
        <v>3000</v>
      </c>
      <c r="P125">
        <v>0</v>
      </c>
      <c r="Q125">
        <v>0</v>
      </c>
      <c r="R125">
        <v>0</v>
      </c>
      <c r="S125">
        <v>0</v>
      </c>
      <c r="T125">
        <v>208683099</v>
      </c>
      <c r="U125" s="19">
        <f t="shared" si="18"/>
        <v>335250</v>
      </c>
      <c r="V125" s="20">
        <f t="shared" si="12"/>
        <v>26250</v>
      </c>
      <c r="W125" s="20"/>
      <c r="X125" s="20">
        <v>144000</v>
      </c>
      <c r="Y125" s="20">
        <v>12600</v>
      </c>
      <c r="Z125" s="20">
        <f t="shared" si="13"/>
        <v>156600</v>
      </c>
      <c r="AA125" s="20">
        <v>120000</v>
      </c>
      <c r="AB125" s="20">
        <f t="shared" si="14"/>
        <v>138000</v>
      </c>
      <c r="AC125" s="20">
        <v>14400</v>
      </c>
      <c r="AD125" s="20">
        <f t="shared" si="15"/>
        <v>152400</v>
      </c>
      <c r="AE125" s="20">
        <v>0</v>
      </c>
      <c r="AF125" s="20">
        <v>0</v>
      </c>
      <c r="AG125" s="20">
        <f t="shared" si="16"/>
        <v>0</v>
      </c>
      <c r="AH125" s="20">
        <v>0</v>
      </c>
      <c r="AI125" s="37">
        <v>0</v>
      </c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spans="1:51" ht="14.15" hidden="1" customHeight="1" x14ac:dyDescent="0.35">
      <c r="A126">
        <v>4750</v>
      </c>
      <c r="B126">
        <v>5000</v>
      </c>
      <c r="C126">
        <v>0</v>
      </c>
      <c r="D126">
        <v>0</v>
      </c>
      <c r="E126">
        <v>6000</v>
      </c>
      <c r="F126">
        <v>0</v>
      </c>
      <c r="G126">
        <v>1000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1500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20668231</v>
      </c>
      <c r="U126" s="19">
        <f t="shared" si="18"/>
        <v>294250</v>
      </c>
      <c r="V126" s="20">
        <f t="shared" si="12"/>
        <v>18250</v>
      </c>
      <c r="W126" s="20">
        <v>108000</v>
      </c>
      <c r="X126" s="20">
        <f>W126+3*6000</f>
        <v>126000</v>
      </c>
      <c r="Y126" s="20"/>
      <c r="Z126" s="20">
        <f t="shared" si="13"/>
        <v>126000</v>
      </c>
      <c r="AA126" s="20">
        <v>114000</v>
      </c>
      <c r="AB126" s="20">
        <f t="shared" si="14"/>
        <v>132000</v>
      </c>
      <c r="AC126" s="20">
        <v>18000</v>
      </c>
      <c r="AD126" s="20">
        <f t="shared" si="15"/>
        <v>150000</v>
      </c>
      <c r="AE126" s="20">
        <v>0</v>
      </c>
      <c r="AF126" s="20">
        <v>0</v>
      </c>
      <c r="AG126" s="20">
        <f t="shared" si="16"/>
        <v>0</v>
      </c>
      <c r="AH126" s="20">
        <v>0</v>
      </c>
      <c r="AI126" s="37">
        <v>0</v>
      </c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spans="1:51" ht="14.15" hidden="1" customHeight="1" x14ac:dyDescent="0.35">
      <c r="A127">
        <v>3750</v>
      </c>
      <c r="B127">
        <v>4500</v>
      </c>
      <c r="C127">
        <v>0</v>
      </c>
      <c r="D127">
        <v>0</v>
      </c>
      <c r="E127">
        <v>6000</v>
      </c>
      <c r="F127">
        <v>2700</v>
      </c>
      <c r="G127">
        <v>2000</v>
      </c>
      <c r="H127">
        <v>1450</v>
      </c>
      <c r="I127">
        <v>0</v>
      </c>
      <c r="J127">
        <v>0</v>
      </c>
      <c r="K127">
        <v>0</v>
      </c>
      <c r="L127">
        <v>1500</v>
      </c>
      <c r="M127">
        <v>2000</v>
      </c>
      <c r="N127">
        <v>1500</v>
      </c>
      <c r="O127">
        <v>3000</v>
      </c>
      <c r="P127">
        <v>0</v>
      </c>
      <c r="Q127">
        <v>0</v>
      </c>
      <c r="R127">
        <v>0</v>
      </c>
      <c r="S127">
        <v>0</v>
      </c>
      <c r="T127">
        <v>136782382</v>
      </c>
      <c r="U127" s="19">
        <f t="shared" si="18"/>
        <v>382400</v>
      </c>
      <c r="V127" s="20">
        <f t="shared" si="12"/>
        <v>28400</v>
      </c>
      <c r="W127" s="20">
        <v>144000</v>
      </c>
      <c r="X127" s="20">
        <f>W127+3*6000</f>
        <v>162000</v>
      </c>
      <c r="Y127" s="20">
        <v>18000</v>
      </c>
      <c r="Z127" s="20">
        <f t="shared" si="13"/>
        <v>180000</v>
      </c>
      <c r="AA127" s="20">
        <v>138000</v>
      </c>
      <c r="AB127" s="20">
        <f t="shared" si="14"/>
        <v>156000</v>
      </c>
      <c r="AC127" s="20">
        <v>18000</v>
      </c>
      <c r="AD127" s="20">
        <f t="shared" si="15"/>
        <v>174000</v>
      </c>
      <c r="AE127" s="20">
        <v>0</v>
      </c>
      <c r="AF127" s="20">
        <v>0</v>
      </c>
      <c r="AG127" s="20">
        <f t="shared" si="16"/>
        <v>0</v>
      </c>
      <c r="AH127" s="20">
        <v>0</v>
      </c>
      <c r="AI127" s="37">
        <v>0</v>
      </c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spans="1:51" ht="14.15" hidden="1" customHeight="1" x14ac:dyDescent="0.35">
      <c r="A128">
        <v>0</v>
      </c>
      <c r="B128">
        <v>0</v>
      </c>
      <c r="C128">
        <v>0</v>
      </c>
      <c r="D128">
        <v>0</v>
      </c>
      <c r="E128">
        <v>6000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175668098</v>
      </c>
      <c r="U128" s="19"/>
      <c r="V128" s="20"/>
      <c r="W128" s="20"/>
      <c r="X128" s="20"/>
      <c r="Y128" s="20"/>
      <c r="Z128" s="20"/>
      <c r="AA128" s="20"/>
      <c r="AB128" s="20"/>
      <c r="AC128" s="20"/>
      <c r="AD128" s="20"/>
      <c r="AE128" s="20">
        <v>0</v>
      </c>
      <c r="AF128" s="20">
        <v>0</v>
      </c>
      <c r="AG128" s="20">
        <f t="shared" si="16"/>
        <v>0</v>
      </c>
      <c r="AH128" s="20">
        <v>0</v>
      </c>
      <c r="AI128" s="37">
        <v>0</v>
      </c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spans="1:51" ht="14.15" hidden="1" customHeight="1" x14ac:dyDescent="0.35">
      <c r="A129">
        <v>4250</v>
      </c>
      <c r="B129">
        <v>5000</v>
      </c>
      <c r="C129">
        <v>0</v>
      </c>
      <c r="D129">
        <v>0</v>
      </c>
      <c r="E129">
        <v>6000</v>
      </c>
      <c r="F129">
        <v>2700</v>
      </c>
      <c r="G129">
        <v>2000</v>
      </c>
      <c r="H129">
        <v>1700</v>
      </c>
      <c r="I129">
        <v>0</v>
      </c>
      <c r="J129">
        <v>0</v>
      </c>
      <c r="K129">
        <v>0</v>
      </c>
      <c r="L129">
        <v>1500</v>
      </c>
      <c r="M129">
        <v>2000</v>
      </c>
      <c r="N129">
        <v>1500</v>
      </c>
      <c r="O129">
        <v>3000</v>
      </c>
      <c r="P129">
        <v>0</v>
      </c>
      <c r="Q129">
        <v>0</v>
      </c>
      <c r="R129">
        <v>0</v>
      </c>
      <c r="S129">
        <v>0</v>
      </c>
      <c r="T129">
        <v>188747913</v>
      </c>
      <c r="U129" s="19">
        <f xml:space="preserve"> SUM(V129, Z129, AD129, AG129, AH129, AI129)</f>
        <v>365650</v>
      </c>
      <c r="V129" s="20">
        <f t="shared" si="12"/>
        <v>29650</v>
      </c>
      <c r="W129" s="20">
        <v>162000</v>
      </c>
      <c r="X129" s="20">
        <f>W129+3*6000</f>
        <v>180000</v>
      </c>
      <c r="Y129" s="20"/>
      <c r="Z129" s="20">
        <f t="shared" si="13"/>
        <v>180000</v>
      </c>
      <c r="AA129" s="20">
        <v>138000</v>
      </c>
      <c r="AB129" s="20">
        <f t="shared" si="14"/>
        <v>156000</v>
      </c>
      <c r="AC129" s="20"/>
      <c r="AD129" s="20">
        <f t="shared" si="15"/>
        <v>156000</v>
      </c>
      <c r="AE129" s="20">
        <v>0</v>
      </c>
      <c r="AF129" s="20">
        <v>0</v>
      </c>
      <c r="AG129" s="20">
        <f t="shared" si="16"/>
        <v>0</v>
      </c>
      <c r="AH129" s="20">
        <v>0</v>
      </c>
      <c r="AI129" s="37">
        <v>0</v>
      </c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spans="1:51" ht="14.15" hidden="1" customHeight="1" x14ac:dyDescent="0.35">
      <c r="A130">
        <v>3850</v>
      </c>
      <c r="B130">
        <v>5000</v>
      </c>
      <c r="C130">
        <v>0</v>
      </c>
      <c r="D130">
        <v>0</v>
      </c>
      <c r="E130">
        <v>6000</v>
      </c>
      <c r="F130">
        <v>2700</v>
      </c>
      <c r="G130">
        <v>1500</v>
      </c>
      <c r="H130">
        <v>1450</v>
      </c>
      <c r="I130">
        <v>0</v>
      </c>
      <c r="J130">
        <v>0</v>
      </c>
      <c r="K130">
        <v>0</v>
      </c>
      <c r="L130">
        <v>1500</v>
      </c>
      <c r="M130">
        <v>2000</v>
      </c>
      <c r="N130">
        <v>1500</v>
      </c>
      <c r="O130">
        <v>3000</v>
      </c>
      <c r="P130">
        <v>0</v>
      </c>
      <c r="Q130">
        <v>0</v>
      </c>
      <c r="R130">
        <v>0</v>
      </c>
      <c r="S130">
        <v>0</v>
      </c>
      <c r="T130">
        <v>203706444</v>
      </c>
      <c r="U130" s="19">
        <f xml:space="preserve"> SUM(V130, Z130, AD130, AG130, AH130, AI130)</f>
        <v>256500</v>
      </c>
      <c r="V130" s="20">
        <f t="shared" si="12"/>
        <v>28500</v>
      </c>
      <c r="W130" s="20">
        <v>96000</v>
      </c>
      <c r="X130" s="20">
        <f>W130+3*6000</f>
        <v>114000</v>
      </c>
      <c r="Y130" s="20"/>
      <c r="Z130" s="20">
        <f t="shared" si="13"/>
        <v>114000</v>
      </c>
      <c r="AA130" s="20">
        <v>96000</v>
      </c>
      <c r="AB130" s="20">
        <f t="shared" si="14"/>
        <v>114000</v>
      </c>
      <c r="AC130" s="20"/>
      <c r="AD130" s="20">
        <f t="shared" si="15"/>
        <v>114000</v>
      </c>
      <c r="AE130" s="20">
        <v>0</v>
      </c>
      <c r="AF130" s="20">
        <v>0</v>
      </c>
      <c r="AG130" s="20">
        <f t="shared" si="16"/>
        <v>0</v>
      </c>
      <c r="AH130" s="20">
        <v>0</v>
      </c>
      <c r="AI130" s="37">
        <v>0</v>
      </c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spans="1:51" ht="14.15" hidden="1" customHeight="1" x14ac:dyDescent="0.35">
      <c r="A131">
        <v>3550</v>
      </c>
      <c r="B131">
        <v>4000</v>
      </c>
      <c r="C131">
        <v>0</v>
      </c>
      <c r="D131">
        <v>0</v>
      </c>
      <c r="E131">
        <v>6000</v>
      </c>
      <c r="F131">
        <v>2700</v>
      </c>
      <c r="G131">
        <v>2000</v>
      </c>
      <c r="H131">
        <v>1700</v>
      </c>
      <c r="I131">
        <v>0</v>
      </c>
      <c r="J131">
        <v>0</v>
      </c>
      <c r="K131">
        <v>0</v>
      </c>
      <c r="L131">
        <v>1500</v>
      </c>
      <c r="M131">
        <v>2000</v>
      </c>
      <c r="N131">
        <v>1500</v>
      </c>
      <c r="O131">
        <v>3000</v>
      </c>
      <c r="P131">
        <v>0</v>
      </c>
      <c r="Q131">
        <v>0</v>
      </c>
      <c r="R131">
        <v>0</v>
      </c>
      <c r="S131">
        <v>0</v>
      </c>
      <c r="T131">
        <v>168682165</v>
      </c>
      <c r="U131" s="19">
        <f xml:space="preserve"> SUM(V131, Z131, AD131, AG131, AH131, AI131)</f>
        <v>327950</v>
      </c>
      <c r="V131" s="20">
        <f t="shared" si="12"/>
        <v>27950</v>
      </c>
      <c r="W131" s="20">
        <v>120000</v>
      </c>
      <c r="X131" s="20">
        <f>W131+3*6000</f>
        <v>138000</v>
      </c>
      <c r="Y131" s="20"/>
      <c r="Z131" s="20">
        <f t="shared" si="13"/>
        <v>138000</v>
      </c>
      <c r="AA131" s="20">
        <v>144000</v>
      </c>
      <c r="AB131" s="20">
        <f t="shared" si="14"/>
        <v>162000</v>
      </c>
      <c r="AC131" s="20"/>
      <c r="AD131" s="20">
        <f t="shared" si="15"/>
        <v>162000</v>
      </c>
      <c r="AE131" s="20">
        <v>0</v>
      </c>
      <c r="AF131" s="20">
        <v>0</v>
      </c>
      <c r="AG131" s="20">
        <f t="shared" si="16"/>
        <v>0</v>
      </c>
      <c r="AH131" s="20">
        <v>0</v>
      </c>
      <c r="AI131" s="37">
        <v>0</v>
      </c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spans="1:51" ht="14.15" hidden="1" customHeight="1" x14ac:dyDescent="0.35">
      <c r="A132">
        <v>0</v>
      </c>
      <c r="B132">
        <v>0</v>
      </c>
      <c r="C132">
        <v>0</v>
      </c>
      <c r="D132">
        <v>0</v>
      </c>
      <c r="E132">
        <v>6000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509885981</v>
      </c>
      <c r="U132" s="19"/>
      <c r="V132" s="20"/>
      <c r="W132" s="20"/>
      <c r="X132" s="20"/>
      <c r="Y132" s="20"/>
      <c r="Z132" s="20"/>
      <c r="AA132" s="20"/>
      <c r="AB132" s="20"/>
      <c r="AC132" s="20"/>
      <c r="AD132" s="20"/>
      <c r="AE132" s="20">
        <v>0</v>
      </c>
      <c r="AF132" s="20">
        <v>0</v>
      </c>
      <c r="AG132" s="20">
        <f t="shared" si="16"/>
        <v>0</v>
      </c>
      <c r="AH132" s="20">
        <v>0</v>
      </c>
      <c r="AI132" s="37">
        <v>0</v>
      </c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spans="1:51" ht="14.15" hidden="1" customHeight="1" x14ac:dyDescent="0.35">
      <c r="A133">
        <v>4300</v>
      </c>
      <c r="B133">
        <v>5000</v>
      </c>
      <c r="C133">
        <v>0</v>
      </c>
      <c r="D133">
        <v>0</v>
      </c>
      <c r="E133">
        <v>6000</v>
      </c>
      <c r="F133">
        <v>2700</v>
      </c>
      <c r="G133">
        <v>1500</v>
      </c>
      <c r="H133">
        <v>1450</v>
      </c>
      <c r="I133">
        <v>0</v>
      </c>
      <c r="J133">
        <v>0</v>
      </c>
      <c r="K133">
        <v>0</v>
      </c>
      <c r="L133">
        <v>1500</v>
      </c>
      <c r="M133">
        <v>2000</v>
      </c>
      <c r="N133">
        <v>1500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202642399</v>
      </c>
      <c r="U133" s="19">
        <f t="shared" ref="U133:U158" si="20" xml:space="preserve"> SUM(V133, Z133, AD133, AG133, AH133, AI133)</f>
        <v>337950</v>
      </c>
      <c r="V133" s="20">
        <f t="shared" si="12"/>
        <v>25950</v>
      </c>
      <c r="W133" s="20">
        <v>114000</v>
      </c>
      <c r="X133" s="20">
        <f t="shared" ref="X133:X158" si="21">W133+3*6000</f>
        <v>132000</v>
      </c>
      <c r="Y133" s="20"/>
      <c r="Z133" s="20">
        <f t="shared" si="13"/>
        <v>132000</v>
      </c>
      <c r="AA133" s="20">
        <v>144000</v>
      </c>
      <c r="AB133" s="20">
        <f t="shared" si="14"/>
        <v>162000</v>
      </c>
      <c r="AC133" s="20">
        <v>18000</v>
      </c>
      <c r="AD133" s="20">
        <f t="shared" si="15"/>
        <v>180000</v>
      </c>
      <c r="AE133" s="20">
        <v>0</v>
      </c>
      <c r="AF133" s="20">
        <v>0</v>
      </c>
      <c r="AG133" s="20">
        <f t="shared" si="16"/>
        <v>0</v>
      </c>
      <c r="AH133" s="20">
        <v>0</v>
      </c>
      <c r="AI133" s="37">
        <v>0</v>
      </c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spans="1:51" ht="14.15" hidden="1" customHeight="1" x14ac:dyDescent="0.35">
      <c r="A134">
        <v>5000</v>
      </c>
      <c r="B134">
        <v>4500</v>
      </c>
      <c r="C134">
        <v>0</v>
      </c>
      <c r="D134">
        <v>0</v>
      </c>
      <c r="E134">
        <v>6000</v>
      </c>
      <c r="F134">
        <v>2700</v>
      </c>
      <c r="G134">
        <v>2500</v>
      </c>
      <c r="H134">
        <v>1450</v>
      </c>
      <c r="I134">
        <v>0</v>
      </c>
      <c r="J134">
        <v>0</v>
      </c>
      <c r="K134">
        <v>0</v>
      </c>
      <c r="L134">
        <v>1500</v>
      </c>
      <c r="M134">
        <v>2000</v>
      </c>
      <c r="N134">
        <v>1500</v>
      </c>
      <c r="O134">
        <v>3000</v>
      </c>
      <c r="P134">
        <v>0</v>
      </c>
      <c r="Q134">
        <v>0</v>
      </c>
      <c r="R134">
        <v>0</v>
      </c>
      <c r="S134">
        <v>0</v>
      </c>
      <c r="T134">
        <v>569811245</v>
      </c>
      <c r="U134" s="19">
        <f t="shared" si="20"/>
        <v>384150</v>
      </c>
      <c r="V134" s="20">
        <f t="shared" si="12"/>
        <v>30150</v>
      </c>
      <c r="W134" s="20">
        <v>162000</v>
      </c>
      <c r="X134" s="20">
        <f t="shared" si="21"/>
        <v>180000</v>
      </c>
      <c r="Y134" s="20"/>
      <c r="Z134" s="20">
        <f t="shared" si="13"/>
        <v>180000</v>
      </c>
      <c r="AA134" s="20">
        <v>138000</v>
      </c>
      <c r="AB134" s="20">
        <f t="shared" si="14"/>
        <v>156000</v>
      </c>
      <c r="AC134" s="20">
        <v>18000</v>
      </c>
      <c r="AD134" s="20">
        <f t="shared" si="15"/>
        <v>174000</v>
      </c>
      <c r="AE134" s="20">
        <v>0</v>
      </c>
      <c r="AF134" s="20">
        <v>0</v>
      </c>
      <c r="AG134" s="20">
        <f t="shared" si="16"/>
        <v>0</v>
      </c>
      <c r="AH134" s="20">
        <v>0</v>
      </c>
      <c r="AI134" s="37">
        <v>0</v>
      </c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spans="1:51" ht="14.15" hidden="1" customHeight="1" x14ac:dyDescent="0.35">
      <c r="A135">
        <v>4050</v>
      </c>
      <c r="B135">
        <v>4500</v>
      </c>
      <c r="C135">
        <v>0</v>
      </c>
      <c r="D135">
        <v>0</v>
      </c>
      <c r="E135">
        <v>6000</v>
      </c>
      <c r="F135">
        <v>2700</v>
      </c>
      <c r="G135">
        <v>1000</v>
      </c>
      <c r="H135">
        <v>1450</v>
      </c>
      <c r="I135">
        <v>0</v>
      </c>
      <c r="J135">
        <v>0</v>
      </c>
      <c r="K135">
        <v>0</v>
      </c>
      <c r="L135">
        <v>1500</v>
      </c>
      <c r="M135">
        <v>2000</v>
      </c>
      <c r="N135">
        <v>1500</v>
      </c>
      <c r="O135">
        <v>3000</v>
      </c>
      <c r="P135">
        <v>0</v>
      </c>
      <c r="Q135">
        <v>0</v>
      </c>
      <c r="R135">
        <v>0</v>
      </c>
      <c r="S135">
        <v>0</v>
      </c>
      <c r="T135">
        <v>140785403</v>
      </c>
      <c r="U135" s="19">
        <f t="shared" si="20"/>
        <v>297700</v>
      </c>
      <c r="V135" s="20">
        <f t="shared" si="12"/>
        <v>27700</v>
      </c>
      <c r="W135" s="20">
        <v>114000</v>
      </c>
      <c r="X135" s="20">
        <f t="shared" si="21"/>
        <v>132000</v>
      </c>
      <c r="Y135" s="20"/>
      <c r="Z135" s="20">
        <f t="shared" si="13"/>
        <v>132000</v>
      </c>
      <c r="AA135" s="20">
        <v>120000</v>
      </c>
      <c r="AB135" s="20">
        <f t="shared" si="14"/>
        <v>138000</v>
      </c>
      <c r="AC135" s="20"/>
      <c r="AD135" s="20">
        <f t="shared" si="15"/>
        <v>138000</v>
      </c>
      <c r="AE135" s="20">
        <v>0</v>
      </c>
      <c r="AF135" s="20">
        <v>0</v>
      </c>
      <c r="AG135" s="20">
        <f t="shared" si="16"/>
        <v>0</v>
      </c>
      <c r="AH135" s="20">
        <v>0</v>
      </c>
      <c r="AI135" s="37">
        <v>0</v>
      </c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spans="1:51" ht="14.15" hidden="1" customHeight="1" x14ac:dyDescent="0.35">
      <c r="A136">
        <v>0</v>
      </c>
      <c r="B136">
        <v>0</v>
      </c>
      <c r="C136">
        <v>0</v>
      </c>
      <c r="D136">
        <v>0</v>
      </c>
      <c r="E136">
        <v>6000</v>
      </c>
      <c r="F136">
        <v>0</v>
      </c>
      <c r="G136">
        <v>1500</v>
      </c>
      <c r="H136">
        <v>1200</v>
      </c>
      <c r="I136">
        <v>0</v>
      </c>
      <c r="J136">
        <v>0</v>
      </c>
      <c r="K136">
        <v>0</v>
      </c>
      <c r="L136">
        <v>1500</v>
      </c>
      <c r="M136">
        <v>2000</v>
      </c>
      <c r="N136">
        <v>1500</v>
      </c>
      <c r="O136">
        <v>3000</v>
      </c>
      <c r="P136">
        <v>0</v>
      </c>
      <c r="Q136">
        <v>0</v>
      </c>
      <c r="R136">
        <v>0</v>
      </c>
      <c r="S136">
        <v>0</v>
      </c>
      <c r="T136">
        <v>206641636</v>
      </c>
      <c r="U136" s="19">
        <f t="shared" si="20"/>
        <v>358700</v>
      </c>
      <c r="V136" s="20">
        <f t="shared" si="12"/>
        <v>16700</v>
      </c>
      <c r="W136" s="20">
        <v>156000</v>
      </c>
      <c r="X136" s="20">
        <f t="shared" si="21"/>
        <v>174000</v>
      </c>
      <c r="Y136" s="20"/>
      <c r="Z136" s="20">
        <f t="shared" si="13"/>
        <v>174000</v>
      </c>
      <c r="AA136" s="20">
        <v>150000</v>
      </c>
      <c r="AB136" s="20">
        <f t="shared" si="14"/>
        <v>168000</v>
      </c>
      <c r="AC136" s="20"/>
      <c r="AD136" s="20">
        <f t="shared" si="15"/>
        <v>168000</v>
      </c>
      <c r="AE136" s="20">
        <v>0</v>
      </c>
      <c r="AF136" s="20">
        <v>0</v>
      </c>
      <c r="AG136" s="20">
        <f t="shared" si="16"/>
        <v>0</v>
      </c>
      <c r="AH136" s="20">
        <v>0</v>
      </c>
      <c r="AI136" s="37">
        <v>0</v>
      </c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spans="1:51" ht="14.15" hidden="1" customHeight="1" x14ac:dyDescent="0.35">
      <c r="A137">
        <v>4550</v>
      </c>
      <c r="B137">
        <v>0</v>
      </c>
      <c r="C137">
        <v>0</v>
      </c>
      <c r="D137">
        <v>0</v>
      </c>
      <c r="E137">
        <v>6000</v>
      </c>
      <c r="F137">
        <v>0</v>
      </c>
      <c r="G137">
        <v>1500</v>
      </c>
      <c r="H137">
        <v>0</v>
      </c>
      <c r="I137">
        <v>0</v>
      </c>
      <c r="J137">
        <v>0</v>
      </c>
      <c r="K137">
        <v>0</v>
      </c>
      <c r="L137">
        <v>1500</v>
      </c>
      <c r="M137">
        <v>2000</v>
      </c>
      <c r="N137">
        <v>1500</v>
      </c>
      <c r="O137">
        <v>3000</v>
      </c>
      <c r="P137">
        <v>0</v>
      </c>
      <c r="Q137">
        <v>0</v>
      </c>
      <c r="R137">
        <v>0</v>
      </c>
      <c r="S137">
        <v>0</v>
      </c>
      <c r="T137">
        <v>205703305</v>
      </c>
      <c r="U137" s="19">
        <f t="shared" si="20"/>
        <v>233350</v>
      </c>
      <c r="V137" s="20">
        <f t="shared" si="12"/>
        <v>20050</v>
      </c>
      <c r="W137" s="20">
        <v>90000</v>
      </c>
      <c r="X137" s="20">
        <f t="shared" si="21"/>
        <v>108000</v>
      </c>
      <c r="Y137" s="20">
        <v>15300</v>
      </c>
      <c r="Z137" s="20">
        <f t="shared" si="13"/>
        <v>123300</v>
      </c>
      <c r="AA137" s="20">
        <v>72000</v>
      </c>
      <c r="AB137" s="20">
        <f t="shared" si="14"/>
        <v>90000</v>
      </c>
      <c r="AC137" s="20"/>
      <c r="AD137" s="20">
        <f t="shared" si="15"/>
        <v>90000</v>
      </c>
      <c r="AE137" s="20">
        <v>0</v>
      </c>
      <c r="AF137" s="20">
        <v>0</v>
      </c>
      <c r="AG137" s="20">
        <f t="shared" si="16"/>
        <v>0</v>
      </c>
      <c r="AH137" s="20">
        <v>0</v>
      </c>
      <c r="AI137" s="37">
        <v>0</v>
      </c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spans="1:51" ht="14.15" hidden="1" customHeight="1" x14ac:dyDescent="0.35">
      <c r="A138">
        <v>0</v>
      </c>
      <c r="B138">
        <v>0</v>
      </c>
      <c r="C138">
        <v>0</v>
      </c>
      <c r="D138">
        <v>0</v>
      </c>
      <c r="E138">
        <v>6000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2000</v>
      </c>
      <c r="N138">
        <v>1500</v>
      </c>
      <c r="O138">
        <v>3000</v>
      </c>
      <c r="P138">
        <v>0</v>
      </c>
      <c r="Q138">
        <v>0</v>
      </c>
      <c r="R138">
        <v>0</v>
      </c>
      <c r="S138">
        <v>0</v>
      </c>
      <c r="T138">
        <v>224534663</v>
      </c>
      <c r="U138" s="19">
        <f t="shared" si="20"/>
        <v>306500</v>
      </c>
      <c r="V138" s="20">
        <f t="shared" si="12"/>
        <v>12500</v>
      </c>
      <c r="W138" s="20">
        <v>168000</v>
      </c>
      <c r="X138" s="20">
        <f t="shared" si="21"/>
        <v>186000</v>
      </c>
      <c r="Y138" s="20"/>
      <c r="Z138" s="20">
        <f t="shared" si="13"/>
        <v>186000</v>
      </c>
      <c r="AA138" s="20">
        <v>90000</v>
      </c>
      <c r="AB138" s="20">
        <f t="shared" si="14"/>
        <v>108000</v>
      </c>
      <c r="AC138" s="20"/>
      <c r="AD138" s="20">
        <f t="shared" si="15"/>
        <v>108000</v>
      </c>
      <c r="AE138" s="20">
        <v>0</v>
      </c>
      <c r="AF138" s="20">
        <v>0</v>
      </c>
      <c r="AG138" s="20">
        <f t="shared" si="16"/>
        <v>0</v>
      </c>
      <c r="AH138" s="20">
        <v>0</v>
      </c>
      <c r="AI138" s="37">
        <v>0</v>
      </c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spans="1:51" ht="14.15" hidden="1" customHeight="1" x14ac:dyDescent="0.35">
      <c r="A139">
        <v>4100</v>
      </c>
      <c r="B139">
        <v>5000</v>
      </c>
      <c r="C139">
        <v>0</v>
      </c>
      <c r="D139">
        <v>0</v>
      </c>
      <c r="E139">
        <v>6000</v>
      </c>
      <c r="F139">
        <v>2700</v>
      </c>
      <c r="G139">
        <v>2000</v>
      </c>
      <c r="H139">
        <v>1200</v>
      </c>
      <c r="I139">
        <v>0</v>
      </c>
      <c r="J139">
        <v>0</v>
      </c>
      <c r="K139">
        <v>0</v>
      </c>
      <c r="L139">
        <v>1500</v>
      </c>
      <c r="M139">
        <v>2000</v>
      </c>
      <c r="N139">
        <v>1500</v>
      </c>
      <c r="O139">
        <v>3000</v>
      </c>
      <c r="P139">
        <v>0</v>
      </c>
      <c r="Q139">
        <v>0</v>
      </c>
      <c r="R139">
        <v>0</v>
      </c>
      <c r="S139">
        <v>0</v>
      </c>
      <c r="T139">
        <v>213084694</v>
      </c>
      <c r="U139" s="19">
        <f t="shared" si="20"/>
        <v>299000</v>
      </c>
      <c r="V139" s="20">
        <f t="shared" si="12"/>
        <v>29000</v>
      </c>
      <c r="W139" s="20">
        <v>138000</v>
      </c>
      <c r="X139" s="20">
        <f t="shared" si="21"/>
        <v>156000</v>
      </c>
      <c r="Y139" s="20"/>
      <c r="Z139" s="20">
        <f t="shared" si="13"/>
        <v>156000</v>
      </c>
      <c r="AA139" s="20">
        <v>96000</v>
      </c>
      <c r="AB139" s="20">
        <f t="shared" si="14"/>
        <v>114000</v>
      </c>
      <c r="AC139" s="20"/>
      <c r="AD139" s="20">
        <f t="shared" si="15"/>
        <v>114000</v>
      </c>
      <c r="AE139" s="20">
        <v>0</v>
      </c>
      <c r="AF139" s="20">
        <v>0</v>
      </c>
      <c r="AG139" s="20">
        <f t="shared" si="16"/>
        <v>0</v>
      </c>
      <c r="AH139" s="20">
        <v>0</v>
      </c>
      <c r="AI139" s="37">
        <v>0</v>
      </c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spans="1:51" ht="14.15" hidden="1" customHeight="1" x14ac:dyDescent="0.35">
      <c r="A140">
        <v>4300</v>
      </c>
      <c r="B140">
        <v>5000</v>
      </c>
      <c r="C140">
        <v>0</v>
      </c>
      <c r="D140">
        <v>0</v>
      </c>
      <c r="E140">
        <v>6000</v>
      </c>
      <c r="F140">
        <v>2700</v>
      </c>
      <c r="G140">
        <v>1000</v>
      </c>
      <c r="H140">
        <v>1450</v>
      </c>
      <c r="I140">
        <v>0</v>
      </c>
      <c r="J140">
        <v>0</v>
      </c>
      <c r="K140">
        <v>0</v>
      </c>
      <c r="L140">
        <v>1500</v>
      </c>
      <c r="M140">
        <v>2000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52709981</v>
      </c>
      <c r="U140" s="19">
        <f t="shared" si="20"/>
        <v>269950</v>
      </c>
      <c r="V140" s="20">
        <f t="shared" si="12"/>
        <v>23950</v>
      </c>
      <c r="W140" s="20">
        <v>102000</v>
      </c>
      <c r="X140" s="20">
        <f t="shared" si="21"/>
        <v>120000</v>
      </c>
      <c r="Y140" s="20"/>
      <c r="Z140" s="20">
        <f t="shared" si="13"/>
        <v>120000</v>
      </c>
      <c r="AA140" s="20">
        <v>108000</v>
      </c>
      <c r="AB140" s="20">
        <f t="shared" si="14"/>
        <v>126000</v>
      </c>
      <c r="AC140" s="20"/>
      <c r="AD140" s="20">
        <f t="shared" si="15"/>
        <v>126000</v>
      </c>
      <c r="AE140" s="20">
        <v>0</v>
      </c>
      <c r="AF140" s="20">
        <v>0</v>
      </c>
      <c r="AG140" s="20">
        <f t="shared" si="16"/>
        <v>0</v>
      </c>
      <c r="AH140" s="20">
        <v>0</v>
      </c>
      <c r="AI140" s="37">
        <v>0</v>
      </c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spans="1:51" ht="14.15" hidden="1" customHeight="1" x14ac:dyDescent="0.35">
      <c r="A141">
        <v>4800</v>
      </c>
      <c r="B141">
        <v>5000</v>
      </c>
      <c r="C141">
        <v>0</v>
      </c>
      <c r="D141">
        <v>0</v>
      </c>
      <c r="E141">
        <v>6000</v>
      </c>
      <c r="F141">
        <v>2700</v>
      </c>
      <c r="G141">
        <v>1500</v>
      </c>
      <c r="H141">
        <v>1700</v>
      </c>
      <c r="I141">
        <v>0</v>
      </c>
      <c r="J141">
        <v>0</v>
      </c>
      <c r="K141">
        <v>0</v>
      </c>
      <c r="L141">
        <v>1500</v>
      </c>
      <c r="M141">
        <v>2000</v>
      </c>
      <c r="N141">
        <v>1500</v>
      </c>
      <c r="O141">
        <v>3000</v>
      </c>
      <c r="P141">
        <v>0</v>
      </c>
      <c r="Q141">
        <v>0</v>
      </c>
      <c r="R141">
        <v>0</v>
      </c>
      <c r="S141">
        <v>0</v>
      </c>
      <c r="T141">
        <v>236271228</v>
      </c>
      <c r="U141" s="19">
        <f t="shared" si="20"/>
        <v>371700</v>
      </c>
      <c r="V141" s="20">
        <f t="shared" si="12"/>
        <v>29700</v>
      </c>
      <c r="W141" s="20">
        <v>150000</v>
      </c>
      <c r="X141" s="20">
        <f t="shared" si="21"/>
        <v>168000</v>
      </c>
      <c r="Y141" s="20"/>
      <c r="Z141" s="20">
        <f t="shared" si="13"/>
        <v>168000</v>
      </c>
      <c r="AA141" s="20">
        <v>156000</v>
      </c>
      <c r="AB141" s="20">
        <f t="shared" si="14"/>
        <v>174000</v>
      </c>
      <c r="AC141" s="20"/>
      <c r="AD141" s="20">
        <f t="shared" si="15"/>
        <v>174000</v>
      </c>
      <c r="AE141" s="20">
        <v>0</v>
      </c>
      <c r="AF141" s="20">
        <v>0</v>
      </c>
      <c r="AG141" s="20">
        <f t="shared" si="16"/>
        <v>0</v>
      </c>
      <c r="AH141" s="20">
        <v>0</v>
      </c>
      <c r="AI141" s="37">
        <v>0</v>
      </c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spans="1:51" ht="14.15" hidden="1" customHeight="1" x14ac:dyDescent="0.35">
      <c r="A142">
        <v>4200</v>
      </c>
      <c r="B142">
        <v>5000</v>
      </c>
      <c r="C142">
        <v>0</v>
      </c>
      <c r="D142">
        <v>0</v>
      </c>
      <c r="E142">
        <v>6000</v>
      </c>
      <c r="F142">
        <v>1275</v>
      </c>
      <c r="G142">
        <v>1500</v>
      </c>
      <c r="H142">
        <v>0</v>
      </c>
      <c r="I142">
        <v>0</v>
      </c>
      <c r="J142">
        <v>0</v>
      </c>
      <c r="K142">
        <v>0</v>
      </c>
      <c r="L142">
        <v>1500</v>
      </c>
      <c r="M142">
        <v>2000</v>
      </c>
      <c r="N142">
        <v>1500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140928770</v>
      </c>
      <c r="U142" s="19">
        <f t="shared" si="20"/>
        <v>346975</v>
      </c>
      <c r="V142" s="20">
        <f t="shared" si="12"/>
        <v>22975</v>
      </c>
      <c r="W142" s="20">
        <v>132000</v>
      </c>
      <c r="X142" s="20">
        <f t="shared" si="21"/>
        <v>150000</v>
      </c>
      <c r="Y142" s="20"/>
      <c r="Z142" s="20">
        <f t="shared" si="13"/>
        <v>150000</v>
      </c>
      <c r="AA142" s="20">
        <v>156000</v>
      </c>
      <c r="AB142" s="20">
        <f t="shared" si="14"/>
        <v>174000</v>
      </c>
      <c r="AC142" s="20"/>
      <c r="AD142" s="20">
        <f t="shared" si="15"/>
        <v>174000</v>
      </c>
      <c r="AE142" s="20">
        <v>0</v>
      </c>
      <c r="AF142" s="20">
        <v>0</v>
      </c>
      <c r="AG142" s="20">
        <f t="shared" si="16"/>
        <v>0</v>
      </c>
      <c r="AH142" s="20">
        <v>0</v>
      </c>
      <c r="AI142" s="37">
        <v>0</v>
      </c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spans="1:51" ht="14.15" hidden="1" customHeight="1" x14ac:dyDescent="0.35">
      <c r="A143">
        <v>3550</v>
      </c>
      <c r="B143">
        <v>5000</v>
      </c>
      <c r="C143">
        <v>0</v>
      </c>
      <c r="D143">
        <v>0</v>
      </c>
      <c r="E143">
        <v>6000</v>
      </c>
      <c r="F143">
        <v>2700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1500</v>
      </c>
      <c r="M143">
        <v>2000</v>
      </c>
      <c r="N143">
        <v>1500</v>
      </c>
      <c r="O143">
        <v>3000</v>
      </c>
      <c r="P143">
        <v>0</v>
      </c>
      <c r="Q143">
        <v>0</v>
      </c>
      <c r="R143">
        <v>0</v>
      </c>
      <c r="S143">
        <v>0</v>
      </c>
      <c r="T143">
        <v>180662172</v>
      </c>
      <c r="U143" s="19">
        <f t="shared" si="20"/>
        <v>351250</v>
      </c>
      <c r="V143" s="20">
        <f t="shared" si="12"/>
        <v>27250</v>
      </c>
      <c r="W143" s="20">
        <v>150000</v>
      </c>
      <c r="X143" s="20">
        <f t="shared" si="21"/>
        <v>168000</v>
      </c>
      <c r="Y143" s="20"/>
      <c r="Z143" s="20">
        <f t="shared" si="13"/>
        <v>168000</v>
      </c>
      <c r="AA143" s="20">
        <v>138000</v>
      </c>
      <c r="AB143" s="20">
        <f t="shared" si="14"/>
        <v>156000</v>
      </c>
      <c r="AC143" s="20"/>
      <c r="AD143" s="20">
        <f t="shared" si="15"/>
        <v>156000</v>
      </c>
      <c r="AE143" s="20">
        <v>0</v>
      </c>
      <c r="AF143" s="20">
        <v>0</v>
      </c>
      <c r="AG143" s="20">
        <f t="shared" si="16"/>
        <v>0</v>
      </c>
      <c r="AH143" s="20">
        <v>0</v>
      </c>
      <c r="AI143" s="37">
        <v>0</v>
      </c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spans="1:51" ht="14.15" hidden="1" customHeight="1" x14ac:dyDescent="0.35">
      <c r="A144">
        <v>0</v>
      </c>
      <c r="B144">
        <v>0</v>
      </c>
      <c r="C144">
        <v>0</v>
      </c>
      <c r="D144">
        <v>0</v>
      </c>
      <c r="E144">
        <v>6000</v>
      </c>
      <c r="F144">
        <v>2700</v>
      </c>
      <c r="G144">
        <v>1000</v>
      </c>
      <c r="H144">
        <v>1800</v>
      </c>
      <c r="I144">
        <v>0</v>
      </c>
      <c r="J144">
        <v>0</v>
      </c>
      <c r="K144">
        <v>0</v>
      </c>
      <c r="L144">
        <v>1500</v>
      </c>
      <c r="M144">
        <v>2000</v>
      </c>
      <c r="N144">
        <v>1500</v>
      </c>
      <c r="O144">
        <v>3000</v>
      </c>
      <c r="P144">
        <v>0</v>
      </c>
      <c r="Q144">
        <v>0</v>
      </c>
      <c r="R144">
        <v>0</v>
      </c>
      <c r="S144">
        <v>0</v>
      </c>
      <c r="T144">
        <v>186669444</v>
      </c>
      <c r="U144" s="19">
        <f t="shared" si="20"/>
        <v>379500</v>
      </c>
      <c r="V144" s="20">
        <f t="shared" si="12"/>
        <v>19500</v>
      </c>
      <c r="W144" s="20">
        <v>180000</v>
      </c>
      <c r="X144" s="20">
        <f t="shared" si="21"/>
        <v>198000</v>
      </c>
      <c r="Y144" s="20"/>
      <c r="Z144" s="20">
        <f t="shared" si="13"/>
        <v>198000</v>
      </c>
      <c r="AA144" s="20">
        <v>144000</v>
      </c>
      <c r="AB144" s="20">
        <f t="shared" si="14"/>
        <v>162000</v>
      </c>
      <c r="AC144" s="20"/>
      <c r="AD144" s="20">
        <f t="shared" si="15"/>
        <v>162000</v>
      </c>
      <c r="AE144" s="20">
        <v>0</v>
      </c>
      <c r="AF144" s="20">
        <v>0</v>
      </c>
      <c r="AG144" s="20">
        <f t="shared" si="16"/>
        <v>0</v>
      </c>
      <c r="AH144" s="20">
        <v>0</v>
      </c>
      <c r="AI144" s="37">
        <v>0</v>
      </c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1:51" ht="14.15" hidden="1" customHeight="1" x14ac:dyDescent="0.35">
      <c r="A145">
        <v>4150</v>
      </c>
      <c r="B145">
        <v>4500</v>
      </c>
      <c r="C145">
        <v>0</v>
      </c>
      <c r="D145">
        <v>0</v>
      </c>
      <c r="E145">
        <v>6000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1500</v>
      </c>
      <c r="M145">
        <v>2000</v>
      </c>
      <c r="N145">
        <v>1500</v>
      </c>
      <c r="O145">
        <v>3000</v>
      </c>
      <c r="P145">
        <v>0</v>
      </c>
      <c r="Q145">
        <v>0</v>
      </c>
      <c r="R145">
        <v>0</v>
      </c>
      <c r="S145">
        <v>0</v>
      </c>
      <c r="T145">
        <v>165666957</v>
      </c>
      <c r="U145" s="19">
        <f t="shared" si="20"/>
        <v>328650</v>
      </c>
      <c r="V145" s="20">
        <f t="shared" si="12"/>
        <v>22650</v>
      </c>
      <c r="W145" s="20">
        <v>132000</v>
      </c>
      <c r="X145" s="20">
        <f t="shared" si="21"/>
        <v>150000</v>
      </c>
      <c r="Y145" s="20"/>
      <c r="Z145" s="20">
        <f t="shared" si="13"/>
        <v>150000</v>
      </c>
      <c r="AA145" s="20">
        <v>120000</v>
      </c>
      <c r="AB145" s="20">
        <f t="shared" si="14"/>
        <v>138000</v>
      </c>
      <c r="AC145" s="20">
        <v>18000</v>
      </c>
      <c r="AD145" s="20">
        <f t="shared" si="15"/>
        <v>156000</v>
      </c>
      <c r="AE145" s="20">
        <v>0</v>
      </c>
      <c r="AF145" s="20">
        <v>0</v>
      </c>
      <c r="AG145" s="20">
        <f t="shared" si="16"/>
        <v>0</v>
      </c>
      <c r="AH145" s="20">
        <v>0</v>
      </c>
      <c r="AI145" s="37">
        <v>0</v>
      </c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1:51" ht="14.15" hidden="1" customHeight="1" x14ac:dyDescent="0.35">
      <c r="A146">
        <v>3750</v>
      </c>
      <c r="B146">
        <v>5000</v>
      </c>
      <c r="C146">
        <v>0</v>
      </c>
      <c r="D146">
        <v>0</v>
      </c>
      <c r="E146">
        <v>6000</v>
      </c>
      <c r="F146">
        <v>2700</v>
      </c>
      <c r="G146">
        <v>2000</v>
      </c>
      <c r="H146">
        <v>1800</v>
      </c>
      <c r="I146">
        <v>0</v>
      </c>
      <c r="J146">
        <v>0</v>
      </c>
      <c r="K146">
        <v>0</v>
      </c>
      <c r="L146">
        <v>1500</v>
      </c>
      <c r="M146">
        <v>2000</v>
      </c>
      <c r="N146">
        <v>1500</v>
      </c>
      <c r="O146">
        <v>3000</v>
      </c>
      <c r="P146">
        <v>0</v>
      </c>
      <c r="Q146">
        <v>0</v>
      </c>
      <c r="R146">
        <v>0</v>
      </c>
      <c r="S146">
        <v>0</v>
      </c>
      <c r="T146">
        <v>203646234</v>
      </c>
      <c r="U146" s="19">
        <f t="shared" si="20"/>
        <v>313650</v>
      </c>
      <c r="V146" s="20">
        <f t="shared" si="12"/>
        <v>29250</v>
      </c>
      <c r="W146" s="20">
        <v>108000</v>
      </c>
      <c r="X146" s="20">
        <f t="shared" si="21"/>
        <v>126000</v>
      </c>
      <c r="Y146" s="20">
        <v>14400</v>
      </c>
      <c r="Z146" s="20">
        <f t="shared" si="13"/>
        <v>140400</v>
      </c>
      <c r="AA146" s="20">
        <v>108000</v>
      </c>
      <c r="AB146" s="20">
        <f t="shared" si="14"/>
        <v>126000</v>
      </c>
      <c r="AC146" s="20">
        <v>18000</v>
      </c>
      <c r="AD146" s="20">
        <f t="shared" si="15"/>
        <v>144000</v>
      </c>
      <c r="AE146" s="20">
        <v>0</v>
      </c>
      <c r="AF146" s="20">
        <v>0</v>
      </c>
      <c r="AG146" s="20">
        <f t="shared" si="16"/>
        <v>0</v>
      </c>
      <c r="AH146" s="20">
        <v>0</v>
      </c>
      <c r="AI146" s="37">
        <v>0</v>
      </c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1:51" ht="14.15" hidden="1" customHeight="1" x14ac:dyDescent="0.35">
      <c r="A147">
        <v>4750</v>
      </c>
      <c r="B147">
        <v>4500</v>
      </c>
      <c r="C147">
        <v>0</v>
      </c>
      <c r="D147">
        <v>0</v>
      </c>
      <c r="E147">
        <v>6000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1500</v>
      </c>
      <c r="M147">
        <v>2000</v>
      </c>
      <c r="N147">
        <v>1500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464872026</v>
      </c>
      <c r="U147" s="19">
        <f t="shared" si="20"/>
        <v>356250</v>
      </c>
      <c r="V147" s="20">
        <f t="shared" si="12"/>
        <v>20250</v>
      </c>
      <c r="W147" s="20">
        <v>138000</v>
      </c>
      <c r="X147" s="20">
        <f t="shared" si="21"/>
        <v>156000</v>
      </c>
      <c r="Y147" s="20"/>
      <c r="Z147" s="20">
        <f t="shared" si="13"/>
        <v>156000</v>
      </c>
      <c r="AA147" s="20">
        <v>144000</v>
      </c>
      <c r="AB147" s="20">
        <f t="shared" si="14"/>
        <v>162000</v>
      </c>
      <c r="AC147" s="20">
        <v>18000</v>
      </c>
      <c r="AD147" s="20">
        <f t="shared" si="15"/>
        <v>180000</v>
      </c>
      <c r="AE147" s="20">
        <v>0</v>
      </c>
      <c r="AF147" s="20">
        <v>0</v>
      </c>
      <c r="AG147" s="20">
        <f t="shared" si="16"/>
        <v>0</v>
      </c>
      <c r="AH147" s="20">
        <v>0</v>
      </c>
      <c r="AI147" s="37">
        <v>0</v>
      </c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1:51" ht="14.15" hidden="1" customHeight="1" x14ac:dyDescent="0.35">
      <c r="A148">
        <v>3000</v>
      </c>
      <c r="B148">
        <v>5000</v>
      </c>
      <c r="C148">
        <v>0</v>
      </c>
      <c r="D148">
        <v>0</v>
      </c>
      <c r="E148">
        <v>6000</v>
      </c>
      <c r="F148">
        <v>2700</v>
      </c>
      <c r="G148">
        <v>1000</v>
      </c>
      <c r="H148">
        <v>0</v>
      </c>
      <c r="I148">
        <v>0</v>
      </c>
      <c r="J148">
        <v>0</v>
      </c>
      <c r="K148">
        <v>0</v>
      </c>
      <c r="L148">
        <v>1500</v>
      </c>
      <c r="M148">
        <v>0</v>
      </c>
      <c r="N148">
        <v>1500</v>
      </c>
      <c r="O148">
        <v>3000</v>
      </c>
      <c r="P148">
        <v>0</v>
      </c>
      <c r="Q148">
        <v>0</v>
      </c>
      <c r="R148">
        <v>0</v>
      </c>
      <c r="S148">
        <v>0</v>
      </c>
      <c r="T148">
        <v>137784771</v>
      </c>
      <c r="U148" s="19">
        <f t="shared" si="20"/>
        <v>275700</v>
      </c>
      <c r="V148" s="20">
        <f t="shared" si="12"/>
        <v>23700</v>
      </c>
      <c r="W148" s="20">
        <v>120000</v>
      </c>
      <c r="X148" s="20">
        <f t="shared" si="21"/>
        <v>138000</v>
      </c>
      <c r="Y148" s="20"/>
      <c r="Z148" s="20">
        <f t="shared" si="13"/>
        <v>138000</v>
      </c>
      <c r="AA148" s="20">
        <v>96000</v>
      </c>
      <c r="AB148" s="20">
        <f t="shared" si="14"/>
        <v>114000</v>
      </c>
      <c r="AC148" s="20"/>
      <c r="AD148" s="20">
        <f t="shared" si="15"/>
        <v>114000</v>
      </c>
      <c r="AE148" s="20">
        <v>0</v>
      </c>
      <c r="AF148" s="20">
        <v>0</v>
      </c>
      <c r="AG148" s="20">
        <f t="shared" si="16"/>
        <v>0</v>
      </c>
      <c r="AH148" s="20">
        <v>0</v>
      </c>
      <c r="AI148" s="37">
        <v>0</v>
      </c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1:51" ht="14.15" hidden="1" customHeight="1" x14ac:dyDescent="0.35">
      <c r="A149">
        <v>4100</v>
      </c>
      <c r="B149">
        <v>4000</v>
      </c>
      <c r="C149">
        <v>0</v>
      </c>
      <c r="D149">
        <v>0</v>
      </c>
      <c r="E149">
        <v>6000</v>
      </c>
      <c r="F149">
        <v>2700</v>
      </c>
      <c r="G149">
        <v>0</v>
      </c>
      <c r="H149">
        <v>1450</v>
      </c>
      <c r="I149">
        <v>0</v>
      </c>
      <c r="J149">
        <v>0</v>
      </c>
      <c r="K149">
        <v>0</v>
      </c>
      <c r="L149">
        <v>1500</v>
      </c>
      <c r="M149">
        <v>2000</v>
      </c>
      <c r="N149">
        <v>1500</v>
      </c>
      <c r="O149">
        <v>3000</v>
      </c>
      <c r="P149">
        <v>0</v>
      </c>
      <c r="Q149">
        <v>0</v>
      </c>
      <c r="R149">
        <v>0</v>
      </c>
      <c r="S149">
        <v>0</v>
      </c>
      <c r="T149">
        <v>199647780</v>
      </c>
      <c r="U149" s="19">
        <f t="shared" si="20"/>
        <v>254250</v>
      </c>
      <c r="V149" s="20">
        <f t="shared" si="12"/>
        <v>26250</v>
      </c>
      <c r="W149" s="20">
        <v>132000</v>
      </c>
      <c r="X149" s="20">
        <f t="shared" si="21"/>
        <v>150000</v>
      </c>
      <c r="Y149" s="20"/>
      <c r="Z149" s="20">
        <f t="shared" si="13"/>
        <v>150000</v>
      </c>
      <c r="AA149" s="20">
        <v>60000</v>
      </c>
      <c r="AB149" s="20">
        <f t="shared" si="14"/>
        <v>78000</v>
      </c>
      <c r="AC149" s="20"/>
      <c r="AD149" s="20">
        <f t="shared" si="15"/>
        <v>78000</v>
      </c>
      <c r="AE149" s="20">
        <v>0</v>
      </c>
      <c r="AF149" s="20">
        <v>0</v>
      </c>
      <c r="AG149" s="20">
        <f t="shared" si="16"/>
        <v>0</v>
      </c>
      <c r="AH149" s="20">
        <v>0</v>
      </c>
      <c r="AI149" s="37">
        <v>0</v>
      </c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1:51" ht="14.15" hidden="1" customHeight="1" x14ac:dyDescent="0.35">
      <c r="A150">
        <v>0</v>
      </c>
      <c r="B150">
        <v>0</v>
      </c>
      <c r="C150">
        <v>0</v>
      </c>
      <c r="D150">
        <v>0</v>
      </c>
      <c r="E150">
        <v>6000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1500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81769530</v>
      </c>
      <c r="U150" s="19">
        <f t="shared" si="20"/>
        <v>295500</v>
      </c>
      <c r="V150" s="20">
        <f t="shared" si="12"/>
        <v>7500</v>
      </c>
      <c r="W150" s="20">
        <v>126000</v>
      </c>
      <c r="X150" s="20">
        <f t="shared" si="21"/>
        <v>144000</v>
      </c>
      <c r="Y150" s="20"/>
      <c r="Z150" s="20">
        <f t="shared" si="13"/>
        <v>144000</v>
      </c>
      <c r="AA150" s="20">
        <v>126000</v>
      </c>
      <c r="AB150" s="20">
        <f t="shared" si="14"/>
        <v>144000</v>
      </c>
      <c r="AC150" s="20"/>
      <c r="AD150" s="20">
        <f t="shared" si="15"/>
        <v>144000</v>
      </c>
      <c r="AE150" s="20">
        <v>0</v>
      </c>
      <c r="AF150" s="20">
        <v>0</v>
      </c>
      <c r="AG150" s="20">
        <f t="shared" si="16"/>
        <v>0</v>
      </c>
      <c r="AH150" s="20">
        <v>0</v>
      </c>
      <c r="AI150" s="37">
        <v>0</v>
      </c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1:51" ht="14.15" hidden="1" customHeight="1" x14ac:dyDescent="0.35">
      <c r="A151">
        <v>4600</v>
      </c>
      <c r="B151">
        <v>5000</v>
      </c>
      <c r="C151">
        <v>0</v>
      </c>
      <c r="D151">
        <v>0</v>
      </c>
      <c r="E151">
        <v>6000</v>
      </c>
      <c r="F151">
        <v>2700</v>
      </c>
      <c r="G151">
        <v>2000</v>
      </c>
      <c r="H151">
        <v>1450</v>
      </c>
      <c r="I151">
        <v>0</v>
      </c>
      <c r="J151">
        <v>0</v>
      </c>
      <c r="K151">
        <v>0</v>
      </c>
      <c r="L151">
        <v>1500</v>
      </c>
      <c r="M151">
        <v>2000</v>
      </c>
      <c r="N151">
        <v>1500</v>
      </c>
      <c r="O151">
        <v>3000</v>
      </c>
      <c r="P151">
        <v>0</v>
      </c>
      <c r="Q151">
        <v>0</v>
      </c>
      <c r="R151">
        <v>0</v>
      </c>
      <c r="S151">
        <v>0</v>
      </c>
      <c r="T151">
        <v>43786428</v>
      </c>
      <c r="U151" s="19">
        <f t="shared" si="20"/>
        <v>393050</v>
      </c>
      <c r="V151" s="20">
        <f t="shared" si="12"/>
        <v>29750</v>
      </c>
      <c r="W151" s="20">
        <v>144000</v>
      </c>
      <c r="X151" s="20">
        <f t="shared" si="21"/>
        <v>162000</v>
      </c>
      <c r="Y151" s="20">
        <v>15300</v>
      </c>
      <c r="Z151" s="20">
        <f t="shared" si="13"/>
        <v>177300</v>
      </c>
      <c r="AA151" s="20">
        <v>168000</v>
      </c>
      <c r="AB151" s="20">
        <f t="shared" si="14"/>
        <v>186000</v>
      </c>
      <c r="AC151" s="20"/>
      <c r="AD151" s="20">
        <f t="shared" si="15"/>
        <v>186000</v>
      </c>
      <c r="AE151" s="20">
        <v>0</v>
      </c>
      <c r="AF151" s="20">
        <v>0</v>
      </c>
      <c r="AG151" s="20">
        <f t="shared" si="16"/>
        <v>0</v>
      </c>
      <c r="AH151" s="20">
        <v>0</v>
      </c>
      <c r="AI151" s="37">
        <v>0</v>
      </c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spans="1:51" ht="14.15" hidden="1" customHeight="1" x14ac:dyDescent="0.35">
      <c r="A152">
        <v>4300</v>
      </c>
      <c r="B152">
        <v>3500</v>
      </c>
      <c r="C152">
        <v>0</v>
      </c>
      <c r="D152">
        <v>0</v>
      </c>
      <c r="E152">
        <v>6000</v>
      </c>
      <c r="F152">
        <v>2700</v>
      </c>
      <c r="G152">
        <v>1000</v>
      </c>
      <c r="H152">
        <v>1450</v>
      </c>
      <c r="I152">
        <v>0</v>
      </c>
      <c r="J152">
        <v>0</v>
      </c>
      <c r="K152">
        <v>0</v>
      </c>
      <c r="L152">
        <v>1500</v>
      </c>
      <c r="M152">
        <v>2000</v>
      </c>
      <c r="N152">
        <v>1500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55742340</v>
      </c>
      <c r="U152" s="19">
        <f t="shared" si="20"/>
        <v>257950</v>
      </c>
      <c r="V152" s="20">
        <f t="shared" si="12"/>
        <v>23950</v>
      </c>
      <c r="W152" s="20">
        <v>132000</v>
      </c>
      <c r="X152" s="20">
        <f t="shared" si="21"/>
        <v>150000</v>
      </c>
      <c r="Y152" s="20"/>
      <c r="Z152" s="20">
        <f t="shared" si="13"/>
        <v>150000</v>
      </c>
      <c r="AA152" s="20">
        <v>66000</v>
      </c>
      <c r="AB152" s="20">
        <f t="shared" si="14"/>
        <v>84000</v>
      </c>
      <c r="AC152" s="20"/>
      <c r="AD152" s="20">
        <f t="shared" si="15"/>
        <v>84000</v>
      </c>
      <c r="AE152" s="20">
        <v>0</v>
      </c>
      <c r="AF152" s="20">
        <v>0</v>
      </c>
      <c r="AG152" s="20">
        <f t="shared" si="16"/>
        <v>0</v>
      </c>
      <c r="AH152" s="20">
        <v>0</v>
      </c>
      <c r="AI152" s="37">
        <v>0</v>
      </c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spans="1:51" ht="14.15" hidden="1" customHeight="1" x14ac:dyDescent="0.35">
      <c r="A153">
        <v>4750</v>
      </c>
      <c r="B153">
        <v>5000</v>
      </c>
      <c r="C153">
        <v>0</v>
      </c>
      <c r="D153">
        <v>0</v>
      </c>
      <c r="E153">
        <v>6000</v>
      </c>
      <c r="F153">
        <v>2700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1500</v>
      </c>
      <c r="M153">
        <v>2000</v>
      </c>
      <c r="N153">
        <v>0</v>
      </c>
      <c r="O153">
        <v>3000</v>
      </c>
      <c r="P153">
        <v>0</v>
      </c>
      <c r="Q153">
        <v>0</v>
      </c>
      <c r="R153">
        <v>0</v>
      </c>
      <c r="S153">
        <v>0</v>
      </c>
      <c r="T153">
        <v>195722597</v>
      </c>
      <c r="U153" s="19">
        <f t="shared" si="20"/>
        <v>341350</v>
      </c>
      <c r="V153" s="20">
        <f t="shared" si="12"/>
        <v>24950</v>
      </c>
      <c r="W153" s="20">
        <v>126000</v>
      </c>
      <c r="X153" s="20">
        <f t="shared" si="21"/>
        <v>144000</v>
      </c>
      <c r="Y153" s="20">
        <v>14400</v>
      </c>
      <c r="Z153" s="20">
        <f t="shared" si="13"/>
        <v>158400</v>
      </c>
      <c r="AA153" s="20">
        <v>126000</v>
      </c>
      <c r="AB153" s="20">
        <f t="shared" si="14"/>
        <v>144000</v>
      </c>
      <c r="AC153" s="20">
        <v>14000</v>
      </c>
      <c r="AD153" s="20">
        <f t="shared" si="15"/>
        <v>158000</v>
      </c>
      <c r="AE153" s="20">
        <v>0</v>
      </c>
      <c r="AF153" s="20">
        <v>0</v>
      </c>
      <c r="AG153" s="20">
        <f t="shared" si="16"/>
        <v>0</v>
      </c>
      <c r="AH153" s="20">
        <v>0</v>
      </c>
      <c r="AI153" s="37">
        <v>0</v>
      </c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spans="1:51" ht="14.15" hidden="1" customHeight="1" x14ac:dyDescent="0.35">
      <c r="A154">
        <v>4750</v>
      </c>
      <c r="B154">
        <v>5000</v>
      </c>
      <c r="C154">
        <v>0</v>
      </c>
      <c r="D154">
        <v>0</v>
      </c>
      <c r="E154">
        <v>6000</v>
      </c>
      <c r="F154">
        <v>2700</v>
      </c>
      <c r="G154">
        <v>1500</v>
      </c>
      <c r="H154">
        <v>1800</v>
      </c>
      <c r="I154">
        <v>0</v>
      </c>
      <c r="J154">
        <v>0</v>
      </c>
      <c r="K154">
        <v>0</v>
      </c>
      <c r="L154">
        <v>1500</v>
      </c>
      <c r="M154">
        <v>2000</v>
      </c>
      <c r="N154">
        <v>1500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195641943</v>
      </c>
      <c r="U154" s="19">
        <f t="shared" si="20"/>
        <v>380750</v>
      </c>
      <c r="V154" s="20">
        <f t="shared" ref="V154:V218" si="22">SUM(A154:S154)</f>
        <v>26750</v>
      </c>
      <c r="W154" s="20">
        <v>156000</v>
      </c>
      <c r="X154" s="20">
        <f t="shared" si="21"/>
        <v>174000</v>
      </c>
      <c r="Y154" s="20"/>
      <c r="Z154" s="20">
        <f t="shared" ref="Z154:Z218" si="23">SUM(X154:Y154)</f>
        <v>174000</v>
      </c>
      <c r="AA154" s="20">
        <v>162000</v>
      </c>
      <c r="AB154" s="20">
        <f t="shared" ref="AB154:AB217" si="24">AA154+18000</f>
        <v>180000</v>
      </c>
      <c r="AC154" s="20"/>
      <c r="AD154" s="20">
        <f t="shared" ref="AD154:AD218" si="25">SUM(AB154:AC154)</f>
        <v>180000</v>
      </c>
      <c r="AE154" s="20">
        <v>0</v>
      </c>
      <c r="AF154" s="20">
        <v>0</v>
      </c>
      <c r="AG154" s="20">
        <f t="shared" ref="AG154:AG218" si="26">SUM(AE154:AF154)</f>
        <v>0</v>
      </c>
      <c r="AH154" s="20">
        <v>0</v>
      </c>
      <c r="AI154" s="37">
        <v>0</v>
      </c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spans="1:51" ht="14.15" hidden="1" customHeight="1" x14ac:dyDescent="0.35">
      <c r="A155">
        <v>0</v>
      </c>
      <c r="B155">
        <v>0</v>
      </c>
      <c r="C155">
        <v>0</v>
      </c>
      <c r="D155">
        <v>0</v>
      </c>
      <c r="E155">
        <v>6000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1500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175687241</v>
      </c>
      <c r="U155" s="19">
        <f t="shared" si="20"/>
        <v>349500</v>
      </c>
      <c r="V155" s="20">
        <f t="shared" si="22"/>
        <v>7500</v>
      </c>
      <c r="W155" s="20">
        <v>156000</v>
      </c>
      <c r="X155" s="20">
        <f t="shared" si="21"/>
        <v>174000</v>
      </c>
      <c r="Y155" s="20">
        <v>18000</v>
      </c>
      <c r="Z155" s="20">
        <f t="shared" si="23"/>
        <v>192000</v>
      </c>
      <c r="AA155" s="20">
        <v>132000</v>
      </c>
      <c r="AB155" s="20">
        <f t="shared" si="24"/>
        <v>150000</v>
      </c>
      <c r="AC155" s="20"/>
      <c r="AD155" s="20">
        <f t="shared" si="25"/>
        <v>150000</v>
      </c>
      <c r="AE155" s="20">
        <v>0</v>
      </c>
      <c r="AF155" s="20">
        <v>0</v>
      </c>
      <c r="AG155" s="20">
        <f t="shared" si="26"/>
        <v>0</v>
      </c>
      <c r="AH155" s="20">
        <v>0</v>
      </c>
      <c r="AI155" s="37">
        <v>0</v>
      </c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spans="1:51" ht="14.15" hidden="1" customHeight="1" x14ac:dyDescent="0.35">
      <c r="A156">
        <v>0</v>
      </c>
      <c r="B156">
        <v>5000</v>
      </c>
      <c r="C156">
        <v>0</v>
      </c>
      <c r="D156">
        <v>0</v>
      </c>
      <c r="E156">
        <v>6000</v>
      </c>
      <c r="F156">
        <v>2700</v>
      </c>
      <c r="G156">
        <v>1000</v>
      </c>
      <c r="H156">
        <v>1450</v>
      </c>
      <c r="I156">
        <v>0</v>
      </c>
      <c r="J156">
        <v>0</v>
      </c>
      <c r="K156">
        <v>0</v>
      </c>
      <c r="L156">
        <v>1500</v>
      </c>
      <c r="M156">
        <v>2000</v>
      </c>
      <c r="N156">
        <v>1500</v>
      </c>
      <c r="O156">
        <v>3000</v>
      </c>
      <c r="P156">
        <v>0</v>
      </c>
      <c r="Q156">
        <v>0</v>
      </c>
      <c r="R156">
        <v>0</v>
      </c>
      <c r="S156">
        <v>0</v>
      </c>
      <c r="T156">
        <v>169661831</v>
      </c>
      <c r="U156" s="19">
        <f t="shared" si="20"/>
        <v>324150</v>
      </c>
      <c r="V156" s="20">
        <f t="shared" si="22"/>
        <v>24150</v>
      </c>
      <c r="W156" s="20">
        <v>138000</v>
      </c>
      <c r="X156" s="20">
        <f t="shared" si="21"/>
        <v>156000</v>
      </c>
      <c r="Y156" s="20"/>
      <c r="Z156" s="20">
        <f t="shared" si="23"/>
        <v>156000</v>
      </c>
      <c r="AA156" s="20">
        <v>126000</v>
      </c>
      <c r="AB156" s="20">
        <f t="shared" si="24"/>
        <v>144000</v>
      </c>
      <c r="AC156" s="20"/>
      <c r="AD156" s="20">
        <f t="shared" si="25"/>
        <v>144000</v>
      </c>
      <c r="AE156" s="20">
        <v>0</v>
      </c>
      <c r="AF156" s="20">
        <v>0</v>
      </c>
      <c r="AG156" s="20">
        <f t="shared" si="26"/>
        <v>0</v>
      </c>
      <c r="AH156" s="20">
        <v>0</v>
      </c>
      <c r="AI156" s="37">
        <v>0</v>
      </c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spans="1:51" ht="14.15" hidden="1" customHeight="1" x14ac:dyDescent="0.35">
      <c r="A157">
        <v>4750</v>
      </c>
      <c r="B157">
        <v>5000</v>
      </c>
      <c r="C157">
        <v>0</v>
      </c>
      <c r="D157">
        <v>0</v>
      </c>
      <c r="E157">
        <v>6000</v>
      </c>
      <c r="F157">
        <v>2700</v>
      </c>
      <c r="G157">
        <v>1000</v>
      </c>
      <c r="H157">
        <v>1700</v>
      </c>
      <c r="I157">
        <v>0</v>
      </c>
      <c r="J157">
        <v>0</v>
      </c>
      <c r="K157">
        <v>0</v>
      </c>
      <c r="L157">
        <v>1500</v>
      </c>
      <c r="M157">
        <v>2000</v>
      </c>
      <c r="N157">
        <v>1500</v>
      </c>
      <c r="O157">
        <v>3000</v>
      </c>
      <c r="P157">
        <v>0</v>
      </c>
      <c r="Q157">
        <v>0</v>
      </c>
      <c r="R157">
        <v>0</v>
      </c>
      <c r="S157">
        <v>0</v>
      </c>
      <c r="T157">
        <v>214134846</v>
      </c>
      <c r="U157" s="19">
        <f t="shared" si="20"/>
        <v>323150</v>
      </c>
      <c r="V157" s="20">
        <f t="shared" si="22"/>
        <v>29150</v>
      </c>
      <c r="W157" s="20">
        <v>144000</v>
      </c>
      <c r="X157" s="20">
        <f t="shared" si="21"/>
        <v>162000</v>
      </c>
      <c r="Y157" s="20"/>
      <c r="Z157" s="20">
        <f t="shared" si="23"/>
        <v>162000</v>
      </c>
      <c r="AA157" s="20">
        <v>114000</v>
      </c>
      <c r="AB157" s="20">
        <f t="shared" si="24"/>
        <v>132000</v>
      </c>
      <c r="AC157" s="20"/>
      <c r="AD157" s="20">
        <f t="shared" si="25"/>
        <v>132000</v>
      </c>
      <c r="AE157" s="20">
        <v>0</v>
      </c>
      <c r="AF157" s="20">
        <v>0</v>
      </c>
      <c r="AG157" s="20">
        <f t="shared" si="26"/>
        <v>0</v>
      </c>
      <c r="AH157" s="20">
        <v>0</v>
      </c>
      <c r="AI157" s="37">
        <v>0</v>
      </c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spans="1:51" ht="14.15" hidden="1" customHeight="1" x14ac:dyDescent="0.35">
      <c r="A158">
        <v>4300</v>
      </c>
      <c r="B158">
        <v>5000</v>
      </c>
      <c r="C158">
        <v>0</v>
      </c>
      <c r="D158">
        <v>0</v>
      </c>
      <c r="E158">
        <v>6000</v>
      </c>
      <c r="F158">
        <v>2700</v>
      </c>
      <c r="G158">
        <v>1000</v>
      </c>
      <c r="H158">
        <v>0</v>
      </c>
      <c r="I158">
        <v>0</v>
      </c>
      <c r="J158">
        <v>0</v>
      </c>
      <c r="K158">
        <v>0</v>
      </c>
      <c r="L158">
        <v>1500</v>
      </c>
      <c r="M158">
        <v>2000</v>
      </c>
      <c r="N158">
        <v>1500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47862729</v>
      </c>
      <c r="U158" s="19">
        <f t="shared" si="20"/>
        <v>342000</v>
      </c>
      <c r="V158" s="20">
        <f t="shared" si="22"/>
        <v>24000</v>
      </c>
      <c r="W158" s="20">
        <v>144000</v>
      </c>
      <c r="X158" s="20">
        <f t="shared" si="21"/>
        <v>162000</v>
      </c>
      <c r="Y158" s="20"/>
      <c r="Z158" s="20">
        <f t="shared" si="23"/>
        <v>162000</v>
      </c>
      <c r="AA158" s="20">
        <v>138000</v>
      </c>
      <c r="AB158" s="20">
        <f t="shared" si="24"/>
        <v>156000</v>
      </c>
      <c r="AC158" s="20"/>
      <c r="AD158" s="20">
        <f t="shared" si="25"/>
        <v>156000</v>
      </c>
      <c r="AE158" s="20">
        <v>0</v>
      </c>
      <c r="AF158" s="20">
        <v>0</v>
      </c>
      <c r="AG158" s="20">
        <f t="shared" si="26"/>
        <v>0</v>
      </c>
      <c r="AH158" s="20">
        <v>0</v>
      </c>
      <c r="AI158" s="37">
        <v>0</v>
      </c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spans="1:51" ht="14.15" hidden="1" customHeight="1" x14ac:dyDescent="0.35">
      <c r="A159">
        <v>0</v>
      </c>
      <c r="B159">
        <v>0</v>
      </c>
      <c r="C159">
        <v>0</v>
      </c>
      <c r="D159">
        <v>0</v>
      </c>
      <c r="E159">
        <v>6000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166682025</v>
      </c>
      <c r="U159" s="19"/>
      <c r="V159" s="20"/>
      <c r="W159" s="20"/>
      <c r="X159" s="20"/>
      <c r="Y159" s="20"/>
      <c r="Z159" s="20"/>
      <c r="AA159" s="20"/>
      <c r="AB159" s="20"/>
      <c r="AC159" s="20"/>
      <c r="AD159" s="20"/>
      <c r="AE159" s="20">
        <v>0</v>
      </c>
      <c r="AF159" s="20">
        <v>0</v>
      </c>
      <c r="AG159" s="20">
        <f t="shared" si="26"/>
        <v>0</v>
      </c>
      <c r="AH159" s="20">
        <v>0</v>
      </c>
      <c r="AI159" s="37">
        <v>0</v>
      </c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spans="1:51" ht="14.15" hidden="1" customHeight="1" x14ac:dyDescent="0.35">
      <c r="A160">
        <v>0</v>
      </c>
      <c r="B160">
        <v>0</v>
      </c>
      <c r="C160">
        <v>0</v>
      </c>
      <c r="D160">
        <v>0</v>
      </c>
      <c r="E160">
        <v>6000</v>
      </c>
      <c r="F160">
        <v>1275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1500</v>
      </c>
      <c r="M160">
        <v>2000</v>
      </c>
      <c r="N160">
        <v>1500</v>
      </c>
      <c r="O160">
        <v>3000</v>
      </c>
      <c r="P160">
        <v>0</v>
      </c>
      <c r="Q160">
        <v>0</v>
      </c>
      <c r="R160">
        <v>0</v>
      </c>
      <c r="S160">
        <v>0</v>
      </c>
      <c r="T160">
        <v>139889271</v>
      </c>
      <c r="U160" s="19">
        <f t="shared" ref="U160:U191" si="27" xml:space="preserve"> SUM(V160, Z160, AD160, AG160, AH160, AI160)</f>
        <v>339275</v>
      </c>
      <c r="V160" s="20">
        <f t="shared" si="22"/>
        <v>15275</v>
      </c>
      <c r="W160" s="20">
        <v>144000</v>
      </c>
      <c r="X160" s="20">
        <f t="shared" ref="X160:X209" si="28">W160+3*6000</f>
        <v>162000</v>
      </c>
      <c r="Y160" s="20"/>
      <c r="Z160" s="20">
        <f t="shared" si="23"/>
        <v>162000</v>
      </c>
      <c r="AA160" s="20">
        <v>126000</v>
      </c>
      <c r="AB160" s="20">
        <f t="shared" si="24"/>
        <v>144000</v>
      </c>
      <c r="AC160" s="20">
        <v>18000</v>
      </c>
      <c r="AD160" s="20">
        <f t="shared" si="25"/>
        <v>162000</v>
      </c>
      <c r="AE160" s="20">
        <v>0</v>
      </c>
      <c r="AF160" s="20">
        <v>0</v>
      </c>
      <c r="AG160" s="20">
        <f t="shared" si="26"/>
        <v>0</v>
      </c>
      <c r="AH160" s="20">
        <v>0</v>
      </c>
      <c r="AI160" s="37">
        <v>0</v>
      </c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spans="1:51" ht="14.15" hidden="1" customHeight="1" x14ac:dyDescent="0.35">
      <c r="A161">
        <v>0</v>
      </c>
      <c r="B161">
        <v>5000</v>
      </c>
      <c r="C161">
        <v>0</v>
      </c>
      <c r="D161">
        <v>0</v>
      </c>
      <c r="E161">
        <v>6000</v>
      </c>
      <c r="F161">
        <v>2700</v>
      </c>
      <c r="G161">
        <v>0</v>
      </c>
      <c r="H161">
        <v>1700</v>
      </c>
      <c r="I161">
        <v>0</v>
      </c>
      <c r="J161">
        <v>0</v>
      </c>
      <c r="K161">
        <v>0</v>
      </c>
      <c r="L161">
        <v>1500</v>
      </c>
      <c r="M161">
        <v>0</v>
      </c>
      <c r="N161">
        <v>1500</v>
      </c>
      <c r="O161">
        <v>3000</v>
      </c>
      <c r="P161">
        <v>0</v>
      </c>
      <c r="Q161">
        <v>0</v>
      </c>
      <c r="R161">
        <v>0</v>
      </c>
      <c r="S161">
        <v>0</v>
      </c>
      <c r="T161">
        <v>173707871</v>
      </c>
      <c r="U161" s="19">
        <f t="shared" si="27"/>
        <v>357400</v>
      </c>
      <c r="V161" s="20">
        <f t="shared" si="22"/>
        <v>21400</v>
      </c>
      <c r="W161" s="20">
        <v>150000</v>
      </c>
      <c r="X161" s="20">
        <f t="shared" si="28"/>
        <v>168000</v>
      </c>
      <c r="Y161" s="20"/>
      <c r="Z161" s="20">
        <f t="shared" si="23"/>
        <v>168000</v>
      </c>
      <c r="AA161" s="20">
        <v>150000</v>
      </c>
      <c r="AB161" s="20">
        <f t="shared" si="24"/>
        <v>168000</v>
      </c>
      <c r="AC161" s="20"/>
      <c r="AD161" s="20">
        <f t="shared" si="25"/>
        <v>168000</v>
      </c>
      <c r="AE161" s="20">
        <v>0</v>
      </c>
      <c r="AF161" s="20">
        <v>0</v>
      </c>
      <c r="AG161" s="20">
        <f t="shared" si="26"/>
        <v>0</v>
      </c>
      <c r="AH161" s="20">
        <v>0</v>
      </c>
      <c r="AI161" s="37">
        <v>0</v>
      </c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spans="1:51" ht="14.15" hidden="1" customHeight="1" x14ac:dyDescent="0.35">
      <c r="A162">
        <v>4300</v>
      </c>
      <c r="B162">
        <v>0</v>
      </c>
      <c r="C162">
        <v>0</v>
      </c>
      <c r="D162">
        <v>0</v>
      </c>
      <c r="E162">
        <v>6000</v>
      </c>
      <c r="F162">
        <v>2700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1500</v>
      </c>
      <c r="M162">
        <v>2000</v>
      </c>
      <c r="N162">
        <v>1500</v>
      </c>
      <c r="O162">
        <v>3000</v>
      </c>
      <c r="P162">
        <v>0</v>
      </c>
      <c r="Q162">
        <v>0</v>
      </c>
      <c r="R162">
        <v>0</v>
      </c>
      <c r="S162">
        <v>0</v>
      </c>
      <c r="T162">
        <v>337828366</v>
      </c>
      <c r="U162" s="19">
        <f t="shared" si="27"/>
        <v>381000</v>
      </c>
      <c r="V162" s="20">
        <f t="shared" si="22"/>
        <v>21000</v>
      </c>
      <c r="W162" s="20">
        <v>150000</v>
      </c>
      <c r="X162" s="20">
        <f t="shared" si="28"/>
        <v>168000</v>
      </c>
      <c r="Y162" s="20"/>
      <c r="Z162" s="20">
        <f t="shared" si="23"/>
        <v>168000</v>
      </c>
      <c r="AA162" s="20">
        <v>156000</v>
      </c>
      <c r="AB162" s="20">
        <f t="shared" si="24"/>
        <v>174000</v>
      </c>
      <c r="AC162" s="20">
        <v>18000</v>
      </c>
      <c r="AD162" s="20">
        <f t="shared" si="25"/>
        <v>192000</v>
      </c>
      <c r="AE162" s="20">
        <v>0</v>
      </c>
      <c r="AF162" s="20">
        <v>0</v>
      </c>
      <c r="AG162" s="20">
        <f t="shared" si="26"/>
        <v>0</v>
      </c>
      <c r="AH162" s="20">
        <v>0</v>
      </c>
      <c r="AI162" s="37">
        <v>0</v>
      </c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1:51" ht="14.15" hidden="1" customHeight="1" x14ac:dyDescent="0.35">
      <c r="A163">
        <v>0</v>
      </c>
      <c r="B163">
        <v>0</v>
      </c>
      <c r="C163">
        <v>0</v>
      </c>
      <c r="D163">
        <v>0</v>
      </c>
      <c r="E163">
        <v>6000</v>
      </c>
      <c r="F163">
        <v>2700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1500</v>
      </c>
      <c r="M163">
        <v>0</v>
      </c>
      <c r="N163">
        <v>1500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146785094</v>
      </c>
      <c r="U163" s="19">
        <f t="shared" si="27"/>
        <v>179700</v>
      </c>
      <c r="V163" s="20">
        <f t="shared" si="22"/>
        <v>11700</v>
      </c>
      <c r="W163" s="20">
        <v>66000</v>
      </c>
      <c r="X163" s="20">
        <f t="shared" si="28"/>
        <v>84000</v>
      </c>
      <c r="Y163" s="20"/>
      <c r="Z163" s="20">
        <f t="shared" si="23"/>
        <v>84000</v>
      </c>
      <c r="AA163" s="20">
        <v>66000</v>
      </c>
      <c r="AB163" s="20">
        <f t="shared" si="24"/>
        <v>84000</v>
      </c>
      <c r="AC163" s="20"/>
      <c r="AD163" s="20">
        <f t="shared" si="25"/>
        <v>84000</v>
      </c>
      <c r="AE163" s="20">
        <v>0</v>
      </c>
      <c r="AF163" s="20">
        <v>0</v>
      </c>
      <c r="AG163" s="20">
        <f t="shared" si="26"/>
        <v>0</v>
      </c>
      <c r="AH163" s="20">
        <v>0</v>
      </c>
      <c r="AI163" s="37">
        <v>0</v>
      </c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spans="1:51" ht="14.15" hidden="1" customHeight="1" x14ac:dyDescent="0.35">
      <c r="A164">
        <v>0</v>
      </c>
      <c r="B164">
        <v>0</v>
      </c>
      <c r="C164">
        <v>0</v>
      </c>
      <c r="D164">
        <v>0</v>
      </c>
      <c r="E164">
        <v>6000</v>
      </c>
      <c r="F164">
        <v>2700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1500</v>
      </c>
      <c r="M164">
        <v>2000</v>
      </c>
      <c r="N164">
        <v>1500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163662160</v>
      </c>
      <c r="U164" s="19">
        <f t="shared" si="27"/>
        <v>235700</v>
      </c>
      <c r="V164" s="20">
        <f t="shared" si="22"/>
        <v>13700</v>
      </c>
      <c r="W164" s="20">
        <v>102000</v>
      </c>
      <c r="X164" s="20">
        <f t="shared" si="28"/>
        <v>120000</v>
      </c>
      <c r="Y164" s="20"/>
      <c r="Z164" s="20">
        <f t="shared" si="23"/>
        <v>120000</v>
      </c>
      <c r="AA164" s="20">
        <v>84000</v>
      </c>
      <c r="AB164" s="20">
        <f t="shared" si="24"/>
        <v>102000</v>
      </c>
      <c r="AC164" s="20"/>
      <c r="AD164" s="20">
        <f t="shared" si="25"/>
        <v>102000</v>
      </c>
      <c r="AE164" s="20">
        <v>0</v>
      </c>
      <c r="AF164" s="20">
        <v>0</v>
      </c>
      <c r="AG164" s="20">
        <f t="shared" si="26"/>
        <v>0</v>
      </c>
      <c r="AH164" s="20">
        <v>0</v>
      </c>
      <c r="AI164" s="37">
        <v>0</v>
      </c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1:51" ht="14.15" hidden="1" customHeight="1" x14ac:dyDescent="0.35">
      <c r="A165">
        <v>3550</v>
      </c>
      <c r="B165">
        <v>5000</v>
      </c>
      <c r="C165">
        <v>0</v>
      </c>
      <c r="D165">
        <v>0</v>
      </c>
      <c r="E165">
        <v>6000</v>
      </c>
      <c r="F165">
        <v>2700</v>
      </c>
      <c r="G165">
        <v>1000</v>
      </c>
      <c r="H165">
        <v>0</v>
      </c>
      <c r="I165">
        <v>0</v>
      </c>
      <c r="J165">
        <v>0</v>
      </c>
      <c r="K165">
        <v>0</v>
      </c>
      <c r="L165">
        <v>1500</v>
      </c>
      <c r="M165">
        <v>2000</v>
      </c>
      <c r="N165">
        <v>1500</v>
      </c>
      <c r="O165">
        <v>3000</v>
      </c>
      <c r="P165">
        <v>0</v>
      </c>
      <c r="Q165">
        <v>0</v>
      </c>
      <c r="R165">
        <v>0</v>
      </c>
      <c r="S165">
        <v>0</v>
      </c>
      <c r="T165">
        <v>93704708</v>
      </c>
      <c r="U165" s="19">
        <f t="shared" si="27"/>
        <v>353550</v>
      </c>
      <c r="V165" s="20">
        <f t="shared" si="22"/>
        <v>26250</v>
      </c>
      <c r="W165" s="20">
        <v>138000</v>
      </c>
      <c r="X165" s="20">
        <f t="shared" si="28"/>
        <v>156000</v>
      </c>
      <c r="Y165" s="20">
        <v>15300</v>
      </c>
      <c r="Z165" s="20">
        <f t="shared" si="23"/>
        <v>171300</v>
      </c>
      <c r="AA165" s="20">
        <v>120000</v>
      </c>
      <c r="AB165" s="20">
        <f t="shared" si="24"/>
        <v>138000</v>
      </c>
      <c r="AC165" s="20">
        <v>18000</v>
      </c>
      <c r="AD165" s="20">
        <f t="shared" si="25"/>
        <v>156000</v>
      </c>
      <c r="AE165" s="20">
        <v>0</v>
      </c>
      <c r="AF165" s="20">
        <v>0</v>
      </c>
      <c r="AG165" s="20">
        <f t="shared" si="26"/>
        <v>0</v>
      </c>
      <c r="AH165" s="20">
        <v>0</v>
      </c>
      <c r="AI165" s="37">
        <v>0</v>
      </c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spans="1:51" ht="14.15" hidden="1" customHeight="1" x14ac:dyDescent="0.35">
      <c r="A166">
        <v>4000</v>
      </c>
      <c r="B166">
        <v>5000</v>
      </c>
      <c r="C166">
        <v>0</v>
      </c>
      <c r="D166">
        <v>0</v>
      </c>
      <c r="E166">
        <v>6000</v>
      </c>
      <c r="F166">
        <v>2700</v>
      </c>
      <c r="G166">
        <v>2000</v>
      </c>
      <c r="H166">
        <v>0</v>
      </c>
      <c r="I166">
        <v>0</v>
      </c>
      <c r="J166">
        <v>0</v>
      </c>
      <c r="K166">
        <v>0</v>
      </c>
      <c r="L166">
        <v>1500</v>
      </c>
      <c r="M166">
        <v>2000</v>
      </c>
      <c r="N166">
        <v>0</v>
      </c>
      <c r="O166">
        <v>3000</v>
      </c>
      <c r="P166">
        <v>0</v>
      </c>
      <c r="Q166">
        <v>0</v>
      </c>
      <c r="R166">
        <v>0</v>
      </c>
      <c r="S166">
        <v>0</v>
      </c>
      <c r="T166">
        <v>214196196</v>
      </c>
      <c r="U166" s="19">
        <f t="shared" si="27"/>
        <v>314200</v>
      </c>
      <c r="V166" s="20">
        <f t="shared" si="22"/>
        <v>26200</v>
      </c>
      <c r="W166" s="20">
        <v>108000</v>
      </c>
      <c r="X166" s="20">
        <f t="shared" si="28"/>
        <v>126000</v>
      </c>
      <c r="Y166" s="20"/>
      <c r="Z166" s="20">
        <f t="shared" si="23"/>
        <v>126000</v>
      </c>
      <c r="AA166" s="20">
        <v>144000</v>
      </c>
      <c r="AB166" s="20">
        <f t="shared" si="24"/>
        <v>162000</v>
      </c>
      <c r="AC166" s="20"/>
      <c r="AD166" s="20">
        <f t="shared" si="25"/>
        <v>162000</v>
      </c>
      <c r="AE166" s="20">
        <v>0</v>
      </c>
      <c r="AF166" s="20">
        <v>0</v>
      </c>
      <c r="AG166" s="20">
        <f t="shared" si="26"/>
        <v>0</v>
      </c>
      <c r="AH166" s="20">
        <v>0</v>
      </c>
      <c r="AI166" s="37">
        <v>0</v>
      </c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spans="1:51" ht="14.15" hidden="1" customHeight="1" x14ac:dyDescent="0.35">
      <c r="A167">
        <v>3550</v>
      </c>
      <c r="B167">
        <v>0</v>
      </c>
      <c r="C167">
        <v>0</v>
      </c>
      <c r="D167">
        <v>0</v>
      </c>
      <c r="E167">
        <v>6000</v>
      </c>
      <c r="F167">
        <v>2700</v>
      </c>
      <c r="G167">
        <v>1000</v>
      </c>
      <c r="H167">
        <v>0</v>
      </c>
      <c r="I167">
        <v>0</v>
      </c>
      <c r="J167">
        <v>0</v>
      </c>
      <c r="K167">
        <v>0</v>
      </c>
      <c r="L167">
        <v>1500</v>
      </c>
      <c r="M167">
        <v>2000</v>
      </c>
      <c r="N167">
        <v>1500</v>
      </c>
      <c r="O167">
        <v>3000</v>
      </c>
      <c r="P167">
        <v>0</v>
      </c>
      <c r="Q167">
        <v>0</v>
      </c>
      <c r="R167">
        <v>0</v>
      </c>
      <c r="S167">
        <v>0</v>
      </c>
      <c r="T167">
        <v>174708284</v>
      </c>
      <c r="U167" s="19">
        <f t="shared" si="27"/>
        <v>237250</v>
      </c>
      <c r="V167" s="20">
        <f t="shared" si="22"/>
        <v>21250</v>
      </c>
      <c r="W167" s="20">
        <v>96000</v>
      </c>
      <c r="X167" s="20">
        <f t="shared" si="28"/>
        <v>114000</v>
      </c>
      <c r="Y167" s="20"/>
      <c r="Z167" s="20">
        <f t="shared" si="23"/>
        <v>114000</v>
      </c>
      <c r="AA167" s="20">
        <v>84000</v>
      </c>
      <c r="AB167" s="20">
        <f t="shared" si="24"/>
        <v>102000</v>
      </c>
      <c r="AC167" s="20"/>
      <c r="AD167" s="20">
        <f t="shared" si="25"/>
        <v>102000</v>
      </c>
      <c r="AE167" s="20">
        <v>0</v>
      </c>
      <c r="AF167" s="20">
        <v>0</v>
      </c>
      <c r="AG167" s="20">
        <f t="shared" si="26"/>
        <v>0</v>
      </c>
      <c r="AH167" s="20">
        <v>0</v>
      </c>
      <c r="AI167" s="37">
        <v>0</v>
      </c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1:51" ht="14.15" hidden="1" customHeight="1" x14ac:dyDescent="0.35">
      <c r="A168">
        <v>4800</v>
      </c>
      <c r="B168">
        <v>4500</v>
      </c>
      <c r="C168">
        <v>0</v>
      </c>
      <c r="D168">
        <v>0</v>
      </c>
      <c r="E168">
        <v>6000</v>
      </c>
      <c r="F168">
        <v>0</v>
      </c>
      <c r="G168">
        <v>1500</v>
      </c>
      <c r="H168">
        <v>0</v>
      </c>
      <c r="I168">
        <v>0</v>
      </c>
      <c r="J168">
        <v>0</v>
      </c>
      <c r="K168">
        <v>0</v>
      </c>
      <c r="L168">
        <v>1500</v>
      </c>
      <c r="M168">
        <v>2000</v>
      </c>
      <c r="N168">
        <v>0</v>
      </c>
      <c r="O168">
        <v>3000</v>
      </c>
      <c r="P168">
        <v>0</v>
      </c>
      <c r="Q168">
        <v>0</v>
      </c>
      <c r="R168">
        <v>0</v>
      </c>
      <c r="S168">
        <v>0</v>
      </c>
      <c r="T168">
        <v>274927659</v>
      </c>
      <c r="U168" s="19">
        <f t="shared" si="27"/>
        <v>344600</v>
      </c>
      <c r="V168" s="20">
        <f t="shared" si="22"/>
        <v>23300</v>
      </c>
      <c r="W168" s="20">
        <v>126000</v>
      </c>
      <c r="X168" s="20">
        <f t="shared" si="28"/>
        <v>144000</v>
      </c>
      <c r="Y168" s="20">
        <v>15300</v>
      </c>
      <c r="Z168" s="20">
        <f t="shared" si="23"/>
        <v>159300</v>
      </c>
      <c r="AA168" s="20">
        <v>144000</v>
      </c>
      <c r="AB168" s="20">
        <f t="shared" si="24"/>
        <v>162000</v>
      </c>
      <c r="AC168" s="20"/>
      <c r="AD168" s="20">
        <f t="shared" si="25"/>
        <v>162000</v>
      </c>
      <c r="AE168" s="20">
        <v>0</v>
      </c>
      <c r="AF168" s="20">
        <v>0</v>
      </c>
      <c r="AG168" s="20">
        <f t="shared" si="26"/>
        <v>0</v>
      </c>
      <c r="AH168" s="20">
        <v>0</v>
      </c>
      <c r="AI168" s="37">
        <v>0</v>
      </c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spans="1:51" ht="14.15" hidden="1" customHeight="1" x14ac:dyDescent="0.35">
      <c r="A169">
        <v>3900</v>
      </c>
      <c r="B169">
        <v>5000</v>
      </c>
      <c r="C169">
        <v>0</v>
      </c>
      <c r="D169">
        <v>0</v>
      </c>
      <c r="E169">
        <v>6000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1500</v>
      </c>
      <c r="M169">
        <v>2000</v>
      </c>
      <c r="N169">
        <v>1500</v>
      </c>
      <c r="O169">
        <v>3000</v>
      </c>
      <c r="P169">
        <v>0</v>
      </c>
      <c r="Q169">
        <v>0</v>
      </c>
      <c r="R169">
        <v>0</v>
      </c>
      <c r="S169">
        <v>0</v>
      </c>
      <c r="T169">
        <v>215218249</v>
      </c>
      <c r="U169" s="19">
        <f t="shared" si="27"/>
        <v>298900</v>
      </c>
      <c r="V169" s="20">
        <f t="shared" si="22"/>
        <v>22900</v>
      </c>
      <c r="W169" s="20">
        <v>120000</v>
      </c>
      <c r="X169" s="20">
        <f t="shared" si="28"/>
        <v>138000</v>
      </c>
      <c r="Y169" s="20"/>
      <c r="Z169" s="20">
        <f t="shared" si="23"/>
        <v>138000</v>
      </c>
      <c r="AA169" s="20">
        <v>120000</v>
      </c>
      <c r="AB169" s="20">
        <f t="shared" si="24"/>
        <v>138000</v>
      </c>
      <c r="AC169" s="20"/>
      <c r="AD169" s="20">
        <f t="shared" si="25"/>
        <v>138000</v>
      </c>
      <c r="AE169" s="20">
        <v>0</v>
      </c>
      <c r="AF169" s="20">
        <v>0</v>
      </c>
      <c r="AG169" s="20">
        <f t="shared" si="26"/>
        <v>0</v>
      </c>
      <c r="AH169" s="20">
        <v>0</v>
      </c>
      <c r="AI169" s="37">
        <v>0</v>
      </c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1:51" ht="14.15" hidden="1" customHeight="1" x14ac:dyDescent="0.35">
      <c r="A170">
        <v>4300</v>
      </c>
      <c r="B170">
        <v>5000</v>
      </c>
      <c r="C170">
        <v>0</v>
      </c>
      <c r="D170">
        <v>0</v>
      </c>
      <c r="E170">
        <v>6000</v>
      </c>
      <c r="F170">
        <v>2700</v>
      </c>
      <c r="G170">
        <v>3000</v>
      </c>
      <c r="H170">
        <v>1450</v>
      </c>
      <c r="I170">
        <v>0</v>
      </c>
      <c r="J170">
        <v>0</v>
      </c>
      <c r="K170">
        <v>0</v>
      </c>
      <c r="L170">
        <v>1500</v>
      </c>
      <c r="M170">
        <v>2000</v>
      </c>
      <c r="N170">
        <v>1500</v>
      </c>
      <c r="O170">
        <v>3000</v>
      </c>
      <c r="P170">
        <v>0</v>
      </c>
      <c r="Q170">
        <v>0</v>
      </c>
      <c r="R170">
        <v>0</v>
      </c>
      <c r="S170">
        <v>0</v>
      </c>
      <c r="T170">
        <v>171669611</v>
      </c>
      <c r="U170" s="19">
        <f t="shared" si="27"/>
        <v>302850</v>
      </c>
      <c r="V170" s="20">
        <f t="shared" si="22"/>
        <v>30450</v>
      </c>
      <c r="W170" s="20">
        <v>108000</v>
      </c>
      <c r="X170" s="20">
        <f t="shared" si="28"/>
        <v>126000</v>
      </c>
      <c r="Y170" s="20">
        <v>14400</v>
      </c>
      <c r="Z170" s="20">
        <f t="shared" si="23"/>
        <v>140400</v>
      </c>
      <c r="AA170" s="20">
        <v>114000</v>
      </c>
      <c r="AB170" s="20">
        <f t="shared" si="24"/>
        <v>132000</v>
      </c>
      <c r="AC170" s="20"/>
      <c r="AD170" s="20">
        <f t="shared" si="25"/>
        <v>132000</v>
      </c>
      <c r="AE170" s="20">
        <v>0</v>
      </c>
      <c r="AF170" s="20">
        <v>0</v>
      </c>
      <c r="AG170" s="20">
        <f t="shared" si="26"/>
        <v>0</v>
      </c>
      <c r="AH170" s="20">
        <v>0</v>
      </c>
      <c r="AI170" s="37">
        <v>0</v>
      </c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spans="1:51" ht="14.15" hidden="1" customHeight="1" x14ac:dyDescent="0.35">
      <c r="A171">
        <v>4050</v>
      </c>
      <c r="B171">
        <v>0</v>
      </c>
      <c r="C171">
        <v>0</v>
      </c>
      <c r="D171">
        <v>0</v>
      </c>
      <c r="E171">
        <v>6000</v>
      </c>
      <c r="F171">
        <v>1275</v>
      </c>
      <c r="G171">
        <v>2000</v>
      </c>
      <c r="H171">
        <v>1450</v>
      </c>
      <c r="I171">
        <v>0</v>
      </c>
      <c r="J171">
        <v>0</v>
      </c>
      <c r="K171">
        <v>0</v>
      </c>
      <c r="L171">
        <v>1500</v>
      </c>
      <c r="M171">
        <v>2000</v>
      </c>
      <c r="N171">
        <v>1500</v>
      </c>
      <c r="O171">
        <v>3000</v>
      </c>
      <c r="P171">
        <v>0</v>
      </c>
      <c r="Q171">
        <v>0</v>
      </c>
      <c r="R171">
        <v>0</v>
      </c>
      <c r="S171">
        <v>0</v>
      </c>
      <c r="T171">
        <v>25708265</v>
      </c>
      <c r="U171" s="19">
        <f t="shared" si="27"/>
        <v>298775</v>
      </c>
      <c r="V171" s="20">
        <f t="shared" si="22"/>
        <v>22775</v>
      </c>
      <c r="W171" s="20">
        <v>102000</v>
      </c>
      <c r="X171" s="20">
        <f t="shared" si="28"/>
        <v>120000</v>
      </c>
      <c r="Y171" s="20"/>
      <c r="Z171" s="20">
        <f t="shared" si="23"/>
        <v>120000</v>
      </c>
      <c r="AA171" s="20">
        <v>120000</v>
      </c>
      <c r="AB171" s="20">
        <f t="shared" si="24"/>
        <v>138000</v>
      </c>
      <c r="AC171" s="20">
        <v>18000</v>
      </c>
      <c r="AD171" s="20">
        <f t="shared" si="25"/>
        <v>156000</v>
      </c>
      <c r="AE171" s="20">
        <v>0</v>
      </c>
      <c r="AF171" s="20">
        <v>0</v>
      </c>
      <c r="AG171" s="20">
        <f t="shared" si="26"/>
        <v>0</v>
      </c>
      <c r="AH171" s="20">
        <v>0</v>
      </c>
      <c r="AI171" s="37">
        <v>0</v>
      </c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1:51" ht="14.15" hidden="1" customHeight="1" x14ac:dyDescent="0.35">
      <c r="A172">
        <v>3950</v>
      </c>
      <c r="B172">
        <v>4000</v>
      </c>
      <c r="C172">
        <v>0</v>
      </c>
      <c r="D172">
        <v>0</v>
      </c>
      <c r="E172">
        <v>6000</v>
      </c>
      <c r="F172">
        <v>0</v>
      </c>
      <c r="G172">
        <v>1500</v>
      </c>
      <c r="H172">
        <v>1450</v>
      </c>
      <c r="I172">
        <v>0</v>
      </c>
      <c r="J172">
        <v>0</v>
      </c>
      <c r="K172">
        <v>0</v>
      </c>
      <c r="L172">
        <v>1500</v>
      </c>
      <c r="M172">
        <v>2000</v>
      </c>
      <c r="N172">
        <v>1500</v>
      </c>
      <c r="O172">
        <v>3000</v>
      </c>
      <c r="P172">
        <v>0</v>
      </c>
      <c r="Q172">
        <v>0</v>
      </c>
      <c r="R172">
        <v>0</v>
      </c>
      <c r="S172">
        <v>0</v>
      </c>
      <c r="T172">
        <v>76705042</v>
      </c>
      <c r="U172" s="19">
        <f t="shared" si="27"/>
        <v>324900</v>
      </c>
      <c r="V172" s="20">
        <f t="shared" si="22"/>
        <v>24900</v>
      </c>
      <c r="W172" s="20">
        <v>138000</v>
      </c>
      <c r="X172" s="20">
        <f t="shared" si="28"/>
        <v>156000</v>
      </c>
      <c r="Y172" s="20"/>
      <c r="Z172" s="20">
        <f t="shared" si="23"/>
        <v>156000</v>
      </c>
      <c r="AA172" s="20">
        <v>108000</v>
      </c>
      <c r="AB172" s="20">
        <f t="shared" si="24"/>
        <v>126000</v>
      </c>
      <c r="AC172" s="20">
        <v>18000</v>
      </c>
      <c r="AD172" s="20">
        <f t="shared" si="25"/>
        <v>144000</v>
      </c>
      <c r="AE172" s="20">
        <v>0</v>
      </c>
      <c r="AF172" s="20">
        <v>0</v>
      </c>
      <c r="AG172" s="20">
        <f t="shared" si="26"/>
        <v>0</v>
      </c>
      <c r="AH172" s="20">
        <v>0</v>
      </c>
      <c r="AI172" s="37">
        <v>0</v>
      </c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spans="1:51" ht="14.15" hidden="1" customHeight="1" x14ac:dyDescent="0.35">
      <c r="A173">
        <v>3250</v>
      </c>
      <c r="B173">
        <v>0</v>
      </c>
      <c r="C173">
        <v>0</v>
      </c>
      <c r="D173">
        <v>0</v>
      </c>
      <c r="E173">
        <v>6000</v>
      </c>
      <c r="F173">
        <v>2700</v>
      </c>
      <c r="G173">
        <v>2500</v>
      </c>
      <c r="H173">
        <v>1800</v>
      </c>
      <c r="I173">
        <v>0</v>
      </c>
      <c r="J173">
        <v>0</v>
      </c>
      <c r="K173">
        <v>0</v>
      </c>
      <c r="L173">
        <v>1500</v>
      </c>
      <c r="M173">
        <v>2000</v>
      </c>
      <c r="N173">
        <v>1500</v>
      </c>
      <c r="O173">
        <v>3000</v>
      </c>
      <c r="P173">
        <v>0</v>
      </c>
      <c r="Q173">
        <v>0</v>
      </c>
      <c r="R173">
        <v>0</v>
      </c>
      <c r="S173">
        <v>0</v>
      </c>
      <c r="T173">
        <v>384963240</v>
      </c>
      <c r="U173" s="19">
        <f t="shared" si="27"/>
        <v>342250</v>
      </c>
      <c r="V173" s="20">
        <f t="shared" si="22"/>
        <v>24250</v>
      </c>
      <c r="W173" s="20">
        <v>150000</v>
      </c>
      <c r="X173" s="20">
        <f t="shared" si="28"/>
        <v>168000</v>
      </c>
      <c r="Y173" s="20"/>
      <c r="Z173" s="20">
        <f t="shared" si="23"/>
        <v>168000</v>
      </c>
      <c r="AA173" s="20">
        <v>132000</v>
      </c>
      <c r="AB173" s="20">
        <f t="shared" si="24"/>
        <v>150000</v>
      </c>
      <c r="AC173" s="20"/>
      <c r="AD173" s="20">
        <f t="shared" si="25"/>
        <v>150000</v>
      </c>
      <c r="AE173" s="20">
        <v>0</v>
      </c>
      <c r="AF173" s="20">
        <v>0</v>
      </c>
      <c r="AG173" s="20">
        <f t="shared" si="26"/>
        <v>0</v>
      </c>
      <c r="AH173" s="20">
        <v>0</v>
      </c>
      <c r="AI173" s="37">
        <v>0</v>
      </c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1:51" ht="14.15" hidden="1" customHeight="1" x14ac:dyDescent="0.35">
      <c r="A174">
        <v>4250</v>
      </c>
      <c r="B174">
        <v>0</v>
      </c>
      <c r="C174">
        <v>0</v>
      </c>
      <c r="D174">
        <v>0</v>
      </c>
      <c r="E174">
        <v>6000</v>
      </c>
      <c r="F174">
        <v>2700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1500</v>
      </c>
      <c r="M174">
        <v>2000</v>
      </c>
      <c r="N174"/>
      <c r="O174">
        <v>3000</v>
      </c>
      <c r="P174">
        <v>0</v>
      </c>
      <c r="Q174">
        <v>0</v>
      </c>
      <c r="R174">
        <v>0</v>
      </c>
      <c r="S174">
        <v>0</v>
      </c>
      <c r="T174">
        <v>168680982</v>
      </c>
      <c r="U174" s="19">
        <f t="shared" si="27"/>
        <v>301450</v>
      </c>
      <c r="V174" s="20">
        <f t="shared" si="22"/>
        <v>19450</v>
      </c>
      <c r="W174" s="20">
        <v>120000</v>
      </c>
      <c r="X174" s="20">
        <f t="shared" si="28"/>
        <v>138000</v>
      </c>
      <c r="Y174" s="20"/>
      <c r="Z174" s="20">
        <f t="shared" si="23"/>
        <v>138000</v>
      </c>
      <c r="AA174" s="20">
        <v>126000</v>
      </c>
      <c r="AB174" s="20">
        <f t="shared" si="24"/>
        <v>144000</v>
      </c>
      <c r="AC174" s="20"/>
      <c r="AD174" s="20">
        <f t="shared" si="25"/>
        <v>144000</v>
      </c>
      <c r="AE174" s="20">
        <v>0</v>
      </c>
      <c r="AF174" s="20">
        <v>0</v>
      </c>
      <c r="AG174" s="20">
        <f t="shared" si="26"/>
        <v>0</v>
      </c>
      <c r="AH174" s="20">
        <v>0</v>
      </c>
      <c r="AI174" s="37">
        <v>0</v>
      </c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1:51" ht="14.15" hidden="1" customHeight="1" x14ac:dyDescent="0.35">
      <c r="A175">
        <v>3750</v>
      </c>
      <c r="B175">
        <v>5000</v>
      </c>
      <c r="C175">
        <v>0</v>
      </c>
      <c r="D175">
        <v>0</v>
      </c>
      <c r="E175">
        <v>6000</v>
      </c>
      <c r="F175">
        <v>2700</v>
      </c>
      <c r="G175">
        <v>2000</v>
      </c>
      <c r="H175">
        <v>0</v>
      </c>
      <c r="I175">
        <v>0</v>
      </c>
      <c r="J175">
        <v>0</v>
      </c>
      <c r="K175">
        <v>0</v>
      </c>
      <c r="L175">
        <v>1500</v>
      </c>
      <c r="M175">
        <v>2000</v>
      </c>
      <c r="N175">
        <v>1500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165706844</v>
      </c>
      <c r="U175" s="19">
        <f t="shared" si="27"/>
        <v>342450</v>
      </c>
      <c r="V175" s="20">
        <f t="shared" si="22"/>
        <v>24450</v>
      </c>
      <c r="W175" s="20">
        <v>144000</v>
      </c>
      <c r="X175" s="20">
        <f t="shared" si="28"/>
        <v>162000</v>
      </c>
      <c r="Y175" s="20"/>
      <c r="Z175" s="20">
        <f t="shared" si="23"/>
        <v>162000</v>
      </c>
      <c r="AA175" s="20">
        <v>138000</v>
      </c>
      <c r="AB175" s="20">
        <f t="shared" si="24"/>
        <v>156000</v>
      </c>
      <c r="AC175" s="20"/>
      <c r="AD175" s="20">
        <f t="shared" si="25"/>
        <v>156000</v>
      </c>
      <c r="AE175" s="20">
        <v>0</v>
      </c>
      <c r="AF175" s="20">
        <v>0</v>
      </c>
      <c r="AG175" s="20">
        <f t="shared" si="26"/>
        <v>0</v>
      </c>
      <c r="AH175" s="20">
        <v>0</v>
      </c>
      <c r="AI175" s="37">
        <v>0</v>
      </c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1:51" ht="14.15" hidden="1" customHeight="1" x14ac:dyDescent="0.35">
      <c r="A176">
        <v>3550</v>
      </c>
      <c r="B176">
        <v>5000</v>
      </c>
      <c r="C176">
        <v>0</v>
      </c>
      <c r="D176">
        <v>0</v>
      </c>
      <c r="E176">
        <v>6000</v>
      </c>
      <c r="F176">
        <v>2700</v>
      </c>
      <c r="G176">
        <v>1500</v>
      </c>
      <c r="H176">
        <v>1700</v>
      </c>
      <c r="I176">
        <v>0</v>
      </c>
      <c r="J176">
        <v>0</v>
      </c>
      <c r="K176">
        <v>0</v>
      </c>
      <c r="L176">
        <v>1500</v>
      </c>
      <c r="M176">
        <v>2000</v>
      </c>
      <c r="N176">
        <v>0</v>
      </c>
      <c r="O176">
        <v>3000</v>
      </c>
      <c r="P176">
        <v>0</v>
      </c>
      <c r="Q176">
        <v>0</v>
      </c>
      <c r="R176">
        <v>0</v>
      </c>
      <c r="S176">
        <v>0</v>
      </c>
      <c r="T176">
        <v>201681929</v>
      </c>
      <c r="U176" s="19">
        <f t="shared" si="27"/>
        <v>374950</v>
      </c>
      <c r="V176" s="20">
        <f t="shared" si="22"/>
        <v>26950</v>
      </c>
      <c r="W176" s="20">
        <v>150000</v>
      </c>
      <c r="X176" s="20">
        <f t="shared" si="28"/>
        <v>168000</v>
      </c>
      <c r="Y176" s="20"/>
      <c r="Z176" s="20">
        <f t="shared" si="23"/>
        <v>168000</v>
      </c>
      <c r="AA176" s="20">
        <v>162000</v>
      </c>
      <c r="AB176" s="20">
        <f t="shared" si="24"/>
        <v>180000</v>
      </c>
      <c r="AC176" s="20"/>
      <c r="AD176" s="20">
        <f t="shared" si="25"/>
        <v>180000</v>
      </c>
      <c r="AE176" s="20">
        <v>0</v>
      </c>
      <c r="AF176" s="20">
        <v>0</v>
      </c>
      <c r="AG176" s="20">
        <f t="shared" si="26"/>
        <v>0</v>
      </c>
      <c r="AH176" s="20">
        <v>0</v>
      </c>
      <c r="AI176" s="37">
        <v>0</v>
      </c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1:51" ht="14.15" hidden="1" customHeight="1" x14ac:dyDescent="0.35">
      <c r="A177">
        <v>4000</v>
      </c>
      <c r="B177">
        <v>5000</v>
      </c>
      <c r="C177">
        <v>0</v>
      </c>
      <c r="D177">
        <v>0</v>
      </c>
      <c r="E177">
        <v>6000</v>
      </c>
      <c r="F177">
        <v>2700</v>
      </c>
      <c r="G177">
        <v>1500</v>
      </c>
      <c r="H177">
        <v>0</v>
      </c>
      <c r="I177">
        <v>0</v>
      </c>
      <c r="J177">
        <v>0</v>
      </c>
      <c r="K177">
        <v>0</v>
      </c>
      <c r="L177">
        <v>1500</v>
      </c>
      <c r="M177">
        <v>2000</v>
      </c>
      <c r="N177">
        <v>1500</v>
      </c>
      <c r="O177">
        <v>3000</v>
      </c>
      <c r="P177">
        <v>0</v>
      </c>
      <c r="Q177">
        <v>0</v>
      </c>
      <c r="R177">
        <v>0</v>
      </c>
      <c r="S177">
        <v>0</v>
      </c>
      <c r="T177">
        <v>184722795</v>
      </c>
      <c r="U177" s="19">
        <f t="shared" si="27"/>
        <v>373400</v>
      </c>
      <c r="V177" s="20">
        <f t="shared" si="22"/>
        <v>27200</v>
      </c>
      <c r="W177" s="20">
        <v>168000</v>
      </c>
      <c r="X177" s="20">
        <f t="shared" si="28"/>
        <v>186000</v>
      </c>
      <c r="Y177" s="20"/>
      <c r="Z177" s="20">
        <f t="shared" si="23"/>
        <v>186000</v>
      </c>
      <c r="AA177" s="20">
        <v>126000</v>
      </c>
      <c r="AB177" s="20">
        <f t="shared" si="24"/>
        <v>144000</v>
      </c>
      <c r="AC177" s="20">
        <v>16200</v>
      </c>
      <c r="AD177" s="20">
        <f t="shared" si="25"/>
        <v>160200</v>
      </c>
      <c r="AE177" s="20">
        <v>0</v>
      </c>
      <c r="AF177" s="20">
        <v>0</v>
      </c>
      <c r="AG177" s="20">
        <f t="shared" si="26"/>
        <v>0</v>
      </c>
      <c r="AH177" s="20">
        <v>0</v>
      </c>
      <c r="AI177" s="37">
        <v>0</v>
      </c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1:51" ht="14.15" hidden="1" customHeight="1" x14ac:dyDescent="0.35">
      <c r="A178">
        <v>0</v>
      </c>
      <c r="B178">
        <v>0</v>
      </c>
      <c r="C178">
        <v>0</v>
      </c>
      <c r="D178">
        <v>0</v>
      </c>
      <c r="E178">
        <v>6000</v>
      </c>
      <c r="F178">
        <v>1275</v>
      </c>
      <c r="G178">
        <v>2000</v>
      </c>
      <c r="H178">
        <v>1700</v>
      </c>
      <c r="I178">
        <v>0</v>
      </c>
      <c r="J178">
        <v>0</v>
      </c>
      <c r="K178">
        <v>0</v>
      </c>
      <c r="L178">
        <v>1500</v>
      </c>
      <c r="M178">
        <v>2000</v>
      </c>
      <c r="N178">
        <v>1500</v>
      </c>
      <c r="O178">
        <v>3000</v>
      </c>
      <c r="P178">
        <v>0</v>
      </c>
      <c r="Q178">
        <v>0</v>
      </c>
      <c r="R178">
        <v>0</v>
      </c>
      <c r="S178">
        <v>0</v>
      </c>
      <c r="T178">
        <v>466718501</v>
      </c>
      <c r="U178" s="19">
        <f t="shared" si="27"/>
        <v>354975</v>
      </c>
      <c r="V178" s="20">
        <f t="shared" si="22"/>
        <v>18975</v>
      </c>
      <c r="W178" s="20">
        <v>156000</v>
      </c>
      <c r="X178" s="20">
        <f t="shared" si="28"/>
        <v>174000</v>
      </c>
      <c r="Y178" s="20"/>
      <c r="Z178" s="20">
        <f t="shared" si="23"/>
        <v>174000</v>
      </c>
      <c r="AA178" s="20">
        <v>144000</v>
      </c>
      <c r="AB178" s="20">
        <f t="shared" si="24"/>
        <v>162000</v>
      </c>
      <c r="AC178" s="20"/>
      <c r="AD178" s="20">
        <f t="shared" si="25"/>
        <v>162000</v>
      </c>
      <c r="AE178" s="20">
        <v>0</v>
      </c>
      <c r="AF178" s="20">
        <v>0</v>
      </c>
      <c r="AG178" s="20">
        <f t="shared" si="26"/>
        <v>0</v>
      </c>
      <c r="AH178" s="20">
        <v>0</v>
      </c>
      <c r="AI178" s="37">
        <v>0</v>
      </c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1:51" ht="14.15" hidden="1" customHeight="1" x14ac:dyDescent="0.35">
      <c r="A179">
        <v>4000</v>
      </c>
      <c r="B179">
        <v>5000</v>
      </c>
      <c r="C179">
        <v>0</v>
      </c>
      <c r="D179">
        <v>0</v>
      </c>
      <c r="E179">
        <v>6000</v>
      </c>
      <c r="F179">
        <v>2700</v>
      </c>
      <c r="G179">
        <v>1500</v>
      </c>
      <c r="H179">
        <v>1450</v>
      </c>
      <c r="I179">
        <v>0</v>
      </c>
      <c r="J179">
        <v>0</v>
      </c>
      <c r="K179">
        <v>0</v>
      </c>
      <c r="L179">
        <v>1500</v>
      </c>
      <c r="M179">
        <v>2000</v>
      </c>
      <c r="N179">
        <v>1500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160662867</v>
      </c>
      <c r="U179" s="19">
        <f t="shared" si="27"/>
        <v>355650</v>
      </c>
      <c r="V179" s="20">
        <f t="shared" si="22"/>
        <v>25650</v>
      </c>
      <c r="W179" s="20">
        <v>114000</v>
      </c>
      <c r="X179" s="20">
        <f t="shared" si="28"/>
        <v>132000</v>
      </c>
      <c r="Y179" s="20">
        <v>18000</v>
      </c>
      <c r="Z179" s="20">
        <f t="shared" si="23"/>
        <v>150000</v>
      </c>
      <c r="AA179" s="20">
        <v>162000</v>
      </c>
      <c r="AB179" s="20">
        <f t="shared" si="24"/>
        <v>180000</v>
      </c>
      <c r="AC179" s="20"/>
      <c r="AD179" s="20">
        <f t="shared" si="25"/>
        <v>180000</v>
      </c>
      <c r="AE179" s="20">
        <v>0</v>
      </c>
      <c r="AF179" s="20">
        <v>0</v>
      </c>
      <c r="AG179" s="20">
        <f t="shared" si="26"/>
        <v>0</v>
      </c>
      <c r="AH179" s="20">
        <v>0</v>
      </c>
      <c r="AI179" s="37">
        <v>0</v>
      </c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1:51" ht="14.15" hidden="1" customHeight="1" x14ac:dyDescent="0.35">
      <c r="A180">
        <v>0</v>
      </c>
      <c r="B180">
        <v>0</v>
      </c>
      <c r="C180">
        <v>0</v>
      </c>
      <c r="D180">
        <v>0</v>
      </c>
      <c r="E180">
        <v>6000</v>
      </c>
      <c r="F180">
        <v>2700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1500</v>
      </c>
      <c r="M180">
        <v>2000</v>
      </c>
      <c r="N180">
        <v>1500</v>
      </c>
      <c r="O180">
        <v>3000</v>
      </c>
      <c r="P180">
        <v>0</v>
      </c>
      <c r="Q180">
        <v>0</v>
      </c>
      <c r="R180">
        <v>0</v>
      </c>
      <c r="S180">
        <v>0</v>
      </c>
      <c r="T180">
        <v>257510520</v>
      </c>
      <c r="U180" s="19">
        <f t="shared" si="27"/>
        <v>334700</v>
      </c>
      <c r="V180" s="20">
        <f t="shared" si="22"/>
        <v>16700</v>
      </c>
      <c r="W180" s="20">
        <v>132000</v>
      </c>
      <c r="X180" s="20">
        <f t="shared" si="28"/>
        <v>150000</v>
      </c>
      <c r="Y180" s="20"/>
      <c r="Z180" s="20">
        <f t="shared" si="23"/>
        <v>150000</v>
      </c>
      <c r="AA180" s="20">
        <v>150000</v>
      </c>
      <c r="AB180" s="20">
        <f t="shared" si="24"/>
        <v>168000</v>
      </c>
      <c r="AC180" s="20"/>
      <c r="AD180" s="20">
        <f t="shared" si="25"/>
        <v>168000</v>
      </c>
      <c r="AE180" s="20">
        <v>0</v>
      </c>
      <c r="AF180" s="20">
        <v>0</v>
      </c>
      <c r="AG180" s="20">
        <f t="shared" si="26"/>
        <v>0</v>
      </c>
      <c r="AH180" s="20">
        <v>0</v>
      </c>
      <c r="AI180" s="37">
        <v>0</v>
      </c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1:51" ht="14.15" hidden="1" customHeight="1" x14ac:dyDescent="0.35">
      <c r="A181">
        <v>0</v>
      </c>
      <c r="B181">
        <v>0</v>
      </c>
      <c r="C181">
        <v>0</v>
      </c>
      <c r="D181">
        <v>0</v>
      </c>
      <c r="E181">
        <v>6000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1500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157806118</v>
      </c>
      <c r="U181" s="19">
        <f t="shared" si="27"/>
        <v>121500</v>
      </c>
      <c r="V181" s="20">
        <f t="shared" si="22"/>
        <v>7500</v>
      </c>
      <c r="W181" s="20">
        <v>96000</v>
      </c>
      <c r="X181" s="20">
        <f t="shared" si="28"/>
        <v>114000</v>
      </c>
      <c r="Y181" s="20"/>
      <c r="Z181" s="20">
        <f t="shared" si="23"/>
        <v>114000</v>
      </c>
      <c r="AA181" s="20"/>
      <c r="AB181" s="20"/>
      <c r="AC181" s="20"/>
      <c r="AD181" s="20"/>
      <c r="AE181" s="20">
        <v>0</v>
      </c>
      <c r="AF181" s="20">
        <v>0</v>
      </c>
      <c r="AG181" s="20">
        <f t="shared" si="26"/>
        <v>0</v>
      </c>
      <c r="AH181" s="20">
        <v>0</v>
      </c>
      <c r="AI181" s="37">
        <v>0</v>
      </c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1:51" ht="14.15" hidden="1" customHeight="1" x14ac:dyDescent="0.35">
      <c r="A182">
        <v>3500</v>
      </c>
      <c r="B182">
        <v>3500</v>
      </c>
      <c r="C182">
        <v>0</v>
      </c>
      <c r="D182">
        <v>0</v>
      </c>
      <c r="E182">
        <v>6000</v>
      </c>
      <c r="F182">
        <v>2700</v>
      </c>
      <c r="G182">
        <v>1500</v>
      </c>
      <c r="H182">
        <v>0</v>
      </c>
      <c r="I182">
        <v>0</v>
      </c>
      <c r="J182">
        <v>0</v>
      </c>
      <c r="K182">
        <v>0</v>
      </c>
      <c r="L182">
        <v>1500</v>
      </c>
      <c r="M182">
        <v>2000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187684235</v>
      </c>
      <c r="U182" s="19">
        <f t="shared" si="27"/>
        <v>218700</v>
      </c>
      <c r="V182" s="20">
        <f t="shared" si="22"/>
        <v>20700</v>
      </c>
      <c r="W182" s="20">
        <v>84000</v>
      </c>
      <c r="X182" s="20">
        <f t="shared" si="28"/>
        <v>102000</v>
      </c>
      <c r="Y182" s="20"/>
      <c r="Z182" s="20">
        <f t="shared" si="23"/>
        <v>102000</v>
      </c>
      <c r="AA182" s="20">
        <v>78000</v>
      </c>
      <c r="AB182" s="20">
        <f t="shared" si="24"/>
        <v>96000</v>
      </c>
      <c r="AC182" s="20"/>
      <c r="AD182" s="20">
        <f t="shared" si="25"/>
        <v>96000</v>
      </c>
      <c r="AE182" s="20">
        <v>0</v>
      </c>
      <c r="AF182" s="20">
        <v>0</v>
      </c>
      <c r="AG182" s="20">
        <f t="shared" si="26"/>
        <v>0</v>
      </c>
      <c r="AH182" s="20">
        <v>0</v>
      </c>
      <c r="AI182" s="37">
        <v>0</v>
      </c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1:51" ht="14.15" hidden="1" customHeight="1" x14ac:dyDescent="0.35">
      <c r="A183">
        <v>3800</v>
      </c>
      <c r="B183">
        <v>4500</v>
      </c>
      <c r="C183">
        <v>0</v>
      </c>
      <c r="D183">
        <v>0</v>
      </c>
      <c r="E183">
        <v>6000</v>
      </c>
      <c r="F183">
        <v>1275</v>
      </c>
      <c r="G183">
        <v>1000</v>
      </c>
      <c r="H183">
        <v>1450</v>
      </c>
      <c r="I183">
        <v>0</v>
      </c>
      <c r="J183">
        <v>0</v>
      </c>
      <c r="K183">
        <v>0</v>
      </c>
      <c r="L183">
        <v>1500</v>
      </c>
      <c r="M183">
        <v>2000</v>
      </c>
      <c r="N183">
        <v>1500</v>
      </c>
      <c r="O183">
        <v>3000</v>
      </c>
      <c r="P183">
        <v>0</v>
      </c>
      <c r="Q183">
        <v>0</v>
      </c>
      <c r="R183">
        <v>0</v>
      </c>
      <c r="S183">
        <v>0</v>
      </c>
      <c r="T183">
        <v>199681243</v>
      </c>
      <c r="U183" s="19">
        <f t="shared" si="27"/>
        <v>338025</v>
      </c>
      <c r="V183" s="20">
        <f t="shared" si="22"/>
        <v>26025</v>
      </c>
      <c r="W183" s="20">
        <v>120000</v>
      </c>
      <c r="X183" s="20">
        <f t="shared" si="28"/>
        <v>138000</v>
      </c>
      <c r="Y183" s="20"/>
      <c r="Z183" s="20">
        <f t="shared" si="23"/>
        <v>138000</v>
      </c>
      <c r="AA183" s="20">
        <v>138000</v>
      </c>
      <c r="AB183" s="20">
        <f t="shared" si="24"/>
        <v>156000</v>
      </c>
      <c r="AC183" s="20">
        <v>18000</v>
      </c>
      <c r="AD183" s="20">
        <f t="shared" si="25"/>
        <v>174000</v>
      </c>
      <c r="AE183" s="20">
        <v>0</v>
      </c>
      <c r="AF183" s="20">
        <v>0</v>
      </c>
      <c r="AG183" s="20">
        <f t="shared" si="26"/>
        <v>0</v>
      </c>
      <c r="AH183" s="20">
        <v>0</v>
      </c>
      <c r="AI183" s="37">
        <v>0</v>
      </c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1:51" ht="14.15" hidden="1" customHeight="1" x14ac:dyDescent="0.35">
      <c r="A184">
        <v>4550</v>
      </c>
      <c r="B184">
        <v>0</v>
      </c>
      <c r="C184">
        <v>0</v>
      </c>
      <c r="D184">
        <v>0</v>
      </c>
      <c r="E184">
        <v>6000</v>
      </c>
      <c r="F184">
        <v>1275</v>
      </c>
      <c r="G184">
        <v>1000</v>
      </c>
      <c r="H184">
        <v>0</v>
      </c>
      <c r="I184">
        <v>0</v>
      </c>
      <c r="J184">
        <v>0</v>
      </c>
      <c r="K184">
        <v>0</v>
      </c>
      <c r="L184">
        <v>1500</v>
      </c>
      <c r="M184">
        <v>2000</v>
      </c>
      <c r="N184">
        <v>1500</v>
      </c>
      <c r="O184">
        <v>3000</v>
      </c>
      <c r="P184">
        <v>0</v>
      </c>
      <c r="Q184">
        <v>0</v>
      </c>
      <c r="R184">
        <v>0</v>
      </c>
      <c r="S184">
        <v>0</v>
      </c>
      <c r="T184">
        <v>113704864</v>
      </c>
      <c r="U184" s="19">
        <f t="shared" si="27"/>
        <v>367625</v>
      </c>
      <c r="V184" s="20">
        <f t="shared" si="22"/>
        <v>20825</v>
      </c>
      <c r="W184" s="20">
        <v>150000</v>
      </c>
      <c r="X184" s="20">
        <f t="shared" si="28"/>
        <v>168000</v>
      </c>
      <c r="Y184" s="20">
        <v>10800</v>
      </c>
      <c r="Z184" s="20">
        <f t="shared" si="23"/>
        <v>178800</v>
      </c>
      <c r="AA184" s="20">
        <v>132000</v>
      </c>
      <c r="AB184" s="20">
        <f t="shared" si="24"/>
        <v>150000</v>
      </c>
      <c r="AC184" s="20">
        <v>18000</v>
      </c>
      <c r="AD184" s="20">
        <f t="shared" si="25"/>
        <v>168000</v>
      </c>
      <c r="AE184" s="20">
        <v>0</v>
      </c>
      <c r="AF184" s="20">
        <v>0</v>
      </c>
      <c r="AG184" s="20">
        <f t="shared" si="26"/>
        <v>0</v>
      </c>
      <c r="AH184" s="20">
        <v>0</v>
      </c>
      <c r="AI184" s="37">
        <v>0</v>
      </c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1:51" ht="14.15" hidden="1" customHeight="1" x14ac:dyDescent="0.35">
      <c r="A185">
        <v>3750</v>
      </c>
      <c r="B185">
        <v>5000</v>
      </c>
      <c r="C185">
        <v>0</v>
      </c>
      <c r="D185">
        <v>0</v>
      </c>
      <c r="E185">
        <v>6000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1500</v>
      </c>
      <c r="M185">
        <v>2000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206664010</v>
      </c>
      <c r="U185" s="19">
        <f t="shared" si="27"/>
        <v>264250</v>
      </c>
      <c r="V185" s="20">
        <f t="shared" si="22"/>
        <v>18250</v>
      </c>
      <c r="W185" s="20">
        <v>96000</v>
      </c>
      <c r="X185" s="20">
        <f t="shared" si="28"/>
        <v>114000</v>
      </c>
      <c r="Y185" s="20"/>
      <c r="Z185" s="20">
        <f t="shared" si="23"/>
        <v>114000</v>
      </c>
      <c r="AA185" s="20">
        <v>114000</v>
      </c>
      <c r="AB185" s="20">
        <f t="shared" si="24"/>
        <v>132000</v>
      </c>
      <c r="AC185" s="20"/>
      <c r="AD185" s="20">
        <f t="shared" si="25"/>
        <v>132000</v>
      </c>
      <c r="AE185" s="20">
        <v>0</v>
      </c>
      <c r="AF185" s="20">
        <v>0</v>
      </c>
      <c r="AG185" s="20">
        <f t="shared" si="26"/>
        <v>0</v>
      </c>
      <c r="AH185" s="20">
        <v>0</v>
      </c>
      <c r="AI185" s="37">
        <v>0</v>
      </c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1:51" ht="14.15" hidden="1" customHeight="1" x14ac:dyDescent="0.35">
      <c r="A186">
        <v>3750</v>
      </c>
      <c r="B186">
        <v>5000</v>
      </c>
      <c r="C186">
        <v>0</v>
      </c>
      <c r="D186">
        <v>0</v>
      </c>
      <c r="E186">
        <v>6000</v>
      </c>
      <c r="F186">
        <v>1275</v>
      </c>
      <c r="G186">
        <v>0</v>
      </c>
      <c r="H186">
        <v>1800</v>
      </c>
      <c r="I186">
        <v>0</v>
      </c>
      <c r="J186">
        <v>0</v>
      </c>
      <c r="K186">
        <v>0</v>
      </c>
      <c r="L186">
        <v>1500</v>
      </c>
      <c r="M186">
        <v>2000</v>
      </c>
      <c r="N186">
        <v>1500</v>
      </c>
      <c r="O186">
        <v>3000</v>
      </c>
      <c r="P186">
        <v>0</v>
      </c>
      <c r="Q186">
        <v>0</v>
      </c>
      <c r="R186">
        <v>0</v>
      </c>
      <c r="S186">
        <v>0</v>
      </c>
      <c r="T186">
        <v>208709508</v>
      </c>
      <c r="U186" s="19">
        <f t="shared" si="27"/>
        <v>343525</v>
      </c>
      <c r="V186" s="20">
        <f t="shared" si="22"/>
        <v>25825</v>
      </c>
      <c r="W186" s="20">
        <v>126000</v>
      </c>
      <c r="X186" s="20">
        <f t="shared" si="28"/>
        <v>144000</v>
      </c>
      <c r="Y186" s="20">
        <v>13500</v>
      </c>
      <c r="Z186" s="20">
        <f t="shared" si="23"/>
        <v>157500</v>
      </c>
      <c r="AA186" s="20">
        <v>126000</v>
      </c>
      <c r="AB186" s="20">
        <f t="shared" si="24"/>
        <v>144000</v>
      </c>
      <c r="AC186" s="20">
        <v>16200</v>
      </c>
      <c r="AD186" s="20">
        <f t="shared" si="25"/>
        <v>160200</v>
      </c>
      <c r="AE186" s="20">
        <v>0</v>
      </c>
      <c r="AF186" s="20">
        <v>0</v>
      </c>
      <c r="AG186" s="20">
        <f t="shared" si="26"/>
        <v>0</v>
      </c>
      <c r="AH186" s="20">
        <v>0</v>
      </c>
      <c r="AI186" s="37">
        <v>0</v>
      </c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1:51" ht="14.15" hidden="1" customHeight="1" x14ac:dyDescent="0.35">
      <c r="A187">
        <v>4750</v>
      </c>
      <c r="B187">
        <v>5000</v>
      </c>
      <c r="C187">
        <v>0</v>
      </c>
      <c r="D187">
        <v>0</v>
      </c>
      <c r="E187">
        <v>6000</v>
      </c>
      <c r="F187">
        <v>2700</v>
      </c>
      <c r="G187">
        <v>2000</v>
      </c>
      <c r="H187">
        <v>1450</v>
      </c>
      <c r="I187">
        <v>0</v>
      </c>
      <c r="J187">
        <v>0</v>
      </c>
      <c r="K187">
        <v>0</v>
      </c>
      <c r="L187">
        <v>1500</v>
      </c>
      <c r="M187">
        <v>2000</v>
      </c>
      <c r="N187">
        <v>1500</v>
      </c>
      <c r="O187">
        <v>3000</v>
      </c>
      <c r="P187">
        <v>0</v>
      </c>
      <c r="Q187">
        <v>0</v>
      </c>
      <c r="R187">
        <v>0</v>
      </c>
      <c r="S187">
        <v>0</v>
      </c>
      <c r="T187">
        <v>593844885</v>
      </c>
      <c r="U187" s="19">
        <f t="shared" si="27"/>
        <v>401900</v>
      </c>
      <c r="V187" s="20">
        <f t="shared" si="22"/>
        <v>29900</v>
      </c>
      <c r="W187" s="20">
        <v>174000</v>
      </c>
      <c r="X187" s="20">
        <f t="shared" si="28"/>
        <v>192000</v>
      </c>
      <c r="Y187" s="20"/>
      <c r="Z187" s="20">
        <f t="shared" si="23"/>
        <v>192000</v>
      </c>
      <c r="AA187" s="20">
        <v>144000</v>
      </c>
      <c r="AB187" s="20">
        <f t="shared" si="24"/>
        <v>162000</v>
      </c>
      <c r="AC187" s="20">
        <v>18000</v>
      </c>
      <c r="AD187" s="20">
        <f t="shared" si="25"/>
        <v>180000</v>
      </c>
      <c r="AE187" s="20">
        <v>0</v>
      </c>
      <c r="AF187" s="20">
        <v>0</v>
      </c>
      <c r="AG187" s="20">
        <f t="shared" si="26"/>
        <v>0</v>
      </c>
      <c r="AH187" s="20">
        <v>0</v>
      </c>
      <c r="AI187" s="37">
        <v>0</v>
      </c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1:51" ht="14.15" hidden="1" customHeight="1" x14ac:dyDescent="0.35">
      <c r="A188">
        <v>4050</v>
      </c>
      <c r="B188">
        <v>5000</v>
      </c>
      <c r="C188">
        <v>0</v>
      </c>
      <c r="D188">
        <v>0</v>
      </c>
      <c r="E188">
        <v>6000</v>
      </c>
      <c r="F188">
        <v>2700</v>
      </c>
      <c r="G188">
        <v>1500</v>
      </c>
      <c r="H188">
        <v>1700</v>
      </c>
      <c r="I188">
        <v>0</v>
      </c>
      <c r="J188">
        <v>0</v>
      </c>
      <c r="K188">
        <v>0</v>
      </c>
      <c r="L188">
        <v>0</v>
      </c>
      <c r="M188">
        <v>2000</v>
      </c>
      <c r="N188">
        <v>1500</v>
      </c>
      <c r="O188">
        <v>3000</v>
      </c>
      <c r="P188">
        <v>0</v>
      </c>
      <c r="Q188">
        <v>0</v>
      </c>
      <c r="R188">
        <v>0</v>
      </c>
      <c r="S188">
        <v>0</v>
      </c>
      <c r="T188">
        <v>610266288</v>
      </c>
      <c r="U188" s="19">
        <f t="shared" si="27"/>
        <v>333450</v>
      </c>
      <c r="V188" s="20">
        <f t="shared" si="22"/>
        <v>27450</v>
      </c>
      <c r="W188" s="20">
        <v>138000</v>
      </c>
      <c r="X188" s="20">
        <f t="shared" si="28"/>
        <v>156000</v>
      </c>
      <c r="Y188" s="20"/>
      <c r="Z188" s="20">
        <f t="shared" si="23"/>
        <v>156000</v>
      </c>
      <c r="AA188" s="20">
        <v>132000</v>
      </c>
      <c r="AB188" s="20">
        <f t="shared" si="24"/>
        <v>150000</v>
      </c>
      <c r="AC188" s="20"/>
      <c r="AD188" s="20">
        <f t="shared" si="25"/>
        <v>150000</v>
      </c>
      <c r="AE188" s="20">
        <v>0</v>
      </c>
      <c r="AF188" s="20">
        <v>0</v>
      </c>
      <c r="AG188" s="20">
        <f t="shared" si="26"/>
        <v>0</v>
      </c>
      <c r="AH188" s="20">
        <v>0</v>
      </c>
      <c r="AI188" s="37">
        <v>0</v>
      </c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1:51" ht="14.15" hidden="1" customHeight="1" x14ac:dyDescent="0.35">
      <c r="A189">
        <v>0</v>
      </c>
      <c r="B189">
        <v>0</v>
      </c>
      <c r="C189">
        <v>0</v>
      </c>
      <c r="D189">
        <v>0</v>
      </c>
      <c r="E189">
        <v>6000</v>
      </c>
      <c r="F189">
        <v>2700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2000</v>
      </c>
      <c r="N189">
        <v>1500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159721015</v>
      </c>
      <c r="U189" s="19">
        <f t="shared" si="27"/>
        <v>282200</v>
      </c>
      <c r="V189" s="20">
        <f t="shared" si="22"/>
        <v>12200</v>
      </c>
      <c r="W189" s="20">
        <v>120000</v>
      </c>
      <c r="X189" s="20">
        <f t="shared" si="28"/>
        <v>138000</v>
      </c>
      <c r="Y189" s="20"/>
      <c r="Z189" s="20">
        <f t="shared" si="23"/>
        <v>138000</v>
      </c>
      <c r="AA189" s="20">
        <v>114000</v>
      </c>
      <c r="AB189" s="20">
        <f t="shared" si="24"/>
        <v>132000</v>
      </c>
      <c r="AC189" s="20"/>
      <c r="AD189" s="20">
        <f t="shared" si="25"/>
        <v>132000</v>
      </c>
      <c r="AE189" s="20">
        <v>0</v>
      </c>
      <c r="AF189" s="20">
        <v>0</v>
      </c>
      <c r="AG189" s="20">
        <f t="shared" si="26"/>
        <v>0</v>
      </c>
      <c r="AH189" s="20">
        <v>0</v>
      </c>
      <c r="AI189" s="37">
        <v>0</v>
      </c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1:51" ht="14.15" hidden="1" customHeight="1" x14ac:dyDescent="0.35">
      <c r="A190">
        <v>0</v>
      </c>
      <c r="B190">
        <v>0</v>
      </c>
      <c r="C190">
        <v>0</v>
      </c>
      <c r="D190">
        <v>0</v>
      </c>
      <c r="E190">
        <v>6000</v>
      </c>
      <c r="F190">
        <v>1275</v>
      </c>
      <c r="G190">
        <v>2000</v>
      </c>
      <c r="H190">
        <v>1700</v>
      </c>
      <c r="I190">
        <v>0</v>
      </c>
      <c r="J190">
        <v>0</v>
      </c>
      <c r="K190">
        <v>0</v>
      </c>
      <c r="L190">
        <v>1500</v>
      </c>
      <c r="M190">
        <v>2000</v>
      </c>
      <c r="N190">
        <v>1500</v>
      </c>
      <c r="O190">
        <v>3000</v>
      </c>
      <c r="P190">
        <v>0</v>
      </c>
      <c r="Q190">
        <v>0</v>
      </c>
      <c r="R190">
        <v>0</v>
      </c>
      <c r="S190">
        <v>0</v>
      </c>
      <c r="T190">
        <v>138904718</v>
      </c>
      <c r="U190" s="19">
        <f t="shared" si="27"/>
        <v>306975</v>
      </c>
      <c r="V190" s="20">
        <f t="shared" si="22"/>
        <v>18975</v>
      </c>
      <c r="W190" s="20">
        <v>138000</v>
      </c>
      <c r="X190" s="20">
        <f t="shared" si="28"/>
        <v>156000</v>
      </c>
      <c r="Y190" s="20"/>
      <c r="Z190" s="20">
        <f t="shared" si="23"/>
        <v>156000</v>
      </c>
      <c r="AA190" s="20">
        <v>114000</v>
      </c>
      <c r="AB190" s="20">
        <f t="shared" si="24"/>
        <v>132000</v>
      </c>
      <c r="AC190" s="20"/>
      <c r="AD190" s="20">
        <f t="shared" si="25"/>
        <v>132000</v>
      </c>
      <c r="AE190" s="20">
        <v>0</v>
      </c>
      <c r="AF190" s="20">
        <v>0</v>
      </c>
      <c r="AG190" s="20">
        <f t="shared" si="26"/>
        <v>0</v>
      </c>
      <c r="AH190" s="20">
        <v>0</v>
      </c>
      <c r="AI190" s="37">
        <v>0</v>
      </c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1:51" ht="14.15" hidden="1" customHeight="1" x14ac:dyDescent="0.35">
      <c r="A191">
        <v>4000</v>
      </c>
      <c r="B191">
        <v>5000</v>
      </c>
      <c r="C191">
        <v>0</v>
      </c>
      <c r="D191">
        <v>0</v>
      </c>
      <c r="E191">
        <v>6000</v>
      </c>
      <c r="F191">
        <v>2700</v>
      </c>
      <c r="G191">
        <v>1500</v>
      </c>
      <c r="H191">
        <v>1200</v>
      </c>
      <c r="I191">
        <v>0</v>
      </c>
      <c r="J191">
        <v>0</v>
      </c>
      <c r="K191">
        <v>0</v>
      </c>
      <c r="L191">
        <v>1500</v>
      </c>
      <c r="M191">
        <v>2000</v>
      </c>
      <c r="N191">
        <v>1500</v>
      </c>
      <c r="O191">
        <v>3000</v>
      </c>
      <c r="P191">
        <v>0</v>
      </c>
      <c r="Q191">
        <v>0</v>
      </c>
      <c r="R191">
        <v>0</v>
      </c>
      <c r="S191">
        <v>0</v>
      </c>
      <c r="T191">
        <v>43780831</v>
      </c>
      <c r="U191" s="19">
        <f t="shared" si="27"/>
        <v>304400</v>
      </c>
      <c r="V191" s="20">
        <f t="shared" si="22"/>
        <v>28400</v>
      </c>
      <c r="W191" s="20">
        <v>132000</v>
      </c>
      <c r="X191" s="20">
        <f t="shared" si="28"/>
        <v>150000</v>
      </c>
      <c r="Y191" s="20"/>
      <c r="Z191" s="20">
        <f t="shared" si="23"/>
        <v>150000</v>
      </c>
      <c r="AA191" s="20">
        <v>108000</v>
      </c>
      <c r="AB191" s="20">
        <f t="shared" si="24"/>
        <v>126000</v>
      </c>
      <c r="AC191" s="20"/>
      <c r="AD191" s="20">
        <f t="shared" si="25"/>
        <v>126000</v>
      </c>
      <c r="AE191" s="20">
        <v>0</v>
      </c>
      <c r="AF191" s="20">
        <v>0</v>
      </c>
      <c r="AG191" s="20">
        <f t="shared" si="26"/>
        <v>0</v>
      </c>
      <c r="AH191" s="20">
        <v>0</v>
      </c>
      <c r="AI191" s="37">
        <v>0</v>
      </c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1:51" ht="14.15" hidden="1" customHeight="1" x14ac:dyDescent="0.35">
      <c r="A192">
        <v>4250</v>
      </c>
      <c r="B192">
        <v>5000</v>
      </c>
      <c r="C192">
        <v>0</v>
      </c>
      <c r="D192">
        <v>0</v>
      </c>
      <c r="E192">
        <v>6000</v>
      </c>
      <c r="F192">
        <v>2700</v>
      </c>
      <c r="G192">
        <v>1500</v>
      </c>
      <c r="H192">
        <v>1700</v>
      </c>
      <c r="I192">
        <v>0</v>
      </c>
      <c r="J192">
        <v>0</v>
      </c>
      <c r="K192">
        <v>0</v>
      </c>
      <c r="L192">
        <v>1500</v>
      </c>
      <c r="M192">
        <v>2000</v>
      </c>
      <c r="N192">
        <v>0</v>
      </c>
      <c r="O192">
        <v>3000</v>
      </c>
      <c r="P192">
        <v>0</v>
      </c>
      <c r="Q192">
        <v>0</v>
      </c>
      <c r="R192">
        <v>0</v>
      </c>
      <c r="S192">
        <v>0</v>
      </c>
      <c r="T192">
        <v>802845291</v>
      </c>
      <c r="U192" s="19">
        <f t="shared" ref="U192:U223" si="29" xml:space="preserve"> SUM(V192, Z192, AD192, AG192, AH192, AI192)</f>
        <v>405650</v>
      </c>
      <c r="V192" s="20">
        <f t="shared" si="22"/>
        <v>27650</v>
      </c>
      <c r="W192" s="20">
        <v>150000</v>
      </c>
      <c r="X192" s="20">
        <f t="shared" si="28"/>
        <v>168000</v>
      </c>
      <c r="Y192" s="20">
        <v>18000</v>
      </c>
      <c r="Z192" s="20">
        <f t="shared" si="23"/>
        <v>186000</v>
      </c>
      <c r="AA192" s="20">
        <v>156000</v>
      </c>
      <c r="AB192" s="20">
        <f t="shared" si="24"/>
        <v>174000</v>
      </c>
      <c r="AC192" s="20">
        <v>18000</v>
      </c>
      <c r="AD192" s="20">
        <f t="shared" si="25"/>
        <v>192000</v>
      </c>
      <c r="AE192" s="20">
        <v>0</v>
      </c>
      <c r="AF192" s="20">
        <v>0</v>
      </c>
      <c r="AG192" s="20">
        <f t="shared" si="26"/>
        <v>0</v>
      </c>
      <c r="AH192" s="20">
        <v>0</v>
      </c>
      <c r="AI192" s="37">
        <v>0</v>
      </c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1:51" ht="14.15" hidden="1" customHeight="1" x14ac:dyDescent="0.35">
      <c r="A193">
        <v>4550</v>
      </c>
      <c r="B193">
        <v>5000</v>
      </c>
      <c r="C193">
        <v>0</v>
      </c>
      <c r="D193">
        <v>0</v>
      </c>
      <c r="E193">
        <v>6000</v>
      </c>
      <c r="F193">
        <v>2700</v>
      </c>
      <c r="G193">
        <v>1500</v>
      </c>
      <c r="H193">
        <v>0</v>
      </c>
      <c r="I193">
        <v>0</v>
      </c>
      <c r="J193">
        <v>0</v>
      </c>
      <c r="K193">
        <v>0</v>
      </c>
      <c r="L193">
        <v>1500</v>
      </c>
      <c r="M193">
        <v>2000</v>
      </c>
      <c r="N193">
        <v>1500</v>
      </c>
      <c r="O193">
        <v>3000</v>
      </c>
      <c r="P193">
        <v>0</v>
      </c>
      <c r="Q193">
        <v>0</v>
      </c>
      <c r="R193">
        <v>0</v>
      </c>
      <c r="S193">
        <v>0</v>
      </c>
      <c r="T193">
        <v>53687041</v>
      </c>
      <c r="U193" s="19">
        <f t="shared" si="29"/>
        <v>372150</v>
      </c>
      <c r="V193" s="20">
        <f t="shared" si="22"/>
        <v>27750</v>
      </c>
      <c r="W193" s="20">
        <v>144000</v>
      </c>
      <c r="X193" s="20">
        <f t="shared" si="28"/>
        <v>162000</v>
      </c>
      <c r="Y193" s="20">
        <v>14400</v>
      </c>
      <c r="Z193" s="20">
        <f t="shared" si="23"/>
        <v>176400</v>
      </c>
      <c r="AA193" s="20">
        <v>132000</v>
      </c>
      <c r="AB193" s="20">
        <f t="shared" si="24"/>
        <v>150000</v>
      </c>
      <c r="AC193" s="20">
        <v>18000</v>
      </c>
      <c r="AD193" s="20">
        <f t="shared" si="25"/>
        <v>168000</v>
      </c>
      <c r="AE193" s="20">
        <v>0</v>
      </c>
      <c r="AF193" s="20">
        <v>0</v>
      </c>
      <c r="AG193" s="20">
        <f t="shared" si="26"/>
        <v>0</v>
      </c>
      <c r="AH193" s="20">
        <v>0</v>
      </c>
      <c r="AI193" s="37">
        <v>0</v>
      </c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1:51" ht="14.15" hidden="1" customHeight="1" x14ac:dyDescent="0.35">
      <c r="A194">
        <v>4550</v>
      </c>
      <c r="B194">
        <v>4500</v>
      </c>
      <c r="C194">
        <v>0</v>
      </c>
      <c r="D194">
        <v>0</v>
      </c>
      <c r="E194">
        <v>6000</v>
      </c>
      <c r="F194">
        <v>2700</v>
      </c>
      <c r="G194">
        <v>2000</v>
      </c>
      <c r="H194">
        <v>1450</v>
      </c>
      <c r="I194">
        <v>0</v>
      </c>
      <c r="J194">
        <v>0</v>
      </c>
      <c r="K194">
        <v>0</v>
      </c>
      <c r="L194">
        <v>1500</v>
      </c>
      <c r="M194">
        <v>2000</v>
      </c>
      <c r="N194">
        <v>1500</v>
      </c>
      <c r="O194">
        <v>3000</v>
      </c>
      <c r="P194">
        <v>0</v>
      </c>
      <c r="Q194">
        <v>0</v>
      </c>
      <c r="R194">
        <v>0</v>
      </c>
      <c r="S194">
        <v>0</v>
      </c>
      <c r="T194">
        <v>175689516</v>
      </c>
      <c r="U194" s="19">
        <f t="shared" si="29"/>
        <v>287200</v>
      </c>
      <c r="V194" s="20">
        <f t="shared" si="22"/>
        <v>29200</v>
      </c>
      <c r="W194" s="20">
        <v>102000</v>
      </c>
      <c r="X194" s="20">
        <f t="shared" si="28"/>
        <v>120000</v>
      </c>
      <c r="Y194" s="20"/>
      <c r="Z194" s="20">
        <f t="shared" si="23"/>
        <v>120000</v>
      </c>
      <c r="AA194" s="20">
        <v>120000</v>
      </c>
      <c r="AB194" s="20">
        <f t="shared" si="24"/>
        <v>138000</v>
      </c>
      <c r="AC194" s="20"/>
      <c r="AD194" s="20">
        <f t="shared" si="25"/>
        <v>138000</v>
      </c>
      <c r="AE194" s="20">
        <v>0</v>
      </c>
      <c r="AF194" s="20">
        <v>0</v>
      </c>
      <c r="AG194" s="20">
        <f t="shared" si="26"/>
        <v>0</v>
      </c>
      <c r="AH194" s="20">
        <v>0</v>
      </c>
      <c r="AI194" s="37">
        <v>0</v>
      </c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1:51" ht="14.15" hidden="1" customHeight="1" x14ac:dyDescent="0.35">
      <c r="A195">
        <v>4550</v>
      </c>
      <c r="B195">
        <v>5000</v>
      </c>
      <c r="C195">
        <v>0</v>
      </c>
      <c r="D195">
        <v>0</v>
      </c>
      <c r="E195">
        <v>6000</v>
      </c>
      <c r="F195">
        <v>0</v>
      </c>
      <c r="G195">
        <v>2000</v>
      </c>
      <c r="H195">
        <v>650</v>
      </c>
      <c r="I195">
        <v>0</v>
      </c>
      <c r="J195">
        <v>0</v>
      </c>
      <c r="K195">
        <v>0</v>
      </c>
      <c r="L195">
        <v>1500</v>
      </c>
      <c r="M195">
        <v>2000</v>
      </c>
      <c r="N195">
        <v>1500</v>
      </c>
      <c r="O195">
        <v>3000</v>
      </c>
      <c r="P195">
        <v>0</v>
      </c>
      <c r="Q195">
        <v>0</v>
      </c>
      <c r="R195">
        <v>0</v>
      </c>
      <c r="S195">
        <v>0</v>
      </c>
      <c r="T195">
        <v>93709750</v>
      </c>
      <c r="U195" s="19">
        <f t="shared" si="29"/>
        <v>290200</v>
      </c>
      <c r="V195" s="20">
        <f t="shared" si="22"/>
        <v>26200</v>
      </c>
      <c r="W195" s="20">
        <v>126000</v>
      </c>
      <c r="X195" s="20">
        <f t="shared" si="28"/>
        <v>144000</v>
      </c>
      <c r="Y195" s="20"/>
      <c r="Z195" s="20">
        <f t="shared" si="23"/>
        <v>144000</v>
      </c>
      <c r="AA195" s="20">
        <v>102000</v>
      </c>
      <c r="AB195" s="20">
        <f t="shared" si="24"/>
        <v>120000</v>
      </c>
      <c r="AC195" s="20"/>
      <c r="AD195" s="20">
        <f t="shared" si="25"/>
        <v>120000</v>
      </c>
      <c r="AE195" s="20">
        <v>0</v>
      </c>
      <c r="AF195" s="20">
        <v>0</v>
      </c>
      <c r="AG195" s="20">
        <f t="shared" si="26"/>
        <v>0</v>
      </c>
      <c r="AH195" s="20">
        <v>0</v>
      </c>
      <c r="AI195" s="37">
        <v>0</v>
      </c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1:51" ht="14.15" hidden="1" customHeight="1" x14ac:dyDescent="0.35">
      <c r="A196">
        <v>3800</v>
      </c>
      <c r="B196">
        <v>5000</v>
      </c>
      <c r="C196">
        <v>0</v>
      </c>
      <c r="D196">
        <v>0</v>
      </c>
      <c r="E196">
        <v>6000</v>
      </c>
      <c r="F196">
        <v>2700</v>
      </c>
      <c r="G196">
        <v>3000</v>
      </c>
      <c r="H196">
        <v>1900</v>
      </c>
      <c r="I196">
        <v>0</v>
      </c>
      <c r="J196">
        <v>0</v>
      </c>
      <c r="K196">
        <v>0</v>
      </c>
      <c r="L196">
        <v>1500</v>
      </c>
      <c r="M196">
        <v>2000</v>
      </c>
      <c r="N196">
        <v>1500</v>
      </c>
      <c r="O196">
        <v>3000</v>
      </c>
      <c r="P196">
        <v>0</v>
      </c>
      <c r="Q196">
        <v>0</v>
      </c>
      <c r="R196">
        <v>0</v>
      </c>
      <c r="S196">
        <v>0</v>
      </c>
      <c r="T196">
        <v>203647955</v>
      </c>
      <c r="U196" s="19">
        <f t="shared" si="29"/>
        <v>370600</v>
      </c>
      <c r="V196" s="20">
        <f t="shared" si="22"/>
        <v>30400</v>
      </c>
      <c r="W196" s="20">
        <v>150000</v>
      </c>
      <c r="X196" s="20">
        <f t="shared" si="28"/>
        <v>168000</v>
      </c>
      <c r="Y196" s="20"/>
      <c r="Z196" s="20">
        <f t="shared" si="23"/>
        <v>168000</v>
      </c>
      <c r="AA196" s="20">
        <v>138000</v>
      </c>
      <c r="AB196" s="20">
        <f t="shared" si="24"/>
        <v>156000</v>
      </c>
      <c r="AC196" s="20">
        <v>16200</v>
      </c>
      <c r="AD196" s="20">
        <f t="shared" si="25"/>
        <v>172200</v>
      </c>
      <c r="AE196" s="20">
        <v>0</v>
      </c>
      <c r="AF196" s="20">
        <v>0</v>
      </c>
      <c r="AG196" s="20">
        <f t="shared" si="26"/>
        <v>0</v>
      </c>
      <c r="AH196" s="20">
        <v>0</v>
      </c>
      <c r="AI196" s="37">
        <v>0</v>
      </c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1:51" ht="14.15" hidden="1" customHeight="1" x14ac:dyDescent="0.35">
      <c r="A197">
        <v>4800</v>
      </c>
      <c r="B197">
        <v>5000</v>
      </c>
      <c r="C197">
        <v>0</v>
      </c>
      <c r="D197">
        <v>0</v>
      </c>
      <c r="E197">
        <v>6000</v>
      </c>
      <c r="F197">
        <v>2700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1500</v>
      </c>
      <c r="M197">
        <v>0</v>
      </c>
      <c r="N197">
        <v>1500</v>
      </c>
      <c r="O197">
        <v>3000</v>
      </c>
      <c r="P197">
        <v>0</v>
      </c>
      <c r="Q197">
        <v>0</v>
      </c>
      <c r="R197">
        <v>0</v>
      </c>
      <c r="S197">
        <v>0</v>
      </c>
      <c r="T197">
        <v>159720776</v>
      </c>
      <c r="U197" s="19">
        <f t="shared" si="29"/>
        <v>384500</v>
      </c>
      <c r="V197" s="20">
        <f t="shared" si="22"/>
        <v>24500</v>
      </c>
      <c r="W197" s="20">
        <v>168000</v>
      </c>
      <c r="X197" s="20">
        <f t="shared" si="28"/>
        <v>186000</v>
      </c>
      <c r="Y197" s="20"/>
      <c r="Z197" s="20">
        <f t="shared" si="23"/>
        <v>186000</v>
      </c>
      <c r="AA197" s="20">
        <v>156000</v>
      </c>
      <c r="AB197" s="20">
        <f t="shared" si="24"/>
        <v>174000</v>
      </c>
      <c r="AC197" s="20"/>
      <c r="AD197" s="20">
        <f t="shared" si="25"/>
        <v>174000</v>
      </c>
      <c r="AE197" s="20">
        <v>0</v>
      </c>
      <c r="AF197" s="20">
        <v>0</v>
      </c>
      <c r="AG197" s="20">
        <f t="shared" si="26"/>
        <v>0</v>
      </c>
      <c r="AH197" s="20">
        <v>0</v>
      </c>
      <c r="AI197" s="37">
        <v>0</v>
      </c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1:51" ht="14.15" hidden="1" customHeight="1" x14ac:dyDescent="0.35">
      <c r="A198">
        <v>3400</v>
      </c>
      <c r="B198">
        <v>5000</v>
      </c>
      <c r="C198">
        <v>0</v>
      </c>
      <c r="D198">
        <v>0</v>
      </c>
      <c r="E198">
        <v>6000</v>
      </c>
      <c r="F198">
        <v>2700</v>
      </c>
      <c r="G198">
        <v>1000</v>
      </c>
      <c r="H198">
        <v>0</v>
      </c>
      <c r="I198">
        <v>0</v>
      </c>
      <c r="J198">
        <v>0</v>
      </c>
      <c r="K198">
        <v>0</v>
      </c>
      <c r="L198">
        <v>1500</v>
      </c>
      <c r="M198">
        <v>2000</v>
      </c>
      <c r="N198">
        <v>1500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162661277</v>
      </c>
      <c r="U198" s="19">
        <f t="shared" si="29"/>
        <v>299100</v>
      </c>
      <c r="V198" s="20">
        <f t="shared" si="22"/>
        <v>23100</v>
      </c>
      <c r="W198" s="20">
        <v>144000</v>
      </c>
      <c r="X198" s="20">
        <f t="shared" si="28"/>
        <v>162000</v>
      </c>
      <c r="Y198" s="20"/>
      <c r="Z198" s="20">
        <f t="shared" si="23"/>
        <v>162000</v>
      </c>
      <c r="AA198" s="20">
        <v>96000</v>
      </c>
      <c r="AB198" s="20">
        <f t="shared" si="24"/>
        <v>114000</v>
      </c>
      <c r="AC198" s="20"/>
      <c r="AD198" s="20">
        <f t="shared" si="25"/>
        <v>114000</v>
      </c>
      <c r="AE198" s="20">
        <v>0</v>
      </c>
      <c r="AF198" s="20">
        <v>0</v>
      </c>
      <c r="AG198" s="20">
        <f t="shared" si="26"/>
        <v>0</v>
      </c>
      <c r="AH198" s="20">
        <v>0</v>
      </c>
      <c r="AI198" s="37">
        <v>0</v>
      </c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1:51" ht="14.15" hidden="1" customHeight="1" x14ac:dyDescent="0.35">
      <c r="A199">
        <v>0</v>
      </c>
      <c r="B199">
        <v>1500</v>
      </c>
      <c r="C199">
        <v>0</v>
      </c>
      <c r="D199">
        <v>0</v>
      </c>
      <c r="E199">
        <v>0</v>
      </c>
      <c r="F199">
        <v>0</v>
      </c>
      <c r="G199">
        <v>1500</v>
      </c>
      <c r="H199">
        <v>1700</v>
      </c>
      <c r="I199">
        <v>0</v>
      </c>
      <c r="J199">
        <v>0</v>
      </c>
      <c r="K199">
        <v>0</v>
      </c>
      <c r="L199">
        <v>0</v>
      </c>
      <c r="M199">
        <v>2000</v>
      </c>
      <c r="N199">
        <v>1500</v>
      </c>
      <c r="O199">
        <v>3000</v>
      </c>
      <c r="P199">
        <v>0</v>
      </c>
      <c r="Q199">
        <v>0</v>
      </c>
      <c r="R199">
        <v>0</v>
      </c>
      <c r="S199">
        <v>0</v>
      </c>
      <c r="T199">
        <v>802826792</v>
      </c>
      <c r="U199" s="19">
        <f t="shared" si="29"/>
        <v>125200</v>
      </c>
      <c r="V199" s="20">
        <f>SUM(A199:S199)</f>
        <v>11200</v>
      </c>
      <c r="W199" s="20">
        <v>96000</v>
      </c>
      <c r="X199" s="20">
        <f t="shared" si="28"/>
        <v>114000</v>
      </c>
      <c r="Y199" s="20"/>
      <c r="Z199" s="20">
        <f t="shared" si="23"/>
        <v>114000</v>
      </c>
      <c r="AA199" s="20"/>
      <c r="AB199" s="20"/>
      <c r="AC199" s="20"/>
      <c r="AD199" s="20"/>
      <c r="AE199" s="20"/>
      <c r="AF199" s="20"/>
      <c r="AG199" s="20"/>
      <c r="AH199" s="20"/>
      <c r="AI199" s="37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1:51" ht="14.15" hidden="1" customHeight="1" x14ac:dyDescent="0.35">
      <c r="A200">
        <v>3500</v>
      </c>
      <c r="B200">
        <v>5000</v>
      </c>
      <c r="C200">
        <v>0</v>
      </c>
      <c r="D200">
        <v>0</v>
      </c>
      <c r="E200">
        <v>6000</v>
      </c>
      <c r="F200">
        <v>2700</v>
      </c>
      <c r="G200">
        <v>1000</v>
      </c>
      <c r="H200">
        <v>1800</v>
      </c>
      <c r="I200">
        <v>0</v>
      </c>
      <c r="J200">
        <v>0</v>
      </c>
      <c r="K200">
        <v>0</v>
      </c>
      <c r="L200">
        <v>1500</v>
      </c>
      <c r="M200">
        <v>2000</v>
      </c>
      <c r="N200">
        <v>1500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200640039</v>
      </c>
      <c r="U200" s="19">
        <f t="shared" si="29"/>
        <v>360100</v>
      </c>
      <c r="V200" s="20">
        <f t="shared" si="22"/>
        <v>25000</v>
      </c>
      <c r="W200" s="20">
        <v>138000</v>
      </c>
      <c r="X200" s="20">
        <f t="shared" si="28"/>
        <v>156000</v>
      </c>
      <c r="Y200" s="20">
        <v>17100</v>
      </c>
      <c r="Z200" s="20">
        <f t="shared" si="23"/>
        <v>173100</v>
      </c>
      <c r="AA200" s="20">
        <v>144000</v>
      </c>
      <c r="AB200" s="20">
        <f t="shared" si="24"/>
        <v>162000</v>
      </c>
      <c r="AC200" s="20"/>
      <c r="AD200" s="20">
        <f t="shared" si="25"/>
        <v>162000</v>
      </c>
      <c r="AE200" s="20">
        <v>0</v>
      </c>
      <c r="AF200" s="20">
        <v>0</v>
      </c>
      <c r="AG200" s="20">
        <f t="shared" si="26"/>
        <v>0</v>
      </c>
      <c r="AH200" s="20">
        <v>0</v>
      </c>
      <c r="AI200" s="37">
        <v>0</v>
      </c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1:51" ht="14.15" hidden="1" customHeight="1" x14ac:dyDescent="0.35">
      <c r="A201">
        <v>0</v>
      </c>
      <c r="B201">
        <v>0</v>
      </c>
      <c r="C201">
        <v>0</v>
      </c>
      <c r="D201">
        <v>0</v>
      </c>
      <c r="E201">
        <v>6000</v>
      </c>
      <c r="F201">
        <v>2700</v>
      </c>
      <c r="G201">
        <v>1000</v>
      </c>
      <c r="H201">
        <v>1450</v>
      </c>
      <c r="I201">
        <v>0</v>
      </c>
      <c r="J201">
        <v>0</v>
      </c>
      <c r="K201">
        <v>0</v>
      </c>
      <c r="L201">
        <v>1500</v>
      </c>
      <c r="M201">
        <v>2000</v>
      </c>
      <c r="N201">
        <v>1500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135841095</v>
      </c>
      <c r="U201" s="19">
        <f t="shared" si="29"/>
        <v>308950</v>
      </c>
      <c r="V201" s="20">
        <f t="shared" si="22"/>
        <v>16150</v>
      </c>
      <c r="W201" s="20">
        <v>120000</v>
      </c>
      <c r="X201" s="20">
        <f t="shared" si="28"/>
        <v>138000</v>
      </c>
      <c r="Y201" s="20">
        <v>10800</v>
      </c>
      <c r="Z201" s="20">
        <f t="shared" si="23"/>
        <v>148800</v>
      </c>
      <c r="AA201" s="20">
        <v>108000</v>
      </c>
      <c r="AB201" s="20">
        <f t="shared" si="24"/>
        <v>126000</v>
      </c>
      <c r="AC201" s="20">
        <v>18000</v>
      </c>
      <c r="AD201" s="20">
        <f t="shared" si="25"/>
        <v>144000</v>
      </c>
      <c r="AE201" s="20">
        <v>0</v>
      </c>
      <c r="AF201" s="20">
        <v>0</v>
      </c>
      <c r="AG201" s="20">
        <f t="shared" si="26"/>
        <v>0</v>
      </c>
      <c r="AH201" s="20">
        <v>0</v>
      </c>
      <c r="AI201" s="37">
        <v>0</v>
      </c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spans="1:51" ht="14.15" hidden="1" customHeight="1" x14ac:dyDescent="0.35">
      <c r="A202">
        <v>3000</v>
      </c>
      <c r="B202">
        <v>5000</v>
      </c>
      <c r="C202">
        <v>0</v>
      </c>
      <c r="D202">
        <v>0</v>
      </c>
      <c r="E202">
        <v>6000</v>
      </c>
      <c r="F202">
        <v>2700</v>
      </c>
      <c r="G202">
        <v>1500</v>
      </c>
      <c r="H202">
        <v>1700</v>
      </c>
      <c r="I202">
        <v>0</v>
      </c>
      <c r="J202">
        <v>0</v>
      </c>
      <c r="K202">
        <v>0</v>
      </c>
      <c r="L202">
        <v>1500</v>
      </c>
      <c r="M202">
        <v>2000</v>
      </c>
      <c r="N202">
        <v>1500</v>
      </c>
      <c r="O202">
        <v>3000</v>
      </c>
      <c r="P202">
        <v>0</v>
      </c>
      <c r="Q202">
        <v>0</v>
      </c>
      <c r="R202">
        <v>0</v>
      </c>
      <c r="S202">
        <v>0</v>
      </c>
      <c r="T202">
        <v>168664566</v>
      </c>
      <c r="U202" s="19">
        <f t="shared" si="29"/>
        <v>291900</v>
      </c>
      <c r="V202" s="20">
        <f t="shared" si="22"/>
        <v>27900</v>
      </c>
      <c r="W202" s="20">
        <v>108000</v>
      </c>
      <c r="X202" s="20">
        <f t="shared" si="28"/>
        <v>126000</v>
      </c>
      <c r="Y202" s="20"/>
      <c r="Z202" s="20">
        <f t="shared" si="23"/>
        <v>126000</v>
      </c>
      <c r="AA202" s="20">
        <v>120000</v>
      </c>
      <c r="AB202" s="20">
        <f t="shared" si="24"/>
        <v>138000</v>
      </c>
      <c r="AC202" s="20"/>
      <c r="AD202" s="20">
        <f t="shared" si="25"/>
        <v>138000</v>
      </c>
      <c r="AE202" s="20">
        <v>0</v>
      </c>
      <c r="AF202" s="20">
        <v>0</v>
      </c>
      <c r="AG202" s="20">
        <f t="shared" si="26"/>
        <v>0</v>
      </c>
      <c r="AH202" s="20">
        <v>0</v>
      </c>
      <c r="AI202" s="37">
        <v>0</v>
      </c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1:51" ht="14.15" hidden="1" customHeight="1" x14ac:dyDescent="0.35">
      <c r="A203">
        <v>3500</v>
      </c>
      <c r="B203">
        <v>5000</v>
      </c>
      <c r="C203">
        <v>0</v>
      </c>
      <c r="D203">
        <v>0</v>
      </c>
      <c r="E203">
        <v>6000</v>
      </c>
      <c r="F203">
        <v>2700</v>
      </c>
      <c r="G203">
        <v>1500</v>
      </c>
      <c r="H203">
        <v>1800</v>
      </c>
      <c r="I203">
        <v>0</v>
      </c>
      <c r="J203">
        <v>0</v>
      </c>
      <c r="K203">
        <v>0</v>
      </c>
      <c r="L203">
        <v>1500</v>
      </c>
      <c r="M203">
        <v>2000</v>
      </c>
      <c r="N203">
        <v>1500</v>
      </c>
      <c r="O203">
        <v>3000</v>
      </c>
      <c r="P203">
        <v>0</v>
      </c>
      <c r="Q203">
        <v>0</v>
      </c>
      <c r="R203">
        <v>0</v>
      </c>
      <c r="S203">
        <v>0</v>
      </c>
      <c r="T203">
        <v>192706897</v>
      </c>
      <c r="U203" s="19">
        <f t="shared" si="29"/>
        <v>370500</v>
      </c>
      <c r="V203" s="20">
        <f t="shared" si="22"/>
        <v>28500</v>
      </c>
      <c r="W203" s="20">
        <v>150000</v>
      </c>
      <c r="X203" s="20">
        <f t="shared" si="28"/>
        <v>168000</v>
      </c>
      <c r="Y203" s="20"/>
      <c r="Z203" s="20">
        <f t="shared" si="23"/>
        <v>168000</v>
      </c>
      <c r="AA203" s="20">
        <v>138000</v>
      </c>
      <c r="AB203" s="20">
        <f t="shared" si="24"/>
        <v>156000</v>
      </c>
      <c r="AC203" s="20">
        <v>18000</v>
      </c>
      <c r="AD203" s="20">
        <f t="shared" si="25"/>
        <v>174000</v>
      </c>
      <c r="AE203" s="20">
        <v>0</v>
      </c>
      <c r="AF203" s="20">
        <v>0</v>
      </c>
      <c r="AG203" s="20">
        <f t="shared" si="26"/>
        <v>0</v>
      </c>
      <c r="AH203" s="20">
        <v>0</v>
      </c>
      <c r="AI203" s="37">
        <v>0</v>
      </c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1:51" ht="14.15" hidden="1" customHeight="1" x14ac:dyDescent="0.35">
      <c r="A204">
        <v>5000</v>
      </c>
      <c r="B204">
        <v>5000</v>
      </c>
      <c r="C204">
        <v>0</v>
      </c>
      <c r="D204">
        <v>0</v>
      </c>
      <c r="E204">
        <v>6000</v>
      </c>
      <c r="F204">
        <v>2700</v>
      </c>
      <c r="G204">
        <v>1000</v>
      </c>
      <c r="H204">
        <v>1450</v>
      </c>
      <c r="I204">
        <v>0</v>
      </c>
      <c r="J204">
        <v>0</v>
      </c>
      <c r="K204">
        <v>0</v>
      </c>
      <c r="L204">
        <v>1500</v>
      </c>
      <c r="M204">
        <v>2000</v>
      </c>
      <c r="N204">
        <v>1500</v>
      </c>
      <c r="O204">
        <v>3000</v>
      </c>
      <c r="P204">
        <v>0</v>
      </c>
      <c r="Q204">
        <v>0</v>
      </c>
      <c r="R204">
        <v>0</v>
      </c>
      <c r="S204">
        <v>0</v>
      </c>
      <c r="T204">
        <v>158802826</v>
      </c>
      <c r="U204" s="19">
        <f t="shared" si="29"/>
        <v>393350</v>
      </c>
      <c r="V204" s="20">
        <f t="shared" si="22"/>
        <v>29150</v>
      </c>
      <c r="W204" s="20">
        <v>156000</v>
      </c>
      <c r="X204" s="20">
        <f t="shared" si="28"/>
        <v>174000</v>
      </c>
      <c r="Y204" s="20">
        <v>16200</v>
      </c>
      <c r="Z204" s="20">
        <f t="shared" si="23"/>
        <v>190200</v>
      </c>
      <c r="AA204" s="20">
        <v>138000</v>
      </c>
      <c r="AB204" s="20">
        <f t="shared" si="24"/>
        <v>156000</v>
      </c>
      <c r="AC204" s="20">
        <v>18000</v>
      </c>
      <c r="AD204" s="20">
        <f t="shared" si="25"/>
        <v>174000</v>
      </c>
      <c r="AE204" s="20">
        <v>0</v>
      </c>
      <c r="AF204" s="20">
        <v>0</v>
      </c>
      <c r="AG204" s="20">
        <f t="shared" si="26"/>
        <v>0</v>
      </c>
      <c r="AH204" s="20">
        <v>0</v>
      </c>
      <c r="AI204" s="37">
        <v>0</v>
      </c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1:51" ht="14.15" hidden="1" customHeight="1" x14ac:dyDescent="0.35">
      <c r="A205">
        <v>3500</v>
      </c>
      <c r="B205">
        <v>5000</v>
      </c>
      <c r="C205">
        <v>0</v>
      </c>
      <c r="D205">
        <v>0</v>
      </c>
      <c r="E205">
        <v>6000</v>
      </c>
      <c r="F205">
        <v>2700</v>
      </c>
      <c r="G205">
        <v>1500</v>
      </c>
      <c r="H205">
        <v>0</v>
      </c>
      <c r="I205">
        <v>0</v>
      </c>
      <c r="J205">
        <v>0</v>
      </c>
      <c r="K205">
        <v>0</v>
      </c>
      <c r="L205">
        <v>1500</v>
      </c>
      <c r="M205">
        <v>2000</v>
      </c>
      <c r="N205">
        <v>1500</v>
      </c>
      <c r="O205">
        <v>3000</v>
      </c>
      <c r="P205">
        <v>0</v>
      </c>
      <c r="Q205">
        <v>0</v>
      </c>
      <c r="R205">
        <v>0</v>
      </c>
      <c r="S205">
        <v>0</v>
      </c>
      <c r="T205">
        <v>54706621</v>
      </c>
      <c r="U205" s="19">
        <f t="shared" si="29"/>
        <v>296700</v>
      </c>
      <c r="V205" s="20">
        <f t="shared" si="22"/>
        <v>26700</v>
      </c>
      <c r="W205" s="20">
        <v>132000</v>
      </c>
      <c r="X205" s="20">
        <f t="shared" si="28"/>
        <v>150000</v>
      </c>
      <c r="Y205" s="20"/>
      <c r="Z205" s="20">
        <f t="shared" si="23"/>
        <v>150000</v>
      </c>
      <c r="AA205" s="20">
        <v>102000</v>
      </c>
      <c r="AB205" s="20">
        <f t="shared" si="24"/>
        <v>120000</v>
      </c>
      <c r="AC205" s="20"/>
      <c r="AD205" s="20">
        <f t="shared" si="25"/>
        <v>120000</v>
      </c>
      <c r="AE205" s="20">
        <v>0</v>
      </c>
      <c r="AF205" s="20">
        <v>0</v>
      </c>
      <c r="AG205" s="20">
        <f t="shared" si="26"/>
        <v>0</v>
      </c>
      <c r="AH205" s="20">
        <v>0</v>
      </c>
      <c r="AI205" s="37">
        <v>0</v>
      </c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1:51" ht="14.15" hidden="1" customHeight="1" x14ac:dyDescent="0.35">
      <c r="A206">
        <v>0</v>
      </c>
      <c r="B206">
        <v>0</v>
      </c>
      <c r="C206">
        <v>0</v>
      </c>
      <c r="D206">
        <v>0</v>
      </c>
      <c r="E206">
        <v>6000</v>
      </c>
      <c r="F206">
        <v>2700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1500</v>
      </c>
      <c r="M206">
        <v>2000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298881365</v>
      </c>
      <c r="U206" s="19">
        <f t="shared" si="29"/>
        <v>384200</v>
      </c>
      <c r="V206" s="20">
        <f t="shared" si="22"/>
        <v>12200</v>
      </c>
      <c r="W206" s="20">
        <v>144000</v>
      </c>
      <c r="X206" s="20">
        <f t="shared" si="28"/>
        <v>162000</v>
      </c>
      <c r="Y206" s="20">
        <v>18000</v>
      </c>
      <c r="Z206" s="20">
        <f t="shared" si="23"/>
        <v>180000</v>
      </c>
      <c r="AA206" s="20">
        <v>156000</v>
      </c>
      <c r="AB206" s="20">
        <f t="shared" si="24"/>
        <v>174000</v>
      </c>
      <c r="AC206" s="20">
        <v>18000</v>
      </c>
      <c r="AD206" s="20">
        <f t="shared" si="25"/>
        <v>192000</v>
      </c>
      <c r="AE206" s="20">
        <v>0</v>
      </c>
      <c r="AF206" s="20">
        <v>0</v>
      </c>
      <c r="AG206" s="20">
        <f t="shared" si="26"/>
        <v>0</v>
      </c>
      <c r="AH206" s="20">
        <v>0</v>
      </c>
      <c r="AI206" s="37">
        <v>0</v>
      </c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1:51" ht="14.15" hidden="1" customHeight="1" x14ac:dyDescent="0.35">
      <c r="A207">
        <v>3800</v>
      </c>
      <c r="B207">
        <v>5000</v>
      </c>
      <c r="C207">
        <v>0</v>
      </c>
      <c r="D207">
        <v>0</v>
      </c>
      <c r="E207">
        <v>6000</v>
      </c>
      <c r="F207">
        <v>2700</v>
      </c>
      <c r="G207">
        <v>2000</v>
      </c>
      <c r="H207">
        <v>1700</v>
      </c>
      <c r="I207">
        <v>0</v>
      </c>
      <c r="J207">
        <v>0</v>
      </c>
      <c r="K207">
        <v>0</v>
      </c>
      <c r="L207">
        <v>1500</v>
      </c>
      <c r="M207">
        <v>2000</v>
      </c>
      <c r="N207">
        <v>1500</v>
      </c>
      <c r="O207">
        <v>3000</v>
      </c>
      <c r="P207">
        <v>0</v>
      </c>
      <c r="Q207">
        <v>0</v>
      </c>
      <c r="R207">
        <v>0</v>
      </c>
      <c r="S207">
        <v>0</v>
      </c>
      <c r="T207">
        <v>253779272</v>
      </c>
      <c r="U207" s="19">
        <f t="shared" si="29"/>
        <v>341200</v>
      </c>
      <c r="V207" s="20">
        <f t="shared" si="22"/>
        <v>29200</v>
      </c>
      <c r="W207" s="20">
        <v>138000</v>
      </c>
      <c r="X207" s="20">
        <f t="shared" si="28"/>
        <v>156000</v>
      </c>
      <c r="Y207" s="20"/>
      <c r="Z207" s="20">
        <f t="shared" si="23"/>
        <v>156000</v>
      </c>
      <c r="AA207" s="20">
        <v>120000</v>
      </c>
      <c r="AB207" s="20">
        <f t="shared" si="24"/>
        <v>138000</v>
      </c>
      <c r="AC207" s="20">
        <v>18000</v>
      </c>
      <c r="AD207" s="20">
        <f t="shared" si="25"/>
        <v>156000</v>
      </c>
      <c r="AE207" s="20">
        <v>0</v>
      </c>
      <c r="AF207" s="20">
        <v>0</v>
      </c>
      <c r="AG207" s="20">
        <f t="shared" si="26"/>
        <v>0</v>
      </c>
      <c r="AH207" s="20">
        <v>0</v>
      </c>
      <c r="AI207" s="37">
        <v>0</v>
      </c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spans="1:51" ht="14.15" hidden="1" customHeight="1" x14ac:dyDescent="0.35">
      <c r="A208">
        <v>4550</v>
      </c>
      <c r="B208">
        <v>5000</v>
      </c>
      <c r="C208">
        <v>0</v>
      </c>
      <c r="D208">
        <v>0</v>
      </c>
      <c r="E208">
        <v>6000</v>
      </c>
      <c r="F208">
        <v>2700</v>
      </c>
      <c r="G208">
        <v>1000</v>
      </c>
      <c r="H208">
        <v>1200</v>
      </c>
      <c r="I208">
        <v>0</v>
      </c>
      <c r="J208">
        <v>0</v>
      </c>
      <c r="K208">
        <v>0</v>
      </c>
      <c r="L208">
        <v>1500</v>
      </c>
      <c r="M208">
        <v>2000</v>
      </c>
      <c r="N208">
        <v>1500</v>
      </c>
      <c r="O208">
        <v>3000</v>
      </c>
      <c r="P208">
        <v>0</v>
      </c>
      <c r="Q208">
        <v>0</v>
      </c>
      <c r="R208">
        <v>0</v>
      </c>
      <c r="S208">
        <v>0</v>
      </c>
      <c r="T208">
        <v>205642116</v>
      </c>
      <c r="U208" s="19">
        <f t="shared" si="29"/>
        <v>354850</v>
      </c>
      <c r="V208" s="20">
        <f t="shared" si="22"/>
        <v>28450</v>
      </c>
      <c r="W208" s="20">
        <v>138000</v>
      </c>
      <c r="X208" s="20">
        <f t="shared" si="28"/>
        <v>156000</v>
      </c>
      <c r="Y208" s="20">
        <v>14400</v>
      </c>
      <c r="Z208" s="20">
        <f t="shared" si="23"/>
        <v>170400</v>
      </c>
      <c r="AA208" s="20">
        <v>120000</v>
      </c>
      <c r="AB208" s="20">
        <f t="shared" si="24"/>
        <v>138000</v>
      </c>
      <c r="AC208" s="20">
        <v>18000</v>
      </c>
      <c r="AD208" s="20">
        <f t="shared" si="25"/>
        <v>156000</v>
      </c>
      <c r="AE208" s="20">
        <v>0</v>
      </c>
      <c r="AF208" s="20">
        <v>0</v>
      </c>
      <c r="AG208" s="20">
        <f t="shared" si="26"/>
        <v>0</v>
      </c>
      <c r="AH208" s="20">
        <v>0</v>
      </c>
      <c r="AI208" s="37">
        <v>0</v>
      </c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1:51" ht="14.15" hidden="1" customHeight="1" x14ac:dyDescent="0.35">
      <c r="A209">
        <v>3700</v>
      </c>
      <c r="B209">
        <v>5000</v>
      </c>
      <c r="C209">
        <v>0</v>
      </c>
      <c r="D209">
        <v>0</v>
      </c>
      <c r="E209">
        <v>6000</v>
      </c>
      <c r="F209">
        <v>2700</v>
      </c>
      <c r="G209">
        <v>1500</v>
      </c>
      <c r="H209">
        <v>1450</v>
      </c>
      <c r="I209">
        <v>0</v>
      </c>
      <c r="J209">
        <v>0</v>
      </c>
      <c r="K209">
        <v>0</v>
      </c>
      <c r="L209">
        <v>1500</v>
      </c>
      <c r="M209">
        <v>2000</v>
      </c>
      <c r="N209">
        <v>1500</v>
      </c>
      <c r="O209">
        <v>3000</v>
      </c>
      <c r="P209">
        <v>0</v>
      </c>
      <c r="Q209">
        <v>0</v>
      </c>
      <c r="R209">
        <v>0</v>
      </c>
      <c r="S209">
        <v>0</v>
      </c>
      <c r="T209">
        <v>161667282</v>
      </c>
      <c r="U209" s="19">
        <f t="shared" si="29"/>
        <v>388350</v>
      </c>
      <c r="V209" s="20">
        <f t="shared" si="22"/>
        <v>28350</v>
      </c>
      <c r="W209" s="20">
        <v>168000</v>
      </c>
      <c r="X209" s="20">
        <f t="shared" si="28"/>
        <v>186000</v>
      </c>
      <c r="Y209" s="20"/>
      <c r="Z209" s="20">
        <f t="shared" si="23"/>
        <v>186000</v>
      </c>
      <c r="AA209" s="20">
        <v>138000</v>
      </c>
      <c r="AB209" s="20">
        <f t="shared" si="24"/>
        <v>156000</v>
      </c>
      <c r="AC209" s="20">
        <v>18000</v>
      </c>
      <c r="AD209" s="20">
        <f t="shared" si="25"/>
        <v>174000</v>
      </c>
      <c r="AE209" s="20">
        <v>0</v>
      </c>
      <c r="AF209" s="20">
        <v>0</v>
      </c>
      <c r="AG209" s="20">
        <f t="shared" si="26"/>
        <v>0</v>
      </c>
      <c r="AH209" s="20">
        <v>0</v>
      </c>
      <c r="AI209" s="37">
        <v>0</v>
      </c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1:51" ht="14.15" hidden="1" customHeight="1" x14ac:dyDescent="0.35">
      <c r="A210">
        <v>3250</v>
      </c>
      <c r="B210">
        <v>5000</v>
      </c>
      <c r="C210">
        <v>0</v>
      </c>
      <c r="D210">
        <v>0</v>
      </c>
      <c r="E210">
        <v>6000</v>
      </c>
      <c r="F210">
        <v>2700</v>
      </c>
      <c r="G210">
        <v>1500</v>
      </c>
      <c r="H210">
        <v>1700</v>
      </c>
      <c r="I210">
        <v>0</v>
      </c>
      <c r="J210">
        <v>0</v>
      </c>
      <c r="K210">
        <v>0</v>
      </c>
      <c r="L210">
        <v>1500</v>
      </c>
      <c r="M210">
        <v>2000</v>
      </c>
      <c r="N210">
        <v>1500</v>
      </c>
      <c r="O210">
        <v>3000</v>
      </c>
      <c r="P210">
        <v>0</v>
      </c>
      <c r="Q210">
        <v>0</v>
      </c>
      <c r="R210">
        <v>0</v>
      </c>
      <c r="S210">
        <v>0</v>
      </c>
      <c r="T210">
        <v>182669458</v>
      </c>
      <c r="U210" s="19">
        <f t="shared" si="29"/>
        <v>268150</v>
      </c>
      <c r="V210" s="20">
        <f t="shared" si="22"/>
        <v>28150</v>
      </c>
      <c r="W210" s="20"/>
      <c r="X210" s="20">
        <v>120000</v>
      </c>
      <c r="Y210" s="20"/>
      <c r="Z210" s="20">
        <v>120000</v>
      </c>
      <c r="AA210" s="20">
        <v>102000</v>
      </c>
      <c r="AB210" s="20">
        <f t="shared" si="24"/>
        <v>120000</v>
      </c>
      <c r="AC210" s="20"/>
      <c r="AD210" s="20">
        <f t="shared" si="25"/>
        <v>120000</v>
      </c>
      <c r="AE210" s="20">
        <v>0</v>
      </c>
      <c r="AF210" s="20">
        <v>0</v>
      </c>
      <c r="AG210" s="20">
        <f t="shared" si="26"/>
        <v>0</v>
      </c>
      <c r="AH210" s="20">
        <v>0</v>
      </c>
      <c r="AI210" s="37">
        <v>0</v>
      </c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1:51" ht="14.15" hidden="1" customHeight="1" x14ac:dyDescent="0.35">
      <c r="A211">
        <v>0</v>
      </c>
      <c r="B211">
        <v>0</v>
      </c>
      <c r="C211">
        <v>0</v>
      </c>
      <c r="D211">
        <v>0</v>
      </c>
      <c r="E211">
        <v>6000</v>
      </c>
      <c r="F211">
        <v>2700</v>
      </c>
      <c r="G211">
        <v>0</v>
      </c>
      <c r="H211">
        <v>1700</v>
      </c>
      <c r="I211">
        <v>0</v>
      </c>
      <c r="J211">
        <v>0</v>
      </c>
      <c r="K211">
        <v>0</v>
      </c>
      <c r="L211">
        <v>1500</v>
      </c>
      <c r="M211">
        <v>0</v>
      </c>
      <c r="N211">
        <v>1500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159665207</v>
      </c>
      <c r="U211" s="19">
        <f t="shared" si="29"/>
        <v>341600</v>
      </c>
      <c r="V211" s="20">
        <f t="shared" si="22"/>
        <v>13400</v>
      </c>
      <c r="W211" s="20">
        <v>138000</v>
      </c>
      <c r="X211" s="20">
        <f>W211+3*6000</f>
        <v>156000</v>
      </c>
      <c r="Y211" s="20"/>
      <c r="Z211" s="20">
        <f t="shared" si="23"/>
        <v>156000</v>
      </c>
      <c r="AA211" s="20">
        <v>138000</v>
      </c>
      <c r="AB211" s="20">
        <f t="shared" si="24"/>
        <v>156000</v>
      </c>
      <c r="AC211" s="20">
        <v>16200</v>
      </c>
      <c r="AD211" s="20">
        <f t="shared" si="25"/>
        <v>172200</v>
      </c>
      <c r="AE211" s="20">
        <v>0</v>
      </c>
      <c r="AF211" s="20">
        <v>0</v>
      </c>
      <c r="AG211" s="20">
        <f t="shared" si="26"/>
        <v>0</v>
      </c>
      <c r="AH211" s="20">
        <v>0</v>
      </c>
      <c r="AI211" s="37">
        <v>0</v>
      </c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1:51" ht="14.15" hidden="1" customHeight="1" x14ac:dyDescent="0.35">
      <c r="A212">
        <v>0</v>
      </c>
      <c r="B212">
        <v>5000</v>
      </c>
      <c r="C212">
        <v>0</v>
      </c>
      <c r="D212">
        <v>0</v>
      </c>
      <c r="E212">
        <v>6000</v>
      </c>
      <c r="F212">
        <v>2700</v>
      </c>
      <c r="G212">
        <v>1500</v>
      </c>
      <c r="H212">
        <v>1450</v>
      </c>
      <c r="I212">
        <v>0</v>
      </c>
      <c r="J212">
        <v>0</v>
      </c>
      <c r="K212">
        <v>0</v>
      </c>
      <c r="L212">
        <v>1500</v>
      </c>
      <c r="M212">
        <v>2000</v>
      </c>
      <c r="N212">
        <v>1500</v>
      </c>
      <c r="O212">
        <v>3000</v>
      </c>
      <c r="P212">
        <v>0</v>
      </c>
      <c r="Q212">
        <v>0</v>
      </c>
      <c r="R212">
        <v>0</v>
      </c>
      <c r="S212">
        <v>0</v>
      </c>
      <c r="T212">
        <v>200689480</v>
      </c>
      <c r="U212" s="19">
        <f t="shared" si="29"/>
        <v>300650</v>
      </c>
      <c r="V212" s="20">
        <f t="shared" si="22"/>
        <v>24650</v>
      </c>
      <c r="W212" s="20"/>
      <c r="X212" s="20">
        <v>138000</v>
      </c>
      <c r="Y212" s="20"/>
      <c r="Z212" s="20">
        <v>138000</v>
      </c>
      <c r="AA212" s="20">
        <v>120000</v>
      </c>
      <c r="AB212" s="20">
        <f t="shared" si="24"/>
        <v>138000</v>
      </c>
      <c r="AC212" s="20"/>
      <c r="AD212" s="20">
        <f t="shared" si="25"/>
        <v>138000</v>
      </c>
      <c r="AE212" s="20">
        <v>0</v>
      </c>
      <c r="AF212" s="20">
        <v>0</v>
      </c>
      <c r="AG212" s="20">
        <f t="shared" si="26"/>
        <v>0</v>
      </c>
      <c r="AH212" s="20">
        <v>0</v>
      </c>
      <c r="AI212" s="37">
        <v>0</v>
      </c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1:51" ht="14.15" hidden="1" customHeight="1" x14ac:dyDescent="0.35">
      <c r="A213">
        <v>4500</v>
      </c>
      <c r="B213">
        <v>5000</v>
      </c>
      <c r="C213">
        <v>0</v>
      </c>
      <c r="D213">
        <v>0</v>
      </c>
      <c r="E213">
        <v>6000</v>
      </c>
      <c r="F213">
        <v>2700</v>
      </c>
      <c r="G213">
        <v>1500</v>
      </c>
      <c r="H213">
        <v>1450</v>
      </c>
      <c r="I213">
        <v>0</v>
      </c>
      <c r="J213">
        <v>0</v>
      </c>
      <c r="K213">
        <v>0</v>
      </c>
      <c r="L213">
        <v>1500</v>
      </c>
      <c r="M213">
        <v>2000</v>
      </c>
      <c r="N213">
        <v>1500</v>
      </c>
      <c r="O213">
        <v>3000</v>
      </c>
      <c r="P213">
        <v>0</v>
      </c>
      <c r="Q213">
        <v>0</v>
      </c>
      <c r="R213">
        <v>0</v>
      </c>
      <c r="S213">
        <v>0</v>
      </c>
      <c r="T213">
        <v>245450264</v>
      </c>
      <c r="U213" s="19">
        <f t="shared" si="29"/>
        <v>389150</v>
      </c>
      <c r="V213" s="20">
        <f t="shared" si="22"/>
        <v>29150</v>
      </c>
      <c r="W213" s="20">
        <v>168000</v>
      </c>
      <c r="X213" s="20">
        <f t="shared" ref="X213:X244" si="30">W213+3*6000</f>
        <v>186000</v>
      </c>
      <c r="Y213" s="20"/>
      <c r="Z213" s="20">
        <f t="shared" si="23"/>
        <v>186000</v>
      </c>
      <c r="AA213" s="20">
        <v>156000</v>
      </c>
      <c r="AB213" s="20">
        <f t="shared" si="24"/>
        <v>174000</v>
      </c>
      <c r="AC213" s="20"/>
      <c r="AD213" s="20">
        <f t="shared" si="25"/>
        <v>174000</v>
      </c>
      <c r="AE213" s="20">
        <v>0</v>
      </c>
      <c r="AF213" s="20">
        <v>0</v>
      </c>
      <c r="AG213" s="20">
        <f t="shared" si="26"/>
        <v>0</v>
      </c>
      <c r="AH213" s="20">
        <v>0</v>
      </c>
      <c r="AI213" s="37">
        <v>0</v>
      </c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1:51" ht="14.15" hidden="1" customHeight="1" x14ac:dyDescent="0.35">
      <c r="A214">
        <v>0</v>
      </c>
      <c r="B214">
        <v>5000</v>
      </c>
      <c r="C214">
        <v>0</v>
      </c>
      <c r="D214">
        <v>0</v>
      </c>
      <c r="E214">
        <v>6000</v>
      </c>
      <c r="F214">
        <v>2700</v>
      </c>
      <c r="G214">
        <v>1000</v>
      </c>
      <c r="H214">
        <v>0</v>
      </c>
      <c r="I214">
        <v>0</v>
      </c>
      <c r="J214">
        <v>0</v>
      </c>
      <c r="K214">
        <v>0</v>
      </c>
      <c r="L214">
        <v>1500</v>
      </c>
      <c r="M214">
        <v>2000</v>
      </c>
      <c r="N214">
        <v>1500</v>
      </c>
      <c r="O214">
        <v>3000</v>
      </c>
      <c r="P214">
        <v>0</v>
      </c>
      <c r="Q214">
        <v>0</v>
      </c>
      <c r="R214">
        <v>0</v>
      </c>
      <c r="S214">
        <v>0</v>
      </c>
      <c r="T214">
        <v>549811072</v>
      </c>
      <c r="U214" s="19">
        <f t="shared" si="29"/>
        <v>328700</v>
      </c>
      <c r="V214" s="20">
        <f t="shared" si="22"/>
        <v>22700</v>
      </c>
      <c r="W214" s="20">
        <v>144000</v>
      </c>
      <c r="X214" s="20">
        <f t="shared" si="30"/>
        <v>162000</v>
      </c>
      <c r="Y214" s="20"/>
      <c r="Z214" s="20">
        <f t="shared" si="23"/>
        <v>162000</v>
      </c>
      <c r="AA214" s="20">
        <v>126000</v>
      </c>
      <c r="AB214" s="20">
        <f t="shared" si="24"/>
        <v>144000</v>
      </c>
      <c r="AC214" s="20"/>
      <c r="AD214" s="20">
        <f t="shared" si="25"/>
        <v>144000</v>
      </c>
      <c r="AE214" s="20">
        <v>0</v>
      </c>
      <c r="AF214" s="20">
        <v>0</v>
      </c>
      <c r="AG214" s="20">
        <f t="shared" si="26"/>
        <v>0</v>
      </c>
      <c r="AH214" s="20">
        <v>0</v>
      </c>
      <c r="AI214" s="37">
        <v>0</v>
      </c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1:51" ht="14.15" hidden="1" customHeight="1" x14ac:dyDescent="0.35">
      <c r="A215">
        <v>0</v>
      </c>
      <c r="B215">
        <v>0</v>
      </c>
      <c r="C215">
        <v>0</v>
      </c>
      <c r="D215">
        <v>0</v>
      </c>
      <c r="E215">
        <v>6000</v>
      </c>
      <c r="F215">
        <v>1275</v>
      </c>
      <c r="G215">
        <v>1500</v>
      </c>
      <c r="H215">
        <v>0</v>
      </c>
      <c r="I215">
        <v>0</v>
      </c>
      <c r="J215">
        <v>0</v>
      </c>
      <c r="K215">
        <v>0</v>
      </c>
      <c r="L215">
        <v>1500</v>
      </c>
      <c r="M215">
        <v>2000</v>
      </c>
      <c r="N215">
        <v>1500</v>
      </c>
      <c r="O215">
        <v>3000</v>
      </c>
      <c r="P215">
        <v>0</v>
      </c>
      <c r="Q215">
        <v>0</v>
      </c>
      <c r="R215">
        <v>0</v>
      </c>
      <c r="S215">
        <v>0</v>
      </c>
      <c r="T215">
        <v>203662253</v>
      </c>
      <c r="U215" s="19">
        <f t="shared" si="29"/>
        <v>256775</v>
      </c>
      <c r="V215" s="20">
        <f t="shared" si="22"/>
        <v>16775</v>
      </c>
      <c r="W215" s="20">
        <v>96000</v>
      </c>
      <c r="X215" s="20">
        <f t="shared" si="30"/>
        <v>114000</v>
      </c>
      <c r="Y215" s="20"/>
      <c r="Z215" s="20">
        <f t="shared" si="23"/>
        <v>114000</v>
      </c>
      <c r="AA215" s="20">
        <v>108000</v>
      </c>
      <c r="AB215" s="20">
        <f t="shared" si="24"/>
        <v>126000</v>
      </c>
      <c r="AC215" s="20"/>
      <c r="AD215" s="20">
        <f t="shared" si="25"/>
        <v>126000</v>
      </c>
      <c r="AE215" s="20">
        <v>0</v>
      </c>
      <c r="AF215" s="20">
        <v>0</v>
      </c>
      <c r="AG215" s="20">
        <f t="shared" si="26"/>
        <v>0</v>
      </c>
      <c r="AH215" s="20">
        <v>0</v>
      </c>
      <c r="AI215" s="37">
        <v>0</v>
      </c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1:51" ht="14.15" hidden="1" customHeight="1" x14ac:dyDescent="0.35">
      <c r="A216">
        <v>0</v>
      </c>
      <c r="B216">
        <v>0</v>
      </c>
      <c r="C216">
        <v>0</v>
      </c>
      <c r="D216">
        <v>0</v>
      </c>
      <c r="E216">
        <v>6000</v>
      </c>
      <c r="F216">
        <v>2700</v>
      </c>
      <c r="G216">
        <v>1500</v>
      </c>
      <c r="H216">
        <v>0</v>
      </c>
      <c r="I216">
        <v>0</v>
      </c>
      <c r="J216">
        <v>0</v>
      </c>
      <c r="K216">
        <v>0</v>
      </c>
      <c r="L216">
        <v>1500</v>
      </c>
      <c r="M216">
        <v>2000</v>
      </c>
      <c r="N216">
        <v>1500</v>
      </c>
      <c r="O216">
        <v>3000</v>
      </c>
      <c r="P216">
        <v>0</v>
      </c>
      <c r="Q216">
        <v>0</v>
      </c>
      <c r="R216">
        <v>0</v>
      </c>
      <c r="S216">
        <v>0</v>
      </c>
      <c r="T216">
        <v>42782874</v>
      </c>
      <c r="U216" s="19">
        <f t="shared" si="29"/>
        <v>240200</v>
      </c>
      <c r="V216" s="20">
        <f t="shared" si="22"/>
        <v>18200</v>
      </c>
      <c r="W216" s="20">
        <v>54000</v>
      </c>
      <c r="X216" s="20">
        <f t="shared" si="30"/>
        <v>72000</v>
      </c>
      <c r="Y216" s="20"/>
      <c r="Z216" s="20">
        <f t="shared" si="23"/>
        <v>72000</v>
      </c>
      <c r="AA216" s="20">
        <v>114000</v>
      </c>
      <c r="AB216" s="20">
        <f t="shared" si="24"/>
        <v>132000</v>
      </c>
      <c r="AC216" s="20">
        <v>18000</v>
      </c>
      <c r="AD216" s="20">
        <f t="shared" si="25"/>
        <v>150000</v>
      </c>
      <c r="AE216" s="20">
        <v>0</v>
      </c>
      <c r="AF216" s="20">
        <v>0</v>
      </c>
      <c r="AG216" s="20">
        <f t="shared" si="26"/>
        <v>0</v>
      </c>
      <c r="AH216" s="20">
        <v>0</v>
      </c>
      <c r="AI216" s="37">
        <v>0</v>
      </c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1:51" ht="14.15" hidden="1" customHeight="1" x14ac:dyDescent="0.35">
      <c r="A217">
        <v>0</v>
      </c>
      <c r="B217">
        <v>0</v>
      </c>
      <c r="C217">
        <v>0</v>
      </c>
      <c r="D217">
        <v>0</v>
      </c>
      <c r="E217">
        <v>6000</v>
      </c>
      <c r="F217">
        <v>2700</v>
      </c>
      <c r="G217">
        <v>2500</v>
      </c>
      <c r="H217">
        <v>1800</v>
      </c>
      <c r="I217">
        <v>0</v>
      </c>
      <c r="J217">
        <v>0</v>
      </c>
      <c r="K217">
        <v>0</v>
      </c>
      <c r="L217">
        <v>1500</v>
      </c>
      <c r="M217">
        <v>0</v>
      </c>
      <c r="N217">
        <v>1500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203643683</v>
      </c>
      <c r="U217" s="19">
        <f t="shared" si="29"/>
        <v>298000</v>
      </c>
      <c r="V217" s="20">
        <f t="shared" si="22"/>
        <v>16000</v>
      </c>
      <c r="W217" s="20">
        <v>120000</v>
      </c>
      <c r="X217" s="20">
        <f t="shared" si="30"/>
        <v>138000</v>
      </c>
      <c r="Y217" s="20"/>
      <c r="Z217" s="20">
        <f t="shared" si="23"/>
        <v>138000</v>
      </c>
      <c r="AA217" s="20">
        <v>126000</v>
      </c>
      <c r="AB217" s="20">
        <f t="shared" si="24"/>
        <v>144000</v>
      </c>
      <c r="AC217" s="20"/>
      <c r="AD217" s="20">
        <f t="shared" si="25"/>
        <v>144000</v>
      </c>
      <c r="AE217" s="20">
        <v>0</v>
      </c>
      <c r="AF217" s="20">
        <v>0</v>
      </c>
      <c r="AG217" s="20">
        <f t="shared" si="26"/>
        <v>0</v>
      </c>
      <c r="AH217" s="20">
        <v>0</v>
      </c>
      <c r="AI217" s="37">
        <v>0</v>
      </c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1:51" ht="14.15" hidden="1" customHeight="1" x14ac:dyDescent="0.35">
      <c r="A218">
        <v>0</v>
      </c>
      <c r="B218">
        <v>0</v>
      </c>
      <c r="C218">
        <v>0</v>
      </c>
      <c r="D218">
        <v>0</v>
      </c>
      <c r="E218">
        <v>6000</v>
      </c>
      <c r="F218">
        <v>2700</v>
      </c>
      <c r="G218">
        <v>1000</v>
      </c>
      <c r="H218">
        <v>1450</v>
      </c>
      <c r="I218">
        <v>0</v>
      </c>
      <c r="J218">
        <v>0</v>
      </c>
      <c r="K218">
        <v>0</v>
      </c>
      <c r="L218">
        <v>1500</v>
      </c>
      <c r="M218">
        <v>2000</v>
      </c>
      <c r="N218">
        <v>1500</v>
      </c>
      <c r="O218">
        <v>3000</v>
      </c>
      <c r="P218">
        <v>0</v>
      </c>
      <c r="Q218">
        <v>0</v>
      </c>
      <c r="R218">
        <v>0</v>
      </c>
      <c r="S218">
        <v>0</v>
      </c>
      <c r="T218">
        <v>189704203</v>
      </c>
      <c r="U218" s="19">
        <f t="shared" si="29"/>
        <v>247150</v>
      </c>
      <c r="V218" s="20">
        <f t="shared" si="22"/>
        <v>19150</v>
      </c>
      <c r="W218" s="20">
        <v>96000</v>
      </c>
      <c r="X218" s="20">
        <f t="shared" si="30"/>
        <v>114000</v>
      </c>
      <c r="Y218" s="20"/>
      <c r="Z218" s="20">
        <f t="shared" si="23"/>
        <v>114000</v>
      </c>
      <c r="AA218" s="20">
        <v>96000</v>
      </c>
      <c r="AB218" s="20">
        <f t="shared" ref="AB218:AB281" si="31">AA218+18000</f>
        <v>114000</v>
      </c>
      <c r="AC218" s="20"/>
      <c r="AD218" s="20">
        <f t="shared" si="25"/>
        <v>114000</v>
      </c>
      <c r="AE218" s="20">
        <v>0</v>
      </c>
      <c r="AF218" s="20">
        <v>0</v>
      </c>
      <c r="AG218" s="20">
        <f t="shared" si="26"/>
        <v>0</v>
      </c>
      <c r="AH218" s="20">
        <v>0</v>
      </c>
      <c r="AI218" s="37">
        <v>0</v>
      </c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1:51" ht="14.15" hidden="1" customHeight="1" x14ac:dyDescent="0.35">
      <c r="A219">
        <v>3750</v>
      </c>
      <c r="B219">
        <v>5000</v>
      </c>
      <c r="C219">
        <v>0</v>
      </c>
      <c r="D219">
        <v>0</v>
      </c>
      <c r="E219">
        <v>6000</v>
      </c>
      <c r="F219">
        <v>2700</v>
      </c>
      <c r="G219">
        <v>2000</v>
      </c>
      <c r="H219">
        <v>1800</v>
      </c>
      <c r="I219">
        <v>0</v>
      </c>
      <c r="J219">
        <v>0</v>
      </c>
      <c r="K219">
        <v>0</v>
      </c>
      <c r="L219">
        <v>1500</v>
      </c>
      <c r="M219">
        <v>2000</v>
      </c>
      <c r="N219">
        <v>1500</v>
      </c>
      <c r="O219">
        <v>3000</v>
      </c>
      <c r="P219">
        <v>0</v>
      </c>
      <c r="Q219">
        <v>0</v>
      </c>
      <c r="R219">
        <v>0</v>
      </c>
      <c r="S219">
        <v>0</v>
      </c>
      <c r="T219">
        <v>87707369</v>
      </c>
      <c r="U219" s="19">
        <f t="shared" si="29"/>
        <v>335250</v>
      </c>
      <c r="V219" s="20">
        <f t="shared" ref="V219:V283" si="32">SUM(A219:S219)</f>
        <v>29250</v>
      </c>
      <c r="W219" s="20">
        <v>150000</v>
      </c>
      <c r="X219" s="20">
        <f t="shared" si="30"/>
        <v>168000</v>
      </c>
      <c r="Y219" s="20"/>
      <c r="Z219" s="20">
        <f t="shared" ref="Z219:Z283" si="33">SUM(X219:Y219)</f>
        <v>168000</v>
      </c>
      <c r="AA219" s="20">
        <v>120000</v>
      </c>
      <c r="AB219" s="20">
        <f t="shared" si="31"/>
        <v>138000</v>
      </c>
      <c r="AC219" s="20"/>
      <c r="AD219" s="20">
        <f t="shared" ref="AD219:AD283" si="34">SUM(AB219:AC219)</f>
        <v>138000</v>
      </c>
      <c r="AE219" s="20">
        <v>0</v>
      </c>
      <c r="AF219" s="20">
        <v>0</v>
      </c>
      <c r="AG219" s="20">
        <f t="shared" ref="AG219:AG283" si="35">SUM(AE219:AF219)</f>
        <v>0</v>
      </c>
      <c r="AH219" s="20">
        <v>0</v>
      </c>
      <c r="AI219" s="37">
        <v>0</v>
      </c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1:51" ht="14.15" hidden="1" customHeight="1" x14ac:dyDescent="0.35">
      <c r="A220">
        <v>4000</v>
      </c>
      <c r="B220">
        <v>5000</v>
      </c>
      <c r="C220">
        <v>0</v>
      </c>
      <c r="D220">
        <v>0</v>
      </c>
      <c r="E220">
        <v>6000</v>
      </c>
      <c r="F220">
        <v>2700</v>
      </c>
      <c r="G220">
        <v>1000</v>
      </c>
      <c r="H220">
        <v>0</v>
      </c>
      <c r="I220">
        <v>0</v>
      </c>
      <c r="J220">
        <v>0</v>
      </c>
      <c r="K220">
        <v>0</v>
      </c>
      <c r="L220">
        <v>1500</v>
      </c>
      <c r="M220">
        <v>2000</v>
      </c>
      <c r="N220">
        <v>1500</v>
      </c>
      <c r="O220">
        <v>3000</v>
      </c>
      <c r="P220">
        <v>0</v>
      </c>
      <c r="Q220">
        <v>0</v>
      </c>
      <c r="R220">
        <v>0</v>
      </c>
      <c r="S220">
        <v>0</v>
      </c>
      <c r="T220">
        <v>160665945</v>
      </c>
      <c r="U220" s="19">
        <f t="shared" si="29"/>
        <v>284700</v>
      </c>
      <c r="V220" s="20">
        <f t="shared" si="32"/>
        <v>26700</v>
      </c>
      <c r="W220" s="20">
        <v>102000</v>
      </c>
      <c r="X220" s="20">
        <f t="shared" si="30"/>
        <v>120000</v>
      </c>
      <c r="Y220" s="20"/>
      <c r="Z220" s="20">
        <f t="shared" si="33"/>
        <v>120000</v>
      </c>
      <c r="AA220" s="20">
        <v>120000</v>
      </c>
      <c r="AB220" s="20">
        <f t="shared" si="31"/>
        <v>138000</v>
      </c>
      <c r="AC220" s="20"/>
      <c r="AD220" s="20">
        <f t="shared" si="34"/>
        <v>138000</v>
      </c>
      <c r="AE220" s="20">
        <v>0</v>
      </c>
      <c r="AF220" s="20">
        <v>0</v>
      </c>
      <c r="AG220" s="20">
        <f t="shared" si="35"/>
        <v>0</v>
      </c>
      <c r="AH220" s="20">
        <v>0</v>
      </c>
      <c r="AI220" s="37">
        <v>0</v>
      </c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1:51" ht="14.15" hidden="1" customHeight="1" x14ac:dyDescent="0.35">
      <c r="A221">
        <v>4800</v>
      </c>
      <c r="B221">
        <v>5000</v>
      </c>
      <c r="C221">
        <v>0</v>
      </c>
      <c r="D221">
        <v>0</v>
      </c>
      <c r="E221">
        <v>6000</v>
      </c>
      <c r="F221">
        <v>2700</v>
      </c>
      <c r="G221">
        <v>1500</v>
      </c>
      <c r="H221">
        <v>1450</v>
      </c>
      <c r="I221">
        <v>0</v>
      </c>
      <c r="J221">
        <v>0</v>
      </c>
      <c r="K221">
        <v>0</v>
      </c>
      <c r="L221">
        <v>1500</v>
      </c>
      <c r="M221">
        <v>2000</v>
      </c>
      <c r="N221">
        <v>1500</v>
      </c>
      <c r="O221">
        <v>3000</v>
      </c>
      <c r="P221">
        <v>0</v>
      </c>
      <c r="Q221">
        <v>0</v>
      </c>
      <c r="R221">
        <v>0</v>
      </c>
      <c r="S221">
        <v>0</v>
      </c>
      <c r="T221">
        <v>197644245</v>
      </c>
      <c r="U221" s="19">
        <f t="shared" si="29"/>
        <v>149450</v>
      </c>
      <c r="V221" s="20">
        <f t="shared" si="32"/>
        <v>29450</v>
      </c>
      <c r="W221" s="20">
        <v>102000</v>
      </c>
      <c r="X221" s="20">
        <f t="shared" si="30"/>
        <v>120000</v>
      </c>
      <c r="Y221" s="20"/>
      <c r="Z221" s="20">
        <f t="shared" si="33"/>
        <v>120000</v>
      </c>
      <c r="AA221" s="20"/>
      <c r="AB221" s="20"/>
      <c r="AC221" s="20"/>
      <c r="AD221" s="20"/>
      <c r="AE221" s="20">
        <v>0</v>
      </c>
      <c r="AF221" s="20">
        <v>0</v>
      </c>
      <c r="AG221" s="20">
        <f t="shared" si="35"/>
        <v>0</v>
      </c>
      <c r="AH221" s="20">
        <v>0</v>
      </c>
      <c r="AI221" s="37">
        <v>0</v>
      </c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1:51" ht="14.15" hidden="1" customHeight="1" x14ac:dyDescent="0.35">
      <c r="A222">
        <v>4550</v>
      </c>
      <c r="B222">
        <v>5000</v>
      </c>
      <c r="C222">
        <v>0</v>
      </c>
      <c r="D222">
        <v>0</v>
      </c>
      <c r="E222">
        <v>6000</v>
      </c>
      <c r="F222">
        <v>2700</v>
      </c>
      <c r="G222">
        <v>2500</v>
      </c>
      <c r="H222">
        <v>0</v>
      </c>
      <c r="I222">
        <v>0</v>
      </c>
      <c r="J222">
        <v>0</v>
      </c>
      <c r="K222">
        <v>0</v>
      </c>
      <c r="L222">
        <v>1500</v>
      </c>
      <c r="M222">
        <v>2000</v>
      </c>
      <c r="N222">
        <v>1500</v>
      </c>
      <c r="O222">
        <v>3000</v>
      </c>
      <c r="P222">
        <v>0</v>
      </c>
      <c r="Q222">
        <v>0</v>
      </c>
      <c r="R222">
        <v>0</v>
      </c>
      <c r="S222">
        <v>0</v>
      </c>
      <c r="T222">
        <v>160701469</v>
      </c>
      <c r="U222" s="19">
        <f t="shared" si="29"/>
        <v>323350</v>
      </c>
      <c r="V222" s="20">
        <f t="shared" si="32"/>
        <v>28750</v>
      </c>
      <c r="W222" s="20">
        <v>132000</v>
      </c>
      <c r="X222" s="20">
        <f t="shared" si="30"/>
        <v>150000</v>
      </c>
      <c r="Y222" s="20">
        <v>14400</v>
      </c>
      <c r="Z222" s="20">
        <f t="shared" si="33"/>
        <v>164400</v>
      </c>
      <c r="AA222" s="20">
        <v>96000</v>
      </c>
      <c r="AB222" s="20">
        <f t="shared" si="31"/>
        <v>114000</v>
      </c>
      <c r="AC222" s="20">
        <v>16200</v>
      </c>
      <c r="AD222" s="20">
        <f t="shared" si="34"/>
        <v>130200</v>
      </c>
      <c r="AE222" s="20">
        <v>0</v>
      </c>
      <c r="AF222" s="20">
        <v>0</v>
      </c>
      <c r="AG222" s="20">
        <f t="shared" si="35"/>
        <v>0</v>
      </c>
      <c r="AH222" s="20">
        <v>0</v>
      </c>
      <c r="AI222" s="37">
        <v>0</v>
      </c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1:51" ht="14.15" hidden="1" customHeight="1" x14ac:dyDescent="0.35">
      <c r="A223">
        <v>3500</v>
      </c>
      <c r="B223">
        <v>5000</v>
      </c>
      <c r="C223">
        <v>0</v>
      </c>
      <c r="D223">
        <v>0</v>
      </c>
      <c r="E223">
        <v>6000</v>
      </c>
      <c r="F223">
        <v>2700</v>
      </c>
      <c r="G223">
        <v>1000</v>
      </c>
      <c r="H223">
        <v>0</v>
      </c>
      <c r="I223">
        <v>0</v>
      </c>
      <c r="J223">
        <v>0</v>
      </c>
      <c r="K223">
        <v>0</v>
      </c>
      <c r="L223">
        <v>1500</v>
      </c>
      <c r="M223">
        <v>2000</v>
      </c>
      <c r="N223">
        <v>1500</v>
      </c>
      <c r="O223">
        <v>3000</v>
      </c>
      <c r="P223">
        <v>0</v>
      </c>
      <c r="Q223">
        <v>0</v>
      </c>
      <c r="R223">
        <v>0</v>
      </c>
      <c r="S223">
        <v>0</v>
      </c>
      <c r="T223">
        <v>554835644</v>
      </c>
      <c r="U223" s="19">
        <f t="shared" si="29"/>
        <v>338200</v>
      </c>
      <c r="V223" s="20">
        <f t="shared" si="32"/>
        <v>26200</v>
      </c>
      <c r="W223" s="20">
        <v>138000</v>
      </c>
      <c r="X223" s="20">
        <f t="shared" si="30"/>
        <v>156000</v>
      </c>
      <c r="Y223" s="20"/>
      <c r="Z223" s="20">
        <f t="shared" si="33"/>
        <v>156000</v>
      </c>
      <c r="AA223" s="20">
        <v>120000</v>
      </c>
      <c r="AB223" s="20">
        <f t="shared" si="31"/>
        <v>138000</v>
      </c>
      <c r="AC223" s="20">
        <v>18000</v>
      </c>
      <c r="AD223" s="20">
        <f t="shared" si="34"/>
        <v>156000</v>
      </c>
      <c r="AE223" s="20">
        <v>0</v>
      </c>
      <c r="AF223" s="20">
        <v>0</v>
      </c>
      <c r="AG223" s="20">
        <f t="shared" si="35"/>
        <v>0</v>
      </c>
      <c r="AH223" s="20">
        <v>0</v>
      </c>
      <c r="AI223" s="37">
        <v>0</v>
      </c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1:51" ht="14.15" hidden="1" customHeight="1" x14ac:dyDescent="0.35">
      <c r="A224">
        <v>4550</v>
      </c>
      <c r="B224">
        <v>5000</v>
      </c>
      <c r="C224">
        <v>0</v>
      </c>
      <c r="D224">
        <v>0</v>
      </c>
      <c r="E224">
        <v>6000</v>
      </c>
      <c r="F224">
        <v>2700</v>
      </c>
      <c r="G224">
        <v>1500</v>
      </c>
      <c r="H224">
        <v>1450</v>
      </c>
      <c r="I224">
        <v>0</v>
      </c>
      <c r="J224">
        <v>0</v>
      </c>
      <c r="K224">
        <v>0</v>
      </c>
      <c r="L224">
        <v>1500</v>
      </c>
      <c r="M224">
        <v>2000</v>
      </c>
      <c r="N224">
        <v>0</v>
      </c>
      <c r="O224">
        <v>3000</v>
      </c>
      <c r="P224">
        <v>0</v>
      </c>
      <c r="Q224">
        <v>0</v>
      </c>
      <c r="R224">
        <v>0</v>
      </c>
      <c r="S224">
        <v>0</v>
      </c>
      <c r="T224">
        <v>228413741</v>
      </c>
      <c r="U224" s="19">
        <f t="shared" ref="U224:U238" si="36" xml:space="preserve"> SUM(V224, Z224, AD224, AG224, AH224, AI224)</f>
        <v>303700</v>
      </c>
      <c r="V224" s="20">
        <f t="shared" si="32"/>
        <v>27700</v>
      </c>
      <c r="W224" s="20">
        <v>120000</v>
      </c>
      <c r="X224" s="20">
        <f t="shared" si="30"/>
        <v>138000</v>
      </c>
      <c r="Y224" s="20"/>
      <c r="Z224" s="20">
        <f t="shared" si="33"/>
        <v>138000</v>
      </c>
      <c r="AA224" s="20">
        <v>120000</v>
      </c>
      <c r="AB224" s="20">
        <f t="shared" si="31"/>
        <v>138000</v>
      </c>
      <c r="AC224" s="20"/>
      <c r="AD224" s="20">
        <f t="shared" si="34"/>
        <v>138000</v>
      </c>
      <c r="AE224" s="20">
        <v>0</v>
      </c>
      <c r="AF224" s="20">
        <v>0</v>
      </c>
      <c r="AG224" s="20">
        <f t="shared" si="35"/>
        <v>0</v>
      </c>
      <c r="AH224" s="20">
        <v>0</v>
      </c>
      <c r="AI224" s="37">
        <v>0</v>
      </c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1:51" ht="14.15" hidden="1" customHeight="1" x14ac:dyDescent="0.35">
      <c r="A225">
        <v>3500</v>
      </c>
      <c r="B225">
        <v>5000</v>
      </c>
      <c r="C225">
        <v>0</v>
      </c>
      <c r="D225">
        <v>0</v>
      </c>
      <c r="E225">
        <v>6000</v>
      </c>
      <c r="F225">
        <v>2700</v>
      </c>
      <c r="G225">
        <v>1000</v>
      </c>
      <c r="H225">
        <v>1200</v>
      </c>
      <c r="I225">
        <v>0</v>
      </c>
      <c r="J225">
        <v>0</v>
      </c>
      <c r="K225">
        <v>0</v>
      </c>
      <c r="L225">
        <v>1500</v>
      </c>
      <c r="M225">
        <v>0</v>
      </c>
      <c r="N225">
        <v>1500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17661064</v>
      </c>
      <c r="U225" s="19">
        <f t="shared" si="36"/>
        <v>339200</v>
      </c>
      <c r="V225" s="20">
        <f t="shared" si="32"/>
        <v>22400</v>
      </c>
      <c r="W225" s="20">
        <v>144000</v>
      </c>
      <c r="X225" s="20">
        <f t="shared" si="30"/>
        <v>162000</v>
      </c>
      <c r="Y225" s="20">
        <v>10800</v>
      </c>
      <c r="Z225" s="20">
        <f t="shared" si="33"/>
        <v>172800</v>
      </c>
      <c r="AA225" s="20">
        <v>126000</v>
      </c>
      <c r="AB225" s="20">
        <f t="shared" si="31"/>
        <v>144000</v>
      </c>
      <c r="AC225" s="20"/>
      <c r="AD225" s="20">
        <f t="shared" si="34"/>
        <v>144000</v>
      </c>
      <c r="AE225" s="20">
        <v>0</v>
      </c>
      <c r="AF225" s="20">
        <v>0</v>
      </c>
      <c r="AG225" s="20">
        <f t="shared" si="35"/>
        <v>0</v>
      </c>
      <c r="AH225" s="20">
        <v>0</v>
      </c>
      <c r="AI225" s="37">
        <v>0</v>
      </c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1:51" ht="14.15" hidden="1" customHeight="1" x14ac:dyDescent="0.35">
      <c r="A226">
        <v>3600</v>
      </c>
      <c r="B226">
        <v>0</v>
      </c>
      <c r="C226">
        <v>0</v>
      </c>
      <c r="D226">
        <v>0</v>
      </c>
      <c r="E226">
        <v>6000</v>
      </c>
      <c r="F226">
        <v>0</v>
      </c>
      <c r="G226">
        <v>1500</v>
      </c>
      <c r="H226">
        <v>0</v>
      </c>
      <c r="I226">
        <v>0</v>
      </c>
      <c r="J226">
        <v>0</v>
      </c>
      <c r="K226">
        <v>0</v>
      </c>
      <c r="L226">
        <v>1500</v>
      </c>
      <c r="M226">
        <v>2000</v>
      </c>
      <c r="N226">
        <v>1500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171708401</v>
      </c>
      <c r="U226" s="19">
        <f t="shared" si="36"/>
        <v>371600</v>
      </c>
      <c r="V226" s="20">
        <f t="shared" si="32"/>
        <v>16100</v>
      </c>
      <c r="W226" s="20">
        <v>156000</v>
      </c>
      <c r="X226" s="20">
        <f t="shared" si="30"/>
        <v>174000</v>
      </c>
      <c r="Y226" s="20">
        <v>13500</v>
      </c>
      <c r="Z226" s="20">
        <f t="shared" si="33"/>
        <v>187500</v>
      </c>
      <c r="AA226" s="20">
        <v>132000</v>
      </c>
      <c r="AB226" s="20">
        <f t="shared" si="31"/>
        <v>150000</v>
      </c>
      <c r="AC226" s="20">
        <v>18000</v>
      </c>
      <c r="AD226" s="20">
        <f t="shared" si="34"/>
        <v>168000</v>
      </c>
      <c r="AE226" s="20">
        <v>0</v>
      </c>
      <c r="AF226" s="20">
        <v>0</v>
      </c>
      <c r="AG226" s="20">
        <f t="shared" si="35"/>
        <v>0</v>
      </c>
      <c r="AH226" s="20">
        <v>0</v>
      </c>
      <c r="AI226" s="37">
        <v>0</v>
      </c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1:51" ht="14.15" hidden="1" customHeight="1" x14ac:dyDescent="0.35">
      <c r="A227">
        <v>0</v>
      </c>
      <c r="B227">
        <v>0</v>
      </c>
      <c r="C227">
        <v>0</v>
      </c>
      <c r="D227">
        <v>0</v>
      </c>
      <c r="E227">
        <v>6000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1500</v>
      </c>
      <c r="M227">
        <v>0</v>
      </c>
      <c r="N227">
        <v>1500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173704918</v>
      </c>
      <c r="U227" s="19">
        <f t="shared" si="36"/>
        <v>225000</v>
      </c>
      <c r="V227" s="20">
        <f t="shared" si="32"/>
        <v>9000</v>
      </c>
      <c r="W227" s="20">
        <v>72000</v>
      </c>
      <c r="X227" s="20">
        <f t="shared" si="30"/>
        <v>90000</v>
      </c>
      <c r="Y227" s="20"/>
      <c r="Z227" s="20">
        <f t="shared" si="33"/>
        <v>90000</v>
      </c>
      <c r="AA227" s="20">
        <v>108000</v>
      </c>
      <c r="AB227" s="20">
        <f t="shared" si="31"/>
        <v>126000</v>
      </c>
      <c r="AC227" s="20"/>
      <c r="AD227" s="20">
        <f t="shared" si="34"/>
        <v>126000</v>
      </c>
      <c r="AE227" s="20">
        <v>0</v>
      </c>
      <c r="AF227" s="20">
        <v>0</v>
      </c>
      <c r="AG227" s="20">
        <f t="shared" si="35"/>
        <v>0</v>
      </c>
      <c r="AH227" s="20">
        <v>0</v>
      </c>
      <c r="AI227" s="37">
        <v>0</v>
      </c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1:51" ht="14.15" hidden="1" customHeight="1" x14ac:dyDescent="0.35">
      <c r="A228">
        <v>4300</v>
      </c>
      <c r="B228">
        <v>5000</v>
      </c>
      <c r="C228">
        <v>0</v>
      </c>
      <c r="D228">
        <v>0</v>
      </c>
      <c r="E228">
        <v>6000</v>
      </c>
      <c r="F228">
        <v>2700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1500</v>
      </c>
      <c r="M228">
        <v>0</v>
      </c>
      <c r="N228">
        <v>1500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802819838</v>
      </c>
      <c r="U228" s="19">
        <f t="shared" si="36"/>
        <v>309000</v>
      </c>
      <c r="V228" s="20">
        <f t="shared" si="32"/>
        <v>21000</v>
      </c>
      <c r="W228" s="20">
        <v>114000</v>
      </c>
      <c r="X228" s="20">
        <f t="shared" si="30"/>
        <v>132000</v>
      </c>
      <c r="Y228" s="20"/>
      <c r="Z228" s="20">
        <f t="shared" si="33"/>
        <v>132000</v>
      </c>
      <c r="AA228" s="20">
        <v>138000</v>
      </c>
      <c r="AB228" s="20">
        <f t="shared" si="31"/>
        <v>156000</v>
      </c>
      <c r="AC228" s="20"/>
      <c r="AD228" s="20">
        <f t="shared" si="34"/>
        <v>156000</v>
      </c>
      <c r="AE228" s="20">
        <v>0</v>
      </c>
      <c r="AF228" s="20">
        <v>0</v>
      </c>
      <c r="AG228" s="20">
        <f t="shared" si="35"/>
        <v>0</v>
      </c>
      <c r="AH228" s="20">
        <v>0</v>
      </c>
      <c r="AI228" s="37">
        <v>0</v>
      </c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1:51" ht="14.15" hidden="1" customHeight="1" x14ac:dyDescent="0.35">
      <c r="A229">
        <v>4300</v>
      </c>
      <c r="B229">
        <v>0</v>
      </c>
      <c r="C229">
        <v>0</v>
      </c>
      <c r="D229">
        <v>0</v>
      </c>
      <c r="E229">
        <v>6000</v>
      </c>
      <c r="F229">
        <v>2700</v>
      </c>
      <c r="G229">
        <v>1500</v>
      </c>
      <c r="H229">
        <v>1450</v>
      </c>
      <c r="I229">
        <v>0</v>
      </c>
      <c r="J229">
        <v>0</v>
      </c>
      <c r="K229">
        <v>0</v>
      </c>
      <c r="L229">
        <v>1500</v>
      </c>
      <c r="M229">
        <v>2000</v>
      </c>
      <c r="N229">
        <v>1500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802847422</v>
      </c>
      <c r="U229" s="19">
        <f t="shared" si="36"/>
        <v>368950</v>
      </c>
      <c r="V229" s="20">
        <f t="shared" si="32"/>
        <v>20950</v>
      </c>
      <c r="W229" s="20">
        <v>162000</v>
      </c>
      <c r="X229" s="20">
        <f t="shared" si="30"/>
        <v>180000</v>
      </c>
      <c r="Y229" s="20"/>
      <c r="Z229" s="20">
        <f t="shared" si="33"/>
        <v>180000</v>
      </c>
      <c r="AA229" s="20">
        <v>150000</v>
      </c>
      <c r="AB229" s="20">
        <f t="shared" si="31"/>
        <v>168000</v>
      </c>
      <c r="AC229" s="20"/>
      <c r="AD229" s="20">
        <f t="shared" si="34"/>
        <v>168000</v>
      </c>
      <c r="AE229" s="20">
        <v>0</v>
      </c>
      <c r="AF229" s="20">
        <v>0</v>
      </c>
      <c r="AG229" s="20">
        <f t="shared" si="35"/>
        <v>0</v>
      </c>
      <c r="AH229" s="20">
        <v>0</v>
      </c>
      <c r="AI229" s="37">
        <v>0</v>
      </c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1:51" ht="14.15" hidden="1" customHeight="1" x14ac:dyDescent="0.35">
      <c r="A230">
        <v>0</v>
      </c>
      <c r="B230">
        <v>5000</v>
      </c>
      <c r="C230">
        <v>0</v>
      </c>
      <c r="D230">
        <v>0</v>
      </c>
      <c r="E230">
        <v>6000</v>
      </c>
      <c r="F230">
        <v>2700</v>
      </c>
      <c r="G230">
        <v>2000</v>
      </c>
      <c r="H230">
        <v>1450</v>
      </c>
      <c r="I230">
        <v>0</v>
      </c>
      <c r="J230">
        <v>0</v>
      </c>
      <c r="K230">
        <v>0</v>
      </c>
      <c r="L230">
        <v>1500</v>
      </c>
      <c r="M230">
        <v>2000</v>
      </c>
      <c r="N230">
        <v>1500</v>
      </c>
      <c r="O230">
        <v>3000</v>
      </c>
      <c r="P230">
        <v>0</v>
      </c>
      <c r="Q230">
        <v>0</v>
      </c>
      <c r="R230">
        <v>0</v>
      </c>
      <c r="S230">
        <v>0</v>
      </c>
      <c r="T230">
        <v>150841072</v>
      </c>
      <c r="U230" s="19">
        <f t="shared" si="36"/>
        <v>365950</v>
      </c>
      <c r="V230" s="20">
        <f t="shared" si="32"/>
        <v>25150</v>
      </c>
      <c r="W230" s="20">
        <v>132000</v>
      </c>
      <c r="X230" s="20">
        <f t="shared" si="30"/>
        <v>150000</v>
      </c>
      <c r="Y230" s="20">
        <v>10800</v>
      </c>
      <c r="Z230" s="20">
        <f t="shared" si="33"/>
        <v>160800</v>
      </c>
      <c r="AA230" s="20">
        <v>144000</v>
      </c>
      <c r="AB230" s="20">
        <f t="shared" si="31"/>
        <v>162000</v>
      </c>
      <c r="AC230" s="20">
        <v>18000</v>
      </c>
      <c r="AD230" s="20">
        <f t="shared" si="34"/>
        <v>180000</v>
      </c>
      <c r="AE230" s="20">
        <v>0</v>
      </c>
      <c r="AF230" s="20">
        <v>0</v>
      </c>
      <c r="AG230" s="20">
        <f t="shared" si="35"/>
        <v>0</v>
      </c>
      <c r="AH230" s="20">
        <v>0</v>
      </c>
      <c r="AI230" s="37">
        <v>0</v>
      </c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1:51" ht="14.15" hidden="1" customHeight="1" x14ac:dyDescent="0.35">
      <c r="A231">
        <v>3400</v>
      </c>
      <c r="B231">
        <v>0</v>
      </c>
      <c r="C231">
        <v>0</v>
      </c>
      <c r="D231">
        <v>0</v>
      </c>
      <c r="E231">
        <v>6000</v>
      </c>
      <c r="F231">
        <v>1275</v>
      </c>
      <c r="G231">
        <v>1000</v>
      </c>
      <c r="H231">
        <v>1700</v>
      </c>
      <c r="I231">
        <v>0</v>
      </c>
      <c r="J231">
        <v>0</v>
      </c>
      <c r="K231">
        <v>0</v>
      </c>
      <c r="L231">
        <v>1500</v>
      </c>
      <c r="M231">
        <v>2000</v>
      </c>
      <c r="N231">
        <v>1500</v>
      </c>
      <c r="O231">
        <v>3000</v>
      </c>
      <c r="P231">
        <v>0</v>
      </c>
      <c r="Q231">
        <v>0</v>
      </c>
      <c r="R231">
        <v>0</v>
      </c>
      <c r="S231">
        <v>0</v>
      </c>
      <c r="T231">
        <v>209705700</v>
      </c>
      <c r="U231" s="19">
        <f t="shared" si="36"/>
        <v>315375</v>
      </c>
      <c r="V231" s="20">
        <f t="shared" si="32"/>
        <v>21375</v>
      </c>
      <c r="W231" s="20">
        <v>132000</v>
      </c>
      <c r="X231" s="20">
        <f t="shared" si="30"/>
        <v>150000</v>
      </c>
      <c r="Y231" s="20"/>
      <c r="Z231" s="20">
        <f t="shared" si="33"/>
        <v>150000</v>
      </c>
      <c r="AA231" s="20">
        <v>126000</v>
      </c>
      <c r="AB231" s="20">
        <f t="shared" si="31"/>
        <v>144000</v>
      </c>
      <c r="AC231" s="20"/>
      <c r="AD231" s="20">
        <f t="shared" si="34"/>
        <v>144000</v>
      </c>
      <c r="AE231" s="20">
        <v>0</v>
      </c>
      <c r="AF231" s="20">
        <v>0</v>
      </c>
      <c r="AG231" s="20">
        <f t="shared" si="35"/>
        <v>0</v>
      </c>
      <c r="AH231" s="20">
        <v>0</v>
      </c>
      <c r="AI231" s="37">
        <v>0</v>
      </c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1:51" ht="14.15" hidden="1" customHeight="1" x14ac:dyDescent="0.35">
      <c r="A232">
        <v>4100</v>
      </c>
      <c r="B232">
        <v>5000</v>
      </c>
      <c r="C232">
        <v>0</v>
      </c>
      <c r="D232">
        <v>0</v>
      </c>
      <c r="E232">
        <v>6000</v>
      </c>
      <c r="F232">
        <v>2700</v>
      </c>
      <c r="G232">
        <v>1000</v>
      </c>
      <c r="H232">
        <v>1450</v>
      </c>
      <c r="I232">
        <v>0</v>
      </c>
      <c r="J232">
        <v>0</v>
      </c>
      <c r="K232">
        <v>0</v>
      </c>
      <c r="L232">
        <v>1500</v>
      </c>
      <c r="M232">
        <v>2000</v>
      </c>
      <c r="N232">
        <v>1500</v>
      </c>
      <c r="O232">
        <v>3000</v>
      </c>
      <c r="P232">
        <v>0</v>
      </c>
      <c r="Q232">
        <v>0</v>
      </c>
      <c r="R232">
        <v>0</v>
      </c>
      <c r="S232">
        <v>0</v>
      </c>
      <c r="T232">
        <v>214219062</v>
      </c>
      <c r="U232" s="19">
        <f t="shared" si="36"/>
        <v>328250</v>
      </c>
      <c r="V232" s="20">
        <f t="shared" si="32"/>
        <v>28250</v>
      </c>
      <c r="W232" s="20">
        <v>144000</v>
      </c>
      <c r="X232" s="20">
        <f t="shared" si="30"/>
        <v>162000</v>
      </c>
      <c r="Y232" s="20"/>
      <c r="Z232" s="20">
        <f t="shared" si="33"/>
        <v>162000</v>
      </c>
      <c r="AA232" s="20">
        <v>120000</v>
      </c>
      <c r="AB232" s="20">
        <f t="shared" si="31"/>
        <v>138000</v>
      </c>
      <c r="AC232" s="20"/>
      <c r="AD232" s="20">
        <f t="shared" si="34"/>
        <v>138000</v>
      </c>
      <c r="AE232" s="20">
        <v>0</v>
      </c>
      <c r="AF232" s="20">
        <v>0</v>
      </c>
      <c r="AG232" s="20">
        <f t="shared" si="35"/>
        <v>0</v>
      </c>
      <c r="AH232" s="20">
        <v>0</v>
      </c>
      <c r="AI232" s="37">
        <v>0</v>
      </c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1:51" ht="14.15" hidden="1" customHeight="1" x14ac:dyDescent="0.35">
      <c r="A233">
        <v>4350</v>
      </c>
      <c r="B233">
        <v>5000</v>
      </c>
      <c r="C233">
        <v>0</v>
      </c>
      <c r="D233">
        <v>0</v>
      </c>
      <c r="E233">
        <v>6000</v>
      </c>
      <c r="F233">
        <v>2700</v>
      </c>
      <c r="G233">
        <v>1500</v>
      </c>
      <c r="H233">
        <v>0</v>
      </c>
      <c r="I233">
        <v>0</v>
      </c>
      <c r="J233">
        <v>0</v>
      </c>
      <c r="K233">
        <v>0</v>
      </c>
      <c r="L233">
        <v>1500</v>
      </c>
      <c r="M233">
        <v>2000</v>
      </c>
      <c r="N233">
        <v>1500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803133244</v>
      </c>
      <c r="U233" s="19">
        <f t="shared" si="36"/>
        <v>276550</v>
      </c>
      <c r="V233" s="20">
        <f t="shared" si="32"/>
        <v>24550</v>
      </c>
      <c r="W233" s="20">
        <v>66000</v>
      </c>
      <c r="X233" s="20">
        <f t="shared" si="30"/>
        <v>84000</v>
      </c>
      <c r="Y233" s="20"/>
      <c r="Z233" s="20">
        <f t="shared" si="33"/>
        <v>84000</v>
      </c>
      <c r="AA233" s="20">
        <v>150000</v>
      </c>
      <c r="AB233" s="20">
        <f t="shared" si="31"/>
        <v>168000</v>
      </c>
      <c r="AC233" s="20"/>
      <c r="AD233" s="20">
        <f t="shared" si="34"/>
        <v>168000</v>
      </c>
      <c r="AE233" s="20">
        <v>0</v>
      </c>
      <c r="AF233" s="20">
        <v>0</v>
      </c>
      <c r="AG233" s="20">
        <f t="shared" si="35"/>
        <v>0</v>
      </c>
      <c r="AH233" s="20">
        <v>0</v>
      </c>
      <c r="AI233" s="37">
        <v>0</v>
      </c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1:51" ht="14.15" hidden="1" customHeight="1" x14ac:dyDescent="0.35">
      <c r="A234">
        <v>3800</v>
      </c>
      <c r="B234">
        <v>5000</v>
      </c>
      <c r="C234">
        <v>0</v>
      </c>
      <c r="D234">
        <v>0</v>
      </c>
      <c r="E234">
        <v>6000</v>
      </c>
      <c r="F234">
        <v>2700</v>
      </c>
      <c r="G234">
        <v>1500</v>
      </c>
      <c r="H234">
        <v>0</v>
      </c>
      <c r="I234">
        <v>0</v>
      </c>
      <c r="J234">
        <v>0</v>
      </c>
      <c r="K234">
        <v>0</v>
      </c>
      <c r="L234">
        <v>1500</v>
      </c>
      <c r="M234">
        <v>2000</v>
      </c>
      <c r="N234">
        <v>1500</v>
      </c>
      <c r="O234">
        <v>3000</v>
      </c>
      <c r="P234">
        <v>0</v>
      </c>
      <c r="Q234">
        <v>0</v>
      </c>
      <c r="R234">
        <v>0</v>
      </c>
      <c r="S234">
        <v>0</v>
      </c>
      <c r="T234">
        <v>208709518</v>
      </c>
      <c r="U234" s="19">
        <f t="shared" si="36"/>
        <v>267000</v>
      </c>
      <c r="V234" s="20">
        <f t="shared" si="32"/>
        <v>27000</v>
      </c>
      <c r="W234" s="20">
        <v>102000</v>
      </c>
      <c r="X234" s="20">
        <f t="shared" si="30"/>
        <v>120000</v>
      </c>
      <c r="Y234" s="20"/>
      <c r="Z234" s="20">
        <f t="shared" si="33"/>
        <v>120000</v>
      </c>
      <c r="AA234" s="20">
        <v>84000</v>
      </c>
      <c r="AB234" s="20">
        <f t="shared" si="31"/>
        <v>102000</v>
      </c>
      <c r="AC234" s="20">
        <v>18000</v>
      </c>
      <c r="AD234" s="20">
        <f t="shared" si="34"/>
        <v>120000</v>
      </c>
      <c r="AE234" s="20">
        <v>0</v>
      </c>
      <c r="AF234" s="20">
        <v>0</v>
      </c>
      <c r="AG234" s="20">
        <f t="shared" si="35"/>
        <v>0</v>
      </c>
      <c r="AH234" s="20">
        <v>0</v>
      </c>
      <c r="AI234" s="37">
        <v>0</v>
      </c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1:51" ht="14.15" hidden="1" customHeight="1" x14ac:dyDescent="0.35">
      <c r="A235">
        <v>3250</v>
      </c>
      <c r="B235">
        <v>4500</v>
      </c>
      <c r="C235">
        <v>0</v>
      </c>
      <c r="D235">
        <v>0</v>
      </c>
      <c r="E235">
        <v>6000</v>
      </c>
      <c r="F235">
        <v>2700</v>
      </c>
      <c r="G235">
        <v>1500</v>
      </c>
      <c r="H235">
        <v>0</v>
      </c>
      <c r="I235">
        <v>0</v>
      </c>
      <c r="J235">
        <v>0</v>
      </c>
      <c r="K235">
        <v>0</v>
      </c>
      <c r="L235">
        <v>1500</v>
      </c>
      <c r="M235">
        <v>2000</v>
      </c>
      <c r="N235">
        <v>1500</v>
      </c>
      <c r="O235">
        <v>3000</v>
      </c>
      <c r="P235">
        <v>0</v>
      </c>
      <c r="Q235">
        <v>0</v>
      </c>
      <c r="R235">
        <v>0</v>
      </c>
      <c r="S235">
        <v>0</v>
      </c>
      <c r="T235">
        <v>536967754</v>
      </c>
      <c r="U235" s="19">
        <f t="shared" si="36"/>
        <v>259950</v>
      </c>
      <c r="V235" s="20">
        <f t="shared" si="32"/>
        <v>25950</v>
      </c>
      <c r="W235" s="20">
        <v>72000</v>
      </c>
      <c r="X235" s="20">
        <f t="shared" si="30"/>
        <v>90000</v>
      </c>
      <c r="Y235" s="20"/>
      <c r="Z235" s="20">
        <f t="shared" si="33"/>
        <v>90000</v>
      </c>
      <c r="AA235" s="20">
        <v>108000</v>
      </c>
      <c r="AB235" s="20">
        <f t="shared" si="31"/>
        <v>126000</v>
      </c>
      <c r="AC235" s="20">
        <v>18000</v>
      </c>
      <c r="AD235" s="20">
        <f t="shared" si="34"/>
        <v>144000</v>
      </c>
      <c r="AE235" s="20">
        <v>0</v>
      </c>
      <c r="AF235" s="20">
        <v>0</v>
      </c>
      <c r="AG235" s="20">
        <f t="shared" si="35"/>
        <v>0</v>
      </c>
      <c r="AH235" s="20">
        <v>0</v>
      </c>
      <c r="AI235" s="37">
        <v>0</v>
      </c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1:51" ht="14.15" hidden="1" customHeight="1" x14ac:dyDescent="0.35">
      <c r="A236">
        <v>3850</v>
      </c>
      <c r="B236">
        <v>5000</v>
      </c>
      <c r="C236">
        <v>0</v>
      </c>
      <c r="D236">
        <v>0</v>
      </c>
      <c r="E236">
        <v>6000</v>
      </c>
      <c r="F236">
        <v>2700</v>
      </c>
      <c r="G236">
        <v>2500</v>
      </c>
      <c r="H236">
        <v>1200</v>
      </c>
      <c r="I236">
        <v>0</v>
      </c>
      <c r="J236">
        <v>0</v>
      </c>
      <c r="K236">
        <v>0</v>
      </c>
      <c r="L236">
        <v>1500</v>
      </c>
      <c r="M236">
        <v>2000</v>
      </c>
      <c r="N236">
        <v>1500</v>
      </c>
      <c r="O236">
        <v>3000</v>
      </c>
      <c r="P236">
        <v>0</v>
      </c>
      <c r="Q236">
        <v>0</v>
      </c>
      <c r="R236">
        <v>0</v>
      </c>
      <c r="S236">
        <v>0</v>
      </c>
      <c r="T236">
        <v>200649235</v>
      </c>
      <c r="U236" s="19">
        <f t="shared" si="36"/>
        <v>365250</v>
      </c>
      <c r="V236" s="20">
        <f t="shared" si="32"/>
        <v>29250</v>
      </c>
      <c r="W236" s="20">
        <v>132000</v>
      </c>
      <c r="X236" s="20">
        <f t="shared" si="30"/>
        <v>150000</v>
      </c>
      <c r="Y236" s="20"/>
      <c r="Z236" s="20">
        <f t="shared" si="33"/>
        <v>150000</v>
      </c>
      <c r="AA236" s="20">
        <v>168000</v>
      </c>
      <c r="AB236" s="20">
        <f t="shared" si="31"/>
        <v>186000</v>
      </c>
      <c r="AC236" s="20"/>
      <c r="AD236" s="20">
        <f t="shared" si="34"/>
        <v>186000</v>
      </c>
      <c r="AE236" s="20">
        <v>0</v>
      </c>
      <c r="AF236" s="20">
        <v>0</v>
      </c>
      <c r="AG236" s="20">
        <f t="shared" si="35"/>
        <v>0</v>
      </c>
      <c r="AH236" s="20">
        <v>0</v>
      </c>
      <c r="AI236" s="37">
        <v>0</v>
      </c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1:51" ht="14.15" hidden="1" customHeight="1" x14ac:dyDescent="0.35">
      <c r="A237">
        <v>0</v>
      </c>
      <c r="B237">
        <v>0</v>
      </c>
      <c r="C237">
        <v>0</v>
      </c>
      <c r="D237">
        <v>0</v>
      </c>
      <c r="E237">
        <v>6000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146741118</v>
      </c>
      <c r="U237" s="19">
        <f t="shared" si="36"/>
        <v>258000</v>
      </c>
      <c r="V237" s="20">
        <f t="shared" si="32"/>
        <v>6000</v>
      </c>
      <c r="W237" s="20">
        <v>114000</v>
      </c>
      <c r="X237" s="20">
        <f t="shared" si="30"/>
        <v>132000</v>
      </c>
      <c r="Y237" s="20"/>
      <c r="Z237" s="20">
        <f t="shared" si="33"/>
        <v>132000</v>
      </c>
      <c r="AA237" s="20">
        <v>102000</v>
      </c>
      <c r="AB237" s="20">
        <f t="shared" si="31"/>
        <v>120000</v>
      </c>
      <c r="AC237" s="20"/>
      <c r="AD237" s="20">
        <f t="shared" si="34"/>
        <v>120000</v>
      </c>
      <c r="AE237" s="20">
        <v>0</v>
      </c>
      <c r="AF237" s="20">
        <v>0</v>
      </c>
      <c r="AG237" s="20">
        <f t="shared" si="35"/>
        <v>0</v>
      </c>
      <c r="AH237" s="20">
        <v>0</v>
      </c>
      <c r="AI237" s="37">
        <v>0</v>
      </c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1:51" ht="14.15" hidden="1" customHeight="1" x14ac:dyDescent="0.35">
      <c r="A238">
        <v>4100</v>
      </c>
      <c r="B238">
        <v>5000</v>
      </c>
      <c r="C238">
        <v>0</v>
      </c>
      <c r="D238">
        <v>0</v>
      </c>
      <c r="E238">
        <v>6000</v>
      </c>
      <c r="F238">
        <v>1275</v>
      </c>
      <c r="G238">
        <v>1500</v>
      </c>
      <c r="H238">
        <v>0</v>
      </c>
      <c r="I238">
        <v>0</v>
      </c>
      <c r="J238">
        <v>0</v>
      </c>
      <c r="K238">
        <v>0</v>
      </c>
      <c r="L238">
        <v>1500</v>
      </c>
      <c r="M238">
        <v>2000</v>
      </c>
      <c r="N238">
        <v>1500</v>
      </c>
      <c r="O238">
        <v>3000</v>
      </c>
      <c r="P238">
        <v>0</v>
      </c>
      <c r="Q238">
        <v>0</v>
      </c>
      <c r="R238">
        <v>0</v>
      </c>
      <c r="S238">
        <v>0</v>
      </c>
      <c r="T238">
        <v>201707418</v>
      </c>
      <c r="U238" s="19">
        <f t="shared" si="36"/>
        <v>372675</v>
      </c>
      <c r="V238" s="20">
        <f t="shared" si="32"/>
        <v>25875</v>
      </c>
      <c r="W238" s="20">
        <v>150000</v>
      </c>
      <c r="X238" s="20">
        <f t="shared" si="30"/>
        <v>168000</v>
      </c>
      <c r="Y238" s="20">
        <v>10800</v>
      </c>
      <c r="Z238" s="20">
        <f t="shared" si="33"/>
        <v>178800</v>
      </c>
      <c r="AA238" s="20">
        <v>132000</v>
      </c>
      <c r="AB238" s="20">
        <f t="shared" si="31"/>
        <v>150000</v>
      </c>
      <c r="AC238" s="20">
        <v>18000</v>
      </c>
      <c r="AD238" s="20">
        <f t="shared" si="34"/>
        <v>168000</v>
      </c>
      <c r="AE238" s="20">
        <v>0</v>
      </c>
      <c r="AF238" s="20">
        <v>0</v>
      </c>
      <c r="AG238" s="20">
        <f t="shared" si="35"/>
        <v>0</v>
      </c>
      <c r="AH238" s="20">
        <v>0</v>
      </c>
      <c r="AI238" s="37">
        <v>0</v>
      </c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1:51" ht="14.15" hidden="1" customHeight="1" x14ac:dyDescent="0.35">
      <c r="A239">
        <v>0</v>
      </c>
      <c r="B239">
        <v>0</v>
      </c>
      <c r="C239">
        <v>0</v>
      </c>
      <c r="D239">
        <v>0</v>
      </c>
      <c r="E239">
        <v>6000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2000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170665004</v>
      </c>
      <c r="U239" s="19"/>
      <c r="V239" s="20"/>
      <c r="W239" s="20"/>
      <c r="X239" s="20"/>
      <c r="Y239" s="20"/>
      <c r="Z239" s="20"/>
      <c r="AA239" s="20"/>
      <c r="AB239" s="20"/>
      <c r="AC239" s="20"/>
      <c r="AD239" s="20"/>
      <c r="AE239" s="20">
        <v>0</v>
      </c>
      <c r="AF239" s="20">
        <v>0</v>
      </c>
      <c r="AG239" s="20">
        <f t="shared" si="35"/>
        <v>0</v>
      </c>
      <c r="AH239" s="20">
        <v>0</v>
      </c>
      <c r="AI239" s="37">
        <v>0</v>
      </c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1:51" ht="14.15" hidden="1" customHeight="1" x14ac:dyDescent="0.35">
      <c r="A240">
        <v>4750</v>
      </c>
      <c r="B240">
        <v>0</v>
      </c>
      <c r="C240">
        <v>0</v>
      </c>
      <c r="D240">
        <v>0</v>
      </c>
      <c r="E240">
        <v>6000</v>
      </c>
      <c r="F240">
        <v>0</v>
      </c>
      <c r="G240">
        <v>1000</v>
      </c>
      <c r="H240">
        <v>0</v>
      </c>
      <c r="I240">
        <v>0</v>
      </c>
      <c r="J240">
        <v>0</v>
      </c>
      <c r="K240">
        <v>0</v>
      </c>
      <c r="L240">
        <v>1500</v>
      </c>
      <c r="M240">
        <v>2000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175666611</v>
      </c>
      <c r="U240" s="19">
        <f t="shared" ref="U240:U271" si="37" xml:space="preserve"> SUM(V240, Z240, AD240, AG240, AH240, AI240)</f>
        <v>307450</v>
      </c>
      <c r="V240" s="20">
        <f t="shared" si="32"/>
        <v>15250</v>
      </c>
      <c r="W240" s="20">
        <v>120000</v>
      </c>
      <c r="X240" s="20">
        <f t="shared" si="30"/>
        <v>138000</v>
      </c>
      <c r="Y240" s="20">
        <v>16200</v>
      </c>
      <c r="Z240" s="20">
        <f t="shared" si="33"/>
        <v>154200</v>
      </c>
      <c r="AA240" s="20">
        <v>120000</v>
      </c>
      <c r="AB240" s="20">
        <f t="shared" si="31"/>
        <v>138000</v>
      </c>
      <c r="AC240" s="20"/>
      <c r="AD240" s="20">
        <f t="shared" si="34"/>
        <v>138000</v>
      </c>
      <c r="AE240" s="20">
        <v>0</v>
      </c>
      <c r="AF240" s="20">
        <v>0</v>
      </c>
      <c r="AG240" s="20">
        <f t="shared" si="35"/>
        <v>0</v>
      </c>
      <c r="AH240" s="20">
        <v>0</v>
      </c>
      <c r="AI240" s="37">
        <v>0</v>
      </c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1:51" ht="14.15" hidden="1" customHeight="1" x14ac:dyDescent="0.35">
      <c r="A241">
        <v>0</v>
      </c>
      <c r="B241">
        <v>0</v>
      </c>
      <c r="C241">
        <v>0</v>
      </c>
      <c r="D241">
        <v>0</v>
      </c>
      <c r="E241">
        <v>6000</v>
      </c>
      <c r="F241">
        <v>2700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1500</v>
      </c>
      <c r="M241">
        <v>2000</v>
      </c>
      <c r="N241">
        <v>1500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171668175</v>
      </c>
      <c r="U241" s="19">
        <f t="shared" si="37"/>
        <v>361700</v>
      </c>
      <c r="V241" s="20">
        <f t="shared" si="32"/>
        <v>13700</v>
      </c>
      <c r="W241" s="20">
        <v>162000</v>
      </c>
      <c r="X241" s="20">
        <f t="shared" si="30"/>
        <v>180000</v>
      </c>
      <c r="Y241" s="20"/>
      <c r="Z241" s="20">
        <f t="shared" si="33"/>
        <v>180000</v>
      </c>
      <c r="AA241" s="20">
        <v>150000</v>
      </c>
      <c r="AB241" s="20">
        <f t="shared" si="31"/>
        <v>168000</v>
      </c>
      <c r="AC241" s="20"/>
      <c r="AD241" s="20">
        <f t="shared" si="34"/>
        <v>168000</v>
      </c>
      <c r="AE241" s="20">
        <v>0</v>
      </c>
      <c r="AF241" s="20">
        <v>0</v>
      </c>
      <c r="AG241" s="20">
        <f t="shared" si="35"/>
        <v>0</v>
      </c>
      <c r="AH241" s="20">
        <v>0</v>
      </c>
      <c r="AI241" s="37">
        <v>0</v>
      </c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spans="1:51" ht="14.15" hidden="1" customHeight="1" x14ac:dyDescent="0.35">
      <c r="A242">
        <v>4050</v>
      </c>
      <c r="B242">
        <v>5000</v>
      </c>
      <c r="C242">
        <v>0</v>
      </c>
      <c r="D242">
        <v>0</v>
      </c>
      <c r="E242">
        <v>6000</v>
      </c>
      <c r="F242">
        <v>2700</v>
      </c>
      <c r="G242">
        <v>1000</v>
      </c>
      <c r="H242">
        <v>1450</v>
      </c>
      <c r="I242">
        <v>0</v>
      </c>
      <c r="J242">
        <v>0</v>
      </c>
      <c r="K242">
        <v>0</v>
      </c>
      <c r="L242">
        <v>1500</v>
      </c>
      <c r="M242">
        <v>2000</v>
      </c>
      <c r="N242">
        <v>1500</v>
      </c>
      <c r="O242">
        <v>3000</v>
      </c>
      <c r="P242">
        <v>0</v>
      </c>
      <c r="Q242">
        <v>0</v>
      </c>
      <c r="R242">
        <v>0</v>
      </c>
      <c r="S242">
        <v>0</v>
      </c>
      <c r="T242">
        <v>43860088</v>
      </c>
      <c r="U242" s="19">
        <f t="shared" si="37"/>
        <v>330600</v>
      </c>
      <c r="V242" s="20">
        <f t="shared" si="32"/>
        <v>28200</v>
      </c>
      <c r="W242" s="20">
        <v>114000</v>
      </c>
      <c r="X242" s="20">
        <f t="shared" si="30"/>
        <v>132000</v>
      </c>
      <c r="Y242" s="20">
        <v>14400</v>
      </c>
      <c r="Z242" s="20">
        <f t="shared" si="33"/>
        <v>146400</v>
      </c>
      <c r="AA242" s="20">
        <v>120000</v>
      </c>
      <c r="AB242" s="20">
        <f t="shared" si="31"/>
        <v>138000</v>
      </c>
      <c r="AC242" s="20">
        <v>18000</v>
      </c>
      <c r="AD242" s="20">
        <f t="shared" si="34"/>
        <v>156000</v>
      </c>
      <c r="AE242" s="20">
        <v>0</v>
      </c>
      <c r="AF242" s="20">
        <v>0</v>
      </c>
      <c r="AG242" s="20">
        <f t="shared" si="35"/>
        <v>0</v>
      </c>
      <c r="AH242" s="20">
        <v>0</v>
      </c>
      <c r="AI242" s="37">
        <v>0</v>
      </c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1:51" ht="14.15" hidden="1" customHeight="1" x14ac:dyDescent="0.35">
      <c r="A243">
        <v>4300</v>
      </c>
      <c r="B243">
        <v>0</v>
      </c>
      <c r="C243">
        <v>0</v>
      </c>
      <c r="D243">
        <v>0</v>
      </c>
      <c r="E243">
        <v>6000</v>
      </c>
      <c r="F243">
        <v>2700</v>
      </c>
      <c r="G243">
        <v>0</v>
      </c>
      <c r="H243">
        <v>1450</v>
      </c>
      <c r="I243">
        <v>0</v>
      </c>
      <c r="J243">
        <v>0</v>
      </c>
      <c r="K243">
        <v>0</v>
      </c>
      <c r="L243">
        <v>1500</v>
      </c>
      <c r="M243">
        <v>2000</v>
      </c>
      <c r="N243">
        <v>1500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226453688</v>
      </c>
      <c r="U243" s="19">
        <f t="shared" si="37"/>
        <v>316750</v>
      </c>
      <c r="V243" s="20">
        <f t="shared" si="32"/>
        <v>19450</v>
      </c>
      <c r="W243" s="20">
        <v>126000</v>
      </c>
      <c r="X243" s="20">
        <f t="shared" si="30"/>
        <v>144000</v>
      </c>
      <c r="Y243" s="20">
        <v>17100</v>
      </c>
      <c r="Z243" s="20">
        <f t="shared" si="33"/>
        <v>161100</v>
      </c>
      <c r="AA243" s="20">
        <v>102000</v>
      </c>
      <c r="AB243" s="20">
        <f t="shared" si="31"/>
        <v>120000</v>
      </c>
      <c r="AC243" s="20">
        <v>16200</v>
      </c>
      <c r="AD243" s="20">
        <f t="shared" si="34"/>
        <v>136200</v>
      </c>
      <c r="AE243" s="20">
        <v>0</v>
      </c>
      <c r="AF243" s="20">
        <v>0</v>
      </c>
      <c r="AG243" s="20">
        <f t="shared" si="35"/>
        <v>0</v>
      </c>
      <c r="AH243" s="20">
        <v>0</v>
      </c>
      <c r="AI243" s="37">
        <v>0</v>
      </c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1:51" ht="14.15" hidden="1" customHeight="1" x14ac:dyDescent="0.35">
      <c r="A244">
        <v>0</v>
      </c>
      <c r="B244">
        <v>0</v>
      </c>
      <c r="C244">
        <v>0</v>
      </c>
      <c r="D244">
        <v>0</v>
      </c>
      <c r="E244">
        <v>6000</v>
      </c>
      <c r="F244">
        <v>2700</v>
      </c>
      <c r="G244">
        <v>1500</v>
      </c>
      <c r="H244">
        <v>0</v>
      </c>
      <c r="I244">
        <v>0</v>
      </c>
      <c r="J244">
        <v>0</v>
      </c>
      <c r="K244">
        <v>0</v>
      </c>
      <c r="L244">
        <v>1500</v>
      </c>
      <c r="M244">
        <v>2000</v>
      </c>
      <c r="N244">
        <v>1500</v>
      </c>
      <c r="O244">
        <v>3000</v>
      </c>
      <c r="P244">
        <v>0</v>
      </c>
      <c r="Q244">
        <v>0</v>
      </c>
      <c r="R244">
        <v>0</v>
      </c>
      <c r="S244">
        <v>0</v>
      </c>
      <c r="T244">
        <v>199644782</v>
      </c>
      <c r="U244" s="19">
        <f t="shared" si="37"/>
        <v>251000</v>
      </c>
      <c r="V244" s="20">
        <f t="shared" si="32"/>
        <v>18200</v>
      </c>
      <c r="W244" s="20">
        <v>96000</v>
      </c>
      <c r="X244" s="20">
        <f t="shared" si="30"/>
        <v>114000</v>
      </c>
      <c r="Y244" s="20">
        <v>10800</v>
      </c>
      <c r="Z244" s="20">
        <f t="shared" si="33"/>
        <v>124800</v>
      </c>
      <c r="AA244" s="20">
        <v>90000</v>
      </c>
      <c r="AB244" s="20">
        <f t="shared" si="31"/>
        <v>108000</v>
      </c>
      <c r="AC244" s="20"/>
      <c r="AD244" s="20">
        <f t="shared" si="34"/>
        <v>108000</v>
      </c>
      <c r="AE244" s="20">
        <v>0</v>
      </c>
      <c r="AF244" s="20">
        <v>0</v>
      </c>
      <c r="AG244" s="20">
        <f t="shared" si="35"/>
        <v>0</v>
      </c>
      <c r="AH244" s="20">
        <v>0</v>
      </c>
      <c r="AI244" s="37">
        <v>0</v>
      </c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1:51" ht="14.15" hidden="1" customHeight="1" x14ac:dyDescent="0.35">
      <c r="A245">
        <v>0</v>
      </c>
      <c r="B245">
        <v>0</v>
      </c>
      <c r="C245">
        <v>0</v>
      </c>
      <c r="D245">
        <v>0</v>
      </c>
      <c r="E245">
        <v>6000</v>
      </c>
      <c r="F245">
        <v>2700</v>
      </c>
      <c r="G245">
        <v>1500</v>
      </c>
      <c r="H245">
        <v>1700</v>
      </c>
      <c r="I245">
        <v>0</v>
      </c>
      <c r="J245">
        <v>0</v>
      </c>
      <c r="K245">
        <v>0</v>
      </c>
      <c r="L245">
        <v>1500</v>
      </c>
      <c r="M245">
        <v>2000</v>
      </c>
      <c r="N245">
        <v>1500</v>
      </c>
      <c r="O245">
        <v>3000</v>
      </c>
      <c r="P245">
        <v>0</v>
      </c>
      <c r="Q245">
        <v>0</v>
      </c>
      <c r="R245">
        <v>0</v>
      </c>
      <c r="S245">
        <v>0</v>
      </c>
      <c r="T245">
        <v>168660687</v>
      </c>
      <c r="U245" s="19">
        <f t="shared" si="37"/>
        <v>331900</v>
      </c>
      <c r="V245" s="20">
        <f t="shared" si="32"/>
        <v>19900</v>
      </c>
      <c r="W245" s="20"/>
      <c r="X245" s="20">
        <v>156000</v>
      </c>
      <c r="Y245" s="20"/>
      <c r="Z245" s="20">
        <v>156000</v>
      </c>
      <c r="AA245" s="20">
        <v>138000</v>
      </c>
      <c r="AB245" s="20">
        <f t="shared" si="31"/>
        <v>156000</v>
      </c>
      <c r="AC245" s="20"/>
      <c r="AD245" s="20">
        <f t="shared" si="34"/>
        <v>156000</v>
      </c>
      <c r="AE245" s="20">
        <v>0</v>
      </c>
      <c r="AF245" s="20">
        <v>0</v>
      </c>
      <c r="AG245" s="20">
        <f t="shared" si="35"/>
        <v>0</v>
      </c>
      <c r="AH245" s="20">
        <v>0</v>
      </c>
      <c r="AI245" s="37">
        <v>0</v>
      </c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spans="1:51" ht="14.15" hidden="1" customHeight="1" x14ac:dyDescent="0.35">
      <c r="A246">
        <v>0</v>
      </c>
      <c r="B246">
        <v>0</v>
      </c>
      <c r="C246">
        <v>0</v>
      </c>
      <c r="D246">
        <v>0</v>
      </c>
      <c r="E246">
        <v>6000</v>
      </c>
      <c r="F246">
        <v>2700</v>
      </c>
      <c r="G246">
        <v>1500</v>
      </c>
      <c r="H246">
        <v>1700</v>
      </c>
      <c r="I246">
        <v>0</v>
      </c>
      <c r="J246">
        <v>0</v>
      </c>
      <c r="K246">
        <v>0</v>
      </c>
      <c r="L246">
        <v>1500</v>
      </c>
      <c r="M246">
        <v>2000</v>
      </c>
      <c r="N246">
        <v>0</v>
      </c>
      <c r="O246">
        <v>3000</v>
      </c>
      <c r="P246">
        <v>0</v>
      </c>
      <c r="Q246">
        <v>0</v>
      </c>
      <c r="R246">
        <v>0</v>
      </c>
      <c r="S246">
        <v>0</v>
      </c>
      <c r="T246">
        <v>199681248</v>
      </c>
      <c r="U246" s="19">
        <f t="shared" si="37"/>
        <v>258400</v>
      </c>
      <c r="V246" s="20">
        <f t="shared" si="32"/>
        <v>18400</v>
      </c>
      <c r="W246" s="20">
        <v>114000</v>
      </c>
      <c r="X246" s="20">
        <f t="shared" ref="X246:X308" si="38">W246+3*6000</f>
        <v>132000</v>
      </c>
      <c r="Y246" s="20"/>
      <c r="Z246" s="20">
        <f t="shared" si="33"/>
        <v>132000</v>
      </c>
      <c r="AA246" s="20">
        <v>90000</v>
      </c>
      <c r="AB246" s="20">
        <f t="shared" si="31"/>
        <v>108000</v>
      </c>
      <c r="AC246" s="20"/>
      <c r="AD246" s="20">
        <f t="shared" si="34"/>
        <v>108000</v>
      </c>
      <c r="AE246" s="20">
        <v>0</v>
      </c>
      <c r="AF246" s="20">
        <v>0</v>
      </c>
      <c r="AG246" s="20">
        <f t="shared" si="35"/>
        <v>0</v>
      </c>
      <c r="AH246" s="20">
        <v>0</v>
      </c>
      <c r="AI246" s="37">
        <v>0</v>
      </c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1:51" ht="14.15" hidden="1" customHeight="1" x14ac:dyDescent="0.35">
      <c r="A247">
        <v>4750</v>
      </c>
      <c r="B247">
        <v>0</v>
      </c>
      <c r="C247">
        <v>0</v>
      </c>
      <c r="D247">
        <v>0</v>
      </c>
      <c r="E247">
        <v>6000</v>
      </c>
      <c r="F247">
        <v>1275</v>
      </c>
      <c r="G247">
        <v>0</v>
      </c>
      <c r="H247">
        <v>1800</v>
      </c>
      <c r="I247">
        <v>0</v>
      </c>
      <c r="J247">
        <v>0</v>
      </c>
      <c r="K247">
        <v>0</v>
      </c>
      <c r="L247">
        <v>1500</v>
      </c>
      <c r="M247">
        <v>2000</v>
      </c>
      <c r="N247">
        <v>1500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170649929</v>
      </c>
      <c r="U247" s="19">
        <f t="shared" si="37"/>
        <v>276825</v>
      </c>
      <c r="V247" s="20">
        <f t="shared" si="32"/>
        <v>18825</v>
      </c>
      <c r="W247" s="20">
        <v>114000</v>
      </c>
      <c r="X247" s="20">
        <f t="shared" si="38"/>
        <v>132000</v>
      </c>
      <c r="Y247" s="20"/>
      <c r="Z247" s="20">
        <f t="shared" si="33"/>
        <v>132000</v>
      </c>
      <c r="AA247" s="20">
        <v>108000</v>
      </c>
      <c r="AB247" s="20">
        <f t="shared" si="31"/>
        <v>126000</v>
      </c>
      <c r="AC247" s="20"/>
      <c r="AD247" s="20">
        <f t="shared" si="34"/>
        <v>126000</v>
      </c>
      <c r="AE247" s="20">
        <v>0</v>
      </c>
      <c r="AF247" s="20">
        <v>0</v>
      </c>
      <c r="AG247" s="20">
        <f t="shared" si="35"/>
        <v>0</v>
      </c>
      <c r="AH247" s="20">
        <v>0</v>
      </c>
      <c r="AI247" s="37">
        <v>0</v>
      </c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1:51" ht="14.15" hidden="1" customHeight="1" x14ac:dyDescent="0.35">
      <c r="A248">
        <v>5000</v>
      </c>
      <c r="B248">
        <v>5000</v>
      </c>
      <c r="C248">
        <v>0</v>
      </c>
      <c r="D248">
        <v>0</v>
      </c>
      <c r="E248">
        <v>6000</v>
      </c>
      <c r="F248">
        <v>1275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1500</v>
      </c>
      <c r="M248">
        <v>2000</v>
      </c>
      <c r="N248">
        <v>1500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183686802</v>
      </c>
      <c r="U248" s="19">
        <f t="shared" si="37"/>
        <v>344475</v>
      </c>
      <c r="V248" s="20">
        <f t="shared" si="32"/>
        <v>22275</v>
      </c>
      <c r="W248" s="20">
        <v>150000</v>
      </c>
      <c r="X248" s="20">
        <f t="shared" si="38"/>
        <v>168000</v>
      </c>
      <c r="Y248" s="20"/>
      <c r="Z248" s="20">
        <f t="shared" si="33"/>
        <v>168000</v>
      </c>
      <c r="AA248" s="20">
        <v>120000</v>
      </c>
      <c r="AB248" s="20">
        <f t="shared" si="31"/>
        <v>138000</v>
      </c>
      <c r="AC248" s="20">
        <v>16200</v>
      </c>
      <c r="AD248" s="20">
        <f t="shared" si="34"/>
        <v>154200</v>
      </c>
      <c r="AE248" s="20">
        <v>0</v>
      </c>
      <c r="AF248" s="20">
        <v>0</v>
      </c>
      <c r="AG248" s="20">
        <f t="shared" si="35"/>
        <v>0</v>
      </c>
      <c r="AH248" s="20">
        <v>0</v>
      </c>
      <c r="AI248" s="37">
        <v>0</v>
      </c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1:51" ht="14.15" hidden="1" customHeight="1" x14ac:dyDescent="0.35">
      <c r="A249">
        <v>3000</v>
      </c>
      <c r="B249">
        <v>5000</v>
      </c>
      <c r="C249">
        <v>0</v>
      </c>
      <c r="D249">
        <v>0</v>
      </c>
      <c r="E249">
        <v>6000</v>
      </c>
      <c r="F249">
        <v>2700</v>
      </c>
      <c r="G249">
        <v>1500</v>
      </c>
      <c r="H249">
        <v>1700</v>
      </c>
      <c r="I249">
        <v>0</v>
      </c>
      <c r="J249">
        <v>0</v>
      </c>
      <c r="K249">
        <v>0</v>
      </c>
      <c r="L249">
        <v>1500</v>
      </c>
      <c r="M249">
        <v>2000</v>
      </c>
      <c r="N249">
        <v>1500</v>
      </c>
      <c r="O249">
        <v>3000</v>
      </c>
      <c r="P249">
        <v>0</v>
      </c>
      <c r="Q249">
        <v>0</v>
      </c>
      <c r="R249">
        <v>0</v>
      </c>
      <c r="S249">
        <v>0</v>
      </c>
      <c r="T249">
        <v>165661709</v>
      </c>
      <c r="U249" s="19">
        <f t="shared" si="37"/>
        <v>333900</v>
      </c>
      <c r="V249" s="20">
        <f t="shared" si="32"/>
        <v>27900</v>
      </c>
      <c r="W249" s="20">
        <v>120000</v>
      </c>
      <c r="X249" s="20">
        <f t="shared" si="38"/>
        <v>138000</v>
      </c>
      <c r="Y249" s="20"/>
      <c r="Z249" s="20">
        <f t="shared" si="33"/>
        <v>138000</v>
      </c>
      <c r="AA249" s="20">
        <v>132000</v>
      </c>
      <c r="AB249" s="20">
        <f t="shared" si="31"/>
        <v>150000</v>
      </c>
      <c r="AC249" s="20">
        <v>18000</v>
      </c>
      <c r="AD249" s="20">
        <f t="shared" si="34"/>
        <v>168000</v>
      </c>
      <c r="AE249" s="20">
        <v>0</v>
      </c>
      <c r="AF249" s="20">
        <v>0</v>
      </c>
      <c r="AG249" s="20">
        <f t="shared" si="35"/>
        <v>0</v>
      </c>
      <c r="AH249" s="20">
        <v>0</v>
      </c>
      <c r="AI249" s="37">
        <v>0</v>
      </c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1:51" ht="14.15" hidden="1" customHeight="1" x14ac:dyDescent="0.35">
      <c r="A250">
        <v>4500</v>
      </c>
      <c r="B250">
        <v>5000</v>
      </c>
      <c r="C250">
        <v>0</v>
      </c>
      <c r="D250">
        <v>0</v>
      </c>
      <c r="E250">
        <v>6000</v>
      </c>
      <c r="F250">
        <v>2700</v>
      </c>
      <c r="G250">
        <v>1500</v>
      </c>
      <c r="H250">
        <v>1200</v>
      </c>
      <c r="I250">
        <v>0</v>
      </c>
      <c r="J250">
        <v>0</v>
      </c>
      <c r="K250">
        <v>0</v>
      </c>
      <c r="L250">
        <v>1500</v>
      </c>
      <c r="M250">
        <v>2000</v>
      </c>
      <c r="N250">
        <v>1500</v>
      </c>
      <c r="O250">
        <v>3000</v>
      </c>
      <c r="P250">
        <v>0</v>
      </c>
      <c r="Q250">
        <v>0</v>
      </c>
      <c r="R250">
        <v>0</v>
      </c>
      <c r="S250">
        <v>0</v>
      </c>
      <c r="T250">
        <v>169701740</v>
      </c>
      <c r="U250" s="19">
        <f t="shared" si="37"/>
        <v>400900</v>
      </c>
      <c r="V250" s="20">
        <f t="shared" si="32"/>
        <v>28900</v>
      </c>
      <c r="W250" s="20">
        <v>168000</v>
      </c>
      <c r="X250" s="20">
        <f t="shared" si="38"/>
        <v>186000</v>
      </c>
      <c r="Y250" s="20"/>
      <c r="Z250" s="20">
        <f t="shared" si="33"/>
        <v>186000</v>
      </c>
      <c r="AA250" s="20">
        <v>168000</v>
      </c>
      <c r="AB250" s="20">
        <f t="shared" si="31"/>
        <v>186000</v>
      </c>
      <c r="AC250" s="20"/>
      <c r="AD250" s="20">
        <f t="shared" si="34"/>
        <v>186000</v>
      </c>
      <c r="AE250" s="20">
        <v>0</v>
      </c>
      <c r="AF250" s="20">
        <v>0</v>
      </c>
      <c r="AG250" s="20">
        <f t="shared" si="35"/>
        <v>0</v>
      </c>
      <c r="AH250" s="20">
        <v>0</v>
      </c>
      <c r="AI250" s="37">
        <v>0</v>
      </c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1:51" ht="14.15" hidden="1" customHeight="1" x14ac:dyDescent="0.35">
      <c r="A251">
        <v>0</v>
      </c>
      <c r="B251">
        <v>5000</v>
      </c>
      <c r="C251">
        <v>0</v>
      </c>
      <c r="D251">
        <v>0</v>
      </c>
      <c r="E251">
        <v>6000</v>
      </c>
      <c r="F251">
        <v>2700</v>
      </c>
      <c r="G251">
        <v>1500</v>
      </c>
      <c r="H251">
        <v>1450</v>
      </c>
      <c r="I251">
        <v>0</v>
      </c>
      <c r="J251">
        <v>0</v>
      </c>
      <c r="K251">
        <v>0</v>
      </c>
      <c r="L251">
        <v>1500</v>
      </c>
      <c r="M251">
        <v>2000</v>
      </c>
      <c r="N251">
        <v>1500</v>
      </c>
      <c r="O251">
        <v>3000</v>
      </c>
      <c r="P251">
        <v>0</v>
      </c>
      <c r="Q251">
        <v>0</v>
      </c>
      <c r="R251">
        <v>0</v>
      </c>
      <c r="S251">
        <v>0</v>
      </c>
      <c r="T251">
        <v>159681509</v>
      </c>
      <c r="U251" s="19">
        <f t="shared" si="37"/>
        <v>234650</v>
      </c>
      <c r="V251" s="20">
        <f t="shared" si="32"/>
        <v>24650</v>
      </c>
      <c r="W251" s="20">
        <v>102000</v>
      </c>
      <c r="X251" s="20">
        <f t="shared" si="38"/>
        <v>120000</v>
      </c>
      <c r="Y251" s="20"/>
      <c r="Z251" s="20">
        <f t="shared" si="33"/>
        <v>120000</v>
      </c>
      <c r="AA251" s="20">
        <v>72000</v>
      </c>
      <c r="AB251" s="20">
        <f t="shared" si="31"/>
        <v>90000</v>
      </c>
      <c r="AC251" s="20"/>
      <c r="AD251" s="20">
        <f t="shared" si="34"/>
        <v>90000</v>
      </c>
      <c r="AE251" s="20">
        <v>0</v>
      </c>
      <c r="AF251" s="20">
        <v>0</v>
      </c>
      <c r="AG251" s="20">
        <f t="shared" si="35"/>
        <v>0</v>
      </c>
      <c r="AH251" s="20">
        <v>0</v>
      </c>
      <c r="AI251" s="37">
        <v>0</v>
      </c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1:51" ht="14.15" hidden="1" customHeight="1" x14ac:dyDescent="0.35">
      <c r="A252">
        <v>4550</v>
      </c>
      <c r="B252">
        <v>0</v>
      </c>
      <c r="C252">
        <v>0</v>
      </c>
      <c r="D252">
        <v>0</v>
      </c>
      <c r="E252">
        <v>6000</v>
      </c>
      <c r="F252">
        <v>0</v>
      </c>
      <c r="G252">
        <v>1500</v>
      </c>
      <c r="H252">
        <v>1800</v>
      </c>
      <c r="I252">
        <v>0</v>
      </c>
      <c r="J252">
        <v>0</v>
      </c>
      <c r="K252">
        <v>0</v>
      </c>
      <c r="L252">
        <v>1500</v>
      </c>
      <c r="M252">
        <v>2000</v>
      </c>
      <c r="N252">
        <v>1500</v>
      </c>
      <c r="O252">
        <v>3000</v>
      </c>
      <c r="P252">
        <v>0</v>
      </c>
      <c r="Q252">
        <v>0</v>
      </c>
      <c r="R252">
        <v>0</v>
      </c>
      <c r="S252">
        <v>0</v>
      </c>
      <c r="T252">
        <v>132821698</v>
      </c>
      <c r="U252" s="19">
        <f t="shared" si="37"/>
        <v>243850</v>
      </c>
      <c r="V252" s="20">
        <f t="shared" si="32"/>
        <v>21850</v>
      </c>
      <c r="W252" s="20">
        <v>102000</v>
      </c>
      <c r="X252" s="20">
        <f t="shared" si="38"/>
        <v>120000</v>
      </c>
      <c r="Y252" s="20"/>
      <c r="Z252" s="20">
        <f t="shared" si="33"/>
        <v>120000</v>
      </c>
      <c r="AA252" s="20">
        <v>84000</v>
      </c>
      <c r="AB252" s="20">
        <f t="shared" si="31"/>
        <v>102000</v>
      </c>
      <c r="AC252" s="20"/>
      <c r="AD252" s="20">
        <f t="shared" si="34"/>
        <v>102000</v>
      </c>
      <c r="AE252" s="20">
        <v>0</v>
      </c>
      <c r="AF252" s="20">
        <v>0</v>
      </c>
      <c r="AG252" s="20">
        <f t="shared" si="35"/>
        <v>0</v>
      </c>
      <c r="AH252" s="20">
        <v>0</v>
      </c>
      <c r="AI252" s="37">
        <v>0</v>
      </c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1:51" ht="14.15" hidden="1" customHeight="1" x14ac:dyDescent="0.35">
      <c r="A253">
        <v>5000</v>
      </c>
      <c r="B253">
        <v>5000</v>
      </c>
      <c r="C253">
        <v>0</v>
      </c>
      <c r="D253">
        <v>0</v>
      </c>
      <c r="E253">
        <v>6000</v>
      </c>
      <c r="F253">
        <v>1275</v>
      </c>
      <c r="G253">
        <v>2000</v>
      </c>
      <c r="H253">
        <v>1700</v>
      </c>
      <c r="I253">
        <v>0</v>
      </c>
      <c r="J253">
        <v>0</v>
      </c>
      <c r="K253">
        <v>0</v>
      </c>
      <c r="L253">
        <v>1500</v>
      </c>
      <c r="M253">
        <v>2000</v>
      </c>
      <c r="N253">
        <v>1500</v>
      </c>
      <c r="O253">
        <v>3000</v>
      </c>
      <c r="P253">
        <v>0</v>
      </c>
      <c r="Q253">
        <v>0</v>
      </c>
      <c r="R253">
        <v>0</v>
      </c>
      <c r="S253">
        <v>0</v>
      </c>
      <c r="T253">
        <v>183641330</v>
      </c>
      <c r="U253" s="19">
        <f t="shared" si="37"/>
        <v>358975</v>
      </c>
      <c r="V253" s="20">
        <f t="shared" si="32"/>
        <v>28975</v>
      </c>
      <c r="W253" s="20">
        <v>156000</v>
      </c>
      <c r="X253" s="20">
        <f t="shared" si="38"/>
        <v>174000</v>
      </c>
      <c r="Y253" s="20"/>
      <c r="Z253" s="20">
        <f t="shared" si="33"/>
        <v>174000</v>
      </c>
      <c r="AA253" s="20">
        <v>138000</v>
      </c>
      <c r="AB253" s="20">
        <f t="shared" si="31"/>
        <v>156000</v>
      </c>
      <c r="AC253" s="20"/>
      <c r="AD253" s="20">
        <f t="shared" si="34"/>
        <v>156000</v>
      </c>
      <c r="AE253" s="20">
        <v>0</v>
      </c>
      <c r="AF253" s="20">
        <v>0</v>
      </c>
      <c r="AG253" s="20">
        <f t="shared" si="35"/>
        <v>0</v>
      </c>
      <c r="AH253" s="20">
        <v>0</v>
      </c>
      <c r="AI253" s="37">
        <v>0</v>
      </c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1:51" ht="14.15" hidden="1" customHeight="1" x14ac:dyDescent="0.35">
      <c r="A254">
        <v>0</v>
      </c>
      <c r="B254">
        <v>0</v>
      </c>
      <c r="C254">
        <v>0</v>
      </c>
      <c r="D254">
        <v>0</v>
      </c>
      <c r="E254">
        <v>6000</v>
      </c>
      <c r="F254">
        <v>2700</v>
      </c>
      <c r="G254">
        <v>1500</v>
      </c>
      <c r="H254">
        <v>1700</v>
      </c>
      <c r="I254">
        <v>0</v>
      </c>
      <c r="J254">
        <v>0</v>
      </c>
      <c r="K254">
        <v>0</v>
      </c>
      <c r="L254">
        <v>1500</v>
      </c>
      <c r="M254">
        <v>2000</v>
      </c>
      <c r="N254">
        <v>1500</v>
      </c>
      <c r="O254">
        <v>3000</v>
      </c>
      <c r="P254">
        <v>0</v>
      </c>
      <c r="Q254">
        <v>0</v>
      </c>
      <c r="R254">
        <v>0</v>
      </c>
      <c r="S254">
        <v>0</v>
      </c>
      <c r="T254">
        <v>230477846</v>
      </c>
      <c r="U254" s="19">
        <f t="shared" si="37"/>
        <v>277900</v>
      </c>
      <c r="V254" s="20">
        <f t="shared" si="32"/>
        <v>19900</v>
      </c>
      <c r="W254" s="20">
        <v>108000</v>
      </c>
      <c r="X254" s="20">
        <f t="shared" si="38"/>
        <v>126000</v>
      </c>
      <c r="Y254" s="20"/>
      <c r="Z254" s="20">
        <f t="shared" si="33"/>
        <v>126000</v>
      </c>
      <c r="AA254" s="20">
        <v>114000</v>
      </c>
      <c r="AB254" s="20">
        <f t="shared" si="31"/>
        <v>132000</v>
      </c>
      <c r="AC254" s="20"/>
      <c r="AD254" s="20">
        <f t="shared" si="34"/>
        <v>132000</v>
      </c>
      <c r="AE254" s="20">
        <v>0</v>
      </c>
      <c r="AF254" s="20">
        <v>0</v>
      </c>
      <c r="AG254" s="20">
        <f t="shared" si="35"/>
        <v>0</v>
      </c>
      <c r="AH254" s="20">
        <v>0</v>
      </c>
      <c r="AI254" s="37">
        <v>0</v>
      </c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1:51" ht="14.15" hidden="1" customHeight="1" x14ac:dyDescent="0.35">
      <c r="A255">
        <v>0</v>
      </c>
      <c r="B255">
        <v>0</v>
      </c>
      <c r="C255">
        <v>0</v>
      </c>
      <c r="D255">
        <v>0</v>
      </c>
      <c r="E255">
        <v>6000</v>
      </c>
      <c r="F255">
        <v>2700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1500</v>
      </c>
      <c r="M255">
        <v>2000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186661420</v>
      </c>
      <c r="U255" s="19">
        <f t="shared" si="37"/>
        <v>276200</v>
      </c>
      <c r="V255" s="20">
        <f t="shared" si="32"/>
        <v>12200</v>
      </c>
      <c r="W255" s="20">
        <v>114000</v>
      </c>
      <c r="X255" s="20">
        <f t="shared" si="38"/>
        <v>132000</v>
      </c>
      <c r="Y255" s="20"/>
      <c r="Z255" s="20">
        <f t="shared" si="33"/>
        <v>132000</v>
      </c>
      <c r="AA255" s="20">
        <v>114000</v>
      </c>
      <c r="AB255" s="20">
        <f t="shared" si="31"/>
        <v>132000</v>
      </c>
      <c r="AC255" s="20"/>
      <c r="AD255" s="20">
        <f t="shared" si="34"/>
        <v>132000</v>
      </c>
      <c r="AE255" s="20">
        <v>0</v>
      </c>
      <c r="AF255" s="20">
        <v>0</v>
      </c>
      <c r="AG255" s="20">
        <f t="shared" si="35"/>
        <v>0</v>
      </c>
      <c r="AH255" s="20">
        <v>0</v>
      </c>
      <c r="AI255" s="37">
        <v>0</v>
      </c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1:51" ht="14.15" hidden="1" customHeight="1" x14ac:dyDescent="0.35">
      <c r="A256">
        <v>4550</v>
      </c>
      <c r="B256">
        <v>5000</v>
      </c>
      <c r="C256">
        <v>0</v>
      </c>
      <c r="D256">
        <v>0</v>
      </c>
      <c r="E256">
        <v>6000</v>
      </c>
      <c r="F256">
        <v>2700</v>
      </c>
      <c r="G256">
        <v>1000</v>
      </c>
      <c r="H256">
        <v>1200</v>
      </c>
      <c r="I256">
        <v>0</v>
      </c>
      <c r="J256">
        <v>0</v>
      </c>
      <c r="K256">
        <v>0</v>
      </c>
      <c r="L256">
        <v>1500</v>
      </c>
      <c r="M256">
        <v>2000</v>
      </c>
      <c r="N256">
        <v>1500</v>
      </c>
      <c r="O256">
        <v>3000</v>
      </c>
      <c r="P256">
        <v>0</v>
      </c>
      <c r="Q256">
        <v>0</v>
      </c>
      <c r="R256">
        <v>0</v>
      </c>
      <c r="S256">
        <v>0</v>
      </c>
      <c r="T256">
        <v>160663869</v>
      </c>
      <c r="U256" s="19">
        <f t="shared" si="37"/>
        <v>334450</v>
      </c>
      <c r="V256" s="20">
        <f t="shared" si="32"/>
        <v>28450</v>
      </c>
      <c r="W256" s="20">
        <v>144000</v>
      </c>
      <c r="X256" s="20">
        <f t="shared" si="38"/>
        <v>162000</v>
      </c>
      <c r="Y256" s="20"/>
      <c r="Z256" s="20">
        <f t="shared" si="33"/>
        <v>162000</v>
      </c>
      <c r="AA256" s="20">
        <v>126000</v>
      </c>
      <c r="AB256" s="20">
        <f t="shared" si="31"/>
        <v>144000</v>
      </c>
      <c r="AC256" s="20"/>
      <c r="AD256" s="20">
        <f t="shared" si="34"/>
        <v>144000</v>
      </c>
      <c r="AE256" s="20">
        <v>0</v>
      </c>
      <c r="AF256" s="20">
        <v>0</v>
      </c>
      <c r="AG256" s="20">
        <f t="shared" si="35"/>
        <v>0</v>
      </c>
      <c r="AH256" s="20">
        <v>0</v>
      </c>
      <c r="AI256" s="37">
        <v>0</v>
      </c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1:51" ht="14.15" hidden="1" customHeight="1" x14ac:dyDescent="0.35">
      <c r="A257">
        <v>4300</v>
      </c>
      <c r="B257">
        <v>0</v>
      </c>
      <c r="C257">
        <v>0</v>
      </c>
      <c r="D257">
        <v>0</v>
      </c>
      <c r="E257">
        <v>6000</v>
      </c>
      <c r="F257">
        <v>2700</v>
      </c>
      <c r="G257">
        <v>1500</v>
      </c>
      <c r="H257">
        <v>1700</v>
      </c>
      <c r="I257">
        <v>0</v>
      </c>
      <c r="J257">
        <v>0</v>
      </c>
      <c r="K257">
        <v>0</v>
      </c>
      <c r="L257">
        <v>1500</v>
      </c>
      <c r="M257">
        <v>2000</v>
      </c>
      <c r="N257">
        <v>1500</v>
      </c>
      <c r="O257">
        <v>3000</v>
      </c>
      <c r="P257">
        <v>0</v>
      </c>
      <c r="Q257">
        <v>0</v>
      </c>
      <c r="R257">
        <v>0</v>
      </c>
      <c r="S257">
        <v>0</v>
      </c>
      <c r="T257">
        <v>167666947</v>
      </c>
      <c r="U257" s="19">
        <f t="shared" si="37"/>
        <v>342200</v>
      </c>
      <c r="V257" s="20">
        <f t="shared" si="32"/>
        <v>24200</v>
      </c>
      <c r="W257" s="20">
        <v>150000</v>
      </c>
      <c r="X257" s="20">
        <f t="shared" si="38"/>
        <v>168000</v>
      </c>
      <c r="Y257" s="20"/>
      <c r="Z257" s="20">
        <f t="shared" si="33"/>
        <v>168000</v>
      </c>
      <c r="AA257" s="20">
        <v>114000</v>
      </c>
      <c r="AB257" s="20">
        <f t="shared" si="31"/>
        <v>132000</v>
      </c>
      <c r="AC257" s="20">
        <v>18000</v>
      </c>
      <c r="AD257" s="20">
        <f t="shared" si="34"/>
        <v>150000</v>
      </c>
      <c r="AE257" s="20">
        <v>0</v>
      </c>
      <c r="AF257" s="20">
        <v>0</v>
      </c>
      <c r="AG257" s="20">
        <f t="shared" si="35"/>
        <v>0</v>
      </c>
      <c r="AH257" s="20">
        <v>0</v>
      </c>
      <c r="AI257" s="37">
        <v>0</v>
      </c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1:51" ht="14.15" hidden="1" customHeight="1" x14ac:dyDescent="0.35">
      <c r="A258">
        <v>4100</v>
      </c>
      <c r="B258">
        <v>5000</v>
      </c>
      <c r="C258">
        <v>0</v>
      </c>
      <c r="D258">
        <v>0</v>
      </c>
      <c r="E258">
        <v>6000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1500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146783026</v>
      </c>
      <c r="U258" s="19">
        <f t="shared" si="37"/>
        <v>304600</v>
      </c>
      <c r="V258" s="20">
        <f t="shared" si="32"/>
        <v>16600</v>
      </c>
      <c r="W258" s="20">
        <v>126000</v>
      </c>
      <c r="X258" s="20">
        <f t="shared" si="38"/>
        <v>144000</v>
      </c>
      <c r="Y258" s="20"/>
      <c r="Z258" s="20">
        <f t="shared" si="33"/>
        <v>144000</v>
      </c>
      <c r="AA258" s="20">
        <v>126000</v>
      </c>
      <c r="AB258" s="20">
        <f t="shared" si="31"/>
        <v>144000</v>
      </c>
      <c r="AC258" s="20"/>
      <c r="AD258" s="20">
        <f t="shared" si="34"/>
        <v>144000</v>
      </c>
      <c r="AE258" s="20">
        <v>0</v>
      </c>
      <c r="AF258" s="20">
        <v>0</v>
      </c>
      <c r="AG258" s="20">
        <f t="shared" si="35"/>
        <v>0</v>
      </c>
      <c r="AH258" s="20">
        <v>0</v>
      </c>
      <c r="AI258" s="37">
        <v>0</v>
      </c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1:51" ht="14.15" hidden="1" customHeight="1" x14ac:dyDescent="0.35">
      <c r="A259">
        <v>3750</v>
      </c>
      <c r="B259">
        <v>5000</v>
      </c>
      <c r="C259">
        <v>0</v>
      </c>
      <c r="D259">
        <v>0</v>
      </c>
      <c r="E259">
        <v>6000</v>
      </c>
      <c r="F259">
        <v>2700</v>
      </c>
      <c r="G259">
        <v>2000</v>
      </c>
      <c r="H259">
        <v>1700</v>
      </c>
      <c r="I259">
        <v>0</v>
      </c>
      <c r="J259">
        <v>0</v>
      </c>
      <c r="K259">
        <v>0</v>
      </c>
      <c r="L259">
        <v>1500</v>
      </c>
      <c r="M259">
        <v>2000</v>
      </c>
      <c r="N259">
        <v>1500</v>
      </c>
      <c r="O259">
        <v>3000</v>
      </c>
      <c r="P259">
        <v>0</v>
      </c>
      <c r="Q259">
        <v>0</v>
      </c>
      <c r="R259">
        <v>0</v>
      </c>
      <c r="S259">
        <v>0</v>
      </c>
      <c r="T259">
        <v>135783006</v>
      </c>
      <c r="U259" s="19">
        <f t="shared" si="37"/>
        <v>371150</v>
      </c>
      <c r="V259" s="20">
        <f t="shared" si="32"/>
        <v>29150</v>
      </c>
      <c r="W259" s="20">
        <v>156000</v>
      </c>
      <c r="X259" s="20">
        <f t="shared" si="38"/>
        <v>174000</v>
      </c>
      <c r="Y259" s="20"/>
      <c r="Z259" s="20">
        <f t="shared" si="33"/>
        <v>174000</v>
      </c>
      <c r="AA259" s="20">
        <v>150000</v>
      </c>
      <c r="AB259" s="20">
        <f t="shared" si="31"/>
        <v>168000</v>
      </c>
      <c r="AC259" s="20"/>
      <c r="AD259" s="20">
        <f t="shared" si="34"/>
        <v>168000</v>
      </c>
      <c r="AE259" s="20">
        <v>0</v>
      </c>
      <c r="AF259" s="20">
        <v>0</v>
      </c>
      <c r="AG259" s="20">
        <f t="shared" si="35"/>
        <v>0</v>
      </c>
      <c r="AH259" s="20">
        <v>0</v>
      </c>
      <c r="AI259" s="37">
        <v>0</v>
      </c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1:51" ht="14.15" hidden="1" customHeight="1" x14ac:dyDescent="0.35">
      <c r="A260">
        <v>5000</v>
      </c>
      <c r="B260">
        <v>5000</v>
      </c>
      <c r="C260">
        <v>0</v>
      </c>
      <c r="D260">
        <v>0</v>
      </c>
      <c r="E260">
        <v>6000</v>
      </c>
      <c r="F260">
        <v>1275</v>
      </c>
      <c r="G260">
        <v>1500</v>
      </c>
      <c r="H260">
        <v>1200</v>
      </c>
      <c r="I260">
        <v>0</v>
      </c>
      <c r="J260">
        <v>0</v>
      </c>
      <c r="K260">
        <v>0</v>
      </c>
      <c r="L260">
        <v>1500</v>
      </c>
      <c r="M260">
        <v>2000</v>
      </c>
      <c r="N260">
        <v>1500</v>
      </c>
      <c r="O260">
        <v>3000</v>
      </c>
      <c r="P260">
        <v>0</v>
      </c>
      <c r="Q260">
        <v>0</v>
      </c>
      <c r="R260">
        <v>0</v>
      </c>
      <c r="S260">
        <v>0</v>
      </c>
      <c r="T260">
        <v>121686046</v>
      </c>
      <c r="U260" s="19">
        <f t="shared" si="37"/>
        <v>363975</v>
      </c>
      <c r="V260" s="20">
        <f t="shared" si="32"/>
        <v>27975</v>
      </c>
      <c r="W260" s="20">
        <v>132000</v>
      </c>
      <c r="X260" s="20">
        <f t="shared" si="38"/>
        <v>150000</v>
      </c>
      <c r="Y260" s="20"/>
      <c r="Z260" s="20">
        <f t="shared" si="33"/>
        <v>150000</v>
      </c>
      <c r="AA260" s="20">
        <v>150000</v>
      </c>
      <c r="AB260" s="20">
        <f t="shared" si="31"/>
        <v>168000</v>
      </c>
      <c r="AC260" s="20">
        <v>18000</v>
      </c>
      <c r="AD260" s="20">
        <f t="shared" si="34"/>
        <v>186000</v>
      </c>
      <c r="AE260" s="20">
        <v>0</v>
      </c>
      <c r="AF260" s="20">
        <v>0</v>
      </c>
      <c r="AG260" s="20">
        <f t="shared" si="35"/>
        <v>0</v>
      </c>
      <c r="AH260" s="20">
        <v>0</v>
      </c>
      <c r="AI260" s="37">
        <v>0</v>
      </c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1:51" ht="14.15" hidden="1" customHeight="1" x14ac:dyDescent="0.35">
      <c r="A261">
        <v>4500</v>
      </c>
      <c r="B261">
        <v>0</v>
      </c>
      <c r="C261">
        <v>0</v>
      </c>
      <c r="D261">
        <v>0</v>
      </c>
      <c r="E261">
        <v>6000</v>
      </c>
      <c r="F261">
        <v>2700</v>
      </c>
      <c r="G261">
        <v>1500</v>
      </c>
      <c r="H261">
        <v>0</v>
      </c>
      <c r="I261">
        <v>0</v>
      </c>
      <c r="J261">
        <v>0</v>
      </c>
      <c r="K261">
        <v>0</v>
      </c>
      <c r="L261">
        <v>1500</v>
      </c>
      <c r="M261">
        <v>2000</v>
      </c>
      <c r="N261">
        <v>1500</v>
      </c>
      <c r="O261">
        <v>3000</v>
      </c>
      <c r="P261">
        <v>0</v>
      </c>
      <c r="Q261">
        <v>0</v>
      </c>
      <c r="R261">
        <v>0</v>
      </c>
      <c r="S261">
        <v>0</v>
      </c>
      <c r="T261">
        <v>162666794</v>
      </c>
      <c r="U261" s="19">
        <f t="shared" si="37"/>
        <v>232700</v>
      </c>
      <c r="V261" s="20">
        <f t="shared" si="32"/>
        <v>22700</v>
      </c>
      <c r="W261" s="20">
        <v>102000</v>
      </c>
      <c r="X261" s="20">
        <f t="shared" si="38"/>
        <v>120000</v>
      </c>
      <c r="Y261" s="20"/>
      <c r="Z261" s="20">
        <f t="shared" si="33"/>
        <v>120000</v>
      </c>
      <c r="AA261" s="20">
        <v>54000</v>
      </c>
      <c r="AB261" s="20">
        <f t="shared" si="31"/>
        <v>72000</v>
      </c>
      <c r="AC261" s="20">
        <v>18000</v>
      </c>
      <c r="AD261" s="20">
        <f t="shared" si="34"/>
        <v>90000</v>
      </c>
      <c r="AE261" s="20">
        <v>0</v>
      </c>
      <c r="AF261" s="20">
        <v>0</v>
      </c>
      <c r="AG261" s="20">
        <f t="shared" si="35"/>
        <v>0</v>
      </c>
      <c r="AH261" s="20">
        <v>0</v>
      </c>
      <c r="AI261" s="37">
        <v>0</v>
      </c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1:51" ht="14.15" hidden="1" customHeight="1" x14ac:dyDescent="0.35">
      <c r="A262">
        <v>4150</v>
      </c>
      <c r="B262">
        <v>5000</v>
      </c>
      <c r="C262">
        <v>0</v>
      </c>
      <c r="D262">
        <v>0</v>
      </c>
      <c r="E262">
        <v>6000</v>
      </c>
      <c r="F262">
        <v>2700</v>
      </c>
      <c r="G262">
        <v>1500</v>
      </c>
      <c r="H262">
        <v>1200</v>
      </c>
      <c r="I262">
        <v>0</v>
      </c>
      <c r="J262">
        <v>0</v>
      </c>
      <c r="K262">
        <v>0</v>
      </c>
      <c r="L262">
        <v>1500</v>
      </c>
      <c r="M262">
        <v>2000</v>
      </c>
      <c r="N262">
        <v>1500</v>
      </c>
      <c r="O262">
        <v>3000</v>
      </c>
      <c r="P262">
        <v>0</v>
      </c>
      <c r="Q262">
        <v>0</v>
      </c>
      <c r="R262">
        <v>0</v>
      </c>
      <c r="S262">
        <v>0</v>
      </c>
      <c r="T262">
        <v>164723235</v>
      </c>
      <c r="U262" s="19">
        <f t="shared" si="37"/>
        <v>316550</v>
      </c>
      <c r="V262" s="20">
        <f t="shared" si="32"/>
        <v>28550</v>
      </c>
      <c r="W262" s="20">
        <v>102000</v>
      </c>
      <c r="X262" s="20">
        <f t="shared" si="38"/>
        <v>120000</v>
      </c>
      <c r="Y262" s="20"/>
      <c r="Z262" s="20">
        <f t="shared" si="33"/>
        <v>120000</v>
      </c>
      <c r="AA262" s="20">
        <v>150000</v>
      </c>
      <c r="AB262" s="20">
        <f t="shared" si="31"/>
        <v>168000</v>
      </c>
      <c r="AC262" s="20"/>
      <c r="AD262" s="20">
        <f t="shared" si="34"/>
        <v>168000</v>
      </c>
      <c r="AE262" s="20">
        <v>0</v>
      </c>
      <c r="AF262" s="20">
        <v>0</v>
      </c>
      <c r="AG262" s="20">
        <f t="shared" si="35"/>
        <v>0</v>
      </c>
      <c r="AH262" s="20">
        <v>0</v>
      </c>
      <c r="AI262" s="37">
        <v>0</v>
      </c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1:51" ht="14.15" hidden="1" customHeight="1" x14ac:dyDescent="0.35">
      <c r="A263">
        <v>3550</v>
      </c>
      <c r="B263">
        <v>4500</v>
      </c>
      <c r="C263">
        <v>0</v>
      </c>
      <c r="D263">
        <v>0</v>
      </c>
      <c r="E263">
        <v>6000</v>
      </c>
      <c r="F263">
        <v>2700</v>
      </c>
      <c r="G263">
        <v>1500</v>
      </c>
      <c r="H263">
        <v>1200</v>
      </c>
      <c r="I263">
        <v>0</v>
      </c>
      <c r="J263">
        <v>0</v>
      </c>
      <c r="K263">
        <v>0</v>
      </c>
      <c r="L263">
        <v>1500</v>
      </c>
      <c r="M263">
        <v>2000</v>
      </c>
      <c r="N263">
        <v>1500</v>
      </c>
      <c r="O263">
        <v>3000</v>
      </c>
      <c r="P263">
        <v>0</v>
      </c>
      <c r="Q263">
        <v>0</v>
      </c>
      <c r="R263">
        <v>0</v>
      </c>
      <c r="S263">
        <v>0</v>
      </c>
      <c r="T263">
        <v>185748080</v>
      </c>
      <c r="U263" s="19">
        <f t="shared" si="37"/>
        <v>381450</v>
      </c>
      <c r="V263" s="20">
        <f t="shared" si="32"/>
        <v>27450</v>
      </c>
      <c r="W263" s="20">
        <v>138000</v>
      </c>
      <c r="X263" s="20">
        <f t="shared" si="38"/>
        <v>156000</v>
      </c>
      <c r="Y263" s="20">
        <v>18000</v>
      </c>
      <c r="Z263" s="20">
        <f t="shared" si="33"/>
        <v>174000</v>
      </c>
      <c r="AA263" s="20">
        <v>162000</v>
      </c>
      <c r="AB263" s="20">
        <f t="shared" si="31"/>
        <v>180000</v>
      </c>
      <c r="AC263" s="20"/>
      <c r="AD263" s="20">
        <f t="shared" si="34"/>
        <v>180000</v>
      </c>
      <c r="AE263" s="20">
        <v>0</v>
      </c>
      <c r="AF263" s="20">
        <v>0</v>
      </c>
      <c r="AG263" s="20">
        <f t="shared" si="35"/>
        <v>0</v>
      </c>
      <c r="AH263" s="20">
        <v>0</v>
      </c>
      <c r="AI263" s="37">
        <v>0</v>
      </c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1:51" ht="14.15" hidden="1" customHeight="1" x14ac:dyDescent="0.35">
      <c r="A264">
        <v>3350</v>
      </c>
      <c r="B264">
        <v>0</v>
      </c>
      <c r="C264">
        <v>0</v>
      </c>
      <c r="D264">
        <v>0</v>
      </c>
      <c r="E264">
        <v>6000</v>
      </c>
      <c r="F264">
        <v>2700</v>
      </c>
      <c r="G264">
        <v>0</v>
      </c>
      <c r="H264">
        <v>650</v>
      </c>
      <c r="I264">
        <v>0</v>
      </c>
      <c r="J264">
        <v>0</v>
      </c>
      <c r="K264">
        <v>0</v>
      </c>
      <c r="L264">
        <v>1500</v>
      </c>
      <c r="M264">
        <v>2000</v>
      </c>
      <c r="N264">
        <v>1500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159701235</v>
      </c>
      <c r="U264" s="19">
        <f t="shared" si="37"/>
        <v>235200</v>
      </c>
      <c r="V264" s="20">
        <f t="shared" si="32"/>
        <v>17700</v>
      </c>
      <c r="W264" s="20">
        <v>90000</v>
      </c>
      <c r="X264" s="20">
        <f t="shared" si="38"/>
        <v>108000</v>
      </c>
      <c r="Y264" s="20">
        <v>13500</v>
      </c>
      <c r="Z264" s="20">
        <f t="shared" si="33"/>
        <v>121500</v>
      </c>
      <c r="AA264" s="20">
        <v>60000</v>
      </c>
      <c r="AB264" s="20">
        <f t="shared" si="31"/>
        <v>78000</v>
      </c>
      <c r="AC264" s="20">
        <v>18000</v>
      </c>
      <c r="AD264" s="20">
        <f t="shared" si="34"/>
        <v>96000</v>
      </c>
      <c r="AE264" s="20">
        <v>0</v>
      </c>
      <c r="AF264" s="20">
        <v>0</v>
      </c>
      <c r="AG264" s="20">
        <f t="shared" si="35"/>
        <v>0</v>
      </c>
      <c r="AH264" s="20">
        <v>0</v>
      </c>
      <c r="AI264" s="37">
        <v>0</v>
      </c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1:51" ht="14.15" hidden="1" customHeight="1" x14ac:dyDescent="0.35">
      <c r="A265">
        <v>4550</v>
      </c>
      <c r="B265">
        <v>5000</v>
      </c>
      <c r="C265">
        <v>0</v>
      </c>
      <c r="D265">
        <v>0</v>
      </c>
      <c r="E265">
        <v>6000</v>
      </c>
      <c r="F265">
        <v>2700</v>
      </c>
      <c r="G265">
        <v>2000</v>
      </c>
      <c r="H265">
        <v>1450</v>
      </c>
      <c r="I265">
        <v>0</v>
      </c>
      <c r="J265">
        <v>0</v>
      </c>
      <c r="K265">
        <v>0</v>
      </c>
      <c r="L265">
        <v>1500</v>
      </c>
      <c r="M265">
        <v>2000</v>
      </c>
      <c r="N265">
        <v>1500</v>
      </c>
      <c r="O265">
        <v>3000</v>
      </c>
      <c r="P265">
        <v>0</v>
      </c>
      <c r="Q265">
        <v>0</v>
      </c>
      <c r="R265">
        <v>0</v>
      </c>
      <c r="S265">
        <v>0</v>
      </c>
      <c r="T265">
        <v>159662376</v>
      </c>
      <c r="U265" s="19">
        <f t="shared" si="37"/>
        <v>299700</v>
      </c>
      <c r="V265" s="20">
        <f t="shared" si="32"/>
        <v>29700</v>
      </c>
      <c r="W265" s="20">
        <v>132000</v>
      </c>
      <c r="X265" s="20">
        <f t="shared" si="38"/>
        <v>150000</v>
      </c>
      <c r="Y265" s="20"/>
      <c r="Z265" s="20">
        <f t="shared" si="33"/>
        <v>150000</v>
      </c>
      <c r="AA265" s="20">
        <v>102000</v>
      </c>
      <c r="AB265" s="20">
        <f t="shared" si="31"/>
        <v>120000</v>
      </c>
      <c r="AC265" s="20"/>
      <c r="AD265" s="20">
        <f t="shared" si="34"/>
        <v>120000</v>
      </c>
      <c r="AE265" s="20">
        <v>0</v>
      </c>
      <c r="AF265" s="20">
        <v>0</v>
      </c>
      <c r="AG265" s="20">
        <f t="shared" si="35"/>
        <v>0</v>
      </c>
      <c r="AH265" s="20">
        <v>0</v>
      </c>
      <c r="AI265" s="37">
        <v>0</v>
      </c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1:51" ht="14.15" hidden="1" customHeight="1" x14ac:dyDescent="0.35">
      <c r="A266">
        <v>0</v>
      </c>
      <c r="B266">
        <v>5000</v>
      </c>
      <c r="C266">
        <v>0</v>
      </c>
      <c r="D266">
        <v>0</v>
      </c>
      <c r="E266">
        <v>6000</v>
      </c>
      <c r="F266">
        <v>1275</v>
      </c>
      <c r="G266">
        <v>2000</v>
      </c>
      <c r="H266">
        <v>1450</v>
      </c>
      <c r="I266">
        <v>0</v>
      </c>
      <c r="J266">
        <v>0</v>
      </c>
      <c r="K266">
        <v>0</v>
      </c>
      <c r="L266">
        <v>1500</v>
      </c>
      <c r="M266">
        <v>2000</v>
      </c>
      <c r="N266">
        <v>1500</v>
      </c>
      <c r="O266">
        <v>3000</v>
      </c>
      <c r="P266">
        <v>0</v>
      </c>
      <c r="Q266">
        <v>0</v>
      </c>
      <c r="R266">
        <v>0</v>
      </c>
      <c r="S266">
        <v>0</v>
      </c>
      <c r="T266">
        <v>183663089</v>
      </c>
      <c r="U266" s="19">
        <f t="shared" si="37"/>
        <v>215725</v>
      </c>
      <c r="V266" s="20">
        <f t="shared" si="32"/>
        <v>23725</v>
      </c>
      <c r="W266" s="20">
        <v>90000</v>
      </c>
      <c r="X266" s="20">
        <f t="shared" si="38"/>
        <v>108000</v>
      </c>
      <c r="Y266" s="20"/>
      <c r="Z266" s="20">
        <f t="shared" si="33"/>
        <v>108000</v>
      </c>
      <c r="AA266" s="20">
        <v>66000</v>
      </c>
      <c r="AB266" s="20">
        <f t="shared" si="31"/>
        <v>84000</v>
      </c>
      <c r="AC266" s="20"/>
      <c r="AD266" s="20">
        <f t="shared" si="34"/>
        <v>84000</v>
      </c>
      <c r="AE266" s="20">
        <v>0</v>
      </c>
      <c r="AF266" s="20">
        <v>0</v>
      </c>
      <c r="AG266" s="20">
        <f t="shared" si="35"/>
        <v>0</v>
      </c>
      <c r="AH266" s="20">
        <v>0</v>
      </c>
      <c r="AI266" s="37">
        <v>0</v>
      </c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1:51" ht="14.15" hidden="1" customHeight="1" x14ac:dyDescent="0.35">
      <c r="A267">
        <v>4300</v>
      </c>
      <c r="B267">
        <v>3000</v>
      </c>
      <c r="C267">
        <v>0</v>
      </c>
      <c r="D267">
        <v>0</v>
      </c>
      <c r="E267">
        <v>6000</v>
      </c>
      <c r="F267">
        <v>2700</v>
      </c>
      <c r="G267">
        <v>1500</v>
      </c>
      <c r="H267">
        <v>1450</v>
      </c>
      <c r="I267">
        <v>0</v>
      </c>
      <c r="J267">
        <v>0</v>
      </c>
      <c r="K267">
        <v>0</v>
      </c>
      <c r="L267">
        <v>1500</v>
      </c>
      <c r="M267">
        <v>2000</v>
      </c>
      <c r="N267">
        <v>1500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176727980</v>
      </c>
      <c r="U267" s="19">
        <f t="shared" si="37"/>
        <v>299950</v>
      </c>
      <c r="V267" s="20">
        <f t="shared" si="32"/>
        <v>23950</v>
      </c>
      <c r="W267" s="20">
        <v>144000</v>
      </c>
      <c r="X267" s="20">
        <f t="shared" si="38"/>
        <v>162000</v>
      </c>
      <c r="Y267" s="20"/>
      <c r="Z267" s="20">
        <f t="shared" si="33"/>
        <v>162000</v>
      </c>
      <c r="AA267" s="20">
        <v>96000</v>
      </c>
      <c r="AB267" s="20">
        <f t="shared" si="31"/>
        <v>114000</v>
      </c>
      <c r="AC267" s="20"/>
      <c r="AD267" s="20">
        <f t="shared" si="34"/>
        <v>114000</v>
      </c>
      <c r="AE267" s="20">
        <v>0</v>
      </c>
      <c r="AF267" s="20">
        <v>0</v>
      </c>
      <c r="AG267" s="20">
        <f t="shared" si="35"/>
        <v>0</v>
      </c>
      <c r="AH267" s="20">
        <v>0</v>
      </c>
      <c r="AI267" s="37">
        <v>0</v>
      </c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1:51" ht="14.15" hidden="1" customHeight="1" x14ac:dyDescent="0.35">
      <c r="A268">
        <v>3300</v>
      </c>
      <c r="B268">
        <v>5000</v>
      </c>
      <c r="C268">
        <v>0</v>
      </c>
      <c r="D268">
        <v>0</v>
      </c>
      <c r="E268">
        <v>6000</v>
      </c>
      <c r="F268">
        <v>2700</v>
      </c>
      <c r="G268">
        <v>1000</v>
      </c>
      <c r="H268">
        <v>1450</v>
      </c>
      <c r="I268">
        <v>0</v>
      </c>
      <c r="J268">
        <v>0</v>
      </c>
      <c r="K268">
        <v>0</v>
      </c>
      <c r="L268">
        <v>1500</v>
      </c>
      <c r="M268">
        <v>2000</v>
      </c>
      <c r="N268">
        <v>1500</v>
      </c>
      <c r="O268">
        <v>3000</v>
      </c>
      <c r="P268">
        <v>0</v>
      </c>
      <c r="Q268">
        <v>0</v>
      </c>
      <c r="R268">
        <v>0</v>
      </c>
      <c r="S268">
        <v>0</v>
      </c>
      <c r="T268">
        <v>594322281</v>
      </c>
      <c r="U268" s="19">
        <f t="shared" si="37"/>
        <v>327450</v>
      </c>
      <c r="V268" s="20">
        <f t="shared" si="32"/>
        <v>27450</v>
      </c>
      <c r="W268" s="20">
        <v>138000</v>
      </c>
      <c r="X268" s="20">
        <f t="shared" si="38"/>
        <v>156000</v>
      </c>
      <c r="Y268" s="20"/>
      <c r="Z268" s="20">
        <f t="shared" si="33"/>
        <v>156000</v>
      </c>
      <c r="AA268" s="20">
        <v>126000</v>
      </c>
      <c r="AB268" s="20">
        <f t="shared" si="31"/>
        <v>144000</v>
      </c>
      <c r="AC268" s="20"/>
      <c r="AD268" s="20">
        <f t="shared" si="34"/>
        <v>144000</v>
      </c>
      <c r="AE268" s="20">
        <v>0</v>
      </c>
      <c r="AF268" s="20">
        <v>0</v>
      </c>
      <c r="AG268" s="20">
        <f t="shared" si="35"/>
        <v>0</v>
      </c>
      <c r="AH268" s="20">
        <v>0</v>
      </c>
      <c r="AI268" s="37">
        <v>0</v>
      </c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1:51" ht="14.15" hidden="1" customHeight="1" x14ac:dyDescent="0.35">
      <c r="A269">
        <v>4800</v>
      </c>
      <c r="B269">
        <v>0</v>
      </c>
      <c r="C269">
        <v>0</v>
      </c>
      <c r="D269">
        <v>0</v>
      </c>
      <c r="E269">
        <v>6000</v>
      </c>
      <c r="F269">
        <v>2700</v>
      </c>
      <c r="G269">
        <v>1500</v>
      </c>
      <c r="H269">
        <v>1900</v>
      </c>
      <c r="I269">
        <v>0</v>
      </c>
      <c r="J269">
        <v>0</v>
      </c>
      <c r="K269">
        <v>0</v>
      </c>
      <c r="L269">
        <v>1500</v>
      </c>
      <c r="M269">
        <v>2000</v>
      </c>
      <c r="N269">
        <v>1500</v>
      </c>
      <c r="O269">
        <v>3000</v>
      </c>
      <c r="P269">
        <v>0</v>
      </c>
      <c r="Q269">
        <v>0</v>
      </c>
      <c r="R269">
        <v>0</v>
      </c>
      <c r="S269">
        <v>0</v>
      </c>
      <c r="T269">
        <v>159701149</v>
      </c>
      <c r="U269" s="19">
        <f t="shared" si="37"/>
        <v>318900</v>
      </c>
      <c r="V269" s="20">
        <f t="shared" si="32"/>
        <v>24900</v>
      </c>
      <c r="W269" s="20">
        <v>150000</v>
      </c>
      <c r="X269" s="20">
        <f t="shared" si="38"/>
        <v>168000</v>
      </c>
      <c r="Y269" s="20"/>
      <c r="Z269" s="20">
        <f t="shared" si="33"/>
        <v>168000</v>
      </c>
      <c r="AA269" s="20">
        <v>108000</v>
      </c>
      <c r="AB269" s="20">
        <f t="shared" si="31"/>
        <v>126000</v>
      </c>
      <c r="AC269" s="20"/>
      <c r="AD269" s="20">
        <f t="shared" si="34"/>
        <v>126000</v>
      </c>
      <c r="AE269" s="20">
        <v>0</v>
      </c>
      <c r="AF269" s="20">
        <v>0</v>
      </c>
      <c r="AG269" s="20">
        <f t="shared" si="35"/>
        <v>0</v>
      </c>
      <c r="AH269" s="20">
        <v>0</v>
      </c>
      <c r="AI269" s="37">
        <v>0</v>
      </c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1:51" ht="14.15" hidden="1" customHeight="1" x14ac:dyDescent="0.35">
      <c r="A270">
        <v>4550</v>
      </c>
      <c r="B270">
        <v>5000</v>
      </c>
      <c r="C270">
        <v>0</v>
      </c>
      <c r="D270">
        <v>0</v>
      </c>
      <c r="E270">
        <v>6000</v>
      </c>
      <c r="F270">
        <v>2700</v>
      </c>
      <c r="G270">
        <v>0</v>
      </c>
      <c r="H270">
        <v>1450</v>
      </c>
      <c r="I270">
        <v>0</v>
      </c>
      <c r="J270">
        <v>0</v>
      </c>
      <c r="K270">
        <v>0</v>
      </c>
      <c r="L270">
        <v>1500</v>
      </c>
      <c r="M270">
        <v>0</v>
      </c>
      <c r="N270">
        <v>1500</v>
      </c>
      <c r="O270">
        <v>3000</v>
      </c>
      <c r="P270">
        <v>0</v>
      </c>
      <c r="Q270">
        <v>0</v>
      </c>
      <c r="R270">
        <v>0</v>
      </c>
      <c r="S270">
        <v>0</v>
      </c>
      <c r="T270">
        <v>229812452</v>
      </c>
      <c r="U270" s="19">
        <f t="shared" si="37"/>
        <v>273200</v>
      </c>
      <c r="V270" s="20">
        <f t="shared" si="32"/>
        <v>25700</v>
      </c>
      <c r="W270" s="20">
        <v>90000</v>
      </c>
      <c r="X270" s="20">
        <f t="shared" si="38"/>
        <v>108000</v>
      </c>
      <c r="Y270" s="20">
        <v>13500</v>
      </c>
      <c r="Z270" s="20">
        <f t="shared" si="33"/>
        <v>121500</v>
      </c>
      <c r="AA270" s="20">
        <v>90000</v>
      </c>
      <c r="AB270" s="20">
        <f t="shared" si="31"/>
        <v>108000</v>
      </c>
      <c r="AC270" s="20">
        <v>18000</v>
      </c>
      <c r="AD270" s="20">
        <f t="shared" si="34"/>
        <v>126000</v>
      </c>
      <c r="AE270" s="20">
        <v>0</v>
      </c>
      <c r="AF270" s="20">
        <v>0</v>
      </c>
      <c r="AG270" s="20">
        <f t="shared" si="35"/>
        <v>0</v>
      </c>
      <c r="AH270" s="20">
        <v>0</v>
      </c>
      <c r="AI270" s="37">
        <v>0</v>
      </c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1:51" ht="14.15" hidden="1" customHeight="1" x14ac:dyDescent="0.35">
      <c r="A271">
        <v>4300</v>
      </c>
      <c r="B271">
        <v>5000</v>
      </c>
      <c r="C271">
        <v>0</v>
      </c>
      <c r="D271">
        <v>0</v>
      </c>
      <c r="E271">
        <v>6000</v>
      </c>
      <c r="F271">
        <v>2700</v>
      </c>
      <c r="G271">
        <v>1000</v>
      </c>
      <c r="H271">
        <v>1700</v>
      </c>
      <c r="I271">
        <v>0</v>
      </c>
      <c r="J271">
        <v>0</v>
      </c>
      <c r="K271">
        <v>0</v>
      </c>
      <c r="L271">
        <v>1500</v>
      </c>
      <c r="M271">
        <v>2000</v>
      </c>
      <c r="N271">
        <v>1500</v>
      </c>
      <c r="O271">
        <v>3000</v>
      </c>
      <c r="P271">
        <v>0</v>
      </c>
      <c r="Q271">
        <v>0</v>
      </c>
      <c r="R271">
        <v>0</v>
      </c>
      <c r="S271">
        <v>0</v>
      </c>
      <c r="T271">
        <v>135809897</v>
      </c>
      <c r="U271" s="19">
        <f t="shared" si="37"/>
        <v>322700</v>
      </c>
      <c r="V271" s="20">
        <f t="shared" si="32"/>
        <v>28700</v>
      </c>
      <c r="W271" s="20">
        <v>114000</v>
      </c>
      <c r="X271" s="20">
        <f t="shared" si="38"/>
        <v>132000</v>
      </c>
      <c r="Y271" s="20"/>
      <c r="Z271" s="20">
        <f t="shared" si="33"/>
        <v>132000</v>
      </c>
      <c r="AA271" s="20">
        <v>126000</v>
      </c>
      <c r="AB271" s="20">
        <f t="shared" si="31"/>
        <v>144000</v>
      </c>
      <c r="AC271" s="20">
        <v>18000</v>
      </c>
      <c r="AD271" s="20">
        <f t="shared" si="34"/>
        <v>162000</v>
      </c>
      <c r="AE271" s="20">
        <v>0</v>
      </c>
      <c r="AF271" s="20">
        <v>0</v>
      </c>
      <c r="AG271" s="20">
        <f t="shared" si="35"/>
        <v>0</v>
      </c>
      <c r="AH271" s="20">
        <v>0</v>
      </c>
      <c r="AI271" s="37">
        <v>0</v>
      </c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1:51" ht="14.15" hidden="1" customHeight="1" x14ac:dyDescent="0.35">
      <c r="A272">
        <v>4300</v>
      </c>
      <c r="B272">
        <v>5000</v>
      </c>
      <c r="C272">
        <v>0</v>
      </c>
      <c r="D272">
        <v>0</v>
      </c>
      <c r="E272">
        <v>6000</v>
      </c>
      <c r="F272">
        <v>2700</v>
      </c>
      <c r="G272">
        <v>1500</v>
      </c>
      <c r="H272">
        <v>1450</v>
      </c>
      <c r="I272">
        <v>0</v>
      </c>
      <c r="J272">
        <v>0</v>
      </c>
      <c r="K272">
        <v>0</v>
      </c>
      <c r="L272">
        <v>1500</v>
      </c>
      <c r="M272">
        <v>2000</v>
      </c>
      <c r="N272">
        <v>1500</v>
      </c>
      <c r="O272">
        <v>3000</v>
      </c>
      <c r="P272">
        <v>0</v>
      </c>
      <c r="Q272">
        <v>0</v>
      </c>
      <c r="R272">
        <v>0</v>
      </c>
      <c r="S272">
        <v>0</v>
      </c>
      <c r="T272">
        <v>802689288</v>
      </c>
      <c r="U272" s="19">
        <f t="shared" ref="U272:U303" si="39" xml:space="preserve"> SUM(V272, Z272, AD272, AG272, AH272, AI272)</f>
        <v>346950</v>
      </c>
      <c r="V272" s="20">
        <f t="shared" si="32"/>
        <v>28950</v>
      </c>
      <c r="W272" s="20">
        <v>126000</v>
      </c>
      <c r="X272" s="20">
        <f t="shared" si="38"/>
        <v>144000</v>
      </c>
      <c r="Y272" s="20"/>
      <c r="Z272" s="20">
        <f t="shared" si="33"/>
        <v>144000</v>
      </c>
      <c r="AA272" s="20">
        <v>156000</v>
      </c>
      <c r="AB272" s="20">
        <f t="shared" si="31"/>
        <v>174000</v>
      </c>
      <c r="AC272" s="20"/>
      <c r="AD272" s="20">
        <f t="shared" si="34"/>
        <v>174000</v>
      </c>
      <c r="AE272" s="20">
        <v>0</v>
      </c>
      <c r="AF272" s="20">
        <v>0</v>
      </c>
      <c r="AG272" s="20">
        <f t="shared" si="35"/>
        <v>0</v>
      </c>
      <c r="AH272" s="20">
        <v>0</v>
      </c>
      <c r="AI272" s="37">
        <v>0</v>
      </c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1:51" ht="14.15" hidden="1" customHeight="1" x14ac:dyDescent="0.35">
      <c r="A273">
        <v>4100</v>
      </c>
      <c r="B273">
        <v>4000</v>
      </c>
      <c r="C273">
        <v>0</v>
      </c>
      <c r="D273">
        <v>0</v>
      </c>
      <c r="E273">
        <v>6000</v>
      </c>
      <c r="F273">
        <v>2700</v>
      </c>
      <c r="G273">
        <v>2500</v>
      </c>
      <c r="H273">
        <v>1700</v>
      </c>
      <c r="I273">
        <v>0</v>
      </c>
      <c r="J273">
        <v>0</v>
      </c>
      <c r="K273">
        <v>0</v>
      </c>
      <c r="L273">
        <v>1500</v>
      </c>
      <c r="M273">
        <v>2000</v>
      </c>
      <c r="N273">
        <v>1500</v>
      </c>
      <c r="O273">
        <v>3000</v>
      </c>
      <c r="P273">
        <v>0</v>
      </c>
      <c r="Q273">
        <v>0</v>
      </c>
      <c r="R273">
        <v>0</v>
      </c>
      <c r="S273">
        <v>0</v>
      </c>
      <c r="T273">
        <v>184804362</v>
      </c>
      <c r="U273" s="19">
        <f t="shared" si="39"/>
        <v>335000</v>
      </c>
      <c r="V273" s="20">
        <f t="shared" si="32"/>
        <v>29000</v>
      </c>
      <c r="W273" s="20">
        <v>138000</v>
      </c>
      <c r="X273" s="20">
        <f t="shared" si="38"/>
        <v>156000</v>
      </c>
      <c r="Y273" s="20"/>
      <c r="Z273" s="20">
        <f t="shared" si="33"/>
        <v>156000</v>
      </c>
      <c r="AA273" s="20">
        <v>114000</v>
      </c>
      <c r="AB273" s="20">
        <f t="shared" si="31"/>
        <v>132000</v>
      </c>
      <c r="AC273" s="20">
        <v>18000</v>
      </c>
      <c r="AD273" s="20">
        <f t="shared" si="34"/>
        <v>150000</v>
      </c>
      <c r="AE273" s="20">
        <v>0</v>
      </c>
      <c r="AF273" s="20">
        <v>0</v>
      </c>
      <c r="AG273" s="20">
        <f t="shared" si="35"/>
        <v>0</v>
      </c>
      <c r="AH273" s="20">
        <v>0</v>
      </c>
      <c r="AI273" s="37">
        <v>0</v>
      </c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1:51" ht="14.15" hidden="1" customHeight="1" x14ac:dyDescent="0.35">
      <c r="A274">
        <v>4500</v>
      </c>
      <c r="B274">
        <v>5000</v>
      </c>
      <c r="C274">
        <v>0</v>
      </c>
      <c r="D274">
        <v>0</v>
      </c>
      <c r="E274">
        <v>6000</v>
      </c>
      <c r="F274">
        <v>2700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1500</v>
      </c>
      <c r="M274">
        <v>2000</v>
      </c>
      <c r="N274">
        <v>1500</v>
      </c>
      <c r="O274">
        <v>3000</v>
      </c>
      <c r="P274">
        <v>0</v>
      </c>
      <c r="Q274">
        <v>0</v>
      </c>
      <c r="R274">
        <v>0</v>
      </c>
      <c r="S274">
        <v>0</v>
      </c>
      <c r="T274">
        <v>121689416</v>
      </c>
      <c r="U274" s="19">
        <f t="shared" si="39"/>
        <v>320200</v>
      </c>
      <c r="V274" s="20">
        <f t="shared" si="32"/>
        <v>26200</v>
      </c>
      <c r="W274" s="20">
        <v>144000</v>
      </c>
      <c r="X274" s="20">
        <f t="shared" si="38"/>
        <v>162000</v>
      </c>
      <c r="Y274" s="20"/>
      <c r="Z274" s="20">
        <f t="shared" si="33"/>
        <v>162000</v>
      </c>
      <c r="AA274" s="20">
        <v>114000</v>
      </c>
      <c r="AB274" s="20">
        <f t="shared" si="31"/>
        <v>132000</v>
      </c>
      <c r="AC274" s="20"/>
      <c r="AD274" s="20">
        <f t="shared" si="34"/>
        <v>132000</v>
      </c>
      <c r="AE274" s="20">
        <v>0</v>
      </c>
      <c r="AF274" s="20">
        <v>0</v>
      </c>
      <c r="AG274" s="20">
        <f t="shared" si="35"/>
        <v>0</v>
      </c>
      <c r="AH274" s="20">
        <v>0</v>
      </c>
      <c r="AI274" s="37">
        <v>0</v>
      </c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1:51" ht="14.15" hidden="1" customHeight="1" x14ac:dyDescent="0.35">
      <c r="A275">
        <v>4550</v>
      </c>
      <c r="B275">
        <v>5000</v>
      </c>
      <c r="C275">
        <v>0</v>
      </c>
      <c r="D275">
        <v>0</v>
      </c>
      <c r="E275">
        <v>6000</v>
      </c>
      <c r="F275">
        <v>1275</v>
      </c>
      <c r="G275">
        <v>1000</v>
      </c>
      <c r="H275">
        <v>1450</v>
      </c>
      <c r="I275">
        <v>0</v>
      </c>
      <c r="J275">
        <v>0</v>
      </c>
      <c r="K275">
        <v>0</v>
      </c>
      <c r="L275">
        <v>0</v>
      </c>
      <c r="M275">
        <v>2000</v>
      </c>
      <c r="N275">
        <v>1500</v>
      </c>
      <c r="O275">
        <v>3000</v>
      </c>
      <c r="P275">
        <v>0</v>
      </c>
      <c r="Q275">
        <v>0</v>
      </c>
      <c r="R275">
        <v>0</v>
      </c>
      <c r="S275">
        <v>0</v>
      </c>
      <c r="T275">
        <v>178643303</v>
      </c>
      <c r="U275" s="19">
        <f t="shared" si="39"/>
        <v>271775</v>
      </c>
      <c r="V275" s="20">
        <f t="shared" si="32"/>
        <v>25775</v>
      </c>
      <c r="W275" s="20">
        <v>108000</v>
      </c>
      <c r="X275" s="20">
        <f t="shared" si="38"/>
        <v>126000</v>
      </c>
      <c r="Y275" s="20">
        <v>18000</v>
      </c>
      <c r="Z275" s="20">
        <f t="shared" si="33"/>
        <v>144000</v>
      </c>
      <c r="AA275" s="20">
        <v>84000</v>
      </c>
      <c r="AB275" s="20">
        <f t="shared" si="31"/>
        <v>102000</v>
      </c>
      <c r="AC275" s="20"/>
      <c r="AD275" s="20">
        <f t="shared" si="34"/>
        <v>102000</v>
      </c>
      <c r="AE275" s="20">
        <v>0</v>
      </c>
      <c r="AF275" s="20">
        <v>0</v>
      </c>
      <c r="AG275" s="20">
        <f t="shared" si="35"/>
        <v>0</v>
      </c>
      <c r="AH275" s="20">
        <v>0</v>
      </c>
      <c r="AI275" s="37">
        <v>0</v>
      </c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1:51" ht="14.15" hidden="1" customHeight="1" x14ac:dyDescent="0.35">
      <c r="A276">
        <v>4550</v>
      </c>
      <c r="B276">
        <v>5000</v>
      </c>
      <c r="C276">
        <v>0</v>
      </c>
      <c r="D276">
        <v>0</v>
      </c>
      <c r="E276">
        <v>6000</v>
      </c>
      <c r="F276">
        <v>0</v>
      </c>
      <c r="G276">
        <v>0</v>
      </c>
      <c r="H276">
        <v>1700</v>
      </c>
      <c r="I276">
        <v>0</v>
      </c>
      <c r="J276">
        <v>0</v>
      </c>
      <c r="K276">
        <v>0</v>
      </c>
      <c r="L276">
        <v>1500</v>
      </c>
      <c r="M276">
        <v>2000</v>
      </c>
      <c r="N276">
        <v>1500</v>
      </c>
      <c r="O276">
        <v>3000</v>
      </c>
      <c r="P276">
        <v>0</v>
      </c>
      <c r="Q276">
        <v>0</v>
      </c>
      <c r="R276">
        <v>0</v>
      </c>
      <c r="S276">
        <v>0</v>
      </c>
      <c r="T276">
        <v>195620365</v>
      </c>
      <c r="U276" s="19">
        <f t="shared" si="39"/>
        <v>337250</v>
      </c>
      <c r="V276" s="20">
        <f t="shared" si="32"/>
        <v>25250</v>
      </c>
      <c r="W276" s="20">
        <v>144000</v>
      </c>
      <c r="X276" s="20">
        <f t="shared" si="38"/>
        <v>162000</v>
      </c>
      <c r="Y276" s="20"/>
      <c r="Z276" s="20">
        <f t="shared" si="33"/>
        <v>162000</v>
      </c>
      <c r="AA276" s="20">
        <v>132000</v>
      </c>
      <c r="AB276" s="20">
        <f t="shared" si="31"/>
        <v>150000</v>
      </c>
      <c r="AC276" s="20"/>
      <c r="AD276" s="20">
        <f t="shared" si="34"/>
        <v>150000</v>
      </c>
      <c r="AE276" s="20">
        <v>0</v>
      </c>
      <c r="AF276" s="20">
        <v>0</v>
      </c>
      <c r="AG276" s="20">
        <f t="shared" si="35"/>
        <v>0</v>
      </c>
      <c r="AH276" s="20">
        <v>0</v>
      </c>
      <c r="AI276" s="37">
        <v>0</v>
      </c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1:51" ht="14.15" hidden="1" customHeight="1" x14ac:dyDescent="0.35">
      <c r="A277">
        <v>4500</v>
      </c>
      <c r="B277">
        <v>5000</v>
      </c>
      <c r="C277">
        <v>0</v>
      </c>
      <c r="D277">
        <v>0</v>
      </c>
      <c r="E277">
        <v>6000</v>
      </c>
      <c r="F277">
        <v>2700</v>
      </c>
      <c r="G277">
        <v>1500</v>
      </c>
      <c r="H277">
        <v>650</v>
      </c>
      <c r="I277">
        <v>0</v>
      </c>
      <c r="J277">
        <v>0</v>
      </c>
      <c r="K277">
        <v>0</v>
      </c>
      <c r="L277">
        <v>1500</v>
      </c>
      <c r="M277">
        <v>2000</v>
      </c>
      <c r="N277">
        <v>1500</v>
      </c>
      <c r="O277">
        <v>3000</v>
      </c>
      <c r="P277">
        <v>0</v>
      </c>
      <c r="Q277">
        <v>0</v>
      </c>
      <c r="R277">
        <v>0</v>
      </c>
      <c r="S277">
        <v>0</v>
      </c>
      <c r="T277">
        <v>594960766</v>
      </c>
      <c r="U277" s="19">
        <f t="shared" si="39"/>
        <v>270750</v>
      </c>
      <c r="V277" s="20">
        <f t="shared" si="32"/>
        <v>28350</v>
      </c>
      <c r="W277" s="20">
        <v>114000</v>
      </c>
      <c r="X277" s="20">
        <f t="shared" si="38"/>
        <v>132000</v>
      </c>
      <c r="Y277" s="20"/>
      <c r="Z277" s="20">
        <f t="shared" si="33"/>
        <v>132000</v>
      </c>
      <c r="AA277" s="20">
        <v>78000</v>
      </c>
      <c r="AB277" s="20">
        <f t="shared" si="31"/>
        <v>96000</v>
      </c>
      <c r="AC277" s="20">
        <v>14400</v>
      </c>
      <c r="AD277" s="20">
        <f t="shared" si="34"/>
        <v>110400</v>
      </c>
      <c r="AE277" s="20">
        <v>0</v>
      </c>
      <c r="AF277" s="20">
        <v>0</v>
      </c>
      <c r="AG277" s="20">
        <f t="shared" si="35"/>
        <v>0</v>
      </c>
      <c r="AH277" s="20">
        <v>0</v>
      </c>
      <c r="AI277" s="37">
        <v>0</v>
      </c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1:51" ht="14.15" hidden="1" customHeight="1" x14ac:dyDescent="0.35">
      <c r="A278">
        <v>4500</v>
      </c>
      <c r="B278">
        <v>5000</v>
      </c>
      <c r="C278">
        <v>0</v>
      </c>
      <c r="D278">
        <v>0</v>
      </c>
      <c r="E278">
        <v>6000</v>
      </c>
      <c r="F278">
        <v>2700</v>
      </c>
      <c r="G278">
        <v>2000</v>
      </c>
      <c r="H278">
        <v>1450</v>
      </c>
      <c r="I278">
        <v>0</v>
      </c>
      <c r="J278">
        <v>0</v>
      </c>
      <c r="K278">
        <v>0</v>
      </c>
      <c r="L278">
        <v>1500</v>
      </c>
      <c r="M278">
        <v>2000</v>
      </c>
      <c r="N278">
        <v>1500</v>
      </c>
      <c r="O278">
        <v>3000</v>
      </c>
      <c r="P278">
        <v>0</v>
      </c>
      <c r="Q278">
        <v>0</v>
      </c>
      <c r="R278">
        <v>0</v>
      </c>
      <c r="S278">
        <v>0</v>
      </c>
      <c r="T278">
        <v>203641674</v>
      </c>
      <c r="U278" s="19">
        <f t="shared" si="39"/>
        <v>385150</v>
      </c>
      <c r="V278" s="20">
        <f t="shared" si="32"/>
        <v>29650</v>
      </c>
      <c r="W278" s="20">
        <v>144000</v>
      </c>
      <c r="X278" s="20">
        <f t="shared" si="38"/>
        <v>162000</v>
      </c>
      <c r="Y278" s="20">
        <v>13500</v>
      </c>
      <c r="Z278" s="20">
        <f t="shared" si="33"/>
        <v>175500</v>
      </c>
      <c r="AA278" s="20">
        <v>144000</v>
      </c>
      <c r="AB278" s="20">
        <f t="shared" si="31"/>
        <v>162000</v>
      </c>
      <c r="AC278" s="20">
        <v>18000</v>
      </c>
      <c r="AD278" s="20">
        <f t="shared" si="34"/>
        <v>180000</v>
      </c>
      <c r="AE278" s="20">
        <v>0</v>
      </c>
      <c r="AF278" s="20">
        <v>0</v>
      </c>
      <c r="AG278" s="20">
        <f t="shared" si="35"/>
        <v>0</v>
      </c>
      <c r="AH278" s="20">
        <v>0</v>
      </c>
      <c r="AI278" s="37">
        <v>0</v>
      </c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1:51" ht="14.15" hidden="1" customHeight="1" x14ac:dyDescent="0.35">
      <c r="A279">
        <v>0</v>
      </c>
      <c r="B279">
        <v>5000</v>
      </c>
      <c r="C279">
        <v>0</v>
      </c>
      <c r="D279">
        <v>0</v>
      </c>
      <c r="E279">
        <v>6000</v>
      </c>
      <c r="F279">
        <v>2700</v>
      </c>
      <c r="G279">
        <v>1500</v>
      </c>
      <c r="H279">
        <v>0</v>
      </c>
      <c r="I279">
        <v>0</v>
      </c>
      <c r="J279">
        <v>0</v>
      </c>
      <c r="K279">
        <v>0</v>
      </c>
      <c r="L279">
        <v>1500</v>
      </c>
      <c r="M279">
        <v>2000</v>
      </c>
      <c r="N279">
        <v>1500</v>
      </c>
      <c r="O279">
        <v>3000</v>
      </c>
      <c r="P279">
        <v>0</v>
      </c>
      <c r="Q279">
        <v>0</v>
      </c>
      <c r="R279">
        <v>0</v>
      </c>
      <c r="S279">
        <v>0</v>
      </c>
      <c r="T279">
        <v>136849206</v>
      </c>
      <c r="U279" s="19">
        <f t="shared" si="39"/>
        <v>305200</v>
      </c>
      <c r="V279" s="20">
        <f t="shared" si="32"/>
        <v>23200</v>
      </c>
      <c r="W279" s="20">
        <v>138000</v>
      </c>
      <c r="X279" s="20">
        <f t="shared" si="38"/>
        <v>156000</v>
      </c>
      <c r="Y279" s="20"/>
      <c r="Z279" s="20">
        <f t="shared" si="33"/>
        <v>156000</v>
      </c>
      <c r="AA279" s="20">
        <v>108000</v>
      </c>
      <c r="AB279" s="20">
        <f t="shared" si="31"/>
        <v>126000</v>
      </c>
      <c r="AC279" s="20"/>
      <c r="AD279" s="20">
        <f t="shared" si="34"/>
        <v>126000</v>
      </c>
      <c r="AE279" s="20">
        <v>0</v>
      </c>
      <c r="AF279" s="20">
        <v>0</v>
      </c>
      <c r="AG279" s="20">
        <f t="shared" si="35"/>
        <v>0</v>
      </c>
      <c r="AH279" s="20">
        <v>0</v>
      </c>
      <c r="AI279" s="37">
        <v>0</v>
      </c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1:51" ht="14.15" hidden="1" customHeight="1" x14ac:dyDescent="0.35">
      <c r="A280">
        <v>0</v>
      </c>
      <c r="B280">
        <v>0</v>
      </c>
      <c r="C280">
        <v>0</v>
      </c>
      <c r="D280">
        <v>0</v>
      </c>
      <c r="E280">
        <v>0</v>
      </c>
      <c r="F280">
        <v>2700</v>
      </c>
      <c r="G280">
        <v>1000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2000</v>
      </c>
      <c r="N280">
        <v>1500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192640108</v>
      </c>
      <c r="U280" s="19">
        <f t="shared" si="39"/>
        <v>193200</v>
      </c>
      <c r="V280" s="20">
        <f>SUM(A280:S280)</f>
        <v>7200</v>
      </c>
      <c r="W280" s="20">
        <v>48000</v>
      </c>
      <c r="X280" s="20">
        <f t="shared" si="38"/>
        <v>66000</v>
      </c>
      <c r="Y280" s="20"/>
      <c r="Z280" s="20">
        <f t="shared" si="33"/>
        <v>66000</v>
      </c>
      <c r="AA280" s="20">
        <v>102000</v>
      </c>
      <c r="AB280" s="20">
        <f t="shared" si="31"/>
        <v>120000</v>
      </c>
      <c r="AC280" s="20"/>
      <c r="AD280" s="20">
        <f t="shared" si="34"/>
        <v>120000</v>
      </c>
      <c r="AE280" s="20"/>
      <c r="AF280" s="20"/>
      <c r="AG280" s="20"/>
      <c r="AH280" s="20"/>
      <c r="AI280" s="37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1:51" ht="14.15" hidden="1" customHeight="1" x14ac:dyDescent="0.35">
      <c r="A281">
        <v>4300</v>
      </c>
      <c r="B281">
        <v>5000</v>
      </c>
      <c r="C281">
        <v>0</v>
      </c>
      <c r="D281">
        <v>0</v>
      </c>
      <c r="E281">
        <v>6000</v>
      </c>
      <c r="F281">
        <v>0</v>
      </c>
      <c r="G281">
        <v>2500</v>
      </c>
      <c r="H281">
        <v>1200</v>
      </c>
      <c r="I281">
        <v>0</v>
      </c>
      <c r="J281">
        <v>0</v>
      </c>
      <c r="K281">
        <v>0</v>
      </c>
      <c r="L281">
        <v>1500</v>
      </c>
      <c r="M281">
        <v>0</v>
      </c>
      <c r="N281">
        <v>1500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189665918</v>
      </c>
      <c r="U281" s="19">
        <f t="shared" si="39"/>
        <v>298000</v>
      </c>
      <c r="V281" s="20">
        <f t="shared" si="32"/>
        <v>22000</v>
      </c>
      <c r="W281" s="20">
        <v>132000</v>
      </c>
      <c r="X281" s="20">
        <f t="shared" si="38"/>
        <v>150000</v>
      </c>
      <c r="Y281" s="20"/>
      <c r="Z281" s="20">
        <f t="shared" si="33"/>
        <v>150000</v>
      </c>
      <c r="AA281" s="20">
        <v>108000</v>
      </c>
      <c r="AB281" s="20">
        <f t="shared" si="31"/>
        <v>126000</v>
      </c>
      <c r="AC281" s="20"/>
      <c r="AD281" s="20">
        <f t="shared" si="34"/>
        <v>126000</v>
      </c>
      <c r="AE281" s="20">
        <v>0</v>
      </c>
      <c r="AF281" s="20">
        <v>0</v>
      </c>
      <c r="AG281" s="20">
        <f t="shared" si="35"/>
        <v>0</v>
      </c>
      <c r="AH281" s="20">
        <v>0</v>
      </c>
      <c r="AI281" s="37">
        <v>0</v>
      </c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1:51" ht="14.15" hidden="1" customHeight="1" x14ac:dyDescent="0.35">
      <c r="A282">
        <v>0</v>
      </c>
      <c r="B282">
        <v>5000</v>
      </c>
      <c r="C282">
        <v>0</v>
      </c>
      <c r="D282">
        <v>0</v>
      </c>
      <c r="E282">
        <v>6000</v>
      </c>
      <c r="F282">
        <v>2700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2000</v>
      </c>
      <c r="N282">
        <v>0</v>
      </c>
      <c r="O282">
        <v>3000</v>
      </c>
      <c r="P282">
        <v>0</v>
      </c>
      <c r="Q282">
        <v>0</v>
      </c>
      <c r="R282">
        <v>0</v>
      </c>
      <c r="S282">
        <v>0</v>
      </c>
      <c r="T282">
        <v>161664589</v>
      </c>
      <c r="U282" s="19">
        <f t="shared" si="39"/>
        <v>231100</v>
      </c>
      <c r="V282" s="20">
        <f t="shared" si="32"/>
        <v>18700</v>
      </c>
      <c r="W282" s="20">
        <v>66000</v>
      </c>
      <c r="X282" s="20">
        <f t="shared" si="38"/>
        <v>84000</v>
      </c>
      <c r="Y282" s="20"/>
      <c r="Z282" s="20">
        <f t="shared" si="33"/>
        <v>84000</v>
      </c>
      <c r="AA282" s="20">
        <v>96000</v>
      </c>
      <c r="AB282" s="20">
        <f t="shared" ref="AB282:AB345" si="40">AA282+18000</f>
        <v>114000</v>
      </c>
      <c r="AC282" s="20">
        <v>14400</v>
      </c>
      <c r="AD282" s="20">
        <f t="shared" si="34"/>
        <v>128400</v>
      </c>
      <c r="AE282" s="20">
        <v>0</v>
      </c>
      <c r="AF282" s="20">
        <v>0</v>
      </c>
      <c r="AG282" s="20">
        <f t="shared" si="35"/>
        <v>0</v>
      </c>
      <c r="AH282" s="20">
        <v>0</v>
      </c>
      <c r="AI282" s="37">
        <v>0</v>
      </c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1:51" ht="14.15" hidden="1" customHeight="1" x14ac:dyDescent="0.35">
      <c r="A283">
        <v>4300</v>
      </c>
      <c r="B283">
        <v>4500</v>
      </c>
      <c r="C283">
        <v>0</v>
      </c>
      <c r="D283">
        <v>0</v>
      </c>
      <c r="E283">
        <v>6000</v>
      </c>
      <c r="F283">
        <v>2700</v>
      </c>
      <c r="G283">
        <v>2000</v>
      </c>
      <c r="H283">
        <v>1700</v>
      </c>
      <c r="I283">
        <v>0</v>
      </c>
      <c r="J283">
        <v>0</v>
      </c>
      <c r="K283">
        <v>0</v>
      </c>
      <c r="L283">
        <v>1500</v>
      </c>
      <c r="M283">
        <v>2000</v>
      </c>
      <c r="N283">
        <v>1500</v>
      </c>
      <c r="O283">
        <v>3000</v>
      </c>
      <c r="P283">
        <v>0</v>
      </c>
      <c r="Q283">
        <v>0</v>
      </c>
      <c r="R283">
        <v>0</v>
      </c>
      <c r="S283">
        <v>0</v>
      </c>
      <c r="T283">
        <v>170701083</v>
      </c>
      <c r="U283" s="19">
        <f t="shared" si="39"/>
        <v>341200</v>
      </c>
      <c r="V283" s="20">
        <f t="shared" si="32"/>
        <v>29200</v>
      </c>
      <c r="W283" s="20">
        <v>150000</v>
      </c>
      <c r="X283" s="20">
        <f t="shared" si="38"/>
        <v>168000</v>
      </c>
      <c r="Y283" s="20"/>
      <c r="Z283" s="20">
        <f t="shared" si="33"/>
        <v>168000</v>
      </c>
      <c r="AA283" s="20">
        <v>126000</v>
      </c>
      <c r="AB283" s="20">
        <f t="shared" si="40"/>
        <v>144000</v>
      </c>
      <c r="AC283" s="20"/>
      <c r="AD283" s="20">
        <f t="shared" si="34"/>
        <v>144000</v>
      </c>
      <c r="AE283" s="20">
        <v>0</v>
      </c>
      <c r="AF283" s="20">
        <v>0</v>
      </c>
      <c r="AG283" s="20">
        <f t="shared" si="35"/>
        <v>0</v>
      </c>
      <c r="AH283" s="20">
        <v>0</v>
      </c>
      <c r="AI283" s="37">
        <v>0</v>
      </c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1:51" ht="14.15" hidden="1" customHeight="1" x14ac:dyDescent="0.35">
      <c r="A284">
        <v>4500</v>
      </c>
      <c r="B284">
        <v>5000</v>
      </c>
      <c r="C284">
        <v>0</v>
      </c>
      <c r="D284">
        <v>0</v>
      </c>
      <c r="E284">
        <v>6000</v>
      </c>
      <c r="F284">
        <v>2700</v>
      </c>
      <c r="G284">
        <v>1500</v>
      </c>
      <c r="H284">
        <v>1700</v>
      </c>
      <c r="I284">
        <v>0</v>
      </c>
      <c r="J284">
        <v>0</v>
      </c>
      <c r="K284">
        <v>0</v>
      </c>
      <c r="L284">
        <v>1500</v>
      </c>
      <c r="M284">
        <v>2000</v>
      </c>
      <c r="N284">
        <v>1500</v>
      </c>
      <c r="O284">
        <v>3000</v>
      </c>
      <c r="P284">
        <v>0</v>
      </c>
      <c r="Q284">
        <v>0</v>
      </c>
      <c r="R284">
        <v>0</v>
      </c>
      <c r="S284">
        <v>0</v>
      </c>
      <c r="T284">
        <v>177707353</v>
      </c>
      <c r="U284" s="19">
        <f t="shared" si="39"/>
        <v>359400</v>
      </c>
      <c r="V284" s="20">
        <f t="shared" ref="V284:V347" si="41">SUM(A284:S284)</f>
        <v>29400</v>
      </c>
      <c r="W284" s="20">
        <v>126000</v>
      </c>
      <c r="X284" s="20">
        <f t="shared" si="38"/>
        <v>144000</v>
      </c>
      <c r="Y284" s="20"/>
      <c r="Z284" s="20">
        <f t="shared" ref="Z284:Z347" si="42">SUM(X284:Y284)</f>
        <v>144000</v>
      </c>
      <c r="AA284" s="20">
        <v>150000</v>
      </c>
      <c r="AB284" s="20">
        <f t="shared" si="40"/>
        <v>168000</v>
      </c>
      <c r="AC284" s="20">
        <v>18000</v>
      </c>
      <c r="AD284" s="20">
        <f t="shared" ref="AD284:AD347" si="43">SUM(AB284:AC284)</f>
        <v>186000</v>
      </c>
      <c r="AE284" s="20">
        <v>0</v>
      </c>
      <c r="AF284" s="20">
        <v>0</v>
      </c>
      <c r="AG284" s="20">
        <f t="shared" ref="AG284:AG347" si="44">SUM(AE284:AF284)</f>
        <v>0</v>
      </c>
      <c r="AH284" s="20">
        <v>0</v>
      </c>
      <c r="AI284" s="37">
        <v>0</v>
      </c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1:51" ht="14.15" hidden="1" customHeight="1" x14ac:dyDescent="0.35">
      <c r="A285">
        <v>4300</v>
      </c>
      <c r="B285">
        <v>5000</v>
      </c>
      <c r="C285">
        <v>0</v>
      </c>
      <c r="D285">
        <v>0</v>
      </c>
      <c r="E285">
        <v>6000</v>
      </c>
      <c r="F285">
        <v>2700</v>
      </c>
      <c r="G285">
        <v>1500</v>
      </c>
      <c r="H285">
        <v>0</v>
      </c>
      <c r="I285">
        <v>0</v>
      </c>
      <c r="J285">
        <v>0</v>
      </c>
      <c r="K285">
        <v>0</v>
      </c>
      <c r="L285">
        <v>1500</v>
      </c>
      <c r="M285">
        <v>2000</v>
      </c>
      <c r="N285">
        <v>1500</v>
      </c>
      <c r="O285">
        <v>3000</v>
      </c>
      <c r="P285">
        <v>0</v>
      </c>
      <c r="Q285">
        <v>0</v>
      </c>
      <c r="R285">
        <v>0</v>
      </c>
      <c r="S285">
        <v>0</v>
      </c>
      <c r="T285">
        <v>199708093</v>
      </c>
      <c r="U285" s="19">
        <f t="shared" si="39"/>
        <v>347900</v>
      </c>
      <c r="V285" s="20">
        <f t="shared" si="41"/>
        <v>27500</v>
      </c>
      <c r="W285" s="20">
        <v>108000</v>
      </c>
      <c r="X285" s="20">
        <f t="shared" si="38"/>
        <v>126000</v>
      </c>
      <c r="Y285" s="20">
        <v>14400</v>
      </c>
      <c r="Z285" s="20">
        <f t="shared" si="42"/>
        <v>140400</v>
      </c>
      <c r="AA285" s="20">
        <v>144000</v>
      </c>
      <c r="AB285" s="20">
        <f t="shared" si="40"/>
        <v>162000</v>
      </c>
      <c r="AC285" s="20">
        <v>18000</v>
      </c>
      <c r="AD285" s="20">
        <f t="shared" si="43"/>
        <v>180000</v>
      </c>
      <c r="AE285" s="20">
        <v>0</v>
      </c>
      <c r="AF285" s="20">
        <v>0</v>
      </c>
      <c r="AG285" s="20">
        <f t="shared" si="44"/>
        <v>0</v>
      </c>
      <c r="AH285" s="20">
        <v>0</v>
      </c>
      <c r="AI285" s="37">
        <v>0</v>
      </c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1:51" ht="14.15" hidden="1" customHeight="1" x14ac:dyDescent="0.35">
      <c r="A286">
        <v>5000</v>
      </c>
      <c r="B286">
        <v>5000</v>
      </c>
      <c r="C286">
        <v>0</v>
      </c>
      <c r="D286">
        <v>0</v>
      </c>
      <c r="E286">
        <v>6000</v>
      </c>
      <c r="F286">
        <v>2700</v>
      </c>
      <c r="G286">
        <v>1000</v>
      </c>
      <c r="H286">
        <v>1700</v>
      </c>
      <c r="I286">
        <v>0</v>
      </c>
      <c r="J286">
        <v>0</v>
      </c>
      <c r="K286">
        <v>0</v>
      </c>
      <c r="L286">
        <v>1500</v>
      </c>
      <c r="M286">
        <v>2000</v>
      </c>
      <c r="N286">
        <v>1500</v>
      </c>
      <c r="O286">
        <v>3000</v>
      </c>
      <c r="P286">
        <v>0</v>
      </c>
      <c r="Q286">
        <v>0</v>
      </c>
      <c r="R286">
        <v>0</v>
      </c>
      <c r="S286">
        <v>0</v>
      </c>
      <c r="T286">
        <v>77845608</v>
      </c>
      <c r="U286" s="19">
        <f t="shared" si="39"/>
        <v>360900</v>
      </c>
      <c r="V286" s="20">
        <f t="shared" si="41"/>
        <v>29400</v>
      </c>
      <c r="W286" s="20">
        <v>126000</v>
      </c>
      <c r="X286" s="20">
        <f t="shared" si="38"/>
        <v>144000</v>
      </c>
      <c r="Y286" s="20">
        <v>13500</v>
      </c>
      <c r="Z286" s="20">
        <f t="shared" si="42"/>
        <v>157500</v>
      </c>
      <c r="AA286" s="20">
        <v>138000</v>
      </c>
      <c r="AB286" s="20">
        <f t="shared" si="40"/>
        <v>156000</v>
      </c>
      <c r="AC286" s="20">
        <v>18000</v>
      </c>
      <c r="AD286" s="20">
        <f t="shared" si="43"/>
        <v>174000</v>
      </c>
      <c r="AE286" s="20">
        <v>0</v>
      </c>
      <c r="AF286" s="20">
        <v>0</v>
      </c>
      <c r="AG286" s="20">
        <f t="shared" si="44"/>
        <v>0</v>
      </c>
      <c r="AH286" s="20">
        <v>0</v>
      </c>
      <c r="AI286" s="37">
        <v>0</v>
      </c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1:51" ht="14.15" hidden="1" customHeight="1" x14ac:dyDescent="0.35">
      <c r="A287">
        <v>4100</v>
      </c>
      <c r="B287">
        <v>0</v>
      </c>
      <c r="C287">
        <v>0</v>
      </c>
      <c r="D287">
        <v>0</v>
      </c>
      <c r="E287">
        <v>6000</v>
      </c>
      <c r="F287">
        <v>2700</v>
      </c>
      <c r="G287">
        <v>2500</v>
      </c>
      <c r="H287">
        <v>1800</v>
      </c>
      <c r="I287">
        <v>0</v>
      </c>
      <c r="J287">
        <v>0</v>
      </c>
      <c r="K287">
        <v>0</v>
      </c>
      <c r="L287">
        <v>0</v>
      </c>
      <c r="M287">
        <v>2000</v>
      </c>
      <c r="N287">
        <v>1500</v>
      </c>
      <c r="O287">
        <v>3000</v>
      </c>
      <c r="P287">
        <v>0</v>
      </c>
      <c r="Q287">
        <v>0</v>
      </c>
      <c r="R287">
        <v>0</v>
      </c>
      <c r="S287">
        <v>0</v>
      </c>
      <c r="T287">
        <v>151789609</v>
      </c>
      <c r="U287" s="19">
        <f t="shared" si="39"/>
        <v>293600</v>
      </c>
      <c r="V287" s="20">
        <f t="shared" si="41"/>
        <v>23600</v>
      </c>
      <c r="W287" s="20">
        <v>126000</v>
      </c>
      <c r="X287" s="20">
        <f t="shared" si="38"/>
        <v>144000</v>
      </c>
      <c r="Y287" s="20"/>
      <c r="Z287" s="20">
        <f t="shared" si="42"/>
        <v>144000</v>
      </c>
      <c r="AA287" s="20">
        <v>108000</v>
      </c>
      <c r="AB287" s="20">
        <f t="shared" si="40"/>
        <v>126000</v>
      </c>
      <c r="AC287" s="20"/>
      <c r="AD287" s="20">
        <f t="shared" si="43"/>
        <v>126000</v>
      </c>
      <c r="AE287" s="20">
        <v>0</v>
      </c>
      <c r="AF287" s="20">
        <v>0</v>
      </c>
      <c r="AG287" s="20">
        <f t="shared" si="44"/>
        <v>0</v>
      </c>
      <c r="AH287" s="20">
        <v>0</v>
      </c>
      <c r="AI287" s="37">
        <v>0</v>
      </c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1:51" ht="14.15" hidden="1" customHeight="1" x14ac:dyDescent="0.35">
      <c r="A288">
        <v>4050</v>
      </c>
      <c r="B288">
        <v>5000</v>
      </c>
      <c r="C288">
        <v>0</v>
      </c>
      <c r="D288">
        <v>0</v>
      </c>
      <c r="E288">
        <v>6000</v>
      </c>
      <c r="F288">
        <v>2700</v>
      </c>
      <c r="G288">
        <v>2000</v>
      </c>
      <c r="H288">
        <v>1450</v>
      </c>
      <c r="I288">
        <v>0</v>
      </c>
      <c r="J288">
        <v>0</v>
      </c>
      <c r="K288">
        <v>0</v>
      </c>
      <c r="L288">
        <v>1500</v>
      </c>
      <c r="M288">
        <v>2000</v>
      </c>
      <c r="N288">
        <v>1500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589740450</v>
      </c>
      <c r="U288" s="19">
        <f t="shared" si="39"/>
        <v>314200</v>
      </c>
      <c r="V288" s="20">
        <f t="shared" si="41"/>
        <v>26200</v>
      </c>
      <c r="W288" s="20">
        <v>120000</v>
      </c>
      <c r="X288" s="20">
        <f t="shared" si="38"/>
        <v>138000</v>
      </c>
      <c r="Y288" s="20"/>
      <c r="Z288" s="20">
        <f t="shared" si="42"/>
        <v>138000</v>
      </c>
      <c r="AA288" s="20">
        <v>132000</v>
      </c>
      <c r="AB288" s="20">
        <f t="shared" si="40"/>
        <v>150000</v>
      </c>
      <c r="AC288" s="20"/>
      <c r="AD288" s="20">
        <f t="shared" si="43"/>
        <v>150000</v>
      </c>
      <c r="AE288" s="20">
        <v>0</v>
      </c>
      <c r="AF288" s="20">
        <v>0</v>
      </c>
      <c r="AG288" s="20">
        <f t="shared" si="44"/>
        <v>0</v>
      </c>
      <c r="AH288" s="20">
        <v>0</v>
      </c>
      <c r="AI288" s="37">
        <v>0</v>
      </c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1:51" ht="14.15" hidden="1" customHeight="1" x14ac:dyDescent="0.35">
      <c r="A289">
        <v>5000</v>
      </c>
      <c r="B289">
        <v>5000</v>
      </c>
      <c r="C289">
        <v>0</v>
      </c>
      <c r="D289">
        <v>0</v>
      </c>
      <c r="E289">
        <v>6000</v>
      </c>
      <c r="F289">
        <v>2700</v>
      </c>
      <c r="G289">
        <v>2000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2000</v>
      </c>
      <c r="N289">
        <v>1500</v>
      </c>
      <c r="O289">
        <v>3000</v>
      </c>
      <c r="P289">
        <v>0</v>
      </c>
      <c r="Q289">
        <v>0</v>
      </c>
      <c r="R289">
        <v>0</v>
      </c>
      <c r="S289">
        <v>0</v>
      </c>
      <c r="T289">
        <v>87742446</v>
      </c>
      <c r="U289" s="19">
        <f t="shared" si="39"/>
        <v>357200</v>
      </c>
      <c r="V289" s="20">
        <f t="shared" si="41"/>
        <v>27200</v>
      </c>
      <c r="W289" s="20">
        <v>132000</v>
      </c>
      <c r="X289" s="20">
        <f t="shared" si="38"/>
        <v>150000</v>
      </c>
      <c r="Y289" s="20">
        <v>18000</v>
      </c>
      <c r="Z289" s="20">
        <f t="shared" si="42"/>
        <v>168000</v>
      </c>
      <c r="AA289" s="20">
        <v>126000</v>
      </c>
      <c r="AB289" s="20">
        <f t="shared" si="40"/>
        <v>144000</v>
      </c>
      <c r="AC289" s="20">
        <v>18000</v>
      </c>
      <c r="AD289" s="20">
        <f t="shared" si="43"/>
        <v>162000</v>
      </c>
      <c r="AE289" s="20">
        <v>0</v>
      </c>
      <c r="AF289" s="20">
        <v>0</v>
      </c>
      <c r="AG289" s="20">
        <f t="shared" si="44"/>
        <v>0</v>
      </c>
      <c r="AH289" s="20">
        <v>0</v>
      </c>
      <c r="AI289" s="37">
        <v>0</v>
      </c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1:51" ht="14.15" hidden="1" customHeight="1" x14ac:dyDescent="0.35">
      <c r="A290">
        <v>0</v>
      </c>
      <c r="B290">
        <v>0</v>
      </c>
      <c r="C290">
        <v>0</v>
      </c>
      <c r="D290">
        <v>0</v>
      </c>
      <c r="E290">
        <v>6000</v>
      </c>
      <c r="F290">
        <v>0</v>
      </c>
      <c r="G290">
        <v>1500</v>
      </c>
      <c r="H290">
        <v>0</v>
      </c>
      <c r="I290">
        <v>0</v>
      </c>
      <c r="J290">
        <v>0</v>
      </c>
      <c r="K290">
        <v>0</v>
      </c>
      <c r="L290">
        <v>1500</v>
      </c>
      <c r="M290">
        <v>0</v>
      </c>
      <c r="N290">
        <v>1500</v>
      </c>
      <c r="O290">
        <v>3000</v>
      </c>
      <c r="P290">
        <v>0</v>
      </c>
      <c r="Q290">
        <v>0</v>
      </c>
      <c r="R290">
        <v>0</v>
      </c>
      <c r="S290">
        <v>0</v>
      </c>
      <c r="T290">
        <v>217256345</v>
      </c>
      <c r="U290" s="19">
        <f t="shared" si="39"/>
        <v>319500</v>
      </c>
      <c r="V290" s="20">
        <f t="shared" si="41"/>
        <v>13500</v>
      </c>
      <c r="W290" s="20">
        <v>162000</v>
      </c>
      <c r="X290" s="20">
        <f t="shared" si="38"/>
        <v>180000</v>
      </c>
      <c r="Y290" s="20"/>
      <c r="Z290" s="20">
        <f t="shared" si="42"/>
        <v>180000</v>
      </c>
      <c r="AA290" s="20">
        <v>108000</v>
      </c>
      <c r="AB290" s="20">
        <f t="shared" si="40"/>
        <v>126000</v>
      </c>
      <c r="AC290" s="20"/>
      <c r="AD290" s="20">
        <f t="shared" si="43"/>
        <v>126000</v>
      </c>
      <c r="AE290" s="20">
        <v>0</v>
      </c>
      <c r="AF290" s="20">
        <v>0</v>
      </c>
      <c r="AG290" s="20">
        <f t="shared" si="44"/>
        <v>0</v>
      </c>
      <c r="AH290" s="20">
        <v>0</v>
      </c>
      <c r="AI290" s="37">
        <v>0</v>
      </c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1:51" ht="14.15" hidden="1" customHeight="1" x14ac:dyDescent="0.35">
      <c r="A291">
        <v>4500</v>
      </c>
      <c r="B291">
        <v>5000</v>
      </c>
      <c r="C291">
        <v>0</v>
      </c>
      <c r="D291">
        <v>0</v>
      </c>
      <c r="E291">
        <v>6000</v>
      </c>
      <c r="F291">
        <v>0</v>
      </c>
      <c r="G291">
        <v>1000</v>
      </c>
      <c r="H291">
        <v>0</v>
      </c>
      <c r="I291">
        <v>0</v>
      </c>
      <c r="J291">
        <v>0</v>
      </c>
      <c r="K291">
        <v>0</v>
      </c>
      <c r="L291">
        <v>1500</v>
      </c>
      <c r="M291">
        <v>2000</v>
      </c>
      <c r="N291">
        <v>0</v>
      </c>
      <c r="O291">
        <v>3000</v>
      </c>
      <c r="P291">
        <v>0</v>
      </c>
      <c r="Q291">
        <v>0</v>
      </c>
      <c r="R291">
        <v>0</v>
      </c>
      <c r="S291">
        <v>0</v>
      </c>
      <c r="T291">
        <v>802611301</v>
      </c>
      <c r="U291" s="19">
        <f t="shared" si="39"/>
        <v>383000</v>
      </c>
      <c r="V291" s="20">
        <f t="shared" si="41"/>
        <v>23000</v>
      </c>
      <c r="W291" s="20">
        <v>174000</v>
      </c>
      <c r="X291" s="20">
        <f t="shared" si="38"/>
        <v>192000</v>
      </c>
      <c r="Y291" s="20"/>
      <c r="Z291" s="20">
        <f t="shared" si="42"/>
        <v>192000</v>
      </c>
      <c r="AA291" s="20">
        <v>150000</v>
      </c>
      <c r="AB291" s="20">
        <f t="shared" si="40"/>
        <v>168000</v>
      </c>
      <c r="AC291" s="20"/>
      <c r="AD291" s="20">
        <f t="shared" si="43"/>
        <v>168000</v>
      </c>
      <c r="AE291" s="20">
        <v>0</v>
      </c>
      <c r="AF291" s="20">
        <v>0</v>
      </c>
      <c r="AG291" s="20">
        <f t="shared" si="44"/>
        <v>0</v>
      </c>
      <c r="AH291" s="20">
        <v>0</v>
      </c>
      <c r="AI291" s="37">
        <v>0</v>
      </c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1:51" ht="14.15" hidden="1" customHeight="1" x14ac:dyDescent="0.35">
      <c r="A292">
        <v>0</v>
      </c>
      <c r="B292">
        <v>0</v>
      </c>
      <c r="C292">
        <v>0</v>
      </c>
      <c r="D292">
        <v>0</v>
      </c>
      <c r="E292">
        <v>6000</v>
      </c>
      <c r="F292">
        <v>0</v>
      </c>
      <c r="G292">
        <v>0</v>
      </c>
      <c r="H292">
        <v>1800</v>
      </c>
      <c r="I292">
        <v>0</v>
      </c>
      <c r="J292">
        <v>0</v>
      </c>
      <c r="K292">
        <v>0</v>
      </c>
      <c r="L292">
        <v>1500</v>
      </c>
      <c r="M292">
        <v>2000</v>
      </c>
      <c r="N292">
        <v>1500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177701563</v>
      </c>
      <c r="U292" s="19">
        <f t="shared" si="39"/>
        <v>300800</v>
      </c>
      <c r="V292" s="20">
        <f t="shared" si="41"/>
        <v>12800</v>
      </c>
      <c r="W292" s="20">
        <v>150000</v>
      </c>
      <c r="X292" s="20">
        <f t="shared" si="38"/>
        <v>168000</v>
      </c>
      <c r="Y292" s="20"/>
      <c r="Z292" s="20">
        <f t="shared" si="42"/>
        <v>168000</v>
      </c>
      <c r="AA292" s="20">
        <v>102000</v>
      </c>
      <c r="AB292" s="20">
        <f t="shared" si="40"/>
        <v>120000</v>
      </c>
      <c r="AC292" s="20"/>
      <c r="AD292" s="20">
        <f t="shared" si="43"/>
        <v>120000</v>
      </c>
      <c r="AE292" s="20">
        <v>0</v>
      </c>
      <c r="AF292" s="20">
        <v>0</v>
      </c>
      <c r="AG292" s="20">
        <f t="shared" si="44"/>
        <v>0</v>
      </c>
      <c r="AH292" s="20">
        <v>0</v>
      </c>
      <c r="AI292" s="37">
        <v>0</v>
      </c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1:51" ht="14.15" hidden="1" customHeight="1" x14ac:dyDescent="0.35">
      <c r="A293">
        <v>0</v>
      </c>
      <c r="B293">
        <v>0</v>
      </c>
      <c r="C293">
        <v>0</v>
      </c>
      <c r="D293">
        <v>0</v>
      </c>
      <c r="E293">
        <v>6000</v>
      </c>
      <c r="F293">
        <v>2700</v>
      </c>
      <c r="G293">
        <v>1000</v>
      </c>
      <c r="H293">
        <v>1800</v>
      </c>
      <c r="I293">
        <v>0</v>
      </c>
      <c r="J293">
        <v>0</v>
      </c>
      <c r="K293">
        <v>0</v>
      </c>
      <c r="L293">
        <v>1500</v>
      </c>
      <c r="M293">
        <v>2000</v>
      </c>
      <c r="N293">
        <v>0</v>
      </c>
      <c r="O293">
        <v>3000</v>
      </c>
      <c r="P293">
        <v>0</v>
      </c>
      <c r="Q293">
        <v>0</v>
      </c>
      <c r="R293">
        <v>0</v>
      </c>
      <c r="S293">
        <v>0</v>
      </c>
      <c r="T293">
        <v>228337780</v>
      </c>
      <c r="U293" s="19">
        <f t="shared" si="39"/>
        <v>336000</v>
      </c>
      <c r="V293" s="20">
        <f t="shared" si="41"/>
        <v>18000</v>
      </c>
      <c r="W293" s="20">
        <v>144000</v>
      </c>
      <c r="X293" s="20">
        <f t="shared" si="38"/>
        <v>162000</v>
      </c>
      <c r="Y293" s="20"/>
      <c r="Z293" s="20">
        <f t="shared" si="42"/>
        <v>162000</v>
      </c>
      <c r="AA293" s="20">
        <v>138000</v>
      </c>
      <c r="AB293" s="20">
        <f t="shared" si="40"/>
        <v>156000</v>
      </c>
      <c r="AC293" s="20"/>
      <c r="AD293" s="20">
        <f t="shared" si="43"/>
        <v>156000</v>
      </c>
      <c r="AE293" s="20">
        <v>0</v>
      </c>
      <c r="AF293" s="20">
        <v>0</v>
      </c>
      <c r="AG293" s="20">
        <f t="shared" si="44"/>
        <v>0</v>
      </c>
      <c r="AH293" s="20">
        <v>0</v>
      </c>
      <c r="AI293" s="37">
        <v>0</v>
      </c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1:51" ht="14.15" hidden="1" customHeight="1" x14ac:dyDescent="0.35">
      <c r="A294">
        <v>0</v>
      </c>
      <c r="B294">
        <v>0</v>
      </c>
      <c r="C294">
        <v>0</v>
      </c>
      <c r="D294">
        <v>0</v>
      </c>
      <c r="E294">
        <v>6000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1500</v>
      </c>
      <c r="M294">
        <v>0</v>
      </c>
      <c r="N294">
        <v>1500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156782360</v>
      </c>
      <c r="U294" s="19">
        <f t="shared" si="39"/>
        <v>283200</v>
      </c>
      <c r="V294" s="20">
        <f t="shared" si="41"/>
        <v>9000</v>
      </c>
      <c r="W294" s="20">
        <v>114000</v>
      </c>
      <c r="X294" s="20">
        <f t="shared" si="38"/>
        <v>132000</v>
      </c>
      <c r="Y294" s="20">
        <v>16200</v>
      </c>
      <c r="Z294" s="20">
        <f t="shared" si="42"/>
        <v>148200</v>
      </c>
      <c r="AA294" s="20">
        <v>90000</v>
      </c>
      <c r="AB294" s="20">
        <f t="shared" si="40"/>
        <v>108000</v>
      </c>
      <c r="AC294" s="20">
        <v>18000</v>
      </c>
      <c r="AD294" s="20">
        <f t="shared" si="43"/>
        <v>126000</v>
      </c>
      <c r="AE294" s="20">
        <v>0</v>
      </c>
      <c r="AF294" s="20">
        <v>0</v>
      </c>
      <c r="AG294" s="20">
        <f t="shared" si="44"/>
        <v>0</v>
      </c>
      <c r="AH294" s="20">
        <v>0</v>
      </c>
      <c r="AI294" s="37">
        <v>0</v>
      </c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1:51" ht="14.15" hidden="1" customHeight="1" x14ac:dyDescent="0.35">
      <c r="A295">
        <v>3250</v>
      </c>
      <c r="B295">
        <v>5000</v>
      </c>
      <c r="C295">
        <v>0</v>
      </c>
      <c r="D295">
        <v>0</v>
      </c>
      <c r="E295">
        <v>6000</v>
      </c>
      <c r="F295">
        <v>2700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1500</v>
      </c>
      <c r="M295">
        <v>0</v>
      </c>
      <c r="N295">
        <v>1500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1845185</v>
      </c>
      <c r="U295" s="19">
        <f t="shared" si="39"/>
        <v>301950</v>
      </c>
      <c r="V295" s="20">
        <f t="shared" si="41"/>
        <v>19950</v>
      </c>
      <c r="W295" s="20">
        <v>108000</v>
      </c>
      <c r="X295" s="20">
        <f t="shared" si="38"/>
        <v>126000</v>
      </c>
      <c r="Y295" s="20"/>
      <c r="Z295" s="20">
        <f t="shared" si="42"/>
        <v>126000</v>
      </c>
      <c r="AA295" s="20">
        <v>138000</v>
      </c>
      <c r="AB295" s="20">
        <f t="shared" si="40"/>
        <v>156000</v>
      </c>
      <c r="AC295" s="20"/>
      <c r="AD295" s="20">
        <f t="shared" si="43"/>
        <v>156000</v>
      </c>
      <c r="AE295" s="20">
        <v>0</v>
      </c>
      <c r="AF295" s="20">
        <v>0</v>
      </c>
      <c r="AG295" s="20">
        <f t="shared" si="44"/>
        <v>0</v>
      </c>
      <c r="AH295" s="20">
        <v>0</v>
      </c>
      <c r="AI295" s="37">
        <v>0</v>
      </c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1:51" ht="14.15" hidden="1" customHeight="1" x14ac:dyDescent="0.35">
      <c r="A296">
        <v>4100</v>
      </c>
      <c r="B296">
        <v>0</v>
      </c>
      <c r="C296">
        <v>0</v>
      </c>
      <c r="D296">
        <v>0</v>
      </c>
      <c r="E296">
        <v>6000</v>
      </c>
      <c r="F296">
        <v>1275</v>
      </c>
      <c r="G296">
        <v>1500</v>
      </c>
      <c r="H296">
        <v>0</v>
      </c>
      <c r="I296">
        <v>0</v>
      </c>
      <c r="J296">
        <v>0</v>
      </c>
      <c r="K296">
        <v>0</v>
      </c>
      <c r="L296">
        <v>1500</v>
      </c>
      <c r="M296">
        <v>0</v>
      </c>
      <c r="N296">
        <v>1500</v>
      </c>
      <c r="O296">
        <v>3000</v>
      </c>
      <c r="P296">
        <v>0</v>
      </c>
      <c r="Q296">
        <v>0</v>
      </c>
      <c r="R296">
        <v>0</v>
      </c>
      <c r="S296">
        <v>0</v>
      </c>
      <c r="T296">
        <v>173708621</v>
      </c>
      <c r="U296" s="19">
        <f t="shared" si="39"/>
        <v>294875</v>
      </c>
      <c r="V296" s="20">
        <f t="shared" si="41"/>
        <v>18875</v>
      </c>
      <c r="W296" s="20">
        <v>132000</v>
      </c>
      <c r="X296" s="20">
        <f t="shared" si="38"/>
        <v>150000</v>
      </c>
      <c r="Y296" s="20"/>
      <c r="Z296" s="20">
        <f t="shared" si="42"/>
        <v>150000</v>
      </c>
      <c r="AA296" s="20">
        <v>108000</v>
      </c>
      <c r="AB296" s="20">
        <f t="shared" si="40"/>
        <v>126000</v>
      </c>
      <c r="AC296" s="20"/>
      <c r="AD296" s="20">
        <f t="shared" si="43"/>
        <v>126000</v>
      </c>
      <c r="AE296" s="20">
        <v>0</v>
      </c>
      <c r="AF296" s="20">
        <v>0</v>
      </c>
      <c r="AG296" s="20">
        <f t="shared" si="44"/>
        <v>0</v>
      </c>
      <c r="AH296" s="20">
        <v>0</v>
      </c>
      <c r="AI296" s="37">
        <v>0</v>
      </c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1:51" ht="14.15" hidden="1" customHeight="1" x14ac:dyDescent="0.35">
      <c r="A297">
        <v>4550</v>
      </c>
      <c r="B297">
        <v>2000</v>
      </c>
      <c r="C297">
        <v>0</v>
      </c>
      <c r="D297">
        <v>0</v>
      </c>
      <c r="E297">
        <v>6000</v>
      </c>
      <c r="F297">
        <v>2700</v>
      </c>
      <c r="G297">
        <v>1000</v>
      </c>
      <c r="H297">
        <v>0</v>
      </c>
      <c r="I297">
        <v>0</v>
      </c>
      <c r="J297">
        <v>0</v>
      </c>
      <c r="K297">
        <v>0</v>
      </c>
      <c r="L297">
        <v>1500</v>
      </c>
      <c r="M297">
        <v>2000</v>
      </c>
      <c r="N297">
        <v>1500</v>
      </c>
      <c r="O297">
        <v>3000</v>
      </c>
      <c r="P297">
        <v>0</v>
      </c>
      <c r="Q297">
        <v>0</v>
      </c>
      <c r="R297">
        <v>0</v>
      </c>
      <c r="S297">
        <v>0</v>
      </c>
      <c r="T297">
        <v>170705756</v>
      </c>
      <c r="U297" s="19">
        <f t="shared" si="39"/>
        <v>336250</v>
      </c>
      <c r="V297" s="20">
        <f t="shared" si="41"/>
        <v>24250</v>
      </c>
      <c r="W297" s="20">
        <v>132000</v>
      </c>
      <c r="X297" s="20">
        <f t="shared" si="38"/>
        <v>150000</v>
      </c>
      <c r="Y297" s="20"/>
      <c r="Z297" s="20">
        <f t="shared" si="42"/>
        <v>150000</v>
      </c>
      <c r="AA297" s="20">
        <v>126000</v>
      </c>
      <c r="AB297" s="20">
        <f t="shared" si="40"/>
        <v>144000</v>
      </c>
      <c r="AC297" s="20">
        <v>18000</v>
      </c>
      <c r="AD297" s="20">
        <f t="shared" si="43"/>
        <v>162000</v>
      </c>
      <c r="AE297" s="20">
        <v>0</v>
      </c>
      <c r="AF297" s="20">
        <v>0</v>
      </c>
      <c r="AG297" s="20">
        <f t="shared" si="44"/>
        <v>0</v>
      </c>
      <c r="AH297" s="20">
        <v>0</v>
      </c>
      <c r="AI297" s="37">
        <v>0</v>
      </c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1:51" ht="14.15" hidden="1" customHeight="1" x14ac:dyDescent="0.35">
      <c r="A298">
        <v>3500</v>
      </c>
      <c r="B298">
        <v>4500</v>
      </c>
      <c r="C298">
        <v>0</v>
      </c>
      <c r="D298">
        <v>0</v>
      </c>
      <c r="E298">
        <v>6000</v>
      </c>
      <c r="F298">
        <v>2700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1500</v>
      </c>
      <c r="M298">
        <v>2000</v>
      </c>
      <c r="N298">
        <v>1500</v>
      </c>
      <c r="O298">
        <v>3000</v>
      </c>
      <c r="P298">
        <v>0</v>
      </c>
      <c r="Q298">
        <v>0</v>
      </c>
      <c r="R298">
        <v>0</v>
      </c>
      <c r="S298">
        <v>0</v>
      </c>
      <c r="T298">
        <v>95709095</v>
      </c>
      <c r="U298" s="19">
        <f t="shared" si="39"/>
        <v>276700</v>
      </c>
      <c r="V298" s="20">
        <f t="shared" si="41"/>
        <v>24700</v>
      </c>
      <c r="W298" s="20">
        <v>108000</v>
      </c>
      <c r="X298" s="20">
        <f t="shared" si="38"/>
        <v>126000</v>
      </c>
      <c r="Y298" s="20"/>
      <c r="Z298" s="20">
        <f t="shared" si="42"/>
        <v>126000</v>
      </c>
      <c r="AA298" s="20">
        <v>108000</v>
      </c>
      <c r="AB298" s="20">
        <f t="shared" si="40"/>
        <v>126000</v>
      </c>
      <c r="AC298" s="20"/>
      <c r="AD298" s="20">
        <f t="shared" si="43"/>
        <v>126000</v>
      </c>
      <c r="AE298" s="20">
        <v>0</v>
      </c>
      <c r="AF298" s="20">
        <v>0</v>
      </c>
      <c r="AG298" s="20">
        <f t="shared" si="44"/>
        <v>0</v>
      </c>
      <c r="AH298" s="20">
        <v>0</v>
      </c>
      <c r="AI298" s="37">
        <v>0</v>
      </c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1:51" ht="14.15" hidden="1" customHeight="1" x14ac:dyDescent="0.35">
      <c r="A299">
        <v>0</v>
      </c>
      <c r="B299">
        <v>0</v>
      </c>
      <c r="C299">
        <v>0</v>
      </c>
      <c r="D299">
        <v>0</v>
      </c>
      <c r="E299">
        <v>6000</v>
      </c>
      <c r="F299">
        <v>2700</v>
      </c>
      <c r="G299">
        <v>1500</v>
      </c>
      <c r="H299">
        <v>1700</v>
      </c>
      <c r="I299">
        <v>0</v>
      </c>
      <c r="J299">
        <v>0</v>
      </c>
      <c r="K299">
        <v>0</v>
      </c>
      <c r="L299">
        <v>1500</v>
      </c>
      <c r="M299">
        <v>2000</v>
      </c>
      <c r="N299">
        <v>1500</v>
      </c>
      <c r="O299">
        <v>3000</v>
      </c>
      <c r="P299">
        <v>0</v>
      </c>
      <c r="Q299">
        <v>0</v>
      </c>
      <c r="R299">
        <v>0</v>
      </c>
      <c r="S299">
        <v>0</v>
      </c>
      <c r="T299">
        <v>623380805</v>
      </c>
      <c r="U299" s="19">
        <f t="shared" si="39"/>
        <v>370300</v>
      </c>
      <c r="V299" s="20">
        <f t="shared" si="41"/>
        <v>19900</v>
      </c>
      <c r="W299" s="20">
        <v>144000</v>
      </c>
      <c r="X299" s="20">
        <f t="shared" si="38"/>
        <v>162000</v>
      </c>
      <c r="Y299" s="20"/>
      <c r="Z299" s="20">
        <f t="shared" si="42"/>
        <v>162000</v>
      </c>
      <c r="AA299" s="20">
        <v>156000</v>
      </c>
      <c r="AB299" s="20">
        <f t="shared" si="40"/>
        <v>174000</v>
      </c>
      <c r="AC299" s="20">
        <v>14400</v>
      </c>
      <c r="AD299" s="20">
        <f t="shared" si="43"/>
        <v>188400</v>
      </c>
      <c r="AE299" s="20">
        <v>0</v>
      </c>
      <c r="AF299" s="20">
        <v>0</v>
      </c>
      <c r="AG299" s="20">
        <f t="shared" si="44"/>
        <v>0</v>
      </c>
      <c r="AH299" s="20">
        <v>0</v>
      </c>
      <c r="AI299" s="37">
        <v>0</v>
      </c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1:51" ht="14.15" hidden="1" customHeight="1" x14ac:dyDescent="0.35">
      <c r="A300">
        <v>0</v>
      </c>
      <c r="B300">
        <v>0</v>
      </c>
      <c r="C300">
        <v>0</v>
      </c>
      <c r="D300">
        <v>0</v>
      </c>
      <c r="E300">
        <v>6000</v>
      </c>
      <c r="F300">
        <v>2700</v>
      </c>
      <c r="G300">
        <v>1000</v>
      </c>
      <c r="H300">
        <v>0</v>
      </c>
      <c r="I300">
        <v>0</v>
      </c>
      <c r="J300">
        <v>0</v>
      </c>
      <c r="K300">
        <v>0</v>
      </c>
      <c r="L300">
        <v>1500</v>
      </c>
      <c r="M300">
        <v>2000</v>
      </c>
      <c r="N300">
        <v>0</v>
      </c>
      <c r="O300">
        <v>3000</v>
      </c>
      <c r="P300">
        <v>0</v>
      </c>
      <c r="Q300">
        <v>0</v>
      </c>
      <c r="R300">
        <v>0</v>
      </c>
      <c r="S300">
        <v>0</v>
      </c>
      <c r="T300">
        <v>177721868</v>
      </c>
      <c r="U300" s="19">
        <f t="shared" si="39"/>
        <v>394200</v>
      </c>
      <c r="V300" s="20">
        <f t="shared" si="41"/>
        <v>16200</v>
      </c>
      <c r="W300" s="20">
        <v>168000</v>
      </c>
      <c r="X300" s="20">
        <f t="shared" si="38"/>
        <v>186000</v>
      </c>
      <c r="Y300" s="20"/>
      <c r="Z300" s="20">
        <f t="shared" si="42"/>
        <v>186000</v>
      </c>
      <c r="AA300" s="20">
        <v>156000</v>
      </c>
      <c r="AB300" s="20">
        <f t="shared" si="40"/>
        <v>174000</v>
      </c>
      <c r="AC300" s="20">
        <v>18000</v>
      </c>
      <c r="AD300" s="20">
        <f t="shared" si="43"/>
        <v>192000</v>
      </c>
      <c r="AE300" s="20">
        <v>0</v>
      </c>
      <c r="AF300" s="20">
        <v>0</v>
      </c>
      <c r="AG300" s="20">
        <f t="shared" si="44"/>
        <v>0</v>
      </c>
      <c r="AH300" s="20">
        <v>0</v>
      </c>
      <c r="AI300" s="37">
        <v>0</v>
      </c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1:51" ht="14.15" hidden="1" customHeight="1" x14ac:dyDescent="0.35">
      <c r="A301">
        <v>0</v>
      </c>
      <c r="B301">
        <v>0</v>
      </c>
      <c r="C301">
        <v>0</v>
      </c>
      <c r="D301">
        <v>0</v>
      </c>
      <c r="E301">
        <v>6000</v>
      </c>
      <c r="F301">
        <v>0</v>
      </c>
      <c r="G301">
        <v>1500</v>
      </c>
      <c r="H301">
        <v>1450</v>
      </c>
      <c r="I301">
        <v>0</v>
      </c>
      <c r="J301">
        <v>0</v>
      </c>
      <c r="K301">
        <v>0</v>
      </c>
      <c r="L301">
        <v>1500</v>
      </c>
      <c r="M301">
        <v>2000</v>
      </c>
      <c r="N301">
        <v>1500</v>
      </c>
      <c r="O301">
        <v>3000</v>
      </c>
      <c r="P301">
        <v>0</v>
      </c>
      <c r="Q301">
        <v>0</v>
      </c>
      <c r="R301">
        <v>0</v>
      </c>
      <c r="S301">
        <v>0</v>
      </c>
      <c r="T301">
        <v>170660350</v>
      </c>
      <c r="U301" s="19">
        <f t="shared" si="39"/>
        <v>288450</v>
      </c>
      <c r="V301" s="20">
        <f t="shared" si="41"/>
        <v>16950</v>
      </c>
      <c r="W301" s="20">
        <v>114000</v>
      </c>
      <c r="X301" s="20">
        <f t="shared" si="38"/>
        <v>132000</v>
      </c>
      <c r="Y301" s="20">
        <v>13500</v>
      </c>
      <c r="Z301" s="20">
        <f t="shared" si="42"/>
        <v>145500</v>
      </c>
      <c r="AA301" s="20">
        <v>90000</v>
      </c>
      <c r="AB301" s="20">
        <f t="shared" si="40"/>
        <v>108000</v>
      </c>
      <c r="AC301" s="20">
        <v>18000</v>
      </c>
      <c r="AD301" s="20">
        <f t="shared" si="43"/>
        <v>126000</v>
      </c>
      <c r="AE301" s="20">
        <v>0</v>
      </c>
      <c r="AF301" s="20">
        <v>0</v>
      </c>
      <c r="AG301" s="20">
        <f t="shared" si="44"/>
        <v>0</v>
      </c>
      <c r="AH301" s="20">
        <v>0</v>
      </c>
      <c r="AI301" s="37">
        <v>0</v>
      </c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1:51" ht="14.15" hidden="1" customHeight="1" x14ac:dyDescent="0.35">
      <c r="A302">
        <v>0</v>
      </c>
      <c r="B302">
        <v>0</v>
      </c>
      <c r="C302">
        <v>0</v>
      </c>
      <c r="D302">
        <v>0</v>
      </c>
      <c r="E302">
        <v>6000</v>
      </c>
      <c r="F302">
        <v>2700</v>
      </c>
      <c r="G302">
        <v>1500</v>
      </c>
      <c r="H302">
        <v>0</v>
      </c>
      <c r="I302">
        <v>0</v>
      </c>
      <c r="J302">
        <v>0</v>
      </c>
      <c r="K302">
        <v>0</v>
      </c>
      <c r="L302">
        <v>1500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201684244</v>
      </c>
      <c r="U302" s="19">
        <f t="shared" si="39"/>
        <v>233700</v>
      </c>
      <c r="V302" s="20">
        <f t="shared" si="41"/>
        <v>11700</v>
      </c>
      <c r="W302" s="20">
        <v>78000</v>
      </c>
      <c r="X302" s="20">
        <f t="shared" si="38"/>
        <v>96000</v>
      </c>
      <c r="Y302" s="20"/>
      <c r="Z302" s="20">
        <f t="shared" si="42"/>
        <v>96000</v>
      </c>
      <c r="AA302" s="20">
        <v>108000</v>
      </c>
      <c r="AB302" s="20">
        <f t="shared" si="40"/>
        <v>126000</v>
      </c>
      <c r="AC302" s="20"/>
      <c r="AD302" s="20">
        <f t="shared" si="43"/>
        <v>126000</v>
      </c>
      <c r="AE302" s="20">
        <v>0</v>
      </c>
      <c r="AF302" s="20">
        <v>0</v>
      </c>
      <c r="AG302" s="20">
        <f t="shared" si="44"/>
        <v>0</v>
      </c>
      <c r="AH302" s="20">
        <v>0</v>
      </c>
      <c r="AI302" s="37">
        <v>0</v>
      </c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1:51" ht="14.15" hidden="1" customHeight="1" x14ac:dyDescent="0.35">
      <c r="A303">
        <v>0</v>
      </c>
      <c r="B303">
        <v>0</v>
      </c>
      <c r="C303">
        <v>0</v>
      </c>
      <c r="D303">
        <v>0</v>
      </c>
      <c r="E303">
        <v>6000</v>
      </c>
      <c r="F303">
        <v>2700</v>
      </c>
      <c r="G303">
        <v>2000</v>
      </c>
      <c r="H303">
        <v>0</v>
      </c>
      <c r="I303">
        <v>0</v>
      </c>
      <c r="J303">
        <v>0</v>
      </c>
      <c r="K303">
        <v>0</v>
      </c>
      <c r="L303">
        <v>1500</v>
      </c>
      <c r="M303">
        <v>2000</v>
      </c>
      <c r="N303">
        <v>1500</v>
      </c>
      <c r="O303">
        <v>3000</v>
      </c>
      <c r="P303">
        <v>0</v>
      </c>
      <c r="Q303">
        <v>0</v>
      </c>
      <c r="R303">
        <v>0</v>
      </c>
      <c r="S303">
        <v>0</v>
      </c>
      <c r="T303">
        <v>171662488</v>
      </c>
      <c r="U303" s="19">
        <f t="shared" si="39"/>
        <v>294700</v>
      </c>
      <c r="V303" s="20">
        <f t="shared" si="41"/>
        <v>18700</v>
      </c>
      <c r="W303" s="20">
        <v>138000</v>
      </c>
      <c r="X303" s="20">
        <f t="shared" si="38"/>
        <v>156000</v>
      </c>
      <c r="Y303" s="20"/>
      <c r="Z303" s="20">
        <f t="shared" si="42"/>
        <v>156000</v>
      </c>
      <c r="AA303" s="20">
        <v>84000</v>
      </c>
      <c r="AB303" s="20">
        <f t="shared" si="40"/>
        <v>102000</v>
      </c>
      <c r="AC303" s="20">
        <v>18000</v>
      </c>
      <c r="AD303" s="20">
        <f t="shared" si="43"/>
        <v>120000</v>
      </c>
      <c r="AE303" s="20">
        <v>0</v>
      </c>
      <c r="AF303" s="20">
        <v>0</v>
      </c>
      <c r="AG303" s="20">
        <f t="shared" si="44"/>
        <v>0</v>
      </c>
      <c r="AH303" s="20">
        <v>0</v>
      </c>
      <c r="AI303" s="37">
        <v>0</v>
      </c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1:51" ht="14.15" hidden="1" customHeight="1" x14ac:dyDescent="0.35">
      <c r="A304">
        <v>4300</v>
      </c>
      <c r="B304">
        <v>0</v>
      </c>
      <c r="C304">
        <v>0</v>
      </c>
      <c r="D304">
        <v>0</v>
      </c>
      <c r="E304">
        <v>6000</v>
      </c>
      <c r="F304">
        <v>2700</v>
      </c>
      <c r="G304">
        <v>2500</v>
      </c>
      <c r="H304">
        <v>1700</v>
      </c>
      <c r="I304">
        <v>0</v>
      </c>
      <c r="J304">
        <v>0</v>
      </c>
      <c r="K304">
        <v>0</v>
      </c>
      <c r="L304">
        <v>1500</v>
      </c>
      <c r="M304">
        <v>2000</v>
      </c>
      <c r="N304">
        <v>1500</v>
      </c>
      <c r="O304">
        <v>3000</v>
      </c>
      <c r="P304">
        <v>0</v>
      </c>
      <c r="Q304">
        <v>0</v>
      </c>
      <c r="R304">
        <v>0</v>
      </c>
      <c r="S304">
        <v>0</v>
      </c>
      <c r="T304">
        <v>68706481</v>
      </c>
      <c r="U304" s="19">
        <f t="shared" ref="U304:U312" si="45" xml:space="preserve"> SUM(V304, Z304, AD304, AG304, AH304, AI304)</f>
        <v>337200</v>
      </c>
      <c r="V304" s="20">
        <f t="shared" si="41"/>
        <v>25200</v>
      </c>
      <c r="W304" s="20">
        <v>132000</v>
      </c>
      <c r="X304" s="20">
        <f t="shared" si="38"/>
        <v>150000</v>
      </c>
      <c r="Y304" s="20"/>
      <c r="Z304" s="20">
        <f t="shared" si="42"/>
        <v>150000</v>
      </c>
      <c r="AA304" s="20">
        <v>144000</v>
      </c>
      <c r="AB304" s="20">
        <f t="shared" si="40"/>
        <v>162000</v>
      </c>
      <c r="AC304" s="20"/>
      <c r="AD304" s="20">
        <f t="shared" si="43"/>
        <v>162000</v>
      </c>
      <c r="AE304" s="20">
        <v>0</v>
      </c>
      <c r="AF304" s="20">
        <v>0</v>
      </c>
      <c r="AG304" s="20">
        <f t="shared" si="44"/>
        <v>0</v>
      </c>
      <c r="AH304" s="20">
        <v>0</v>
      </c>
      <c r="AI304" s="37">
        <v>0</v>
      </c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1:51" ht="14.15" hidden="1" customHeight="1" x14ac:dyDescent="0.35">
      <c r="A305">
        <v>4300</v>
      </c>
      <c r="B305">
        <v>4500</v>
      </c>
      <c r="C305">
        <v>0</v>
      </c>
      <c r="D305">
        <v>0</v>
      </c>
      <c r="E305">
        <v>6000</v>
      </c>
      <c r="F305">
        <v>2700</v>
      </c>
      <c r="G305">
        <v>1000</v>
      </c>
      <c r="H305">
        <v>0</v>
      </c>
      <c r="I305">
        <v>0</v>
      </c>
      <c r="J305">
        <v>0</v>
      </c>
      <c r="K305">
        <v>0</v>
      </c>
      <c r="L305">
        <v>1500</v>
      </c>
      <c r="M305">
        <v>2000</v>
      </c>
      <c r="N305">
        <v>1500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626407770</v>
      </c>
      <c r="U305" s="19">
        <f t="shared" si="45"/>
        <v>377500</v>
      </c>
      <c r="V305" s="20">
        <f t="shared" si="41"/>
        <v>23500</v>
      </c>
      <c r="W305" s="20">
        <v>168000</v>
      </c>
      <c r="X305" s="20">
        <f t="shared" si="38"/>
        <v>186000</v>
      </c>
      <c r="Y305" s="20"/>
      <c r="Z305" s="20">
        <f t="shared" si="42"/>
        <v>186000</v>
      </c>
      <c r="AA305" s="20">
        <v>150000</v>
      </c>
      <c r="AB305" s="20">
        <f t="shared" si="40"/>
        <v>168000</v>
      </c>
      <c r="AC305" s="20"/>
      <c r="AD305" s="20">
        <f t="shared" si="43"/>
        <v>168000</v>
      </c>
      <c r="AE305" s="20">
        <v>0</v>
      </c>
      <c r="AF305" s="20">
        <v>0</v>
      </c>
      <c r="AG305" s="20">
        <f t="shared" si="44"/>
        <v>0</v>
      </c>
      <c r="AH305" s="20">
        <v>0</v>
      </c>
      <c r="AI305" s="37">
        <v>0</v>
      </c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1:51" ht="14.15" hidden="1" customHeight="1" x14ac:dyDescent="0.35">
      <c r="A306">
        <v>4550</v>
      </c>
      <c r="B306">
        <v>5000</v>
      </c>
      <c r="C306">
        <v>0</v>
      </c>
      <c r="D306">
        <v>0</v>
      </c>
      <c r="E306">
        <v>6000</v>
      </c>
      <c r="F306">
        <v>1275</v>
      </c>
      <c r="G306">
        <v>1500</v>
      </c>
      <c r="H306">
        <v>1450</v>
      </c>
      <c r="I306">
        <v>0</v>
      </c>
      <c r="J306">
        <v>0</v>
      </c>
      <c r="K306">
        <v>0</v>
      </c>
      <c r="L306">
        <v>1500</v>
      </c>
      <c r="M306">
        <v>2000</v>
      </c>
      <c r="N306">
        <v>1500</v>
      </c>
      <c r="O306">
        <v>3000</v>
      </c>
      <c r="P306">
        <v>0</v>
      </c>
      <c r="Q306">
        <v>0</v>
      </c>
      <c r="R306">
        <v>0</v>
      </c>
      <c r="S306">
        <v>0</v>
      </c>
      <c r="T306">
        <v>203647361</v>
      </c>
      <c r="U306" s="19">
        <f t="shared" si="45"/>
        <v>388575</v>
      </c>
      <c r="V306" s="20">
        <f t="shared" si="41"/>
        <v>27775</v>
      </c>
      <c r="W306" s="20">
        <v>150000</v>
      </c>
      <c r="X306" s="20">
        <f t="shared" si="38"/>
        <v>168000</v>
      </c>
      <c r="Y306" s="20">
        <v>10800</v>
      </c>
      <c r="Z306" s="20">
        <f t="shared" si="42"/>
        <v>178800</v>
      </c>
      <c r="AA306" s="20">
        <v>150000</v>
      </c>
      <c r="AB306" s="20">
        <f t="shared" si="40"/>
        <v>168000</v>
      </c>
      <c r="AC306" s="20">
        <v>14000</v>
      </c>
      <c r="AD306" s="20">
        <f t="shared" si="43"/>
        <v>182000</v>
      </c>
      <c r="AE306" s="20">
        <v>0</v>
      </c>
      <c r="AF306" s="20">
        <v>0</v>
      </c>
      <c r="AG306" s="20">
        <f t="shared" si="44"/>
        <v>0</v>
      </c>
      <c r="AH306" s="20">
        <v>0</v>
      </c>
      <c r="AI306" s="37">
        <v>0</v>
      </c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1:51" ht="14.15" hidden="1" customHeight="1" x14ac:dyDescent="0.35">
      <c r="A307">
        <v>0</v>
      </c>
      <c r="B307">
        <v>5000</v>
      </c>
      <c r="C307">
        <v>0</v>
      </c>
      <c r="D307">
        <v>0</v>
      </c>
      <c r="E307">
        <v>6000</v>
      </c>
      <c r="F307">
        <v>2700</v>
      </c>
      <c r="G307">
        <v>2000</v>
      </c>
      <c r="H307">
        <v>0</v>
      </c>
      <c r="I307">
        <v>0</v>
      </c>
      <c r="J307">
        <v>0</v>
      </c>
      <c r="K307">
        <v>0</v>
      </c>
      <c r="L307">
        <v>1500</v>
      </c>
      <c r="M307">
        <v>2000</v>
      </c>
      <c r="N307">
        <v>1500</v>
      </c>
      <c r="O307">
        <v>3000</v>
      </c>
      <c r="P307">
        <v>0</v>
      </c>
      <c r="Q307">
        <v>0</v>
      </c>
      <c r="R307">
        <v>0</v>
      </c>
      <c r="S307">
        <v>0</v>
      </c>
      <c r="T307">
        <v>81703243</v>
      </c>
      <c r="U307" s="19">
        <f t="shared" si="45"/>
        <v>293700</v>
      </c>
      <c r="V307" s="20">
        <f t="shared" si="41"/>
        <v>23700</v>
      </c>
      <c r="W307" s="20">
        <v>126000</v>
      </c>
      <c r="X307" s="20">
        <f t="shared" si="38"/>
        <v>144000</v>
      </c>
      <c r="Y307" s="20"/>
      <c r="Z307" s="20">
        <f t="shared" si="42"/>
        <v>144000</v>
      </c>
      <c r="AA307" s="20">
        <v>108000</v>
      </c>
      <c r="AB307" s="20">
        <f t="shared" si="40"/>
        <v>126000</v>
      </c>
      <c r="AC307" s="20"/>
      <c r="AD307" s="20">
        <f t="shared" si="43"/>
        <v>126000</v>
      </c>
      <c r="AE307" s="20">
        <v>0</v>
      </c>
      <c r="AF307" s="20">
        <v>0</v>
      </c>
      <c r="AG307" s="20">
        <f t="shared" si="44"/>
        <v>0</v>
      </c>
      <c r="AH307" s="20">
        <v>0</v>
      </c>
      <c r="AI307" s="37">
        <v>0</v>
      </c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1:51" ht="14.15" hidden="1" customHeight="1" x14ac:dyDescent="0.35">
      <c r="A308">
        <v>0</v>
      </c>
      <c r="B308">
        <v>0</v>
      </c>
      <c r="C308">
        <v>0</v>
      </c>
      <c r="D308">
        <v>0</v>
      </c>
      <c r="E308">
        <v>6000</v>
      </c>
      <c r="F308">
        <v>2700</v>
      </c>
      <c r="G308">
        <v>1500</v>
      </c>
      <c r="H308">
        <v>1700</v>
      </c>
      <c r="I308">
        <v>0</v>
      </c>
      <c r="J308">
        <v>0</v>
      </c>
      <c r="K308">
        <v>0</v>
      </c>
      <c r="L308">
        <v>0</v>
      </c>
      <c r="M308">
        <v>2000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124682376</v>
      </c>
      <c r="U308" s="19">
        <f t="shared" si="45"/>
        <v>331900</v>
      </c>
      <c r="V308" s="20">
        <f t="shared" si="41"/>
        <v>13900</v>
      </c>
      <c r="W308" s="20">
        <v>156000</v>
      </c>
      <c r="X308" s="20">
        <f t="shared" si="38"/>
        <v>174000</v>
      </c>
      <c r="Y308" s="20"/>
      <c r="Z308" s="20">
        <f t="shared" si="42"/>
        <v>174000</v>
      </c>
      <c r="AA308" s="20">
        <v>126000</v>
      </c>
      <c r="AB308" s="20">
        <f t="shared" si="40"/>
        <v>144000</v>
      </c>
      <c r="AC308" s="20"/>
      <c r="AD308" s="20">
        <f t="shared" si="43"/>
        <v>144000</v>
      </c>
      <c r="AE308" s="20">
        <v>0</v>
      </c>
      <c r="AF308" s="20">
        <v>0</v>
      </c>
      <c r="AG308" s="20">
        <f t="shared" si="44"/>
        <v>0</v>
      </c>
      <c r="AH308" s="20">
        <v>0</v>
      </c>
      <c r="AI308" s="37">
        <v>0</v>
      </c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1:51" ht="14.15" hidden="1" customHeight="1" x14ac:dyDescent="0.35">
      <c r="A309">
        <v>0</v>
      </c>
      <c r="B309">
        <v>0</v>
      </c>
      <c r="C309">
        <v>0</v>
      </c>
      <c r="D309">
        <v>0</v>
      </c>
      <c r="E309">
        <v>6000</v>
      </c>
      <c r="F309">
        <v>2700</v>
      </c>
      <c r="G309">
        <v>1500</v>
      </c>
      <c r="H309">
        <v>1700</v>
      </c>
      <c r="I309">
        <v>0</v>
      </c>
      <c r="J309">
        <v>0</v>
      </c>
      <c r="K309">
        <v>0</v>
      </c>
      <c r="L309">
        <v>1500</v>
      </c>
      <c r="M309">
        <v>2000</v>
      </c>
      <c r="N309">
        <v>1500</v>
      </c>
      <c r="O309">
        <v>3000</v>
      </c>
      <c r="P309">
        <v>0</v>
      </c>
      <c r="Q309">
        <v>0</v>
      </c>
      <c r="R309">
        <v>0</v>
      </c>
      <c r="S309">
        <v>0</v>
      </c>
      <c r="T309">
        <v>84709322</v>
      </c>
      <c r="U309" s="19">
        <f t="shared" si="45"/>
        <v>295900</v>
      </c>
      <c r="V309" s="20">
        <f t="shared" si="41"/>
        <v>19900</v>
      </c>
      <c r="W309" s="20"/>
      <c r="X309" s="20">
        <v>138000</v>
      </c>
      <c r="Y309" s="20"/>
      <c r="Z309" s="20">
        <v>138000</v>
      </c>
      <c r="AA309" s="20">
        <v>120000</v>
      </c>
      <c r="AB309" s="20">
        <f t="shared" si="40"/>
        <v>138000</v>
      </c>
      <c r="AC309" s="20"/>
      <c r="AD309" s="20">
        <f t="shared" si="43"/>
        <v>138000</v>
      </c>
      <c r="AE309" s="20">
        <v>0</v>
      </c>
      <c r="AF309" s="20">
        <v>0</v>
      </c>
      <c r="AG309" s="20">
        <f t="shared" si="44"/>
        <v>0</v>
      </c>
      <c r="AH309" s="20">
        <v>0</v>
      </c>
      <c r="AI309" s="37">
        <v>0</v>
      </c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1:51" ht="14.15" hidden="1" customHeight="1" x14ac:dyDescent="0.35">
      <c r="A310">
        <v>3950</v>
      </c>
      <c r="B310">
        <v>4500</v>
      </c>
      <c r="C310">
        <v>0</v>
      </c>
      <c r="D310">
        <v>0</v>
      </c>
      <c r="E310">
        <v>6000</v>
      </c>
      <c r="F310">
        <v>2700</v>
      </c>
      <c r="G310">
        <v>2500</v>
      </c>
      <c r="H310">
        <v>1200</v>
      </c>
      <c r="I310">
        <v>0</v>
      </c>
      <c r="J310">
        <v>0</v>
      </c>
      <c r="K310">
        <v>0</v>
      </c>
      <c r="L310">
        <v>1500</v>
      </c>
      <c r="M310">
        <v>2000</v>
      </c>
      <c r="N310">
        <v>1500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165665209</v>
      </c>
      <c r="U310" s="19">
        <f t="shared" si="45"/>
        <v>303350</v>
      </c>
      <c r="V310" s="20">
        <f t="shared" si="41"/>
        <v>25850</v>
      </c>
      <c r="W310" s="20">
        <v>114000</v>
      </c>
      <c r="X310" s="20">
        <f t="shared" ref="X310:X330" si="46">W310+3*6000</f>
        <v>132000</v>
      </c>
      <c r="Y310" s="20">
        <v>13500</v>
      </c>
      <c r="Z310" s="20">
        <f t="shared" si="42"/>
        <v>145500</v>
      </c>
      <c r="AA310" s="20">
        <v>114000</v>
      </c>
      <c r="AB310" s="20">
        <f t="shared" si="40"/>
        <v>132000</v>
      </c>
      <c r="AC310" s="20"/>
      <c r="AD310" s="20">
        <f t="shared" si="43"/>
        <v>132000</v>
      </c>
      <c r="AE310" s="20">
        <v>0</v>
      </c>
      <c r="AF310" s="20">
        <v>0</v>
      </c>
      <c r="AG310" s="20">
        <f t="shared" si="44"/>
        <v>0</v>
      </c>
      <c r="AH310" s="20">
        <v>0</v>
      </c>
      <c r="AI310" s="37">
        <v>0</v>
      </c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1:51" ht="14.15" hidden="1" customHeight="1" x14ac:dyDescent="0.35">
      <c r="A311">
        <v>4300</v>
      </c>
      <c r="B311">
        <v>5000</v>
      </c>
      <c r="C311">
        <v>0</v>
      </c>
      <c r="D311">
        <v>0</v>
      </c>
      <c r="E311">
        <v>6000</v>
      </c>
      <c r="F311">
        <v>2700</v>
      </c>
      <c r="G311">
        <v>2000</v>
      </c>
      <c r="H311">
        <v>1450</v>
      </c>
      <c r="I311">
        <v>0</v>
      </c>
      <c r="J311">
        <v>0</v>
      </c>
      <c r="K311">
        <v>0</v>
      </c>
      <c r="L311">
        <v>1500</v>
      </c>
      <c r="M311">
        <v>2000</v>
      </c>
      <c r="N311">
        <v>1500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165665235</v>
      </c>
      <c r="U311" s="19">
        <f t="shared" si="45"/>
        <v>338450</v>
      </c>
      <c r="V311" s="20">
        <f t="shared" si="41"/>
        <v>26450</v>
      </c>
      <c r="W311" s="20">
        <v>150000</v>
      </c>
      <c r="X311" s="20">
        <f t="shared" si="46"/>
        <v>168000</v>
      </c>
      <c r="Y311" s="20"/>
      <c r="Z311" s="20">
        <f t="shared" si="42"/>
        <v>168000</v>
      </c>
      <c r="AA311" s="20">
        <v>126000</v>
      </c>
      <c r="AB311" s="20">
        <f t="shared" si="40"/>
        <v>144000</v>
      </c>
      <c r="AC311" s="20"/>
      <c r="AD311" s="20">
        <f t="shared" si="43"/>
        <v>144000</v>
      </c>
      <c r="AE311" s="20">
        <v>0</v>
      </c>
      <c r="AF311" s="20">
        <v>0</v>
      </c>
      <c r="AG311" s="20">
        <f t="shared" si="44"/>
        <v>0</v>
      </c>
      <c r="AH311" s="20">
        <v>0</v>
      </c>
      <c r="AI311" s="37">
        <v>0</v>
      </c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1:51" ht="14.15" hidden="1" customHeight="1" x14ac:dyDescent="0.35">
      <c r="A312">
        <v>4550</v>
      </c>
      <c r="B312">
        <v>0</v>
      </c>
      <c r="C312">
        <v>0</v>
      </c>
      <c r="D312">
        <v>0</v>
      </c>
      <c r="E312">
        <v>6000</v>
      </c>
      <c r="F312">
        <v>2700</v>
      </c>
      <c r="G312">
        <v>2000</v>
      </c>
      <c r="H312">
        <v>0</v>
      </c>
      <c r="I312">
        <v>0</v>
      </c>
      <c r="J312">
        <v>0</v>
      </c>
      <c r="K312">
        <v>0</v>
      </c>
      <c r="L312">
        <v>1500</v>
      </c>
      <c r="M312">
        <v>2000</v>
      </c>
      <c r="N312">
        <v>1500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207640561</v>
      </c>
      <c r="U312" s="19">
        <f t="shared" si="45"/>
        <v>344250</v>
      </c>
      <c r="V312" s="20">
        <f t="shared" si="41"/>
        <v>20250</v>
      </c>
      <c r="W312" s="20">
        <v>156000</v>
      </c>
      <c r="X312" s="20">
        <f t="shared" si="46"/>
        <v>174000</v>
      </c>
      <c r="Y312" s="20"/>
      <c r="Z312" s="20">
        <f t="shared" si="42"/>
        <v>174000</v>
      </c>
      <c r="AA312" s="20">
        <v>132000</v>
      </c>
      <c r="AB312" s="20">
        <f t="shared" si="40"/>
        <v>150000</v>
      </c>
      <c r="AC312" s="20"/>
      <c r="AD312" s="20">
        <f t="shared" si="43"/>
        <v>150000</v>
      </c>
      <c r="AE312" s="20">
        <v>0</v>
      </c>
      <c r="AF312" s="20">
        <v>0</v>
      </c>
      <c r="AG312" s="20">
        <f t="shared" si="44"/>
        <v>0</v>
      </c>
      <c r="AH312" s="20">
        <v>0</v>
      </c>
      <c r="AI312" s="37">
        <v>0</v>
      </c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1:51" ht="14.15" hidden="1" customHeight="1" x14ac:dyDescent="0.35">
      <c r="A313">
        <v>0</v>
      </c>
      <c r="B313">
        <v>0</v>
      </c>
      <c r="C313">
        <v>0</v>
      </c>
      <c r="D313">
        <v>0</v>
      </c>
      <c r="E313">
        <v>6000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175663865</v>
      </c>
      <c r="U313" s="19"/>
      <c r="V313" s="20"/>
      <c r="W313" s="20"/>
      <c r="X313" s="20"/>
      <c r="Y313" s="20"/>
      <c r="Z313" s="20"/>
      <c r="AA313" s="20"/>
      <c r="AB313" s="20"/>
      <c r="AC313" s="20"/>
      <c r="AD313" s="20"/>
      <c r="AE313" s="20">
        <v>0</v>
      </c>
      <c r="AF313" s="20">
        <v>0</v>
      </c>
      <c r="AG313" s="20">
        <f t="shared" si="44"/>
        <v>0</v>
      </c>
      <c r="AH313" s="20">
        <v>0</v>
      </c>
      <c r="AI313" s="37">
        <v>0</v>
      </c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1:51" ht="14.15" hidden="1" customHeight="1" x14ac:dyDescent="0.35">
      <c r="A314">
        <v>0</v>
      </c>
      <c r="B314">
        <v>0</v>
      </c>
      <c r="C314">
        <v>0</v>
      </c>
      <c r="D314">
        <v>0</v>
      </c>
      <c r="E314">
        <v>6000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1500</v>
      </c>
      <c r="M314">
        <v>0</v>
      </c>
      <c r="N314">
        <v>0</v>
      </c>
      <c r="O314">
        <v>3000</v>
      </c>
      <c r="P314">
        <v>0</v>
      </c>
      <c r="Q314">
        <v>0</v>
      </c>
      <c r="R314">
        <v>0</v>
      </c>
      <c r="S314">
        <v>0</v>
      </c>
      <c r="T314">
        <v>171702948</v>
      </c>
      <c r="U314" s="19">
        <f t="shared" ref="U314:U330" si="47" xml:space="preserve"> SUM(V314, Z314, AD314, AG314, AH314, AI314)</f>
        <v>292500</v>
      </c>
      <c r="V314" s="20">
        <f t="shared" si="41"/>
        <v>10500</v>
      </c>
      <c r="W314" s="20">
        <v>126000</v>
      </c>
      <c r="X314" s="20">
        <f t="shared" si="46"/>
        <v>144000</v>
      </c>
      <c r="Y314" s="20"/>
      <c r="Z314" s="20">
        <f t="shared" si="42"/>
        <v>144000</v>
      </c>
      <c r="AA314" s="20">
        <v>120000</v>
      </c>
      <c r="AB314" s="20">
        <f t="shared" si="40"/>
        <v>138000</v>
      </c>
      <c r="AC314" s="20"/>
      <c r="AD314" s="20">
        <f t="shared" si="43"/>
        <v>138000</v>
      </c>
      <c r="AE314" s="20">
        <v>0</v>
      </c>
      <c r="AF314" s="20">
        <v>0</v>
      </c>
      <c r="AG314" s="20">
        <f t="shared" si="44"/>
        <v>0</v>
      </c>
      <c r="AH314" s="20">
        <v>0</v>
      </c>
      <c r="AI314" s="37">
        <v>0</v>
      </c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1:51" ht="14.15" hidden="1" customHeight="1" x14ac:dyDescent="0.35">
      <c r="A315">
        <v>2800</v>
      </c>
      <c r="B315">
        <v>5000</v>
      </c>
      <c r="C315">
        <v>0</v>
      </c>
      <c r="D315">
        <v>0</v>
      </c>
      <c r="E315">
        <v>6000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1500</v>
      </c>
      <c r="M315">
        <v>0</v>
      </c>
      <c r="N315">
        <v>1500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207647523</v>
      </c>
      <c r="U315" s="19">
        <f t="shared" si="47"/>
        <v>358800</v>
      </c>
      <c r="V315" s="20">
        <f t="shared" si="41"/>
        <v>16800</v>
      </c>
      <c r="W315" s="20">
        <v>150000</v>
      </c>
      <c r="X315" s="20">
        <f t="shared" si="46"/>
        <v>168000</v>
      </c>
      <c r="Y315" s="20"/>
      <c r="Z315" s="20">
        <f t="shared" si="42"/>
        <v>168000</v>
      </c>
      <c r="AA315" s="20">
        <v>138000</v>
      </c>
      <c r="AB315" s="20">
        <f t="shared" si="40"/>
        <v>156000</v>
      </c>
      <c r="AC315" s="20">
        <v>18000</v>
      </c>
      <c r="AD315" s="20">
        <f t="shared" si="43"/>
        <v>174000</v>
      </c>
      <c r="AE315" s="20">
        <v>0</v>
      </c>
      <c r="AF315" s="20">
        <v>0</v>
      </c>
      <c r="AG315" s="20">
        <f t="shared" si="44"/>
        <v>0</v>
      </c>
      <c r="AH315" s="20">
        <v>0</v>
      </c>
      <c r="AI315" s="37">
        <v>0</v>
      </c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spans="1:51" ht="14.15" hidden="1" customHeight="1" x14ac:dyDescent="0.35">
      <c r="A316">
        <v>0</v>
      </c>
      <c r="B316">
        <v>0</v>
      </c>
      <c r="C316">
        <v>0</v>
      </c>
      <c r="D316">
        <v>0</v>
      </c>
      <c r="E316">
        <v>6000</v>
      </c>
      <c r="F316">
        <v>2700</v>
      </c>
      <c r="G316">
        <v>1000</v>
      </c>
      <c r="H316">
        <v>0</v>
      </c>
      <c r="I316">
        <v>0</v>
      </c>
      <c r="J316">
        <v>0</v>
      </c>
      <c r="K316">
        <v>0</v>
      </c>
      <c r="L316">
        <v>1500</v>
      </c>
      <c r="M316">
        <v>2000</v>
      </c>
      <c r="N316">
        <v>1500</v>
      </c>
      <c r="O316">
        <v>3000</v>
      </c>
      <c r="P316">
        <v>0</v>
      </c>
      <c r="Q316">
        <v>0</v>
      </c>
      <c r="R316">
        <v>0</v>
      </c>
      <c r="S316">
        <v>0</v>
      </c>
      <c r="T316">
        <v>41781645</v>
      </c>
      <c r="U316" s="19">
        <f t="shared" si="47"/>
        <v>275700</v>
      </c>
      <c r="V316" s="20">
        <f t="shared" si="41"/>
        <v>17700</v>
      </c>
      <c r="W316" s="20">
        <v>120000</v>
      </c>
      <c r="X316" s="20">
        <f t="shared" si="46"/>
        <v>138000</v>
      </c>
      <c r="Y316" s="20"/>
      <c r="Z316" s="20">
        <f t="shared" si="42"/>
        <v>138000</v>
      </c>
      <c r="AA316" s="20">
        <v>102000</v>
      </c>
      <c r="AB316" s="20">
        <f t="shared" si="40"/>
        <v>120000</v>
      </c>
      <c r="AC316" s="20"/>
      <c r="AD316" s="20">
        <f t="shared" si="43"/>
        <v>120000</v>
      </c>
      <c r="AE316" s="20">
        <v>0</v>
      </c>
      <c r="AF316" s="20">
        <v>0</v>
      </c>
      <c r="AG316" s="20">
        <f t="shared" si="44"/>
        <v>0</v>
      </c>
      <c r="AH316" s="20">
        <v>0</v>
      </c>
      <c r="AI316" s="37">
        <v>0</v>
      </c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spans="1:51" ht="14.15" hidden="1" customHeight="1" x14ac:dyDescent="0.35">
      <c r="A317">
        <v>4550</v>
      </c>
      <c r="B317">
        <v>4000</v>
      </c>
      <c r="C317">
        <v>0</v>
      </c>
      <c r="D317">
        <v>0</v>
      </c>
      <c r="E317">
        <v>6000</v>
      </c>
      <c r="F317">
        <v>2700</v>
      </c>
      <c r="G317">
        <v>1500</v>
      </c>
      <c r="H317">
        <v>1700</v>
      </c>
      <c r="I317">
        <v>0</v>
      </c>
      <c r="J317">
        <v>0</v>
      </c>
      <c r="K317">
        <v>0</v>
      </c>
      <c r="L317">
        <v>1500</v>
      </c>
      <c r="M317">
        <v>2000</v>
      </c>
      <c r="N317">
        <v>1500</v>
      </c>
      <c r="O317">
        <v>3000</v>
      </c>
      <c r="P317">
        <v>0</v>
      </c>
      <c r="Q317">
        <v>0</v>
      </c>
      <c r="R317">
        <v>0</v>
      </c>
      <c r="S317">
        <v>0</v>
      </c>
      <c r="T317">
        <v>106746973</v>
      </c>
      <c r="U317" s="19">
        <f t="shared" si="47"/>
        <v>361750</v>
      </c>
      <c r="V317" s="20">
        <f t="shared" si="41"/>
        <v>28450</v>
      </c>
      <c r="W317" s="20">
        <v>132000</v>
      </c>
      <c r="X317" s="20">
        <f t="shared" si="46"/>
        <v>150000</v>
      </c>
      <c r="Y317" s="20">
        <v>15300</v>
      </c>
      <c r="Z317" s="20">
        <f t="shared" si="42"/>
        <v>165300</v>
      </c>
      <c r="AA317" s="20">
        <v>150000</v>
      </c>
      <c r="AB317" s="20">
        <f t="shared" si="40"/>
        <v>168000</v>
      </c>
      <c r="AC317" s="20"/>
      <c r="AD317" s="20">
        <f t="shared" si="43"/>
        <v>168000</v>
      </c>
      <c r="AE317" s="20">
        <v>0</v>
      </c>
      <c r="AF317" s="20">
        <v>0</v>
      </c>
      <c r="AG317" s="20">
        <f t="shared" si="44"/>
        <v>0</v>
      </c>
      <c r="AH317" s="20">
        <v>0</v>
      </c>
      <c r="AI317" s="37">
        <v>0</v>
      </c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spans="1:51" ht="14.15" hidden="1" customHeight="1" x14ac:dyDescent="0.35">
      <c r="A318">
        <v>4300</v>
      </c>
      <c r="B318">
        <v>4500</v>
      </c>
      <c r="C318">
        <v>0</v>
      </c>
      <c r="D318">
        <v>0</v>
      </c>
      <c r="E318">
        <v>6000</v>
      </c>
      <c r="F318">
        <v>2700</v>
      </c>
      <c r="G318">
        <v>1000</v>
      </c>
      <c r="H318">
        <v>1450</v>
      </c>
      <c r="I318">
        <v>0</v>
      </c>
      <c r="J318">
        <v>0</v>
      </c>
      <c r="K318">
        <v>0</v>
      </c>
      <c r="L318">
        <v>1500</v>
      </c>
      <c r="M318">
        <v>2000</v>
      </c>
      <c r="N318">
        <v>1500</v>
      </c>
      <c r="O318">
        <v>3000</v>
      </c>
      <c r="P318">
        <v>0</v>
      </c>
      <c r="Q318">
        <v>0</v>
      </c>
      <c r="R318">
        <v>0</v>
      </c>
      <c r="S318">
        <v>0</v>
      </c>
      <c r="T318">
        <v>186686109</v>
      </c>
      <c r="U318" s="19">
        <f t="shared" si="47"/>
        <v>402350</v>
      </c>
      <c r="V318" s="20">
        <f t="shared" si="41"/>
        <v>27950</v>
      </c>
      <c r="W318" s="20">
        <v>156000</v>
      </c>
      <c r="X318" s="20">
        <f t="shared" si="46"/>
        <v>174000</v>
      </c>
      <c r="Y318" s="20">
        <v>14400</v>
      </c>
      <c r="Z318" s="20">
        <f t="shared" si="42"/>
        <v>188400</v>
      </c>
      <c r="AA318" s="20">
        <v>150000</v>
      </c>
      <c r="AB318" s="20">
        <f t="shared" si="40"/>
        <v>168000</v>
      </c>
      <c r="AC318" s="20">
        <v>18000</v>
      </c>
      <c r="AD318" s="20">
        <f t="shared" si="43"/>
        <v>186000</v>
      </c>
      <c r="AE318" s="20">
        <v>0</v>
      </c>
      <c r="AF318" s="20">
        <v>0</v>
      </c>
      <c r="AG318" s="20">
        <f t="shared" si="44"/>
        <v>0</v>
      </c>
      <c r="AH318" s="20">
        <v>0</v>
      </c>
      <c r="AI318" s="37">
        <v>0</v>
      </c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spans="1:51" ht="14.15" hidden="1" customHeight="1" x14ac:dyDescent="0.35">
      <c r="A319">
        <v>4550</v>
      </c>
      <c r="B319">
        <v>5000</v>
      </c>
      <c r="C319">
        <v>0</v>
      </c>
      <c r="D319">
        <v>0</v>
      </c>
      <c r="E319">
        <v>6000</v>
      </c>
      <c r="F319">
        <v>2700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1500</v>
      </c>
      <c r="M319">
        <v>0</v>
      </c>
      <c r="N319">
        <v>1500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168666297</v>
      </c>
      <c r="U319" s="19">
        <f t="shared" si="47"/>
        <v>297250</v>
      </c>
      <c r="V319" s="20">
        <f t="shared" si="41"/>
        <v>21250</v>
      </c>
      <c r="W319" s="20">
        <v>132000</v>
      </c>
      <c r="X319" s="20">
        <f t="shared" si="46"/>
        <v>150000</v>
      </c>
      <c r="Y319" s="20"/>
      <c r="Z319" s="20">
        <f t="shared" si="42"/>
        <v>150000</v>
      </c>
      <c r="AA319" s="20">
        <v>108000</v>
      </c>
      <c r="AB319" s="20">
        <f t="shared" si="40"/>
        <v>126000</v>
      </c>
      <c r="AC319" s="20"/>
      <c r="AD319" s="20">
        <f t="shared" si="43"/>
        <v>126000</v>
      </c>
      <c r="AE319" s="20">
        <v>0</v>
      </c>
      <c r="AF319" s="20">
        <v>0</v>
      </c>
      <c r="AG319" s="20">
        <f t="shared" si="44"/>
        <v>0</v>
      </c>
      <c r="AH319" s="20">
        <v>0</v>
      </c>
      <c r="AI319" s="37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spans="1:51" ht="14.15" hidden="1" customHeight="1" x14ac:dyDescent="0.35">
      <c r="A320">
        <v>4800</v>
      </c>
      <c r="B320">
        <v>5000</v>
      </c>
      <c r="C320">
        <v>0</v>
      </c>
      <c r="D320">
        <v>0</v>
      </c>
      <c r="E320">
        <v>6000</v>
      </c>
      <c r="F320">
        <v>2700</v>
      </c>
      <c r="G320">
        <v>3000</v>
      </c>
      <c r="H320">
        <v>1700</v>
      </c>
      <c r="I320">
        <v>0</v>
      </c>
      <c r="J320">
        <v>0</v>
      </c>
      <c r="K320">
        <v>0</v>
      </c>
      <c r="L320">
        <v>1500</v>
      </c>
      <c r="M320">
        <v>2000</v>
      </c>
      <c r="N320">
        <v>1500</v>
      </c>
      <c r="O320">
        <v>3000</v>
      </c>
      <c r="P320">
        <v>0</v>
      </c>
      <c r="Q320">
        <v>0</v>
      </c>
      <c r="R320">
        <v>0</v>
      </c>
      <c r="S320">
        <v>0</v>
      </c>
      <c r="T320">
        <v>194688757</v>
      </c>
      <c r="U320" s="19">
        <f t="shared" si="47"/>
        <v>331200</v>
      </c>
      <c r="V320" s="20">
        <f t="shared" si="41"/>
        <v>31200</v>
      </c>
      <c r="W320" s="20">
        <v>114000</v>
      </c>
      <c r="X320" s="20">
        <f t="shared" si="46"/>
        <v>132000</v>
      </c>
      <c r="Y320" s="20">
        <v>18000</v>
      </c>
      <c r="Z320" s="20">
        <f t="shared" si="42"/>
        <v>150000</v>
      </c>
      <c r="AA320" s="20">
        <v>132000</v>
      </c>
      <c r="AB320" s="20">
        <f t="shared" si="40"/>
        <v>150000</v>
      </c>
      <c r="AC320" s="20"/>
      <c r="AD320" s="20">
        <f t="shared" si="43"/>
        <v>150000</v>
      </c>
      <c r="AE320" s="20">
        <v>0</v>
      </c>
      <c r="AF320" s="20">
        <v>0</v>
      </c>
      <c r="AG320" s="20">
        <f t="shared" si="44"/>
        <v>0</v>
      </c>
      <c r="AH320" s="20">
        <v>0</v>
      </c>
      <c r="AI320" s="37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spans="1:51" ht="14.15" hidden="1" customHeight="1" x14ac:dyDescent="0.35">
      <c r="A321">
        <v>4300</v>
      </c>
      <c r="B321">
        <v>5000</v>
      </c>
      <c r="C321">
        <v>0</v>
      </c>
      <c r="D321">
        <v>0</v>
      </c>
      <c r="E321">
        <v>6000</v>
      </c>
      <c r="F321">
        <v>1275</v>
      </c>
      <c r="G321">
        <v>1500</v>
      </c>
      <c r="H321">
        <v>1700</v>
      </c>
      <c r="I321">
        <v>0</v>
      </c>
      <c r="J321">
        <v>0</v>
      </c>
      <c r="K321">
        <v>0</v>
      </c>
      <c r="L321">
        <v>1500</v>
      </c>
      <c r="M321">
        <v>2000</v>
      </c>
      <c r="N321">
        <v>1500</v>
      </c>
      <c r="O321">
        <v>3000</v>
      </c>
      <c r="P321">
        <v>0</v>
      </c>
      <c r="Q321">
        <v>0</v>
      </c>
      <c r="R321">
        <v>0</v>
      </c>
      <c r="S321">
        <v>0</v>
      </c>
      <c r="T321">
        <v>20684696</v>
      </c>
      <c r="U321" s="19">
        <f t="shared" si="47"/>
        <v>327775</v>
      </c>
      <c r="V321" s="20">
        <f t="shared" si="41"/>
        <v>27775</v>
      </c>
      <c r="W321" s="20">
        <v>120000</v>
      </c>
      <c r="X321" s="20">
        <f t="shared" si="46"/>
        <v>138000</v>
      </c>
      <c r="Y321" s="20">
        <v>18000</v>
      </c>
      <c r="Z321" s="20">
        <f t="shared" si="42"/>
        <v>156000</v>
      </c>
      <c r="AA321" s="20">
        <v>108000</v>
      </c>
      <c r="AB321" s="20">
        <f t="shared" si="40"/>
        <v>126000</v>
      </c>
      <c r="AC321" s="20">
        <v>18000</v>
      </c>
      <c r="AD321" s="20">
        <f t="shared" si="43"/>
        <v>144000</v>
      </c>
      <c r="AE321" s="20">
        <v>0</v>
      </c>
      <c r="AF321" s="20">
        <v>0</v>
      </c>
      <c r="AG321" s="20">
        <f t="shared" si="44"/>
        <v>0</v>
      </c>
      <c r="AH321" s="20">
        <v>0</v>
      </c>
      <c r="AI321" s="37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spans="1:51" ht="14.15" hidden="1" customHeight="1" x14ac:dyDescent="0.35">
      <c r="A322">
        <v>0</v>
      </c>
      <c r="B322">
        <v>5000</v>
      </c>
      <c r="C322">
        <v>0</v>
      </c>
      <c r="D322">
        <v>0</v>
      </c>
      <c r="E322">
        <v>6000</v>
      </c>
      <c r="F322">
        <v>1275</v>
      </c>
      <c r="G322">
        <v>1500</v>
      </c>
      <c r="H322">
        <v>1450</v>
      </c>
      <c r="I322">
        <v>0</v>
      </c>
      <c r="J322">
        <v>0</v>
      </c>
      <c r="K322">
        <v>0</v>
      </c>
      <c r="L322">
        <v>1500</v>
      </c>
      <c r="M322">
        <v>2000</v>
      </c>
      <c r="N322">
        <v>1500</v>
      </c>
      <c r="O322">
        <v>3000</v>
      </c>
      <c r="P322">
        <v>0</v>
      </c>
      <c r="Q322">
        <v>0</v>
      </c>
      <c r="R322">
        <v>0</v>
      </c>
      <c r="S322">
        <v>0</v>
      </c>
      <c r="T322">
        <v>160660553</v>
      </c>
      <c r="U322" s="19">
        <f t="shared" si="47"/>
        <v>321425</v>
      </c>
      <c r="V322" s="20">
        <f t="shared" si="41"/>
        <v>23225</v>
      </c>
      <c r="W322" s="20">
        <v>138000</v>
      </c>
      <c r="X322" s="20">
        <f t="shared" si="46"/>
        <v>156000</v>
      </c>
      <c r="Y322" s="20"/>
      <c r="Z322" s="20">
        <f t="shared" si="42"/>
        <v>156000</v>
      </c>
      <c r="AA322" s="20">
        <v>108000</v>
      </c>
      <c r="AB322" s="20">
        <f t="shared" si="40"/>
        <v>126000</v>
      </c>
      <c r="AC322" s="20">
        <v>16200</v>
      </c>
      <c r="AD322" s="20">
        <f t="shared" si="43"/>
        <v>142200</v>
      </c>
      <c r="AE322" s="20">
        <v>0</v>
      </c>
      <c r="AF322" s="20">
        <v>0</v>
      </c>
      <c r="AG322" s="20">
        <f t="shared" si="44"/>
        <v>0</v>
      </c>
      <c r="AH322" s="20">
        <v>0</v>
      </c>
      <c r="AI322" s="37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spans="1:51" ht="14.15" hidden="1" customHeight="1" x14ac:dyDescent="0.35">
      <c r="A323">
        <v>4750</v>
      </c>
      <c r="B323">
        <v>0</v>
      </c>
      <c r="C323">
        <v>0</v>
      </c>
      <c r="D323">
        <v>0</v>
      </c>
      <c r="E323">
        <v>6000</v>
      </c>
      <c r="F323">
        <v>2700</v>
      </c>
      <c r="G323">
        <v>1000</v>
      </c>
      <c r="H323">
        <v>0</v>
      </c>
      <c r="I323">
        <v>0</v>
      </c>
      <c r="J323">
        <v>0</v>
      </c>
      <c r="K323">
        <v>0</v>
      </c>
      <c r="L323">
        <v>1500</v>
      </c>
      <c r="M323">
        <v>2000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23662682</v>
      </c>
      <c r="U323" s="19">
        <f t="shared" si="47"/>
        <v>395950</v>
      </c>
      <c r="V323" s="20">
        <f t="shared" si="41"/>
        <v>17950</v>
      </c>
      <c r="W323" s="20">
        <v>162000</v>
      </c>
      <c r="X323" s="20">
        <f t="shared" si="46"/>
        <v>180000</v>
      </c>
      <c r="Y323" s="20"/>
      <c r="Z323" s="20">
        <f t="shared" si="42"/>
        <v>180000</v>
      </c>
      <c r="AA323" s="20">
        <v>162000</v>
      </c>
      <c r="AB323" s="20">
        <f t="shared" si="40"/>
        <v>180000</v>
      </c>
      <c r="AC323" s="20">
        <v>18000</v>
      </c>
      <c r="AD323" s="20">
        <f t="shared" si="43"/>
        <v>198000</v>
      </c>
      <c r="AE323" s="20">
        <v>0</v>
      </c>
      <c r="AF323" s="20">
        <v>0</v>
      </c>
      <c r="AG323" s="20">
        <f t="shared" si="44"/>
        <v>0</v>
      </c>
      <c r="AH323" s="20">
        <v>0</v>
      </c>
      <c r="AI323" s="37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spans="1:51" ht="14.15" hidden="1" customHeight="1" x14ac:dyDescent="0.35">
      <c r="A324">
        <v>4100</v>
      </c>
      <c r="B324">
        <v>5000</v>
      </c>
      <c r="C324">
        <v>0</v>
      </c>
      <c r="D324">
        <v>0</v>
      </c>
      <c r="E324">
        <v>6000</v>
      </c>
      <c r="F324">
        <v>2700</v>
      </c>
      <c r="G324">
        <v>2000</v>
      </c>
      <c r="H324">
        <v>1450</v>
      </c>
      <c r="I324">
        <v>0</v>
      </c>
      <c r="J324">
        <v>0</v>
      </c>
      <c r="K324">
        <v>0</v>
      </c>
      <c r="L324">
        <v>1500</v>
      </c>
      <c r="M324">
        <v>2000</v>
      </c>
      <c r="N324">
        <v>1500</v>
      </c>
      <c r="O324">
        <v>3000</v>
      </c>
      <c r="P324">
        <v>0</v>
      </c>
      <c r="Q324">
        <v>0</v>
      </c>
      <c r="R324">
        <v>0</v>
      </c>
      <c r="S324">
        <v>0</v>
      </c>
      <c r="T324">
        <v>84708640</v>
      </c>
      <c r="U324" s="19">
        <f t="shared" si="47"/>
        <v>251250</v>
      </c>
      <c r="V324" s="20">
        <f t="shared" si="41"/>
        <v>29250</v>
      </c>
      <c r="W324" s="20">
        <v>96000</v>
      </c>
      <c r="X324" s="20">
        <f t="shared" si="46"/>
        <v>114000</v>
      </c>
      <c r="Y324" s="20"/>
      <c r="Z324" s="20">
        <f t="shared" si="42"/>
        <v>114000</v>
      </c>
      <c r="AA324" s="20">
        <v>90000</v>
      </c>
      <c r="AB324" s="20">
        <f t="shared" si="40"/>
        <v>108000</v>
      </c>
      <c r="AC324" s="20"/>
      <c r="AD324" s="20">
        <f t="shared" si="43"/>
        <v>108000</v>
      </c>
      <c r="AE324" s="20">
        <v>0</v>
      </c>
      <c r="AF324" s="20">
        <v>0</v>
      </c>
      <c r="AG324" s="20">
        <f t="shared" si="44"/>
        <v>0</v>
      </c>
      <c r="AH324" s="20">
        <v>0</v>
      </c>
      <c r="AI324" s="37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spans="1:51" ht="14.15" hidden="1" customHeight="1" x14ac:dyDescent="0.35">
      <c r="A325">
        <v>4800</v>
      </c>
      <c r="B325">
        <v>4000</v>
      </c>
      <c r="C325">
        <v>0</v>
      </c>
      <c r="D325">
        <v>0</v>
      </c>
      <c r="E325">
        <v>6000</v>
      </c>
      <c r="F325">
        <v>2700</v>
      </c>
      <c r="G325">
        <v>2000</v>
      </c>
      <c r="H325">
        <v>1450</v>
      </c>
      <c r="I325">
        <v>0</v>
      </c>
      <c r="J325">
        <v>0</v>
      </c>
      <c r="K325">
        <v>0</v>
      </c>
      <c r="L325">
        <v>1500</v>
      </c>
      <c r="M325">
        <v>2000</v>
      </c>
      <c r="N325">
        <v>1500</v>
      </c>
      <c r="O325">
        <v>3000</v>
      </c>
      <c r="P325">
        <v>0</v>
      </c>
      <c r="Q325">
        <v>0</v>
      </c>
      <c r="R325">
        <v>0</v>
      </c>
      <c r="S325">
        <v>0</v>
      </c>
      <c r="T325">
        <v>173701938</v>
      </c>
      <c r="U325" s="19">
        <f t="shared" si="47"/>
        <v>328950</v>
      </c>
      <c r="V325" s="20">
        <f t="shared" si="41"/>
        <v>28950</v>
      </c>
      <c r="W325" s="20">
        <v>132000</v>
      </c>
      <c r="X325" s="20">
        <f t="shared" si="46"/>
        <v>150000</v>
      </c>
      <c r="Y325" s="20"/>
      <c r="Z325" s="20">
        <f t="shared" si="42"/>
        <v>150000</v>
      </c>
      <c r="AA325" s="20">
        <v>114000</v>
      </c>
      <c r="AB325" s="20">
        <f t="shared" si="40"/>
        <v>132000</v>
      </c>
      <c r="AC325" s="20">
        <v>18000</v>
      </c>
      <c r="AD325" s="20">
        <f t="shared" si="43"/>
        <v>150000</v>
      </c>
      <c r="AE325" s="20">
        <v>0</v>
      </c>
      <c r="AF325" s="20">
        <v>0</v>
      </c>
      <c r="AG325" s="20">
        <f t="shared" si="44"/>
        <v>0</v>
      </c>
      <c r="AH325" s="20">
        <v>0</v>
      </c>
      <c r="AI325" s="37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spans="1:51" ht="14.15" hidden="1" customHeight="1" x14ac:dyDescent="0.35">
      <c r="A326">
        <v>4400</v>
      </c>
      <c r="B326">
        <v>4500</v>
      </c>
      <c r="C326">
        <v>0</v>
      </c>
      <c r="D326">
        <v>0</v>
      </c>
      <c r="E326">
        <v>6000</v>
      </c>
      <c r="F326">
        <v>2700</v>
      </c>
      <c r="G326">
        <v>1500</v>
      </c>
      <c r="H326">
        <v>0</v>
      </c>
      <c r="I326">
        <v>0</v>
      </c>
      <c r="J326">
        <v>0</v>
      </c>
      <c r="K326">
        <v>0</v>
      </c>
      <c r="L326">
        <v>1500</v>
      </c>
      <c r="M326">
        <v>2000</v>
      </c>
      <c r="N326">
        <v>1500</v>
      </c>
      <c r="O326">
        <v>3000</v>
      </c>
      <c r="P326">
        <v>0</v>
      </c>
      <c r="Q326">
        <v>0</v>
      </c>
      <c r="R326">
        <v>0</v>
      </c>
      <c r="S326">
        <v>0</v>
      </c>
      <c r="T326">
        <v>199641544</v>
      </c>
      <c r="U326" s="19">
        <f t="shared" si="47"/>
        <v>315100</v>
      </c>
      <c r="V326" s="20">
        <f t="shared" si="41"/>
        <v>27100</v>
      </c>
      <c r="W326" s="20">
        <v>132000</v>
      </c>
      <c r="X326" s="20">
        <f t="shared" si="46"/>
        <v>150000</v>
      </c>
      <c r="Y326" s="20"/>
      <c r="Z326" s="20">
        <f t="shared" si="42"/>
        <v>150000</v>
      </c>
      <c r="AA326" s="20">
        <v>120000</v>
      </c>
      <c r="AB326" s="20">
        <f t="shared" si="40"/>
        <v>138000</v>
      </c>
      <c r="AC326" s="20"/>
      <c r="AD326" s="20">
        <f t="shared" si="43"/>
        <v>138000</v>
      </c>
      <c r="AE326" s="20">
        <v>0</v>
      </c>
      <c r="AF326" s="20">
        <v>0</v>
      </c>
      <c r="AG326" s="20">
        <f t="shared" si="44"/>
        <v>0</v>
      </c>
      <c r="AH326" s="20">
        <v>0</v>
      </c>
      <c r="AI326" s="37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spans="1:51" ht="14.15" hidden="1" customHeight="1" x14ac:dyDescent="0.35">
      <c r="A327">
        <v>0</v>
      </c>
      <c r="B327">
        <v>0</v>
      </c>
      <c r="C327">
        <v>0</v>
      </c>
      <c r="D327">
        <v>0</v>
      </c>
      <c r="E327">
        <v>6000</v>
      </c>
      <c r="F327">
        <v>2700</v>
      </c>
      <c r="G327">
        <v>1500</v>
      </c>
      <c r="H327">
        <v>1700</v>
      </c>
      <c r="I327">
        <v>0</v>
      </c>
      <c r="J327">
        <v>0</v>
      </c>
      <c r="K327">
        <v>0</v>
      </c>
      <c r="L327">
        <v>1500</v>
      </c>
      <c r="M327">
        <v>2000</v>
      </c>
      <c r="N327">
        <v>0</v>
      </c>
      <c r="O327">
        <v>3000</v>
      </c>
      <c r="P327">
        <v>0</v>
      </c>
      <c r="Q327">
        <v>0</v>
      </c>
      <c r="R327">
        <v>0</v>
      </c>
      <c r="S327">
        <v>0</v>
      </c>
      <c r="T327">
        <v>66723172</v>
      </c>
      <c r="U327" s="19">
        <f t="shared" si="47"/>
        <v>312400</v>
      </c>
      <c r="V327" s="20">
        <f t="shared" si="41"/>
        <v>18400</v>
      </c>
      <c r="W327" s="20">
        <v>144000</v>
      </c>
      <c r="X327" s="20">
        <f t="shared" si="46"/>
        <v>162000</v>
      </c>
      <c r="Y327" s="20"/>
      <c r="Z327" s="20">
        <f t="shared" si="42"/>
        <v>162000</v>
      </c>
      <c r="AA327" s="20">
        <v>114000</v>
      </c>
      <c r="AB327" s="20">
        <f t="shared" si="40"/>
        <v>132000</v>
      </c>
      <c r="AC327" s="20"/>
      <c r="AD327" s="20">
        <f t="shared" si="43"/>
        <v>132000</v>
      </c>
      <c r="AE327" s="20">
        <v>0</v>
      </c>
      <c r="AF327" s="20">
        <v>0</v>
      </c>
      <c r="AG327" s="20">
        <f t="shared" si="44"/>
        <v>0</v>
      </c>
      <c r="AH327" s="20">
        <v>0</v>
      </c>
      <c r="AI327" s="37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spans="1:51" ht="14.15" hidden="1" customHeight="1" x14ac:dyDescent="0.35">
      <c r="A328">
        <v>4550</v>
      </c>
      <c r="B328">
        <v>5000</v>
      </c>
      <c r="C328">
        <v>0</v>
      </c>
      <c r="D328">
        <v>0</v>
      </c>
      <c r="E328">
        <v>6000</v>
      </c>
      <c r="F328">
        <v>2700</v>
      </c>
      <c r="G328">
        <v>1000</v>
      </c>
      <c r="H328">
        <v>1900</v>
      </c>
      <c r="I328">
        <v>0</v>
      </c>
      <c r="J328">
        <v>0</v>
      </c>
      <c r="K328">
        <v>0</v>
      </c>
      <c r="L328">
        <v>1500</v>
      </c>
      <c r="M328">
        <v>2000</v>
      </c>
      <c r="N328">
        <v>1500</v>
      </c>
      <c r="O328">
        <v>3000</v>
      </c>
      <c r="P328">
        <v>0</v>
      </c>
      <c r="Q328">
        <v>0</v>
      </c>
      <c r="R328">
        <v>0</v>
      </c>
      <c r="S328">
        <v>0</v>
      </c>
      <c r="T328">
        <v>205703702</v>
      </c>
      <c r="U328" s="19">
        <f t="shared" si="47"/>
        <v>327350</v>
      </c>
      <c r="V328" s="20">
        <f t="shared" si="41"/>
        <v>29150</v>
      </c>
      <c r="W328" s="20">
        <v>114000</v>
      </c>
      <c r="X328" s="20">
        <f t="shared" si="46"/>
        <v>132000</v>
      </c>
      <c r="Y328" s="20"/>
      <c r="Z328" s="20">
        <f t="shared" si="42"/>
        <v>132000</v>
      </c>
      <c r="AA328" s="20">
        <v>132000</v>
      </c>
      <c r="AB328" s="20">
        <f t="shared" si="40"/>
        <v>150000</v>
      </c>
      <c r="AC328" s="20">
        <v>16200</v>
      </c>
      <c r="AD328" s="20">
        <f t="shared" si="43"/>
        <v>166200</v>
      </c>
      <c r="AE328" s="20">
        <v>0</v>
      </c>
      <c r="AF328" s="20">
        <v>0</v>
      </c>
      <c r="AG328" s="20">
        <f t="shared" si="44"/>
        <v>0</v>
      </c>
      <c r="AH328" s="20">
        <v>0</v>
      </c>
      <c r="AI328" s="37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spans="1:51" ht="14.15" hidden="1" customHeight="1" x14ac:dyDescent="0.35">
      <c r="A329">
        <v>0</v>
      </c>
      <c r="B329">
        <v>0</v>
      </c>
      <c r="C329">
        <v>0</v>
      </c>
      <c r="D329">
        <v>0</v>
      </c>
      <c r="E329">
        <v>6000</v>
      </c>
      <c r="F329">
        <v>2700</v>
      </c>
      <c r="G329">
        <v>1000</v>
      </c>
      <c r="H329">
        <v>1450</v>
      </c>
      <c r="I329">
        <v>0</v>
      </c>
      <c r="J329">
        <v>0</v>
      </c>
      <c r="K329">
        <v>0</v>
      </c>
      <c r="L329">
        <v>1500</v>
      </c>
      <c r="M329">
        <v>2000</v>
      </c>
      <c r="N329">
        <v>1500</v>
      </c>
      <c r="O329">
        <v>3000</v>
      </c>
      <c r="P329">
        <v>0</v>
      </c>
      <c r="Q329">
        <v>0</v>
      </c>
      <c r="R329">
        <v>0</v>
      </c>
      <c r="S329">
        <v>0</v>
      </c>
      <c r="T329">
        <v>193626560</v>
      </c>
      <c r="U329" s="19">
        <f t="shared" si="47"/>
        <v>313150</v>
      </c>
      <c r="V329" s="20">
        <f t="shared" si="41"/>
        <v>19150</v>
      </c>
      <c r="W329" s="20">
        <v>120000</v>
      </c>
      <c r="X329" s="20">
        <f t="shared" si="46"/>
        <v>138000</v>
      </c>
      <c r="Y329" s="20"/>
      <c r="Z329" s="20">
        <f t="shared" si="42"/>
        <v>138000</v>
      </c>
      <c r="AA329" s="20">
        <v>138000</v>
      </c>
      <c r="AB329" s="20">
        <f t="shared" si="40"/>
        <v>156000</v>
      </c>
      <c r="AC329" s="20"/>
      <c r="AD329" s="20">
        <f t="shared" si="43"/>
        <v>156000</v>
      </c>
      <c r="AE329" s="20">
        <v>0</v>
      </c>
      <c r="AF329" s="20">
        <v>0</v>
      </c>
      <c r="AG329" s="20">
        <f t="shared" si="44"/>
        <v>0</v>
      </c>
      <c r="AH329" s="20">
        <v>0</v>
      </c>
      <c r="AI329" s="37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spans="1:51" ht="14.15" hidden="1" customHeight="1" x14ac:dyDescent="0.35">
      <c r="A330">
        <v>4300</v>
      </c>
      <c r="B330">
        <v>4500</v>
      </c>
      <c r="C330">
        <v>0</v>
      </c>
      <c r="D330">
        <v>0</v>
      </c>
      <c r="E330">
        <v>6000</v>
      </c>
      <c r="F330">
        <v>0</v>
      </c>
      <c r="G330">
        <v>0</v>
      </c>
      <c r="H330">
        <v>1700</v>
      </c>
      <c r="I330">
        <v>0</v>
      </c>
      <c r="J330">
        <v>0</v>
      </c>
      <c r="K330">
        <v>0</v>
      </c>
      <c r="L330">
        <v>1500</v>
      </c>
      <c r="M330">
        <v>0</v>
      </c>
      <c r="N330">
        <v>1500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178649631</v>
      </c>
      <c r="U330" s="19">
        <f t="shared" si="47"/>
        <v>295500</v>
      </c>
      <c r="V330" s="20">
        <f t="shared" si="41"/>
        <v>19500</v>
      </c>
      <c r="W330" s="20">
        <v>132000</v>
      </c>
      <c r="X330" s="20">
        <f t="shared" si="46"/>
        <v>150000</v>
      </c>
      <c r="Y330" s="20"/>
      <c r="Z330" s="20">
        <f t="shared" si="42"/>
        <v>150000</v>
      </c>
      <c r="AA330" s="20">
        <v>90000</v>
      </c>
      <c r="AB330" s="20">
        <f t="shared" si="40"/>
        <v>108000</v>
      </c>
      <c r="AC330" s="20">
        <v>18000</v>
      </c>
      <c r="AD330" s="20">
        <f t="shared" si="43"/>
        <v>126000</v>
      </c>
      <c r="AE330" s="20">
        <v>0</v>
      </c>
      <c r="AF330" s="20">
        <v>0</v>
      </c>
      <c r="AG330" s="20">
        <f t="shared" si="44"/>
        <v>0</v>
      </c>
      <c r="AH330" s="20">
        <v>0</v>
      </c>
      <c r="AI330" s="37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spans="1:51" ht="14.15" hidden="1" customHeight="1" x14ac:dyDescent="0.35">
      <c r="A331">
        <v>3800</v>
      </c>
      <c r="B331">
        <v>0</v>
      </c>
      <c r="C331">
        <v>0</v>
      </c>
      <c r="D331">
        <v>0</v>
      </c>
      <c r="E331">
        <v>6000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1500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131682334</v>
      </c>
      <c r="U331" s="19"/>
      <c r="V331" s="20"/>
      <c r="W331" s="20"/>
      <c r="X331" s="20"/>
      <c r="Y331" s="20"/>
      <c r="Z331" s="20"/>
      <c r="AA331" s="20"/>
      <c r="AB331" s="20"/>
      <c r="AC331" s="20"/>
      <c r="AD331" s="20"/>
      <c r="AE331" s="20">
        <v>0</v>
      </c>
      <c r="AF331" s="20">
        <v>0</v>
      </c>
      <c r="AG331" s="20">
        <f t="shared" si="44"/>
        <v>0</v>
      </c>
      <c r="AH331" s="20">
        <v>0</v>
      </c>
      <c r="AI331" s="37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spans="1:51" ht="14.15" hidden="1" customHeight="1" x14ac:dyDescent="0.35">
      <c r="A332">
        <v>0</v>
      </c>
      <c r="B332">
        <v>0</v>
      </c>
      <c r="C332">
        <v>0</v>
      </c>
      <c r="D332">
        <v>0</v>
      </c>
      <c r="E332">
        <v>6000</v>
      </c>
      <c r="F332">
        <v>2700</v>
      </c>
      <c r="G332">
        <v>2000</v>
      </c>
      <c r="H332">
        <v>0</v>
      </c>
      <c r="I332">
        <v>0</v>
      </c>
      <c r="J332">
        <v>0</v>
      </c>
      <c r="K332">
        <v>0</v>
      </c>
      <c r="L332">
        <v>1500</v>
      </c>
      <c r="M332">
        <v>2000</v>
      </c>
      <c r="N332">
        <v>1500</v>
      </c>
      <c r="O332">
        <v>3000</v>
      </c>
      <c r="P332">
        <v>0</v>
      </c>
      <c r="Q332">
        <v>0</v>
      </c>
      <c r="R332">
        <v>0</v>
      </c>
      <c r="S332">
        <v>0</v>
      </c>
      <c r="T332">
        <v>102703678</v>
      </c>
      <c r="U332" s="19">
        <f t="shared" ref="U332:U363" si="48" xml:space="preserve"> SUM(V332, Z332, AD332, AG332, AH332, AI332)</f>
        <v>366700</v>
      </c>
      <c r="V332" s="20">
        <f t="shared" si="41"/>
        <v>18700</v>
      </c>
      <c r="W332" s="20">
        <v>162000</v>
      </c>
      <c r="X332" s="20">
        <f t="shared" ref="X332:X338" si="49">W332+3*6000</f>
        <v>180000</v>
      </c>
      <c r="Y332" s="20"/>
      <c r="Z332" s="20">
        <f t="shared" si="42"/>
        <v>180000</v>
      </c>
      <c r="AA332" s="20">
        <v>150000</v>
      </c>
      <c r="AB332" s="20">
        <f t="shared" si="40"/>
        <v>168000</v>
      </c>
      <c r="AC332" s="20"/>
      <c r="AD332" s="20">
        <f t="shared" si="43"/>
        <v>168000</v>
      </c>
      <c r="AE332" s="20">
        <v>0</v>
      </c>
      <c r="AF332" s="20">
        <v>0</v>
      </c>
      <c r="AG332" s="20">
        <f t="shared" si="44"/>
        <v>0</v>
      </c>
      <c r="AH332" s="20">
        <v>0</v>
      </c>
      <c r="AI332" s="37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spans="1:51" ht="14.15" hidden="1" customHeight="1" x14ac:dyDescent="0.35">
      <c r="A333">
        <v>0</v>
      </c>
      <c r="B333">
        <v>0</v>
      </c>
      <c r="C333">
        <v>0</v>
      </c>
      <c r="D333">
        <v>0</v>
      </c>
      <c r="E333">
        <v>6000</v>
      </c>
      <c r="F333">
        <v>2700</v>
      </c>
      <c r="G333">
        <v>2000</v>
      </c>
      <c r="H333">
        <v>1450</v>
      </c>
      <c r="I333">
        <v>0</v>
      </c>
      <c r="J333">
        <v>0</v>
      </c>
      <c r="K333">
        <v>0</v>
      </c>
      <c r="L333">
        <v>1500</v>
      </c>
      <c r="M333">
        <v>2000</v>
      </c>
      <c r="N333">
        <v>1500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557919490</v>
      </c>
      <c r="U333" s="19">
        <f t="shared" si="48"/>
        <v>305150</v>
      </c>
      <c r="V333" s="20">
        <f t="shared" si="41"/>
        <v>17150</v>
      </c>
      <c r="W333" s="20">
        <v>156000</v>
      </c>
      <c r="X333" s="20">
        <f t="shared" si="49"/>
        <v>174000</v>
      </c>
      <c r="Y333" s="20"/>
      <c r="Z333" s="20">
        <f t="shared" si="42"/>
        <v>174000</v>
      </c>
      <c r="AA333" s="20">
        <v>96000</v>
      </c>
      <c r="AB333" s="20">
        <f t="shared" si="40"/>
        <v>114000</v>
      </c>
      <c r="AC333" s="20"/>
      <c r="AD333" s="20">
        <f t="shared" si="43"/>
        <v>114000</v>
      </c>
      <c r="AE333" s="20">
        <v>0</v>
      </c>
      <c r="AF333" s="20">
        <v>0</v>
      </c>
      <c r="AG333" s="20">
        <f t="shared" si="44"/>
        <v>0</v>
      </c>
      <c r="AH333" s="20">
        <v>0</v>
      </c>
      <c r="AI333" s="37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spans="1:51" ht="14.15" hidden="1" customHeight="1" x14ac:dyDescent="0.35">
      <c r="A334">
        <v>4000</v>
      </c>
      <c r="B334">
        <v>0</v>
      </c>
      <c r="C334">
        <v>0</v>
      </c>
      <c r="D334">
        <v>0</v>
      </c>
      <c r="E334">
        <v>6000</v>
      </c>
      <c r="F334">
        <v>1275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1500</v>
      </c>
      <c r="M334">
        <v>0</v>
      </c>
      <c r="N334">
        <v>1500</v>
      </c>
      <c r="O334">
        <v>3000</v>
      </c>
      <c r="P334">
        <v>0</v>
      </c>
      <c r="Q334">
        <v>0</v>
      </c>
      <c r="R334">
        <v>0</v>
      </c>
      <c r="S334">
        <v>0</v>
      </c>
      <c r="T334">
        <v>167664922</v>
      </c>
      <c r="U334" s="19">
        <f t="shared" si="48"/>
        <v>257275</v>
      </c>
      <c r="V334" s="20">
        <f t="shared" si="41"/>
        <v>17275</v>
      </c>
      <c r="W334" s="20">
        <v>78000</v>
      </c>
      <c r="X334" s="20">
        <f t="shared" si="49"/>
        <v>96000</v>
      </c>
      <c r="Y334" s="20"/>
      <c r="Z334" s="20">
        <f t="shared" si="42"/>
        <v>96000</v>
      </c>
      <c r="AA334" s="20">
        <v>126000</v>
      </c>
      <c r="AB334" s="20">
        <f t="shared" si="40"/>
        <v>144000</v>
      </c>
      <c r="AC334" s="20"/>
      <c r="AD334" s="20">
        <f t="shared" si="43"/>
        <v>144000</v>
      </c>
      <c r="AE334" s="20">
        <v>0</v>
      </c>
      <c r="AF334" s="20">
        <v>0</v>
      </c>
      <c r="AG334" s="20">
        <f t="shared" si="44"/>
        <v>0</v>
      </c>
      <c r="AH334" s="20">
        <v>0</v>
      </c>
      <c r="AI334" s="37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spans="1:51" ht="14.15" hidden="1" customHeight="1" x14ac:dyDescent="0.35">
      <c r="A335">
        <v>4300</v>
      </c>
      <c r="B335">
        <v>0</v>
      </c>
      <c r="C335">
        <v>0</v>
      </c>
      <c r="D335">
        <v>0</v>
      </c>
      <c r="E335">
        <v>6000</v>
      </c>
      <c r="F335">
        <v>2700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1500</v>
      </c>
      <c r="M335">
        <v>0</v>
      </c>
      <c r="N335">
        <v>0</v>
      </c>
      <c r="O335">
        <v>3000</v>
      </c>
      <c r="P335">
        <v>0</v>
      </c>
      <c r="Q335">
        <v>0</v>
      </c>
      <c r="R335">
        <v>0</v>
      </c>
      <c r="S335">
        <v>0</v>
      </c>
      <c r="T335">
        <v>164660571</v>
      </c>
      <c r="U335" s="19">
        <f t="shared" si="48"/>
        <v>275500</v>
      </c>
      <c r="V335" s="20">
        <f t="shared" si="41"/>
        <v>17500</v>
      </c>
      <c r="W335" s="20">
        <v>126000</v>
      </c>
      <c r="X335" s="20">
        <f t="shared" si="49"/>
        <v>144000</v>
      </c>
      <c r="Y335" s="20"/>
      <c r="Z335" s="20">
        <f t="shared" si="42"/>
        <v>144000</v>
      </c>
      <c r="AA335" s="20">
        <v>96000</v>
      </c>
      <c r="AB335" s="20">
        <f t="shared" si="40"/>
        <v>114000</v>
      </c>
      <c r="AC335" s="20"/>
      <c r="AD335" s="20">
        <f t="shared" si="43"/>
        <v>114000</v>
      </c>
      <c r="AE335" s="20">
        <v>0</v>
      </c>
      <c r="AF335" s="20">
        <v>0</v>
      </c>
      <c r="AG335" s="20">
        <f t="shared" si="44"/>
        <v>0</v>
      </c>
      <c r="AH335" s="20">
        <v>0</v>
      </c>
      <c r="AI335" s="37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spans="1:51" ht="14.15" hidden="1" customHeight="1" x14ac:dyDescent="0.35">
      <c r="A336">
        <v>4550</v>
      </c>
      <c r="B336">
        <v>5000</v>
      </c>
      <c r="C336">
        <v>0</v>
      </c>
      <c r="D336">
        <v>0</v>
      </c>
      <c r="E336">
        <v>6000</v>
      </c>
      <c r="F336">
        <v>2700</v>
      </c>
      <c r="G336">
        <v>1000</v>
      </c>
      <c r="H336">
        <v>1450</v>
      </c>
      <c r="I336">
        <v>0</v>
      </c>
      <c r="J336">
        <v>0</v>
      </c>
      <c r="K336">
        <v>0</v>
      </c>
      <c r="L336">
        <v>1500</v>
      </c>
      <c r="M336">
        <v>2000</v>
      </c>
      <c r="N336">
        <v>1500</v>
      </c>
      <c r="O336">
        <v>3000</v>
      </c>
      <c r="P336">
        <v>0</v>
      </c>
      <c r="Q336">
        <v>0</v>
      </c>
      <c r="R336">
        <v>0</v>
      </c>
      <c r="S336">
        <v>0</v>
      </c>
      <c r="T336">
        <v>159686441</v>
      </c>
      <c r="U336" s="19">
        <f t="shared" si="48"/>
        <v>244700</v>
      </c>
      <c r="V336" s="20">
        <f t="shared" si="41"/>
        <v>28700</v>
      </c>
      <c r="W336" s="20">
        <v>108000</v>
      </c>
      <c r="X336" s="20">
        <f t="shared" si="49"/>
        <v>126000</v>
      </c>
      <c r="Y336" s="20"/>
      <c r="Z336" s="20">
        <f t="shared" si="42"/>
        <v>126000</v>
      </c>
      <c r="AA336" s="20">
        <v>72000</v>
      </c>
      <c r="AB336" s="20">
        <f t="shared" si="40"/>
        <v>90000</v>
      </c>
      <c r="AC336" s="20"/>
      <c r="AD336" s="20">
        <f t="shared" si="43"/>
        <v>90000</v>
      </c>
      <c r="AE336" s="20">
        <v>0</v>
      </c>
      <c r="AF336" s="20">
        <v>0</v>
      </c>
      <c r="AG336" s="20">
        <f t="shared" si="44"/>
        <v>0</v>
      </c>
      <c r="AH336" s="20">
        <v>0</v>
      </c>
      <c r="AI336" s="37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spans="1:51" ht="14.15" hidden="1" customHeight="1" x14ac:dyDescent="0.35">
      <c r="A337">
        <v>4550</v>
      </c>
      <c r="B337">
        <v>3500</v>
      </c>
      <c r="C337">
        <v>0</v>
      </c>
      <c r="D337">
        <v>0</v>
      </c>
      <c r="E337">
        <v>6000</v>
      </c>
      <c r="F337">
        <v>2700</v>
      </c>
      <c r="G337">
        <v>2500</v>
      </c>
      <c r="H337">
        <v>1700</v>
      </c>
      <c r="I337">
        <v>0</v>
      </c>
      <c r="J337">
        <v>0</v>
      </c>
      <c r="K337">
        <v>0</v>
      </c>
      <c r="L337">
        <v>1500</v>
      </c>
      <c r="M337">
        <v>2000</v>
      </c>
      <c r="N337">
        <v>1500</v>
      </c>
      <c r="O337">
        <v>3000</v>
      </c>
      <c r="P337">
        <v>0</v>
      </c>
      <c r="Q337">
        <v>0</v>
      </c>
      <c r="R337">
        <v>0</v>
      </c>
      <c r="S337">
        <v>0</v>
      </c>
      <c r="T337">
        <v>71721353</v>
      </c>
      <c r="U337" s="19">
        <f t="shared" si="48"/>
        <v>376950</v>
      </c>
      <c r="V337" s="20">
        <f t="shared" si="41"/>
        <v>28950</v>
      </c>
      <c r="W337" s="20">
        <v>144000</v>
      </c>
      <c r="X337" s="20">
        <f t="shared" si="49"/>
        <v>162000</v>
      </c>
      <c r="Y337" s="20"/>
      <c r="Z337" s="20">
        <f t="shared" si="42"/>
        <v>162000</v>
      </c>
      <c r="AA337" s="20">
        <v>150000</v>
      </c>
      <c r="AB337" s="20">
        <f t="shared" si="40"/>
        <v>168000</v>
      </c>
      <c r="AC337" s="20">
        <v>18000</v>
      </c>
      <c r="AD337" s="20">
        <f t="shared" si="43"/>
        <v>186000</v>
      </c>
      <c r="AE337" s="20">
        <v>0</v>
      </c>
      <c r="AF337" s="20">
        <v>0</v>
      </c>
      <c r="AG337" s="20">
        <f t="shared" si="44"/>
        <v>0</v>
      </c>
      <c r="AH337" s="20">
        <v>0</v>
      </c>
      <c r="AI337" s="37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spans="1:51" ht="14.15" hidden="1" customHeight="1" x14ac:dyDescent="0.35">
      <c r="A338">
        <v>4550</v>
      </c>
      <c r="B338">
        <v>4500</v>
      </c>
      <c r="C338">
        <v>0</v>
      </c>
      <c r="D338">
        <v>0</v>
      </c>
      <c r="E338">
        <v>6000</v>
      </c>
      <c r="F338">
        <v>2700</v>
      </c>
      <c r="G338">
        <v>2000</v>
      </c>
      <c r="H338">
        <v>1450</v>
      </c>
      <c r="I338">
        <v>0</v>
      </c>
      <c r="J338">
        <v>0</v>
      </c>
      <c r="K338">
        <v>0</v>
      </c>
      <c r="L338">
        <v>1500</v>
      </c>
      <c r="M338">
        <v>2000</v>
      </c>
      <c r="N338">
        <v>1500</v>
      </c>
      <c r="O338">
        <v>3000</v>
      </c>
      <c r="P338">
        <v>0</v>
      </c>
      <c r="Q338">
        <v>0</v>
      </c>
      <c r="R338">
        <v>0</v>
      </c>
      <c r="S338">
        <v>0</v>
      </c>
      <c r="T338">
        <v>151845983</v>
      </c>
      <c r="U338" s="19">
        <f t="shared" si="48"/>
        <v>330700</v>
      </c>
      <c r="V338" s="20">
        <f t="shared" si="41"/>
        <v>29200</v>
      </c>
      <c r="W338" s="20">
        <v>114000</v>
      </c>
      <c r="X338" s="20">
        <f t="shared" si="49"/>
        <v>132000</v>
      </c>
      <c r="Y338" s="20">
        <v>13500</v>
      </c>
      <c r="Z338" s="20">
        <f t="shared" si="42"/>
        <v>145500</v>
      </c>
      <c r="AA338" s="20">
        <v>120000</v>
      </c>
      <c r="AB338" s="20">
        <f t="shared" si="40"/>
        <v>138000</v>
      </c>
      <c r="AC338" s="20">
        <v>18000</v>
      </c>
      <c r="AD338" s="20">
        <f t="shared" si="43"/>
        <v>156000</v>
      </c>
      <c r="AE338" s="20">
        <v>0</v>
      </c>
      <c r="AF338" s="20">
        <v>0</v>
      </c>
      <c r="AG338" s="20">
        <f t="shared" si="44"/>
        <v>0</v>
      </c>
      <c r="AH338" s="20">
        <v>0</v>
      </c>
      <c r="AI338" s="37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spans="1:51" ht="14.15" hidden="1" customHeight="1" x14ac:dyDescent="0.35">
      <c r="A339">
        <v>0</v>
      </c>
      <c r="B339">
        <v>0</v>
      </c>
      <c r="C339">
        <v>0</v>
      </c>
      <c r="D339">
        <v>0</v>
      </c>
      <c r="E339">
        <v>6000</v>
      </c>
      <c r="F339">
        <v>1275</v>
      </c>
      <c r="G339">
        <v>0</v>
      </c>
      <c r="H339">
        <v>1700</v>
      </c>
      <c r="I339">
        <v>0</v>
      </c>
      <c r="J339">
        <v>0</v>
      </c>
      <c r="K339">
        <v>0</v>
      </c>
      <c r="L339">
        <v>1500</v>
      </c>
      <c r="M339">
        <v>0</v>
      </c>
      <c r="N339">
        <v>1500</v>
      </c>
      <c r="O339">
        <v>3000</v>
      </c>
      <c r="P339">
        <v>0</v>
      </c>
      <c r="Q339">
        <v>0</v>
      </c>
      <c r="R339">
        <v>0</v>
      </c>
      <c r="S339">
        <v>0</v>
      </c>
      <c r="T339">
        <v>210703529</v>
      </c>
      <c r="U339" s="19">
        <f t="shared" si="48"/>
        <v>326975</v>
      </c>
      <c r="V339" s="20">
        <f t="shared" si="41"/>
        <v>14975</v>
      </c>
      <c r="W339" s="20"/>
      <c r="X339" s="20">
        <v>156000</v>
      </c>
      <c r="Y339" s="20"/>
      <c r="Z339" s="20">
        <v>156000</v>
      </c>
      <c r="AA339" s="20">
        <v>138000</v>
      </c>
      <c r="AB339" s="20">
        <f t="shared" si="40"/>
        <v>156000</v>
      </c>
      <c r="AC339" s="20"/>
      <c r="AD339" s="20">
        <f t="shared" si="43"/>
        <v>156000</v>
      </c>
      <c r="AE339" s="20">
        <v>0</v>
      </c>
      <c r="AF339" s="20">
        <v>0</v>
      </c>
      <c r="AG339" s="20">
        <f t="shared" si="44"/>
        <v>0</v>
      </c>
      <c r="AH339" s="20">
        <v>0</v>
      </c>
      <c r="AI339" s="37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spans="1:51" ht="14.15" hidden="1" customHeight="1" x14ac:dyDescent="0.35">
      <c r="A340">
        <v>5000</v>
      </c>
      <c r="B340">
        <v>5000</v>
      </c>
      <c r="C340">
        <v>0</v>
      </c>
      <c r="D340">
        <v>0</v>
      </c>
      <c r="E340">
        <v>6000</v>
      </c>
      <c r="F340">
        <v>2700</v>
      </c>
      <c r="G340">
        <v>1500</v>
      </c>
      <c r="H340">
        <v>1450</v>
      </c>
      <c r="I340">
        <v>0</v>
      </c>
      <c r="J340">
        <v>0</v>
      </c>
      <c r="K340">
        <v>0</v>
      </c>
      <c r="L340">
        <v>1500</v>
      </c>
      <c r="M340">
        <v>2000</v>
      </c>
      <c r="N340">
        <v>1500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802816398</v>
      </c>
      <c r="U340" s="19">
        <f t="shared" si="48"/>
        <v>368650</v>
      </c>
      <c r="V340" s="20">
        <f t="shared" si="41"/>
        <v>26650</v>
      </c>
      <c r="W340" s="20">
        <v>156000</v>
      </c>
      <c r="X340" s="20">
        <f t="shared" ref="X340:X393" si="50">W340+3*6000</f>
        <v>174000</v>
      </c>
      <c r="Y340" s="20"/>
      <c r="Z340" s="20">
        <f t="shared" si="42"/>
        <v>174000</v>
      </c>
      <c r="AA340" s="20">
        <v>150000</v>
      </c>
      <c r="AB340" s="20">
        <f t="shared" si="40"/>
        <v>168000</v>
      </c>
      <c r="AC340" s="20"/>
      <c r="AD340" s="20">
        <f t="shared" si="43"/>
        <v>168000</v>
      </c>
      <c r="AE340" s="20">
        <v>0</v>
      </c>
      <c r="AF340" s="20">
        <v>0</v>
      </c>
      <c r="AG340" s="20">
        <f t="shared" si="44"/>
        <v>0</v>
      </c>
      <c r="AH340" s="20">
        <v>0</v>
      </c>
      <c r="AI340" s="37">
        <v>0</v>
      </c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spans="1:51" ht="14.15" hidden="1" customHeight="1" x14ac:dyDescent="0.35">
      <c r="A341">
        <v>0</v>
      </c>
      <c r="B341">
        <v>5000</v>
      </c>
      <c r="C341">
        <v>0</v>
      </c>
      <c r="D341">
        <v>0</v>
      </c>
      <c r="E341">
        <v>6000</v>
      </c>
      <c r="F341">
        <v>2700</v>
      </c>
      <c r="G341">
        <v>2000</v>
      </c>
      <c r="H341">
        <v>1450</v>
      </c>
      <c r="I341">
        <v>0</v>
      </c>
      <c r="J341">
        <v>0</v>
      </c>
      <c r="K341">
        <v>0</v>
      </c>
      <c r="L341">
        <v>1500</v>
      </c>
      <c r="M341">
        <v>2000</v>
      </c>
      <c r="N341">
        <v>1500</v>
      </c>
      <c r="O341">
        <v>3000</v>
      </c>
      <c r="P341">
        <v>0</v>
      </c>
      <c r="Q341">
        <v>0</v>
      </c>
      <c r="R341">
        <v>0</v>
      </c>
      <c r="S341">
        <v>0</v>
      </c>
      <c r="T341">
        <v>207703008</v>
      </c>
      <c r="U341" s="19">
        <f t="shared" si="48"/>
        <v>337150</v>
      </c>
      <c r="V341" s="20">
        <f t="shared" si="41"/>
        <v>25150</v>
      </c>
      <c r="W341" s="20">
        <v>138000</v>
      </c>
      <c r="X341" s="20">
        <f t="shared" si="50"/>
        <v>156000</v>
      </c>
      <c r="Y341" s="20"/>
      <c r="Z341" s="20">
        <f t="shared" si="42"/>
        <v>156000</v>
      </c>
      <c r="AA341" s="20">
        <v>120000</v>
      </c>
      <c r="AB341" s="20">
        <f t="shared" si="40"/>
        <v>138000</v>
      </c>
      <c r="AC341" s="20">
        <v>18000</v>
      </c>
      <c r="AD341" s="20">
        <f t="shared" si="43"/>
        <v>156000</v>
      </c>
      <c r="AE341" s="20">
        <v>0</v>
      </c>
      <c r="AF341" s="20">
        <v>0</v>
      </c>
      <c r="AG341" s="20">
        <f t="shared" si="44"/>
        <v>0</v>
      </c>
      <c r="AH341" s="20">
        <v>0</v>
      </c>
      <c r="AI341" s="37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spans="1:51" ht="14.15" hidden="1" customHeight="1" x14ac:dyDescent="0.35">
      <c r="A342">
        <v>4550</v>
      </c>
      <c r="B342">
        <v>4500</v>
      </c>
      <c r="C342">
        <v>0</v>
      </c>
      <c r="D342">
        <v>0</v>
      </c>
      <c r="E342">
        <v>6000</v>
      </c>
      <c r="F342">
        <v>2700</v>
      </c>
      <c r="G342">
        <v>1000</v>
      </c>
      <c r="H342">
        <v>0</v>
      </c>
      <c r="I342">
        <v>0</v>
      </c>
      <c r="J342">
        <v>0</v>
      </c>
      <c r="K342">
        <v>0</v>
      </c>
      <c r="L342">
        <v>1500</v>
      </c>
      <c r="M342">
        <v>2000</v>
      </c>
      <c r="N342">
        <v>1500</v>
      </c>
      <c r="O342">
        <v>3000</v>
      </c>
      <c r="P342">
        <v>0</v>
      </c>
      <c r="Q342">
        <v>0</v>
      </c>
      <c r="R342">
        <v>0</v>
      </c>
      <c r="S342">
        <v>0</v>
      </c>
      <c r="T342">
        <v>64708445</v>
      </c>
      <c r="U342" s="19">
        <f t="shared" si="48"/>
        <v>370250</v>
      </c>
      <c r="V342" s="20">
        <f t="shared" si="41"/>
        <v>26750</v>
      </c>
      <c r="W342" s="20">
        <v>144000</v>
      </c>
      <c r="X342" s="20">
        <f t="shared" si="50"/>
        <v>162000</v>
      </c>
      <c r="Y342" s="20">
        <v>13500</v>
      </c>
      <c r="Z342" s="20">
        <f t="shared" si="42"/>
        <v>175500</v>
      </c>
      <c r="AA342" s="20">
        <v>132000</v>
      </c>
      <c r="AB342" s="20">
        <f t="shared" si="40"/>
        <v>150000</v>
      </c>
      <c r="AC342" s="20">
        <v>18000</v>
      </c>
      <c r="AD342" s="20">
        <f t="shared" si="43"/>
        <v>168000</v>
      </c>
      <c r="AE342" s="20">
        <v>0</v>
      </c>
      <c r="AF342" s="20">
        <v>0</v>
      </c>
      <c r="AG342" s="20">
        <f t="shared" si="44"/>
        <v>0</v>
      </c>
      <c r="AH342" s="20">
        <v>0</v>
      </c>
      <c r="AI342" s="37">
        <v>0</v>
      </c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spans="1:51" ht="14.15" hidden="1" customHeight="1" x14ac:dyDescent="0.35">
      <c r="A343">
        <v>4800</v>
      </c>
      <c r="B343">
        <v>5000</v>
      </c>
      <c r="C343">
        <v>0</v>
      </c>
      <c r="D343">
        <v>0</v>
      </c>
      <c r="E343">
        <v>6000</v>
      </c>
      <c r="F343">
        <v>2700</v>
      </c>
      <c r="G343">
        <v>1500</v>
      </c>
      <c r="H343">
        <v>1450</v>
      </c>
      <c r="I343">
        <v>0</v>
      </c>
      <c r="J343">
        <v>0</v>
      </c>
      <c r="K343">
        <v>0</v>
      </c>
      <c r="L343">
        <v>1500</v>
      </c>
      <c r="M343">
        <v>2000</v>
      </c>
      <c r="N343">
        <v>1500</v>
      </c>
      <c r="O343">
        <v>3000</v>
      </c>
      <c r="P343">
        <v>0</v>
      </c>
      <c r="Q343">
        <v>0</v>
      </c>
      <c r="R343">
        <v>0</v>
      </c>
      <c r="S343">
        <v>0</v>
      </c>
      <c r="T343">
        <v>168667471</v>
      </c>
      <c r="U343" s="19">
        <f t="shared" si="48"/>
        <v>389450</v>
      </c>
      <c r="V343" s="20">
        <f t="shared" si="41"/>
        <v>29450</v>
      </c>
      <c r="W343" s="20">
        <v>144000</v>
      </c>
      <c r="X343" s="20">
        <f t="shared" si="50"/>
        <v>162000</v>
      </c>
      <c r="Y343" s="20">
        <v>18000</v>
      </c>
      <c r="Z343" s="20">
        <f t="shared" si="42"/>
        <v>180000</v>
      </c>
      <c r="AA343" s="20">
        <v>144000</v>
      </c>
      <c r="AB343" s="20">
        <f t="shared" si="40"/>
        <v>162000</v>
      </c>
      <c r="AC343" s="20">
        <v>18000</v>
      </c>
      <c r="AD343" s="20">
        <f t="shared" si="43"/>
        <v>180000</v>
      </c>
      <c r="AE343" s="20">
        <v>0</v>
      </c>
      <c r="AF343" s="20">
        <v>0</v>
      </c>
      <c r="AG343" s="20">
        <f t="shared" si="44"/>
        <v>0</v>
      </c>
      <c r="AH343" s="20">
        <v>0</v>
      </c>
      <c r="AI343" s="37">
        <v>0</v>
      </c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spans="1:51" ht="14.15" hidden="1" customHeight="1" x14ac:dyDescent="0.35">
      <c r="A344">
        <v>4550</v>
      </c>
      <c r="B344">
        <v>5000</v>
      </c>
      <c r="C344">
        <v>0</v>
      </c>
      <c r="D344">
        <v>0</v>
      </c>
      <c r="E344">
        <v>6000</v>
      </c>
      <c r="F344">
        <v>2700</v>
      </c>
      <c r="G344">
        <v>1500</v>
      </c>
      <c r="H344">
        <v>1700</v>
      </c>
      <c r="I344">
        <v>0</v>
      </c>
      <c r="J344">
        <v>0</v>
      </c>
      <c r="K344">
        <v>0</v>
      </c>
      <c r="L344">
        <v>1500</v>
      </c>
      <c r="M344">
        <v>2000</v>
      </c>
      <c r="N344">
        <v>1500</v>
      </c>
      <c r="O344">
        <v>3000</v>
      </c>
      <c r="P344">
        <v>0</v>
      </c>
      <c r="Q344">
        <v>0</v>
      </c>
      <c r="R344">
        <v>0</v>
      </c>
      <c r="S344">
        <v>0</v>
      </c>
      <c r="T344">
        <v>205648089</v>
      </c>
      <c r="U344" s="19">
        <f t="shared" si="48"/>
        <v>305450</v>
      </c>
      <c r="V344" s="20">
        <f t="shared" si="41"/>
        <v>29450</v>
      </c>
      <c r="W344" s="20">
        <v>126000</v>
      </c>
      <c r="X344" s="20">
        <f t="shared" si="50"/>
        <v>144000</v>
      </c>
      <c r="Y344" s="20"/>
      <c r="Z344" s="20">
        <f t="shared" si="42"/>
        <v>144000</v>
      </c>
      <c r="AA344" s="20">
        <v>114000</v>
      </c>
      <c r="AB344" s="20">
        <f t="shared" si="40"/>
        <v>132000</v>
      </c>
      <c r="AC344" s="20"/>
      <c r="AD344" s="20">
        <f t="shared" si="43"/>
        <v>132000</v>
      </c>
      <c r="AE344" s="20">
        <v>0</v>
      </c>
      <c r="AF344" s="20">
        <v>0</v>
      </c>
      <c r="AG344" s="20">
        <f t="shared" si="44"/>
        <v>0</v>
      </c>
      <c r="AH344" s="20">
        <v>0</v>
      </c>
      <c r="AI344" s="37">
        <v>0</v>
      </c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spans="1:51" ht="14.15" hidden="1" customHeight="1" x14ac:dyDescent="0.35">
      <c r="A345">
        <v>0</v>
      </c>
      <c r="B345">
        <v>0</v>
      </c>
      <c r="C345">
        <v>0</v>
      </c>
      <c r="D345">
        <v>0</v>
      </c>
      <c r="E345">
        <v>6000</v>
      </c>
      <c r="F345">
        <v>2700</v>
      </c>
      <c r="G345">
        <v>0</v>
      </c>
      <c r="H345">
        <v>1800</v>
      </c>
      <c r="I345">
        <v>0</v>
      </c>
      <c r="J345">
        <v>0</v>
      </c>
      <c r="K345">
        <v>0</v>
      </c>
      <c r="L345">
        <v>1500</v>
      </c>
      <c r="M345">
        <v>2000</v>
      </c>
      <c r="N345">
        <v>1500</v>
      </c>
      <c r="O345">
        <v>3000</v>
      </c>
      <c r="P345">
        <v>0</v>
      </c>
      <c r="Q345">
        <v>0</v>
      </c>
      <c r="R345">
        <v>0</v>
      </c>
      <c r="S345">
        <v>0</v>
      </c>
      <c r="T345">
        <v>176649479</v>
      </c>
      <c r="U345" s="19">
        <f t="shared" si="48"/>
        <v>282500</v>
      </c>
      <c r="V345" s="20">
        <f t="shared" si="41"/>
        <v>18500</v>
      </c>
      <c r="W345" s="20">
        <v>126000</v>
      </c>
      <c r="X345" s="20">
        <f t="shared" si="50"/>
        <v>144000</v>
      </c>
      <c r="Y345" s="20"/>
      <c r="Z345" s="20">
        <f t="shared" si="42"/>
        <v>144000</v>
      </c>
      <c r="AA345" s="20">
        <v>102000</v>
      </c>
      <c r="AB345" s="20">
        <f t="shared" si="40"/>
        <v>120000</v>
      </c>
      <c r="AC345" s="20"/>
      <c r="AD345" s="20">
        <f t="shared" si="43"/>
        <v>120000</v>
      </c>
      <c r="AE345" s="20">
        <v>0</v>
      </c>
      <c r="AF345" s="20">
        <v>0</v>
      </c>
      <c r="AG345" s="20">
        <f t="shared" si="44"/>
        <v>0</v>
      </c>
      <c r="AH345" s="20">
        <v>0</v>
      </c>
      <c r="AI345" s="37">
        <v>0</v>
      </c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spans="1:51" ht="14.15" hidden="1" customHeight="1" x14ac:dyDescent="0.35">
      <c r="A346">
        <v>4100</v>
      </c>
      <c r="B346">
        <v>5000</v>
      </c>
      <c r="C346">
        <v>0</v>
      </c>
      <c r="D346">
        <v>0</v>
      </c>
      <c r="E346">
        <v>6000</v>
      </c>
      <c r="F346">
        <v>2700</v>
      </c>
      <c r="G346">
        <v>1500</v>
      </c>
      <c r="H346">
        <v>1450</v>
      </c>
      <c r="I346">
        <v>0</v>
      </c>
      <c r="J346">
        <v>0</v>
      </c>
      <c r="K346">
        <v>0</v>
      </c>
      <c r="L346">
        <v>1500</v>
      </c>
      <c r="M346">
        <v>2000</v>
      </c>
      <c r="N346">
        <v>1500</v>
      </c>
      <c r="O346">
        <v>3000</v>
      </c>
      <c r="P346">
        <v>0</v>
      </c>
      <c r="Q346">
        <v>0</v>
      </c>
      <c r="R346">
        <v>0</v>
      </c>
      <c r="S346">
        <v>0</v>
      </c>
      <c r="T346">
        <v>142785255</v>
      </c>
      <c r="U346" s="19">
        <f t="shared" si="48"/>
        <v>319150</v>
      </c>
      <c r="V346" s="20">
        <f t="shared" si="41"/>
        <v>28750</v>
      </c>
      <c r="W346" s="20">
        <v>126000</v>
      </c>
      <c r="X346" s="20">
        <f t="shared" si="50"/>
        <v>144000</v>
      </c>
      <c r="Y346" s="20"/>
      <c r="Z346" s="20">
        <f t="shared" si="42"/>
        <v>144000</v>
      </c>
      <c r="AA346" s="20">
        <v>114000</v>
      </c>
      <c r="AB346" s="20">
        <f t="shared" ref="AB346:AB401" si="51">AA346+18000</f>
        <v>132000</v>
      </c>
      <c r="AC346" s="20">
        <v>14400</v>
      </c>
      <c r="AD346" s="20">
        <f t="shared" si="43"/>
        <v>146400</v>
      </c>
      <c r="AE346" s="20">
        <v>0</v>
      </c>
      <c r="AF346" s="20">
        <v>0</v>
      </c>
      <c r="AG346" s="20">
        <f t="shared" si="44"/>
        <v>0</v>
      </c>
      <c r="AH346" s="20">
        <v>0</v>
      </c>
      <c r="AI346" s="37">
        <v>0</v>
      </c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spans="1:51" ht="14.15" hidden="1" customHeight="1" x14ac:dyDescent="0.35">
      <c r="A347">
        <v>4000</v>
      </c>
      <c r="B347">
        <v>0</v>
      </c>
      <c r="C347">
        <v>0</v>
      </c>
      <c r="D347">
        <v>0</v>
      </c>
      <c r="E347">
        <v>6000</v>
      </c>
      <c r="F347">
        <v>1275</v>
      </c>
      <c r="G347">
        <v>1500</v>
      </c>
      <c r="H347">
        <v>0</v>
      </c>
      <c r="I347">
        <v>0</v>
      </c>
      <c r="J347">
        <v>0</v>
      </c>
      <c r="K347">
        <v>0</v>
      </c>
      <c r="L347">
        <v>1500</v>
      </c>
      <c r="M347">
        <v>2000</v>
      </c>
      <c r="N347">
        <v>1500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206646232</v>
      </c>
      <c r="U347" s="19">
        <f t="shared" si="48"/>
        <v>317775</v>
      </c>
      <c r="V347" s="20">
        <f t="shared" si="41"/>
        <v>17775</v>
      </c>
      <c r="W347" s="20">
        <v>132000</v>
      </c>
      <c r="X347" s="20">
        <f t="shared" si="50"/>
        <v>150000</v>
      </c>
      <c r="Y347" s="20"/>
      <c r="Z347" s="20">
        <f t="shared" si="42"/>
        <v>150000</v>
      </c>
      <c r="AA347" s="20">
        <v>132000</v>
      </c>
      <c r="AB347" s="20">
        <f t="shared" si="51"/>
        <v>150000</v>
      </c>
      <c r="AC347" s="20"/>
      <c r="AD347" s="20">
        <f t="shared" si="43"/>
        <v>150000</v>
      </c>
      <c r="AE347" s="20">
        <v>0</v>
      </c>
      <c r="AF347" s="20">
        <v>0</v>
      </c>
      <c r="AG347" s="20">
        <f t="shared" si="44"/>
        <v>0</v>
      </c>
      <c r="AH347" s="20">
        <v>0</v>
      </c>
      <c r="AI347" s="37">
        <v>0</v>
      </c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spans="1:51" ht="14.15" hidden="1" customHeight="1" x14ac:dyDescent="0.35">
      <c r="A348">
        <v>0</v>
      </c>
      <c r="B348">
        <v>4000</v>
      </c>
      <c r="C348">
        <v>0</v>
      </c>
      <c r="D348">
        <v>0</v>
      </c>
      <c r="E348">
        <v>6000</v>
      </c>
      <c r="F348">
        <v>2700</v>
      </c>
      <c r="G348">
        <v>1000</v>
      </c>
      <c r="H348">
        <v>1700</v>
      </c>
      <c r="I348">
        <v>0</v>
      </c>
      <c r="J348">
        <v>0</v>
      </c>
      <c r="K348">
        <v>0</v>
      </c>
      <c r="L348">
        <v>1500</v>
      </c>
      <c r="M348">
        <v>0</v>
      </c>
      <c r="N348">
        <v>1500</v>
      </c>
      <c r="O348">
        <v>3000</v>
      </c>
      <c r="P348">
        <v>0</v>
      </c>
      <c r="Q348">
        <v>0</v>
      </c>
      <c r="R348">
        <v>0</v>
      </c>
      <c r="S348">
        <v>0</v>
      </c>
      <c r="T348">
        <v>161665580</v>
      </c>
      <c r="U348" s="19">
        <f t="shared" si="48"/>
        <v>249400</v>
      </c>
      <c r="V348" s="20">
        <f t="shared" ref="V348:V400" si="52">SUM(A348:S348)</f>
        <v>21400</v>
      </c>
      <c r="W348" s="20">
        <v>114000</v>
      </c>
      <c r="X348" s="20">
        <f t="shared" si="50"/>
        <v>132000</v>
      </c>
      <c r="Y348" s="20"/>
      <c r="Z348" s="20">
        <f t="shared" ref="Z348:Z397" si="53">SUM(X348:Y348)</f>
        <v>132000</v>
      </c>
      <c r="AA348" s="20">
        <v>78000</v>
      </c>
      <c r="AB348" s="20">
        <f t="shared" si="51"/>
        <v>96000</v>
      </c>
      <c r="AC348" s="20"/>
      <c r="AD348" s="20">
        <f t="shared" ref="AD348:AD397" si="54">SUM(AB348:AC348)</f>
        <v>96000</v>
      </c>
      <c r="AE348" s="20">
        <v>0</v>
      </c>
      <c r="AF348" s="20">
        <v>0</v>
      </c>
      <c r="AG348" s="20">
        <f t="shared" ref="AG348:AG397" si="55">SUM(AE348:AF348)</f>
        <v>0</v>
      </c>
      <c r="AH348" s="20">
        <v>0</v>
      </c>
      <c r="AI348" s="37">
        <v>0</v>
      </c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spans="1:51" ht="14.15" hidden="1" customHeight="1" x14ac:dyDescent="0.35">
      <c r="A349">
        <v>3800</v>
      </c>
      <c r="B349">
        <v>5000</v>
      </c>
      <c r="C349">
        <v>0</v>
      </c>
      <c r="D349">
        <v>0</v>
      </c>
      <c r="E349">
        <v>6000</v>
      </c>
      <c r="F349">
        <v>2700</v>
      </c>
      <c r="G349">
        <v>1500</v>
      </c>
      <c r="H349">
        <v>1450</v>
      </c>
      <c r="I349">
        <v>0</v>
      </c>
      <c r="J349">
        <v>0</v>
      </c>
      <c r="K349">
        <v>0</v>
      </c>
      <c r="L349">
        <v>1500</v>
      </c>
      <c r="M349">
        <v>2000</v>
      </c>
      <c r="N349">
        <v>1500</v>
      </c>
      <c r="O349">
        <v>3000</v>
      </c>
      <c r="P349">
        <v>0</v>
      </c>
      <c r="Q349">
        <v>0</v>
      </c>
      <c r="R349">
        <v>0</v>
      </c>
      <c r="S349">
        <v>0</v>
      </c>
      <c r="T349">
        <v>209644269</v>
      </c>
      <c r="U349" s="19">
        <f t="shared" si="48"/>
        <v>382450</v>
      </c>
      <c r="V349" s="20">
        <f t="shared" si="52"/>
        <v>28450</v>
      </c>
      <c r="W349" s="20">
        <v>156000</v>
      </c>
      <c r="X349" s="20">
        <f t="shared" si="50"/>
        <v>174000</v>
      </c>
      <c r="Y349" s="20"/>
      <c r="Z349" s="20">
        <f t="shared" si="53"/>
        <v>174000</v>
      </c>
      <c r="AA349" s="20">
        <v>144000</v>
      </c>
      <c r="AB349" s="20">
        <f t="shared" si="51"/>
        <v>162000</v>
      </c>
      <c r="AC349" s="20">
        <v>18000</v>
      </c>
      <c r="AD349" s="20">
        <f t="shared" si="54"/>
        <v>180000</v>
      </c>
      <c r="AE349" s="20">
        <v>0</v>
      </c>
      <c r="AF349" s="20">
        <v>0</v>
      </c>
      <c r="AG349" s="20">
        <f t="shared" si="55"/>
        <v>0</v>
      </c>
      <c r="AH349" s="20">
        <v>0</v>
      </c>
      <c r="AI349" s="37">
        <v>0</v>
      </c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spans="1:51" ht="14.15" hidden="1" customHeight="1" x14ac:dyDescent="0.35">
      <c r="A350">
        <v>0</v>
      </c>
      <c r="B350">
        <v>5000</v>
      </c>
      <c r="C350">
        <v>0</v>
      </c>
      <c r="D350">
        <v>0</v>
      </c>
      <c r="E350">
        <v>6000</v>
      </c>
      <c r="F350">
        <v>2700</v>
      </c>
      <c r="G350">
        <v>2500</v>
      </c>
      <c r="H350">
        <v>0</v>
      </c>
      <c r="I350">
        <v>0</v>
      </c>
      <c r="J350">
        <v>0</v>
      </c>
      <c r="K350">
        <v>0</v>
      </c>
      <c r="L350">
        <v>1500</v>
      </c>
      <c r="M350">
        <v>2000</v>
      </c>
      <c r="N350">
        <v>1500</v>
      </c>
      <c r="O350">
        <v>3000</v>
      </c>
      <c r="P350">
        <v>0</v>
      </c>
      <c r="Q350">
        <v>0</v>
      </c>
      <c r="R350">
        <v>0</v>
      </c>
      <c r="S350">
        <v>0</v>
      </c>
      <c r="T350">
        <v>160709493</v>
      </c>
      <c r="U350" s="19">
        <f t="shared" si="48"/>
        <v>282200</v>
      </c>
      <c r="V350" s="20">
        <f t="shared" si="52"/>
        <v>24200</v>
      </c>
      <c r="W350" s="20">
        <v>132000</v>
      </c>
      <c r="X350" s="20">
        <f t="shared" si="50"/>
        <v>150000</v>
      </c>
      <c r="Y350" s="20"/>
      <c r="Z350" s="20">
        <f t="shared" si="53"/>
        <v>150000</v>
      </c>
      <c r="AA350" s="20">
        <v>90000</v>
      </c>
      <c r="AB350" s="20">
        <f t="shared" si="51"/>
        <v>108000</v>
      </c>
      <c r="AC350" s="20"/>
      <c r="AD350" s="20">
        <f t="shared" si="54"/>
        <v>108000</v>
      </c>
      <c r="AE350" s="20">
        <v>0</v>
      </c>
      <c r="AF350" s="20">
        <v>0</v>
      </c>
      <c r="AG350" s="20">
        <f t="shared" si="55"/>
        <v>0</v>
      </c>
      <c r="AH350" s="20">
        <v>0</v>
      </c>
      <c r="AI350" s="37">
        <v>0</v>
      </c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spans="1:51" ht="14.15" hidden="1" customHeight="1" x14ac:dyDescent="0.35">
      <c r="A351">
        <v>3750</v>
      </c>
      <c r="B351">
        <v>5000</v>
      </c>
      <c r="C351">
        <v>0</v>
      </c>
      <c r="D351">
        <v>0</v>
      </c>
      <c r="E351">
        <v>6000</v>
      </c>
      <c r="F351">
        <v>2700</v>
      </c>
      <c r="G351">
        <v>1500</v>
      </c>
      <c r="H351">
        <v>1450</v>
      </c>
      <c r="I351">
        <v>0</v>
      </c>
      <c r="J351">
        <v>0</v>
      </c>
      <c r="K351">
        <v>0</v>
      </c>
      <c r="L351">
        <v>1500</v>
      </c>
      <c r="M351">
        <v>2000</v>
      </c>
      <c r="N351">
        <v>1500</v>
      </c>
      <c r="O351">
        <v>3000</v>
      </c>
      <c r="P351">
        <v>0</v>
      </c>
      <c r="Q351">
        <v>0</v>
      </c>
      <c r="R351">
        <v>0</v>
      </c>
      <c r="S351">
        <v>0</v>
      </c>
      <c r="T351">
        <v>126723857</v>
      </c>
      <c r="U351" s="19">
        <f t="shared" si="48"/>
        <v>376400</v>
      </c>
      <c r="V351" s="20">
        <f t="shared" si="52"/>
        <v>28400</v>
      </c>
      <c r="W351" s="20">
        <v>156000</v>
      </c>
      <c r="X351" s="20">
        <f t="shared" si="50"/>
        <v>174000</v>
      </c>
      <c r="Y351" s="20"/>
      <c r="Z351" s="20">
        <f t="shared" si="53"/>
        <v>174000</v>
      </c>
      <c r="AA351" s="20">
        <v>156000</v>
      </c>
      <c r="AB351" s="20">
        <f t="shared" si="51"/>
        <v>174000</v>
      </c>
      <c r="AC351" s="20"/>
      <c r="AD351" s="20">
        <f t="shared" si="54"/>
        <v>174000</v>
      </c>
      <c r="AE351" s="20">
        <v>0</v>
      </c>
      <c r="AF351" s="20">
        <v>0</v>
      </c>
      <c r="AG351" s="20">
        <f t="shared" si="55"/>
        <v>0</v>
      </c>
      <c r="AH351" s="20">
        <v>0</v>
      </c>
      <c r="AI351" s="37">
        <v>0</v>
      </c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spans="1:51" ht="14.15" hidden="1" customHeight="1" x14ac:dyDescent="0.35">
      <c r="A352">
        <v>4800</v>
      </c>
      <c r="B352">
        <v>5000</v>
      </c>
      <c r="C352">
        <v>0</v>
      </c>
      <c r="D352">
        <v>0</v>
      </c>
      <c r="E352">
        <v>6000</v>
      </c>
      <c r="F352">
        <v>2700</v>
      </c>
      <c r="G352">
        <v>2000</v>
      </c>
      <c r="H352">
        <v>1700</v>
      </c>
      <c r="I352">
        <v>0</v>
      </c>
      <c r="J352">
        <v>0</v>
      </c>
      <c r="K352">
        <v>0</v>
      </c>
      <c r="L352">
        <v>1500</v>
      </c>
      <c r="M352">
        <v>2000</v>
      </c>
      <c r="N352">
        <v>1500</v>
      </c>
      <c r="O352">
        <v>3000</v>
      </c>
      <c r="P352">
        <v>0</v>
      </c>
      <c r="Q352">
        <v>0</v>
      </c>
      <c r="R352">
        <v>0</v>
      </c>
      <c r="S352">
        <v>0</v>
      </c>
      <c r="T352">
        <v>175666449</v>
      </c>
      <c r="U352" s="19">
        <f t="shared" si="48"/>
        <v>402200</v>
      </c>
      <c r="V352" s="20">
        <f t="shared" si="52"/>
        <v>30200</v>
      </c>
      <c r="W352" s="20">
        <v>168000</v>
      </c>
      <c r="X352" s="20">
        <f t="shared" si="50"/>
        <v>186000</v>
      </c>
      <c r="Y352" s="20"/>
      <c r="Z352" s="20">
        <f t="shared" si="53"/>
        <v>186000</v>
      </c>
      <c r="AA352" s="20">
        <v>168000</v>
      </c>
      <c r="AB352" s="20">
        <f t="shared" si="51"/>
        <v>186000</v>
      </c>
      <c r="AC352" s="20"/>
      <c r="AD352" s="20">
        <f t="shared" si="54"/>
        <v>186000</v>
      </c>
      <c r="AE352" s="20">
        <v>0</v>
      </c>
      <c r="AF352" s="20">
        <v>0</v>
      </c>
      <c r="AG352" s="20">
        <f t="shared" si="55"/>
        <v>0</v>
      </c>
      <c r="AH352" s="20">
        <v>0</v>
      </c>
      <c r="AI352" s="37">
        <v>0</v>
      </c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spans="1:51" ht="14.15" hidden="1" customHeight="1" x14ac:dyDescent="0.35">
      <c r="A353">
        <v>0</v>
      </c>
      <c r="B353">
        <v>0</v>
      </c>
      <c r="C353">
        <v>0</v>
      </c>
      <c r="D353">
        <v>0</v>
      </c>
      <c r="E353">
        <v>6000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199625575</v>
      </c>
      <c r="U353" s="19">
        <f t="shared" si="48"/>
        <v>270000</v>
      </c>
      <c r="V353" s="20">
        <f t="shared" si="52"/>
        <v>6000</v>
      </c>
      <c r="W353" s="20">
        <v>132000</v>
      </c>
      <c r="X353" s="20">
        <f t="shared" si="50"/>
        <v>150000</v>
      </c>
      <c r="Y353" s="20"/>
      <c r="Z353" s="20">
        <f t="shared" si="53"/>
        <v>150000</v>
      </c>
      <c r="AA353" s="20">
        <v>96000</v>
      </c>
      <c r="AB353" s="20">
        <f t="shared" si="51"/>
        <v>114000</v>
      </c>
      <c r="AC353" s="20"/>
      <c r="AD353" s="20">
        <f t="shared" si="54"/>
        <v>114000</v>
      </c>
      <c r="AE353" s="20">
        <v>0</v>
      </c>
      <c r="AF353" s="20">
        <v>0</v>
      </c>
      <c r="AG353" s="20">
        <f t="shared" si="55"/>
        <v>0</v>
      </c>
      <c r="AH353" s="20">
        <v>0</v>
      </c>
      <c r="AI353" s="37">
        <v>0</v>
      </c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spans="1:51" ht="14.15" hidden="1" customHeight="1" x14ac:dyDescent="0.35">
      <c r="A354">
        <v>4300</v>
      </c>
      <c r="B354">
        <v>3500</v>
      </c>
      <c r="C354">
        <v>0</v>
      </c>
      <c r="D354">
        <v>0</v>
      </c>
      <c r="E354">
        <v>6000</v>
      </c>
      <c r="F354">
        <v>2700</v>
      </c>
      <c r="G354">
        <v>1500</v>
      </c>
      <c r="H354">
        <v>1700</v>
      </c>
      <c r="I354">
        <v>0</v>
      </c>
      <c r="J354">
        <v>0</v>
      </c>
      <c r="K354">
        <v>0</v>
      </c>
      <c r="L354">
        <v>1500</v>
      </c>
      <c r="M354">
        <v>2000</v>
      </c>
      <c r="N354">
        <v>1500</v>
      </c>
      <c r="O354">
        <v>3000</v>
      </c>
      <c r="P354">
        <v>0</v>
      </c>
      <c r="Q354">
        <v>0</v>
      </c>
      <c r="R354">
        <v>0</v>
      </c>
      <c r="S354">
        <v>0</v>
      </c>
      <c r="T354">
        <v>212578926</v>
      </c>
      <c r="U354" s="19">
        <f t="shared" si="48"/>
        <v>369700</v>
      </c>
      <c r="V354" s="20">
        <f t="shared" si="52"/>
        <v>27700</v>
      </c>
      <c r="W354" s="20">
        <v>150000</v>
      </c>
      <c r="X354" s="20">
        <f t="shared" si="50"/>
        <v>168000</v>
      </c>
      <c r="Y354" s="20"/>
      <c r="Z354" s="20">
        <f t="shared" si="53"/>
        <v>168000</v>
      </c>
      <c r="AA354" s="20">
        <v>156000</v>
      </c>
      <c r="AB354" s="20">
        <f t="shared" si="51"/>
        <v>174000</v>
      </c>
      <c r="AC354" s="20"/>
      <c r="AD354" s="20">
        <f t="shared" si="54"/>
        <v>174000</v>
      </c>
      <c r="AE354" s="20">
        <v>0</v>
      </c>
      <c r="AF354" s="20">
        <v>0</v>
      </c>
      <c r="AG354" s="20">
        <f t="shared" si="55"/>
        <v>0</v>
      </c>
      <c r="AH354" s="20">
        <v>0</v>
      </c>
      <c r="AI354" s="37">
        <v>0</v>
      </c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spans="1:51" ht="14.15" hidden="1" customHeight="1" x14ac:dyDescent="0.35">
      <c r="A355">
        <v>3300</v>
      </c>
      <c r="B355">
        <v>4500</v>
      </c>
      <c r="C355">
        <v>0</v>
      </c>
      <c r="D355">
        <v>0</v>
      </c>
      <c r="E355">
        <v>6000</v>
      </c>
      <c r="F355">
        <v>2700</v>
      </c>
      <c r="G355">
        <v>1000</v>
      </c>
      <c r="H355">
        <v>1700</v>
      </c>
      <c r="I355">
        <v>0</v>
      </c>
      <c r="J355">
        <v>0</v>
      </c>
      <c r="K355">
        <v>0</v>
      </c>
      <c r="L355">
        <v>1500</v>
      </c>
      <c r="M355">
        <v>2000</v>
      </c>
      <c r="N355">
        <v>1500</v>
      </c>
      <c r="O355">
        <v>3000</v>
      </c>
      <c r="P355">
        <v>0</v>
      </c>
      <c r="Q355">
        <v>0</v>
      </c>
      <c r="R355">
        <v>0</v>
      </c>
      <c r="S355">
        <v>0</v>
      </c>
      <c r="T355">
        <v>198626877</v>
      </c>
      <c r="U355" s="19">
        <f t="shared" si="48"/>
        <v>242000</v>
      </c>
      <c r="V355" s="20">
        <f t="shared" si="52"/>
        <v>27200</v>
      </c>
      <c r="W355" s="20">
        <v>102000</v>
      </c>
      <c r="X355" s="20">
        <f t="shared" si="50"/>
        <v>120000</v>
      </c>
      <c r="Y355" s="20">
        <v>10800</v>
      </c>
      <c r="Z355" s="20">
        <f t="shared" si="53"/>
        <v>130800</v>
      </c>
      <c r="AA355" s="20">
        <v>66000</v>
      </c>
      <c r="AB355" s="20">
        <f t="shared" si="51"/>
        <v>84000</v>
      </c>
      <c r="AC355" s="20"/>
      <c r="AD355" s="20">
        <f t="shared" si="54"/>
        <v>84000</v>
      </c>
      <c r="AE355" s="20">
        <v>0</v>
      </c>
      <c r="AF355" s="20">
        <v>0</v>
      </c>
      <c r="AG355" s="20">
        <f t="shared" si="55"/>
        <v>0</v>
      </c>
      <c r="AH355" s="20">
        <v>0</v>
      </c>
      <c r="AI355" s="37">
        <v>0</v>
      </c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spans="1:51" ht="14.15" hidden="1" customHeight="1" x14ac:dyDescent="0.35">
      <c r="A356">
        <v>3750</v>
      </c>
      <c r="B356">
        <v>3000</v>
      </c>
      <c r="C356">
        <v>0</v>
      </c>
      <c r="D356">
        <v>0</v>
      </c>
      <c r="E356">
        <v>6000</v>
      </c>
      <c r="F356">
        <v>0</v>
      </c>
      <c r="G356">
        <v>0</v>
      </c>
      <c r="H356">
        <v>1450</v>
      </c>
      <c r="I356">
        <v>0</v>
      </c>
      <c r="J356">
        <v>0</v>
      </c>
      <c r="K356">
        <v>0</v>
      </c>
      <c r="L356">
        <v>1500</v>
      </c>
      <c r="M356">
        <v>2000</v>
      </c>
      <c r="N356">
        <v>0</v>
      </c>
      <c r="O356">
        <v>3000</v>
      </c>
      <c r="P356">
        <v>0</v>
      </c>
      <c r="Q356">
        <v>0</v>
      </c>
      <c r="R356">
        <v>0</v>
      </c>
      <c r="S356">
        <v>0</v>
      </c>
      <c r="T356">
        <v>192686871</v>
      </c>
      <c r="U356" s="19">
        <f t="shared" si="48"/>
        <v>314700</v>
      </c>
      <c r="V356" s="20">
        <f t="shared" si="52"/>
        <v>20700</v>
      </c>
      <c r="W356" s="20">
        <v>138000</v>
      </c>
      <c r="X356" s="20">
        <f t="shared" si="50"/>
        <v>156000</v>
      </c>
      <c r="Y356" s="20"/>
      <c r="Z356" s="20">
        <f t="shared" si="53"/>
        <v>156000</v>
      </c>
      <c r="AA356" s="20">
        <v>120000</v>
      </c>
      <c r="AB356" s="20">
        <f t="shared" si="51"/>
        <v>138000</v>
      </c>
      <c r="AC356" s="20"/>
      <c r="AD356" s="20">
        <f t="shared" si="54"/>
        <v>138000</v>
      </c>
      <c r="AE356" s="20">
        <v>0</v>
      </c>
      <c r="AF356" s="20">
        <v>0</v>
      </c>
      <c r="AG356" s="20">
        <f t="shared" si="55"/>
        <v>0</v>
      </c>
      <c r="AH356" s="20">
        <v>0</v>
      </c>
      <c r="AI356" s="37">
        <v>0</v>
      </c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spans="1:51" ht="14.15" hidden="1" customHeight="1" x14ac:dyDescent="0.35">
      <c r="A357">
        <v>3500</v>
      </c>
      <c r="B357">
        <v>3000</v>
      </c>
      <c r="C357">
        <v>0</v>
      </c>
      <c r="D357">
        <v>0</v>
      </c>
      <c r="E357">
        <v>6000</v>
      </c>
      <c r="F357">
        <v>2700</v>
      </c>
      <c r="G357">
        <v>1000</v>
      </c>
      <c r="H357">
        <v>1200</v>
      </c>
      <c r="I357">
        <v>0</v>
      </c>
      <c r="J357">
        <v>0</v>
      </c>
      <c r="K357">
        <v>0</v>
      </c>
      <c r="L357">
        <v>1500</v>
      </c>
      <c r="M357">
        <v>2000</v>
      </c>
      <c r="N357">
        <v>1500</v>
      </c>
      <c r="O357">
        <v>3000</v>
      </c>
      <c r="P357">
        <v>0</v>
      </c>
      <c r="Q357">
        <v>0</v>
      </c>
      <c r="R357">
        <v>0</v>
      </c>
      <c r="S357">
        <v>0</v>
      </c>
      <c r="T357">
        <v>386942408</v>
      </c>
      <c r="U357" s="19">
        <f t="shared" si="48"/>
        <v>355400</v>
      </c>
      <c r="V357" s="20">
        <f t="shared" si="52"/>
        <v>25400</v>
      </c>
      <c r="W357" s="20">
        <v>150000</v>
      </c>
      <c r="X357" s="20">
        <f t="shared" si="50"/>
        <v>168000</v>
      </c>
      <c r="Y357" s="20"/>
      <c r="Z357" s="20">
        <f t="shared" si="53"/>
        <v>168000</v>
      </c>
      <c r="AA357" s="20">
        <v>144000</v>
      </c>
      <c r="AB357" s="20">
        <f t="shared" si="51"/>
        <v>162000</v>
      </c>
      <c r="AC357" s="20"/>
      <c r="AD357" s="20">
        <f t="shared" si="54"/>
        <v>162000</v>
      </c>
      <c r="AE357" s="20">
        <v>0</v>
      </c>
      <c r="AF357" s="20">
        <v>0</v>
      </c>
      <c r="AG357" s="20">
        <f t="shared" si="55"/>
        <v>0</v>
      </c>
      <c r="AH357" s="20">
        <v>0</v>
      </c>
      <c r="AI357" s="37">
        <v>0</v>
      </c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spans="1:51" ht="14.15" hidden="1" customHeight="1" x14ac:dyDescent="0.35">
      <c r="A358">
        <v>0</v>
      </c>
      <c r="B358">
        <v>5000</v>
      </c>
      <c r="C358">
        <v>0</v>
      </c>
      <c r="D358">
        <v>0</v>
      </c>
      <c r="E358">
        <v>6000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1500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139783346</v>
      </c>
      <c r="U358" s="19">
        <f t="shared" si="48"/>
        <v>294500</v>
      </c>
      <c r="V358" s="20">
        <f t="shared" si="52"/>
        <v>12500</v>
      </c>
      <c r="W358" s="20">
        <v>132000</v>
      </c>
      <c r="X358" s="20">
        <f t="shared" si="50"/>
        <v>150000</v>
      </c>
      <c r="Y358" s="20"/>
      <c r="Z358" s="20">
        <f t="shared" si="53"/>
        <v>150000</v>
      </c>
      <c r="AA358" s="20">
        <v>114000</v>
      </c>
      <c r="AB358" s="20">
        <f t="shared" si="51"/>
        <v>132000</v>
      </c>
      <c r="AC358" s="20"/>
      <c r="AD358" s="20">
        <f t="shared" si="54"/>
        <v>132000</v>
      </c>
      <c r="AE358" s="20">
        <v>0</v>
      </c>
      <c r="AF358" s="20">
        <v>0</v>
      </c>
      <c r="AG358" s="20">
        <f t="shared" si="55"/>
        <v>0</v>
      </c>
      <c r="AH358" s="20">
        <v>0</v>
      </c>
      <c r="AI358" s="37">
        <v>0</v>
      </c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spans="1:51" ht="14.15" hidden="1" customHeight="1" x14ac:dyDescent="0.35">
      <c r="A359">
        <v>4150</v>
      </c>
      <c r="B359">
        <v>5000</v>
      </c>
      <c r="C359">
        <v>0</v>
      </c>
      <c r="D359">
        <v>0</v>
      </c>
      <c r="E359">
        <v>6000</v>
      </c>
      <c r="F359">
        <v>2700</v>
      </c>
      <c r="G359">
        <v>2000</v>
      </c>
      <c r="H359">
        <v>1450</v>
      </c>
      <c r="I359">
        <v>0</v>
      </c>
      <c r="J359">
        <v>0</v>
      </c>
      <c r="K359">
        <v>0</v>
      </c>
      <c r="L359">
        <v>1500</v>
      </c>
      <c r="M359">
        <v>2000</v>
      </c>
      <c r="N359">
        <v>1500</v>
      </c>
      <c r="O359">
        <v>3000</v>
      </c>
      <c r="P359">
        <v>0</v>
      </c>
      <c r="Q359">
        <v>0</v>
      </c>
      <c r="R359">
        <v>0</v>
      </c>
      <c r="S359">
        <v>0</v>
      </c>
      <c r="T359">
        <v>135885891</v>
      </c>
      <c r="U359" s="19">
        <f t="shared" si="48"/>
        <v>338600</v>
      </c>
      <c r="V359" s="20">
        <f t="shared" si="52"/>
        <v>29300</v>
      </c>
      <c r="W359" s="20">
        <v>126000</v>
      </c>
      <c r="X359" s="20">
        <f t="shared" si="50"/>
        <v>144000</v>
      </c>
      <c r="Y359" s="20">
        <v>15300</v>
      </c>
      <c r="Z359" s="20">
        <f t="shared" si="53"/>
        <v>159300</v>
      </c>
      <c r="AA359" s="20">
        <v>114000</v>
      </c>
      <c r="AB359" s="20">
        <f t="shared" si="51"/>
        <v>132000</v>
      </c>
      <c r="AC359" s="20">
        <v>18000</v>
      </c>
      <c r="AD359" s="20">
        <f t="shared" si="54"/>
        <v>150000</v>
      </c>
      <c r="AE359" s="20">
        <v>0</v>
      </c>
      <c r="AF359" s="20">
        <v>0</v>
      </c>
      <c r="AG359" s="20">
        <f t="shared" si="55"/>
        <v>0</v>
      </c>
      <c r="AH359" s="20">
        <v>0</v>
      </c>
      <c r="AI359" s="37">
        <v>0</v>
      </c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spans="1:51" ht="14.15" hidden="1" customHeight="1" x14ac:dyDescent="0.35">
      <c r="A360">
        <v>4350</v>
      </c>
      <c r="B360">
        <v>3500</v>
      </c>
      <c r="C360">
        <v>0</v>
      </c>
      <c r="D360">
        <v>0</v>
      </c>
      <c r="E360">
        <v>6000</v>
      </c>
      <c r="F360">
        <v>2700</v>
      </c>
      <c r="G360">
        <v>1500</v>
      </c>
      <c r="H360">
        <v>650</v>
      </c>
      <c r="I360">
        <v>0</v>
      </c>
      <c r="J360">
        <v>0</v>
      </c>
      <c r="K360">
        <v>0</v>
      </c>
      <c r="L360">
        <v>1500</v>
      </c>
      <c r="M360">
        <v>2000</v>
      </c>
      <c r="N360">
        <v>1500</v>
      </c>
      <c r="O360">
        <v>3000</v>
      </c>
      <c r="P360">
        <v>0</v>
      </c>
      <c r="Q360">
        <v>0</v>
      </c>
      <c r="R360">
        <v>0</v>
      </c>
      <c r="S360">
        <v>0</v>
      </c>
      <c r="T360">
        <v>164702997</v>
      </c>
      <c r="U360" s="19">
        <f t="shared" si="48"/>
        <v>314700</v>
      </c>
      <c r="V360" s="20">
        <f t="shared" si="52"/>
        <v>26700</v>
      </c>
      <c r="W360" s="20">
        <v>132000</v>
      </c>
      <c r="X360" s="20">
        <f t="shared" si="50"/>
        <v>150000</v>
      </c>
      <c r="Y360" s="20"/>
      <c r="Z360" s="20">
        <f t="shared" si="53"/>
        <v>150000</v>
      </c>
      <c r="AA360" s="20">
        <v>120000</v>
      </c>
      <c r="AB360" s="20">
        <f t="shared" si="51"/>
        <v>138000</v>
      </c>
      <c r="AC360" s="20"/>
      <c r="AD360" s="20">
        <f t="shared" si="54"/>
        <v>138000</v>
      </c>
      <c r="AE360" s="20">
        <v>0</v>
      </c>
      <c r="AF360" s="20">
        <v>0</v>
      </c>
      <c r="AG360" s="20">
        <f t="shared" si="55"/>
        <v>0</v>
      </c>
      <c r="AH360" s="20">
        <v>0</v>
      </c>
      <c r="AI360" s="37">
        <v>0</v>
      </c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spans="1:51" ht="14.15" hidden="1" customHeight="1" x14ac:dyDescent="0.35">
      <c r="A361">
        <v>0</v>
      </c>
      <c r="B361">
        <v>0</v>
      </c>
      <c r="C361">
        <v>0</v>
      </c>
      <c r="D361">
        <v>0</v>
      </c>
      <c r="E361">
        <v>6000</v>
      </c>
      <c r="F361">
        <v>2700</v>
      </c>
      <c r="G361">
        <v>2000</v>
      </c>
      <c r="H361">
        <v>1450</v>
      </c>
      <c r="I361">
        <v>0</v>
      </c>
      <c r="J361">
        <v>0</v>
      </c>
      <c r="K361">
        <v>0</v>
      </c>
      <c r="L361">
        <v>1500</v>
      </c>
      <c r="M361">
        <v>2000</v>
      </c>
      <c r="N361">
        <v>1500</v>
      </c>
      <c r="O361">
        <v>3000</v>
      </c>
      <c r="P361">
        <v>0</v>
      </c>
      <c r="Q361">
        <v>0</v>
      </c>
      <c r="R361">
        <v>0</v>
      </c>
      <c r="S361">
        <v>0</v>
      </c>
      <c r="T361">
        <v>178748131</v>
      </c>
      <c r="U361" s="19">
        <f t="shared" si="48"/>
        <v>282350</v>
      </c>
      <c r="V361" s="20">
        <f t="shared" si="52"/>
        <v>20150</v>
      </c>
      <c r="W361" s="20">
        <v>108000</v>
      </c>
      <c r="X361" s="20">
        <f t="shared" si="50"/>
        <v>126000</v>
      </c>
      <c r="Y361" s="20"/>
      <c r="Z361" s="20">
        <f t="shared" si="53"/>
        <v>126000</v>
      </c>
      <c r="AA361" s="20">
        <v>102000</v>
      </c>
      <c r="AB361" s="20">
        <f t="shared" si="51"/>
        <v>120000</v>
      </c>
      <c r="AC361" s="20">
        <v>16200</v>
      </c>
      <c r="AD361" s="20">
        <f t="shared" si="54"/>
        <v>136200</v>
      </c>
      <c r="AE361" s="20">
        <v>0</v>
      </c>
      <c r="AF361" s="20">
        <v>0</v>
      </c>
      <c r="AG361" s="20">
        <f t="shared" si="55"/>
        <v>0</v>
      </c>
      <c r="AH361" s="20">
        <v>0</v>
      </c>
      <c r="AI361" s="37">
        <v>0</v>
      </c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spans="1:51" ht="14.15" hidden="1" customHeight="1" x14ac:dyDescent="0.35">
      <c r="A362">
        <v>3650</v>
      </c>
      <c r="B362">
        <v>5000</v>
      </c>
      <c r="C362">
        <v>0</v>
      </c>
      <c r="D362">
        <v>0</v>
      </c>
      <c r="E362">
        <v>6000</v>
      </c>
      <c r="F362">
        <v>2700</v>
      </c>
      <c r="G362">
        <v>1500</v>
      </c>
      <c r="H362">
        <v>1450</v>
      </c>
      <c r="I362">
        <v>0</v>
      </c>
      <c r="J362">
        <v>0</v>
      </c>
      <c r="K362">
        <v>0</v>
      </c>
      <c r="L362">
        <v>1500</v>
      </c>
      <c r="M362">
        <v>2000</v>
      </c>
      <c r="N362">
        <v>1500</v>
      </c>
      <c r="O362">
        <v>3000</v>
      </c>
      <c r="P362">
        <v>0</v>
      </c>
      <c r="Q362">
        <v>0</v>
      </c>
      <c r="R362">
        <v>0</v>
      </c>
      <c r="S362">
        <v>0</v>
      </c>
      <c r="T362">
        <v>208681222</v>
      </c>
      <c r="U362" s="19">
        <f t="shared" si="48"/>
        <v>346300</v>
      </c>
      <c r="V362" s="20">
        <f t="shared" si="52"/>
        <v>28300</v>
      </c>
      <c r="W362" s="20">
        <v>150000</v>
      </c>
      <c r="X362" s="20">
        <f t="shared" si="50"/>
        <v>168000</v>
      </c>
      <c r="Y362" s="20"/>
      <c r="Z362" s="20">
        <f t="shared" si="53"/>
        <v>168000</v>
      </c>
      <c r="AA362" s="20">
        <v>132000</v>
      </c>
      <c r="AB362" s="20">
        <f t="shared" si="51"/>
        <v>150000</v>
      </c>
      <c r="AC362" s="20"/>
      <c r="AD362" s="20">
        <f t="shared" si="54"/>
        <v>150000</v>
      </c>
      <c r="AE362" s="20">
        <v>0</v>
      </c>
      <c r="AF362" s="20">
        <v>0</v>
      </c>
      <c r="AG362" s="20">
        <f t="shared" si="55"/>
        <v>0</v>
      </c>
      <c r="AH362" s="20">
        <v>0</v>
      </c>
      <c r="AI362" s="37">
        <v>0</v>
      </c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 spans="1:51" ht="14.15" hidden="1" customHeight="1" x14ac:dyDescent="0.35">
      <c r="A363">
        <v>5000</v>
      </c>
      <c r="B363">
        <v>4500</v>
      </c>
      <c r="C363">
        <v>0</v>
      </c>
      <c r="D363">
        <v>0</v>
      </c>
      <c r="E363">
        <v>6000</v>
      </c>
      <c r="F363">
        <v>2700</v>
      </c>
      <c r="G363">
        <v>2000</v>
      </c>
      <c r="H363">
        <v>1450</v>
      </c>
      <c r="I363">
        <v>0</v>
      </c>
      <c r="J363">
        <v>0</v>
      </c>
      <c r="K363">
        <v>0</v>
      </c>
      <c r="L363">
        <v>1500</v>
      </c>
      <c r="M363">
        <v>2000</v>
      </c>
      <c r="N363">
        <v>1500</v>
      </c>
      <c r="O363">
        <v>3000</v>
      </c>
      <c r="P363">
        <v>0</v>
      </c>
      <c r="Q363">
        <v>0</v>
      </c>
      <c r="R363">
        <v>0</v>
      </c>
      <c r="S363">
        <v>0</v>
      </c>
      <c r="T363">
        <v>153801647</v>
      </c>
      <c r="U363" s="19">
        <f t="shared" si="48"/>
        <v>291850</v>
      </c>
      <c r="V363" s="20">
        <f t="shared" si="52"/>
        <v>29650</v>
      </c>
      <c r="W363" s="20">
        <v>108000</v>
      </c>
      <c r="X363" s="20">
        <f t="shared" si="50"/>
        <v>126000</v>
      </c>
      <c r="Y363" s="20">
        <v>16200</v>
      </c>
      <c r="Z363" s="20">
        <f t="shared" si="53"/>
        <v>142200</v>
      </c>
      <c r="AA363" s="20">
        <v>102000</v>
      </c>
      <c r="AB363" s="20">
        <f t="shared" si="51"/>
        <v>120000</v>
      </c>
      <c r="AC363" s="20"/>
      <c r="AD363" s="20">
        <f t="shared" si="54"/>
        <v>120000</v>
      </c>
      <c r="AE363" s="20">
        <v>0</v>
      </c>
      <c r="AF363" s="20">
        <v>0</v>
      </c>
      <c r="AG363" s="20">
        <f t="shared" si="55"/>
        <v>0</v>
      </c>
      <c r="AH363" s="20">
        <v>0</v>
      </c>
      <c r="AI363" s="37">
        <v>0</v>
      </c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spans="1:51" ht="14.15" hidden="1" customHeight="1" x14ac:dyDescent="0.35">
      <c r="A364">
        <v>0</v>
      </c>
      <c r="B364">
        <v>5000</v>
      </c>
      <c r="C364">
        <v>0</v>
      </c>
      <c r="D364">
        <v>0</v>
      </c>
      <c r="E364">
        <v>0</v>
      </c>
      <c r="F364">
        <v>2700</v>
      </c>
      <c r="G364">
        <v>2000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2000</v>
      </c>
      <c r="N364">
        <v>1500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94765771</v>
      </c>
      <c r="U364" s="19">
        <f t="shared" ref="U364:U395" si="56" xml:space="preserve"> SUM(V364, Z364, AD364, AG364, AH364, AI364)</f>
        <v>175200</v>
      </c>
      <c r="V364" s="20">
        <f>SUM(A364:S364)</f>
        <v>13200</v>
      </c>
      <c r="W364" s="20">
        <v>144000</v>
      </c>
      <c r="X364" s="20">
        <f t="shared" si="50"/>
        <v>162000</v>
      </c>
      <c r="Y364" s="20"/>
      <c r="Z364" s="20">
        <f t="shared" si="53"/>
        <v>162000</v>
      </c>
      <c r="AA364" s="20">
        <v>168000</v>
      </c>
      <c r="AB364" s="20">
        <f t="shared" si="51"/>
        <v>186000</v>
      </c>
      <c r="AC364" s="20"/>
      <c r="AD364" s="20"/>
      <c r="AE364" s="20"/>
      <c r="AF364" s="20"/>
      <c r="AG364" s="20"/>
      <c r="AH364" s="20"/>
      <c r="AI364" s="37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spans="1:51" ht="14.15" hidden="1" customHeight="1" x14ac:dyDescent="0.35">
      <c r="A365">
        <v>0</v>
      </c>
      <c r="B365">
        <v>3000</v>
      </c>
      <c r="C365">
        <v>0</v>
      </c>
      <c r="D365">
        <v>0</v>
      </c>
      <c r="E365">
        <v>6000</v>
      </c>
      <c r="F365">
        <v>2700</v>
      </c>
      <c r="G365">
        <v>2000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2000</v>
      </c>
      <c r="N365">
        <v>1500</v>
      </c>
      <c r="O365">
        <v>3000</v>
      </c>
      <c r="P365">
        <v>0</v>
      </c>
      <c r="Q365">
        <v>0</v>
      </c>
      <c r="R365">
        <v>0</v>
      </c>
      <c r="S365">
        <v>0</v>
      </c>
      <c r="T365">
        <v>155787272</v>
      </c>
      <c r="U365" s="19">
        <f t="shared" si="56"/>
        <v>284200</v>
      </c>
      <c r="V365" s="20">
        <f t="shared" si="52"/>
        <v>20200</v>
      </c>
      <c r="W365" s="20">
        <v>108000</v>
      </c>
      <c r="X365" s="20">
        <f t="shared" si="50"/>
        <v>126000</v>
      </c>
      <c r="Y365" s="20"/>
      <c r="Z365" s="20">
        <f t="shared" si="53"/>
        <v>126000</v>
      </c>
      <c r="AA365" s="20">
        <v>120000</v>
      </c>
      <c r="AB365" s="20">
        <f t="shared" si="51"/>
        <v>138000</v>
      </c>
      <c r="AC365" s="20"/>
      <c r="AD365" s="20">
        <f t="shared" si="54"/>
        <v>138000</v>
      </c>
      <c r="AE365" s="20">
        <v>0</v>
      </c>
      <c r="AF365" s="20">
        <v>0</v>
      </c>
      <c r="AG365" s="20">
        <f t="shared" si="55"/>
        <v>0</v>
      </c>
      <c r="AH365" s="20">
        <v>0</v>
      </c>
      <c r="AI365" s="37">
        <v>0</v>
      </c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spans="1:51" ht="14.15" hidden="1" customHeight="1" x14ac:dyDescent="0.35">
      <c r="A366">
        <v>3800</v>
      </c>
      <c r="B366">
        <v>5000</v>
      </c>
      <c r="C366">
        <v>0</v>
      </c>
      <c r="D366">
        <v>0</v>
      </c>
      <c r="E366">
        <v>6000</v>
      </c>
      <c r="F366">
        <v>0</v>
      </c>
      <c r="G366">
        <v>0</v>
      </c>
      <c r="H366">
        <v>1700</v>
      </c>
      <c r="I366">
        <v>0</v>
      </c>
      <c r="J366">
        <v>0</v>
      </c>
      <c r="K366">
        <v>0</v>
      </c>
      <c r="L366">
        <v>1500</v>
      </c>
      <c r="M366">
        <v>2000</v>
      </c>
      <c r="N366">
        <v>1500</v>
      </c>
      <c r="O366">
        <v>3000</v>
      </c>
      <c r="P366">
        <v>0</v>
      </c>
      <c r="Q366">
        <v>0</v>
      </c>
      <c r="R366">
        <v>0</v>
      </c>
      <c r="S366">
        <v>0</v>
      </c>
      <c r="T366">
        <v>58780211</v>
      </c>
      <c r="U366" s="19">
        <f t="shared" si="56"/>
        <v>324500</v>
      </c>
      <c r="V366" s="20">
        <f t="shared" si="52"/>
        <v>24500</v>
      </c>
      <c r="W366" s="20">
        <v>144000</v>
      </c>
      <c r="X366" s="20">
        <f t="shared" si="50"/>
        <v>162000</v>
      </c>
      <c r="Y366" s="20"/>
      <c r="Z366" s="20">
        <f t="shared" si="53"/>
        <v>162000</v>
      </c>
      <c r="AA366" s="20">
        <v>120000</v>
      </c>
      <c r="AB366" s="20">
        <f t="shared" si="51"/>
        <v>138000</v>
      </c>
      <c r="AC366" s="20"/>
      <c r="AD366" s="20">
        <f t="shared" si="54"/>
        <v>138000</v>
      </c>
      <c r="AE366" s="20">
        <v>0</v>
      </c>
      <c r="AF366" s="20">
        <v>0</v>
      </c>
      <c r="AG366" s="20">
        <f t="shared" si="55"/>
        <v>0</v>
      </c>
      <c r="AH366" s="20">
        <v>0</v>
      </c>
      <c r="AI366" s="37">
        <v>0</v>
      </c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spans="1:51" ht="14.15" hidden="1" customHeight="1" x14ac:dyDescent="0.35">
      <c r="A367">
        <v>4550</v>
      </c>
      <c r="B367">
        <v>3000</v>
      </c>
      <c r="C367">
        <v>0</v>
      </c>
      <c r="D367">
        <v>0</v>
      </c>
      <c r="E367">
        <v>6000</v>
      </c>
      <c r="F367">
        <v>2700</v>
      </c>
      <c r="G367">
        <v>1500</v>
      </c>
      <c r="H367">
        <v>1450</v>
      </c>
      <c r="I367">
        <v>0</v>
      </c>
      <c r="J367">
        <v>0</v>
      </c>
      <c r="K367">
        <v>0</v>
      </c>
      <c r="L367">
        <v>1500</v>
      </c>
      <c r="M367">
        <v>2000</v>
      </c>
      <c r="N367">
        <v>1500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196646955</v>
      </c>
      <c r="U367" s="19">
        <f t="shared" si="56"/>
        <v>366200</v>
      </c>
      <c r="V367" s="20">
        <f t="shared" si="52"/>
        <v>24200</v>
      </c>
      <c r="W367" s="20">
        <v>150000</v>
      </c>
      <c r="X367" s="20">
        <f t="shared" si="50"/>
        <v>168000</v>
      </c>
      <c r="Y367" s="20"/>
      <c r="Z367" s="20">
        <f t="shared" si="53"/>
        <v>168000</v>
      </c>
      <c r="AA367" s="20">
        <v>138000</v>
      </c>
      <c r="AB367" s="20">
        <f t="shared" si="51"/>
        <v>156000</v>
      </c>
      <c r="AC367" s="20">
        <v>18000</v>
      </c>
      <c r="AD367" s="20">
        <f t="shared" si="54"/>
        <v>174000</v>
      </c>
      <c r="AE367" s="20">
        <v>0</v>
      </c>
      <c r="AF367" s="20">
        <v>0</v>
      </c>
      <c r="AG367" s="20">
        <f t="shared" si="55"/>
        <v>0</v>
      </c>
      <c r="AH367" s="20">
        <v>0</v>
      </c>
      <c r="AI367" s="37">
        <v>0</v>
      </c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 spans="1:51" ht="14.15" hidden="1" customHeight="1" x14ac:dyDescent="0.35">
      <c r="A368">
        <v>0</v>
      </c>
      <c r="B368">
        <v>4500</v>
      </c>
      <c r="C368">
        <v>0</v>
      </c>
      <c r="D368">
        <v>0</v>
      </c>
      <c r="E368">
        <v>6000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1500</v>
      </c>
      <c r="M368">
        <v>0</v>
      </c>
      <c r="N368">
        <v>1500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182687715</v>
      </c>
      <c r="U368" s="19">
        <f t="shared" si="56"/>
        <v>373500</v>
      </c>
      <c r="V368" s="20">
        <f t="shared" si="52"/>
        <v>13500</v>
      </c>
      <c r="W368" s="20">
        <v>144000</v>
      </c>
      <c r="X368" s="20">
        <f t="shared" si="50"/>
        <v>162000</v>
      </c>
      <c r="Y368" s="20">
        <v>18000</v>
      </c>
      <c r="Z368" s="20">
        <f t="shared" si="53"/>
        <v>180000</v>
      </c>
      <c r="AA368" s="20">
        <v>144000</v>
      </c>
      <c r="AB368" s="20">
        <f t="shared" si="51"/>
        <v>162000</v>
      </c>
      <c r="AC368" s="20">
        <v>18000</v>
      </c>
      <c r="AD368" s="20">
        <f t="shared" si="54"/>
        <v>180000</v>
      </c>
      <c r="AE368" s="20">
        <v>0</v>
      </c>
      <c r="AF368" s="20">
        <v>0</v>
      </c>
      <c r="AG368" s="20">
        <f t="shared" si="55"/>
        <v>0</v>
      </c>
      <c r="AH368" s="20">
        <v>0</v>
      </c>
      <c r="AI368" s="37">
        <v>0</v>
      </c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spans="1:51" ht="14.15" hidden="1" customHeight="1" x14ac:dyDescent="0.35">
      <c r="A369">
        <v>4350</v>
      </c>
      <c r="B369">
        <v>5000</v>
      </c>
      <c r="C369">
        <v>0</v>
      </c>
      <c r="D369">
        <v>0</v>
      </c>
      <c r="E369">
        <v>6000</v>
      </c>
      <c r="F369">
        <v>2700</v>
      </c>
      <c r="G369">
        <v>2000</v>
      </c>
      <c r="H369">
        <v>0</v>
      </c>
      <c r="I369">
        <v>0</v>
      </c>
      <c r="J369">
        <v>0</v>
      </c>
      <c r="K369">
        <v>0</v>
      </c>
      <c r="L369">
        <v>1500</v>
      </c>
      <c r="M369">
        <v>2000</v>
      </c>
      <c r="N369">
        <v>1500</v>
      </c>
      <c r="O369">
        <v>3000</v>
      </c>
      <c r="P369">
        <v>0</v>
      </c>
      <c r="Q369">
        <v>0</v>
      </c>
      <c r="R369">
        <v>0</v>
      </c>
      <c r="S369">
        <v>0</v>
      </c>
      <c r="T369">
        <v>119682824</v>
      </c>
      <c r="U369" s="19">
        <f t="shared" si="56"/>
        <v>358050</v>
      </c>
      <c r="V369" s="20">
        <f t="shared" si="52"/>
        <v>28050</v>
      </c>
      <c r="W369" s="20">
        <v>144000</v>
      </c>
      <c r="X369" s="20">
        <f t="shared" si="50"/>
        <v>162000</v>
      </c>
      <c r="Y369" s="20"/>
      <c r="Z369" s="20">
        <f t="shared" si="53"/>
        <v>162000</v>
      </c>
      <c r="AA369" s="20">
        <v>132000</v>
      </c>
      <c r="AB369" s="20">
        <f t="shared" si="51"/>
        <v>150000</v>
      </c>
      <c r="AC369" s="20">
        <v>18000</v>
      </c>
      <c r="AD369" s="20">
        <f t="shared" si="54"/>
        <v>168000</v>
      </c>
      <c r="AE369" s="20">
        <v>0</v>
      </c>
      <c r="AF369" s="20">
        <v>0</v>
      </c>
      <c r="AG369" s="20">
        <f t="shared" si="55"/>
        <v>0</v>
      </c>
      <c r="AH369" s="20">
        <v>0</v>
      </c>
      <c r="AI369" s="37">
        <v>0</v>
      </c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spans="1:51" ht="14.15" hidden="1" customHeight="1" x14ac:dyDescent="0.35">
      <c r="A370">
        <v>0</v>
      </c>
      <c r="B370">
        <v>5000</v>
      </c>
      <c r="C370">
        <v>0</v>
      </c>
      <c r="D370">
        <v>0</v>
      </c>
      <c r="E370">
        <v>6000</v>
      </c>
      <c r="F370">
        <v>2700</v>
      </c>
      <c r="G370">
        <v>1000</v>
      </c>
      <c r="H370">
        <v>0</v>
      </c>
      <c r="I370">
        <v>0</v>
      </c>
      <c r="J370">
        <v>0</v>
      </c>
      <c r="K370">
        <v>0</v>
      </c>
      <c r="L370">
        <v>1500</v>
      </c>
      <c r="M370">
        <v>2000</v>
      </c>
      <c r="N370">
        <v>1500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204649332</v>
      </c>
      <c r="U370" s="19">
        <f t="shared" si="56"/>
        <v>301700</v>
      </c>
      <c r="V370" s="20">
        <f t="shared" si="52"/>
        <v>19700</v>
      </c>
      <c r="W370" s="20">
        <v>120000</v>
      </c>
      <c r="X370" s="20">
        <f t="shared" si="50"/>
        <v>138000</v>
      </c>
      <c r="Y370" s="20"/>
      <c r="Z370" s="20">
        <f t="shared" si="53"/>
        <v>138000</v>
      </c>
      <c r="AA370" s="20">
        <v>108000</v>
      </c>
      <c r="AB370" s="20">
        <f t="shared" si="51"/>
        <v>126000</v>
      </c>
      <c r="AC370" s="20">
        <v>18000</v>
      </c>
      <c r="AD370" s="20">
        <f t="shared" si="54"/>
        <v>144000</v>
      </c>
      <c r="AE370" s="20">
        <v>0</v>
      </c>
      <c r="AF370" s="20">
        <v>0</v>
      </c>
      <c r="AG370" s="20">
        <f t="shared" si="55"/>
        <v>0</v>
      </c>
      <c r="AH370" s="20">
        <v>0</v>
      </c>
      <c r="AI370" s="37">
        <v>0</v>
      </c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spans="1:51" ht="14.15" hidden="1" customHeight="1" x14ac:dyDescent="0.35">
      <c r="A371">
        <v>4300</v>
      </c>
      <c r="B371">
        <v>5000</v>
      </c>
      <c r="C371">
        <v>0</v>
      </c>
      <c r="D371">
        <v>0</v>
      </c>
      <c r="E371">
        <v>6000</v>
      </c>
      <c r="F371">
        <v>1275</v>
      </c>
      <c r="G371">
        <v>1000</v>
      </c>
      <c r="H371">
        <v>1450</v>
      </c>
      <c r="I371">
        <v>0</v>
      </c>
      <c r="J371">
        <v>0</v>
      </c>
      <c r="K371">
        <v>0</v>
      </c>
      <c r="L371">
        <v>1500</v>
      </c>
      <c r="M371">
        <v>2000</v>
      </c>
      <c r="N371">
        <v>1500</v>
      </c>
      <c r="O371">
        <v>3000</v>
      </c>
      <c r="P371">
        <v>0</v>
      </c>
      <c r="Q371">
        <v>0</v>
      </c>
      <c r="R371">
        <v>0</v>
      </c>
      <c r="S371">
        <v>0</v>
      </c>
      <c r="T371">
        <v>54769603</v>
      </c>
      <c r="U371" s="19">
        <f t="shared" si="56"/>
        <v>327025</v>
      </c>
      <c r="V371" s="20">
        <f t="shared" si="52"/>
        <v>27025</v>
      </c>
      <c r="W371" s="20">
        <v>162000</v>
      </c>
      <c r="X371" s="20">
        <f t="shared" si="50"/>
        <v>180000</v>
      </c>
      <c r="Y371" s="20"/>
      <c r="Z371" s="20">
        <f t="shared" si="53"/>
        <v>180000</v>
      </c>
      <c r="AA371" s="20">
        <v>102000</v>
      </c>
      <c r="AB371" s="20">
        <f t="shared" si="51"/>
        <v>120000</v>
      </c>
      <c r="AC371" s="20"/>
      <c r="AD371" s="20">
        <f t="shared" si="54"/>
        <v>120000</v>
      </c>
      <c r="AE371" s="20">
        <v>0</v>
      </c>
      <c r="AF371" s="20">
        <v>0</v>
      </c>
      <c r="AG371" s="20">
        <f t="shared" si="55"/>
        <v>0</v>
      </c>
      <c r="AH371" s="20">
        <v>0</v>
      </c>
      <c r="AI371" s="37">
        <v>0</v>
      </c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spans="1:51" ht="14.15" hidden="1" customHeight="1" x14ac:dyDescent="0.35">
      <c r="A372">
        <v>4000</v>
      </c>
      <c r="B372">
        <v>5000</v>
      </c>
      <c r="C372">
        <v>0</v>
      </c>
      <c r="D372">
        <v>0</v>
      </c>
      <c r="E372">
        <v>6000</v>
      </c>
      <c r="F372">
        <v>0</v>
      </c>
      <c r="G372">
        <v>1000</v>
      </c>
      <c r="H372">
        <v>1700</v>
      </c>
      <c r="I372">
        <v>0</v>
      </c>
      <c r="J372">
        <v>0</v>
      </c>
      <c r="K372">
        <v>0</v>
      </c>
      <c r="L372">
        <v>1500</v>
      </c>
      <c r="M372">
        <v>2000</v>
      </c>
      <c r="N372">
        <v>1500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802649184</v>
      </c>
      <c r="U372" s="19">
        <f t="shared" si="56"/>
        <v>340700</v>
      </c>
      <c r="V372" s="20">
        <f t="shared" si="52"/>
        <v>22700</v>
      </c>
      <c r="W372" s="20">
        <v>144000</v>
      </c>
      <c r="X372" s="20">
        <f t="shared" si="50"/>
        <v>162000</v>
      </c>
      <c r="Y372" s="20"/>
      <c r="Z372" s="20">
        <f t="shared" si="53"/>
        <v>162000</v>
      </c>
      <c r="AA372" s="20">
        <v>120000</v>
      </c>
      <c r="AB372" s="20">
        <f t="shared" si="51"/>
        <v>138000</v>
      </c>
      <c r="AC372" s="20">
        <v>18000</v>
      </c>
      <c r="AD372" s="20">
        <f t="shared" si="54"/>
        <v>156000</v>
      </c>
      <c r="AE372" s="20">
        <v>0</v>
      </c>
      <c r="AF372" s="20">
        <v>0</v>
      </c>
      <c r="AG372" s="20">
        <f t="shared" si="55"/>
        <v>0</v>
      </c>
      <c r="AH372" s="20">
        <v>0</v>
      </c>
      <c r="AI372" s="37">
        <v>0</v>
      </c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spans="1:51" ht="14.15" hidden="1" customHeight="1" x14ac:dyDescent="0.35">
      <c r="A373">
        <v>5000</v>
      </c>
      <c r="B373">
        <v>5000</v>
      </c>
      <c r="C373">
        <v>0</v>
      </c>
      <c r="D373">
        <v>0</v>
      </c>
      <c r="E373">
        <v>6000</v>
      </c>
      <c r="F373">
        <v>2700</v>
      </c>
      <c r="G373">
        <v>1500</v>
      </c>
      <c r="H373">
        <v>1700</v>
      </c>
      <c r="I373">
        <v>0</v>
      </c>
      <c r="J373">
        <v>0</v>
      </c>
      <c r="K373">
        <v>0</v>
      </c>
      <c r="L373">
        <v>1500</v>
      </c>
      <c r="M373">
        <v>0</v>
      </c>
      <c r="N373">
        <v>1500</v>
      </c>
      <c r="O373">
        <v>3000</v>
      </c>
      <c r="P373">
        <v>0</v>
      </c>
      <c r="Q373">
        <v>0</v>
      </c>
      <c r="R373">
        <v>0</v>
      </c>
      <c r="S373">
        <v>0</v>
      </c>
      <c r="T373">
        <v>100686872</v>
      </c>
      <c r="U373" s="19">
        <f t="shared" si="56"/>
        <v>297900</v>
      </c>
      <c r="V373" s="20">
        <f t="shared" si="52"/>
        <v>27900</v>
      </c>
      <c r="W373" s="20">
        <v>126000</v>
      </c>
      <c r="X373" s="20">
        <f t="shared" si="50"/>
        <v>144000</v>
      </c>
      <c r="Y373" s="20"/>
      <c r="Z373" s="20">
        <f t="shared" si="53"/>
        <v>144000</v>
      </c>
      <c r="AA373" s="20">
        <v>108000</v>
      </c>
      <c r="AB373" s="20">
        <f t="shared" si="51"/>
        <v>126000</v>
      </c>
      <c r="AC373" s="20"/>
      <c r="AD373" s="20">
        <f t="shared" si="54"/>
        <v>126000</v>
      </c>
      <c r="AE373" s="20">
        <v>0</v>
      </c>
      <c r="AF373" s="20">
        <v>0</v>
      </c>
      <c r="AG373" s="20">
        <f t="shared" si="55"/>
        <v>0</v>
      </c>
      <c r="AH373" s="20">
        <v>0</v>
      </c>
      <c r="AI373" s="37">
        <v>0</v>
      </c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spans="1:51" ht="14.15" hidden="1" customHeight="1" x14ac:dyDescent="0.35">
      <c r="A374">
        <v>4550</v>
      </c>
      <c r="B374">
        <v>5000</v>
      </c>
      <c r="C374">
        <v>0</v>
      </c>
      <c r="D374">
        <v>0</v>
      </c>
      <c r="E374">
        <v>6000</v>
      </c>
      <c r="F374">
        <v>2700</v>
      </c>
      <c r="G374">
        <v>1000</v>
      </c>
      <c r="H374">
        <v>1450</v>
      </c>
      <c r="I374">
        <v>0</v>
      </c>
      <c r="J374">
        <v>0</v>
      </c>
      <c r="K374">
        <v>0</v>
      </c>
      <c r="L374">
        <v>1500</v>
      </c>
      <c r="M374">
        <v>2000</v>
      </c>
      <c r="N374">
        <v>1500</v>
      </c>
      <c r="O374">
        <v>3000</v>
      </c>
      <c r="P374">
        <v>0</v>
      </c>
      <c r="Q374">
        <v>0</v>
      </c>
      <c r="R374">
        <v>0</v>
      </c>
      <c r="S374">
        <v>0</v>
      </c>
      <c r="T374">
        <v>168662398</v>
      </c>
      <c r="U374" s="19">
        <f t="shared" si="56"/>
        <v>316700</v>
      </c>
      <c r="V374" s="20">
        <f t="shared" si="52"/>
        <v>28700</v>
      </c>
      <c r="W374" s="20">
        <v>132000</v>
      </c>
      <c r="X374" s="20">
        <f t="shared" si="50"/>
        <v>150000</v>
      </c>
      <c r="Y374" s="20"/>
      <c r="Z374" s="20">
        <f t="shared" si="53"/>
        <v>150000</v>
      </c>
      <c r="AA374" s="20">
        <v>120000</v>
      </c>
      <c r="AB374" s="20">
        <f t="shared" si="51"/>
        <v>138000</v>
      </c>
      <c r="AC374" s="20"/>
      <c r="AD374" s="20">
        <f t="shared" si="54"/>
        <v>138000</v>
      </c>
      <c r="AE374" s="20">
        <v>0</v>
      </c>
      <c r="AF374" s="20">
        <v>0</v>
      </c>
      <c r="AG374" s="20">
        <f t="shared" si="55"/>
        <v>0</v>
      </c>
      <c r="AH374" s="20">
        <v>0</v>
      </c>
      <c r="AI374" s="37">
        <v>0</v>
      </c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spans="1:51" ht="14.15" hidden="1" customHeight="1" x14ac:dyDescent="0.35">
      <c r="A375">
        <v>4350</v>
      </c>
      <c r="B375">
        <v>3500</v>
      </c>
      <c r="C375">
        <v>0</v>
      </c>
      <c r="D375">
        <v>0</v>
      </c>
      <c r="E375">
        <v>6000</v>
      </c>
      <c r="F375">
        <v>2700</v>
      </c>
      <c r="G375">
        <v>2000</v>
      </c>
      <c r="H375">
        <v>1700</v>
      </c>
      <c r="I375">
        <v>0</v>
      </c>
      <c r="J375">
        <v>0</v>
      </c>
      <c r="K375">
        <v>0</v>
      </c>
      <c r="L375">
        <v>1500</v>
      </c>
      <c r="M375">
        <v>2000</v>
      </c>
      <c r="N375">
        <v>1500</v>
      </c>
      <c r="O375">
        <v>3000</v>
      </c>
      <c r="P375">
        <v>0</v>
      </c>
      <c r="Q375">
        <v>0</v>
      </c>
      <c r="R375">
        <v>0</v>
      </c>
      <c r="S375">
        <v>0</v>
      </c>
      <c r="T375">
        <v>418232673</v>
      </c>
      <c r="U375" s="19">
        <f t="shared" si="56"/>
        <v>378650</v>
      </c>
      <c r="V375" s="20">
        <f t="shared" si="52"/>
        <v>28250</v>
      </c>
      <c r="W375" s="20">
        <v>144000</v>
      </c>
      <c r="X375" s="20">
        <f t="shared" si="50"/>
        <v>162000</v>
      </c>
      <c r="Y375" s="20">
        <v>14400</v>
      </c>
      <c r="Z375" s="20">
        <f t="shared" si="53"/>
        <v>176400</v>
      </c>
      <c r="AA375" s="20">
        <v>138000</v>
      </c>
      <c r="AB375" s="20">
        <f t="shared" si="51"/>
        <v>156000</v>
      </c>
      <c r="AC375" s="20">
        <v>18000</v>
      </c>
      <c r="AD375" s="20">
        <f t="shared" si="54"/>
        <v>174000</v>
      </c>
      <c r="AE375" s="20">
        <v>0</v>
      </c>
      <c r="AF375" s="20">
        <v>0</v>
      </c>
      <c r="AG375" s="20">
        <f t="shared" si="55"/>
        <v>0</v>
      </c>
      <c r="AH375" s="20">
        <v>0</v>
      </c>
      <c r="AI375" s="37">
        <v>0</v>
      </c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spans="1:51" ht="14.15" hidden="1" customHeight="1" x14ac:dyDescent="0.35">
      <c r="A376">
        <v>4750</v>
      </c>
      <c r="B376">
        <v>3000</v>
      </c>
      <c r="C376">
        <v>0</v>
      </c>
      <c r="D376">
        <v>0</v>
      </c>
      <c r="E376">
        <v>6000</v>
      </c>
      <c r="F376">
        <v>2700</v>
      </c>
      <c r="G376">
        <v>2500</v>
      </c>
      <c r="H376">
        <v>1700</v>
      </c>
      <c r="I376">
        <v>0</v>
      </c>
      <c r="J376">
        <v>0</v>
      </c>
      <c r="K376">
        <v>0</v>
      </c>
      <c r="L376">
        <v>1500</v>
      </c>
      <c r="M376">
        <v>2000</v>
      </c>
      <c r="N376">
        <v>1500</v>
      </c>
      <c r="O376">
        <v>3000</v>
      </c>
      <c r="P376">
        <v>0</v>
      </c>
      <c r="Q376">
        <v>0</v>
      </c>
      <c r="R376">
        <v>0</v>
      </c>
      <c r="S376">
        <v>0</v>
      </c>
      <c r="T376">
        <v>182649658</v>
      </c>
      <c r="U376" s="19">
        <f t="shared" si="56"/>
        <v>226650</v>
      </c>
      <c r="V376" s="20">
        <f t="shared" si="52"/>
        <v>28650</v>
      </c>
      <c r="W376" s="20">
        <v>78000</v>
      </c>
      <c r="X376" s="20">
        <f t="shared" si="50"/>
        <v>96000</v>
      </c>
      <c r="Y376" s="20"/>
      <c r="Z376" s="20">
        <f t="shared" si="53"/>
        <v>96000</v>
      </c>
      <c r="AA376" s="20">
        <v>84000</v>
      </c>
      <c r="AB376" s="20">
        <f t="shared" si="51"/>
        <v>102000</v>
      </c>
      <c r="AC376" s="20"/>
      <c r="AD376" s="20">
        <f t="shared" si="54"/>
        <v>102000</v>
      </c>
      <c r="AE376" s="20">
        <v>0</v>
      </c>
      <c r="AF376" s="20">
        <v>0</v>
      </c>
      <c r="AG376" s="20">
        <f t="shared" si="55"/>
        <v>0</v>
      </c>
      <c r="AH376" s="20">
        <v>0</v>
      </c>
      <c r="AI376" s="37">
        <v>0</v>
      </c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spans="1:51" ht="14.15" hidden="1" customHeight="1" x14ac:dyDescent="0.35">
      <c r="A377">
        <v>4550</v>
      </c>
      <c r="B377">
        <v>5000</v>
      </c>
      <c r="C377">
        <v>0</v>
      </c>
      <c r="D377">
        <v>0</v>
      </c>
      <c r="E377">
        <v>6000</v>
      </c>
      <c r="F377">
        <v>2700</v>
      </c>
      <c r="G377">
        <v>1000</v>
      </c>
      <c r="H377">
        <v>1700</v>
      </c>
      <c r="I377">
        <v>0</v>
      </c>
      <c r="J377">
        <v>0</v>
      </c>
      <c r="K377">
        <v>0</v>
      </c>
      <c r="L377">
        <v>1500</v>
      </c>
      <c r="M377">
        <v>2000</v>
      </c>
      <c r="N377">
        <v>0</v>
      </c>
      <c r="O377">
        <v>3000</v>
      </c>
      <c r="P377">
        <v>0</v>
      </c>
      <c r="Q377">
        <v>0</v>
      </c>
      <c r="R377">
        <v>0</v>
      </c>
      <c r="S377">
        <v>0</v>
      </c>
      <c r="T377">
        <v>185700626</v>
      </c>
      <c r="U377" s="19">
        <f t="shared" si="56"/>
        <v>357450</v>
      </c>
      <c r="V377" s="20">
        <f t="shared" si="52"/>
        <v>27450</v>
      </c>
      <c r="W377" s="20">
        <v>156000</v>
      </c>
      <c r="X377" s="20">
        <f t="shared" si="50"/>
        <v>174000</v>
      </c>
      <c r="Y377" s="20"/>
      <c r="Z377" s="20">
        <f t="shared" si="53"/>
        <v>174000</v>
      </c>
      <c r="AA377" s="20">
        <v>138000</v>
      </c>
      <c r="AB377" s="20">
        <f t="shared" si="51"/>
        <v>156000</v>
      </c>
      <c r="AC377" s="20"/>
      <c r="AD377" s="20">
        <f t="shared" si="54"/>
        <v>156000</v>
      </c>
      <c r="AE377" s="20">
        <v>0</v>
      </c>
      <c r="AF377" s="20">
        <v>0</v>
      </c>
      <c r="AG377" s="20">
        <f t="shared" si="55"/>
        <v>0</v>
      </c>
      <c r="AH377" s="20">
        <v>0</v>
      </c>
      <c r="AI377" s="37">
        <v>0</v>
      </c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spans="1:51" ht="14.15" hidden="1" customHeight="1" x14ac:dyDescent="0.35">
      <c r="A378">
        <v>4100</v>
      </c>
      <c r="B378">
        <v>5000</v>
      </c>
      <c r="C378">
        <v>0</v>
      </c>
      <c r="D378">
        <v>0</v>
      </c>
      <c r="E378">
        <v>6000</v>
      </c>
      <c r="F378">
        <v>2700</v>
      </c>
      <c r="G378">
        <v>1000</v>
      </c>
      <c r="H378">
        <v>1450</v>
      </c>
      <c r="I378">
        <v>0</v>
      </c>
      <c r="J378">
        <v>0</v>
      </c>
      <c r="K378">
        <v>0</v>
      </c>
      <c r="L378">
        <v>1500</v>
      </c>
      <c r="M378">
        <v>2000</v>
      </c>
      <c r="N378">
        <v>1500</v>
      </c>
      <c r="O378">
        <v>3000</v>
      </c>
      <c r="P378">
        <v>0</v>
      </c>
      <c r="Q378">
        <v>0</v>
      </c>
      <c r="R378">
        <v>0</v>
      </c>
      <c r="S378">
        <v>0</v>
      </c>
      <c r="T378">
        <v>159666261</v>
      </c>
      <c r="U378" s="19">
        <f t="shared" si="56"/>
        <v>275750</v>
      </c>
      <c r="V378" s="20">
        <f t="shared" si="52"/>
        <v>28250</v>
      </c>
      <c r="W378" s="20">
        <v>120000</v>
      </c>
      <c r="X378" s="20">
        <f t="shared" si="50"/>
        <v>138000</v>
      </c>
      <c r="Y378" s="20">
        <v>13500</v>
      </c>
      <c r="Z378" s="20">
        <f t="shared" si="53"/>
        <v>151500</v>
      </c>
      <c r="AA378" s="20">
        <v>78000</v>
      </c>
      <c r="AB378" s="20">
        <f t="shared" si="51"/>
        <v>96000</v>
      </c>
      <c r="AC378" s="20"/>
      <c r="AD378" s="20">
        <f t="shared" si="54"/>
        <v>96000</v>
      </c>
      <c r="AE378" s="20">
        <v>0</v>
      </c>
      <c r="AF378" s="20">
        <v>0</v>
      </c>
      <c r="AG378" s="20">
        <f t="shared" si="55"/>
        <v>0</v>
      </c>
      <c r="AH378" s="20">
        <v>0</v>
      </c>
      <c r="AI378" s="37">
        <v>0</v>
      </c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spans="1:51" ht="14.15" hidden="1" customHeight="1" x14ac:dyDescent="0.35">
      <c r="A379">
        <v>4100</v>
      </c>
      <c r="B379">
        <v>5000</v>
      </c>
      <c r="C379">
        <v>0</v>
      </c>
      <c r="D379">
        <v>0</v>
      </c>
      <c r="E379">
        <v>6000</v>
      </c>
      <c r="F379">
        <v>1275</v>
      </c>
      <c r="G379">
        <v>1000</v>
      </c>
      <c r="H379">
        <v>1200</v>
      </c>
      <c r="I379">
        <v>0</v>
      </c>
      <c r="J379">
        <v>0</v>
      </c>
      <c r="K379">
        <v>0</v>
      </c>
      <c r="L379">
        <v>1500</v>
      </c>
      <c r="M379">
        <v>2000</v>
      </c>
      <c r="N379">
        <v>1500</v>
      </c>
      <c r="O379">
        <v>3000</v>
      </c>
      <c r="P379">
        <v>0</v>
      </c>
      <c r="Q379">
        <v>0</v>
      </c>
      <c r="R379">
        <v>0</v>
      </c>
      <c r="S379">
        <v>0</v>
      </c>
      <c r="T379">
        <v>190727266</v>
      </c>
      <c r="U379" s="19">
        <f t="shared" si="56"/>
        <v>301375</v>
      </c>
      <c r="V379" s="20">
        <f t="shared" si="52"/>
        <v>26575</v>
      </c>
      <c r="W379" s="20">
        <v>114000</v>
      </c>
      <c r="X379" s="20">
        <f t="shared" si="50"/>
        <v>132000</v>
      </c>
      <c r="Y379" s="20">
        <v>10800</v>
      </c>
      <c r="Z379" s="20">
        <f t="shared" si="53"/>
        <v>142800</v>
      </c>
      <c r="AA379" s="20">
        <v>96000</v>
      </c>
      <c r="AB379" s="20">
        <f t="shared" si="51"/>
        <v>114000</v>
      </c>
      <c r="AC379" s="20">
        <v>18000</v>
      </c>
      <c r="AD379" s="20">
        <f t="shared" si="54"/>
        <v>132000</v>
      </c>
      <c r="AE379" s="20">
        <v>0</v>
      </c>
      <c r="AF379" s="20">
        <v>0</v>
      </c>
      <c r="AG379" s="20">
        <f t="shared" si="55"/>
        <v>0</v>
      </c>
      <c r="AH379" s="20">
        <v>0</v>
      </c>
      <c r="AI379" s="37">
        <v>0</v>
      </c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spans="1:51" ht="14.15" hidden="1" customHeight="1" x14ac:dyDescent="0.35">
      <c r="A380">
        <v>0</v>
      </c>
      <c r="B380">
        <v>0</v>
      </c>
      <c r="C380">
        <v>0</v>
      </c>
      <c r="D380">
        <v>0</v>
      </c>
      <c r="E380">
        <v>6000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1500</v>
      </c>
      <c r="M380">
        <v>2000</v>
      </c>
      <c r="N380">
        <v>0</v>
      </c>
      <c r="O380">
        <v>3000</v>
      </c>
      <c r="P380">
        <v>0</v>
      </c>
      <c r="Q380">
        <v>0</v>
      </c>
      <c r="R380">
        <v>0</v>
      </c>
      <c r="S380">
        <v>0</v>
      </c>
      <c r="T380">
        <v>167646437</v>
      </c>
      <c r="U380" s="19">
        <f t="shared" si="56"/>
        <v>312500</v>
      </c>
      <c r="V380" s="20">
        <f t="shared" si="52"/>
        <v>12500</v>
      </c>
      <c r="W380" s="20">
        <v>138000</v>
      </c>
      <c r="X380" s="20">
        <f t="shared" si="50"/>
        <v>156000</v>
      </c>
      <c r="Y380" s="20"/>
      <c r="Z380" s="20">
        <f t="shared" si="53"/>
        <v>156000</v>
      </c>
      <c r="AA380" s="20">
        <v>126000</v>
      </c>
      <c r="AB380" s="20">
        <f t="shared" si="51"/>
        <v>144000</v>
      </c>
      <c r="AC380" s="20"/>
      <c r="AD380" s="20">
        <f t="shared" si="54"/>
        <v>144000</v>
      </c>
      <c r="AE380" s="20">
        <v>0</v>
      </c>
      <c r="AF380" s="20">
        <v>0</v>
      </c>
      <c r="AG380" s="20">
        <f t="shared" si="55"/>
        <v>0</v>
      </c>
      <c r="AH380" s="20">
        <v>0</v>
      </c>
      <c r="AI380" s="37">
        <v>0</v>
      </c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spans="1:51" ht="14.15" hidden="1" customHeight="1" x14ac:dyDescent="0.35">
      <c r="A381">
        <v>3250</v>
      </c>
      <c r="B381">
        <v>5000</v>
      </c>
      <c r="C381">
        <v>0</v>
      </c>
      <c r="D381">
        <v>0</v>
      </c>
      <c r="E381">
        <v>6000</v>
      </c>
      <c r="F381">
        <v>2700</v>
      </c>
      <c r="G381">
        <v>2000</v>
      </c>
      <c r="H381">
        <v>1800</v>
      </c>
      <c r="I381">
        <v>0</v>
      </c>
      <c r="J381">
        <v>0</v>
      </c>
      <c r="K381">
        <v>0</v>
      </c>
      <c r="L381">
        <v>1500</v>
      </c>
      <c r="M381">
        <v>2000</v>
      </c>
      <c r="N381">
        <v>1500</v>
      </c>
      <c r="O381">
        <v>3000</v>
      </c>
      <c r="P381">
        <v>0</v>
      </c>
      <c r="Q381">
        <v>0</v>
      </c>
      <c r="R381">
        <v>0</v>
      </c>
      <c r="S381">
        <v>0</v>
      </c>
      <c r="T381">
        <v>160687253</v>
      </c>
      <c r="U381" s="19">
        <f t="shared" si="56"/>
        <v>292750</v>
      </c>
      <c r="V381" s="20">
        <f t="shared" si="52"/>
        <v>28750</v>
      </c>
      <c r="W381" s="20">
        <v>126000</v>
      </c>
      <c r="X381" s="20">
        <f t="shared" si="50"/>
        <v>144000</v>
      </c>
      <c r="Y381" s="20"/>
      <c r="Z381" s="20">
        <f t="shared" si="53"/>
        <v>144000</v>
      </c>
      <c r="AA381" s="20">
        <v>102000</v>
      </c>
      <c r="AB381" s="20">
        <f t="shared" si="51"/>
        <v>120000</v>
      </c>
      <c r="AC381" s="20"/>
      <c r="AD381" s="20">
        <f t="shared" si="54"/>
        <v>120000</v>
      </c>
      <c r="AE381" s="20">
        <v>0</v>
      </c>
      <c r="AF381" s="20">
        <v>0</v>
      </c>
      <c r="AG381" s="20">
        <f t="shared" si="55"/>
        <v>0</v>
      </c>
      <c r="AH381" s="20">
        <v>0</v>
      </c>
      <c r="AI381" s="37">
        <v>0</v>
      </c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spans="1:51" ht="14.15" hidden="1" customHeight="1" x14ac:dyDescent="0.35">
      <c r="A382">
        <v>4550</v>
      </c>
      <c r="B382">
        <v>0</v>
      </c>
      <c r="C382">
        <v>0</v>
      </c>
      <c r="D382">
        <v>0</v>
      </c>
      <c r="E382">
        <v>6000</v>
      </c>
      <c r="F382">
        <v>2700</v>
      </c>
      <c r="G382">
        <v>1000</v>
      </c>
      <c r="H382">
        <v>0</v>
      </c>
      <c r="I382">
        <v>0</v>
      </c>
      <c r="J382">
        <v>0</v>
      </c>
      <c r="K382">
        <v>0</v>
      </c>
      <c r="L382">
        <v>1500</v>
      </c>
      <c r="M382">
        <v>2000</v>
      </c>
      <c r="N382">
        <v>1500</v>
      </c>
      <c r="O382">
        <v>3000</v>
      </c>
      <c r="P382">
        <v>0</v>
      </c>
      <c r="Q382">
        <v>0</v>
      </c>
      <c r="R382">
        <v>0</v>
      </c>
      <c r="S382">
        <v>0</v>
      </c>
      <c r="T382">
        <v>196700512</v>
      </c>
      <c r="U382" s="19">
        <f t="shared" si="56"/>
        <v>322250</v>
      </c>
      <c r="V382" s="20">
        <f t="shared" si="52"/>
        <v>22250</v>
      </c>
      <c r="W382" s="20">
        <v>138000</v>
      </c>
      <c r="X382" s="20">
        <f t="shared" si="50"/>
        <v>156000</v>
      </c>
      <c r="Y382" s="20"/>
      <c r="Z382" s="20">
        <f t="shared" si="53"/>
        <v>156000</v>
      </c>
      <c r="AA382" s="20">
        <v>126000</v>
      </c>
      <c r="AB382" s="20">
        <f t="shared" si="51"/>
        <v>144000</v>
      </c>
      <c r="AC382" s="20"/>
      <c r="AD382" s="20">
        <f t="shared" si="54"/>
        <v>144000</v>
      </c>
      <c r="AE382" s="20">
        <v>0</v>
      </c>
      <c r="AF382" s="20">
        <v>0</v>
      </c>
      <c r="AG382" s="20">
        <f t="shared" si="55"/>
        <v>0</v>
      </c>
      <c r="AH382" s="20">
        <v>0</v>
      </c>
      <c r="AI382" s="37">
        <v>0</v>
      </c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spans="1:51" ht="14.15" hidden="1" customHeight="1" x14ac:dyDescent="0.35">
      <c r="A383">
        <v>4550</v>
      </c>
      <c r="B383">
        <v>5000</v>
      </c>
      <c r="C383">
        <v>0</v>
      </c>
      <c r="D383">
        <v>0</v>
      </c>
      <c r="E383">
        <v>6000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1500</v>
      </c>
      <c r="M383">
        <v>2000</v>
      </c>
      <c r="N383">
        <v>1500</v>
      </c>
      <c r="O383">
        <v>3000</v>
      </c>
      <c r="P383">
        <v>0</v>
      </c>
      <c r="Q383">
        <v>0</v>
      </c>
      <c r="R383">
        <v>0</v>
      </c>
      <c r="S383">
        <v>0</v>
      </c>
      <c r="T383">
        <v>165661099</v>
      </c>
      <c r="U383" s="19">
        <f t="shared" si="56"/>
        <v>341550</v>
      </c>
      <c r="V383" s="20">
        <f t="shared" si="52"/>
        <v>23550</v>
      </c>
      <c r="W383" s="20">
        <v>150000</v>
      </c>
      <c r="X383" s="20">
        <f t="shared" si="50"/>
        <v>168000</v>
      </c>
      <c r="Y383" s="20"/>
      <c r="Z383" s="20">
        <f t="shared" si="53"/>
        <v>168000</v>
      </c>
      <c r="AA383" s="20">
        <v>132000</v>
      </c>
      <c r="AB383" s="20">
        <f t="shared" si="51"/>
        <v>150000</v>
      </c>
      <c r="AC383" s="20"/>
      <c r="AD383" s="20">
        <f t="shared" si="54"/>
        <v>150000</v>
      </c>
      <c r="AE383" s="20">
        <v>0</v>
      </c>
      <c r="AF383" s="20">
        <v>0</v>
      </c>
      <c r="AG383" s="20">
        <f t="shared" si="55"/>
        <v>0</v>
      </c>
      <c r="AH383" s="20">
        <v>0</v>
      </c>
      <c r="AI383" s="37">
        <v>0</v>
      </c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spans="1:51" ht="14.15" hidden="1" customHeight="1" x14ac:dyDescent="0.35">
      <c r="A384">
        <v>4100</v>
      </c>
      <c r="B384">
        <v>5000</v>
      </c>
      <c r="C384">
        <v>0</v>
      </c>
      <c r="D384">
        <v>0</v>
      </c>
      <c r="E384">
        <v>6000</v>
      </c>
      <c r="F384">
        <v>2700</v>
      </c>
      <c r="G384">
        <v>2000</v>
      </c>
      <c r="H384">
        <v>1700</v>
      </c>
      <c r="I384">
        <v>0</v>
      </c>
      <c r="J384">
        <v>0</v>
      </c>
      <c r="K384">
        <v>0</v>
      </c>
      <c r="L384">
        <v>1500</v>
      </c>
      <c r="M384">
        <v>2000</v>
      </c>
      <c r="N384">
        <v>1500</v>
      </c>
      <c r="O384">
        <v>3000</v>
      </c>
      <c r="P384">
        <v>0</v>
      </c>
      <c r="Q384">
        <v>0</v>
      </c>
      <c r="R384">
        <v>0</v>
      </c>
      <c r="S384">
        <v>0</v>
      </c>
      <c r="T384">
        <v>224359630</v>
      </c>
      <c r="U384" s="19">
        <f t="shared" si="56"/>
        <v>335500</v>
      </c>
      <c r="V384" s="20">
        <f t="shared" si="52"/>
        <v>29500</v>
      </c>
      <c r="W384" s="20">
        <v>138000</v>
      </c>
      <c r="X384" s="20">
        <f t="shared" si="50"/>
        <v>156000</v>
      </c>
      <c r="Y384" s="20"/>
      <c r="Z384" s="20">
        <f t="shared" si="53"/>
        <v>156000</v>
      </c>
      <c r="AA384" s="20">
        <v>132000</v>
      </c>
      <c r="AB384" s="20">
        <f t="shared" si="51"/>
        <v>150000</v>
      </c>
      <c r="AC384" s="20"/>
      <c r="AD384" s="20">
        <f t="shared" si="54"/>
        <v>150000</v>
      </c>
      <c r="AE384" s="20">
        <v>0</v>
      </c>
      <c r="AF384" s="20">
        <v>0</v>
      </c>
      <c r="AG384" s="20">
        <f t="shared" si="55"/>
        <v>0</v>
      </c>
      <c r="AH384" s="20">
        <v>0</v>
      </c>
      <c r="AI384" s="37">
        <v>0</v>
      </c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spans="1:51" ht="14.15" hidden="1" customHeight="1" x14ac:dyDescent="0.35">
      <c r="A385">
        <v>4800</v>
      </c>
      <c r="B385">
        <v>5000</v>
      </c>
      <c r="C385">
        <v>0</v>
      </c>
      <c r="D385">
        <v>0</v>
      </c>
      <c r="E385">
        <v>6000</v>
      </c>
      <c r="F385">
        <v>2700</v>
      </c>
      <c r="G385">
        <v>1000</v>
      </c>
      <c r="H385">
        <v>1450</v>
      </c>
      <c r="I385">
        <v>0</v>
      </c>
      <c r="J385">
        <v>0</v>
      </c>
      <c r="K385">
        <v>0</v>
      </c>
      <c r="L385">
        <v>1500</v>
      </c>
      <c r="M385">
        <v>2000</v>
      </c>
      <c r="N385">
        <v>1500</v>
      </c>
      <c r="O385">
        <v>3000</v>
      </c>
      <c r="P385">
        <v>0</v>
      </c>
      <c r="Q385">
        <v>0</v>
      </c>
      <c r="R385">
        <v>0</v>
      </c>
      <c r="S385">
        <v>0</v>
      </c>
      <c r="T385">
        <v>168661048</v>
      </c>
      <c r="U385" s="19">
        <f t="shared" si="56"/>
        <v>363150</v>
      </c>
      <c r="V385" s="20">
        <f t="shared" si="52"/>
        <v>28950</v>
      </c>
      <c r="W385" s="20">
        <v>144000</v>
      </c>
      <c r="X385" s="20">
        <f t="shared" si="50"/>
        <v>162000</v>
      </c>
      <c r="Y385" s="20">
        <v>16200</v>
      </c>
      <c r="Z385" s="20">
        <f t="shared" si="53"/>
        <v>178200</v>
      </c>
      <c r="AA385" s="20">
        <v>120000</v>
      </c>
      <c r="AB385" s="20">
        <f t="shared" si="51"/>
        <v>138000</v>
      </c>
      <c r="AC385" s="20">
        <v>18000</v>
      </c>
      <c r="AD385" s="20">
        <f t="shared" si="54"/>
        <v>156000</v>
      </c>
      <c r="AE385" s="20">
        <v>0</v>
      </c>
      <c r="AF385" s="20">
        <v>0</v>
      </c>
      <c r="AG385" s="20">
        <f t="shared" si="55"/>
        <v>0</v>
      </c>
      <c r="AH385" s="20">
        <v>0</v>
      </c>
      <c r="AI385" s="37">
        <v>0</v>
      </c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spans="1:51" ht="14.15" hidden="1" customHeight="1" x14ac:dyDescent="0.35">
      <c r="A386">
        <v>3800</v>
      </c>
      <c r="B386">
        <v>5000</v>
      </c>
      <c r="C386">
        <v>0</v>
      </c>
      <c r="D386">
        <v>0</v>
      </c>
      <c r="E386">
        <v>6000</v>
      </c>
      <c r="F386">
        <v>1275</v>
      </c>
      <c r="G386">
        <v>1500</v>
      </c>
      <c r="H386">
        <v>0</v>
      </c>
      <c r="I386">
        <v>0</v>
      </c>
      <c r="J386">
        <v>0</v>
      </c>
      <c r="K386">
        <v>0</v>
      </c>
      <c r="L386">
        <v>1500</v>
      </c>
      <c r="M386">
        <v>2000</v>
      </c>
      <c r="N386">
        <v>1500</v>
      </c>
      <c r="O386">
        <v>3000</v>
      </c>
      <c r="P386">
        <v>0</v>
      </c>
      <c r="Q386">
        <v>0</v>
      </c>
      <c r="R386">
        <v>0</v>
      </c>
      <c r="S386">
        <v>0</v>
      </c>
      <c r="T386">
        <v>160668817</v>
      </c>
      <c r="U386" s="19">
        <f t="shared" si="56"/>
        <v>301575</v>
      </c>
      <c r="V386" s="20">
        <f t="shared" si="52"/>
        <v>25575</v>
      </c>
      <c r="W386" s="20">
        <v>126000</v>
      </c>
      <c r="X386" s="20">
        <f t="shared" si="50"/>
        <v>144000</v>
      </c>
      <c r="Y386" s="20"/>
      <c r="Z386" s="20">
        <f t="shared" si="53"/>
        <v>144000</v>
      </c>
      <c r="AA386" s="20">
        <v>114000</v>
      </c>
      <c r="AB386" s="20">
        <f t="shared" si="51"/>
        <v>132000</v>
      </c>
      <c r="AC386" s="20"/>
      <c r="AD386" s="20">
        <f t="shared" si="54"/>
        <v>132000</v>
      </c>
      <c r="AE386" s="20">
        <v>0</v>
      </c>
      <c r="AF386" s="20">
        <v>0</v>
      </c>
      <c r="AG386" s="20">
        <f t="shared" si="55"/>
        <v>0</v>
      </c>
      <c r="AH386" s="20">
        <v>0</v>
      </c>
      <c r="AI386" s="37">
        <v>0</v>
      </c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spans="1:51" ht="14.15" hidden="1" customHeight="1" x14ac:dyDescent="0.35">
      <c r="A387">
        <v>4300</v>
      </c>
      <c r="B387">
        <v>3500</v>
      </c>
      <c r="C387">
        <v>0</v>
      </c>
      <c r="D387">
        <v>0</v>
      </c>
      <c r="E387">
        <v>6000</v>
      </c>
      <c r="F387">
        <v>2700</v>
      </c>
      <c r="G387">
        <v>1000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2000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201702783</v>
      </c>
      <c r="U387" s="19">
        <f t="shared" si="56"/>
        <v>349500</v>
      </c>
      <c r="V387" s="20">
        <f t="shared" si="52"/>
        <v>19500</v>
      </c>
      <c r="W387" s="20">
        <v>156000</v>
      </c>
      <c r="X387" s="20">
        <f t="shared" si="50"/>
        <v>174000</v>
      </c>
      <c r="Y387" s="20"/>
      <c r="Z387" s="20">
        <f t="shared" si="53"/>
        <v>174000</v>
      </c>
      <c r="AA387" s="20">
        <v>138000</v>
      </c>
      <c r="AB387" s="20">
        <f t="shared" si="51"/>
        <v>156000</v>
      </c>
      <c r="AC387" s="20"/>
      <c r="AD387" s="20">
        <f t="shared" si="54"/>
        <v>156000</v>
      </c>
      <c r="AE387" s="20">
        <v>0</v>
      </c>
      <c r="AF387" s="20">
        <v>0</v>
      </c>
      <c r="AG387" s="20">
        <f t="shared" si="55"/>
        <v>0</v>
      </c>
      <c r="AH387" s="20">
        <v>0</v>
      </c>
      <c r="AI387" s="37">
        <v>0</v>
      </c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spans="1:51" ht="14.15" hidden="1" customHeight="1" x14ac:dyDescent="0.35">
      <c r="A388">
        <v>0</v>
      </c>
      <c r="B388">
        <v>5000</v>
      </c>
      <c r="C388">
        <v>0</v>
      </c>
      <c r="D388">
        <v>0</v>
      </c>
      <c r="E388">
        <v>6000</v>
      </c>
      <c r="F388">
        <v>2700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1500</v>
      </c>
      <c r="M388">
        <v>2000</v>
      </c>
      <c r="N388">
        <v>1500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161703784</v>
      </c>
      <c r="U388" s="19">
        <f t="shared" si="56"/>
        <v>294700</v>
      </c>
      <c r="V388" s="20">
        <f t="shared" si="52"/>
        <v>18700</v>
      </c>
      <c r="W388" s="20">
        <v>114000</v>
      </c>
      <c r="X388" s="20">
        <f t="shared" si="50"/>
        <v>132000</v>
      </c>
      <c r="Y388" s="20"/>
      <c r="Z388" s="20">
        <f t="shared" si="53"/>
        <v>132000</v>
      </c>
      <c r="AA388" s="20">
        <v>108000</v>
      </c>
      <c r="AB388" s="20">
        <f t="shared" si="51"/>
        <v>126000</v>
      </c>
      <c r="AC388" s="20">
        <v>18000</v>
      </c>
      <c r="AD388" s="20">
        <f t="shared" si="54"/>
        <v>144000</v>
      </c>
      <c r="AE388" s="20">
        <v>0</v>
      </c>
      <c r="AF388" s="20">
        <v>0</v>
      </c>
      <c r="AG388" s="20">
        <f t="shared" si="55"/>
        <v>0</v>
      </c>
      <c r="AH388" s="20">
        <v>0</v>
      </c>
      <c r="AI388" s="37">
        <v>0</v>
      </c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spans="1:51" ht="14.15" hidden="1" customHeight="1" x14ac:dyDescent="0.35">
      <c r="A389">
        <v>4000</v>
      </c>
      <c r="B389">
        <v>5000</v>
      </c>
      <c r="C389">
        <v>0</v>
      </c>
      <c r="D389">
        <v>0</v>
      </c>
      <c r="E389">
        <v>6000</v>
      </c>
      <c r="F389">
        <v>2700</v>
      </c>
      <c r="G389">
        <v>2000</v>
      </c>
      <c r="H389">
        <v>0</v>
      </c>
      <c r="I389">
        <v>0</v>
      </c>
      <c r="J389">
        <v>0</v>
      </c>
      <c r="K389">
        <v>0</v>
      </c>
      <c r="L389">
        <v>1500</v>
      </c>
      <c r="M389">
        <v>0</v>
      </c>
      <c r="N389">
        <v>1500</v>
      </c>
      <c r="O389">
        <v>3000</v>
      </c>
      <c r="P389">
        <v>0</v>
      </c>
      <c r="Q389">
        <v>0</v>
      </c>
      <c r="R389">
        <v>0</v>
      </c>
      <c r="S389">
        <v>0</v>
      </c>
      <c r="T389">
        <v>201709851</v>
      </c>
      <c r="U389" s="19">
        <f t="shared" si="56"/>
        <v>372800</v>
      </c>
      <c r="V389" s="20">
        <f t="shared" si="52"/>
        <v>25700</v>
      </c>
      <c r="W389" s="20">
        <v>138000</v>
      </c>
      <c r="X389" s="20">
        <f t="shared" si="50"/>
        <v>156000</v>
      </c>
      <c r="Y389" s="20">
        <v>17100</v>
      </c>
      <c r="Z389" s="20">
        <f t="shared" si="53"/>
        <v>173100</v>
      </c>
      <c r="AA389" s="20">
        <v>138000</v>
      </c>
      <c r="AB389" s="20">
        <f t="shared" si="51"/>
        <v>156000</v>
      </c>
      <c r="AC389" s="20">
        <v>18000</v>
      </c>
      <c r="AD389" s="20">
        <f t="shared" si="54"/>
        <v>174000</v>
      </c>
      <c r="AE389" s="20">
        <v>0</v>
      </c>
      <c r="AF389" s="20">
        <v>0</v>
      </c>
      <c r="AG389" s="20">
        <f t="shared" si="55"/>
        <v>0</v>
      </c>
      <c r="AH389" s="20">
        <v>0</v>
      </c>
      <c r="AI389" s="37">
        <v>0</v>
      </c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spans="1:51" ht="14.15" hidden="1" customHeight="1" x14ac:dyDescent="0.35">
      <c r="A390">
        <v>4350</v>
      </c>
      <c r="B390">
        <v>4000</v>
      </c>
      <c r="C390">
        <v>0</v>
      </c>
      <c r="D390">
        <v>0</v>
      </c>
      <c r="E390">
        <v>6000</v>
      </c>
      <c r="F390">
        <v>2700</v>
      </c>
      <c r="G390">
        <v>2000</v>
      </c>
      <c r="H390">
        <v>0</v>
      </c>
      <c r="I390">
        <v>0</v>
      </c>
      <c r="J390">
        <v>0</v>
      </c>
      <c r="K390">
        <v>0</v>
      </c>
      <c r="L390">
        <v>1500</v>
      </c>
      <c r="M390">
        <v>2000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166721341</v>
      </c>
      <c r="U390" s="19">
        <f t="shared" si="56"/>
        <v>280550</v>
      </c>
      <c r="V390" s="20">
        <f t="shared" si="52"/>
        <v>22550</v>
      </c>
      <c r="W390" s="20">
        <v>90000</v>
      </c>
      <c r="X390" s="20">
        <f t="shared" si="50"/>
        <v>108000</v>
      </c>
      <c r="Y390" s="20">
        <v>18000</v>
      </c>
      <c r="Z390" s="20">
        <f t="shared" si="53"/>
        <v>126000</v>
      </c>
      <c r="AA390" s="20">
        <v>114000</v>
      </c>
      <c r="AB390" s="20">
        <f t="shared" si="51"/>
        <v>132000</v>
      </c>
      <c r="AC390" s="20"/>
      <c r="AD390" s="20">
        <f t="shared" si="54"/>
        <v>132000</v>
      </c>
      <c r="AE390" s="20">
        <v>0</v>
      </c>
      <c r="AF390" s="20">
        <v>0</v>
      </c>
      <c r="AG390" s="20">
        <f t="shared" si="55"/>
        <v>0</v>
      </c>
      <c r="AH390" s="20">
        <v>0</v>
      </c>
      <c r="AI390" s="37">
        <v>0</v>
      </c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spans="1:51" ht="14.15" hidden="1" customHeight="1" x14ac:dyDescent="0.35">
      <c r="A391">
        <v>0</v>
      </c>
      <c r="B391">
        <v>0</v>
      </c>
      <c r="C391">
        <v>0</v>
      </c>
      <c r="D391">
        <v>0</v>
      </c>
      <c r="E391">
        <v>6000</v>
      </c>
      <c r="F391">
        <v>2700</v>
      </c>
      <c r="G391">
        <v>1000</v>
      </c>
      <c r="H391">
        <v>0</v>
      </c>
      <c r="I391">
        <v>0</v>
      </c>
      <c r="J391">
        <v>0</v>
      </c>
      <c r="K391">
        <v>0</v>
      </c>
      <c r="L391">
        <v>1500</v>
      </c>
      <c r="M391">
        <v>2000</v>
      </c>
      <c r="N391">
        <v>1500</v>
      </c>
      <c r="O391">
        <v>3000</v>
      </c>
      <c r="P391">
        <v>0</v>
      </c>
      <c r="Q391">
        <v>0</v>
      </c>
      <c r="R391">
        <v>0</v>
      </c>
      <c r="S391">
        <v>0</v>
      </c>
      <c r="T391">
        <v>188683425</v>
      </c>
      <c r="U391" s="19">
        <f t="shared" si="56"/>
        <v>311700</v>
      </c>
      <c r="V391" s="20">
        <f t="shared" si="52"/>
        <v>17700</v>
      </c>
      <c r="W391" s="20">
        <v>132000</v>
      </c>
      <c r="X391" s="20">
        <f t="shared" si="50"/>
        <v>150000</v>
      </c>
      <c r="Y391" s="20"/>
      <c r="Z391" s="20">
        <f t="shared" si="53"/>
        <v>150000</v>
      </c>
      <c r="AA391" s="20">
        <v>126000</v>
      </c>
      <c r="AB391" s="20">
        <f t="shared" si="51"/>
        <v>144000</v>
      </c>
      <c r="AC391" s="20"/>
      <c r="AD391" s="20">
        <f t="shared" si="54"/>
        <v>144000</v>
      </c>
      <c r="AE391" s="20">
        <v>0</v>
      </c>
      <c r="AF391" s="20">
        <v>0</v>
      </c>
      <c r="AG391" s="20">
        <f t="shared" si="55"/>
        <v>0</v>
      </c>
      <c r="AH391" s="20">
        <v>0</v>
      </c>
      <c r="AI391" s="37">
        <v>0</v>
      </c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spans="1:51" ht="14.15" hidden="1" customHeight="1" x14ac:dyDescent="0.35">
      <c r="A392">
        <v>0</v>
      </c>
      <c r="B392">
        <v>0</v>
      </c>
      <c r="C392">
        <v>0</v>
      </c>
      <c r="D392">
        <v>0</v>
      </c>
      <c r="E392">
        <v>6000</v>
      </c>
      <c r="F392">
        <v>2700</v>
      </c>
      <c r="G392">
        <v>1500</v>
      </c>
      <c r="H392">
        <v>0</v>
      </c>
      <c r="I392">
        <v>0</v>
      </c>
      <c r="J392">
        <v>0</v>
      </c>
      <c r="K392">
        <v>0</v>
      </c>
      <c r="L392">
        <v>1500</v>
      </c>
      <c r="M392">
        <v>0</v>
      </c>
      <c r="N392">
        <v>1500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41863367</v>
      </c>
      <c r="U392" s="19">
        <f t="shared" si="56"/>
        <v>319200</v>
      </c>
      <c r="V392" s="20">
        <f t="shared" si="52"/>
        <v>13200</v>
      </c>
      <c r="W392" s="20">
        <v>144000</v>
      </c>
      <c r="X392" s="20">
        <f t="shared" si="50"/>
        <v>162000</v>
      </c>
      <c r="Y392" s="20"/>
      <c r="Z392" s="20">
        <f t="shared" si="53"/>
        <v>162000</v>
      </c>
      <c r="AA392" s="20">
        <v>126000</v>
      </c>
      <c r="AB392" s="20">
        <f t="shared" si="51"/>
        <v>144000</v>
      </c>
      <c r="AC392" s="20"/>
      <c r="AD392" s="20">
        <f t="shared" si="54"/>
        <v>144000</v>
      </c>
      <c r="AE392" s="20">
        <v>0</v>
      </c>
      <c r="AF392" s="20">
        <v>0</v>
      </c>
      <c r="AG392" s="20">
        <f t="shared" si="55"/>
        <v>0</v>
      </c>
      <c r="AH392" s="20">
        <v>0</v>
      </c>
      <c r="AI392" s="37">
        <v>0</v>
      </c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spans="1:51" ht="14.15" hidden="1" customHeight="1" x14ac:dyDescent="0.35">
      <c r="A393">
        <v>0</v>
      </c>
      <c r="B393">
        <v>0</v>
      </c>
      <c r="C393">
        <v>0</v>
      </c>
      <c r="D393">
        <v>0</v>
      </c>
      <c r="E393">
        <v>6000</v>
      </c>
      <c r="F393">
        <v>2700</v>
      </c>
      <c r="G393">
        <v>1500</v>
      </c>
      <c r="H393">
        <v>1700</v>
      </c>
      <c r="I393">
        <v>0</v>
      </c>
      <c r="J393">
        <v>0</v>
      </c>
      <c r="K393">
        <v>0</v>
      </c>
      <c r="L393">
        <v>1500</v>
      </c>
      <c r="M393">
        <v>2000</v>
      </c>
      <c r="N393">
        <v>1500</v>
      </c>
      <c r="O393">
        <v>3000</v>
      </c>
      <c r="P393">
        <v>0</v>
      </c>
      <c r="Q393">
        <v>0</v>
      </c>
      <c r="R393">
        <v>0</v>
      </c>
      <c r="S393">
        <v>0</v>
      </c>
      <c r="T393">
        <v>296826097</v>
      </c>
      <c r="U393" s="19">
        <f t="shared" si="56"/>
        <v>343900</v>
      </c>
      <c r="V393" s="20">
        <f t="shared" si="52"/>
        <v>19900</v>
      </c>
      <c r="W393" s="20">
        <v>156000</v>
      </c>
      <c r="X393" s="20">
        <f t="shared" si="50"/>
        <v>174000</v>
      </c>
      <c r="Y393" s="20"/>
      <c r="Z393" s="20">
        <f t="shared" si="53"/>
        <v>174000</v>
      </c>
      <c r="AA393" s="20">
        <v>132000</v>
      </c>
      <c r="AB393" s="20">
        <f t="shared" si="51"/>
        <v>150000</v>
      </c>
      <c r="AC393" s="20"/>
      <c r="AD393" s="20">
        <f t="shared" si="54"/>
        <v>150000</v>
      </c>
      <c r="AE393" s="20">
        <v>0</v>
      </c>
      <c r="AF393" s="20">
        <v>0</v>
      </c>
      <c r="AG393" s="20">
        <f t="shared" si="55"/>
        <v>0</v>
      </c>
      <c r="AH393" s="20">
        <v>0</v>
      </c>
      <c r="AI393" s="37">
        <v>0</v>
      </c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spans="1:51" ht="14.15" hidden="1" customHeight="1" x14ac:dyDescent="0.35">
      <c r="A394">
        <v>4750</v>
      </c>
      <c r="B394">
        <v>4000</v>
      </c>
      <c r="C394">
        <v>0</v>
      </c>
      <c r="D394">
        <v>0</v>
      </c>
      <c r="E394">
        <v>6000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1500</v>
      </c>
      <c r="M394">
        <v>2000</v>
      </c>
      <c r="N394">
        <v>1500</v>
      </c>
      <c r="O394">
        <v>3000</v>
      </c>
      <c r="P394">
        <v>0</v>
      </c>
      <c r="Q394">
        <v>0</v>
      </c>
      <c r="R394">
        <v>0</v>
      </c>
      <c r="S394">
        <v>0</v>
      </c>
      <c r="T394">
        <v>82700865</v>
      </c>
      <c r="U394" s="19">
        <f t="shared" si="56"/>
        <v>334750</v>
      </c>
      <c r="V394" s="20">
        <f t="shared" si="52"/>
        <v>22750</v>
      </c>
      <c r="W394" s="20"/>
      <c r="X394" s="20">
        <v>156000</v>
      </c>
      <c r="Y394" s="20"/>
      <c r="Z394" s="20">
        <v>156000</v>
      </c>
      <c r="AA394" s="20">
        <v>138000</v>
      </c>
      <c r="AB394" s="20">
        <f t="shared" si="51"/>
        <v>156000</v>
      </c>
      <c r="AC394" s="20"/>
      <c r="AD394" s="20">
        <f t="shared" si="54"/>
        <v>156000</v>
      </c>
      <c r="AE394" s="20">
        <v>0</v>
      </c>
      <c r="AF394" s="20">
        <v>0</v>
      </c>
      <c r="AG394" s="20">
        <f t="shared" si="55"/>
        <v>0</v>
      </c>
      <c r="AH394" s="20">
        <v>0</v>
      </c>
      <c r="AI394" s="37">
        <v>0</v>
      </c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spans="1:51" ht="14.15" hidden="1" customHeight="1" x14ac:dyDescent="0.35">
      <c r="A395">
        <v>4550</v>
      </c>
      <c r="B395">
        <v>5000</v>
      </c>
      <c r="C395">
        <v>0</v>
      </c>
      <c r="D395">
        <v>0</v>
      </c>
      <c r="E395">
        <v>6000</v>
      </c>
      <c r="F395">
        <v>2700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1500</v>
      </c>
      <c r="M395">
        <v>2000</v>
      </c>
      <c r="N395">
        <v>1500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183807217</v>
      </c>
      <c r="U395" s="19">
        <f t="shared" si="56"/>
        <v>287250</v>
      </c>
      <c r="V395" s="20">
        <f t="shared" si="52"/>
        <v>23250</v>
      </c>
      <c r="W395" s="20">
        <v>84000</v>
      </c>
      <c r="X395" s="20">
        <f t="shared" ref="X395:X401" si="57">W395+3*6000</f>
        <v>102000</v>
      </c>
      <c r="Y395" s="20"/>
      <c r="Z395" s="20">
        <f t="shared" si="53"/>
        <v>102000</v>
      </c>
      <c r="AA395" s="20">
        <v>144000</v>
      </c>
      <c r="AB395" s="20">
        <f t="shared" si="51"/>
        <v>162000</v>
      </c>
      <c r="AC395" s="20"/>
      <c r="AD395" s="20">
        <f t="shared" si="54"/>
        <v>162000</v>
      </c>
      <c r="AE395" s="20">
        <v>0</v>
      </c>
      <c r="AF395" s="20">
        <v>0</v>
      </c>
      <c r="AG395" s="20">
        <f t="shared" si="55"/>
        <v>0</v>
      </c>
      <c r="AH395" s="20">
        <v>0</v>
      </c>
      <c r="AI395" s="37">
        <v>0</v>
      </c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spans="1:51" ht="14.15" hidden="1" customHeight="1" x14ac:dyDescent="0.35">
      <c r="A396">
        <v>4300</v>
      </c>
      <c r="B396">
        <v>4500</v>
      </c>
      <c r="C396">
        <v>0</v>
      </c>
      <c r="D396">
        <v>0</v>
      </c>
      <c r="E396">
        <v>6000</v>
      </c>
      <c r="F396">
        <v>2700</v>
      </c>
      <c r="G396">
        <v>2000</v>
      </c>
      <c r="H396">
        <v>0</v>
      </c>
      <c r="I396">
        <v>0</v>
      </c>
      <c r="J396">
        <v>0</v>
      </c>
      <c r="K396">
        <v>0</v>
      </c>
      <c r="L396">
        <v>1500</v>
      </c>
      <c r="M396">
        <v>2000</v>
      </c>
      <c r="N396">
        <v>1500</v>
      </c>
      <c r="O396">
        <v>3000</v>
      </c>
      <c r="P396">
        <v>0</v>
      </c>
      <c r="Q396">
        <v>0</v>
      </c>
      <c r="R396">
        <v>0</v>
      </c>
      <c r="S396">
        <v>0</v>
      </c>
      <c r="T396">
        <v>190662290</v>
      </c>
      <c r="U396" s="19">
        <f t="shared" ref="U396:U401" si="58" xml:space="preserve"> SUM(V396, Z396, AD396, AG396, AH396, AI396)</f>
        <v>261500</v>
      </c>
      <c r="V396" s="20">
        <f t="shared" si="52"/>
        <v>27500</v>
      </c>
      <c r="W396" s="20">
        <v>90000</v>
      </c>
      <c r="X396" s="20">
        <f t="shared" si="57"/>
        <v>108000</v>
      </c>
      <c r="Y396" s="20"/>
      <c r="Z396" s="20">
        <f t="shared" si="53"/>
        <v>108000</v>
      </c>
      <c r="AA396" s="20">
        <v>108000</v>
      </c>
      <c r="AB396" s="20">
        <f t="shared" si="51"/>
        <v>126000</v>
      </c>
      <c r="AC396" s="20"/>
      <c r="AD396" s="20">
        <f t="shared" si="54"/>
        <v>126000</v>
      </c>
      <c r="AE396" s="20">
        <v>0</v>
      </c>
      <c r="AF396" s="20">
        <v>0</v>
      </c>
      <c r="AG396" s="20">
        <f t="shared" si="55"/>
        <v>0</v>
      </c>
      <c r="AH396" s="20">
        <v>0</v>
      </c>
      <c r="AI396" s="37">
        <v>0</v>
      </c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spans="1:51" ht="14.15" hidden="1" customHeight="1" x14ac:dyDescent="0.35">
      <c r="A397">
        <v>4550</v>
      </c>
      <c r="B397">
        <v>3500</v>
      </c>
      <c r="C397">
        <v>0</v>
      </c>
      <c r="D397">
        <v>0</v>
      </c>
      <c r="E397">
        <v>6000</v>
      </c>
      <c r="F397">
        <v>2700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2000</v>
      </c>
      <c r="N397">
        <v>0</v>
      </c>
      <c r="O397">
        <v>3000</v>
      </c>
      <c r="P397">
        <v>0</v>
      </c>
      <c r="Q397">
        <v>0</v>
      </c>
      <c r="R397">
        <v>0</v>
      </c>
      <c r="S397">
        <v>0</v>
      </c>
      <c r="T397">
        <v>151885966</v>
      </c>
      <c r="U397" s="19">
        <f t="shared" si="58"/>
        <v>249750</v>
      </c>
      <c r="V397" s="20">
        <f t="shared" si="52"/>
        <v>21750</v>
      </c>
      <c r="W397" s="20">
        <v>84000</v>
      </c>
      <c r="X397" s="20">
        <f t="shared" si="57"/>
        <v>102000</v>
      </c>
      <c r="Y397" s="20"/>
      <c r="Z397" s="20">
        <f t="shared" si="53"/>
        <v>102000</v>
      </c>
      <c r="AA397" s="20">
        <v>108000</v>
      </c>
      <c r="AB397" s="20">
        <f t="shared" si="51"/>
        <v>126000</v>
      </c>
      <c r="AC397" s="20"/>
      <c r="AD397" s="20">
        <f t="shared" si="54"/>
        <v>126000</v>
      </c>
      <c r="AE397" s="20">
        <v>0</v>
      </c>
      <c r="AF397" s="20">
        <v>0</v>
      </c>
      <c r="AG397" s="20">
        <f t="shared" si="55"/>
        <v>0</v>
      </c>
      <c r="AH397" s="20">
        <v>0</v>
      </c>
      <c r="AI397" s="37">
        <v>0</v>
      </c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spans="1:51" ht="14.15" hidden="1" customHeight="1" x14ac:dyDescent="0.35">
      <c r="A398">
        <v>4800</v>
      </c>
      <c r="B398">
        <v>4000</v>
      </c>
      <c r="C398">
        <v>0</v>
      </c>
      <c r="D398">
        <v>0</v>
      </c>
      <c r="E398">
        <v>6000</v>
      </c>
      <c r="F398">
        <v>2700</v>
      </c>
      <c r="G398">
        <v>0</v>
      </c>
      <c r="H398">
        <v>1450</v>
      </c>
      <c r="I398">
        <v>0</v>
      </c>
      <c r="J398">
        <v>0</v>
      </c>
      <c r="K398">
        <v>0</v>
      </c>
      <c r="L398">
        <v>1500</v>
      </c>
      <c r="M398">
        <v>2000</v>
      </c>
      <c r="N398">
        <v>1500</v>
      </c>
      <c r="O398">
        <v>3000</v>
      </c>
      <c r="P398">
        <v>0</v>
      </c>
      <c r="Q398">
        <v>0</v>
      </c>
      <c r="R398">
        <v>0</v>
      </c>
      <c r="S398">
        <v>0</v>
      </c>
      <c r="T398">
        <v>802904669</v>
      </c>
      <c r="U398" s="19">
        <f t="shared" si="58"/>
        <v>338950</v>
      </c>
      <c r="V398" s="20">
        <f t="shared" si="52"/>
        <v>26950</v>
      </c>
      <c r="W398" s="20">
        <v>150000</v>
      </c>
      <c r="X398" s="20">
        <f t="shared" si="57"/>
        <v>168000</v>
      </c>
      <c r="Y398" s="20"/>
      <c r="Z398" s="20">
        <f>SUM(X398:Y398)</f>
        <v>168000</v>
      </c>
      <c r="AA398" s="20">
        <v>126000</v>
      </c>
      <c r="AB398" s="20">
        <f t="shared" si="51"/>
        <v>144000</v>
      </c>
      <c r="AC398" s="20"/>
      <c r="AD398" s="20">
        <f>SUM(AB398:AC398)</f>
        <v>144000</v>
      </c>
      <c r="AE398" s="20">
        <v>0</v>
      </c>
      <c r="AF398" s="20">
        <v>0</v>
      </c>
      <c r="AG398" s="20">
        <f>SUM(AE398:AF398)</f>
        <v>0</v>
      </c>
      <c r="AH398" s="20">
        <v>0</v>
      </c>
      <c r="AI398" s="37">
        <v>0</v>
      </c>
    </row>
    <row r="399" spans="1:51" ht="14.15" hidden="1" customHeight="1" x14ac:dyDescent="0.35">
      <c r="A399">
        <v>0</v>
      </c>
      <c r="B399">
        <v>5000</v>
      </c>
      <c r="C399">
        <v>0</v>
      </c>
      <c r="D399">
        <v>0</v>
      </c>
      <c r="E399">
        <v>6000</v>
      </c>
      <c r="F399">
        <v>2700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1500</v>
      </c>
      <c r="M399">
        <v>2000</v>
      </c>
      <c r="N399">
        <v>0</v>
      </c>
      <c r="O399">
        <v>3000</v>
      </c>
      <c r="P399">
        <v>0</v>
      </c>
      <c r="Q399">
        <v>0</v>
      </c>
      <c r="R399">
        <v>0</v>
      </c>
      <c r="S399">
        <v>0</v>
      </c>
      <c r="T399">
        <v>169664166</v>
      </c>
      <c r="U399" s="19">
        <f t="shared" si="58"/>
        <v>146200</v>
      </c>
      <c r="V399" s="20">
        <f t="shared" si="52"/>
        <v>20200</v>
      </c>
      <c r="W399" s="20">
        <v>108000</v>
      </c>
      <c r="X399" s="20">
        <f t="shared" si="57"/>
        <v>126000</v>
      </c>
      <c r="Y399" s="20"/>
      <c r="Z399" s="20">
        <f>SUM(X399:Y399)</f>
        <v>126000</v>
      </c>
      <c r="AA399" s="20"/>
      <c r="AB399" s="20"/>
      <c r="AC399" s="20"/>
      <c r="AD399" s="20"/>
      <c r="AE399" s="20">
        <v>0</v>
      </c>
      <c r="AF399" s="20">
        <v>0</v>
      </c>
      <c r="AG399" s="20">
        <f>SUM(AE399:AF399)</f>
        <v>0</v>
      </c>
      <c r="AH399" s="20">
        <v>0</v>
      </c>
      <c r="AI399" s="37">
        <v>0</v>
      </c>
    </row>
    <row r="400" spans="1:51" ht="14.15" hidden="1" customHeight="1" x14ac:dyDescent="0.35">
      <c r="A400">
        <v>4250</v>
      </c>
      <c r="B400">
        <v>5000</v>
      </c>
      <c r="C400">
        <v>0</v>
      </c>
      <c r="D400">
        <v>0</v>
      </c>
      <c r="E400">
        <v>6000</v>
      </c>
      <c r="F400">
        <v>2700</v>
      </c>
      <c r="G400">
        <v>2000</v>
      </c>
      <c r="H400">
        <v>1800</v>
      </c>
      <c r="I400">
        <v>0</v>
      </c>
      <c r="J400">
        <v>0</v>
      </c>
      <c r="K400">
        <v>0</v>
      </c>
      <c r="L400">
        <v>1500</v>
      </c>
      <c r="M400">
        <v>2000</v>
      </c>
      <c r="N400">
        <v>1500</v>
      </c>
      <c r="O400">
        <v>3000</v>
      </c>
      <c r="P400">
        <v>0</v>
      </c>
      <c r="Q400">
        <v>0</v>
      </c>
      <c r="R400">
        <v>0</v>
      </c>
      <c r="S400">
        <v>0</v>
      </c>
      <c r="T400">
        <v>178660530</v>
      </c>
      <c r="U400" s="19">
        <f t="shared" si="58"/>
        <v>389750</v>
      </c>
      <c r="V400" s="20">
        <f t="shared" si="52"/>
        <v>29750</v>
      </c>
      <c r="W400" s="20">
        <v>168000</v>
      </c>
      <c r="X400" s="20">
        <f t="shared" si="57"/>
        <v>186000</v>
      </c>
      <c r="Y400" s="20"/>
      <c r="Z400" s="20">
        <f>SUM(X400:Y400)</f>
        <v>186000</v>
      </c>
      <c r="AA400" s="20">
        <v>156000</v>
      </c>
      <c r="AB400" s="20">
        <f t="shared" si="51"/>
        <v>174000</v>
      </c>
      <c r="AC400" s="20"/>
      <c r="AD400" s="20">
        <f>SUM(AB400:AC400)</f>
        <v>174000</v>
      </c>
      <c r="AE400" s="20">
        <v>0</v>
      </c>
      <c r="AF400" s="20">
        <v>0</v>
      </c>
      <c r="AG400" s="20">
        <f>SUM(AE400:AF400)</f>
        <v>0</v>
      </c>
      <c r="AH400" s="20">
        <v>0</v>
      </c>
      <c r="AI400" s="37">
        <v>0</v>
      </c>
    </row>
    <row r="401" spans="1:35" ht="14.15" hidden="1" customHeight="1" x14ac:dyDescent="0.35">
      <c r="A401">
        <v>0</v>
      </c>
      <c r="B401">
        <v>0</v>
      </c>
      <c r="C401">
        <v>0</v>
      </c>
      <c r="D401">
        <v>0</v>
      </c>
      <c r="E401">
        <v>6000</v>
      </c>
      <c r="F401">
        <v>2700</v>
      </c>
      <c r="G401">
        <v>1000</v>
      </c>
      <c r="H401">
        <v>0</v>
      </c>
      <c r="I401">
        <v>0</v>
      </c>
      <c r="J401">
        <v>0</v>
      </c>
      <c r="K401">
        <v>0</v>
      </c>
      <c r="L401">
        <v>1500</v>
      </c>
      <c r="M401">
        <v>2000</v>
      </c>
      <c r="N401">
        <v>1500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207624637</v>
      </c>
      <c r="U401" s="19">
        <f t="shared" si="58"/>
        <v>302700</v>
      </c>
      <c r="V401" s="20">
        <f>SUM(A401:S401)</f>
        <v>14700</v>
      </c>
      <c r="W401" s="20">
        <v>120000</v>
      </c>
      <c r="X401" s="20">
        <f t="shared" si="57"/>
        <v>138000</v>
      </c>
      <c r="Y401" s="20"/>
      <c r="Z401" s="20">
        <f>SUM(X401:Y401)</f>
        <v>138000</v>
      </c>
      <c r="AA401" s="20">
        <v>114000</v>
      </c>
      <c r="AB401" s="20">
        <f t="shared" si="51"/>
        <v>132000</v>
      </c>
      <c r="AC401" s="20">
        <v>18000</v>
      </c>
      <c r="AD401" s="20">
        <f>SUM(AB401:AC401)</f>
        <v>150000</v>
      </c>
      <c r="AE401" s="20">
        <v>0</v>
      </c>
      <c r="AF401" s="20">
        <v>0</v>
      </c>
      <c r="AG401" s="20">
        <f>SUM(AE401:AF401)</f>
        <v>0</v>
      </c>
      <c r="AH401" s="20">
        <v>0</v>
      </c>
      <c r="AI401" s="37">
        <v>0</v>
      </c>
    </row>
    <row r="402" spans="1:35" ht="14.15" hidden="1" customHeight="1" x14ac:dyDescent="0.35">
      <c r="A402" s="2">
        <f t="shared" ref="A402:S402" si="59">AVERAGE(A25:A401)</f>
        <v>2909.2838196286471</v>
      </c>
      <c r="B402" s="2">
        <f t="shared" si="59"/>
        <v>3197.6127320954906</v>
      </c>
      <c r="C402" s="2">
        <f t="shared" si="59"/>
        <v>0</v>
      </c>
      <c r="D402" s="2">
        <f t="shared" si="59"/>
        <v>0</v>
      </c>
      <c r="E402" s="2">
        <f t="shared" si="59"/>
        <v>5952.2546419098144</v>
      </c>
      <c r="F402" s="2">
        <f t="shared" si="59"/>
        <v>2137.9973474801063</v>
      </c>
      <c r="G402" s="2">
        <f t="shared" si="59"/>
        <v>1183.0238726790451</v>
      </c>
      <c r="H402" s="2">
        <f t="shared" si="59"/>
        <v>899.20212765957444</v>
      </c>
      <c r="I402" s="2">
        <f t="shared" si="59"/>
        <v>0</v>
      </c>
      <c r="J402" s="2">
        <f t="shared" si="59"/>
        <v>0</v>
      </c>
      <c r="K402" s="2">
        <f t="shared" si="59"/>
        <v>0</v>
      </c>
      <c r="L402" s="2">
        <f t="shared" si="59"/>
        <v>1368.7002652519893</v>
      </c>
      <c r="M402" s="2">
        <f t="shared" si="59"/>
        <v>1734.7480106100795</v>
      </c>
      <c r="N402" s="2">
        <f t="shared" si="59"/>
        <v>1264.627659574468</v>
      </c>
      <c r="O402" s="2">
        <f t="shared" si="59"/>
        <v>2116.7108753315651</v>
      </c>
      <c r="P402" s="2">
        <f t="shared" si="59"/>
        <v>0</v>
      </c>
      <c r="Q402" s="2">
        <f t="shared" si="59"/>
        <v>0</v>
      </c>
      <c r="R402" s="2">
        <f t="shared" si="59"/>
        <v>0</v>
      </c>
      <c r="S402" s="2">
        <f t="shared" si="59"/>
        <v>0</v>
      </c>
      <c r="T402" s="2">
        <v>-415</v>
      </c>
      <c r="U402" s="21">
        <f>SUM(V402, Z402, AD402)</f>
        <v>319307.10027100268</v>
      </c>
      <c r="V402" s="21">
        <f t="shared" ref="V402:AC402" si="60">AVERAGE(V25:V401)</f>
        <v>23072.289972899729</v>
      </c>
      <c r="W402" s="21"/>
      <c r="X402" s="21">
        <f t="shared" si="60"/>
        <v>147073.17073170733</v>
      </c>
      <c r="Y402" s="21">
        <f t="shared" si="60"/>
        <v>14816.25</v>
      </c>
      <c r="Z402" s="21">
        <f t="shared" si="60"/>
        <v>150285.36585365853</v>
      </c>
      <c r="AA402" s="21"/>
      <c r="AB402" s="21">
        <f t="shared" si="60"/>
        <v>140144.04432132965</v>
      </c>
      <c r="AC402" s="21">
        <f t="shared" si="60"/>
        <v>17506.557377049179</v>
      </c>
      <c r="AD402" s="21">
        <f t="shared" ref="AD402:AI402" si="61">AVERAGE(AD25:AD401)</f>
        <v>145949.44444444444</v>
      </c>
      <c r="AE402" s="21">
        <f t="shared" si="61"/>
        <v>0</v>
      </c>
      <c r="AF402" s="21">
        <f t="shared" si="61"/>
        <v>0</v>
      </c>
      <c r="AG402" s="21">
        <f t="shared" si="61"/>
        <v>0</v>
      </c>
      <c r="AH402" s="21">
        <f t="shared" si="61"/>
        <v>0</v>
      </c>
      <c r="AI402" s="21">
        <f t="shared" si="61"/>
        <v>0</v>
      </c>
    </row>
    <row r="403" spans="1:35" ht="14.15" hidden="1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S403" s="2"/>
      <c r="T403" s="2"/>
      <c r="U403" s="2"/>
      <c r="V403" s="2"/>
      <c r="W403" s="2"/>
      <c r="X403" s="2"/>
      <c r="Y403" s="2"/>
      <c r="Z403" s="2"/>
      <c r="AA403" s="2"/>
    </row>
  </sheetData>
  <sheetProtection password="8B4B" sheet="1" objects="1" scenarios="1"/>
  <phoneticPr fontId="0" type="noConversion"/>
  <printOptions gridLines="1" gridLinesSet="0"/>
  <pageMargins left="0.5" right="0.5" top="0.5" bottom="0.5" header="0.5" footer="0.5"/>
  <pageSetup scale="28" fitToHeight="7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</vt:lpstr>
      <vt:lpstr>Spring2004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Grove City College</dc:creator>
  <cp:lastModifiedBy>Carina Negreanu</cp:lastModifiedBy>
  <cp:lastPrinted>2001-08-14T17:38:33Z</cp:lastPrinted>
  <dcterms:created xsi:type="dcterms:W3CDTF">1999-08-27T13:46:30Z</dcterms:created>
  <dcterms:modified xsi:type="dcterms:W3CDTF">2020-01-27T11:12:24Z</dcterms:modified>
</cp:coreProperties>
</file>