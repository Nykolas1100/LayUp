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B446A25-9F10-429E-A0FE-24FD5740E44C}" xr6:coauthVersionLast="45" xr6:coauthVersionMax="45" xr10:uidLastSave="{00000000-0000-0000-0000-000000000000}"/>
  <bookViews>
    <workbookView xWindow="2280" yWindow="2280" windowWidth="28800" windowHeight="15460"/>
  </bookViews>
  <sheets>
    <sheet name="A.3.1." sheetId="1" r:id="rId1"/>
    <sheet name="A.3.2." sheetId="2" r:id="rId2"/>
    <sheet name="A.3.3." sheetId="8" r:id="rId3"/>
    <sheet name="A.3.4." sheetId="7" r:id="rId4"/>
    <sheet name="A.3.5." sheetId="6" r:id="rId5"/>
    <sheet name="A.3.6." sheetId="5" r:id="rId6"/>
    <sheet name="A.3.7." sheetId="4" r:id="rId7"/>
    <sheet name="A.3.8." sheetId="3" r:id="rId8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4" l="1"/>
  <c r="G11" i="4"/>
  <c r="H11" i="4"/>
  <c r="I11" i="4"/>
</calcChain>
</file>

<file path=xl/sharedStrings.xml><?xml version="1.0" encoding="utf-8"?>
<sst xmlns="http://schemas.openxmlformats.org/spreadsheetml/2006/main" count="196" uniqueCount="61">
  <si>
    <t>Table A.3.1. Total fuelwood consumption from CEERD/AIT energy-environment database; (1000 m3)</t>
  </si>
  <si>
    <t>South Asia</t>
  </si>
  <si>
    <t>Bangladesh</t>
  </si>
  <si>
    <t>Bhutan</t>
  </si>
  <si>
    <t>India</t>
  </si>
  <si>
    <t>Maldives</t>
  </si>
  <si>
    <t>Nepal</t>
  </si>
  <si>
    <t>Pakistan</t>
  </si>
  <si>
    <t>Sri Lanka</t>
  </si>
  <si>
    <t>South East Asia</t>
  </si>
  <si>
    <t>Cambodia</t>
  </si>
  <si>
    <t>Indonesia</t>
  </si>
  <si>
    <t>Laos</t>
  </si>
  <si>
    <t>Malaysia</t>
  </si>
  <si>
    <t>Myanmar</t>
  </si>
  <si>
    <t>Philippines</t>
  </si>
  <si>
    <t>Thailand</t>
  </si>
  <si>
    <t>Vietnam</t>
  </si>
  <si>
    <t>China</t>
  </si>
  <si>
    <t>Note: Figures in this table are the ratio of fuelwood consumption from AIT/CEERD database to the round wood production from FAO forest products yearbook.</t>
  </si>
  <si>
    <t>Table A.3.4. Share of traditional energy in total energy consumption from CEERD/AIT energy-environment database; (%)</t>
  </si>
  <si>
    <t xml:space="preserve"> </t>
  </si>
  <si>
    <t>Table A.3.5. Share of fuelwood in total traditional energy consumption from CEERD/AIT energy-environment database; (%)</t>
  </si>
  <si>
    <t>Table A.3.6. Share of fuelwood in total energy consumption from CEERD/AIT energy-environment database; (%)</t>
  </si>
  <si>
    <r>
      <t>Table A.3.7. Consumption of wood energy in various sectors CEERD/AIT energy-environment database; (' 000 m</t>
    </r>
    <r>
      <rPr>
        <b/>
        <vertAlign val="superscript"/>
        <sz val="10"/>
        <rFont val="Times New Roman"/>
        <family val="1"/>
      </rPr>
      <t>3</t>
    </r>
    <r>
      <rPr>
        <b/>
        <sz val="10"/>
        <rFont val="Times New Roman"/>
        <family val="1"/>
      </rPr>
      <t>)</t>
    </r>
  </si>
  <si>
    <t>Country/</t>
  </si>
  <si>
    <t>Total Sector</t>
  </si>
  <si>
    <t>Residential/Commercial Sector</t>
  </si>
  <si>
    <t>Industrial Sector</t>
  </si>
  <si>
    <t>Transformation Sector</t>
  </si>
  <si>
    <t>Region</t>
  </si>
  <si>
    <t>Asia Total</t>
  </si>
  <si>
    <r>
      <t>7850</t>
    </r>
    <r>
      <rPr>
        <vertAlign val="superscript"/>
        <sz val="10"/>
        <rFont val="AngsanaUPC"/>
        <family val="1"/>
        <charset val="222"/>
      </rPr>
      <t>a</t>
    </r>
  </si>
  <si>
    <r>
      <t>4131</t>
    </r>
    <r>
      <rPr>
        <vertAlign val="superscript"/>
        <sz val="10"/>
        <rFont val="Times New Roman"/>
        <family val="1"/>
      </rPr>
      <t>a</t>
    </r>
  </si>
  <si>
    <r>
      <t>1556</t>
    </r>
    <r>
      <rPr>
        <vertAlign val="superscript"/>
        <sz val="10"/>
        <rFont val="Times New Roman"/>
        <family val="1"/>
      </rPr>
      <t>a</t>
    </r>
  </si>
  <si>
    <r>
      <t>1595</t>
    </r>
    <r>
      <rPr>
        <vertAlign val="superscript"/>
        <sz val="10"/>
        <rFont val="AngsanaUPC"/>
        <family val="1"/>
        <charset val="222"/>
      </rPr>
      <t>b</t>
    </r>
  </si>
  <si>
    <r>
      <t>1427</t>
    </r>
    <r>
      <rPr>
        <vertAlign val="superscript"/>
        <sz val="10"/>
        <rFont val="Times New Roman"/>
        <family val="1"/>
      </rPr>
      <t>b</t>
    </r>
  </si>
  <si>
    <r>
      <t>168</t>
    </r>
    <r>
      <rPr>
        <vertAlign val="superscript"/>
        <sz val="10"/>
        <rFont val="Times New Roman"/>
        <family val="1"/>
      </rPr>
      <t>b</t>
    </r>
  </si>
  <si>
    <r>
      <t>48491</t>
    </r>
    <r>
      <rPr>
        <vertAlign val="superscript"/>
        <sz val="10"/>
        <rFont val="AngsanaUPC"/>
        <family val="1"/>
        <charset val="222"/>
      </rPr>
      <t>c</t>
    </r>
  </si>
  <si>
    <r>
      <t>48491</t>
    </r>
    <r>
      <rPr>
        <vertAlign val="superscript"/>
        <sz val="10"/>
        <rFont val="Times New Roman"/>
        <family val="1"/>
      </rPr>
      <t>c</t>
    </r>
  </si>
  <si>
    <r>
      <t>38478</t>
    </r>
    <r>
      <rPr>
        <vertAlign val="superscript"/>
        <sz val="10"/>
        <rFont val="AngsanaUPC"/>
        <family val="1"/>
        <charset val="222"/>
      </rPr>
      <t>d</t>
    </r>
  </si>
  <si>
    <r>
      <t>41998</t>
    </r>
    <r>
      <rPr>
        <vertAlign val="superscript"/>
        <sz val="10"/>
        <rFont val="Times New Roman"/>
        <family val="1"/>
      </rPr>
      <t>d</t>
    </r>
  </si>
  <si>
    <r>
      <t>48807</t>
    </r>
    <r>
      <rPr>
        <vertAlign val="superscript"/>
        <sz val="10"/>
        <rFont val="AngsanaUPC"/>
        <family val="1"/>
        <charset val="222"/>
      </rPr>
      <t>b</t>
    </r>
  </si>
  <si>
    <r>
      <t>48807</t>
    </r>
    <r>
      <rPr>
        <vertAlign val="superscript"/>
        <sz val="10"/>
        <rFont val="Times New Roman"/>
        <family val="1"/>
      </rPr>
      <t>b</t>
    </r>
  </si>
  <si>
    <r>
      <t>a</t>
    </r>
    <r>
      <rPr>
        <sz val="10"/>
        <rFont val="AngsanaUPC"/>
        <family val="1"/>
        <charset val="222"/>
      </rPr>
      <t xml:space="preserve">  data for 1981</t>
    </r>
  </si>
  <si>
    <r>
      <t>b</t>
    </r>
    <r>
      <rPr>
        <sz val="10"/>
        <rFont val="AngsanaUPC"/>
        <family val="1"/>
        <charset val="222"/>
      </rPr>
      <t xml:space="preserve">  data for 1989</t>
    </r>
  </si>
  <si>
    <r>
      <t>c</t>
    </r>
    <r>
      <rPr>
        <sz val="10"/>
        <rFont val="AngsanaUPC"/>
        <family val="1"/>
        <charset val="222"/>
      </rPr>
      <t xml:space="preserve">  data for 1991</t>
    </r>
  </si>
  <si>
    <r>
      <t>d</t>
    </r>
    <r>
      <rPr>
        <sz val="10"/>
        <rFont val="AngsanaUPC"/>
        <family val="1"/>
        <charset val="222"/>
      </rPr>
      <t xml:space="preserve">  data for 1992</t>
    </r>
  </si>
  <si>
    <t>Table A.3.8. Consumption of wood energy in various sectors CEERD/AIT energy-environment database; (PJ)</t>
  </si>
  <si>
    <r>
      <t>76</t>
    </r>
    <r>
      <rPr>
        <vertAlign val="superscript"/>
        <sz val="10"/>
        <rFont val="AngsanaUPC"/>
        <family val="1"/>
        <charset val="222"/>
      </rPr>
      <t>a</t>
    </r>
  </si>
  <si>
    <r>
      <t>40</t>
    </r>
    <r>
      <rPr>
        <vertAlign val="superscript"/>
        <sz val="10"/>
        <rFont val="Times New Roman"/>
        <family val="1"/>
      </rPr>
      <t>a</t>
    </r>
  </si>
  <si>
    <r>
      <t>15</t>
    </r>
    <r>
      <rPr>
        <vertAlign val="superscript"/>
        <sz val="10"/>
        <rFont val="Times New Roman"/>
        <family val="1"/>
      </rPr>
      <t>a</t>
    </r>
  </si>
  <si>
    <r>
      <t>14</t>
    </r>
    <r>
      <rPr>
        <vertAlign val="superscript"/>
        <sz val="10"/>
        <rFont val="AngsanaUPC"/>
        <family val="1"/>
        <charset val="222"/>
      </rPr>
      <t>b</t>
    </r>
  </si>
  <si>
    <r>
      <t>452</t>
    </r>
    <r>
      <rPr>
        <vertAlign val="superscript"/>
        <sz val="10"/>
        <rFont val="AngsanaUPC"/>
        <family val="1"/>
        <charset val="222"/>
      </rPr>
      <t>c</t>
    </r>
  </si>
  <si>
    <r>
      <t>452</t>
    </r>
    <r>
      <rPr>
        <vertAlign val="superscript"/>
        <sz val="10"/>
        <rFont val="Times New Roman"/>
        <family val="1"/>
      </rPr>
      <t>c</t>
    </r>
  </si>
  <si>
    <r>
      <t>282</t>
    </r>
    <r>
      <rPr>
        <vertAlign val="superscript"/>
        <sz val="10"/>
        <rFont val="AngsanaUPC"/>
        <family val="1"/>
        <charset val="222"/>
      </rPr>
      <t>d</t>
    </r>
  </si>
  <si>
    <r>
      <t>313</t>
    </r>
    <r>
      <rPr>
        <vertAlign val="superscript"/>
        <sz val="10"/>
        <rFont val="Times New Roman"/>
        <family val="1"/>
      </rPr>
      <t>d</t>
    </r>
  </si>
  <si>
    <r>
      <t>320</t>
    </r>
    <r>
      <rPr>
        <vertAlign val="superscript"/>
        <sz val="10"/>
        <rFont val="AngsanaUPC"/>
        <family val="1"/>
        <charset val="222"/>
      </rPr>
      <t>b</t>
    </r>
  </si>
  <si>
    <r>
      <t>320</t>
    </r>
    <r>
      <rPr>
        <vertAlign val="superscript"/>
        <sz val="10"/>
        <rFont val="Times New Roman"/>
        <family val="1"/>
      </rPr>
      <t>b</t>
    </r>
  </si>
  <si>
    <t>Table A.3.3. Total fuelwood consumption from CEERD/AIT energy- environment database; (PJ)</t>
  </si>
  <si>
    <t>Table A.3.2.  Total wood energy consumption as a percentage of total removals from CEERD/AIT energy-environment database;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</si>
</sst>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0"/>
      <name val="AngsanaUPC"/>
      <family val="1"/>
      <charset val="222"/>
    </font>
    <font>
      <sz val="10"/>
      <name val="AngsanaUPC"/>
      <family val="1"/>
      <charset val="222"/>
    </font>
    <font>
      <vertAlign val="superscript"/>
      <sz val="10"/>
      <name val="AngsanaUPC"/>
      <family val="1"/>
      <charset val="22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3" fontId="4" fillId="0" borderId="5" xfId="0" applyNumberFormat="1" applyFont="1" applyBorder="1"/>
    <xf numFmtId="3" fontId="4" fillId="0" borderId="6" xfId="0" applyNumberFormat="1" applyFont="1" applyBorder="1"/>
    <xf numFmtId="0" fontId="3" fillId="0" borderId="4" xfId="0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3" fillId="0" borderId="7" xfId="0" applyFont="1" applyBorder="1"/>
    <xf numFmtId="3" fontId="3" fillId="0" borderId="8" xfId="0" applyNumberFormat="1" applyFont="1" applyBorder="1"/>
    <xf numFmtId="3" fontId="3" fillId="0" borderId="9" xfId="0" applyNumberFormat="1" applyFont="1" applyBorder="1"/>
    <xf numFmtId="0" fontId="3" fillId="0" borderId="10" xfId="0" applyFont="1" applyBorder="1"/>
    <xf numFmtId="3" fontId="3" fillId="0" borderId="11" xfId="0" applyNumberFormat="1" applyFont="1" applyBorder="1"/>
    <xf numFmtId="3" fontId="3" fillId="0" borderId="12" xfId="0" applyNumberFormat="1" applyFont="1" applyBorder="1"/>
    <xf numFmtId="0" fontId="3" fillId="0" borderId="0" xfId="0" applyFont="1"/>
    <xf numFmtId="0" fontId="3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4" xfId="0" applyFont="1" applyBorder="1"/>
    <xf numFmtId="3" fontId="3" fillId="0" borderId="0" xfId="0" applyNumberFormat="1" applyFont="1"/>
    <xf numFmtId="0" fontId="5" fillId="0" borderId="0" xfId="0" applyFont="1"/>
    <xf numFmtId="0" fontId="1" fillId="0" borderId="10" xfId="0" applyFont="1" applyBorder="1"/>
    <xf numFmtId="3" fontId="1" fillId="0" borderId="11" xfId="0" applyNumberFormat="1" applyFont="1" applyBorder="1"/>
    <xf numFmtId="3" fontId="1" fillId="0" borderId="12" xfId="0" applyNumberFormat="1" applyFont="1" applyBorder="1"/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1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7" fillId="0" borderId="7" xfId="0" applyNumberFormat="1" applyFont="1" applyBorder="1"/>
    <xf numFmtId="3" fontId="7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  <xf numFmtId="1" fontId="7" fillId="0" borderId="4" xfId="0" applyNumberFormat="1" applyFont="1" applyBorder="1"/>
    <xf numFmtId="3" fontId="7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1" fontId="8" fillId="0" borderId="4" xfId="0" applyNumberFormat="1" applyFont="1" applyBorder="1"/>
    <xf numFmtId="3" fontId="8" fillId="0" borderId="5" xfId="0" applyNumberFormat="1" applyFont="1" applyBorder="1" applyAlignment="1">
      <alignment horizontal="right"/>
    </xf>
    <xf numFmtId="3" fontId="8" fillId="0" borderId="5" xfId="0" applyNumberFormat="1" applyFont="1" applyBorder="1"/>
    <xf numFmtId="3" fontId="2" fillId="0" borderId="5" xfId="0" applyNumberFormat="1" applyFont="1" applyBorder="1"/>
    <xf numFmtId="0" fontId="2" fillId="0" borderId="5" xfId="0" applyFont="1" applyBorder="1" applyAlignment="1">
      <alignment horizontal="right"/>
    </xf>
    <xf numFmtId="0" fontId="2" fillId="0" borderId="5" xfId="0" applyFont="1" applyBorder="1"/>
    <xf numFmtId="0" fontId="2" fillId="0" borderId="6" xfId="0" applyFont="1" applyBorder="1"/>
    <xf numFmtId="1" fontId="8" fillId="0" borderId="7" xfId="0" applyNumberFormat="1" applyFont="1" applyBorder="1"/>
    <xf numFmtId="3" fontId="8" fillId="0" borderId="8" xfId="0" applyNumberFormat="1" applyFont="1" applyBorder="1"/>
    <xf numFmtId="3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3" fontId="8" fillId="0" borderId="4" xfId="0" applyNumberFormat="1" applyFont="1" applyBorder="1"/>
    <xf numFmtId="3" fontId="2" fillId="0" borderId="5" xfId="0" applyNumberFormat="1" applyFont="1" applyBorder="1" applyAlignment="1">
      <alignment horizontal="right"/>
    </xf>
    <xf numFmtId="3" fontId="2" fillId="0" borderId="6" xfId="0" applyNumberFormat="1" applyFont="1" applyBorder="1"/>
    <xf numFmtId="1" fontId="8" fillId="0" borderId="10" xfId="0" applyNumberFormat="1" applyFont="1" applyBorder="1"/>
    <xf numFmtId="3" fontId="8" fillId="0" borderId="11" xfId="0" applyNumberFormat="1" applyFont="1" applyBorder="1"/>
    <xf numFmtId="0" fontId="2" fillId="0" borderId="11" xfId="0" applyFont="1" applyBorder="1"/>
    <xf numFmtId="0" fontId="2" fillId="0" borderId="12" xfId="0" applyFont="1" applyBorder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tabSelected="1" workbookViewId="0"/>
  </sheetViews>
  <sheetFormatPr defaultRowHeight="12.5" x14ac:dyDescent="0.25"/>
  <sheetData>
    <row r="1" spans="1:16" ht="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16" ht="13.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1:16" ht="13" x14ac:dyDescent="0.3">
      <c r="A3" s="3"/>
      <c r="B3" s="4">
        <v>1980</v>
      </c>
      <c r="C3" s="4">
        <v>1981</v>
      </c>
      <c r="D3" s="4">
        <v>1982</v>
      </c>
      <c r="E3" s="4">
        <v>1983</v>
      </c>
      <c r="F3" s="4">
        <v>1984</v>
      </c>
      <c r="G3" s="4">
        <v>1985</v>
      </c>
      <c r="H3" s="4">
        <v>1986</v>
      </c>
      <c r="I3" s="4">
        <v>1987</v>
      </c>
      <c r="J3" s="4">
        <v>1988</v>
      </c>
      <c r="K3" s="4">
        <v>1989</v>
      </c>
      <c r="L3" s="4">
        <v>1990</v>
      </c>
      <c r="M3" s="4">
        <v>1991</v>
      </c>
      <c r="N3" s="4">
        <v>1992</v>
      </c>
      <c r="O3" s="4">
        <v>1993</v>
      </c>
      <c r="P3" s="5">
        <v>1994</v>
      </c>
    </row>
    <row r="4" spans="1:16" ht="13" x14ac:dyDescent="0.3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ht="13" x14ac:dyDescent="0.3">
      <c r="A5" s="9" t="s">
        <v>2</v>
      </c>
      <c r="B5" s="10"/>
      <c r="C5" s="10">
        <v>7850</v>
      </c>
      <c r="D5" s="10">
        <v>8052</v>
      </c>
      <c r="E5" s="10">
        <v>8100</v>
      </c>
      <c r="F5" s="10">
        <v>8077</v>
      </c>
      <c r="G5" s="10">
        <v>8001</v>
      </c>
      <c r="H5" s="10">
        <v>7988</v>
      </c>
      <c r="I5" s="10">
        <v>5576</v>
      </c>
      <c r="J5" s="10">
        <v>10072</v>
      </c>
      <c r="K5" s="10">
        <v>10995</v>
      </c>
      <c r="L5" s="10">
        <v>11892</v>
      </c>
      <c r="M5" s="10">
        <v>12933</v>
      </c>
      <c r="N5" s="10"/>
      <c r="O5" s="10"/>
      <c r="P5" s="11"/>
    </row>
    <row r="6" spans="1:16" ht="13" x14ac:dyDescent="0.3">
      <c r="A6" s="9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>
        <v>1595</v>
      </c>
      <c r="L6" s="10"/>
      <c r="M6" s="10"/>
      <c r="N6" s="10"/>
      <c r="O6" s="10"/>
      <c r="P6" s="11"/>
    </row>
    <row r="7" spans="1:16" ht="13" x14ac:dyDescent="0.3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>
        <v>352065</v>
      </c>
    </row>
    <row r="8" spans="1:16" ht="13" x14ac:dyDescent="0.3">
      <c r="A8" s="9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 ht="13" x14ac:dyDescent="0.3">
      <c r="A9" s="9" t="s">
        <v>6</v>
      </c>
      <c r="B9" s="10">
        <v>12294</v>
      </c>
      <c r="C9" s="10">
        <v>12691</v>
      </c>
      <c r="D9" s="10">
        <v>12984</v>
      </c>
      <c r="E9" s="10">
        <v>13250</v>
      </c>
      <c r="F9" s="10">
        <v>13522</v>
      </c>
      <c r="G9" s="10">
        <v>13813</v>
      </c>
      <c r="H9" s="10">
        <v>13957</v>
      </c>
      <c r="I9" s="10">
        <v>14219</v>
      </c>
      <c r="J9" s="10">
        <v>14488</v>
      </c>
      <c r="K9" s="10">
        <v>14650</v>
      </c>
      <c r="L9" s="10">
        <v>15005</v>
      </c>
      <c r="M9" s="10">
        <v>15400</v>
      </c>
      <c r="N9" s="10">
        <v>15683</v>
      </c>
      <c r="O9" s="10">
        <v>16371</v>
      </c>
      <c r="P9" s="11">
        <v>16736</v>
      </c>
    </row>
    <row r="10" spans="1:16" ht="13" x14ac:dyDescent="0.3">
      <c r="A10" s="9" t="s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48491</v>
      </c>
      <c r="N10" s="10"/>
      <c r="O10" s="10"/>
      <c r="P10" s="11">
        <v>54564</v>
      </c>
    </row>
    <row r="11" spans="1:16" ht="13" x14ac:dyDescent="0.3">
      <c r="A11" s="12" t="s">
        <v>8</v>
      </c>
      <c r="B11" s="13">
        <v>11189</v>
      </c>
      <c r="C11" s="13">
        <v>11487</v>
      </c>
      <c r="D11" s="13">
        <v>11639</v>
      </c>
      <c r="E11" s="13">
        <v>11808</v>
      </c>
      <c r="F11" s="13">
        <v>12661</v>
      </c>
      <c r="G11" s="13">
        <v>12769</v>
      </c>
      <c r="H11" s="13">
        <v>13117</v>
      </c>
      <c r="I11" s="13">
        <v>13473</v>
      </c>
      <c r="J11" s="13">
        <v>13846</v>
      </c>
      <c r="K11" s="13">
        <v>13953</v>
      </c>
      <c r="L11" s="13">
        <v>13716</v>
      </c>
      <c r="M11" s="13"/>
      <c r="N11" s="13">
        <v>14416</v>
      </c>
      <c r="O11" s="13"/>
      <c r="P11" s="14"/>
    </row>
    <row r="12" spans="1:16" ht="13" x14ac:dyDescent="0.3">
      <c r="A12" s="6" t="s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 ht="13" x14ac:dyDescent="0.3">
      <c r="A13" s="9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>
        <v>8503</v>
      </c>
    </row>
    <row r="14" spans="1:16" ht="13" x14ac:dyDescent="0.3">
      <c r="A14" s="9" t="s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>
        <v>93666</v>
      </c>
      <c r="P14" s="11">
        <v>84278</v>
      </c>
    </row>
    <row r="15" spans="1:16" ht="13" x14ac:dyDescent="0.3">
      <c r="A15" s="9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>
        <v>3434</v>
      </c>
      <c r="M15" s="10"/>
      <c r="N15" s="10"/>
      <c r="O15" s="10"/>
      <c r="P15" s="11"/>
    </row>
    <row r="16" spans="1:16" ht="13" x14ac:dyDescent="0.3">
      <c r="A16" s="9" t="s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3878</v>
      </c>
      <c r="P16" s="11">
        <v>8551</v>
      </c>
    </row>
    <row r="17" spans="1:16" ht="13" x14ac:dyDescent="0.3">
      <c r="A17" s="9" t="s">
        <v>14</v>
      </c>
      <c r="B17" s="10"/>
      <c r="C17" s="10"/>
      <c r="D17" s="10"/>
      <c r="E17" s="10"/>
      <c r="F17" s="10"/>
      <c r="G17" s="10">
        <v>33570</v>
      </c>
      <c r="H17" s="10">
        <v>33971</v>
      </c>
      <c r="I17" s="10">
        <v>34500</v>
      </c>
      <c r="J17" s="10">
        <v>34695</v>
      </c>
      <c r="K17" s="10">
        <v>35587</v>
      </c>
      <c r="L17" s="10">
        <v>35898</v>
      </c>
      <c r="M17" s="10">
        <v>35545</v>
      </c>
      <c r="N17" s="10">
        <v>38748</v>
      </c>
      <c r="O17" s="10"/>
      <c r="P17" s="11"/>
    </row>
    <row r="18" spans="1:16" ht="13" x14ac:dyDescent="0.3">
      <c r="A18" s="9" t="s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v>48807</v>
      </c>
      <c r="L18" s="10"/>
      <c r="M18" s="10"/>
      <c r="N18" s="10"/>
      <c r="O18" s="10">
        <v>50749</v>
      </c>
      <c r="P18" s="11">
        <v>50644</v>
      </c>
    </row>
    <row r="19" spans="1:16" ht="13" x14ac:dyDescent="0.3">
      <c r="A19" s="9" t="s">
        <v>16</v>
      </c>
      <c r="B19" s="10">
        <v>29935</v>
      </c>
      <c r="C19" s="10">
        <v>29739</v>
      </c>
      <c r="D19" s="10">
        <v>29736</v>
      </c>
      <c r="E19" s="10">
        <v>29574</v>
      </c>
      <c r="F19" s="10">
        <v>29731</v>
      </c>
      <c r="G19" s="10">
        <v>27451</v>
      </c>
      <c r="H19" s="10">
        <v>29659</v>
      </c>
      <c r="I19" s="10">
        <v>29203</v>
      </c>
      <c r="J19" s="10">
        <v>28834</v>
      </c>
      <c r="K19" s="10">
        <v>28216</v>
      </c>
      <c r="L19" s="10">
        <v>27470</v>
      </c>
      <c r="M19" s="10">
        <v>26843</v>
      </c>
      <c r="N19" s="10">
        <v>46197</v>
      </c>
      <c r="O19" s="10">
        <v>50727</v>
      </c>
      <c r="P19" s="11">
        <v>54218</v>
      </c>
    </row>
    <row r="20" spans="1:16" ht="13" x14ac:dyDescent="0.3">
      <c r="A20" s="12" t="s">
        <v>17</v>
      </c>
      <c r="B20" s="13"/>
      <c r="C20" s="13"/>
      <c r="D20" s="13"/>
      <c r="E20" s="13"/>
      <c r="F20" s="13"/>
      <c r="G20" s="13">
        <v>9089.1727290000017</v>
      </c>
      <c r="H20" s="13">
        <v>9275.9068079999997</v>
      </c>
      <c r="I20" s="13">
        <v>9944.6753700000008</v>
      </c>
      <c r="J20" s="13">
        <v>9462.6408869999996</v>
      </c>
      <c r="K20" s="13">
        <v>9883.8782280000014</v>
      </c>
      <c r="L20" s="13">
        <v>43938.963054</v>
      </c>
      <c r="M20" s="13"/>
      <c r="N20" s="13"/>
      <c r="O20" s="13"/>
      <c r="P20" s="14">
        <v>39890</v>
      </c>
    </row>
    <row r="21" spans="1:16" ht="13.5" thickBot="1" x14ac:dyDescent="0.35">
      <c r="A21" s="15" t="s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334242</v>
      </c>
    </row>
    <row r="94" spans="1:16" ht="15.5" x14ac:dyDescent="0.3">
      <c r="A94" s="24" t="s">
        <v>21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117" spans="1:16" ht="13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2.5" x14ac:dyDescent="0.25"/>
  <sheetData>
    <row r="1" spans="1:16" ht="13" x14ac:dyDescent="0.3">
      <c r="A1" s="1" t="s">
        <v>60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3.5" thickBot="1" x14ac:dyDescent="0.35">
      <c r="A2" s="1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3" x14ac:dyDescent="0.3">
      <c r="A3" s="3"/>
      <c r="B3" s="19">
        <v>1980</v>
      </c>
      <c r="C3" s="19">
        <v>1981</v>
      </c>
      <c r="D3" s="19">
        <v>1982</v>
      </c>
      <c r="E3" s="19">
        <v>1983</v>
      </c>
      <c r="F3" s="19">
        <v>1984</v>
      </c>
      <c r="G3" s="19">
        <v>1985</v>
      </c>
      <c r="H3" s="19">
        <v>1986</v>
      </c>
      <c r="I3" s="19">
        <v>1987</v>
      </c>
      <c r="J3" s="19">
        <v>1988</v>
      </c>
      <c r="K3" s="19">
        <v>1989</v>
      </c>
      <c r="L3" s="19">
        <v>1990</v>
      </c>
      <c r="M3" s="19">
        <v>1991</v>
      </c>
      <c r="N3" s="19">
        <v>1992</v>
      </c>
      <c r="O3" s="20">
        <v>1993</v>
      </c>
      <c r="P3" s="21">
        <v>1994</v>
      </c>
    </row>
    <row r="4" spans="1:16" ht="13" x14ac:dyDescent="0.3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ht="13" x14ac:dyDescent="0.3">
      <c r="A5" s="9" t="s">
        <v>2</v>
      </c>
      <c r="B5" s="10">
        <v>0</v>
      </c>
      <c r="C5" s="10">
        <v>32.077476299444264</v>
      </c>
      <c r="D5" s="10">
        <v>31.889108910891089</v>
      </c>
      <c r="E5" s="10">
        <v>31.678986272439282</v>
      </c>
      <c r="F5" s="10">
        <v>30.80707910595774</v>
      </c>
      <c r="G5" s="10">
        <v>30.057477741462861</v>
      </c>
      <c r="H5" s="10">
        <v>29.374126645583587</v>
      </c>
      <c r="I5" s="10">
        <v>20.331814038286236</v>
      </c>
      <c r="J5" s="10">
        <v>36.025466771585954</v>
      </c>
      <c r="K5" s="10">
        <v>38.712062530807692</v>
      </c>
      <c r="L5" s="10">
        <v>41.761483354403708</v>
      </c>
      <c r="M5" s="10">
        <v>43.998775260257197</v>
      </c>
      <c r="N5" s="10">
        <v>0</v>
      </c>
      <c r="O5" s="10">
        <v>0</v>
      </c>
      <c r="P5" s="11">
        <v>0</v>
      </c>
    </row>
    <row r="6" spans="1:16" ht="13" x14ac:dyDescent="0.3">
      <c r="A6" s="9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>
        <v>120.74186222558667</v>
      </c>
      <c r="L6" s="10">
        <v>0</v>
      </c>
      <c r="M6" s="10">
        <v>0</v>
      </c>
      <c r="N6" s="10">
        <v>0</v>
      </c>
      <c r="O6" s="10">
        <v>0</v>
      </c>
      <c r="P6" s="11">
        <v>0</v>
      </c>
    </row>
    <row r="7" spans="1:16" ht="13" x14ac:dyDescent="0.3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1">
        <v>119.75855418244161</v>
      </c>
    </row>
    <row r="8" spans="1:16" ht="13" x14ac:dyDescent="0.3">
      <c r="A8" s="9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 ht="13" x14ac:dyDescent="0.3">
      <c r="A9" s="9" t="s">
        <v>6</v>
      </c>
      <c r="B9" s="10">
        <v>86.044232922732363</v>
      </c>
      <c r="C9" s="10">
        <v>86.633899924909556</v>
      </c>
      <c r="D9" s="10">
        <v>86.427477867270184</v>
      </c>
      <c r="E9" s="10">
        <v>85.793835793835797</v>
      </c>
      <c r="F9" s="10">
        <v>85.398509536440571</v>
      </c>
      <c r="G9" s="10">
        <v>85.107825015403577</v>
      </c>
      <c r="H9" s="10">
        <v>83.896369319547972</v>
      </c>
      <c r="I9" s="10">
        <v>83.464428269546843</v>
      </c>
      <c r="J9" s="10">
        <v>83.016273206509283</v>
      </c>
      <c r="K9" s="10">
        <v>81.944289070365812</v>
      </c>
      <c r="L9" s="10">
        <v>81.869271060672204</v>
      </c>
      <c r="M9" s="10">
        <v>81.723625557206532</v>
      </c>
      <c r="N9" s="10">
        <v>81.174948240165634</v>
      </c>
      <c r="O9" s="10">
        <v>82.615058538554706</v>
      </c>
      <c r="P9" s="11">
        <v>82.394643560456871</v>
      </c>
    </row>
    <row r="10" spans="1:16" ht="13" x14ac:dyDescent="0.3">
      <c r="A10" s="9" t="s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177.73338709086244</v>
      </c>
      <c r="N10" s="10">
        <v>0</v>
      </c>
      <c r="O10" s="10">
        <v>0</v>
      </c>
      <c r="P10" s="11">
        <v>182.65323201553244</v>
      </c>
    </row>
    <row r="11" spans="1:16" ht="13" x14ac:dyDescent="0.3">
      <c r="A11" s="12" t="s">
        <v>8</v>
      </c>
      <c r="B11" s="13">
        <v>139.23593827775011</v>
      </c>
      <c r="C11" s="13">
        <v>141.27413602262945</v>
      </c>
      <c r="D11" s="13">
        <v>140.60159458806476</v>
      </c>
      <c r="E11" s="13">
        <v>139.31099575271355</v>
      </c>
      <c r="F11" s="13">
        <v>147.92615959808387</v>
      </c>
      <c r="G11" s="13">
        <v>149.46740021069883</v>
      </c>
      <c r="H11" s="13">
        <v>151.8698622206785</v>
      </c>
      <c r="I11" s="13">
        <v>153.76626341018033</v>
      </c>
      <c r="J11" s="13">
        <v>155.85321927059883</v>
      </c>
      <c r="K11" s="13">
        <v>154.93004663557628</v>
      </c>
      <c r="L11" s="13">
        <v>152.1295474711624</v>
      </c>
      <c r="M11" s="13">
        <v>0</v>
      </c>
      <c r="N11" s="13">
        <v>155.49563153920829</v>
      </c>
      <c r="O11" s="13">
        <v>0</v>
      </c>
      <c r="P11" s="14">
        <v>0</v>
      </c>
    </row>
    <row r="12" spans="1:16" ht="13" x14ac:dyDescent="0.3">
      <c r="A12" s="6" t="s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 ht="13" x14ac:dyDescent="0.3">
      <c r="A13" s="9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>
        <v>118.44268003900265</v>
      </c>
    </row>
    <row r="14" spans="1:16" ht="13" x14ac:dyDescent="0.3">
      <c r="A14" s="9" t="s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>
        <v>50.503057164116342</v>
      </c>
      <c r="P14" s="11">
        <v>45.047009711955269</v>
      </c>
    </row>
    <row r="15" spans="1:16" ht="13" x14ac:dyDescent="0.3">
      <c r="A15" s="9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>
        <v>0</v>
      </c>
      <c r="L15" s="10">
        <v>79.160903642231446</v>
      </c>
      <c r="M15" s="10"/>
      <c r="N15" s="10"/>
      <c r="O15" s="10"/>
      <c r="P15" s="11"/>
    </row>
    <row r="16" spans="1:16" ht="13" x14ac:dyDescent="0.3">
      <c r="A16" s="9" t="s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8.1835063729214141</v>
      </c>
      <c r="P16" s="11">
        <v>18.57419032517323</v>
      </c>
    </row>
    <row r="17" spans="1:16" ht="13" x14ac:dyDescent="0.3">
      <c r="A17" s="9" t="s">
        <v>14</v>
      </c>
      <c r="B17" s="10"/>
      <c r="C17" s="10"/>
      <c r="D17" s="10"/>
      <c r="E17" s="10"/>
      <c r="F17" s="10"/>
      <c r="G17" s="10">
        <v>174.69816819317236</v>
      </c>
      <c r="H17" s="10">
        <v>173.79137463549395</v>
      </c>
      <c r="I17" s="10">
        <v>174.43624228941249</v>
      </c>
      <c r="J17" s="10">
        <v>173.01650625841521</v>
      </c>
      <c r="K17" s="10">
        <v>173.2064635452156</v>
      </c>
      <c r="L17" s="10">
        <v>166.91309806109638</v>
      </c>
      <c r="M17" s="10">
        <v>159.43751682066926</v>
      </c>
      <c r="N17" s="10">
        <v>169.57549234135666</v>
      </c>
      <c r="O17" s="10">
        <v>0</v>
      </c>
      <c r="P17" s="11">
        <v>0</v>
      </c>
    </row>
    <row r="18" spans="1:16" ht="13" x14ac:dyDescent="0.3">
      <c r="A18" s="9" t="s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v>130.41979531304278</v>
      </c>
      <c r="L18" s="10"/>
      <c r="M18" s="10"/>
      <c r="N18" s="10"/>
      <c r="O18" s="10">
        <v>131.56612138024008</v>
      </c>
      <c r="P18" s="11">
        <v>129.88971531161837</v>
      </c>
    </row>
    <row r="19" spans="1:16" ht="13" x14ac:dyDescent="0.3">
      <c r="A19" s="9" t="s">
        <v>16</v>
      </c>
      <c r="B19" s="10">
        <v>88.727843974153771</v>
      </c>
      <c r="C19" s="10">
        <v>88.311804008908695</v>
      </c>
      <c r="D19" s="10">
        <v>86.633259526861679</v>
      </c>
      <c r="E19" s="10">
        <v>84.960786003619745</v>
      </c>
      <c r="F19" s="10">
        <v>83.549248278769142</v>
      </c>
      <c r="G19" s="10">
        <v>76.212554485132841</v>
      </c>
      <c r="H19" s="10">
        <v>80.678417931559764</v>
      </c>
      <c r="I19" s="10">
        <v>77.835230150057299</v>
      </c>
      <c r="J19" s="10">
        <v>75.803144224196856</v>
      </c>
      <c r="K19" s="10">
        <v>75.254707419853844</v>
      </c>
      <c r="L19" s="10">
        <v>73.04102741365098</v>
      </c>
      <c r="M19" s="10">
        <v>70.943785183814782</v>
      </c>
      <c r="N19" s="10">
        <v>121.03911756229205</v>
      </c>
      <c r="O19" s="10">
        <v>131.679775718402</v>
      </c>
      <c r="P19" s="11">
        <v>139.32774836819655</v>
      </c>
    </row>
    <row r="20" spans="1:16" ht="13" x14ac:dyDescent="0.3">
      <c r="A20" s="12" t="s">
        <v>17</v>
      </c>
      <c r="B20" s="13"/>
      <c r="C20" s="13"/>
      <c r="D20" s="13"/>
      <c r="E20" s="13"/>
      <c r="F20" s="13"/>
      <c r="G20" s="13">
        <v>31.175348067226899</v>
      </c>
      <c r="H20" s="13">
        <v>30.845659776536312</v>
      </c>
      <c r="I20" s="13">
        <v>32.128308629212029</v>
      </c>
      <c r="J20" s="13">
        <v>30.336755857271093</v>
      </c>
      <c r="K20" s="13">
        <v>31.277105876396323</v>
      </c>
      <c r="L20" s="13">
        <v>137.61459191957155</v>
      </c>
      <c r="M20" s="13"/>
      <c r="N20" s="13"/>
      <c r="O20" s="13"/>
      <c r="P20" s="14">
        <v>116.60674091613319</v>
      </c>
    </row>
    <row r="21" spans="1:16" ht="13.5" thickBot="1" x14ac:dyDescent="0.35">
      <c r="A21" s="15" t="s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109.24333493484464</v>
      </c>
    </row>
    <row r="22" spans="1:16" ht="13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6" ht="13" x14ac:dyDescent="0.3">
      <c r="A23" s="18" t="s">
        <v>19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activeCell="A3" sqref="A3"/>
    </sheetView>
  </sheetViews>
  <sheetFormatPr defaultRowHeight="12.5" x14ac:dyDescent="0.25"/>
  <sheetData>
    <row r="1" spans="1:16" ht="13" x14ac:dyDescent="0.3">
      <c r="A1" s="1" t="s">
        <v>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3.5" thickBo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3" x14ac:dyDescent="0.3">
      <c r="A3" s="3"/>
      <c r="B3" s="4">
        <v>1980</v>
      </c>
      <c r="C3" s="4">
        <v>1981</v>
      </c>
      <c r="D3" s="4">
        <v>1982</v>
      </c>
      <c r="E3" s="4">
        <v>1983</v>
      </c>
      <c r="F3" s="4">
        <v>1984</v>
      </c>
      <c r="G3" s="4">
        <v>1985</v>
      </c>
      <c r="H3" s="4">
        <v>1986</v>
      </c>
      <c r="I3" s="4">
        <v>1987</v>
      </c>
      <c r="J3" s="4">
        <v>1988</v>
      </c>
      <c r="K3" s="4">
        <v>1989</v>
      </c>
      <c r="L3" s="4">
        <v>1990</v>
      </c>
      <c r="M3" s="4">
        <v>1991</v>
      </c>
      <c r="N3" s="4">
        <v>1992</v>
      </c>
      <c r="O3" s="4">
        <v>1993</v>
      </c>
      <c r="P3" s="5">
        <v>1994</v>
      </c>
    </row>
    <row r="4" spans="1:16" ht="13" x14ac:dyDescent="0.3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ht="13" x14ac:dyDescent="0.3">
      <c r="A5" s="9" t="s">
        <v>2</v>
      </c>
      <c r="B5" s="10"/>
      <c r="C5" s="10">
        <v>76.5261</v>
      </c>
      <c r="D5" s="10">
        <v>78.501337279035582</v>
      </c>
      <c r="E5" s="10">
        <v>78.965351625924697</v>
      </c>
      <c r="F5" s="10">
        <v>78.739287147037899</v>
      </c>
      <c r="G5" s="10">
        <v>78.002141006039167</v>
      </c>
      <c r="H5" s="10">
        <v>77.870602503897146</v>
      </c>
      <c r="I5" s="10">
        <v>54.36195333115765</v>
      </c>
      <c r="J5" s="10">
        <v>98.18879616569366</v>
      </c>
      <c r="K5" s="10">
        <v>107.19346578729819</v>
      </c>
      <c r="L5" s="10">
        <v>115.93811074246135</v>
      </c>
      <c r="M5" s="10">
        <v>126.08346846897982</v>
      </c>
      <c r="N5" s="10"/>
      <c r="O5" s="10"/>
      <c r="P5" s="11"/>
    </row>
    <row r="6" spans="1:16" ht="13" x14ac:dyDescent="0.3">
      <c r="A6" s="9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>
        <v>13.8</v>
      </c>
      <c r="L6" s="10"/>
      <c r="M6" s="10"/>
      <c r="N6" s="10"/>
      <c r="O6" s="10"/>
      <c r="P6" s="11"/>
    </row>
    <row r="7" spans="1:16" ht="13" x14ac:dyDescent="0.3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>
        <v>3405</v>
      </c>
    </row>
    <row r="8" spans="1:16" ht="13" x14ac:dyDescent="0.3">
      <c r="A8" s="9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 ht="13" x14ac:dyDescent="0.3">
      <c r="A9" s="9" t="s">
        <v>6</v>
      </c>
      <c r="B9" s="10">
        <v>144.14715000000001</v>
      </c>
      <c r="C9" s="10">
        <v>148.80029999999999</v>
      </c>
      <c r="D9" s="10">
        <v>152.23924250000002</v>
      </c>
      <c r="E9" s="10">
        <v>155.3607725</v>
      </c>
      <c r="F9" s="10">
        <v>158.55114499999999</v>
      </c>
      <c r="G9" s="10">
        <v>161.95574999999999</v>
      </c>
      <c r="H9" s="10">
        <v>163.6416375</v>
      </c>
      <c r="I9" s="10">
        <v>166.71995250000001</v>
      </c>
      <c r="J9" s="10">
        <v>169.87615499999998</v>
      </c>
      <c r="K9" s="10">
        <v>171.77125000000001</v>
      </c>
      <c r="L9" s="10">
        <v>175.93195</v>
      </c>
      <c r="M9" s="10">
        <v>180.56366</v>
      </c>
      <c r="N9" s="10">
        <v>183.88485000000003</v>
      </c>
      <c r="O9" s="10">
        <v>191.9541625</v>
      </c>
      <c r="P9" s="11">
        <v>196.23110750000001</v>
      </c>
    </row>
    <row r="10" spans="1:16" ht="13" x14ac:dyDescent="0.3">
      <c r="A10" s="9" t="s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451.76859000000007</v>
      </c>
      <c r="N10" s="10"/>
      <c r="O10" s="10"/>
      <c r="P10" s="11">
        <v>508.32600000000002</v>
      </c>
    </row>
    <row r="11" spans="1:16" ht="13" x14ac:dyDescent="0.3">
      <c r="A11" s="12" t="s">
        <v>8</v>
      </c>
      <c r="B11" s="13">
        <v>129.40368000000001</v>
      </c>
      <c r="C11" s="13">
        <v>132.85104000000001</v>
      </c>
      <c r="D11" s="13">
        <v>135.19149000000002</v>
      </c>
      <c r="E11" s="13">
        <v>136.97523000000001</v>
      </c>
      <c r="F11" s="13">
        <v>146.75976000000003</v>
      </c>
      <c r="G11" s="13">
        <v>147.76503</v>
      </c>
      <c r="H11" s="13">
        <v>152.00892000000002</v>
      </c>
      <c r="I11" s="13">
        <v>156.40779000000003</v>
      </c>
      <c r="J11" s="13">
        <v>159.62961000000001</v>
      </c>
      <c r="K11" s="13">
        <v>161.17268999999999</v>
      </c>
      <c r="L11" s="13">
        <v>158.44499999999999</v>
      </c>
      <c r="M11" s="13"/>
      <c r="N11" s="13">
        <v>166.4932752</v>
      </c>
      <c r="O11" s="13"/>
      <c r="P11" s="14">
        <v>147.79170210000001</v>
      </c>
    </row>
    <row r="12" spans="1:16" ht="13" x14ac:dyDescent="0.3">
      <c r="A12" s="6" t="s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 ht="13" x14ac:dyDescent="0.3">
      <c r="A13" s="22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>
        <v>82.239000000000004</v>
      </c>
      <c r="P13" s="11">
        <v>82.239000000000004</v>
      </c>
    </row>
    <row r="14" spans="1:16" ht="13" x14ac:dyDescent="0.3">
      <c r="A14" s="9" t="s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v>879.22800000000007</v>
      </c>
      <c r="N14" s="10"/>
      <c r="O14" s="10">
        <v>879.48</v>
      </c>
      <c r="P14" s="11">
        <v>778</v>
      </c>
    </row>
    <row r="15" spans="1:16" ht="13" x14ac:dyDescent="0.3">
      <c r="A15" s="9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>
        <v>33.211793999999998</v>
      </c>
      <c r="M15" s="10"/>
      <c r="N15" s="10"/>
      <c r="O15" s="10"/>
      <c r="P15" s="11"/>
    </row>
    <row r="16" spans="1:16" ht="13" x14ac:dyDescent="0.3">
      <c r="A16" s="9" t="s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17.682000000000002</v>
      </c>
      <c r="P16" s="11">
        <v>83</v>
      </c>
    </row>
    <row r="17" spans="1:16" ht="13" x14ac:dyDescent="0.3">
      <c r="A17" s="9" t="s">
        <v>14</v>
      </c>
      <c r="B17" s="10"/>
      <c r="C17" s="10"/>
      <c r="D17" s="10"/>
      <c r="E17" s="10"/>
      <c r="F17" s="10"/>
      <c r="G17" s="10">
        <v>234.62880000000001</v>
      </c>
      <c r="H17" s="10">
        <v>244.00320000000002</v>
      </c>
      <c r="I17" s="10">
        <v>245.49</v>
      </c>
      <c r="J17" s="10">
        <v>256.83</v>
      </c>
      <c r="K17" s="10">
        <v>252.46200000000002</v>
      </c>
      <c r="L17" s="10">
        <v>269.38800000000003</v>
      </c>
      <c r="M17" s="10">
        <v>277.0068</v>
      </c>
      <c r="N17" s="10">
        <v>269.37540000000001</v>
      </c>
      <c r="O17" s="10"/>
      <c r="P17" s="11"/>
    </row>
    <row r="18" spans="1:16" ht="13" x14ac:dyDescent="0.3">
      <c r="A18" s="9" t="s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v>320</v>
      </c>
      <c r="L18" s="10"/>
      <c r="M18" s="10"/>
      <c r="N18" s="10"/>
      <c r="O18" s="10">
        <v>292.19400000000002</v>
      </c>
      <c r="P18" s="11">
        <v>291</v>
      </c>
    </row>
    <row r="19" spans="1:16" ht="13" x14ac:dyDescent="0.3">
      <c r="A19" s="9" t="s">
        <v>16</v>
      </c>
      <c r="B19" s="10">
        <v>204.41400000000002</v>
      </c>
      <c r="C19" s="10">
        <v>204.37200000000001</v>
      </c>
      <c r="D19" s="10">
        <v>205.92600000000002</v>
      </c>
      <c r="E19" s="10">
        <v>206.76600000000002</v>
      </c>
      <c r="F19" s="10">
        <v>209.91600000000003</v>
      </c>
      <c r="G19" s="10">
        <v>222.77493504</v>
      </c>
      <c r="H19" s="10">
        <v>212.69545416000003</v>
      </c>
      <c r="I19" s="10">
        <v>207.39600000000002</v>
      </c>
      <c r="J19" s="10">
        <v>205.41926160000006</v>
      </c>
      <c r="K19" s="10">
        <v>201.8659356</v>
      </c>
      <c r="L19" s="10">
        <v>197.04041784</v>
      </c>
      <c r="M19" s="10">
        <v>195.31373904</v>
      </c>
      <c r="N19" s="10">
        <v>304.90772760000004</v>
      </c>
      <c r="O19" s="10">
        <v>331.34390856000005</v>
      </c>
      <c r="P19" s="11">
        <v>351.09430775999999</v>
      </c>
    </row>
    <row r="20" spans="1:16" ht="13" x14ac:dyDescent="0.3">
      <c r="A20" s="12" t="s">
        <v>17</v>
      </c>
      <c r="B20" s="13"/>
      <c r="C20" s="13"/>
      <c r="D20" s="13"/>
      <c r="E20" s="13"/>
      <c r="F20" s="13"/>
      <c r="G20" s="13">
        <v>87.906000000000006</v>
      </c>
      <c r="H20" s="13">
        <v>89.712000000000003</v>
      </c>
      <c r="I20" s="13">
        <v>96.18</v>
      </c>
      <c r="J20" s="13">
        <v>91.518000000000001</v>
      </c>
      <c r="K20" s="13">
        <v>95.592000000000013</v>
      </c>
      <c r="L20" s="13">
        <v>424.95600000000002</v>
      </c>
      <c r="M20" s="13"/>
      <c r="N20" s="13"/>
      <c r="O20" s="13"/>
      <c r="P20" s="14">
        <v>385.8</v>
      </c>
    </row>
    <row r="21" spans="1:16" ht="13.5" thickBot="1" x14ac:dyDescent="0.35">
      <c r="A21" s="15" t="s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3233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/>
  </sheetViews>
  <sheetFormatPr defaultRowHeight="12.5" x14ac:dyDescent="0.25"/>
  <sheetData>
    <row r="1" spans="1:16" ht="13" x14ac:dyDescent="0.3">
      <c r="A1" s="1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3.5" thickBo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3" x14ac:dyDescent="0.3">
      <c r="A3" s="3"/>
      <c r="B3" s="4">
        <v>1980</v>
      </c>
      <c r="C3" s="4">
        <v>1981</v>
      </c>
      <c r="D3" s="4">
        <v>1982</v>
      </c>
      <c r="E3" s="4">
        <v>1983</v>
      </c>
      <c r="F3" s="4">
        <v>1984</v>
      </c>
      <c r="G3" s="4">
        <v>1985</v>
      </c>
      <c r="H3" s="4">
        <v>1986</v>
      </c>
      <c r="I3" s="4">
        <v>1987</v>
      </c>
      <c r="J3" s="4">
        <v>1988</v>
      </c>
      <c r="K3" s="4">
        <v>1989</v>
      </c>
      <c r="L3" s="4">
        <v>1990</v>
      </c>
      <c r="M3" s="4">
        <v>1991</v>
      </c>
      <c r="N3" s="4">
        <v>1992</v>
      </c>
      <c r="O3" s="4">
        <v>1993</v>
      </c>
      <c r="P3" s="5">
        <v>1994</v>
      </c>
    </row>
    <row r="4" spans="1:16" ht="13" x14ac:dyDescent="0.3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ht="13" x14ac:dyDescent="0.3">
      <c r="A5" s="9" t="s">
        <v>2</v>
      </c>
      <c r="B5" s="10"/>
      <c r="C5" s="10">
        <v>57.860029695448432</v>
      </c>
      <c r="D5" s="10">
        <v>58.313918299026099</v>
      </c>
      <c r="E5" s="10">
        <v>57.794059042912572</v>
      </c>
      <c r="F5" s="10">
        <v>57.363242927311653</v>
      </c>
      <c r="G5" s="10">
        <v>56.720139464737137</v>
      </c>
      <c r="H5" s="10">
        <v>56.15756961877706</v>
      </c>
      <c r="I5" s="10">
        <v>52.187128683527682</v>
      </c>
      <c r="J5" s="10">
        <v>53.930039790799356</v>
      </c>
      <c r="K5" s="10">
        <v>54.415897968645524</v>
      </c>
      <c r="L5" s="10">
        <v>57.505187674840982</v>
      </c>
      <c r="M5" s="10">
        <v>55.626749617402197</v>
      </c>
      <c r="N5" s="10"/>
      <c r="O5" s="10"/>
      <c r="P5" s="11"/>
    </row>
    <row r="6" spans="1:16" ht="13" x14ac:dyDescent="0.3">
      <c r="A6" s="9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>
        <v>87.730061349693258</v>
      </c>
      <c r="L6" s="10"/>
      <c r="M6" s="10"/>
      <c r="N6" s="10"/>
      <c r="O6" s="10"/>
      <c r="P6" s="11"/>
    </row>
    <row r="7" spans="1:16" ht="13" x14ac:dyDescent="0.3">
      <c r="A7" s="9" t="s">
        <v>4</v>
      </c>
      <c r="B7" s="10"/>
      <c r="C7" s="10"/>
      <c r="D7" s="10"/>
      <c r="E7" s="10">
        <v>65.900005453180242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1">
        <v>44.125976143482362</v>
      </c>
    </row>
    <row r="8" spans="1:16" ht="13" x14ac:dyDescent="0.3">
      <c r="A8" s="9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 ht="13" x14ac:dyDescent="0.3">
      <c r="A9" s="9" t="s">
        <v>6</v>
      </c>
      <c r="B9" s="10">
        <v>96.108384458077708</v>
      </c>
      <c r="C9" s="10">
        <v>96.51749375936096</v>
      </c>
      <c r="D9" s="10">
        <v>95.981678415167735</v>
      </c>
      <c r="E9" s="10">
        <v>94.879411834040539</v>
      </c>
      <c r="F9" s="10">
        <v>94.74030481468651</v>
      </c>
      <c r="G9" s="10">
        <v>96.07076480905026</v>
      </c>
      <c r="H9" s="10">
        <v>94.705834719343969</v>
      </c>
      <c r="I9" s="10">
        <v>94.913391216104387</v>
      </c>
      <c r="J9" s="10">
        <v>94.777263487962998</v>
      </c>
      <c r="K9" s="10">
        <v>94.771871987581008</v>
      </c>
      <c r="L9" s="10">
        <v>94.063562593174595</v>
      </c>
      <c r="M9" s="10">
        <v>91.968473544082997</v>
      </c>
      <c r="N9" s="10">
        <v>90.868853182732607</v>
      </c>
      <c r="O9" s="10">
        <v>92.801629707172722</v>
      </c>
      <c r="P9" s="11">
        <v>91.486586322207586</v>
      </c>
    </row>
    <row r="10" spans="1:16" ht="13" x14ac:dyDescent="0.3">
      <c r="A10" s="9" t="s">
        <v>7</v>
      </c>
      <c r="B10" s="10">
        <v>48.110979929161743</v>
      </c>
      <c r="C10" s="10"/>
      <c r="D10" s="10"/>
      <c r="E10" s="10"/>
      <c r="F10" s="10"/>
      <c r="G10" s="10">
        <v>42.037366548042705</v>
      </c>
      <c r="H10" s="10"/>
      <c r="I10" s="10"/>
      <c r="J10" s="10"/>
      <c r="K10" s="10">
        <v>37.516458470330925</v>
      </c>
      <c r="L10" s="10">
        <v>39.24747127754744</v>
      </c>
      <c r="M10" s="10">
        <v>48.780828285360563</v>
      </c>
      <c r="N10" s="10"/>
      <c r="O10" s="10"/>
      <c r="P10" s="11">
        <v>47.221060509343843</v>
      </c>
    </row>
    <row r="11" spans="1:16" ht="13" x14ac:dyDescent="0.3">
      <c r="A11" s="12" t="s">
        <v>8</v>
      </c>
      <c r="B11" s="13">
        <v>70.079381326054815</v>
      </c>
      <c r="C11" s="13">
        <v>68.449503364999671</v>
      </c>
      <c r="D11" s="13">
        <v>68.210208263633334</v>
      </c>
      <c r="E11" s="13">
        <v>68.036477364216267</v>
      </c>
      <c r="F11" s="13">
        <v>68.656878949927062</v>
      </c>
      <c r="G11" s="13">
        <v>69.371598556520027</v>
      </c>
      <c r="H11" s="13">
        <v>69.853137008712864</v>
      </c>
      <c r="I11" s="13">
        <v>70.267059830331917</v>
      </c>
      <c r="J11" s="13">
        <v>69.718377045344099</v>
      </c>
      <c r="K11" s="13">
        <v>69.835461471523203</v>
      </c>
      <c r="L11" s="13">
        <v>68.287529370811939</v>
      </c>
      <c r="M11" s="13"/>
      <c r="N11" s="13">
        <v>71.67287150735747</v>
      </c>
      <c r="O11" s="13"/>
      <c r="P11" s="14">
        <v>67.344410521154259</v>
      </c>
    </row>
    <row r="12" spans="1:16" ht="13" x14ac:dyDescent="0.3">
      <c r="A12" s="6" t="s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 ht="13" x14ac:dyDescent="0.3">
      <c r="A13" s="22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>
        <v>86.201481968020701</v>
      </c>
      <c r="P13" s="11">
        <v>86.201481968020701</v>
      </c>
    </row>
    <row r="14" spans="1:16" ht="13" x14ac:dyDescent="0.3">
      <c r="A14" s="9" t="s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v>39.815704166166398</v>
      </c>
      <c r="N14" s="10"/>
      <c r="O14" s="10">
        <v>35.382276860716289</v>
      </c>
      <c r="P14" s="11">
        <v>24.670892247684058</v>
      </c>
    </row>
    <row r="15" spans="1:16" ht="13" x14ac:dyDescent="0.3">
      <c r="A15" s="9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>
        <v>85.302896766878916</v>
      </c>
      <c r="M15" s="10"/>
      <c r="N15" s="10"/>
      <c r="O15" s="10"/>
      <c r="P15" s="11"/>
    </row>
    <row r="16" spans="1:16" ht="13" x14ac:dyDescent="0.3">
      <c r="A16" s="9" t="s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6.5417674610118892</v>
      </c>
      <c r="P16" s="11">
        <v>13.36353340883352</v>
      </c>
    </row>
    <row r="17" spans="1:16" ht="13" x14ac:dyDescent="0.3">
      <c r="A17" s="9" t="s">
        <v>14</v>
      </c>
      <c r="B17" s="10"/>
      <c r="C17" s="10"/>
      <c r="D17" s="10"/>
      <c r="E17" s="10"/>
      <c r="F17" s="10"/>
      <c r="G17" s="10">
        <v>80.76683967788108</v>
      </c>
      <c r="H17" s="10">
        <v>82.409180532504934</v>
      </c>
      <c r="I17" s="10">
        <v>83.859397417503587</v>
      </c>
      <c r="J17" s="10">
        <v>86.786829406755615</v>
      </c>
      <c r="K17" s="10">
        <v>84.459744274272865</v>
      </c>
      <c r="L17" s="10">
        <v>86.395474137931046</v>
      </c>
      <c r="M17" s="10">
        <v>87.04155833872224</v>
      </c>
      <c r="N17" s="10">
        <v>85.805450385968669</v>
      </c>
      <c r="O17" s="10"/>
      <c r="P17" s="11"/>
    </row>
    <row r="18" spans="1:16" ht="13" x14ac:dyDescent="0.3">
      <c r="A18" s="9" t="s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v>46.957671957671963</v>
      </c>
      <c r="L18" s="10"/>
      <c r="M18" s="10"/>
      <c r="N18" s="10"/>
      <c r="O18" s="10">
        <v>46.081941129673822</v>
      </c>
      <c r="P18" s="11">
        <v>38.01820020222447</v>
      </c>
    </row>
    <row r="19" spans="1:16" ht="13" x14ac:dyDescent="0.3">
      <c r="A19" s="9" t="s">
        <v>16</v>
      </c>
      <c r="B19" s="10">
        <v>39.413206172594215</v>
      </c>
      <c r="C19" s="10">
        <v>40.949135103851845</v>
      </c>
      <c r="D19" s="10">
        <v>42.229209049996925</v>
      </c>
      <c r="E19" s="10">
        <v>39.089039083161921</v>
      </c>
      <c r="F19" s="10">
        <v>37.5</v>
      </c>
      <c r="G19" s="10">
        <v>38.674924375995751</v>
      </c>
      <c r="H19" s="10">
        <v>36.537232702799166</v>
      </c>
      <c r="I19" s="10">
        <v>33.019764348156592</v>
      </c>
      <c r="J19" s="10">
        <v>30.11460221572818</v>
      </c>
      <c r="K19" s="10">
        <v>28.303954285714283</v>
      </c>
      <c r="L19" s="10">
        <v>24.747571134797958</v>
      </c>
      <c r="M19" s="10">
        <v>23.574902224236734</v>
      </c>
      <c r="N19" s="10">
        <v>27.200777631135569</v>
      </c>
      <c r="O19" s="10">
        <v>26.057575097081305</v>
      </c>
      <c r="P19" s="11">
        <v>25.886720987932783</v>
      </c>
    </row>
    <row r="20" spans="1:16" ht="13" x14ac:dyDescent="0.3">
      <c r="A20" s="12" t="s">
        <v>17</v>
      </c>
      <c r="B20" s="13"/>
      <c r="C20" s="13"/>
      <c r="D20" s="13"/>
      <c r="E20" s="13"/>
      <c r="F20" s="13"/>
      <c r="G20" s="13">
        <v>76.246458923512733</v>
      </c>
      <c r="H20" s="13">
        <v>75.054244643341477</v>
      </c>
      <c r="I20" s="13">
        <v>73.808606294155439</v>
      </c>
      <c r="J20" s="13">
        <v>74.352595994387045</v>
      </c>
      <c r="K20" s="13">
        <v>75.356785177766653</v>
      </c>
      <c r="L20" s="13">
        <v>72.826661964380179</v>
      </c>
      <c r="M20" s="13"/>
      <c r="N20" s="13"/>
      <c r="O20" s="13"/>
      <c r="P20" s="14">
        <v>74.882139697184542</v>
      </c>
    </row>
    <row r="21" spans="1:16" ht="13.5" thickBot="1" x14ac:dyDescent="0.35">
      <c r="A21" s="15" t="s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23.340587595212188</v>
      </c>
    </row>
    <row r="22" spans="1:16" ht="13" x14ac:dyDescent="0.3">
      <c r="A22" s="1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/>
  </sheetViews>
  <sheetFormatPr defaultRowHeight="12.5" x14ac:dyDescent="0.25"/>
  <sheetData>
    <row r="1" spans="1:16" ht="13" x14ac:dyDescent="0.3">
      <c r="A1" s="1" t="s">
        <v>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3.5" thickBo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3" x14ac:dyDescent="0.3">
      <c r="A3" s="3"/>
      <c r="B3" s="4">
        <v>1980</v>
      </c>
      <c r="C3" s="4">
        <v>1981</v>
      </c>
      <c r="D3" s="4">
        <v>1982</v>
      </c>
      <c r="E3" s="4">
        <v>1983</v>
      </c>
      <c r="F3" s="4">
        <v>1984</v>
      </c>
      <c r="G3" s="4">
        <v>1985</v>
      </c>
      <c r="H3" s="4">
        <v>1986</v>
      </c>
      <c r="I3" s="4">
        <v>1987</v>
      </c>
      <c r="J3" s="4">
        <v>1988</v>
      </c>
      <c r="K3" s="4">
        <v>1989</v>
      </c>
      <c r="L3" s="4">
        <v>1990</v>
      </c>
      <c r="M3" s="4">
        <v>1991</v>
      </c>
      <c r="N3" s="4">
        <v>1992</v>
      </c>
      <c r="O3" s="4">
        <v>1993</v>
      </c>
      <c r="P3" s="5">
        <v>1994</v>
      </c>
    </row>
    <row r="4" spans="1:16" ht="13" x14ac:dyDescent="0.3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ht="13" x14ac:dyDescent="0.3">
      <c r="A5" s="9" t="s">
        <v>2</v>
      </c>
      <c r="B5" s="10"/>
      <c r="C5" s="10">
        <v>15.812123799804217</v>
      </c>
      <c r="D5" s="10">
        <v>15.774816819425908</v>
      </c>
      <c r="E5" s="10">
        <v>15.592870744183848</v>
      </c>
      <c r="F5" s="10">
        <v>15.519140139168716</v>
      </c>
      <c r="G5" s="10">
        <v>14.910294545862818</v>
      </c>
      <c r="H5" s="10">
        <v>14.783346754622945</v>
      </c>
      <c r="I5" s="10">
        <v>11.153802764442647</v>
      </c>
      <c r="J5" s="10">
        <v>19.200417399197487</v>
      </c>
      <c r="K5" s="10">
        <v>18.583622316379458</v>
      </c>
      <c r="L5" s="10">
        <v>19.628645792836171</v>
      </c>
      <c r="M5" s="10">
        <v>21.518054791087465</v>
      </c>
      <c r="N5" s="10"/>
      <c r="O5" s="10"/>
      <c r="P5" s="11"/>
    </row>
    <row r="6" spans="1:16" ht="13" x14ac:dyDescent="0.3">
      <c r="A6" s="9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>
        <v>96.503496503496507</v>
      </c>
      <c r="L6" s="10"/>
      <c r="M6" s="10"/>
      <c r="N6" s="10"/>
      <c r="O6" s="10"/>
      <c r="P6" s="11"/>
    </row>
    <row r="7" spans="1:16" ht="13" x14ac:dyDescent="0.3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>
        <v>66.219369894982492</v>
      </c>
    </row>
    <row r="8" spans="1:16" ht="13" x14ac:dyDescent="0.3">
      <c r="A8" s="9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 ht="13" x14ac:dyDescent="0.3">
      <c r="A9" s="9" t="s">
        <v>6</v>
      </c>
      <c r="B9" s="10">
        <v>76.678910355980179</v>
      </c>
      <c r="C9" s="10">
        <v>76.969173184118262</v>
      </c>
      <c r="D9" s="10">
        <v>77.108806758197105</v>
      </c>
      <c r="E9" s="10">
        <v>77.202029927240957</v>
      </c>
      <c r="F9" s="10">
        <v>77.290578473269349</v>
      </c>
      <c r="G9" s="10">
        <v>77.398988348221806</v>
      </c>
      <c r="H9" s="10">
        <v>76.841049150946759</v>
      </c>
      <c r="I9" s="10">
        <v>76.504048886853724</v>
      </c>
      <c r="J9" s="10">
        <v>76.155152569600745</v>
      </c>
      <c r="K9" s="10">
        <v>75.635275327659485</v>
      </c>
      <c r="L9" s="10">
        <v>75.359674508069503</v>
      </c>
      <c r="M9" s="10">
        <v>75.103332120889988</v>
      </c>
      <c r="N9" s="10">
        <v>74.696086910896099</v>
      </c>
      <c r="O9" s="10">
        <v>74.965502606014027</v>
      </c>
      <c r="P9" s="11">
        <v>74.811669822944168</v>
      </c>
    </row>
    <row r="10" spans="1:16" ht="13" x14ac:dyDescent="0.3">
      <c r="A10" s="9" t="s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62.590025136338959</v>
      </c>
      <c r="N10" s="10"/>
      <c r="O10" s="10"/>
      <c r="P10" s="11">
        <v>56.416352025357753</v>
      </c>
    </row>
    <row r="11" spans="1:16" ht="13" x14ac:dyDescent="0.3">
      <c r="A11" s="12" t="s">
        <v>8</v>
      </c>
      <c r="B11" s="13">
        <v>100</v>
      </c>
      <c r="C11" s="13">
        <v>100</v>
      </c>
      <c r="D11" s="13">
        <v>98.674467403516459</v>
      </c>
      <c r="E11" s="13">
        <v>98.955019411333666</v>
      </c>
      <c r="F11" s="13">
        <v>98.969037125992756</v>
      </c>
      <c r="G11" s="13">
        <v>98.928109978390694</v>
      </c>
      <c r="H11" s="13">
        <v>98.566409760614391</v>
      </c>
      <c r="I11" s="13">
        <v>98.596768065618306</v>
      </c>
      <c r="J11" s="13">
        <v>98.131712222748632</v>
      </c>
      <c r="K11" s="13">
        <v>97.586185412595199</v>
      </c>
      <c r="L11" s="13">
        <v>96.152375709195454</v>
      </c>
      <c r="M11" s="13"/>
      <c r="N11" s="13">
        <v>97.328701511267468</v>
      </c>
      <c r="O11" s="13"/>
      <c r="P11" s="14">
        <v>96.684251045599282</v>
      </c>
    </row>
    <row r="12" spans="1:16" ht="13" x14ac:dyDescent="0.3">
      <c r="A12" s="6" t="s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 ht="13" x14ac:dyDescent="0.3">
      <c r="A13" s="22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>
        <v>97.911730739466378</v>
      </c>
      <c r="P13" s="11">
        <v>97.911730739466378</v>
      </c>
    </row>
    <row r="14" spans="1:16" ht="13" x14ac:dyDescent="0.3">
      <c r="A14" s="9" t="s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v>78.906897851488893</v>
      </c>
      <c r="N14" s="10"/>
      <c r="O14" s="10">
        <v>78.911667169128719</v>
      </c>
      <c r="P14" s="11">
        <v>76.877470355731219</v>
      </c>
    </row>
    <row r="15" spans="1:16" ht="13" x14ac:dyDescent="0.3">
      <c r="A15" s="9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>
        <v>100</v>
      </c>
      <c r="M15" s="10"/>
      <c r="N15" s="10"/>
      <c r="O15" s="10"/>
      <c r="P15" s="11"/>
    </row>
    <row r="16" spans="1:16" ht="13" x14ac:dyDescent="0.3">
      <c r="A16" s="9" t="s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33.123524783634934</v>
      </c>
      <c r="P16" s="11">
        <v>70.338983050847474</v>
      </c>
    </row>
    <row r="17" spans="1:16" ht="13" x14ac:dyDescent="0.3">
      <c r="A17" s="9" t="s">
        <v>14</v>
      </c>
      <c r="B17" s="10"/>
      <c r="C17" s="10"/>
      <c r="D17" s="10"/>
      <c r="E17" s="10"/>
      <c r="F17" s="10"/>
      <c r="G17" s="10">
        <v>100</v>
      </c>
      <c r="H17" s="10">
        <v>100</v>
      </c>
      <c r="I17" s="10">
        <v>100</v>
      </c>
      <c r="J17" s="10">
        <v>100</v>
      </c>
      <c r="K17" s="10">
        <v>100</v>
      </c>
      <c r="L17" s="10">
        <v>100</v>
      </c>
      <c r="M17" s="10">
        <v>100</v>
      </c>
      <c r="N17" s="10">
        <v>100</v>
      </c>
      <c r="O17" s="10"/>
      <c r="P17" s="11"/>
    </row>
    <row r="18" spans="1:16" ht="13" x14ac:dyDescent="0.3">
      <c r="A18" s="9" t="s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v>90.140845070422543</v>
      </c>
      <c r="L18" s="10"/>
      <c r="M18" s="10"/>
      <c r="N18" s="10"/>
      <c r="O18" s="10">
        <v>75.064738886491156</v>
      </c>
      <c r="P18" s="11">
        <v>77.393617021276597</v>
      </c>
    </row>
    <row r="19" spans="1:16" ht="13" x14ac:dyDescent="0.3">
      <c r="A19" s="9" t="s">
        <v>16</v>
      </c>
      <c r="B19" s="10">
        <v>81.784574021172915</v>
      </c>
      <c r="C19" s="10">
        <v>76.413316582914575</v>
      </c>
      <c r="D19" s="10">
        <v>71.576642335766422</v>
      </c>
      <c r="E19" s="10">
        <v>74.018944519621115</v>
      </c>
      <c r="F19" s="10">
        <v>72.942206654991253</v>
      </c>
      <c r="G19" s="10">
        <v>72.834516591448647</v>
      </c>
      <c r="H19" s="10">
        <v>70.669047551450419</v>
      </c>
      <c r="I19" s="10">
        <v>71.050359712230218</v>
      </c>
      <c r="J19" s="10">
        <v>70.838199058673652</v>
      </c>
      <c r="K19" s="10">
        <v>63.421594263524071</v>
      </c>
      <c r="L19" s="10">
        <v>64.972983965098635</v>
      </c>
      <c r="M19" s="10">
        <v>63.86425869204033</v>
      </c>
      <c r="N19" s="10">
        <v>74.944791570883893</v>
      </c>
      <c r="O19" s="10">
        <v>75.850695764611714</v>
      </c>
      <c r="P19" s="11">
        <v>72.836780717647713</v>
      </c>
    </row>
    <row r="20" spans="1:16" ht="13" x14ac:dyDescent="0.3">
      <c r="A20" s="12" t="s">
        <v>17</v>
      </c>
      <c r="B20" s="13"/>
      <c r="C20" s="13"/>
      <c r="D20" s="13"/>
      <c r="E20" s="13"/>
      <c r="F20" s="13"/>
      <c r="G20" s="13">
        <v>19.440832249674902</v>
      </c>
      <c r="H20" s="13">
        <v>19.297136145993317</v>
      </c>
      <c r="I20" s="13">
        <v>19.926905673512007</v>
      </c>
      <c r="J20" s="13">
        <v>18.692631037145059</v>
      </c>
      <c r="K20" s="13">
        <v>18.905224686435751</v>
      </c>
      <c r="L20" s="13">
        <v>81.662631154156585</v>
      </c>
      <c r="M20" s="13"/>
      <c r="N20" s="13"/>
      <c r="O20" s="13"/>
      <c r="P20" s="14">
        <v>49.228020926374896</v>
      </c>
    </row>
    <row r="21" spans="1:16" ht="13.5" thickBot="1" x14ac:dyDescent="0.35">
      <c r="A21" s="15" t="s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44.330179624297273</v>
      </c>
    </row>
    <row r="22" spans="1:16" ht="13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2.5" x14ac:dyDescent="0.25"/>
  <sheetData>
    <row r="1" spans="1:16" ht="13" x14ac:dyDescent="0.3">
      <c r="A1" s="1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3.5" thickBo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3" x14ac:dyDescent="0.3">
      <c r="A3" s="3"/>
      <c r="B3" s="4">
        <v>1980</v>
      </c>
      <c r="C3" s="4">
        <v>1981</v>
      </c>
      <c r="D3" s="4">
        <v>1982</v>
      </c>
      <c r="E3" s="4">
        <v>1983</v>
      </c>
      <c r="F3" s="4">
        <v>1984</v>
      </c>
      <c r="G3" s="4">
        <v>1985</v>
      </c>
      <c r="H3" s="4">
        <v>1986</v>
      </c>
      <c r="I3" s="4">
        <v>1987</v>
      </c>
      <c r="J3" s="4">
        <v>1988</v>
      </c>
      <c r="K3" s="4">
        <v>1989</v>
      </c>
      <c r="L3" s="4">
        <v>1990</v>
      </c>
      <c r="M3" s="4">
        <v>1991</v>
      </c>
      <c r="N3" s="4">
        <v>1992</v>
      </c>
      <c r="O3" s="4">
        <v>1993</v>
      </c>
      <c r="P3" s="5">
        <v>1994</v>
      </c>
    </row>
    <row r="4" spans="1:16" ht="13" x14ac:dyDescent="0.3">
      <c r="A4" s="6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ht="13" x14ac:dyDescent="0.3">
      <c r="A5" s="9" t="s">
        <v>2</v>
      </c>
      <c r="B5" s="10"/>
      <c r="C5" s="10">
        <v>9.1488995260477886</v>
      </c>
      <c r="D5" s="10">
        <v>9.1989137919010506</v>
      </c>
      <c r="E5" s="10">
        <v>9.0117529243786549</v>
      </c>
      <c r="F5" s="10">
        <v>8.9022820582612816</v>
      </c>
      <c r="G5" s="10">
        <v>8.4571398610164863</v>
      </c>
      <c r="H5" s="10">
        <v>8.3019682457125992</v>
      </c>
      <c r="I5" s="10">
        <v>5.8208494017865515</v>
      </c>
      <c r="J5" s="10">
        <v>10.354792743386767</v>
      </c>
      <c r="K5" s="10">
        <v>10.112444958559486</v>
      </c>
      <c r="L5" s="10">
        <v>11.287489601200219</v>
      </c>
      <c r="M5" s="10">
        <v>11.96979446117364</v>
      </c>
      <c r="N5" s="10"/>
      <c r="O5" s="10"/>
      <c r="P5" s="11"/>
    </row>
    <row r="6" spans="1:16" ht="13" x14ac:dyDescent="0.3">
      <c r="A6" s="9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>
        <v>84.662576687116569</v>
      </c>
      <c r="L6" s="10"/>
      <c r="M6" s="10"/>
      <c r="N6" s="10"/>
      <c r="O6" s="10"/>
      <c r="P6" s="11"/>
    </row>
    <row r="7" spans="1:16" ht="13" x14ac:dyDescent="0.3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>
        <v>29.219943362224321</v>
      </c>
    </row>
    <row r="8" spans="1:16" ht="13" x14ac:dyDescent="0.3">
      <c r="A8" s="9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 ht="13" x14ac:dyDescent="0.3">
      <c r="A9" s="9" t="s">
        <v>6</v>
      </c>
      <c r="B9" s="10">
        <v>73.694861963190192</v>
      </c>
      <c r="C9" s="10">
        <v>74.28871692461307</v>
      </c>
      <c r="D9" s="10">
        <v>74.010326932425869</v>
      </c>
      <c r="E9" s="10">
        <v>73.248831918906177</v>
      </c>
      <c r="F9" s="10">
        <v>73.225329638609864</v>
      </c>
      <c r="G9" s="10">
        <v>74.35780006060439</v>
      </c>
      <c r="H9" s="10">
        <v>72.772957005505504</v>
      </c>
      <c r="I9" s="10">
        <v>72.612587216139232</v>
      </c>
      <c r="J9" s="10">
        <v>72.177769610550726</v>
      </c>
      <c r="K9" s="10">
        <v>71.680966310983891</v>
      </c>
      <c r="L9" s="10">
        <v>70.885994600910593</v>
      </c>
      <c r="M9" s="10">
        <v>69.071388132325481</v>
      </c>
      <c r="N9" s="10">
        <v>67.87547754830851</v>
      </c>
      <c r="O9" s="10">
        <v>69.569208136554067</v>
      </c>
      <c r="P9" s="11">
        <v>68.442642891652753</v>
      </c>
    </row>
    <row r="10" spans="1:16" ht="13" x14ac:dyDescent="0.3">
      <c r="A10" s="9" t="s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30.531932685521525</v>
      </c>
      <c r="N10" s="10"/>
      <c r="O10" s="10"/>
      <c r="P10" s="11">
        <v>26.640399727058618</v>
      </c>
    </row>
    <row r="11" spans="1:16" ht="13" x14ac:dyDescent="0.3">
      <c r="A11" s="12" t="s">
        <v>8</v>
      </c>
      <c r="B11" s="13">
        <v>70.079381326054815</v>
      </c>
      <c r="C11" s="13">
        <v>68.449503364999671</v>
      </c>
      <c r="D11" s="13">
        <v>67.306059718969564</v>
      </c>
      <c r="E11" s="13">
        <v>67.325509382547835</v>
      </c>
      <c r="F11" s="13">
        <v>67.949052017501216</v>
      </c>
      <c r="G11" s="13">
        <v>68.628011313761817</v>
      </c>
      <c r="H11" s="13">
        <v>68.851729254651289</v>
      </c>
      <c r="I11" s="13">
        <v>69.281050007441607</v>
      </c>
      <c r="J11" s="13">
        <v>68.415837128507903</v>
      </c>
      <c r="K11" s="13">
        <v>68.149762915342123</v>
      </c>
      <c r="L11" s="13">
        <v>65.660081803150291</v>
      </c>
      <c r="M11" s="13"/>
      <c r="N11" s="13">
        <v>69.758275173950224</v>
      </c>
      <c r="O11" s="13"/>
      <c r="P11" s="14">
        <v>65.111438933451751</v>
      </c>
    </row>
    <row r="12" spans="1:16" ht="13" x14ac:dyDescent="0.3">
      <c r="A12" s="6" t="s">
        <v>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 ht="13" x14ac:dyDescent="0.3">
      <c r="A13" s="22" t="s">
        <v>10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>
        <v>84.401362917958096</v>
      </c>
      <c r="P13" s="11">
        <v>84.401362917958096</v>
      </c>
    </row>
    <row r="14" spans="1:16" ht="13" x14ac:dyDescent="0.3">
      <c r="A14" s="9" t="s">
        <v>11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>
        <v>31.417337015247927</v>
      </c>
      <c r="N14" s="10"/>
      <c r="O14" s="10">
        <v>27.920744553188083</v>
      </c>
      <c r="P14" s="11">
        <v>18.966357874207702</v>
      </c>
    </row>
    <row r="15" spans="1:16" ht="13" x14ac:dyDescent="0.3">
      <c r="A15" s="9" t="s">
        <v>12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>
        <v>85.302896766878916</v>
      </c>
      <c r="M15" s="10"/>
      <c r="N15" s="10"/>
      <c r="O15" s="10"/>
      <c r="P15" s="11"/>
    </row>
    <row r="16" spans="1:16" ht="13" x14ac:dyDescent="0.3">
      <c r="A16" s="9" t="s">
        <v>13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>
        <v>2.1668639662360394</v>
      </c>
      <c r="P16" s="11">
        <v>9.3997734994337492</v>
      </c>
    </row>
    <row r="17" spans="1:16" ht="13" x14ac:dyDescent="0.3">
      <c r="A17" s="9" t="s">
        <v>14</v>
      </c>
      <c r="B17" s="10"/>
      <c r="C17" s="10"/>
      <c r="D17" s="10"/>
      <c r="E17" s="10"/>
      <c r="F17" s="10"/>
      <c r="G17" s="10">
        <v>80.76683967788108</v>
      </c>
      <c r="H17" s="10">
        <v>82.409180532504934</v>
      </c>
      <c r="I17" s="10">
        <v>83.859397417503587</v>
      </c>
      <c r="J17" s="10">
        <v>86.786829406755615</v>
      </c>
      <c r="K17" s="10">
        <v>84.459744274272865</v>
      </c>
      <c r="L17" s="10">
        <v>86.395474137931046</v>
      </c>
      <c r="M17" s="10">
        <v>87.04155833872224</v>
      </c>
      <c r="N17" s="10">
        <v>85.805450385968669</v>
      </c>
      <c r="O17" s="10"/>
      <c r="P17" s="11"/>
    </row>
    <row r="18" spans="1:16" ht="13" x14ac:dyDescent="0.3">
      <c r="A18" s="9" t="s">
        <v>15</v>
      </c>
      <c r="B18" s="10"/>
      <c r="C18" s="10"/>
      <c r="D18" s="10"/>
      <c r="E18" s="10"/>
      <c r="F18" s="10"/>
      <c r="G18" s="10"/>
      <c r="H18" s="10"/>
      <c r="I18" s="10"/>
      <c r="J18" s="10"/>
      <c r="K18" s="10">
        <v>42.328042328042329</v>
      </c>
      <c r="L18" s="10"/>
      <c r="M18" s="10"/>
      <c r="N18" s="10"/>
      <c r="O18" s="10">
        <v>34.591288782816228</v>
      </c>
      <c r="P18" s="11">
        <v>29.423660262891811</v>
      </c>
    </row>
    <row r="19" spans="1:16" ht="13" x14ac:dyDescent="0.3">
      <c r="A19" s="9" t="s">
        <v>16</v>
      </c>
      <c r="B19" s="10">
        <v>32.233922776342808</v>
      </c>
      <c r="C19" s="10">
        <v>31.290592244871711</v>
      </c>
      <c r="D19" s="10">
        <v>30.226249922939402</v>
      </c>
      <c r="E19" s="10">
        <v>28.933294152218636</v>
      </c>
      <c r="F19" s="10">
        <v>27.353327495621716</v>
      </c>
      <c r="G19" s="10">
        <v>28.168694211364841</v>
      </c>
      <c r="H19" s="10">
        <v>25.820514352725233</v>
      </c>
      <c r="I19" s="10">
        <v>23.46066134549601</v>
      </c>
      <c r="J19" s="10">
        <v>21.332641863305277</v>
      </c>
      <c r="K19" s="10">
        <v>17.950819047619046</v>
      </c>
      <c r="L19" s="10">
        <v>16.079235425163656</v>
      </c>
      <c r="M19" s="10">
        <v>15.055936542882117</v>
      </c>
      <c r="N19" s="10">
        <v>20.385566101314165</v>
      </c>
      <c r="O19" s="10">
        <v>19.764852010522365</v>
      </c>
      <c r="P19" s="11">
        <v>18.855054200969885</v>
      </c>
    </row>
    <row r="20" spans="1:16" ht="13" x14ac:dyDescent="0.3">
      <c r="A20" s="12" t="s">
        <v>17</v>
      </c>
      <c r="B20" s="13"/>
      <c r="C20" s="13"/>
      <c r="D20" s="13"/>
      <c r="E20" s="13"/>
      <c r="F20" s="13"/>
      <c r="G20" s="13">
        <v>14.822946175637391</v>
      </c>
      <c r="H20" s="13">
        <v>14.483319772172498</v>
      </c>
      <c r="I20" s="13">
        <v>14.707771355170198</v>
      </c>
      <c r="J20" s="13">
        <v>13.898456435769868</v>
      </c>
      <c r="K20" s="13">
        <v>14.246369554331498</v>
      </c>
      <c r="L20" s="13">
        <v>59.472168341856225</v>
      </c>
      <c r="M20" s="13"/>
      <c r="N20" s="13"/>
      <c r="O20" s="13"/>
      <c r="P20" s="14">
        <v>36.862995400247286</v>
      </c>
    </row>
    <row r="21" spans="1:16" ht="13.5" thickBot="1" x14ac:dyDescent="0.35">
      <c r="A21" s="25" t="s">
        <v>18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>
        <v>10.34692440632401</v>
      </c>
    </row>
    <row r="22" spans="1:16" ht="13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6" ht="13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/>
  </sheetViews>
  <sheetFormatPr defaultRowHeight="12.5" x14ac:dyDescent="0.25"/>
  <sheetData>
    <row r="1" spans="1:17" ht="15" x14ac:dyDescent="0.3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5" thickBot="1" x14ac:dyDescent="0.35">
      <c r="A2" s="1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3" x14ac:dyDescent="0.3">
      <c r="A3" s="28" t="s">
        <v>25</v>
      </c>
      <c r="B3" s="29" t="s">
        <v>26</v>
      </c>
      <c r="C3" s="29"/>
      <c r="D3" s="29"/>
      <c r="E3" s="29"/>
      <c r="F3" s="29" t="s">
        <v>27</v>
      </c>
      <c r="G3" s="29"/>
      <c r="H3" s="29"/>
      <c r="I3" s="29"/>
      <c r="J3" s="29" t="s">
        <v>28</v>
      </c>
      <c r="K3" s="29"/>
      <c r="L3" s="29"/>
      <c r="M3" s="29"/>
      <c r="N3" s="29" t="s">
        <v>29</v>
      </c>
      <c r="O3" s="29"/>
      <c r="P3" s="29"/>
      <c r="Q3" s="30"/>
    </row>
    <row r="4" spans="1:17" ht="13" x14ac:dyDescent="0.3">
      <c r="A4" s="31" t="s">
        <v>30</v>
      </c>
      <c r="B4" s="32">
        <v>1980</v>
      </c>
      <c r="C4" s="32">
        <v>1985</v>
      </c>
      <c r="D4" s="32">
        <v>1990</v>
      </c>
      <c r="E4" s="32">
        <v>1994</v>
      </c>
      <c r="F4" s="32">
        <v>1980</v>
      </c>
      <c r="G4" s="32">
        <v>1985</v>
      </c>
      <c r="H4" s="32">
        <v>1990</v>
      </c>
      <c r="I4" s="32">
        <v>1994</v>
      </c>
      <c r="J4" s="32">
        <v>1980</v>
      </c>
      <c r="K4" s="32">
        <v>1985</v>
      </c>
      <c r="L4" s="32">
        <v>1990</v>
      </c>
      <c r="M4" s="32">
        <v>1994</v>
      </c>
      <c r="N4" s="32">
        <v>1980</v>
      </c>
      <c r="O4" s="32">
        <v>1985</v>
      </c>
      <c r="P4" s="32">
        <v>1990</v>
      </c>
      <c r="Q4" s="33">
        <v>1994</v>
      </c>
    </row>
    <row r="5" spans="1:17" ht="14.5" x14ac:dyDescent="0.45">
      <c r="A5" s="34" t="s">
        <v>31</v>
      </c>
      <c r="B5" s="35"/>
      <c r="C5" s="35"/>
      <c r="D5" s="35"/>
      <c r="E5" s="3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1:17" ht="14.5" x14ac:dyDescent="0.45">
      <c r="A6" s="38" t="s">
        <v>1</v>
      </c>
      <c r="B6" s="39"/>
      <c r="C6" s="39"/>
      <c r="D6" s="39"/>
      <c r="E6" s="39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1"/>
    </row>
    <row r="7" spans="1:17" ht="17" x14ac:dyDescent="0.45">
      <c r="A7" s="42" t="s">
        <v>2</v>
      </c>
      <c r="B7" s="43" t="s">
        <v>32</v>
      </c>
      <c r="C7" s="44">
        <v>8001</v>
      </c>
      <c r="D7" s="44">
        <v>11892</v>
      </c>
      <c r="E7" s="45"/>
      <c r="F7" s="46" t="s">
        <v>33</v>
      </c>
      <c r="G7" s="47">
        <v>4876</v>
      </c>
      <c r="H7" s="47">
        <v>7064</v>
      </c>
      <c r="I7" s="47"/>
      <c r="J7" s="46" t="s">
        <v>34</v>
      </c>
      <c r="K7" s="47">
        <v>1031</v>
      </c>
      <c r="L7" s="47">
        <v>2545</v>
      </c>
      <c r="M7" s="47"/>
      <c r="N7" s="47"/>
      <c r="O7" s="47"/>
      <c r="P7" s="47"/>
      <c r="Q7" s="48"/>
    </row>
    <row r="8" spans="1:17" ht="17" x14ac:dyDescent="0.45">
      <c r="A8" s="42" t="s">
        <v>3</v>
      </c>
      <c r="B8" s="44"/>
      <c r="C8" s="44"/>
      <c r="D8" s="43" t="s">
        <v>35</v>
      </c>
      <c r="E8" s="45"/>
      <c r="F8" s="47"/>
      <c r="G8" s="47"/>
      <c r="H8" s="46" t="s">
        <v>36</v>
      </c>
      <c r="I8" s="47"/>
      <c r="J8" s="47"/>
      <c r="K8" s="47"/>
      <c r="L8" s="46" t="s">
        <v>37</v>
      </c>
      <c r="M8" s="47"/>
      <c r="N8" s="47"/>
      <c r="O8" s="47"/>
      <c r="P8" s="47"/>
      <c r="Q8" s="48"/>
    </row>
    <row r="9" spans="1:17" ht="14.5" x14ac:dyDescent="0.45">
      <c r="A9" s="42" t="s">
        <v>4</v>
      </c>
      <c r="B9" s="44"/>
      <c r="C9" s="44"/>
      <c r="D9" s="44"/>
      <c r="E9" s="45">
        <v>352065</v>
      </c>
      <c r="F9" s="47"/>
      <c r="G9" s="47"/>
      <c r="H9" s="47"/>
      <c r="I9" s="47">
        <v>327250</v>
      </c>
      <c r="J9" s="47"/>
      <c r="K9" s="47"/>
      <c r="L9" s="47"/>
      <c r="M9" s="47">
        <v>24815</v>
      </c>
      <c r="N9" s="47"/>
      <c r="O9" s="47"/>
      <c r="P9" s="47"/>
      <c r="Q9" s="48"/>
    </row>
    <row r="10" spans="1:17" ht="14.5" x14ac:dyDescent="0.45">
      <c r="A10" s="42" t="s">
        <v>5</v>
      </c>
      <c r="B10" s="44"/>
      <c r="C10" s="44"/>
      <c r="D10" s="44"/>
      <c r="E10" s="45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8"/>
    </row>
    <row r="11" spans="1:17" ht="14.5" x14ac:dyDescent="0.45">
      <c r="A11" s="42" t="s">
        <v>6</v>
      </c>
      <c r="B11" s="44">
        <v>12294</v>
      </c>
      <c r="C11" s="44">
        <v>13813</v>
      </c>
      <c r="D11" s="44">
        <v>15005</v>
      </c>
      <c r="E11" s="45">
        <v>16736</v>
      </c>
      <c r="F11" s="47">
        <f>12183+33</f>
        <v>12216</v>
      </c>
      <c r="G11" s="47">
        <f>13504+46</f>
        <v>13550</v>
      </c>
      <c r="H11" s="47">
        <f>14759+59</f>
        <v>14818</v>
      </c>
      <c r="I11" s="47">
        <f>16039+84</f>
        <v>16123</v>
      </c>
      <c r="J11" s="47">
        <v>78</v>
      </c>
      <c r="K11" s="47">
        <v>263</v>
      </c>
      <c r="L11" s="47">
        <v>188</v>
      </c>
      <c r="M11" s="47">
        <v>613</v>
      </c>
      <c r="N11" s="47"/>
      <c r="O11" s="47"/>
      <c r="P11" s="47"/>
      <c r="Q11" s="48"/>
    </row>
    <row r="12" spans="1:17" ht="17" x14ac:dyDescent="0.45">
      <c r="A12" s="42" t="s">
        <v>7</v>
      </c>
      <c r="B12" s="44"/>
      <c r="C12" s="44"/>
      <c r="D12" s="43" t="s">
        <v>38</v>
      </c>
      <c r="E12" s="45">
        <v>54564</v>
      </c>
      <c r="F12" s="47"/>
      <c r="G12" s="47"/>
      <c r="H12" s="46" t="s">
        <v>39</v>
      </c>
      <c r="I12" s="47">
        <v>54564</v>
      </c>
      <c r="J12" s="47"/>
      <c r="K12" s="47"/>
      <c r="L12" s="47"/>
      <c r="M12" s="47"/>
      <c r="N12" s="47"/>
      <c r="O12" s="47"/>
      <c r="P12" s="47"/>
      <c r="Q12" s="48"/>
    </row>
    <row r="13" spans="1:17" ht="14.5" x14ac:dyDescent="0.45">
      <c r="A13" s="49" t="s">
        <v>8</v>
      </c>
      <c r="B13" s="50">
        <v>11189</v>
      </c>
      <c r="C13" s="50">
        <v>12769</v>
      </c>
      <c r="D13" s="50">
        <v>13715</v>
      </c>
      <c r="E13" s="51">
        <v>12780</v>
      </c>
      <c r="F13" s="52">
        <v>9670</v>
      </c>
      <c r="G13" s="52">
        <v>11060</v>
      </c>
      <c r="H13" s="52">
        <v>11870</v>
      </c>
      <c r="I13" s="52">
        <v>11839</v>
      </c>
      <c r="J13" s="52">
        <v>1519</v>
      </c>
      <c r="K13" s="52">
        <v>1489</v>
      </c>
      <c r="L13" s="52">
        <v>1593</v>
      </c>
      <c r="M13" s="52">
        <v>941</v>
      </c>
      <c r="N13" s="52"/>
      <c r="O13" s="52"/>
      <c r="P13" s="52"/>
      <c r="Q13" s="53"/>
    </row>
    <row r="14" spans="1:17" ht="14.5" x14ac:dyDescent="0.45">
      <c r="A14" s="38" t="s">
        <v>9</v>
      </c>
      <c r="B14" s="39"/>
      <c r="C14" s="39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1"/>
    </row>
    <row r="15" spans="1:17" ht="14.5" x14ac:dyDescent="0.45">
      <c r="A15" s="42" t="s">
        <v>10</v>
      </c>
      <c r="B15" s="44"/>
      <c r="C15" s="44"/>
      <c r="D15" s="44"/>
      <c r="E15" s="44">
        <v>8503</v>
      </c>
      <c r="F15" s="47"/>
      <c r="G15" s="47"/>
      <c r="H15" s="47"/>
      <c r="I15" s="47">
        <v>8503</v>
      </c>
      <c r="J15" s="47"/>
      <c r="K15" s="47"/>
      <c r="L15" s="47"/>
      <c r="M15" s="47"/>
      <c r="N15" s="47"/>
      <c r="O15" s="47"/>
      <c r="P15" s="47"/>
      <c r="Q15" s="48"/>
    </row>
    <row r="16" spans="1:17" ht="14.5" x14ac:dyDescent="0.45">
      <c r="A16" s="42" t="s">
        <v>11</v>
      </c>
      <c r="B16" s="44"/>
      <c r="C16" s="44"/>
      <c r="D16" s="44"/>
      <c r="E16" s="44">
        <v>84278</v>
      </c>
      <c r="F16" s="47"/>
      <c r="G16" s="47"/>
      <c r="H16" s="47"/>
      <c r="I16" s="47">
        <v>82109</v>
      </c>
      <c r="J16" s="47"/>
      <c r="K16" s="47"/>
      <c r="L16" s="47"/>
      <c r="M16" s="47">
        <v>2169</v>
      </c>
      <c r="N16" s="47"/>
      <c r="O16" s="47"/>
      <c r="P16" s="47"/>
      <c r="Q16" s="48"/>
    </row>
    <row r="17" spans="1:17" ht="14.5" x14ac:dyDescent="0.45">
      <c r="A17" s="42" t="s">
        <v>12</v>
      </c>
      <c r="B17" s="44"/>
      <c r="C17" s="44"/>
      <c r="D17" s="44">
        <v>3434</v>
      </c>
      <c r="E17" s="44"/>
      <c r="F17" s="47"/>
      <c r="G17" s="47"/>
      <c r="H17" s="47">
        <v>3434</v>
      </c>
      <c r="I17" s="47"/>
      <c r="J17" s="47"/>
      <c r="K17" s="47"/>
      <c r="L17" s="47"/>
      <c r="M17" s="47"/>
      <c r="N17" s="47"/>
      <c r="O17" s="47"/>
      <c r="P17" s="47"/>
      <c r="Q17" s="48"/>
    </row>
    <row r="18" spans="1:17" ht="14.5" x14ac:dyDescent="0.45">
      <c r="A18" s="42" t="s">
        <v>13</v>
      </c>
      <c r="B18" s="44"/>
      <c r="C18" s="44"/>
      <c r="D18" s="44"/>
      <c r="E18" s="44">
        <v>8551</v>
      </c>
      <c r="F18" s="47"/>
      <c r="G18" s="47"/>
      <c r="H18" s="47"/>
      <c r="I18" s="47">
        <v>8551</v>
      </c>
      <c r="J18" s="47"/>
      <c r="K18" s="47"/>
      <c r="L18" s="47"/>
      <c r="M18" s="47"/>
      <c r="N18" s="47"/>
      <c r="O18" s="47"/>
      <c r="P18" s="47"/>
      <c r="Q18" s="48"/>
    </row>
    <row r="19" spans="1:17" ht="17" x14ac:dyDescent="0.45">
      <c r="A19" s="54" t="s">
        <v>14</v>
      </c>
      <c r="B19" s="44"/>
      <c r="C19" s="44">
        <v>33570</v>
      </c>
      <c r="D19" s="44">
        <v>35898</v>
      </c>
      <c r="E19" s="43" t="s">
        <v>40</v>
      </c>
      <c r="F19" s="45"/>
      <c r="G19" s="45">
        <v>33572</v>
      </c>
      <c r="H19" s="45">
        <v>35898</v>
      </c>
      <c r="I19" s="55" t="s">
        <v>41</v>
      </c>
      <c r="J19" s="45"/>
      <c r="K19" s="45"/>
      <c r="L19" s="45"/>
      <c r="M19" s="45"/>
      <c r="N19" s="45"/>
      <c r="O19" s="45"/>
      <c r="P19" s="45"/>
      <c r="Q19" s="56"/>
    </row>
    <row r="20" spans="1:17" ht="17" x14ac:dyDescent="0.45">
      <c r="A20" s="42" t="s">
        <v>15</v>
      </c>
      <c r="B20" s="44"/>
      <c r="C20" s="44"/>
      <c r="D20" s="43" t="s">
        <v>42</v>
      </c>
      <c r="E20" s="44"/>
      <c r="F20" s="47"/>
      <c r="G20" s="47"/>
      <c r="H20" s="46" t="s">
        <v>43</v>
      </c>
      <c r="I20" s="47"/>
      <c r="J20" s="47"/>
      <c r="K20" s="47"/>
      <c r="L20" s="47"/>
      <c r="M20" s="47"/>
      <c r="N20" s="47"/>
      <c r="O20" s="47"/>
      <c r="P20" s="47"/>
      <c r="Q20" s="48"/>
    </row>
    <row r="21" spans="1:17" ht="14.5" x14ac:dyDescent="0.45">
      <c r="A21" s="42" t="s">
        <v>16</v>
      </c>
      <c r="B21" s="44">
        <v>9400</v>
      </c>
      <c r="C21" s="44">
        <v>13786</v>
      </c>
      <c r="D21" s="44">
        <v>10009</v>
      </c>
      <c r="E21" s="44">
        <v>14225</v>
      </c>
      <c r="F21" s="47"/>
      <c r="G21" s="47">
        <v>9390</v>
      </c>
      <c r="H21" s="47">
        <v>7761</v>
      </c>
      <c r="I21" s="47">
        <v>11397</v>
      </c>
      <c r="J21" s="47">
        <v>0</v>
      </c>
      <c r="K21" s="47">
        <v>4396</v>
      </c>
      <c r="L21" s="47">
        <v>2248</v>
      </c>
      <c r="M21" s="47">
        <v>2828</v>
      </c>
      <c r="N21" s="47"/>
      <c r="O21" s="47"/>
      <c r="P21" s="47"/>
      <c r="Q21" s="48"/>
    </row>
    <row r="22" spans="1:17" ht="14.5" x14ac:dyDescent="0.45">
      <c r="A22" s="49" t="s">
        <v>17</v>
      </c>
      <c r="B22" s="50"/>
      <c r="C22" s="50"/>
      <c r="D22" s="50"/>
      <c r="E22" s="50">
        <v>39890</v>
      </c>
      <c r="F22" s="52"/>
      <c r="G22" s="52"/>
      <c r="H22" s="52"/>
      <c r="I22" s="52">
        <v>39890</v>
      </c>
      <c r="J22" s="52"/>
      <c r="K22" s="52"/>
      <c r="L22" s="52"/>
      <c r="M22" s="52"/>
      <c r="N22" s="52"/>
      <c r="O22" s="52"/>
      <c r="P22" s="52"/>
      <c r="Q22" s="53"/>
    </row>
    <row r="23" spans="1:17" ht="15" thickBot="1" x14ac:dyDescent="0.5">
      <c r="A23" s="57" t="s">
        <v>18</v>
      </c>
      <c r="B23" s="58"/>
      <c r="C23" s="58"/>
      <c r="D23" s="58"/>
      <c r="E23" s="58">
        <v>334242</v>
      </c>
      <c r="F23" s="59"/>
      <c r="G23" s="59"/>
      <c r="H23" s="59"/>
      <c r="I23" s="59">
        <v>334242</v>
      </c>
      <c r="J23" s="59"/>
      <c r="K23" s="59"/>
      <c r="L23" s="59"/>
      <c r="M23" s="59"/>
      <c r="N23" s="59"/>
      <c r="O23" s="59"/>
      <c r="P23" s="59"/>
      <c r="Q23" s="60"/>
    </row>
    <row r="24" spans="1:17" ht="16" x14ac:dyDescent="0.45">
      <c r="A24" s="61" t="s">
        <v>44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6" x14ac:dyDescent="0.45">
      <c r="A25" s="61" t="s">
        <v>45</v>
      </c>
      <c r="B25" s="62"/>
      <c r="C25" s="62"/>
      <c r="D25" s="62"/>
      <c r="E25" s="62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16" x14ac:dyDescent="0.45">
      <c r="A26" s="61" t="s">
        <v>46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ht="16" x14ac:dyDescent="0.45">
      <c r="A27" s="61" t="s">
        <v>47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ht="13" x14ac:dyDescent="0.3"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3" x14ac:dyDescent="0.3"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/>
  </sheetViews>
  <sheetFormatPr defaultRowHeight="12.5" x14ac:dyDescent="0.25"/>
  <sheetData>
    <row r="1" spans="1:17" ht="13" x14ac:dyDescent="0.3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3.5" thickBot="1" x14ac:dyDescent="0.35">
      <c r="A2" s="1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3" x14ac:dyDescent="0.3">
      <c r="A3" s="28"/>
      <c r="B3" s="29" t="s">
        <v>26</v>
      </c>
      <c r="C3" s="29"/>
      <c r="D3" s="29"/>
      <c r="E3" s="29"/>
      <c r="F3" s="29" t="s">
        <v>27</v>
      </c>
      <c r="G3" s="29"/>
      <c r="H3" s="29"/>
      <c r="I3" s="29"/>
      <c r="J3" s="29" t="s">
        <v>28</v>
      </c>
      <c r="K3" s="29"/>
      <c r="L3" s="29"/>
      <c r="M3" s="29"/>
      <c r="N3" s="29" t="s">
        <v>29</v>
      </c>
      <c r="O3" s="29"/>
      <c r="P3" s="29"/>
      <c r="Q3" s="30"/>
    </row>
    <row r="4" spans="1:17" ht="13" x14ac:dyDescent="0.3">
      <c r="A4" s="31"/>
      <c r="B4" s="32">
        <v>1980</v>
      </c>
      <c r="C4" s="32">
        <v>1985</v>
      </c>
      <c r="D4" s="32">
        <v>1990</v>
      </c>
      <c r="E4" s="32">
        <v>1994</v>
      </c>
      <c r="F4" s="32">
        <v>1980</v>
      </c>
      <c r="G4" s="32">
        <v>1985</v>
      </c>
      <c r="H4" s="32">
        <v>1990</v>
      </c>
      <c r="I4" s="32">
        <v>1994</v>
      </c>
      <c r="J4" s="32">
        <v>1980</v>
      </c>
      <c r="K4" s="32">
        <v>1985</v>
      </c>
      <c r="L4" s="32">
        <v>1990</v>
      </c>
      <c r="M4" s="32">
        <v>1994</v>
      </c>
      <c r="N4" s="32">
        <v>1980</v>
      </c>
      <c r="O4" s="32">
        <v>1985</v>
      </c>
      <c r="P4" s="32">
        <v>1990</v>
      </c>
      <c r="Q4" s="33">
        <v>1994</v>
      </c>
    </row>
    <row r="5" spans="1:17" ht="14.5" x14ac:dyDescent="0.45">
      <c r="A5" s="34" t="s">
        <v>31</v>
      </c>
      <c r="B5" s="35"/>
      <c r="C5" s="35"/>
      <c r="D5" s="35"/>
      <c r="E5" s="3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1:17" ht="14.5" x14ac:dyDescent="0.45">
      <c r="A6" s="38" t="s">
        <v>1</v>
      </c>
      <c r="B6" s="39"/>
      <c r="C6" s="39"/>
      <c r="D6" s="39"/>
      <c r="E6" s="39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1"/>
    </row>
    <row r="7" spans="1:17" ht="17" x14ac:dyDescent="0.45">
      <c r="A7" s="42" t="s">
        <v>2</v>
      </c>
      <c r="B7" s="43" t="s">
        <v>49</v>
      </c>
      <c r="C7" s="44">
        <v>77</v>
      </c>
      <c r="D7" s="44">
        <v>115</v>
      </c>
      <c r="E7" s="45"/>
      <c r="F7" s="46" t="s">
        <v>50</v>
      </c>
      <c r="G7" s="47">
        <v>47</v>
      </c>
      <c r="H7" s="47">
        <v>68</v>
      </c>
      <c r="I7" s="47"/>
      <c r="J7" s="46" t="s">
        <v>51</v>
      </c>
      <c r="K7" s="47">
        <v>10</v>
      </c>
      <c r="L7" s="47">
        <v>25</v>
      </c>
      <c r="M7" s="47"/>
      <c r="N7" s="47"/>
      <c r="O7" s="47"/>
      <c r="P7" s="47"/>
      <c r="Q7" s="48"/>
    </row>
    <row r="8" spans="1:17" ht="16" x14ac:dyDescent="0.45">
      <c r="A8" s="42" t="s">
        <v>3</v>
      </c>
      <c r="B8" s="44"/>
      <c r="C8" s="44"/>
      <c r="D8" s="43" t="s">
        <v>52</v>
      </c>
      <c r="E8" s="45"/>
      <c r="F8" s="47"/>
      <c r="G8" s="47"/>
      <c r="H8" s="47">
        <v>14</v>
      </c>
      <c r="I8" s="47"/>
      <c r="J8" s="47"/>
      <c r="K8" s="47"/>
      <c r="L8" s="47">
        <v>0.37</v>
      </c>
      <c r="M8" s="47"/>
      <c r="N8" s="47"/>
      <c r="O8" s="47"/>
      <c r="P8" s="47"/>
      <c r="Q8" s="48"/>
    </row>
    <row r="9" spans="1:17" ht="14.5" x14ac:dyDescent="0.45">
      <c r="A9" s="42" t="s">
        <v>4</v>
      </c>
      <c r="B9" s="44"/>
      <c r="C9" s="44"/>
      <c r="D9" s="44"/>
      <c r="E9" s="45">
        <v>3405</v>
      </c>
      <c r="F9" s="47"/>
      <c r="G9" s="47"/>
      <c r="H9" s="47"/>
      <c r="I9" s="47">
        <v>3165</v>
      </c>
      <c r="J9" s="47"/>
      <c r="K9" s="47"/>
      <c r="L9" s="47"/>
      <c r="M9" s="47">
        <v>240</v>
      </c>
      <c r="N9" s="47"/>
      <c r="O9" s="47"/>
      <c r="P9" s="47"/>
      <c r="Q9" s="48"/>
    </row>
    <row r="10" spans="1:17" ht="14.5" x14ac:dyDescent="0.45">
      <c r="A10" s="42" t="s">
        <v>5</v>
      </c>
      <c r="B10" s="44"/>
      <c r="C10" s="44"/>
      <c r="D10" s="44"/>
      <c r="E10" s="45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8"/>
    </row>
    <row r="11" spans="1:17" ht="14.5" x14ac:dyDescent="0.45">
      <c r="A11" s="42" t="s">
        <v>6</v>
      </c>
      <c r="B11" s="44">
        <v>144</v>
      </c>
      <c r="C11" s="44">
        <v>162</v>
      </c>
      <c r="D11" s="44">
        <v>176</v>
      </c>
      <c r="E11" s="45">
        <v>196</v>
      </c>
      <c r="F11" s="47">
        <v>143</v>
      </c>
      <c r="G11" s="47">
        <v>159</v>
      </c>
      <c r="H11" s="47">
        <v>174</v>
      </c>
      <c r="I11" s="47">
        <v>189</v>
      </c>
      <c r="J11" s="47">
        <v>1</v>
      </c>
      <c r="K11" s="47">
        <v>3</v>
      </c>
      <c r="L11" s="47">
        <v>2</v>
      </c>
      <c r="M11" s="47">
        <v>7</v>
      </c>
      <c r="N11" s="47"/>
      <c r="O11" s="47"/>
      <c r="P11" s="47"/>
      <c r="Q11" s="48"/>
    </row>
    <row r="12" spans="1:17" ht="17" x14ac:dyDescent="0.45">
      <c r="A12" s="42" t="s">
        <v>7</v>
      </c>
      <c r="B12" s="44"/>
      <c r="C12" s="44"/>
      <c r="D12" s="43" t="s">
        <v>53</v>
      </c>
      <c r="E12" s="45">
        <v>508</v>
      </c>
      <c r="F12" s="47"/>
      <c r="G12" s="47"/>
      <c r="H12" s="46" t="s">
        <v>54</v>
      </c>
      <c r="I12" s="47">
        <v>508</v>
      </c>
      <c r="J12" s="47"/>
      <c r="K12" s="47"/>
      <c r="L12" s="47"/>
      <c r="M12" s="47"/>
      <c r="N12" s="47"/>
      <c r="O12" s="47"/>
      <c r="P12" s="47"/>
      <c r="Q12" s="48"/>
    </row>
    <row r="13" spans="1:17" ht="14.5" x14ac:dyDescent="0.45">
      <c r="A13" s="49" t="s">
        <v>8</v>
      </c>
      <c r="B13" s="50">
        <v>128</v>
      </c>
      <c r="C13" s="50">
        <v>145</v>
      </c>
      <c r="D13" s="50">
        <v>156</v>
      </c>
      <c r="E13" s="51">
        <v>147</v>
      </c>
      <c r="F13" s="52">
        <v>111</v>
      </c>
      <c r="G13" s="52">
        <v>127</v>
      </c>
      <c r="H13" s="52">
        <v>136</v>
      </c>
      <c r="I13" s="52">
        <v>136</v>
      </c>
      <c r="J13" s="52">
        <v>17</v>
      </c>
      <c r="K13" s="52">
        <v>17</v>
      </c>
      <c r="L13" s="52">
        <v>18</v>
      </c>
      <c r="M13" s="52">
        <v>11</v>
      </c>
      <c r="N13" s="52"/>
      <c r="O13" s="52"/>
      <c r="P13" s="52"/>
      <c r="Q13" s="53"/>
    </row>
    <row r="14" spans="1:17" ht="14.5" x14ac:dyDescent="0.45">
      <c r="A14" s="38" t="s">
        <v>9</v>
      </c>
      <c r="B14" s="39"/>
      <c r="C14" s="39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1"/>
    </row>
    <row r="15" spans="1:17" ht="14.5" x14ac:dyDescent="0.45">
      <c r="A15" s="42" t="s">
        <v>10</v>
      </c>
      <c r="B15" s="44"/>
      <c r="C15" s="44"/>
      <c r="D15" s="44"/>
      <c r="E15" s="44">
        <v>82</v>
      </c>
      <c r="F15" s="47"/>
      <c r="G15" s="47"/>
      <c r="H15" s="47"/>
      <c r="I15" s="47">
        <v>82</v>
      </c>
      <c r="J15" s="47"/>
      <c r="K15" s="47"/>
      <c r="L15" s="47"/>
      <c r="M15" s="47"/>
      <c r="N15" s="47"/>
      <c r="O15" s="47"/>
      <c r="P15" s="47"/>
      <c r="Q15" s="48"/>
    </row>
    <row r="16" spans="1:17" ht="14.5" x14ac:dyDescent="0.45">
      <c r="A16" s="42" t="s">
        <v>11</v>
      </c>
      <c r="B16" s="44"/>
      <c r="C16" s="44"/>
      <c r="D16" s="44"/>
      <c r="E16" s="44">
        <v>778</v>
      </c>
      <c r="F16" s="47"/>
      <c r="G16" s="47"/>
      <c r="H16" s="47"/>
      <c r="I16" s="47">
        <v>771</v>
      </c>
      <c r="J16" s="47"/>
      <c r="K16" s="47"/>
      <c r="L16" s="47"/>
      <c r="M16" s="47">
        <v>7</v>
      </c>
      <c r="N16" s="47"/>
      <c r="O16" s="47"/>
      <c r="P16" s="47"/>
      <c r="Q16" s="48"/>
    </row>
    <row r="17" spans="1:17" ht="14.5" x14ac:dyDescent="0.45">
      <c r="A17" s="42" t="s">
        <v>12</v>
      </c>
      <c r="B17" s="44"/>
      <c r="C17" s="44"/>
      <c r="D17" s="44">
        <v>33</v>
      </c>
      <c r="E17" s="44"/>
      <c r="F17" s="47"/>
      <c r="G17" s="47"/>
      <c r="H17" s="47">
        <v>33</v>
      </c>
      <c r="I17" s="47"/>
      <c r="J17" s="47"/>
      <c r="K17" s="47"/>
      <c r="L17" s="47"/>
      <c r="M17" s="47"/>
      <c r="N17" s="47"/>
      <c r="O17" s="47"/>
      <c r="P17" s="47"/>
      <c r="Q17" s="48"/>
    </row>
    <row r="18" spans="1:17" ht="14.5" x14ac:dyDescent="0.45">
      <c r="A18" s="42" t="s">
        <v>13</v>
      </c>
      <c r="B18" s="44"/>
      <c r="C18" s="44"/>
      <c r="D18" s="44"/>
      <c r="E18" s="44">
        <v>83</v>
      </c>
      <c r="F18" s="47"/>
      <c r="G18" s="47"/>
      <c r="H18" s="47"/>
      <c r="I18" s="47">
        <v>83</v>
      </c>
      <c r="J18" s="47"/>
      <c r="K18" s="47"/>
      <c r="L18" s="47"/>
      <c r="M18" s="47"/>
      <c r="N18" s="47"/>
      <c r="O18" s="47"/>
      <c r="P18" s="47"/>
      <c r="Q18" s="48"/>
    </row>
    <row r="19" spans="1:17" ht="17" x14ac:dyDescent="0.45">
      <c r="A19" s="54" t="s">
        <v>14</v>
      </c>
      <c r="B19" s="44"/>
      <c r="C19" s="44">
        <v>233</v>
      </c>
      <c r="D19" s="44">
        <v>267</v>
      </c>
      <c r="E19" s="43" t="s">
        <v>55</v>
      </c>
      <c r="F19" s="45"/>
      <c r="G19" s="45">
        <v>233</v>
      </c>
      <c r="H19" s="45">
        <v>267</v>
      </c>
      <c r="I19" s="55" t="s">
        <v>56</v>
      </c>
      <c r="J19" s="45"/>
      <c r="K19" s="45"/>
      <c r="L19" s="45"/>
      <c r="M19" s="45"/>
      <c r="N19" s="45"/>
      <c r="O19" s="45"/>
      <c r="P19" s="45"/>
      <c r="Q19" s="56"/>
    </row>
    <row r="20" spans="1:17" ht="17" x14ac:dyDescent="0.45">
      <c r="A20" s="42" t="s">
        <v>15</v>
      </c>
      <c r="B20" s="44"/>
      <c r="C20" s="44"/>
      <c r="D20" s="43" t="s">
        <v>57</v>
      </c>
      <c r="E20" s="44">
        <v>291</v>
      </c>
      <c r="F20" s="47"/>
      <c r="G20" s="47"/>
      <c r="H20" s="46" t="s">
        <v>58</v>
      </c>
      <c r="I20" s="47">
        <v>291</v>
      </c>
      <c r="J20" s="47"/>
      <c r="K20" s="47"/>
      <c r="L20" s="47"/>
      <c r="M20" s="47"/>
      <c r="N20" s="47"/>
      <c r="O20" s="47"/>
      <c r="P20" s="47"/>
      <c r="Q20" s="48"/>
    </row>
    <row r="21" spans="1:17" ht="14.5" x14ac:dyDescent="0.45">
      <c r="A21" s="42" t="s">
        <v>16</v>
      </c>
      <c r="B21" s="44">
        <v>206</v>
      </c>
      <c r="C21" s="44">
        <v>224</v>
      </c>
      <c r="D21" s="44">
        <v>198</v>
      </c>
      <c r="E21" s="44">
        <v>353</v>
      </c>
      <c r="F21" s="47"/>
      <c r="G21" s="47">
        <v>173</v>
      </c>
      <c r="H21" s="47">
        <v>172</v>
      </c>
      <c r="I21" s="47">
        <v>320</v>
      </c>
      <c r="J21" s="47"/>
      <c r="K21" s="47">
        <v>51</v>
      </c>
      <c r="L21" s="47">
        <v>26</v>
      </c>
      <c r="M21" s="47">
        <v>33</v>
      </c>
      <c r="N21" s="47"/>
      <c r="O21" s="47"/>
      <c r="P21" s="47"/>
      <c r="Q21" s="48"/>
    </row>
    <row r="22" spans="1:17" ht="14.5" x14ac:dyDescent="0.45">
      <c r="A22" s="49" t="s">
        <v>17</v>
      </c>
      <c r="B22" s="50"/>
      <c r="C22" s="50"/>
      <c r="D22" s="50"/>
      <c r="E22" s="50">
        <v>386</v>
      </c>
      <c r="F22" s="52"/>
      <c r="G22" s="52"/>
      <c r="H22" s="52"/>
      <c r="I22" s="52">
        <v>386</v>
      </c>
      <c r="J22" s="52"/>
      <c r="K22" s="52"/>
      <c r="L22" s="52"/>
      <c r="M22" s="52"/>
      <c r="N22" s="52"/>
      <c r="O22" s="52"/>
      <c r="P22" s="52"/>
      <c r="Q22" s="53"/>
    </row>
    <row r="23" spans="1:17" ht="15" thickBot="1" x14ac:dyDescent="0.5">
      <c r="A23" s="57" t="s">
        <v>18</v>
      </c>
      <c r="B23" s="58"/>
      <c r="C23" s="58"/>
      <c r="D23" s="58"/>
      <c r="E23" s="58">
        <v>3233</v>
      </c>
      <c r="F23" s="59"/>
      <c r="G23" s="59"/>
      <c r="H23" s="59"/>
      <c r="I23" s="59">
        <v>3233</v>
      </c>
      <c r="J23" s="59"/>
      <c r="K23" s="59"/>
      <c r="L23" s="59"/>
      <c r="M23" s="59"/>
      <c r="N23" s="59"/>
      <c r="O23" s="59"/>
      <c r="P23" s="59"/>
      <c r="Q23" s="60"/>
    </row>
    <row r="24" spans="1:17" ht="16" x14ac:dyDescent="0.45">
      <c r="A24" s="61" t="s">
        <v>44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6" x14ac:dyDescent="0.45">
      <c r="A25" s="61" t="s">
        <v>45</v>
      </c>
    </row>
    <row r="26" spans="1:17" ht="16" x14ac:dyDescent="0.45">
      <c r="A26" s="61" t="s">
        <v>46</v>
      </c>
    </row>
    <row r="27" spans="1:17" ht="16" x14ac:dyDescent="0.45">
      <c r="A27" s="61" t="s">
        <v>47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A.3.1.</vt:lpstr>
      <vt:lpstr>A.3.2.</vt:lpstr>
      <vt:lpstr>A.3.3.</vt:lpstr>
      <vt:lpstr>A.3.4.</vt:lpstr>
      <vt:lpstr>A.3.5.</vt:lpstr>
      <vt:lpstr>A.3.6.</vt:lpstr>
      <vt:lpstr>A.3.7.</vt:lpstr>
      <vt:lpstr>A.3.8.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FAO</dc:creator>
  <cp:lastModifiedBy>Carina Negreanu</cp:lastModifiedBy>
  <dcterms:created xsi:type="dcterms:W3CDTF">1999-02-19T10:06:00Z</dcterms:created>
  <dcterms:modified xsi:type="dcterms:W3CDTF">2020-01-27T12:45:28Z</dcterms:modified>
</cp:coreProperties>
</file>