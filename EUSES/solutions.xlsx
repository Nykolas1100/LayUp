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B1F3D6B-6EDD-433C-9681-567E7B5E466F}" xr6:coauthVersionLast="45" xr6:coauthVersionMax="45" xr10:uidLastSave="{00000000-0000-0000-0000-000000000000}"/>
  <bookViews>
    <workbookView xWindow="4560" yWindow="4560" windowWidth="28800" windowHeight="1546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41" i="1" l="1"/>
  <c r="F41" i="1" s="1"/>
  <c r="F45" i="1" s="1"/>
  <c r="E42" i="1"/>
  <c r="F42" i="1"/>
  <c r="E43" i="1"/>
  <c r="F43" i="1"/>
  <c r="E44" i="1"/>
  <c r="F44" i="1"/>
  <c r="C47" i="1"/>
  <c r="D50" i="1"/>
  <c r="H59" i="1" s="1"/>
  <c r="F50" i="1"/>
  <c r="G50" i="1" s="1"/>
  <c r="D51" i="1"/>
  <c r="C60" i="1" s="1"/>
  <c r="F60" i="1" s="1"/>
  <c r="F51" i="1"/>
  <c r="D52" i="1"/>
  <c r="H61" i="1" s="1"/>
  <c r="F52" i="1"/>
  <c r="F53" i="1"/>
  <c r="G53" i="1"/>
  <c r="D54" i="1"/>
  <c r="G54" i="1" s="1"/>
  <c r="F54" i="1"/>
  <c r="B59" i="1"/>
  <c r="E59" i="1"/>
  <c r="G59" i="1"/>
  <c r="B60" i="1"/>
  <c r="E60" i="1"/>
  <c r="G60" i="1"/>
  <c r="B61" i="1"/>
  <c r="E61" i="1"/>
  <c r="G61" i="1" s="1"/>
  <c r="B62" i="1"/>
  <c r="C62" i="1"/>
  <c r="E62" i="1"/>
  <c r="F62" i="1"/>
  <c r="G62" i="1"/>
  <c r="H62" i="1"/>
  <c r="B63" i="1"/>
  <c r="C63" i="1"/>
  <c r="E63" i="1"/>
  <c r="F63" i="1"/>
  <c r="G63" i="1"/>
  <c r="H63" i="1"/>
  <c r="H70" i="1"/>
  <c r="H73" i="1"/>
  <c r="H64" i="1" l="1"/>
  <c r="G55" i="1"/>
  <c r="C61" i="1"/>
  <c r="F61" i="1" s="1"/>
  <c r="H60" i="1"/>
  <c r="G51" i="1"/>
  <c r="C59" i="1"/>
  <c r="F59" i="1" s="1"/>
  <c r="F64" i="1" s="1"/>
  <c r="G52" i="1"/>
</calcChain>
</file>

<file path=xl/sharedStrings.xml><?xml version="1.0" encoding="utf-8"?>
<sst xmlns="http://schemas.openxmlformats.org/spreadsheetml/2006/main" count="37" uniqueCount="31">
  <si>
    <t>Recent Homework Solutions</t>
  </si>
  <si>
    <t>a)</t>
  </si>
  <si>
    <t>b)</t>
  </si>
  <si>
    <t>c)</t>
  </si>
  <si>
    <t>Problem 11.15 Felder and Rousseau, 3rd Edit</t>
  </si>
  <si>
    <t xml:space="preserve">  Batch</t>
  </si>
  <si>
    <t xml:space="preserve">  Reactor</t>
  </si>
  <si>
    <t xml:space="preserve">  </t>
  </si>
  <si>
    <t>V = const.</t>
  </si>
  <si>
    <t>T = const.</t>
  </si>
  <si>
    <t>using the ideal gas law</t>
  </si>
  <si>
    <t>P0 (atm)</t>
  </si>
  <si>
    <t>t1/2 (s)</t>
  </si>
  <si>
    <t>k</t>
  </si>
  <si>
    <t>devn^2</t>
  </si>
  <si>
    <t xml:space="preserve">k </t>
  </si>
  <si>
    <t>t1/2 calc</t>
  </si>
  <si>
    <t>k =</t>
  </si>
  <si>
    <t>m3/mol-s</t>
  </si>
  <si>
    <t>d)</t>
  </si>
  <si>
    <t>T (K)</t>
  </si>
  <si>
    <t>k0, E</t>
  </si>
  <si>
    <t>k calc</t>
  </si>
  <si>
    <t>ln k</t>
  </si>
  <si>
    <t>ln k calc</t>
  </si>
  <si>
    <t>1/T</t>
  </si>
  <si>
    <t>e)</t>
  </si>
  <si>
    <t>E = (E/R)*R =</t>
  </si>
  <si>
    <t>Note: This is a difficult problem to find the true minimum!</t>
  </si>
  <si>
    <t>k0 = EXP(LN(k0)) =</t>
  </si>
  <si>
    <r>
      <t xml:space="preserve">Note: These agree so well only because there is </t>
    </r>
    <r>
      <rPr>
        <b/>
        <sz val="10"/>
        <rFont val="Arial"/>
        <family val="2"/>
      </rPr>
      <t>no</t>
    </r>
    <r>
      <rPr>
        <sz val="10"/>
        <rFont val="Arial"/>
      </rPr>
      <t xml:space="preserve"> scatter in the data.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</si>
</sst>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4" formatCode="0.000000"/>
    <numFmt numFmtId="176" formatCode="0.0000"/>
  </numFmts>
  <fonts count="3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2" fontId="0" fillId="0" borderId="0" xfId="0" applyNumberFormat="1"/>
    <xf numFmtId="174" fontId="0" fillId="0" borderId="0" xfId="0" applyNumberFormat="1"/>
    <xf numFmtId="1" fontId="0" fillId="0" borderId="0" xfId="0" applyNumberFormat="1"/>
    <xf numFmtId="176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4905027017122791"/>
          <c:y val="0.1418233755453136"/>
          <c:w val="0.64561493113618307"/>
          <c:h val="0.5709299989901086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49043745510641801"/>
                  <c:y val="0.15273286597187619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2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[1]Sheet1!$B$57:$B$61</c:f>
              <c:numCache>
                <c:formatCode>General</c:formatCode>
                <c:ptCount val="5"/>
                <c:pt idx="0">
                  <c:v>1.1111111111111111E-3</c:v>
                </c:pt>
                <c:pt idx="1">
                  <c:v>1.0526315789473684E-3</c:v>
                </c:pt>
                <c:pt idx="2">
                  <c:v>1E-3</c:v>
                </c:pt>
                <c:pt idx="3">
                  <c:v>9.8522167487684722E-4</c:v>
                </c:pt>
                <c:pt idx="4">
                  <c:v>9.5238095238095238E-4</c:v>
                </c:pt>
              </c:numCache>
            </c:numRef>
          </c:xVal>
          <c:yVal>
            <c:numRef>
              <c:f>[1]Sheet1!$C$57:$C$61</c:f>
              <c:numCache>
                <c:formatCode>General</c:formatCode>
                <c:ptCount val="5"/>
                <c:pt idx="0">
                  <c:v>-11.21160150887655</c:v>
                </c:pt>
                <c:pt idx="1">
                  <c:v>-9.4633451866073219</c:v>
                </c:pt>
                <c:pt idx="2">
                  <c:v>-7.8893763217845976</c:v>
                </c:pt>
                <c:pt idx="3">
                  <c:v>-7.4490401102328363</c:v>
                </c:pt>
                <c:pt idx="4">
                  <c:v>-6.4588476130311356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09-4BFB-860E-AEDE0CAA9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2448399"/>
        <c:axId val="1"/>
      </c:scatterChart>
      <c:valAx>
        <c:axId val="772448399"/>
        <c:scaling>
          <c:orientation val="minMax"/>
          <c:max val="1.1999999999999999E-3"/>
          <c:min val="8.9999999999999998E-4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1/T</a:t>
                </a:r>
              </a:p>
            </c:rich>
          </c:tx>
          <c:layout>
            <c:manualLayout>
              <c:xMode val="edge"/>
              <c:yMode val="edge"/>
              <c:x val="0.53833173783165422"/>
              <c:y val="0.85821324688959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-12"/>
        <c:crossBetween val="midCat"/>
        <c:majorUnit val="1E-4"/>
      </c:valAx>
      <c:valAx>
        <c:axId val="1"/>
        <c:scaling>
          <c:orientation val="minMax"/>
          <c:max val="-6"/>
          <c:min val="-1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LN(k)</a:t>
                </a:r>
              </a:p>
            </c:rich>
          </c:tx>
          <c:layout>
            <c:manualLayout>
              <c:xMode val="edge"/>
              <c:yMode val="edge"/>
              <c:x val="4.7894282725236138E-2"/>
              <c:y val="0.3272847127968775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2448399"/>
        <c:crossesAt val="8.9999999999999998E-4"/>
        <c:crossBetween val="midCat"/>
        <c:majorUnit val="2"/>
      </c:valAx>
      <c:spPr>
        <a:solidFill>
          <a:srgbClr val="FFFFFF"/>
        </a:solidFill>
        <a:ln w="381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565150</xdr:colOff>
          <xdr:row>3</xdr:row>
          <xdr:rowOff>114300</xdr:rowOff>
        </xdr:from>
        <xdr:to>
          <xdr:col>4</xdr:col>
          <xdr:colOff>107950</xdr:colOff>
          <xdr:row>7</xdr:row>
          <xdr:rowOff>152400</xdr:rowOff>
        </xdr:to>
        <xdr:sp macro="" textlink="">
          <xdr:nvSpPr>
            <xdr:cNvPr id="1064" name="Object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CE07CF3C-6542-40E8-8E7A-9BDB76BDA3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0</xdr:colOff>
      <xdr:row>9</xdr:row>
      <xdr:rowOff>0</xdr:rowOff>
    </xdr:from>
    <xdr:to>
      <xdr:col>1</xdr:col>
      <xdr:colOff>603250</xdr:colOff>
      <xdr:row>13</xdr:row>
      <xdr:rowOff>0</xdr:rowOff>
    </xdr:to>
    <xdr:sp macro="" textlink="">
      <xdr:nvSpPr>
        <xdr:cNvPr id="1065" name="Rectangle 41">
          <a:extLst>
            <a:ext uri="{FF2B5EF4-FFF2-40B4-BE49-F238E27FC236}">
              <a16:creationId xmlns:a16="http://schemas.microsoft.com/office/drawing/2014/main" id="{D56B490B-8526-498B-8016-93BB1BFB7CE0}"/>
            </a:ext>
          </a:extLst>
        </xdr:cNvPr>
        <xdr:cNvSpPr>
          <a:spLocks noChangeArrowheads="1"/>
        </xdr:cNvSpPr>
      </xdr:nvSpPr>
      <xdr:spPr bwMode="auto">
        <a:xfrm>
          <a:off x="609600" y="1466850"/>
          <a:ext cx="603250" cy="635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222250</xdr:colOff>
          <xdr:row>11</xdr:row>
          <xdr:rowOff>76200</xdr:rowOff>
        </xdr:from>
        <xdr:to>
          <xdr:col>3</xdr:col>
          <xdr:colOff>361950</xdr:colOff>
          <xdr:row>15</xdr:row>
          <xdr:rowOff>114300</xdr:rowOff>
        </xdr:to>
        <xdr:sp macro="" textlink="">
          <xdr:nvSpPr>
            <xdr:cNvPr id="1066" name="Object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F75F4F7D-3D86-47D0-A22F-408F354E10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10</xdr:row>
          <xdr:rowOff>19050</xdr:rowOff>
        </xdr:from>
        <xdr:to>
          <xdr:col>5</xdr:col>
          <xdr:colOff>393700</xdr:colOff>
          <xdr:row>21</xdr:row>
          <xdr:rowOff>95250</xdr:rowOff>
        </xdr:to>
        <xdr:sp macro="" textlink="">
          <xdr:nvSpPr>
            <xdr:cNvPr id="1067" name="Object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67885E19-9635-45EE-B4BD-D8660054D7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603250</xdr:colOff>
          <xdr:row>23</xdr:row>
          <xdr:rowOff>0</xdr:rowOff>
        </xdr:from>
        <xdr:to>
          <xdr:col>3</xdr:col>
          <xdr:colOff>603250</xdr:colOff>
          <xdr:row>29</xdr:row>
          <xdr:rowOff>0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AFB4581B-3FF5-45BC-ADB0-A67F480DFC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584200</xdr:colOff>
          <xdr:row>29</xdr:row>
          <xdr:rowOff>44450</xdr:rowOff>
        </xdr:from>
        <xdr:to>
          <xdr:col>5</xdr:col>
          <xdr:colOff>361950</xdr:colOff>
          <xdr:row>37</xdr:row>
          <xdr:rowOff>82550</xdr:rowOff>
        </xdr:to>
        <xdr:sp macro="" textlink="">
          <xdr:nvSpPr>
            <xdr:cNvPr id="1069" name="Object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6123F72D-ACF6-4748-8461-6F0D4FA57F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342900</xdr:colOff>
      <xdr:row>66</xdr:row>
      <xdr:rowOff>0</xdr:rowOff>
    </xdr:from>
    <xdr:to>
      <xdr:col>6</xdr:col>
      <xdr:colOff>812800</xdr:colOff>
      <xdr:row>77</xdr:row>
      <xdr:rowOff>0</xdr:rowOff>
    </xdr:to>
    <xdr:graphicFrame macro="">
      <xdr:nvGraphicFramePr>
        <xdr:cNvPr id="1070" name="Chart 46">
          <a:extLst>
            <a:ext uri="{FF2B5EF4-FFF2-40B4-BE49-F238E27FC236}">
              <a16:creationId xmlns:a16="http://schemas.microsoft.com/office/drawing/2014/main" id="{03527919-F3E3-49CA-ACC7-2F42BDC136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12700</xdr:colOff>
          <xdr:row>78</xdr:row>
          <xdr:rowOff>25400</xdr:rowOff>
        </xdr:from>
        <xdr:to>
          <xdr:col>7</xdr:col>
          <xdr:colOff>190500</xdr:colOff>
          <xdr:row>89</xdr:row>
          <xdr:rowOff>38100</xdr:rowOff>
        </xdr:to>
        <xdr:sp macro="" textlink="">
          <xdr:nvSpPr>
            <xdr:cNvPr id="1071" name="Object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A1489551-438B-4063-ACCA-468CE525DD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ob%2011.1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57">
          <cell r="B57">
            <v>1.1111111111111111E-3</v>
          </cell>
          <cell r="C57">
            <v>-11.21160150887655</v>
          </cell>
        </row>
        <row r="58">
          <cell r="B58">
            <v>1.0526315789473684E-3</v>
          </cell>
          <cell r="C58">
            <v>-9.4633451866073219</v>
          </cell>
        </row>
        <row r="59">
          <cell r="B59">
            <v>1E-3</v>
          </cell>
          <cell r="C59">
            <v>-7.8893763217845976</v>
          </cell>
        </row>
        <row r="60">
          <cell r="B60">
            <v>9.8522167487684722E-4</v>
          </cell>
          <cell r="C60">
            <v>-7.4490401102328363</v>
          </cell>
        </row>
        <row r="61">
          <cell r="B61">
            <v>9.5238095238095238E-4</v>
          </cell>
          <cell r="C61">
            <v>-6.4588476130311356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79"/>
  <sheetViews>
    <sheetView tabSelected="1" workbookViewId="0">
      <selection activeCell="J65" sqref="J65"/>
    </sheetView>
  </sheetViews>
  <sheetFormatPr defaultRowHeight="12.5" x14ac:dyDescent="0.25"/>
  <sheetData>
    <row r="1" spans="1:5" ht="15.5" x14ac:dyDescent="0.35">
      <c r="A1" s="1" t="s">
        <v>0</v>
      </c>
    </row>
    <row r="3" spans="1:5" x14ac:dyDescent="0.25">
      <c r="A3" t="s">
        <v>4</v>
      </c>
    </row>
    <row r="10" spans="1:5" x14ac:dyDescent="0.25">
      <c r="A10" t="s">
        <v>1</v>
      </c>
      <c r="C10" t="s">
        <v>5</v>
      </c>
    </row>
    <row r="11" spans="1:5" x14ac:dyDescent="0.25">
      <c r="C11" t="s">
        <v>6</v>
      </c>
    </row>
    <row r="14" spans="1:5" x14ac:dyDescent="0.25">
      <c r="E14" t="s">
        <v>7</v>
      </c>
    </row>
    <row r="15" spans="1:5" x14ac:dyDescent="0.25">
      <c r="B15" t="s">
        <v>8</v>
      </c>
    </row>
    <row r="16" spans="1:5" x14ac:dyDescent="0.25">
      <c r="B16" t="s">
        <v>9</v>
      </c>
    </row>
    <row r="24" spans="1:5" x14ac:dyDescent="0.25">
      <c r="A24" t="s">
        <v>2</v>
      </c>
    </row>
    <row r="28" spans="1:5" x14ac:dyDescent="0.25">
      <c r="E28" t="s">
        <v>10</v>
      </c>
    </row>
    <row r="40" spans="1:6" x14ac:dyDescent="0.25">
      <c r="A40" t="s">
        <v>3</v>
      </c>
      <c r="B40" t="s">
        <v>11</v>
      </c>
      <c r="C40" t="s">
        <v>12</v>
      </c>
      <c r="D40" t="s">
        <v>15</v>
      </c>
      <c r="E40" t="s">
        <v>16</v>
      </c>
      <c r="F40" t="s">
        <v>14</v>
      </c>
    </row>
    <row r="41" spans="1:6" x14ac:dyDescent="0.25">
      <c r="B41">
        <v>0.13500000000000001</v>
      </c>
      <c r="C41">
        <v>1060</v>
      </c>
      <c r="D41" s="4">
        <v>5.8215290178889752E-4</v>
      </c>
      <c r="E41" s="5">
        <f>0.00008206*1015/$D$41/B41</f>
        <v>1059.8068441018568</v>
      </c>
      <c r="F41" s="6">
        <f>(C41-E41)^2</f>
        <v>3.7309200987518519E-2</v>
      </c>
    </row>
    <row r="42" spans="1:6" x14ac:dyDescent="0.25">
      <c r="B42">
        <v>0.28599999999999998</v>
      </c>
      <c r="C42">
        <v>500</v>
      </c>
      <c r="E42" s="5">
        <f>0.00008206*1015/$D$41/B42</f>
        <v>500.25847536276461</v>
      </c>
      <c r="F42" s="6">
        <f>(C42-E42)^2</f>
        <v>6.6809513156298642E-2</v>
      </c>
    </row>
    <row r="43" spans="1:6" x14ac:dyDescent="0.25">
      <c r="B43">
        <v>0.41599999999999998</v>
      </c>
      <c r="C43">
        <v>344</v>
      </c>
      <c r="E43" s="5">
        <f>0.00008206*1015/$D$41/B43</f>
        <v>343.92770181190065</v>
      </c>
      <c r="F43" s="6">
        <f>(C43-E43)^2</f>
        <v>5.2270280024494216E-3</v>
      </c>
    </row>
    <row r="44" spans="1:6" x14ac:dyDescent="0.25">
      <c r="B44">
        <v>0.68300000000000005</v>
      </c>
      <c r="C44">
        <v>209</v>
      </c>
      <c r="E44" s="5">
        <f>0.00008206*1015/$D$41/B44</f>
        <v>209.47865879026449</v>
      </c>
      <c r="F44" s="6">
        <f>(C44-E44)^2</f>
        <v>0.22911423749746471</v>
      </c>
    </row>
    <row r="45" spans="1:6" x14ac:dyDescent="0.25">
      <c r="F45" s="6">
        <f>SUM(F41:F44)</f>
        <v>0.33845997964373131</v>
      </c>
    </row>
    <row r="47" spans="1:6" x14ac:dyDescent="0.25">
      <c r="B47" s="2" t="s">
        <v>17</v>
      </c>
      <c r="C47">
        <f>D41</f>
        <v>5.8215290178889752E-4</v>
      </c>
      <c r="D47" t="s">
        <v>18</v>
      </c>
    </row>
    <row r="49" spans="1:8" x14ac:dyDescent="0.25">
      <c r="A49" t="s">
        <v>19</v>
      </c>
      <c r="B49" t="s">
        <v>20</v>
      </c>
      <c r="C49" t="s">
        <v>12</v>
      </c>
      <c r="D49" t="s">
        <v>13</v>
      </c>
      <c r="E49" t="s">
        <v>21</v>
      </c>
      <c r="F49" t="s">
        <v>22</v>
      </c>
      <c r="G49" t="s">
        <v>14</v>
      </c>
    </row>
    <row r="50" spans="1:8" x14ac:dyDescent="0.25">
      <c r="B50">
        <v>900</v>
      </c>
      <c r="C50">
        <v>5464</v>
      </c>
      <c r="D50" s="4">
        <f>0.00008206*B50/C50/1</f>
        <v>1.3516471449487555E-5</v>
      </c>
      <c r="E50" s="7">
        <v>3699669961.9243059</v>
      </c>
      <c r="F50" s="4">
        <f>$E$50*EXP(-$E$51/8.314/B50)</f>
        <v>1.3556006723903161E-5</v>
      </c>
      <c r="G50">
        <f>(D50-F50)^2</f>
        <v>1.5630379231172774E-15</v>
      </c>
    </row>
    <row r="51" spans="1:8" x14ac:dyDescent="0.25">
      <c r="B51">
        <v>950</v>
      </c>
      <c r="C51">
        <v>1004</v>
      </c>
      <c r="D51" s="4">
        <f>0.00008206*B51/C51/1</f>
        <v>7.7646414342629483E-5</v>
      </c>
      <c r="E51" s="7">
        <v>248723.04764956536</v>
      </c>
      <c r="F51" s="4">
        <f>$E$50*EXP(-$E$51/8.314/B51)</f>
        <v>7.7969166536206888E-5</v>
      </c>
      <c r="G51">
        <f>(D51-F51)^2</f>
        <v>1.0416897845902658E-13</v>
      </c>
    </row>
    <row r="52" spans="1:8" x14ac:dyDescent="0.25">
      <c r="B52">
        <v>1000</v>
      </c>
      <c r="C52">
        <v>219</v>
      </c>
      <c r="D52" s="4">
        <f>0.00008206*B52/C52/1</f>
        <v>3.7470319634703194E-4</v>
      </c>
      <c r="F52" s="4">
        <f>$E$50*EXP(-$E$51/8.314/B52)</f>
        <v>3.7647392023963102E-4</v>
      </c>
      <c r="G52">
        <f>(D52-F52)^2</f>
        <v>3.1354631038212406E-12</v>
      </c>
    </row>
    <row r="53" spans="1:8" x14ac:dyDescent="0.25">
      <c r="B53">
        <v>1015</v>
      </c>
      <c r="D53" s="4">
        <v>5.8200000000000005E-4</v>
      </c>
      <c r="F53" s="4">
        <f>$E$50*EXP(-$E$51/8.314/B53)</f>
        <v>5.8578901427292895E-4</v>
      </c>
      <c r="G53">
        <f>(D53-F53)^2</f>
        <v>1.4356629160458883E-11</v>
      </c>
    </row>
    <row r="54" spans="1:8" x14ac:dyDescent="0.25">
      <c r="B54">
        <v>1050</v>
      </c>
      <c r="C54">
        <v>55</v>
      </c>
      <c r="D54" s="4">
        <f>0.00008206*B54/C54/1</f>
        <v>1.5666E-3</v>
      </c>
      <c r="F54" s="4">
        <f>$E$50*EXP(-$E$51/8.314/B54)</f>
        <v>1.5646670903397455E-3</v>
      </c>
      <c r="G54">
        <f>(D54-F54)^2</f>
        <v>3.7361397547052418E-12</v>
      </c>
    </row>
    <row r="55" spans="1:8" x14ac:dyDescent="0.25">
      <c r="G55">
        <f>SUM(G50:G54)</f>
        <v>2.1333964035367509E-11</v>
      </c>
    </row>
    <row r="56" spans="1:8" x14ac:dyDescent="0.25">
      <c r="C56" t="s">
        <v>28</v>
      </c>
    </row>
    <row r="58" spans="1:8" x14ac:dyDescent="0.25">
      <c r="B58" t="s">
        <v>25</v>
      </c>
      <c r="C58" t="s">
        <v>23</v>
      </c>
      <c r="D58" t="s">
        <v>21</v>
      </c>
      <c r="E58" t="s">
        <v>24</v>
      </c>
      <c r="F58" t="s">
        <v>14</v>
      </c>
      <c r="G58" t="s">
        <v>22</v>
      </c>
      <c r="H58" t="s">
        <v>14</v>
      </c>
    </row>
    <row r="59" spans="1:8" x14ac:dyDescent="0.25">
      <c r="B59">
        <f>1/B50</f>
        <v>1.1111111111111111E-3</v>
      </c>
      <c r="C59" s="3">
        <f>LN(D50)</f>
        <v>-11.21160150887655</v>
      </c>
      <c r="D59" s="7">
        <v>3721092197.8487382</v>
      </c>
      <c r="E59" s="3">
        <f>LN($D$59)-($D$60/8.314)*B59</f>
        <v>-11.213028476006549</v>
      </c>
      <c r="F59">
        <f>(C59-E59)^2</f>
        <v>2.0362351900992037E-6</v>
      </c>
      <c r="G59" s="4">
        <f>EXP(E59)</f>
        <v>1.3497197643829625E-5</v>
      </c>
      <c r="H59">
        <f>(D50-G59)^2</f>
        <v>3.7147958453965479E-16</v>
      </c>
    </row>
    <row r="60" spans="1:8" x14ac:dyDescent="0.25">
      <c r="B60">
        <f>1/B51</f>
        <v>1.0526315789473684E-3</v>
      </c>
      <c r="C60" s="3">
        <f>LN(D51)</f>
        <v>-9.4633451866073219</v>
      </c>
      <c r="D60" s="7">
        <v>248798.78112709205</v>
      </c>
      <c r="E60" s="3">
        <f>LN($D$59)-($D$60/8.314)*B60</f>
        <v>-9.4630120791793004</v>
      </c>
      <c r="F60">
        <f>(C60-E60)^2</f>
        <v>1.1096055860310299E-7</v>
      </c>
      <c r="G60" s="4">
        <f>EXP(E60)</f>
        <v>7.7672283248329371E-5</v>
      </c>
      <c r="H60">
        <f>(D51-G60)^2</f>
        <v>6.6920028210966921E-16</v>
      </c>
    </row>
    <row r="61" spans="1:8" x14ac:dyDescent="0.25">
      <c r="B61">
        <f>1/B52</f>
        <v>1E-3</v>
      </c>
      <c r="C61" s="3">
        <f>LN(D52)</f>
        <v>-7.8893763217845976</v>
      </c>
      <c r="E61" s="3">
        <f>LN($D$59)-($D$60/8.314)*B61</f>
        <v>-7.8879973220347779</v>
      </c>
      <c r="F61">
        <f>(C61-E61)^2</f>
        <v>1.9016403100027902E-6</v>
      </c>
      <c r="G61" s="4">
        <f>EXP(E61)</f>
        <v>3.7522026840022685E-4</v>
      </c>
      <c r="H61">
        <f>(D52-G61)^2</f>
        <v>2.673635081951978E-13</v>
      </c>
    </row>
    <row r="62" spans="1:8" x14ac:dyDescent="0.25">
      <c r="B62">
        <f>1/B53</f>
        <v>9.8522167487684722E-4</v>
      </c>
      <c r="C62" s="3">
        <f>LN(D53)</f>
        <v>-7.4490401102328363</v>
      </c>
      <c r="E62" s="3">
        <f>LN($D$59)-($D$60/8.314)*B62</f>
        <v>-7.4457517990927151</v>
      </c>
      <c r="F62">
        <f>(C62-E62)^2</f>
        <v>1.0812990154245059E-5</v>
      </c>
      <c r="G62" s="4">
        <f>EXP(E62)</f>
        <v>5.839169471155008E-4</v>
      </c>
      <c r="H62">
        <f>(D53-G62)^2</f>
        <v>3.6746862436266293E-12</v>
      </c>
    </row>
    <row r="63" spans="1:8" x14ac:dyDescent="0.25">
      <c r="B63">
        <f>1/B54</f>
        <v>9.5238095238095238E-4</v>
      </c>
      <c r="C63" s="3">
        <f>LN(D54)</f>
        <v>-6.4588476130311356</v>
      </c>
      <c r="E63" s="3">
        <f>LN($D$59)-($D$60/8.314)*B63</f>
        <v>-6.4629839703325871</v>
      </c>
      <c r="F63">
        <f>(C63-E63)^2</f>
        <v>1.7109451725270757E-5</v>
      </c>
      <c r="G63" s="4">
        <f>EXP(E63)</f>
        <v>1.5601333660259181E-3</v>
      </c>
      <c r="H63">
        <f>(D54-G63)^2</f>
        <v>4.1817354954750172E-11</v>
      </c>
    </row>
    <row r="64" spans="1:8" x14ac:dyDescent="0.25">
      <c r="F64">
        <f>SUM(F59:F63)</f>
        <v>3.197127793822091E-5</v>
      </c>
      <c r="H64">
        <f>SUM(H59:H63)</f>
        <v>4.5760445386438649E-11</v>
      </c>
    </row>
    <row r="65" spans="1:8" ht="13" x14ac:dyDescent="0.3">
      <c r="C65" t="s">
        <v>30</v>
      </c>
    </row>
    <row r="69" spans="1:8" x14ac:dyDescent="0.25">
      <c r="H69" t="s">
        <v>27</v>
      </c>
    </row>
    <row r="70" spans="1:8" x14ac:dyDescent="0.25">
      <c r="H70" s="7">
        <f>29926*8.314</f>
        <v>248804.764</v>
      </c>
    </row>
    <row r="72" spans="1:8" x14ac:dyDescent="0.25">
      <c r="H72" t="s">
        <v>29</v>
      </c>
    </row>
    <row r="73" spans="1:8" x14ac:dyDescent="0.25">
      <c r="H73" s="7">
        <f>EXP(22.039)</f>
        <v>3727486563.8659143</v>
      </c>
    </row>
    <row r="79" spans="1:8" x14ac:dyDescent="0.25">
      <c r="A79" t="s">
        <v>26</v>
      </c>
    </row>
  </sheetData>
  <phoneticPr fontId="0" type="noConversion"/>
  <pageMargins left="0.75" right="0.75" top="1" bottom="1" header="0.5" footer="0.5"/>
  <pageSetup orientation="portrait" horizontalDpi="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1064" r:id="rId4">
          <objectPr defaultSize="0" r:id="rId5">
            <anchor moveWithCells="1">
              <from>
                <xdr:col>1</xdr:col>
                <xdr:colOff>565150</xdr:colOff>
                <xdr:row>3</xdr:row>
                <xdr:rowOff>114300</xdr:rowOff>
              </from>
              <to>
                <xdr:col>4</xdr:col>
                <xdr:colOff>107950</xdr:colOff>
                <xdr:row>7</xdr:row>
                <xdr:rowOff>152400</xdr:rowOff>
              </to>
            </anchor>
          </objectPr>
        </oleObject>
      </mc:Choice>
      <mc:Fallback>
        <oleObject progId="Equation.3" shapeId="1064" r:id="rId4"/>
      </mc:Fallback>
    </mc:AlternateContent>
    <mc:AlternateContent xmlns:mc="http://schemas.openxmlformats.org/markup-compatibility/2006">
      <mc:Choice Requires="x14">
        <oleObject progId="Equation.3" shapeId="1066" r:id="rId6">
          <objectPr defaultSize="0" r:id="rId7">
            <anchor moveWithCells="1">
              <from>
                <xdr:col>2</xdr:col>
                <xdr:colOff>222250</xdr:colOff>
                <xdr:row>11</xdr:row>
                <xdr:rowOff>76200</xdr:rowOff>
              </from>
              <to>
                <xdr:col>3</xdr:col>
                <xdr:colOff>361950</xdr:colOff>
                <xdr:row>15</xdr:row>
                <xdr:rowOff>114300</xdr:rowOff>
              </to>
            </anchor>
          </objectPr>
        </oleObject>
      </mc:Choice>
      <mc:Fallback>
        <oleObject progId="Equation.3" shapeId="1066" r:id="rId6"/>
      </mc:Fallback>
    </mc:AlternateContent>
    <mc:AlternateContent xmlns:mc="http://schemas.openxmlformats.org/markup-compatibility/2006">
      <mc:Choice Requires="x14">
        <oleObject progId="Equation.3" shapeId="1067" r:id="rId8">
          <objectPr defaultSize="0" r:id="rId9">
            <anchor moveWithCells="1">
              <from>
                <xdr:col>4</xdr:col>
                <xdr:colOff>0</xdr:colOff>
                <xdr:row>10</xdr:row>
                <xdr:rowOff>19050</xdr:rowOff>
              </from>
              <to>
                <xdr:col>5</xdr:col>
                <xdr:colOff>393700</xdr:colOff>
                <xdr:row>21</xdr:row>
                <xdr:rowOff>95250</xdr:rowOff>
              </to>
            </anchor>
          </objectPr>
        </oleObject>
      </mc:Choice>
      <mc:Fallback>
        <oleObject progId="Equation.3" shapeId="1067" r:id="rId8"/>
      </mc:Fallback>
    </mc:AlternateContent>
    <mc:AlternateContent xmlns:mc="http://schemas.openxmlformats.org/markup-compatibility/2006">
      <mc:Choice Requires="x14">
        <oleObject progId="Equation.3" shapeId="1068" r:id="rId10">
          <objectPr defaultSize="0" r:id="rId11">
            <anchor moveWithCells="1">
              <from>
                <xdr:col>0</xdr:col>
                <xdr:colOff>603250</xdr:colOff>
                <xdr:row>23</xdr:row>
                <xdr:rowOff>0</xdr:rowOff>
              </from>
              <to>
                <xdr:col>3</xdr:col>
                <xdr:colOff>603250</xdr:colOff>
                <xdr:row>29</xdr:row>
                <xdr:rowOff>0</xdr:rowOff>
              </to>
            </anchor>
          </objectPr>
        </oleObject>
      </mc:Choice>
      <mc:Fallback>
        <oleObject progId="Equation.3" shapeId="1068" r:id="rId10"/>
      </mc:Fallback>
    </mc:AlternateContent>
    <mc:AlternateContent xmlns:mc="http://schemas.openxmlformats.org/markup-compatibility/2006">
      <mc:Choice Requires="x14">
        <oleObject progId="Equation.3" shapeId="1069" r:id="rId12">
          <objectPr defaultSize="0" r:id="rId13">
            <anchor moveWithCells="1">
              <from>
                <xdr:col>0</xdr:col>
                <xdr:colOff>584200</xdr:colOff>
                <xdr:row>29</xdr:row>
                <xdr:rowOff>44450</xdr:rowOff>
              </from>
              <to>
                <xdr:col>5</xdr:col>
                <xdr:colOff>361950</xdr:colOff>
                <xdr:row>37</xdr:row>
                <xdr:rowOff>82550</xdr:rowOff>
              </to>
            </anchor>
          </objectPr>
        </oleObject>
      </mc:Choice>
      <mc:Fallback>
        <oleObject progId="Equation.3" shapeId="1069" r:id="rId12"/>
      </mc:Fallback>
    </mc:AlternateContent>
    <mc:AlternateContent xmlns:mc="http://schemas.openxmlformats.org/markup-compatibility/2006">
      <mc:Choice Requires="x14">
        <oleObject progId="Equation.3" shapeId="1071" r:id="rId14">
          <objectPr defaultSize="0" r:id="rId15">
            <anchor moveWithCells="1">
              <from>
                <xdr:col>1</xdr:col>
                <xdr:colOff>12700</xdr:colOff>
                <xdr:row>78</xdr:row>
                <xdr:rowOff>25400</xdr:rowOff>
              </from>
              <to>
                <xdr:col>7</xdr:col>
                <xdr:colOff>190500</xdr:colOff>
                <xdr:row>89</xdr:row>
                <xdr:rowOff>38100</xdr:rowOff>
              </to>
            </anchor>
          </objectPr>
        </oleObject>
      </mc:Choice>
      <mc:Fallback>
        <oleObject progId="Equation.3" shapeId="1071" r:id="rId1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WSU, Dept. of Chemical Engineering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Reid C. Miller</dc:creator>
  <cp:lastModifiedBy>Carina Negreanu</cp:lastModifiedBy>
  <dcterms:created xsi:type="dcterms:W3CDTF">2004-02-04T23:49:30Z</dcterms:created>
  <dcterms:modified xsi:type="dcterms:W3CDTF">2020-01-27T12:40:50Z</dcterms:modified>
</cp:coreProperties>
</file>