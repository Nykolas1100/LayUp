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D35A75-CAF2-4E0E-9088-0F0B158D70FE}" xr6:coauthVersionLast="45" xr6:coauthVersionMax="45" xr10:uidLastSave="{00000000-0000-0000-0000-000000000000}"/>
  <bookViews>
    <workbookView xWindow="3420" yWindow="3420" windowWidth="28800" windowHeight="15460" tabRatio="649" activeTab="2"/>
  </bookViews>
  <sheets>
    <sheet name="Overall Grade" sheetId="2" r:id="rId1"/>
    <sheet name=" Homework" sheetId="29484" r:id="rId2"/>
    <sheet name="Quizes" sheetId="3472" r:id="rId3"/>
  </sheets>
  <definedNames>
    <definedName name="HTML_CodePage" hidden="1">1252</definedName>
    <definedName name="HTML_Control" hidden="1">{"'Grades'!$B$5:$J$30"}</definedName>
    <definedName name="HTML_Description" hidden="1">"CE En 341 - Winter '98"</definedName>
    <definedName name="HTML_Email" hidden="1">""</definedName>
    <definedName name="HTML_Header" hidden="1">"CE En 341 Grades"</definedName>
    <definedName name="HTML_LastUpdate" hidden="1">"12/21/98"</definedName>
    <definedName name="HTML_LineAfter" hidden="1">FALSE</definedName>
    <definedName name="HTML_LineBefore" hidden="1">FALSE</definedName>
    <definedName name="HTML_Name" hidden="1">"Norman L. Jones"</definedName>
    <definedName name="HTML_OBDlg2" hidden="1">TRUE</definedName>
    <definedName name="HTML_OBDlg4" hidden="1">TRUE</definedName>
    <definedName name="HTML_OS" hidden="1">0</definedName>
    <definedName name="HTML_PathFile" hidden="1">"C:\Download Bin\grades.html"</definedName>
    <definedName name="HTML_Title" hidden="1">"341 Grades"</definedName>
    <definedName name="_xlnm.Print_Area" localSheetId="0">'Overall Grade'!$A$1:$X$54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" i="29484" l="1"/>
  <c r="AM10" i="29484"/>
  <c r="AN10" i="29484" s="1"/>
  <c r="B7" i="2" s="1"/>
  <c r="AM11" i="29484"/>
  <c r="AN11" i="29484" s="1"/>
  <c r="B8" i="2" s="1"/>
  <c r="AM12" i="29484"/>
  <c r="AN12" i="29484" s="1"/>
  <c r="B9" i="2" s="1"/>
  <c r="AM13" i="29484"/>
  <c r="AN13" i="29484" s="1"/>
  <c r="B10" i="2" s="1"/>
  <c r="AM14" i="29484"/>
  <c r="AN14" i="29484" s="1"/>
  <c r="B11" i="2" s="1"/>
  <c r="G11" i="2" s="1"/>
  <c r="H11" i="2" s="1"/>
  <c r="I11" i="2" s="1"/>
  <c r="AM15" i="29484"/>
  <c r="AN15" i="29484"/>
  <c r="B12" i="2" s="1"/>
  <c r="G12" i="2" s="1"/>
  <c r="H12" i="2" s="1"/>
  <c r="I12" i="2" s="1"/>
  <c r="AM16" i="29484"/>
  <c r="AN16" i="29484" s="1"/>
  <c r="B13" i="2" s="1"/>
  <c r="G13" i="2" s="1"/>
  <c r="H13" i="2" s="1"/>
  <c r="I13" i="2" s="1"/>
  <c r="AM17" i="29484"/>
  <c r="AN17" i="29484" s="1"/>
  <c r="B14" i="2" s="1"/>
  <c r="G14" i="2" s="1"/>
  <c r="H14" i="2" s="1"/>
  <c r="I14" i="2" s="1"/>
  <c r="AM18" i="29484"/>
  <c r="AN18" i="29484"/>
  <c r="B15" i="2" s="1"/>
  <c r="G15" i="2" s="1"/>
  <c r="H15" i="2" s="1"/>
  <c r="I15" i="2" s="1"/>
  <c r="AM19" i="29484"/>
  <c r="AN19" i="29484" s="1"/>
  <c r="B16" i="2" s="1"/>
  <c r="G16" i="2" s="1"/>
  <c r="H16" i="2" s="1"/>
  <c r="I16" i="2" s="1"/>
  <c r="AM20" i="29484"/>
  <c r="AN20" i="29484" s="1"/>
  <c r="B17" i="2" s="1"/>
  <c r="G17" i="2" s="1"/>
  <c r="H17" i="2" s="1"/>
  <c r="I17" i="2" s="1"/>
  <c r="AM21" i="29484"/>
  <c r="AN21" i="29484" s="1"/>
  <c r="B18" i="2" s="1"/>
  <c r="G18" i="2" s="1"/>
  <c r="H18" i="2" s="1"/>
  <c r="I18" i="2" s="1"/>
  <c r="AM22" i="29484"/>
  <c r="AN22" i="29484" s="1"/>
  <c r="B19" i="2" s="1"/>
  <c r="AM23" i="29484"/>
  <c r="AN23" i="29484" s="1"/>
  <c r="B20" i="2" s="1"/>
  <c r="G20" i="2" s="1"/>
  <c r="H20" i="2" s="1"/>
  <c r="I20" i="2" s="1"/>
  <c r="AM24" i="29484"/>
  <c r="AN24" i="29484" s="1"/>
  <c r="B21" i="2" s="1"/>
  <c r="G21" i="2" s="1"/>
  <c r="H21" i="2" s="1"/>
  <c r="I21" i="2" s="1"/>
  <c r="AM25" i="29484"/>
  <c r="AN25" i="29484"/>
  <c r="B22" i="2" s="1"/>
  <c r="G22" i="2" s="1"/>
  <c r="H22" i="2" s="1"/>
  <c r="I22" i="2" s="1"/>
  <c r="AM26" i="29484"/>
  <c r="AN26" i="29484" s="1"/>
  <c r="B23" i="2" s="1"/>
  <c r="AM27" i="29484"/>
  <c r="AN27" i="29484" s="1"/>
  <c r="B24" i="2" s="1"/>
  <c r="G24" i="2" s="1"/>
  <c r="H24" i="2" s="1"/>
  <c r="I24" i="2" s="1"/>
  <c r="AM28" i="29484"/>
  <c r="AN28" i="29484"/>
  <c r="AM29" i="29484"/>
  <c r="AN29" i="29484" s="1"/>
  <c r="B26" i="2" s="1"/>
  <c r="G26" i="2" s="1"/>
  <c r="H26" i="2" s="1"/>
  <c r="I26" i="2" s="1"/>
  <c r="AM30" i="29484"/>
  <c r="AN30" i="29484" s="1"/>
  <c r="B27" i="2" s="1"/>
  <c r="G27" i="2" s="1"/>
  <c r="H27" i="2" s="1"/>
  <c r="I27" i="2" s="1"/>
  <c r="AM31" i="29484"/>
  <c r="AN31" i="29484" s="1"/>
  <c r="B28" i="2" s="1"/>
  <c r="G28" i="2" s="1"/>
  <c r="H28" i="2" s="1"/>
  <c r="I28" i="2" s="1"/>
  <c r="AM32" i="29484"/>
  <c r="AN32" i="29484" s="1"/>
  <c r="B29" i="2" s="1"/>
  <c r="AM33" i="29484"/>
  <c r="AN33" i="29484" s="1"/>
  <c r="B30" i="2" s="1"/>
  <c r="G30" i="2" s="1"/>
  <c r="H30" i="2" s="1"/>
  <c r="I30" i="2" s="1"/>
  <c r="AM34" i="29484"/>
  <c r="AN34" i="29484" s="1"/>
  <c r="B31" i="2" s="1"/>
  <c r="AM35" i="29484"/>
  <c r="AN35" i="29484"/>
  <c r="AM36" i="29484"/>
  <c r="AN36" i="29484" s="1"/>
  <c r="B33" i="2" s="1"/>
  <c r="G33" i="2" s="1"/>
  <c r="H33" i="2" s="1"/>
  <c r="I33" i="2" s="1"/>
  <c r="AM37" i="29484"/>
  <c r="AN37" i="29484" s="1"/>
  <c r="B34" i="2" s="1"/>
  <c r="G34" i="2" s="1"/>
  <c r="H34" i="2" s="1"/>
  <c r="I34" i="2" s="1"/>
  <c r="AM38" i="29484"/>
  <c r="AN38" i="29484"/>
  <c r="AM39" i="29484"/>
  <c r="AN39" i="29484" s="1"/>
  <c r="B36" i="2" s="1"/>
  <c r="G36" i="2" s="1"/>
  <c r="H36" i="2" s="1"/>
  <c r="I36" i="2" s="1"/>
  <c r="AM40" i="29484"/>
  <c r="AN40" i="29484" s="1"/>
  <c r="B37" i="2" s="1"/>
  <c r="G37" i="2" s="1"/>
  <c r="H37" i="2" s="1"/>
  <c r="I37" i="2" s="1"/>
  <c r="AM41" i="29484"/>
  <c r="AN41" i="29484" s="1"/>
  <c r="B38" i="2" s="1"/>
  <c r="G38" i="2" s="1"/>
  <c r="H38" i="2" s="1"/>
  <c r="I38" i="2" s="1"/>
  <c r="AM42" i="29484"/>
  <c r="AN42" i="29484" s="1"/>
  <c r="B39" i="2" s="1"/>
  <c r="G39" i="2" s="1"/>
  <c r="H39" i="2" s="1"/>
  <c r="I39" i="2" s="1"/>
  <c r="AM43" i="29484"/>
  <c r="AN43" i="29484" s="1"/>
  <c r="B40" i="2" s="1"/>
  <c r="AM44" i="29484"/>
  <c r="AN44" i="29484" s="1"/>
  <c r="B41" i="2" s="1"/>
  <c r="AM45" i="29484"/>
  <c r="AN45" i="29484"/>
  <c r="AM46" i="29484"/>
  <c r="AN46" i="29484" s="1"/>
  <c r="B43" i="2" s="1"/>
  <c r="AM47" i="29484"/>
  <c r="AN47" i="29484" s="1"/>
  <c r="B44" i="2" s="1"/>
  <c r="G44" i="2" s="1"/>
  <c r="H44" i="2" s="1"/>
  <c r="I44" i="2" s="1"/>
  <c r="AM48" i="29484"/>
  <c r="AN48" i="29484"/>
  <c r="AM49" i="29484"/>
  <c r="AN49" i="29484" s="1"/>
  <c r="B46" i="2" s="1"/>
  <c r="G46" i="2" s="1"/>
  <c r="H46" i="2" s="1"/>
  <c r="I46" i="2" s="1"/>
  <c r="AM50" i="29484"/>
  <c r="AN50" i="29484" s="1"/>
  <c r="B47" i="2" s="1"/>
  <c r="G47" i="2" s="1"/>
  <c r="H47" i="2" s="1"/>
  <c r="I47" i="2" s="1"/>
  <c r="D14" i="2"/>
  <c r="C21" i="2"/>
  <c r="B25" i="2"/>
  <c r="G25" i="2" s="1"/>
  <c r="H25" i="2" s="1"/>
  <c r="I25" i="2" s="1"/>
  <c r="C27" i="2"/>
  <c r="B32" i="2"/>
  <c r="B35" i="2"/>
  <c r="G35" i="2" s="1"/>
  <c r="H35" i="2" s="1"/>
  <c r="I35" i="2" s="1"/>
  <c r="C36" i="2"/>
  <c r="C37" i="2"/>
  <c r="B42" i="2"/>
  <c r="B45" i="2"/>
  <c r="G45" i="2"/>
  <c r="H45" i="2" s="1"/>
  <c r="I45" i="2" s="1"/>
  <c r="C47" i="2"/>
  <c r="D51" i="2"/>
  <c r="E51" i="2"/>
  <c r="F51" i="2"/>
  <c r="D52" i="2"/>
  <c r="E52" i="2"/>
  <c r="F52" i="2"/>
  <c r="D53" i="2"/>
  <c r="E53" i="2"/>
  <c r="F53" i="2"/>
  <c r="L4" i="3472"/>
  <c r="M4" i="3472"/>
  <c r="L5" i="3472"/>
  <c r="M5" i="3472"/>
  <c r="C7" i="2" s="1"/>
  <c r="L6" i="3472"/>
  <c r="L49" i="3472" s="1"/>
  <c r="M6" i="3472"/>
  <c r="L7" i="3472"/>
  <c r="M7" i="3472" s="1"/>
  <c r="L8" i="3472"/>
  <c r="M8" i="3472" s="1"/>
  <c r="C10" i="2" s="1"/>
  <c r="L9" i="3472"/>
  <c r="M9" i="3472"/>
  <c r="C11" i="2" s="1"/>
  <c r="L10" i="3472"/>
  <c r="M10" i="3472"/>
  <c r="C12" i="2" s="1"/>
  <c r="L11" i="3472"/>
  <c r="M11" i="3472"/>
  <c r="C13" i="2" s="1"/>
  <c r="L12" i="3472"/>
  <c r="M12" i="3472"/>
  <c r="C14" i="2" s="1"/>
  <c r="L13" i="3472"/>
  <c r="M13" i="3472"/>
  <c r="C15" i="2" s="1"/>
  <c r="L14" i="3472"/>
  <c r="M14" i="3472"/>
  <c r="C16" i="2" s="1"/>
  <c r="L15" i="3472"/>
  <c r="M15" i="3472"/>
  <c r="C17" i="2" s="1"/>
  <c r="L16" i="3472"/>
  <c r="M16" i="3472"/>
  <c r="C18" i="2" s="1"/>
  <c r="L17" i="3472"/>
  <c r="M17" i="3472" s="1"/>
  <c r="C19" i="2" s="1"/>
  <c r="L18" i="3472"/>
  <c r="M18" i="3472" s="1"/>
  <c r="C20" i="2" s="1"/>
  <c r="L19" i="3472"/>
  <c r="M19" i="3472"/>
  <c r="L20" i="3472"/>
  <c r="M20" i="3472"/>
  <c r="C22" i="2" s="1"/>
  <c r="L21" i="3472"/>
  <c r="M21" i="3472"/>
  <c r="C23" i="2" s="1"/>
  <c r="L22" i="3472"/>
  <c r="M22" i="3472"/>
  <c r="C24" i="2" s="1"/>
  <c r="L23" i="3472"/>
  <c r="M23" i="3472"/>
  <c r="C25" i="2" s="1"/>
  <c r="L24" i="3472"/>
  <c r="M24" i="3472"/>
  <c r="C26" i="2" s="1"/>
  <c r="L25" i="3472"/>
  <c r="M25" i="3472"/>
  <c r="L26" i="3472"/>
  <c r="M26" i="3472"/>
  <c r="C28" i="2" s="1"/>
  <c r="L27" i="3472"/>
  <c r="M27" i="3472" s="1"/>
  <c r="C29" i="2" s="1"/>
  <c r="L28" i="3472"/>
  <c r="M28" i="3472" s="1"/>
  <c r="C30" i="2" s="1"/>
  <c r="L29" i="3472"/>
  <c r="M29" i="3472"/>
  <c r="C31" i="2" s="1"/>
  <c r="L30" i="3472"/>
  <c r="M30" i="3472"/>
  <c r="C32" i="2" s="1"/>
  <c r="G32" i="2" s="1"/>
  <c r="H32" i="2" s="1"/>
  <c r="I32" i="2" s="1"/>
  <c r="L31" i="3472"/>
  <c r="M31" i="3472"/>
  <c r="C33" i="2" s="1"/>
  <c r="L32" i="3472"/>
  <c r="M32" i="3472"/>
  <c r="C34" i="2" s="1"/>
  <c r="L33" i="3472"/>
  <c r="M33" i="3472"/>
  <c r="C35" i="2" s="1"/>
  <c r="L34" i="3472"/>
  <c r="M34" i="3472"/>
  <c r="L35" i="3472"/>
  <c r="M35" i="3472"/>
  <c r="L36" i="3472"/>
  <c r="M36" i="3472"/>
  <c r="C38" i="2" s="1"/>
  <c r="L37" i="3472"/>
  <c r="M37" i="3472" s="1"/>
  <c r="C39" i="2" s="1"/>
  <c r="L38" i="3472"/>
  <c r="M38" i="3472" s="1"/>
  <c r="C40" i="2" s="1"/>
  <c r="L39" i="3472"/>
  <c r="M39" i="3472"/>
  <c r="C41" i="2" s="1"/>
  <c r="L40" i="3472"/>
  <c r="M40" i="3472"/>
  <c r="C42" i="2" s="1"/>
  <c r="G42" i="2" s="1"/>
  <c r="H42" i="2" s="1"/>
  <c r="I42" i="2" s="1"/>
  <c r="L41" i="3472"/>
  <c r="M41" i="3472"/>
  <c r="C43" i="2" s="1"/>
  <c r="L42" i="3472"/>
  <c r="M42" i="3472"/>
  <c r="C44" i="2" s="1"/>
  <c r="L43" i="3472"/>
  <c r="M43" i="3472"/>
  <c r="C45" i="2" s="1"/>
  <c r="L44" i="3472"/>
  <c r="M44" i="3472"/>
  <c r="C46" i="2" s="1"/>
  <c r="L45" i="3472"/>
  <c r="M45" i="3472"/>
  <c r="B48" i="3472"/>
  <c r="C48" i="3472"/>
  <c r="D48" i="3472"/>
  <c r="E48" i="3472"/>
  <c r="F48" i="3472"/>
  <c r="B49" i="3472"/>
  <c r="C49" i="3472"/>
  <c r="D49" i="3472"/>
  <c r="E49" i="3472"/>
  <c r="F49" i="3472"/>
  <c r="B50" i="3472"/>
  <c r="C50" i="3472"/>
  <c r="D50" i="3472"/>
  <c r="E50" i="3472"/>
  <c r="F50" i="3472"/>
  <c r="M50" i="3472" l="1"/>
  <c r="G29" i="2"/>
  <c r="H29" i="2" s="1"/>
  <c r="I29" i="2" s="1"/>
  <c r="G43" i="2"/>
  <c r="H43" i="2" s="1"/>
  <c r="I43" i="2" s="1"/>
  <c r="G8" i="2"/>
  <c r="H8" i="2" s="1"/>
  <c r="I8" i="2" s="1"/>
  <c r="C9" i="2"/>
  <c r="M49" i="3472"/>
  <c r="G41" i="2"/>
  <c r="H41" i="2" s="1"/>
  <c r="I41" i="2" s="1"/>
  <c r="B51" i="2"/>
  <c r="G7" i="2"/>
  <c r="B52" i="2"/>
  <c r="B53" i="2"/>
  <c r="G19" i="2"/>
  <c r="H19" i="2" s="1"/>
  <c r="I19" i="2" s="1"/>
  <c r="C51" i="2"/>
  <c r="C52" i="2"/>
  <c r="C53" i="2"/>
  <c r="G31" i="2"/>
  <c r="H31" i="2" s="1"/>
  <c r="I31" i="2" s="1"/>
  <c r="G10" i="2"/>
  <c r="H10" i="2" s="1"/>
  <c r="I10" i="2" s="1"/>
  <c r="G9" i="2"/>
  <c r="H9" i="2" s="1"/>
  <c r="I9" i="2" s="1"/>
  <c r="G40" i="2"/>
  <c r="H40" i="2" s="1"/>
  <c r="I40" i="2" s="1"/>
  <c r="G23" i="2"/>
  <c r="H23" i="2" s="1"/>
  <c r="I23" i="2" s="1"/>
  <c r="M48" i="3472"/>
  <c r="L48" i="3472"/>
  <c r="C8" i="2"/>
  <c r="L50" i="3472"/>
  <c r="AM51" i="29484"/>
  <c r="AN51" i="29484" s="1"/>
  <c r="T14" i="2" l="1"/>
  <c r="T17" i="2"/>
  <c r="T23" i="2"/>
  <c r="T33" i="2"/>
  <c r="T43" i="2"/>
  <c r="T20" i="2"/>
  <c r="G53" i="2"/>
  <c r="T30" i="2"/>
  <c r="T40" i="2"/>
  <c r="T9" i="2"/>
  <c r="T37" i="2"/>
  <c r="T15" i="2"/>
  <c r="T34" i="2"/>
  <c r="T26" i="2"/>
  <c r="T12" i="2"/>
  <c r="T27" i="2"/>
  <c r="T24" i="2"/>
  <c r="G51" i="2"/>
  <c r="T36" i="2"/>
  <c r="H7" i="2"/>
  <c r="I7" i="2" s="1"/>
  <c r="T18" i="2"/>
  <c r="T21" i="2"/>
  <c r="T31" i="2"/>
  <c r="T41" i="2"/>
  <c r="T7" i="2"/>
  <c r="T10" i="2"/>
  <c r="T28" i="2"/>
  <c r="T38" i="2"/>
  <c r="T13" i="2"/>
  <c r="T25" i="2"/>
  <c r="T35" i="2"/>
  <c r="G52" i="2"/>
  <c r="T16" i="2"/>
  <c r="T29" i="2"/>
  <c r="T19" i="2"/>
  <c r="T22" i="2"/>
  <c r="T32" i="2"/>
  <c r="T42" i="2"/>
  <c r="T39" i="2"/>
  <c r="T8" i="2"/>
  <c r="T11" i="2"/>
  <c r="T46" i="2" l="1"/>
  <c r="X14" i="2"/>
  <c r="X17" i="2"/>
  <c r="I53" i="2"/>
  <c r="L21" i="2"/>
  <c r="I51" i="2"/>
  <c r="X9" i="2"/>
  <c r="X12" i="2"/>
  <c r="X15" i="2"/>
  <c r="X18" i="2"/>
  <c r="X7" i="2"/>
  <c r="X10" i="2"/>
  <c r="X13" i="2"/>
  <c r="X16" i="2"/>
  <c r="I52" i="2"/>
  <c r="X8" i="2"/>
  <c r="X11" i="2"/>
  <c r="X21" i="2" l="1"/>
</calcChain>
</file>

<file path=xl/sharedStrings.xml><?xml version="1.0" encoding="utf-8"?>
<sst xmlns="http://schemas.openxmlformats.org/spreadsheetml/2006/main" count="155" uniqueCount="94">
  <si>
    <t>Grade Summary</t>
  </si>
  <si>
    <t>Code</t>
  </si>
  <si>
    <t>HW</t>
  </si>
  <si>
    <t>Exam 1</t>
  </si>
  <si>
    <t>Exam 2</t>
  </si>
  <si>
    <t>Final</t>
  </si>
  <si>
    <t>Total</t>
  </si>
  <si>
    <t>min:</t>
  </si>
  <si>
    <t>ave:</t>
  </si>
  <si>
    <t>max:</t>
  </si>
  <si>
    <t>Grade</t>
  </si>
  <si>
    <t>GPA</t>
  </si>
  <si>
    <t>BreakPts</t>
  </si>
  <si>
    <t>F</t>
  </si>
  <si>
    <t>D-</t>
  </si>
  <si>
    <t>D</t>
  </si>
  <si>
    <t>D+</t>
  </si>
  <si>
    <t>C-</t>
  </si>
  <si>
    <t>C</t>
  </si>
  <si>
    <t>C+</t>
  </si>
  <si>
    <t>B+</t>
  </si>
  <si>
    <t>Ave GPA:</t>
  </si>
  <si>
    <t>B-</t>
  </si>
  <si>
    <t>B</t>
  </si>
  <si>
    <t>A-</t>
  </si>
  <si>
    <t>A</t>
  </si>
  <si>
    <t>Grade Freq</t>
  </si>
  <si>
    <t>Grade Bin</t>
  </si>
  <si>
    <t>Grades</t>
  </si>
  <si>
    <t>Score Bin</t>
  </si>
  <si>
    <t>Score Freq</t>
  </si>
  <si>
    <t>Total=</t>
  </si>
  <si>
    <t>Total =</t>
  </si>
  <si>
    <t>Homework Grades</t>
  </si>
  <si>
    <t>Total Points</t>
  </si>
  <si>
    <t>Percent</t>
  </si>
  <si>
    <t>Quizes</t>
  </si>
  <si>
    <t>Max. Points</t>
  </si>
  <si>
    <t xml:space="preserve"> </t>
  </si>
  <si>
    <t>CE EN 203-2</t>
  </si>
  <si>
    <t>Winter 2001</t>
  </si>
  <si>
    <t>(Final Weights with lowest of 20 weight removed)</t>
  </si>
  <si>
    <t>CE 203-2</t>
  </si>
  <si>
    <t>O594</t>
  </si>
  <si>
    <t>O046</t>
  </si>
  <si>
    <t>Assuming your Homework and Quiz average stays the same, and your Exam average stays the same</t>
  </si>
  <si>
    <t>CE 203-002  Dr. Benzley  2/12/01</t>
  </si>
  <si>
    <t>Assignment</t>
  </si>
  <si>
    <t>12.2-4,3-5</t>
  </si>
  <si>
    <t>12.4-3,4-8</t>
  </si>
  <si>
    <t>12.5-3,5-7</t>
  </si>
  <si>
    <t>1.2-2,2-5,3-5</t>
  </si>
  <si>
    <t>1.4-2,5-3</t>
  </si>
  <si>
    <t>1.6-2,7-2,8-6</t>
  </si>
  <si>
    <t>2.2-2,2-9</t>
  </si>
  <si>
    <t>2.3-5,4-6,4-9</t>
  </si>
  <si>
    <t>2.5-9,6-3</t>
  </si>
  <si>
    <t>3.2-3,3-1</t>
  </si>
  <si>
    <t>3.4-3,5-4</t>
  </si>
  <si>
    <t>3.7-1,8-3</t>
  </si>
  <si>
    <t>3.9-8,10-5</t>
  </si>
  <si>
    <t>4.3-2,3-5</t>
  </si>
  <si>
    <t>4.3-10,3-12</t>
  </si>
  <si>
    <t>4.5-1,5-20,5-29</t>
  </si>
  <si>
    <t>5.4-3,4-6</t>
  </si>
  <si>
    <t>5.5-5,5-7,5-12</t>
  </si>
  <si>
    <t>5.6-1,6-8</t>
  </si>
  <si>
    <t>5.8-2,9-2,10-7</t>
  </si>
  <si>
    <t>5.11-5,12-2</t>
  </si>
  <si>
    <t>7.2-3,3-4</t>
  </si>
  <si>
    <t>7.4-3,4-9,4-18</t>
  </si>
  <si>
    <t>7.5-1,5-7</t>
  </si>
  <si>
    <t>7.6-2,7-5</t>
  </si>
  <si>
    <t>8.2-9,3-7</t>
  </si>
  <si>
    <t>8.4-4,5-18</t>
  </si>
  <si>
    <t>9.3-3,3-11,3-13</t>
  </si>
  <si>
    <t>9.4-2,4-6</t>
  </si>
  <si>
    <t>9.5-3,5-6</t>
  </si>
  <si>
    <t>9.6-3,6-9,6-10</t>
  </si>
  <si>
    <t>9.7-1,8-1</t>
  </si>
  <si>
    <t>9.9-2,9-5</t>
  </si>
  <si>
    <t>10.3-3,3-7</t>
  </si>
  <si>
    <t>10.5-5,5-9</t>
  </si>
  <si>
    <t>11.2-3,3-4</t>
  </si>
  <si>
    <t>11.4-2,5-5</t>
  </si>
  <si>
    <t>SLC</t>
  </si>
  <si>
    <t>R</t>
  </si>
  <si>
    <t>N</t>
  </si>
  <si>
    <t>SC</t>
  </si>
  <si>
    <t>TOTALS</t>
  </si>
  <si>
    <t>Updated</t>
  </si>
  <si>
    <t>(Current Weights-Lowest Quiz, Exam1, Exam2 dropped)</t>
  </si>
  <si>
    <t>dropped homework</t>
  </si>
  <si>
    <t>Update 4/25/2001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</si>
</sst>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_);\(&quot;$&quot;#,##0\)"/>
    <numFmt numFmtId="172" formatCode="0.0"/>
    <numFmt numFmtId="173" formatCode="0.0%"/>
    <numFmt numFmtId="174" formatCode="0.00_)"/>
    <numFmt numFmtId="175" formatCode="0.000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</font>
    <font>
      <b/>
      <sz val="18"/>
      <name val="Arial"/>
    </font>
    <font>
      <b/>
      <i/>
      <sz val="16"/>
      <name val="Helv"/>
    </font>
    <font>
      <sz val="14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trike/>
      <sz val="10"/>
      <name val="Arial"/>
      <family val="2"/>
    </font>
    <font>
      <sz val="8"/>
      <color indexed="53"/>
      <name val="Arial"/>
      <family val="2"/>
    </font>
    <font>
      <sz val="8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</borders>
  <cellStyleXfs count="15">
    <xf numFmtId="0" fontId="0" fillId="0" borderId="0"/>
    <xf numFmtId="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38" fontId="4" fillId="2" borderId="0" applyNumberFormat="0" applyBorder="0" applyAlignment="0" applyProtection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 applyNumberFormat="0" applyFont="0" applyFill="0" applyAlignment="0" applyProtection="0"/>
    <xf numFmtId="0" fontId="5" fillId="0" borderId="0" applyNumberFormat="0" applyFont="0" applyFill="0" applyAlignment="0" applyProtection="0"/>
    <xf numFmtId="10" fontId="4" fillId="3" borderId="3" applyNumberFormat="0" applyBorder="0" applyAlignment="0" applyProtection="0"/>
    <xf numFmtId="174" fontId="7" fillId="0" borderId="0"/>
    <xf numFmtId="9" fontId="2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" fillId="0" borderId="4" applyNumberFormat="0" applyFont="0" applyBorder="0" applyAlignment="0" applyProtection="0"/>
  </cellStyleXfs>
  <cellXfs count="10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73" fontId="0" fillId="0" borderId="3" xfId="12" applyNumberFormat="1" applyFont="1" applyBorder="1" applyAlignment="1">
      <alignment horizontal="center"/>
    </xf>
    <xf numFmtId="172" fontId="0" fillId="0" borderId="3" xfId="0" applyNumberFormat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right"/>
    </xf>
    <xf numFmtId="0" fontId="0" fillId="4" borderId="3" xfId="0" applyFill="1" applyBorder="1"/>
    <xf numFmtId="2" fontId="0" fillId="4" borderId="3" xfId="0" applyNumberFormat="1" applyFill="1" applyBorder="1"/>
    <xf numFmtId="0" fontId="8" fillId="0" borderId="0" xfId="0" applyFont="1"/>
    <xf numFmtId="1" fontId="0" fillId="0" borderId="3" xfId="0" applyNumberFormat="1" applyBorder="1" applyAlignment="1">
      <alignment horizontal="center"/>
    </xf>
    <xf numFmtId="9" fontId="0" fillId="4" borderId="3" xfId="12" applyFont="1" applyFill="1" applyBorder="1"/>
    <xf numFmtId="0" fontId="0" fillId="0" borderId="5" xfId="0" applyBorder="1"/>
    <xf numFmtId="9" fontId="0" fillId="0" borderId="3" xfId="12" applyFont="1" applyFill="1" applyBorder="1"/>
    <xf numFmtId="0" fontId="0" fillId="4" borderId="3" xfId="0" applyFill="1" applyBorder="1" applyAlignment="1">
      <alignment horizontal="center"/>
    </xf>
    <xf numFmtId="172" fontId="0" fillId="0" borderId="3" xfId="12" applyNumberFormat="1" applyFont="1" applyBorder="1"/>
    <xf numFmtId="0" fontId="0" fillId="0" borderId="6" xfId="0" applyBorder="1"/>
    <xf numFmtId="172" fontId="0" fillId="0" borderId="7" xfId="12" applyNumberFormat="1" applyFont="1" applyBorder="1"/>
    <xf numFmtId="9" fontId="0" fillId="0" borderId="8" xfId="12" applyFont="1" applyBorder="1"/>
    <xf numFmtId="0" fontId="0" fillId="0" borderId="9" xfId="0" applyBorder="1"/>
    <xf numFmtId="9" fontId="0" fillId="0" borderId="10" xfId="12" applyFont="1" applyBorder="1"/>
    <xf numFmtId="0" fontId="0" fillId="0" borderId="11" xfId="0" applyBorder="1"/>
    <xf numFmtId="172" fontId="0" fillId="0" borderId="12" xfId="12" applyNumberFormat="1" applyFont="1" applyBorder="1"/>
    <xf numFmtId="9" fontId="0" fillId="0" borderId="13" xfId="12" applyFont="1" applyBorder="1"/>
    <xf numFmtId="173" fontId="0" fillId="0" borderId="3" xfId="12" applyNumberFormat="1" applyFont="1" applyBorder="1"/>
    <xf numFmtId="173" fontId="0" fillId="0" borderId="7" xfId="12" applyNumberFormat="1" applyFont="1" applyBorder="1"/>
    <xf numFmtId="172" fontId="0" fillId="0" borderId="7" xfId="0" applyNumberFormat="1" applyBorder="1" applyAlignment="1">
      <alignment horizontal="center"/>
    </xf>
    <xf numFmtId="173" fontId="0" fillId="0" borderId="12" xfId="12" applyNumberFormat="1" applyFont="1" applyBorder="1"/>
    <xf numFmtId="172" fontId="0" fillId="0" borderId="12" xfId="0" applyNumberForma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14" xfId="0" applyBorder="1"/>
    <xf numFmtId="0" fontId="11" fillId="0" borderId="14" xfId="0" applyFont="1" applyBorder="1" applyAlignment="1">
      <alignment horizontal="left" vertical="center"/>
    </xf>
    <xf numFmtId="0" fontId="0" fillId="0" borderId="14" xfId="0" applyBorder="1" applyAlignment="1"/>
    <xf numFmtId="0" fontId="0" fillId="0" borderId="0" xfId="0" applyAlignment="1"/>
    <xf numFmtId="1" fontId="0" fillId="0" borderId="0" xfId="0" applyNumberFormat="1" applyAlignment="1"/>
    <xf numFmtId="0" fontId="12" fillId="0" borderId="0" xfId="0" applyFont="1"/>
    <xf numFmtId="0" fontId="13" fillId="0" borderId="15" xfId="0" applyFont="1" applyBorder="1" applyAlignment="1">
      <alignment textRotation="90"/>
    </xf>
    <xf numFmtId="0" fontId="13" fillId="0" borderId="16" xfId="0" applyFont="1" applyBorder="1" applyAlignment="1">
      <alignment textRotation="90"/>
    </xf>
    <xf numFmtId="0" fontId="13" fillId="0" borderId="3" xfId="0" applyFont="1" applyBorder="1" applyAlignment="1">
      <alignment textRotation="90"/>
    </xf>
    <xf numFmtId="1" fontId="13" fillId="0" borderId="3" xfId="0" applyNumberFormat="1" applyFont="1" applyBorder="1" applyAlignment="1">
      <alignment textRotation="90"/>
    </xf>
    <xf numFmtId="0" fontId="13" fillId="0" borderId="17" xfId="0" applyFont="1" applyBorder="1" applyAlignment="1">
      <alignment textRotation="90"/>
    </xf>
    <xf numFmtId="0" fontId="4" fillId="0" borderId="16" xfId="0" applyFont="1" applyBorder="1" applyAlignment="1">
      <alignment textRotation="90"/>
    </xf>
    <xf numFmtId="0" fontId="13" fillId="0" borderId="3" xfId="0" applyFont="1" applyBorder="1"/>
    <xf numFmtId="0" fontId="13" fillId="0" borderId="15" xfId="0" applyFont="1" applyBorder="1"/>
    <xf numFmtId="0" fontId="13" fillId="0" borderId="16" xfId="0" applyFont="1" applyBorder="1"/>
    <xf numFmtId="1" fontId="13" fillId="0" borderId="3" xfId="0" applyNumberFormat="1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5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1" fontId="13" fillId="0" borderId="19" xfId="0" applyNumberFormat="1" applyFont="1" applyBorder="1"/>
    <xf numFmtId="0" fontId="13" fillId="0" borderId="22" xfId="0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1" fontId="4" fillId="0" borderId="23" xfId="0" applyNumberFormat="1" applyFont="1" applyBorder="1"/>
    <xf numFmtId="0" fontId="4" fillId="0" borderId="3" xfId="0" applyFont="1" applyBorder="1"/>
    <xf numFmtId="0" fontId="4" fillId="0" borderId="15" xfId="0" applyFont="1" applyBorder="1"/>
    <xf numFmtId="0" fontId="4" fillId="0" borderId="16" xfId="0" applyFont="1" applyBorder="1"/>
    <xf numFmtId="1" fontId="4" fillId="0" borderId="3" xfId="0" applyNumberFormat="1" applyFont="1" applyBorder="1"/>
    <xf numFmtId="172" fontId="4" fillId="0" borderId="3" xfId="0" applyNumberFormat="1" applyFont="1" applyBorder="1"/>
    <xf numFmtId="1" fontId="0" fillId="0" borderId="3" xfId="0" applyNumberFormat="1" applyBorder="1"/>
    <xf numFmtId="14" fontId="0" fillId="0" borderId="0" xfId="0" applyNumberFormat="1"/>
    <xf numFmtId="173" fontId="0" fillId="0" borderId="26" xfId="0" applyNumberFormat="1" applyBorder="1"/>
    <xf numFmtId="173" fontId="0" fillId="0" borderId="27" xfId="0" applyNumberFormat="1" applyBorder="1"/>
    <xf numFmtId="1" fontId="4" fillId="0" borderId="5" xfId="0" applyNumberFormat="1" applyFont="1" applyBorder="1"/>
    <xf numFmtId="173" fontId="14" fillId="0" borderId="3" xfId="0" applyNumberFormat="1" applyFont="1" applyBorder="1"/>
    <xf numFmtId="173" fontId="4" fillId="0" borderId="23" xfId="0" applyNumberFormat="1" applyFont="1" applyBorder="1"/>
    <xf numFmtId="173" fontId="4" fillId="0" borderId="3" xfId="0" applyNumberFormat="1" applyFont="1" applyBorder="1"/>
    <xf numFmtId="173" fontId="14" fillId="0" borderId="28" xfId="0" applyNumberFormat="1" applyFont="1" applyBorder="1"/>
    <xf numFmtId="173" fontId="14" fillId="0" borderId="26" xfId="0" applyNumberFormat="1" applyFont="1" applyBorder="1"/>
    <xf numFmtId="9" fontId="14" fillId="0" borderId="3" xfId="12" applyFont="1" applyFill="1" applyBorder="1"/>
    <xf numFmtId="173" fontId="14" fillId="0" borderId="3" xfId="12" applyNumberFormat="1" applyFont="1" applyBorder="1" applyAlignment="1">
      <alignment horizontal="center"/>
    </xf>
    <xf numFmtId="173" fontId="12" fillId="0" borderId="3" xfId="12" applyNumberFormat="1" applyFont="1" applyBorder="1" applyAlignment="1">
      <alignment horizontal="center"/>
    </xf>
    <xf numFmtId="0" fontId="4" fillId="0" borderId="29" xfId="0" applyFont="1" applyBorder="1"/>
    <xf numFmtId="0" fontId="4" fillId="0" borderId="17" xfId="0" applyFont="1" applyBorder="1"/>
    <xf numFmtId="0" fontId="15" fillId="0" borderId="3" xfId="0" applyFont="1" applyBorder="1"/>
    <xf numFmtId="0" fontId="15" fillId="0" borderId="17" xfId="0" applyFont="1" applyBorder="1"/>
    <xf numFmtId="0" fontId="15" fillId="0" borderId="16" xfId="0" applyFont="1" applyBorder="1"/>
    <xf numFmtId="172" fontId="15" fillId="0" borderId="3" xfId="0" applyNumberFormat="1" applyFont="1" applyBorder="1"/>
    <xf numFmtId="0" fontId="0" fillId="0" borderId="26" xfId="0" applyFill="1" applyBorder="1" applyAlignment="1">
      <alignment horizontal="center"/>
    </xf>
    <xf numFmtId="0" fontId="16" fillId="0" borderId="3" xfId="0" applyFont="1" applyBorder="1"/>
    <xf numFmtId="0" fontId="4" fillId="5" borderId="23" xfId="0" applyFont="1" applyFill="1" applyBorder="1"/>
    <xf numFmtId="0" fontId="4" fillId="5" borderId="3" xfId="0" applyFont="1" applyFill="1" applyBorder="1"/>
    <xf numFmtId="0" fontId="0" fillId="5" borderId="0" xfId="0" applyFill="1"/>
    <xf numFmtId="0" fontId="4" fillId="5" borderId="17" xfId="0" applyFont="1" applyFill="1" applyBorder="1"/>
    <xf numFmtId="0" fontId="15" fillId="5" borderId="3" xfId="0" applyFont="1" applyFill="1" applyBorder="1"/>
    <xf numFmtId="0" fontId="4" fillId="0" borderId="3" xfId="0" applyFont="1" applyFill="1" applyBorder="1"/>
    <xf numFmtId="0" fontId="4" fillId="0" borderId="17" xfId="0" applyFont="1" applyFill="1" applyBorder="1"/>
    <xf numFmtId="1" fontId="4" fillId="5" borderId="3" xfId="0" applyNumberFormat="1" applyFont="1" applyFill="1" applyBorder="1"/>
    <xf numFmtId="175" fontId="0" fillId="0" borderId="8" xfId="0" applyNumberFormat="1" applyBorder="1" applyAlignment="1">
      <alignment horizontal="center"/>
    </xf>
    <xf numFmtId="175" fontId="0" fillId="0" borderId="10" xfId="0" applyNumberFormat="1" applyBorder="1" applyAlignment="1">
      <alignment horizontal="center"/>
    </xf>
    <xf numFmtId="175" fontId="0" fillId="0" borderId="13" xfId="0" applyNumberFormat="1" applyBorder="1" applyAlignment="1">
      <alignment horizontal="center"/>
    </xf>
  </cellXfs>
  <cellStyles count="15">
    <cellStyle name="Comma0" xfId="1"/>
    <cellStyle name="Currency0" xfId="2"/>
    <cellStyle name="Date" xfId="3"/>
    <cellStyle name="Fixed" xfId="4"/>
    <cellStyle name="Grey" xfId="5"/>
    <cellStyle name="Header1" xfId="6"/>
    <cellStyle name="Header2" xfId="7"/>
    <cellStyle name="Heading 1" xfId="8" builtinId="16" customBuiltin="1"/>
    <cellStyle name="Heading 2" xfId="9" builtinId="17" customBuiltin="1"/>
    <cellStyle name="Input [yellow]" xfId="10"/>
    <cellStyle name="Normal" xfId="0" builtinId="0"/>
    <cellStyle name="Normal - Style1" xfId="11"/>
    <cellStyle name="Percent" xfId="12" builtinId="5"/>
    <cellStyle name="Percent [2]" xfId="13"/>
    <cellStyle name="Total" xfId="14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Score Histogram</a:t>
            </a:r>
          </a:p>
        </c:rich>
      </c:tx>
      <c:layout>
        <c:manualLayout>
          <c:xMode val="edge"/>
          <c:yMode val="edge"/>
          <c:x val="0.21038924999733172"/>
          <c:y val="2.71326470740532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213665908872594"/>
          <c:y val="0.13953932780941664"/>
          <c:w val="0.78964276947050471"/>
          <c:h val="0.8537093597228891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'Overall Grade'!$S$7:$S$43</c:f>
              <c:numCache>
                <c:formatCode>General</c:formatCode>
                <c:ptCount val="37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</c:numCache>
            </c:numRef>
          </c:cat>
          <c:val>
            <c:numRef>
              <c:f>'Overall Grade'!$T$7:$T$43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6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4-4489-AEAE-57CE1C05E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823871"/>
        <c:axId val="1"/>
      </c:barChart>
      <c:catAx>
        <c:axId val="76782387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82387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Grade Histogram</a:t>
            </a:r>
          </a:p>
        </c:rich>
      </c:tx>
      <c:layout>
        <c:manualLayout>
          <c:xMode val="edge"/>
          <c:yMode val="edge"/>
          <c:x val="0.28451589619849182"/>
          <c:y val="3.31686205495840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9156770496716117E-2"/>
          <c:y val="0.14096663733573217"/>
          <c:w val="0.82819478695402571"/>
          <c:h val="0.786096307025141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'Overall Grade'!$V$7:$V$18</c:f>
              <c:strCache>
                <c:ptCount val="12"/>
                <c:pt idx="0">
                  <c:v>A</c:v>
                </c:pt>
                <c:pt idx="1">
                  <c:v>A-</c:v>
                </c:pt>
                <c:pt idx="2">
                  <c:v>B+</c:v>
                </c:pt>
                <c:pt idx="3">
                  <c:v>B</c:v>
                </c:pt>
                <c:pt idx="4">
                  <c:v>B-</c:v>
                </c:pt>
                <c:pt idx="5">
                  <c:v>C+</c:v>
                </c:pt>
                <c:pt idx="6">
                  <c:v>C</c:v>
                </c:pt>
                <c:pt idx="7">
                  <c:v>C-</c:v>
                </c:pt>
                <c:pt idx="8">
                  <c:v>D+</c:v>
                </c:pt>
                <c:pt idx="9">
                  <c:v>D</c:v>
                </c:pt>
                <c:pt idx="10">
                  <c:v>D-</c:v>
                </c:pt>
                <c:pt idx="11">
                  <c:v>F</c:v>
                </c:pt>
              </c:strCache>
            </c:strRef>
          </c:cat>
          <c:val>
            <c:numRef>
              <c:f>'Overall Grade'!$X$7:$X$18</c:f>
              <c:numCache>
                <c:formatCode>General</c:formatCode>
                <c:ptCount val="12"/>
                <c:pt idx="0">
                  <c:v>12</c:v>
                </c:pt>
                <c:pt idx="1">
                  <c:v>4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D-4774-A474-F8C473967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719487"/>
        <c:axId val="1"/>
      </c:barChart>
      <c:catAx>
        <c:axId val="790719487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0719487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88900</xdr:colOff>
      <xdr:row>5</xdr:row>
      <xdr:rowOff>0</xdr:rowOff>
    </xdr:from>
    <xdr:to>
      <xdr:col>17</xdr:col>
      <xdr:colOff>431800</xdr:colOff>
      <xdr:row>46</xdr:row>
      <xdr:rowOff>38100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91FFB67A-AE76-4FD7-87C4-24F1FB8F1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139700</xdr:rowOff>
    </xdr:from>
    <xdr:to>
      <xdr:col>13</xdr:col>
      <xdr:colOff>431800</xdr:colOff>
      <xdr:row>46</xdr:row>
      <xdr:rowOff>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827000BA-9E72-4338-98DC-F279D5692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zoomScale="75" workbookViewId="0">
      <selection activeCell="B34" sqref="A33:B34"/>
    </sheetView>
  </sheetViews>
  <sheetFormatPr defaultRowHeight="12.5" x14ac:dyDescent="0.25"/>
  <cols>
    <col min="1" max="1" width="21.453125" customWidth="1"/>
    <col min="3" max="3" width="9.26953125" bestFit="1" customWidth="1"/>
    <col min="11" max="11" width="11.54296875" bestFit="1" customWidth="1"/>
    <col min="12" max="12" width="7.81640625" bestFit="1" customWidth="1"/>
    <col min="13" max="14" width="6.7265625" bestFit="1" customWidth="1"/>
    <col min="15" max="15" width="7.453125" customWidth="1"/>
    <col min="16" max="16" width="12.1796875" customWidth="1"/>
    <col min="19" max="19" width="12" bestFit="1" customWidth="1"/>
    <col min="20" max="21" width="13.1796875" bestFit="1" customWidth="1"/>
    <col min="23" max="23" width="12" bestFit="1" customWidth="1"/>
    <col min="24" max="25" width="13.1796875" bestFit="1" customWidth="1"/>
  </cols>
  <sheetData>
    <row r="1" spans="1:24" ht="13" x14ac:dyDescent="0.3">
      <c r="A1" s="1" t="s">
        <v>0</v>
      </c>
      <c r="B1" s="33" t="s">
        <v>45</v>
      </c>
      <c r="C1" s="33"/>
      <c r="D1" s="33"/>
      <c r="E1" s="33"/>
      <c r="F1" s="33"/>
      <c r="G1" s="33"/>
      <c r="H1" s="33"/>
      <c r="I1" s="33"/>
      <c r="J1" s="33"/>
    </row>
    <row r="2" spans="1:24" ht="13" x14ac:dyDescent="0.3">
      <c r="A2" s="1" t="s">
        <v>39</v>
      </c>
    </row>
    <row r="3" spans="1:24" ht="13" x14ac:dyDescent="0.3">
      <c r="A3" s="1" t="s">
        <v>40</v>
      </c>
      <c r="B3" t="s">
        <v>90</v>
      </c>
      <c r="C3" s="69">
        <v>37006</v>
      </c>
    </row>
    <row r="4" spans="1:24" x14ac:dyDescent="0.25">
      <c r="B4">
        <v>35</v>
      </c>
      <c r="C4">
        <v>20</v>
      </c>
      <c r="D4">
        <v>20</v>
      </c>
      <c r="E4">
        <v>20</v>
      </c>
      <c r="F4">
        <v>25</v>
      </c>
      <c r="G4" t="s">
        <v>41</v>
      </c>
    </row>
    <row r="5" spans="1:24" x14ac:dyDescent="0.25">
      <c r="B5" s="4">
        <v>35</v>
      </c>
      <c r="C5" s="4">
        <v>20</v>
      </c>
      <c r="D5" s="4">
        <v>20</v>
      </c>
      <c r="E5" s="4">
        <v>20</v>
      </c>
      <c r="F5" s="4">
        <v>25</v>
      </c>
      <c r="G5" t="s">
        <v>91</v>
      </c>
      <c r="H5" s="2"/>
    </row>
    <row r="6" spans="1:24" s="1" customFormat="1" ht="13" x14ac:dyDescent="0.3">
      <c r="A6" s="3" t="s">
        <v>1</v>
      </c>
      <c r="B6" s="3" t="s">
        <v>2</v>
      </c>
      <c r="C6" s="3" t="s">
        <v>36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10</v>
      </c>
      <c r="I6" s="3" t="s">
        <v>11</v>
      </c>
      <c r="K6" s="3" t="s">
        <v>12</v>
      </c>
      <c r="L6" s="3" t="s">
        <v>10</v>
      </c>
      <c r="M6" s="3" t="s">
        <v>11</v>
      </c>
      <c r="S6" s="3" t="s">
        <v>29</v>
      </c>
      <c r="T6" s="3" t="s">
        <v>30</v>
      </c>
      <c r="V6" s="3" t="s">
        <v>28</v>
      </c>
      <c r="W6" s="3" t="s">
        <v>27</v>
      </c>
      <c r="X6" s="3" t="s">
        <v>26</v>
      </c>
    </row>
    <row r="7" spans="1:24" x14ac:dyDescent="0.25">
      <c r="A7" s="4">
        <v>7148</v>
      </c>
      <c r="B7" s="6">
        <f>' Homework'!AN10</f>
        <v>0.7168141592920354</v>
      </c>
      <c r="C7" s="16">
        <f>Quizes!M5</f>
        <v>0.85</v>
      </c>
      <c r="D7" s="73">
        <v>0.71499999999999997</v>
      </c>
      <c r="E7" s="6">
        <v>0.9</v>
      </c>
      <c r="F7" s="6">
        <v>0.45500000000000002</v>
      </c>
      <c r="G7" s="7">
        <f>B7*$B$5+C7*$C$5+0*$D$5+E7*E5+F7*F5</f>
        <v>71.463495575221231</v>
      </c>
      <c r="H7" s="4" t="str">
        <f t="shared" ref="H7:H47" si="0">VLOOKUP(G7,$K$7:$L$18,2,TRUE)</f>
        <v>C</v>
      </c>
      <c r="I7" s="7">
        <f t="shared" ref="I7:I47" si="1">VLOOKUP(H7,$L$7:$M$18,2,FALSE)</f>
        <v>2</v>
      </c>
      <c r="K7" s="7">
        <v>0</v>
      </c>
      <c r="L7" s="4" t="s">
        <v>13</v>
      </c>
      <c r="M7" s="7">
        <v>0</v>
      </c>
      <c r="S7" s="4">
        <v>100</v>
      </c>
      <c r="T7" s="4">
        <f t="shared" ref="T7:T43" si="2">FREQUENCY($G$7:$G$48,S7:S8)</f>
        <v>0</v>
      </c>
      <c r="V7" s="4" t="s">
        <v>25</v>
      </c>
      <c r="W7" s="7">
        <v>4</v>
      </c>
      <c r="X7" s="4">
        <f t="shared" ref="X7:X17" si="3">FREQUENCY($I$7:$I$48,W7:W8)</f>
        <v>12</v>
      </c>
    </row>
    <row r="8" spans="1:24" x14ac:dyDescent="0.25">
      <c r="A8" s="4">
        <v>8311</v>
      </c>
      <c r="B8" s="6">
        <f>' Homework'!AN11</f>
        <v>0.64424778761061952</v>
      </c>
      <c r="C8" s="16">
        <f>Quizes!M6</f>
        <v>0.7142857142857143</v>
      </c>
      <c r="D8" s="76">
        <v>0.48</v>
      </c>
      <c r="E8" s="6">
        <v>0.875</v>
      </c>
      <c r="F8" s="6">
        <v>0.78500000000000003</v>
      </c>
      <c r="G8" s="7">
        <f>B8*$B$5+C8*$C$5+0*$D$5+E8*E5+F8*F5</f>
        <v>73.95938685208597</v>
      </c>
      <c r="H8" s="4" t="str">
        <f t="shared" si="0"/>
        <v>C</v>
      </c>
      <c r="I8" s="7">
        <f t="shared" si="1"/>
        <v>2</v>
      </c>
      <c r="K8" s="7">
        <v>50</v>
      </c>
      <c r="L8" s="4" t="s">
        <v>14</v>
      </c>
      <c r="M8" s="7">
        <v>0.7</v>
      </c>
      <c r="S8" s="4">
        <v>99</v>
      </c>
      <c r="T8" s="4">
        <f t="shared" si="2"/>
        <v>1</v>
      </c>
      <c r="V8" s="4" t="s">
        <v>24</v>
      </c>
      <c r="W8" s="7">
        <v>3.7</v>
      </c>
      <c r="X8" s="4">
        <f t="shared" si="3"/>
        <v>4</v>
      </c>
    </row>
    <row r="9" spans="1:24" x14ac:dyDescent="0.25">
      <c r="A9" s="4">
        <v>5045</v>
      </c>
      <c r="B9" s="6">
        <f>' Homework'!AN12</f>
        <v>0.98407079646017703</v>
      </c>
      <c r="C9" s="16">
        <f>Quizes!M7</f>
        <v>0.9285714285714286</v>
      </c>
      <c r="D9" s="77">
        <v>0.89500000000000002</v>
      </c>
      <c r="E9" s="6">
        <v>0.96</v>
      </c>
      <c r="F9" s="6">
        <v>0.95</v>
      </c>
      <c r="G9" s="7">
        <f>B9*$B$5+C9*$C$5+0*$D$5+E9*E5+F9*F5</f>
        <v>95.963906447534768</v>
      </c>
      <c r="H9" s="4" t="str">
        <f t="shared" si="0"/>
        <v>A</v>
      </c>
      <c r="I9" s="7">
        <f t="shared" si="1"/>
        <v>4</v>
      </c>
      <c r="K9" s="7">
        <v>57</v>
      </c>
      <c r="L9" s="4" t="s">
        <v>15</v>
      </c>
      <c r="M9" s="7">
        <v>1</v>
      </c>
      <c r="S9" s="4">
        <v>98</v>
      </c>
      <c r="T9" s="4">
        <f t="shared" si="2"/>
        <v>1</v>
      </c>
      <c r="V9" s="4" t="s">
        <v>20</v>
      </c>
      <c r="W9" s="7">
        <v>3.4</v>
      </c>
      <c r="X9" s="4">
        <f t="shared" si="3"/>
        <v>8</v>
      </c>
    </row>
    <row r="10" spans="1:24" x14ac:dyDescent="0.25">
      <c r="A10" s="4">
        <v>7827</v>
      </c>
      <c r="B10" s="6">
        <f>' Homework'!AN13</f>
        <v>0.24424778761061947</v>
      </c>
      <c r="C10" s="16">
        <f>Quizes!M8</f>
        <v>0.2</v>
      </c>
      <c r="D10" s="70">
        <v>0.57499999999999996</v>
      </c>
      <c r="E10" s="79">
        <v>7.4999999999999997E-2</v>
      </c>
      <c r="F10" s="6">
        <v>4.4999999999999998E-2</v>
      </c>
      <c r="G10" s="7">
        <f>B10*$B$5+C10*$C$5+D10*$D$5+0*E5+F10*F5</f>
        <v>25.173672566371682</v>
      </c>
      <c r="H10" s="4" t="str">
        <f t="shared" si="0"/>
        <v>F</v>
      </c>
      <c r="I10" s="7">
        <f t="shared" si="1"/>
        <v>0</v>
      </c>
      <c r="K10" s="7">
        <v>64</v>
      </c>
      <c r="L10" s="4" t="s">
        <v>16</v>
      </c>
      <c r="M10" s="7">
        <v>1.4</v>
      </c>
      <c r="S10" s="4">
        <v>97</v>
      </c>
      <c r="T10" s="4">
        <f t="shared" si="2"/>
        <v>2</v>
      </c>
      <c r="V10" s="4" t="s">
        <v>23</v>
      </c>
      <c r="W10" s="7">
        <v>3</v>
      </c>
      <c r="X10" s="4">
        <f t="shared" si="3"/>
        <v>1</v>
      </c>
    </row>
    <row r="11" spans="1:24" x14ac:dyDescent="0.25">
      <c r="A11" s="4">
        <v>6462</v>
      </c>
      <c r="B11" s="6">
        <f>' Homework'!AN14</f>
        <v>0.95398230088495573</v>
      </c>
      <c r="C11" s="78">
        <f>Quizes!M9</f>
        <v>0.34285714285714286</v>
      </c>
      <c r="D11" s="71">
        <v>0.7</v>
      </c>
      <c r="E11" s="6">
        <v>0.875</v>
      </c>
      <c r="F11" s="6">
        <v>0.46500000000000002</v>
      </c>
      <c r="G11" s="7">
        <f>B11*$B$5+0*$C$5+D11*$D$5+E11*E5+F11*F5</f>
        <v>76.514380530973455</v>
      </c>
      <c r="H11" s="4" t="str">
        <f t="shared" si="0"/>
        <v>C+</v>
      </c>
      <c r="I11" s="7">
        <f t="shared" si="1"/>
        <v>2.4</v>
      </c>
      <c r="K11" s="7">
        <v>67</v>
      </c>
      <c r="L11" s="4" t="s">
        <v>17</v>
      </c>
      <c r="M11" s="7">
        <v>1.7</v>
      </c>
      <c r="S11" s="4">
        <v>96</v>
      </c>
      <c r="T11" s="4">
        <f t="shared" si="2"/>
        <v>3</v>
      </c>
      <c r="V11" s="4" t="s">
        <v>22</v>
      </c>
      <c r="W11" s="7">
        <v>2.7</v>
      </c>
      <c r="X11" s="4">
        <f t="shared" si="3"/>
        <v>3</v>
      </c>
    </row>
    <row r="12" spans="1:24" x14ac:dyDescent="0.25">
      <c r="A12" s="4">
        <v>1282</v>
      </c>
      <c r="B12" s="6">
        <f>' Homework'!AN15</f>
        <v>0.76548672566371678</v>
      </c>
      <c r="C12" s="78">
        <f>Quizes!M10</f>
        <v>0.34285714285714286</v>
      </c>
      <c r="D12" s="71">
        <v>0.93500000000000005</v>
      </c>
      <c r="E12" s="6">
        <v>0.99</v>
      </c>
      <c r="F12" s="6">
        <v>0.91</v>
      </c>
      <c r="G12" s="7">
        <f>B12*$B$5+0*$C$5+D12*$D$5+E12*E5+F12*F5</f>
        <v>88.042035398230084</v>
      </c>
      <c r="H12" s="4" t="str">
        <f t="shared" si="0"/>
        <v>B+</v>
      </c>
      <c r="I12" s="7">
        <f t="shared" si="1"/>
        <v>3.4</v>
      </c>
      <c r="K12" s="7">
        <v>71</v>
      </c>
      <c r="L12" s="4" t="s">
        <v>18</v>
      </c>
      <c r="M12" s="7">
        <v>2</v>
      </c>
      <c r="S12" s="4">
        <v>95</v>
      </c>
      <c r="T12" s="4">
        <f t="shared" si="2"/>
        <v>5</v>
      </c>
      <c r="V12" s="4" t="s">
        <v>19</v>
      </c>
      <c r="W12" s="7">
        <v>2.4</v>
      </c>
      <c r="X12" s="4">
        <f t="shared" si="3"/>
        <v>1</v>
      </c>
    </row>
    <row r="13" spans="1:24" x14ac:dyDescent="0.25">
      <c r="A13" s="4">
        <v>9009</v>
      </c>
      <c r="B13" s="6">
        <f>' Homework'!AN16</f>
        <v>0.98053097345132745</v>
      </c>
      <c r="C13" s="78">
        <f>Quizes!M11</f>
        <v>0.91428571428571426</v>
      </c>
      <c r="D13" s="70">
        <v>1</v>
      </c>
      <c r="E13" s="6">
        <v>0.98499999999999999</v>
      </c>
      <c r="F13" s="6">
        <v>0.98</v>
      </c>
      <c r="G13" s="7">
        <f>B13*$B$5+0*$C$5+D13*$D$5+E13*E5+F13*F5</f>
        <v>98.518584070796464</v>
      </c>
      <c r="H13" s="4" t="str">
        <f t="shared" si="0"/>
        <v>A</v>
      </c>
      <c r="I13" s="7">
        <f t="shared" si="1"/>
        <v>4</v>
      </c>
      <c r="K13" s="7">
        <v>76</v>
      </c>
      <c r="L13" s="4" t="s">
        <v>19</v>
      </c>
      <c r="M13" s="7">
        <v>2.4</v>
      </c>
      <c r="S13" s="4">
        <v>94</v>
      </c>
      <c r="T13" s="4">
        <f t="shared" si="2"/>
        <v>0</v>
      </c>
      <c r="V13" s="4" t="s">
        <v>18</v>
      </c>
      <c r="W13" s="7">
        <v>2</v>
      </c>
      <c r="X13" s="4">
        <f t="shared" si="3"/>
        <v>7</v>
      </c>
    </row>
    <row r="14" spans="1:24" x14ac:dyDescent="0.25">
      <c r="A14" s="4" t="s">
        <v>43</v>
      </c>
      <c r="B14" s="6">
        <f>' Homework'!AN17</f>
        <v>0.93628318584070791</v>
      </c>
      <c r="C14" s="78">
        <f>Quizes!M12</f>
        <v>0.88571428571428568</v>
      </c>
      <c r="D14" s="70">
        <f>1</f>
        <v>1</v>
      </c>
      <c r="E14" s="6">
        <v>1</v>
      </c>
      <c r="F14" s="6">
        <v>0.93500000000000005</v>
      </c>
      <c r="G14" s="7">
        <f>B14*$B$5+0*$C$5+D14*$D$5+E14*E5+F14*F5</f>
        <v>96.144911504424783</v>
      </c>
      <c r="H14" s="4" t="str">
        <f t="shared" si="0"/>
        <v>A</v>
      </c>
      <c r="I14" s="7">
        <f t="shared" si="1"/>
        <v>4</v>
      </c>
      <c r="K14" s="7">
        <v>80</v>
      </c>
      <c r="L14" s="4" t="s">
        <v>22</v>
      </c>
      <c r="M14" s="7">
        <v>2.7</v>
      </c>
      <c r="S14" s="4">
        <v>93</v>
      </c>
      <c r="T14" s="4">
        <f t="shared" si="2"/>
        <v>3</v>
      </c>
      <c r="V14" s="4" t="s">
        <v>17</v>
      </c>
      <c r="W14" s="7">
        <v>1.7</v>
      </c>
      <c r="X14" s="4">
        <f t="shared" si="3"/>
        <v>2</v>
      </c>
    </row>
    <row r="15" spans="1:24" x14ac:dyDescent="0.25">
      <c r="A15" s="4">
        <v>8380</v>
      </c>
      <c r="B15" s="80">
        <f>' Homework'!AN18</f>
        <v>0.95221238938053099</v>
      </c>
      <c r="C15" s="78">
        <f>Quizes!M13</f>
        <v>0.95714285714285718</v>
      </c>
      <c r="D15" s="70">
        <v>0.96</v>
      </c>
      <c r="E15" s="6">
        <v>0.99</v>
      </c>
      <c r="F15" s="6">
        <v>0.9</v>
      </c>
      <c r="G15" s="7">
        <f>B15*$B$5+0*$C$5+D15*$D$5+E15*E5+F15*F5</f>
        <v>94.827433628318587</v>
      </c>
      <c r="H15" s="4" t="str">
        <f t="shared" si="0"/>
        <v>A</v>
      </c>
      <c r="I15" s="7">
        <f t="shared" si="1"/>
        <v>4</v>
      </c>
      <c r="K15" s="7">
        <v>85</v>
      </c>
      <c r="L15" s="4" t="s">
        <v>23</v>
      </c>
      <c r="M15" s="7">
        <v>3</v>
      </c>
      <c r="S15" s="4">
        <v>92</v>
      </c>
      <c r="T15" s="4">
        <f t="shared" si="2"/>
        <v>0</v>
      </c>
      <c r="V15" s="4" t="s">
        <v>16</v>
      </c>
      <c r="W15" s="7">
        <v>1.4</v>
      </c>
      <c r="X15" s="4">
        <f t="shared" si="3"/>
        <v>0</v>
      </c>
    </row>
    <row r="16" spans="1:24" x14ac:dyDescent="0.25">
      <c r="A16" s="4">
        <v>9983</v>
      </c>
      <c r="B16" s="6">
        <f>' Homework'!AN19</f>
        <v>0.8345132743362832</v>
      </c>
      <c r="C16" s="78">
        <f>Quizes!M14</f>
        <v>0.65714285714285714</v>
      </c>
      <c r="D16" s="70">
        <v>0.79</v>
      </c>
      <c r="E16" s="6">
        <v>0.75</v>
      </c>
      <c r="F16" s="6">
        <v>0.53500000000000003</v>
      </c>
      <c r="G16" s="7">
        <f>B16*$B$5+0*$C$5+D16*$D$5+E16*E5+F16*F5</f>
        <v>73.382964601769913</v>
      </c>
      <c r="H16" s="4" t="str">
        <f t="shared" si="0"/>
        <v>C</v>
      </c>
      <c r="I16" s="7">
        <f t="shared" si="1"/>
        <v>2</v>
      </c>
      <c r="K16" s="7">
        <v>87</v>
      </c>
      <c r="L16" s="4" t="s">
        <v>20</v>
      </c>
      <c r="M16" s="7">
        <v>3.4</v>
      </c>
      <c r="S16" s="4">
        <v>91</v>
      </c>
      <c r="T16" s="4">
        <f t="shared" si="2"/>
        <v>1</v>
      </c>
      <c r="V16" s="4" t="s">
        <v>15</v>
      </c>
      <c r="W16" s="7">
        <v>1</v>
      </c>
      <c r="X16" s="4">
        <f t="shared" si="3"/>
        <v>2</v>
      </c>
    </row>
    <row r="17" spans="1:24" x14ac:dyDescent="0.25">
      <c r="A17" s="4">
        <v>5717</v>
      </c>
      <c r="B17" s="6">
        <f>' Homework'!AN20</f>
        <v>0.9460176991150443</v>
      </c>
      <c r="C17" s="78">
        <f>Quizes!M15</f>
        <v>0.31428571428571428</v>
      </c>
      <c r="D17" s="70">
        <v>0.86</v>
      </c>
      <c r="E17" s="6">
        <v>0.86</v>
      </c>
      <c r="F17" s="6"/>
      <c r="G17" s="7">
        <f>B17*$B$5+0*$C$5+D17*$D$5+E17*E5+F17*F5</f>
        <v>67.510619469026551</v>
      </c>
      <c r="H17" s="4" t="str">
        <f t="shared" si="0"/>
        <v>C-</v>
      </c>
      <c r="I17" s="7">
        <f t="shared" si="1"/>
        <v>1.7</v>
      </c>
      <c r="K17" s="7">
        <v>90</v>
      </c>
      <c r="L17" s="4" t="s">
        <v>24</v>
      </c>
      <c r="M17" s="7">
        <v>3.7</v>
      </c>
      <c r="S17" s="4">
        <v>90</v>
      </c>
      <c r="T17" s="4">
        <f t="shared" si="2"/>
        <v>0</v>
      </c>
      <c r="V17" s="4" t="s">
        <v>14</v>
      </c>
      <c r="W17" s="7">
        <v>0.7</v>
      </c>
      <c r="X17" s="4">
        <f t="shared" si="3"/>
        <v>0</v>
      </c>
    </row>
    <row r="18" spans="1:24" x14ac:dyDescent="0.25">
      <c r="A18" s="4">
        <v>3947</v>
      </c>
      <c r="B18" s="6">
        <f>' Homework'!AN21</f>
        <v>0.9336283185840708</v>
      </c>
      <c r="C18" s="78">
        <f>Quizes!M16</f>
        <v>0.34285714285714286</v>
      </c>
      <c r="D18" s="70">
        <v>0.84499999999999997</v>
      </c>
      <c r="E18" s="6">
        <v>0.86499999999999999</v>
      </c>
      <c r="F18" s="6">
        <v>0.80500000000000005</v>
      </c>
      <c r="G18" s="7">
        <f>B18*$B$5+0*$C$5+D18*$D$5+E18*E5+F18*F5</f>
        <v>87.001991150442478</v>
      </c>
      <c r="H18" s="4" t="str">
        <f t="shared" si="0"/>
        <v>B+</v>
      </c>
      <c r="I18" s="7">
        <f t="shared" si="1"/>
        <v>3.4</v>
      </c>
      <c r="K18" s="7">
        <v>94</v>
      </c>
      <c r="L18" s="4" t="s">
        <v>25</v>
      </c>
      <c r="M18" s="7">
        <v>4</v>
      </c>
      <c r="S18" s="4">
        <v>89</v>
      </c>
      <c r="T18" s="4">
        <f t="shared" si="2"/>
        <v>6</v>
      </c>
      <c r="V18" s="4" t="s">
        <v>13</v>
      </c>
      <c r="W18" s="7">
        <v>0</v>
      </c>
      <c r="X18" s="4">
        <f>FREQUENCY($I$7:$I$48,V18:V20)</f>
        <v>1</v>
      </c>
    </row>
    <row r="19" spans="1:24" x14ac:dyDescent="0.25">
      <c r="A19" s="4">
        <v>7688</v>
      </c>
      <c r="B19" s="6">
        <f>' Homework'!AN22</f>
        <v>0.98230088495575218</v>
      </c>
      <c r="C19" s="16">
        <f>Quizes!M17</f>
        <v>0.97142857142857142</v>
      </c>
      <c r="D19" s="70">
        <v>0.98499999999999999</v>
      </c>
      <c r="E19" s="79">
        <v>0.91500000000000004</v>
      </c>
      <c r="F19" s="6">
        <v>0.875</v>
      </c>
      <c r="G19" s="7">
        <f>B19*$B$5+C19*$C$5+D19*$D$5+0*E5+F19*F5</f>
        <v>95.384102402022762</v>
      </c>
      <c r="H19" s="4" t="str">
        <f t="shared" si="0"/>
        <v>A</v>
      </c>
      <c r="I19" s="7">
        <f t="shared" si="1"/>
        <v>4</v>
      </c>
      <c r="S19" s="4">
        <v>88</v>
      </c>
      <c r="T19" s="4">
        <f t="shared" si="2"/>
        <v>2</v>
      </c>
    </row>
    <row r="20" spans="1:24" x14ac:dyDescent="0.25">
      <c r="A20" s="4">
        <v>8378</v>
      </c>
      <c r="B20" s="6">
        <f>' Homework'!AN23</f>
        <v>0.9699115044247788</v>
      </c>
      <c r="C20" s="16">
        <f>Quizes!M18</f>
        <v>0.73571428571428577</v>
      </c>
      <c r="D20" s="77">
        <v>0.62</v>
      </c>
      <c r="E20" s="6">
        <v>0.97499999999999998</v>
      </c>
      <c r="F20" s="6">
        <v>0.80500000000000005</v>
      </c>
      <c r="G20" s="7">
        <f>B20*$B$5+C20*$C$5+0*$D$5+E20*E5+F20*F5</f>
        <v>88.286188369152967</v>
      </c>
      <c r="H20" s="4" t="str">
        <f t="shared" si="0"/>
        <v>B+</v>
      </c>
      <c r="I20" s="7">
        <f t="shared" si="1"/>
        <v>3.4</v>
      </c>
      <c r="K20" s="8"/>
      <c r="L20" s="8"/>
      <c r="M20" s="8"/>
      <c r="S20" s="4">
        <v>87</v>
      </c>
      <c r="T20" s="4">
        <f t="shared" si="2"/>
        <v>0</v>
      </c>
    </row>
    <row r="21" spans="1:24" x14ac:dyDescent="0.25">
      <c r="A21" s="4">
        <v>7585</v>
      </c>
      <c r="B21" s="6">
        <f>' Homework'!AN24</f>
        <v>0.80530973451327437</v>
      </c>
      <c r="C21" s="78">
        <f>Quizes!M19</f>
        <v>0.5357142857142857</v>
      </c>
      <c r="D21" s="70">
        <v>0.63500000000000001</v>
      </c>
      <c r="E21" s="6">
        <v>0.55000000000000004</v>
      </c>
      <c r="F21" s="6">
        <v>0.38500000000000001</v>
      </c>
      <c r="G21" s="7">
        <f>B21*$B$5+0*$C$5+D21*$D$5+E21*E5+F21*F5</f>
        <v>61.510840707964604</v>
      </c>
      <c r="H21" s="4" t="str">
        <f t="shared" si="0"/>
        <v>D</v>
      </c>
      <c r="I21" s="7">
        <f t="shared" si="1"/>
        <v>1</v>
      </c>
      <c r="K21" s="10" t="s">
        <v>21</v>
      </c>
      <c r="L21" s="11">
        <f>AVERAGE(I7:I48)</f>
        <v>2.997560975609757</v>
      </c>
      <c r="M21" s="8"/>
      <c r="S21" s="4">
        <v>86</v>
      </c>
      <c r="T21" s="4">
        <f t="shared" si="2"/>
        <v>1</v>
      </c>
      <c r="W21" s="9" t="s">
        <v>32</v>
      </c>
      <c r="X21" s="2">
        <f>SUM(X7:X18)</f>
        <v>41</v>
      </c>
    </row>
    <row r="22" spans="1:24" x14ac:dyDescent="0.25">
      <c r="A22" s="4">
        <v>3738</v>
      </c>
      <c r="B22" s="6">
        <f>' Homework'!AN25</f>
        <v>0.54513274336283191</v>
      </c>
      <c r="C22" s="78">
        <f>Quizes!M20</f>
        <v>0.38571428571428573</v>
      </c>
      <c r="D22" s="70">
        <v>0.95</v>
      </c>
      <c r="E22" s="6">
        <v>0.91</v>
      </c>
      <c r="F22" s="6">
        <v>0.47499999999999998</v>
      </c>
      <c r="G22" s="7">
        <f>B22*$B$5+0*$C$5+D22*$D$5+E22*E5+F22*F5</f>
        <v>68.154646017699122</v>
      </c>
      <c r="H22" s="4" t="str">
        <f t="shared" si="0"/>
        <v>C-</v>
      </c>
      <c r="I22" s="7">
        <f t="shared" si="1"/>
        <v>1.7</v>
      </c>
      <c r="K22" s="8"/>
      <c r="L22" s="8"/>
      <c r="M22" s="8"/>
      <c r="S22" s="4">
        <v>85</v>
      </c>
      <c r="T22" s="4">
        <f t="shared" si="2"/>
        <v>0</v>
      </c>
    </row>
    <row r="23" spans="1:24" x14ac:dyDescent="0.25">
      <c r="A23" s="4">
        <v>3668</v>
      </c>
      <c r="B23" s="6">
        <f>' Homework'!AN26</f>
        <v>0.77079646017699111</v>
      </c>
      <c r="C23" s="16">
        <f>Quizes!M21</f>
        <v>0.6785714285714286</v>
      </c>
      <c r="D23" s="77">
        <v>0.59499999999999997</v>
      </c>
      <c r="E23" s="6">
        <v>0.8</v>
      </c>
      <c r="F23" s="6">
        <v>0.69499999999999995</v>
      </c>
      <c r="G23" s="7">
        <f>B23*$B$5+C23*$C$5+0*$D$5+E23*E5+F23*F5</f>
        <v>73.924304677623269</v>
      </c>
      <c r="H23" s="4" t="str">
        <f t="shared" si="0"/>
        <v>C</v>
      </c>
      <c r="I23" s="7">
        <f t="shared" si="1"/>
        <v>2</v>
      </c>
      <c r="K23" s="8"/>
      <c r="L23" s="8"/>
      <c r="M23" s="8"/>
      <c r="S23" s="4">
        <v>84</v>
      </c>
      <c r="T23" s="4">
        <f t="shared" si="2"/>
        <v>1</v>
      </c>
    </row>
    <row r="24" spans="1:24" x14ac:dyDescent="0.25">
      <c r="A24" s="4">
        <v>8537</v>
      </c>
      <c r="B24" s="6">
        <f>' Homework'!AN27</f>
        <v>0.93805309734513276</v>
      </c>
      <c r="C24" s="78">
        <f>Quizes!M22</f>
        <v>0.8571428571428571</v>
      </c>
      <c r="D24" s="70">
        <v>0.94499999999999995</v>
      </c>
      <c r="E24" s="6">
        <v>1</v>
      </c>
      <c r="F24" s="6">
        <v>0.92500000000000004</v>
      </c>
      <c r="G24" s="7">
        <f>B24*B5+0*C5+D24*D5+E24*E5+F24*F5</f>
        <v>94.856858407079642</v>
      </c>
      <c r="H24" s="4" t="str">
        <f t="shared" si="0"/>
        <v>A</v>
      </c>
      <c r="I24" s="7">
        <f t="shared" si="1"/>
        <v>4</v>
      </c>
      <c r="K24" s="8"/>
      <c r="L24" s="8"/>
      <c r="M24" s="8"/>
      <c r="S24" s="4">
        <v>83</v>
      </c>
      <c r="T24" s="4">
        <f t="shared" si="2"/>
        <v>1</v>
      </c>
    </row>
    <row r="25" spans="1:24" x14ac:dyDescent="0.25">
      <c r="A25" s="4">
        <v>1245</v>
      </c>
      <c r="B25" s="6">
        <f>' Homework'!AN28</f>
        <v>0.9486725663716814</v>
      </c>
      <c r="C25" s="16">
        <f>Quizes!M23</f>
        <v>0.98571428571428577</v>
      </c>
      <c r="D25" s="70">
        <v>0.92</v>
      </c>
      <c r="E25" s="79">
        <v>0.87</v>
      </c>
      <c r="F25" s="6">
        <v>0.84499999999999997</v>
      </c>
      <c r="G25" s="7">
        <f>B25*B5+C25*C5+D24*D5+0*E5+F25*F5</f>
        <v>92.942825537294567</v>
      </c>
      <c r="H25" s="4" t="str">
        <f t="shared" si="0"/>
        <v>A-</v>
      </c>
      <c r="I25" s="7">
        <f t="shared" si="1"/>
        <v>3.7</v>
      </c>
      <c r="S25" s="4">
        <v>82</v>
      </c>
      <c r="T25" s="4">
        <f t="shared" si="2"/>
        <v>1</v>
      </c>
    </row>
    <row r="26" spans="1:24" x14ac:dyDescent="0.25">
      <c r="A26" s="4">
        <v>4092</v>
      </c>
      <c r="B26" s="6">
        <f>' Homework'!AN29</f>
        <v>0.84247787610619473</v>
      </c>
      <c r="C26" s="78">
        <f>Quizes!M24</f>
        <v>0.52857142857142858</v>
      </c>
      <c r="D26" s="70">
        <v>0.82499999999999996</v>
      </c>
      <c r="E26" s="6">
        <v>0.94</v>
      </c>
      <c r="F26" s="6">
        <v>0.71499999999999997</v>
      </c>
      <c r="G26" s="7">
        <f>B26*$B$5+0*$C$5+D26*$D$5+E26*E5+F26*F5</f>
        <v>82.661725663716808</v>
      </c>
      <c r="H26" s="4" t="str">
        <f t="shared" si="0"/>
        <v>B-</v>
      </c>
      <c r="I26" s="7">
        <f t="shared" si="1"/>
        <v>2.7</v>
      </c>
      <c r="S26" s="4">
        <v>81</v>
      </c>
      <c r="T26" s="4">
        <f t="shared" si="2"/>
        <v>0</v>
      </c>
    </row>
    <row r="27" spans="1:24" x14ac:dyDescent="0.25">
      <c r="A27" s="4">
        <v>5688</v>
      </c>
      <c r="B27" s="6">
        <f>' Homework'!AN30</f>
        <v>0.98230088495575218</v>
      </c>
      <c r="C27" s="78">
        <f>Quizes!M25</f>
        <v>0.25714285714285712</v>
      </c>
      <c r="D27" s="70">
        <v>0.90500000000000003</v>
      </c>
      <c r="E27" s="6">
        <v>0.91500000000000004</v>
      </c>
      <c r="F27" s="6">
        <v>0.72</v>
      </c>
      <c r="G27" s="7">
        <f>B27*$B$5+0*$C$5+D27*$D$5+E27*E5+F27*F5</f>
        <v>88.780530973451334</v>
      </c>
      <c r="H27" s="4" t="str">
        <f t="shared" si="0"/>
        <v>B+</v>
      </c>
      <c r="I27" s="7">
        <f t="shared" si="1"/>
        <v>3.4</v>
      </c>
      <c r="M27" s="8"/>
      <c r="S27" s="4">
        <v>80</v>
      </c>
      <c r="T27" s="4">
        <f t="shared" si="2"/>
        <v>0</v>
      </c>
    </row>
    <row r="28" spans="1:24" x14ac:dyDescent="0.25">
      <c r="A28" s="4">
        <v>-9564</v>
      </c>
      <c r="B28" s="6">
        <f>' Homework'!AN31</f>
        <v>0.93274336283185844</v>
      </c>
      <c r="C28" s="78">
        <f>Quizes!M26</f>
        <v>0.77142857142857146</v>
      </c>
      <c r="D28" s="70">
        <v>0.95499999999999996</v>
      </c>
      <c r="E28" s="6">
        <v>0.95</v>
      </c>
      <c r="F28" s="6">
        <v>0.89</v>
      </c>
      <c r="G28" s="7">
        <f>B28*B5+D28*D5+E28*E5+F28*F5</f>
        <v>92.996017699115043</v>
      </c>
      <c r="H28" s="4" t="str">
        <f t="shared" si="0"/>
        <v>A-</v>
      </c>
      <c r="I28" s="7">
        <f t="shared" si="1"/>
        <v>3.7</v>
      </c>
      <c r="S28" s="4">
        <v>79</v>
      </c>
      <c r="T28" s="4">
        <f t="shared" si="2"/>
        <v>0</v>
      </c>
    </row>
    <row r="29" spans="1:24" x14ac:dyDescent="0.25">
      <c r="A29" s="4">
        <v>5951</v>
      </c>
      <c r="B29" s="6">
        <f>' Homework'!AN32</f>
        <v>0.90619469026548671</v>
      </c>
      <c r="C29" s="16">
        <f>Quizes!M27</f>
        <v>0.8571428571428571</v>
      </c>
      <c r="D29" s="70">
        <v>0.84499999999999997</v>
      </c>
      <c r="E29" s="79">
        <v>0.78500000000000003</v>
      </c>
      <c r="F29" s="6">
        <v>0.63</v>
      </c>
      <c r="G29" s="7">
        <f>B29*$B$5+C29*$C$5+D29*$D$5+0*E5+F29*F5</f>
        <v>81.509671302149172</v>
      </c>
      <c r="H29" s="4" t="str">
        <f t="shared" si="0"/>
        <v>B-</v>
      </c>
      <c r="I29" s="7">
        <f t="shared" si="1"/>
        <v>2.7</v>
      </c>
      <c r="M29" s="8"/>
      <c r="S29" s="4">
        <v>78</v>
      </c>
      <c r="T29" s="4">
        <f t="shared" si="2"/>
        <v>0</v>
      </c>
    </row>
    <row r="30" spans="1:24" x14ac:dyDescent="0.25">
      <c r="A30" s="4">
        <v>7032</v>
      </c>
      <c r="B30" s="6">
        <f>' Homework'!AN33</f>
        <v>0.93097345132743359</v>
      </c>
      <c r="C30" s="78">
        <f>Quizes!M28</f>
        <v>0.77857142857142858</v>
      </c>
      <c r="D30" s="70">
        <v>0.89</v>
      </c>
      <c r="E30" s="6">
        <v>0.9</v>
      </c>
      <c r="F30" s="6">
        <v>0.8</v>
      </c>
      <c r="G30" s="7">
        <f>B30*$B$5+0*$C$5+D30*$D$5+E30*E5+F30*F5</f>
        <v>88.384070796460179</v>
      </c>
      <c r="H30" s="4" t="str">
        <f t="shared" si="0"/>
        <v>B+</v>
      </c>
      <c r="I30" s="7">
        <f t="shared" si="1"/>
        <v>3.4</v>
      </c>
      <c r="S30" s="4">
        <v>77</v>
      </c>
      <c r="T30" s="4">
        <f t="shared" si="2"/>
        <v>1</v>
      </c>
    </row>
    <row r="31" spans="1:24" x14ac:dyDescent="0.25">
      <c r="A31" s="4">
        <v>5234</v>
      </c>
      <c r="B31" s="6">
        <f>' Homework'!AN34</f>
        <v>0.9699115044247788</v>
      </c>
      <c r="C31" s="16">
        <f>Quizes!M29</f>
        <v>0.92142857142857137</v>
      </c>
      <c r="D31" s="70">
        <v>0.93</v>
      </c>
      <c r="E31" s="79">
        <v>0.9</v>
      </c>
      <c r="F31" s="6">
        <v>0.8</v>
      </c>
      <c r="G31" s="7">
        <f>B31*$B$5+C31*$C$5+D31*$D$5+0*E5+F31*F5</f>
        <v>90.975474083438684</v>
      </c>
      <c r="H31" s="4" t="str">
        <f t="shared" si="0"/>
        <v>A-</v>
      </c>
      <c r="I31" s="7">
        <f t="shared" si="1"/>
        <v>3.7</v>
      </c>
      <c r="S31" s="87">
        <v>76</v>
      </c>
      <c r="T31" s="87">
        <f t="shared" si="2"/>
        <v>0</v>
      </c>
    </row>
    <row r="32" spans="1:24" x14ac:dyDescent="0.25">
      <c r="A32" s="4">
        <v>4402</v>
      </c>
      <c r="B32" s="6">
        <f>' Homework'!AN35</f>
        <v>0.93008849557522122</v>
      </c>
      <c r="C32" s="16">
        <f>Quizes!M30</f>
        <v>0.93571428571428572</v>
      </c>
      <c r="D32" s="70">
        <v>0.98499999999999999</v>
      </c>
      <c r="E32" s="79">
        <v>0.89</v>
      </c>
      <c r="F32" s="6">
        <v>0.92500000000000004</v>
      </c>
      <c r="G32" s="7">
        <f>B32*$B$5+C32*$C$5+D32*$D$5+0*E5+F32*F5</f>
        <v>94.092383059418452</v>
      </c>
      <c r="H32" s="4" t="str">
        <f t="shared" si="0"/>
        <v>A</v>
      </c>
      <c r="I32" s="7">
        <f t="shared" si="1"/>
        <v>4</v>
      </c>
      <c r="S32" s="4">
        <v>75</v>
      </c>
      <c r="T32" s="4">
        <f t="shared" si="2"/>
        <v>0</v>
      </c>
    </row>
    <row r="33" spans="1:20" x14ac:dyDescent="0.25">
      <c r="A33" s="4">
        <v>7527</v>
      </c>
      <c r="B33" s="6">
        <f>' Homework'!AN36</f>
        <v>0.99292035398230083</v>
      </c>
      <c r="C33" s="78">
        <f>Quizes!M31</f>
        <v>0.7857142857142857</v>
      </c>
      <c r="D33" s="70">
        <v>0.95499999999999996</v>
      </c>
      <c r="E33" s="6">
        <v>0.97499999999999998</v>
      </c>
      <c r="F33" s="6">
        <v>0.97499999999999998</v>
      </c>
      <c r="G33" s="7">
        <f>B33*$B$5+0*$C$5+D33*$D$5+E33*E5+F33*F5</f>
        <v>97.727212389380526</v>
      </c>
      <c r="H33" s="4" t="str">
        <f t="shared" si="0"/>
        <v>A</v>
      </c>
      <c r="I33" s="7">
        <f t="shared" si="1"/>
        <v>4</v>
      </c>
      <c r="S33" s="4">
        <v>74</v>
      </c>
      <c r="T33" s="4">
        <f t="shared" si="2"/>
        <v>3</v>
      </c>
    </row>
    <row r="34" spans="1:20" x14ac:dyDescent="0.25">
      <c r="A34" s="4">
        <v>2654</v>
      </c>
      <c r="B34" s="6">
        <f>' Homework'!AN37</f>
        <v>0.78230088495575223</v>
      </c>
      <c r="C34" s="78">
        <f>Quizes!M32</f>
        <v>0.73571428571428577</v>
      </c>
      <c r="D34" s="70">
        <v>0.86</v>
      </c>
      <c r="E34" s="6">
        <v>0.89500000000000002</v>
      </c>
      <c r="F34" s="6">
        <v>0.85</v>
      </c>
      <c r="G34" s="7">
        <f>B34*$B$5+0*$C$5+D34*$D$5+E34*E5+F34*F5</f>
        <v>83.730530973451323</v>
      </c>
      <c r="H34" s="4" t="str">
        <f t="shared" si="0"/>
        <v>B-</v>
      </c>
      <c r="I34" s="7">
        <f t="shared" si="1"/>
        <v>2.7</v>
      </c>
      <c r="S34" s="4">
        <v>73</v>
      </c>
      <c r="T34" s="4">
        <f t="shared" si="2"/>
        <v>2</v>
      </c>
    </row>
    <row r="35" spans="1:20" x14ac:dyDescent="0.25">
      <c r="A35" s="4">
        <v>-6682</v>
      </c>
      <c r="B35" s="6">
        <f>' Homework'!AN38</f>
        <v>0.74336283185840712</v>
      </c>
      <c r="C35" s="16">
        <f>Quizes!M33</f>
        <v>0.82857142857142863</v>
      </c>
      <c r="D35" s="77">
        <v>0.76</v>
      </c>
      <c r="E35" s="6">
        <v>0.77500000000000002</v>
      </c>
      <c r="F35" s="6">
        <v>0.55500000000000005</v>
      </c>
      <c r="G35" s="7">
        <f>B35*$B$5+C35*$C$5+0*$D$5+E35*E5+F35*F5</f>
        <v>71.964127686472821</v>
      </c>
      <c r="H35" s="4" t="str">
        <f t="shared" si="0"/>
        <v>C</v>
      </c>
      <c r="I35" s="7">
        <f t="shared" si="1"/>
        <v>2</v>
      </c>
      <c r="S35" s="4">
        <v>72</v>
      </c>
      <c r="T35" s="4">
        <f t="shared" si="2"/>
        <v>2</v>
      </c>
    </row>
    <row r="36" spans="1:20" x14ac:dyDescent="0.25">
      <c r="A36" s="4">
        <v>7935</v>
      </c>
      <c r="B36" s="6">
        <f>' Homework'!AN39</f>
        <v>0.89115044247787611</v>
      </c>
      <c r="C36" s="78">
        <f>Quizes!M34</f>
        <v>0.8928571428571429</v>
      </c>
      <c r="D36" s="70">
        <v>0.93</v>
      </c>
      <c r="E36" s="6">
        <v>0.95499999999999996</v>
      </c>
      <c r="F36" s="6">
        <v>0.78500000000000003</v>
      </c>
      <c r="G36" s="7">
        <f>B36*$B$5+0*$C$5+D36*$D$5+E36*E5+F36*F5</f>
        <v>88.515265486725667</v>
      </c>
      <c r="H36" s="4" t="str">
        <f t="shared" si="0"/>
        <v>B+</v>
      </c>
      <c r="I36" s="7">
        <f t="shared" si="1"/>
        <v>3.4</v>
      </c>
      <c r="S36" s="4">
        <v>71</v>
      </c>
      <c r="T36" s="4">
        <f t="shared" si="2"/>
        <v>0</v>
      </c>
    </row>
    <row r="37" spans="1:20" x14ac:dyDescent="0.25">
      <c r="A37" s="4">
        <v>-9400</v>
      </c>
      <c r="B37" s="6">
        <f>' Homework'!AN40</f>
        <v>0.9398230088495575</v>
      </c>
      <c r="C37" s="78">
        <f>Quizes!M35</f>
        <v>0.73571428571428577</v>
      </c>
      <c r="D37" s="70">
        <v>0.79</v>
      </c>
      <c r="E37" s="6">
        <v>0.97499999999999998</v>
      </c>
      <c r="F37" s="6">
        <v>0.80500000000000005</v>
      </c>
      <c r="G37" s="7">
        <f>B37*$B$5+0*$C$5+D37*$D$5+E37*E5+F37*F5</f>
        <v>88.318805309734515</v>
      </c>
      <c r="H37" s="4" t="str">
        <f t="shared" si="0"/>
        <v>B+</v>
      </c>
      <c r="I37" s="7">
        <f t="shared" si="1"/>
        <v>3.4</v>
      </c>
      <c r="S37" s="4">
        <v>70</v>
      </c>
      <c r="T37" s="4">
        <f t="shared" si="2"/>
        <v>0</v>
      </c>
    </row>
    <row r="38" spans="1:20" x14ac:dyDescent="0.25">
      <c r="A38" s="4" t="s">
        <v>44</v>
      </c>
      <c r="B38" s="6">
        <f>' Homework'!AN41</f>
        <v>0.99646017699115041</v>
      </c>
      <c r="C38" s="78">
        <f>Quizes!M36</f>
        <v>0.87142857142857144</v>
      </c>
      <c r="D38" s="70">
        <v>0.99</v>
      </c>
      <c r="E38" s="6">
        <v>0.95</v>
      </c>
      <c r="F38" s="6">
        <v>0.92</v>
      </c>
      <c r="G38" s="7">
        <f>B38*$B$5+0*$C$5+D38*$D$5+E38*E5+F38*F5</f>
        <v>96.676106194690263</v>
      </c>
      <c r="H38" s="4" t="str">
        <f t="shared" si="0"/>
        <v>A</v>
      </c>
      <c r="I38" s="7">
        <f t="shared" si="1"/>
        <v>4</v>
      </c>
      <c r="S38" s="4">
        <v>69</v>
      </c>
      <c r="T38" s="4">
        <f t="shared" si="2"/>
        <v>1</v>
      </c>
    </row>
    <row r="39" spans="1:20" x14ac:dyDescent="0.25">
      <c r="A39" s="4">
        <v>4805</v>
      </c>
      <c r="B39" s="6">
        <f>' Homework'!AN42</f>
        <v>0.93628318584070791</v>
      </c>
      <c r="C39" s="78">
        <f>Quizes!M37</f>
        <v>0.91428571428571426</v>
      </c>
      <c r="D39" s="70">
        <v>0.97499999999999998</v>
      </c>
      <c r="E39" s="6">
        <v>0.95</v>
      </c>
      <c r="F39" s="6">
        <v>0.86</v>
      </c>
      <c r="G39" s="7">
        <f>B39*$B$5+0*$C$5+D39*$D$5+E39*E5+F39*F5</f>
        <v>92.769911504424783</v>
      </c>
      <c r="H39" s="4" t="str">
        <f t="shared" si="0"/>
        <v>A-</v>
      </c>
      <c r="I39" s="7">
        <f t="shared" si="1"/>
        <v>3.7</v>
      </c>
      <c r="S39" s="4">
        <v>68</v>
      </c>
      <c r="T39" s="4">
        <f t="shared" si="2"/>
        <v>1</v>
      </c>
    </row>
    <row r="40" spans="1:20" x14ac:dyDescent="0.25">
      <c r="A40" s="4">
        <v>2311</v>
      </c>
      <c r="B40" s="6">
        <f>' Homework'!AN43</f>
        <v>0.93893805309734513</v>
      </c>
      <c r="C40" s="16">
        <f>Quizes!M38</f>
        <v>0.77857142857142858</v>
      </c>
      <c r="D40" s="77">
        <v>0.745</v>
      </c>
      <c r="E40" s="6">
        <v>0.89500000000000002</v>
      </c>
      <c r="F40" s="6">
        <v>0.83</v>
      </c>
      <c r="G40" s="7">
        <f>B40*$B$5+C40*$C$5+0*$D$5+E40*E5+F40*F5</f>
        <v>87.084260429835638</v>
      </c>
      <c r="H40" s="4" t="str">
        <f t="shared" si="0"/>
        <v>B+</v>
      </c>
      <c r="I40" s="7">
        <f t="shared" si="1"/>
        <v>3.4</v>
      </c>
      <c r="S40" s="4">
        <v>67</v>
      </c>
      <c r="T40" s="4">
        <f t="shared" si="2"/>
        <v>0</v>
      </c>
    </row>
    <row r="41" spans="1:20" x14ac:dyDescent="0.25">
      <c r="A41" s="4">
        <v>8419</v>
      </c>
      <c r="B41" s="6">
        <f>' Homework'!AN44</f>
        <v>0.92920353982300885</v>
      </c>
      <c r="C41" s="16">
        <f>Quizes!M39</f>
        <v>1</v>
      </c>
      <c r="D41" s="77">
        <v>0.90500000000000003</v>
      </c>
      <c r="E41" s="6">
        <v>0.97499999999999998</v>
      </c>
      <c r="F41" s="6">
        <v>0.88500000000000001</v>
      </c>
      <c r="G41" s="7">
        <f>B41*$B$5+C41*$C$5+0*$D$5+E41*E5+F41*F5</f>
        <v>94.147123893805315</v>
      </c>
      <c r="H41" s="4" t="str">
        <f t="shared" si="0"/>
        <v>A</v>
      </c>
      <c r="I41" s="7">
        <f t="shared" si="1"/>
        <v>4</v>
      </c>
      <c r="S41" s="4">
        <v>66</v>
      </c>
      <c r="T41" s="4">
        <f t="shared" si="2"/>
        <v>0</v>
      </c>
    </row>
    <row r="42" spans="1:20" x14ac:dyDescent="0.25">
      <c r="A42" s="4">
        <v>1714</v>
      </c>
      <c r="B42" s="6">
        <f>' Homework'!AN45</f>
        <v>0.86106194690265492</v>
      </c>
      <c r="C42" s="16">
        <f>Quizes!M40</f>
        <v>0.68571428571428572</v>
      </c>
      <c r="D42" s="77">
        <v>0.59</v>
      </c>
      <c r="E42" s="6">
        <v>0.8</v>
      </c>
      <c r="F42" s="6">
        <v>0.495</v>
      </c>
      <c r="G42" s="7">
        <f>B42*$B$5+C42*$C$5+0*$D$5+E42*E5+F42*F5</f>
        <v>72.226453855878646</v>
      </c>
      <c r="H42" s="4" t="str">
        <f t="shared" si="0"/>
        <v>C</v>
      </c>
      <c r="I42" s="7">
        <f t="shared" si="1"/>
        <v>2</v>
      </c>
      <c r="S42" s="4">
        <v>65</v>
      </c>
      <c r="T42" s="4">
        <f t="shared" si="2"/>
        <v>0</v>
      </c>
    </row>
    <row r="43" spans="1:20" x14ac:dyDescent="0.25">
      <c r="A43" s="4">
        <v>1601</v>
      </c>
      <c r="B43" s="6">
        <f>' Homework'!AN46</f>
        <v>0.98407079646017703</v>
      </c>
      <c r="C43" s="16">
        <f>Quizes!M41</f>
        <v>0.98571428571428577</v>
      </c>
      <c r="D43" s="77">
        <v>0.82</v>
      </c>
      <c r="E43" s="6">
        <v>0.95</v>
      </c>
      <c r="F43" s="6">
        <v>0.86</v>
      </c>
      <c r="G43" s="7">
        <f>B43*$B$5+C43*$C$5+0*$D$5+E43*E5+F43*F5</f>
        <v>94.656763590391904</v>
      </c>
      <c r="H43" s="4" t="str">
        <f t="shared" si="0"/>
        <v>A</v>
      </c>
      <c r="I43" s="7">
        <f t="shared" si="1"/>
        <v>4</v>
      </c>
      <c r="S43" s="4">
        <v>64</v>
      </c>
      <c r="T43" s="4">
        <f t="shared" si="2"/>
        <v>3</v>
      </c>
    </row>
    <row r="44" spans="1:20" x14ac:dyDescent="0.25">
      <c r="A44" s="4">
        <v>2982</v>
      </c>
      <c r="B44" s="6">
        <f>' Homework'!AN47</f>
        <v>0.6654867256637168</v>
      </c>
      <c r="C44" s="78">
        <f>Quizes!M42</f>
        <v>0.44285714285714284</v>
      </c>
      <c r="D44" s="70">
        <v>0.79500000000000004</v>
      </c>
      <c r="E44" s="6">
        <v>0.79</v>
      </c>
      <c r="F44" s="6">
        <v>0.68500000000000005</v>
      </c>
      <c r="G44" s="7">
        <f>B44*$B$5+0*$C$5+D44*$D$5+E44*E5+F44*F5</f>
        <v>72.117035398230087</v>
      </c>
      <c r="H44" s="4" t="str">
        <f t="shared" si="0"/>
        <v>C</v>
      </c>
      <c r="I44" s="7">
        <f t="shared" si="1"/>
        <v>2</v>
      </c>
    </row>
    <row r="45" spans="1:20" x14ac:dyDescent="0.25">
      <c r="A45" s="4">
        <v>3073</v>
      </c>
      <c r="B45" s="6">
        <f>' Homework'!AN48</f>
        <v>0.37964601769911505</v>
      </c>
      <c r="C45" s="78">
        <f>Quizes!M43</f>
        <v>0.7</v>
      </c>
      <c r="D45" s="70">
        <v>0.8</v>
      </c>
      <c r="E45" s="6">
        <v>0.72</v>
      </c>
      <c r="F45" s="6">
        <v>0.54500000000000004</v>
      </c>
      <c r="G45" s="7">
        <f>B45*$B$5+0*$C$5+D45*$D$5+E45*E5+F45*F5</f>
        <v>57.312610619469027</v>
      </c>
      <c r="H45" s="4" t="str">
        <f t="shared" si="0"/>
        <v>D</v>
      </c>
      <c r="I45" s="7">
        <f t="shared" si="1"/>
        <v>1</v>
      </c>
    </row>
    <row r="46" spans="1:20" x14ac:dyDescent="0.25">
      <c r="A46" s="4">
        <v>2454</v>
      </c>
      <c r="B46" s="6">
        <f>' Homework'!AN49</f>
        <v>0.97168141592920354</v>
      </c>
      <c r="C46" s="78">
        <f>Quizes!M44</f>
        <v>0.75714285714285712</v>
      </c>
      <c r="D46" s="70">
        <v>1</v>
      </c>
      <c r="E46" s="6">
        <v>0.99</v>
      </c>
      <c r="F46" s="6">
        <v>0.875</v>
      </c>
      <c r="G46" s="7">
        <f>B46*$B$5+0*$C$5+D46*$D$5+E46*E5+F46*F5</f>
        <v>95.683849557522123</v>
      </c>
      <c r="H46" s="4" t="str">
        <f t="shared" si="0"/>
        <v>A</v>
      </c>
      <c r="I46" s="7">
        <f t="shared" si="1"/>
        <v>4</v>
      </c>
      <c r="S46" s="9" t="s">
        <v>31</v>
      </c>
      <c r="T46" s="2">
        <f>SUM(T7:T43)</f>
        <v>41</v>
      </c>
    </row>
    <row r="47" spans="1:20" x14ac:dyDescent="0.25">
      <c r="A47" s="4">
        <v>1930</v>
      </c>
      <c r="B47" s="6">
        <f>' Homework'!AN50</f>
        <v>0.96017699115044253</v>
      </c>
      <c r="C47" s="78">
        <f>Quizes!M45</f>
        <v>0.75714285714285712</v>
      </c>
      <c r="D47" s="71">
        <v>0.87</v>
      </c>
      <c r="E47" s="6">
        <v>0.92500000000000004</v>
      </c>
      <c r="F47" s="6">
        <v>0.65</v>
      </c>
      <c r="G47" s="7">
        <f>B47*$B$5+0*$C$5+D47*$D$5+E47*E5+F47*F5</f>
        <v>85.756194690265488</v>
      </c>
      <c r="H47" s="4" t="str">
        <f t="shared" si="0"/>
        <v>B</v>
      </c>
      <c r="I47" s="7">
        <f t="shared" si="1"/>
        <v>3</v>
      </c>
    </row>
    <row r="48" spans="1:20" x14ac:dyDescent="0.25">
      <c r="A48" s="4" t="s">
        <v>38</v>
      </c>
      <c r="B48" s="6" t="s">
        <v>38</v>
      </c>
      <c r="C48" s="6" t="s">
        <v>38</v>
      </c>
      <c r="D48" s="6" t="s">
        <v>38</v>
      </c>
      <c r="E48" s="6"/>
      <c r="F48" s="6"/>
      <c r="G48" s="7"/>
      <c r="H48" s="4"/>
      <c r="I48" s="7"/>
    </row>
    <row r="50" spans="1:9" ht="13" thickBot="1" x14ac:dyDescent="0.3"/>
    <row r="51" spans="1:9" x14ac:dyDescent="0.25">
      <c r="A51" s="19" t="s">
        <v>7</v>
      </c>
      <c r="B51" s="28">
        <f t="shared" ref="B51:G51" si="4">MIN(B7:B48)</f>
        <v>0.24424778761061947</v>
      </c>
      <c r="C51" s="28">
        <f t="shared" si="4"/>
        <v>0.2</v>
      </c>
      <c r="D51" s="28">
        <f t="shared" si="4"/>
        <v>0.48</v>
      </c>
      <c r="E51" s="28">
        <f t="shared" si="4"/>
        <v>7.4999999999999997E-2</v>
      </c>
      <c r="F51" s="28">
        <f t="shared" si="4"/>
        <v>4.4999999999999998E-2</v>
      </c>
      <c r="G51" s="29">
        <f t="shared" si="4"/>
        <v>25.173672566371682</v>
      </c>
      <c r="H51" s="29"/>
      <c r="I51" s="97">
        <f>MIN(I7:I48)</f>
        <v>0</v>
      </c>
    </row>
    <row r="52" spans="1:9" x14ac:dyDescent="0.25">
      <c r="A52" s="22" t="s">
        <v>8</v>
      </c>
      <c r="B52" s="27">
        <f t="shared" ref="B52:G52" si="5">AVERAGE(B7:B48)</f>
        <v>0.86145046406216275</v>
      </c>
      <c r="C52" s="27">
        <f t="shared" si="5"/>
        <v>0.72003484320557487</v>
      </c>
      <c r="D52" s="27">
        <f t="shared" si="5"/>
        <v>0.84207317073170729</v>
      </c>
      <c r="E52" s="27">
        <f t="shared" si="5"/>
        <v>0.87670731707317051</v>
      </c>
      <c r="F52" s="27">
        <f t="shared" si="5"/>
        <v>0.7456250000000002</v>
      </c>
      <c r="G52" s="7">
        <f t="shared" si="5"/>
        <v>83.454860318830754</v>
      </c>
      <c r="H52" s="7"/>
      <c r="I52" s="98">
        <f>AVERAGE(I7:I48)</f>
        <v>2.997560975609757</v>
      </c>
    </row>
    <row r="53" spans="1:9" ht="13" thickBot="1" x14ac:dyDescent="0.3">
      <c r="A53" s="24" t="s">
        <v>9</v>
      </c>
      <c r="B53" s="30">
        <f t="shared" ref="B53:G53" si="6">MAX(B7:B48)</f>
        <v>0.99646017699115041</v>
      </c>
      <c r="C53" s="30">
        <f t="shared" si="6"/>
        <v>1</v>
      </c>
      <c r="D53" s="30">
        <f t="shared" si="6"/>
        <v>1</v>
      </c>
      <c r="E53" s="30">
        <f t="shared" si="6"/>
        <v>1</v>
      </c>
      <c r="F53" s="30">
        <f t="shared" si="6"/>
        <v>0.98</v>
      </c>
      <c r="G53" s="31">
        <f t="shared" si="6"/>
        <v>98.518584070796464</v>
      </c>
      <c r="H53" s="31"/>
      <c r="I53" s="99">
        <f>MAX(I7:I48)</f>
        <v>4</v>
      </c>
    </row>
  </sheetData>
  <phoneticPr fontId="0" type="noConversion"/>
  <pageMargins left="0.75" right="0.75" top="1" bottom="1" header="0.5" footer="0.5"/>
  <pageSetup scale="46" orientation="landscape" horizont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"/>
  <sheetViews>
    <sheetView zoomScale="7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9" sqref="A19:B19"/>
    </sheetView>
  </sheetViews>
  <sheetFormatPr defaultRowHeight="12.5" x14ac:dyDescent="0.25"/>
  <cols>
    <col min="1" max="1" width="23.81640625" bestFit="1" customWidth="1"/>
    <col min="2" max="3" width="5.1796875" customWidth="1"/>
    <col min="4" max="5" width="4.1796875" customWidth="1"/>
    <col min="6" max="6" width="5.1796875" customWidth="1"/>
    <col min="7" max="7" width="4.1796875" customWidth="1"/>
    <col min="8" max="8" width="5.1796875" customWidth="1"/>
    <col min="9" max="9" width="4.1796875" customWidth="1"/>
    <col min="10" max="13" width="5.1796875" customWidth="1"/>
    <col min="14" max="14" width="4.1796875" customWidth="1"/>
    <col min="15" max="16" width="5.1796875" customWidth="1"/>
    <col min="17" max="17" width="4.1796875" customWidth="1"/>
    <col min="18" max="18" width="5.1796875" customWidth="1"/>
    <col min="19" max="19" width="4.1796875" customWidth="1"/>
    <col min="20" max="20" width="5.1796875" customWidth="1"/>
    <col min="21" max="22" width="4.1796875" customWidth="1"/>
    <col min="23" max="23" width="5.1796875" customWidth="1"/>
    <col min="24" max="25" width="4.1796875" customWidth="1"/>
    <col min="26" max="27" width="5.1796875" customWidth="1"/>
    <col min="28" max="28" width="4.1796875" customWidth="1"/>
    <col min="29" max="30" width="5.1796875" customWidth="1"/>
    <col min="31" max="32" width="4.1796875" customWidth="1"/>
    <col min="33" max="38" width="5.1796875" customWidth="1"/>
    <col min="39" max="39" width="9.54296875" bestFit="1" customWidth="1"/>
    <col min="40" max="40" width="10.81640625" bestFit="1" customWidth="1"/>
  </cols>
  <sheetData>
    <row r="1" spans="1:40" ht="17.5" x14ac:dyDescent="0.35">
      <c r="A1" s="12" t="s">
        <v>33</v>
      </c>
      <c r="C1" s="32" t="s">
        <v>38</v>
      </c>
    </row>
    <row r="2" spans="1:40" ht="17.5" x14ac:dyDescent="0.35">
      <c r="A2" s="12"/>
      <c r="C2" s="32"/>
    </row>
    <row r="3" spans="1:40" ht="13" x14ac:dyDescent="0.3">
      <c r="A3" s="1" t="s">
        <v>39</v>
      </c>
    </row>
    <row r="4" spans="1:40" ht="13" x14ac:dyDescent="0.3">
      <c r="A4" s="1" t="s">
        <v>40</v>
      </c>
      <c r="B4" t="s">
        <v>38</v>
      </c>
      <c r="C4" s="69" t="s">
        <v>38</v>
      </c>
    </row>
    <row r="5" spans="1:40" x14ac:dyDescent="0.25">
      <c r="A5" t="s">
        <v>93</v>
      </c>
      <c r="AD5" s="91"/>
      <c r="AE5" t="s">
        <v>92</v>
      </c>
    </row>
    <row r="6" spans="1:40" ht="20" x14ac:dyDescent="0.25">
      <c r="A6" s="34"/>
      <c r="B6" s="35" t="s">
        <v>46</v>
      </c>
      <c r="C6" s="36"/>
      <c r="D6" s="37"/>
      <c r="E6" s="37"/>
      <c r="F6" s="37"/>
      <c r="G6" s="37"/>
      <c r="H6" s="37"/>
      <c r="I6" s="37"/>
      <c r="J6" s="37"/>
      <c r="K6" s="37"/>
      <c r="L6" s="38"/>
      <c r="M6" s="37"/>
      <c r="N6" s="37"/>
      <c r="O6" s="37"/>
      <c r="AM6" s="39"/>
    </row>
    <row r="7" spans="1:40" ht="59" x14ac:dyDescent="0.25">
      <c r="A7" s="40" t="s">
        <v>47</v>
      </c>
      <c r="B7" s="41" t="s">
        <v>48</v>
      </c>
      <c r="C7" s="42" t="s">
        <v>49</v>
      </c>
      <c r="D7" s="42" t="s">
        <v>50</v>
      </c>
      <c r="E7" s="42" t="s">
        <v>51</v>
      </c>
      <c r="F7" s="42" t="s">
        <v>52</v>
      </c>
      <c r="G7" s="42" t="s">
        <v>53</v>
      </c>
      <c r="H7" s="42" t="s">
        <v>54</v>
      </c>
      <c r="I7" s="42" t="s">
        <v>55</v>
      </c>
      <c r="J7" s="42" t="s">
        <v>56</v>
      </c>
      <c r="K7" s="42" t="s">
        <v>57</v>
      </c>
      <c r="L7" s="43" t="s">
        <v>58</v>
      </c>
      <c r="M7" s="42" t="s">
        <v>59</v>
      </c>
      <c r="N7" s="42" t="s">
        <v>60</v>
      </c>
      <c r="O7" s="42" t="s">
        <v>61</v>
      </c>
      <c r="P7" s="42" t="s">
        <v>62</v>
      </c>
      <c r="Q7" s="42" t="s">
        <v>63</v>
      </c>
      <c r="R7" s="42" t="s">
        <v>64</v>
      </c>
      <c r="S7" s="42" t="s">
        <v>65</v>
      </c>
      <c r="T7" s="42" t="s">
        <v>66</v>
      </c>
      <c r="U7" s="42" t="s">
        <v>67</v>
      </c>
      <c r="V7" s="42" t="s">
        <v>68</v>
      </c>
      <c r="W7" s="42" t="s">
        <v>69</v>
      </c>
      <c r="X7" s="42" t="s">
        <v>70</v>
      </c>
      <c r="Y7" s="42" t="s">
        <v>71</v>
      </c>
      <c r="Z7" s="42" t="s">
        <v>72</v>
      </c>
      <c r="AA7" s="42" t="s">
        <v>73</v>
      </c>
      <c r="AB7" s="42" t="s">
        <v>74</v>
      </c>
      <c r="AC7" s="42" t="s">
        <v>75</v>
      </c>
      <c r="AD7" s="42" t="s">
        <v>76</v>
      </c>
      <c r="AE7" s="42" t="s">
        <v>77</v>
      </c>
      <c r="AF7" s="42" t="s">
        <v>78</v>
      </c>
      <c r="AG7" s="42" t="s">
        <v>79</v>
      </c>
      <c r="AH7" s="42" t="s">
        <v>80</v>
      </c>
      <c r="AI7" s="42" t="s">
        <v>81</v>
      </c>
      <c r="AJ7" s="44" t="s">
        <v>82</v>
      </c>
      <c r="AK7" s="44" t="s">
        <v>83</v>
      </c>
      <c r="AL7" s="44" t="s">
        <v>84</v>
      </c>
      <c r="AM7" s="45"/>
      <c r="AN7" s="42"/>
    </row>
    <row r="8" spans="1:40" x14ac:dyDescent="0.25">
      <c r="A8" s="47"/>
      <c r="B8" s="48" t="s">
        <v>85</v>
      </c>
      <c r="C8" s="46" t="s">
        <v>85</v>
      </c>
      <c r="D8" s="46" t="s">
        <v>86</v>
      </c>
      <c r="E8" s="46" t="s">
        <v>87</v>
      </c>
      <c r="F8" s="46" t="s">
        <v>85</v>
      </c>
      <c r="G8" s="46" t="s">
        <v>86</v>
      </c>
      <c r="H8" s="46" t="s">
        <v>85</v>
      </c>
      <c r="I8" s="46" t="s">
        <v>87</v>
      </c>
      <c r="J8" s="46" t="s">
        <v>85</v>
      </c>
      <c r="K8" s="46" t="s">
        <v>85</v>
      </c>
      <c r="L8" s="49" t="s">
        <v>85</v>
      </c>
      <c r="M8" s="46" t="s">
        <v>85</v>
      </c>
      <c r="N8" s="46" t="s">
        <v>86</v>
      </c>
      <c r="O8" s="46" t="s">
        <v>85</v>
      </c>
      <c r="P8" s="46" t="s">
        <v>86</v>
      </c>
      <c r="Q8" s="46" t="s">
        <v>86</v>
      </c>
      <c r="R8" s="46" t="s">
        <v>85</v>
      </c>
      <c r="S8" s="46"/>
      <c r="T8" s="46" t="s">
        <v>85</v>
      </c>
      <c r="U8" s="46" t="s">
        <v>87</v>
      </c>
      <c r="V8" s="46" t="s">
        <v>88</v>
      </c>
      <c r="W8" s="46" t="s">
        <v>85</v>
      </c>
      <c r="X8" s="46" t="s">
        <v>88</v>
      </c>
      <c r="Y8" s="46" t="s">
        <v>88</v>
      </c>
      <c r="Z8" s="46" t="s">
        <v>85</v>
      </c>
      <c r="AA8" s="46" t="s">
        <v>85</v>
      </c>
      <c r="AB8" s="46" t="s">
        <v>86</v>
      </c>
      <c r="AC8" s="46" t="s">
        <v>85</v>
      </c>
      <c r="AD8" s="46" t="s">
        <v>85</v>
      </c>
      <c r="AE8" s="46"/>
      <c r="AF8" s="46"/>
      <c r="AG8" s="46"/>
      <c r="AH8" s="46"/>
      <c r="AI8" s="46"/>
      <c r="AJ8" s="50"/>
      <c r="AK8" s="50"/>
      <c r="AL8" s="50"/>
      <c r="AM8" s="51" t="s">
        <v>89</v>
      </c>
      <c r="AN8" s="52"/>
    </row>
    <row r="9" spans="1:40" ht="13" thickBot="1" x14ac:dyDescent="0.3">
      <c r="A9" s="54"/>
      <c r="B9" s="55">
        <v>15</v>
      </c>
      <c r="C9" s="53">
        <v>15</v>
      </c>
      <c r="D9" s="53">
        <v>15</v>
      </c>
      <c r="E9" s="53">
        <v>20</v>
      </c>
      <c r="F9" s="53">
        <v>15</v>
      </c>
      <c r="G9" s="53">
        <v>20</v>
      </c>
      <c r="H9" s="53">
        <v>15</v>
      </c>
      <c r="I9" s="53">
        <v>20</v>
      </c>
      <c r="J9" s="53">
        <v>15</v>
      </c>
      <c r="K9" s="53">
        <v>15</v>
      </c>
      <c r="L9" s="56">
        <v>15</v>
      </c>
      <c r="M9" s="53">
        <v>15</v>
      </c>
      <c r="N9" s="53">
        <v>15</v>
      </c>
      <c r="O9" s="53">
        <v>15</v>
      </c>
      <c r="P9" s="53">
        <v>15</v>
      </c>
      <c r="Q9" s="53">
        <v>20</v>
      </c>
      <c r="R9" s="53">
        <v>15</v>
      </c>
      <c r="S9" s="53">
        <v>20</v>
      </c>
      <c r="T9" s="53">
        <v>15</v>
      </c>
      <c r="U9" s="53">
        <v>20</v>
      </c>
      <c r="V9" s="53">
        <v>15</v>
      </c>
      <c r="W9" s="53">
        <v>15</v>
      </c>
      <c r="X9" s="53">
        <v>20</v>
      </c>
      <c r="Y9" s="53">
        <v>15</v>
      </c>
      <c r="Z9" s="53">
        <v>15</v>
      </c>
      <c r="AA9" s="53">
        <v>15</v>
      </c>
      <c r="AB9" s="53">
        <v>15</v>
      </c>
      <c r="AC9" s="53">
        <v>20</v>
      </c>
      <c r="AD9" s="53">
        <v>15</v>
      </c>
      <c r="AE9" s="53">
        <v>15</v>
      </c>
      <c r="AF9" s="53">
        <v>20</v>
      </c>
      <c r="AG9" s="53">
        <v>15</v>
      </c>
      <c r="AH9" s="53">
        <v>15</v>
      </c>
      <c r="AI9" s="53">
        <v>15</v>
      </c>
      <c r="AJ9" s="57">
        <v>15</v>
      </c>
      <c r="AK9" s="57">
        <v>15</v>
      </c>
      <c r="AL9" s="57">
        <v>15</v>
      </c>
      <c r="AM9" s="58">
        <f>SUM(B9:AL9)-15-20</f>
        <v>565</v>
      </c>
      <c r="AN9" s="53"/>
    </row>
    <row r="10" spans="1:40" ht="13" thickTop="1" x14ac:dyDescent="0.25">
      <c r="A10" s="60">
        <v>7148</v>
      </c>
      <c r="B10" s="61">
        <v>15</v>
      </c>
      <c r="C10" s="59">
        <v>15</v>
      </c>
      <c r="D10" s="59">
        <v>13</v>
      </c>
      <c r="E10" s="59">
        <v>19</v>
      </c>
      <c r="F10" s="59">
        <v>15</v>
      </c>
      <c r="G10" s="59">
        <v>17</v>
      </c>
      <c r="H10" s="59">
        <v>15</v>
      </c>
      <c r="I10" s="59">
        <v>11</v>
      </c>
      <c r="J10" s="59">
        <v>12</v>
      </c>
      <c r="K10" s="59">
        <v>15</v>
      </c>
      <c r="L10" s="62">
        <v>15</v>
      </c>
      <c r="M10" s="59">
        <v>8</v>
      </c>
      <c r="N10" s="59">
        <v>14</v>
      </c>
      <c r="O10" s="59">
        <v>15</v>
      </c>
      <c r="P10" s="59">
        <v>5</v>
      </c>
      <c r="Q10" s="59">
        <v>16</v>
      </c>
      <c r="R10" s="59">
        <v>15</v>
      </c>
      <c r="S10" s="59">
        <v>12</v>
      </c>
      <c r="T10" s="59">
        <v>10</v>
      </c>
      <c r="U10" s="59">
        <v>2</v>
      </c>
      <c r="V10" s="59">
        <v>13</v>
      </c>
      <c r="W10" s="59">
        <v>7</v>
      </c>
      <c r="X10" s="59">
        <v>8</v>
      </c>
      <c r="Y10" s="59">
        <v>14</v>
      </c>
      <c r="Z10" s="59">
        <v>13</v>
      </c>
      <c r="AA10" s="59">
        <v>10</v>
      </c>
      <c r="AB10" s="59">
        <v>8</v>
      </c>
      <c r="AC10" s="89"/>
      <c r="AD10" s="89"/>
      <c r="AE10" s="59">
        <v>12</v>
      </c>
      <c r="AF10" s="59">
        <v>12</v>
      </c>
      <c r="AG10" s="59">
        <v>5</v>
      </c>
      <c r="AH10" s="59">
        <v>7</v>
      </c>
      <c r="AI10" s="59"/>
      <c r="AJ10" s="81">
        <v>10</v>
      </c>
      <c r="AK10" s="81">
        <v>12</v>
      </c>
      <c r="AL10" s="81">
        <v>15</v>
      </c>
      <c r="AM10" s="61">
        <f t="shared" ref="AM10:AM50" si="0">SUM(B10:AL10)</f>
        <v>405</v>
      </c>
      <c r="AN10" s="74">
        <f>AM10/AM9</f>
        <v>0.7168141592920354</v>
      </c>
    </row>
    <row r="11" spans="1:40" x14ac:dyDescent="0.25">
      <c r="A11" s="64">
        <v>8311</v>
      </c>
      <c r="B11" s="65">
        <v>15</v>
      </c>
      <c r="C11" s="63">
        <v>15</v>
      </c>
      <c r="D11" s="63">
        <v>14</v>
      </c>
      <c r="E11" s="63">
        <v>20</v>
      </c>
      <c r="F11" s="63">
        <v>14</v>
      </c>
      <c r="G11" s="63">
        <v>20</v>
      </c>
      <c r="H11" s="63">
        <v>15</v>
      </c>
      <c r="I11" s="63">
        <v>18</v>
      </c>
      <c r="J11" s="63">
        <v>15</v>
      </c>
      <c r="K11" s="63">
        <v>15</v>
      </c>
      <c r="L11" s="66">
        <v>15</v>
      </c>
      <c r="M11" s="63">
        <v>15</v>
      </c>
      <c r="N11" s="63">
        <v>15</v>
      </c>
      <c r="O11" s="63">
        <v>14</v>
      </c>
      <c r="P11" s="63">
        <v>14</v>
      </c>
      <c r="Q11" s="83">
        <v>10</v>
      </c>
      <c r="R11" s="83">
        <v>7.5</v>
      </c>
      <c r="S11" s="83">
        <v>7.5</v>
      </c>
      <c r="T11" s="83">
        <v>7.5</v>
      </c>
      <c r="U11" s="63">
        <v>18</v>
      </c>
      <c r="V11" s="63"/>
      <c r="W11" s="63">
        <v>12</v>
      </c>
      <c r="X11" s="90"/>
      <c r="Y11" s="90"/>
      <c r="Z11" s="63"/>
      <c r="AA11" s="63"/>
      <c r="AB11" s="63">
        <v>12</v>
      </c>
      <c r="AC11" s="63"/>
      <c r="AD11" s="63"/>
      <c r="AE11" s="63"/>
      <c r="AF11" s="63"/>
      <c r="AG11" s="63"/>
      <c r="AH11" s="63"/>
      <c r="AI11" s="63">
        <v>15</v>
      </c>
      <c r="AJ11" s="82">
        <v>15</v>
      </c>
      <c r="AK11" s="82">
        <v>15</v>
      </c>
      <c r="AL11" s="84">
        <v>10.5</v>
      </c>
      <c r="AM11" s="65">
        <f t="shared" si="0"/>
        <v>364</v>
      </c>
      <c r="AN11" s="75">
        <f>AM11/AM9</f>
        <v>0.64424778761061952</v>
      </c>
    </row>
    <row r="12" spans="1:40" x14ac:dyDescent="0.25">
      <c r="A12" s="64">
        <v>5045</v>
      </c>
      <c r="B12" s="65">
        <v>15</v>
      </c>
      <c r="C12" s="63">
        <v>15</v>
      </c>
      <c r="D12" s="63">
        <v>14</v>
      </c>
      <c r="E12" s="63">
        <v>20</v>
      </c>
      <c r="F12" s="63">
        <v>15</v>
      </c>
      <c r="G12" s="63">
        <v>20</v>
      </c>
      <c r="H12" s="63">
        <v>15</v>
      </c>
      <c r="I12" s="63">
        <v>18</v>
      </c>
      <c r="J12" s="63">
        <v>15</v>
      </c>
      <c r="K12" s="63">
        <v>15</v>
      </c>
      <c r="L12" s="66">
        <v>15</v>
      </c>
      <c r="M12" s="63">
        <v>15</v>
      </c>
      <c r="N12" s="63">
        <v>15</v>
      </c>
      <c r="O12" s="63">
        <v>15</v>
      </c>
      <c r="P12" s="63">
        <v>15</v>
      </c>
      <c r="Q12" s="63">
        <v>20</v>
      </c>
      <c r="R12" s="63">
        <v>15</v>
      </c>
      <c r="S12" s="63">
        <v>15</v>
      </c>
      <c r="T12" s="63">
        <v>15</v>
      </c>
      <c r="U12" s="63">
        <v>18</v>
      </c>
      <c r="V12" s="63">
        <v>15</v>
      </c>
      <c r="W12" s="63">
        <v>11</v>
      </c>
      <c r="X12" s="63">
        <v>12</v>
      </c>
      <c r="Y12" s="63">
        <v>15</v>
      </c>
      <c r="Z12" s="63">
        <v>11</v>
      </c>
      <c r="AA12" s="63">
        <v>14</v>
      </c>
      <c r="AB12" s="63">
        <v>10</v>
      </c>
      <c r="AC12" s="63">
        <v>19</v>
      </c>
      <c r="AD12" s="63">
        <v>11</v>
      </c>
      <c r="AE12" s="63">
        <v>15</v>
      </c>
      <c r="AF12" s="63">
        <v>19</v>
      </c>
      <c r="AG12" s="63">
        <v>13</v>
      </c>
      <c r="AH12" s="63">
        <v>15</v>
      </c>
      <c r="AI12" s="63">
        <v>15</v>
      </c>
      <c r="AJ12" s="82">
        <v>11</v>
      </c>
      <c r="AK12" s="82">
        <v>15</v>
      </c>
      <c r="AL12" s="82">
        <v>15</v>
      </c>
      <c r="AM12" s="65">
        <f t="shared" si="0"/>
        <v>556</v>
      </c>
      <c r="AN12" s="75">
        <f>AM12/AM9</f>
        <v>0.98407079646017703</v>
      </c>
    </row>
    <row r="13" spans="1:40" x14ac:dyDescent="0.25">
      <c r="A13" s="64">
        <v>7827</v>
      </c>
      <c r="B13" s="65">
        <v>4</v>
      </c>
      <c r="C13" s="63"/>
      <c r="D13" s="63"/>
      <c r="E13" s="63"/>
      <c r="F13" s="63">
        <v>14</v>
      </c>
      <c r="G13" s="63">
        <v>18</v>
      </c>
      <c r="H13" s="90"/>
      <c r="I13" s="63">
        <v>10</v>
      </c>
      <c r="J13" s="63"/>
      <c r="K13" s="63">
        <v>15</v>
      </c>
      <c r="L13" s="66">
        <v>8</v>
      </c>
      <c r="M13" s="63">
        <v>15</v>
      </c>
      <c r="N13" s="63">
        <v>11</v>
      </c>
      <c r="O13" s="63">
        <v>9</v>
      </c>
      <c r="P13" s="63"/>
      <c r="Q13" s="90"/>
      <c r="R13" s="63">
        <v>7.5</v>
      </c>
      <c r="S13" s="63"/>
      <c r="T13" s="63"/>
      <c r="U13" s="63"/>
      <c r="V13" s="63">
        <v>15</v>
      </c>
      <c r="W13" s="63">
        <v>7.5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>
        <v>4</v>
      </c>
      <c r="AH13" s="63"/>
      <c r="AI13" s="63"/>
      <c r="AJ13" s="82"/>
      <c r="AK13" s="82"/>
      <c r="AL13" s="82"/>
      <c r="AM13" s="65">
        <f t="shared" si="0"/>
        <v>138</v>
      </c>
      <c r="AN13" s="75">
        <f>AM13/AM9</f>
        <v>0.24424778761061947</v>
      </c>
    </row>
    <row r="14" spans="1:40" x14ac:dyDescent="0.25">
      <c r="A14" s="64">
        <v>6462</v>
      </c>
      <c r="B14" s="65">
        <v>15</v>
      </c>
      <c r="C14" s="63">
        <v>15</v>
      </c>
      <c r="D14" s="63">
        <v>15</v>
      </c>
      <c r="E14" s="63">
        <v>19</v>
      </c>
      <c r="F14" s="63">
        <v>15</v>
      </c>
      <c r="G14" s="63">
        <v>17</v>
      </c>
      <c r="H14" s="63">
        <v>15</v>
      </c>
      <c r="I14" s="90">
        <v>0</v>
      </c>
      <c r="J14" s="63">
        <v>15</v>
      </c>
      <c r="K14" s="63">
        <v>14</v>
      </c>
      <c r="L14" s="66">
        <v>15</v>
      </c>
      <c r="M14" s="63">
        <v>15</v>
      </c>
      <c r="N14" s="63">
        <v>12</v>
      </c>
      <c r="O14" s="63">
        <v>15</v>
      </c>
      <c r="P14" s="63">
        <v>14</v>
      </c>
      <c r="Q14" s="63">
        <v>19</v>
      </c>
      <c r="R14" s="63">
        <v>15</v>
      </c>
      <c r="S14" s="63">
        <v>15</v>
      </c>
      <c r="T14" s="63">
        <v>15</v>
      </c>
      <c r="U14" s="63">
        <v>20</v>
      </c>
      <c r="V14" s="63">
        <v>15</v>
      </c>
      <c r="W14" s="63">
        <v>14</v>
      </c>
      <c r="X14" s="63">
        <v>16</v>
      </c>
      <c r="Y14" s="63">
        <v>15</v>
      </c>
      <c r="Z14" s="63">
        <v>12</v>
      </c>
      <c r="AA14" s="63">
        <v>15</v>
      </c>
      <c r="AB14" s="63">
        <v>15</v>
      </c>
      <c r="AC14" s="63">
        <v>20</v>
      </c>
      <c r="AD14" s="63">
        <v>15</v>
      </c>
      <c r="AE14" s="63">
        <v>13</v>
      </c>
      <c r="AF14" s="63">
        <v>20</v>
      </c>
      <c r="AG14" s="63">
        <v>14</v>
      </c>
      <c r="AH14" s="63">
        <v>15</v>
      </c>
      <c r="AI14" s="63">
        <v>15</v>
      </c>
      <c r="AJ14" s="92">
        <v>0</v>
      </c>
      <c r="AK14" s="82">
        <v>15</v>
      </c>
      <c r="AL14" s="82">
        <v>15</v>
      </c>
      <c r="AM14" s="65">
        <f>SUM(B14:AL14)</f>
        <v>539</v>
      </c>
      <c r="AN14" s="75">
        <f>AM14/AM9</f>
        <v>0.95398230088495573</v>
      </c>
    </row>
    <row r="15" spans="1:40" x14ac:dyDescent="0.25">
      <c r="A15" s="64">
        <v>1282</v>
      </c>
      <c r="B15" s="65">
        <v>15</v>
      </c>
      <c r="C15" s="63">
        <v>14</v>
      </c>
      <c r="D15" s="63">
        <v>15</v>
      </c>
      <c r="E15" s="63">
        <v>20</v>
      </c>
      <c r="F15" s="63">
        <v>12</v>
      </c>
      <c r="G15" s="94">
        <v>18</v>
      </c>
      <c r="H15" s="63">
        <v>15</v>
      </c>
      <c r="I15" s="63">
        <v>20</v>
      </c>
      <c r="J15" s="63">
        <v>7.5</v>
      </c>
      <c r="K15" s="63">
        <v>7.5</v>
      </c>
      <c r="L15" s="66">
        <v>7.5</v>
      </c>
      <c r="M15" s="63">
        <v>14</v>
      </c>
      <c r="N15" s="83">
        <v>14</v>
      </c>
      <c r="O15" s="63">
        <v>15</v>
      </c>
      <c r="P15" s="63">
        <v>15</v>
      </c>
      <c r="Q15" s="63">
        <v>14</v>
      </c>
      <c r="R15" s="63">
        <v>15</v>
      </c>
      <c r="S15" s="63">
        <v>20</v>
      </c>
      <c r="T15" s="63">
        <v>15</v>
      </c>
      <c r="U15" s="83">
        <v>10</v>
      </c>
      <c r="V15" s="83">
        <v>7.5</v>
      </c>
      <c r="W15" s="63">
        <v>10.5</v>
      </c>
      <c r="X15" s="83">
        <v>14</v>
      </c>
      <c r="Y15" s="83">
        <v>7.5</v>
      </c>
      <c r="Z15" s="83">
        <v>7.5</v>
      </c>
      <c r="AA15" s="83">
        <v>7.5</v>
      </c>
      <c r="AB15" s="83">
        <v>7.5</v>
      </c>
      <c r="AC15" s="83">
        <v>10</v>
      </c>
      <c r="AD15" s="83">
        <v>7.5</v>
      </c>
      <c r="AE15" s="93">
        <v>0</v>
      </c>
      <c r="AF15" s="93">
        <v>0</v>
      </c>
      <c r="AG15" s="83">
        <v>7.5</v>
      </c>
      <c r="AH15" s="63">
        <v>15</v>
      </c>
      <c r="AI15" s="63">
        <v>9.5</v>
      </c>
      <c r="AJ15" s="95">
        <v>12</v>
      </c>
      <c r="AK15" s="82">
        <v>10.5</v>
      </c>
      <c r="AL15" s="82">
        <v>15</v>
      </c>
      <c r="AM15" s="65">
        <f t="shared" si="0"/>
        <v>432.5</v>
      </c>
      <c r="AN15" s="75">
        <f>AM15/AM9</f>
        <v>0.76548672566371678</v>
      </c>
    </row>
    <row r="16" spans="1:40" x14ac:dyDescent="0.25">
      <c r="A16" s="64">
        <v>9009</v>
      </c>
      <c r="B16" s="65">
        <v>15</v>
      </c>
      <c r="C16" s="63">
        <v>15</v>
      </c>
      <c r="D16" s="63">
        <v>15</v>
      </c>
      <c r="E16" s="63">
        <v>20</v>
      </c>
      <c r="F16" s="63">
        <v>15</v>
      </c>
      <c r="G16" s="90">
        <v>0</v>
      </c>
      <c r="H16" s="63">
        <v>15</v>
      </c>
      <c r="I16" s="63">
        <v>20</v>
      </c>
      <c r="J16" s="63">
        <v>15</v>
      </c>
      <c r="K16" s="63">
        <v>15</v>
      </c>
      <c r="L16" s="66">
        <v>14</v>
      </c>
      <c r="M16" s="63">
        <v>15</v>
      </c>
      <c r="N16" s="63">
        <v>13</v>
      </c>
      <c r="O16" s="63">
        <v>15</v>
      </c>
      <c r="P16" s="63">
        <v>15</v>
      </c>
      <c r="Q16" s="63">
        <v>19</v>
      </c>
      <c r="R16" s="63">
        <v>14</v>
      </c>
      <c r="S16" s="63">
        <v>20</v>
      </c>
      <c r="T16" s="63">
        <v>15</v>
      </c>
      <c r="U16" s="63">
        <v>20</v>
      </c>
      <c r="V16" s="63">
        <v>15</v>
      </c>
      <c r="W16" s="90">
        <v>0</v>
      </c>
      <c r="X16" s="63">
        <v>20</v>
      </c>
      <c r="Y16" s="63">
        <v>15</v>
      </c>
      <c r="Z16" s="63">
        <v>15</v>
      </c>
      <c r="AA16" s="63">
        <v>14</v>
      </c>
      <c r="AB16" s="63">
        <v>15</v>
      </c>
      <c r="AC16" s="63">
        <v>20</v>
      </c>
      <c r="AD16" s="63">
        <v>15</v>
      </c>
      <c r="AE16" s="63">
        <v>15</v>
      </c>
      <c r="AF16" s="63">
        <v>18</v>
      </c>
      <c r="AG16" s="63">
        <v>14</v>
      </c>
      <c r="AH16" s="63">
        <v>15</v>
      </c>
      <c r="AI16" s="63">
        <v>13</v>
      </c>
      <c r="AJ16" s="82">
        <v>15</v>
      </c>
      <c r="AK16" s="82">
        <v>15</v>
      </c>
      <c r="AL16" s="82">
        <v>15</v>
      </c>
      <c r="AM16" s="65">
        <f t="shared" si="0"/>
        <v>554</v>
      </c>
      <c r="AN16" s="75">
        <f>AM16/AM9</f>
        <v>0.98053097345132745</v>
      </c>
    </row>
    <row r="17" spans="1:40" x14ac:dyDescent="0.25">
      <c r="A17" s="64" t="s">
        <v>43</v>
      </c>
      <c r="B17" s="65">
        <v>15</v>
      </c>
      <c r="C17" s="63">
        <v>15</v>
      </c>
      <c r="D17" s="63">
        <v>15</v>
      </c>
      <c r="E17" s="63">
        <v>19</v>
      </c>
      <c r="F17" s="63">
        <v>15</v>
      </c>
      <c r="G17" s="63">
        <v>20</v>
      </c>
      <c r="H17" s="63">
        <v>15</v>
      </c>
      <c r="I17" s="63">
        <v>19</v>
      </c>
      <c r="J17" s="63">
        <v>15</v>
      </c>
      <c r="K17" s="63">
        <v>15</v>
      </c>
      <c r="L17" s="66">
        <v>15</v>
      </c>
      <c r="M17" s="63">
        <v>15</v>
      </c>
      <c r="N17" s="63">
        <v>12</v>
      </c>
      <c r="O17" s="63">
        <v>15</v>
      </c>
      <c r="P17" s="63">
        <v>14</v>
      </c>
      <c r="Q17" s="63">
        <v>20</v>
      </c>
      <c r="R17" s="63">
        <v>15</v>
      </c>
      <c r="S17" s="63">
        <v>12</v>
      </c>
      <c r="T17" s="63">
        <v>15</v>
      </c>
      <c r="U17" s="63">
        <v>14</v>
      </c>
      <c r="V17" s="63">
        <v>15</v>
      </c>
      <c r="W17" s="63">
        <v>13</v>
      </c>
      <c r="X17" s="63">
        <v>0</v>
      </c>
      <c r="Y17" s="63">
        <v>15</v>
      </c>
      <c r="Z17" s="90">
        <v>0</v>
      </c>
      <c r="AA17" s="63">
        <v>15</v>
      </c>
      <c r="AB17" s="63">
        <v>12</v>
      </c>
      <c r="AC17" s="63">
        <v>12</v>
      </c>
      <c r="AD17" s="63">
        <v>15</v>
      </c>
      <c r="AE17" s="63">
        <v>15</v>
      </c>
      <c r="AF17" s="63">
        <v>19</v>
      </c>
      <c r="AG17" s="63">
        <v>14</v>
      </c>
      <c r="AH17" s="63">
        <v>15</v>
      </c>
      <c r="AI17" s="63">
        <v>14</v>
      </c>
      <c r="AJ17" s="82">
        <v>15</v>
      </c>
      <c r="AK17" s="82">
        <v>15</v>
      </c>
      <c r="AL17" s="82">
        <v>15</v>
      </c>
      <c r="AM17" s="65">
        <f t="shared" si="0"/>
        <v>529</v>
      </c>
      <c r="AN17" s="75">
        <f>AM17/AM9</f>
        <v>0.93628318584070791</v>
      </c>
    </row>
    <row r="18" spans="1:40" x14ac:dyDescent="0.25">
      <c r="A18" s="64">
        <v>8380</v>
      </c>
      <c r="B18" s="65">
        <v>15</v>
      </c>
      <c r="C18" s="63">
        <v>15</v>
      </c>
      <c r="D18" s="90">
        <v>0</v>
      </c>
      <c r="E18" s="63">
        <v>18</v>
      </c>
      <c r="F18" s="63">
        <v>15</v>
      </c>
      <c r="G18" s="63">
        <v>20</v>
      </c>
      <c r="H18" s="63">
        <v>15</v>
      </c>
      <c r="I18" s="90">
        <v>0</v>
      </c>
      <c r="J18" s="63">
        <v>14</v>
      </c>
      <c r="K18" s="63">
        <v>15</v>
      </c>
      <c r="L18" s="66">
        <v>15</v>
      </c>
      <c r="M18" s="63">
        <v>15</v>
      </c>
      <c r="N18" s="63">
        <v>15</v>
      </c>
      <c r="O18" s="63">
        <v>15</v>
      </c>
      <c r="P18" s="63">
        <v>15</v>
      </c>
      <c r="Q18" s="63">
        <v>17</v>
      </c>
      <c r="R18" s="63">
        <v>15</v>
      </c>
      <c r="S18" s="63">
        <v>20</v>
      </c>
      <c r="T18" s="63">
        <v>12</v>
      </c>
      <c r="U18" s="63">
        <v>20</v>
      </c>
      <c r="V18" s="63">
        <v>15</v>
      </c>
      <c r="W18" s="63">
        <v>13</v>
      </c>
      <c r="X18" s="63">
        <v>20</v>
      </c>
      <c r="Y18" s="63">
        <v>15</v>
      </c>
      <c r="Z18" s="63">
        <v>15</v>
      </c>
      <c r="AA18" s="63">
        <v>15</v>
      </c>
      <c r="AB18" s="63">
        <v>15</v>
      </c>
      <c r="AC18" s="63">
        <v>12</v>
      </c>
      <c r="AD18" s="63">
        <v>14</v>
      </c>
      <c r="AE18" s="63">
        <v>15</v>
      </c>
      <c r="AF18" s="63">
        <v>19</v>
      </c>
      <c r="AG18" s="63">
        <v>12</v>
      </c>
      <c r="AH18" s="63">
        <v>15</v>
      </c>
      <c r="AI18" s="63">
        <v>12</v>
      </c>
      <c r="AJ18" s="82">
        <v>15</v>
      </c>
      <c r="AK18" s="82">
        <v>15</v>
      </c>
      <c r="AL18" s="82">
        <v>15</v>
      </c>
      <c r="AM18" s="65">
        <f t="shared" si="0"/>
        <v>538</v>
      </c>
      <c r="AN18" s="75">
        <f>AM18/AM9</f>
        <v>0.95221238938053099</v>
      </c>
    </row>
    <row r="19" spans="1:40" x14ac:dyDescent="0.25">
      <c r="A19" s="64">
        <v>9983</v>
      </c>
      <c r="B19" s="65">
        <v>15</v>
      </c>
      <c r="C19" s="63">
        <v>15</v>
      </c>
      <c r="D19" s="63">
        <v>15</v>
      </c>
      <c r="E19" s="63">
        <v>20</v>
      </c>
      <c r="F19" s="63">
        <v>15</v>
      </c>
      <c r="G19" s="63">
        <v>18</v>
      </c>
      <c r="H19" s="63">
        <v>15</v>
      </c>
      <c r="I19" s="63">
        <v>20</v>
      </c>
      <c r="J19" s="63">
        <v>14</v>
      </c>
      <c r="K19" s="63">
        <v>15</v>
      </c>
      <c r="L19" s="66">
        <v>12</v>
      </c>
      <c r="M19" s="63">
        <v>15</v>
      </c>
      <c r="N19" s="63">
        <v>15</v>
      </c>
      <c r="O19" s="63">
        <v>14</v>
      </c>
      <c r="P19" s="63">
        <v>8</v>
      </c>
      <c r="Q19" s="63">
        <v>17</v>
      </c>
      <c r="R19" s="63">
        <v>7.5</v>
      </c>
      <c r="S19" s="63">
        <v>8</v>
      </c>
      <c r="T19" s="63">
        <v>10</v>
      </c>
      <c r="U19" s="63">
        <v>18</v>
      </c>
      <c r="V19" s="63">
        <v>11</v>
      </c>
      <c r="W19" s="63">
        <v>6.5</v>
      </c>
      <c r="X19" s="63">
        <v>16</v>
      </c>
      <c r="Y19" s="63">
        <v>14</v>
      </c>
      <c r="Z19" s="90"/>
      <c r="AA19" s="63">
        <v>15</v>
      </c>
      <c r="AB19" s="90"/>
      <c r="AC19" s="63">
        <v>19</v>
      </c>
      <c r="AD19" s="63">
        <v>14</v>
      </c>
      <c r="AE19" s="63">
        <v>15</v>
      </c>
      <c r="AF19" s="63">
        <v>17</v>
      </c>
      <c r="AG19" s="63"/>
      <c r="AH19" s="63">
        <v>7.5</v>
      </c>
      <c r="AI19" s="63">
        <v>9</v>
      </c>
      <c r="AJ19" s="82">
        <v>11</v>
      </c>
      <c r="AK19" s="82">
        <v>15</v>
      </c>
      <c r="AL19" s="82">
        <v>15</v>
      </c>
      <c r="AM19" s="65">
        <f t="shared" si="0"/>
        <v>471.5</v>
      </c>
      <c r="AN19" s="75">
        <f>AM19/AM9</f>
        <v>0.8345132743362832</v>
      </c>
    </row>
    <row r="20" spans="1:40" x14ac:dyDescent="0.25">
      <c r="A20" s="64">
        <v>5617</v>
      </c>
      <c r="B20" s="65">
        <v>15</v>
      </c>
      <c r="C20" s="63">
        <v>15</v>
      </c>
      <c r="D20" s="63">
        <v>14</v>
      </c>
      <c r="E20" s="63">
        <v>20</v>
      </c>
      <c r="F20" s="63">
        <v>15</v>
      </c>
      <c r="G20" s="63">
        <v>13</v>
      </c>
      <c r="H20" s="63">
        <v>15</v>
      </c>
      <c r="I20" s="63">
        <v>20</v>
      </c>
      <c r="J20" s="63">
        <v>15</v>
      </c>
      <c r="K20" s="63">
        <v>15</v>
      </c>
      <c r="L20" s="66">
        <v>15</v>
      </c>
      <c r="M20" s="63">
        <v>15</v>
      </c>
      <c r="N20" s="63">
        <v>15</v>
      </c>
      <c r="O20" s="63">
        <v>15</v>
      </c>
      <c r="P20" s="63">
        <v>12</v>
      </c>
      <c r="Q20" s="63">
        <v>20</v>
      </c>
      <c r="R20" s="63">
        <v>15</v>
      </c>
      <c r="S20" s="63">
        <v>20</v>
      </c>
      <c r="T20" s="63">
        <v>14</v>
      </c>
      <c r="U20" s="63">
        <v>20</v>
      </c>
      <c r="V20" s="63">
        <v>15</v>
      </c>
      <c r="W20" s="90">
        <v>0</v>
      </c>
      <c r="X20" s="63">
        <v>18</v>
      </c>
      <c r="Y20" s="63">
        <v>15</v>
      </c>
      <c r="Z20" s="63">
        <v>15</v>
      </c>
      <c r="AA20" s="63">
        <v>15</v>
      </c>
      <c r="AB20" s="63">
        <v>12</v>
      </c>
      <c r="AC20" s="90"/>
      <c r="AD20" s="63">
        <v>15</v>
      </c>
      <c r="AE20" s="63">
        <v>15</v>
      </c>
      <c r="AF20" s="63">
        <v>20</v>
      </c>
      <c r="AG20" s="63">
        <v>15</v>
      </c>
      <c r="AH20" s="63">
        <v>15</v>
      </c>
      <c r="AI20" s="63">
        <v>10.5</v>
      </c>
      <c r="AJ20" s="82">
        <v>10.5</v>
      </c>
      <c r="AK20" s="82">
        <v>10.5</v>
      </c>
      <c r="AL20" s="82">
        <v>15</v>
      </c>
      <c r="AM20" s="65">
        <f t="shared" si="0"/>
        <v>534.5</v>
      </c>
      <c r="AN20" s="75">
        <f>AM20/AM9</f>
        <v>0.9460176991150443</v>
      </c>
    </row>
    <row r="21" spans="1:40" x14ac:dyDescent="0.25">
      <c r="A21" s="64">
        <v>3947</v>
      </c>
      <c r="B21" s="65">
        <v>15</v>
      </c>
      <c r="C21" s="63">
        <v>15</v>
      </c>
      <c r="D21" s="63">
        <v>15</v>
      </c>
      <c r="E21" s="63">
        <v>15</v>
      </c>
      <c r="F21" s="63">
        <v>14</v>
      </c>
      <c r="G21" s="63">
        <v>20</v>
      </c>
      <c r="H21" s="63">
        <v>15</v>
      </c>
      <c r="I21" s="63">
        <v>18</v>
      </c>
      <c r="J21" s="63">
        <v>14</v>
      </c>
      <c r="K21" s="63">
        <v>15</v>
      </c>
      <c r="L21" s="66">
        <v>15</v>
      </c>
      <c r="M21" s="63">
        <v>15</v>
      </c>
      <c r="N21" s="63">
        <v>15</v>
      </c>
      <c r="O21" s="63">
        <v>15</v>
      </c>
      <c r="P21" s="63">
        <v>10</v>
      </c>
      <c r="Q21" s="63">
        <v>20</v>
      </c>
      <c r="R21" s="63">
        <v>15</v>
      </c>
      <c r="S21" s="63">
        <v>20</v>
      </c>
      <c r="T21" s="63">
        <v>15</v>
      </c>
      <c r="U21" s="63">
        <v>10</v>
      </c>
      <c r="V21" s="63">
        <v>15</v>
      </c>
      <c r="W21" s="63">
        <v>13</v>
      </c>
      <c r="X21" s="63">
        <v>20</v>
      </c>
      <c r="Y21" s="63">
        <v>15</v>
      </c>
      <c r="Z21" s="63">
        <v>14</v>
      </c>
      <c r="AA21" s="63">
        <v>15</v>
      </c>
      <c r="AB21" s="63">
        <v>12</v>
      </c>
      <c r="AC21" s="63">
        <v>20</v>
      </c>
      <c r="AD21" s="63">
        <v>13</v>
      </c>
      <c r="AE21" s="63">
        <v>15</v>
      </c>
      <c r="AF21" s="90">
        <v>0</v>
      </c>
      <c r="AG21" s="90">
        <v>0</v>
      </c>
      <c r="AH21" s="63">
        <v>15</v>
      </c>
      <c r="AI21" s="63">
        <v>14</v>
      </c>
      <c r="AJ21" s="82">
        <v>10.5</v>
      </c>
      <c r="AK21" s="82">
        <v>15</v>
      </c>
      <c r="AL21" s="82">
        <v>15</v>
      </c>
      <c r="AM21" s="65">
        <f t="shared" si="0"/>
        <v>527.5</v>
      </c>
      <c r="AN21" s="75">
        <f>AM21/AM9</f>
        <v>0.9336283185840708</v>
      </c>
    </row>
    <row r="22" spans="1:40" x14ac:dyDescent="0.25">
      <c r="A22" s="64">
        <v>7688</v>
      </c>
      <c r="B22" s="65">
        <v>15</v>
      </c>
      <c r="C22" s="63">
        <v>15</v>
      </c>
      <c r="D22" s="63">
        <v>14</v>
      </c>
      <c r="E22" s="63">
        <v>20</v>
      </c>
      <c r="F22" s="63">
        <v>15</v>
      </c>
      <c r="G22" s="63">
        <v>20</v>
      </c>
      <c r="H22" s="63">
        <v>15</v>
      </c>
      <c r="I22" s="90">
        <v>0</v>
      </c>
      <c r="J22" s="63">
        <v>14</v>
      </c>
      <c r="K22" s="63">
        <v>15</v>
      </c>
      <c r="L22" s="66">
        <v>15</v>
      </c>
      <c r="M22" s="63">
        <v>15</v>
      </c>
      <c r="N22" s="63">
        <v>15</v>
      </c>
      <c r="O22" s="63">
        <v>15</v>
      </c>
      <c r="P22" s="63">
        <v>15</v>
      </c>
      <c r="Q22" s="63">
        <v>20</v>
      </c>
      <c r="R22" s="63">
        <v>15</v>
      </c>
      <c r="S22" s="63">
        <v>20</v>
      </c>
      <c r="T22" s="63">
        <v>15</v>
      </c>
      <c r="U22" s="63">
        <v>20</v>
      </c>
      <c r="V22" s="63">
        <v>15</v>
      </c>
      <c r="W22" s="63">
        <v>13</v>
      </c>
      <c r="X22" s="63">
        <v>20</v>
      </c>
      <c r="Y22" s="63">
        <v>15</v>
      </c>
      <c r="Z22" s="63">
        <v>15</v>
      </c>
      <c r="AA22" s="63">
        <v>13</v>
      </c>
      <c r="AB22" s="90">
        <v>0</v>
      </c>
      <c r="AC22" s="63">
        <v>20</v>
      </c>
      <c r="AD22" s="63">
        <v>15</v>
      </c>
      <c r="AE22" s="63">
        <v>15</v>
      </c>
      <c r="AF22" s="63">
        <v>19</v>
      </c>
      <c r="AG22" s="63">
        <v>15</v>
      </c>
      <c r="AH22" s="63">
        <v>15</v>
      </c>
      <c r="AI22" s="63">
        <v>15</v>
      </c>
      <c r="AJ22" s="82">
        <v>15</v>
      </c>
      <c r="AK22" s="82">
        <v>12</v>
      </c>
      <c r="AL22" s="82">
        <v>15</v>
      </c>
      <c r="AM22" s="65">
        <f t="shared" si="0"/>
        <v>555</v>
      </c>
      <c r="AN22" s="75">
        <f>AM22/AM9</f>
        <v>0.98230088495575218</v>
      </c>
    </row>
    <row r="23" spans="1:40" x14ac:dyDescent="0.25">
      <c r="A23" s="64">
        <v>8378</v>
      </c>
      <c r="B23" s="65">
        <v>15</v>
      </c>
      <c r="C23" s="63">
        <v>15</v>
      </c>
      <c r="D23" s="63">
        <v>15</v>
      </c>
      <c r="E23" s="63">
        <v>20</v>
      </c>
      <c r="F23" s="63">
        <v>15</v>
      </c>
      <c r="G23" s="63">
        <v>20</v>
      </c>
      <c r="H23" s="63">
        <v>15</v>
      </c>
      <c r="I23" s="90">
        <v>0</v>
      </c>
      <c r="J23" s="63">
        <v>13</v>
      </c>
      <c r="K23" s="63">
        <v>15</v>
      </c>
      <c r="L23" s="66">
        <v>15</v>
      </c>
      <c r="M23" s="63">
        <v>15</v>
      </c>
      <c r="N23" s="63">
        <v>14</v>
      </c>
      <c r="O23" s="63">
        <v>15</v>
      </c>
      <c r="P23" s="63">
        <v>15</v>
      </c>
      <c r="Q23" s="63">
        <v>19</v>
      </c>
      <c r="R23" s="63">
        <v>15</v>
      </c>
      <c r="S23" s="90">
        <v>0</v>
      </c>
      <c r="T23" s="63">
        <v>15</v>
      </c>
      <c r="U23" s="63">
        <v>20</v>
      </c>
      <c r="V23" s="63">
        <v>15</v>
      </c>
      <c r="W23" s="63">
        <v>12</v>
      </c>
      <c r="X23" s="63">
        <v>20</v>
      </c>
      <c r="Y23" s="63">
        <v>15</v>
      </c>
      <c r="Z23" s="63">
        <v>14</v>
      </c>
      <c r="AA23" s="63">
        <v>15</v>
      </c>
      <c r="AB23" s="63">
        <v>15</v>
      </c>
      <c r="AC23" s="63">
        <v>18</v>
      </c>
      <c r="AD23" s="63">
        <v>15</v>
      </c>
      <c r="AE23" s="63">
        <v>15</v>
      </c>
      <c r="AF23" s="63">
        <v>20</v>
      </c>
      <c r="AG23" s="63">
        <v>14</v>
      </c>
      <c r="AH23" s="63">
        <v>15</v>
      </c>
      <c r="AI23" s="63">
        <v>14</v>
      </c>
      <c r="AJ23" s="82">
        <v>15</v>
      </c>
      <c r="AK23" s="82">
        <v>15</v>
      </c>
      <c r="AL23" s="82">
        <v>15</v>
      </c>
      <c r="AM23" s="65">
        <f t="shared" si="0"/>
        <v>548</v>
      </c>
      <c r="AN23" s="75">
        <f>AM23/AM9</f>
        <v>0.9699115044247788</v>
      </c>
    </row>
    <row r="24" spans="1:40" x14ac:dyDescent="0.25">
      <c r="A24" s="64">
        <v>7585</v>
      </c>
      <c r="B24" s="65"/>
      <c r="C24" s="63"/>
      <c r="D24" s="63"/>
      <c r="E24" s="63">
        <v>16</v>
      </c>
      <c r="F24" s="63">
        <v>15</v>
      </c>
      <c r="G24" s="63">
        <v>17</v>
      </c>
      <c r="H24" s="63">
        <v>15</v>
      </c>
      <c r="I24" s="63">
        <v>16</v>
      </c>
      <c r="J24" s="63">
        <v>13</v>
      </c>
      <c r="K24" s="63">
        <v>15</v>
      </c>
      <c r="L24" s="66">
        <v>15</v>
      </c>
      <c r="M24" s="63">
        <v>15</v>
      </c>
      <c r="N24" s="63">
        <v>15</v>
      </c>
      <c r="O24" s="63">
        <v>9</v>
      </c>
      <c r="P24" s="63"/>
      <c r="Q24" s="63">
        <v>18</v>
      </c>
      <c r="R24" s="63">
        <v>15</v>
      </c>
      <c r="S24" s="63">
        <v>10</v>
      </c>
      <c r="T24" s="63">
        <v>15</v>
      </c>
      <c r="U24" s="63">
        <v>14</v>
      </c>
      <c r="V24" s="63">
        <v>15</v>
      </c>
      <c r="W24" s="63">
        <v>10</v>
      </c>
      <c r="X24" s="63">
        <v>14</v>
      </c>
      <c r="Y24" s="63">
        <v>15</v>
      </c>
      <c r="Z24" s="63">
        <v>15</v>
      </c>
      <c r="AA24" s="63">
        <v>15</v>
      </c>
      <c r="AB24" s="63">
        <v>12</v>
      </c>
      <c r="AC24" s="63">
        <v>9</v>
      </c>
      <c r="AD24" s="63">
        <v>14</v>
      </c>
      <c r="AE24" s="63">
        <v>15</v>
      </c>
      <c r="AF24" s="63">
        <v>15</v>
      </c>
      <c r="AG24" s="63">
        <v>13</v>
      </c>
      <c r="AH24" s="63">
        <v>15</v>
      </c>
      <c r="AI24" s="90"/>
      <c r="AJ24" s="82">
        <v>15</v>
      </c>
      <c r="AK24" s="82">
        <v>15</v>
      </c>
      <c r="AL24" s="82">
        <v>15</v>
      </c>
      <c r="AM24" s="65">
        <f t="shared" si="0"/>
        <v>455</v>
      </c>
      <c r="AN24" s="75">
        <f>AM24/AM9</f>
        <v>0.80530973451327437</v>
      </c>
    </row>
    <row r="25" spans="1:40" x14ac:dyDescent="0.25">
      <c r="A25" s="64">
        <v>3738</v>
      </c>
      <c r="B25" s="65">
        <v>15</v>
      </c>
      <c r="C25" s="63">
        <v>9</v>
      </c>
      <c r="D25" s="63">
        <v>5</v>
      </c>
      <c r="E25" s="63">
        <v>20</v>
      </c>
      <c r="F25" s="63">
        <v>12</v>
      </c>
      <c r="G25" s="63">
        <v>20</v>
      </c>
      <c r="H25" s="63">
        <v>15</v>
      </c>
      <c r="I25" s="63">
        <v>4</v>
      </c>
      <c r="J25" s="63">
        <v>9.5</v>
      </c>
      <c r="K25" s="63">
        <v>9.5</v>
      </c>
      <c r="L25" s="66">
        <v>9</v>
      </c>
      <c r="M25" s="63">
        <v>8</v>
      </c>
      <c r="N25" s="63">
        <v>15</v>
      </c>
      <c r="O25" s="63"/>
      <c r="P25" s="63">
        <v>13</v>
      </c>
      <c r="Q25" s="63">
        <v>16</v>
      </c>
      <c r="R25" s="63">
        <v>15</v>
      </c>
      <c r="S25" s="63"/>
      <c r="T25" s="63">
        <v>7.5</v>
      </c>
      <c r="U25" s="63">
        <v>10</v>
      </c>
      <c r="V25" s="63">
        <v>7.5</v>
      </c>
      <c r="W25" s="63">
        <v>7.5</v>
      </c>
      <c r="X25" s="90"/>
      <c r="Y25" s="63"/>
      <c r="Z25" s="63"/>
      <c r="AA25" s="63"/>
      <c r="AB25" s="63"/>
      <c r="AC25" s="63">
        <v>10</v>
      </c>
      <c r="AD25" s="63">
        <v>7.5</v>
      </c>
      <c r="AE25" s="63">
        <v>7.5</v>
      </c>
      <c r="AF25" s="63">
        <v>4</v>
      </c>
      <c r="AG25" s="63">
        <v>10.5</v>
      </c>
      <c r="AH25" s="63">
        <v>10.5</v>
      </c>
      <c r="AI25" s="63">
        <v>9.5</v>
      </c>
      <c r="AJ25" s="82"/>
      <c r="AK25" s="82">
        <v>10.5</v>
      </c>
      <c r="AL25" s="82">
        <v>10.5</v>
      </c>
      <c r="AM25" s="65">
        <f t="shared" si="0"/>
        <v>308</v>
      </c>
      <c r="AN25" s="75">
        <f>AM25/AM9</f>
        <v>0.54513274336283191</v>
      </c>
    </row>
    <row r="26" spans="1:40" x14ac:dyDescent="0.25">
      <c r="A26" s="64">
        <v>3668</v>
      </c>
      <c r="B26" s="65">
        <v>14</v>
      </c>
      <c r="C26" s="63">
        <v>9</v>
      </c>
      <c r="D26" s="63">
        <v>13</v>
      </c>
      <c r="E26" s="88">
        <v>15</v>
      </c>
      <c r="F26" s="63">
        <v>15</v>
      </c>
      <c r="G26" s="63">
        <v>20</v>
      </c>
      <c r="H26" s="63">
        <v>15</v>
      </c>
      <c r="I26" s="63">
        <v>8</v>
      </c>
      <c r="J26" s="63">
        <v>10.5</v>
      </c>
      <c r="K26" s="63">
        <v>7.5</v>
      </c>
      <c r="L26" s="67">
        <v>10.5</v>
      </c>
      <c r="M26" s="63">
        <v>9.5</v>
      </c>
      <c r="N26" s="63">
        <v>15</v>
      </c>
      <c r="O26" s="63">
        <v>15</v>
      </c>
      <c r="P26" s="63">
        <v>7.5</v>
      </c>
      <c r="Q26" s="88">
        <v>15</v>
      </c>
      <c r="R26" s="63">
        <v>14</v>
      </c>
      <c r="S26" s="63">
        <v>19</v>
      </c>
      <c r="T26" s="63">
        <v>14</v>
      </c>
      <c r="U26" s="63">
        <v>20</v>
      </c>
      <c r="V26" s="63">
        <v>9.5</v>
      </c>
      <c r="W26" s="63">
        <v>9</v>
      </c>
      <c r="X26" s="63">
        <v>13</v>
      </c>
      <c r="Y26" s="63">
        <v>15</v>
      </c>
      <c r="Z26" s="63">
        <v>11</v>
      </c>
      <c r="AA26" s="63">
        <v>14</v>
      </c>
      <c r="AB26" s="63">
        <v>12</v>
      </c>
      <c r="AC26" s="63">
        <v>10</v>
      </c>
      <c r="AD26" s="63">
        <v>7.5</v>
      </c>
      <c r="AE26" s="63">
        <v>13</v>
      </c>
      <c r="AF26" s="90">
        <v>0</v>
      </c>
      <c r="AG26" s="90">
        <v>0</v>
      </c>
      <c r="AH26" s="63">
        <v>7.5</v>
      </c>
      <c r="AI26" s="63">
        <v>10</v>
      </c>
      <c r="AJ26" s="82">
        <v>13</v>
      </c>
      <c r="AK26" s="82">
        <v>9.5</v>
      </c>
      <c r="AL26" s="82">
        <v>15</v>
      </c>
      <c r="AM26" s="65">
        <f t="shared" si="0"/>
        <v>435.5</v>
      </c>
      <c r="AN26" s="75">
        <f>AM26/AM9</f>
        <v>0.77079646017699111</v>
      </c>
    </row>
    <row r="27" spans="1:40" x14ac:dyDescent="0.25">
      <c r="A27" s="64">
        <v>8537</v>
      </c>
      <c r="B27" s="65">
        <v>15</v>
      </c>
      <c r="C27" s="63">
        <v>15</v>
      </c>
      <c r="D27" s="63">
        <v>15</v>
      </c>
      <c r="E27" s="63">
        <v>19</v>
      </c>
      <c r="F27" s="63">
        <v>15</v>
      </c>
      <c r="G27" s="63">
        <v>20</v>
      </c>
      <c r="H27" s="63">
        <v>15</v>
      </c>
      <c r="I27" s="63">
        <v>15</v>
      </c>
      <c r="J27" s="63">
        <v>13</v>
      </c>
      <c r="K27" s="63">
        <v>15</v>
      </c>
      <c r="L27" s="66">
        <v>15</v>
      </c>
      <c r="M27" s="63">
        <v>15</v>
      </c>
      <c r="N27" s="63">
        <v>14</v>
      </c>
      <c r="O27" s="63">
        <v>15</v>
      </c>
      <c r="P27" s="63">
        <v>15</v>
      </c>
      <c r="Q27" s="63">
        <v>19</v>
      </c>
      <c r="R27" s="63">
        <v>15</v>
      </c>
      <c r="S27" s="63">
        <v>11</v>
      </c>
      <c r="T27" s="63">
        <v>13</v>
      </c>
      <c r="U27" s="63">
        <v>20</v>
      </c>
      <c r="V27" s="63">
        <v>15</v>
      </c>
      <c r="W27" s="63">
        <v>14</v>
      </c>
      <c r="X27" s="63">
        <v>17</v>
      </c>
      <c r="Y27" s="63">
        <v>15</v>
      </c>
      <c r="Z27" s="63">
        <v>14</v>
      </c>
      <c r="AA27" s="63">
        <v>15</v>
      </c>
      <c r="AB27" s="63">
        <v>14</v>
      </c>
      <c r="AC27" s="63">
        <v>15</v>
      </c>
      <c r="AD27" s="63">
        <v>12</v>
      </c>
      <c r="AE27" s="63">
        <v>15</v>
      </c>
      <c r="AF27" s="90">
        <v>0</v>
      </c>
      <c r="AG27" s="90">
        <v>0</v>
      </c>
      <c r="AH27" s="63">
        <v>15</v>
      </c>
      <c r="AI27" s="63">
        <v>15</v>
      </c>
      <c r="AJ27" s="82">
        <v>15</v>
      </c>
      <c r="AK27" s="82">
        <v>15</v>
      </c>
      <c r="AL27" s="82">
        <v>15</v>
      </c>
      <c r="AM27" s="65">
        <f t="shared" si="0"/>
        <v>530</v>
      </c>
      <c r="AN27" s="75">
        <f>AM27/AM9</f>
        <v>0.93805309734513276</v>
      </c>
    </row>
    <row r="28" spans="1:40" x14ac:dyDescent="0.25">
      <c r="A28" s="64">
        <v>1245</v>
      </c>
      <c r="B28" s="65">
        <v>15</v>
      </c>
      <c r="C28" s="63">
        <v>15</v>
      </c>
      <c r="D28" s="63">
        <v>14</v>
      </c>
      <c r="E28" s="63">
        <v>18</v>
      </c>
      <c r="F28" s="63">
        <v>14</v>
      </c>
      <c r="G28" s="63">
        <v>18</v>
      </c>
      <c r="H28" s="63">
        <v>15</v>
      </c>
      <c r="I28" s="63">
        <v>20</v>
      </c>
      <c r="J28" s="63">
        <v>15</v>
      </c>
      <c r="K28" s="63">
        <v>15</v>
      </c>
      <c r="L28" s="66">
        <v>15</v>
      </c>
      <c r="M28" s="63">
        <v>13</v>
      </c>
      <c r="N28" s="63">
        <v>15</v>
      </c>
      <c r="O28" s="63">
        <v>13</v>
      </c>
      <c r="P28" s="63">
        <v>14</v>
      </c>
      <c r="Q28" s="63">
        <v>20</v>
      </c>
      <c r="R28" s="63">
        <v>15</v>
      </c>
      <c r="S28" s="90">
        <v>0</v>
      </c>
      <c r="T28" s="63">
        <v>15</v>
      </c>
      <c r="U28" s="63">
        <v>19</v>
      </c>
      <c r="V28" s="63">
        <v>15</v>
      </c>
      <c r="W28" s="90">
        <v>0</v>
      </c>
      <c r="X28" s="63">
        <v>16</v>
      </c>
      <c r="Y28" s="63">
        <v>14</v>
      </c>
      <c r="Z28" s="63">
        <v>11</v>
      </c>
      <c r="AA28" s="63">
        <v>15</v>
      </c>
      <c r="AB28" s="63">
        <v>12</v>
      </c>
      <c r="AC28" s="63">
        <v>18</v>
      </c>
      <c r="AD28" s="63">
        <v>13</v>
      </c>
      <c r="AE28" s="63">
        <v>15</v>
      </c>
      <c r="AF28" s="63">
        <v>20</v>
      </c>
      <c r="AG28" s="63">
        <v>15</v>
      </c>
      <c r="AH28" s="63">
        <v>14</v>
      </c>
      <c r="AI28" s="63">
        <v>15</v>
      </c>
      <c r="AJ28" s="82">
        <v>15</v>
      </c>
      <c r="AK28" s="82">
        <v>15</v>
      </c>
      <c r="AL28" s="82">
        <v>15</v>
      </c>
      <c r="AM28" s="65">
        <f t="shared" si="0"/>
        <v>536</v>
      </c>
      <c r="AN28" s="75">
        <f>AM28/AM9</f>
        <v>0.9486725663716814</v>
      </c>
    </row>
    <row r="29" spans="1:40" x14ac:dyDescent="0.25">
      <c r="A29" s="64">
        <v>4092</v>
      </c>
      <c r="B29" s="65">
        <v>15</v>
      </c>
      <c r="C29" s="63">
        <v>15</v>
      </c>
      <c r="D29" s="63">
        <v>15</v>
      </c>
      <c r="E29" s="63">
        <v>11</v>
      </c>
      <c r="F29" s="90"/>
      <c r="G29" s="63">
        <v>19</v>
      </c>
      <c r="H29" s="63">
        <v>14</v>
      </c>
      <c r="I29" s="63">
        <v>20</v>
      </c>
      <c r="J29" s="63">
        <v>15</v>
      </c>
      <c r="K29" s="63">
        <v>13</v>
      </c>
      <c r="L29" s="66">
        <v>12</v>
      </c>
      <c r="M29" s="63">
        <v>15</v>
      </c>
      <c r="N29" s="63">
        <v>15</v>
      </c>
      <c r="O29" s="63">
        <v>15</v>
      </c>
      <c r="P29" s="63">
        <v>10.5</v>
      </c>
      <c r="Q29" s="63">
        <v>12</v>
      </c>
      <c r="R29" s="63">
        <v>9.5</v>
      </c>
      <c r="S29" s="90">
        <v>0</v>
      </c>
      <c r="T29" s="63">
        <v>15</v>
      </c>
      <c r="U29" s="63"/>
      <c r="V29" s="63">
        <v>14</v>
      </c>
      <c r="W29" s="63">
        <v>14</v>
      </c>
      <c r="X29" s="63">
        <v>18</v>
      </c>
      <c r="Y29" s="63">
        <v>15</v>
      </c>
      <c r="Z29" s="63">
        <v>14</v>
      </c>
      <c r="AA29" s="63">
        <v>15</v>
      </c>
      <c r="AB29" s="63">
        <v>10</v>
      </c>
      <c r="AC29" s="63">
        <v>19</v>
      </c>
      <c r="AD29" s="63">
        <v>15</v>
      </c>
      <c r="AE29" s="63">
        <v>15</v>
      </c>
      <c r="AF29" s="63">
        <v>19</v>
      </c>
      <c r="AG29" s="63">
        <v>6.5</v>
      </c>
      <c r="AH29" s="63">
        <v>15</v>
      </c>
      <c r="AI29" s="63">
        <v>10.5</v>
      </c>
      <c r="AJ29" s="82">
        <v>15</v>
      </c>
      <c r="AK29" s="82">
        <v>10.5</v>
      </c>
      <c r="AL29" s="82">
        <v>9.5</v>
      </c>
      <c r="AM29" s="65">
        <f t="shared" si="0"/>
        <v>476</v>
      </c>
      <c r="AN29" s="75">
        <f>AM29/AM9</f>
        <v>0.84247787610619473</v>
      </c>
    </row>
    <row r="30" spans="1:40" x14ac:dyDescent="0.25">
      <c r="A30" s="64">
        <v>5688</v>
      </c>
      <c r="B30" s="65">
        <v>15</v>
      </c>
      <c r="C30" s="63">
        <v>14</v>
      </c>
      <c r="D30" s="63">
        <v>14</v>
      </c>
      <c r="E30" s="63">
        <v>20</v>
      </c>
      <c r="F30" s="63">
        <v>15</v>
      </c>
      <c r="G30" s="63">
        <v>20</v>
      </c>
      <c r="H30" s="63">
        <v>15</v>
      </c>
      <c r="I30" s="63">
        <v>20</v>
      </c>
      <c r="J30" s="63">
        <v>15</v>
      </c>
      <c r="K30" s="63">
        <v>15</v>
      </c>
      <c r="L30" s="66">
        <v>15</v>
      </c>
      <c r="M30" s="63">
        <v>14</v>
      </c>
      <c r="N30" s="63">
        <v>15</v>
      </c>
      <c r="O30" s="63">
        <v>15</v>
      </c>
      <c r="P30" s="63">
        <v>15</v>
      </c>
      <c r="Q30" s="63">
        <v>20</v>
      </c>
      <c r="R30" s="63">
        <v>15</v>
      </c>
      <c r="S30" s="63">
        <v>20</v>
      </c>
      <c r="T30" s="63">
        <v>15</v>
      </c>
      <c r="U30" s="63">
        <v>20</v>
      </c>
      <c r="V30" s="63">
        <v>15</v>
      </c>
      <c r="W30" s="63">
        <v>14</v>
      </c>
      <c r="X30" s="90">
        <v>0</v>
      </c>
      <c r="Y30" s="63">
        <v>15</v>
      </c>
      <c r="Z30" s="63">
        <v>15</v>
      </c>
      <c r="AA30" s="63">
        <v>15</v>
      </c>
      <c r="AB30" s="63">
        <v>15</v>
      </c>
      <c r="AC30" s="63">
        <v>20</v>
      </c>
      <c r="AD30" s="63">
        <v>15</v>
      </c>
      <c r="AE30" s="63">
        <v>15</v>
      </c>
      <c r="AF30" s="63">
        <v>14</v>
      </c>
      <c r="AG30" s="90">
        <v>0</v>
      </c>
      <c r="AH30" s="63">
        <v>15</v>
      </c>
      <c r="AI30" s="63">
        <v>15</v>
      </c>
      <c r="AJ30" s="82">
        <v>15</v>
      </c>
      <c r="AK30" s="82">
        <v>15</v>
      </c>
      <c r="AL30" s="82">
        <v>15</v>
      </c>
      <c r="AM30" s="65">
        <f t="shared" si="0"/>
        <v>555</v>
      </c>
      <c r="AN30" s="75">
        <f>AM30/AM9</f>
        <v>0.98230088495575218</v>
      </c>
    </row>
    <row r="31" spans="1:40" x14ac:dyDescent="0.25">
      <c r="A31" s="64">
        <v>9564</v>
      </c>
      <c r="B31" s="65">
        <v>15</v>
      </c>
      <c r="C31" s="63">
        <v>15</v>
      </c>
      <c r="D31" s="63">
        <v>14</v>
      </c>
      <c r="E31" s="63">
        <v>20</v>
      </c>
      <c r="F31" s="63">
        <v>14</v>
      </c>
      <c r="G31" s="63">
        <v>18</v>
      </c>
      <c r="H31" s="63">
        <v>15</v>
      </c>
      <c r="I31" s="63">
        <v>20</v>
      </c>
      <c r="J31" s="63">
        <v>15</v>
      </c>
      <c r="K31" s="63">
        <v>15</v>
      </c>
      <c r="L31" s="66">
        <v>15</v>
      </c>
      <c r="M31" s="63">
        <v>14</v>
      </c>
      <c r="N31" s="63">
        <v>15</v>
      </c>
      <c r="O31" s="63">
        <v>15</v>
      </c>
      <c r="P31" s="63">
        <v>13</v>
      </c>
      <c r="Q31" s="63">
        <v>20</v>
      </c>
      <c r="R31" s="63">
        <v>15</v>
      </c>
      <c r="S31" s="63">
        <v>7</v>
      </c>
      <c r="T31" s="63">
        <v>15</v>
      </c>
      <c r="U31" s="63">
        <v>20</v>
      </c>
      <c r="V31" s="63">
        <v>15</v>
      </c>
      <c r="W31" s="63">
        <v>10</v>
      </c>
      <c r="X31" s="63">
        <v>20</v>
      </c>
      <c r="Y31" s="63">
        <v>15</v>
      </c>
      <c r="Z31" s="63">
        <v>14</v>
      </c>
      <c r="AA31" s="63">
        <v>14</v>
      </c>
      <c r="AB31" s="63">
        <v>12</v>
      </c>
      <c r="AC31" s="63">
        <v>20</v>
      </c>
      <c r="AD31" s="63">
        <v>12</v>
      </c>
      <c r="AE31" s="63">
        <v>15</v>
      </c>
      <c r="AF31" s="90">
        <v>0</v>
      </c>
      <c r="AG31" s="63">
        <v>14</v>
      </c>
      <c r="AH31" s="63">
        <v>15</v>
      </c>
      <c r="AI31" s="90"/>
      <c r="AJ31" s="82">
        <v>11</v>
      </c>
      <c r="AK31" s="82">
        <v>15</v>
      </c>
      <c r="AL31" s="82">
        <v>15</v>
      </c>
      <c r="AM31" s="65">
        <f t="shared" si="0"/>
        <v>527</v>
      </c>
      <c r="AN31" s="75">
        <f>AM31/AM9</f>
        <v>0.93274336283185844</v>
      </c>
    </row>
    <row r="32" spans="1:40" x14ac:dyDescent="0.25">
      <c r="A32" s="64">
        <v>5951</v>
      </c>
      <c r="B32" s="65">
        <v>15</v>
      </c>
      <c r="C32" s="63">
        <v>15</v>
      </c>
      <c r="D32" s="63">
        <v>15</v>
      </c>
      <c r="E32" s="63">
        <v>15</v>
      </c>
      <c r="F32" s="63">
        <v>15</v>
      </c>
      <c r="G32" s="63">
        <v>17</v>
      </c>
      <c r="H32" s="63">
        <v>15</v>
      </c>
      <c r="I32" s="63">
        <v>18</v>
      </c>
      <c r="J32" s="63">
        <v>14</v>
      </c>
      <c r="K32" s="63">
        <v>15</v>
      </c>
      <c r="L32" s="66">
        <v>15</v>
      </c>
      <c r="M32" s="63">
        <v>15</v>
      </c>
      <c r="N32" s="63">
        <v>15</v>
      </c>
      <c r="O32" s="63">
        <v>14</v>
      </c>
      <c r="P32" s="63">
        <v>6.5</v>
      </c>
      <c r="Q32" s="63">
        <v>18</v>
      </c>
      <c r="R32" s="63">
        <v>15</v>
      </c>
      <c r="S32" s="63">
        <v>20</v>
      </c>
      <c r="T32" s="63">
        <v>15</v>
      </c>
      <c r="U32" s="63">
        <v>20</v>
      </c>
      <c r="V32" s="63">
        <v>15</v>
      </c>
      <c r="W32" s="63">
        <v>11</v>
      </c>
      <c r="X32" s="90"/>
      <c r="Y32" s="63">
        <v>15</v>
      </c>
      <c r="Z32" s="63">
        <v>15</v>
      </c>
      <c r="AA32" s="90"/>
      <c r="AB32" s="63">
        <v>12</v>
      </c>
      <c r="AC32" s="63">
        <v>19</v>
      </c>
      <c r="AD32" s="63">
        <v>7.5</v>
      </c>
      <c r="AE32" s="63">
        <v>15</v>
      </c>
      <c r="AF32" s="63">
        <v>20</v>
      </c>
      <c r="AG32" s="63">
        <v>12</v>
      </c>
      <c r="AH32" s="63">
        <v>8.5</v>
      </c>
      <c r="AI32" s="63">
        <v>15</v>
      </c>
      <c r="AJ32" s="82">
        <v>15</v>
      </c>
      <c r="AK32" s="82">
        <v>15</v>
      </c>
      <c r="AL32" s="82">
        <v>9.5</v>
      </c>
      <c r="AM32" s="65">
        <f t="shared" si="0"/>
        <v>512</v>
      </c>
      <c r="AN32" s="75">
        <f>AM32/AM9</f>
        <v>0.90619469026548671</v>
      </c>
    </row>
    <row r="33" spans="1:40" x14ac:dyDescent="0.25">
      <c r="A33" s="64">
        <v>7032</v>
      </c>
      <c r="B33" s="65">
        <v>15</v>
      </c>
      <c r="C33" s="63">
        <v>14</v>
      </c>
      <c r="D33" s="63">
        <v>14</v>
      </c>
      <c r="E33" s="63">
        <v>11</v>
      </c>
      <c r="F33" s="63">
        <v>15</v>
      </c>
      <c r="G33" s="63">
        <v>20</v>
      </c>
      <c r="H33" s="63">
        <v>15</v>
      </c>
      <c r="I33" s="90">
        <v>0</v>
      </c>
      <c r="J33" s="63">
        <v>14</v>
      </c>
      <c r="K33" s="63">
        <v>15</v>
      </c>
      <c r="L33" s="66">
        <v>15</v>
      </c>
      <c r="M33" s="63">
        <v>15</v>
      </c>
      <c r="N33" s="63">
        <v>15</v>
      </c>
      <c r="O33" s="63">
        <v>15</v>
      </c>
      <c r="P33" s="63">
        <v>12</v>
      </c>
      <c r="Q33" s="63">
        <v>20</v>
      </c>
      <c r="R33" s="63">
        <v>15</v>
      </c>
      <c r="S33" s="63">
        <v>13</v>
      </c>
      <c r="T33" s="63">
        <v>15</v>
      </c>
      <c r="U33" s="63">
        <v>19</v>
      </c>
      <c r="V33" s="63">
        <v>15</v>
      </c>
      <c r="W33" s="63">
        <v>15</v>
      </c>
      <c r="X33" s="63">
        <v>17</v>
      </c>
      <c r="Y33" s="63">
        <v>15</v>
      </c>
      <c r="Z33" s="63">
        <v>15</v>
      </c>
      <c r="AA33" s="63">
        <v>15</v>
      </c>
      <c r="AB33" s="90">
        <v>0</v>
      </c>
      <c r="AC33" s="63">
        <v>19</v>
      </c>
      <c r="AD33" s="63">
        <v>12</v>
      </c>
      <c r="AE33" s="63">
        <v>15</v>
      </c>
      <c r="AF33" s="63">
        <v>18</v>
      </c>
      <c r="AG33" s="63">
        <v>13</v>
      </c>
      <c r="AH33" s="63">
        <v>13</v>
      </c>
      <c r="AI33" s="63">
        <v>13</v>
      </c>
      <c r="AJ33" s="82">
        <v>15</v>
      </c>
      <c r="AK33" s="82">
        <v>15</v>
      </c>
      <c r="AL33" s="82">
        <v>14</v>
      </c>
      <c r="AM33" s="65">
        <f t="shared" si="0"/>
        <v>526</v>
      </c>
      <c r="AN33" s="75">
        <f>AM33/AM9</f>
        <v>0.93097345132743359</v>
      </c>
    </row>
    <row r="34" spans="1:40" x14ac:dyDescent="0.25">
      <c r="A34" s="64">
        <v>5234</v>
      </c>
      <c r="B34" s="65">
        <v>15</v>
      </c>
      <c r="C34" s="63">
        <v>15</v>
      </c>
      <c r="D34" s="63">
        <v>14</v>
      </c>
      <c r="E34" s="63">
        <v>20</v>
      </c>
      <c r="F34" s="63">
        <v>15</v>
      </c>
      <c r="G34" s="90">
        <v>0</v>
      </c>
      <c r="H34" s="63">
        <v>15</v>
      </c>
      <c r="I34" s="63">
        <v>20</v>
      </c>
      <c r="J34" s="63">
        <v>15</v>
      </c>
      <c r="K34" s="63">
        <v>15</v>
      </c>
      <c r="L34" s="66">
        <v>15</v>
      </c>
      <c r="M34" s="63">
        <v>15</v>
      </c>
      <c r="N34" s="63">
        <v>15</v>
      </c>
      <c r="O34" s="63">
        <v>15</v>
      </c>
      <c r="P34" s="63">
        <v>15</v>
      </c>
      <c r="Q34" s="63">
        <v>19</v>
      </c>
      <c r="R34" s="63">
        <v>15</v>
      </c>
      <c r="S34" s="63">
        <v>13</v>
      </c>
      <c r="T34" s="63">
        <v>15</v>
      </c>
      <c r="U34" s="63">
        <v>20</v>
      </c>
      <c r="V34" s="63">
        <v>15</v>
      </c>
      <c r="W34" s="63">
        <v>14</v>
      </c>
      <c r="X34" s="63">
        <v>19</v>
      </c>
      <c r="Y34" s="63">
        <v>15</v>
      </c>
      <c r="Z34" s="63">
        <v>14</v>
      </c>
      <c r="AA34" s="63">
        <v>15</v>
      </c>
      <c r="AB34" s="63">
        <v>12</v>
      </c>
      <c r="AC34" s="63">
        <v>19</v>
      </c>
      <c r="AD34" s="63">
        <v>15</v>
      </c>
      <c r="AE34" s="63">
        <v>15</v>
      </c>
      <c r="AF34" s="63">
        <v>19</v>
      </c>
      <c r="AG34" s="90"/>
      <c r="AH34" s="63">
        <v>15</v>
      </c>
      <c r="AI34" s="63">
        <v>15</v>
      </c>
      <c r="AJ34" s="82">
        <v>15</v>
      </c>
      <c r="AK34" s="82">
        <v>15</v>
      </c>
      <c r="AL34" s="82">
        <v>15</v>
      </c>
      <c r="AM34" s="65">
        <f t="shared" si="0"/>
        <v>548</v>
      </c>
      <c r="AN34" s="75">
        <f>AM34/AM9</f>
        <v>0.9699115044247788</v>
      </c>
    </row>
    <row r="35" spans="1:40" x14ac:dyDescent="0.25">
      <c r="A35" s="64">
        <v>4402</v>
      </c>
      <c r="B35" s="65">
        <v>15</v>
      </c>
      <c r="C35" s="63">
        <v>13</v>
      </c>
      <c r="D35" s="63">
        <v>15</v>
      </c>
      <c r="E35" s="63">
        <v>19</v>
      </c>
      <c r="F35" s="63">
        <v>14</v>
      </c>
      <c r="G35" s="63">
        <v>18</v>
      </c>
      <c r="H35" s="63">
        <v>15</v>
      </c>
      <c r="I35" s="63">
        <v>20</v>
      </c>
      <c r="J35" s="63">
        <v>15</v>
      </c>
      <c r="K35" s="63">
        <v>10.5</v>
      </c>
      <c r="L35" s="66">
        <v>15</v>
      </c>
      <c r="M35" s="63">
        <v>15</v>
      </c>
      <c r="N35" s="63">
        <v>15</v>
      </c>
      <c r="O35" s="63">
        <v>14</v>
      </c>
      <c r="P35" s="90"/>
      <c r="Q35" s="63">
        <v>20</v>
      </c>
      <c r="R35" s="63">
        <v>15</v>
      </c>
      <c r="S35" s="90"/>
      <c r="T35" s="63">
        <v>15</v>
      </c>
      <c r="U35" s="63">
        <v>20</v>
      </c>
      <c r="V35" s="63">
        <v>15</v>
      </c>
      <c r="W35" s="63">
        <v>13</v>
      </c>
      <c r="X35" s="63">
        <v>19</v>
      </c>
      <c r="Y35" s="63">
        <v>15</v>
      </c>
      <c r="Z35" s="63">
        <v>9.5</v>
      </c>
      <c r="AA35" s="63">
        <v>15</v>
      </c>
      <c r="AB35" s="63">
        <v>15</v>
      </c>
      <c r="AC35" s="63">
        <v>19</v>
      </c>
      <c r="AD35" s="63">
        <v>15</v>
      </c>
      <c r="AE35" s="63">
        <v>15</v>
      </c>
      <c r="AF35" s="63">
        <v>10</v>
      </c>
      <c r="AG35" s="63">
        <v>7.5</v>
      </c>
      <c r="AH35" s="63">
        <v>14</v>
      </c>
      <c r="AI35" s="63">
        <v>15</v>
      </c>
      <c r="AJ35" s="82">
        <v>15</v>
      </c>
      <c r="AK35" s="82">
        <v>15</v>
      </c>
      <c r="AL35" s="82">
        <v>15</v>
      </c>
      <c r="AM35" s="65">
        <f t="shared" si="0"/>
        <v>525.5</v>
      </c>
      <c r="AN35" s="75">
        <f>AM35/AM9</f>
        <v>0.93008849557522122</v>
      </c>
    </row>
    <row r="36" spans="1:40" x14ac:dyDescent="0.25">
      <c r="A36" s="64">
        <v>7527</v>
      </c>
      <c r="B36" s="65">
        <v>15</v>
      </c>
      <c r="C36" s="63">
        <v>15</v>
      </c>
      <c r="D36" s="63">
        <v>15</v>
      </c>
      <c r="E36" s="63">
        <v>20</v>
      </c>
      <c r="F36" s="63">
        <v>14</v>
      </c>
      <c r="G36" s="63">
        <v>20</v>
      </c>
      <c r="H36" s="63">
        <v>15</v>
      </c>
      <c r="I36" s="63">
        <v>18</v>
      </c>
      <c r="J36" s="63">
        <v>15</v>
      </c>
      <c r="K36" s="63">
        <v>15</v>
      </c>
      <c r="L36" s="66">
        <v>15</v>
      </c>
      <c r="M36" s="63">
        <v>15</v>
      </c>
      <c r="N36" s="63">
        <v>15</v>
      </c>
      <c r="O36" s="63">
        <v>15</v>
      </c>
      <c r="P36" s="63">
        <v>15</v>
      </c>
      <c r="Q36" s="63">
        <v>20</v>
      </c>
      <c r="R36" s="63">
        <v>15</v>
      </c>
      <c r="S36" s="63">
        <v>20</v>
      </c>
      <c r="T36" s="63">
        <v>15</v>
      </c>
      <c r="U36" s="63">
        <v>20</v>
      </c>
      <c r="V36" s="63">
        <v>15</v>
      </c>
      <c r="W36" s="63">
        <v>14</v>
      </c>
      <c r="X36" s="63">
        <v>20</v>
      </c>
      <c r="Y36" s="63">
        <v>15</v>
      </c>
      <c r="Z36" s="63">
        <v>15</v>
      </c>
      <c r="AA36" s="63">
        <v>15</v>
      </c>
      <c r="AB36" s="63">
        <v>15</v>
      </c>
      <c r="AC36" s="90">
        <v>0</v>
      </c>
      <c r="AD36" s="63">
        <v>15</v>
      </c>
      <c r="AE36" s="63">
        <v>15</v>
      </c>
      <c r="AF36" s="63">
        <v>20</v>
      </c>
      <c r="AG36" s="63">
        <v>15</v>
      </c>
      <c r="AH36" s="63">
        <v>15</v>
      </c>
      <c r="AI36" s="90">
        <v>0</v>
      </c>
      <c r="AJ36" s="82">
        <v>15</v>
      </c>
      <c r="AK36" s="82">
        <v>15</v>
      </c>
      <c r="AL36" s="82">
        <v>15</v>
      </c>
      <c r="AM36" s="65">
        <f t="shared" si="0"/>
        <v>561</v>
      </c>
      <c r="AN36" s="75">
        <f>AM36/AM9</f>
        <v>0.99292035398230083</v>
      </c>
    </row>
    <row r="37" spans="1:40" x14ac:dyDescent="0.25">
      <c r="A37" s="64">
        <v>2654</v>
      </c>
      <c r="B37" s="65">
        <v>12</v>
      </c>
      <c r="C37" s="63">
        <v>9</v>
      </c>
      <c r="D37" s="63">
        <v>10</v>
      </c>
      <c r="E37" s="63">
        <v>12</v>
      </c>
      <c r="F37" s="63">
        <v>12</v>
      </c>
      <c r="G37" s="63">
        <v>17</v>
      </c>
      <c r="H37" s="63">
        <v>14</v>
      </c>
      <c r="I37" s="90">
        <v>0</v>
      </c>
      <c r="J37" s="63">
        <v>12</v>
      </c>
      <c r="K37" s="63">
        <v>13</v>
      </c>
      <c r="L37" s="66">
        <v>13</v>
      </c>
      <c r="M37" s="63">
        <v>14</v>
      </c>
      <c r="N37" s="63">
        <v>13</v>
      </c>
      <c r="O37" s="63">
        <v>11</v>
      </c>
      <c r="P37" s="63">
        <v>11</v>
      </c>
      <c r="Q37" s="63">
        <v>17</v>
      </c>
      <c r="R37" s="90">
        <v>0</v>
      </c>
      <c r="S37" s="63">
        <v>8</v>
      </c>
      <c r="T37" s="63">
        <v>15</v>
      </c>
      <c r="U37" s="63">
        <v>18</v>
      </c>
      <c r="V37" s="63">
        <v>6.5</v>
      </c>
      <c r="W37" s="63">
        <v>11</v>
      </c>
      <c r="X37" s="63">
        <v>15</v>
      </c>
      <c r="Y37" s="63">
        <v>15</v>
      </c>
      <c r="Z37" s="63">
        <v>11</v>
      </c>
      <c r="AA37" s="63">
        <v>13</v>
      </c>
      <c r="AB37" s="63">
        <v>9</v>
      </c>
      <c r="AC37" s="63">
        <v>14</v>
      </c>
      <c r="AD37" s="63">
        <v>10</v>
      </c>
      <c r="AE37" s="63">
        <v>15</v>
      </c>
      <c r="AF37" s="63">
        <v>15</v>
      </c>
      <c r="AG37" s="63">
        <v>13</v>
      </c>
      <c r="AH37" s="63">
        <v>15</v>
      </c>
      <c r="AI37" s="63">
        <v>8</v>
      </c>
      <c r="AJ37" s="82">
        <v>10.5</v>
      </c>
      <c r="AK37" s="82">
        <v>15</v>
      </c>
      <c r="AL37" s="82">
        <v>15</v>
      </c>
      <c r="AM37" s="65">
        <f t="shared" si="0"/>
        <v>442</v>
      </c>
      <c r="AN37" s="75">
        <f>AM37/AM9</f>
        <v>0.78230088495575223</v>
      </c>
    </row>
    <row r="38" spans="1:40" x14ac:dyDescent="0.25">
      <c r="A38" s="64">
        <v>6682</v>
      </c>
      <c r="B38" s="65">
        <v>15</v>
      </c>
      <c r="C38" s="63">
        <v>7.5</v>
      </c>
      <c r="D38" s="63">
        <v>15</v>
      </c>
      <c r="E38" s="63">
        <v>10</v>
      </c>
      <c r="F38" s="63">
        <v>7.5</v>
      </c>
      <c r="G38" s="63">
        <v>18</v>
      </c>
      <c r="H38" s="63">
        <v>15</v>
      </c>
      <c r="I38" s="63">
        <v>15</v>
      </c>
      <c r="J38" s="63">
        <v>13</v>
      </c>
      <c r="K38" s="63">
        <v>15</v>
      </c>
      <c r="L38" s="66">
        <v>15</v>
      </c>
      <c r="M38" s="63">
        <v>15</v>
      </c>
      <c r="N38" s="63">
        <v>13</v>
      </c>
      <c r="O38" s="63">
        <v>14</v>
      </c>
      <c r="P38" s="90">
        <v>0</v>
      </c>
      <c r="Q38" s="63">
        <v>10</v>
      </c>
      <c r="R38" s="63">
        <v>6.5</v>
      </c>
      <c r="S38" s="63">
        <v>10</v>
      </c>
      <c r="T38" s="63">
        <v>11</v>
      </c>
      <c r="U38" s="63">
        <v>19</v>
      </c>
      <c r="V38" s="63">
        <v>15</v>
      </c>
      <c r="W38" s="63">
        <v>9</v>
      </c>
      <c r="X38" s="63">
        <v>13</v>
      </c>
      <c r="Y38" s="63">
        <v>15</v>
      </c>
      <c r="Z38" s="63">
        <v>11</v>
      </c>
      <c r="AA38" s="63">
        <v>11</v>
      </c>
      <c r="AB38" s="63">
        <v>9</v>
      </c>
      <c r="AC38" s="63">
        <v>14</v>
      </c>
      <c r="AD38" s="63">
        <v>14</v>
      </c>
      <c r="AE38" s="63">
        <v>12</v>
      </c>
      <c r="AF38" s="90">
        <v>0</v>
      </c>
      <c r="AG38" s="83">
        <v>7.5</v>
      </c>
      <c r="AH38" s="83">
        <v>7.5</v>
      </c>
      <c r="AI38" s="83">
        <v>7.5</v>
      </c>
      <c r="AJ38" s="84">
        <v>7.5</v>
      </c>
      <c r="AK38" s="82">
        <v>15</v>
      </c>
      <c r="AL38" s="84">
        <v>7.5</v>
      </c>
      <c r="AM38" s="65">
        <f t="shared" si="0"/>
        <v>420</v>
      </c>
      <c r="AN38" s="75">
        <f>AM38/AM9</f>
        <v>0.74336283185840712</v>
      </c>
    </row>
    <row r="39" spans="1:40" x14ac:dyDescent="0.25">
      <c r="A39" s="64">
        <v>7935</v>
      </c>
      <c r="B39" s="65">
        <v>13</v>
      </c>
      <c r="C39" s="63">
        <v>13</v>
      </c>
      <c r="D39" s="63">
        <v>12</v>
      </c>
      <c r="E39" s="63">
        <v>12</v>
      </c>
      <c r="F39" s="63">
        <v>11</v>
      </c>
      <c r="G39" s="90"/>
      <c r="H39" s="63">
        <v>15</v>
      </c>
      <c r="I39" s="63">
        <v>14</v>
      </c>
      <c r="J39" s="63">
        <v>7.5</v>
      </c>
      <c r="K39" s="63">
        <v>15</v>
      </c>
      <c r="L39" s="96"/>
      <c r="M39" s="63">
        <v>15</v>
      </c>
      <c r="N39" s="63">
        <v>13</v>
      </c>
      <c r="O39" s="63">
        <v>15</v>
      </c>
      <c r="P39" s="63">
        <v>15</v>
      </c>
      <c r="Q39" s="63">
        <v>20</v>
      </c>
      <c r="R39" s="63">
        <v>15</v>
      </c>
      <c r="S39" s="63">
        <v>18</v>
      </c>
      <c r="T39" s="63">
        <v>15</v>
      </c>
      <c r="U39" s="63">
        <v>20</v>
      </c>
      <c r="V39" s="63">
        <v>15</v>
      </c>
      <c r="W39" s="63">
        <v>9.5</v>
      </c>
      <c r="X39" s="63">
        <v>16</v>
      </c>
      <c r="Y39" s="63">
        <v>15</v>
      </c>
      <c r="Z39" s="63">
        <v>14</v>
      </c>
      <c r="AA39" s="63">
        <v>15</v>
      </c>
      <c r="AB39" s="63">
        <v>15</v>
      </c>
      <c r="AC39" s="63">
        <v>17</v>
      </c>
      <c r="AD39" s="63">
        <v>15</v>
      </c>
      <c r="AE39" s="63">
        <v>15</v>
      </c>
      <c r="AF39" s="63">
        <v>19</v>
      </c>
      <c r="AG39" s="63">
        <v>12</v>
      </c>
      <c r="AH39" s="63">
        <v>9.5</v>
      </c>
      <c r="AI39" s="63">
        <v>14</v>
      </c>
      <c r="AJ39" s="82">
        <v>14</v>
      </c>
      <c r="AK39" s="82">
        <v>15</v>
      </c>
      <c r="AL39" s="82">
        <v>15</v>
      </c>
      <c r="AM39" s="65">
        <f t="shared" si="0"/>
        <v>503.5</v>
      </c>
      <c r="AN39" s="75">
        <f>AM39/AM9</f>
        <v>0.89115044247787611</v>
      </c>
    </row>
    <row r="40" spans="1:40" x14ac:dyDescent="0.25">
      <c r="A40" s="64">
        <v>9400</v>
      </c>
      <c r="B40" s="65">
        <v>14</v>
      </c>
      <c r="C40" s="63">
        <v>15</v>
      </c>
      <c r="D40" s="63">
        <v>15</v>
      </c>
      <c r="E40" s="63">
        <v>16</v>
      </c>
      <c r="F40" s="63">
        <v>14</v>
      </c>
      <c r="G40" s="63">
        <v>20</v>
      </c>
      <c r="H40" s="63">
        <v>14</v>
      </c>
      <c r="I40" s="90">
        <v>0</v>
      </c>
      <c r="J40" s="63">
        <v>13</v>
      </c>
      <c r="K40" s="63">
        <v>15</v>
      </c>
      <c r="L40" s="66">
        <v>15</v>
      </c>
      <c r="M40" s="63">
        <v>15</v>
      </c>
      <c r="N40" s="63">
        <v>15</v>
      </c>
      <c r="O40" s="63">
        <v>14</v>
      </c>
      <c r="P40" s="90">
        <v>0</v>
      </c>
      <c r="Q40" s="63">
        <v>16</v>
      </c>
      <c r="R40" s="63">
        <v>15</v>
      </c>
      <c r="S40" s="63">
        <v>13</v>
      </c>
      <c r="T40" s="63">
        <v>15</v>
      </c>
      <c r="U40" s="63">
        <v>20</v>
      </c>
      <c r="V40" s="63">
        <v>15</v>
      </c>
      <c r="W40" s="63">
        <v>15</v>
      </c>
      <c r="X40" s="63">
        <v>20</v>
      </c>
      <c r="Y40" s="63">
        <v>15</v>
      </c>
      <c r="Z40" s="63">
        <v>15</v>
      </c>
      <c r="AA40" s="63">
        <v>15</v>
      </c>
      <c r="AB40" s="63">
        <v>12</v>
      </c>
      <c r="AC40" s="63">
        <v>18</v>
      </c>
      <c r="AD40" s="63">
        <v>10</v>
      </c>
      <c r="AE40" s="63">
        <v>15</v>
      </c>
      <c r="AF40" s="63">
        <v>18</v>
      </c>
      <c r="AG40" s="63">
        <v>14</v>
      </c>
      <c r="AH40" s="63">
        <v>15</v>
      </c>
      <c r="AI40" s="63">
        <v>15</v>
      </c>
      <c r="AJ40" s="82">
        <v>15</v>
      </c>
      <c r="AK40" s="82">
        <v>15</v>
      </c>
      <c r="AL40" s="82">
        <v>15</v>
      </c>
      <c r="AM40" s="65">
        <f t="shared" si="0"/>
        <v>531</v>
      </c>
      <c r="AN40" s="75">
        <f>AM40/AM9</f>
        <v>0.9398230088495575</v>
      </c>
    </row>
    <row r="41" spans="1:40" x14ac:dyDescent="0.25">
      <c r="A41" s="64" t="s">
        <v>44</v>
      </c>
      <c r="B41" s="65">
        <v>15</v>
      </c>
      <c r="C41" s="63">
        <v>15</v>
      </c>
      <c r="D41" s="63">
        <v>15</v>
      </c>
      <c r="E41" s="63">
        <v>20</v>
      </c>
      <c r="F41" s="63">
        <v>15</v>
      </c>
      <c r="G41" s="90">
        <v>0</v>
      </c>
      <c r="H41" s="63">
        <v>15</v>
      </c>
      <c r="I41" s="63">
        <v>20</v>
      </c>
      <c r="J41" s="63">
        <v>15</v>
      </c>
      <c r="K41" s="63">
        <v>15</v>
      </c>
      <c r="L41" s="66">
        <v>15</v>
      </c>
      <c r="M41" s="63">
        <v>15</v>
      </c>
      <c r="N41" s="63">
        <v>15</v>
      </c>
      <c r="O41" s="63">
        <v>15</v>
      </c>
      <c r="P41" s="63">
        <v>15</v>
      </c>
      <c r="Q41" s="63">
        <v>20</v>
      </c>
      <c r="R41" s="63">
        <v>15</v>
      </c>
      <c r="S41" s="63">
        <v>20</v>
      </c>
      <c r="T41" s="63">
        <v>15</v>
      </c>
      <c r="U41" s="63">
        <v>20</v>
      </c>
      <c r="V41" s="63">
        <v>15</v>
      </c>
      <c r="W41" s="90">
        <v>0</v>
      </c>
      <c r="X41" s="63">
        <v>20</v>
      </c>
      <c r="Y41" s="63">
        <v>15</v>
      </c>
      <c r="Z41" s="63">
        <v>15</v>
      </c>
      <c r="AA41" s="63">
        <v>15</v>
      </c>
      <c r="AB41" s="63">
        <v>15</v>
      </c>
      <c r="AC41" s="63">
        <v>19</v>
      </c>
      <c r="AD41" s="63">
        <v>15</v>
      </c>
      <c r="AE41" s="63">
        <v>15</v>
      </c>
      <c r="AF41" s="63">
        <v>20</v>
      </c>
      <c r="AG41" s="63">
        <v>14</v>
      </c>
      <c r="AH41" s="63">
        <v>15</v>
      </c>
      <c r="AI41" s="63">
        <v>15</v>
      </c>
      <c r="AJ41" s="82">
        <v>15</v>
      </c>
      <c r="AK41" s="82">
        <v>15</v>
      </c>
      <c r="AL41" s="82">
        <v>15</v>
      </c>
      <c r="AM41" s="65">
        <f t="shared" si="0"/>
        <v>563</v>
      </c>
      <c r="AN41" s="75">
        <f>AM41/AM9</f>
        <v>0.99646017699115041</v>
      </c>
    </row>
    <row r="42" spans="1:40" x14ac:dyDescent="0.25">
      <c r="A42" s="64">
        <v>4805</v>
      </c>
      <c r="B42" s="65">
        <v>15</v>
      </c>
      <c r="C42" s="63">
        <v>15</v>
      </c>
      <c r="D42" s="63">
        <v>15</v>
      </c>
      <c r="E42" s="63">
        <v>17</v>
      </c>
      <c r="F42" s="63">
        <v>15</v>
      </c>
      <c r="G42" s="63">
        <v>19</v>
      </c>
      <c r="H42" s="63">
        <v>14</v>
      </c>
      <c r="I42" s="63">
        <v>18</v>
      </c>
      <c r="J42" s="63">
        <v>14</v>
      </c>
      <c r="K42" s="90">
        <v>0</v>
      </c>
      <c r="L42" s="66">
        <v>15</v>
      </c>
      <c r="M42" s="63">
        <v>15</v>
      </c>
      <c r="N42" s="63">
        <v>15</v>
      </c>
      <c r="O42" s="63">
        <v>15</v>
      </c>
      <c r="P42" s="63">
        <v>14</v>
      </c>
      <c r="Q42" s="63">
        <v>18</v>
      </c>
      <c r="R42" s="63">
        <v>15</v>
      </c>
      <c r="S42" s="63">
        <v>19</v>
      </c>
      <c r="T42" s="63">
        <v>14</v>
      </c>
      <c r="U42" s="63">
        <v>20</v>
      </c>
      <c r="V42" s="63">
        <v>14</v>
      </c>
      <c r="W42" s="63">
        <v>11</v>
      </c>
      <c r="X42" s="63">
        <v>19</v>
      </c>
      <c r="Y42" s="63">
        <v>14</v>
      </c>
      <c r="Z42" s="63">
        <v>15</v>
      </c>
      <c r="AA42" s="63">
        <v>14</v>
      </c>
      <c r="AB42" s="63">
        <v>12</v>
      </c>
      <c r="AC42" s="90">
        <v>0</v>
      </c>
      <c r="AD42" s="63">
        <v>11</v>
      </c>
      <c r="AE42" s="63">
        <v>15</v>
      </c>
      <c r="AF42" s="63">
        <v>18</v>
      </c>
      <c r="AG42" s="63">
        <v>13</v>
      </c>
      <c r="AH42" s="63">
        <v>15</v>
      </c>
      <c r="AI42" s="63">
        <v>12</v>
      </c>
      <c r="AJ42" s="82">
        <v>15</v>
      </c>
      <c r="AK42" s="82">
        <v>15</v>
      </c>
      <c r="AL42" s="82">
        <v>14</v>
      </c>
      <c r="AM42" s="65">
        <f t="shared" si="0"/>
        <v>529</v>
      </c>
      <c r="AN42" s="75">
        <f>AM42/AM9</f>
        <v>0.93628318584070791</v>
      </c>
    </row>
    <row r="43" spans="1:40" x14ac:dyDescent="0.25">
      <c r="A43" s="64">
        <v>2311</v>
      </c>
      <c r="B43" s="65">
        <v>15</v>
      </c>
      <c r="C43" s="63">
        <v>15</v>
      </c>
      <c r="D43" s="63">
        <v>13</v>
      </c>
      <c r="E43" s="63">
        <v>20</v>
      </c>
      <c r="F43" s="63">
        <v>7.5</v>
      </c>
      <c r="G43" s="63">
        <v>19</v>
      </c>
      <c r="H43" s="63">
        <v>15</v>
      </c>
      <c r="I43" s="63">
        <v>14</v>
      </c>
      <c r="J43" s="63">
        <v>15</v>
      </c>
      <c r="K43" s="63">
        <v>15</v>
      </c>
      <c r="L43" s="66">
        <v>15</v>
      </c>
      <c r="M43" s="63">
        <v>15</v>
      </c>
      <c r="N43" s="63">
        <v>14</v>
      </c>
      <c r="O43" s="63">
        <v>15</v>
      </c>
      <c r="P43" s="63">
        <v>13</v>
      </c>
      <c r="Q43" s="63">
        <v>19</v>
      </c>
      <c r="R43" s="63">
        <v>14</v>
      </c>
      <c r="S43" s="63">
        <v>17</v>
      </c>
      <c r="T43" s="63">
        <v>15</v>
      </c>
      <c r="U43" s="63">
        <v>20</v>
      </c>
      <c r="V43" s="63">
        <v>15</v>
      </c>
      <c r="W43" s="63">
        <v>14</v>
      </c>
      <c r="X43" s="63">
        <v>16</v>
      </c>
      <c r="Y43" s="63">
        <v>15</v>
      </c>
      <c r="Z43" s="63">
        <v>15</v>
      </c>
      <c r="AA43" s="63">
        <v>15</v>
      </c>
      <c r="AB43" s="63">
        <v>14</v>
      </c>
      <c r="AC43" s="63">
        <v>18</v>
      </c>
      <c r="AD43" s="63">
        <v>12</v>
      </c>
      <c r="AE43" s="63">
        <v>15</v>
      </c>
      <c r="AF43" s="63">
        <v>20</v>
      </c>
      <c r="AG43" s="90">
        <v>0</v>
      </c>
      <c r="AH43" s="63">
        <v>15</v>
      </c>
      <c r="AI43" s="90">
        <v>0</v>
      </c>
      <c r="AJ43" s="82">
        <v>15</v>
      </c>
      <c r="AK43" s="82">
        <v>15</v>
      </c>
      <c r="AL43" s="82">
        <v>11</v>
      </c>
      <c r="AM43" s="65">
        <f t="shared" si="0"/>
        <v>530.5</v>
      </c>
      <c r="AN43" s="75">
        <f>AM43/AM9</f>
        <v>0.93893805309734513</v>
      </c>
    </row>
    <row r="44" spans="1:40" x14ac:dyDescent="0.25">
      <c r="A44" s="64">
        <v>8419</v>
      </c>
      <c r="B44" s="65">
        <v>14</v>
      </c>
      <c r="C44" s="63">
        <v>15</v>
      </c>
      <c r="D44" s="63">
        <v>14</v>
      </c>
      <c r="E44" s="63">
        <v>20</v>
      </c>
      <c r="F44" s="63">
        <v>15</v>
      </c>
      <c r="G44" s="90">
        <v>0</v>
      </c>
      <c r="H44" s="63">
        <v>14</v>
      </c>
      <c r="I44" s="63">
        <v>19</v>
      </c>
      <c r="J44" s="63">
        <v>12</v>
      </c>
      <c r="K44" s="63">
        <v>15</v>
      </c>
      <c r="L44" s="66">
        <v>12</v>
      </c>
      <c r="M44" s="63">
        <v>15</v>
      </c>
      <c r="N44" s="63">
        <v>15</v>
      </c>
      <c r="O44" s="63">
        <v>15</v>
      </c>
      <c r="P44" s="63">
        <v>15</v>
      </c>
      <c r="Q44" s="63">
        <v>20</v>
      </c>
      <c r="R44" s="63">
        <v>15</v>
      </c>
      <c r="S44" s="63">
        <v>16</v>
      </c>
      <c r="T44" s="63">
        <v>15</v>
      </c>
      <c r="U44" s="63">
        <v>20</v>
      </c>
      <c r="V44" s="63">
        <v>13</v>
      </c>
      <c r="W44" s="63">
        <v>10</v>
      </c>
      <c r="X44" s="63">
        <v>13</v>
      </c>
      <c r="Y44" s="63">
        <v>13</v>
      </c>
      <c r="Z44" s="63">
        <v>14</v>
      </c>
      <c r="AA44" s="63">
        <v>14</v>
      </c>
      <c r="AB44" s="63">
        <v>11</v>
      </c>
      <c r="AC44" s="63">
        <v>19</v>
      </c>
      <c r="AD44" s="63">
        <v>15</v>
      </c>
      <c r="AE44" s="63">
        <v>15</v>
      </c>
      <c r="AF44" s="63">
        <v>20</v>
      </c>
      <c r="AG44" s="63">
        <v>12</v>
      </c>
      <c r="AH44" s="63">
        <v>15</v>
      </c>
      <c r="AI44" s="63">
        <v>15</v>
      </c>
      <c r="AJ44" s="82">
        <v>15</v>
      </c>
      <c r="AK44" s="82">
        <v>15</v>
      </c>
      <c r="AL44" s="92"/>
      <c r="AM44" s="65">
        <f t="shared" si="0"/>
        <v>525</v>
      </c>
      <c r="AN44" s="75">
        <f>AM44/AM9</f>
        <v>0.92920353982300885</v>
      </c>
    </row>
    <row r="45" spans="1:40" x14ac:dyDescent="0.25">
      <c r="A45" s="64">
        <v>1714</v>
      </c>
      <c r="B45" s="65">
        <v>13</v>
      </c>
      <c r="C45" s="63">
        <v>10</v>
      </c>
      <c r="D45" s="63">
        <v>15</v>
      </c>
      <c r="E45" s="63">
        <v>13</v>
      </c>
      <c r="F45" s="63">
        <v>15</v>
      </c>
      <c r="G45" s="63">
        <v>20</v>
      </c>
      <c r="H45" s="63">
        <v>9</v>
      </c>
      <c r="I45" s="63">
        <v>12</v>
      </c>
      <c r="J45" s="63">
        <v>13</v>
      </c>
      <c r="K45" s="63">
        <v>15</v>
      </c>
      <c r="L45" s="66">
        <v>15</v>
      </c>
      <c r="M45" s="63">
        <v>15</v>
      </c>
      <c r="N45" s="63">
        <v>15</v>
      </c>
      <c r="O45" s="63">
        <v>13</v>
      </c>
      <c r="P45" s="90"/>
      <c r="Q45" s="63">
        <v>19</v>
      </c>
      <c r="R45" s="63">
        <v>10</v>
      </c>
      <c r="S45" s="63">
        <v>20</v>
      </c>
      <c r="T45" s="63">
        <v>15</v>
      </c>
      <c r="U45" s="63">
        <v>12</v>
      </c>
      <c r="V45" s="63">
        <v>12</v>
      </c>
      <c r="W45" s="63">
        <v>11</v>
      </c>
      <c r="X45" s="63">
        <v>11</v>
      </c>
      <c r="Y45" s="63">
        <v>10.5</v>
      </c>
      <c r="Z45" s="63">
        <v>9</v>
      </c>
      <c r="AA45" s="63">
        <v>13</v>
      </c>
      <c r="AB45" s="63">
        <v>12</v>
      </c>
      <c r="AC45" s="63">
        <v>15</v>
      </c>
      <c r="AD45" s="63">
        <v>14</v>
      </c>
      <c r="AE45" s="90"/>
      <c r="AF45" s="63">
        <v>20</v>
      </c>
      <c r="AG45" s="63">
        <v>15</v>
      </c>
      <c r="AH45" s="63">
        <v>15</v>
      </c>
      <c r="AI45" s="63">
        <v>15</v>
      </c>
      <c r="AJ45" s="82">
        <v>15</v>
      </c>
      <c r="AK45" s="82">
        <v>15</v>
      </c>
      <c r="AL45" s="82">
        <v>15</v>
      </c>
      <c r="AM45" s="65">
        <f t="shared" si="0"/>
        <v>486.5</v>
      </c>
      <c r="AN45" s="75">
        <f>AM45/AM9</f>
        <v>0.86106194690265492</v>
      </c>
    </row>
    <row r="46" spans="1:40" x14ac:dyDescent="0.25">
      <c r="A46" s="64">
        <v>1601</v>
      </c>
      <c r="B46" s="65">
        <v>15</v>
      </c>
      <c r="C46" s="63">
        <v>15</v>
      </c>
      <c r="D46" s="63">
        <v>15</v>
      </c>
      <c r="E46" s="63">
        <v>20</v>
      </c>
      <c r="F46" s="63">
        <v>15</v>
      </c>
      <c r="G46" s="63">
        <v>20</v>
      </c>
      <c r="H46" s="63">
        <v>15</v>
      </c>
      <c r="I46" s="63">
        <v>18</v>
      </c>
      <c r="J46" s="63">
        <v>15</v>
      </c>
      <c r="K46" s="63">
        <v>15</v>
      </c>
      <c r="L46" s="66">
        <v>15</v>
      </c>
      <c r="M46" s="63">
        <v>15</v>
      </c>
      <c r="N46" s="63">
        <v>15</v>
      </c>
      <c r="O46" s="63">
        <v>15</v>
      </c>
      <c r="P46" s="63">
        <v>15</v>
      </c>
      <c r="Q46" s="63">
        <v>20</v>
      </c>
      <c r="R46" s="63">
        <v>15</v>
      </c>
      <c r="S46" s="63">
        <v>19</v>
      </c>
      <c r="T46" s="63">
        <v>15</v>
      </c>
      <c r="U46" s="63">
        <v>20</v>
      </c>
      <c r="V46" s="63">
        <v>15</v>
      </c>
      <c r="W46" s="90">
        <v>0</v>
      </c>
      <c r="X46" s="90">
        <v>0</v>
      </c>
      <c r="Y46" s="63">
        <v>15</v>
      </c>
      <c r="Z46" s="63">
        <v>15</v>
      </c>
      <c r="AA46" s="63">
        <v>15</v>
      </c>
      <c r="AB46" s="63">
        <v>15</v>
      </c>
      <c r="AC46" s="63">
        <v>20</v>
      </c>
      <c r="AD46" s="63">
        <v>15</v>
      </c>
      <c r="AE46" s="63">
        <v>15</v>
      </c>
      <c r="AF46" s="63">
        <v>15</v>
      </c>
      <c r="AG46" s="63">
        <v>14</v>
      </c>
      <c r="AH46" s="63">
        <v>15</v>
      </c>
      <c r="AI46" s="63">
        <v>15</v>
      </c>
      <c r="AJ46" s="82">
        <v>15</v>
      </c>
      <c r="AK46" s="82">
        <v>15</v>
      </c>
      <c r="AL46" s="82">
        <v>15</v>
      </c>
      <c r="AM46" s="65">
        <f t="shared" si="0"/>
        <v>556</v>
      </c>
      <c r="AN46" s="75">
        <f>AM46/AM9</f>
        <v>0.98407079646017703</v>
      </c>
    </row>
    <row r="47" spans="1:40" x14ac:dyDescent="0.25">
      <c r="A47" s="64">
        <v>2982</v>
      </c>
      <c r="B47" s="65">
        <v>12</v>
      </c>
      <c r="C47" s="63">
        <v>15</v>
      </c>
      <c r="D47" s="63">
        <v>14</v>
      </c>
      <c r="E47" s="63">
        <v>19</v>
      </c>
      <c r="F47" s="63">
        <v>14</v>
      </c>
      <c r="G47" s="63">
        <v>20</v>
      </c>
      <c r="H47" s="63">
        <v>14</v>
      </c>
      <c r="I47" s="63">
        <v>11</v>
      </c>
      <c r="J47" s="63">
        <v>15</v>
      </c>
      <c r="K47" s="63">
        <v>14</v>
      </c>
      <c r="L47" s="66">
        <v>12</v>
      </c>
      <c r="M47" s="63">
        <v>10</v>
      </c>
      <c r="N47" s="63">
        <v>8.5</v>
      </c>
      <c r="O47" s="63">
        <v>5.5</v>
      </c>
      <c r="P47" s="63">
        <v>7.5</v>
      </c>
      <c r="Q47" s="63">
        <v>10</v>
      </c>
      <c r="R47" s="63">
        <v>7.5</v>
      </c>
      <c r="S47" s="63">
        <v>10</v>
      </c>
      <c r="T47" s="63">
        <v>7.5</v>
      </c>
      <c r="U47" s="63">
        <v>10</v>
      </c>
      <c r="V47" s="63">
        <v>7.5</v>
      </c>
      <c r="W47" s="63">
        <v>7.5</v>
      </c>
      <c r="X47" s="90"/>
      <c r="Y47" s="90"/>
      <c r="Z47" s="63">
        <v>7.5</v>
      </c>
      <c r="AA47" s="63">
        <v>7.5</v>
      </c>
      <c r="AB47" s="63">
        <v>7.5</v>
      </c>
      <c r="AC47" s="63">
        <v>14</v>
      </c>
      <c r="AD47" s="63">
        <v>7.5</v>
      </c>
      <c r="AE47" s="63"/>
      <c r="AF47" s="63">
        <v>14</v>
      </c>
      <c r="AG47" s="63">
        <v>7</v>
      </c>
      <c r="AH47" s="63">
        <v>15</v>
      </c>
      <c r="AI47" s="63">
        <v>1.5</v>
      </c>
      <c r="AJ47" s="82">
        <v>13</v>
      </c>
      <c r="AK47" s="82">
        <v>15</v>
      </c>
      <c r="AL47" s="82">
        <v>15</v>
      </c>
      <c r="AM47" s="65">
        <f t="shared" si="0"/>
        <v>376</v>
      </c>
      <c r="AN47" s="75">
        <f>AM47/AM9</f>
        <v>0.6654867256637168</v>
      </c>
    </row>
    <row r="48" spans="1:40" x14ac:dyDescent="0.25">
      <c r="A48" s="64">
        <v>3073</v>
      </c>
      <c r="B48" s="85">
        <v>7.5</v>
      </c>
      <c r="C48" s="83">
        <v>7.5</v>
      </c>
      <c r="D48" s="63">
        <v>10</v>
      </c>
      <c r="E48" s="63">
        <v>7</v>
      </c>
      <c r="F48" s="83">
        <v>7.5</v>
      </c>
      <c r="G48" s="83">
        <v>10</v>
      </c>
      <c r="H48" s="83">
        <v>7.5</v>
      </c>
      <c r="I48" s="83">
        <v>10</v>
      </c>
      <c r="J48" s="63">
        <v>6</v>
      </c>
      <c r="K48" s="63">
        <v>15</v>
      </c>
      <c r="L48" s="86">
        <v>7.5</v>
      </c>
      <c r="M48" s="83">
        <v>14.5</v>
      </c>
      <c r="N48" s="63">
        <v>15</v>
      </c>
      <c r="O48" s="63">
        <v>10</v>
      </c>
      <c r="P48" s="90"/>
      <c r="Q48" s="63">
        <v>15</v>
      </c>
      <c r="R48" s="63"/>
      <c r="S48" s="63"/>
      <c r="T48" s="83">
        <v>7.5</v>
      </c>
      <c r="U48" s="90"/>
      <c r="V48" s="63"/>
      <c r="W48" s="63">
        <v>8</v>
      </c>
      <c r="X48" s="83">
        <v>10</v>
      </c>
      <c r="Y48" s="63">
        <v>6</v>
      </c>
      <c r="Z48" s="63"/>
      <c r="AA48" s="63">
        <v>9</v>
      </c>
      <c r="AB48" s="63">
        <v>9</v>
      </c>
      <c r="AC48" s="63"/>
      <c r="AD48" s="63"/>
      <c r="AE48" s="63">
        <v>15</v>
      </c>
      <c r="AF48" s="63"/>
      <c r="AG48" s="63"/>
      <c r="AH48" s="63"/>
      <c r="AI48" s="63"/>
      <c r="AJ48" s="82"/>
      <c r="AK48" s="82"/>
      <c r="AL48" s="82"/>
      <c r="AM48" s="65">
        <f t="shared" si="0"/>
        <v>214.5</v>
      </c>
      <c r="AN48" s="75">
        <f>AM48/AM9</f>
        <v>0.37964601769911505</v>
      </c>
    </row>
    <row r="49" spans="1:40" x14ac:dyDescent="0.25">
      <c r="A49" s="64">
        <v>2454</v>
      </c>
      <c r="B49" s="65">
        <v>15</v>
      </c>
      <c r="C49" s="63">
        <v>15</v>
      </c>
      <c r="D49" s="63">
        <v>14</v>
      </c>
      <c r="E49" s="63">
        <v>20</v>
      </c>
      <c r="F49" s="63">
        <v>15</v>
      </c>
      <c r="G49" s="63">
        <v>18</v>
      </c>
      <c r="H49" s="63">
        <v>15</v>
      </c>
      <c r="I49" s="90">
        <v>0</v>
      </c>
      <c r="J49" s="63">
        <v>15</v>
      </c>
      <c r="K49" s="63">
        <v>15</v>
      </c>
      <c r="L49" s="66">
        <v>15</v>
      </c>
      <c r="M49" s="63">
        <v>15</v>
      </c>
      <c r="N49" s="63">
        <v>15</v>
      </c>
      <c r="O49" s="63">
        <v>15</v>
      </c>
      <c r="P49" s="63">
        <v>15</v>
      </c>
      <c r="Q49" s="63">
        <v>20</v>
      </c>
      <c r="R49" s="63">
        <v>15</v>
      </c>
      <c r="S49" s="63">
        <v>20</v>
      </c>
      <c r="T49" s="63">
        <v>15</v>
      </c>
      <c r="U49" s="63">
        <v>20</v>
      </c>
      <c r="V49" s="63">
        <v>15</v>
      </c>
      <c r="W49" s="63">
        <v>12</v>
      </c>
      <c r="X49" s="63">
        <v>20</v>
      </c>
      <c r="Y49" s="63">
        <v>15</v>
      </c>
      <c r="Z49" s="63">
        <v>11</v>
      </c>
      <c r="AA49" s="63">
        <v>13</v>
      </c>
      <c r="AB49" s="63">
        <v>15</v>
      </c>
      <c r="AC49" s="63">
        <v>16</v>
      </c>
      <c r="AD49" s="90">
        <v>0</v>
      </c>
      <c r="AE49" s="63">
        <v>15</v>
      </c>
      <c r="AF49" s="63">
        <v>20</v>
      </c>
      <c r="AG49" s="63">
        <v>15</v>
      </c>
      <c r="AH49" s="63">
        <v>15</v>
      </c>
      <c r="AI49" s="63">
        <v>15</v>
      </c>
      <c r="AJ49" s="82">
        <v>15</v>
      </c>
      <c r="AK49" s="82">
        <v>15</v>
      </c>
      <c r="AL49" s="82">
        <v>15</v>
      </c>
      <c r="AM49" s="65">
        <f t="shared" si="0"/>
        <v>549</v>
      </c>
      <c r="AN49" s="75">
        <f>AM49/AM9</f>
        <v>0.97168141592920354</v>
      </c>
    </row>
    <row r="50" spans="1:40" x14ac:dyDescent="0.25">
      <c r="A50" s="64">
        <v>1930</v>
      </c>
      <c r="B50" s="65">
        <v>14</v>
      </c>
      <c r="C50" s="63">
        <v>13</v>
      </c>
      <c r="D50" s="63">
        <v>13</v>
      </c>
      <c r="E50" s="63">
        <v>20</v>
      </c>
      <c r="F50" s="63">
        <v>15</v>
      </c>
      <c r="G50" s="63">
        <v>20</v>
      </c>
      <c r="H50" s="63">
        <v>15</v>
      </c>
      <c r="I50" s="90">
        <v>0</v>
      </c>
      <c r="J50" s="63">
        <v>15</v>
      </c>
      <c r="K50" s="63">
        <v>15</v>
      </c>
      <c r="L50" s="66">
        <v>15</v>
      </c>
      <c r="M50" s="63">
        <v>15</v>
      </c>
      <c r="N50" s="63">
        <v>15</v>
      </c>
      <c r="O50" s="63">
        <v>14</v>
      </c>
      <c r="P50" s="63">
        <v>13</v>
      </c>
      <c r="Q50" s="63">
        <v>20</v>
      </c>
      <c r="R50" s="63">
        <v>15</v>
      </c>
      <c r="S50" s="63">
        <v>20</v>
      </c>
      <c r="T50" s="63">
        <v>15</v>
      </c>
      <c r="U50" s="63">
        <v>20</v>
      </c>
      <c r="V50" s="63">
        <v>15</v>
      </c>
      <c r="W50" s="63">
        <v>12</v>
      </c>
      <c r="X50" s="63">
        <v>20</v>
      </c>
      <c r="Y50" s="63">
        <v>15</v>
      </c>
      <c r="Z50" s="63">
        <v>15</v>
      </c>
      <c r="AA50" s="63">
        <v>15</v>
      </c>
      <c r="AB50" s="63">
        <v>15</v>
      </c>
      <c r="AC50" s="63">
        <v>19</v>
      </c>
      <c r="AD50" s="63">
        <v>15</v>
      </c>
      <c r="AE50" s="63">
        <v>15</v>
      </c>
      <c r="AF50" s="63">
        <v>18</v>
      </c>
      <c r="AG50" s="63">
        <v>10.5</v>
      </c>
      <c r="AH50" s="63">
        <v>11</v>
      </c>
      <c r="AI50" s="90">
        <v>0</v>
      </c>
      <c r="AJ50" s="82">
        <v>15</v>
      </c>
      <c r="AK50" s="82">
        <v>15</v>
      </c>
      <c r="AL50" s="82">
        <v>15</v>
      </c>
      <c r="AM50" s="65">
        <f t="shared" si="0"/>
        <v>542.5</v>
      </c>
      <c r="AN50" s="75">
        <f>AM50/AM9</f>
        <v>0.96017699115044253</v>
      </c>
    </row>
    <row r="51" spans="1:40" x14ac:dyDescent="0.25">
      <c r="A51" s="5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72">
        <f>AVERAGE(AM10:AM50)</f>
        <v>486.71951219512198</v>
      </c>
      <c r="AN51" s="75">
        <f>AM51/AM9</f>
        <v>0.86145046406216275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zoomScale="85" workbookViewId="0">
      <selection activeCell="A21" sqref="A21:B21"/>
    </sheetView>
  </sheetViews>
  <sheetFormatPr defaultRowHeight="12.5" x14ac:dyDescent="0.25"/>
  <cols>
    <col min="1" max="1" width="17.54296875" bestFit="1" customWidth="1"/>
    <col min="3" max="3" width="9.26953125" bestFit="1" customWidth="1"/>
    <col min="13" max="13" width="10.81640625" bestFit="1" customWidth="1"/>
    <col min="14" max="14" width="7.453125" bestFit="1" customWidth="1"/>
  </cols>
  <sheetData>
    <row r="1" spans="1:13" ht="15.5" x14ac:dyDescent="0.35">
      <c r="A1" s="1" t="s">
        <v>42</v>
      </c>
      <c r="B1" s="32" t="s">
        <v>38</v>
      </c>
    </row>
    <row r="2" spans="1:13" ht="13" x14ac:dyDescent="0.3">
      <c r="A2" s="1" t="s">
        <v>40</v>
      </c>
      <c r="B2" t="s">
        <v>90</v>
      </c>
      <c r="C2" s="69">
        <v>37006</v>
      </c>
    </row>
    <row r="3" spans="1:13" ht="13" x14ac:dyDescent="0.3">
      <c r="A3" s="3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 t="s">
        <v>34</v>
      </c>
      <c r="M3" s="5" t="s">
        <v>35</v>
      </c>
    </row>
    <row r="4" spans="1:13" x14ac:dyDescent="0.25">
      <c r="A4" s="17" t="s">
        <v>37</v>
      </c>
      <c r="B4" s="10">
        <v>20</v>
      </c>
      <c r="C4" s="10">
        <v>20</v>
      </c>
      <c r="D4" s="10">
        <v>20</v>
      </c>
      <c r="E4" s="10">
        <v>20</v>
      </c>
      <c r="F4" s="10">
        <v>20</v>
      </c>
      <c r="G4" s="10">
        <v>20</v>
      </c>
      <c r="H4" s="10">
        <v>20</v>
      </c>
      <c r="I4" s="10"/>
      <c r="J4" s="10"/>
      <c r="K4" s="10"/>
      <c r="L4" s="10">
        <f t="shared" ref="L4:L14" si="0">SUM(B4:H4)</f>
        <v>140</v>
      </c>
      <c r="M4" s="14">
        <f>L4/$L$4</f>
        <v>1</v>
      </c>
    </row>
    <row r="5" spans="1:13" x14ac:dyDescent="0.25">
      <c r="A5" s="4">
        <v>7148</v>
      </c>
      <c r="B5" s="5">
        <v>20</v>
      </c>
      <c r="C5">
        <v>14</v>
      </c>
      <c r="D5" s="5">
        <v>20</v>
      </c>
      <c r="E5" s="5">
        <v>16</v>
      </c>
      <c r="F5" s="5">
        <v>15</v>
      </c>
      <c r="G5" s="5">
        <v>14</v>
      </c>
      <c r="H5" s="5">
        <v>20</v>
      </c>
      <c r="I5" s="5"/>
      <c r="J5" s="5"/>
      <c r="K5" s="5"/>
      <c r="L5" s="5">
        <f t="shared" si="0"/>
        <v>119</v>
      </c>
      <c r="M5" s="16">
        <f>L5/$L$4</f>
        <v>0.85</v>
      </c>
    </row>
    <row r="6" spans="1:13" x14ac:dyDescent="0.25">
      <c r="A6" s="4">
        <v>8311</v>
      </c>
      <c r="B6" s="5">
        <v>8</v>
      </c>
      <c r="C6" s="15">
        <v>16</v>
      </c>
      <c r="D6" s="5">
        <v>0</v>
      </c>
      <c r="E6" s="5">
        <v>18</v>
      </c>
      <c r="F6" s="5">
        <v>18</v>
      </c>
      <c r="G6" s="5">
        <v>20</v>
      </c>
      <c r="H6" s="5">
        <v>20</v>
      </c>
      <c r="I6" s="5"/>
      <c r="J6" s="5"/>
      <c r="K6" s="5"/>
      <c r="L6" s="5">
        <f t="shared" si="0"/>
        <v>100</v>
      </c>
      <c r="M6" s="16">
        <f t="shared" ref="M6:M45" si="1">L6/$L$4</f>
        <v>0.7142857142857143</v>
      </c>
    </row>
    <row r="7" spans="1:13" x14ac:dyDescent="0.25">
      <c r="A7" s="4">
        <v>5045</v>
      </c>
      <c r="B7" s="5">
        <v>16</v>
      </c>
      <c r="C7" s="15">
        <v>18</v>
      </c>
      <c r="D7" s="5">
        <v>20</v>
      </c>
      <c r="E7" s="5">
        <v>18</v>
      </c>
      <c r="F7" s="5">
        <v>18</v>
      </c>
      <c r="G7" s="5">
        <v>20</v>
      </c>
      <c r="H7" s="5">
        <v>20</v>
      </c>
      <c r="I7" s="5"/>
      <c r="J7" s="5"/>
      <c r="K7" s="5"/>
      <c r="L7" s="5">
        <f t="shared" si="0"/>
        <v>130</v>
      </c>
      <c r="M7" s="16">
        <f t="shared" si="1"/>
        <v>0.9285714285714286</v>
      </c>
    </row>
    <row r="8" spans="1:13" x14ac:dyDescent="0.25">
      <c r="A8" s="4">
        <v>7827</v>
      </c>
      <c r="B8" s="5">
        <v>0</v>
      </c>
      <c r="C8" s="15">
        <v>10</v>
      </c>
      <c r="D8" s="5">
        <v>4</v>
      </c>
      <c r="E8" s="5">
        <v>14</v>
      </c>
      <c r="F8" s="5"/>
      <c r="G8" s="5"/>
      <c r="H8" s="5"/>
      <c r="I8" s="5"/>
      <c r="J8" s="5"/>
      <c r="K8" s="5"/>
      <c r="L8" s="5">
        <f t="shared" si="0"/>
        <v>28</v>
      </c>
      <c r="M8" s="16">
        <f t="shared" si="1"/>
        <v>0.2</v>
      </c>
    </row>
    <row r="9" spans="1:13" x14ac:dyDescent="0.25">
      <c r="A9" s="4" t="s">
        <v>38</v>
      </c>
      <c r="B9" s="5">
        <v>0</v>
      </c>
      <c r="C9" s="15">
        <v>12</v>
      </c>
      <c r="D9" s="5">
        <v>0</v>
      </c>
      <c r="E9" s="5"/>
      <c r="F9" s="5">
        <v>16</v>
      </c>
      <c r="G9" s="5"/>
      <c r="H9" s="5">
        <v>20</v>
      </c>
      <c r="I9" s="5"/>
      <c r="J9" s="5"/>
      <c r="K9" s="5"/>
      <c r="L9" s="5">
        <f t="shared" si="0"/>
        <v>48</v>
      </c>
      <c r="M9" s="16">
        <f t="shared" si="1"/>
        <v>0.34285714285714286</v>
      </c>
    </row>
    <row r="10" spans="1:13" x14ac:dyDescent="0.25">
      <c r="A10" s="4">
        <v>1282</v>
      </c>
      <c r="B10" s="5">
        <v>16</v>
      </c>
      <c r="C10" s="15">
        <v>0</v>
      </c>
      <c r="D10" s="5">
        <v>20</v>
      </c>
      <c r="E10" s="5">
        <v>12</v>
      </c>
      <c r="F10" s="5"/>
      <c r="G10" s="5"/>
      <c r="H10" s="5"/>
      <c r="I10" s="5"/>
      <c r="J10" s="5"/>
      <c r="K10" s="5"/>
      <c r="L10" s="5">
        <f t="shared" si="0"/>
        <v>48</v>
      </c>
      <c r="M10" s="16">
        <f t="shared" si="1"/>
        <v>0.34285714285714286</v>
      </c>
    </row>
    <row r="11" spans="1:13" x14ac:dyDescent="0.25">
      <c r="A11" s="4">
        <v>9009</v>
      </c>
      <c r="B11" s="5">
        <v>16</v>
      </c>
      <c r="C11" s="15">
        <v>16</v>
      </c>
      <c r="D11" s="5">
        <v>20</v>
      </c>
      <c r="E11" s="5">
        <v>16</v>
      </c>
      <c r="F11" s="5">
        <v>20</v>
      </c>
      <c r="G11" s="5">
        <v>20</v>
      </c>
      <c r="H11" s="5">
        <v>20</v>
      </c>
      <c r="I11" s="5"/>
      <c r="J11" s="5"/>
      <c r="K11" s="5"/>
      <c r="L11" s="5">
        <f t="shared" si="0"/>
        <v>128</v>
      </c>
      <c r="M11" s="16">
        <f t="shared" si="1"/>
        <v>0.91428571428571426</v>
      </c>
    </row>
    <row r="12" spans="1:13" x14ac:dyDescent="0.25">
      <c r="A12" s="4" t="s">
        <v>43</v>
      </c>
      <c r="B12" s="5">
        <v>16</v>
      </c>
      <c r="C12" s="15">
        <v>12</v>
      </c>
      <c r="D12" s="5">
        <v>20</v>
      </c>
      <c r="E12" s="5">
        <v>18</v>
      </c>
      <c r="F12" s="5">
        <v>18</v>
      </c>
      <c r="G12" s="5">
        <v>20</v>
      </c>
      <c r="H12" s="5">
        <v>20</v>
      </c>
      <c r="I12" s="5"/>
      <c r="J12" s="5"/>
      <c r="K12" s="5"/>
      <c r="L12" s="5">
        <f t="shared" si="0"/>
        <v>124</v>
      </c>
      <c r="M12" s="16">
        <f t="shared" si="1"/>
        <v>0.88571428571428568</v>
      </c>
    </row>
    <row r="13" spans="1:13" x14ac:dyDescent="0.25">
      <c r="A13" s="4">
        <v>8380</v>
      </c>
      <c r="B13" s="5">
        <v>16</v>
      </c>
      <c r="C13" s="15">
        <v>20</v>
      </c>
      <c r="D13" s="5">
        <v>20</v>
      </c>
      <c r="E13" s="5">
        <v>18</v>
      </c>
      <c r="F13" s="5">
        <v>20</v>
      </c>
      <c r="G13" s="5">
        <v>20</v>
      </c>
      <c r="H13" s="5">
        <v>20</v>
      </c>
      <c r="I13" s="5"/>
      <c r="J13" s="5"/>
      <c r="K13" s="5"/>
      <c r="L13" s="5">
        <f t="shared" si="0"/>
        <v>134</v>
      </c>
      <c r="M13" s="16">
        <f t="shared" si="1"/>
        <v>0.95714285714285718</v>
      </c>
    </row>
    <row r="14" spans="1:13" x14ac:dyDescent="0.25">
      <c r="A14" s="4">
        <v>9983</v>
      </c>
      <c r="B14" s="5">
        <v>16</v>
      </c>
      <c r="C14" s="15">
        <v>0</v>
      </c>
      <c r="D14" s="5">
        <v>10</v>
      </c>
      <c r="E14" s="5">
        <v>18</v>
      </c>
      <c r="F14" s="5">
        <v>18</v>
      </c>
      <c r="G14" s="5">
        <v>14</v>
      </c>
      <c r="H14" s="5">
        <v>16</v>
      </c>
      <c r="I14" s="5"/>
      <c r="J14" s="5"/>
      <c r="K14" s="5"/>
      <c r="L14" s="5">
        <f t="shared" si="0"/>
        <v>92</v>
      </c>
      <c r="M14" s="16">
        <f t="shared" si="1"/>
        <v>0.65714285714285714</v>
      </c>
    </row>
    <row r="15" spans="1:13" x14ac:dyDescent="0.25">
      <c r="A15" s="4">
        <v>5717</v>
      </c>
      <c r="B15" s="5">
        <v>12</v>
      </c>
      <c r="C15" s="15">
        <v>10</v>
      </c>
      <c r="D15" s="5">
        <v>12</v>
      </c>
      <c r="E15" s="5">
        <v>10</v>
      </c>
      <c r="F15" s="5"/>
      <c r="G15" s="5"/>
      <c r="H15" s="5"/>
      <c r="I15" s="5"/>
      <c r="J15" s="5"/>
      <c r="K15" s="5"/>
      <c r="L15" s="5">
        <f t="shared" ref="L15:L45" si="2">SUM(B15:H15)</f>
        <v>44</v>
      </c>
      <c r="M15" s="16">
        <f t="shared" si="1"/>
        <v>0.31428571428571428</v>
      </c>
    </row>
    <row r="16" spans="1:13" x14ac:dyDescent="0.25">
      <c r="A16" s="4">
        <v>3947</v>
      </c>
      <c r="B16" s="5">
        <v>6</v>
      </c>
      <c r="C16" s="15">
        <v>0</v>
      </c>
      <c r="D16" s="5">
        <v>16</v>
      </c>
      <c r="E16" s="5">
        <v>8</v>
      </c>
      <c r="F16" s="5">
        <v>18</v>
      </c>
      <c r="G16" s="5"/>
      <c r="H16" s="5"/>
      <c r="I16" s="5"/>
      <c r="J16" s="5"/>
      <c r="K16" s="5"/>
      <c r="L16" s="5">
        <f t="shared" si="2"/>
        <v>48</v>
      </c>
      <c r="M16" s="16">
        <f t="shared" si="1"/>
        <v>0.34285714285714286</v>
      </c>
    </row>
    <row r="17" spans="1:13" x14ac:dyDescent="0.25">
      <c r="A17" s="4">
        <v>7688</v>
      </c>
      <c r="B17" s="5">
        <v>16</v>
      </c>
      <c r="C17" s="15">
        <v>20</v>
      </c>
      <c r="D17" s="5">
        <v>20</v>
      </c>
      <c r="E17" s="5">
        <v>20</v>
      </c>
      <c r="F17" s="5">
        <v>20</v>
      </c>
      <c r="G17" s="5">
        <v>20</v>
      </c>
      <c r="H17" s="5">
        <v>20</v>
      </c>
      <c r="I17" s="5"/>
      <c r="J17" s="5"/>
      <c r="K17" s="5"/>
      <c r="L17" s="5">
        <f t="shared" si="2"/>
        <v>136</v>
      </c>
      <c r="M17" s="16">
        <f t="shared" si="1"/>
        <v>0.97142857142857142</v>
      </c>
    </row>
    <row r="18" spans="1:13" x14ac:dyDescent="0.25">
      <c r="A18" s="4">
        <v>8378</v>
      </c>
      <c r="B18" s="5">
        <v>12</v>
      </c>
      <c r="C18" s="15">
        <v>14</v>
      </c>
      <c r="D18" s="5">
        <v>16</v>
      </c>
      <c r="E18" s="5">
        <v>16</v>
      </c>
      <c r="F18" s="5">
        <v>5</v>
      </c>
      <c r="G18" s="5">
        <v>20</v>
      </c>
      <c r="H18" s="5">
        <v>20</v>
      </c>
      <c r="I18" s="5"/>
      <c r="J18" s="5"/>
      <c r="K18" s="5"/>
      <c r="L18" s="5">
        <f t="shared" si="2"/>
        <v>103</v>
      </c>
      <c r="M18" s="16">
        <f t="shared" si="1"/>
        <v>0.73571428571428577</v>
      </c>
    </row>
    <row r="19" spans="1:13" x14ac:dyDescent="0.25">
      <c r="A19" s="4">
        <v>7585</v>
      </c>
      <c r="B19" s="5">
        <v>6</v>
      </c>
      <c r="C19" s="15">
        <v>14</v>
      </c>
      <c r="D19" s="5">
        <v>12</v>
      </c>
      <c r="E19" s="5">
        <v>18</v>
      </c>
      <c r="F19" s="5">
        <v>5</v>
      </c>
      <c r="G19" s="5"/>
      <c r="H19" s="5">
        <v>20</v>
      </c>
      <c r="I19" s="5"/>
      <c r="J19" s="5"/>
      <c r="K19" s="5"/>
      <c r="L19" s="5">
        <f t="shared" si="2"/>
        <v>75</v>
      </c>
      <c r="M19" s="16">
        <f t="shared" si="1"/>
        <v>0.5357142857142857</v>
      </c>
    </row>
    <row r="20" spans="1:13" x14ac:dyDescent="0.25">
      <c r="A20" s="4">
        <v>3738</v>
      </c>
      <c r="B20" s="5">
        <v>20</v>
      </c>
      <c r="C20" s="15">
        <v>14</v>
      </c>
      <c r="D20" s="5">
        <v>20</v>
      </c>
      <c r="E20" s="5"/>
      <c r="F20" s="5"/>
      <c r="G20" s="5"/>
      <c r="H20" s="5"/>
      <c r="I20" s="5"/>
      <c r="J20" s="5"/>
      <c r="K20" s="5"/>
      <c r="L20" s="5">
        <f t="shared" si="2"/>
        <v>54</v>
      </c>
      <c r="M20" s="16">
        <f t="shared" si="1"/>
        <v>0.38571428571428573</v>
      </c>
    </row>
    <row r="21" spans="1:13" x14ac:dyDescent="0.25">
      <c r="A21" s="4">
        <v>3668</v>
      </c>
      <c r="B21" s="5">
        <v>8</v>
      </c>
      <c r="C21" s="15">
        <v>14</v>
      </c>
      <c r="D21" s="5">
        <v>20</v>
      </c>
      <c r="E21" s="5">
        <v>18</v>
      </c>
      <c r="F21" s="5">
        <v>3</v>
      </c>
      <c r="G21" s="5">
        <v>16</v>
      </c>
      <c r="H21" s="5">
        <v>16</v>
      </c>
      <c r="I21" s="5"/>
      <c r="J21" s="5"/>
      <c r="K21" s="5"/>
      <c r="L21" s="5">
        <f t="shared" si="2"/>
        <v>95</v>
      </c>
      <c r="M21" s="16">
        <f t="shared" si="1"/>
        <v>0.6785714285714286</v>
      </c>
    </row>
    <row r="22" spans="1:13" x14ac:dyDescent="0.25">
      <c r="A22" s="4">
        <v>8537</v>
      </c>
      <c r="B22" s="5">
        <v>14</v>
      </c>
      <c r="C22" s="15">
        <v>18</v>
      </c>
      <c r="D22" s="5">
        <v>16</v>
      </c>
      <c r="E22" s="5">
        <v>14</v>
      </c>
      <c r="F22" s="5">
        <v>18</v>
      </c>
      <c r="G22" s="5">
        <v>20</v>
      </c>
      <c r="H22" s="5">
        <v>20</v>
      </c>
      <c r="I22" s="5"/>
      <c r="J22" s="5"/>
      <c r="K22" s="5"/>
      <c r="L22" s="5">
        <f t="shared" si="2"/>
        <v>120</v>
      </c>
      <c r="M22" s="16">
        <f t="shared" si="1"/>
        <v>0.8571428571428571</v>
      </c>
    </row>
    <row r="23" spans="1:13" x14ac:dyDescent="0.25">
      <c r="A23" s="4">
        <v>1245</v>
      </c>
      <c r="B23" s="5">
        <v>20</v>
      </c>
      <c r="C23" s="15">
        <v>20</v>
      </c>
      <c r="D23" s="5">
        <v>20</v>
      </c>
      <c r="E23" s="5">
        <v>20</v>
      </c>
      <c r="F23" s="5">
        <v>18</v>
      </c>
      <c r="G23" s="5">
        <v>20</v>
      </c>
      <c r="H23" s="5">
        <v>20</v>
      </c>
      <c r="I23" s="5"/>
      <c r="J23" s="5"/>
      <c r="K23" s="5"/>
      <c r="L23" s="5">
        <f t="shared" si="2"/>
        <v>138</v>
      </c>
      <c r="M23" s="16">
        <f t="shared" si="1"/>
        <v>0.98571428571428577</v>
      </c>
    </row>
    <row r="24" spans="1:13" x14ac:dyDescent="0.25">
      <c r="A24" s="4">
        <v>4092</v>
      </c>
      <c r="B24" s="5">
        <v>10</v>
      </c>
      <c r="C24" s="15">
        <v>14</v>
      </c>
      <c r="D24" s="5">
        <v>14</v>
      </c>
      <c r="E24" s="5">
        <v>14</v>
      </c>
      <c r="F24" s="5"/>
      <c r="G24" s="5">
        <v>6</v>
      </c>
      <c r="H24" s="5">
        <v>16</v>
      </c>
      <c r="I24" s="5"/>
      <c r="J24" s="5"/>
      <c r="K24" s="5"/>
      <c r="L24" s="5">
        <f t="shared" si="2"/>
        <v>74</v>
      </c>
      <c r="M24" s="16">
        <f t="shared" si="1"/>
        <v>0.52857142857142858</v>
      </c>
    </row>
    <row r="25" spans="1:13" x14ac:dyDescent="0.25">
      <c r="A25" s="4">
        <v>5688</v>
      </c>
      <c r="B25" s="5">
        <v>20</v>
      </c>
      <c r="C25" s="15">
        <v>16</v>
      </c>
      <c r="D25" s="5">
        <v>0</v>
      </c>
      <c r="E25" s="5"/>
      <c r="F25" s="5"/>
      <c r="G25" s="5"/>
      <c r="H25" s="5"/>
      <c r="I25" s="5"/>
      <c r="J25" s="5"/>
      <c r="K25" s="5"/>
      <c r="L25" s="5">
        <f t="shared" si="2"/>
        <v>36</v>
      </c>
      <c r="M25" s="16">
        <f t="shared" si="1"/>
        <v>0.25714285714285712</v>
      </c>
    </row>
    <row r="26" spans="1:13" x14ac:dyDescent="0.25">
      <c r="A26" s="4">
        <v>-9564</v>
      </c>
      <c r="B26" s="5">
        <v>20</v>
      </c>
      <c r="C26" s="15">
        <v>14</v>
      </c>
      <c r="D26" s="5">
        <v>0</v>
      </c>
      <c r="E26" s="5">
        <v>20</v>
      </c>
      <c r="F26" s="5">
        <v>18</v>
      </c>
      <c r="G26" s="5">
        <v>20</v>
      </c>
      <c r="H26" s="5">
        <v>16</v>
      </c>
      <c r="I26" s="5"/>
      <c r="J26" s="5"/>
      <c r="K26" s="5"/>
      <c r="L26" s="5">
        <f t="shared" si="2"/>
        <v>108</v>
      </c>
      <c r="M26" s="16">
        <f t="shared" si="1"/>
        <v>0.77142857142857146</v>
      </c>
    </row>
    <row r="27" spans="1:13" x14ac:dyDescent="0.25">
      <c r="A27" s="4">
        <v>5951</v>
      </c>
      <c r="B27" s="5">
        <v>8</v>
      </c>
      <c r="C27" s="15">
        <v>18</v>
      </c>
      <c r="D27" s="5">
        <v>20</v>
      </c>
      <c r="E27" s="5">
        <v>16</v>
      </c>
      <c r="F27" s="5">
        <v>18</v>
      </c>
      <c r="G27" s="5">
        <v>20</v>
      </c>
      <c r="H27" s="5">
        <v>20</v>
      </c>
      <c r="I27" s="5"/>
      <c r="J27" s="5"/>
      <c r="K27" s="5"/>
      <c r="L27" s="5">
        <f t="shared" si="2"/>
        <v>120</v>
      </c>
      <c r="M27" s="16">
        <f t="shared" si="1"/>
        <v>0.8571428571428571</v>
      </c>
    </row>
    <row r="28" spans="1:13" x14ac:dyDescent="0.25">
      <c r="A28" s="4">
        <v>7032</v>
      </c>
      <c r="B28" s="5">
        <v>10</v>
      </c>
      <c r="C28" s="15">
        <v>12</v>
      </c>
      <c r="D28" s="5">
        <v>20</v>
      </c>
      <c r="E28" s="5">
        <v>12</v>
      </c>
      <c r="F28" s="5">
        <v>15</v>
      </c>
      <c r="G28" s="5">
        <v>20</v>
      </c>
      <c r="H28" s="5">
        <v>20</v>
      </c>
      <c r="I28" s="5"/>
      <c r="J28" s="5"/>
      <c r="K28" s="5"/>
      <c r="L28" s="5">
        <f t="shared" si="2"/>
        <v>109</v>
      </c>
      <c r="M28" s="16">
        <f t="shared" si="1"/>
        <v>0.77857142857142858</v>
      </c>
    </row>
    <row r="29" spans="1:13" x14ac:dyDescent="0.25">
      <c r="A29" s="4">
        <v>5234</v>
      </c>
      <c r="B29" s="5">
        <v>20</v>
      </c>
      <c r="C29" s="15">
        <v>18</v>
      </c>
      <c r="D29" s="5">
        <v>20</v>
      </c>
      <c r="E29" s="5">
        <v>18</v>
      </c>
      <c r="F29" s="5">
        <v>17</v>
      </c>
      <c r="G29" s="5">
        <v>16</v>
      </c>
      <c r="H29" s="5">
        <v>20</v>
      </c>
      <c r="I29" s="5"/>
      <c r="J29" s="5"/>
      <c r="K29" s="5"/>
      <c r="L29" s="5">
        <f t="shared" si="2"/>
        <v>129</v>
      </c>
      <c r="M29" s="16">
        <f t="shared" si="1"/>
        <v>0.92142857142857137</v>
      </c>
    </row>
    <row r="30" spans="1:13" x14ac:dyDescent="0.25">
      <c r="A30" s="4">
        <v>4402</v>
      </c>
      <c r="B30" s="5">
        <v>20</v>
      </c>
      <c r="C30" s="15">
        <v>18</v>
      </c>
      <c r="D30" s="5">
        <v>20</v>
      </c>
      <c r="E30" s="5">
        <v>14</v>
      </c>
      <c r="F30" s="5">
        <v>19</v>
      </c>
      <c r="G30" s="5">
        <v>20</v>
      </c>
      <c r="H30" s="5">
        <v>20</v>
      </c>
      <c r="I30" s="5"/>
      <c r="J30" s="5"/>
      <c r="K30" s="5"/>
      <c r="L30" s="5">
        <f t="shared" si="2"/>
        <v>131</v>
      </c>
      <c r="M30" s="16">
        <f t="shared" si="1"/>
        <v>0.93571428571428572</v>
      </c>
    </row>
    <row r="31" spans="1:13" x14ac:dyDescent="0.25">
      <c r="A31" s="4">
        <v>7527</v>
      </c>
      <c r="B31" s="5">
        <v>20</v>
      </c>
      <c r="C31" s="15">
        <v>16</v>
      </c>
      <c r="D31" s="5">
        <v>20</v>
      </c>
      <c r="E31" s="5">
        <v>20</v>
      </c>
      <c r="F31" s="5">
        <v>20</v>
      </c>
      <c r="G31" s="5">
        <v>14</v>
      </c>
      <c r="H31" s="5"/>
      <c r="I31" s="5"/>
      <c r="J31" s="5"/>
      <c r="K31" s="5"/>
      <c r="L31" s="5">
        <f t="shared" si="2"/>
        <v>110</v>
      </c>
      <c r="M31" s="16">
        <f t="shared" si="1"/>
        <v>0.7857142857142857</v>
      </c>
    </row>
    <row r="32" spans="1:13" x14ac:dyDescent="0.25">
      <c r="A32" s="4">
        <v>2654</v>
      </c>
      <c r="B32" s="5">
        <v>16</v>
      </c>
      <c r="C32" s="15">
        <v>16</v>
      </c>
      <c r="D32" s="5">
        <v>20</v>
      </c>
      <c r="E32" s="5">
        <v>16</v>
      </c>
      <c r="F32" s="5">
        <v>15</v>
      </c>
      <c r="G32" s="5">
        <v>20</v>
      </c>
      <c r="H32" s="5"/>
      <c r="I32" s="5"/>
      <c r="J32" s="5"/>
      <c r="K32" s="5"/>
      <c r="L32" s="5">
        <f t="shared" si="2"/>
        <v>103</v>
      </c>
      <c r="M32" s="16">
        <f t="shared" si="1"/>
        <v>0.73571428571428577</v>
      </c>
    </row>
    <row r="33" spans="1:13" x14ac:dyDescent="0.25">
      <c r="A33" s="4">
        <v>-6682</v>
      </c>
      <c r="B33" s="5">
        <v>14</v>
      </c>
      <c r="C33" s="15">
        <v>16</v>
      </c>
      <c r="D33" s="5">
        <v>16</v>
      </c>
      <c r="E33" s="5">
        <v>14</v>
      </c>
      <c r="F33" s="5">
        <v>16</v>
      </c>
      <c r="G33" s="5">
        <v>20</v>
      </c>
      <c r="H33" s="5">
        <v>20</v>
      </c>
      <c r="I33" s="5"/>
      <c r="J33" s="5"/>
      <c r="K33" s="5"/>
      <c r="L33" s="5">
        <f t="shared" si="2"/>
        <v>116</v>
      </c>
      <c r="M33" s="16">
        <f t="shared" si="1"/>
        <v>0.82857142857142863</v>
      </c>
    </row>
    <row r="34" spans="1:13" x14ac:dyDescent="0.25">
      <c r="A34" s="4">
        <v>7935</v>
      </c>
      <c r="B34" s="5">
        <v>12</v>
      </c>
      <c r="C34" s="15">
        <v>18</v>
      </c>
      <c r="D34" s="5">
        <v>20</v>
      </c>
      <c r="E34" s="5">
        <v>18</v>
      </c>
      <c r="F34" s="5">
        <v>17</v>
      </c>
      <c r="G34" s="5">
        <v>20</v>
      </c>
      <c r="H34" s="5">
        <v>20</v>
      </c>
      <c r="I34" s="5"/>
      <c r="J34" s="5"/>
      <c r="K34" s="5"/>
      <c r="L34" s="5">
        <f t="shared" si="2"/>
        <v>125</v>
      </c>
      <c r="M34" s="16">
        <f t="shared" si="1"/>
        <v>0.8928571428571429</v>
      </c>
    </row>
    <row r="35" spans="1:13" x14ac:dyDescent="0.25">
      <c r="A35" s="4">
        <v>-9400</v>
      </c>
      <c r="B35" s="5">
        <v>8</v>
      </c>
      <c r="C35" s="15">
        <v>18</v>
      </c>
      <c r="D35" s="5">
        <v>16</v>
      </c>
      <c r="E35" s="5">
        <v>10</v>
      </c>
      <c r="F35" s="5">
        <v>15</v>
      </c>
      <c r="G35" s="5">
        <v>16</v>
      </c>
      <c r="H35" s="5">
        <v>20</v>
      </c>
      <c r="I35" s="5"/>
      <c r="J35" s="5"/>
      <c r="K35" s="5"/>
      <c r="L35" s="5">
        <f t="shared" si="2"/>
        <v>103</v>
      </c>
      <c r="M35" s="16">
        <f t="shared" si="1"/>
        <v>0.73571428571428577</v>
      </c>
    </row>
    <row r="36" spans="1:13" x14ac:dyDescent="0.25">
      <c r="A36" s="4" t="s">
        <v>44</v>
      </c>
      <c r="B36" s="5">
        <v>12</v>
      </c>
      <c r="C36" s="15">
        <v>20</v>
      </c>
      <c r="D36" s="5">
        <v>20</v>
      </c>
      <c r="E36" s="5">
        <v>16</v>
      </c>
      <c r="F36" s="5">
        <v>18</v>
      </c>
      <c r="G36" s="5">
        <v>16</v>
      </c>
      <c r="H36" s="5">
        <v>20</v>
      </c>
      <c r="I36" s="5"/>
      <c r="J36" s="5"/>
      <c r="K36" s="5"/>
      <c r="L36" s="5">
        <f t="shared" si="2"/>
        <v>122</v>
      </c>
      <c r="M36" s="16">
        <f t="shared" si="1"/>
        <v>0.87142857142857144</v>
      </c>
    </row>
    <row r="37" spans="1:13" x14ac:dyDescent="0.25">
      <c r="A37" s="4">
        <v>4805</v>
      </c>
      <c r="B37" s="5">
        <v>16</v>
      </c>
      <c r="C37" s="15">
        <v>18</v>
      </c>
      <c r="D37" s="5">
        <v>16</v>
      </c>
      <c r="E37" s="5">
        <v>18</v>
      </c>
      <c r="F37" s="5">
        <v>20</v>
      </c>
      <c r="G37" s="5">
        <v>20</v>
      </c>
      <c r="H37" s="5">
        <v>20</v>
      </c>
      <c r="I37" s="5"/>
      <c r="J37" s="5"/>
      <c r="K37" s="5"/>
      <c r="L37" s="5">
        <f t="shared" si="2"/>
        <v>128</v>
      </c>
      <c r="M37" s="16">
        <f t="shared" si="1"/>
        <v>0.91428571428571426</v>
      </c>
    </row>
    <row r="38" spans="1:13" x14ac:dyDescent="0.25">
      <c r="A38" s="4">
        <v>2311</v>
      </c>
      <c r="B38" s="5">
        <v>6</v>
      </c>
      <c r="C38" s="15">
        <v>16</v>
      </c>
      <c r="D38" s="5">
        <v>16</v>
      </c>
      <c r="E38" s="5">
        <v>16</v>
      </c>
      <c r="F38" s="5">
        <v>15</v>
      </c>
      <c r="G38" s="5">
        <v>20</v>
      </c>
      <c r="H38" s="5">
        <v>20</v>
      </c>
      <c r="I38" s="5"/>
      <c r="J38" s="5"/>
      <c r="K38" s="5"/>
      <c r="L38" s="5">
        <f t="shared" si="2"/>
        <v>109</v>
      </c>
      <c r="M38" s="16">
        <f>L38/$L$4</f>
        <v>0.77857142857142858</v>
      </c>
    </row>
    <row r="39" spans="1:13" x14ac:dyDescent="0.25">
      <c r="A39" s="4">
        <v>8419</v>
      </c>
      <c r="B39" s="5">
        <v>20</v>
      </c>
      <c r="C39" s="15">
        <v>20</v>
      </c>
      <c r="D39" s="5">
        <v>20</v>
      </c>
      <c r="E39" s="5">
        <v>20</v>
      </c>
      <c r="F39" s="5">
        <v>20</v>
      </c>
      <c r="G39" s="5">
        <v>20</v>
      </c>
      <c r="H39" s="5">
        <v>20</v>
      </c>
      <c r="I39" s="5"/>
      <c r="J39" s="5"/>
      <c r="K39" s="5"/>
      <c r="L39" s="5">
        <f t="shared" si="2"/>
        <v>140</v>
      </c>
      <c r="M39" s="16">
        <f t="shared" si="1"/>
        <v>1</v>
      </c>
    </row>
    <row r="40" spans="1:13" x14ac:dyDescent="0.25">
      <c r="A40" s="4">
        <v>1714</v>
      </c>
      <c r="B40" s="5">
        <v>12</v>
      </c>
      <c r="C40" s="15">
        <v>16</v>
      </c>
      <c r="D40" s="5">
        <v>8</v>
      </c>
      <c r="E40" s="5">
        <v>20</v>
      </c>
      <c r="F40" s="5"/>
      <c r="G40" s="5">
        <v>20</v>
      </c>
      <c r="H40" s="5">
        <v>20</v>
      </c>
      <c r="I40" s="5"/>
      <c r="J40" s="5"/>
      <c r="K40" s="5"/>
      <c r="L40" s="5">
        <f t="shared" si="2"/>
        <v>96</v>
      </c>
      <c r="M40" s="16">
        <f t="shared" si="1"/>
        <v>0.68571428571428572</v>
      </c>
    </row>
    <row r="41" spans="1:13" x14ac:dyDescent="0.25">
      <c r="A41" s="4">
        <v>1601</v>
      </c>
      <c r="B41" s="5">
        <v>20</v>
      </c>
      <c r="C41" s="15">
        <v>18</v>
      </c>
      <c r="D41" s="5">
        <v>20</v>
      </c>
      <c r="E41" s="5">
        <v>20</v>
      </c>
      <c r="F41" s="5">
        <v>20</v>
      </c>
      <c r="G41" s="5">
        <v>20</v>
      </c>
      <c r="H41" s="5">
        <v>20</v>
      </c>
      <c r="I41" s="5"/>
      <c r="J41" s="5"/>
      <c r="K41" s="5"/>
      <c r="L41" s="5">
        <f t="shared" si="2"/>
        <v>138</v>
      </c>
      <c r="M41" s="16">
        <f t="shared" si="1"/>
        <v>0.98571428571428577</v>
      </c>
    </row>
    <row r="42" spans="1:13" x14ac:dyDescent="0.25">
      <c r="A42" s="4">
        <v>2982</v>
      </c>
      <c r="B42" s="5">
        <v>0</v>
      </c>
      <c r="C42" s="15">
        <v>14</v>
      </c>
      <c r="D42" s="5">
        <v>12</v>
      </c>
      <c r="E42" s="5"/>
      <c r="F42" s="5"/>
      <c r="G42" s="5">
        <v>16</v>
      </c>
      <c r="H42" s="5">
        <v>20</v>
      </c>
      <c r="I42" s="5"/>
      <c r="J42" s="5"/>
      <c r="K42" s="5"/>
      <c r="L42" s="5">
        <f t="shared" si="2"/>
        <v>62</v>
      </c>
      <c r="M42" s="16">
        <f>L42/$L$4</f>
        <v>0.44285714285714284</v>
      </c>
    </row>
    <row r="43" spans="1:13" x14ac:dyDescent="0.25">
      <c r="A43" s="4">
        <v>3073</v>
      </c>
      <c r="B43" s="5">
        <v>0</v>
      </c>
      <c r="C43" s="15">
        <v>14</v>
      </c>
      <c r="D43" s="5">
        <v>12</v>
      </c>
      <c r="E43" s="5">
        <v>14</v>
      </c>
      <c r="F43" s="5">
        <v>18</v>
      </c>
      <c r="G43" s="5">
        <v>20</v>
      </c>
      <c r="H43" s="5">
        <v>20</v>
      </c>
      <c r="I43" s="5"/>
      <c r="J43" s="5"/>
      <c r="K43" s="5"/>
      <c r="L43" s="5">
        <f t="shared" si="2"/>
        <v>98</v>
      </c>
      <c r="M43" s="16">
        <f t="shared" si="1"/>
        <v>0.7</v>
      </c>
    </row>
    <row r="44" spans="1:13" x14ac:dyDescent="0.25">
      <c r="A44" s="4">
        <v>2454</v>
      </c>
      <c r="B44" s="5">
        <v>16</v>
      </c>
      <c r="C44" s="15">
        <v>14</v>
      </c>
      <c r="D44" s="5">
        <v>20</v>
      </c>
      <c r="E44" s="5">
        <v>16</v>
      </c>
      <c r="F44" s="5">
        <v>20</v>
      </c>
      <c r="G44" s="5"/>
      <c r="H44" s="5">
        <v>20</v>
      </c>
      <c r="I44" s="5"/>
      <c r="J44" s="5"/>
      <c r="K44" s="5"/>
      <c r="L44" s="5">
        <f t="shared" si="2"/>
        <v>106</v>
      </c>
      <c r="M44" s="16">
        <f t="shared" si="1"/>
        <v>0.75714285714285712</v>
      </c>
    </row>
    <row r="45" spans="1:13" x14ac:dyDescent="0.25">
      <c r="A45" s="4">
        <v>1930</v>
      </c>
      <c r="B45" s="5">
        <v>14</v>
      </c>
      <c r="C45" s="15">
        <v>12</v>
      </c>
      <c r="D45" s="5">
        <v>10</v>
      </c>
      <c r="E45" s="5">
        <v>16</v>
      </c>
      <c r="F45" s="5">
        <v>18</v>
      </c>
      <c r="G45" s="5">
        <v>16</v>
      </c>
      <c r="H45" s="5">
        <v>20</v>
      </c>
      <c r="I45" s="5"/>
      <c r="J45" s="5"/>
      <c r="K45" s="5"/>
      <c r="L45" s="5">
        <f t="shared" si="2"/>
        <v>106</v>
      </c>
      <c r="M45" s="16">
        <f t="shared" si="1"/>
        <v>0.75714285714285712</v>
      </c>
    </row>
    <row r="46" spans="1:13" x14ac:dyDescent="0.25">
      <c r="A46" s="13" t="s">
        <v>38</v>
      </c>
      <c r="B46" s="5"/>
      <c r="C46" s="15"/>
      <c r="D46" s="5"/>
      <c r="E46" s="5"/>
      <c r="F46" s="5"/>
      <c r="G46" s="5"/>
      <c r="H46" s="5"/>
      <c r="I46" s="5"/>
      <c r="J46" s="5"/>
      <c r="K46" s="5"/>
      <c r="L46" s="5" t="s">
        <v>38</v>
      </c>
      <c r="M46" s="16" t="s">
        <v>38</v>
      </c>
    </row>
    <row r="47" spans="1:13" ht="13" thickBot="1" x14ac:dyDescent="0.3"/>
    <row r="48" spans="1:13" x14ac:dyDescent="0.25">
      <c r="A48" s="19" t="s">
        <v>7</v>
      </c>
      <c r="B48" s="20">
        <f>MIN(B5:B46)</f>
        <v>0</v>
      </c>
      <c r="C48" s="20">
        <f>MIN(C5:C46)</f>
        <v>0</v>
      </c>
      <c r="D48" s="20">
        <f>MIN(D5:D46)</f>
        <v>0</v>
      </c>
      <c r="E48" s="20">
        <f>MIN(E5:E45)</f>
        <v>8</v>
      </c>
      <c r="F48" s="20">
        <f>MIN(F5:F45)</f>
        <v>3</v>
      </c>
      <c r="G48" s="20"/>
      <c r="H48" s="20"/>
      <c r="I48" s="20"/>
      <c r="J48" s="20"/>
      <c r="K48" s="20"/>
      <c r="L48" s="20">
        <f>MIN(L5:L46)</f>
        <v>28</v>
      </c>
      <c r="M48" s="21">
        <f>MIN(M5:M46)</f>
        <v>0.2</v>
      </c>
    </row>
    <row r="49" spans="1:13" x14ac:dyDescent="0.25">
      <c r="A49" s="22" t="s">
        <v>8</v>
      </c>
      <c r="B49" s="18">
        <f>AVERAGE(B5:B46)</f>
        <v>12.975609756097562</v>
      </c>
      <c r="C49" s="18">
        <f>AVERAGE(C5:C46)</f>
        <v>14.585365853658537</v>
      </c>
      <c r="D49" s="18">
        <f>AVERAGE(D5:D46)</f>
        <v>15.268292682926829</v>
      </c>
      <c r="E49" s="18">
        <f>AVERAGE(E5:E45)</f>
        <v>16.216216216216218</v>
      </c>
      <c r="F49" s="18">
        <f>AVERAGE(F5:F45)</f>
        <v>16.636363636363637</v>
      </c>
      <c r="G49" s="18"/>
      <c r="H49" s="18"/>
      <c r="I49" s="18"/>
      <c r="J49" s="18"/>
      <c r="K49" s="18"/>
      <c r="L49" s="18">
        <f>AVERAGE(L5:L46)</f>
        <v>100.80487804878049</v>
      </c>
      <c r="M49" s="23">
        <f>AVERAGE(M5:M46)</f>
        <v>0.72003484320557487</v>
      </c>
    </row>
    <row r="50" spans="1:13" ht="13" thickBot="1" x14ac:dyDescent="0.3">
      <c r="A50" s="24" t="s">
        <v>9</v>
      </c>
      <c r="B50" s="25">
        <f>MAX(B5:B46)</f>
        <v>20</v>
      </c>
      <c r="C50" s="25">
        <f>MAX(C5:C46)</f>
        <v>20</v>
      </c>
      <c r="D50" s="25">
        <f>MAX(D5:D46)</f>
        <v>20</v>
      </c>
      <c r="E50" s="25">
        <f>MAX(E5:E45)</f>
        <v>20</v>
      </c>
      <c r="F50" s="25">
        <f>MAX(F5:F45)</f>
        <v>20</v>
      </c>
      <c r="G50" s="25"/>
      <c r="H50" s="25"/>
      <c r="I50" s="25"/>
      <c r="J50" s="25"/>
      <c r="K50" s="25"/>
      <c r="L50" s="25">
        <f>MAX(L5:L46)</f>
        <v>140</v>
      </c>
      <c r="M50" s="26">
        <f>MAX(M5:M46)</f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Overall Grade</vt:lpstr>
      <vt:lpstr> Homework</vt:lpstr>
      <vt:lpstr>Quizes</vt:lpstr>
      <vt:lpstr>'Overall Grade'!Print_Area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L. Jones</dc:creator>
  <cp:lastModifiedBy>Carina Negreanu</cp:lastModifiedBy>
  <cp:lastPrinted>2001-04-20T22:00:55Z</cp:lastPrinted>
  <dcterms:created xsi:type="dcterms:W3CDTF">1998-01-08T17:33:03Z</dcterms:created>
  <dcterms:modified xsi:type="dcterms:W3CDTF">2020-01-27T11:19:56Z</dcterms:modified>
</cp:coreProperties>
</file>