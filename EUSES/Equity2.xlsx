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19ECABD-DFFB-4876-B7B2-2D4F66316473}" xr6:coauthVersionLast="45" xr6:coauthVersionMax="45" xr10:uidLastSave="{00000000-0000-0000-0000-000000000000}"/>
  <bookViews>
    <workbookView xWindow="1900" yWindow="1900" windowWidth="28800" windowHeight="15460"/>
  </bookViews>
  <sheets>
    <sheet name="Beta" sheetId="1" r:id="rId1"/>
    <sheet name="VCV" sheetId="2" r:id="rId2"/>
    <sheet name="Forecast" sheetId="3" r:id="rId3"/>
    <sheet name="Chart1" sheetId="5" r:id="rId4"/>
    <sheet name="Chart2" sheetId="6" r:id="rId5"/>
    <sheet name="Chart3" sheetId="7" r:id="rId6"/>
    <sheet name="Chart4" sheetId="8" r:id="rId7"/>
  </sheets>
  <calcPr calcId="0"/>
</workbook>
</file>

<file path=xl/calcChain.xml><?xml version="1.0" encoding="utf-8"?>
<calcChain xmlns="http://schemas.openxmlformats.org/spreadsheetml/2006/main">
  <c r="E6" i="1" l="1"/>
  <c r="F6" i="1"/>
  <c r="I6" i="1"/>
  <c r="O6" i="1"/>
  <c r="O6" i="1" a="1"/>
  <c r="P6" i="1"/>
  <c r="V6" i="1"/>
  <c r="V6" i="1" a="1"/>
  <c r="W6" i="1"/>
  <c r="E7" i="1"/>
  <c r="F7" i="1"/>
  <c r="I7" i="1"/>
  <c r="O7" i="1"/>
  <c r="P7" i="1"/>
  <c r="V7" i="1"/>
  <c r="W7" i="1"/>
  <c r="E8" i="1"/>
  <c r="F8" i="1"/>
  <c r="I8" i="1"/>
  <c r="O8" i="1"/>
  <c r="P8" i="1"/>
  <c r="V8" i="1"/>
  <c r="W8" i="1"/>
  <c r="E9" i="1"/>
  <c r="F9" i="1"/>
  <c r="I9" i="1"/>
  <c r="O9" i="1"/>
  <c r="P9" i="1"/>
  <c r="V9" i="1"/>
  <c r="W9" i="1"/>
  <c r="E10" i="1"/>
  <c r="F10" i="1"/>
  <c r="O10" i="1"/>
  <c r="P10" i="1"/>
  <c r="V10" i="1"/>
  <c r="W10" i="1"/>
  <c r="E11" i="1"/>
  <c r="F11" i="1"/>
  <c r="I11" i="1"/>
  <c r="V11" i="1"/>
  <c r="W11" i="1"/>
  <c r="E12" i="1"/>
  <c r="F12" i="1"/>
  <c r="I12" i="1"/>
  <c r="V12" i="1"/>
  <c r="W12" i="1"/>
  <c r="E13" i="1"/>
  <c r="F13" i="1"/>
  <c r="V13" i="1"/>
  <c r="W13" i="1"/>
  <c r="E14" i="1"/>
  <c r="F14" i="1"/>
  <c r="I14" i="1"/>
  <c r="O29" i="1" s="1"/>
  <c r="V14" i="1"/>
  <c r="W14" i="1"/>
  <c r="E15" i="1"/>
  <c r="F15" i="1"/>
  <c r="I15" i="1"/>
  <c r="O35" i="1" s="1"/>
  <c r="K32" i="1" s="1"/>
  <c r="K35" i="1" s="1"/>
  <c r="V15" i="1"/>
  <c r="W15" i="1"/>
  <c r="E16" i="1"/>
  <c r="F16" i="1"/>
  <c r="V16" i="1"/>
  <c r="W16" i="1"/>
  <c r="E17" i="1"/>
  <c r="F17" i="1"/>
  <c r="V17" i="1"/>
  <c r="W17" i="1"/>
  <c r="E18" i="1"/>
  <c r="F18" i="1"/>
  <c r="I18" i="1"/>
  <c r="V18" i="1"/>
  <c r="W18" i="1"/>
  <c r="E19" i="1"/>
  <c r="F19" i="1"/>
  <c r="I19" i="1"/>
  <c r="V19" i="1"/>
  <c r="W19" i="1"/>
  <c r="E20" i="1"/>
  <c r="F20" i="1"/>
  <c r="I20" i="1"/>
  <c r="V20" i="1"/>
  <c r="W20" i="1"/>
  <c r="E21" i="1"/>
  <c r="F21" i="1"/>
  <c r="V21" i="1"/>
  <c r="W21" i="1"/>
  <c r="E22" i="1"/>
  <c r="F22" i="1"/>
  <c r="V22" i="1"/>
  <c r="W22" i="1"/>
  <c r="E23" i="1"/>
  <c r="F23" i="1"/>
  <c r="I23" i="1"/>
  <c r="V23" i="1"/>
  <c r="W23" i="1"/>
  <c r="E24" i="1"/>
  <c r="F24" i="1"/>
  <c r="V24" i="1"/>
  <c r="W24" i="1"/>
  <c r="E25" i="1"/>
  <c r="F25" i="1"/>
  <c r="V25" i="1"/>
  <c r="W25" i="1"/>
  <c r="E26" i="1"/>
  <c r="F26" i="1"/>
  <c r="V26" i="1"/>
  <c r="W26" i="1"/>
  <c r="E27" i="1"/>
  <c r="F27" i="1"/>
  <c r="V27" i="1"/>
  <c r="W27" i="1"/>
  <c r="E28" i="1"/>
  <c r="F28" i="1"/>
  <c r="V28" i="1"/>
  <c r="W28" i="1"/>
  <c r="E29" i="1"/>
  <c r="F29" i="1"/>
  <c r="V29" i="1"/>
  <c r="W29" i="1"/>
  <c r="E30" i="1"/>
  <c r="F30" i="1"/>
  <c r="V30" i="1"/>
  <c r="W30" i="1"/>
  <c r="E31" i="1"/>
  <c r="F31" i="1"/>
  <c r="V31" i="1"/>
  <c r="W31" i="1"/>
  <c r="E32" i="1"/>
  <c r="F32" i="1"/>
  <c r="O32" i="1"/>
  <c r="V32" i="1"/>
  <c r="W32" i="1"/>
  <c r="E33" i="1"/>
  <c r="F33" i="1"/>
  <c r="K33" i="1"/>
  <c r="V33" i="1"/>
  <c r="W33" i="1"/>
  <c r="E34" i="1"/>
  <c r="F34" i="1"/>
  <c r="V34" i="1"/>
  <c r="W34" i="1"/>
  <c r="E35" i="1"/>
  <c r="F35" i="1"/>
  <c r="V35" i="1"/>
  <c r="W35" i="1"/>
  <c r="E36" i="1"/>
  <c r="F36" i="1"/>
  <c r="V36" i="1"/>
  <c r="W36" i="1"/>
  <c r="E37" i="1"/>
  <c r="F37" i="1"/>
  <c r="V37" i="1"/>
  <c r="W37" i="1"/>
  <c r="E38" i="1"/>
  <c r="F38" i="1"/>
  <c r="O38" i="1"/>
  <c r="V38" i="1"/>
  <c r="W38" i="1"/>
  <c r="E39" i="1"/>
  <c r="F39" i="1"/>
  <c r="V39" i="1"/>
  <c r="W39" i="1"/>
  <c r="E40" i="1"/>
  <c r="F40" i="1"/>
  <c r="V40" i="1"/>
  <c r="W40" i="1"/>
  <c r="E41" i="1"/>
  <c r="F41" i="1"/>
  <c r="V41" i="1"/>
  <c r="W41" i="1"/>
  <c r="E42" i="1"/>
  <c r="F42" i="1"/>
  <c r="V42" i="1"/>
  <c r="W42" i="1"/>
  <c r="E43" i="1"/>
  <c r="F43" i="1"/>
  <c r="V43" i="1"/>
  <c r="W43" i="1"/>
  <c r="E44" i="1"/>
  <c r="F44" i="1"/>
  <c r="V44" i="1"/>
  <c r="W44" i="1"/>
  <c r="E45" i="1"/>
  <c r="F45" i="1"/>
  <c r="V45" i="1"/>
  <c r="W45" i="1"/>
  <c r="E46" i="1"/>
  <c r="F46" i="1"/>
  <c r="V46" i="1"/>
  <c r="W46" i="1"/>
  <c r="E47" i="1"/>
  <c r="F47" i="1"/>
  <c r="V47" i="1"/>
  <c r="W47" i="1"/>
  <c r="E48" i="1"/>
  <c r="F48" i="1"/>
  <c r="V48" i="1"/>
  <c r="W48" i="1"/>
  <c r="E49" i="1"/>
  <c r="F49" i="1"/>
  <c r="V49" i="1"/>
  <c r="W49" i="1"/>
  <c r="E50" i="1"/>
  <c r="F50" i="1"/>
  <c r="V50" i="1"/>
  <c r="W50" i="1"/>
  <c r="E51" i="1"/>
  <c r="F51" i="1"/>
  <c r="V51" i="1"/>
  <c r="W51" i="1"/>
  <c r="E52" i="1"/>
  <c r="F52" i="1"/>
  <c r="V52" i="1"/>
  <c r="W52" i="1"/>
  <c r="E53" i="1"/>
  <c r="F53" i="1"/>
  <c r="V53" i="1"/>
  <c r="W53" i="1"/>
  <c r="E54" i="1"/>
  <c r="F54" i="1"/>
  <c r="V54" i="1"/>
  <c r="W54" i="1"/>
  <c r="E55" i="1"/>
  <c r="F55" i="1"/>
  <c r="V55" i="1"/>
  <c r="W55" i="1"/>
  <c r="E56" i="1"/>
  <c r="F56" i="1"/>
  <c r="V56" i="1"/>
  <c r="W56" i="1"/>
  <c r="E57" i="1"/>
  <c r="F57" i="1"/>
  <c r="V57" i="1"/>
  <c r="W57" i="1"/>
  <c r="E58" i="1"/>
  <c r="F58" i="1"/>
  <c r="V58" i="1"/>
  <c r="W58" i="1"/>
  <c r="E59" i="1"/>
  <c r="F59" i="1"/>
  <c r="V59" i="1"/>
  <c r="W59" i="1"/>
  <c r="E60" i="1"/>
  <c r="F60" i="1"/>
  <c r="V60" i="1"/>
  <c r="W60" i="1"/>
  <c r="E61" i="1"/>
  <c r="F61" i="1"/>
  <c r="V61" i="1"/>
  <c r="W61" i="1"/>
  <c r="E62" i="1"/>
  <c r="F62" i="1"/>
  <c r="V62" i="1"/>
  <c r="W62" i="1"/>
  <c r="E63" i="1"/>
  <c r="F63" i="1"/>
  <c r="V63" i="1"/>
  <c r="W63" i="1"/>
  <c r="E64" i="1"/>
  <c r="F64" i="1"/>
  <c r="V64" i="1"/>
  <c r="W64" i="1"/>
  <c r="E65" i="1"/>
  <c r="F65" i="1"/>
  <c r="V65" i="1"/>
  <c r="W65" i="1"/>
  <c r="B6" i="3"/>
  <c r="E6" i="3"/>
  <c r="B7" i="3"/>
  <c r="E7" i="3"/>
  <c r="B11" i="3"/>
  <c r="E11" i="3"/>
  <c r="K11" i="3"/>
  <c r="B14" i="3"/>
  <c r="E14" i="3"/>
  <c r="K14" i="3"/>
  <c r="K15" i="3"/>
  <c r="B17" i="3"/>
  <c r="E17" i="3"/>
  <c r="K17" i="3"/>
  <c r="K18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H97" i="3"/>
  <c r="I97" i="3"/>
  <c r="J97" i="3"/>
  <c r="H98" i="3"/>
  <c r="I98" i="3"/>
  <c r="J98" i="3"/>
  <c r="H99" i="3"/>
  <c r="I99" i="3"/>
  <c r="J99" i="3"/>
  <c r="H100" i="3"/>
  <c r="I100" i="3"/>
  <c r="J100" i="3"/>
  <c r="H101" i="3"/>
  <c r="I101" i="3"/>
  <c r="J101" i="3"/>
  <c r="H102" i="3"/>
  <c r="I102" i="3"/>
  <c r="J102" i="3"/>
  <c r="H103" i="3"/>
  <c r="I103" i="3"/>
  <c r="J103" i="3"/>
  <c r="H104" i="3"/>
  <c r="I104" i="3"/>
  <c r="J104" i="3"/>
  <c r="H105" i="3"/>
  <c r="I105" i="3"/>
  <c r="J105" i="3"/>
  <c r="H106" i="3"/>
  <c r="I106" i="3"/>
  <c r="J106" i="3"/>
  <c r="H107" i="3"/>
  <c r="I107" i="3"/>
  <c r="J107" i="3"/>
  <c r="H108" i="3"/>
  <c r="I108" i="3"/>
  <c r="J108" i="3"/>
  <c r="H109" i="3"/>
  <c r="I109" i="3"/>
  <c r="J109" i="3"/>
  <c r="H110" i="3"/>
  <c r="I110" i="3"/>
  <c r="J110" i="3"/>
  <c r="H111" i="3"/>
  <c r="I111" i="3"/>
  <c r="J111" i="3"/>
  <c r="H112" i="3"/>
  <c r="I112" i="3"/>
  <c r="J112" i="3"/>
  <c r="H113" i="3"/>
  <c r="I113" i="3"/>
  <c r="J113" i="3"/>
  <c r="H114" i="3"/>
  <c r="I114" i="3"/>
  <c r="J114" i="3"/>
  <c r="H115" i="3"/>
  <c r="I115" i="3"/>
  <c r="J115" i="3"/>
  <c r="H116" i="3"/>
  <c r="I116" i="3"/>
  <c r="J116" i="3"/>
  <c r="M5" i="2"/>
  <c r="M5" i="2" a="1"/>
  <c r="N5" i="2"/>
  <c r="O5" i="2"/>
  <c r="P5" i="2"/>
  <c r="Q5" i="2"/>
  <c r="R5" i="2"/>
  <c r="S5" i="2"/>
  <c r="T5" i="2"/>
  <c r="C6" i="2"/>
  <c r="D6" i="2"/>
  <c r="E6" i="2"/>
  <c r="F6" i="2"/>
  <c r="G6" i="2"/>
  <c r="H6" i="2"/>
  <c r="I6" i="2"/>
  <c r="J6" i="2"/>
  <c r="M6" i="2"/>
  <c r="N6" i="2"/>
  <c r="O6" i="2"/>
  <c r="P6" i="2"/>
  <c r="Q6" i="2"/>
  <c r="R6" i="2"/>
  <c r="S6" i="2"/>
  <c r="T6" i="2"/>
  <c r="C7" i="2"/>
  <c r="D7" i="2"/>
  <c r="E7" i="2"/>
  <c r="F7" i="2"/>
  <c r="G7" i="2"/>
  <c r="H7" i="2"/>
  <c r="I7" i="2"/>
  <c r="J7" i="2"/>
  <c r="M7" i="2"/>
  <c r="N7" i="2"/>
  <c r="O7" i="2"/>
  <c r="P7" i="2"/>
  <c r="Q7" i="2"/>
  <c r="R7" i="2"/>
  <c r="S7" i="2"/>
  <c r="T7" i="2"/>
  <c r="C8" i="2"/>
  <c r="D8" i="2"/>
  <c r="E8" i="2"/>
  <c r="F8" i="2"/>
  <c r="G8" i="2"/>
  <c r="H8" i="2"/>
  <c r="I8" i="2"/>
  <c r="J8" i="2"/>
  <c r="M8" i="2"/>
  <c r="N8" i="2"/>
  <c r="O8" i="2"/>
  <c r="P8" i="2"/>
  <c r="Q8" i="2"/>
  <c r="R8" i="2"/>
  <c r="S8" i="2"/>
  <c r="T8" i="2"/>
  <c r="W8" i="2"/>
  <c r="X8" i="2"/>
  <c r="Y8" i="2"/>
  <c r="Z8" i="2"/>
  <c r="AA8" i="2"/>
  <c r="AB8" i="2"/>
  <c r="AC8" i="2"/>
  <c r="AD8" i="2"/>
  <c r="C9" i="2"/>
  <c r="D9" i="2"/>
  <c r="E9" i="2"/>
  <c r="F9" i="2"/>
  <c r="G9" i="2"/>
  <c r="H9" i="2"/>
  <c r="I9" i="2"/>
  <c r="J9" i="2"/>
  <c r="M9" i="2"/>
  <c r="N9" i="2"/>
  <c r="O9" i="2"/>
  <c r="P9" i="2"/>
  <c r="Q9" i="2"/>
  <c r="R9" i="2"/>
  <c r="S9" i="2"/>
  <c r="T9" i="2"/>
  <c r="B10" i="2"/>
  <c r="C10" i="2"/>
  <c r="D10" i="2"/>
  <c r="E10" i="2"/>
  <c r="F10" i="2"/>
  <c r="G10" i="2"/>
  <c r="H10" i="2"/>
  <c r="I10" i="2"/>
  <c r="J10" i="2"/>
  <c r="M10" i="2"/>
  <c r="N10" i="2"/>
  <c r="O10" i="2"/>
  <c r="P10" i="2"/>
  <c r="Q10" i="2"/>
  <c r="R10" i="2"/>
  <c r="S10" i="2"/>
  <c r="T10" i="2"/>
  <c r="W10" i="2"/>
  <c r="X10" i="2"/>
  <c r="Y10" i="2"/>
  <c r="Z10" i="2"/>
  <c r="AA10" i="2"/>
  <c r="AB10" i="2"/>
  <c r="AC10" i="2"/>
  <c r="AD10" i="2"/>
  <c r="C11" i="2"/>
  <c r="D11" i="2"/>
  <c r="E11" i="2"/>
  <c r="F11" i="2"/>
  <c r="G11" i="2"/>
  <c r="H11" i="2"/>
  <c r="I11" i="2"/>
  <c r="J11" i="2"/>
  <c r="M11" i="2"/>
  <c r="N11" i="2"/>
  <c r="O11" i="2"/>
  <c r="P11" i="2"/>
  <c r="Q11" i="2"/>
  <c r="R11" i="2"/>
  <c r="S11" i="2"/>
  <c r="T11" i="2"/>
  <c r="M12" i="2"/>
  <c r="N12" i="2"/>
  <c r="O12" i="2"/>
  <c r="P12" i="2"/>
  <c r="Q12" i="2"/>
  <c r="R12" i="2"/>
  <c r="S12" i="2"/>
  <c r="T12" i="2"/>
  <c r="W12" i="2"/>
  <c r="X12" i="2"/>
  <c r="Y12" i="2"/>
  <c r="Z12" i="2"/>
  <c r="AA12" i="2"/>
  <c r="AB12" i="2"/>
  <c r="AC12" i="2"/>
  <c r="AD12" i="2"/>
  <c r="M19" i="2"/>
  <c r="M19" i="2" a="1"/>
  <c r="N19" i="2"/>
  <c r="O19" i="2"/>
  <c r="P19" i="2"/>
  <c r="Q19" i="2"/>
  <c r="R19" i="2"/>
  <c r="S19" i="2"/>
  <c r="T19" i="2"/>
  <c r="W19" i="2"/>
  <c r="M20" i="2"/>
  <c r="N20" i="2"/>
  <c r="O20" i="2"/>
  <c r="P20" i="2"/>
  <c r="Q20" i="2"/>
  <c r="R20" i="2"/>
  <c r="S20" i="2"/>
  <c r="T20" i="2"/>
  <c r="M21" i="2"/>
  <c r="N21" i="2"/>
  <c r="O21" i="2"/>
  <c r="P21" i="2"/>
  <c r="Q21" i="2"/>
  <c r="R21" i="2"/>
  <c r="S21" i="2"/>
  <c r="T21" i="2"/>
  <c r="W21" i="2"/>
  <c r="X21" i="2"/>
  <c r="Y21" i="2"/>
  <c r="Z21" i="2"/>
  <c r="AA21" i="2"/>
  <c r="AB21" i="2"/>
  <c r="AC21" i="2"/>
  <c r="AD21" i="2"/>
  <c r="M22" i="2"/>
  <c r="N22" i="2"/>
  <c r="O22" i="2"/>
  <c r="P22" i="2"/>
  <c r="Q22" i="2"/>
  <c r="R22" i="2"/>
  <c r="S22" i="2"/>
  <c r="T22" i="2"/>
  <c r="W22" i="2"/>
  <c r="X22" i="2"/>
  <c r="Y22" i="2"/>
  <c r="Z22" i="2"/>
  <c r="AA22" i="2"/>
  <c r="AB22" i="2"/>
  <c r="AC22" i="2"/>
  <c r="AD22" i="2"/>
  <c r="M23" i="2"/>
  <c r="N23" i="2"/>
  <c r="O23" i="2"/>
  <c r="P23" i="2"/>
  <c r="Q23" i="2"/>
  <c r="R23" i="2"/>
  <c r="S23" i="2"/>
  <c r="T23" i="2"/>
  <c r="M24" i="2"/>
  <c r="N24" i="2"/>
  <c r="O24" i="2"/>
  <c r="P24" i="2"/>
  <c r="Q24" i="2"/>
  <c r="R24" i="2"/>
  <c r="S24" i="2"/>
  <c r="T24" i="2"/>
  <c r="W24" i="2"/>
  <c r="X24" i="2"/>
  <c r="Y24" i="2"/>
  <c r="Z24" i="2"/>
  <c r="AA24" i="2"/>
  <c r="AB24" i="2"/>
  <c r="AC24" i="2"/>
  <c r="AD24" i="2"/>
  <c r="M25" i="2"/>
  <c r="N25" i="2"/>
  <c r="O25" i="2"/>
  <c r="P25" i="2"/>
  <c r="Q25" i="2"/>
  <c r="R25" i="2"/>
  <c r="S25" i="2"/>
  <c r="T25" i="2"/>
  <c r="W25" i="2"/>
  <c r="X25" i="2"/>
  <c r="Y25" i="2"/>
  <c r="Z25" i="2"/>
  <c r="AA25" i="2"/>
  <c r="AB25" i="2"/>
  <c r="AC25" i="2"/>
  <c r="AD25" i="2"/>
  <c r="M26" i="2"/>
  <c r="N26" i="2"/>
  <c r="O26" i="2"/>
  <c r="P26" i="2"/>
  <c r="Q26" i="2"/>
  <c r="R26" i="2"/>
  <c r="S26" i="2"/>
  <c r="T26" i="2"/>
  <c r="W30" i="2"/>
  <c r="W30" i="2" a="1"/>
  <c r="W31" i="2"/>
  <c r="M33" i="2"/>
  <c r="N33" i="2"/>
  <c r="O33" i="2"/>
  <c r="P33" i="2"/>
  <c r="Q33" i="2"/>
  <c r="R33" i="2"/>
  <c r="S33" i="2"/>
  <c r="T33" i="2"/>
  <c r="W33" i="2"/>
  <c r="W33" i="2" a="1"/>
  <c r="M34" i="2"/>
  <c r="N34" i="2"/>
  <c r="O34" i="2"/>
  <c r="P34" i="2"/>
  <c r="Q34" i="2"/>
  <c r="R34" i="2"/>
  <c r="S34" i="2"/>
  <c r="T34" i="2"/>
  <c r="W34" i="2"/>
  <c r="M36" i="2"/>
  <c r="M41" i="2"/>
  <c r="N41" i="2"/>
  <c r="O41" i="2"/>
  <c r="P41" i="2"/>
  <c r="Q41" i="2"/>
  <c r="R41" i="2"/>
  <c r="S41" i="2"/>
  <c r="T41" i="2"/>
  <c r="M42" i="2"/>
  <c r="N42" i="2"/>
  <c r="O42" i="2"/>
  <c r="P42" i="2"/>
  <c r="Q42" i="2"/>
  <c r="R42" i="2"/>
  <c r="S42" i="2"/>
  <c r="T42" i="2"/>
  <c r="M43" i="2"/>
  <c r="N43" i="2"/>
  <c r="O43" i="2"/>
  <c r="P43" i="2"/>
  <c r="Q43" i="2"/>
  <c r="R43" i="2"/>
  <c r="S43" i="2"/>
  <c r="T43" i="2"/>
  <c r="M44" i="2"/>
  <c r="N44" i="2"/>
  <c r="O44" i="2"/>
  <c r="P44" i="2"/>
  <c r="Q44" i="2"/>
  <c r="R44" i="2"/>
  <c r="S44" i="2"/>
  <c r="T44" i="2"/>
  <c r="M45" i="2"/>
  <c r="N45" i="2"/>
  <c r="O45" i="2"/>
  <c r="P45" i="2"/>
  <c r="Q45" i="2"/>
  <c r="R45" i="2"/>
  <c r="S45" i="2"/>
  <c r="T45" i="2"/>
  <c r="M46" i="2"/>
  <c r="N46" i="2"/>
  <c r="O46" i="2"/>
  <c r="P46" i="2"/>
  <c r="Q46" i="2"/>
  <c r="R46" i="2"/>
  <c r="S46" i="2"/>
  <c r="T46" i="2"/>
  <c r="M47" i="2"/>
  <c r="N47" i="2"/>
  <c r="O47" i="2"/>
  <c r="P47" i="2"/>
  <c r="Q47" i="2"/>
  <c r="R47" i="2"/>
  <c r="S47" i="2"/>
  <c r="T47" i="2"/>
  <c r="M48" i="2"/>
  <c r="N48" i="2"/>
  <c r="O48" i="2"/>
  <c r="P48" i="2"/>
  <c r="Q48" i="2"/>
  <c r="R48" i="2"/>
  <c r="S48" i="2"/>
  <c r="T48" i="2"/>
  <c r="M55" i="2"/>
  <c r="M55" i="2" a="1"/>
  <c r="N55" i="2"/>
  <c r="O55" i="2"/>
  <c r="P55" i="2"/>
  <c r="Q55" i="2"/>
  <c r="R55" i="2"/>
  <c r="S55" i="2"/>
  <c r="T55" i="2"/>
  <c r="M56" i="2"/>
  <c r="N56" i="2"/>
  <c r="O56" i="2"/>
  <c r="P56" i="2"/>
  <c r="Q56" i="2"/>
  <c r="R56" i="2"/>
  <c r="S56" i="2"/>
  <c r="T56" i="2"/>
  <c r="M57" i="2"/>
  <c r="N57" i="2"/>
  <c r="O57" i="2"/>
  <c r="P57" i="2"/>
  <c r="Q57" i="2"/>
  <c r="R57" i="2"/>
  <c r="S57" i="2"/>
  <c r="T57" i="2"/>
  <c r="M58" i="2"/>
  <c r="N58" i="2"/>
  <c r="O58" i="2"/>
  <c r="P58" i="2"/>
  <c r="Q58" i="2"/>
  <c r="R58" i="2"/>
  <c r="S58" i="2"/>
  <c r="T58" i="2"/>
  <c r="M59" i="2"/>
  <c r="N59" i="2"/>
  <c r="O59" i="2"/>
  <c r="P59" i="2"/>
  <c r="Q59" i="2"/>
  <c r="R59" i="2"/>
  <c r="S59" i="2"/>
  <c r="T59" i="2"/>
  <c r="M60" i="2"/>
  <c r="N60" i="2"/>
  <c r="O60" i="2"/>
  <c r="P60" i="2"/>
  <c r="Q60" i="2"/>
  <c r="R60" i="2"/>
  <c r="S60" i="2"/>
  <c r="T60" i="2"/>
  <c r="M61" i="2"/>
  <c r="N61" i="2"/>
  <c r="O61" i="2"/>
  <c r="P61" i="2"/>
  <c r="Q61" i="2"/>
  <c r="R61" i="2"/>
  <c r="S61" i="2"/>
  <c r="T61" i="2"/>
  <c r="M62" i="2"/>
  <c r="N62" i="2"/>
  <c r="O62" i="2"/>
  <c r="P62" i="2"/>
  <c r="Q62" i="2"/>
  <c r="R62" i="2"/>
  <c r="S62" i="2"/>
  <c r="T62" i="2"/>
  <c r="M69" i="2"/>
  <c r="N69" i="2"/>
  <c r="O69" i="2"/>
  <c r="P69" i="2"/>
  <c r="Q69" i="2"/>
  <c r="R69" i="2"/>
  <c r="S69" i="2"/>
  <c r="T69" i="2"/>
  <c r="M70" i="2"/>
  <c r="N70" i="2"/>
  <c r="O70" i="2"/>
  <c r="P70" i="2"/>
  <c r="Q70" i="2"/>
  <c r="R70" i="2"/>
  <c r="S70" i="2"/>
  <c r="T70" i="2"/>
  <c r="M71" i="2"/>
  <c r="N71" i="2"/>
  <c r="O71" i="2"/>
  <c r="P71" i="2"/>
  <c r="Q71" i="2"/>
  <c r="R71" i="2"/>
  <c r="S71" i="2"/>
  <c r="T71" i="2"/>
  <c r="M72" i="2"/>
  <c r="N72" i="2"/>
  <c r="O72" i="2"/>
  <c r="P72" i="2"/>
  <c r="Q72" i="2"/>
  <c r="R72" i="2"/>
  <c r="S72" i="2"/>
  <c r="T72" i="2"/>
  <c r="M73" i="2"/>
  <c r="N73" i="2"/>
  <c r="O73" i="2"/>
  <c r="P73" i="2"/>
  <c r="Q73" i="2"/>
  <c r="R73" i="2"/>
  <c r="S73" i="2"/>
  <c r="T73" i="2"/>
  <c r="M74" i="2"/>
  <c r="N74" i="2"/>
  <c r="O74" i="2"/>
  <c r="P74" i="2"/>
  <c r="Q74" i="2"/>
  <c r="R74" i="2"/>
  <c r="S74" i="2"/>
  <c r="T74" i="2"/>
  <c r="M75" i="2"/>
  <c r="N75" i="2"/>
  <c r="O75" i="2"/>
  <c r="P75" i="2"/>
  <c r="Q75" i="2"/>
  <c r="R75" i="2"/>
  <c r="S75" i="2"/>
  <c r="T75" i="2"/>
  <c r="M76" i="2"/>
  <c r="N76" i="2"/>
  <c r="O76" i="2"/>
  <c r="P76" i="2"/>
  <c r="Q76" i="2"/>
  <c r="R76" i="2"/>
  <c r="S76" i="2"/>
  <c r="T76" i="2"/>
  <c r="O31" i="1" l="1"/>
  <c r="O37" i="1"/>
</calcChain>
</file>

<file path=xl/sharedStrings.xml><?xml version="1.0" encoding="utf-8"?>
<sst xmlns="http://schemas.openxmlformats.org/spreadsheetml/2006/main" count="259" uniqueCount="123">
  <si>
    <t>Equity2.XLS</t>
  </si>
  <si>
    <t>Share A</t>
  </si>
  <si>
    <t>Estimating Beta Coefficients using Ln Xs Returns</t>
  </si>
  <si>
    <t>Z score</t>
  </si>
  <si>
    <t>N score</t>
  </si>
  <si>
    <t>Mth</t>
  </si>
  <si>
    <t>ShareA</t>
  </si>
  <si>
    <t>Index</t>
  </si>
  <si>
    <t>Fitted</t>
  </si>
  <si>
    <t>Residuals</t>
  </si>
  <si>
    <t>Excel regression functions</t>
  </si>
  <si>
    <t>Output from Tools / Data Analysis / Regression</t>
  </si>
  <si>
    <t>Output from Linest</t>
  </si>
  <si>
    <t>INTERCEPT</t>
  </si>
  <si>
    <t>SUMMARY OUTPUT</t>
  </si>
  <si>
    <t>Beta</t>
  </si>
  <si>
    <t>Alpha</t>
  </si>
  <si>
    <t>SLOPE</t>
  </si>
  <si>
    <t>Beta (SE)</t>
  </si>
  <si>
    <t>Alpha (SE)</t>
  </si>
  <si>
    <t>RSQ</t>
  </si>
  <si>
    <t>Regression Statistics</t>
  </si>
  <si>
    <t>STEYX</t>
  </si>
  <si>
    <t>Multiple R</t>
  </si>
  <si>
    <t>F</t>
  </si>
  <si>
    <t>N-2</t>
  </si>
  <si>
    <t>R Square</t>
  </si>
  <si>
    <t>Regression SS</t>
  </si>
  <si>
    <t>Residual SS</t>
  </si>
  <si>
    <t>Adjusted R Square</t>
  </si>
  <si>
    <t>Standard Error</t>
  </si>
  <si>
    <t>Observations</t>
  </si>
  <si>
    <t>ANOVA</t>
  </si>
  <si>
    <t>df</t>
  </si>
  <si>
    <t>SS</t>
  </si>
  <si>
    <t>MS</t>
  </si>
  <si>
    <t>Significance F</t>
  </si>
  <si>
    <t>Sp Risk from STEYX</t>
  </si>
  <si>
    <t>Regression</t>
  </si>
  <si>
    <t>Monthly</t>
  </si>
  <si>
    <t>Residual</t>
  </si>
  <si>
    <t>Annualised</t>
  </si>
  <si>
    <t>Total</t>
  </si>
  <si>
    <t>via fn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</si>
  <si>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</si>
  <si>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</si>
  <si>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</si>
  <si>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</si>
  <si>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</si>
  <si>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</si>
  <si>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</si>
  <si>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Sp Risk from Residuals</t>
  </si>
  <si>
    <t>Intercept</t>
  </si>
  <si>
    <t>X Variable 1</t>
  </si>
  <si>
    <t>Adjusting sample beta for mean reversion</t>
  </si>
  <si>
    <t>Population beta</t>
  </si>
  <si>
    <t>Sample beta</t>
  </si>
  <si>
    <t>Population beta (SE)</t>
  </si>
  <si>
    <t>Adjusted beta</t>
  </si>
  <si>
    <t>v1 (variance of sample beta)</t>
  </si>
  <si>
    <t>v2 (variance of population beta)</t>
  </si>
  <si>
    <t>mean reversion factor</t>
  </si>
  <si>
    <t>Sample beta (SE)</t>
  </si>
  <si>
    <t>Adjusted beta (SE)</t>
  </si>
  <si>
    <t>Estimating VCV Matrices using Ln Xs Returns</t>
  </si>
  <si>
    <t>Correlation Matrix</t>
  </si>
  <si>
    <t>Estimating VaR using Lognormal Distribution</t>
  </si>
  <si>
    <t>UBS</t>
  </si>
  <si>
    <t>CS</t>
  </si>
  <si>
    <t>Zurich Ins</t>
  </si>
  <si>
    <t>Winterthur</t>
  </si>
  <si>
    <t>Roche</t>
  </si>
  <si>
    <t>Sandoz</t>
  </si>
  <si>
    <t>Ciba-Geigy</t>
  </si>
  <si>
    <t>Swissair</t>
  </si>
  <si>
    <t>Asset value (S)</t>
  </si>
  <si>
    <r>
      <t>Return (M</t>
    </r>
    <r>
      <rPr>
        <sz val="10"/>
        <rFont val="Symbol"/>
        <family val="1"/>
        <charset val="2"/>
      </rPr>
      <t xml:space="preserve">) </t>
    </r>
    <r>
      <rPr>
        <sz val="10"/>
        <rFont val="Times New Roman"/>
        <family val="1"/>
      </rPr>
      <t>lnS</t>
    </r>
  </si>
  <si>
    <t>Total Risk</t>
  </si>
  <si>
    <t>Variance (V)</t>
  </si>
  <si>
    <t>Spec Risk (Ann)</t>
  </si>
  <si>
    <r>
      <t>Exp ret</t>
    </r>
    <r>
      <rPr>
        <sz val="10"/>
        <rFont val="Times New Roman"/>
        <family val="1"/>
      </rPr>
      <t xml:space="preserve"> (M1</t>
    </r>
    <r>
      <rPr>
        <sz val="10"/>
        <rFont val="Times New Roman"/>
      </rPr>
      <t>) S</t>
    </r>
  </si>
  <si>
    <r>
      <t>Time months (</t>
    </r>
    <r>
      <rPr>
        <b/>
        <sz val="10"/>
        <rFont val="Symbol"/>
        <family val="1"/>
        <charset val="2"/>
      </rPr>
      <t>d</t>
    </r>
    <r>
      <rPr>
        <b/>
        <sz val="10"/>
        <rFont val="Times New Roman"/>
      </rPr>
      <t>t)</t>
    </r>
  </si>
  <si>
    <t>VCV Matrix</t>
  </si>
  <si>
    <t>Conf level (c)</t>
  </si>
  <si>
    <t>'z-value'</t>
  </si>
  <si>
    <t>VaR Asset Rel</t>
  </si>
  <si>
    <t>VaR Asset Abs</t>
  </si>
  <si>
    <t>Estimating Portfolio VaR using Lognormal Distribution</t>
  </si>
  <si>
    <t>Input Data for Single-Index Model VCV</t>
  </si>
  <si>
    <t>Var Port Rel</t>
  </si>
  <si>
    <t>Var Port Abs</t>
  </si>
  <si>
    <t>SpRisk (Mth)</t>
  </si>
  <si>
    <t>Mkt Variance</t>
  </si>
  <si>
    <t>VCV (Single-Index) Matrix</t>
  </si>
  <si>
    <t>VCV (Single-Index) Matrix - via fn</t>
  </si>
  <si>
    <t>Difference between VCV and VCV (Single-Index) Matrix</t>
  </si>
  <si>
    <t>Generating probabilistic forecasts (Ibbotson &amp; Sinquefield)</t>
  </si>
  <si>
    <t>Returns (1+r)</t>
  </si>
  <si>
    <t>Ln Returns (1+r)</t>
  </si>
  <si>
    <t>Forecast Distribution</t>
  </si>
  <si>
    <t>M1</t>
  </si>
  <si>
    <t>M</t>
  </si>
  <si>
    <r>
      <t>Current Wealth (W</t>
    </r>
    <r>
      <rPr>
        <vertAlign val="subscript"/>
        <sz val="10"/>
        <rFont val="Times New Roman"/>
        <family val="1"/>
      </rPr>
      <t>0</t>
    </r>
    <r>
      <rPr>
        <sz val="10"/>
        <rFont val="Times New Roman"/>
      </rPr>
      <t>)</t>
    </r>
  </si>
  <si>
    <t>M2</t>
  </si>
  <si>
    <t>V</t>
  </si>
  <si>
    <t>Forecast Horizon (nyr)</t>
  </si>
  <si>
    <t>Percentile (pctile)</t>
  </si>
  <si>
    <t>Lognormal distribution</t>
  </si>
  <si>
    <t>Normal distribution</t>
  </si>
  <si>
    <r>
      <t>E (R</t>
    </r>
    <r>
      <rPr>
        <vertAlign val="subscript"/>
        <sz val="10"/>
        <rFont val="Times New Roman"/>
        <family val="1"/>
      </rPr>
      <t>0,1</t>
    </r>
    <r>
      <rPr>
        <sz val="10"/>
        <rFont val="Times New Roman"/>
      </rPr>
      <t>)</t>
    </r>
  </si>
  <si>
    <t>N (M,V)</t>
  </si>
  <si>
    <r>
      <t>z  =NORMSINV</t>
    </r>
    <r>
      <rPr>
        <sz val="10"/>
        <rFont val="Times New Roman"/>
      </rPr>
      <t>(pctile)</t>
    </r>
  </si>
  <si>
    <r>
      <t>E (R</t>
    </r>
    <r>
      <rPr>
        <vertAlign val="subscript"/>
        <sz val="10"/>
        <rFont val="Times New Roman"/>
        <family val="1"/>
      </rPr>
      <t>0,n</t>
    </r>
    <r>
      <rPr>
        <sz val="10"/>
        <rFont val="Times New Roman"/>
      </rPr>
      <t>)</t>
    </r>
  </si>
  <si>
    <t>N (M,V/n)</t>
  </si>
  <si>
    <t>Forecast Wealth (pctile)</t>
  </si>
  <si>
    <r>
      <t>E (R</t>
    </r>
    <r>
      <rPr>
        <vertAlign val="subscript"/>
        <sz val="10"/>
        <rFont val="Times New Roman"/>
        <family val="1"/>
      </rPr>
      <t>0,</t>
    </r>
    <r>
      <rPr>
        <vertAlign val="subscript"/>
        <sz val="12"/>
        <rFont val="Symbol"/>
        <family val="1"/>
        <charset val="2"/>
      </rPr>
      <t>¥</t>
    </r>
    <r>
      <rPr>
        <sz val="10"/>
        <rFont val="Times New Roman"/>
      </rPr>
      <t>)</t>
    </r>
  </si>
  <si>
    <t>N (M,0)</t>
  </si>
  <si>
    <t>Forecast Return (pctile)</t>
  </si>
  <si>
    <t>Year</t>
  </si>
  <si>
    <t>Returns</t>
  </si>
  <si>
    <t>Index Value</t>
  </si>
  <si>
    <t>Forecast Index Distribution</t>
  </si>
  <si>
    <t>Pctile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</si>
</sst>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3" formatCode="0.0000"/>
    <numFmt numFmtId="178" formatCode="0.0"/>
  </numFmts>
  <fonts count="9" x14ac:knownFonts="1">
    <font>
      <sz val="10"/>
      <name val="Times New Roman"/>
    </font>
    <font>
      <b/>
      <sz val="10"/>
      <name val="Times New Roman"/>
    </font>
    <font>
      <i/>
      <sz val="10"/>
      <name val="Times New Roman"/>
    </font>
    <font>
      <sz val="10"/>
      <name val="Times New Roman"/>
      <family val="1"/>
    </font>
    <font>
      <vertAlign val="subscript"/>
      <sz val="10"/>
      <name val="Times New Roman"/>
      <family val="1"/>
    </font>
    <font>
      <sz val="10"/>
      <name val="Symbol"/>
      <family val="1"/>
      <charset val="2"/>
    </font>
    <font>
      <vertAlign val="subscript"/>
      <sz val="12"/>
      <name val="Symbol"/>
      <family val="1"/>
      <charset val="2"/>
    </font>
    <font>
      <sz val="10"/>
      <name val="Times New Roman"/>
      <family val="1"/>
    </font>
    <font>
      <b/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/>
    <xf numFmtId="10" fontId="0" fillId="0" borderId="0" xfId="0" applyNumberFormat="1"/>
    <xf numFmtId="0" fontId="1" fillId="0" borderId="0" xfId="0" applyFont="1" applyAlignment="1">
      <alignment horizontal="centerContinuous"/>
    </xf>
    <xf numFmtId="173" fontId="0" fillId="0" borderId="0" xfId="0" applyNumberFormat="1"/>
    <xf numFmtId="0" fontId="1" fillId="0" borderId="0" xfId="0" applyFont="1"/>
    <xf numFmtId="0" fontId="0" fillId="0" borderId="0" xfId="0" quotePrefix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quotePrefix="1" applyFont="1" applyAlignment="1">
      <alignment horizontal="left"/>
    </xf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  <xf numFmtId="173" fontId="0" fillId="0" borderId="0" xfId="0" applyNumberFormat="1" applyFill="1" applyBorder="1" applyAlignment="1"/>
    <xf numFmtId="173" fontId="0" fillId="0" borderId="1" xfId="0" applyNumberFormat="1" applyFill="1" applyBorder="1" applyAlignment="1"/>
    <xf numFmtId="0" fontId="1" fillId="0" borderId="0" xfId="0" quotePrefix="1" applyFont="1" applyAlignment="1">
      <alignment horizontal="right"/>
    </xf>
    <xf numFmtId="2" fontId="0" fillId="0" borderId="0" xfId="0" applyNumberFormat="1"/>
    <xf numFmtId="10" fontId="0" fillId="0" borderId="0" xfId="1" applyNumberFormat="1" applyFont="1"/>
    <xf numFmtId="0" fontId="1" fillId="0" borderId="0" xfId="0" applyFont="1" applyAlignment="1">
      <alignment horizontal="left"/>
    </xf>
    <xf numFmtId="173" fontId="1" fillId="0" borderId="0" xfId="0" applyNumberFormat="1" applyFont="1"/>
    <xf numFmtId="9" fontId="0" fillId="0" borderId="0" xfId="0" applyNumberFormat="1"/>
    <xf numFmtId="10" fontId="1" fillId="0" borderId="0" xfId="0" applyNumberFormat="1" applyFont="1"/>
    <xf numFmtId="9" fontId="1" fillId="0" borderId="0" xfId="0" applyNumberFormat="1" applyFont="1"/>
    <xf numFmtId="2" fontId="1" fillId="0" borderId="0" xfId="0" applyNumberFormat="1" applyFont="1"/>
    <xf numFmtId="9" fontId="0" fillId="0" borderId="0" xfId="1" applyNumberFormat="1" applyFont="1" applyAlignment="1"/>
    <xf numFmtId="0" fontId="3" fillId="0" borderId="0" xfId="0" quotePrefix="1" applyFont="1" applyAlignment="1">
      <alignment horizontal="left"/>
    </xf>
    <xf numFmtId="0" fontId="3" fillId="0" borderId="0" xfId="0" applyFont="1"/>
    <xf numFmtId="0" fontId="5" fillId="0" borderId="0" xfId="0" quotePrefix="1" applyFont="1" applyAlignment="1">
      <alignment horizontal="left"/>
    </xf>
    <xf numFmtId="178" fontId="1" fillId="0" borderId="0" xfId="0" applyNumberFormat="1" applyFont="1"/>
    <xf numFmtId="1" fontId="1" fillId="0" borderId="0" xfId="0" applyNumberFormat="1" applyFont="1"/>
    <xf numFmtId="0" fontId="0" fillId="0" borderId="0" xfId="0" quotePrefix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3.xml"/><Relationship Id="rId11" Type="http://schemas.openxmlformats.org/officeDocument/2006/relationships/calcChain" Target="calcChain.xml"/><Relationship Id="rId5" Type="http://schemas.openxmlformats.org/officeDocument/2006/relationships/chartsheet" Target="chartsheets/sheet2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1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GB"/>
              <a:t>Normal Probability Plot - Share A</a:t>
            </a:r>
          </a:p>
        </c:rich>
      </c:tx>
      <c:layout>
        <c:manualLayout>
          <c:xMode val="edge"/>
          <c:yMode val="edge"/>
          <c:x val="0.37655172413793103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9655172413793101E-2"/>
          <c:y val="0.1425339366515837"/>
          <c:w val="0.90344827586206899"/>
          <c:h val="0.77714932126696834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Beta!$V$6:$V$65</c:f>
              <c:numCache>
                <c:formatCode>0.0000</c:formatCode>
                <c:ptCount val="60"/>
                <c:pt idx="0">
                  <c:v>-1.7437655806867818</c:v>
                </c:pt>
                <c:pt idx="1">
                  <c:v>0.70901888444622674</c:v>
                </c:pt>
                <c:pt idx="2">
                  <c:v>1.0381857530769958</c:v>
                </c:pt>
                <c:pt idx="3">
                  <c:v>-1.7597326302845429</c:v>
                </c:pt>
                <c:pt idx="4">
                  <c:v>-1.2831776115205933</c:v>
                </c:pt>
                <c:pt idx="5">
                  <c:v>-0.58308389838798713</c:v>
                </c:pt>
                <c:pt idx="6">
                  <c:v>0.96817638176373533</c:v>
                </c:pt>
                <c:pt idx="7">
                  <c:v>1.2850609045500729</c:v>
                </c:pt>
                <c:pt idx="8">
                  <c:v>0.73726827988841959</c:v>
                </c:pt>
                <c:pt idx="9">
                  <c:v>0.53215310428641027</c:v>
                </c:pt>
                <c:pt idx="10">
                  <c:v>-1.709375012322373</c:v>
                </c:pt>
                <c:pt idx="11">
                  <c:v>0.370026139139912</c:v>
                </c:pt>
                <c:pt idx="12">
                  <c:v>-0.55483450294579406</c:v>
                </c:pt>
                <c:pt idx="13">
                  <c:v>-0.33498051233046694</c:v>
                </c:pt>
                <c:pt idx="14">
                  <c:v>1.4213949434232644</c:v>
                </c:pt>
                <c:pt idx="15">
                  <c:v>0.44617668337538841</c:v>
                </c:pt>
                <c:pt idx="16">
                  <c:v>0.36511320080213933</c:v>
                </c:pt>
                <c:pt idx="17">
                  <c:v>2.2050086082980065</c:v>
                </c:pt>
                <c:pt idx="18">
                  <c:v>-1.7339397040112363</c:v>
                </c:pt>
                <c:pt idx="19">
                  <c:v>0.99765401179037128</c:v>
                </c:pt>
                <c:pt idx="20">
                  <c:v>-0.71450499892340624</c:v>
                </c:pt>
                <c:pt idx="21">
                  <c:v>1.2629526820300958</c:v>
                </c:pt>
                <c:pt idx="22">
                  <c:v>-0.34480638900601229</c:v>
                </c:pt>
                <c:pt idx="23">
                  <c:v>0.16736743270678914</c:v>
                </c:pt>
                <c:pt idx="24">
                  <c:v>-2.0569653997197896</c:v>
                </c:pt>
                <c:pt idx="25">
                  <c:v>0.48425195549312672</c:v>
                </c:pt>
                <c:pt idx="26">
                  <c:v>-0.46394514369699974</c:v>
                </c:pt>
                <c:pt idx="27">
                  <c:v>-1.15789768390739</c:v>
                </c:pt>
                <c:pt idx="28">
                  <c:v>1.3341902879277996</c:v>
                </c:pt>
                <c:pt idx="29">
                  <c:v>1.3968302517344011</c:v>
                </c:pt>
                <c:pt idx="30">
                  <c:v>-0.90242489034321094</c:v>
                </c:pt>
                <c:pt idx="31">
                  <c:v>0.668487143159602</c:v>
                </c:pt>
                <c:pt idx="32">
                  <c:v>-0.71327676433896303</c:v>
                </c:pt>
                <c:pt idx="33">
                  <c:v>0.38722142332211629</c:v>
                </c:pt>
                <c:pt idx="34">
                  <c:v>-1.6639303326979757</c:v>
                </c:pt>
                <c:pt idx="35">
                  <c:v>-0.11758299088402605</c:v>
                </c:pt>
                <c:pt idx="36">
                  <c:v>0.42652493002429781</c:v>
                </c:pt>
                <c:pt idx="37">
                  <c:v>-0.43446751367036357</c:v>
                </c:pt>
                <c:pt idx="38">
                  <c:v>0.58988012975523918</c:v>
                </c:pt>
                <c:pt idx="39">
                  <c:v>1.3059408924856066</c:v>
                </c:pt>
                <c:pt idx="40">
                  <c:v>0.12929216058905091</c:v>
                </c:pt>
                <c:pt idx="41">
                  <c:v>1.0652069139347458</c:v>
                </c:pt>
                <c:pt idx="42">
                  <c:v>-0.16057120133953695</c:v>
                </c:pt>
                <c:pt idx="43">
                  <c:v>-0.39393577238373906</c:v>
                </c:pt>
                <c:pt idx="44">
                  <c:v>-1.528824528409227</c:v>
                </c:pt>
                <c:pt idx="45">
                  <c:v>-0.36691461152598931</c:v>
                </c:pt>
                <c:pt idx="46">
                  <c:v>0.19193212439565252</c:v>
                </c:pt>
                <c:pt idx="47">
                  <c:v>-0.49342277372363574</c:v>
                </c:pt>
                <c:pt idx="48">
                  <c:v>0.39704729999766175</c:v>
                </c:pt>
                <c:pt idx="49">
                  <c:v>0.94238345549042868</c:v>
                </c:pt>
                <c:pt idx="50">
                  <c:v>-0.64940856594791807</c:v>
                </c:pt>
                <c:pt idx="51">
                  <c:v>-0.9712060270720283</c:v>
                </c:pt>
                <c:pt idx="52">
                  <c:v>-0.69976618391008805</c:v>
                </c:pt>
                <c:pt idx="53">
                  <c:v>0.50636017801310373</c:v>
                </c:pt>
                <c:pt idx="54">
                  <c:v>-1.2930034881961385</c:v>
                </c:pt>
                <c:pt idx="55">
                  <c:v>0.68322595817292009</c:v>
                </c:pt>
                <c:pt idx="56">
                  <c:v>0.81833176246166861</c:v>
                </c:pt>
                <c:pt idx="57">
                  <c:v>-0.71818970267673565</c:v>
                </c:pt>
                <c:pt idx="58">
                  <c:v>0.9472963938282013</c:v>
                </c:pt>
                <c:pt idx="59">
                  <c:v>0.76797414449949886</c:v>
                </c:pt>
              </c:numCache>
            </c:numRef>
          </c:xVal>
          <c:yVal>
            <c:numRef>
              <c:f>Beta!$W$6:$W$65</c:f>
              <c:numCache>
                <c:formatCode>0.0000</c:formatCode>
                <c:ptCount val="60"/>
                <c:pt idx="0">
                  <c:v>-1.7106958694057539</c:v>
                </c:pt>
                <c:pt idx="1">
                  <c:v>0.59496414905879647</c:v>
                </c:pt>
                <c:pt idx="2">
                  <c:v>1.0662574823072646</c:v>
                </c:pt>
                <c:pt idx="3">
                  <c:v>-1.9273011275799945</c:v>
                </c:pt>
                <c:pt idx="4">
                  <c:v>-1.0662574823072646</c:v>
                </c:pt>
                <c:pt idx="5">
                  <c:v>-0.54600604926235974</c:v>
                </c:pt>
                <c:pt idx="6">
                  <c:v>0.92936943474342115</c:v>
                </c:pt>
                <c:pt idx="7">
                  <c:v>1.3203384696680587</c:v>
                </c:pt>
                <c:pt idx="8">
                  <c:v>0.6453933565353509</c:v>
                </c:pt>
                <c:pt idx="9">
                  <c:v>0.40613031160319224</c:v>
                </c:pt>
                <c:pt idx="10">
                  <c:v>-1.4271836334955879</c:v>
                </c:pt>
                <c:pt idx="11">
                  <c:v>0.10419739737699274</c:v>
                </c:pt>
                <c:pt idx="12">
                  <c:v>-0.49832124204840511</c:v>
                </c:pt>
                <c:pt idx="13">
                  <c:v>-0.18832452042261139</c:v>
                </c:pt>
                <c:pt idx="14">
                  <c:v>1.9273011275799945</c:v>
                </c:pt>
                <c:pt idx="15">
                  <c:v>0.27380792744224891</c:v>
                </c:pt>
                <c:pt idx="16">
                  <c:v>6.2445906223729253E-2</c:v>
                </c:pt>
                <c:pt idx="17">
                  <c:v>2.3125539883039892</c:v>
                </c:pt>
                <c:pt idx="18">
                  <c:v>-1.5533805708400905</c:v>
                </c:pt>
                <c:pt idx="19">
                  <c:v>0.99548060461529531</c:v>
                </c:pt>
                <c:pt idx="20">
                  <c:v>-0.75161551649216563</c:v>
                </c:pt>
                <c:pt idx="21">
                  <c:v>1.2267491911188699</c:v>
                </c:pt>
                <c:pt idx="22">
                  <c:v>-0.23085476641426794</c:v>
                </c:pt>
                <c:pt idx="23">
                  <c:v>-2.0803554434678517E-2</c:v>
                </c:pt>
                <c:pt idx="24">
                  <c:v>-2.3125539883039892</c:v>
                </c:pt>
                <c:pt idx="25">
                  <c:v>0.31727267923997715</c:v>
                </c:pt>
                <c:pt idx="26">
                  <c:v>-0.40613031160319224</c:v>
                </c:pt>
                <c:pt idx="27">
                  <c:v>-0.99548060461529531</c:v>
                </c:pt>
                <c:pt idx="28">
                  <c:v>1.5533805708400905</c:v>
                </c:pt>
                <c:pt idx="29">
                  <c:v>1.7106958694057539</c:v>
                </c:pt>
                <c:pt idx="30">
                  <c:v>-0.86709178503951989</c:v>
                </c:pt>
                <c:pt idx="31">
                  <c:v>0.49832124204840511</c:v>
                </c:pt>
                <c:pt idx="32">
                  <c:v>-0.69752104536746629</c:v>
                </c:pt>
                <c:pt idx="33">
                  <c:v>0.14613192433898803</c:v>
                </c:pt>
                <c:pt idx="34">
                  <c:v>-1.3203407434048131</c:v>
                </c:pt>
                <c:pt idx="35">
                  <c:v>-0.10419739737699274</c:v>
                </c:pt>
                <c:pt idx="36">
                  <c:v>0.23085476641426794</c:v>
                </c:pt>
                <c:pt idx="37">
                  <c:v>-0.36134451875113882</c:v>
                </c:pt>
                <c:pt idx="38">
                  <c:v>0.45174601837061346</c:v>
                </c:pt>
                <c:pt idx="39">
                  <c:v>1.4271836334955879</c:v>
                </c:pt>
                <c:pt idx="40">
                  <c:v>-6.2445906223729253E-2</c:v>
                </c:pt>
                <c:pt idx="41">
                  <c:v>1.1428232937760185</c:v>
                </c:pt>
                <c:pt idx="42">
                  <c:v>-0.14613192433898803</c:v>
                </c:pt>
                <c:pt idx="43">
                  <c:v>-0.31727267923997715</c:v>
                </c:pt>
                <c:pt idx="44">
                  <c:v>-1.2267491911188699</c:v>
                </c:pt>
                <c:pt idx="45">
                  <c:v>-0.27380792744224891</c:v>
                </c:pt>
                <c:pt idx="46">
                  <c:v>2.0803554434678517E-2</c:v>
                </c:pt>
                <c:pt idx="47">
                  <c:v>-0.45174601837061346</c:v>
                </c:pt>
                <c:pt idx="48">
                  <c:v>0.18832452042261139</c:v>
                </c:pt>
                <c:pt idx="49">
                  <c:v>0.80800646173884161</c:v>
                </c:pt>
                <c:pt idx="50">
                  <c:v>-0.59496414905879647</c:v>
                </c:pt>
                <c:pt idx="51">
                  <c:v>-0.92936943474342115</c:v>
                </c:pt>
                <c:pt idx="52">
                  <c:v>-0.6453933565353509</c:v>
                </c:pt>
                <c:pt idx="53">
                  <c:v>0.36134451875113882</c:v>
                </c:pt>
                <c:pt idx="54">
                  <c:v>-1.1428232937760185</c:v>
                </c:pt>
                <c:pt idx="55">
                  <c:v>0.54600604926235974</c:v>
                </c:pt>
                <c:pt idx="56">
                  <c:v>0.75161551649216563</c:v>
                </c:pt>
                <c:pt idx="57">
                  <c:v>-0.80800646173884161</c:v>
                </c:pt>
                <c:pt idx="58">
                  <c:v>0.86709178503951989</c:v>
                </c:pt>
                <c:pt idx="59">
                  <c:v>0.69752104536746629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58-4BC4-8D11-88010C8D60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907215"/>
        <c:axId val="1"/>
      </c:scatterChart>
      <c:valAx>
        <c:axId val="6959072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GB"/>
                  <a:t>Z score</a:t>
                </a:r>
              </a:p>
            </c:rich>
          </c:tx>
          <c:layout>
            <c:manualLayout>
              <c:xMode val="edge"/>
              <c:yMode val="edge"/>
              <c:x val="0.47793103448275864"/>
              <c:y val="0.9400452488687782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GB"/>
                  <a:t>N score</a:t>
                </a:r>
              </a:p>
            </c:rich>
          </c:tx>
          <c:layout>
            <c:manualLayout>
              <c:xMode val="edge"/>
              <c:yMode val="edge"/>
              <c:x val="1.1724137931034483E-2"/>
              <c:y val="0.4909502262443438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695907215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GB"/>
              <a:t>Beta Regression</a:t>
            </a:r>
          </a:p>
        </c:rich>
      </c:tx>
      <c:layout>
        <c:manualLayout>
          <c:xMode val="edge"/>
          <c:yMode val="edge"/>
          <c:x val="0.44137931034482758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3103448275862067E-2"/>
          <c:y val="0.1425339366515837"/>
          <c:w val="0.91931034482758622"/>
          <c:h val="0.77714932126696834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Beta!$C$6:$C$65</c:f>
              <c:numCache>
                <c:formatCode>0.0000</c:formatCode>
                <c:ptCount val="60"/>
                <c:pt idx="0">
                  <c:v>-5.3400000000000003E-2</c:v>
                </c:pt>
                <c:pt idx="1">
                  <c:v>8.6800000000000002E-2</c:v>
                </c:pt>
                <c:pt idx="2">
                  <c:v>1.8200000000000001E-2</c:v>
                </c:pt>
                <c:pt idx="3">
                  <c:v>-0.08</c:v>
                </c:pt>
                <c:pt idx="4">
                  <c:v>-6.6600000000000006E-2</c:v>
                </c:pt>
                <c:pt idx="5">
                  <c:v>-4.5499999999999999E-2</c:v>
                </c:pt>
                <c:pt idx="6">
                  <c:v>9.2499999999999999E-2</c:v>
                </c:pt>
                <c:pt idx="7">
                  <c:v>3.9300000000000002E-2</c:v>
                </c:pt>
                <c:pt idx="8">
                  <c:v>4.2200000000000001E-2</c:v>
                </c:pt>
                <c:pt idx="9">
                  <c:v>3.6200000000000003E-2</c:v>
                </c:pt>
                <c:pt idx="10">
                  <c:v>-5.9999999999999995E-4</c:v>
                </c:pt>
                <c:pt idx="11">
                  <c:v>2.23E-2</c:v>
                </c:pt>
                <c:pt idx="12">
                  <c:v>7.1000000000000004E-3</c:v>
                </c:pt>
                <c:pt idx="13">
                  <c:v>-1.4999999999999999E-2</c:v>
                </c:pt>
                <c:pt idx="14">
                  <c:v>9.1999999999999998E-3</c:v>
                </c:pt>
                <c:pt idx="15">
                  <c:v>1.9199999999999998E-2</c:v>
                </c:pt>
                <c:pt idx="16">
                  <c:v>1.01E-2</c:v>
                </c:pt>
                <c:pt idx="17">
                  <c:v>5.8099999999999999E-2</c:v>
                </c:pt>
                <c:pt idx="18">
                  <c:v>-2.1499999999999998E-2</c:v>
                </c:pt>
                <c:pt idx="19">
                  <c:v>3.6900000000000002E-2</c:v>
                </c:pt>
                <c:pt idx="20">
                  <c:v>-6.8999999999999999E-3</c:v>
                </c:pt>
                <c:pt idx="21">
                  <c:v>7.6600000000000001E-2</c:v>
                </c:pt>
                <c:pt idx="22">
                  <c:v>3.5799999999999998E-2</c:v>
                </c:pt>
                <c:pt idx="23">
                  <c:v>-4.2599999999999999E-2</c:v>
                </c:pt>
                <c:pt idx="24">
                  <c:v>-7.1499999999999994E-2</c:v>
                </c:pt>
                <c:pt idx="25">
                  <c:v>1.06E-2</c:v>
                </c:pt>
                <c:pt idx="26">
                  <c:v>-5.2600000000000001E-2</c:v>
                </c:pt>
                <c:pt idx="27">
                  <c:v>-2.6499999999999999E-2</c:v>
                </c:pt>
                <c:pt idx="28">
                  <c:v>5.3800000000000001E-2</c:v>
                </c:pt>
                <c:pt idx="29">
                  <c:v>4.9700000000000001E-2</c:v>
                </c:pt>
                <c:pt idx="30">
                  <c:v>-7.5700000000000003E-2</c:v>
                </c:pt>
                <c:pt idx="31">
                  <c:v>1.4999999999999999E-2</c:v>
                </c:pt>
                <c:pt idx="32">
                  <c:v>-7.0000000000000001E-3</c:v>
                </c:pt>
                <c:pt idx="33">
                  <c:v>-6.1999999999999998E-3</c:v>
                </c:pt>
                <c:pt idx="34">
                  <c:v>-2.92E-2</c:v>
                </c:pt>
                <c:pt idx="35">
                  <c:v>2.3E-3</c:v>
                </c:pt>
                <c:pt idx="36">
                  <c:v>3.2500000000000001E-2</c:v>
                </c:pt>
                <c:pt idx="37">
                  <c:v>2.3699999999999999E-2</c:v>
                </c:pt>
                <c:pt idx="38">
                  <c:v>3.1800000000000002E-2</c:v>
                </c:pt>
                <c:pt idx="39">
                  <c:v>-7.4999999999999997E-3</c:v>
                </c:pt>
                <c:pt idx="40">
                  <c:v>4.5600000000000002E-2</c:v>
                </c:pt>
                <c:pt idx="41">
                  <c:v>7.3000000000000001E-3</c:v>
                </c:pt>
                <c:pt idx="42">
                  <c:v>5.8999999999999999E-3</c:v>
                </c:pt>
                <c:pt idx="43">
                  <c:v>-2.0999999999999999E-3</c:v>
                </c:pt>
                <c:pt idx="44">
                  <c:v>2.8899999999999999E-2</c:v>
                </c:pt>
                <c:pt idx="45">
                  <c:v>6.0000000000000001E-3</c:v>
                </c:pt>
                <c:pt idx="46">
                  <c:v>1.9400000000000001E-2</c:v>
                </c:pt>
                <c:pt idx="47">
                  <c:v>-2.5999999999999999E-3</c:v>
                </c:pt>
                <c:pt idx="48">
                  <c:v>-2.9999999999999997E-4</c:v>
                </c:pt>
                <c:pt idx="49">
                  <c:v>3.6200000000000003E-2</c:v>
                </c:pt>
                <c:pt idx="50">
                  <c:v>-1.7000000000000001E-2</c:v>
                </c:pt>
                <c:pt idx="51">
                  <c:v>-1.7299999999999999E-2</c:v>
                </c:pt>
                <c:pt idx="52">
                  <c:v>-1.2800000000000001E-2</c:v>
                </c:pt>
                <c:pt idx="53">
                  <c:v>4.1599999999999998E-2</c:v>
                </c:pt>
                <c:pt idx="54">
                  <c:v>1.34E-2</c:v>
                </c:pt>
                <c:pt idx="55">
                  <c:v>4.3E-3</c:v>
                </c:pt>
                <c:pt idx="56">
                  <c:v>1.23E-2</c:v>
                </c:pt>
                <c:pt idx="57">
                  <c:v>1.2200000000000001E-2</c:v>
                </c:pt>
                <c:pt idx="58">
                  <c:v>3.4200000000000001E-2</c:v>
                </c:pt>
                <c:pt idx="59">
                  <c:v>7.4999999999999997E-3</c:v>
                </c:pt>
              </c:numCache>
            </c:numRef>
          </c:xVal>
          <c:yVal>
            <c:numRef>
              <c:f>Beta!$E$6:$E$65</c:f>
              <c:numCache>
                <c:formatCode>0.0000</c:formatCode>
                <c:ptCount val="60"/>
                <c:pt idx="0">
                  <c:v>-8.1729520977755765E-2</c:v>
                </c:pt>
                <c:pt idx="1">
                  <c:v>0.12948708472322859</c:v>
                </c:pt>
                <c:pt idx="2">
                  <c:v>2.6138588638438813E-2</c:v>
                </c:pt>
                <c:pt idx="3">
                  <c:v>-0.12180342762287834</c:v>
                </c:pt>
                <c:pt idx="4">
                  <c:v>-0.1016158205159369</c:v>
                </c:pt>
                <c:pt idx="5">
                  <c:v>-6.9827872011723122E-2</c:v>
                </c:pt>
                <c:pt idx="6">
                  <c:v>0.1380743504328977</c:v>
                </c:pt>
                <c:pt idx="7">
                  <c:v>5.792653714265257E-2</c:v>
                </c:pt>
                <c:pt idx="8">
                  <c:v>6.2295496889677213E-2</c:v>
                </c:pt>
                <c:pt idx="9">
                  <c:v>5.3256269826867611E-2</c:v>
                </c:pt>
                <c:pt idx="10">
                  <c:v>-2.1843228250312745E-3</c:v>
                </c:pt>
                <c:pt idx="11">
                  <c:v>3.2315393798025366E-2</c:v>
                </c:pt>
                <c:pt idx="12">
                  <c:v>9.4160185722410479E-3</c:v>
                </c:pt>
                <c:pt idx="13">
                  <c:v>-2.3878467775774313E-2</c:v>
                </c:pt>
                <c:pt idx="14">
                  <c:v>1.2579748044224407E-2</c:v>
                </c:pt>
                <c:pt idx="15">
                  <c:v>2.7645126482240406E-2</c:v>
                </c:pt>
                <c:pt idx="16">
                  <c:v>1.3935632103645847E-2</c:v>
                </c:pt>
                <c:pt idx="17">
                  <c:v>8.6249448606122658E-2</c:v>
                </c:pt>
                <c:pt idx="18">
                  <c:v>-3.3670963760484715E-2</c:v>
                </c:pt>
                <c:pt idx="19">
                  <c:v>5.4310846317528735E-2</c:v>
                </c:pt>
                <c:pt idx="20">
                  <c:v>-1.1675511240981356E-2</c:v>
                </c:pt>
                <c:pt idx="21">
                  <c:v>0.11412039871645226</c:v>
                </c:pt>
                <c:pt idx="22">
                  <c:v>5.265365468934697E-2</c:v>
                </c:pt>
                <c:pt idx="23">
                  <c:v>-6.5458912264698479E-2</c:v>
                </c:pt>
                <c:pt idx="24">
                  <c:v>-0.10899785595056471</c:v>
                </c:pt>
                <c:pt idx="25">
                  <c:v>1.4688901025546647E-2</c:v>
                </c:pt>
                <c:pt idx="26">
                  <c:v>-8.0524290702714482E-2</c:v>
                </c:pt>
                <c:pt idx="27">
                  <c:v>-4.1203652979492716E-2</c:v>
                </c:pt>
                <c:pt idx="28">
                  <c:v>7.9771335877775768E-2</c:v>
                </c:pt>
                <c:pt idx="29">
                  <c:v>7.3594530718189208E-2</c:v>
                </c:pt>
                <c:pt idx="30">
                  <c:v>-0.11532531489453145</c:v>
                </c:pt>
                <c:pt idx="31">
                  <c:v>2.1317667538273688E-2</c:v>
                </c:pt>
                <c:pt idx="32">
                  <c:v>-1.1826165025361516E-2</c:v>
                </c:pt>
                <c:pt idx="33">
                  <c:v>-1.0620934750320235E-2</c:v>
                </c:pt>
                <c:pt idx="34">
                  <c:v>-4.5271305157757041E-2</c:v>
                </c:pt>
                <c:pt idx="35">
                  <c:v>2.184636921993366E-3</c:v>
                </c:pt>
                <c:pt idx="36">
                  <c:v>4.7682079804801693E-2</c:v>
                </c:pt>
                <c:pt idx="37">
                  <c:v>3.4424546779347608E-2</c:v>
                </c:pt>
                <c:pt idx="38">
                  <c:v>4.6627503314140568E-2</c:v>
                </c:pt>
                <c:pt idx="39">
                  <c:v>-1.2579433947262315E-2</c:v>
                </c:pt>
                <c:pt idx="40">
                  <c:v>6.7417725558602648E-2</c:v>
                </c:pt>
                <c:pt idx="41">
                  <c:v>9.7173261410013669E-3</c:v>
                </c:pt>
                <c:pt idx="42">
                  <c:v>7.6081731596791269E-3</c:v>
                </c:pt>
                <c:pt idx="43">
                  <c:v>-4.4441295907336744E-3</c:v>
                </c:pt>
                <c:pt idx="44">
                  <c:v>4.2258543567115926E-2</c:v>
                </c:pt>
                <c:pt idx="45">
                  <c:v>7.7588269440592873E-3</c:v>
                </c:pt>
                <c:pt idx="46">
                  <c:v>2.7946434051000731E-2</c:v>
                </c:pt>
                <c:pt idx="47">
                  <c:v>-5.1973985126344746E-3</c:v>
                </c:pt>
                <c:pt idx="48">
                  <c:v>-1.7323614718907944E-3</c:v>
                </c:pt>
                <c:pt idx="49">
                  <c:v>5.3256269826867611E-2</c:v>
                </c:pt>
                <c:pt idx="50">
                  <c:v>-2.6891543463377521E-2</c:v>
                </c:pt>
                <c:pt idx="51">
                  <c:v>-2.7343504816517997E-2</c:v>
                </c:pt>
                <c:pt idx="52">
                  <c:v>-2.0564084519410795E-2</c:v>
                </c:pt>
                <c:pt idx="53">
                  <c:v>6.1391574183396247E-2</c:v>
                </c:pt>
                <c:pt idx="54">
                  <c:v>1.8907206988191129E-2</c:v>
                </c:pt>
                <c:pt idx="55">
                  <c:v>5.1977126095965661E-3</c:v>
                </c:pt>
                <c:pt idx="56">
                  <c:v>1.725001536000937E-2</c:v>
                </c:pt>
                <c:pt idx="57">
                  <c:v>1.7099361575629211E-2</c:v>
                </c:pt>
                <c:pt idx="58">
                  <c:v>5.024319413926441E-2</c:v>
                </c:pt>
                <c:pt idx="59">
                  <c:v>1.0018633709761686E-2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EA-40E0-87D0-19F6C45D2255}"/>
            </c:ext>
          </c:extLst>
        </c:ser>
        <c:ser>
          <c:idx val="1"/>
          <c:order val="1"/>
          <c:spPr>
            <a:ln w="19050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Beta!$C$6:$C$65</c:f>
              <c:numCache>
                <c:formatCode>0.0000</c:formatCode>
                <c:ptCount val="60"/>
                <c:pt idx="0">
                  <c:v>-5.3400000000000003E-2</c:v>
                </c:pt>
                <c:pt idx="1">
                  <c:v>8.6800000000000002E-2</c:v>
                </c:pt>
                <c:pt idx="2">
                  <c:v>1.8200000000000001E-2</c:v>
                </c:pt>
                <c:pt idx="3">
                  <c:v>-0.08</c:v>
                </c:pt>
                <c:pt idx="4">
                  <c:v>-6.6600000000000006E-2</c:v>
                </c:pt>
                <c:pt idx="5">
                  <c:v>-4.5499999999999999E-2</c:v>
                </c:pt>
                <c:pt idx="6">
                  <c:v>9.2499999999999999E-2</c:v>
                </c:pt>
                <c:pt idx="7">
                  <c:v>3.9300000000000002E-2</c:v>
                </c:pt>
                <c:pt idx="8">
                  <c:v>4.2200000000000001E-2</c:v>
                </c:pt>
                <c:pt idx="9">
                  <c:v>3.6200000000000003E-2</c:v>
                </c:pt>
                <c:pt idx="10">
                  <c:v>-5.9999999999999995E-4</c:v>
                </c:pt>
                <c:pt idx="11">
                  <c:v>2.23E-2</c:v>
                </c:pt>
                <c:pt idx="12">
                  <c:v>7.1000000000000004E-3</c:v>
                </c:pt>
                <c:pt idx="13">
                  <c:v>-1.4999999999999999E-2</c:v>
                </c:pt>
                <c:pt idx="14">
                  <c:v>9.1999999999999998E-3</c:v>
                </c:pt>
                <c:pt idx="15">
                  <c:v>1.9199999999999998E-2</c:v>
                </c:pt>
                <c:pt idx="16">
                  <c:v>1.01E-2</c:v>
                </c:pt>
                <c:pt idx="17">
                  <c:v>5.8099999999999999E-2</c:v>
                </c:pt>
                <c:pt idx="18">
                  <c:v>-2.1499999999999998E-2</c:v>
                </c:pt>
                <c:pt idx="19">
                  <c:v>3.6900000000000002E-2</c:v>
                </c:pt>
                <c:pt idx="20">
                  <c:v>-6.8999999999999999E-3</c:v>
                </c:pt>
                <c:pt idx="21">
                  <c:v>7.6600000000000001E-2</c:v>
                </c:pt>
                <c:pt idx="22">
                  <c:v>3.5799999999999998E-2</c:v>
                </c:pt>
                <c:pt idx="23">
                  <c:v>-4.2599999999999999E-2</c:v>
                </c:pt>
                <c:pt idx="24">
                  <c:v>-7.1499999999999994E-2</c:v>
                </c:pt>
                <c:pt idx="25">
                  <c:v>1.06E-2</c:v>
                </c:pt>
                <c:pt idx="26">
                  <c:v>-5.2600000000000001E-2</c:v>
                </c:pt>
                <c:pt idx="27">
                  <c:v>-2.6499999999999999E-2</c:v>
                </c:pt>
                <c:pt idx="28">
                  <c:v>5.3800000000000001E-2</c:v>
                </c:pt>
                <c:pt idx="29">
                  <c:v>4.9700000000000001E-2</c:v>
                </c:pt>
                <c:pt idx="30">
                  <c:v>-7.5700000000000003E-2</c:v>
                </c:pt>
                <c:pt idx="31">
                  <c:v>1.4999999999999999E-2</c:v>
                </c:pt>
                <c:pt idx="32">
                  <c:v>-7.0000000000000001E-3</c:v>
                </c:pt>
                <c:pt idx="33">
                  <c:v>-6.1999999999999998E-3</c:v>
                </c:pt>
                <c:pt idx="34">
                  <c:v>-2.92E-2</c:v>
                </c:pt>
                <c:pt idx="35">
                  <c:v>2.3E-3</c:v>
                </c:pt>
                <c:pt idx="36">
                  <c:v>3.2500000000000001E-2</c:v>
                </c:pt>
                <c:pt idx="37">
                  <c:v>2.3699999999999999E-2</c:v>
                </c:pt>
                <c:pt idx="38">
                  <c:v>3.1800000000000002E-2</c:v>
                </c:pt>
                <c:pt idx="39">
                  <c:v>-7.4999999999999997E-3</c:v>
                </c:pt>
                <c:pt idx="40">
                  <c:v>4.5600000000000002E-2</c:v>
                </c:pt>
                <c:pt idx="41">
                  <c:v>7.3000000000000001E-3</c:v>
                </c:pt>
                <c:pt idx="42">
                  <c:v>5.8999999999999999E-3</c:v>
                </c:pt>
                <c:pt idx="43">
                  <c:v>-2.0999999999999999E-3</c:v>
                </c:pt>
                <c:pt idx="44">
                  <c:v>2.8899999999999999E-2</c:v>
                </c:pt>
                <c:pt idx="45">
                  <c:v>6.0000000000000001E-3</c:v>
                </c:pt>
                <c:pt idx="46">
                  <c:v>1.9400000000000001E-2</c:v>
                </c:pt>
                <c:pt idx="47">
                  <c:v>-2.5999999999999999E-3</c:v>
                </c:pt>
                <c:pt idx="48">
                  <c:v>-2.9999999999999997E-4</c:v>
                </c:pt>
                <c:pt idx="49">
                  <c:v>3.6200000000000003E-2</c:v>
                </c:pt>
                <c:pt idx="50">
                  <c:v>-1.7000000000000001E-2</c:v>
                </c:pt>
                <c:pt idx="51">
                  <c:v>-1.7299999999999999E-2</c:v>
                </c:pt>
                <c:pt idx="52">
                  <c:v>-1.2800000000000001E-2</c:v>
                </c:pt>
                <c:pt idx="53">
                  <c:v>4.1599999999999998E-2</c:v>
                </c:pt>
                <c:pt idx="54">
                  <c:v>1.34E-2</c:v>
                </c:pt>
                <c:pt idx="55">
                  <c:v>4.3E-3</c:v>
                </c:pt>
                <c:pt idx="56">
                  <c:v>1.23E-2</c:v>
                </c:pt>
                <c:pt idx="57">
                  <c:v>1.2200000000000001E-2</c:v>
                </c:pt>
                <c:pt idx="58">
                  <c:v>3.4200000000000001E-2</c:v>
                </c:pt>
                <c:pt idx="59">
                  <c:v>7.4999999999999997E-3</c:v>
                </c:pt>
              </c:numCache>
            </c:numRef>
          </c:xVal>
          <c:yVal>
            <c:numRef>
              <c:f>Beta!$B$6:$B$65</c:f>
              <c:numCache>
                <c:formatCode>0.0000</c:formatCode>
                <c:ptCount val="60"/>
                <c:pt idx="0">
                  <c:v>-0.1326</c:v>
                </c:pt>
                <c:pt idx="1">
                  <c:v>6.7100000000000007E-2</c:v>
                </c:pt>
                <c:pt idx="2">
                  <c:v>9.3899999999999997E-2</c:v>
                </c:pt>
                <c:pt idx="3">
                  <c:v>-0.13389999999999999</c:v>
                </c:pt>
                <c:pt idx="4">
                  <c:v>-9.5100000000000004E-2</c:v>
                </c:pt>
                <c:pt idx="5">
                  <c:v>-3.8100000000000002E-2</c:v>
                </c:pt>
                <c:pt idx="6">
                  <c:v>8.8200000000000001E-2</c:v>
                </c:pt>
                <c:pt idx="7">
                  <c:v>0.114</c:v>
                </c:pt>
                <c:pt idx="8">
                  <c:v>6.9400000000000003E-2</c:v>
                </c:pt>
                <c:pt idx="9">
                  <c:v>5.2699999999999997E-2</c:v>
                </c:pt>
                <c:pt idx="10">
                  <c:v>-0.1298</c:v>
                </c:pt>
                <c:pt idx="11">
                  <c:v>3.95E-2</c:v>
                </c:pt>
                <c:pt idx="12">
                  <c:v>-3.5799999999999998E-2</c:v>
                </c:pt>
                <c:pt idx="13">
                  <c:v>-1.7899999999999999E-2</c:v>
                </c:pt>
                <c:pt idx="14">
                  <c:v>0.12509999999999999</c:v>
                </c:pt>
                <c:pt idx="15">
                  <c:v>4.5699999999999998E-2</c:v>
                </c:pt>
                <c:pt idx="16">
                  <c:v>3.9100000000000003E-2</c:v>
                </c:pt>
                <c:pt idx="17">
                  <c:v>0.18890000000000001</c:v>
                </c:pt>
                <c:pt idx="18">
                  <c:v>-0.1318</c:v>
                </c:pt>
                <c:pt idx="19">
                  <c:v>9.06E-2</c:v>
                </c:pt>
                <c:pt idx="20">
                  <c:v>-4.8800000000000003E-2</c:v>
                </c:pt>
                <c:pt idx="21">
                  <c:v>0.11219999999999999</c:v>
                </c:pt>
                <c:pt idx="22">
                  <c:v>-1.8700000000000001E-2</c:v>
                </c:pt>
                <c:pt idx="23">
                  <c:v>2.3E-2</c:v>
                </c:pt>
                <c:pt idx="24">
                  <c:v>-0.15809999999999999</c:v>
                </c:pt>
                <c:pt idx="25">
                  <c:v>4.8800000000000003E-2</c:v>
                </c:pt>
                <c:pt idx="26">
                  <c:v>-2.8400000000000002E-2</c:v>
                </c:pt>
                <c:pt idx="27">
                  <c:v>-8.4900000000000003E-2</c:v>
                </c:pt>
                <c:pt idx="28">
                  <c:v>0.11799999999999999</c:v>
                </c:pt>
                <c:pt idx="29">
                  <c:v>0.1231</c:v>
                </c:pt>
                <c:pt idx="30">
                  <c:v>-6.4100000000000004E-2</c:v>
                </c:pt>
                <c:pt idx="31">
                  <c:v>6.3799999999999996E-2</c:v>
                </c:pt>
                <c:pt idx="32">
                  <c:v>-4.87E-2</c:v>
                </c:pt>
                <c:pt idx="33">
                  <c:v>4.0899999999999999E-2</c:v>
                </c:pt>
                <c:pt idx="34">
                  <c:v>-0.12609999999999999</c:v>
                </c:pt>
                <c:pt idx="35">
                  <c:v>-2.0000000000000001E-4</c:v>
                </c:pt>
                <c:pt idx="36">
                  <c:v>4.41E-2</c:v>
                </c:pt>
                <c:pt idx="37">
                  <c:v>-2.5999999999999999E-2</c:v>
                </c:pt>
                <c:pt idx="38">
                  <c:v>5.74E-2</c:v>
                </c:pt>
                <c:pt idx="39">
                  <c:v>0.1157</c:v>
                </c:pt>
                <c:pt idx="40">
                  <c:v>1.9900000000000001E-2</c:v>
                </c:pt>
                <c:pt idx="41">
                  <c:v>9.6100000000000005E-2</c:v>
                </c:pt>
                <c:pt idx="42">
                  <c:v>-3.7000000000000002E-3</c:v>
                </c:pt>
                <c:pt idx="43">
                  <c:v>-2.2700000000000001E-2</c:v>
                </c:pt>
                <c:pt idx="44">
                  <c:v>-0.11509999999999999</c:v>
                </c:pt>
                <c:pt idx="45">
                  <c:v>-2.0500000000000001E-2</c:v>
                </c:pt>
                <c:pt idx="46">
                  <c:v>2.5000000000000001E-2</c:v>
                </c:pt>
                <c:pt idx="47">
                  <c:v>-3.0800000000000001E-2</c:v>
                </c:pt>
                <c:pt idx="48">
                  <c:v>4.1700000000000001E-2</c:v>
                </c:pt>
                <c:pt idx="49">
                  <c:v>8.6099999999999996E-2</c:v>
                </c:pt>
                <c:pt idx="50">
                  <c:v>-4.3499999999999997E-2</c:v>
                </c:pt>
                <c:pt idx="51">
                  <c:v>-6.9699999999999998E-2</c:v>
                </c:pt>
                <c:pt idx="52">
                  <c:v>-4.7600000000000003E-2</c:v>
                </c:pt>
                <c:pt idx="53">
                  <c:v>5.0599999999999999E-2</c:v>
                </c:pt>
                <c:pt idx="54">
                  <c:v>-9.5899999999999999E-2</c:v>
                </c:pt>
                <c:pt idx="55">
                  <c:v>6.5000000000000002E-2</c:v>
                </c:pt>
                <c:pt idx="56">
                  <c:v>7.5999999999999998E-2</c:v>
                </c:pt>
                <c:pt idx="57">
                  <c:v>-4.9099999999999998E-2</c:v>
                </c:pt>
                <c:pt idx="58">
                  <c:v>8.6499999999999994E-2</c:v>
                </c:pt>
                <c:pt idx="59">
                  <c:v>7.1900000000000006E-2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EA-40E0-87D0-19F6C45D2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2981695"/>
        <c:axId val="1"/>
      </c:scatterChart>
      <c:valAx>
        <c:axId val="7729816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GB"/>
                  <a:t>Index Returns</a:t>
                </a:r>
              </a:p>
            </c:rich>
          </c:tx>
          <c:layout>
            <c:manualLayout>
              <c:xMode val="edge"/>
              <c:yMode val="edge"/>
              <c:x val="0.46965517241379312"/>
              <c:y val="0.9400452488687782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GB"/>
                  <a:t>Share Returns</a:t>
                </a:r>
              </a:p>
            </c:rich>
          </c:tx>
          <c:layout>
            <c:manualLayout>
              <c:xMode val="edge"/>
              <c:yMode val="edge"/>
              <c:x val="1.1724137931034483E-2"/>
              <c:y val="0.45927601809954749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772981695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GB"/>
              <a:t>Beta Regression - Residuals</a:t>
            </a:r>
          </a:p>
        </c:rich>
      </c:tx>
      <c:layout>
        <c:manualLayout>
          <c:xMode val="edge"/>
          <c:yMode val="edge"/>
          <c:x val="0.40068965517241378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3103448275862067E-2"/>
          <c:y val="0.1425339366515837"/>
          <c:w val="0.91931034482758622"/>
          <c:h val="0.77714932126696834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Beta!$C$6:$C$65</c:f>
              <c:numCache>
                <c:formatCode>0.0000</c:formatCode>
                <c:ptCount val="60"/>
                <c:pt idx="0">
                  <c:v>-5.3400000000000003E-2</c:v>
                </c:pt>
                <c:pt idx="1">
                  <c:v>8.6800000000000002E-2</c:v>
                </c:pt>
                <c:pt idx="2">
                  <c:v>1.8200000000000001E-2</c:v>
                </c:pt>
                <c:pt idx="3">
                  <c:v>-0.08</c:v>
                </c:pt>
                <c:pt idx="4">
                  <c:v>-6.6600000000000006E-2</c:v>
                </c:pt>
                <c:pt idx="5">
                  <c:v>-4.5499999999999999E-2</c:v>
                </c:pt>
                <c:pt idx="6">
                  <c:v>9.2499999999999999E-2</c:v>
                </c:pt>
                <c:pt idx="7">
                  <c:v>3.9300000000000002E-2</c:v>
                </c:pt>
                <c:pt idx="8">
                  <c:v>4.2200000000000001E-2</c:v>
                </c:pt>
                <c:pt idx="9">
                  <c:v>3.6200000000000003E-2</c:v>
                </c:pt>
                <c:pt idx="10">
                  <c:v>-5.9999999999999995E-4</c:v>
                </c:pt>
                <c:pt idx="11">
                  <c:v>2.23E-2</c:v>
                </c:pt>
                <c:pt idx="12">
                  <c:v>7.1000000000000004E-3</c:v>
                </c:pt>
                <c:pt idx="13">
                  <c:v>-1.4999999999999999E-2</c:v>
                </c:pt>
                <c:pt idx="14">
                  <c:v>9.1999999999999998E-3</c:v>
                </c:pt>
                <c:pt idx="15">
                  <c:v>1.9199999999999998E-2</c:v>
                </c:pt>
                <c:pt idx="16">
                  <c:v>1.01E-2</c:v>
                </c:pt>
                <c:pt idx="17">
                  <c:v>5.8099999999999999E-2</c:v>
                </c:pt>
                <c:pt idx="18">
                  <c:v>-2.1499999999999998E-2</c:v>
                </c:pt>
                <c:pt idx="19">
                  <c:v>3.6900000000000002E-2</c:v>
                </c:pt>
                <c:pt idx="20">
                  <c:v>-6.8999999999999999E-3</c:v>
                </c:pt>
                <c:pt idx="21">
                  <c:v>7.6600000000000001E-2</c:v>
                </c:pt>
                <c:pt idx="22">
                  <c:v>3.5799999999999998E-2</c:v>
                </c:pt>
                <c:pt idx="23">
                  <c:v>-4.2599999999999999E-2</c:v>
                </c:pt>
                <c:pt idx="24">
                  <c:v>-7.1499999999999994E-2</c:v>
                </c:pt>
                <c:pt idx="25">
                  <c:v>1.06E-2</c:v>
                </c:pt>
                <c:pt idx="26">
                  <c:v>-5.2600000000000001E-2</c:v>
                </c:pt>
                <c:pt idx="27">
                  <c:v>-2.6499999999999999E-2</c:v>
                </c:pt>
                <c:pt idx="28">
                  <c:v>5.3800000000000001E-2</c:v>
                </c:pt>
                <c:pt idx="29">
                  <c:v>4.9700000000000001E-2</c:v>
                </c:pt>
                <c:pt idx="30">
                  <c:v>-7.5700000000000003E-2</c:v>
                </c:pt>
                <c:pt idx="31">
                  <c:v>1.4999999999999999E-2</c:v>
                </c:pt>
                <c:pt idx="32">
                  <c:v>-7.0000000000000001E-3</c:v>
                </c:pt>
                <c:pt idx="33">
                  <c:v>-6.1999999999999998E-3</c:v>
                </c:pt>
                <c:pt idx="34">
                  <c:v>-2.92E-2</c:v>
                </c:pt>
                <c:pt idx="35">
                  <c:v>2.3E-3</c:v>
                </c:pt>
                <c:pt idx="36">
                  <c:v>3.2500000000000001E-2</c:v>
                </c:pt>
                <c:pt idx="37">
                  <c:v>2.3699999999999999E-2</c:v>
                </c:pt>
                <c:pt idx="38">
                  <c:v>3.1800000000000002E-2</c:v>
                </c:pt>
                <c:pt idx="39">
                  <c:v>-7.4999999999999997E-3</c:v>
                </c:pt>
                <c:pt idx="40">
                  <c:v>4.5600000000000002E-2</c:v>
                </c:pt>
                <c:pt idx="41">
                  <c:v>7.3000000000000001E-3</c:v>
                </c:pt>
                <c:pt idx="42">
                  <c:v>5.8999999999999999E-3</c:v>
                </c:pt>
                <c:pt idx="43">
                  <c:v>-2.0999999999999999E-3</c:v>
                </c:pt>
                <c:pt idx="44">
                  <c:v>2.8899999999999999E-2</c:v>
                </c:pt>
                <c:pt idx="45">
                  <c:v>6.0000000000000001E-3</c:v>
                </c:pt>
                <c:pt idx="46">
                  <c:v>1.9400000000000001E-2</c:v>
                </c:pt>
                <c:pt idx="47">
                  <c:v>-2.5999999999999999E-3</c:v>
                </c:pt>
                <c:pt idx="48">
                  <c:v>-2.9999999999999997E-4</c:v>
                </c:pt>
                <c:pt idx="49">
                  <c:v>3.6200000000000003E-2</c:v>
                </c:pt>
                <c:pt idx="50">
                  <c:v>-1.7000000000000001E-2</c:v>
                </c:pt>
                <c:pt idx="51">
                  <c:v>-1.7299999999999999E-2</c:v>
                </c:pt>
                <c:pt idx="52">
                  <c:v>-1.2800000000000001E-2</c:v>
                </c:pt>
                <c:pt idx="53">
                  <c:v>4.1599999999999998E-2</c:v>
                </c:pt>
                <c:pt idx="54">
                  <c:v>1.34E-2</c:v>
                </c:pt>
                <c:pt idx="55">
                  <c:v>4.3E-3</c:v>
                </c:pt>
                <c:pt idx="56">
                  <c:v>1.23E-2</c:v>
                </c:pt>
                <c:pt idx="57">
                  <c:v>1.2200000000000001E-2</c:v>
                </c:pt>
                <c:pt idx="58">
                  <c:v>3.4200000000000001E-2</c:v>
                </c:pt>
                <c:pt idx="59">
                  <c:v>7.4999999999999997E-3</c:v>
                </c:pt>
              </c:numCache>
            </c:numRef>
          </c:xVal>
          <c:yVal>
            <c:numRef>
              <c:f>Beta!$F$6:$F$65</c:f>
              <c:numCache>
                <c:formatCode>0.0000</c:formatCode>
                <c:ptCount val="60"/>
                <c:pt idx="0">
                  <c:v>-5.087047902224423E-2</c:v>
                </c:pt>
                <c:pt idx="1">
                  <c:v>-6.2387084723228584E-2</c:v>
                </c:pt>
                <c:pt idx="2">
                  <c:v>6.7761411361561191E-2</c:v>
                </c:pt>
                <c:pt idx="3">
                  <c:v>-1.2096572377121653E-2</c:v>
                </c:pt>
                <c:pt idx="4">
                  <c:v>6.5158205159368959E-3</c:v>
                </c:pt>
                <c:pt idx="5">
                  <c:v>3.172787201172312E-2</c:v>
                </c:pt>
                <c:pt idx="6">
                  <c:v>-4.9874350432897702E-2</c:v>
                </c:pt>
                <c:pt idx="7">
                  <c:v>5.6073462857347434E-2</c:v>
                </c:pt>
                <c:pt idx="8">
                  <c:v>7.1045031103227907E-3</c:v>
                </c:pt>
                <c:pt idx="9">
                  <c:v>-5.5626982686761417E-4</c:v>
                </c:pt>
                <c:pt idx="10">
                  <c:v>-0.12761567717496872</c:v>
                </c:pt>
                <c:pt idx="11">
                  <c:v>7.1846062019746346E-3</c:v>
                </c:pt>
                <c:pt idx="12">
                  <c:v>-4.5216018572241043E-2</c:v>
                </c:pt>
                <c:pt idx="13">
                  <c:v>5.978467775774314E-3</c:v>
                </c:pt>
                <c:pt idx="14">
                  <c:v>0.11252025195577559</c:v>
                </c:pt>
                <c:pt idx="15">
                  <c:v>1.8054873517759591E-2</c:v>
                </c:pt>
                <c:pt idx="16">
                  <c:v>2.5164367896354158E-2</c:v>
                </c:pt>
                <c:pt idx="17">
                  <c:v>0.10265055139387735</c:v>
                </c:pt>
                <c:pt idx="18">
                  <c:v>-9.8129036239515285E-2</c:v>
                </c:pt>
                <c:pt idx="19">
                  <c:v>3.6289153682471265E-2</c:v>
                </c:pt>
                <c:pt idx="20">
                  <c:v>-3.7124488759018651E-2</c:v>
                </c:pt>
                <c:pt idx="21">
                  <c:v>-1.9203987164522623E-3</c:v>
                </c:pt>
                <c:pt idx="22">
                  <c:v>-7.1353654689346971E-2</c:v>
                </c:pt>
                <c:pt idx="23">
                  <c:v>8.8458912264698486E-2</c:v>
                </c:pt>
                <c:pt idx="24">
                  <c:v>-4.9102144049435276E-2</c:v>
                </c:pt>
                <c:pt idx="25">
                  <c:v>3.4111098974453358E-2</c:v>
                </c:pt>
                <c:pt idx="26">
                  <c:v>5.2124290702714481E-2</c:v>
                </c:pt>
                <c:pt idx="27">
                  <c:v>-4.3696347020507287E-2</c:v>
                </c:pt>
                <c:pt idx="28">
                  <c:v>3.8228664122224226E-2</c:v>
                </c:pt>
                <c:pt idx="29">
                  <c:v>4.9505469281810793E-2</c:v>
                </c:pt>
                <c:pt idx="30">
                  <c:v>5.1225314894531443E-2</c:v>
                </c:pt>
                <c:pt idx="31">
                  <c:v>4.2482332461726308E-2</c:v>
                </c:pt>
                <c:pt idx="32">
                  <c:v>-3.6873834974638482E-2</c:v>
                </c:pt>
                <c:pt idx="33">
                  <c:v>5.1520934750320234E-2</c:v>
                </c:pt>
                <c:pt idx="34">
                  <c:v>-8.0828694842242949E-2</c:v>
                </c:pt>
                <c:pt idx="35">
                  <c:v>-2.3846369219933661E-3</c:v>
                </c:pt>
                <c:pt idx="36">
                  <c:v>-3.5820798048016925E-3</c:v>
                </c:pt>
                <c:pt idx="37">
                  <c:v>-6.042454677934761E-2</c:v>
                </c:pt>
                <c:pt idx="38">
                  <c:v>1.0772496685859431E-2</c:v>
                </c:pt>
                <c:pt idx="39">
                  <c:v>0.12827943394726232</c:v>
                </c:pt>
                <c:pt idx="40">
                  <c:v>-4.7517725558602647E-2</c:v>
                </c:pt>
                <c:pt idx="41">
                  <c:v>8.6382673858998643E-2</c:v>
                </c:pt>
                <c:pt idx="42">
                  <c:v>-1.1308173159679127E-2</c:v>
                </c:pt>
                <c:pt idx="43">
                  <c:v>-1.8255870409266326E-2</c:v>
                </c:pt>
                <c:pt idx="44">
                  <c:v>-0.15735854356711593</c:v>
                </c:pt>
                <c:pt idx="45">
                  <c:v>-2.825882694405929E-2</c:v>
                </c:pt>
                <c:pt idx="46">
                  <c:v>-2.9464340510007292E-3</c:v>
                </c:pt>
                <c:pt idx="47">
                  <c:v>-2.5602601487365526E-2</c:v>
                </c:pt>
                <c:pt idx="48">
                  <c:v>4.3432361471890793E-2</c:v>
                </c:pt>
                <c:pt idx="49">
                  <c:v>3.2843730173132385E-2</c:v>
                </c:pt>
                <c:pt idx="50">
                  <c:v>-1.6608456536622476E-2</c:v>
                </c:pt>
                <c:pt idx="51">
                  <c:v>-4.2356495183482001E-2</c:v>
                </c:pt>
                <c:pt idx="52">
                  <c:v>-2.7035915480589208E-2</c:v>
                </c:pt>
                <c:pt idx="53">
                  <c:v>-1.0791574183396248E-2</c:v>
                </c:pt>
                <c:pt idx="54">
                  <c:v>-0.11480720698819114</c:v>
                </c:pt>
                <c:pt idx="55">
                  <c:v>5.9802287390403434E-2</c:v>
                </c:pt>
                <c:pt idx="56">
                  <c:v>5.8749984639990628E-2</c:v>
                </c:pt>
                <c:pt idx="57">
                  <c:v>-6.6199361575629209E-2</c:v>
                </c:pt>
                <c:pt idx="58">
                  <c:v>3.6256805860735583E-2</c:v>
                </c:pt>
                <c:pt idx="59">
                  <c:v>6.188136629023832E-2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4C-4A33-9CEE-63F4E93FF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2982111"/>
        <c:axId val="1"/>
      </c:scatterChart>
      <c:valAx>
        <c:axId val="7729821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GB"/>
                  <a:t>Index Returns</a:t>
                </a:r>
              </a:p>
            </c:rich>
          </c:tx>
          <c:layout>
            <c:manualLayout>
              <c:xMode val="edge"/>
              <c:yMode val="edge"/>
              <c:x val="0.46965517241379312"/>
              <c:y val="0.9400452488687782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GB"/>
                  <a:t>Residuals</a:t>
                </a:r>
              </a:p>
            </c:rich>
          </c:tx>
          <c:layout>
            <c:manualLayout>
              <c:xMode val="edge"/>
              <c:yMode val="edge"/>
              <c:x val="1.1724137931034483E-2"/>
              <c:y val="0.48190045248868779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772982111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137931034482759E-2"/>
          <c:y val="3.9592760180995473E-2"/>
          <c:w val="0.87448275862068969"/>
          <c:h val="0.84389140271493213"/>
        </c:manualLayout>
      </c:layout>
      <c:lineChart>
        <c:grouping val="standard"/>
        <c:varyColors val="0"/>
        <c:ser>
          <c:idx val="0"/>
          <c:order val="0"/>
          <c:tx>
            <c:v>Actual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Forecast!$D$26:$D$116</c:f>
              <c:numCache>
                <c:formatCode>General</c:formatCode>
                <c:ptCount val="91"/>
                <c:pt idx="0">
                  <c:v>-70</c:v>
                </c:pt>
                <c:pt idx="1">
                  <c:v>-69</c:v>
                </c:pt>
                <c:pt idx="2">
                  <c:v>-68</c:v>
                </c:pt>
                <c:pt idx="3">
                  <c:v>-67</c:v>
                </c:pt>
                <c:pt idx="4">
                  <c:v>-66</c:v>
                </c:pt>
                <c:pt idx="5">
                  <c:v>-65</c:v>
                </c:pt>
                <c:pt idx="6">
                  <c:v>-64</c:v>
                </c:pt>
                <c:pt idx="7">
                  <c:v>-63</c:v>
                </c:pt>
                <c:pt idx="8">
                  <c:v>-62</c:v>
                </c:pt>
                <c:pt idx="9">
                  <c:v>-61</c:v>
                </c:pt>
                <c:pt idx="10">
                  <c:v>-60</c:v>
                </c:pt>
                <c:pt idx="11">
                  <c:v>-59</c:v>
                </c:pt>
                <c:pt idx="12">
                  <c:v>-58</c:v>
                </c:pt>
                <c:pt idx="13">
                  <c:v>-57</c:v>
                </c:pt>
                <c:pt idx="14">
                  <c:v>-56</c:v>
                </c:pt>
                <c:pt idx="15">
                  <c:v>-55</c:v>
                </c:pt>
                <c:pt idx="16">
                  <c:v>-54</c:v>
                </c:pt>
                <c:pt idx="17">
                  <c:v>-53</c:v>
                </c:pt>
                <c:pt idx="18">
                  <c:v>-52</c:v>
                </c:pt>
                <c:pt idx="19">
                  <c:v>-51</c:v>
                </c:pt>
                <c:pt idx="20">
                  <c:v>-50</c:v>
                </c:pt>
                <c:pt idx="21">
                  <c:v>-49</c:v>
                </c:pt>
                <c:pt idx="22">
                  <c:v>-48</c:v>
                </c:pt>
                <c:pt idx="23">
                  <c:v>-47</c:v>
                </c:pt>
                <c:pt idx="24">
                  <c:v>-46</c:v>
                </c:pt>
                <c:pt idx="25">
                  <c:v>-45</c:v>
                </c:pt>
                <c:pt idx="26">
                  <c:v>-44</c:v>
                </c:pt>
                <c:pt idx="27">
                  <c:v>-43</c:v>
                </c:pt>
                <c:pt idx="28">
                  <c:v>-42</c:v>
                </c:pt>
                <c:pt idx="29">
                  <c:v>-41</c:v>
                </c:pt>
                <c:pt idx="30">
                  <c:v>-40</c:v>
                </c:pt>
                <c:pt idx="31">
                  <c:v>-39</c:v>
                </c:pt>
                <c:pt idx="32">
                  <c:v>-38</c:v>
                </c:pt>
                <c:pt idx="33">
                  <c:v>-37</c:v>
                </c:pt>
                <c:pt idx="34">
                  <c:v>-36</c:v>
                </c:pt>
                <c:pt idx="35">
                  <c:v>-35</c:v>
                </c:pt>
                <c:pt idx="36">
                  <c:v>-34</c:v>
                </c:pt>
                <c:pt idx="37">
                  <c:v>-33</c:v>
                </c:pt>
                <c:pt idx="38">
                  <c:v>-32</c:v>
                </c:pt>
                <c:pt idx="39">
                  <c:v>-31</c:v>
                </c:pt>
                <c:pt idx="40">
                  <c:v>-30</c:v>
                </c:pt>
                <c:pt idx="41">
                  <c:v>-29</c:v>
                </c:pt>
                <c:pt idx="42">
                  <c:v>-28</c:v>
                </c:pt>
                <c:pt idx="43">
                  <c:v>-27</c:v>
                </c:pt>
                <c:pt idx="44">
                  <c:v>-26</c:v>
                </c:pt>
                <c:pt idx="45">
                  <c:v>-25</c:v>
                </c:pt>
                <c:pt idx="46">
                  <c:v>-24</c:v>
                </c:pt>
                <c:pt idx="47">
                  <c:v>-23</c:v>
                </c:pt>
                <c:pt idx="48">
                  <c:v>-22</c:v>
                </c:pt>
                <c:pt idx="49">
                  <c:v>-21</c:v>
                </c:pt>
                <c:pt idx="50">
                  <c:v>-20</c:v>
                </c:pt>
                <c:pt idx="51">
                  <c:v>-19</c:v>
                </c:pt>
                <c:pt idx="52">
                  <c:v>-18</c:v>
                </c:pt>
                <c:pt idx="53">
                  <c:v>-17</c:v>
                </c:pt>
                <c:pt idx="54">
                  <c:v>-16</c:v>
                </c:pt>
                <c:pt idx="55">
                  <c:v>-15</c:v>
                </c:pt>
                <c:pt idx="56">
                  <c:v>-14</c:v>
                </c:pt>
                <c:pt idx="57">
                  <c:v>-13</c:v>
                </c:pt>
                <c:pt idx="58">
                  <c:v>-12</c:v>
                </c:pt>
                <c:pt idx="59">
                  <c:v>-11</c:v>
                </c:pt>
                <c:pt idx="60">
                  <c:v>-10</c:v>
                </c:pt>
                <c:pt idx="61">
                  <c:v>-9</c:v>
                </c:pt>
                <c:pt idx="62">
                  <c:v>-8</c:v>
                </c:pt>
                <c:pt idx="63">
                  <c:v>-7</c:v>
                </c:pt>
                <c:pt idx="64">
                  <c:v>-6</c:v>
                </c:pt>
                <c:pt idx="65">
                  <c:v>-5</c:v>
                </c:pt>
                <c:pt idx="66">
                  <c:v>-4</c:v>
                </c:pt>
                <c:pt idx="67">
                  <c:v>-3</c:v>
                </c:pt>
                <c:pt idx="68">
                  <c:v>-2</c:v>
                </c:pt>
                <c:pt idx="69">
                  <c:v>-1</c:v>
                </c:pt>
                <c:pt idx="70">
                  <c:v>0</c:v>
                </c:pt>
                <c:pt idx="71">
                  <c:v>1</c:v>
                </c:pt>
                <c:pt idx="72">
                  <c:v>2</c:v>
                </c:pt>
                <c:pt idx="73">
                  <c:v>3</c:v>
                </c:pt>
                <c:pt idx="74">
                  <c:v>4</c:v>
                </c:pt>
                <c:pt idx="75">
                  <c:v>5</c:v>
                </c:pt>
                <c:pt idx="76">
                  <c:v>6</c:v>
                </c:pt>
                <c:pt idx="77">
                  <c:v>7</c:v>
                </c:pt>
                <c:pt idx="78">
                  <c:v>8</c:v>
                </c:pt>
                <c:pt idx="79">
                  <c:v>9</c:v>
                </c:pt>
                <c:pt idx="80">
                  <c:v>10</c:v>
                </c:pt>
                <c:pt idx="81">
                  <c:v>11</c:v>
                </c:pt>
                <c:pt idx="82">
                  <c:v>12</c:v>
                </c:pt>
                <c:pt idx="83">
                  <c:v>13</c:v>
                </c:pt>
                <c:pt idx="84">
                  <c:v>14</c:v>
                </c:pt>
                <c:pt idx="85">
                  <c:v>15</c:v>
                </c:pt>
                <c:pt idx="86">
                  <c:v>16</c:v>
                </c:pt>
                <c:pt idx="87">
                  <c:v>17</c:v>
                </c:pt>
                <c:pt idx="88">
                  <c:v>18</c:v>
                </c:pt>
                <c:pt idx="89">
                  <c:v>19</c:v>
                </c:pt>
                <c:pt idx="90">
                  <c:v>20</c:v>
                </c:pt>
              </c:numCache>
            </c:numRef>
          </c:cat>
          <c:val>
            <c:numRef>
              <c:f>Forecast!$E$26:$E$116</c:f>
              <c:numCache>
                <c:formatCode>0.00</c:formatCode>
                <c:ptCount val="91"/>
                <c:pt idx="0">
                  <c:v>1</c:v>
                </c:pt>
                <c:pt idx="1">
                  <c:v>0.76639999999999997</c:v>
                </c:pt>
                <c:pt idx="2">
                  <c:v>0.47409504000000002</c:v>
                </c:pt>
                <c:pt idx="3">
                  <c:v>0.47670256272000006</c:v>
                </c:pt>
                <c:pt idx="4">
                  <c:v>0.74546746758153615</c:v>
                </c:pt>
                <c:pt idx="5">
                  <c:v>0.76626600992706106</c:v>
                </c:pt>
                <c:pt idx="6">
                  <c:v>1.0716996414839877</c:v>
                </c:pt>
                <c:pt idx="7">
                  <c:v>1.3971748226026748</c:v>
                </c:pt>
                <c:pt idx="8">
                  <c:v>0.88804431724626021</c:v>
                </c:pt>
                <c:pt idx="9">
                  <c:v>1.1709752367209187</c:v>
                </c:pt>
                <c:pt idx="10">
                  <c:v>1.204465128491137</c:v>
                </c:pt>
                <c:pt idx="11">
                  <c:v>1.1097941693917337</c:v>
                </c:pt>
                <c:pt idx="12">
                  <c:v>0.90992023948428247</c:v>
                </c:pt>
                <c:pt idx="13">
                  <c:v>0.96770017469153435</c:v>
                </c:pt>
                <c:pt idx="14">
                  <c:v>1.2060447277180593</c:v>
                </c:pt>
                <c:pt idx="15">
                  <c:v>1.4307308604919335</c:v>
                </c:pt>
                <c:pt idx="16">
                  <c:v>1.9306282231478151</c:v>
                </c:pt>
                <c:pt idx="17">
                  <c:v>1.5375523169149199</c:v>
                </c:pt>
                <c:pt idx="18">
                  <c:v>1.4629810295445462</c:v>
                </c:pt>
                <c:pt idx="19">
                  <c:v>1.4514234794111442</c:v>
                </c:pt>
                <c:pt idx="20">
                  <c:v>1.7835091715004139</c:v>
                </c:pt>
                <c:pt idx="21">
                  <c:v>2.1792698566563558</c:v>
                </c:pt>
                <c:pt idx="22">
                  <c:v>2.4824062937172546</c:v>
                </c:pt>
                <c:pt idx="23">
                  <c:v>2.7946930054668853</c:v>
                </c:pt>
                <c:pt idx="24">
                  <c:v>2.790221496658138</c:v>
                </c:pt>
                <c:pt idx="25">
                  <c:v>4.2193729472464359</c:v>
                </c:pt>
                <c:pt idx="26">
                  <c:v>5.2636677516899288</c:v>
                </c:pt>
                <c:pt idx="27">
                  <c:v>5.5321148070261152</c:v>
                </c:pt>
                <c:pt idx="28">
                  <c:v>4.8234509002460699</c:v>
                </c:pt>
                <c:pt idx="29">
                  <c:v>6.8729351877606257</c:v>
                </c:pt>
                <c:pt idx="30">
                  <c:v>7.6440785158273687</c:v>
                </c:pt>
                <c:pt idx="31">
                  <c:v>7.6035648996934837</c:v>
                </c:pt>
                <c:pt idx="32">
                  <c:v>9.6253528065219811</c:v>
                </c:pt>
                <c:pt idx="33">
                  <c:v>8.529025121859128</c:v>
                </c:pt>
                <c:pt idx="34">
                  <c:v>10.14783408998799</c:v>
                </c:pt>
                <c:pt idx="35">
                  <c:v>11.673053553713187</c:v>
                </c:pt>
                <c:pt idx="36">
                  <c:v>13.104169919398425</c:v>
                </c:pt>
                <c:pt idx="37">
                  <c:v>11.563119536877169</c:v>
                </c:pt>
                <c:pt idx="38">
                  <c:v>14.441179989605896</c:v>
                </c:pt>
                <c:pt idx="39">
                  <c:v>15.746662660666269</c:v>
                </c:pt>
                <c:pt idx="40">
                  <c:v>13.205151307234733</c:v>
                </c:pt>
                <c:pt idx="41">
                  <c:v>12.51188086360491</c:v>
                </c:pt>
                <c:pt idx="42">
                  <c:v>14.258539432164154</c:v>
                </c:pt>
                <c:pt idx="43">
                  <c:v>16.267567638156084</c:v>
                </c:pt>
                <c:pt idx="44">
                  <c:v>12.194168701561802</c:v>
                </c:pt>
                <c:pt idx="45">
                  <c:v>7.7737825472456485</c:v>
                </c:pt>
                <c:pt idx="46">
                  <c:v>10.06627102042839</c:v>
                </c:pt>
                <c:pt idx="47">
                  <c:v>12.15099574875911</c:v>
                </c:pt>
                <c:pt idx="48">
                  <c:v>11.087783620742687</c:v>
                </c:pt>
                <c:pt idx="49">
                  <c:v>11.114394301432469</c:v>
                </c:pt>
                <c:pt idx="50">
                  <c:v>12.318083204277606</c:v>
                </c:pt>
                <c:pt idx="51">
                  <c:v>14.633882846681795</c:v>
                </c:pt>
                <c:pt idx="52">
                  <c:v>12.931962271612703</c:v>
                </c:pt>
                <c:pt idx="53">
                  <c:v>14.785112465134803</c:v>
                </c:pt>
                <c:pt idx="54">
                  <c:v>17.588369788524361</c:v>
                </c:pt>
                <c:pt idx="55">
                  <c:v>17.435350971364198</c:v>
                </c:pt>
                <c:pt idx="56">
                  <c:v>22.266686725529215</c:v>
                </c:pt>
                <c:pt idx="57">
                  <c:v>25.568836366925201</c:v>
                </c:pt>
                <c:pt idx="58">
                  <c:v>25.039561454129849</c:v>
                </c:pt>
                <c:pt idx="59">
                  <c:v>28.282184662439665</c:v>
                </c:pt>
                <c:pt idx="60">
                  <c:v>34.911528747315522</c:v>
                </c:pt>
                <c:pt idx="61">
                  <c:v>30.868773718376385</c:v>
                </c:pt>
                <c:pt idx="62">
                  <c:v>40.194230258697893</c:v>
                </c:pt>
                <c:pt idx="63">
                  <c:v>42.565689843961067</c:v>
                </c:pt>
                <c:pt idx="64">
                  <c:v>46.098642101009837</c:v>
                </c:pt>
                <c:pt idx="65">
                  <c:v>44.867808356912875</c:v>
                </c:pt>
                <c:pt idx="66">
                  <c:v>59.705592580543964</c:v>
                </c:pt>
                <c:pt idx="67">
                  <c:v>70.040630656236132</c:v>
                </c:pt>
                <c:pt idx="68">
                  <c:v>90.415450114135226</c:v>
                </c:pt>
                <c:pt idx="69">
                  <c:v>109.82764725364005</c:v>
                </c:pt>
                <c:pt idx="70">
                  <c:v>132.2324872933826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7A-4466-B8C0-110B813F92D1}"/>
            </c:ext>
          </c:extLst>
        </c:ser>
        <c:ser>
          <c:idx val="1"/>
          <c:order val="1"/>
          <c:tx>
            <c:v>5%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Forecast!$D$26:$D$116</c:f>
              <c:numCache>
                <c:formatCode>General</c:formatCode>
                <c:ptCount val="91"/>
                <c:pt idx="0">
                  <c:v>-70</c:v>
                </c:pt>
                <c:pt idx="1">
                  <c:v>-69</c:v>
                </c:pt>
                <c:pt idx="2">
                  <c:v>-68</c:v>
                </c:pt>
                <c:pt idx="3">
                  <c:v>-67</c:v>
                </c:pt>
                <c:pt idx="4">
                  <c:v>-66</c:v>
                </c:pt>
                <c:pt idx="5">
                  <c:v>-65</c:v>
                </c:pt>
                <c:pt idx="6">
                  <c:v>-64</c:v>
                </c:pt>
                <c:pt idx="7">
                  <c:v>-63</c:v>
                </c:pt>
                <c:pt idx="8">
                  <c:v>-62</c:v>
                </c:pt>
                <c:pt idx="9">
                  <c:v>-61</c:v>
                </c:pt>
                <c:pt idx="10">
                  <c:v>-60</c:v>
                </c:pt>
                <c:pt idx="11">
                  <c:v>-59</c:v>
                </c:pt>
                <c:pt idx="12">
                  <c:v>-58</c:v>
                </c:pt>
                <c:pt idx="13">
                  <c:v>-57</c:v>
                </c:pt>
                <c:pt idx="14">
                  <c:v>-56</c:v>
                </c:pt>
                <c:pt idx="15">
                  <c:v>-55</c:v>
                </c:pt>
                <c:pt idx="16">
                  <c:v>-54</c:v>
                </c:pt>
                <c:pt idx="17">
                  <c:v>-53</c:v>
                </c:pt>
                <c:pt idx="18">
                  <c:v>-52</c:v>
                </c:pt>
                <c:pt idx="19">
                  <c:v>-51</c:v>
                </c:pt>
                <c:pt idx="20">
                  <c:v>-50</c:v>
                </c:pt>
                <c:pt idx="21">
                  <c:v>-49</c:v>
                </c:pt>
                <c:pt idx="22">
                  <c:v>-48</c:v>
                </c:pt>
                <c:pt idx="23">
                  <c:v>-47</c:v>
                </c:pt>
                <c:pt idx="24">
                  <c:v>-46</c:v>
                </c:pt>
                <c:pt idx="25">
                  <c:v>-45</c:v>
                </c:pt>
                <c:pt idx="26">
                  <c:v>-44</c:v>
                </c:pt>
                <c:pt idx="27">
                  <c:v>-43</c:v>
                </c:pt>
                <c:pt idx="28">
                  <c:v>-42</c:v>
                </c:pt>
                <c:pt idx="29">
                  <c:v>-41</c:v>
                </c:pt>
                <c:pt idx="30">
                  <c:v>-40</c:v>
                </c:pt>
                <c:pt idx="31">
                  <c:v>-39</c:v>
                </c:pt>
                <c:pt idx="32">
                  <c:v>-38</c:v>
                </c:pt>
                <c:pt idx="33">
                  <c:v>-37</c:v>
                </c:pt>
                <c:pt idx="34">
                  <c:v>-36</c:v>
                </c:pt>
                <c:pt idx="35">
                  <c:v>-35</c:v>
                </c:pt>
                <c:pt idx="36">
                  <c:v>-34</c:v>
                </c:pt>
                <c:pt idx="37">
                  <c:v>-33</c:v>
                </c:pt>
                <c:pt idx="38">
                  <c:v>-32</c:v>
                </c:pt>
                <c:pt idx="39">
                  <c:v>-31</c:v>
                </c:pt>
                <c:pt idx="40">
                  <c:v>-30</c:v>
                </c:pt>
                <c:pt idx="41">
                  <c:v>-29</c:v>
                </c:pt>
                <c:pt idx="42">
                  <c:v>-28</c:v>
                </c:pt>
                <c:pt idx="43">
                  <c:v>-27</c:v>
                </c:pt>
                <c:pt idx="44">
                  <c:v>-26</c:v>
                </c:pt>
                <c:pt idx="45">
                  <c:v>-25</c:v>
                </c:pt>
                <c:pt idx="46">
                  <c:v>-24</c:v>
                </c:pt>
                <c:pt idx="47">
                  <c:v>-23</c:v>
                </c:pt>
                <c:pt idx="48">
                  <c:v>-22</c:v>
                </c:pt>
                <c:pt idx="49">
                  <c:v>-21</c:v>
                </c:pt>
                <c:pt idx="50">
                  <c:v>-20</c:v>
                </c:pt>
                <c:pt idx="51">
                  <c:v>-19</c:v>
                </c:pt>
                <c:pt idx="52">
                  <c:v>-18</c:v>
                </c:pt>
                <c:pt idx="53">
                  <c:v>-17</c:v>
                </c:pt>
                <c:pt idx="54">
                  <c:v>-16</c:v>
                </c:pt>
                <c:pt idx="55">
                  <c:v>-15</c:v>
                </c:pt>
                <c:pt idx="56">
                  <c:v>-14</c:v>
                </c:pt>
                <c:pt idx="57">
                  <c:v>-13</c:v>
                </c:pt>
                <c:pt idx="58">
                  <c:v>-12</c:v>
                </c:pt>
                <c:pt idx="59">
                  <c:v>-11</c:v>
                </c:pt>
                <c:pt idx="60">
                  <c:v>-10</c:v>
                </c:pt>
                <c:pt idx="61">
                  <c:v>-9</c:v>
                </c:pt>
                <c:pt idx="62">
                  <c:v>-8</c:v>
                </c:pt>
                <c:pt idx="63">
                  <c:v>-7</c:v>
                </c:pt>
                <c:pt idx="64">
                  <c:v>-6</c:v>
                </c:pt>
                <c:pt idx="65">
                  <c:v>-5</c:v>
                </c:pt>
                <c:pt idx="66">
                  <c:v>-4</c:v>
                </c:pt>
                <c:pt idx="67">
                  <c:v>-3</c:v>
                </c:pt>
                <c:pt idx="68">
                  <c:v>-2</c:v>
                </c:pt>
                <c:pt idx="69">
                  <c:v>-1</c:v>
                </c:pt>
                <c:pt idx="70">
                  <c:v>0</c:v>
                </c:pt>
                <c:pt idx="71">
                  <c:v>1</c:v>
                </c:pt>
                <c:pt idx="72">
                  <c:v>2</c:v>
                </c:pt>
                <c:pt idx="73">
                  <c:v>3</c:v>
                </c:pt>
                <c:pt idx="74">
                  <c:v>4</c:v>
                </c:pt>
                <c:pt idx="75">
                  <c:v>5</c:v>
                </c:pt>
                <c:pt idx="76">
                  <c:v>6</c:v>
                </c:pt>
                <c:pt idx="77">
                  <c:v>7</c:v>
                </c:pt>
                <c:pt idx="78">
                  <c:v>8</c:v>
                </c:pt>
                <c:pt idx="79">
                  <c:v>9</c:v>
                </c:pt>
                <c:pt idx="80">
                  <c:v>10</c:v>
                </c:pt>
                <c:pt idx="81">
                  <c:v>11</c:v>
                </c:pt>
                <c:pt idx="82">
                  <c:v>12</c:v>
                </c:pt>
                <c:pt idx="83">
                  <c:v>13</c:v>
                </c:pt>
                <c:pt idx="84">
                  <c:v>14</c:v>
                </c:pt>
                <c:pt idx="85">
                  <c:v>15</c:v>
                </c:pt>
                <c:pt idx="86">
                  <c:v>16</c:v>
                </c:pt>
                <c:pt idx="87">
                  <c:v>17</c:v>
                </c:pt>
                <c:pt idx="88">
                  <c:v>18</c:v>
                </c:pt>
                <c:pt idx="89">
                  <c:v>19</c:v>
                </c:pt>
                <c:pt idx="90">
                  <c:v>20</c:v>
                </c:pt>
              </c:numCache>
            </c:numRef>
          </c:cat>
          <c:val>
            <c:numRef>
              <c:f>Forecast!$H$26:$H$116</c:f>
              <c:numCache>
                <c:formatCode>General</c:formatCode>
                <c:ptCount val="91"/>
                <c:pt idx="71" formatCode="0.00">
                  <c:v>105.6207014173922</c:v>
                </c:pt>
                <c:pt idx="72" formatCode="0.00">
                  <c:v>100.34968354430303</c:v>
                </c:pt>
                <c:pt idx="73" formatCode="0.00">
                  <c:v>98.102686613959904</c:v>
                </c:pt>
                <c:pt idx="74" formatCode="0.00">
                  <c:v>97.333745888767467</c:v>
                </c:pt>
                <c:pt idx="75" formatCode="0.00">
                  <c:v>97.4871112246975</c:v>
                </c:pt>
                <c:pt idx="76" formatCode="0.00">
                  <c:v>98.297889590936236</c:v>
                </c:pt>
                <c:pt idx="77" formatCode="0.00">
                  <c:v>99.620493549461187</c:v>
                </c:pt>
                <c:pt idx="78" formatCode="0.00">
                  <c:v>101.36799758734281</c:v>
                </c:pt>
                <c:pt idx="79" formatCode="0.00">
                  <c:v>103.48593736905244</c:v>
                </c:pt>
                <c:pt idx="80" formatCode="0.00">
                  <c:v>105.93941067518774</c:v>
                </c:pt>
                <c:pt idx="81" formatCode="0.00">
                  <c:v>108.7061107214209</c:v>
                </c:pt>
                <c:pt idx="82" formatCode="0.00">
                  <c:v>111.77229418381374</c:v>
                </c:pt>
                <c:pt idx="83" formatCode="0.00">
                  <c:v>115.13032009391786</c:v>
                </c:pt>
                <c:pt idx="84" formatCode="0.00">
                  <c:v>118.77708368922549</c:v>
                </c:pt>
                <c:pt idx="85" formatCode="0.00">
                  <c:v>122.71298674371458</c:v>
                </c:pt>
                <c:pt idx="86" formatCode="0.00">
                  <c:v>126.94124347716905</c:v>
                </c:pt>
                <c:pt idx="87" formatCode="0.00">
                  <c:v>131.46740417445585</c:v>
                </c:pt>
                <c:pt idx="88" formatCode="0.00">
                  <c:v>136.29902463784438</c:v>
                </c:pt>
                <c:pt idx="89" formatCode="0.00">
                  <c:v>141.44543617352579</c:v>
                </c:pt>
                <c:pt idx="90" formatCode="0.00">
                  <c:v>146.91758674386969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7A-4466-B8C0-110B813F92D1}"/>
            </c:ext>
          </c:extLst>
        </c:ser>
        <c:ser>
          <c:idx val="2"/>
          <c:order val="2"/>
          <c:tx>
            <c:v>50%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Forecast!$D$26:$D$116</c:f>
              <c:numCache>
                <c:formatCode>General</c:formatCode>
                <c:ptCount val="91"/>
                <c:pt idx="0">
                  <c:v>-70</c:v>
                </c:pt>
                <c:pt idx="1">
                  <c:v>-69</c:v>
                </c:pt>
                <c:pt idx="2">
                  <c:v>-68</c:v>
                </c:pt>
                <c:pt idx="3">
                  <c:v>-67</c:v>
                </c:pt>
                <c:pt idx="4">
                  <c:v>-66</c:v>
                </c:pt>
                <c:pt idx="5">
                  <c:v>-65</c:v>
                </c:pt>
                <c:pt idx="6">
                  <c:v>-64</c:v>
                </c:pt>
                <c:pt idx="7">
                  <c:v>-63</c:v>
                </c:pt>
                <c:pt idx="8">
                  <c:v>-62</c:v>
                </c:pt>
                <c:pt idx="9">
                  <c:v>-61</c:v>
                </c:pt>
                <c:pt idx="10">
                  <c:v>-60</c:v>
                </c:pt>
                <c:pt idx="11">
                  <c:v>-59</c:v>
                </c:pt>
                <c:pt idx="12">
                  <c:v>-58</c:v>
                </c:pt>
                <c:pt idx="13">
                  <c:v>-57</c:v>
                </c:pt>
                <c:pt idx="14">
                  <c:v>-56</c:v>
                </c:pt>
                <c:pt idx="15">
                  <c:v>-55</c:v>
                </c:pt>
                <c:pt idx="16">
                  <c:v>-54</c:v>
                </c:pt>
                <c:pt idx="17">
                  <c:v>-53</c:v>
                </c:pt>
                <c:pt idx="18">
                  <c:v>-52</c:v>
                </c:pt>
                <c:pt idx="19">
                  <c:v>-51</c:v>
                </c:pt>
                <c:pt idx="20">
                  <c:v>-50</c:v>
                </c:pt>
                <c:pt idx="21">
                  <c:v>-49</c:v>
                </c:pt>
                <c:pt idx="22">
                  <c:v>-48</c:v>
                </c:pt>
                <c:pt idx="23">
                  <c:v>-47</c:v>
                </c:pt>
                <c:pt idx="24">
                  <c:v>-46</c:v>
                </c:pt>
                <c:pt idx="25">
                  <c:v>-45</c:v>
                </c:pt>
                <c:pt idx="26">
                  <c:v>-44</c:v>
                </c:pt>
                <c:pt idx="27">
                  <c:v>-43</c:v>
                </c:pt>
                <c:pt idx="28">
                  <c:v>-42</c:v>
                </c:pt>
                <c:pt idx="29">
                  <c:v>-41</c:v>
                </c:pt>
                <c:pt idx="30">
                  <c:v>-40</c:v>
                </c:pt>
                <c:pt idx="31">
                  <c:v>-39</c:v>
                </c:pt>
                <c:pt idx="32">
                  <c:v>-38</c:v>
                </c:pt>
                <c:pt idx="33">
                  <c:v>-37</c:v>
                </c:pt>
                <c:pt idx="34">
                  <c:v>-36</c:v>
                </c:pt>
                <c:pt idx="35">
                  <c:v>-35</c:v>
                </c:pt>
                <c:pt idx="36">
                  <c:v>-34</c:v>
                </c:pt>
                <c:pt idx="37">
                  <c:v>-33</c:v>
                </c:pt>
                <c:pt idx="38">
                  <c:v>-32</c:v>
                </c:pt>
                <c:pt idx="39">
                  <c:v>-31</c:v>
                </c:pt>
                <c:pt idx="40">
                  <c:v>-30</c:v>
                </c:pt>
                <c:pt idx="41">
                  <c:v>-29</c:v>
                </c:pt>
                <c:pt idx="42">
                  <c:v>-28</c:v>
                </c:pt>
                <c:pt idx="43">
                  <c:v>-27</c:v>
                </c:pt>
                <c:pt idx="44">
                  <c:v>-26</c:v>
                </c:pt>
                <c:pt idx="45">
                  <c:v>-25</c:v>
                </c:pt>
                <c:pt idx="46">
                  <c:v>-24</c:v>
                </c:pt>
                <c:pt idx="47">
                  <c:v>-23</c:v>
                </c:pt>
                <c:pt idx="48">
                  <c:v>-22</c:v>
                </c:pt>
                <c:pt idx="49">
                  <c:v>-21</c:v>
                </c:pt>
                <c:pt idx="50">
                  <c:v>-20</c:v>
                </c:pt>
                <c:pt idx="51">
                  <c:v>-19</c:v>
                </c:pt>
                <c:pt idx="52">
                  <c:v>-18</c:v>
                </c:pt>
                <c:pt idx="53">
                  <c:v>-17</c:v>
                </c:pt>
                <c:pt idx="54">
                  <c:v>-16</c:v>
                </c:pt>
                <c:pt idx="55">
                  <c:v>-15</c:v>
                </c:pt>
                <c:pt idx="56">
                  <c:v>-14</c:v>
                </c:pt>
                <c:pt idx="57">
                  <c:v>-13</c:v>
                </c:pt>
                <c:pt idx="58">
                  <c:v>-12</c:v>
                </c:pt>
                <c:pt idx="59">
                  <c:v>-11</c:v>
                </c:pt>
                <c:pt idx="60">
                  <c:v>-10</c:v>
                </c:pt>
                <c:pt idx="61">
                  <c:v>-9</c:v>
                </c:pt>
                <c:pt idx="62">
                  <c:v>-8</c:v>
                </c:pt>
                <c:pt idx="63">
                  <c:v>-7</c:v>
                </c:pt>
                <c:pt idx="64">
                  <c:v>-6</c:v>
                </c:pt>
                <c:pt idx="65">
                  <c:v>-5</c:v>
                </c:pt>
                <c:pt idx="66">
                  <c:v>-4</c:v>
                </c:pt>
                <c:pt idx="67">
                  <c:v>-3</c:v>
                </c:pt>
                <c:pt idx="68">
                  <c:v>-2</c:v>
                </c:pt>
                <c:pt idx="69">
                  <c:v>-1</c:v>
                </c:pt>
                <c:pt idx="70">
                  <c:v>0</c:v>
                </c:pt>
                <c:pt idx="71">
                  <c:v>1</c:v>
                </c:pt>
                <c:pt idx="72">
                  <c:v>2</c:v>
                </c:pt>
                <c:pt idx="73">
                  <c:v>3</c:v>
                </c:pt>
                <c:pt idx="74">
                  <c:v>4</c:v>
                </c:pt>
                <c:pt idx="75">
                  <c:v>5</c:v>
                </c:pt>
                <c:pt idx="76">
                  <c:v>6</c:v>
                </c:pt>
                <c:pt idx="77">
                  <c:v>7</c:v>
                </c:pt>
                <c:pt idx="78">
                  <c:v>8</c:v>
                </c:pt>
                <c:pt idx="79">
                  <c:v>9</c:v>
                </c:pt>
                <c:pt idx="80">
                  <c:v>10</c:v>
                </c:pt>
                <c:pt idx="81">
                  <c:v>11</c:v>
                </c:pt>
                <c:pt idx="82">
                  <c:v>12</c:v>
                </c:pt>
                <c:pt idx="83">
                  <c:v>13</c:v>
                </c:pt>
                <c:pt idx="84">
                  <c:v>14</c:v>
                </c:pt>
                <c:pt idx="85">
                  <c:v>15</c:v>
                </c:pt>
                <c:pt idx="86">
                  <c:v>16</c:v>
                </c:pt>
                <c:pt idx="87">
                  <c:v>17</c:v>
                </c:pt>
                <c:pt idx="88">
                  <c:v>18</c:v>
                </c:pt>
                <c:pt idx="89">
                  <c:v>19</c:v>
                </c:pt>
                <c:pt idx="90">
                  <c:v>20</c:v>
                </c:pt>
              </c:numCache>
            </c:numRef>
          </c:cat>
          <c:val>
            <c:numRef>
              <c:f>Forecast!$I$26:$I$116</c:f>
              <c:numCache>
                <c:formatCode>General</c:formatCode>
                <c:ptCount val="91"/>
                <c:pt idx="71" formatCode="0.00">
                  <c:v>142.03321646297817</c:v>
                </c:pt>
                <c:pt idx="72" formatCode="0.00">
                  <c:v>152.56035027202248</c:v>
                </c:pt>
                <c:pt idx="73" formatCode="0.00">
                  <c:v>163.86772794932006</c:v>
                </c:pt>
                <c:pt idx="74" formatCode="0.00">
                  <c:v>176.01317914774597</c:v>
                </c:pt>
                <c:pt idx="75" formatCode="0.00">
                  <c:v>189.05881970413361</c:v>
                </c:pt>
                <c:pt idx="76" formatCode="0.00">
                  <c:v>203.07136932011846</c:v>
                </c:pt>
                <c:pt idx="77" formatCode="0.00">
                  <c:v>218.12249278866264</c:v>
                </c:pt>
                <c:pt idx="78" formatCode="0.00">
                  <c:v>234.28916651140466</c:v>
                </c:pt>
                <c:pt idx="79" formatCode="0.00">
                  <c:v>251.6540721813252</c:v>
                </c:pt>
                <c:pt idx="80" formatCode="0.00">
                  <c:v>270.30601964415149</c:v>
                </c:pt>
                <c:pt idx="81" formatCode="0.00">
                  <c:v>290.34040110115291</c:v>
                </c:pt>
                <c:pt idx="82" formatCode="0.00">
                  <c:v>311.85967897626966</c:v>
                </c:pt>
                <c:pt idx="83" formatCode="0.00">
                  <c:v>334.9739099426896</c:v>
                </c:pt>
                <c:pt idx="84" formatCode="0.00">
                  <c:v>359.80130778891527</c:v>
                </c:pt>
                <c:pt idx="85" formatCode="0.00">
                  <c:v>386.46884800300552</c:v>
                </c:pt>
                <c:pt idx="86" formatCode="0.00">
                  <c:v>415.11291716703317</c:v>
                </c:pt>
                <c:pt idx="87" formatCode="0.00">
                  <c:v>445.88001048297696</c:v>
                </c:pt>
                <c:pt idx="88" formatCode="0.00">
                  <c:v>478.92748099742431</c:v>
                </c:pt>
                <c:pt idx="89" formatCode="0.00">
                  <c:v>514.42434435686641</c:v>
                </c:pt>
                <c:pt idx="90" formatCode="0.00">
                  <c:v>552.55214320937068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7A-4466-B8C0-110B813F92D1}"/>
            </c:ext>
          </c:extLst>
        </c:ser>
        <c:ser>
          <c:idx val="3"/>
          <c:order val="3"/>
          <c:tx>
            <c:v>95%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Forecast!$D$26:$D$116</c:f>
              <c:numCache>
                <c:formatCode>General</c:formatCode>
                <c:ptCount val="91"/>
                <c:pt idx="0">
                  <c:v>-70</c:v>
                </c:pt>
                <c:pt idx="1">
                  <c:v>-69</c:v>
                </c:pt>
                <c:pt idx="2">
                  <c:v>-68</c:v>
                </c:pt>
                <c:pt idx="3">
                  <c:v>-67</c:v>
                </c:pt>
                <c:pt idx="4">
                  <c:v>-66</c:v>
                </c:pt>
                <c:pt idx="5">
                  <c:v>-65</c:v>
                </c:pt>
                <c:pt idx="6">
                  <c:v>-64</c:v>
                </c:pt>
                <c:pt idx="7">
                  <c:v>-63</c:v>
                </c:pt>
                <c:pt idx="8">
                  <c:v>-62</c:v>
                </c:pt>
                <c:pt idx="9">
                  <c:v>-61</c:v>
                </c:pt>
                <c:pt idx="10">
                  <c:v>-60</c:v>
                </c:pt>
                <c:pt idx="11">
                  <c:v>-59</c:v>
                </c:pt>
                <c:pt idx="12">
                  <c:v>-58</c:v>
                </c:pt>
                <c:pt idx="13">
                  <c:v>-57</c:v>
                </c:pt>
                <c:pt idx="14">
                  <c:v>-56</c:v>
                </c:pt>
                <c:pt idx="15">
                  <c:v>-55</c:v>
                </c:pt>
                <c:pt idx="16">
                  <c:v>-54</c:v>
                </c:pt>
                <c:pt idx="17">
                  <c:v>-53</c:v>
                </c:pt>
                <c:pt idx="18">
                  <c:v>-52</c:v>
                </c:pt>
                <c:pt idx="19">
                  <c:v>-51</c:v>
                </c:pt>
                <c:pt idx="20">
                  <c:v>-50</c:v>
                </c:pt>
                <c:pt idx="21">
                  <c:v>-49</c:v>
                </c:pt>
                <c:pt idx="22">
                  <c:v>-48</c:v>
                </c:pt>
                <c:pt idx="23">
                  <c:v>-47</c:v>
                </c:pt>
                <c:pt idx="24">
                  <c:v>-46</c:v>
                </c:pt>
                <c:pt idx="25">
                  <c:v>-45</c:v>
                </c:pt>
                <c:pt idx="26">
                  <c:v>-44</c:v>
                </c:pt>
                <c:pt idx="27">
                  <c:v>-43</c:v>
                </c:pt>
                <c:pt idx="28">
                  <c:v>-42</c:v>
                </c:pt>
                <c:pt idx="29">
                  <c:v>-41</c:v>
                </c:pt>
                <c:pt idx="30">
                  <c:v>-40</c:v>
                </c:pt>
                <c:pt idx="31">
                  <c:v>-39</c:v>
                </c:pt>
                <c:pt idx="32">
                  <c:v>-38</c:v>
                </c:pt>
                <c:pt idx="33">
                  <c:v>-37</c:v>
                </c:pt>
                <c:pt idx="34">
                  <c:v>-36</c:v>
                </c:pt>
                <c:pt idx="35">
                  <c:v>-35</c:v>
                </c:pt>
                <c:pt idx="36">
                  <c:v>-34</c:v>
                </c:pt>
                <c:pt idx="37">
                  <c:v>-33</c:v>
                </c:pt>
                <c:pt idx="38">
                  <c:v>-32</c:v>
                </c:pt>
                <c:pt idx="39">
                  <c:v>-31</c:v>
                </c:pt>
                <c:pt idx="40">
                  <c:v>-30</c:v>
                </c:pt>
                <c:pt idx="41">
                  <c:v>-29</c:v>
                </c:pt>
                <c:pt idx="42">
                  <c:v>-28</c:v>
                </c:pt>
                <c:pt idx="43">
                  <c:v>-27</c:v>
                </c:pt>
                <c:pt idx="44">
                  <c:v>-26</c:v>
                </c:pt>
                <c:pt idx="45">
                  <c:v>-25</c:v>
                </c:pt>
                <c:pt idx="46">
                  <c:v>-24</c:v>
                </c:pt>
                <c:pt idx="47">
                  <c:v>-23</c:v>
                </c:pt>
                <c:pt idx="48">
                  <c:v>-22</c:v>
                </c:pt>
                <c:pt idx="49">
                  <c:v>-21</c:v>
                </c:pt>
                <c:pt idx="50">
                  <c:v>-20</c:v>
                </c:pt>
                <c:pt idx="51">
                  <c:v>-19</c:v>
                </c:pt>
                <c:pt idx="52">
                  <c:v>-18</c:v>
                </c:pt>
                <c:pt idx="53">
                  <c:v>-17</c:v>
                </c:pt>
                <c:pt idx="54">
                  <c:v>-16</c:v>
                </c:pt>
                <c:pt idx="55">
                  <c:v>-15</c:v>
                </c:pt>
                <c:pt idx="56">
                  <c:v>-14</c:v>
                </c:pt>
                <c:pt idx="57">
                  <c:v>-13</c:v>
                </c:pt>
                <c:pt idx="58">
                  <c:v>-12</c:v>
                </c:pt>
                <c:pt idx="59">
                  <c:v>-11</c:v>
                </c:pt>
                <c:pt idx="60">
                  <c:v>-10</c:v>
                </c:pt>
                <c:pt idx="61">
                  <c:v>-9</c:v>
                </c:pt>
                <c:pt idx="62">
                  <c:v>-8</c:v>
                </c:pt>
                <c:pt idx="63">
                  <c:v>-7</c:v>
                </c:pt>
                <c:pt idx="64">
                  <c:v>-6</c:v>
                </c:pt>
                <c:pt idx="65">
                  <c:v>-5</c:v>
                </c:pt>
                <c:pt idx="66">
                  <c:v>-4</c:v>
                </c:pt>
                <c:pt idx="67">
                  <c:v>-3</c:v>
                </c:pt>
                <c:pt idx="68">
                  <c:v>-2</c:v>
                </c:pt>
                <c:pt idx="69">
                  <c:v>-1</c:v>
                </c:pt>
                <c:pt idx="70">
                  <c:v>0</c:v>
                </c:pt>
                <c:pt idx="71">
                  <c:v>1</c:v>
                </c:pt>
                <c:pt idx="72">
                  <c:v>2</c:v>
                </c:pt>
                <c:pt idx="73">
                  <c:v>3</c:v>
                </c:pt>
                <c:pt idx="74">
                  <c:v>4</c:v>
                </c:pt>
                <c:pt idx="75">
                  <c:v>5</c:v>
                </c:pt>
                <c:pt idx="76">
                  <c:v>6</c:v>
                </c:pt>
                <c:pt idx="77">
                  <c:v>7</c:v>
                </c:pt>
                <c:pt idx="78">
                  <c:v>8</c:v>
                </c:pt>
                <c:pt idx="79">
                  <c:v>9</c:v>
                </c:pt>
                <c:pt idx="80">
                  <c:v>10</c:v>
                </c:pt>
                <c:pt idx="81">
                  <c:v>11</c:v>
                </c:pt>
                <c:pt idx="82">
                  <c:v>12</c:v>
                </c:pt>
                <c:pt idx="83">
                  <c:v>13</c:v>
                </c:pt>
                <c:pt idx="84">
                  <c:v>14</c:v>
                </c:pt>
                <c:pt idx="85">
                  <c:v>15</c:v>
                </c:pt>
                <c:pt idx="86">
                  <c:v>16</c:v>
                </c:pt>
                <c:pt idx="87">
                  <c:v>17</c:v>
                </c:pt>
                <c:pt idx="88">
                  <c:v>18</c:v>
                </c:pt>
                <c:pt idx="89">
                  <c:v>19</c:v>
                </c:pt>
                <c:pt idx="90">
                  <c:v>20</c:v>
                </c:pt>
              </c:numCache>
            </c:numRef>
          </c:cat>
          <c:val>
            <c:numRef>
              <c:f>Forecast!$J$26:$J$116</c:f>
              <c:numCache>
                <c:formatCode>General</c:formatCode>
                <c:ptCount val="91"/>
                <c:pt idx="71" formatCode="0.00">
                  <c:v>190.99886961645686</c:v>
                </c:pt>
                <c:pt idx="72" formatCode="0.00">
                  <c:v>231.93556424965453</c:v>
                </c:pt>
                <c:pt idx="73" formatCode="0.00">
                  <c:v>273.71964204139618</c:v>
                </c:pt>
                <c:pt idx="74" formatCode="0.00">
                  <c:v>318.29288959145822</c:v>
                </c:pt>
                <c:pt idx="75" formatCode="0.00">
                  <c:v>366.64577356832035</c:v>
                </c:pt>
                <c:pt idx="76" formatCode="0.00">
                  <c:v>419.520512690136</c:v>
                </c:pt>
                <c:pt idx="77" formatCode="0.00">
                  <c:v>477.5866909022908</c:v>
                </c:pt>
                <c:pt idx="78" formatCode="0.00">
                  <c:v>541.50634175556252</c:v>
                </c:pt>
                <c:pt idx="79" formatCode="0.00">
                  <c:v>611.96500370476883</c:v>
                </c:pt>
                <c:pt idx="80" formatCode="0.00">
                  <c:v>689.6899254979262</c:v>
                </c:pt>
                <c:pt idx="81" formatCode="0.00">
                  <c:v>775.46283232969381</c:v>
                </c:pt>
                <c:pt idx="82" formatCode="0.00">
                  <c:v>870.13029553853539</c:v>
                </c:pt>
                <c:pt idx="83" formatCode="0.00">
                  <c:v>974.61311886182136</c:v>
                </c:pt>
                <c:pt idx="84" formatCode="0.00">
                  <c:v>1089.9154707765992</c:v>
                </c:pt>
                <c:pt idx="85" formatCode="0.00">
                  <c:v>1217.1341798460496</c:v>
                </c:pt>
                <c:pt idx="86" formatCode="0.00">
                  <c:v>1357.4684576799218</c:v>
                </c:pt>
                <c:pt idx="87" formatCode="0.00">
                  <c:v>1512.2302368158282</c:v>
                </c:pt>
                <c:pt idx="88" formatCode="0.00">
                  <c:v>1682.8552710776444</c:v>
                </c:pt>
                <c:pt idx="89" formatCode="0.00">
                  <c:v>1870.9151261857605</c:v>
                </c:pt>
                <c:pt idx="90" formatCode="0.00">
                  <c:v>2078.1301798643144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37A-4466-B8C0-110B813F9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5540831"/>
        <c:axId val="1"/>
      </c:lineChart>
      <c:catAx>
        <c:axId val="1005540831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0"/>
        <c:tickMarkSkip val="10"/>
        <c:noMultiLvlLbl val="0"/>
      </c:catAx>
      <c:valAx>
        <c:axId val="1"/>
        <c:scaling>
          <c:logBase val="10"/>
          <c:orientation val="minMax"/>
        </c:scaling>
        <c:delete val="0"/>
        <c:axPos val="l"/>
        <c:numFmt formatCode="#,#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05540831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4620689655172414"/>
          <c:y val="9.7285067873303169E-2"/>
          <c:w val="0.39034482758620692"/>
          <c:h val="0.2205882352941176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8" workbookViewId="0"/>
  </sheetViews>
  <pageMargins left="0.75" right="0.75" top="1" bottom="1" header="0.5" footer="0.5"/>
  <headerFooter alignWithMargins="0">
    <oddHeader>&amp;A</oddHeader>
    <oddFooter>Page &amp;P</oddFooter>
  </headerFooter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98" workbookViewId="0"/>
  </sheetViews>
  <pageMargins left="0.75" right="0.75" top="1" bottom="1" header="0.5" footer="0.5"/>
  <pageSetup paperSize="9" orientation="landscape" horizontalDpi="300" verticalDpi="300" r:id="rId1"/>
  <headerFooter alignWithMargins="0">
    <oddHeader>&amp;A</oddHeader>
    <oddFooter>Page &amp;P</oddFooter>
  </headerFooter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98" workbookViewId="0"/>
  </sheetViews>
  <pageMargins left="0.75" right="0.75" top="1" bottom="1" header="0.5" footer="0.5"/>
  <pageSetup paperSize="9" orientation="landscape" horizontalDpi="300" verticalDpi="300" r:id="rId1"/>
  <headerFooter alignWithMargins="0">
    <oddHeader>&amp;A</oddHeader>
    <oddFooter>Page &amp;P</oddFooter>
  </headerFooter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98" workbookViewId="0"/>
  </sheetViews>
  <pageMargins left="0.75" right="0.75" top="1" bottom="1" header="0.5" footer="0.5"/>
  <headerFooter alignWithMargins="0">
    <oddHeader>&amp;A</oddHeader>
    <oddFooter>Page &amp;P</oddFooter>
  </headerFooter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84D460-66EF-4989-B7CC-4B54C896771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A16974-AE63-4246-AAF4-596B8323CEE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325DDD-1357-4271-A0EF-0A914EFA1B1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DD615E-C6DD-4ADD-9626-F181849D82E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66"/>
  <sheetViews>
    <sheetView tabSelected="1" workbookViewId="0"/>
  </sheetViews>
  <sheetFormatPr defaultRowHeight="13" x14ac:dyDescent="0.3"/>
  <cols>
    <col min="6" max="6" width="10.19921875" customWidth="1"/>
    <col min="8" max="8" width="12.19921875" customWidth="1"/>
    <col min="11" max="11" width="17.69921875" customWidth="1"/>
    <col min="12" max="13" width="15.5" customWidth="1"/>
    <col min="14" max="14" width="14" customWidth="1"/>
    <col min="15" max="15" width="12.19921875" customWidth="1"/>
    <col min="16" max="16" width="14.69921875" customWidth="1"/>
    <col min="17" max="17" width="12.19921875" customWidth="1"/>
    <col min="18" max="19" width="13.5" customWidth="1"/>
  </cols>
  <sheetData>
    <row r="1" spans="1:23" x14ac:dyDescent="0.3">
      <c r="A1" s="6" t="s">
        <v>0</v>
      </c>
      <c r="V1" s="4" t="s">
        <v>1</v>
      </c>
      <c r="W1" s="4"/>
    </row>
    <row r="2" spans="1:23" x14ac:dyDescent="0.3">
      <c r="A2" s="9" t="s">
        <v>2</v>
      </c>
    </row>
    <row r="3" spans="1:23" x14ac:dyDescent="0.3">
      <c r="A3" s="6"/>
      <c r="V3" s="1" t="s">
        <v>3</v>
      </c>
      <c r="W3" s="1" t="s">
        <v>4</v>
      </c>
    </row>
    <row r="4" spans="1:23" x14ac:dyDescent="0.3">
      <c r="A4" s="6" t="s">
        <v>5</v>
      </c>
      <c r="B4" s="8" t="s">
        <v>6</v>
      </c>
      <c r="C4" s="8" t="s">
        <v>7</v>
      </c>
      <c r="D4" s="8"/>
      <c r="E4" s="8" t="s">
        <v>8</v>
      </c>
      <c r="F4" s="16" t="s">
        <v>9</v>
      </c>
      <c r="H4" s="6" t="s">
        <v>10</v>
      </c>
      <c r="K4" s="6" t="s">
        <v>11</v>
      </c>
      <c r="N4" s="6" t="s">
        <v>12</v>
      </c>
      <c r="U4" s="6" t="s">
        <v>5</v>
      </c>
    </row>
    <row r="6" spans="1:23" x14ac:dyDescent="0.3">
      <c r="A6" s="2">
        <v>1</v>
      </c>
      <c r="B6" s="5">
        <v>-0.1326</v>
      </c>
      <c r="C6" s="5">
        <v>-5.3400000000000003E-2</v>
      </c>
      <c r="D6" s="5"/>
      <c r="E6" s="5">
        <f>$I$6+$I$7*C6</f>
        <v>-8.1729520977755765E-2</v>
      </c>
      <c r="F6" s="5">
        <f t="shared" ref="F6:F37" si="0">B6-E6</f>
        <v>-5.087047902224423E-2</v>
      </c>
      <c r="H6" t="s">
        <v>13</v>
      </c>
      <c r="I6" s="5">
        <f>INTERCEPT(B6:B65,C6:C65)</f>
        <v>-1.2804001187503144E-3</v>
      </c>
      <c r="K6" t="s">
        <v>14</v>
      </c>
      <c r="N6" t="s">
        <v>15</v>
      </c>
      <c r="O6" s="5">
        <f t="array" ref="O6:P10">LINEST(B6:B65,C6:C65,TRUE,TRUE)</f>
        <v>1.5065378438016002</v>
      </c>
      <c r="P6" s="5">
        <v>-1.2804001187503153E-3</v>
      </c>
      <c r="Q6" s="1" t="s">
        <v>16</v>
      </c>
      <c r="U6" s="2">
        <v>1</v>
      </c>
      <c r="V6" s="5">
        <f t="array" ref="V6:W65">ZNplotmat(B6:B65)</f>
        <v>-1.7437655806867818</v>
      </c>
      <c r="W6" s="5">
        <v>-1.7106958694057539</v>
      </c>
    </row>
    <row r="7" spans="1:23" ht="13.5" thickBot="1" x14ac:dyDescent="0.35">
      <c r="A7" s="2">
        <v>2</v>
      </c>
      <c r="B7" s="5">
        <v>6.7100000000000007E-2</v>
      </c>
      <c r="C7" s="5">
        <v>8.6800000000000002E-2</v>
      </c>
      <c r="D7" s="5"/>
      <c r="E7" s="5">
        <f t="shared" ref="E7:E22" si="1">$I$6+$I$7*C7</f>
        <v>0.12948708472322859</v>
      </c>
      <c r="F7" s="5">
        <f t="shared" si="0"/>
        <v>-6.2387084723228584E-2</v>
      </c>
      <c r="H7" t="s">
        <v>17</v>
      </c>
      <c r="I7" s="5">
        <f>SLOPE(B6:B65,C6:C65)</f>
        <v>1.5065378438016002</v>
      </c>
      <c r="N7" t="s">
        <v>18</v>
      </c>
      <c r="O7" s="5">
        <v>0.20774932883986799</v>
      </c>
      <c r="P7" s="5">
        <v>7.8167411600023329E-3</v>
      </c>
      <c r="Q7" s="1" t="s">
        <v>19</v>
      </c>
      <c r="U7" s="2">
        <v>2</v>
      </c>
      <c r="V7" s="5">
        <v>0.70901888444622674</v>
      </c>
      <c r="W7" s="5">
        <v>0.59496414905879647</v>
      </c>
    </row>
    <row r="8" spans="1:23" x14ac:dyDescent="0.3">
      <c r="A8" s="2">
        <v>3</v>
      </c>
      <c r="B8" s="5">
        <v>9.3899999999999997E-2</v>
      </c>
      <c r="C8" s="5">
        <v>1.8200000000000001E-2</v>
      </c>
      <c r="D8" s="5"/>
      <c r="E8" s="5">
        <f t="shared" si="1"/>
        <v>2.6138588638438813E-2</v>
      </c>
      <c r="F8" s="5">
        <f t="shared" si="0"/>
        <v>6.7761411361561191E-2</v>
      </c>
      <c r="H8" t="s">
        <v>20</v>
      </c>
      <c r="I8" s="5">
        <f>RSQ(B6:B65,C6:C65)</f>
        <v>0.47552745556340542</v>
      </c>
      <c r="K8" s="13" t="s">
        <v>21</v>
      </c>
      <c r="L8" s="13"/>
      <c r="N8" t="s">
        <v>20</v>
      </c>
      <c r="O8" s="5">
        <v>0.47552745556340509</v>
      </c>
      <c r="P8" s="5">
        <v>5.9469195878915727E-2</v>
      </c>
      <c r="Q8" s="1" t="s">
        <v>22</v>
      </c>
      <c r="U8" s="2">
        <v>3</v>
      </c>
      <c r="V8" s="5">
        <v>1.0381857530769958</v>
      </c>
      <c r="W8" s="5">
        <v>1.0662574823072646</v>
      </c>
    </row>
    <row r="9" spans="1:23" x14ac:dyDescent="0.3">
      <c r="A9" s="2">
        <v>4</v>
      </c>
      <c r="B9" s="5">
        <v>-0.13389999999999999</v>
      </c>
      <c r="C9" s="5">
        <v>-0.08</v>
      </c>
      <c r="D9" s="5"/>
      <c r="E9" s="5">
        <f t="shared" si="1"/>
        <v>-0.12180342762287834</v>
      </c>
      <c r="F9" s="5">
        <f t="shared" si="0"/>
        <v>-1.2096572377121653E-2</v>
      </c>
      <c r="H9" t="s">
        <v>22</v>
      </c>
      <c r="I9" s="5">
        <f>STEYX(B6:B65,C6:C65)</f>
        <v>5.9469195878915686E-2</v>
      </c>
      <c r="K9" s="10" t="s">
        <v>23</v>
      </c>
      <c r="L9" s="14">
        <v>0.68958076659335388</v>
      </c>
      <c r="N9" t="s">
        <v>24</v>
      </c>
      <c r="O9" s="5">
        <v>52.587295017140399</v>
      </c>
      <c r="P9" s="5">
        <v>58</v>
      </c>
      <c r="Q9" s="1" t="s">
        <v>25</v>
      </c>
      <c r="U9" s="2">
        <v>4</v>
      </c>
      <c r="V9" s="5">
        <v>-1.7597326302845429</v>
      </c>
      <c r="W9" s="5">
        <v>-1.9273011275799945</v>
      </c>
    </row>
    <row r="10" spans="1:23" x14ac:dyDescent="0.3">
      <c r="A10" s="2">
        <v>5</v>
      </c>
      <c r="B10" s="5">
        <v>-9.5100000000000004E-2</v>
      </c>
      <c r="C10" s="5">
        <v>-6.6600000000000006E-2</v>
      </c>
      <c r="D10" s="5"/>
      <c r="E10" s="5">
        <f t="shared" si="1"/>
        <v>-0.1016158205159369</v>
      </c>
      <c r="F10" s="5">
        <f t="shared" si="0"/>
        <v>6.5158205159368959E-3</v>
      </c>
      <c r="K10" s="10" t="s">
        <v>26</v>
      </c>
      <c r="L10" s="14">
        <v>0.47552163365547767</v>
      </c>
      <c r="N10" t="s">
        <v>27</v>
      </c>
      <c r="O10" s="5">
        <v>0.18597945234121238</v>
      </c>
      <c r="P10" s="5">
        <v>0.20512194499212111</v>
      </c>
      <c r="Q10" s="1" t="s">
        <v>28</v>
      </c>
      <c r="U10" s="2">
        <v>5</v>
      </c>
      <c r="V10" s="5">
        <v>-1.2831776115205933</v>
      </c>
      <c r="W10" s="5">
        <v>-1.0662574823072646</v>
      </c>
    </row>
    <row r="11" spans="1:23" x14ac:dyDescent="0.3">
      <c r="A11" s="2">
        <v>6</v>
      </c>
      <c r="B11" s="5">
        <v>-3.8100000000000002E-2</v>
      </c>
      <c r="C11" s="5">
        <v>-4.5499999999999999E-2</v>
      </c>
      <c r="D11" s="5"/>
      <c r="E11" s="5">
        <f t="shared" si="1"/>
        <v>-6.9827872011723122E-2</v>
      </c>
      <c r="F11" s="5">
        <f t="shared" si="0"/>
        <v>3.172787201172312E-2</v>
      </c>
      <c r="H11" t="s">
        <v>16</v>
      </c>
      <c r="I11" s="5">
        <f>INDEX(LINEST(B6:B65,C6:C65,TRUE,TRUE),1,2)</f>
        <v>-1.280400118750304E-3</v>
      </c>
      <c r="K11" s="10" t="s">
        <v>29</v>
      </c>
      <c r="L11" s="14">
        <v>0.46647890320126179</v>
      </c>
      <c r="U11" s="2">
        <v>6</v>
      </c>
      <c r="V11" s="5">
        <v>-0.58308389838798713</v>
      </c>
      <c r="W11" s="5">
        <v>-0.54600604926235974</v>
      </c>
    </row>
    <row r="12" spans="1:23" x14ac:dyDescent="0.3">
      <c r="A12" s="2">
        <v>7</v>
      </c>
      <c r="B12" s="5">
        <v>8.8200000000000001E-2</v>
      </c>
      <c r="C12" s="5">
        <v>9.2499999999999999E-2</v>
      </c>
      <c r="D12" s="5"/>
      <c r="E12" s="5">
        <f t="shared" si="1"/>
        <v>0.1380743504328977</v>
      </c>
      <c r="F12" s="5">
        <f t="shared" si="0"/>
        <v>-4.9874350432897702E-2</v>
      </c>
      <c r="H12" t="s">
        <v>19</v>
      </c>
      <c r="I12" s="5">
        <f>INDEX(LINEST(B6:B65,C6:C65,TRUE,TRUE),2,2)</f>
        <v>7.8167411600023311E-3</v>
      </c>
      <c r="K12" s="10" t="s">
        <v>30</v>
      </c>
      <c r="L12" s="14">
        <v>5.9466180665537161E-2</v>
      </c>
      <c r="U12" s="2">
        <v>7</v>
      </c>
      <c r="V12" s="5">
        <v>0.96817638176373533</v>
      </c>
      <c r="W12" s="5">
        <v>0.92936943474342115</v>
      </c>
    </row>
    <row r="13" spans="1:23" ht="13.5" thickBot="1" x14ac:dyDescent="0.35">
      <c r="A13" s="2">
        <v>8</v>
      </c>
      <c r="B13" s="5">
        <v>0.114</v>
      </c>
      <c r="C13" s="5">
        <v>3.9300000000000002E-2</v>
      </c>
      <c r="D13" s="5"/>
      <c r="E13" s="5">
        <f t="shared" si="1"/>
        <v>5.792653714265257E-2</v>
      </c>
      <c r="F13" s="5">
        <f t="shared" si="0"/>
        <v>5.6073462857347434E-2</v>
      </c>
      <c r="K13" s="11" t="s">
        <v>31</v>
      </c>
      <c r="L13" s="11">
        <v>60</v>
      </c>
      <c r="U13" s="2">
        <v>8</v>
      </c>
      <c r="V13" s="5">
        <v>1.2850609045500729</v>
      </c>
      <c r="W13" s="5">
        <v>1.3203384696680587</v>
      </c>
    </row>
    <row r="14" spans="1:23" x14ac:dyDescent="0.3">
      <c r="A14" s="2">
        <v>9</v>
      </c>
      <c r="B14" s="5">
        <v>6.9400000000000003E-2</v>
      </c>
      <c r="C14" s="5">
        <v>4.2200000000000001E-2</v>
      </c>
      <c r="D14" s="5"/>
      <c r="E14" s="5">
        <f t="shared" si="1"/>
        <v>6.2295496889677213E-2</v>
      </c>
      <c r="F14" s="5">
        <f t="shared" si="0"/>
        <v>7.1045031103227907E-3</v>
      </c>
      <c r="H14" t="s">
        <v>15</v>
      </c>
      <c r="I14" s="5">
        <f>INDEX(LINEST(B6:B65,C6:C65,TRUE,TRUE),1,1)</f>
        <v>1.5065378438015988</v>
      </c>
      <c r="U14" s="2">
        <v>9</v>
      </c>
      <c r="V14" s="5">
        <v>0.73726827988841959</v>
      </c>
      <c r="W14" s="5">
        <v>0.6453933565353509</v>
      </c>
    </row>
    <row r="15" spans="1:23" ht="13.5" thickBot="1" x14ac:dyDescent="0.35">
      <c r="A15" s="2">
        <v>10</v>
      </c>
      <c r="B15" s="5">
        <v>5.2699999999999997E-2</v>
      </c>
      <c r="C15" s="5">
        <v>3.6200000000000003E-2</v>
      </c>
      <c r="D15" s="5"/>
      <c r="E15" s="5">
        <f t="shared" si="1"/>
        <v>5.3256269826867611E-2</v>
      </c>
      <c r="F15" s="5">
        <f t="shared" si="0"/>
        <v>-5.5626982686761417E-4</v>
      </c>
      <c r="H15" t="s">
        <v>18</v>
      </c>
      <c r="I15" s="5">
        <f>INDEX(LINEST(B6:B65,C6:C65,TRUE,TRUE),2,1)</f>
        <v>0.20774932883986794</v>
      </c>
      <c r="K15" t="s">
        <v>32</v>
      </c>
      <c r="U15" s="2">
        <v>10</v>
      </c>
      <c r="V15" s="5">
        <v>0.53215310428641027</v>
      </c>
      <c r="W15" s="5">
        <v>0.40613031160319224</v>
      </c>
    </row>
    <row r="16" spans="1:23" x14ac:dyDescent="0.3">
      <c r="A16" s="2">
        <v>11</v>
      </c>
      <c r="B16" s="5">
        <v>-0.1298</v>
      </c>
      <c r="C16" s="5">
        <v>-5.9999999999999995E-4</v>
      </c>
      <c r="D16" s="5"/>
      <c r="E16" s="5">
        <f t="shared" si="1"/>
        <v>-2.1843228250312745E-3</v>
      </c>
      <c r="F16" s="5">
        <f t="shared" si="0"/>
        <v>-0.12761567717496872</v>
      </c>
      <c r="K16" s="12"/>
      <c r="L16" s="12" t="s">
        <v>33</v>
      </c>
      <c r="M16" s="12" t="s">
        <v>34</v>
      </c>
      <c r="N16" s="12" t="s">
        <v>35</v>
      </c>
      <c r="O16" s="12" t="s">
        <v>24</v>
      </c>
      <c r="P16" s="12" t="s">
        <v>36</v>
      </c>
      <c r="U16" s="2">
        <v>11</v>
      </c>
      <c r="V16" s="5">
        <v>-1.709375012322373</v>
      </c>
      <c r="W16" s="5">
        <v>-1.4271836334955879</v>
      </c>
    </row>
    <row r="17" spans="1:23" x14ac:dyDescent="0.3">
      <c r="A17" s="2">
        <v>12</v>
      </c>
      <c r="B17" s="5">
        <v>3.95E-2</v>
      </c>
      <c r="C17" s="5">
        <v>2.23E-2</v>
      </c>
      <c r="D17" s="5"/>
      <c r="E17" s="5">
        <f t="shared" si="1"/>
        <v>3.2315393798025366E-2</v>
      </c>
      <c r="F17" s="5">
        <f t="shared" si="0"/>
        <v>7.1846062019746346E-3</v>
      </c>
      <c r="H17" t="s">
        <v>37</v>
      </c>
      <c r="K17" s="10" t="s">
        <v>38</v>
      </c>
      <c r="L17" s="10">
        <v>1</v>
      </c>
      <c r="M17" s="14">
        <v>0.18595625278710809</v>
      </c>
      <c r="N17" s="14">
        <v>0.18595625278710809</v>
      </c>
      <c r="O17" s="14">
        <v>52.586067456404166</v>
      </c>
      <c r="P17" s="14">
        <v>1.1071626007654288E-9</v>
      </c>
      <c r="U17" s="2">
        <v>12</v>
      </c>
      <c r="V17" s="5">
        <v>0.370026139139912</v>
      </c>
      <c r="W17" s="5">
        <v>0.10419739737699274</v>
      </c>
    </row>
    <row r="18" spans="1:23" x14ac:dyDescent="0.3">
      <c r="A18" s="2">
        <v>13</v>
      </c>
      <c r="B18" s="5">
        <v>-3.5799999999999998E-2</v>
      </c>
      <c r="C18" s="5">
        <v>7.1000000000000004E-3</v>
      </c>
      <c r="D18" s="5"/>
      <c r="E18" s="5">
        <f t="shared" si="1"/>
        <v>9.4160185722410479E-3</v>
      </c>
      <c r="F18" s="5">
        <f t="shared" si="0"/>
        <v>-4.5216018572241043E-2</v>
      </c>
      <c r="H18" t="s">
        <v>39</v>
      </c>
      <c r="I18" s="18">
        <f>I9</f>
        <v>5.9469195878915686E-2</v>
      </c>
      <c r="K18" s="10" t="s">
        <v>40</v>
      </c>
      <c r="L18" s="10">
        <v>58</v>
      </c>
      <c r="M18" s="14">
        <v>0.20510114529088574</v>
      </c>
      <c r="N18" s="14">
        <v>3.536226642946306E-3</v>
      </c>
      <c r="O18" s="14"/>
      <c r="P18" s="10"/>
      <c r="U18" s="2">
        <v>13</v>
      </c>
      <c r="V18" s="5">
        <v>-0.55483450294579406</v>
      </c>
      <c r="W18" s="5">
        <v>-0.49832124204840511</v>
      </c>
    </row>
    <row r="19" spans="1:23" ht="13.5" thickBot="1" x14ac:dyDescent="0.35">
      <c r="A19" s="2">
        <v>14</v>
      </c>
      <c r="B19" s="5">
        <v>-1.7899999999999999E-2</v>
      </c>
      <c r="C19" s="5">
        <v>-1.4999999999999999E-2</v>
      </c>
      <c r="D19" s="5"/>
      <c r="E19" s="5">
        <f t="shared" si="1"/>
        <v>-2.3878467775774313E-2</v>
      </c>
      <c r="F19" s="5">
        <f t="shared" si="0"/>
        <v>5.978467775774314E-3</v>
      </c>
      <c r="H19" t="s">
        <v>41</v>
      </c>
      <c r="I19" s="18">
        <f>I9*SQRT(12)</f>
        <v>0.20600733749509531</v>
      </c>
      <c r="K19" s="11" t="s">
        <v>42</v>
      </c>
      <c r="L19" s="11">
        <v>59</v>
      </c>
      <c r="M19" s="15">
        <v>0.39105739807799383</v>
      </c>
      <c r="N19" s="15"/>
      <c r="O19" s="15"/>
      <c r="P19" s="11"/>
      <c r="U19" s="2">
        <v>14</v>
      </c>
      <c r="V19" s="5">
        <v>-0.33498051233046694</v>
      </c>
      <c r="W19" s="5">
        <v>-0.18832452042261139</v>
      </c>
    </row>
    <row r="20" spans="1:23" ht="13.5" thickBot="1" x14ac:dyDescent="0.35">
      <c r="A20" s="2">
        <v>15</v>
      </c>
      <c r="B20" s="5">
        <v>0.12509999999999999</v>
      </c>
      <c r="C20" s="5">
        <v>9.1999999999999998E-3</v>
      </c>
      <c r="D20" s="5"/>
      <c r="E20" s="5">
        <f t="shared" si="1"/>
        <v>1.2579748044224407E-2</v>
      </c>
      <c r="F20" s="5">
        <f t="shared" si="0"/>
        <v>0.11252025195577559</v>
      </c>
      <c r="H20" t="s">
        <v>43</v>
      </c>
      <c r="I20" s="18">
        <f>PortfolioSpecificRisk(B6:B65,C6:C65,12)</f>
        <v>0.20600733749509531</v>
      </c>
      <c r="U20" s="2">
        <v>15</v>
      </c>
      <c r="V20" s="5">
        <v>1.4213949434232644</v>
      </c>
      <c r="W20" s="5">
        <v>1.9273011275799945</v>
      </c>
    </row>
    <row r="21" spans="1:23" x14ac:dyDescent="0.3">
      <c r="A21" s="2">
        <v>16</v>
      </c>
      <c r="B21" s="5">
        <v>4.5699999999999998E-2</v>
      </c>
      <c r="C21" s="5">
        <v>1.9199999999999998E-2</v>
      </c>
      <c r="D21" s="5"/>
      <c r="E21" s="5">
        <f t="shared" si="1"/>
        <v>2.7645126482240406E-2</v>
      </c>
      <c r="F21" s="5">
        <f t="shared" si="0"/>
        <v>1.8054873517759591E-2</v>
      </c>
      <c r="K21" s="12"/>
      <c r="L21" s="12" t="s">
        <v>44</v>
      </c>
      <c r="M21" s="12" t="s">
        <v>30</v>
      </c>
      <c r="N21" s="12" t="s">
        <v>45</v>
      </c>
      <c r="O21" s="12" t="s">
        <v>46</v>
      </c>
      <c r="P21" s="12" t="s">
        <v>47</v>
      </c>
      <c r="Q21" s="12" t="s">
        <v>48</v>
      </c>
      <c r="R21" s="12" t="s">
        <v>49</v>
      </c>
      <c r="S21" s="12" t="s">
        <v>50</v>
      </c>
      <c r="U21" s="2">
        <v>16</v>
      </c>
      <c r="V21" s="5">
        <v>0.44617668337538841</v>
      </c>
      <c r="W21" s="5">
        <v>0.27380792744224891</v>
      </c>
    </row>
    <row r="22" spans="1:23" x14ac:dyDescent="0.3">
      <c r="A22" s="2">
        <v>17</v>
      </c>
      <c r="B22" s="5">
        <v>3.9100000000000003E-2</v>
      </c>
      <c r="C22" s="5">
        <v>1.01E-2</v>
      </c>
      <c r="D22" s="5"/>
      <c r="E22" s="5">
        <f t="shared" si="1"/>
        <v>1.3935632103645847E-2</v>
      </c>
      <c r="F22" s="5">
        <f t="shared" si="0"/>
        <v>2.5164367896354158E-2</v>
      </c>
      <c r="H22" s="7" t="s">
        <v>51</v>
      </c>
      <c r="K22" s="10" t="s">
        <v>52</v>
      </c>
      <c r="L22" s="14">
        <v>-1.2724422647734121E-3</v>
      </c>
      <c r="M22" s="14">
        <v>7.8162750817374338E-3</v>
      </c>
      <c r="N22" s="14">
        <v>-0.16279394615300161</v>
      </c>
      <c r="O22" s="14">
        <v>0.87124655054373734</v>
      </c>
      <c r="P22" s="14">
        <v>-1.6918405031846058E-2</v>
      </c>
      <c r="Q22" s="14">
        <v>1.4373520502299234E-2</v>
      </c>
      <c r="R22" s="14">
        <v>-1.6918405031846058E-2</v>
      </c>
      <c r="S22" s="14">
        <v>1.4373520502299234E-2</v>
      </c>
      <c r="U22" s="2">
        <v>17</v>
      </c>
      <c r="V22" s="5">
        <v>0.36511320080213933</v>
      </c>
      <c r="W22" s="5">
        <v>6.2445906223729253E-2</v>
      </c>
    </row>
    <row r="23" spans="1:23" ht="13.5" thickBot="1" x14ac:dyDescent="0.35">
      <c r="A23" s="2">
        <v>18</v>
      </c>
      <c r="B23" s="5">
        <v>0.18890000000000001</v>
      </c>
      <c r="C23" s="5">
        <v>5.8099999999999999E-2</v>
      </c>
      <c r="D23" s="5"/>
      <c r="E23" s="5">
        <f t="shared" ref="E23:E38" si="2">$I$6+$I$7*C23</f>
        <v>8.6249448606122658E-2</v>
      </c>
      <c r="F23" s="5">
        <f t="shared" si="0"/>
        <v>0.10265055139387735</v>
      </c>
      <c r="H23" t="s">
        <v>41</v>
      </c>
      <c r="I23" s="18">
        <f>SQRT(SUMSQ(F6:F65)/(COUNT(F6:F65)-2))*SQRT(12)</f>
        <v>0.20600733749509542</v>
      </c>
      <c r="K23" s="11" t="s">
        <v>53</v>
      </c>
      <c r="L23" s="15">
        <v>1.5062352214649621</v>
      </c>
      <c r="M23" s="15">
        <v>0.20771002200186242</v>
      </c>
      <c r="N23" s="15">
        <v>7.2516251596731163</v>
      </c>
      <c r="O23" s="15">
        <v>1.1071626007654288E-9</v>
      </c>
      <c r="P23" s="15">
        <v>1.0904587503704217</v>
      </c>
      <c r="Q23" s="15">
        <v>1.9220116925595025</v>
      </c>
      <c r="R23" s="15">
        <v>1.0904587503704217</v>
      </c>
      <c r="S23" s="15">
        <v>1.9220116925595025</v>
      </c>
      <c r="U23" s="2">
        <v>18</v>
      </c>
      <c r="V23" s="5">
        <v>2.2050086082980065</v>
      </c>
      <c r="W23" s="5">
        <v>2.3125539883039892</v>
      </c>
    </row>
    <row r="24" spans="1:23" x14ac:dyDescent="0.3">
      <c r="A24" s="2">
        <v>19</v>
      </c>
      <c r="B24" s="5">
        <v>-0.1318</v>
      </c>
      <c r="C24" s="5">
        <v>-2.1499999999999998E-2</v>
      </c>
      <c r="D24" s="5"/>
      <c r="E24" s="5">
        <f t="shared" si="2"/>
        <v>-3.3670963760484715E-2</v>
      </c>
      <c r="F24" s="5">
        <f t="shared" si="0"/>
        <v>-9.8129036239515285E-2</v>
      </c>
      <c r="U24" s="2">
        <v>19</v>
      </c>
      <c r="V24" s="5">
        <v>-1.7339397040112363</v>
      </c>
      <c r="W24" s="5">
        <v>-1.5533805708400905</v>
      </c>
    </row>
    <row r="25" spans="1:23" x14ac:dyDescent="0.3">
      <c r="A25" s="2">
        <v>20</v>
      </c>
      <c r="B25" s="5">
        <v>9.06E-2</v>
      </c>
      <c r="C25" s="5">
        <v>3.6900000000000002E-2</v>
      </c>
      <c r="D25" s="5"/>
      <c r="E25" s="5">
        <f t="shared" si="2"/>
        <v>5.4310846317528735E-2</v>
      </c>
      <c r="F25" s="5">
        <f t="shared" si="0"/>
        <v>3.6289153682471265E-2</v>
      </c>
      <c r="U25" s="2">
        <v>20</v>
      </c>
      <c r="V25" s="5">
        <v>0.99765401179037128</v>
      </c>
      <c r="W25" s="5">
        <v>0.99548060461529531</v>
      </c>
    </row>
    <row r="26" spans="1:23" x14ac:dyDescent="0.3">
      <c r="A26" s="2">
        <v>21</v>
      </c>
      <c r="B26" s="5">
        <v>-4.8800000000000003E-2</v>
      </c>
      <c r="C26" s="5">
        <v>-6.8999999999999999E-3</v>
      </c>
      <c r="D26" s="5"/>
      <c r="E26" s="5">
        <f t="shared" si="2"/>
        <v>-1.1675511240981356E-2</v>
      </c>
      <c r="F26" s="5">
        <f t="shared" si="0"/>
        <v>-3.7124488759018651E-2</v>
      </c>
      <c r="U26" s="2">
        <v>21</v>
      </c>
      <c r="V26" s="5">
        <v>-0.71450499892340624</v>
      </c>
      <c r="W26" s="5">
        <v>-0.75161551649216563</v>
      </c>
    </row>
    <row r="27" spans="1:23" x14ac:dyDescent="0.3">
      <c r="A27" s="2">
        <v>22</v>
      </c>
      <c r="B27" s="5">
        <v>0.11219999999999999</v>
      </c>
      <c r="C27" s="5">
        <v>7.6600000000000001E-2</v>
      </c>
      <c r="D27" s="5"/>
      <c r="E27" s="5">
        <f t="shared" si="2"/>
        <v>0.11412039871645226</v>
      </c>
      <c r="F27" s="5">
        <f t="shared" si="0"/>
        <v>-1.9203987164522623E-3</v>
      </c>
      <c r="H27" s="6" t="s">
        <v>54</v>
      </c>
      <c r="U27" s="2">
        <v>22</v>
      </c>
      <c r="V27" s="5">
        <v>1.2629526820300958</v>
      </c>
      <c r="W27" s="5">
        <v>1.2267491911188699</v>
      </c>
    </row>
    <row r="28" spans="1:23" x14ac:dyDescent="0.3">
      <c r="A28" s="2">
        <v>23</v>
      </c>
      <c r="B28" s="5">
        <v>-1.8700000000000001E-2</v>
      </c>
      <c r="C28" s="5">
        <v>3.5799999999999998E-2</v>
      </c>
      <c r="D28" s="5"/>
      <c r="E28" s="5">
        <f t="shared" si="2"/>
        <v>5.265365468934697E-2</v>
      </c>
      <c r="F28" s="5">
        <f t="shared" si="0"/>
        <v>-7.1353654689346971E-2</v>
      </c>
      <c r="U28" s="2">
        <v>23</v>
      </c>
      <c r="V28" s="5">
        <v>-0.34480638900601229</v>
      </c>
      <c r="W28" s="5">
        <v>-0.23085476641426794</v>
      </c>
    </row>
    <row r="29" spans="1:23" x14ac:dyDescent="0.3">
      <c r="A29" s="2">
        <v>24</v>
      </c>
      <c r="B29" s="5">
        <v>2.3E-2</v>
      </c>
      <c r="C29" s="5">
        <v>-4.2599999999999999E-2</v>
      </c>
      <c r="D29" s="5"/>
      <c r="E29" s="5">
        <f t="shared" si="2"/>
        <v>-6.5458912264698479E-2</v>
      </c>
      <c r="F29" s="5">
        <f t="shared" si="0"/>
        <v>8.8458912264698486E-2</v>
      </c>
      <c r="H29" t="s">
        <v>55</v>
      </c>
      <c r="K29" s="17">
        <v>1</v>
      </c>
      <c r="M29" t="s">
        <v>56</v>
      </c>
      <c r="O29" s="17">
        <f>I14</f>
        <v>1.5065378438015988</v>
      </c>
      <c r="U29" s="2">
        <v>24</v>
      </c>
      <c r="V29" s="5">
        <v>0.16736743270678914</v>
      </c>
      <c r="W29" s="5">
        <v>-2.0803554434678517E-2</v>
      </c>
    </row>
    <row r="30" spans="1:23" x14ac:dyDescent="0.3">
      <c r="A30" s="2">
        <v>25</v>
      </c>
      <c r="B30" s="5">
        <v>-0.15809999999999999</v>
      </c>
      <c r="C30" s="5">
        <v>-7.1499999999999994E-2</v>
      </c>
      <c r="D30" s="5"/>
      <c r="E30" s="5">
        <f t="shared" si="2"/>
        <v>-0.10899785595056471</v>
      </c>
      <c r="F30" s="5">
        <f t="shared" si="0"/>
        <v>-4.9102144049435276E-2</v>
      </c>
      <c r="H30" t="s">
        <v>57</v>
      </c>
      <c r="K30" s="24">
        <v>0.3</v>
      </c>
      <c r="U30" s="2">
        <v>25</v>
      </c>
      <c r="V30" s="5">
        <v>-2.0569653997197896</v>
      </c>
      <c r="W30" s="5">
        <v>-2.3125539883039892</v>
      </c>
    </row>
    <row r="31" spans="1:23" x14ac:dyDescent="0.3">
      <c r="A31" s="2">
        <v>26</v>
      </c>
      <c r="B31" s="5">
        <v>4.8800000000000003E-2</v>
      </c>
      <c r="C31" s="5">
        <v>1.06E-2</v>
      </c>
      <c r="D31" s="5"/>
      <c r="E31" s="5">
        <f t="shared" si="2"/>
        <v>1.4688901025546647E-2</v>
      </c>
      <c r="F31" s="5">
        <f t="shared" si="0"/>
        <v>3.4111098974453358E-2</v>
      </c>
      <c r="M31" t="s">
        <v>58</v>
      </c>
      <c r="O31" s="17">
        <f>K35*K29+(1-K35)*O29</f>
        <v>1.3423586663947071</v>
      </c>
      <c r="U31" s="2">
        <v>26</v>
      </c>
      <c r="V31" s="5">
        <v>0.48425195549312672</v>
      </c>
      <c r="W31" s="5">
        <v>0.31727267923997715</v>
      </c>
    </row>
    <row r="32" spans="1:23" x14ac:dyDescent="0.3">
      <c r="A32" s="2">
        <v>27</v>
      </c>
      <c r="B32" s="5">
        <v>-2.8400000000000002E-2</v>
      </c>
      <c r="C32" s="5">
        <v>-5.2600000000000001E-2</v>
      </c>
      <c r="D32" s="5"/>
      <c r="E32" s="5">
        <f t="shared" si="2"/>
        <v>-8.0524290702714482E-2</v>
      </c>
      <c r="F32" s="5">
        <f t="shared" si="0"/>
        <v>5.2124290702714481E-2</v>
      </c>
      <c r="H32" t="s">
        <v>59</v>
      </c>
      <c r="K32" s="17">
        <f>O35^2</f>
        <v>4.3159783633415584E-2</v>
      </c>
      <c r="M32" t="s">
        <v>43</v>
      </c>
      <c r="O32" s="17">
        <f>PortfolioAdjustedBeta(B6:B65,C6:C65,K30)</f>
        <v>1.3423586663947078</v>
      </c>
      <c r="U32" s="2">
        <v>27</v>
      </c>
      <c r="V32" s="5">
        <v>-0.46394514369699974</v>
      </c>
      <c r="W32" s="5">
        <v>-0.40613031160319224</v>
      </c>
    </row>
    <row r="33" spans="1:23" x14ac:dyDescent="0.3">
      <c r="A33" s="2">
        <v>28</v>
      </c>
      <c r="B33" s="5">
        <v>-8.4900000000000003E-2</v>
      </c>
      <c r="C33" s="5">
        <v>-2.6499999999999999E-2</v>
      </c>
      <c r="D33" s="5"/>
      <c r="E33" s="5">
        <f t="shared" si="2"/>
        <v>-4.1203652979492716E-2</v>
      </c>
      <c r="F33" s="5">
        <f t="shared" si="0"/>
        <v>-4.3696347020507287E-2</v>
      </c>
      <c r="H33" s="7" t="s">
        <v>60</v>
      </c>
      <c r="K33" s="17">
        <f>K30^2</f>
        <v>0.09</v>
      </c>
      <c r="U33" s="2">
        <v>28</v>
      </c>
      <c r="V33" s="5">
        <v>-1.15789768390739</v>
      </c>
      <c r="W33" s="5">
        <v>-0.99548060461529531</v>
      </c>
    </row>
    <row r="34" spans="1:23" x14ac:dyDescent="0.3">
      <c r="A34" s="2">
        <v>29</v>
      </c>
      <c r="B34" s="5">
        <v>0.11799999999999999</v>
      </c>
      <c r="C34" s="5">
        <v>5.3800000000000001E-2</v>
      </c>
      <c r="D34" s="5"/>
      <c r="E34" s="5">
        <f t="shared" si="2"/>
        <v>7.9771335877775768E-2</v>
      </c>
      <c r="F34" s="5">
        <f t="shared" si="0"/>
        <v>3.8228664122224226E-2</v>
      </c>
      <c r="U34" s="2">
        <v>29</v>
      </c>
      <c r="V34" s="5">
        <v>1.3341902879277996</v>
      </c>
      <c r="W34" s="5">
        <v>1.5533805708400905</v>
      </c>
    </row>
    <row r="35" spans="1:23" x14ac:dyDescent="0.3">
      <c r="A35" s="2">
        <v>30</v>
      </c>
      <c r="B35" s="5">
        <v>0.1231</v>
      </c>
      <c r="C35" s="5">
        <v>4.9700000000000001E-2</v>
      </c>
      <c r="D35" s="5"/>
      <c r="E35" s="5">
        <f t="shared" si="2"/>
        <v>7.3594530718189208E-2</v>
      </c>
      <c r="F35" s="5">
        <f t="shared" si="0"/>
        <v>4.9505469281810793E-2</v>
      </c>
      <c r="H35" t="s">
        <v>61</v>
      </c>
      <c r="K35" s="25">
        <f>K32/(K32+K33)</f>
        <v>0.32412025955398832</v>
      </c>
      <c r="M35" t="s">
        <v>62</v>
      </c>
      <c r="O35" s="17">
        <f>I15</f>
        <v>0.20774932883986794</v>
      </c>
      <c r="U35" s="2">
        <v>30</v>
      </c>
      <c r="V35" s="5">
        <v>1.3968302517344011</v>
      </c>
      <c r="W35" s="5">
        <v>1.7106958694057539</v>
      </c>
    </row>
    <row r="36" spans="1:23" x14ac:dyDescent="0.3">
      <c r="A36" s="2">
        <v>31</v>
      </c>
      <c r="B36" s="5">
        <v>-6.4100000000000004E-2</v>
      </c>
      <c r="C36" s="5">
        <v>-7.5700000000000003E-2</v>
      </c>
      <c r="D36" s="5"/>
      <c r="E36" s="5">
        <f t="shared" si="2"/>
        <v>-0.11532531489453145</v>
      </c>
      <c r="F36" s="5">
        <f t="shared" si="0"/>
        <v>5.1225314894531443E-2</v>
      </c>
      <c r="U36" s="2">
        <v>31</v>
      </c>
      <c r="V36" s="5">
        <v>-0.90242489034321094</v>
      </c>
      <c r="W36" s="5">
        <v>-0.86709178503951989</v>
      </c>
    </row>
    <row r="37" spans="1:23" x14ac:dyDescent="0.3">
      <c r="A37" s="2">
        <v>32</v>
      </c>
      <c r="B37" s="5">
        <v>6.3799999999999996E-2</v>
      </c>
      <c r="C37" s="5">
        <v>1.4999999999999999E-2</v>
      </c>
      <c r="D37" s="5"/>
      <c r="E37" s="5">
        <f t="shared" si="2"/>
        <v>2.1317667538273688E-2</v>
      </c>
      <c r="F37" s="5">
        <f t="shared" si="0"/>
        <v>4.2482332461726308E-2</v>
      </c>
      <c r="M37" s="7" t="s">
        <v>63</v>
      </c>
      <c r="O37" s="17">
        <f>SQRT(K35*K33)</f>
        <v>0.1707946818840064</v>
      </c>
      <c r="U37" s="2">
        <v>32</v>
      </c>
      <c r="V37" s="5">
        <v>0.668487143159602</v>
      </c>
      <c r="W37" s="5">
        <v>0.49832124204840511</v>
      </c>
    </row>
    <row r="38" spans="1:23" x14ac:dyDescent="0.3">
      <c r="A38" s="2">
        <v>33</v>
      </c>
      <c r="B38" s="5">
        <v>-4.87E-2</v>
      </c>
      <c r="C38" s="5">
        <v>-7.0000000000000001E-3</v>
      </c>
      <c r="D38" s="5"/>
      <c r="E38" s="5">
        <f t="shared" si="2"/>
        <v>-1.1826165025361516E-2</v>
      </c>
      <c r="F38" s="5">
        <f t="shared" ref="F38:F65" si="3">B38-E38</f>
        <v>-3.6873834974638482E-2</v>
      </c>
      <c r="M38" t="s">
        <v>43</v>
      </c>
      <c r="O38" s="17">
        <f>PortfolioAdjustedBetaStdError(B6:B65,C6:C65,K30)</f>
        <v>0.17079468188400643</v>
      </c>
      <c r="U38" s="2">
        <v>33</v>
      </c>
      <c r="V38" s="5">
        <v>-0.71327676433896303</v>
      </c>
      <c r="W38" s="5">
        <v>-0.69752104536746629</v>
      </c>
    </row>
    <row r="39" spans="1:23" x14ac:dyDescent="0.3">
      <c r="A39" s="2">
        <v>34</v>
      </c>
      <c r="B39" s="5">
        <v>4.0899999999999999E-2</v>
      </c>
      <c r="C39" s="5">
        <v>-6.1999999999999998E-3</v>
      </c>
      <c r="D39" s="5"/>
      <c r="E39" s="5">
        <f t="shared" ref="E39:E54" si="4">$I$6+$I$7*C39</f>
        <v>-1.0620934750320235E-2</v>
      </c>
      <c r="F39" s="5">
        <f t="shared" si="3"/>
        <v>5.1520934750320234E-2</v>
      </c>
      <c r="U39" s="2">
        <v>34</v>
      </c>
      <c r="V39" s="5">
        <v>0.38722142332211629</v>
      </c>
      <c r="W39" s="5">
        <v>0.14613192433898803</v>
      </c>
    </row>
    <row r="40" spans="1:23" x14ac:dyDescent="0.3">
      <c r="A40" s="2">
        <v>35</v>
      </c>
      <c r="B40" s="5">
        <v>-0.12609999999999999</v>
      </c>
      <c r="C40" s="5">
        <v>-2.92E-2</v>
      </c>
      <c r="D40" s="5"/>
      <c r="E40" s="5">
        <f t="shared" si="4"/>
        <v>-4.5271305157757041E-2</v>
      </c>
      <c r="F40" s="5">
        <f t="shared" si="3"/>
        <v>-8.0828694842242949E-2</v>
      </c>
      <c r="U40" s="2">
        <v>35</v>
      </c>
      <c r="V40" s="5">
        <v>-1.6639303326979757</v>
      </c>
      <c r="W40" s="5">
        <v>-1.3203407434048131</v>
      </c>
    </row>
    <row r="41" spans="1:23" x14ac:dyDescent="0.3">
      <c r="A41" s="2">
        <v>36</v>
      </c>
      <c r="B41" s="5">
        <v>-2.0000000000000001E-4</v>
      </c>
      <c r="C41" s="5">
        <v>2.3E-3</v>
      </c>
      <c r="D41" s="5"/>
      <c r="E41" s="5">
        <f t="shared" si="4"/>
        <v>2.184636921993366E-3</v>
      </c>
      <c r="F41" s="5">
        <f t="shared" si="3"/>
        <v>-2.3846369219933661E-3</v>
      </c>
      <c r="U41" s="2">
        <v>36</v>
      </c>
      <c r="V41" s="5">
        <v>-0.11758299088402605</v>
      </c>
      <c r="W41" s="5">
        <v>-0.10419739737699274</v>
      </c>
    </row>
    <row r="42" spans="1:23" x14ac:dyDescent="0.3">
      <c r="A42" s="2">
        <v>37</v>
      </c>
      <c r="B42" s="5">
        <v>4.41E-2</v>
      </c>
      <c r="C42" s="5">
        <v>3.2500000000000001E-2</v>
      </c>
      <c r="D42" s="5"/>
      <c r="E42" s="5">
        <f t="shared" si="4"/>
        <v>4.7682079804801693E-2</v>
      </c>
      <c r="F42" s="5">
        <f t="shared" si="3"/>
        <v>-3.5820798048016925E-3</v>
      </c>
      <c r="U42" s="2">
        <v>37</v>
      </c>
      <c r="V42" s="5">
        <v>0.42652493002429781</v>
      </c>
      <c r="W42" s="5">
        <v>0.23085476641426794</v>
      </c>
    </row>
    <row r="43" spans="1:23" x14ac:dyDescent="0.3">
      <c r="A43" s="2">
        <v>38</v>
      </c>
      <c r="B43" s="5">
        <v>-2.5999999999999999E-2</v>
      </c>
      <c r="C43" s="5">
        <v>2.3699999999999999E-2</v>
      </c>
      <c r="D43" s="5"/>
      <c r="E43" s="5">
        <f t="shared" si="4"/>
        <v>3.4424546779347608E-2</v>
      </c>
      <c r="F43" s="5">
        <f t="shared" si="3"/>
        <v>-6.042454677934761E-2</v>
      </c>
      <c r="U43" s="2">
        <v>38</v>
      </c>
      <c r="V43" s="5">
        <v>-0.43446751367036357</v>
      </c>
      <c r="W43" s="5">
        <v>-0.36134451875113882</v>
      </c>
    </row>
    <row r="44" spans="1:23" x14ac:dyDescent="0.3">
      <c r="A44" s="2">
        <v>39</v>
      </c>
      <c r="B44" s="5">
        <v>5.74E-2</v>
      </c>
      <c r="C44" s="5">
        <v>3.1800000000000002E-2</v>
      </c>
      <c r="D44" s="5"/>
      <c r="E44" s="5">
        <f t="shared" si="4"/>
        <v>4.6627503314140568E-2</v>
      </c>
      <c r="F44" s="5">
        <f t="shared" si="3"/>
        <v>1.0772496685859431E-2</v>
      </c>
      <c r="U44" s="2">
        <v>39</v>
      </c>
      <c r="V44" s="5">
        <v>0.58988012975523918</v>
      </c>
      <c r="W44" s="5">
        <v>0.45174601837061346</v>
      </c>
    </row>
    <row r="45" spans="1:23" x14ac:dyDescent="0.3">
      <c r="A45" s="2">
        <v>40</v>
      </c>
      <c r="B45" s="5">
        <v>0.1157</v>
      </c>
      <c r="C45" s="5">
        <v>-7.4999999999999997E-3</v>
      </c>
      <c r="D45" s="5"/>
      <c r="E45" s="5">
        <f t="shared" si="4"/>
        <v>-1.2579433947262315E-2</v>
      </c>
      <c r="F45" s="5">
        <f t="shared" si="3"/>
        <v>0.12827943394726232</v>
      </c>
      <c r="U45" s="2">
        <v>40</v>
      </c>
      <c r="V45" s="5">
        <v>1.3059408924856066</v>
      </c>
      <c r="W45" s="5">
        <v>1.4271836334955879</v>
      </c>
    </row>
    <row r="46" spans="1:23" x14ac:dyDescent="0.3">
      <c r="A46" s="2">
        <v>41</v>
      </c>
      <c r="B46" s="5">
        <v>1.9900000000000001E-2</v>
      </c>
      <c r="C46" s="5">
        <v>4.5600000000000002E-2</v>
      </c>
      <c r="D46" s="5"/>
      <c r="E46" s="5">
        <f t="shared" si="4"/>
        <v>6.7417725558602648E-2</v>
      </c>
      <c r="F46" s="5">
        <f t="shared" si="3"/>
        <v>-4.7517725558602647E-2</v>
      </c>
      <c r="U46" s="2">
        <v>41</v>
      </c>
      <c r="V46" s="5">
        <v>0.12929216058905091</v>
      </c>
      <c r="W46" s="5">
        <v>-6.2445906223729253E-2</v>
      </c>
    </row>
    <row r="47" spans="1:23" x14ac:dyDescent="0.3">
      <c r="A47" s="2">
        <v>42</v>
      </c>
      <c r="B47" s="5">
        <v>9.6100000000000005E-2</v>
      </c>
      <c r="C47" s="5">
        <v>7.3000000000000001E-3</v>
      </c>
      <c r="D47" s="5"/>
      <c r="E47" s="5">
        <f t="shared" si="4"/>
        <v>9.7173261410013669E-3</v>
      </c>
      <c r="F47" s="5">
        <f t="shared" si="3"/>
        <v>8.6382673858998643E-2</v>
      </c>
      <c r="U47" s="2">
        <v>42</v>
      </c>
      <c r="V47" s="5">
        <v>1.0652069139347458</v>
      </c>
      <c r="W47" s="5">
        <v>1.1428232937760185</v>
      </c>
    </row>
    <row r="48" spans="1:23" x14ac:dyDescent="0.3">
      <c r="A48" s="2">
        <v>43</v>
      </c>
      <c r="B48" s="5">
        <v>-3.7000000000000002E-3</v>
      </c>
      <c r="C48" s="5">
        <v>5.8999999999999999E-3</v>
      </c>
      <c r="D48" s="5"/>
      <c r="E48" s="5">
        <f t="shared" si="4"/>
        <v>7.6081731596791269E-3</v>
      </c>
      <c r="F48" s="5">
        <f t="shared" si="3"/>
        <v>-1.1308173159679127E-2</v>
      </c>
      <c r="U48" s="2">
        <v>43</v>
      </c>
      <c r="V48" s="5">
        <v>-0.16057120133953695</v>
      </c>
      <c r="W48" s="5">
        <v>-0.14613192433898803</v>
      </c>
    </row>
    <row r="49" spans="1:23" x14ac:dyDescent="0.3">
      <c r="A49" s="2">
        <v>44</v>
      </c>
      <c r="B49" s="5">
        <v>-2.2700000000000001E-2</v>
      </c>
      <c r="C49" s="5">
        <v>-2.0999999999999999E-3</v>
      </c>
      <c r="D49" s="5"/>
      <c r="E49" s="5">
        <f t="shared" si="4"/>
        <v>-4.4441295907336744E-3</v>
      </c>
      <c r="F49" s="5">
        <f t="shared" si="3"/>
        <v>-1.8255870409266326E-2</v>
      </c>
      <c r="U49" s="2">
        <v>44</v>
      </c>
      <c r="V49" s="5">
        <v>-0.39393577238373906</v>
      </c>
      <c r="W49" s="5">
        <v>-0.31727267923997715</v>
      </c>
    </row>
    <row r="50" spans="1:23" x14ac:dyDescent="0.3">
      <c r="A50" s="2">
        <v>45</v>
      </c>
      <c r="B50" s="5">
        <v>-0.11509999999999999</v>
      </c>
      <c r="C50" s="5">
        <v>2.8899999999999999E-2</v>
      </c>
      <c r="D50" s="5"/>
      <c r="E50" s="5">
        <f t="shared" si="4"/>
        <v>4.2258543567115926E-2</v>
      </c>
      <c r="F50" s="5">
        <f t="shared" si="3"/>
        <v>-0.15735854356711593</v>
      </c>
      <c r="U50" s="2">
        <v>45</v>
      </c>
      <c r="V50" s="5">
        <v>-1.528824528409227</v>
      </c>
      <c r="W50" s="5">
        <v>-1.2267491911188699</v>
      </c>
    </row>
    <row r="51" spans="1:23" x14ac:dyDescent="0.3">
      <c r="A51" s="2">
        <v>46</v>
      </c>
      <c r="B51" s="5">
        <v>-2.0500000000000001E-2</v>
      </c>
      <c r="C51" s="5">
        <v>6.0000000000000001E-3</v>
      </c>
      <c r="D51" s="5"/>
      <c r="E51" s="5">
        <f t="shared" si="4"/>
        <v>7.7588269440592873E-3</v>
      </c>
      <c r="F51" s="5">
        <f t="shared" si="3"/>
        <v>-2.825882694405929E-2</v>
      </c>
      <c r="U51" s="2">
        <v>46</v>
      </c>
      <c r="V51" s="5">
        <v>-0.36691461152598931</v>
      </c>
      <c r="W51" s="5">
        <v>-0.27380792744224891</v>
      </c>
    </row>
    <row r="52" spans="1:23" x14ac:dyDescent="0.3">
      <c r="A52" s="2">
        <v>47</v>
      </c>
      <c r="B52" s="5">
        <v>2.5000000000000001E-2</v>
      </c>
      <c r="C52" s="5">
        <v>1.9400000000000001E-2</v>
      </c>
      <c r="D52" s="5"/>
      <c r="E52" s="5">
        <f t="shared" si="4"/>
        <v>2.7946434051000731E-2</v>
      </c>
      <c r="F52" s="5">
        <f t="shared" si="3"/>
        <v>-2.9464340510007292E-3</v>
      </c>
      <c r="U52" s="2">
        <v>47</v>
      </c>
      <c r="V52" s="5">
        <v>0.19193212439565252</v>
      </c>
      <c r="W52" s="5">
        <v>2.0803554434678517E-2</v>
      </c>
    </row>
    <row r="53" spans="1:23" x14ac:dyDescent="0.3">
      <c r="A53" s="2">
        <v>48</v>
      </c>
      <c r="B53" s="5">
        <v>-3.0800000000000001E-2</v>
      </c>
      <c r="C53" s="5">
        <v>-2.5999999999999999E-3</v>
      </c>
      <c r="D53" s="5"/>
      <c r="E53" s="5">
        <f t="shared" si="4"/>
        <v>-5.1973985126344746E-3</v>
      </c>
      <c r="F53" s="5">
        <f t="shared" si="3"/>
        <v>-2.5602601487365526E-2</v>
      </c>
      <c r="U53" s="2">
        <v>48</v>
      </c>
      <c r="V53" s="5">
        <v>-0.49342277372363574</v>
      </c>
      <c r="W53" s="5">
        <v>-0.45174601837061346</v>
      </c>
    </row>
    <row r="54" spans="1:23" x14ac:dyDescent="0.3">
      <c r="A54" s="2">
        <v>49</v>
      </c>
      <c r="B54" s="5">
        <v>4.1700000000000001E-2</v>
      </c>
      <c r="C54" s="5">
        <v>-2.9999999999999997E-4</v>
      </c>
      <c r="D54" s="5"/>
      <c r="E54" s="5">
        <f t="shared" si="4"/>
        <v>-1.7323614718907944E-3</v>
      </c>
      <c r="F54" s="5">
        <f t="shared" si="3"/>
        <v>4.3432361471890793E-2</v>
      </c>
      <c r="U54" s="2">
        <v>49</v>
      </c>
      <c r="V54" s="5">
        <v>0.39704729999766175</v>
      </c>
      <c r="W54" s="5">
        <v>0.18832452042261139</v>
      </c>
    </row>
    <row r="55" spans="1:23" x14ac:dyDescent="0.3">
      <c r="A55" s="2">
        <v>50</v>
      </c>
      <c r="B55" s="5">
        <v>8.6099999999999996E-2</v>
      </c>
      <c r="C55" s="5">
        <v>3.6200000000000003E-2</v>
      </c>
      <c r="D55" s="5"/>
      <c r="E55" s="5">
        <f t="shared" ref="E55:E65" si="5">$I$6+$I$7*C55</f>
        <v>5.3256269826867611E-2</v>
      </c>
      <c r="F55" s="5">
        <f t="shared" si="3"/>
        <v>3.2843730173132385E-2</v>
      </c>
      <c r="U55" s="2">
        <v>50</v>
      </c>
      <c r="V55" s="5">
        <v>0.94238345549042868</v>
      </c>
      <c r="W55" s="5">
        <v>0.80800646173884161</v>
      </c>
    </row>
    <row r="56" spans="1:23" x14ac:dyDescent="0.3">
      <c r="A56" s="2">
        <v>51</v>
      </c>
      <c r="B56" s="5">
        <v>-4.3499999999999997E-2</v>
      </c>
      <c r="C56" s="5">
        <v>-1.7000000000000001E-2</v>
      </c>
      <c r="D56" s="5"/>
      <c r="E56" s="5">
        <f t="shared" si="5"/>
        <v>-2.6891543463377521E-2</v>
      </c>
      <c r="F56" s="5">
        <f t="shared" si="3"/>
        <v>-1.6608456536622476E-2</v>
      </c>
      <c r="U56" s="2">
        <v>51</v>
      </c>
      <c r="V56" s="5">
        <v>-0.64940856594791807</v>
      </c>
      <c r="W56" s="5">
        <v>-0.59496414905879647</v>
      </c>
    </row>
    <row r="57" spans="1:23" x14ac:dyDescent="0.3">
      <c r="A57" s="2">
        <v>52</v>
      </c>
      <c r="B57" s="5">
        <v>-6.9699999999999998E-2</v>
      </c>
      <c r="C57" s="5">
        <v>-1.7299999999999999E-2</v>
      </c>
      <c r="D57" s="5"/>
      <c r="E57" s="5">
        <f t="shared" si="5"/>
        <v>-2.7343504816517997E-2</v>
      </c>
      <c r="F57" s="5">
        <f t="shared" si="3"/>
        <v>-4.2356495183482001E-2</v>
      </c>
      <c r="U57" s="2">
        <v>52</v>
      </c>
      <c r="V57" s="5">
        <v>-0.9712060270720283</v>
      </c>
      <c r="W57" s="5">
        <v>-0.92936943474342115</v>
      </c>
    </row>
    <row r="58" spans="1:23" x14ac:dyDescent="0.3">
      <c r="A58" s="2">
        <v>53</v>
      </c>
      <c r="B58" s="5">
        <v>-4.7600000000000003E-2</v>
      </c>
      <c r="C58" s="5">
        <v>-1.2800000000000001E-2</v>
      </c>
      <c r="D58" s="5"/>
      <c r="E58" s="5">
        <f t="shared" si="5"/>
        <v>-2.0564084519410795E-2</v>
      </c>
      <c r="F58" s="5">
        <f t="shared" si="3"/>
        <v>-2.7035915480589208E-2</v>
      </c>
      <c r="U58" s="2">
        <v>53</v>
      </c>
      <c r="V58" s="5">
        <v>-0.69976618391008805</v>
      </c>
      <c r="W58" s="5">
        <v>-0.6453933565353509</v>
      </c>
    </row>
    <row r="59" spans="1:23" x14ac:dyDescent="0.3">
      <c r="A59" s="2">
        <v>54</v>
      </c>
      <c r="B59" s="5">
        <v>5.0599999999999999E-2</v>
      </c>
      <c r="C59" s="5">
        <v>4.1599999999999998E-2</v>
      </c>
      <c r="D59" s="5"/>
      <c r="E59" s="5">
        <f t="shared" si="5"/>
        <v>6.1391574183396247E-2</v>
      </c>
      <c r="F59" s="5">
        <f t="shared" si="3"/>
        <v>-1.0791574183396248E-2</v>
      </c>
      <c r="U59" s="2">
        <v>54</v>
      </c>
      <c r="V59" s="5">
        <v>0.50636017801310373</v>
      </c>
      <c r="W59" s="5">
        <v>0.36134451875113882</v>
      </c>
    </row>
    <row r="60" spans="1:23" x14ac:dyDescent="0.3">
      <c r="A60" s="2">
        <v>55</v>
      </c>
      <c r="B60" s="5">
        <v>-9.5899999999999999E-2</v>
      </c>
      <c r="C60" s="5">
        <v>1.34E-2</v>
      </c>
      <c r="D60" s="5"/>
      <c r="E60" s="5">
        <f t="shared" si="5"/>
        <v>1.8907206988191129E-2</v>
      </c>
      <c r="F60" s="5">
        <f t="shared" si="3"/>
        <v>-0.11480720698819114</v>
      </c>
      <c r="U60" s="2">
        <v>55</v>
      </c>
      <c r="V60" s="5">
        <v>-1.2930034881961385</v>
      </c>
      <c r="W60" s="5">
        <v>-1.1428232937760185</v>
      </c>
    </row>
    <row r="61" spans="1:23" x14ac:dyDescent="0.3">
      <c r="A61" s="2">
        <v>56</v>
      </c>
      <c r="B61" s="5">
        <v>6.5000000000000002E-2</v>
      </c>
      <c r="C61" s="5">
        <v>4.3E-3</v>
      </c>
      <c r="D61" s="5"/>
      <c r="E61" s="5">
        <f t="shared" si="5"/>
        <v>5.1977126095965661E-3</v>
      </c>
      <c r="F61" s="5">
        <f t="shared" si="3"/>
        <v>5.9802287390403434E-2</v>
      </c>
      <c r="U61" s="2">
        <v>56</v>
      </c>
      <c r="V61" s="5">
        <v>0.68322595817292009</v>
      </c>
      <c r="W61" s="5">
        <v>0.54600604926235974</v>
      </c>
    </row>
    <row r="62" spans="1:23" x14ac:dyDescent="0.3">
      <c r="A62" s="2">
        <v>57</v>
      </c>
      <c r="B62" s="5">
        <v>7.5999999999999998E-2</v>
      </c>
      <c r="C62" s="5">
        <v>1.23E-2</v>
      </c>
      <c r="D62" s="5"/>
      <c r="E62" s="5">
        <f t="shared" si="5"/>
        <v>1.725001536000937E-2</v>
      </c>
      <c r="F62" s="5">
        <f t="shared" si="3"/>
        <v>5.8749984639990628E-2</v>
      </c>
      <c r="U62" s="2">
        <v>57</v>
      </c>
      <c r="V62" s="5">
        <v>0.81833176246166861</v>
      </c>
      <c r="W62" s="5">
        <v>0.75161551649216563</v>
      </c>
    </row>
    <row r="63" spans="1:23" x14ac:dyDescent="0.3">
      <c r="A63" s="2">
        <v>58</v>
      </c>
      <c r="B63" s="5">
        <v>-4.9099999999999998E-2</v>
      </c>
      <c r="C63" s="5">
        <v>1.2200000000000001E-2</v>
      </c>
      <c r="D63" s="5"/>
      <c r="E63" s="5">
        <f t="shared" si="5"/>
        <v>1.7099361575629211E-2</v>
      </c>
      <c r="F63" s="5">
        <f t="shared" si="3"/>
        <v>-6.6199361575629209E-2</v>
      </c>
      <c r="U63" s="2">
        <v>58</v>
      </c>
      <c r="V63" s="5">
        <v>-0.71818970267673565</v>
      </c>
      <c r="W63" s="5">
        <v>-0.80800646173884161</v>
      </c>
    </row>
    <row r="64" spans="1:23" x14ac:dyDescent="0.3">
      <c r="A64" s="2">
        <v>59</v>
      </c>
      <c r="B64" s="5">
        <v>8.6499999999999994E-2</v>
      </c>
      <c r="C64" s="5">
        <v>3.4200000000000001E-2</v>
      </c>
      <c r="D64" s="5"/>
      <c r="E64" s="5">
        <f t="shared" si="5"/>
        <v>5.024319413926441E-2</v>
      </c>
      <c r="F64" s="5">
        <f t="shared" si="3"/>
        <v>3.6256805860735583E-2</v>
      </c>
      <c r="U64" s="2">
        <v>59</v>
      </c>
      <c r="V64" s="5">
        <v>0.9472963938282013</v>
      </c>
      <c r="W64" s="5">
        <v>0.86709178503951989</v>
      </c>
    </row>
    <row r="65" spans="1:23" x14ac:dyDescent="0.3">
      <c r="A65" s="2">
        <v>60</v>
      </c>
      <c r="B65" s="5">
        <v>7.1900000000000006E-2</v>
      </c>
      <c r="C65" s="5">
        <v>7.4999999999999997E-3</v>
      </c>
      <c r="D65" s="5"/>
      <c r="E65" s="5">
        <f t="shared" si="5"/>
        <v>1.0018633709761686E-2</v>
      </c>
      <c r="F65" s="5">
        <f t="shared" si="3"/>
        <v>6.188136629023832E-2</v>
      </c>
      <c r="U65" s="2">
        <v>60</v>
      </c>
      <c r="V65" s="5">
        <v>0.76797414449949886</v>
      </c>
      <c r="W65" s="5">
        <v>0.69752104536746629</v>
      </c>
    </row>
    <row r="66" spans="1:23" x14ac:dyDescent="0.3">
      <c r="A66" s="2"/>
    </row>
  </sheetData>
  <printOptions headings="1" gridLines="1"/>
  <pageMargins left="0.75" right="0.75" top="1" bottom="1" header="0.5" footer="0.5"/>
  <pageSetup paperSize="9" scale="63" orientation="landscape" horizontalDpi="300" verticalDpi="300" r:id="rId1"/>
  <headerFooter alignWithMargins="0">
    <oddHeader>&amp;L&amp;F&amp;C&amp;A</oddHeader>
    <oddFooter>Prepared by Mike Staunton &amp;D&amp;RPage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76"/>
  <sheetViews>
    <sheetView workbookViewId="0"/>
  </sheetViews>
  <sheetFormatPr defaultRowHeight="13" x14ac:dyDescent="0.3"/>
  <cols>
    <col min="1" max="1" width="10.796875" customWidth="1"/>
    <col min="2" max="2" width="7.796875" customWidth="1"/>
    <col min="5" max="5" width="10.796875" customWidth="1"/>
    <col min="6" max="6" width="11.796875" customWidth="1"/>
    <col min="9" max="9" width="11.296875" customWidth="1"/>
    <col min="10" max="10" width="9.19921875" customWidth="1"/>
    <col min="11" max="11" width="5" customWidth="1"/>
    <col min="12" max="12" width="13.69921875" customWidth="1"/>
    <col min="15" max="15" width="10.796875" customWidth="1"/>
    <col min="16" max="16" width="11.796875" customWidth="1"/>
    <col min="19" max="19" width="11.296875" customWidth="1"/>
    <col min="21" max="21" width="5" customWidth="1"/>
    <col min="22" max="22" width="16.796875" customWidth="1"/>
    <col min="25" max="25" width="10.796875" customWidth="1"/>
    <col min="26" max="26" width="11.796875" customWidth="1"/>
    <col min="29" max="29" width="11.296875" customWidth="1"/>
  </cols>
  <sheetData>
    <row r="1" spans="1:30" x14ac:dyDescent="0.3">
      <c r="A1" s="6" t="s">
        <v>0</v>
      </c>
      <c r="L1" s="6" t="s">
        <v>0</v>
      </c>
      <c r="N1" s="17"/>
      <c r="V1" s="6" t="s">
        <v>0</v>
      </c>
    </row>
    <row r="2" spans="1:30" x14ac:dyDescent="0.3">
      <c r="A2" s="9" t="s">
        <v>64</v>
      </c>
      <c r="L2" s="6" t="s">
        <v>65</v>
      </c>
      <c r="V2" s="9" t="s">
        <v>66</v>
      </c>
    </row>
    <row r="4" spans="1:30" x14ac:dyDescent="0.3">
      <c r="B4" s="8" t="s">
        <v>7</v>
      </c>
      <c r="C4" s="16" t="s">
        <v>67</v>
      </c>
      <c r="D4" s="16" t="s">
        <v>68</v>
      </c>
      <c r="E4" s="8" t="s">
        <v>69</v>
      </c>
      <c r="F4" s="16" t="s">
        <v>70</v>
      </c>
      <c r="G4" s="8" t="s">
        <v>71</v>
      </c>
      <c r="H4" s="8" t="s">
        <v>72</v>
      </c>
      <c r="I4" s="8" t="s">
        <v>73</v>
      </c>
      <c r="J4" s="8" t="s">
        <v>74</v>
      </c>
      <c r="M4" s="16" t="s">
        <v>67</v>
      </c>
      <c r="N4" s="16" t="s">
        <v>68</v>
      </c>
      <c r="O4" s="8" t="s">
        <v>69</v>
      </c>
      <c r="P4" s="16" t="s">
        <v>70</v>
      </c>
      <c r="Q4" s="8" t="s">
        <v>71</v>
      </c>
      <c r="R4" s="8" t="s">
        <v>72</v>
      </c>
      <c r="S4" s="8" t="s">
        <v>73</v>
      </c>
      <c r="T4" s="8" t="s">
        <v>74</v>
      </c>
      <c r="W4" s="16" t="s">
        <v>67</v>
      </c>
      <c r="X4" s="16" t="s">
        <v>68</v>
      </c>
      <c r="Y4" s="8" t="s">
        <v>69</v>
      </c>
      <c r="Z4" s="16" t="s">
        <v>70</v>
      </c>
      <c r="AA4" s="8" t="s">
        <v>71</v>
      </c>
      <c r="AB4" s="8" t="s">
        <v>72</v>
      </c>
      <c r="AC4" s="8" t="s">
        <v>73</v>
      </c>
      <c r="AD4" s="8" t="s">
        <v>74</v>
      </c>
    </row>
    <row r="5" spans="1:30" x14ac:dyDescent="0.3">
      <c r="L5" s="16" t="s">
        <v>67</v>
      </c>
      <c r="M5" s="17">
        <f t="array" ref="M5:T12">CorrMatrix(C13:J72)</f>
        <v>1</v>
      </c>
      <c r="N5" s="17">
        <v>0.73321170131353863</v>
      </c>
      <c r="O5" s="17">
        <v>0.75493475146299394</v>
      </c>
      <c r="P5" s="17">
        <v>0.67205414938424879</v>
      </c>
      <c r="Q5" s="17">
        <v>0.43016528783584917</v>
      </c>
      <c r="R5" s="17">
        <v>0.54908928010999114</v>
      </c>
      <c r="S5" s="17">
        <v>0.58057748622315153</v>
      </c>
      <c r="T5" s="17">
        <v>0.45081815301278233</v>
      </c>
    </row>
    <row r="6" spans="1:30" x14ac:dyDescent="0.3">
      <c r="A6" s="6" t="s">
        <v>16</v>
      </c>
      <c r="C6" s="3">
        <f t="shared" ref="C6:J6" si="0">PortfolioAlpha(C13:C72,$B13:$B72)</f>
        <v>3.5223782395081681E-3</v>
      </c>
      <c r="D6" s="3">
        <f t="shared" si="0"/>
        <v>-2.4712586644343709E-3</v>
      </c>
      <c r="E6" s="3">
        <f t="shared" si="0"/>
        <v>-5.7609310460969478E-3</v>
      </c>
      <c r="F6" s="3">
        <f t="shared" si="0"/>
        <v>-9.9122162380162263E-3</v>
      </c>
      <c r="G6" s="3">
        <f t="shared" si="0"/>
        <v>1.4853457475328622E-2</v>
      </c>
      <c r="H6" s="3">
        <f t="shared" si="0"/>
        <v>1.0869099442050055E-3</v>
      </c>
      <c r="I6" s="3">
        <f t="shared" si="0"/>
        <v>-6.4098770117994768E-3</v>
      </c>
      <c r="J6" s="3">
        <f t="shared" si="0"/>
        <v>-6.015305106630355E-3</v>
      </c>
      <c r="L6" s="16" t="s">
        <v>68</v>
      </c>
      <c r="M6" s="17">
        <v>0.73321170131353863</v>
      </c>
      <c r="N6" s="17">
        <v>1</v>
      </c>
      <c r="O6" s="17">
        <v>0.61542489606446382</v>
      </c>
      <c r="P6" s="17">
        <v>0.6289531102123076</v>
      </c>
      <c r="Q6" s="17">
        <v>0.43282076050310492</v>
      </c>
      <c r="R6" s="17">
        <v>0.55732648541782881</v>
      </c>
      <c r="S6" s="17">
        <v>0.57740664826697641</v>
      </c>
      <c r="T6" s="17">
        <v>0.40413387956772295</v>
      </c>
      <c r="V6" s="26" t="s">
        <v>75</v>
      </c>
      <c r="W6" s="29">
        <v>1000</v>
      </c>
      <c r="X6" s="29">
        <v>1000</v>
      </c>
      <c r="Y6" s="29">
        <v>1000</v>
      </c>
      <c r="Z6" s="29">
        <v>1000</v>
      </c>
      <c r="AA6" s="29">
        <v>1000</v>
      </c>
      <c r="AB6" s="29">
        <v>1000</v>
      </c>
      <c r="AC6" s="29">
        <v>1000</v>
      </c>
      <c r="AD6" s="29">
        <v>1000</v>
      </c>
    </row>
    <row r="7" spans="1:30" x14ac:dyDescent="0.3">
      <c r="A7" s="9" t="s">
        <v>19</v>
      </c>
      <c r="C7" s="3">
        <f>PortfolioAlphaStdError(C13:C72,$B13:$B72)</f>
        <v>4.9845347698960563E-3</v>
      </c>
      <c r="D7" s="3">
        <f t="shared" ref="D7:J7" si="1">PortfolioAlphaStdError(D13:D72,$B13:$B72)</f>
        <v>6.2208292211986312E-3</v>
      </c>
      <c r="E7" s="3">
        <f t="shared" si="1"/>
        <v>6.2430086355962965E-3</v>
      </c>
      <c r="F7" s="3">
        <f t="shared" si="1"/>
        <v>6.8392441999077487E-3</v>
      </c>
      <c r="G7" s="3">
        <f t="shared" si="1"/>
        <v>5.4169229446712269E-3</v>
      </c>
      <c r="H7" s="3">
        <f t="shared" si="1"/>
        <v>5.4782931427968572E-3</v>
      </c>
      <c r="I7" s="3">
        <f t="shared" si="1"/>
        <v>5.1579444063808199E-3</v>
      </c>
      <c r="J7" s="3">
        <f t="shared" si="1"/>
        <v>9.37544077016449E-3</v>
      </c>
      <c r="L7" s="8" t="s">
        <v>69</v>
      </c>
      <c r="M7" s="17">
        <v>0.75493475146299394</v>
      </c>
      <c r="N7" s="17">
        <v>0.61542489606446382</v>
      </c>
      <c r="O7" s="17">
        <v>1</v>
      </c>
      <c r="P7" s="17">
        <v>0.82151337142431236</v>
      </c>
      <c r="Q7" s="17">
        <v>0.46304510623745626</v>
      </c>
      <c r="R7" s="17">
        <v>0.53675478961279122</v>
      </c>
      <c r="S7" s="17">
        <v>0.60134898775969203</v>
      </c>
      <c r="T7" s="17">
        <v>0.35619458447024138</v>
      </c>
      <c r="V7" s="27"/>
    </row>
    <row r="8" spans="1:30" x14ac:dyDescent="0.3">
      <c r="A8" s="9" t="s">
        <v>15</v>
      </c>
      <c r="C8" s="17">
        <f>PortfolioBeta(C13:C72,$B13:$B72)</f>
        <v>1.1264798880674152</v>
      </c>
      <c r="D8" s="17">
        <f t="shared" ref="D8:J8" si="2">PortfolioBeta(D13:D72,$B13:$B72)</f>
        <v>1.2598469074272522</v>
      </c>
      <c r="E8" s="17">
        <f t="shared" si="2"/>
        <v>1.1328934153028494</v>
      </c>
      <c r="F8" s="17">
        <f t="shared" si="2"/>
        <v>1.1115314302245436</v>
      </c>
      <c r="G8" s="17">
        <f t="shared" si="2"/>
        <v>0.90692109533337872</v>
      </c>
      <c r="H8" s="17">
        <f t="shared" si="2"/>
        <v>1.0495490179337794</v>
      </c>
      <c r="I8" s="17">
        <f t="shared" si="2"/>
        <v>1.1580881584246461</v>
      </c>
      <c r="J8" s="17">
        <f t="shared" si="2"/>
        <v>1.0379763897252661</v>
      </c>
      <c r="L8" s="16" t="s">
        <v>70</v>
      </c>
      <c r="M8" s="17">
        <v>0.67205414938424879</v>
      </c>
      <c r="N8" s="17">
        <v>0.6289531102123076</v>
      </c>
      <c r="O8" s="17">
        <v>0.82151337142431236</v>
      </c>
      <c r="P8" s="17">
        <v>1</v>
      </c>
      <c r="Q8" s="17">
        <v>0.39062032847212458</v>
      </c>
      <c r="R8" s="17">
        <v>0.58942875506488623</v>
      </c>
      <c r="S8" s="17">
        <v>0.61917603976854241</v>
      </c>
      <c r="T8" s="17">
        <v>0.30847042042739153</v>
      </c>
      <c r="V8" s="26" t="s">
        <v>76</v>
      </c>
      <c r="W8" s="5">
        <f>AVERAGE(C13:C72)</f>
        <v>9.9583333333333347E-3</v>
      </c>
      <c r="X8" s="5">
        <f t="shared" ref="X8:AD8" si="3">AVERAGE(D13:D72)</f>
        <v>4.7266666666666646E-3</v>
      </c>
      <c r="Y8" s="5">
        <f t="shared" si="3"/>
        <v>7.11666666666666E-4</v>
      </c>
      <c r="Z8" s="5">
        <f t="shared" si="3"/>
        <v>-3.5616666666666652E-3</v>
      </c>
      <c r="AA8" s="5">
        <f t="shared" si="3"/>
        <v>2.0034999999999994E-2</v>
      </c>
      <c r="AB8" s="5">
        <f t="shared" si="3"/>
        <v>7.083333333333333E-3</v>
      </c>
      <c r="AC8" s="5">
        <f t="shared" si="3"/>
        <v>2.0666666666666796E-4</v>
      </c>
      <c r="AD8" s="5">
        <f t="shared" si="3"/>
        <v>-8.5000000000000643E-5</v>
      </c>
    </row>
    <row r="9" spans="1:30" x14ac:dyDescent="0.3">
      <c r="A9" s="9" t="s">
        <v>18</v>
      </c>
      <c r="C9" s="17">
        <f>PortfolioBetaStdError(C13:C72,$B13:$B72)</f>
        <v>0.10721301572308214</v>
      </c>
      <c r="D9" s="17">
        <f t="shared" ref="D9:J9" si="4">PortfolioBetaStdError(D13:D72,$B13:$B72)</f>
        <v>0.13380463611790311</v>
      </c>
      <c r="E9" s="17">
        <f t="shared" si="4"/>
        <v>0.13428169606719007</v>
      </c>
      <c r="F9" s="17">
        <f t="shared" si="4"/>
        <v>0.14710620545114558</v>
      </c>
      <c r="G9" s="17">
        <f t="shared" si="4"/>
        <v>0.11651330999740855</v>
      </c>
      <c r="H9" s="17">
        <f t="shared" si="4"/>
        <v>0.11783332968235682</v>
      </c>
      <c r="I9" s="17">
        <f t="shared" si="4"/>
        <v>0.1109429064633894</v>
      </c>
      <c r="J9" s="17">
        <f t="shared" si="4"/>
        <v>0.20165759195284577</v>
      </c>
      <c r="L9" s="8" t="s">
        <v>71</v>
      </c>
      <c r="M9" s="17">
        <v>0.43016528783584917</v>
      </c>
      <c r="N9" s="17">
        <v>0.43282076050310492</v>
      </c>
      <c r="O9" s="17">
        <v>0.46304510623745626</v>
      </c>
      <c r="P9" s="17">
        <v>0.39062032847212458</v>
      </c>
      <c r="Q9" s="17">
        <v>1</v>
      </c>
      <c r="R9" s="17">
        <v>0.55338418909339959</v>
      </c>
      <c r="S9" s="17">
        <v>0.61581655174444194</v>
      </c>
      <c r="T9" s="17">
        <v>0.42462394430859224</v>
      </c>
    </row>
    <row r="10" spans="1:30" x14ac:dyDescent="0.3">
      <c r="A10" s="9" t="s">
        <v>77</v>
      </c>
      <c r="B10" s="3">
        <f t="shared" ref="B10:J10" si="5">STDEV(B13:B72)*SQRT(12)</f>
        <v>0.16118070877544846</v>
      </c>
      <c r="C10" s="3">
        <f t="shared" si="5"/>
        <v>0.22424665558793264</v>
      </c>
      <c r="D10" s="3">
        <f t="shared" si="5"/>
        <v>0.2611738160105096</v>
      </c>
      <c r="E10" s="3">
        <f t="shared" si="5"/>
        <v>0.24599359306800753</v>
      </c>
      <c r="F10" s="3">
        <f t="shared" si="5"/>
        <v>0.25437133746166035</v>
      </c>
      <c r="G10" s="3">
        <f t="shared" si="5"/>
        <v>0.20450753241276795</v>
      </c>
      <c r="H10" s="3">
        <f t="shared" si="5"/>
        <v>0.22257330614916399</v>
      </c>
      <c r="I10" s="3">
        <f t="shared" si="5"/>
        <v>0.23105979738176369</v>
      </c>
      <c r="J10" s="3">
        <f t="shared" si="5"/>
        <v>0.29877227987271332</v>
      </c>
      <c r="L10" s="8" t="s">
        <v>72</v>
      </c>
      <c r="M10" s="17">
        <v>0.54908928010999114</v>
      </c>
      <c r="N10" s="17">
        <v>0.55732648541782881</v>
      </c>
      <c r="O10" s="17">
        <v>0.53675478961279122</v>
      </c>
      <c r="P10" s="17">
        <v>0.58942875506488623</v>
      </c>
      <c r="Q10" s="17">
        <v>0.55338418909339959</v>
      </c>
      <c r="R10" s="17">
        <v>1</v>
      </c>
      <c r="S10" s="17">
        <v>0.70553237407306801</v>
      </c>
      <c r="T10" s="17">
        <v>0.2238138335683926</v>
      </c>
      <c r="V10" s="26" t="s">
        <v>78</v>
      </c>
      <c r="W10" s="5">
        <f>VARP(C13:C72)</f>
        <v>4.1207044305555558E-3</v>
      </c>
      <c r="X10" s="5">
        <f t="shared" ref="X10:AD10" si="6">VARP(D13:D72)</f>
        <v>5.5895749555555565E-3</v>
      </c>
      <c r="Y10" s="5">
        <f t="shared" si="6"/>
        <v>4.9586916972222221E-3</v>
      </c>
      <c r="Z10" s="5">
        <f t="shared" si="6"/>
        <v>5.302197030555557E-3</v>
      </c>
      <c r="AA10" s="5">
        <f t="shared" si="6"/>
        <v>3.4271896083333349E-3</v>
      </c>
      <c r="AB10" s="5">
        <f t="shared" si="6"/>
        <v>4.0594357222222223E-3</v>
      </c>
      <c r="AC10" s="5">
        <f t="shared" si="6"/>
        <v>4.374901622222223E-3</v>
      </c>
      <c r="AD10" s="5">
        <f t="shared" si="6"/>
        <v>7.3147606083333299E-3</v>
      </c>
    </row>
    <row r="11" spans="1:30" x14ac:dyDescent="0.3">
      <c r="A11" s="9" t="s">
        <v>79</v>
      </c>
      <c r="C11" s="3">
        <f>PortfolioSpecificRisk(C13:C72,$B13:$B72,12)</f>
        <v>0.13273534384771848</v>
      </c>
      <c r="D11" s="3">
        <f t="shared" ref="D11:J11" si="7">PortfolioSpecificRisk(D13:D72,$B13:$B72,12)</f>
        <v>0.16565716637802783</v>
      </c>
      <c r="E11" s="3">
        <f t="shared" si="7"/>
        <v>0.16624779164845349</v>
      </c>
      <c r="F11" s="3">
        <f t="shared" si="7"/>
        <v>0.18212520775578842</v>
      </c>
      <c r="G11" s="3">
        <f t="shared" si="7"/>
        <v>0.14424959657218436</v>
      </c>
      <c r="H11" s="3">
        <f t="shared" si="7"/>
        <v>0.14588385026410475</v>
      </c>
      <c r="I11" s="3">
        <f t="shared" si="7"/>
        <v>0.13735314446259791</v>
      </c>
      <c r="J11" s="3">
        <f t="shared" si="7"/>
        <v>0.24966268905726854</v>
      </c>
      <c r="L11" s="8" t="s">
        <v>73</v>
      </c>
      <c r="M11" s="17">
        <v>0.58057748622315153</v>
      </c>
      <c r="N11" s="17">
        <v>0.57740664826697641</v>
      </c>
      <c r="O11" s="17">
        <v>0.60134898775969203</v>
      </c>
      <c r="P11" s="17">
        <v>0.61917603976854241</v>
      </c>
      <c r="Q11" s="17">
        <v>0.61581655174444194</v>
      </c>
      <c r="R11" s="17">
        <v>0.70553237407306801</v>
      </c>
      <c r="S11" s="17">
        <v>1</v>
      </c>
      <c r="T11" s="17">
        <v>0.46097679943591879</v>
      </c>
      <c r="V11" s="28"/>
    </row>
    <row r="12" spans="1:30" x14ac:dyDescent="0.3">
      <c r="L12" s="8" t="s">
        <v>74</v>
      </c>
      <c r="M12" s="17">
        <v>0.45081815301278233</v>
      </c>
      <c r="N12" s="17">
        <v>0.40413387956772295</v>
      </c>
      <c r="O12" s="17">
        <v>0.35619458447024138</v>
      </c>
      <c r="P12" s="17">
        <v>0.30847042042739153</v>
      </c>
      <c r="Q12" s="17">
        <v>0.42462394430859224</v>
      </c>
      <c r="R12" s="17">
        <v>0.2238138335683926</v>
      </c>
      <c r="S12" s="17">
        <v>0.46097679943591879</v>
      </c>
      <c r="T12" s="17">
        <v>1</v>
      </c>
      <c r="V12" s="7" t="s">
        <v>80</v>
      </c>
      <c r="W12" s="3">
        <f>EXP(W8+0.5*W10)-1</f>
        <v>1.209120016871279E-2</v>
      </c>
      <c r="X12" s="3">
        <f t="shared" ref="X12:AD12" si="8">EXP(X8+0.5*X10)-1</f>
        <v>7.5498113318452909E-3</v>
      </c>
      <c r="Y12" s="3">
        <f t="shared" si="8"/>
        <v>3.1961092154835224E-3</v>
      </c>
      <c r="Z12" s="3">
        <f t="shared" si="8"/>
        <v>-9.1015371001168521E-4</v>
      </c>
      <c r="AA12" s="3">
        <f t="shared" si="8"/>
        <v>2.1986819374147704E-2</v>
      </c>
      <c r="AB12" s="3">
        <f t="shared" si="8"/>
        <v>9.1547014697037632E-3</v>
      </c>
      <c r="AC12" s="3">
        <f t="shared" si="8"/>
        <v>2.3969856654959543E-3</v>
      </c>
      <c r="AD12" s="3">
        <f t="shared" si="8"/>
        <v>3.578768859870296E-3</v>
      </c>
    </row>
    <row r="13" spans="1:30" x14ac:dyDescent="0.3">
      <c r="A13" s="2">
        <v>1</v>
      </c>
      <c r="B13" s="5">
        <v>-5.91E-2</v>
      </c>
      <c r="C13" s="5">
        <v>-4.8599999999999997E-2</v>
      </c>
      <c r="D13" s="5">
        <v>-7.2999999999999995E-2</v>
      </c>
      <c r="E13" s="5">
        <v>-7.9500000000000001E-2</v>
      </c>
      <c r="F13" s="5">
        <v>-8.5400000000000004E-2</v>
      </c>
      <c r="G13" s="5">
        <v>-5.1200000000000002E-2</v>
      </c>
      <c r="H13" s="5">
        <v>-0.1085</v>
      </c>
      <c r="I13" s="5">
        <v>-9.6199999999999994E-2</v>
      </c>
      <c r="J13" s="5">
        <v>-0.1091</v>
      </c>
    </row>
    <row r="14" spans="1:30" x14ac:dyDescent="0.3">
      <c r="A14" s="2">
        <v>2</v>
      </c>
      <c r="B14" s="5">
        <v>2.8500000000000001E-2</v>
      </c>
      <c r="C14" s="5">
        <v>7.5800000000000006E-2</v>
      </c>
      <c r="D14" s="5">
        <v>7.4800000000000005E-2</v>
      </c>
      <c r="E14" s="5">
        <v>7.6200000000000004E-2</v>
      </c>
      <c r="F14" s="5">
        <v>-2.1999999999999999E-2</v>
      </c>
      <c r="G14" s="5">
        <v>9.4600000000000004E-2</v>
      </c>
      <c r="H14" s="5">
        <v>-1.2999999999999999E-2</v>
      </c>
      <c r="I14" s="5">
        <v>7.9000000000000008E-3</v>
      </c>
      <c r="J14" s="5">
        <v>3.5700000000000003E-2</v>
      </c>
    </row>
    <row r="15" spans="1:30" x14ac:dyDescent="0.3">
      <c r="A15" s="2">
        <v>3</v>
      </c>
      <c r="B15" s="5">
        <v>-3.5000000000000001E-3</v>
      </c>
      <c r="C15" s="5">
        <v>5.1299999999999998E-2</v>
      </c>
      <c r="D15" s="5">
        <v>1.9E-3</v>
      </c>
      <c r="E15" s="5">
        <v>-1.5100000000000001E-2</v>
      </c>
      <c r="F15" s="5">
        <v>-1.12E-2</v>
      </c>
      <c r="G15" s="5">
        <v>-6.1699999999999998E-2</v>
      </c>
      <c r="H15" s="5">
        <v>1.54E-2</v>
      </c>
      <c r="I15" s="5">
        <v>-1.32E-2</v>
      </c>
      <c r="J15" s="5">
        <v>0</v>
      </c>
      <c r="V15" s="9" t="s">
        <v>81</v>
      </c>
      <c r="W15" s="30">
        <v>1</v>
      </c>
    </row>
    <row r="16" spans="1:30" x14ac:dyDescent="0.3">
      <c r="A16" s="2">
        <v>4</v>
      </c>
      <c r="B16" s="5">
        <v>-2.9899999999999999E-2</v>
      </c>
      <c r="C16" s="5">
        <v>-6.0999999999999999E-2</v>
      </c>
      <c r="D16" s="5">
        <v>-8.8200000000000001E-2</v>
      </c>
      <c r="E16" s="5">
        <v>-2.6800000000000001E-2</v>
      </c>
      <c r="F16" s="5">
        <v>-1.7100000000000001E-2</v>
      </c>
      <c r="G16" s="5">
        <v>-4.5999999999999999E-2</v>
      </c>
      <c r="H16" s="5">
        <v>-1.95E-2</v>
      </c>
      <c r="I16" s="5">
        <v>-3.3399999999999999E-2</v>
      </c>
      <c r="J16" s="5">
        <v>-5.4199999999999998E-2</v>
      </c>
      <c r="L16" s="9" t="s">
        <v>82</v>
      </c>
    </row>
    <row r="17" spans="1:32" x14ac:dyDescent="0.3">
      <c r="A17" s="2">
        <v>5</v>
      </c>
      <c r="B17" s="5">
        <v>-6.1000000000000004E-3</v>
      </c>
      <c r="C17" s="5">
        <v>-2.0799999999999999E-2</v>
      </c>
      <c r="D17" s="5">
        <v>-2.47E-2</v>
      </c>
      <c r="E17" s="5">
        <v>-0.12889999999999999</v>
      </c>
      <c r="F17" s="5">
        <v>-0.16189999999999999</v>
      </c>
      <c r="G17" s="5">
        <v>-2.76E-2</v>
      </c>
      <c r="H17" s="5">
        <v>-7.5200000000000003E-2</v>
      </c>
      <c r="I17" s="5">
        <v>-0.10929999999999999</v>
      </c>
      <c r="J17" s="5">
        <v>5.1999999999999998E-3</v>
      </c>
      <c r="V17" s="9" t="s">
        <v>83</v>
      </c>
      <c r="W17" s="22">
        <v>0.95</v>
      </c>
    </row>
    <row r="18" spans="1:32" x14ac:dyDescent="0.3">
      <c r="A18" s="2">
        <v>6</v>
      </c>
      <c r="B18" s="5">
        <v>-1.77E-2</v>
      </c>
      <c r="C18" s="5">
        <v>-7.4300000000000005E-2</v>
      </c>
      <c r="D18" s="5">
        <v>-4.6399999999999997E-2</v>
      </c>
      <c r="E18" s="5">
        <v>-1.24E-2</v>
      </c>
      <c r="F18" s="5">
        <v>-4.2799999999999998E-2</v>
      </c>
      <c r="G18" s="5">
        <v>1.4200000000000001E-2</v>
      </c>
      <c r="H18" s="5">
        <v>3.3399999999999999E-2</v>
      </c>
      <c r="I18" s="5">
        <v>-9.3200000000000005E-2</v>
      </c>
      <c r="J18" s="5">
        <v>-7.7700000000000005E-2</v>
      </c>
      <c r="M18" s="16" t="s">
        <v>67</v>
      </c>
      <c r="N18" s="16" t="s">
        <v>68</v>
      </c>
      <c r="O18" s="8" t="s">
        <v>69</v>
      </c>
      <c r="P18" s="16" t="s">
        <v>70</v>
      </c>
      <c r="Q18" s="8" t="s">
        <v>71</v>
      </c>
      <c r="R18" s="8" t="s">
        <v>72</v>
      </c>
      <c r="S18" s="8" t="s">
        <v>73</v>
      </c>
      <c r="T18" s="8" t="s">
        <v>74</v>
      </c>
    </row>
    <row r="19" spans="1:32" x14ac:dyDescent="0.3">
      <c r="A19" s="2">
        <v>7</v>
      </c>
      <c r="B19" s="5">
        <v>-3.8199999999999998E-2</v>
      </c>
      <c r="C19" s="5">
        <v>-0.1124</v>
      </c>
      <c r="D19" s="5">
        <v>-4.87E-2</v>
      </c>
      <c r="E19" s="5">
        <v>-0.12809999999999999</v>
      </c>
      <c r="F19" s="5">
        <v>-6.9199999999999998E-2</v>
      </c>
      <c r="G19" s="5">
        <v>7.0000000000000001E-3</v>
      </c>
      <c r="H19" s="5">
        <v>-1.8499999999999999E-2</v>
      </c>
      <c r="I19" s="5">
        <v>-6.8999999999999999E-3</v>
      </c>
      <c r="J19" s="5">
        <v>-4.4999999999999998E-2</v>
      </c>
      <c r="L19" s="16" t="s">
        <v>67</v>
      </c>
      <c r="M19" s="5">
        <f t="array" ref="M19:T26">VCVMatrix(C13:J72)</f>
        <v>4.1905468785310733E-3</v>
      </c>
      <c r="N19" s="5">
        <v>3.5785225711943308E-3</v>
      </c>
      <c r="O19" s="5">
        <v>3.4703873567517797E-3</v>
      </c>
      <c r="P19" s="5">
        <v>3.1946050902896127E-3</v>
      </c>
      <c r="Q19" s="5">
        <v>1.6439530476694704E-3</v>
      </c>
      <c r="R19" s="5">
        <v>2.2838142634899212E-3</v>
      </c>
      <c r="S19" s="5">
        <v>2.506855596491258E-3</v>
      </c>
      <c r="T19" s="5">
        <v>2.5170186617053162E-3</v>
      </c>
      <c r="V19" s="31" t="s">
        <v>84</v>
      </c>
      <c r="W19" s="17">
        <f>-NORMSINV(1-W17)</f>
        <v>1.6448530004709028</v>
      </c>
    </row>
    <row r="20" spans="1:32" x14ac:dyDescent="0.3">
      <c r="A20" s="2">
        <v>8</v>
      </c>
      <c r="B20" s="5">
        <v>0.11459999999999999</v>
      </c>
      <c r="C20" s="5">
        <v>0.1661</v>
      </c>
      <c r="D20" s="5">
        <v>0.14419999999999999</v>
      </c>
      <c r="E20" s="5">
        <v>0.2467</v>
      </c>
      <c r="F20" s="5">
        <v>0.26629999999999998</v>
      </c>
      <c r="G20" s="5">
        <v>9.0200000000000002E-2</v>
      </c>
      <c r="H20" s="5">
        <v>9.9000000000000005E-2</v>
      </c>
      <c r="I20" s="5">
        <v>0.17249999999999999</v>
      </c>
      <c r="J20" s="5">
        <v>5.1999999999999998E-2</v>
      </c>
      <c r="L20" s="16" t="s">
        <v>68</v>
      </c>
      <c r="M20" s="5">
        <v>3.5785225711943308E-3</v>
      </c>
      <c r="N20" s="5">
        <v>5.6843135141242951E-3</v>
      </c>
      <c r="O20" s="5">
        <v>3.2949380672580094E-3</v>
      </c>
      <c r="P20" s="5">
        <v>3.4820487044874338E-3</v>
      </c>
      <c r="Q20" s="5">
        <v>1.9264857069479469E-3</v>
      </c>
      <c r="R20" s="5">
        <v>2.6997972960066006E-3</v>
      </c>
      <c r="S20" s="5">
        <v>2.9037188714899375E-3</v>
      </c>
      <c r="T20" s="5">
        <v>2.6279310118072991E-3</v>
      </c>
    </row>
    <row r="21" spans="1:32" x14ac:dyDescent="0.3">
      <c r="A21" s="2">
        <v>9</v>
      </c>
      <c r="B21" s="5">
        <v>1.5800000000000002E-2</v>
      </c>
      <c r="C21" s="5">
        <v>-5.5999999999999999E-3</v>
      </c>
      <c r="D21" s="5">
        <v>1.2200000000000001E-2</v>
      </c>
      <c r="E21" s="5">
        <v>-1.6899999999999998E-2</v>
      </c>
      <c r="F21" s="5">
        <v>5.8700000000000002E-2</v>
      </c>
      <c r="G21" s="5">
        <v>6.4000000000000003E-3</v>
      </c>
      <c r="H21" s="5">
        <v>0.03</v>
      </c>
      <c r="I21" s="5">
        <v>1.47E-2</v>
      </c>
      <c r="J21" s="5">
        <v>-8.5699999999999998E-2</v>
      </c>
      <c r="L21" s="8" t="s">
        <v>69</v>
      </c>
      <c r="M21" s="5">
        <v>3.4703873567517797E-3</v>
      </c>
      <c r="N21" s="5">
        <v>3.2949380672580094E-3</v>
      </c>
      <c r="O21" s="5">
        <v>5.0427373192090405E-3</v>
      </c>
      <c r="P21" s="5">
        <v>4.2837623591949975E-3</v>
      </c>
      <c r="Q21" s="5">
        <v>1.9412218344179275E-3</v>
      </c>
      <c r="R21" s="5">
        <v>2.449015679858009E-3</v>
      </c>
      <c r="S21" s="5">
        <v>2.8483511752546145E-3</v>
      </c>
      <c r="T21" s="5">
        <v>2.1815751282839896E-3</v>
      </c>
      <c r="V21" s="9" t="s">
        <v>85</v>
      </c>
      <c r="W21" s="17">
        <f>W6*$W$19*SQRT(W10*$W$15)</f>
        <v>105.58757694841835</v>
      </c>
      <c r="X21" s="17">
        <f t="shared" ref="X21:AD21" si="9">X6*$W$19*SQRT(X10*$W$15)</f>
        <v>122.97490155481151</v>
      </c>
      <c r="Y21" s="17">
        <f t="shared" si="9"/>
        <v>115.82722323678607</v>
      </c>
      <c r="Z21" s="17">
        <f t="shared" si="9"/>
        <v>119.77192300722315</v>
      </c>
      <c r="AA21" s="17">
        <f t="shared" si="9"/>
        <v>96.293319329781355</v>
      </c>
      <c r="AB21" s="17">
        <f t="shared" si="9"/>
        <v>104.79967261082926</v>
      </c>
      <c r="AC21" s="17">
        <f t="shared" si="9"/>
        <v>108.79557633432016</v>
      </c>
      <c r="AD21" s="17">
        <f t="shared" si="9"/>
        <v>140.67831249659054</v>
      </c>
      <c r="AF21" s="17"/>
    </row>
    <row r="22" spans="1:32" x14ac:dyDescent="0.3">
      <c r="A22" s="2">
        <v>10</v>
      </c>
      <c r="B22" s="5">
        <v>-1.95E-2</v>
      </c>
      <c r="C22" s="5">
        <v>2.8E-3</v>
      </c>
      <c r="D22" s="5">
        <v>-4.0399999999999998E-2</v>
      </c>
      <c r="E22" s="5">
        <v>3.4299999999999997E-2</v>
      </c>
      <c r="F22" s="5">
        <v>3.44E-2</v>
      </c>
      <c r="G22" s="5">
        <v>-6.4000000000000003E-3</v>
      </c>
      <c r="H22" s="5">
        <v>-8.3299999999999999E-2</v>
      </c>
      <c r="I22" s="5">
        <v>-7.2400000000000006E-2</v>
      </c>
      <c r="J22" s="5">
        <v>-6.3E-3</v>
      </c>
      <c r="L22" s="16" t="s">
        <v>70</v>
      </c>
      <c r="M22" s="5">
        <v>3.1946050902896127E-3</v>
      </c>
      <c r="N22" s="5">
        <v>3.4820487044874338E-3</v>
      </c>
      <c r="O22" s="5">
        <v>4.2837623591949975E-3</v>
      </c>
      <c r="P22" s="5">
        <v>5.392064776836159E-3</v>
      </c>
      <c r="Q22" s="5">
        <v>1.6933669810509791E-3</v>
      </c>
      <c r="R22" s="5">
        <v>2.7809381736473644E-3</v>
      </c>
      <c r="S22" s="5">
        <v>3.0326721852988879E-3</v>
      </c>
      <c r="T22" s="5">
        <v>1.9536230211542735E-3</v>
      </c>
      <c r="V22" s="19" t="s">
        <v>43</v>
      </c>
      <c r="W22" s="17">
        <f>VaRAssetNormRel(W6,W10,$W$15,$W$17)</f>
        <v>105.58757694841835</v>
      </c>
      <c r="X22" s="17">
        <f t="shared" ref="X22:AD22" si="10">VaRAssetNormRel(X6,X10,$W$15,$W$17)</f>
        <v>122.97490155481151</v>
      </c>
      <c r="Y22" s="17">
        <f t="shared" si="10"/>
        <v>115.82722323678607</v>
      </c>
      <c r="Z22" s="17">
        <f t="shared" si="10"/>
        <v>119.77192300722315</v>
      </c>
      <c r="AA22" s="17">
        <f t="shared" si="10"/>
        <v>96.293319329781355</v>
      </c>
      <c r="AB22" s="17">
        <f t="shared" si="10"/>
        <v>104.79967261082926</v>
      </c>
      <c r="AC22" s="17">
        <f t="shared" si="10"/>
        <v>108.79557633432016</v>
      </c>
      <c r="AD22" s="17">
        <f t="shared" si="10"/>
        <v>140.67831249659054</v>
      </c>
    </row>
    <row r="23" spans="1:32" x14ac:dyDescent="0.3">
      <c r="A23" s="2">
        <v>11</v>
      </c>
      <c r="B23" s="5">
        <v>-0.13220000000000001</v>
      </c>
      <c r="C23" s="5">
        <v>-0.14280000000000001</v>
      </c>
      <c r="D23" s="5">
        <v>-0.12280000000000001</v>
      </c>
      <c r="E23" s="5">
        <v>-0.13450000000000001</v>
      </c>
      <c r="F23" s="5">
        <v>-0.13020000000000001</v>
      </c>
      <c r="G23" s="5">
        <v>-0.1032</v>
      </c>
      <c r="H23" s="5">
        <v>-0.15</v>
      </c>
      <c r="I23" s="5">
        <v>-0.19059999999999999</v>
      </c>
      <c r="J23" s="5">
        <v>-0.1069</v>
      </c>
      <c r="L23" s="8" t="s">
        <v>71</v>
      </c>
      <c r="M23" s="5">
        <v>1.6439530476694704E-3</v>
      </c>
      <c r="N23" s="5">
        <v>1.9264857069479469E-3</v>
      </c>
      <c r="O23" s="5">
        <v>1.9412218344179275E-3</v>
      </c>
      <c r="P23" s="5">
        <v>1.6933669810509791E-3</v>
      </c>
      <c r="Q23" s="5">
        <v>3.4852775677966115E-3</v>
      </c>
      <c r="R23" s="5">
        <v>2.0990747110627896E-3</v>
      </c>
      <c r="S23" s="5">
        <v>2.4249557527307032E-3</v>
      </c>
      <c r="T23" s="5">
        <v>2.1620854498532174E-3</v>
      </c>
    </row>
    <row r="24" spans="1:32" x14ac:dyDescent="0.3">
      <c r="A24" s="2">
        <v>12</v>
      </c>
      <c r="B24" s="5">
        <v>-0.1167</v>
      </c>
      <c r="C24" s="5">
        <v>-0.1046</v>
      </c>
      <c r="D24" s="5">
        <v>-0.12509999999999999</v>
      </c>
      <c r="E24" s="5">
        <v>-0.1699</v>
      </c>
      <c r="F24" s="5">
        <v>-0.123</v>
      </c>
      <c r="G24" s="5">
        <v>-0.1477</v>
      </c>
      <c r="H24" s="5">
        <v>-8.0199999999999994E-2</v>
      </c>
      <c r="I24" s="5">
        <v>-9.2700000000000005E-2</v>
      </c>
      <c r="J24" s="5">
        <v>-0.14080000000000001</v>
      </c>
      <c r="L24" s="8" t="s">
        <v>72</v>
      </c>
      <c r="M24" s="5">
        <v>2.2838142634899212E-3</v>
      </c>
      <c r="N24" s="5">
        <v>2.6997972960066006E-3</v>
      </c>
      <c r="O24" s="5">
        <v>2.449015679858009E-3</v>
      </c>
      <c r="P24" s="5">
        <v>2.7809381736473644E-3</v>
      </c>
      <c r="Q24" s="5">
        <v>2.0990747110627896E-3</v>
      </c>
      <c r="R24" s="5">
        <v>4.1282397175141242E-3</v>
      </c>
      <c r="S24" s="5">
        <v>3.0236615410162608E-3</v>
      </c>
      <c r="T24" s="5">
        <v>1.2402780804179909E-3</v>
      </c>
      <c r="V24" s="9" t="s">
        <v>86</v>
      </c>
      <c r="W24" s="17">
        <f>W21-W6*W12*$W$15</f>
        <v>93.496376779705557</v>
      </c>
      <c r="X24" s="17">
        <f t="shared" ref="X24:AD24" si="11">X21-X6*X12*$W$15</f>
        <v>115.42509022296622</v>
      </c>
      <c r="Y24" s="17">
        <f t="shared" si="11"/>
        <v>112.63111402130255</v>
      </c>
      <c r="Z24" s="17">
        <f t="shared" si="11"/>
        <v>120.68207671723484</v>
      </c>
      <c r="AA24" s="17">
        <f t="shared" si="11"/>
        <v>74.306499955633655</v>
      </c>
      <c r="AB24" s="17">
        <f t="shared" si="11"/>
        <v>95.644971141125495</v>
      </c>
      <c r="AC24" s="17">
        <f t="shared" si="11"/>
        <v>106.3985906688242</v>
      </c>
      <c r="AD24" s="17">
        <f t="shared" si="11"/>
        <v>137.09954363672023</v>
      </c>
    </row>
    <row r="25" spans="1:32" x14ac:dyDescent="0.3">
      <c r="A25" s="2">
        <v>13</v>
      </c>
      <c r="B25" s="5">
        <v>3.7999999999999999E-2</v>
      </c>
      <c r="C25" s="5">
        <v>-1.46E-2</v>
      </c>
      <c r="D25" s="5">
        <v>-0.02</v>
      </c>
      <c r="E25" s="5">
        <v>7.4999999999999997E-2</v>
      </c>
      <c r="F25" s="5">
        <v>4.2700000000000002E-2</v>
      </c>
      <c r="G25" s="5">
        <v>7.4999999999999997E-2</v>
      </c>
      <c r="H25" s="5">
        <v>3.49E-2</v>
      </c>
      <c r="I25" s="5">
        <v>-2.1299999999999999E-2</v>
      </c>
      <c r="J25" s="5">
        <v>1.6400000000000001E-2</v>
      </c>
      <c r="L25" s="8" t="s">
        <v>73</v>
      </c>
      <c r="M25" s="5">
        <v>2.506855596491258E-3</v>
      </c>
      <c r="N25" s="5">
        <v>2.9037188714899375E-3</v>
      </c>
      <c r="O25" s="5">
        <v>2.8483511752546145E-3</v>
      </c>
      <c r="P25" s="5">
        <v>3.0326721852988879E-3</v>
      </c>
      <c r="Q25" s="5">
        <v>2.4249557527307032E-3</v>
      </c>
      <c r="R25" s="5">
        <v>3.0236615410162608E-3</v>
      </c>
      <c r="S25" s="5">
        <v>4.4490524971751424E-3</v>
      </c>
      <c r="T25" s="5">
        <v>2.6519328428880207E-3</v>
      </c>
      <c r="V25" s="19" t="s">
        <v>43</v>
      </c>
      <c r="W25" s="17">
        <f>VaRAssetNormAbs(W6,W12,W10,$W$15,$W$17)</f>
        <v>93.496376779705557</v>
      </c>
      <c r="X25" s="17">
        <f t="shared" ref="X25:AD25" si="12">VaRAssetNormAbs(X6,X12,X10,$W$15,$W$17)</f>
        <v>115.42509022296622</v>
      </c>
      <c r="Y25" s="17">
        <f t="shared" si="12"/>
        <v>112.63111402130255</v>
      </c>
      <c r="Z25" s="17">
        <f t="shared" si="12"/>
        <v>120.68207671723484</v>
      </c>
      <c r="AA25" s="17">
        <f t="shared" si="12"/>
        <v>74.306499955633655</v>
      </c>
      <c r="AB25" s="17">
        <f t="shared" si="12"/>
        <v>95.644971141125495</v>
      </c>
      <c r="AC25" s="17">
        <f t="shared" si="12"/>
        <v>106.39859066882421</v>
      </c>
      <c r="AD25" s="17">
        <f t="shared" si="12"/>
        <v>137.09954363672026</v>
      </c>
    </row>
    <row r="26" spans="1:32" x14ac:dyDescent="0.3">
      <c r="A26" s="2">
        <v>14</v>
      </c>
      <c r="B26" s="5">
        <v>-2.5600000000000001E-2</v>
      </c>
      <c r="C26" s="5">
        <v>3.7000000000000002E-3</v>
      </c>
      <c r="D26" s="5">
        <v>-3.7900000000000003E-2</v>
      </c>
      <c r="E26" s="5">
        <v>5.0999999999999997E-2</v>
      </c>
      <c r="F26" s="5">
        <v>8.1900000000000001E-2</v>
      </c>
      <c r="G26" s="5">
        <v>0</v>
      </c>
      <c r="H26" s="5">
        <v>-3.3999999999999998E-3</v>
      </c>
      <c r="I26" s="5">
        <v>2.5999999999999999E-2</v>
      </c>
      <c r="J26" s="5">
        <v>-0.10489999999999999</v>
      </c>
      <c r="L26" s="8" t="s">
        <v>74</v>
      </c>
      <c r="M26" s="5">
        <v>2.5170186617053162E-3</v>
      </c>
      <c r="N26" s="5">
        <v>2.6279310118072991E-3</v>
      </c>
      <c r="O26" s="5">
        <v>2.1815751282839896E-3</v>
      </c>
      <c r="P26" s="5">
        <v>1.9536230211542735E-3</v>
      </c>
      <c r="Q26" s="5">
        <v>2.1620854498532174E-3</v>
      </c>
      <c r="R26" s="5">
        <v>1.2402780804179909E-3</v>
      </c>
      <c r="S26" s="5">
        <v>2.6519328428880207E-3</v>
      </c>
      <c r="T26" s="5">
        <v>7.4387396016949115E-3</v>
      </c>
    </row>
    <row r="27" spans="1:32" x14ac:dyDescent="0.3">
      <c r="A27" s="2">
        <v>15</v>
      </c>
      <c r="B27" s="5">
        <v>3.5000000000000001E-3</v>
      </c>
      <c r="C27" s="5">
        <v>1.11E-2</v>
      </c>
      <c r="D27" s="5">
        <v>-9.3899999999999997E-2</v>
      </c>
      <c r="E27" s="5">
        <v>3.3099999999999997E-2</v>
      </c>
      <c r="F27" s="5">
        <v>-1.35E-2</v>
      </c>
      <c r="G27" s="5">
        <v>3.8699999999999998E-2</v>
      </c>
      <c r="H27" s="5">
        <v>1.46E-2</v>
      </c>
      <c r="I27" s="5">
        <v>5.0900000000000001E-2</v>
      </c>
      <c r="J27" s="5">
        <v>8.9999999999999993E-3</v>
      </c>
    </row>
    <row r="28" spans="1:32" x14ac:dyDescent="0.3">
      <c r="A28" s="2">
        <v>16</v>
      </c>
      <c r="B28" s="5">
        <v>2.5600000000000001E-2</v>
      </c>
      <c r="C28" s="5">
        <v>9.4799999999999995E-2</v>
      </c>
      <c r="D28" s="5">
        <v>8.3599999999999994E-2</v>
      </c>
      <c r="E28" s="5">
        <v>7.1499999999999994E-2</v>
      </c>
      <c r="F28" s="5">
        <v>4.1099999999999998E-2</v>
      </c>
      <c r="G28" s="5">
        <v>-5.8200000000000002E-2</v>
      </c>
      <c r="H28" s="5">
        <v>0.1278</v>
      </c>
      <c r="I28" s="5">
        <v>-8.0999999999999996E-3</v>
      </c>
      <c r="J28" s="5">
        <v>-5.3600000000000002E-2</v>
      </c>
      <c r="V28" s="9" t="s">
        <v>87</v>
      </c>
    </row>
    <row r="29" spans="1:32" x14ac:dyDescent="0.3">
      <c r="A29" s="2">
        <v>17</v>
      </c>
      <c r="B29" s="5">
        <v>9.9900000000000003E-2</v>
      </c>
      <c r="C29" s="5">
        <v>0.12659999999999999</v>
      </c>
      <c r="D29" s="5">
        <v>0.1203</v>
      </c>
      <c r="E29" s="5">
        <v>-2.3E-3</v>
      </c>
      <c r="F29" s="5">
        <v>3.95E-2</v>
      </c>
      <c r="G29" s="5">
        <v>0.1157</v>
      </c>
      <c r="H29" s="5">
        <v>7.3899999999999993E-2</v>
      </c>
      <c r="I29" s="5">
        <v>0.15040000000000001</v>
      </c>
      <c r="J29" s="5">
        <v>0.26419999999999999</v>
      </c>
    </row>
    <row r="30" spans="1:32" x14ac:dyDescent="0.3">
      <c r="A30" s="2">
        <v>18</v>
      </c>
      <c r="B30" s="5">
        <v>3.9600000000000003E-2</v>
      </c>
      <c r="C30" s="5">
        <v>3.2500000000000001E-2</v>
      </c>
      <c r="D30" s="5">
        <v>1.11E-2</v>
      </c>
      <c r="E30" s="5">
        <v>3.9300000000000002E-2</v>
      </c>
      <c r="F30" s="5">
        <v>3.7999999999999999E-2</v>
      </c>
      <c r="G30" s="5">
        <v>8.3799999999999999E-2</v>
      </c>
      <c r="H30" s="5">
        <v>5.5100000000000003E-2</v>
      </c>
      <c r="I30" s="5">
        <v>-1.7600000000000001E-2</v>
      </c>
      <c r="J30" s="5">
        <v>-3.73E-2</v>
      </c>
      <c r="L30" s="6" t="s">
        <v>88</v>
      </c>
      <c r="V30" s="9" t="s">
        <v>89</v>
      </c>
      <c r="W30" s="17">
        <f t="array" ref="W30">SQRT(MMULT(MMULT(W21:AD21,M5:T12),TRANSPOSE(W21:AD21)))</f>
        <v>702.70220148645274</v>
      </c>
    </row>
    <row r="31" spans="1:32" x14ac:dyDescent="0.3">
      <c r="A31" s="2">
        <v>19</v>
      </c>
      <c r="B31" s="5">
        <v>4.3E-3</v>
      </c>
      <c r="C31" s="5">
        <v>5.7000000000000002E-3</v>
      </c>
      <c r="D31" s="5">
        <v>0.1444</v>
      </c>
      <c r="E31" s="5">
        <v>1.78E-2</v>
      </c>
      <c r="F31" s="5">
        <v>-4.3900000000000002E-2</v>
      </c>
      <c r="G31" s="5">
        <v>0</v>
      </c>
      <c r="H31" s="5">
        <v>1.7299999999999999E-2</v>
      </c>
      <c r="I31" s="5">
        <v>-1.7899999999999999E-2</v>
      </c>
      <c r="J31" s="5">
        <v>7.7000000000000002E-3</v>
      </c>
      <c r="V31" s="19" t="s">
        <v>43</v>
      </c>
      <c r="W31" s="17">
        <f>VaRPortfolio(W21:AD21,M5:T12)</f>
        <v>702.70220148645274</v>
      </c>
    </row>
    <row r="32" spans="1:32" x14ac:dyDescent="0.3">
      <c r="A32" s="2">
        <v>20</v>
      </c>
      <c r="B32" s="5">
        <v>4.1599999999999998E-2</v>
      </c>
      <c r="C32" s="5">
        <v>7.1199999999999999E-2</v>
      </c>
      <c r="D32" s="5">
        <v>-2.0299999999999999E-2</v>
      </c>
      <c r="E32" s="5">
        <v>6.1100000000000002E-2</v>
      </c>
      <c r="F32" s="5">
        <v>4.3299999999999998E-2</v>
      </c>
      <c r="G32" s="5">
        <v>2.2200000000000001E-2</v>
      </c>
      <c r="H32" s="5">
        <v>0.1057</v>
      </c>
      <c r="I32" s="5">
        <v>8.0600000000000005E-2</v>
      </c>
      <c r="J32" s="5">
        <v>-4.6199999999999998E-2</v>
      </c>
      <c r="M32" s="16" t="s">
        <v>67</v>
      </c>
      <c r="N32" s="16" t="s">
        <v>68</v>
      </c>
      <c r="O32" s="8" t="s">
        <v>69</v>
      </c>
      <c r="P32" s="16" t="s">
        <v>70</v>
      </c>
      <c r="Q32" s="8" t="s">
        <v>71</v>
      </c>
      <c r="R32" s="8" t="s">
        <v>72</v>
      </c>
      <c r="S32" s="8" t="s">
        <v>73</v>
      </c>
      <c r="T32" s="8" t="s">
        <v>74</v>
      </c>
      <c r="V32" s="9"/>
    </row>
    <row r="33" spans="1:23" x14ac:dyDescent="0.3">
      <c r="A33" s="2">
        <v>21</v>
      </c>
      <c r="B33" s="5">
        <v>-3.5999999999999997E-2</v>
      </c>
      <c r="C33" s="5">
        <v>-7.4499999999999997E-2</v>
      </c>
      <c r="D33" s="5">
        <v>-7.6799999999999993E-2</v>
      </c>
      <c r="E33" s="5">
        <v>-6.1699999999999998E-2</v>
      </c>
      <c r="F33" s="5">
        <v>-7.8299999999999995E-2</v>
      </c>
      <c r="G33" s="5">
        <v>-3.5900000000000001E-2</v>
      </c>
      <c r="H33" s="5">
        <v>-8.7300000000000003E-2</v>
      </c>
      <c r="I33" s="5">
        <v>0</v>
      </c>
      <c r="J33" s="5">
        <v>6.4500000000000002E-2</v>
      </c>
      <c r="L33" s="6" t="s">
        <v>15</v>
      </c>
      <c r="M33" s="17">
        <f>PortfolioBeta(C13:C72,$B$13:$B$72)</f>
        <v>1.1264798880674152</v>
      </c>
      <c r="N33" s="17">
        <f t="shared" ref="N33:T33" si="13">PortfolioBeta(D13:D72,$B$13:$B$72)</f>
        <v>1.2598469074272522</v>
      </c>
      <c r="O33" s="17">
        <f t="shared" si="13"/>
        <v>1.1328934153028494</v>
      </c>
      <c r="P33" s="17">
        <f t="shared" si="13"/>
        <v>1.1115314302245436</v>
      </c>
      <c r="Q33" s="17">
        <f t="shared" si="13"/>
        <v>0.90692109533337872</v>
      </c>
      <c r="R33" s="17">
        <f t="shared" si="13"/>
        <v>1.0495490179337794</v>
      </c>
      <c r="S33" s="17">
        <f t="shared" si="13"/>
        <v>1.1580881584246461</v>
      </c>
      <c r="T33" s="17">
        <f t="shared" si="13"/>
        <v>1.0379763897252661</v>
      </c>
      <c r="V33" s="9" t="s">
        <v>90</v>
      </c>
      <c r="W33" s="17">
        <f t="array" ref="W33">SQRT(MMULT(MMULT(W24:AD24,M5:T12),TRANSPOSE(W24:AD24)))</f>
        <v>658.665877494857</v>
      </c>
    </row>
    <row r="34" spans="1:23" x14ac:dyDescent="0.3">
      <c r="A34" s="2">
        <v>22</v>
      </c>
      <c r="B34" s="5">
        <v>2.8899999999999999E-2</v>
      </c>
      <c r="C34" s="5">
        <v>3.4500000000000003E-2</v>
      </c>
      <c r="D34" s="5">
        <v>9.3799999999999994E-2</v>
      </c>
      <c r="E34" s="5">
        <v>4.1599999999999998E-2</v>
      </c>
      <c r="F34" s="5">
        <v>2.3900000000000001E-2</v>
      </c>
      <c r="G34" s="5">
        <v>4.0000000000000001E-3</v>
      </c>
      <c r="H34" s="5">
        <v>7.3899999999999993E-2</v>
      </c>
      <c r="I34" s="5">
        <v>0</v>
      </c>
      <c r="J34" s="5">
        <v>-7.6E-3</v>
      </c>
      <c r="L34" s="9" t="s">
        <v>91</v>
      </c>
      <c r="M34" s="5">
        <f t="shared" ref="M34:T34" si="14">PortfolioSpecificRisk(C13:C72,$B$13:$B$72,1)</f>
        <v>3.8317393250728901E-2</v>
      </c>
      <c r="N34" s="5">
        <f t="shared" si="14"/>
        <v>4.7821104800772493E-2</v>
      </c>
      <c r="O34" s="5">
        <f t="shared" si="14"/>
        <v>4.799160363020772E-2</v>
      </c>
      <c r="P34" s="5">
        <f t="shared" si="14"/>
        <v>5.2575018862010485E-2</v>
      </c>
      <c r="Q34" s="5">
        <f t="shared" si="14"/>
        <v>4.1641271705722786E-2</v>
      </c>
      <c r="R34" s="5">
        <f t="shared" si="14"/>
        <v>4.2113040110199972E-2</v>
      </c>
      <c r="S34" s="5">
        <f t="shared" si="14"/>
        <v>3.9650437464761233E-2</v>
      </c>
      <c r="T34" s="5">
        <f t="shared" si="14"/>
        <v>7.2071410366909922E-2</v>
      </c>
      <c r="V34" s="19" t="s">
        <v>43</v>
      </c>
      <c r="W34" s="17">
        <f>VaRPortfolio(W24:AD24,M5:T12)</f>
        <v>658.665877494857</v>
      </c>
    </row>
    <row r="35" spans="1:23" x14ac:dyDescent="0.3">
      <c r="A35" s="2">
        <v>23</v>
      </c>
      <c r="B35" s="5">
        <v>8.0000000000000004E-4</v>
      </c>
      <c r="C35" s="5">
        <v>0</v>
      </c>
      <c r="D35" s="5">
        <v>9.7999999999999997E-3</v>
      </c>
      <c r="E35" s="5">
        <v>-6.5299999999999997E-2</v>
      </c>
      <c r="F35" s="5">
        <v>-1.29E-2</v>
      </c>
      <c r="G35" s="5">
        <v>5.7000000000000002E-2</v>
      </c>
      <c r="H35" s="5">
        <v>4.0000000000000001E-3</v>
      </c>
      <c r="I35" s="5">
        <v>5.0900000000000001E-2</v>
      </c>
      <c r="J35" s="5">
        <v>-2.2800000000000001E-2</v>
      </c>
    </row>
    <row r="36" spans="1:23" x14ac:dyDescent="0.3">
      <c r="A36" s="2">
        <v>24</v>
      </c>
      <c r="B36" s="5">
        <v>-3.9899999999999998E-2</v>
      </c>
      <c r="C36" s="5">
        <v>-7.22E-2</v>
      </c>
      <c r="D36" s="5">
        <v>-4.8999999999999998E-3</v>
      </c>
      <c r="E36" s="5">
        <v>-4.0599999999999997E-2</v>
      </c>
      <c r="F36" s="5">
        <v>-6.83E-2</v>
      </c>
      <c r="G36" s="5">
        <v>-3.1300000000000001E-2</v>
      </c>
      <c r="H36" s="5">
        <v>-9.2700000000000005E-2</v>
      </c>
      <c r="I36" s="5">
        <v>-6.4999999999999997E-3</v>
      </c>
      <c r="J36" s="5">
        <v>-8.5900000000000004E-2</v>
      </c>
      <c r="L36" s="6" t="s">
        <v>92</v>
      </c>
      <c r="M36" s="5">
        <f>VAR(B13:B72)</f>
        <v>2.1649350734463278E-3</v>
      </c>
    </row>
    <row r="37" spans="1:23" x14ac:dyDescent="0.3">
      <c r="A37" s="2">
        <v>25</v>
      </c>
      <c r="B37" s="5">
        <v>2.3E-3</v>
      </c>
      <c r="C37" s="5">
        <v>-3.2899999999999999E-2</v>
      </c>
      <c r="D37" s="5">
        <v>-6.5799999999999997E-2</v>
      </c>
      <c r="E37" s="5">
        <v>-3.9899999999999998E-2</v>
      </c>
      <c r="F37" s="5">
        <v>-3.6600000000000001E-2</v>
      </c>
      <c r="G37" s="5">
        <v>7.3800000000000004E-2</v>
      </c>
      <c r="H37" s="5">
        <v>7.1099999999999997E-2</v>
      </c>
      <c r="I37" s="5">
        <v>5.1900000000000002E-2</v>
      </c>
      <c r="J37" s="5">
        <v>-0.1026</v>
      </c>
    </row>
    <row r="38" spans="1:23" x14ac:dyDescent="0.3">
      <c r="A38" s="2">
        <v>26</v>
      </c>
      <c r="B38" s="5">
        <v>-3.6900000000000002E-2</v>
      </c>
      <c r="C38" s="5">
        <v>2.7900000000000001E-2</v>
      </c>
      <c r="D38" s="5">
        <v>-9.4E-2</v>
      </c>
      <c r="E38" s="5">
        <v>1.2200000000000001E-2</v>
      </c>
      <c r="F38" s="5">
        <v>0</v>
      </c>
      <c r="G38" s="5">
        <v>1.15E-2</v>
      </c>
      <c r="H38" s="5">
        <v>-1.66E-2</v>
      </c>
      <c r="I38" s="5">
        <v>-6.7900000000000002E-2</v>
      </c>
      <c r="J38" s="5">
        <v>0</v>
      </c>
      <c r="L38" s="9" t="s">
        <v>93</v>
      </c>
    </row>
    <row r="39" spans="1:23" x14ac:dyDescent="0.3">
      <c r="A39" s="2">
        <v>27</v>
      </c>
      <c r="B39" s="5">
        <v>1.38E-2</v>
      </c>
      <c r="C39" s="5">
        <v>8.7300000000000003E-2</v>
      </c>
      <c r="D39" s="5">
        <v>2.8999999999999998E-3</v>
      </c>
      <c r="E39" s="5">
        <v>4.3499999999999997E-2</v>
      </c>
      <c r="F39" s="5">
        <v>4.0899999999999999E-2</v>
      </c>
      <c r="G39" s="5">
        <v>-2.86E-2</v>
      </c>
      <c r="H39" s="5">
        <v>3.7999999999999999E-2</v>
      </c>
      <c r="I39" s="5">
        <v>5.62E-2</v>
      </c>
      <c r="J39" s="5">
        <v>-3.8100000000000002E-2</v>
      </c>
    </row>
    <row r="40" spans="1:23" x14ac:dyDescent="0.3">
      <c r="A40" s="2">
        <v>28</v>
      </c>
      <c r="B40" s="5">
        <v>5.3100000000000001E-2</v>
      </c>
      <c r="C40" s="5">
        <v>4.7100000000000003E-2</v>
      </c>
      <c r="D40" s="5">
        <v>9.4799999999999995E-2</v>
      </c>
      <c r="E40" s="5">
        <v>1.6199999999999999E-2</v>
      </c>
      <c r="F40" s="5">
        <v>1.1299999999999999E-2</v>
      </c>
      <c r="G40" s="5">
        <v>2.7E-2</v>
      </c>
      <c r="H40" s="5">
        <v>4.8800000000000003E-2</v>
      </c>
      <c r="I40" s="5">
        <v>1.26E-2</v>
      </c>
      <c r="J40" s="5">
        <v>6.93E-2</v>
      </c>
      <c r="M40" s="16" t="s">
        <v>67</v>
      </c>
      <c r="N40" s="16" t="s">
        <v>68</v>
      </c>
      <c r="O40" s="8" t="s">
        <v>69</v>
      </c>
      <c r="P40" s="16" t="s">
        <v>70</v>
      </c>
      <c r="Q40" s="8" t="s">
        <v>71</v>
      </c>
      <c r="R40" s="8" t="s">
        <v>72</v>
      </c>
      <c r="S40" s="8" t="s">
        <v>73</v>
      </c>
      <c r="T40" s="8" t="s">
        <v>74</v>
      </c>
    </row>
    <row r="41" spans="1:23" x14ac:dyDescent="0.3">
      <c r="A41" s="2">
        <v>29</v>
      </c>
      <c r="B41" s="5">
        <v>3.7199999999999997E-2</v>
      </c>
      <c r="C41" s="5">
        <v>3.9699999999999999E-2</v>
      </c>
      <c r="D41" s="5">
        <v>8.1299999999999997E-2</v>
      </c>
      <c r="E41" s="5">
        <v>1.14E-2</v>
      </c>
      <c r="F41" s="5">
        <v>5.4999999999999997E-3</v>
      </c>
      <c r="G41" s="5">
        <v>-1.1900000000000001E-2</v>
      </c>
      <c r="H41" s="5">
        <v>1.9400000000000001E-2</v>
      </c>
      <c r="I41" s="5">
        <v>5.57E-2</v>
      </c>
      <c r="J41" s="5">
        <v>-1.8499999999999999E-2</v>
      </c>
      <c r="L41" s="16" t="s">
        <v>67</v>
      </c>
      <c r="M41" s="20">
        <f t="shared" ref="M41:T48" si="15">$M$36*HLOOKUP($L41,$M$32:$T$34,2,FALSE)*HLOOKUP(M$40,$M$32:$T$34,2,FALSE)+IF($L41=M$40,HLOOKUP($L41,$M$32:$T$34,3,FALSE)^2,0)</f>
        <v>4.2154320077773619E-3</v>
      </c>
      <c r="N41" s="5">
        <f t="shared" si="15"/>
        <v>3.0724589768007246E-3</v>
      </c>
      <c r="O41" s="5">
        <f t="shared" si="15"/>
        <v>2.7628504091134279E-3</v>
      </c>
      <c r="P41" s="5">
        <f t="shared" si="15"/>
        <v>2.7107537436938532E-3</v>
      </c>
      <c r="Q41" s="5">
        <f t="shared" si="15"/>
        <v>2.2117590988077144E-3</v>
      </c>
      <c r="R41" s="5">
        <f t="shared" si="15"/>
        <v>2.559593775031138E-3</v>
      </c>
      <c r="S41" s="5">
        <f t="shared" si="15"/>
        <v>2.8242942355151865E-3</v>
      </c>
      <c r="T41" s="5">
        <f t="shared" si="15"/>
        <v>2.5313709606440836E-3</v>
      </c>
    </row>
    <row r="42" spans="1:23" x14ac:dyDescent="0.3">
      <c r="A42" s="2">
        <v>30</v>
      </c>
      <c r="B42" s="5">
        <v>-1.0200000000000001E-2</v>
      </c>
      <c r="C42" s="5">
        <v>-5.3400000000000003E-2</v>
      </c>
      <c r="D42" s="5">
        <v>-6.08E-2</v>
      </c>
      <c r="E42" s="5">
        <v>-6.08E-2</v>
      </c>
      <c r="F42" s="5">
        <v>-3.5900000000000001E-2</v>
      </c>
      <c r="G42" s="5">
        <v>5.0700000000000002E-2</v>
      </c>
      <c r="H42" s="5">
        <v>-3.8100000000000002E-2</v>
      </c>
      <c r="I42" s="5">
        <v>2.35E-2</v>
      </c>
      <c r="J42" s="5">
        <v>0.19819999999999999</v>
      </c>
      <c r="L42" s="16" t="s">
        <v>68</v>
      </c>
      <c r="M42" s="5">
        <f t="shared" si="15"/>
        <v>3.0724589768007246E-3</v>
      </c>
      <c r="N42" s="5">
        <f t="shared" si="15"/>
        <v>5.7230738202999967E-3</v>
      </c>
      <c r="O42" s="5">
        <f t="shared" si="15"/>
        <v>3.0899517874014289E-3</v>
      </c>
      <c r="P42" s="5">
        <f t="shared" si="15"/>
        <v>3.0316872559957909E-3</v>
      </c>
      <c r="Q42" s="5">
        <f t="shared" si="15"/>
        <v>2.4736152772220875E-3</v>
      </c>
      <c r="R42" s="5">
        <f t="shared" si="15"/>
        <v>2.8626310473019653E-3</v>
      </c>
      <c r="S42" s="5">
        <f t="shared" si="15"/>
        <v>3.1586701156137123E-3</v>
      </c>
      <c r="T42" s="5">
        <f t="shared" si="15"/>
        <v>2.8310668571188413E-3</v>
      </c>
    </row>
    <row r="43" spans="1:23" x14ac:dyDescent="0.3">
      <c r="A43" s="2">
        <v>31</v>
      </c>
      <c r="B43" s="5">
        <v>2.3199999999999998E-2</v>
      </c>
      <c r="C43" s="5">
        <v>1.0800000000000001E-2</v>
      </c>
      <c r="D43" s="5">
        <v>2.58E-2</v>
      </c>
      <c r="E43" s="5">
        <v>3.8399999999999997E-2</v>
      </c>
      <c r="F43" s="5">
        <v>-2.29E-2</v>
      </c>
      <c r="G43" s="5">
        <v>-6.8999999999999999E-3</v>
      </c>
      <c r="H43" s="5">
        <v>3.9600000000000003E-2</v>
      </c>
      <c r="I43" s="5">
        <v>2.3E-2</v>
      </c>
      <c r="J43" s="5">
        <v>7.8700000000000006E-2</v>
      </c>
      <c r="L43" s="8" t="s">
        <v>69</v>
      </c>
      <c r="M43" s="5">
        <f t="shared" si="15"/>
        <v>2.7628504091134279E-3</v>
      </c>
      <c r="N43" s="5">
        <f t="shared" si="15"/>
        <v>3.0899517874014289E-3</v>
      </c>
      <c r="O43" s="5">
        <f t="shared" si="15"/>
        <v>5.0817745059717331E-3</v>
      </c>
      <c r="P43" s="5">
        <f t="shared" si="15"/>
        <v>2.7261872131662305E-3</v>
      </c>
      <c r="Q43" s="5">
        <f t="shared" si="15"/>
        <v>2.224351580367912E-3</v>
      </c>
      <c r="R43" s="5">
        <f t="shared" si="15"/>
        <v>2.5741666267630704E-3</v>
      </c>
      <c r="S43" s="5">
        <f t="shared" si="15"/>
        <v>2.8403741391088782E-3</v>
      </c>
      <c r="T43" s="5">
        <f t="shared" si="15"/>
        <v>2.5457831279371282E-3</v>
      </c>
    </row>
    <row r="44" spans="1:23" x14ac:dyDescent="0.3">
      <c r="A44" s="2">
        <v>32</v>
      </c>
      <c r="B44" s="5">
        <v>1.9599999999999999E-2</v>
      </c>
      <c r="C44" s="5">
        <v>1.8599999999999998E-2</v>
      </c>
      <c r="D44" s="5">
        <v>-5.1000000000000004E-3</v>
      </c>
      <c r="E44" s="5">
        <v>-3.2399999999999998E-2</v>
      </c>
      <c r="F44" s="5">
        <v>-1.17E-2</v>
      </c>
      <c r="G44" s="5">
        <v>6.7199999999999996E-2</v>
      </c>
      <c r="H44" s="5">
        <v>0.1065</v>
      </c>
      <c r="I44" s="5">
        <v>-1E-4</v>
      </c>
      <c r="J44" s="5">
        <v>5.11E-2</v>
      </c>
      <c r="L44" s="16" t="s">
        <v>70</v>
      </c>
      <c r="M44" s="5">
        <f t="shared" si="15"/>
        <v>2.7107537436938537E-3</v>
      </c>
      <c r="N44" s="5">
        <f t="shared" si="15"/>
        <v>3.0316872559957909E-3</v>
      </c>
      <c r="O44" s="5">
        <f t="shared" si="15"/>
        <v>2.7261872131662313E-3</v>
      </c>
      <c r="P44" s="5">
        <f t="shared" si="15"/>
        <v>5.4389144820622751E-3</v>
      </c>
      <c r="Q44" s="5">
        <f t="shared" si="15"/>
        <v>2.1824089186603915E-3</v>
      </c>
      <c r="R44" s="5">
        <f t="shared" si="15"/>
        <v>2.5256278071996386E-3</v>
      </c>
      <c r="S44" s="5">
        <f t="shared" si="15"/>
        <v>2.7868156761883139E-3</v>
      </c>
      <c r="T44" s="5">
        <f t="shared" si="15"/>
        <v>2.4977795113064701E-3</v>
      </c>
    </row>
    <row r="45" spans="1:23" x14ac:dyDescent="0.3">
      <c r="A45" s="2">
        <v>33</v>
      </c>
      <c r="B45" s="5">
        <v>-2.76E-2</v>
      </c>
      <c r="C45" s="5">
        <v>-6.7900000000000002E-2</v>
      </c>
      <c r="D45" s="5">
        <v>-9.0999999999999998E-2</v>
      </c>
      <c r="E45" s="5">
        <v>-9.6799999999999997E-2</v>
      </c>
      <c r="F45" s="5">
        <v>-8.6099999999999996E-2</v>
      </c>
      <c r="G45" s="5">
        <v>0.10630000000000001</v>
      </c>
      <c r="H45" s="5">
        <v>3.78E-2</v>
      </c>
      <c r="I45" s="5">
        <v>-5.6800000000000003E-2</v>
      </c>
      <c r="J45" s="5">
        <v>-0.18060000000000001</v>
      </c>
      <c r="L45" s="8" t="s">
        <v>71</v>
      </c>
      <c r="M45" s="5">
        <f t="shared" si="15"/>
        <v>2.2117590988077144E-3</v>
      </c>
      <c r="N45" s="5">
        <f t="shared" si="15"/>
        <v>2.4736152772220875E-3</v>
      </c>
      <c r="O45" s="5">
        <f t="shared" si="15"/>
        <v>2.224351580367912E-3</v>
      </c>
      <c r="P45" s="5">
        <f t="shared" si="15"/>
        <v>2.1824089186603915E-3</v>
      </c>
      <c r="Q45" s="5">
        <f t="shared" si="15"/>
        <v>3.5146673221910152E-3</v>
      </c>
      <c r="R45" s="5">
        <f t="shared" si="15"/>
        <v>2.0607110829490589E-3</v>
      </c>
      <c r="S45" s="5">
        <f t="shared" si="15"/>
        <v>2.2738195761413281E-3</v>
      </c>
      <c r="T45" s="5">
        <f t="shared" si="15"/>
        <v>2.0379890920742723E-3</v>
      </c>
    </row>
    <row r="46" spans="1:23" x14ac:dyDescent="0.3">
      <c r="A46" s="2">
        <v>34</v>
      </c>
      <c r="B46" s="5">
        <v>-2.8199999999999999E-2</v>
      </c>
      <c r="C46" s="5">
        <v>-1.8200000000000001E-2</v>
      </c>
      <c r="D46" s="5">
        <v>0</v>
      </c>
      <c r="E46" s="5">
        <v>5.4300000000000001E-2</v>
      </c>
      <c r="F46" s="5">
        <v>-3.8899999999999997E-2</v>
      </c>
      <c r="G46" s="5">
        <v>0</v>
      </c>
      <c r="H46" s="5">
        <v>-5.6300000000000003E-2</v>
      </c>
      <c r="I46" s="5">
        <v>-3.0000000000000001E-3</v>
      </c>
      <c r="J46" s="5">
        <v>-5.9299999999999999E-2</v>
      </c>
      <c r="L46" s="8" t="s">
        <v>72</v>
      </c>
      <c r="M46" s="5">
        <f t="shared" si="15"/>
        <v>2.5595937750311384E-3</v>
      </c>
      <c r="N46" s="5">
        <f t="shared" si="15"/>
        <v>2.8626310473019658E-3</v>
      </c>
      <c r="O46" s="5">
        <f t="shared" si="15"/>
        <v>2.5741666267630708E-3</v>
      </c>
      <c r="P46" s="5">
        <f t="shared" si="15"/>
        <v>2.5256278071996386E-3</v>
      </c>
      <c r="Q46" s="5">
        <f t="shared" si="15"/>
        <v>2.0607110829490589E-3</v>
      </c>
      <c r="R46" s="5">
        <f t="shared" si="15"/>
        <v>4.1582991776382486E-3</v>
      </c>
      <c r="S46" s="5">
        <f t="shared" si="15"/>
        <v>2.6314142601573031E-3</v>
      </c>
      <c r="T46" s="5">
        <f t="shared" si="15"/>
        <v>2.3584956410789355E-3</v>
      </c>
    </row>
    <row r="47" spans="1:23" x14ac:dyDescent="0.3">
      <c r="A47" s="2">
        <v>35</v>
      </c>
      <c r="B47" s="5">
        <v>-3.5099999999999999E-2</v>
      </c>
      <c r="C47" s="5">
        <v>-1.5699999999999999E-2</v>
      </c>
      <c r="D47" s="5">
        <v>-7.1199999999999999E-2</v>
      </c>
      <c r="E47" s="5">
        <v>-4.6399999999999997E-2</v>
      </c>
      <c r="F47" s="5">
        <v>-8.7900000000000006E-2</v>
      </c>
      <c r="G47" s="5">
        <v>0</v>
      </c>
      <c r="H47" s="5">
        <v>-4.5600000000000002E-2</v>
      </c>
      <c r="I47" s="5">
        <v>-4.2299999999999997E-2</v>
      </c>
      <c r="J47" s="5">
        <v>-9.9000000000000005E-2</v>
      </c>
      <c r="L47" s="8" t="s">
        <v>73</v>
      </c>
      <c r="M47" s="5">
        <f t="shared" si="15"/>
        <v>2.8242942355151865E-3</v>
      </c>
      <c r="N47" s="5">
        <f t="shared" si="15"/>
        <v>3.1586701156137119E-3</v>
      </c>
      <c r="O47" s="5">
        <f t="shared" si="15"/>
        <v>2.8403741391088782E-3</v>
      </c>
      <c r="P47" s="5">
        <f t="shared" si="15"/>
        <v>2.7868156761883135E-3</v>
      </c>
      <c r="Q47" s="5">
        <f t="shared" si="15"/>
        <v>2.2738195761413281E-3</v>
      </c>
      <c r="R47" s="5">
        <f t="shared" si="15"/>
        <v>2.6314142601573027E-3</v>
      </c>
      <c r="S47" s="5">
        <f t="shared" si="15"/>
        <v>4.4756992292284796E-3</v>
      </c>
      <c r="T47" s="5">
        <f t="shared" si="15"/>
        <v>2.6023995325218739E-3</v>
      </c>
    </row>
    <row r="48" spans="1:23" x14ac:dyDescent="0.3">
      <c r="A48" s="2">
        <v>36</v>
      </c>
      <c r="B48" s="5">
        <v>4.3299999999999998E-2</v>
      </c>
      <c r="C48" s="5">
        <v>0.129</v>
      </c>
      <c r="D48" s="5">
        <v>0.19939999999999999</v>
      </c>
      <c r="E48" s="5">
        <v>3.2399999999999998E-2</v>
      </c>
      <c r="F48" s="5">
        <v>8.14E-2</v>
      </c>
      <c r="G48" s="5">
        <v>5.5E-2</v>
      </c>
      <c r="H48" s="5">
        <v>4.0399999999999998E-2</v>
      </c>
      <c r="I48" s="5">
        <v>-1.26E-2</v>
      </c>
      <c r="J48" s="5">
        <v>-6.9900000000000004E-2</v>
      </c>
      <c r="L48" s="8" t="s">
        <v>74</v>
      </c>
      <c r="M48" s="5">
        <f t="shared" si="15"/>
        <v>2.5313709606440836E-3</v>
      </c>
      <c r="N48" s="5">
        <f t="shared" si="15"/>
        <v>2.8310668571188413E-3</v>
      </c>
      <c r="O48" s="5">
        <f t="shared" si="15"/>
        <v>2.5457831279371286E-3</v>
      </c>
      <c r="P48" s="5">
        <f t="shared" si="15"/>
        <v>2.4977795113064697E-3</v>
      </c>
      <c r="Q48" s="5">
        <f t="shared" si="15"/>
        <v>2.0379890920742723E-3</v>
      </c>
      <c r="R48" s="5">
        <f t="shared" si="15"/>
        <v>2.3584956410789351E-3</v>
      </c>
      <c r="S48" s="5">
        <f t="shared" si="15"/>
        <v>2.6023995325218739E-3</v>
      </c>
      <c r="T48" s="5">
        <f t="shared" si="15"/>
        <v>7.5267783846148361E-3</v>
      </c>
    </row>
    <row r="49" spans="1:20" x14ac:dyDescent="0.3">
      <c r="A49" s="2">
        <v>37</v>
      </c>
      <c r="B49" s="5">
        <v>4.8999999999999998E-3</v>
      </c>
      <c r="C49" s="5">
        <v>5.7799999999999997E-2</v>
      </c>
      <c r="D49" s="5">
        <v>1.7899999999999999E-2</v>
      </c>
      <c r="E49" s="5">
        <v>5.2299999999999999E-2</v>
      </c>
      <c r="F49" s="5">
        <v>-3.7699999999999997E-2</v>
      </c>
      <c r="G49" s="5">
        <v>3.7000000000000002E-3</v>
      </c>
      <c r="H49" s="5">
        <v>3.5000000000000001E-3</v>
      </c>
      <c r="I49" s="5">
        <v>-3.0300000000000001E-2</v>
      </c>
      <c r="J49" s="5">
        <v>0</v>
      </c>
    </row>
    <row r="50" spans="1:20" x14ac:dyDescent="0.3">
      <c r="A50" s="2">
        <v>38</v>
      </c>
      <c r="B50" s="5">
        <v>-3.8999999999999998E-3</v>
      </c>
      <c r="C50" s="5">
        <v>-1.9400000000000001E-2</v>
      </c>
      <c r="D50" s="5">
        <v>-4.2799999999999998E-2</v>
      </c>
      <c r="E50" s="5">
        <v>-6.9699999999999998E-2</v>
      </c>
      <c r="F50" s="5">
        <v>-6.7599999999999993E-2</v>
      </c>
      <c r="G50" s="5">
        <v>7.4000000000000003E-3</v>
      </c>
      <c r="H50" s="5">
        <v>5.6300000000000003E-2</v>
      </c>
      <c r="I50" s="5">
        <v>3.3E-3</v>
      </c>
      <c r="J50" s="5">
        <v>-0.10100000000000001</v>
      </c>
    </row>
    <row r="51" spans="1:20" x14ac:dyDescent="0.3">
      <c r="A51" s="2">
        <v>39</v>
      </c>
      <c r="B51" s="5">
        <v>7.6100000000000001E-2</v>
      </c>
      <c r="C51" s="5">
        <v>6.6799999999999998E-2</v>
      </c>
      <c r="D51" s="5">
        <v>0.1181</v>
      </c>
      <c r="E51" s="5">
        <v>8.5599999999999996E-2</v>
      </c>
      <c r="F51" s="5">
        <v>0.10680000000000001</v>
      </c>
      <c r="G51" s="5">
        <v>6.6199999999999995E-2</v>
      </c>
      <c r="H51" s="5">
        <v>4.6699999999999998E-2</v>
      </c>
      <c r="I51" s="5">
        <v>0.1002</v>
      </c>
      <c r="J51" s="5">
        <v>7.6600000000000001E-2</v>
      </c>
    </row>
    <row r="52" spans="1:20" x14ac:dyDescent="0.3">
      <c r="A52" s="2">
        <v>40</v>
      </c>
      <c r="B52" s="5">
        <v>2.01E-2</v>
      </c>
      <c r="C52" s="5">
        <v>4.8800000000000003E-2</v>
      </c>
      <c r="D52" s="5">
        <v>0</v>
      </c>
      <c r="E52" s="5">
        <v>9.3600000000000003E-2</v>
      </c>
      <c r="F52" s="5">
        <v>9.3100000000000002E-2</v>
      </c>
      <c r="G52" s="5">
        <v>4.3099999999999999E-2</v>
      </c>
      <c r="H52" s="5">
        <v>1.5900000000000001E-2</v>
      </c>
      <c r="I52" s="5">
        <v>-3.0000000000000001E-3</v>
      </c>
      <c r="J52" s="5">
        <v>0.16669999999999999</v>
      </c>
      <c r="L52" s="9" t="s">
        <v>94</v>
      </c>
    </row>
    <row r="53" spans="1:20" x14ac:dyDescent="0.3">
      <c r="A53" s="2">
        <v>41</v>
      </c>
      <c r="B53" s="5">
        <v>1.7299999999999999E-2</v>
      </c>
      <c r="C53" s="5">
        <v>3.8699999999999998E-2</v>
      </c>
      <c r="D53" s="5">
        <v>4.7000000000000002E-3</v>
      </c>
      <c r="E53" s="5">
        <v>8.9999999999999993E-3</v>
      </c>
      <c r="F53" s="5">
        <v>3.7900000000000003E-2</v>
      </c>
      <c r="G53" s="5">
        <v>3.6299999999999999E-2</v>
      </c>
      <c r="H53" s="5">
        <v>-7.2099999999999997E-2</v>
      </c>
      <c r="I53" s="5">
        <v>-4.9299999999999997E-2</v>
      </c>
      <c r="J53" s="5">
        <v>2.6800000000000001E-2</v>
      </c>
    </row>
    <row r="54" spans="1:20" x14ac:dyDescent="0.3">
      <c r="A54" s="2">
        <v>42</v>
      </c>
      <c r="B54" s="5">
        <v>4.41E-2</v>
      </c>
      <c r="C54" s="5">
        <v>1.2800000000000001E-2</v>
      </c>
      <c r="D54" s="5">
        <v>8.4199999999999997E-2</v>
      </c>
      <c r="E54" s="5">
        <v>4.02E-2</v>
      </c>
      <c r="F54" s="5">
        <v>5.7700000000000001E-2</v>
      </c>
      <c r="G54" s="5">
        <v>5.2600000000000001E-2</v>
      </c>
      <c r="H54" s="5">
        <v>1.6799999999999999E-2</v>
      </c>
      <c r="I54" s="5">
        <v>1.4200000000000001E-2</v>
      </c>
      <c r="J54" s="5">
        <v>0.1002</v>
      </c>
      <c r="M54" s="16" t="s">
        <v>67</v>
      </c>
      <c r="N54" s="16" t="s">
        <v>68</v>
      </c>
      <c r="O54" s="8" t="s">
        <v>69</v>
      </c>
      <c r="P54" s="16" t="s">
        <v>70</v>
      </c>
      <c r="Q54" s="8" t="s">
        <v>71</v>
      </c>
      <c r="R54" s="8" t="s">
        <v>72</v>
      </c>
      <c r="S54" s="8" t="s">
        <v>73</v>
      </c>
      <c r="T54" s="8" t="s">
        <v>74</v>
      </c>
    </row>
    <row r="55" spans="1:20" x14ac:dyDescent="0.3">
      <c r="A55" s="2">
        <v>43</v>
      </c>
      <c r="B55" s="5">
        <v>-1.7999999999999999E-2</v>
      </c>
      <c r="C55" s="5">
        <v>-1.78E-2</v>
      </c>
      <c r="D55" s="5">
        <v>5.6000000000000001E-2</v>
      </c>
      <c r="E55" s="5">
        <v>-3.8600000000000002E-2</v>
      </c>
      <c r="F55" s="5">
        <v>-2.3E-2</v>
      </c>
      <c r="G55" s="5">
        <v>3.6299999999999999E-2</v>
      </c>
      <c r="H55" s="5">
        <v>1.3299999999999999E-2</v>
      </c>
      <c r="I55" s="5">
        <v>-3.73E-2</v>
      </c>
      <c r="J55" s="5">
        <v>3.5400000000000001E-2</v>
      </c>
      <c r="L55" s="16" t="s">
        <v>67</v>
      </c>
      <c r="M55" s="5">
        <f t="array" ref="M55:T62">VCVSingleIndexMatrix(C13:J72,B13:B72)</f>
        <v>4.2154320077773619E-3</v>
      </c>
      <c r="N55" s="5">
        <v>3.0724589768007246E-3</v>
      </c>
      <c r="O55" s="5">
        <v>2.7628504091134283E-3</v>
      </c>
      <c r="P55" s="5">
        <v>2.7107537436938537E-3</v>
      </c>
      <c r="Q55" s="5">
        <v>2.211759098807714E-3</v>
      </c>
      <c r="R55" s="5">
        <v>2.5595937750311384E-3</v>
      </c>
      <c r="S55" s="5">
        <v>2.8242942355151865E-3</v>
      </c>
      <c r="T55" s="5">
        <v>2.5313709606440836E-3</v>
      </c>
    </row>
    <row r="56" spans="1:20" x14ac:dyDescent="0.3">
      <c r="A56" s="2">
        <v>44</v>
      </c>
      <c r="B56" s="5">
        <v>5.6000000000000001E-2</v>
      </c>
      <c r="C56" s="5">
        <v>7.0699999999999999E-2</v>
      </c>
      <c r="D56" s="5">
        <v>6.9400000000000003E-2</v>
      </c>
      <c r="E56" s="5">
        <v>-4.4999999999999997E-3</v>
      </c>
      <c r="F56" s="5">
        <v>-5.8799999999999998E-2</v>
      </c>
      <c r="G56" s="5">
        <v>0.152</v>
      </c>
      <c r="H56" s="5">
        <v>7.8600000000000003E-2</v>
      </c>
      <c r="I56" s="5">
        <v>8.2299999999999998E-2</v>
      </c>
      <c r="J56" s="5">
        <v>8.3099999999999993E-2</v>
      </c>
      <c r="L56" s="16" t="s">
        <v>68</v>
      </c>
      <c r="M56" s="5">
        <v>3.0724589768007246E-3</v>
      </c>
      <c r="N56" s="5">
        <v>5.7230738202999976E-3</v>
      </c>
      <c r="O56" s="5">
        <v>3.0899517874014289E-3</v>
      </c>
      <c r="P56" s="5">
        <v>3.0316872559957905E-3</v>
      </c>
      <c r="Q56" s="5">
        <v>2.4736152772220875E-3</v>
      </c>
      <c r="R56" s="5">
        <v>2.8626310473019653E-3</v>
      </c>
      <c r="S56" s="5">
        <v>3.1586701156137119E-3</v>
      </c>
      <c r="T56" s="5">
        <v>2.8310668571188418E-3</v>
      </c>
    </row>
    <row r="57" spans="1:20" x14ac:dyDescent="0.3">
      <c r="A57" s="2">
        <v>45</v>
      </c>
      <c r="B57" s="5">
        <v>4.82E-2</v>
      </c>
      <c r="C57" s="5">
        <v>0.1</v>
      </c>
      <c r="D57" s="5">
        <v>3.7900000000000003E-2</v>
      </c>
      <c r="E57" s="5">
        <v>9.8699999999999996E-2</v>
      </c>
      <c r="F57" s="5">
        <v>3.1300000000000001E-2</v>
      </c>
      <c r="G57" s="5">
        <v>8.2500000000000004E-2</v>
      </c>
      <c r="H57" s="5">
        <v>3.0000000000000001E-3</v>
      </c>
      <c r="I57" s="5">
        <v>7.4499999999999997E-2</v>
      </c>
      <c r="J57" s="5">
        <v>5.2600000000000001E-2</v>
      </c>
      <c r="L57" s="8" t="s">
        <v>69</v>
      </c>
      <c r="M57" s="5">
        <v>2.7628504091134283E-3</v>
      </c>
      <c r="N57" s="5">
        <v>3.0899517874014289E-3</v>
      </c>
      <c r="O57" s="5">
        <v>5.0817745059717331E-3</v>
      </c>
      <c r="P57" s="5">
        <v>2.7261872131662309E-3</v>
      </c>
      <c r="Q57" s="5">
        <v>2.2243515803679124E-3</v>
      </c>
      <c r="R57" s="5">
        <v>2.5741666267630704E-3</v>
      </c>
      <c r="S57" s="5">
        <v>2.8403741391088782E-3</v>
      </c>
      <c r="T57" s="5">
        <v>2.5457831279371286E-3</v>
      </c>
    </row>
    <row r="58" spans="1:20" x14ac:dyDescent="0.3">
      <c r="A58" s="2">
        <v>46</v>
      </c>
      <c r="B58" s="5">
        <v>1.78E-2</v>
      </c>
      <c r="C58" s="5">
        <v>8.8999999999999996E-2</v>
      </c>
      <c r="D58" s="5">
        <v>6.59E-2</v>
      </c>
      <c r="E58" s="5">
        <v>-2.86E-2</v>
      </c>
      <c r="F58" s="5">
        <v>-1.52E-2</v>
      </c>
      <c r="G58" s="5">
        <v>-3.1699999999999999E-2</v>
      </c>
      <c r="H58" s="5">
        <v>-2.7300000000000001E-2</v>
      </c>
      <c r="I58" s="5">
        <v>-1.4E-3</v>
      </c>
      <c r="J58" s="5">
        <v>0.1072</v>
      </c>
      <c r="L58" s="16" t="s">
        <v>70</v>
      </c>
      <c r="M58" s="5">
        <v>2.7107537436938537E-3</v>
      </c>
      <c r="N58" s="5">
        <v>3.0316872559957905E-3</v>
      </c>
      <c r="O58" s="5">
        <v>2.7261872131662309E-3</v>
      </c>
      <c r="P58" s="5">
        <v>5.4389144820622742E-3</v>
      </c>
      <c r="Q58" s="5">
        <v>2.1824089186603915E-3</v>
      </c>
      <c r="R58" s="5">
        <v>2.5256278071996386E-3</v>
      </c>
      <c r="S58" s="5">
        <v>2.7868156761883139E-3</v>
      </c>
      <c r="T58" s="5">
        <v>2.4977795113064697E-3</v>
      </c>
    </row>
    <row r="59" spans="1:20" x14ac:dyDescent="0.3">
      <c r="A59" s="2">
        <v>47</v>
      </c>
      <c r="B59" s="5">
        <v>3.4000000000000002E-2</v>
      </c>
      <c r="C59" s="5">
        <v>1.6999999999999999E-3</v>
      </c>
      <c r="D59" s="5">
        <v>4.2500000000000003E-2</v>
      </c>
      <c r="E59" s="5">
        <v>2.7699999999999999E-2</v>
      </c>
      <c r="F59" s="5">
        <v>0.1231</v>
      </c>
      <c r="G59" s="5">
        <v>4.24E-2</v>
      </c>
      <c r="H59" s="5">
        <v>9.0399999999999994E-2</v>
      </c>
      <c r="I59" s="5">
        <v>3.7499999999999999E-2</v>
      </c>
      <c r="J59" s="5">
        <v>-1.03E-2</v>
      </c>
      <c r="L59" s="8" t="s">
        <v>71</v>
      </c>
      <c r="M59" s="5">
        <v>2.211759098807714E-3</v>
      </c>
      <c r="N59" s="5">
        <v>2.4736152772220875E-3</v>
      </c>
      <c r="O59" s="5">
        <v>2.2243515803679124E-3</v>
      </c>
      <c r="P59" s="5">
        <v>2.1824089186603915E-3</v>
      </c>
      <c r="Q59" s="5">
        <v>3.5146673221910152E-3</v>
      </c>
      <c r="R59" s="5">
        <v>2.0607110829490589E-3</v>
      </c>
      <c r="S59" s="5">
        <v>2.2738195761413285E-3</v>
      </c>
      <c r="T59" s="5">
        <v>2.0379890920742723E-3</v>
      </c>
    </row>
    <row r="60" spans="1:20" x14ac:dyDescent="0.3">
      <c r="A60" s="2">
        <v>48</v>
      </c>
      <c r="B60" s="5">
        <v>-4.3E-3</v>
      </c>
      <c r="C60" s="5">
        <v>5.0000000000000001E-3</v>
      </c>
      <c r="D60" s="5">
        <v>-3.3999999999999998E-3</v>
      </c>
      <c r="E60" s="5">
        <v>1.23E-2</v>
      </c>
      <c r="F60" s="5">
        <v>-4.7899999999999998E-2</v>
      </c>
      <c r="G60" s="5">
        <v>3.2500000000000001E-2</v>
      </c>
      <c r="H60" s="5">
        <v>-3.4299999999999997E-2</v>
      </c>
      <c r="I60" s="5">
        <v>-4.02E-2</v>
      </c>
      <c r="J60" s="5">
        <v>-0.14610000000000001</v>
      </c>
      <c r="L60" s="8" t="s">
        <v>72</v>
      </c>
      <c r="M60" s="5">
        <v>2.5595937750311384E-3</v>
      </c>
      <c r="N60" s="5">
        <v>2.8626310473019653E-3</v>
      </c>
      <c r="O60" s="5">
        <v>2.5741666267630704E-3</v>
      </c>
      <c r="P60" s="5">
        <v>2.5256278071996386E-3</v>
      </c>
      <c r="Q60" s="5">
        <v>2.0607110829490589E-3</v>
      </c>
      <c r="R60" s="5">
        <v>4.1582991776382486E-3</v>
      </c>
      <c r="S60" s="5">
        <v>2.6314142601573027E-3</v>
      </c>
      <c r="T60" s="5">
        <v>2.3584956410789355E-3</v>
      </c>
    </row>
    <row r="61" spans="1:20" x14ac:dyDescent="0.3">
      <c r="A61" s="2">
        <v>49</v>
      </c>
      <c r="B61" s="5">
        <v>8.8800000000000004E-2</v>
      </c>
      <c r="C61" s="5">
        <v>8.2100000000000006E-2</v>
      </c>
      <c r="D61" s="5">
        <v>0.16159999999999999</v>
      </c>
      <c r="E61" s="5">
        <v>9.2100000000000001E-2</v>
      </c>
      <c r="F61" s="5">
        <v>0.17269999999999999</v>
      </c>
      <c r="G61" s="5">
        <v>0.1024</v>
      </c>
      <c r="H61" s="5">
        <v>0.1242</v>
      </c>
      <c r="I61" s="5">
        <v>0.1157</v>
      </c>
      <c r="J61" s="5">
        <v>6.1100000000000002E-2</v>
      </c>
      <c r="L61" s="8" t="s">
        <v>73</v>
      </c>
      <c r="M61" s="5">
        <v>2.8242942355151865E-3</v>
      </c>
      <c r="N61" s="5">
        <v>3.1586701156137119E-3</v>
      </c>
      <c r="O61" s="5">
        <v>2.8403741391088782E-3</v>
      </c>
      <c r="P61" s="5">
        <v>2.7868156761883139E-3</v>
      </c>
      <c r="Q61" s="5">
        <v>2.2738195761413285E-3</v>
      </c>
      <c r="R61" s="5">
        <v>2.6314142601573027E-3</v>
      </c>
      <c r="S61" s="5">
        <v>4.4756992292284796E-3</v>
      </c>
      <c r="T61" s="5">
        <v>2.6023995325218739E-3</v>
      </c>
    </row>
    <row r="62" spans="1:20" x14ac:dyDescent="0.3">
      <c r="A62" s="2">
        <v>50</v>
      </c>
      <c r="B62" s="5">
        <v>1.8800000000000001E-2</v>
      </c>
      <c r="C62" s="5">
        <v>6.1000000000000004E-3</v>
      </c>
      <c r="D62" s="5">
        <v>5.2699999999999997E-2</v>
      </c>
      <c r="E62" s="5">
        <v>5.62E-2</v>
      </c>
      <c r="F62" s="5">
        <v>2.9399999999999999E-2</v>
      </c>
      <c r="G62" s="5">
        <v>9.8000000000000004E-2</v>
      </c>
      <c r="H62" s="5">
        <v>0</v>
      </c>
      <c r="I62" s="5">
        <v>3.1300000000000001E-2</v>
      </c>
      <c r="J62" s="5">
        <v>8.3500000000000005E-2</v>
      </c>
      <c r="L62" s="8" t="s">
        <v>74</v>
      </c>
      <c r="M62" s="5">
        <v>2.5313709606440836E-3</v>
      </c>
      <c r="N62" s="5">
        <v>2.8310668571188418E-3</v>
      </c>
      <c r="O62" s="5">
        <v>2.5457831279371286E-3</v>
      </c>
      <c r="P62" s="5">
        <v>2.4977795113064697E-3</v>
      </c>
      <c r="Q62" s="5">
        <v>2.0379890920742723E-3</v>
      </c>
      <c r="R62" s="5">
        <v>2.3584956410789355E-3</v>
      </c>
      <c r="S62" s="5">
        <v>2.6023995325218739E-3</v>
      </c>
      <c r="T62" s="5">
        <v>7.5267783846148361E-3</v>
      </c>
    </row>
    <row r="63" spans="1:20" x14ac:dyDescent="0.3">
      <c r="A63" s="2">
        <v>51</v>
      </c>
      <c r="B63" s="5">
        <v>7.5499999999999998E-2</v>
      </c>
      <c r="C63" s="5">
        <v>3.1199999999999999E-2</v>
      </c>
      <c r="D63" s="5">
        <v>2.5000000000000001E-2</v>
      </c>
      <c r="E63" s="5">
        <v>6.0900000000000003E-2</v>
      </c>
      <c r="F63" s="5">
        <v>2.5000000000000001E-2</v>
      </c>
      <c r="G63" s="5">
        <v>6.88E-2</v>
      </c>
      <c r="H63" s="5">
        <v>0.1474</v>
      </c>
      <c r="I63" s="5">
        <v>0.1394</v>
      </c>
      <c r="J63" s="5">
        <v>3.5799999999999998E-2</v>
      </c>
    </row>
    <row r="64" spans="1:20" x14ac:dyDescent="0.3">
      <c r="A64" s="2">
        <v>52</v>
      </c>
      <c r="B64" s="5">
        <v>7.9699999999999993E-2</v>
      </c>
      <c r="C64" s="5">
        <v>9.8199999999999996E-2</v>
      </c>
      <c r="D64" s="5">
        <v>2.3099999999999999E-2</v>
      </c>
      <c r="E64" s="5">
        <v>4.9500000000000002E-2</v>
      </c>
      <c r="F64" s="5">
        <v>-1.1599999999999999E-2</v>
      </c>
      <c r="G64" s="5">
        <v>0.1174</v>
      </c>
      <c r="H64" s="5">
        <v>1.38E-2</v>
      </c>
      <c r="I64" s="5">
        <v>2.6599999999999999E-2</v>
      </c>
      <c r="J64" s="5">
        <v>7.6899999999999996E-2</v>
      </c>
      <c r="M64" s="5"/>
      <c r="N64" s="5"/>
      <c r="O64" s="5"/>
      <c r="P64" s="5"/>
      <c r="Q64" s="5"/>
      <c r="R64" s="5"/>
      <c r="S64" s="5"/>
      <c r="T64" s="5"/>
    </row>
    <row r="65" spans="1:20" x14ac:dyDescent="0.3">
      <c r="A65" s="2">
        <v>53</v>
      </c>
      <c r="B65" s="5">
        <v>-7.8399999999999997E-2</v>
      </c>
      <c r="C65" s="5">
        <v>-8.8099999999999998E-2</v>
      </c>
      <c r="D65" s="5">
        <v>-0.15379999999999999</v>
      </c>
      <c r="E65" s="5">
        <v>-8.8099999999999998E-2</v>
      </c>
      <c r="F65" s="5">
        <v>-0.12939999999999999</v>
      </c>
      <c r="G65" s="5">
        <v>-5.0599999999999999E-2</v>
      </c>
      <c r="H65" s="5">
        <v>-0.11990000000000001</v>
      </c>
      <c r="I65" s="5">
        <v>-9.74E-2</v>
      </c>
      <c r="J65" s="5">
        <v>-2.9700000000000001E-2</v>
      </c>
      <c r="M65" s="5"/>
      <c r="N65" s="5"/>
      <c r="O65" s="5"/>
      <c r="P65" s="5"/>
      <c r="Q65" s="5"/>
      <c r="R65" s="5"/>
      <c r="S65" s="5"/>
      <c r="T65" s="5"/>
    </row>
    <row r="66" spans="1:20" x14ac:dyDescent="0.3">
      <c r="A66" s="2">
        <v>54</v>
      </c>
      <c r="B66" s="5">
        <v>-2.4799999999999999E-2</v>
      </c>
      <c r="C66" s="5">
        <v>-0.12759999999999999</v>
      </c>
      <c r="D66" s="5">
        <v>-2.0400000000000001E-2</v>
      </c>
      <c r="E66" s="5">
        <v>-9.4399999999999998E-2</v>
      </c>
      <c r="F66" s="5">
        <v>-5.4100000000000002E-2</v>
      </c>
      <c r="G66" s="5">
        <v>4.2999999999999997E-2</v>
      </c>
      <c r="H66" s="5">
        <v>7.7000000000000002E-3</v>
      </c>
      <c r="I66" s="5">
        <v>4.48E-2</v>
      </c>
      <c r="J66" s="5">
        <v>-7.9699999999999993E-2</v>
      </c>
      <c r="L66" s="9" t="s">
        <v>95</v>
      </c>
      <c r="M66" s="5"/>
      <c r="N66" s="5"/>
      <c r="O66" s="5"/>
      <c r="P66" s="5"/>
      <c r="Q66" s="5"/>
      <c r="R66" s="5"/>
      <c r="S66" s="5"/>
      <c r="T66" s="5"/>
    </row>
    <row r="67" spans="1:20" x14ac:dyDescent="0.3">
      <c r="A67" s="2">
        <v>55</v>
      </c>
      <c r="B67" s="5">
        <v>-1.52E-2</v>
      </c>
      <c r="C67" s="5">
        <v>-5.8999999999999999E-3</v>
      </c>
      <c r="D67" s="5">
        <v>-3.3599999999999998E-2</v>
      </c>
      <c r="E67" s="5">
        <v>-2.2100000000000002E-2</v>
      </c>
      <c r="F67" s="5">
        <v>-2.86E-2</v>
      </c>
      <c r="G67" s="5">
        <v>-5.8999999999999999E-3</v>
      </c>
      <c r="H67" s="5">
        <v>-5.3600000000000002E-2</v>
      </c>
      <c r="I67" s="5">
        <v>-3.1899999999999998E-2</v>
      </c>
      <c r="J67" s="5">
        <v>6.7000000000000002E-3</v>
      </c>
      <c r="M67" s="5"/>
      <c r="N67" s="5"/>
      <c r="O67" s="5"/>
      <c r="P67" s="5"/>
      <c r="Q67" s="5"/>
      <c r="R67" s="5"/>
      <c r="S67" s="5"/>
      <c r="T67" s="5"/>
    </row>
    <row r="68" spans="1:20" x14ac:dyDescent="0.3">
      <c r="A68" s="2">
        <v>56</v>
      </c>
      <c r="B68" s="5">
        <v>-3.7000000000000002E-3</v>
      </c>
      <c r="C68" s="5">
        <v>2.5399999999999999E-2</v>
      </c>
      <c r="D68" s="5">
        <v>2.64E-2</v>
      </c>
      <c r="E68" s="5">
        <v>4.5900000000000003E-2</v>
      </c>
      <c r="F68" s="5">
        <v>1.47E-2</v>
      </c>
      <c r="G68" s="5">
        <v>1.4200000000000001E-2</v>
      </c>
      <c r="H68" s="5">
        <v>-2.9700000000000001E-2</v>
      </c>
      <c r="I68" s="5">
        <v>-1.1000000000000001E-3</v>
      </c>
      <c r="J68" s="5">
        <v>4.6300000000000001E-2</v>
      </c>
      <c r="M68" s="16" t="s">
        <v>67</v>
      </c>
      <c r="N68" s="16" t="s">
        <v>68</v>
      </c>
      <c r="O68" s="8" t="s">
        <v>69</v>
      </c>
      <c r="P68" s="16" t="s">
        <v>70</v>
      </c>
      <c r="Q68" s="8" t="s">
        <v>71</v>
      </c>
      <c r="R68" s="8" t="s">
        <v>72</v>
      </c>
      <c r="S68" s="8" t="s">
        <v>73</v>
      </c>
      <c r="T68" s="8" t="s">
        <v>74</v>
      </c>
    </row>
    <row r="69" spans="1:20" x14ac:dyDescent="0.3">
      <c r="A69" s="2">
        <v>57</v>
      </c>
      <c r="B69" s="5">
        <v>-3.7900000000000003E-2</v>
      </c>
      <c r="C69" s="5">
        <v>-2.76E-2</v>
      </c>
      <c r="D69" s="5">
        <v>-0.08</v>
      </c>
      <c r="E69" s="5">
        <v>-2.0899999999999998E-2</v>
      </c>
      <c r="F69" s="5">
        <v>7.1999999999999998E-3</v>
      </c>
      <c r="G69" s="5">
        <v>-8.2000000000000007E-3</v>
      </c>
      <c r="H69" s="5">
        <v>-2.8E-3</v>
      </c>
      <c r="I69" s="5">
        <v>-7.4999999999999997E-2</v>
      </c>
      <c r="J69" s="5">
        <v>-2.2800000000000001E-2</v>
      </c>
      <c r="L69" s="16" t="s">
        <v>67</v>
      </c>
      <c r="M69" s="5">
        <f t="shared" ref="M69:T76" si="16">M19-M55</f>
        <v>-2.4885129246288683E-5</v>
      </c>
      <c r="N69" s="5">
        <f t="shared" si="16"/>
        <v>5.0606359439360612E-4</v>
      </c>
      <c r="O69" s="5">
        <f t="shared" si="16"/>
        <v>7.075369476383514E-4</v>
      </c>
      <c r="P69" s="5">
        <f t="shared" si="16"/>
        <v>4.8385134659575902E-4</v>
      </c>
      <c r="Q69" s="5">
        <f t="shared" si="16"/>
        <v>-5.6780605113824351E-4</v>
      </c>
      <c r="R69" s="5">
        <f t="shared" si="16"/>
        <v>-2.7577951154121724E-4</v>
      </c>
      <c r="S69" s="5">
        <f t="shared" si="16"/>
        <v>-3.1743863902392857E-4</v>
      </c>
      <c r="T69" s="5">
        <f t="shared" si="16"/>
        <v>-1.4352298938767431E-5</v>
      </c>
    </row>
    <row r="70" spans="1:20" x14ac:dyDescent="0.3">
      <c r="A70" s="2">
        <v>58</v>
      </c>
      <c r="B70" s="5">
        <v>-1.0200000000000001E-2</v>
      </c>
      <c r="C70" s="5">
        <v>1.9E-2</v>
      </c>
      <c r="D70" s="5">
        <v>2.3300000000000001E-2</v>
      </c>
      <c r="E70" s="5">
        <v>-3.8E-3</v>
      </c>
      <c r="F70" s="5">
        <v>5.0299999999999997E-2</v>
      </c>
      <c r="G70" s="5">
        <v>-0.108</v>
      </c>
      <c r="H70" s="5">
        <v>-1.11E-2</v>
      </c>
      <c r="I70" s="5">
        <v>-3.56E-2</v>
      </c>
      <c r="J70" s="5">
        <v>-2.8500000000000001E-2</v>
      </c>
      <c r="L70" s="16" t="s">
        <v>68</v>
      </c>
      <c r="M70" s="5">
        <f t="shared" si="16"/>
        <v>5.0606359439360612E-4</v>
      </c>
      <c r="N70" s="5">
        <f t="shared" si="16"/>
        <v>-3.8760306175702509E-5</v>
      </c>
      <c r="O70" s="5">
        <f t="shared" si="16"/>
        <v>2.049862798565805E-4</v>
      </c>
      <c r="P70" s="5">
        <f t="shared" si="16"/>
        <v>4.5036144849164338E-4</v>
      </c>
      <c r="Q70" s="5">
        <f t="shared" si="16"/>
        <v>-5.4712957027414056E-4</v>
      </c>
      <c r="R70" s="5">
        <f t="shared" si="16"/>
        <v>-1.6283375129536471E-4</v>
      </c>
      <c r="S70" s="5">
        <f t="shared" si="16"/>
        <v>-2.5495124412377437E-4</v>
      </c>
      <c r="T70" s="5">
        <f t="shared" si="16"/>
        <v>-2.0313584531154267E-4</v>
      </c>
    </row>
    <row r="71" spans="1:20" x14ac:dyDescent="0.3">
      <c r="A71" s="2">
        <v>59</v>
      </c>
      <c r="B71" s="5">
        <v>2.41E-2</v>
      </c>
      <c r="C71" s="5">
        <v>-8.5000000000000006E-3</v>
      </c>
      <c r="D71" s="5">
        <v>-3.32E-2</v>
      </c>
      <c r="E71" s="5">
        <v>-1.5299999999999999E-2</v>
      </c>
      <c r="F71" s="5">
        <v>-5.4800000000000001E-2</v>
      </c>
      <c r="G71" s="5">
        <v>5.7299999999999997E-2</v>
      </c>
      <c r="H71" s="5">
        <v>2.8199999999999999E-2</v>
      </c>
      <c r="I71" s="5">
        <v>2.93E-2</v>
      </c>
      <c r="J71" s="5">
        <v>0.1734</v>
      </c>
      <c r="L71" s="8" t="s">
        <v>69</v>
      </c>
      <c r="M71" s="5">
        <f t="shared" si="16"/>
        <v>7.075369476383514E-4</v>
      </c>
      <c r="N71" s="5">
        <f t="shared" si="16"/>
        <v>2.049862798565805E-4</v>
      </c>
      <c r="O71" s="5">
        <f t="shared" si="16"/>
        <v>-3.9037186762692563E-5</v>
      </c>
      <c r="P71" s="5">
        <f t="shared" si="16"/>
        <v>1.5575751460287666E-3</v>
      </c>
      <c r="Q71" s="5">
        <f t="shared" si="16"/>
        <v>-2.8312974594998496E-4</v>
      </c>
      <c r="R71" s="5">
        <f t="shared" si="16"/>
        <v>-1.2515094690506139E-4</v>
      </c>
      <c r="S71" s="5">
        <f t="shared" si="16"/>
        <v>7.9770361457363013E-6</v>
      </c>
      <c r="T71" s="5">
        <f t="shared" si="16"/>
        <v>-3.6420799965313898E-4</v>
      </c>
    </row>
    <row r="72" spans="1:20" x14ac:dyDescent="0.3">
      <c r="A72" s="2">
        <v>60</v>
      </c>
      <c r="B72" s="5">
        <v>-3.7400000000000003E-2</v>
      </c>
      <c r="C72" s="5">
        <v>2.2100000000000002E-2</v>
      </c>
      <c r="D72" s="5">
        <v>-4.7199999999999999E-2</v>
      </c>
      <c r="E72" s="5">
        <v>-9.2999999999999999E-2</v>
      </c>
      <c r="F72" s="5">
        <v>-4.3400000000000001E-2</v>
      </c>
      <c r="G72" s="5">
        <v>-3.3300000000000003E-2</v>
      </c>
      <c r="H72" s="5">
        <v>-6.8400000000000002E-2</v>
      </c>
      <c r="I72" s="5">
        <v>-9.9000000000000005E-2</v>
      </c>
      <c r="J72" s="5">
        <v>-1.9300000000000001E-2</v>
      </c>
      <c r="L72" s="16" t="s">
        <v>70</v>
      </c>
      <c r="M72" s="5">
        <f t="shared" si="16"/>
        <v>4.8385134659575902E-4</v>
      </c>
      <c r="N72" s="5">
        <f t="shared" si="16"/>
        <v>4.5036144849164338E-4</v>
      </c>
      <c r="O72" s="5">
        <f t="shared" si="16"/>
        <v>1.5575751460287666E-3</v>
      </c>
      <c r="P72" s="5">
        <f t="shared" si="16"/>
        <v>-4.6849705226115201E-5</v>
      </c>
      <c r="Q72" s="5">
        <f t="shared" si="16"/>
        <v>-4.8904193760941237E-4</v>
      </c>
      <c r="R72" s="5">
        <f t="shared" si="16"/>
        <v>2.5531036644772581E-4</v>
      </c>
      <c r="S72" s="5">
        <f t="shared" si="16"/>
        <v>2.4585650911057404E-4</v>
      </c>
      <c r="T72" s="5">
        <f t="shared" si="16"/>
        <v>-5.4415649015219624E-4</v>
      </c>
    </row>
    <row r="73" spans="1:20" x14ac:dyDescent="0.3">
      <c r="L73" s="8" t="s">
        <v>71</v>
      </c>
      <c r="M73" s="5">
        <f t="shared" si="16"/>
        <v>-5.6780605113824351E-4</v>
      </c>
      <c r="N73" s="5">
        <f t="shared" si="16"/>
        <v>-5.4712957027414056E-4</v>
      </c>
      <c r="O73" s="5">
        <f t="shared" si="16"/>
        <v>-2.8312974594998496E-4</v>
      </c>
      <c r="P73" s="5">
        <f t="shared" si="16"/>
        <v>-4.8904193760941237E-4</v>
      </c>
      <c r="Q73" s="5">
        <f t="shared" si="16"/>
        <v>-2.9389754394403608E-5</v>
      </c>
      <c r="R73" s="5">
        <f t="shared" si="16"/>
        <v>3.8363628113730758E-5</v>
      </c>
      <c r="S73" s="5">
        <f t="shared" si="16"/>
        <v>1.511361765893747E-4</v>
      </c>
      <c r="T73" s="5">
        <f t="shared" si="16"/>
        <v>1.2409635777894511E-4</v>
      </c>
    </row>
    <row r="74" spans="1:20" x14ac:dyDescent="0.3">
      <c r="L74" s="8" t="s">
        <v>72</v>
      </c>
      <c r="M74" s="5">
        <f t="shared" si="16"/>
        <v>-2.7577951154121724E-4</v>
      </c>
      <c r="N74" s="5">
        <f t="shared" si="16"/>
        <v>-1.6283375129536471E-4</v>
      </c>
      <c r="O74" s="5">
        <f t="shared" si="16"/>
        <v>-1.2515094690506139E-4</v>
      </c>
      <c r="P74" s="5">
        <f t="shared" si="16"/>
        <v>2.5531036644772581E-4</v>
      </c>
      <c r="Q74" s="5">
        <f t="shared" si="16"/>
        <v>3.8363628113730758E-5</v>
      </c>
      <c r="R74" s="5">
        <f t="shared" si="16"/>
        <v>-3.0059460124124381E-5</v>
      </c>
      <c r="S74" s="5">
        <f t="shared" si="16"/>
        <v>3.9224728085895813E-4</v>
      </c>
      <c r="T74" s="5">
        <f t="shared" si="16"/>
        <v>-1.1182175606609447E-3</v>
      </c>
    </row>
    <row r="75" spans="1:20" x14ac:dyDescent="0.3">
      <c r="B75" s="8" t="s">
        <v>7</v>
      </c>
      <c r="C75" s="16" t="s">
        <v>67</v>
      </c>
      <c r="D75" s="16" t="s">
        <v>68</v>
      </c>
      <c r="E75" s="8" t="s">
        <v>69</v>
      </c>
      <c r="F75" s="16" t="s">
        <v>70</v>
      </c>
      <c r="G75" s="8" t="s">
        <v>71</v>
      </c>
      <c r="H75" s="8" t="s">
        <v>72</v>
      </c>
      <c r="I75" s="8" t="s">
        <v>73</v>
      </c>
      <c r="J75" s="8" t="s">
        <v>74</v>
      </c>
      <c r="L75" s="8" t="s">
        <v>73</v>
      </c>
      <c r="M75" s="5">
        <f t="shared" si="16"/>
        <v>-3.1743863902392857E-4</v>
      </c>
      <c r="N75" s="5">
        <f t="shared" si="16"/>
        <v>-2.5495124412377437E-4</v>
      </c>
      <c r="O75" s="5">
        <f t="shared" si="16"/>
        <v>7.9770361457363013E-6</v>
      </c>
      <c r="P75" s="5">
        <f t="shared" si="16"/>
        <v>2.4585650911057404E-4</v>
      </c>
      <c r="Q75" s="5">
        <f t="shared" si="16"/>
        <v>1.511361765893747E-4</v>
      </c>
      <c r="R75" s="5">
        <f t="shared" si="16"/>
        <v>3.9224728085895813E-4</v>
      </c>
      <c r="S75" s="5">
        <f t="shared" si="16"/>
        <v>-2.6646732053337181E-5</v>
      </c>
      <c r="T75" s="5">
        <f t="shared" si="16"/>
        <v>4.9533310366146888E-5</v>
      </c>
    </row>
    <row r="76" spans="1:20" x14ac:dyDescent="0.3">
      <c r="L76" s="8" t="s">
        <v>74</v>
      </c>
      <c r="M76" s="5">
        <f t="shared" si="16"/>
        <v>-1.4352298938767431E-5</v>
      </c>
      <c r="N76" s="5">
        <f t="shared" si="16"/>
        <v>-2.0313584531154267E-4</v>
      </c>
      <c r="O76" s="5">
        <f t="shared" si="16"/>
        <v>-3.6420799965313898E-4</v>
      </c>
      <c r="P76" s="5">
        <f t="shared" si="16"/>
        <v>-5.4415649015219624E-4</v>
      </c>
      <c r="Q76" s="5">
        <f t="shared" si="16"/>
        <v>1.2409635777894511E-4</v>
      </c>
      <c r="R76" s="5">
        <f t="shared" si="16"/>
        <v>-1.1182175606609447E-3</v>
      </c>
      <c r="S76" s="5">
        <f t="shared" si="16"/>
        <v>4.9533310366146888E-5</v>
      </c>
      <c r="T76" s="5">
        <f t="shared" si="16"/>
        <v>-8.8038782919924556E-5</v>
      </c>
    </row>
  </sheetData>
  <printOptions headings="1" gridLines="1"/>
  <pageMargins left="0.75" right="0.75" top="1" bottom="1" header="0.5" footer="0.5"/>
  <pageSetup paperSize="9" scale="87" orientation="portrait" horizontalDpi="300" verticalDpi="300" r:id="rId1"/>
  <headerFooter alignWithMargins="0">
    <oddHeader>&amp;L&amp;F&amp;C&amp;A</oddHeader>
    <oddFooter>Prepared by Mike Staunton &amp;D&amp;RPage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28"/>
  <sheetViews>
    <sheetView workbookViewId="0"/>
  </sheetViews>
  <sheetFormatPr defaultRowHeight="13" x14ac:dyDescent="0.3"/>
  <cols>
    <col min="6" max="6" width="12.19921875" customWidth="1"/>
  </cols>
  <sheetData>
    <row r="1" spans="1:11" x14ac:dyDescent="0.3">
      <c r="A1" s="6" t="s">
        <v>0</v>
      </c>
    </row>
    <row r="2" spans="1:11" x14ac:dyDescent="0.3">
      <c r="A2" s="9" t="s">
        <v>96</v>
      </c>
    </row>
    <row r="4" spans="1:11" x14ac:dyDescent="0.3">
      <c r="A4" s="9" t="s">
        <v>97</v>
      </c>
      <c r="D4" s="9" t="s">
        <v>98</v>
      </c>
      <c r="H4" s="6" t="s">
        <v>99</v>
      </c>
    </row>
    <row r="6" spans="1:11" ht="15" x14ac:dyDescent="0.4">
      <c r="A6" t="s">
        <v>100</v>
      </c>
      <c r="B6" s="5">
        <f>AVERAGE(B26:B95)</f>
        <v>1.0916757142857139</v>
      </c>
      <c r="D6" t="s">
        <v>101</v>
      </c>
      <c r="E6" s="5">
        <f>2*LN(B6)-0.5*LN(B7)</f>
        <v>7.1499308252017404E-2</v>
      </c>
      <c r="F6" s="5"/>
      <c r="G6" s="5"/>
      <c r="H6" s="7" t="s">
        <v>102</v>
      </c>
      <c r="K6" s="24">
        <v>1</v>
      </c>
    </row>
    <row r="7" spans="1:11" x14ac:dyDescent="0.3">
      <c r="A7" t="s">
        <v>103</v>
      </c>
      <c r="B7" s="5">
        <f>SUMSQ(B26:B95)/COUNT(B26:B95)</f>
        <v>1.2310369421428571</v>
      </c>
      <c r="D7" t="s">
        <v>104</v>
      </c>
      <c r="E7" s="5">
        <f>-2*LN(B6)+LN(B7)</f>
        <v>3.2429120056108263E-2</v>
      </c>
      <c r="F7" s="5"/>
      <c r="G7" s="5"/>
      <c r="H7" s="7" t="s">
        <v>105</v>
      </c>
      <c r="K7" s="6">
        <v>20</v>
      </c>
    </row>
    <row r="8" spans="1:11" x14ac:dyDescent="0.3">
      <c r="B8" s="5"/>
      <c r="G8" s="5"/>
      <c r="H8" s="7" t="s">
        <v>106</v>
      </c>
      <c r="K8" s="23">
        <v>0.6</v>
      </c>
    </row>
    <row r="9" spans="1:11" x14ac:dyDescent="0.3">
      <c r="A9" s="19" t="s">
        <v>107</v>
      </c>
      <c r="B9" s="5"/>
      <c r="D9" s="6" t="s">
        <v>108</v>
      </c>
    </row>
    <row r="11" spans="1:11" ht="15" x14ac:dyDescent="0.4">
      <c r="A11" s="7" t="s">
        <v>109</v>
      </c>
      <c r="B11" s="3">
        <f>B6-1</f>
        <v>9.1675714285713861E-2</v>
      </c>
      <c r="D11" s="7" t="s">
        <v>109</v>
      </c>
      <c r="E11" s="3">
        <f>EXP(E6+0.5*E7)-1</f>
        <v>9.1675714285713861E-2</v>
      </c>
      <c r="F11" s="22" t="s">
        <v>110</v>
      </c>
      <c r="H11" s="7" t="s">
        <v>111</v>
      </c>
      <c r="K11" s="17">
        <f>NORMSINV(K8)</f>
        <v>0.25334657038911246</v>
      </c>
    </row>
    <row r="14" spans="1:11" ht="15" x14ac:dyDescent="0.4">
      <c r="A14" s="7" t="s">
        <v>112</v>
      </c>
      <c r="B14" s="3">
        <f>B6*(B7/B6^2)^(0.5*((1/K7)-1))-1</f>
        <v>7.4988577835010783E-2</v>
      </c>
      <c r="D14" s="7" t="s">
        <v>112</v>
      </c>
      <c r="E14" s="3">
        <f>EXP(E6+0.5*E7/K7)-1</f>
        <v>7.4988577835010783E-2</v>
      </c>
      <c r="F14" s="22" t="s">
        <v>113</v>
      </c>
      <c r="H14" s="7" t="s">
        <v>114</v>
      </c>
      <c r="K14" s="17">
        <f>K6*EXP(E6*K7+K11*SQRT(E7*K7))</f>
        <v>5.1244225573606332</v>
      </c>
    </row>
    <row r="15" spans="1:11" x14ac:dyDescent="0.3">
      <c r="G15" s="3"/>
      <c r="H15" t="s">
        <v>43</v>
      </c>
      <c r="K15" s="17">
        <f>ISForecastWealth(K6,B26:B95,K7,K8)</f>
        <v>5.1244225573606332</v>
      </c>
    </row>
    <row r="16" spans="1:11" x14ac:dyDescent="0.3">
      <c r="G16" s="3"/>
    </row>
    <row r="17" spans="1:11" ht="17.5" x14ac:dyDescent="0.45">
      <c r="A17" s="7" t="s">
        <v>115</v>
      </c>
      <c r="B17" s="3">
        <f>(B6^2)/SQRT(B7)-1</f>
        <v>7.4117407682507075E-2</v>
      </c>
      <c r="D17" s="7" t="s">
        <v>115</v>
      </c>
      <c r="E17" s="3">
        <f>EXP(E6)-1</f>
        <v>7.4117407682507075E-2</v>
      </c>
      <c r="F17" s="22" t="s">
        <v>116</v>
      </c>
      <c r="H17" s="7" t="s">
        <v>117</v>
      </c>
      <c r="K17" s="3">
        <f>EXP(E6+K11*SQRT(E7/K7))-1</f>
        <v>8.5131190240467447E-2</v>
      </c>
    </row>
    <row r="18" spans="1:11" x14ac:dyDescent="0.3">
      <c r="G18" s="3"/>
      <c r="H18" t="s">
        <v>43</v>
      </c>
      <c r="K18" s="3">
        <f>ISForecastReturn(B26:B95,K7,K8)</f>
        <v>8.5131190240467447E-2</v>
      </c>
    </row>
    <row r="24" spans="1:11" x14ac:dyDescent="0.3">
      <c r="A24" s="6" t="s">
        <v>118</v>
      </c>
      <c r="B24" s="16" t="s">
        <v>119</v>
      </c>
      <c r="D24" s="6" t="s">
        <v>120</v>
      </c>
      <c r="E24" s="8"/>
      <c r="H24" s="4" t="s">
        <v>121</v>
      </c>
      <c r="I24" s="4"/>
      <c r="J24" s="4"/>
    </row>
    <row r="25" spans="1:11" x14ac:dyDescent="0.3">
      <c r="G25" s="6" t="s">
        <v>122</v>
      </c>
      <c r="H25" s="21">
        <v>0.05</v>
      </c>
      <c r="I25" s="21">
        <v>0.5</v>
      </c>
      <c r="J25" s="21">
        <v>0.95</v>
      </c>
    </row>
    <row r="26" spans="1:11" x14ac:dyDescent="0.3">
      <c r="A26">
        <v>1</v>
      </c>
      <c r="B26" s="5">
        <v>0.76639999999999997</v>
      </c>
      <c r="D26">
        <v>-70</v>
      </c>
      <c r="E26" s="17">
        <v>1</v>
      </c>
    </row>
    <row r="27" spans="1:11" x14ac:dyDescent="0.3">
      <c r="A27">
        <v>2</v>
      </c>
      <c r="B27" s="5">
        <v>0.61860000000000004</v>
      </c>
      <c r="D27">
        <v>-69</v>
      </c>
      <c r="E27" s="17">
        <f t="shared" ref="E27:E58" si="0">E26*B26</f>
        <v>0.76639999999999997</v>
      </c>
    </row>
    <row r="28" spans="1:11" x14ac:dyDescent="0.3">
      <c r="A28">
        <v>3</v>
      </c>
      <c r="B28" s="5">
        <v>1.0055000000000001</v>
      </c>
      <c r="D28">
        <v>-68</v>
      </c>
      <c r="E28" s="17">
        <f t="shared" si="0"/>
        <v>0.47409504000000002</v>
      </c>
    </row>
    <row r="29" spans="1:11" x14ac:dyDescent="0.3">
      <c r="A29">
        <v>4</v>
      </c>
      <c r="B29" s="5">
        <v>1.5638000000000001</v>
      </c>
      <c r="D29">
        <v>-67</v>
      </c>
      <c r="E29" s="17">
        <f t="shared" si="0"/>
        <v>0.47670256272000006</v>
      </c>
    </row>
    <row r="30" spans="1:11" x14ac:dyDescent="0.3">
      <c r="A30">
        <v>5</v>
      </c>
      <c r="B30" s="5">
        <v>1.0279</v>
      </c>
      <c r="D30">
        <v>-66</v>
      </c>
      <c r="E30" s="17">
        <f t="shared" si="0"/>
        <v>0.74546746758153615</v>
      </c>
    </row>
    <row r="31" spans="1:11" x14ac:dyDescent="0.3">
      <c r="A31">
        <v>6</v>
      </c>
      <c r="B31" s="5">
        <v>1.3986000000000001</v>
      </c>
      <c r="D31">
        <v>-65</v>
      </c>
      <c r="E31" s="17">
        <f t="shared" si="0"/>
        <v>0.76626600992706106</v>
      </c>
    </row>
    <row r="32" spans="1:11" x14ac:dyDescent="0.3">
      <c r="A32">
        <v>7</v>
      </c>
      <c r="B32" s="5">
        <v>1.3037000000000001</v>
      </c>
      <c r="D32">
        <v>-64</v>
      </c>
      <c r="E32" s="17">
        <f t="shared" si="0"/>
        <v>1.0716996414839877</v>
      </c>
    </row>
    <row r="33" spans="1:5" x14ac:dyDescent="0.3">
      <c r="A33">
        <v>8</v>
      </c>
      <c r="B33" s="5">
        <v>0.63560000000000005</v>
      </c>
      <c r="D33">
        <v>-63</v>
      </c>
      <c r="E33" s="17">
        <f t="shared" si="0"/>
        <v>1.3971748226026748</v>
      </c>
    </row>
    <row r="34" spans="1:5" x14ac:dyDescent="0.3">
      <c r="A34">
        <v>9</v>
      </c>
      <c r="B34" s="5">
        <v>1.3186</v>
      </c>
      <c r="D34">
        <v>-62</v>
      </c>
      <c r="E34" s="17">
        <f t="shared" si="0"/>
        <v>0.88804431724626021</v>
      </c>
    </row>
    <row r="35" spans="1:5" x14ac:dyDescent="0.3">
      <c r="A35">
        <v>10</v>
      </c>
      <c r="B35" s="5">
        <v>1.0286</v>
      </c>
      <c r="D35">
        <v>-61</v>
      </c>
      <c r="E35" s="17">
        <f t="shared" si="0"/>
        <v>1.1709752367209187</v>
      </c>
    </row>
    <row r="36" spans="1:5" x14ac:dyDescent="0.3">
      <c r="A36">
        <v>11</v>
      </c>
      <c r="B36" s="5">
        <v>0.9214</v>
      </c>
      <c r="D36">
        <v>-60</v>
      </c>
      <c r="E36" s="17">
        <f t="shared" si="0"/>
        <v>1.204465128491137</v>
      </c>
    </row>
    <row r="37" spans="1:5" x14ac:dyDescent="0.3">
      <c r="A37">
        <v>12</v>
      </c>
      <c r="B37" s="5">
        <v>0.81989999999999996</v>
      </c>
      <c r="D37">
        <v>-59</v>
      </c>
      <c r="E37" s="17">
        <f t="shared" si="0"/>
        <v>1.1097941693917337</v>
      </c>
    </row>
    <row r="38" spans="1:5" x14ac:dyDescent="0.3">
      <c r="A38">
        <v>13</v>
      </c>
      <c r="B38" s="5">
        <v>1.0634999999999999</v>
      </c>
      <c r="D38">
        <v>-58</v>
      </c>
      <c r="E38" s="17">
        <f t="shared" si="0"/>
        <v>0.90992023948428247</v>
      </c>
    </row>
    <row r="39" spans="1:5" x14ac:dyDescent="0.3">
      <c r="A39">
        <v>14</v>
      </c>
      <c r="B39" s="5">
        <v>1.2463</v>
      </c>
      <c r="D39">
        <v>-57</v>
      </c>
      <c r="E39" s="17">
        <f t="shared" si="0"/>
        <v>0.96770017469153435</v>
      </c>
    </row>
    <row r="40" spans="1:5" x14ac:dyDescent="0.3">
      <c r="A40">
        <v>15</v>
      </c>
      <c r="B40" s="5">
        <v>1.1862999999999999</v>
      </c>
      <c r="D40">
        <v>-56</v>
      </c>
      <c r="E40" s="17">
        <f t="shared" si="0"/>
        <v>1.2060447277180593</v>
      </c>
    </row>
    <row r="41" spans="1:5" x14ac:dyDescent="0.3">
      <c r="A41">
        <v>16</v>
      </c>
      <c r="B41" s="5">
        <v>1.3493999999999999</v>
      </c>
      <c r="D41">
        <v>-55</v>
      </c>
      <c r="E41" s="17">
        <f t="shared" si="0"/>
        <v>1.4307308604919335</v>
      </c>
    </row>
    <row r="42" spans="1:5" x14ac:dyDescent="0.3">
      <c r="A42">
        <v>17</v>
      </c>
      <c r="B42" s="5">
        <v>0.7964</v>
      </c>
      <c r="D42">
        <v>-54</v>
      </c>
      <c r="E42" s="17">
        <f t="shared" si="0"/>
        <v>1.9306282231478151</v>
      </c>
    </row>
    <row r="43" spans="1:5" x14ac:dyDescent="0.3">
      <c r="A43">
        <v>18</v>
      </c>
      <c r="B43" s="5">
        <v>0.95150000000000001</v>
      </c>
      <c r="D43">
        <v>-53</v>
      </c>
      <c r="E43" s="17">
        <f t="shared" si="0"/>
        <v>1.5375523169149199</v>
      </c>
    </row>
    <row r="44" spans="1:5" x14ac:dyDescent="0.3">
      <c r="A44">
        <v>19</v>
      </c>
      <c r="B44" s="5">
        <v>0.99209999999999998</v>
      </c>
      <c r="D44">
        <v>-52</v>
      </c>
      <c r="E44" s="17">
        <f t="shared" si="0"/>
        <v>1.4629810295445462</v>
      </c>
    </row>
    <row r="45" spans="1:5" x14ac:dyDescent="0.3">
      <c r="A45">
        <v>20</v>
      </c>
      <c r="B45" s="5">
        <v>1.2287999999999999</v>
      </c>
      <c r="D45">
        <v>-51</v>
      </c>
      <c r="E45" s="17">
        <f t="shared" si="0"/>
        <v>1.4514234794111442</v>
      </c>
    </row>
    <row r="46" spans="1:5" x14ac:dyDescent="0.3">
      <c r="A46">
        <v>21</v>
      </c>
      <c r="B46" s="5">
        <v>1.2219</v>
      </c>
      <c r="D46">
        <v>-50</v>
      </c>
      <c r="E46" s="17">
        <f t="shared" si="0"/>
        <v>1.7835091715004139</v>
      </c>
    </row>
    <row r="47" spans="1:5" x14ac:dyDescent="0.3">
      <c r="A47">
        <v>22</v>
      </c>
      <c r="B47" s="5">
        <v>1.1391</v>
      </c>
      <c r="D47">
        <v>-49</v>
      </c>
      <c r="E47" s="17">
        <f t="shared" si="0"/>
        <v>2.1792698566563558</v>
      </c>
    </row>
    <row r="48" spans="1:5" x14ac:dyDescent="0.3">
      <c r="A48">
        <v>23</v>
      </c>
      <c r="B48" s="5">
        <v>1.1257999999999999</v>
      </c>
      <c r="D48">
        <v>-48</v>
      </c>
      <c r="E48" s="17">
        <f t="shared" si="0"/>
        <v>2.4824062937172546</v>
      </c>
    </row>
    <row r="49" spans="1:5" x14ac:dyDescent="0.3">
      <c r="A49">
        <v>24</v>
      </c>
      <c r="B49" s="5">
        <v>0.99839999999999995</v>
      </c>
      <c r="D49">
        <v>-47</v>
      </c>
      <c r="E49" s="17">
        <f t="shared" si="0"/>
        <v>2.7946930054668853</v>
      </c>
    </row>
    <row r="50" spans="1:5" x14ac:dyDescent="0.3">
      <c r="A50">
        <v>25</v>
      </c>
      <c r="B50" s="5">
        <v>1.5122</v>
      </c>
      <c r="D50">
        <v>-46</v>
      </c>
      <c r="E50" s="17">
        <f t="shared" si="0"/>
        <v>2.790221496658138</v>
      </c>
    </row>
    <row r="51" spans="1:5" x14ac:dyDescent="0.3">
      <c r="A51">
        <v>26</v>
      </c>
      <c r="B51" s="5">
        <v>1.2475000000000001</v>
      </c>
      <c r="D51">
        <v>-45</v>
      </c>
      <c r="E51" s="17">
        <f t="shared" si="0"/>
        <v>4.2193729472464359</v>
      </c>
    </row>
    <row r="52" spans="1:5" x14ac:dyDescent="0.3">
      <c r="A52">
        <v>27</v>
      </c>
      <c r="B52" s="5">
        <v>1.0509999999999999</v>
      </c>
      <c r="D52">
        <v>-44</v>
      </c>
      <c r="E52" s="17">
        <f t="shared" si="0"/>
        <v>5.2636677516899288</v>
      </c>
    </row>
    <row r="53" spans="1:5" x14ac:dyDescent="0.3">
      <c r="A53">
        <v>28</v>
      </c>
      <c r="B53" s="5">
        <v>0.87190000000000001</v>
      </c>
      <c r="D53">
        <v>-43</v>
      </c>
      <c r="E53" s="17">
        <f t="shared" si="0"/>
        <v>5.5321148070261152</v>
      </c>
    </row>
    <row r="54" spans="1:5" x14ac:dyDescent="0.3">
      <c r="A54">
        <v>29</v>
      </c>
      <c r="B54" s="5">
        <v>1.4249000000000001</v>
      </c>
      <c r="D54">
        <v>-42</v>
      </c>
      <c r="E54" s="17">
        <f t="shared" si="0"/>
        <v>4.8234509002460699</v>
      </c>
    </row>
    <row r="55" spans="1:5" x14ac:dyDescent="0.3">
      <c r="A55">
        <v>30</v>
      </c>
      <c r="B55" s="5">
        <v>1.1122000000000001</v>
      </c>
      <c r="D55">
        <v>-41</v>
      </c>
      <c r="E55" s="17">
        <f t="shared" si="0"/>
        <v>6.8729351877606257</v>
      </c>
    </row>
    <row r="56" spans="1:5" x14ac:dyDescent="0.3">
      <c r="A56">
        <v>31</v>
      </c>
      <c r="B56" s="5">
        <v>0.99470000000000003</v>
      </c>
      <c r="D56">
        <v>-40</v>
      </c>
      <c r="E56" s="17">
        <f t="shared" si="0"/>
        <v>7.6440785158273687</v>
      </c>
    </row>
    <row r="57" spans="1:5" x14ac:dyDescent="0.3">
      <c r="A57">
        <v>32</v>
      </c>
      <c r="B57" s="5">
        <v>1.2659</v>
      </c>
      <c r="D57">
        <v>-39</v>
      </c>
      <c r="E57" s="17">
        <f t="shared" si="0"/>
        <v>7.6035648996934837</v>
      </c>
    </row>
    <row r="58" spans="1:5" x14ac:dyDescent="0.3">
      <c r="A58">
        <v>33</v>
      </c>
      <c r="B58" s="5">
        <v>0.8861</v>
      </c>
      <c r="D58">
        <v>-38</v>
      </c>
      <c r="E58" s="17">
        <f t="shared" si="0"/>
        <v>9.6253528065219811</v>
      </c>
    </row>
    <row r="59" spans="1:5" x14ac:dyDescent="0.3">
      <c r="A59">
        <v>34</v>
      </c>
      <c r="B59" s="5">
        <v>1.1898</v>
      </c>
      <c r="D59">
        <v>-37</v>
      </c>
      <c r="E59" s="17">
        <f t="shared" ref="E59:E90" si="1">E58*B58</f>
        <v>8.529025121859128</v>
      </c>
    </row>
    <row r="60" spans="1:5" x14ac:dyDescent="0.3">
      <c r="A60">
        <v>35</v>
      </c>
      <c r="B60" s="5">
        <v>1.1503000000000001</v>
      </c>
      <c r="D60">
        <v>-36</v>
      </c>
      <c r="E60" s="17">
        <f t="shared" si="1"/>
        <v>10.14783408998799</v>
      </c>
    </row>
    <row r="61" spans="1:5" x14ac:dyDescent="0.3">
      <c r="A61">
        <v>36</v>
      </c>
      <c r="B61" s="5">
        <v>1.1226</v>
      </c>
      <c r="D61">
        <v>-35</v>
      </c>
      <c r="E61" s="17">
        <f t="shared" si="1"/>
        <v>11.673053553713187</v>
      </c>
    </row>
    <row r="62" spans="1:5" x14ac:dyDescent="0.3">
      <c r="A62">
        <v>37</v>
      </c>
      <c r="B62" s="5">
        <v>0.88239999999999996</v>
      </c>
      <c r="D62">
        <v>-34</v>
      </c>
      <c r="E62" s="17">
        <f t="shared" si="1"/>
        <v>13.104169919398425</v>
      </c>
    </row>
    <row r="63" spans="1:5" x14ac:dyDescent="0.3">
      <c r="A63">
        <v>38</v>
      </c>
      <c r="B63" s="5">
        <v>1.2488999999999999</v>
      </c>
      <c r="D63">
        <v>-33</v>
      </c>
      <c r="E63" s="17">
        <f t="shared" si="1"/>
        <v>11.563119536877169</v>
      </c>
    </row>
    <row r="64" spans="1:5" x14ac:dyDescent="0.3">
      <c r="A64">
        <v>39</v>
      </c>
      <c r="B64" s="5">
        <v>1.0904</v>
      </c>
      <c r="D64">
        <v>-32</v>
      </c>
      <c r="E64" s="17">
        <f t="shared" si="1"/>
        <v>14.441179989605896</v>
      </c>
    </row>
    <row r="65" spans="1:5" x14ac:dyDescent="0.3">
      <c r="A65">
        <v>40</v>
      </c>
      <c r="B65" s="5">
        <v>0.83860000000000001</v>
      </c>
      <c r="D65">
        <v>-31</v>
      </c>
      <c r="E65" s="17">
        <f t="shared" si="1"/>
        <v>15.746662660666269</v>
      </c>
    </row>
    <row r="66" spans="1:5" x14ac:dyDescent="0.3">
      <c r="A66">
        <v>41</v>
      </c>
      <c r="B66" s="5">
        <v>0.94750000000000001</v>
      </c>
      <c r="D66">
        <v>-30</v>
      </c>
      <c r="E66" s="17">
        <f t="shared" si="1"/>
        <v>13.205151307234733</v>
      </c>
    </row>
    <row r="67" spans="1:5" x14ac:dyDescent="0.3">
      <c r="A67">
        <v>42</v>
      </c>
      <c r="B67" s="5">
        <v>1.1395999999999999</v>
      </c>
      <c r="D67">
        <v>-29</v>
      </c>
      <c r="E67" s="17">
        <f t="shared" si="1"/>
        <v>12.51188086360491</v>
      </c>
    </row>
    <row r="68" spans="1:5" x14ac:dyDescent="0.3">
      <c r="A68">
        <v>43</v>
      </c>
      <c r="B68" s="5">
        <v>1.1409</v>
      </c>
      <c r="D68">
        <v>-28</v>
      </c>
      <c r="E68" s="17">
        <f t="shared" si="1"/>
        <v>14.258539432164154</v>
      </c>
    </row>
    <row r="69" spans="1:5" x14ac:dyDescent="0.3">
      <c r="A69">
        <v>44</v>
      </c>
      <c r="B69" s="5">
        <v>0.74960000000000004</v>
      </c>
      <c r="D69">
        <v>-27</v>
      </c>
      <c r="E69" s="17">
        <f t="shared" si="1"/>
        <v>16.267567638156084</v>
      </c>
    </row>
    <row r="70" spans="1:5" x14ac:dyDescent="0.3">
      <c r="A70">
        <v>45</v>
      </c>
      <c r="B70" s="5">
        <v>0.63749999999999996</v>
      </c>
      <c r="D70">
        <v>-26</v>
      </c>
      <c r="E70" s="17">
        <f t="shared" si="1"/>
        <v>12.194168701561802</v>
      </c>
    </row>
    <row r="71" spans="1:5" x14ac:dyDescent="0.3">
      <c r="A71">
        <v>46</v>
      </c>
      <c r="B71" s="5">
        <v>1.2948999999999999</v>
      </c>
      <c r="D71">
        <v>-25</v>
      </c>
      <c r="E71" s="17">
        <f t="shared" si="1"/>
        <v>7.7737825472456485</v>
      </c>
    </row>
    <row r="72" spans="1:5" x14ac:dyDescent="0.3">
      <c r="A72">
        <v>47</v>
      </c>
      <c r="B72" s="5">
        <v>1.2071000000000001</v>
      </c>
      <c r="D72">
        <v>-24</v>
      </c>
      <c r="E72" s="17">
        <f t="shared" si="1"/>
        <v>10.06627102042839</v>
      </c>
    </row>
    <row r="73" spans="1:5" x14ac:dyDescent="0.3">
      <c r="A73">
        <v>48</v>
      </c>
      <c r="B73" s="5">
        <v>0.91249999999999998</v>
      </c>
      <c r="D73">
        <v>-23</v>
      </c>
      <c r="E73" s="17">
        <f t="shared" si="1"/>
        <v>12.15099574875911</v>
      </c>
    </row>
    <row r="74" spans="1:5" x14ac:dyDescent="0.3">
      <c r="A74">
        <v>49</v>
      </c>
      <c r="B74" s="5">
        <v>1.0024</v>
      </c>
      <c r="D74">
        <v>-22</v>
      </c>
      <c r="E74" s="17">
        <f t="shared" si="1"/>
        <v>11.087783620742687</v>
      </c>
    </row>
    <row r="75" spans="1:5" x14ac:dyDescent="0.3">
      <c r="A75">
        <v>50</v>
      </c>
      <c r="B75" s="5">
        <v>1.1083000000000001</v>
      </c>
      <c r="D75">
        <v>-21</v>
      </c>
      <c r="E75" s="17">
        <f t="shared" si="1"/>
        <v>11.114394301432469</v>
      </c>
    </row>
    <row r="76" spans="1:5" x14ac:dyDescent="0.3">
      <c r="A76">
        <v>51</v>
      </c>
      <c r="B76" s="5">
        <v>1.1879999999999999</v>
      </c>
      <c r="D76">
        <v>-20</v>
      </c>
      <c r="E76" s="17">
        <f t="shared" si="1"/>
        <v>12.318083204277606</v>
      </c>
    </row>
    <row r="77" spans="1:5" x14ac:dyDescent="0.3">
      <c r="A77">
        <v>52</v>
      </c>
      <c r="B77" s="5">
        <v>0.88370000000000004</v>
      </c>
      <c r="D77">
        <v>-19</v>
      </c>
      <c r="E77" s="17">
        <f t="shared" si="1"/>
        <v>14.633882846681795</v>
      </c>
    </row>
    <row r="78" spans="1:5" x14ac:dyDescent="0.3">
      <c r="A78">
        <v>53</v>
      </c>
      <c r="B78" s="5">
        <v>1.1433</v>
      </c>
      <c r="D78">
        <v>-18</v>
      </c>
      <c r="E78" s="17">
        <f t="shared" si="1"/>
        <v>12.931962271612703</v>
      </c>
    </row>
    <row r="79" spans="1:5" x14ac:dyDescent="0.3">
      <c r="A79">
        <v>54</v>
      </c>
      <c r="B79" s="5">
        <v>1.1896</v>
      </c>
      <c r="D79">
        <v>-17</v>
      </c>
      <c r="E79" s="17">
        <f t="shared" si="1"/>
        <v>14.785112465134803</v>
      </c>
    </row>
    <row r="80" spans="1:5" x14ac:dyDescent="0.3">
      <c r="A80">
        <v>55</v>
      </c>
      <c r="B80" s="5">
        <v>0.99129999999999996</v>
      </c>
      <c r="D80">
        <v>-16</v>
      </c>
      <c r="E80" s="17">
        <f t="shared" si="1"/>
        <v>17.588369788524361</v>
      </c>
    </row>
    <row r="81" spans="1:5" x14ac:dyDescent="0.3">
      <c r="A81">
        <v>56</v>
      </c>
      <c r="B81" s="5">
        <v>1.2770999999999999</v>
      </c>
      <c r="D81">
        <v>-15</v>
      </c>
      <c r="E81" s="17">
        <f t="shared" si="1"/>
        <v>17.435350971364198</v>
      </c>
    </row>
    <row r="82" spans="1:5" x14ac:dyDescent="0.3">
      <c r="A82">
        <v>57</v>
      </c>
      <c r="B82" s="5">
        <v>1.1483000000000001</v>
      </c>
      <c r="D82">
        <v>-14</v>
      </c>
      <c r="E82" s="17">
        <f t="shared" si="1"/>
        <v>22.266686725529215</v>
      </c>
    </row>
    <row r="83" spans="1:5" x14ac:dyDescent="0.3">
      <c r="A83">
        <v>58</v>
      </c>
      <c r="B83" s="5">
        <v>0.97929999999999995</v>
      </c>
      <c r="D83">
        <v>-13</v>
      </c>
      <c r="E83" s="17">
        <f t="shared" si="1"/>
        <v>25.568836366925201</v>
      </c>
    </row>
    <row r="84" spans="1:5" x14ac:dyDescent="0.3">
      <c r="A84">
        <v>59</v>
      </c>
      <c r="B84" s="5">
        <v>1.1294999999999999</v>
      </c>
      <c r="D84">
        <v>-12</v>
      </c>
      <c r="E84" s="17">
        <f t="shared" si="1"/>
        <v>25.039561454129849</v>
      </c>
    </row>
    <row r="85" spans="1:5" x14ac:dyDescent="0.3">
      <c r="A85">
        <v>60</v>
      </c>
      <c r="B85" s="5">
        <v>1.2343999999999999</v>
      </c>
      <c r="D85">
        <v>-11</v>
      </c>
      <c r="E85" s="17">
        <f t="shared" si="1"/>
        <v>28.282184662439665</v>
      </c>
    </row>
    <row r="86" spans="1:5" x14ac:dyDescent="0.3">
      <c r="A86">
        <v>61</v>
      </c>
      <c r="B86" s="5">
        <v>0.88419999999999999</v>
      </c>
      <c r="D86">
        <v>-10</v>
      </c>
      <c r="E86" s="17">
        <f t="shared" si="1"/>
        <v>34.911528747315522</v>
      </c>
    </row>
    <row r="87" spans="1:5" x14ac:dyDescent="0.3">
      <c r="A87">
        <v>62</v>
      </c>
      <c r="B87" s="5">
        <v>1.3021</v>
      </c>
      <c r="D87">
        <v>-9</v>
      </c>
      <c r="E87" s="17">
        <f t="shared" si="1"/>
        <v>30.868773718376385</v>
      </c>
    </row>
    <row r="88" spans="1:5" x14ac:dyDescent="0.3">
      <c r="A88">
        <v>63</v>
      </c>
      <c r="B88" s="5">
        <v>1.0589999999999999</v>
      </c>
      <c r="D88">
        <v>-8</v>
      </c>
      <c r="E88" s="17">
        <f t="shared" si="1"/>
        <v>40.194230258697893</v>
      </c>
    </row>
    <row r="89" spans="1:5" x14ac:dyDescent="0.3">
      <c r="A89">
        <v>64</v>
      </c>
      <c r="B89" s="5">
        <v>1.083</v>
      </c>
      <c r="D89">
        <v>-7</v>
      </c>
      <c r="E89" s="17">
        <f t="shared" si="1"/>
        <v>42.565689843961067</v>
      </c>
    </row>
    <row r="90" spans="1:5" x14ac:dyDescent="0.3">
      <c r="A90">
        <v>65</v>
      </c>
      <c r="B90" s="5">
        <v>0.97330000000000005</v>
      </c>
      <c r="D90">
        <v>-6</v>
      </c>
      <c r="E90" s="17">
        <f t="shared" si="1"/>
        <v>46.098642101009837</v>
      </c>
    </row>
    <row r="91" spans="1:5" x14ac:dyDescent="0.3">
      <c r="A91">
        <v>66</v>
      </c>
      <c r="B91" s="5">
        <v>1.3307</v>
      </c>
      <c r="D91">
        <v>-5</v>
      </c>
      <c r="E91" s="17">
        <f t="shared" ref="E91:E96" si="2">E90*B90</f>
        <v>44.867808356912875</v>
      </c>
    </row>
    <row r="92" spans="1:5" x14ac:dyDescent="0.3">
      <c r="A92">
        <v>67</v>
      </c>
      <c r="B92" s="5">
        <v>1.1731</v>
      </c>
      <c r="D92">
        <v>-4</v>
      </c>
      <c r="E92" s="17">
        <f t="shared" si="2"/>
        <v>59.705592580543964</v>
      </c>
    </row>
    <row r="93" spans="1:5" x14ac:dyDescent="0.3">
      <c r="A93">
        <v>68</v>
      </c>
      <c r="B93" s="5">
        <v>1.2908999999999999</v>
      </c>
      <c r="D93">
        <v>-3</v>
      </c>
      <c r="E93" s="17">
        <f t="shared" si="2"/>
        <v>70.040630656236132</v>
      </c>
    </row>
    <row r="94" spans="1:5" x14ac:dyDescent="0.3">
      <c r="A94">
        <v>69</v>
      </c>
      <c r="B94" s="5">
        <v>1.2146999999999999</v>
      </c>
      <c r="D94">
        <v>-2</v>
      </c>
      <c r="E94" s="17">
        <f t="shared" si="2"/>
        <v>90.415450114135226</v>
      </c>
    </row>
    <row r="95" spans="1:5" x14ac:dyDescent="0.3">
      <c r="A95">
        <v>70</v>
      </c>
      <c r="B95" s="5">
        <v>1.204</v>
      </c>
      <c r="D95">
        <v>-1</v>
      </c>
      <c r="E95" s="17">
        <f t="shared" si="2"/>
        <v>109.82764725364005</v>
      </c>
    </row>
    <row r="96" spans="1:5" x14ac:dyDescent="0.3">
      <c r="D96">
        <v>0</v>
      </c>
      <c r="E96" s="17">
        <f t="shared" si="2"/>
        <v>132.2324872933826</v>
      </c>
    </row>
    <row r="97" spans="4:10" x14ac:dyDescent="0.3">
      <c r="D97">
        <v>1</v>
      </c>
      <c r="H97" s="17">
        <f t="shared" ref="H97:J116" si="3">ISForecastWealth($E$96,$B$26:$B$95,$D97-$D$96,H$25)</f>
        <v>105.6207014173922</v>
      </c>
      <c r="I97" s="17">
        <f t="shared" si="3"/>
        <v>142.03321646297817</v>
      </c>
      <c r="J97" s="17">
        <f t="shared" si="3"/>
        <v>190.99886961645686</v>
      </c>
    </row>
    <row r="98" spans="4:10" x14ac:dyDescent="0.3">
      <c r="D98">
        <v>2</v>
      </c>
      <c r="H98" s="17">
        <f t="shared" si="3"/>
        <v>100.34968354430303</v>
      </c>
      <c r="I98" s="17">
        <f t="shared" si="3"/>
        <v>152.56035027202248</v>
      </c>
      <c r="J98" s="17">
        <f t="shared" si="3"/>
        <v>231.93556424965453</v>
      </c>
    </row>
    <row r="99" spans="4:10" x14ac:dyDescent="0.3">
      <c r="D99">
        <v>3</v>
      </c>
      <c r="H99" s="17">
        <f t="shared" si="3"/>
        <v>98.102686613959904</v>
      </c>
      <c r="I99" s="17">
        <f t="shared" si="3"/>
        <v>163.86772794932006</v>
      </c>
      <c r="J99" s="17">
        <f t="shared" si="3"/>
        <v>273.71964204139618</v>
      </c>
    </row>
    <row r="100" spans="4:10" x14ac:dyDescent="0.3">
      <c r="D100">
        <v>4</v>
      </c>
      <c r="H100" s="17">
        <f t="shared" si="3"/>
        <v>97.333745888767467</v>
      </c>
      <c r="I100" s="17">
        <f t="shared" si="3"/>
        <v>176.01317914774597</v>
      </c>
      <c r="J100" s="17">
        <f t="shared" si="3"/>
        <v>318.29288959145822</v>
      </c>
    </row>
    <row r="101" spans="4:10" x14ac:dyDescent="0.3">
      <c r="D101">
        <v>5</v>
      </c>
      <c r="H101" s="17">
        <f t="shared" si="3"/>
        <v>97.4871112246975</v>
      </c>
      <c r="I101" s="17">
        <f t="shared" si="3"/>
        <v>189.05881970413361</v>
      </c>
      <c r="J101" s="17">
        <f t="shared" si="3"/>
        <v>366.64577356832035</v>
      </c>
    </row>
    <row r="102" spans="4:10" x14ac:dyDescent="0.3">
      <c r="D102">
        <v>6</v>
      </c>
      <c r="H102" s="17">
        <f t="shared" si="3"/>
        <v>98.297889590936236</v>
      </c>
      <c r="I102" s="17">
        <f t="shared" si="3"/>
        <v>203.07136932011846</v>
      </c>
      <c r="J102" s="17">
        <f t="shared" si="3"/>
        <v>419.520512690136</v>
      </c>
    </row>
    <row r="103" spans="4:10" x14ac:dyDescent="0.3">
      <c r="D103">
        <v>7</v>
      </c>
      <c r="H103" s="17">
        <f t="shared" si="3"/>
        <v>99.620493549461187</v>
      </c>
      <c r="I103" s="17">
        <f t="shared" si="3"/>
        <v>218.12249278866264</v>
      </c>
      <c r="J103" s="17">
        <f t="shared" si="3"/>
        <v>477.5866909022908</v>
      </c>
    </row>
    <row r="104" spans="4:10" x14ac:dyDescent="0.3">
      <c r="D104">
        <v>8</v>
      </c>
      <c r="H104" s="17">
        <f t="shared" si="3"/>
        <v>101.36799758734281</v>
      </c>
      <c r="I104" s="17">
        <f t="shared" si="3"/>
        <v>234.28916651140466</v>
      </c>
      <c r="J104" s="17">
        <f t="shared" si="3"/>
        <v>541.50634175556252</v>
      </c>
    </row>
    <row r="105" spans="4:10" x14ac:dyDescent="0.3">
      <c r="D105">
        <v>9</v>
      </c>
      <c r="H105" s="17">
        <f t="shared" si="3"/>
        <v>103.48593736905244</v>
      </c>
      <c r="I105" s="17">
        <f t="shared" si="3"/>
        <v>251.6540721813252</v>
      </c>
      <c r="J105" s="17">
        <f t="shared" si="3"/>
        <v>611.96500370476883</v>
      </c>
    </row>
    <row r="106" spans="4:10" x14ac:dyDescent="0.3">
      <c r="D106">
        <v>10</v>
      </c>
      <c r="H106" s="17">
        <f t="shared" si="3"/>
        <v>105.93941067518774</v>
      </c>
      <c r="I106" s="17">
        <f t="shared" si="3"/>
        <v>270.30601964415149</v>
      </c>
      <c r="J106" s="17">
        <f t="shared" si="3"/>
        <v>689.6899254979262</v>
      </c>
    </row>
    <row r="107" spans="4:10" x14ac:dyDescent="0.3">
      <c r="D107">
        <v>11</v>
      </c>
      <c r="H107" s="17">
        <f t="shared" si="3"/>
        <v>108.7061107214209</v>
      </c>
      <c r="I107" s="17">
        <f t="shared" si="3"/>
        <v>290.34040110115291</v>
      </c>
      <c r="J107" s="17">
        <f t="shared" si="3"/>
        <v>775.46283232969381</v>
      </c>
    </row>
    <row r="108" spans="4:10" x14ac:dyDescent="0.3">
      <c r="D108">
        <v>12</v>
      </c>
      <c r="H108" s="17">
        <f t="shared" si="3"/>
        <v>111.77229418381374</v>
      </c>
      <c r="I108" s="17">
        <f t="shared" si="3"/>
        <v>311.85967897626966</v>
      </c>
      <c r="J108" s="17">
        <f t="shared" si="3"/>
        <v>870.13029553853539</v>
      </c>
    </row>
    <row r="109" spans="4:10" x14ac:dyDescent="0.3">
      <c r="D109">
        <v>13</v>
      </c>
      <c r="H109" s="17">
        <f t="shared" si="3"/>
        <v>115.13032009391786</v>
      </c>
      <c r="I109" s="17">
        <f t="shared" si="3"/>
        <v>334.9739099426896</v>
      </c>
      <c r="J109" s="17">
        <f t="shared" si="3"/>
        <v>974.61311886182136</v>
      </c>
    </row>
    <row r="110" spans="4:10" x14ac:dyDescent="0.3">
      <c r="D110">
        <v>14</v>
      </c>
      <c r="H110" s="17">
        <f t="shared" si="3"/>
        <v>118.77708368922549</v>
      </c>
      <c r="I110" s="17">
        <f t="shared" si="3"/>
        <v>359.80130778891527</v>
      </c>
      <c r="J110" s="17">
        <f t="shared" si="3"/>
        <v>1089.9154707765992</v>
      </c>
    </row>
    <row r="111" spans="4:10" x14ac:dyDescent="0.3">
      <c r="D111">
        <v>15</v>
      </c>
      <c r="H111" s="17">
        <f t="shared" si="3"/>
        <v>122.71298674371458</v>
      </c>
      <c r="I111" s="17">
        <f t="shared" si="3"/>
        <v>386.46884800300552</v>
      </c>
      <c r="J111" s="17">
        <f t="shared" si="3"/>
        <v>1217.1341798460496</v>
      </c>
    </row>
    <row r="112" spans="4:10" x14ac:dyDescent="0.3">
      <c r="D112">
        <v>16</v>
      </c>
      <c r="H112" s="17">
        <f t="shared" si="3"/>
        <v>126.94124347716905</v>
      </c>
      <c r="I112" s="17">
        <f t="shared" si="3"/>
        <v>415.11291716703317</v>
      </c>
      <c r="J112" s="17">
        <f t="shared" si="3"/>
        <v>1357.4684576799218</v>
      </c>
    </row>
    <row r="113" spans="1:10" x14ac:dyDescent="0.3">
      <c r="D113">
        <v>17</v>
      </c>
      <c r="H113" s="17">
        <f t="shared" si="3"/>
        <v>131.46740417445585</v>
      </c>
      <c r="I113" s="17">
        <f t="shared" si="3"/>
        <v>445.88001048297696</v>
      </c>
      <c r="J113" s="17">
        <f t="shared" si="3"/>
        <v>1512.2302368158282</v>
      </c>
    </row>
    <row r="114" spans="1:10" x14ac:dyDescent="0.3">
      <c r="D114">
        <v>18</v>
      </c>
      <c r="H114" s="17">
        <f t="shared" si="3"/>
        <v>136.29902463784438</v>
      </c>
      <c r="I114" s="17">
        <f t="shared" si="3"/>
        <v>478.92748099742431</v>
      </c>
      <c r="J114" s="17">
        <f t="shared" si="3"/>
        <v>1682.8552710776444</v>
      </c>
    </row>
    <row r="115" spans="1:10" x14ac:dyDescent="0.3">
      <c r="D115">
        <v>19</v>
      </c>
      <c r="H115" s="17">
        <f t="shared" si="3"/>
        <v>141.44543617352579</v>
      </c>
      <c r="I115" s="17">
        <f t="shared" si="3"/>
        <v>514.42434435686641</v>
      </c>
      <c r="J115" s="17">
        <f t="shared" si="3"/>
        <v>1870.9151261857605</v>
      </c>
    </row>
    <row r="116" spans="1:10" x14ac:dyDescent="0.3">
      <c r="D116">
        <v>20</v>
      </c>
      <c r="H116" s="17">
        <f t="shared" si="3"/>
        <v>146.91758674386969</v>
      </c>
      <c r="I116" s="17">
        <f t="shared" si="3"/>
        <v>552.55214320937068</v>
      </c>
      <c r="J116" s="17">
        <f t="shared" si="3"/>
        <v>2078.1301798643144</v>
      </c>
    </row>
    <row r="117" spans="1:10" x14ac:dyDescent="0.3">
      <c r="A117" s="17"/>
      <c r="B117" s="17"/>
      <c r="C117" s="17"/>
    </row>
    <row r="118" spans="1:10" x14ac:dyDescent="0.3">
      <c r="A118" s="17"/>
      <c r="B118" s="17"/>
      <c r="C118" s="17"/>
    </row>
    <row r="119" spans="1:10" x14ac:dyDescent="0.3">
      <c r="A119" s="17"/>
      <c r="B119" s="17"/>
      <c r="C119" s="17"/>
    </row>
    <row r="120" spans="1:10" x14ac:dyDescent="0.3">
      <c r="A120" s="17"/>
      <c r="B120" s="17"/>
      <c r="C120" s="17"/>
    </row>
    <row r="121" spans="1:10" x14ac:dyDescent="0.3">
      <c r="A121" s="17"/>
      <c r="B121" s="17"/>
      <c r="C121" s="17"/>
    </row>
    <row r="122" spans="1:10" x14ac:dyDescent="0.3">
      <c r="A122" s="17"/>
      <c r="B122" s="17"/>
      <c r="C122" s="17"/>
    </row>
    <row r="123" spans="1:10" x14ac:dyDescent="0.3">
      <c r="A123" s="17"/>
      <c r="B123" s="17"/>
      <c r="C123" s="17"/>
    </row>
    <row r="124" spans="1:10" x14ac:dyDescent="0.3">
      <c r="A124" s="17"/>
      <c r="B124" s="17"/>
      <c r="C124" s="17"/>
    </row>
    <row r="125" spans="1:10" x14ac:dyDescent="0.3">
      <c r="A125" s="17"/>
      <c r="B125" s="17"/>
      <c r="C125" s="17"/>
    </row>
    <row r="126" spans="1:10" x14ac:dyDescent="0.3">
      <c r="A126" s="17"/>
      <c r="B126" s="17"/>
      <c r="C126" s="17"/>
    </row>
    <row r="127" spans="1:10" x14ac:dyDescent="0.3">
      <c r="A127" s="17"/>
      <c r="B127" s="17"/>
      <c r="C127" s="17"/>
    </row>
    <row r="128" spans="1:10" x14ac:dyDescent="0.3">
      <c r="A128" s="17"/>
      <c r="B128" s="17"/>
      <c r="C128" s="17"/>
    </row>
  </sheetData>
  <printOptions headings="1" gridLines="1"/>
  <pageMargins left="0.75" right="0.75" top="1" bottom="1" header="0.5" footer="0.5"/>
  <pageSetup paperSize="9" orientation="landscape" blackAndWhite="1" horizontalDpi="4294967292" verticalDpi="300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4</vt:i4>
      </vt:variant>
    </vt:vector>
  </HeadingPairs>
  <TitlesOfParts>
    <vt:vector size="7" baseType="lpstr">
      <vt:lpstr>Beta</vt:lpstr>
      <vt:lpstr>VCV</vt:lpstr>
      <vt:lpstr>Forecast</vt:lpstr>
      <vt:lpstr>Chart1</vt:lpstr>
      <vt:lpstr>Chart2</vt:lpstr>
      <vt:lpstr>Chart3</vt:lpstr>
      <vt:lpstr>Chart4</vt:lpstr>
    </vt:vector>
  </TitlesOfParts>
  <Company>London Business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Models for AMF chapter 7</dc:title>
  <dc:creator>Mary Jackson and Mike Staunton</dc:creator>
  <dc:description/>
  <cp:lastModifiedBy>Carina Negreanu</cp:lastModifiedBy>
  <cp:lastPrinted>2000-06-12T14:27:03Z</cp:lastPrinted>
  <dcterms:created xsi:type="dcterms:W3CDTF">1997-06-13T13:38:33Z</dcterms:created>
  <dcterms:modified xsi:type="dcterms:W3CDTF">2020-01-27T11:31:30Z</dcterms:modified>
</cp:coreProperties>
</file>