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2215DF5-7D83-49E6-9CEA-1BC7F4DEF3B6}" xr6:coauthVersionLast="45" xr6:coauthVersionMax="45" xr10:uidLastSave="{00000000-0000-0000-0000-000000000000}"/>
  <bookViews>
    <workbookView xWindow="3420" yWindow="3420" windowWidth="28800" windowHeight="15460" activeTab="1"/>
  </bookViews>
  <sheets>
    <sheet name="Chart1" sheetId="1" r:id="rId1"/>
    <sheet name="grades" sheetId="2" r:id="rId2"/>
    <sheet name="histogram" sheetId="3" r:id="rId3"/>
    <sheet name="Midterm Statistics" sheetId="4" r:id="rId4"/>
  </sheets>
  <calcPr calcId="0"/>
</workbook>
</file>

<file path=xl/calcChain.xml><?xml version="1.0" encoding="utf-8"?>
<calcChain xmlns="http://schemas.openxmlformats.org/spreadsheetml/2006/main">
  <c r="D7" i="2" l="1"/>
  <c r="F7" i="2"/>
  <c r="H7" i="2"/>
  <c r="J7" i="2"/>
  <c r="L7" i="2"/>
  <c r="N7" i="2"/>
  <c r="P7" i="2"/>
  <c r="Q7" i="2"/>
  <c r="S7" i="2"/>
  <c r="D8" i="2"/>
  <c r="F8" i="2"/>
  <c r="H8" i="2"/>
  <c r="J8" i="2"/>
  <c r="L8" i="2"/>
  <c r="N8" i="2"/>
  <c r="P8" i="2"/>
  <c r="Q8" i="2"/>
  <c r="S8" i="2"/>
  <c r="D9" i="2"/>
  <c r="F9" i="2"/>
  <c r="H9" i="2"/>
  <c r="J9" i="2"/>
  <c r="L9" i="2"/>
  <c r="N9" i="2"/>
  <c r="P9" i="2"/>
  <c r="Q9" i="2"/>
  <c r="S9" i="2"/>
  <c r="D10" i="2"/>
  <c r="F10" i="2"/>
  <c r="H10" i="2"/>
  <c r="J10" i="2"/>
  <c r="L10" i="2"/>
  <c r="N10" i="2"/>
  <c r="P10" i="2"/>
  <c r="Q10" i="2"/>
  <c r="S10" i="2"/>
  <c r="D11" i="2"/>
  <c r="F11" i="2"/>
  <c r="H11" i="2"/>
  <c r="J11" i="2"/>
  <c r="L11" i="2"/>
  <c r="N11" i="2"/>
  <c r="P11" i="2"/>
  <c r="Q11" i="2"/>
  <c r="S11" i="2"/>
  <c r="D12" i="2"/>
  <c r="F12" i="2"/>
  <c r="H12" i="2"/>
  <c r="J12" i="2"/>
  <c r="L12" i="2"/>
  <c r="N12" i="2"/>
  <c r="P12" i="2"/>
  <c r="Q12" i="2"/>
  <c r="S12" i="2"/>
  <c r="D13" i="2"/>
  <c r="F13" i="2"/>
  <c r="H13" i="2"/>
  <c r="J13" i="2"/>
  <c r="L13" i="2"/>
  <c r="N13" i="2"/>
  <c r="P13" i="2"/>
  <c r="Q13" i="2"/>
  <c r="S13" i="2"/>
  <c r="D14" i="2"/>
  <c r="F14" i="2"/>
  <c r="H14" i="2"/>
  <c r="J14" i="2"/>
  <c r="L14" i="2"/>
  <c r="N14" i="2"/>
  <c r="P14" i="2"/>
  <c r="Q14" i="2"/>
  <c r="S14" i="2"/>
  <c r="S17" i="2"/>
  <c r="T17" i="2"/>
  <c r="S18" i="2"/>
  <c r="T18" i="2"/>
  <c r="S19" i="2"/>
  <c r="T19" i="2"/>
  <c r="S20" i="2"/>
  <c r="T20" i="2"/>
  <c r="S21" i="2"/>
  <c r="T21" i="2"/>
  <c r="S22" i="2"/>
  <c r="T22" i="2"/>
  <c r="S23" i="2"/>
  <c r="T23" i="2"/>
  <c r="S24" i="2"/>
  <c r="T24" i="2"/>
  <c r="S25" i="2"/>
  <c r="T25" i="2"/>
  <c r="S26" i="2"/>
  <c r="T26" i="2"/>
  <c r="S27" i="2"/>
  <c r="T27" i="2"/>
  <c r="S28" i="2"/>
  <c r="T28" i="2"/>
  <c r="S29" i="2"/>
  <c r="T29" i="2"/>
  <c r="S30" i="2"/>
  <c r="T30" i="2"/>
  <c r="L31" i="2"/>
  <c r="S31" i="2"/>
  <c r="T31" i="2"/>
  <c r="S32" i="2"/>
  <c r="T32" i="2"/>
  <c r="S33" i="2"/>
  <c r="T33" i="2"/>
  <c r="S34" i="2"/>
  <c r="T34" i="2"/>
  <c r="S35" i="2"/>
  <c r="T35" i="2"/>
  <c r="S36" i="2"/>
  <c r="T36" i="2"/>
  <c r="S37" i="2"/>
  <c r="T37" i="2"/>
  <c r="S38" i="2"/>
  <c r="T38" i="2"/>
  <c r="S39" i="2"/>
  <c r="T39" i="2"/>
  <c r="S40" i="2"/>
  <c r="T40" i="2"/>
  <c r="S41" i="2"/>
  <c r="T41" i="2"/>
  <c r="S42" i="2"/>
  <c r="T42" i="2"/>
  <c r="S43" i="2"/>
  <c r="T43" i="2"/>
  <c r="J44" i="2"/>
  <c r="S44" i="2"/>
  <c r="T44" i="2"/>
  <c r="S45" i="2"/>
  <c r="T45" i="2"/>
  <c r="S46" i="2"/>
  <c r="T46" i="2"/>
  <c r="S47" i="2"/>
  <c r="T47" i="2"/>
  <c r="H48" i="2"/>
  <c r="S48" i="2"/>
  <c r="T48" i="2"/>
  <c r="S49" i="2"/>
  <c r="T49" i="2"/>
  <c r="S50" i="2"/>
  <c r="T50" i="2"/>
  <c r="S51" i="2"/>
  <c r="T51" i="2"/>
  <c r="S52" i="2"/>
  <c r="T52" i="2"/>
  <c r="S53" i="2"/>
  <c r="T53" i="2"/>
  <c r="S54" i="2"/>
  <c r="T54" i="2"/>
  <c r="S55" i="2"/>
  <c r="T55" i="2"/>
  <c r="S56" i="2"/>
  <c r="T56" i="2"/>
  <c r="S57" i="2"/>
  <c r="T57" i="2"/>
  <c r="S58" i="2"/>
  <c r="T58" i="2"/>
  <c r="S59" i="2"/>
  <c r="T59" i="2"/>
  <c r="S60" i="2"/>
  <c r="T60" i="2"/>
  <c r="S61" i="2"/>
  <c r="T61" i="2"/>
  <c r="H62" i="2"/>
  <c r="S62" i="2"/>
  <c r="T62" i="2"/>
  <c r="H63" i="2"/>
  <c r="S63" i="2"/>
  <c r="T63" i="2"/>
  <c r="J64" i="2"/>
  <c r="S64" i="2"/>
  <c r="T64" i="2"/>
  <c r="S65" i="2"/>
  <c r="T65" i="2"/>
  <c r="S66" i="2"/>
  <c r="T66" i="2"/>
  <c r="S67" i="2"/>
  <c r="T67" i="2"/>
  <c r="S68" i="2"/>
  <c r="T68" i="2"/>
  <c r="S69" i="2"/>
  <c r="T69" i="2"/>
  <c r="S70" i="2"/>
  <c r="T70" i="2"/>
  <c r="S71" i="2"/>
  <c r="T71" i="2"/>
  <c r="S72" i="2"/>
  <c r="T72" i="2"/>
  <c r="S73" i="2"/>
  <c r="T73" i="2"/>
  <c r="S74" i="2"/>
  <c r="T74" i="2"/>
  <c r="S75" i="2"/>
  <c r="T75" i="2"/>
  <c r="S76" i="2"/>
  <c r="T76" i="2"/>
  <c r="S77" i="2"/>
  <c r="T77" i="2"/>
  <c r="S78" i="2"/>
  <c r="T78" i="2"/>
  <c r="S79" i="2"/>
  <c r="T79" i="2"/>
  <c r="S80" i="2"/>
  <c r="T80" i="2"/>
  <c r="S81" i="2"/>
  <c r="T81" i="2"/>
  <c r="S82" i="2"/>
  <c r="T82" i="2"/>
  <c r="F83" i="2"/>
  <c r="S83" i="2"/>
  <c r="T83" i="2"/>
  <c r="S84" i="2"/>
  <c r="T84" i="2"/>
  <c r="S85" i="2"/>
  <c r="T85" i="2"/>
  <c r="S86" i="2"/>
  <c r="T86" i="2"/>
  <c r="S87" i="2"/>
  <c r="T87" i="2"/>
  <c r="S88" i="2"/>
  <c r="T88" i="2"/>
  <c r="S89" i="2"/>
  <c r="T89" i="2"/>
  <c r="S90" i="2"/>
  <c r="T90" i="2"/>
  <c r="S91" i="2"/>
  <c r="T91" i="2"/>
  <c r="S92" i="2"/>
  <c r="T92" i="2"/>
  <c r="S102" i="2"/>
  <c r="T102" i="2"/>
  <c r="V102" i="2"/>
  <c r="S103" i="2"/>
  <c r="T103" i="2"/>
  <c r="V103" i="2"/>
  <c r="S104" i="2"/>
  <c r="T104" i="2"/>
  <c r="V104" i="2"/>
  <c r="S105" i="2"/>
  <c r="T105" i="2"/>
  <c r="V105" i="2"/>
  <c r="S106" i="2"/>
  <c r="T106" i="2"/>
  <c r="V106" i="2"/>
</calcChain>
</file>

<file path=xl/sharedStrings.xml><?xml version="1.0" encoding="utf-8"?>
<sst xmlns="http://schemas.openxmlformats.org/spreadsheetml/2006/main" count="175" uniqueCount="75">
  <si>
    <t>Homework #</t>
  </si>
  <si>
    <t>HW1</t>
  </si>
  <si>
    <t>extra</t>
  </si>
  <si>
    <t>HW2</t>
  </si>
  <si>
    <t>HW3</t>
  </si>
  <si>
    <t>HW4</t>
  </si>
  <si>
    <t>HW5</t>
  </si>
  <si>
    <t>HW6</t>
  </si>
  <si>
    <t>Midterm</t>
  </si>
  <si>
    <t>Final</t>
  </si>
  <si>
    <t>Grade</t>
  </si>
  <si>
    <t># of EC's</t>
  </si>
  <si>
    <t>Points</t>
  </si>
  <si>
    <t>Value</t>
  </si>
  <si>
    <t>Average</t>
  </si>
  <si>
    <t>StdDev</t>
  </si>
  <si>
    <t>Median</t>
  </si>
  <si>
    <t>Mode</t>
  </si>
  <si>
    <t>Bottom 25%</t>
  </si>
  <si>
    <t>Top 25%</t>
  </si>
  <si>
    <t>High</t>
  </si>
  <si>
    <t>Low</t>
  </si>
  <si>
    <t>CSID:</t>
  </si>
  <si>
    <t>B</t>
  </si>
  <si>
    <t>163574</t>
  </si>
  <si>
    <t>C</t>
  </si>
  <si>
    <t>661465</t>
  </si>
  <si>
    <t>E</t>
  </si>
  <si>
    <t>100987</t>
  </si>
  <si>
    <t>522424</t>
  </si>
  <si>
    <t>7618</t>
  </si>
  <si>
    <t>D</t>
  </si>
  <si>
    <t>953050680</t>
  </si>
  <si>
    <t>A</t>
  </si>
  <si>
    <t>58202</t>
  </si>
  <si>
    <t>230101</t>
  </si>
  <si>
    <t>627975</t>
  </si>
  <si>
    <t>88709</t>
  </si>
  <si>
    <t>876732</t>
  </si>
  <si>
    <t>867970</t>
  </si>
  <si>
    <t>461461037</t>
  </si>
  <si>
    <t>8832</t>
  </si>
  <si>
    <t>494761</t>
  </si>
  <si>
    <t>903437</t>
  </si>
  <si>
    <t>690606</t>
  </si>
  <si>
    <t>893212</t>
  </si>
  <si>
    <t>S01255042</t>
  </si>
  <si>
    <t>820782</t>
  </si>
  <si>
    <t>17970</t>
  </si>
  <si>
    <t>377015962</t>
  </si>
  <si>
    <t>924036</t>
  </si>
  <si>
    <t>630411</t>
  </si>
  <si>
    <t>372114</t>
  </si>
  <si>
    <t>347393</t>
  </si>
  <si>
    <t>Honors</t>
  </si>
  <si>
    <t>Subtotal</t>
  </si>
  <si>
    <t>Honors Project</t>
  </si>
  <si>
    <t>Final Grade</t>
  </si>
  <si>
    <t>350043190</t>
  </si>
  <si>
    <t>677346417</t>
  </si>
  <si>
    <t>40</t>
  </si>
  <si>
    <t>Frequency</t>
  </si>
  <si>
    <t>More</t>
  </si>
  <si>
    <t>Midterm Statistics</t>
  </si>
  <si>
    <t>Mean</t>
  </si>
  <si>
    <t>Standard Error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</si>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</sst>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9"/>
      <color indexed="0"/>
      <name val="Helvetica"/>
    </font>
    <font>
      <sz val="10"/>
      <color indexed="0"/>
      <name val="Helvetica"/>
    </font>
    <font>
      <b/>
      <sz val="10"/>
      <color indexed="0"/>
      <name val="Helvetica"/>
    </font>
    <font>
      <i/>
      <sz val="9"/>
      <color indexed="0"/>
      <name val="Helvetica"/>
    </font>
    <font>
      <b/>
      <sz val="10"/>
      <color indexed="8"/>
      <name val="Helvetica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 applyAlignment="1" applyProtection="1"/>
    <xf numFmtId="0" fontId="1" fillId="0" borderId="0" xfId="0" applyFont="1" applyFill="1" applyAlignment="1" applyProtection="1"/>
    <xf numFmtId="2" fontId="1" fillId="0" borderId="0" xfId="0" applyNumberFormat="1" applyFont="1" applyFill="1" applyAlignment="1" applyProtection="1"/>
    <xf numFmtId="1" fontId="1" fillId="0" borderId="0" xfId="0" applyNumberFormat="1" applyFont="1" applyFill="1" applyAlignment="1" applyProtection="1"/>
    <xf numFmtId="0" fontId="2" fillId="0" borderId="0" xfId="0" applyFont="1" applyFill="1" applyAlignment="1" applyProtection="1"/>
    <xf numFmtId="0" fontId="1" fillId="0" borderId="0" xfId="0" applyFont="1" applyFill="1" applyAlignment="1" applyProtection="1">
      <alignment horizontal="right"/>
    </xf>
    <xf numFmtId="0" fontId="3" fillId="0" borderId="0" xfId="0" applyFont="1" applyFill="1" applyAlignment="1" applyProtection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4" fillId="0" borderId="0" xfId="0" applyNumberFormat="1" applyFont="1" applyFill="1" applyAlignment="1" applyProtection="1"/>
    <xf numFmtId="0" fontId="1" fillId="0" borderId="0" xfId="0" quotePrefix="1" applyFont="1" applyFill="1" applyAlignment="1" applyProtection="1"/>
    <xf numFmtId="49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C7C7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6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6.4137931034482759E-2"/>
          <c:y val="2.9411764705882353E-2"/>
          <c:w val="0.85241379310344823"/>
          <c:h val="0.9027149321266968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grades!$S$17:$S$92</c:f>
              <c:numCache>
                <c:formatCode>0.00</c:formatCode>
                <c:ptCount val="76"/>
                <c:pt idx="0">
                  <c:v>84.922667887667885</c:v>
                </c:pt>
                <c:pt idx="1">
                  <c:v>82.72583028083028</c:v>
                </c:pt>
                <c:pt idx="2">
                  <c:v>72.238998778998791</c:v>
                </c:pt>
                <c:pt idx="3">
                  <c:v>66.590451770451779</c:v>
                </c:pt>
                <c:pt idx="4">
                  <c:v>73.878724053724071</c:v>
                </c:pt>
                <c:pt idx="5">
                  <c:v>70.806898656898667</c:v>
                </c:pt>
                <c:pt idx="6">
                  <c:v>66.346349206349203</c:v>
                </c:pt>
                <c:pt idx="7">
                  <c:v>73.871990231990239</c:v>
                </c:pt>
                <c:pt idx="8">
                  <c:v>85.556282051282068</c:v>
                </c:pt>
                <c:pt idx="9">
                  <c:v>72.398339438339434</c:v>
                </c:pt>
                <c:pt idx="10">
                  <c:v>56.540213675213678</c:v>
                </c:pt>
                <c:pt idx="11">
                  <c:v>83.839615384615399</c:v>
                </c:pt>
                <c:pt idx="12">
                  <c:v>80.344316239316242</c:v>
                </c:pt>
                <c:pt idx="13">
                  <c:v>91.257564102564103</c:v>
                </c:pt>
                <c:pt idx="14">
                  <c:v>62.128681318681323</c:v>
                </c:pt>
                <c:pt idx="15">
                  <c:v>87.854322344322341</c:v>
                </c:pt>
                <c:pt idx="16">
                  <c:v>83.698400488400509</c:v>
                </c:pt>
                <c:pt idx="17">
                  <c:v>66.916837606837618</c:v>
                </c:pt>
                <c:pt idx="18">
                  <c:v>85.643461538461551</c:v>
                </c:pt>
                <c:pt idx="19">
                  <c:v>88.345421245421264</c:v>
                </c:pt>
                <c:pt idx="20">
                  <c:v>86.336507936507928</c:v>
                </c:pt>
                <c:pt idx="21">
                  <c:v>82.556752136752138</c:v>
                </c:pt>
                <c:pt idx="22">
                  <c:v>91.137374847374858</c:v>
                </c:pt>
                <c:pt idx="23">
                  <c:v>79.409847374847388</c:v>
                </c:pt>
                <c:pt idx="24">
                  <c:v>79.416843711843711</c:v>
                </c:pt>
                <c:pt idx="25">
                  <c:v>76.736733821733822</c:v>
                </c:pt>
                <c:pt idx="26">
                  <c:v>60.033644688644692</c:v>
                </c:pt>
                <c:pt idx="27">
                  <c:v>84.739383394383395</c:v>
                </c:pt>
                <c:pt idx="28">
                  <c:v>69.010048840048839</c:v>
                </c:pt>
                <c:pt idx="29">
                  <c:v>60.127167277167281</c:v>
                </c:pt>
                <c:pt idx="30">
                  <c:v>75.541227106227112</c:v>
                </c:pt>
                <c:pt idx="31">
                  <c:v>57.837564102564109</c:v>
                </c:pt>
                <c:pt idx="32">
                  <c:v>82.30848595848596</c:v>
                </c:pt>
                <c:pt idx="33">
                  <c:v>88.940085470085478</c:v>
                </c:pt>
                <c:pt idx="34">
                  <c:v>81.069151404151413</c:v>
                </c:pt>
                <c:pt idx="35">
                  <c:v>84.778815628815636</c:v>
                </c:pt>
                <c:pt idx="36">
                  <c:v>92.460854700854696</c:v>
                </c:pt>
                <c:pt idx="37">
                  <c:v>58.0165811965812</c:v>
                </c:pt>
                <c:pt idx="38">
                  <c:v>76.731800976800983</c:v>
                </c:pt>
                <c:pt idx="39">
                  <c:v>64.904719169719172</c:v>
                </c:pt>
                <c:pt idx="40">
                  <c:v>77.569743589743595</c:v>
                </c:pt>
                <c:pt idx="41">
                  <c:v>60.814175824175834</c:v>
                </c:pt>
                <c:pt idx="42">
                  <c:v>69.829487179487188</c:v>
                </c:pt>
                <c:pt idx="43">
                  <c:v>87.185555555555567</c:v>
                </c:pt>
                <c:pt idx="44">
                  <c:v>88.369987789987789</c:v>
                </c:pt>
                <c:pt idx="45">
                  <c:v>75.906324786324802</c:v>
                </c:pt>
                <c:pt idx="46">
                  <c:v>79.500897435897443</c:v>
                </c:pt>
                <c:pt idx="47">
                  <c:v>78.307503052503051</c:v>
                </c:pt>
                <c:pt idx="48">
                  <c:v>66.345641025641029</c:v>
                </c:pt>
                <c:pt idx="49">
                  <c:v>69.7</c:v>
                </c:pt>
                <c:pt idx="50">
                  <c:v>42.656190476190481</c:v>
                </c:pt>
                <c:pt idx="51">
                  <c:v>63.579822954822959</c:v>
                </c:pt>
                <c:pt idx="52">
                  <c:v>57.689603174603178</c:v>
                </c:pt>
                <c:pt idx="53">
                  <c:v>81.408516483516479</c:v>
                </c:pt>
                <c:pt idx="54">
                  <c:v>88.965934065934078</c:v>
                </c:pt>
                <c:pt idx="55">
                  <c:v>66.1462148962149</c:v>
                </c:pt>
                <c:pt idx="56">
                  <c:v>75.199975579975586</c:v>
                </c:pt>
                <c:pt idx="57">
                  <c:v>69.342857142857156</c:v>
                </c:pt>
                <c:pt idx="58">
                  <c:v>71.668931623931627</c:v>
                </c:pt>
                <c:pt idx="59">
                  <c:v>89.615470085470093</c:v>
                </c:pt>
                <c:pt idx="60">
                  <c:v>59.606043956043962</c:v>
                </c:pt>
                <c:pt idx="61">
                  <c:v>69.740415140415138</c:v>
                </c:pt>
                <c:pt idx="62">
                  <c:v>93.270012210012212</c:v>
                </c:pt>
                <c:pt idx="63">
                  <c:v>71.352991452991461</c:v>
                </c:pt>
                <c:pt idx="64">
                  <c:v>72.855695970695962</c:v>
                </c:pt>
                <c:pt idx="65">
                  <c:v>78.241422466422478</c:v>
                </c:pt>
                <c:pt idx="66">
                  <c:v>86.429017094017098</c:v>
                </c:pt>
                <c:pt idx="67">
                  <c:v>70.788724053724067</c:v>
                </c:pt>
                <c:pt idx="68">
                  <c:v>96.513333333333335</c:v>
                </c:pt>
                <c:pt idx="69">
                  <c:v>95.082008547008542</c:v>
                </c:pt>
                <c:pt idx="70">
                  <c:v>91.473547008547015</c:v>
                </c:pt>
                <c:pt idx="71">
                  <c:v>83.261526251526249</c:v>
                </c:pt>
                <c:pt idx="72">
                  <c:v>63.611330891330887</c:v>
                </c:pt>
                <c:pt idx="73">
                  <c:v>56.86589133089133</c:v>
                </c:pt>
                <c:pt idx="74">
                  <c:v>83.36467643467644</c:v>
                </c:pt>
                <c:pt idx="75">
                  <c:v>81.332295482295493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A-473A-A52A-DECB7921A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5374831"/>
        <c:axId val="1"/>
        <c:axId val="0"/>
      </c:bar3DChart>
      <c:catAx>
        <c:axId val="705374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537483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2758620689655169"/>
          <c:y val="0.4830316742081448"/>
          <c:w val="6.8965517241379309E-2"/>
          <c:h val="3.393665158371040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Histogram</a:t>
            </a:r>
          </a:p>
        </c:rich>
      </c:tx>
      <c:layout>
        <c:manualLayout>
          <c:xMode val="edge"/>
          <c:yMode val="edge"/>
          <c:x val="0.37980304635217582"/>
          <c:y val="2.85723637717795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679942280594414"/>
          <c:y val="0.23956828085568993"/>
          <c:w val="0.58625561971333562"/>
          <c:h val="0.47693868757508912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histogram!$A$2:$A$62</c:f>
              <c:strCache>
                <c:ptCount val="61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  <c:pt idx="10">
                  <c:v>51</c:v>
                </c:pt>
                <c:pt idx="11">
                  <c:v>52</c:v>
                </c:pt>
                <c:pt idx="12">
                  <c:v>53</c:v>
                </c:pt>
                <c:pt idx="13">
                  <c:v>54</c:v>
                </c:pt>
                <c:pt idx="14">
                  <c:v>55</c:v>
                </c:pt>
                <c:pt idx="15">
                  <c:v>56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63</c:v>
                </c:pt>
                <c:pt idx="23">
                  <c:v>64</c:v>
                </c:pt>
                <c:pt idx="24">
                  <c:v>65</c:v>
                </c:pt>
                <c:pt idx="25">
                  <c:v>66</c:v>
                </c:pt>
                <c:pt idx="26">
                  <c:v>67</c:v>
                </c:pt>
                <c:pt idx="27">
                  <c:v>68</c:v>
                </c:pt>
                <c:pt idx="28">
                  <c:v>69</c:v>
                </c:pt>
                <c:pt idx="29">
                  <c:v>70</c:v>
                </c:pt>
                <c:pt idx="30">
                  <c:v>71</c:v>
                </c:pt>
                <c:pt idx="31">
                  <c:v>72</c:v>
                </c:pt>
                <c:pt idx="32">
                  <c:v>73</c:v>
                </c:pt>
                <c:pt idx="33">
                  <c:v>74</c:v>
                </c:pt>
                <c:pt idx="34">
                  <c:v>75</c:v>
                </c:pt>
                <c:pt idx="35">
                  <c:v>76</c:v>
                </c:pt>
                <c:pt idx="36">
                  <c:v>77</c:v>
                </c:pt>
                <c:pt idx="37">
                  <c:v>78</c:v>
                </c:pt>
                <c:pt idx="38">
                  <c:v>79</c:v>
                </c:pt>
                <c:pt idx="39">
                  <c:v>80</c:v>
                </c:pt>
                <c:pt idx="40">
                  <c:v>81</c:v>
                </c:pt>
                <c:pt idx="41">
                  <c:v>82</c:v>
                </c:pt>
                <c:pt idx="42">
                  <c:v>83</c:v>
                </c:pt>
                <c:pt idx="43">
                  <c:v>84</c:v>
                </c:pt>
                <c:pt idx="44">
                  <c:v>85</c:v>
                </c:pt>
                <c:pt idx="45">
                  <c:v>86</c:v>
                </c:pt>
                <c:pt idx="46">
                  <c:v>87</c:v>
                </c:pt>
                <c:pt idx="47">
                  <c:v>88</c:v>
                </c:pt>
                <c:pt idx="48">
                  <c:v>89</c:v>
                </c:pt>
                <c:pt idx="49">
                  <c:v>90</c:v>
                </c:pt>
                <c:pt idx="50">
                  <c:v>91</c:v>
                </c:pt>
                <c:pt idx="51">
                  <c:v>92</c:v>
                </c:pt>
                <c:pt idx="52">
                  <c:v>93</c:v>
                </c:pt>
                <c:pt idx="53">
                  <c:v>94</c:v>
                </c:pt>
                <c:pt idx="54">
                  <c:v>95</c:v>
                </c:pt>
                <c:pt idx="55">
                  <c:v>96</c:v>
                </c:pt>
                <c:pt idx="56">
                  <c:v>97</c:v>
                </c:pt>
                <c:pt idx="57">
                  <c:v>98</c:v>
                </c:pt>
                <c:pt idx="58">
                  <c:v>99</c:v>
                </c:pt>
                <c:pt idx="59">
                  <c:v>100</c:v>
                </c:pt>
                <c:pt idx="60">
                  <c:v>More</c:v>
                </c:pt>
              </c:strCache>
            </c:strRef>
          </c:cat>
          <c:val>
            <c:numRef>
              <c:f>histogram!$B$2:$B$62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0</c:v>
                </c:pt>
                <c:pt idx="35">
                  <c:v>3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3</c:v>
                </c:pt>
                <c:pt idx="40">
                  <c:v>1</c:v>
                </c:pt>
                <c:pt idx="41">
                  <c:v>3</c:v>
                </c:pt>
                <c:pt idx="42">
                  <c:v>3</c:v>
                </c:pt>
                <c:pt idx="43">
                  <c:v>4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4</c:v>
                </c:pt>
                <c:pt idx="49">
                  <c:v>1</c:v>
                </c:pt>
                <c:pt idx="50">
                  <c:v>0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F-4A7C-BEF9-47372D91B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5373631"/>
        <c:axId val="1"/>
      </c:barChart>
      <c:catAx>
        <c:axId val="705373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40</a:t>
                </a:r>
              </a:p>
            </c:rich>
          </c:tx>
          <c:layout>
            <c:manualLayout>
              <c:xMode val="edge"/>
              <c:yMode val="edge"/>
              <c:x val="0.42335844157604924"/>
              <c:y val="0.890139025197747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2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7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2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</a:t>
                </a:r>
              </a:p>
            </c:rich>
          </c:tx>
          <c:layout>
            <c:manualLayout>
              <c:xMode val="edge"/>
              <c:yMode val="edge"/>
              <c:x val="2.0035481802981751E-2"/>
              <c:y val="0.350560924738371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53736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50833737300937"/>
          <c:y val="0.44397057553072811"/>
          <c:w val="0.23432802630443877"/>
          <c:h val="6.703516115686736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0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2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2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D82446-2DC4-41F7-8023-A3494483FA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</xdr:row>
      <xdr:rowOff>120650</xdr:rowOff>
    </xdr:from>
    <xdr:to>
      <xdr:col>16</xdr:col>
      <xdr:colOff>234950</xdr:colOff>
      <xdr:row>41</xdr:row>
      <xdr:rowOff>57150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E421EE80-D0DF-4ACD-BF8F-3C0E28A8A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2"/>
  <sheetViews>
    <sheetView tabSelected="1" workbookViewId="0">
      <selection activeCell="B96" sqref="B96"/>
    </sheetView>
  </sheetViews>
  <sheetFormatPr defaultColWidth="10.296875" defaultRowHeight="12.5" x14ac:dyDescent="0.25"/>
  <cols>
    <col min="1" max="1" width="2.69921875" style="2" customWidth="1"/>
    <col min="2" max="2" width="11.8984375" style="2" customWidth="1"/>
    <col min="3" max="3" width="11.3984375" style="1" customWidth="1"/>
    <col min="4" max="4" width="8" style="1" customWidth="1"/>
    <col min="5" max="5" width="4.296875" style="1" customWidth="1"/>
    <col min="6" max="6" width="7.09765625" style="1" customWidth="1"/>
    <col min="7" max="7" width="4.296875" style="1" customWidth="1"/>
    <col min="8" max="8" width="7" style="1" customWidth="1"/>
    <col min="9" max="9" width="4.296875" style="1" customWidth="1"/>
    <col min="10" max="10" width="6.3984375" style="1" customWidth="1"/>
    <col min="11" max="11" width="4.296875" style="1" customWidth="1"/>
    <col min="12" max="12" width="6.59765625" style="1" customWidth="1"/>
    <col min="13" max="13" width="4.3984375" style="1" customWidth="1"/>
    <col min="14" max="14" width="6" style="1" customWidth="1"/>
    <col min="15" max="15" width="4.69921875" style="1" customWidth="1"/>
    <col min="16" max="16" width="7.59765625" style="1" customWidth="1"/>
    <col min="17" max="17" width="7" style="1" customWidth="1"/>
    <col min="18" max="18" width="1.59765625" style="1" customWidth="1"/>
    <col min="19" max="19" width="7.09765625" style="1" customWidth="1"/>
    <col min="20" max="20" width="8.296875" style="1" customWidth="1"/>
    <col min="21" max="21" width="9.69921875" style="1" customWidth="1"/>
    <col min="22" max="16384" width="10.296875" style="1"/>
  </cols>
  <sheetData>
    <row r="1" spans="1:20" ht="12.75" customHeight="1" x14ac:dyDescent="0.25"/>
    <row r="2" spans="1:20" ht="12.75" customHeight="1" x14ac:dyDescent="0.25"/>
    <row r="3" spans="1:20" ht="12.75" customHeight="1" x14ac:dyDescent="0.3">
      <c r="C3" s="2" t="s">
        <v>0</v>
      </c>
      <c r="D3" s="6" t="s">
        <v>1</v>
      </c>
      <c r="E3" s="1" t="s">
        <v>2</v>
      </c>
      <c r="F3" s="6" t="s">
        <v>3</v>
      </c>
      <c r="G3" s="1" t="s">
        <v>2</v>
      </c>
      <c r="H3" s="6" t="s">
        <v>4</v>
      </c>
      <c r="I3" s="1" t="s">
        <v>2</v>
      </c>
      <c r="J3" s="6" t="s">
        <v>5</v>
      </c>
      <c r="K3" s="1" t="s">
        <v>2</v>
      </c>
      <c r="L3" s="6" t="s">
        <v>6</v>
      </c>
      <c r="M3" s="1" t="s">
        <v>2</v>
      </c>
      <c r="N3" s="6" t="s">
        <v>7</v>
      </c>
      <c r="O3" s="1" t="s">
        <v>2</v>
      </c>
      <c r="P3" s="6" t="s">
        <v>8</v>
      </c>
      <c r="Q3" s="12" t="s">
        <v>9</v>
      </c>
      <c r="R3" s="6"/>
      <c r="S3" s="6" t="s">
        <v>10</v>
      </c>
      <c r="T3" s="6" t="s">
        <v>11</v>
      </c>
    </row>
    <row r="4" spans="1:20" ht="12.75" customHeight="1" x14ac:dyDescent="0.25">
      <c r="C4" s="2" t="s">
        <v>12</v>
      </c>
      <c r="D4" s="4">
        <v>195</v>
      </c>
      <c r="F4" s="4">
        <v>180</v>
      </c>
      <c r="H4" s="4">
        <v>100</v>
      </c>
      <c r="J4" s="4">
        <v>100</v>
      </c>
      <c r="L4" s="4">
        <v>98</v>
      </c>
      <c r="N4" s="4">
        <v>100</v>
      </c>
      <c r="P4" s="4">
        <v>100</v>
      </c>
      <c r="Q4" s="4">
        <v>100</v>
      </c>
    </row>
    <row r="5" spans="1:20" ht="12.75" customHeight="1" x14ac:dyDescent="0.25">
      <c r="C5" s="2" t="s">
        <v>13</v>
      </c>
      <c r="D5" s="3">
        <v>7.0000000000000007E-2</v>
      </c>
      <c r="F5" s="3">
        <v>7.0000000000000007E-2</v>
      </c>
      <c r="H5" s="3">
        <v>7.0000000000000007E-2</v>
      </c>
      <c r="J5" s="3">
        <v>7.0000000000000007E-2</v>
      </c>
      <c r="L5" s="3">
        <v>7.0000000000000007E-2</v>
      </c>
      <c r="N5" s="3">
        <v>7.0000000000000007E-2</v>
      </c>
      <c r="P5" s="3">
        <v>0.25</v>
      </c>
      <c r="Q5" s="3">
        <v>0.33</v>
      </c>
      <c r="R5" s="3"/>
      <c r="S5" s="3"/>
    </row>
    <row r="6" spans="1:20" ht="12.75" customHeight="1" x14ac:dyDescent="0.25">
      <c r="C6" s="2"/>
      <c r="D6" s="3"/>
      <c r="F6" s="3"/>
      <c r="H6" s="3"/>
      <c r="J6" s="3"/>
      <c r="L6" s="3"/>
      <c r="N6" s="3"/>
      <c r="P6" s="3"/>
      <c r="Q6" s="3"/>
      <c r="R6" s="3"/>
      <c r="S6" s="3"/>
    </row>
    <row r="7" spans="1:20" ht="12.75" customHeight="1" x14ac:dyDescent="0.25">
      <c r="C7" s="2" t="s">
        <v>14</v>
      </c>
      <c r="D7" s="3">
        <f>AVERAGE(D17:D92)</f>
        <v>169.22565789473683</v>
      </c>
      <c r="E7" s="2"/>
      <c r="F7" s="3">
        <f>AVERAGE(F17:F92)</f>
        <v>142.79736842105262</v>
      </c>
      <c r="G7" s="2"/>
      <c r="H7" s="3">
        <f>AVERAGE(H17:H92)</f>
        <v>77.506578947368425</v>
      </c>
      <c r="J7" s="3">
        <f>AVERAGE(J17:J92)</f>
        <v>80.680000000000007</v>
      </c>
      <c r="L7" s="3">
        <f>AVERAGE(L17:L92)</f>
        <v>81.64229729729729</v>
      </c>
      <c r="N7" s="3">
        <f>AVERAGE(N17:N92)</f>
        <v>86.506849315068493</v>
      </c>
      <c r="P7" s="3">
        <f>AVERAGE(P17:P92)</f>
        <v>72.03947368421052</v>
      </c>
      <c r="Q7" s="3">
        <f>AVERAGE(Q17:Q92)</f>
        <v>72.55263157894737</v>
      </c>
      <c r="R7" s="3"/>
      <c r="S7" s="3">
        <f>AVERAGE(S17:S92)</f>
        <v>76.073562110404225</v>
      </c>
    </row>
    <row r="8" spans="1:20" ht="12.75" customHeight="1" x14ac:dyDescent="0.25">
      <c r="C8" s="2" t="s">
        <v>15</v>
      </c>
      <c r="D8" s="3">
        <f>STDEV(D17:D92)</f>
        <v>20.29487701107697</v>
      </c>
      <c r="E8" s="2"/>
      <c r="F8" s="3">
        <f>STDEV(F17:F92)</f>
        <v>33.086750515109813</v>
      </c>
      <c r="G8" s="2"/>
      <c r="H8" s="3">
        <f>STDEV(H17:H92)</f>
        <v>16.985973315464847</v>
      </c>
      <c r="J8" s="3">
        <f>STDEV(J17:J92)</f>
        <v>17.762821787031417</v>
      </c>
      <c r="L8" s="3">
        <f>STDEV(L17:L92)</f>
        <v>17.777410827958636</v>
      </c>
      <c r="N8" s="3">
        <f>STDEV(N17:N92)</f>
        <v>14.877390832765936</v>
      </c>
      <c r="P8" s="3">
        <f>STDEV(P17:P92)</f>
        <v>12.151752454658469</v>
      </c>
      <c r="Q8" s="3">
        <f>STDEV(Q17:Q92)</f>
        <v>13.350050923091</v>
      </c>
      <c r="R8" s="3"/>
      <c r="S8" s="3">
        <f>STDEV(S17:S92)</f>
        <v>11.294950654590574</v>
      </c>
    </row>
    <row r="9" spans="1:20" ht="12.75" customHeight="1" x14ac:dyDescent="0.25">
      <c r="C9" s="2" t="s">
        <v>16</v>
      </c>
      <c r="D9" s="3">
        <f>MEDIAN(D17:D92)</f>
        <v>173</v>
      </c>
      <c r="E9" s="2"/>
      <c r="F9" s="3">
        <f>MEDIAN(F17:F92)</f>
        <v>150.5</v>
      </c>
      <c r="G9" s="2"/>
      <c r="H9" s="3">
        <f>MEDIAN(H17:H92)</f>
        <v>81.5</v>
      </c>
      <c r="J9" s="3">
        <f>MEDIAN(J17:J92)</f>
        <v>86</v>
      </c>
      <c r="L9" s="3">
        <f>MEDIAN(L17:L92)</f>
        <v>86</v>
      </c>
      <c r="N9" s="3">
        <f>MEDIAN(N17:N92)</f>
        <v>91</v>
      </c>
      <c r="P9" s="3">
        <f>MEDIAN(P17:P92)</f>
        <v>72</v>
      </c>
      <c r="Q9" s="3">
        <f>MEDIAN(Q17:Q92)</f>
        <v>74.5</v>
      </c>
      <c r="R9" s="3"/>
      <c r="S9" s="3">
        <f>MEDIAN(S17:S92)</f>
        <v>77.153238705738715</v>
      </c>
    </row>
    <row r="10" spans="1:20" ht="12.75" customHeight="1" x14ac:dyDescent="0.25">
      <c r="A10" s="1"/>
      <c r="C10" s="2" t="s">
        <v>17</v>
      </c>
      <c r="D10" s="2">
        <f>MODE(D17:D92)</f>
        <v>185</v>
      </c>
      <c r="E10" s="2"/>
      <c r="F10" s="2">
        <f>MODE(F17:F92)</f>
        <v>140</v>
      </c>
      <c r="G10" s="2"/>
      <c r="H10" s="2">
        <f>MODE(H17:H92)</f>
        <v>93</v>
      </c>
      <c r="J10" s="2">
        <f>MODE(J17:J92)</f>
        <v>96</v>
      </c>
      <c r="L10" s="2">
        <f>MODE(L17:L92)</f>
        <v>98</v>
      </c>
      <c r="N10" s="2">
        <f>MODE(N17:N92)</f>
        <v>99</v>
      </c>
      <c r="P10" s="2">
        <f>MODE(P17:P92)</f>
        <v>85</v>
      </c>
      <c r="Q10" s="2">
        <f>MODE(Q17:Q92)</f>
        <v>62</v>
      </c>
      <c r="R10" s="2"/>
      <c r="S10" s="3" t="e">
        <f>MODE(S17:S92)</f>
        <v>#N/A</v>
      </c>
    </row>
    <row r="11" spans="1:20" ht="12.75" customHeight="1" x14ac:dyDescent="0.25">
      <c r="A11" s="1"/>
      <c r="C11" s="2" t="s">
        <v>18</v>
      </c>
      <c r="D11" s="2">
        <f>PERCENTILE(D17:D92,0.25)</f>
        <v>164.25</v>
      </c>
      <c r="E11" s="2"/>
      <c r="F11" s="2">
        <f>PERCENTILE(F17:F92,0.25)</f>
        <v>125.5</v>
      </c>
      <c r="G11" s="2"/>
      <c r="H11" s="2">
        <f>PERCENTILE(H17:H92,0.25)</f>
        <v>69.75</v>
      </c>
      <c r="J11" s="2">
        <f>PERCENTILE(J17:J92,0.25)</f>
        <v>74</v>
      </c>
      <c r="L11" s="2">
        <f>PERCENTILE(L17:L92,0.25)</f>
        <v>73.5</v>
      </c>
      <c r="N11" s="2">
        <f>PERCENTILE(N17:N92,0.25)</f>
        <v>82</v>
      </c>
      <c r="P11" s="2">
        <f>PERCENTILE(P17:P92,0.25)</f>
        <v>63</v>
      </c>
      <c r="Q11" s="2">
        <f>PERCENTILE(Q17:Q92,0.25)</f>
        <v>62</v>
      </c>
      <c r="R11" s="2"/>
      <c r="S11" s="3">
        <f>PERCENTILE(S17:S92,0.25)</f>
        <v>68.486746031746037</v>
      </c>
    </row>
    <row r="12" spans="1:20" ht="12.75" customHeight="1" x14ac:dyDescent="0.25">
      <c r="A12" s="1"/>
      <c r="C12" s="2" t="s">
        <v>19</v>
      </c>
      <c r="D12" s="2">
        <f>PERCENTILE(D17:D92,0.75)</f>
        <v>183</v>
      </c>
      <c r="E12" s="2"/>
      <c r="F12" s="2">
        <f>PERCENTILE(F17:F92,0.75)</f>
        <v>167.25</v>
      </c>
      <c r="G12" s="2"/>
      <c r="H12" s="2">
        <f>PERCENTILE(H17:H92,0.75)</f>
        <v>90.25</v>
      </c>
      <c r="J12" s="2">
        <f>PERCENTILE(J17:J92,0.75)</f>
        <v>94.5</v>
      </c>
      <c r="L12" s="2">
        <f>PERCENTILE(L17:L92,0.75)</f>
        <v>96.882499999999993</v>
      </c>
      <c r="N12" s="2">
        <f>PERCENTILE(N17:N92,0.75)</f>
        <v>97</v>
      </c>
      <c r="P12" s="2">
        <f>PERCENTILE(P17:P92,0.75)</f>
        <v>81.25</v>
      </c>
      <c r="Q12" s="2">
        <f>PERCENTILE(Q17:Q92,0.75)</f>
        <v>83</v>
      </c>
      <c r="R12" s="2"/>
      <c r="S12" s="3">
        <f>PERCENTILE(S17:S92,0.75)</f>
        <v>84.814778693528694</v>
      </c>
    </row>
    <row r="13" spans="1:20" ht="12.75" customHeight="1" x14ac:dyDescent="0.25">
      <c r="A13" s="1"/>
      <c r="C13" s="2" t="s">
        <v>20</v>
      </c>
      <c r="D13" s="2">
        <f>MAX(D17:D92)</f>
        <v>195</v>
      </c>
      <c r="E13" s="2"/>
      <c r="F13" s="2">
        <f>MAX(F17:F92)</f>
        <v>185</v>
      </c>
      <c r="G13" s="2"/>
      <c r="H13" s="2">
        <f>MAX(H17:H92)</f>
        <v>99.5</v>
      </c>
      <c r="J13" s="2">
        <f>MAX(J17:J92)</f>
        <v>100</v>
      </c>
      <c r="L13" s="2">
        <f>MAX(L17:L92)</f>
        <v>98</v>
      </c>
      <c r="N13" s="2">
        <f>MAX(N17:N92)</f>
        <v>100</v>
      </c>
      <c r="P13" s="2">
        <f>MAX(P17:P92)</f>
        <v>96</v>
      </c>
      <c r="Q13" s="2">
        <f>MAX(Q17:Q92)</f>
        <v>95</v>
      </c>
      <c r="R13" s="2"/>
      <c r="S13" s="3">
        <f>MAX(S17:S92)</f>
        <v>96.513333333333335</v>
      </c>
    </row>
    <row r="14" spans="1:20" ht="12.75" customHeight="1" x14ac:dyDescent="0.25">
      <c r="A14" s="1"/>
      <c r="C14" s="2" t="s">
        <v>21</v>
      </c>
      <c r="D14" s="2">
        <f>MIN(D17:D92)</f>
        <v>91</v>
      </c>
      <c r="E14" s="2"/>
      <c r="F14" s="2">
        <f>MIN(F17:F92)</f>
        <v>3</v>
      </c>
      <c r="G14" s="2"/>
      <c r="H14" s="2">
        <f>MIN(H17:H92)</f>
        <v>15.5</v>
      </c>
      <c r="J14" s="2">
        <f>MIN(J17:J92)</f>
        <v>19</v>
      </c>
      <c r="L14" s="2">
        <f>MIN(L17:L92)</f>
        <v>25</v>
      </c>
      <c r="N14" s="2">
        <f>MIN(N17:N92)</f>
        <v>8</v>
      </c>
      <c r="P14" s="2">
        <f>MIN(P17:P92)</f>
        <v>36</v>
      </c>
      <c r="Q14" s="2">
        <f>MIN(Q17:Q92)</f>
        <v>35</v>
      </c>
      <c r="R14" s="2"/>
      <c r="S14" s="3">
        <f>MIN(S17:S92)</f>
        <v>42.656190476190481</v>
      </c>
    </row>
    <row r="15" spans="1:20" ht="12.75" customHeight="1" x14ac:dyDescent="0.25">
      <c r="A15" s="1"/>
      <c r="C15" s="2"/>
      <c r="D15" s="2"/>
      <c r="E15" s="2"/>
      <c r="F15" s="2"/>
      <c r="G15" s="2"/>
      <c r="H15" s="2"/>
      <c r="J15" s="2"/>
      <c r="L15" s="2"/>
      <c r="N15" s="2"/>
      <c r="P15" s="2"/>
      <c r="Q15" s="2"/>
      <c r="R15" s="2"/>
      <c r="S15" s="3"/>
    </row>
    <row r="16" spans="1:20" ht="12.75" customHeight="1" x14ac:dyDescent="0.3">
      <c r="A16" s="5"/>
      <c r="B16" s="5" t="s">
        <v>22</v>
      </c>
      <c r="C16" s="2"/>
      <c r="D16" s="3"/>
      <c r="F16" s="3"/>
      <c r="H16" s="3"/>
      <c r="J16" s="3"/>
      <c r="L16" s="3"/>
      <c r="N16" s="3"/>
      <c r="P16" s="3"/>
      <c r="Q16" s="3"/>
      <c r="R16" s="3"/>
      <c r="S16" s="3"/>
    </row>
    <row r="17" spans="2:21" ht="12.75" customHeight="1" x14ac:dyDescent="0.25">
      <c r="C17" s="2"/>
      <c r="D17" s="1">
        <v>171</v>
      </c>
      <c r="E17" s="1">
        <v>1</v>
      </c>
      <c r="F17" s="1">
        <v>173</v>
      </c>
      <c r="H17" s="1">
        <v>71.5</v>
      </c>
      <c r="J17" s="1">
        <v>88</v>
      </c>
      <c r="L17" s="1">
        <v>85</v>
      </c>
      <c r="N17" s="1">
        <v>93</v>
      </c>
      <c r="P17" s="1">
        <v>85</v>
      </c>
      <c r="Q17" s="1">
        <v>82</v>
      </c>
      <c r="S17" s="3">
        <f t="shared" ref="S17:S48" si="0">(D17/D$4*D$5+F17/F$4*F$5+H17/H$4*H$5+J17/J$4*J$5+L17/L$4*L$5+N17/N$4*N$5+P17/P$4*P$5+Q17/Q$4*Q$5)*100</f>
        <v>84.922667887667885</v>
      </c>
      <c r="T17" s="1">
        <f t="shared" ref="T17:T48" si="1">E17+G17+I17+K17+M17+O17</f>
        <v>1</v>
      </c>
      <c r="U17" s="1" t="s">
        <v>23</v>
      </c>
    </row>
    <row r="18" spans="2:21" ht="12.75" customHeight="1" x14ac:dyDescent="0.25">
      <c r="C18" s="2"/>
      <c r="D18" s="1">
        <v>190</v>
      </c>
      <c r="E18" s="1">
        <v>1</v>
      </c>
      <c r="F18" s="1">
        <v>172</v>
      </c>
      <c r="G18" s="1">
        <v>1</v>
      </c>
      <c r="H18" s="1">
        <v>87.5</v>
      </c>
      <c r="J18" s="1">
        <v>92</v>
      </c>
      <c r="L18" s="1">
        <v>85</v>
      </c>
      <c r="N18" s="1">
        <v>99</v>
      </c>
      <c r="P18" s="1">
        <v>69</v>
      </c>
      <c r="Q18" s="1">
        <v>80</v>
      </c>
      <c r="S18" s="3">
        <f t="shared" si="0"/>
        <v>82.72583028083028</v>
      </c>
      <c r="T18" s="1">
        <f t="shared" si="1"/>
        <v>2</v>
      </c>
      <c r="U18" s="1" t="s">
        <v>23</v>
      </c>
    </row>
    <row r="19" spans="2:21" ht="12.75" customHeight="1" x14ac:dyDescent="0.25">
      <c r="B19" s="13" t="s">
        <v>24</v>
      </c>
      <c r="C19" s="2"/>
      <c r="D19" s="1">
        <v>167</v>
      </c>
      <c r="F19" s="1">
        <v>121</v>
      </c>
      <c r="H19" s="1">
        <v>86</v>
      </c>
      <c r="J19" s="1">
        <v>91</v>
      </c>
      <c r="L19" s="1">
        <v>97</v>
      </c>
      <c r="N19" s="1">
        <v>98</v>
      </c>
      <c r="P19" s="1">
        <v>53</v>
      </c>
      <c r="Q19" s="1">
        <v>67</v>
      </c>
      <c r="S19" s="3">
        <f t="shared" si="0"/>
        <v>72.238998778998791</v>
      </c>
      <c r="T19" s="1">
        <f t="shared" si="1"/>
        <v>0</v>
      </c>
      <c r="U19" s="1" t="s">
        <v>25</v>
      </c>
    </row>
    <row r="20" spans="2:21" ht="12.75" customHeight="1" x14ac:dyDescent="0.25">
      <c r="B20" s="13" t="s">
        <v>26</v>
      </c>
      <c r="C20" s="2"/>
      <c r="D20" s="1">
        <v>181</v>
      </c>
      <c r="E20" s="1">
        <v>1</v>
      </c>
      <c r="F20" s="1">
        <v>131</v>
      </c>
      <c r="H20" s="1">
        <v>89</v>
      </c>
      <c r="J20" s="1">
        <v>95</v>
      </c>
      <c r="L20" s="1">
        <v>83</v>
      </c>
      <c r="M20" s="1">
        <v>1</v>
      </c>
      <c r="N20" s="1">
        <v>100</v>
      </c>
      <c r="P20" s="1">
        <v>60</v>
      </c>
      <c r="Q20" s="1">
        <v>43</v>
      </c>
      <c r="S20" s="3">
        <f t="shared" si="0"/>
        <v>66.590451770451779</v>
      </c>
      <c r="T20" s="1">
        <f t="shared" si="1"/>
        <v>2</v>
      </c>
      <c r="U20" s="1" t="s">
        <v>27</v>
      </c>
    </row>
    <row r="21" spans="2:21" ht="12.75" customHeight="1" x14ac:dyDescent="0.25">
      <c r="C21" s="2"/>
      <c r="D21" s="1">
        <v>146</v>
      </c>
      <c r="F21" s="1">
        <v>148</v>
      </c>
      <c r="H21" s="1">
        <v>73.5</v>
      </c>
      <c r="J21" s="1">
        <v>71</v>
      </c>
      <c r="L21" s="1">
        <v>82</v>
      </c>
      <c r="N21" s="1">
        <v>70</v>
      </c>
      <c r="P21" s="1">
        <v>73</v>
      </c>
      <c r="Q21" s="1">
        <v>72</v>
      </c>
      <c r="S21" s="3">
        <f t="shared" si="0"/>
        <v>73.878724053724071</v>
      </c>
      <c r="T21" s="1">
        <f t="shared" si="1"/>
        <v>0</v>
      </c>
      <c r="U21" s="1" t="s">
        <v>23</v>
      </c>
    </row>
    <row r="22" spans="2:21" ht="12.75" customHeight="1" x14ac:dyDescent="0.25">
      <c r="C22" s="2"/>
      <c r="D22" s="1">
        <v>120</v>
      </c>
      <c r="F22" s="1">
        <v>110</v>
      </c>
      <c r="H22" s="1">
        <v>65</v>
      </c>
      <c r="J22" s="1">
        <v>59</v>
      </c>
      <c r="L22" s="1">
        <v>71</v>
      </c>
      <c r="N22" s="1">
        <v>71</v>
      </c>
      <c r="P22" s="1">
        <v>75</v>
      </c>
      <c r="Q22" s="1">
        <v>75</v>
      </c>
      <c r="S22" s="3">
        <f t="shared" si="0"/>
        <v>70.806898656898667</v>
      </c>
      <c r="T22" s="1">
        <f t="shared" si="1"/>
        <v>0</v>
      </c>
      <c r="U22" s="1" t="s">
        <v>25</v>
      </c>
    </row>
    <row r="23" spans="2:21" ht="12.75" customHeight="1" x14ac:dyDescent="0.25">
      <c r="B23" s="13" t="s">
        <v>28</v>
      </c>
      <c r="C23" s="2"/>
      <c r="D23" s="1">
        <v>189.15</v>
      </c>
      <c r="F23" s="1">
        <v>137</v>
      </c>
      <c r="H23" s="1">
        <v>53</v>
      </c>
      <c r="J23" s="1">
        <v>86</v>
      </c>
      <c r="L23" s="1">
        <v>62</v>
      </c>
      <c r="N23" s="1">
        <v>98</v>
      </c>
      <c r="P23" s="1">
        <v>51</v>
      </c>
      <c r="Q23" s="1">
        <v>62</v>
      </c>
      <c r="S23" s="3">
        <f t="shared" si="0"/>
        <v>66.346349206349203</v>
      </c>
      <c r="T23" s="1">
        <f t="shared" si="1"/>
        <v>0</v>
      </c>
      <c r="U23" s="1" t="s">
        <v>25</v>
      </c>
    </row>
    <row r="24" spans="2:21" ht="12.75" customHeight="1" x14ac:dyDescent="0.25">
      <c r="C24" s="2"/>
      <c r="D24" s="1">
        <v>166</v>
      </c>
      <c r="F24" s="1">
        <v>167</v>
      </c>
      <c r="G24" s="1">
        <v>1</v>
      </c>
      <c r="H24" s="1">
        <v>76</v>
      </c>
      <c r="J24" s="1">
        <v>91</v>
      </c>
      <c r="L24" s="1">
        <v>83</v>
      </c>
      <c r="M24" s="1">
        <v>1</v>
      </c>
      <c r="N24" s="1">
        <v>93</v>
      </c>
      <c r="P24" s="1">
        <v>66</v>
      </c>
      <c r="Q24" s="1">
        <v>63</v>
      </c>
      <c r="S24" s="3">
        <f t="shared" si="0"/>
        <v>73.871990231990239</v>
      </c>
      <c r="T24" s="1">
        <f t="shared" si="1"/>
        <v>2</v>
      </c>
      <c r="U24" s="1" t="s">
        <v>23</v>
      </c>
    </row>
    <row r="25" spans="2:21" ht="12.75" customHeight="1" x14ac:dyDescent="0.25">
      <c r="B25" s="13" t="s">
        <v>29</v>
      </c>
      <c r="C25" s="2"/>
      <c r="D25" s="1">
        <v>176</v>
      </c>
      <c r="F25" s="1">
        <v>159</v>
      </c>
      <c r="H25" s="1">
        <v>96.5</v>
      </c>
      <c r="J25" s="1">
        <v>95</v>
      </c>
      <c r="L25" s="1">
        <v>98</v>
      </c>
      <c r="N25" s="1">
        <v>99</v>
      </c>
      <c r="P25" s="1">
        <v>72</v>
      </c>
      <c r="Q25" s="1">
        <v>84</v>
      </c>
      <c r="S25" s="3">
        <f t="shared" si="0"/>
        <v>85.556282051282068</v>
      </c>
      <c r="T25" s="1">
        <f t="shared" si="1"/>
        <v>0</v>
      </c>
      <c r="U25" s="1" t="s">
        <v>23</v>
      </c>
    </row>
    <row r="26" spans="2:21" ht="12.75" customHeight="1" x14ac:dyDescent="0.25">
      <c r="B26" s="13" t="s">
        <v>30</v>
      </c>
      <c r="C26" s="2"/>
      <c r="D26" s="1">
        <v>179</v>
      </c>
      <c r="E26" s="1">
        <v>1</v>
      </c>
      <c r="F26" s="1">
        <v>121</v>
      </c>
      <c r="H26" s="1">
        <v>69</v>
      </c>
      <c r="J26" s="1">
        <v>76</v>
      </c>
      <c r="L26" s="1">
        <v>96</v>
      </c>
      <c r="N26" s="1">
        <v>88</v>
      </c>
      <c r="P26" s="1">
        <v>60</v>
      </c>
      <c r="Q26" s="1">
        <v>70</v>
      </c>
      <c r="S26" s="3">
        <f t="shared" si="0"/>
        <v>72.398339438339434</v>
      </c>
      <c r="T26" s="1">
        <f t="shared" si="1"/>
        <v>1</v>
      </c>
      <c r="U26" s="1" t="s">
        <v>23</v>
      </c>
    </row>
    <row r="27" spans="2:21" ht="12.75" customHeight="1" x14ac:dyDescent="0.25">
      <c r="C27" s="2"/>
      <c r="D27" s="1">
        <v>168</v>
      </c>
      <c r="E27" s="1">
        <v>1</v>
      </c>
      <c r="F27" s="1">
        <v>95</v>
      </c>
      <c r="H27" s="1">
        <v>83.5</v>
      </c>
      <c r="J27" s="1">
        <v>19</v>
      </c>
      <c r="P27" s="1">
        <v>82</v>
      </c>
      <c r="Q27" s="1">
        <v>58</v>
      </c>
      <c r="S27" s="3">
        <f t="shared" si="0"/>
        <v>56.540213675213678</v>
      </c>
      <c r="T27" s="1">
        <f t="shared" si="1"/>
        <v>1</v>
      </c>
      <c r="U27" s="1" t="s">
        <v>31</v>
      </c>
    </row>
    <row r="28" spans="2:21" ht="12.75" customHeight="1" x14ac:dyDescent="0.25">
      <c r="B28" s="13" t="s">
        <v>32</v>
      </c>
      <c r="C28" s="2"/>
      <c r="D28" s="1">
        <v>189</v>
      </c>
      <c r="E28" s="1">
        <v>1</v>
      </c>
      <c r="F28" s="1">
        <v>171</v>
      </c>
      <c r="H28" s="1">
        <v>89.5</v>
      </c>
      <c r="J28" s="1">
        <v>80</v>
      </c>
      <c r="L28" s="1">
        <v>98</v>
      </c>
      <c r="N28" s="1">
        <v>97</v>
      </c>
      <c r="P28" s="1">
        <v>80</v>
      </c>
      <c r="Q28" s="1">
        <v>75</v>
      </c>
      <c r="S28" s="3">
        <f t="shared" si="0"/>
        <v>83.839615384615399</v>
      </c>
      <c r="T28" s="1">
        <f t="shared" si="1"/>
        <v>1</v>
      </c>
      <c r="U28" s="1" t="s">
        <v>23</v>
      </c>
    </row>
    <row r="29" spans="2:21" ht="12.75" customHeight="1" x14ac:dyDescent="0.25">
      <c r="C29" s="2"/>
      <c r="D29" s="1">
        <v>167</v>
      </c>
      <c r="E29" s="1">
        <v>1</v>
      </c>
      <c r="F29" s="1">
        <v>167</v>
      </c>
      <c r="H29" s="1">
        <v>93</v>
      </c>
      <c r="I29" s="1">
        <v>1</v>
      </c>
      <c r="J29" s="1">
        <v>78</v>
      </c>
      <c r="L29" s="1">
        <v>96.53</v>
      </c>
      <c r="N29" s="1">
        <v>100</v>
      </c>
      <c r="P29" s="1">
        <v>65</v>
      </c>
      <c r="Q29" s="1">
        <v>78</v>
      </c>
      <c r="S29" s="3">
        <f t="shared" si="0"/>
        <v>80.344316239316242</v>
      </c>
      <c r="T29" s="1">
        <f t="shared" si="1"/>
        <v>2</v>
      </c>
      <c r="U29" s="1" t="s">
        <v>23</v>
      </c>
    </row>
    <row r="30" spans="2:21" ht="12.75" customHeight="1" x14ac:dyDescent="0.25">
      <c r="C30" s="2"/>
      <c r="D30" s="1">
        <v>183</v>
      </c>
      <c r="E30" s="1">
        <v>1</v>
      </c>
      <c r="F30" s="1">
        <v>177</v>
      </c>
      <c r="G30" s="1">
        <v>1</v>
      </c>
      <c r="H30" s="1">
        <v>96.5</v>
      </c>
      <c r="I30" s="1">
        <v>1</v>
      </c>
      <c r="J30" s="1">
        <v>95</v>
      </c>
      <c r="K30" s="1">
        <v>1</v>
      </c>
      <c r="L30" s="1">
        <v>98</v>
      </c>
      <c r="M30" s="1">
        <v>1</v>
      </c>
      <c r="N30" s="1">
        <v>100</v>
      </c>
      <c r="O30" s="1">
        <v>1</v>
      </c>
      <c r="P30" s="1">
        <v>96</v>
      </c>
      <c r="Q30" s="1">
        <v>80</v>
      </c>
      <c r="S30" s="3">
        <f t="shared" si="0"/>
        <v>91.257564102564103</v>
      </c>
      <c r="T30" s="1">
        <f t="shared" si="1"/>
        <v>6</v>
      </c>
      <c r="U30" s="1" t="s">
        <v>33</v>
      </c>
    </row>
    <row r="31" spans="2:21" ht="12.75" customHeight="1" x14ac:dyDescent="0.25">
      <c r="C31" s="2"/>
      <c r="D31" s="1">
        <v>167</v>
      </c>
      <c r="F31" s="1">
        <v>84</v>
      </c>
      <c r="H31" s="1">
        <v>46</v>
      </c>
      <c r="J31" s="1">
        <v>62</v>
      </c>
      <c r="K31" s="1">
        <v>1</v>
      </c>
      <c r="L31" s="1">
        <f>60+8</f>
        <v>68</v>
      </c>
      <c r="N31" s="1">
        <v>70</v>
      </c>
      <c r="P31" s="1">
        <v>63</v>
      </c>
      <c r="Q31" s="1">
        <v>60</v>
      </c>
      <c r="S31" s="3">
        <f t="shared" si="0"/>
        <v>62.128681318681323</v>
      </c>
      <c r="T31" s="1">
        <f t="shared" si="1"/>
        <v>1</v>
      </c>
      <c r="U31" s="1" t="s">
        <v>31</v>
      </c>
    </row>
    <row r="32" spans="2:21" ht="12.75" customHeight="1" x14ac:dyDescent="0.25">
      <c r="C32" s="2"/>
      <c r="D32" s="1">
        <v>177</v>
      </c>
      <c r="F32" s="1">
        <v>105</v>
      </c>
      <c r="H32" s="1">
        <v>83</v>
      </c>
      <c r="J32" s="1">
        <v>96</v>
      </c>
      <c r="L32" s="1">
        <v>96</v>
      </c>
      <c r="N32" s="1">
        <v>100</v>
      </c>
      <c r="P32" s="1">
        <v>84</v>
      </c>
      <c r="Q32" s="1">
        <v>91</v>
      </c>
      <c r="S32" s="3">
        <f t="shared" si="0"/>
        <v>87.854322344322341</v>
      </c>
      <c r="T32" s="1">
        <f t="shared" si="1"/>
        <v>0</v>
      </c>
      <c r="U32" s="1" t="s">
        <v>33</v>
      </c>
    </row>
    <row r="33" spans="2:21" ht="12.75" customHeight="1" x14ac:dyDescent="0.25">
      <c r="B33" s="13" t="s">
        <v>34</v>
      </c>
      <c r="C33" s="2"/>
      <c r="D33" s="1">
        <v>175</v>
      </c>
      <c r="F33" s="1">
        <v>164</v>
      </c>
      <c r="G33" s="1">
        <v>1</v>
      </c>
      <c r="H33" s="1">
        <v>90</v>
      </c>
      <c r="I33" s="1">
        <v>1</v>
      </c>
      <c r="J33" s="1">
        <v>91</v>
      </c>
      <c r="L33" s="1">
        <v>90</v>
      </c>
      <c r="N33" s="1">
        <v>99</v>
      </c>
      <c r="P33" s="1">
        <v>85</v>
      </c>
      <c r="Q33" s="1">
        <v>72</v>
      </c>
      <c r="S33" s="3">
        <f t="shared" si="0"/>
        <v>83.698400488400509</v>
      </c>
      <c r="T33" s="1">
        <f t="shared" si="1"/>
        <v>2</v>
      </c>
      <c r="U33" s="1" t="s">
        <v>23</v>
      </c>
    </row>
    <row r="34" spans="2:21" ht="12.75" customHeight="1" x14ac:dyDescent="0.25">
      <c r="B34" s="13" t="s">
        <v>35</v>
      </c>
      <c r="C34" s="2"/>
      <c r="D34" s="1">
        <v>150</v>
      </c>
      <c r="F34" s="1">
        <v>124</v>
      </c>
      <c r="H34" s="1">
        <v>72</v>
      </c>
      <c r="I34" s="1">
        <v>1</v>
      </c>
      <c r="J34" s="1">
        <v>65</v>
      </c>
      <c r="L34" s="1">
        <v>77</v>
      </c>
      <c r="N34" s="1">
        <v>74</v>
      </c>
      <c r="O34" s="1">
        <v>1</v>
      </c>
      <c r="P34" s="1">
        <v>56</v>
      </c>
      <c r="Q34" s="1">
        <v>68</v>
      </c>
      <c r="S34" s="3">
        <f t="shared" si="0"/>
        <v>66.916837606837618</v>
      </c>
      <c r="T34" s="1">
        <f t="shared" si="1"/>
        <v>2</v>
      </c>
      <c r="U34" s="1" t="s">
        <v>25</v>
      </c>
    </row>
    <row r="35" spans="2:21" ht="12.75" customHeight="1" x14ac:dyDescent="0.25">
      <c r="C35" s="2"/>
      <c r="D35" s="1">
        <v>171</v>
      </c>
      <c r="F35" s="1">
        <v>144</v>
      </c>
      <c r="H35" s="1">
        <v>91.5</v>
      </c>
      <c r="J35" s="1">
        <v>97</v>
      </c>
      <c r="L35" s="1">
        <v>98</v>
      </c>
      <c r="N35" s="1">
        <v>100</v>
      </c>
      <c r="P35" s="1">
        <v>72</v>
      </c>
      <c r="Q35" s="1">
        <v>87</v>
      </c>
      <c r="S35" s="3">
        <f t="shared" si="0"/>
        <v>85.643461538461551</v>
      </c>
      <c r="T35" s="1">
        <f t="shared" si="1"/>
        <v>0</v>
      </c>
      <c r="U35" s="1" t="s">
        <v>33</v>
      </c>
    </row>
    <row r="36" spans="2:21" ht="12.75" customHeight="1" x14ac:dyDescent="0.25">
      <c r="B36" s="13" t="s">
        <v>36</v>
      </c>
      <c r="C36" s="2"/>
      <c r="D36" s="1">
        <v>183</v>
      </c>
      <c r="E36" s="1">
        <v>1</v>
      </c>
      <c r="F36" s="1">
        <v>159</v>
      </c>
      <c r="H36" s="1">
        <v>99</v>
      </c>
      <c r="J36" s="1">
        <v>98</v>
      </c>
      <c r="L36" s="1">
        <v>93</v>
      </c>
      <c r="N36" s="1">
        <v>97</v>
      </c>
      <c r="P36" s="1">
        <v>76</v>
      </c>
      <c r="Q36" s="1">
        <v>89</v>
      </c>
      <c r="S36" s="3">
        <f t="shared" si="0"/>
        <v>88.345421245421264</v>
      </c>
      <c r="T36" s="1">
        <f t="shared" si="1"/>
        <v>1</v>
      </c>
      <c r="U36" s="1" t="s">
        <v>33</v>
      </c>
    </row>
    <row r="37" spans="2:21" ht="12.75" customHeight="1" x14ac:dyDescent="0.25">
      <c r="C37" s="2"/>
      <c r="D37" s="1">
        <v>182</v>
      </c>
      <c r="E37" s="1">
        <v>1</v>
      </c>
      <c r="F37" s="1">
        <v>154</v>
      </c>
      <c r="H37" s="1">
        <v>91</v>
      </c>
      <c r="J37" s="1">
        <v>88</v>
      </c>
      <c r="L37" s="1">
        <v>80</v>
      </c>
      <c r="N37" s="1">
        <v>99</v>
      </c>
      <c r="P37" s="1">
        <v>85</v>
      </c>
      <c r="Q37" s="1">
        <v>83</v>
      </c>
      <c r="S37" s="3">
        <f t="shared" si="0"/>
        <v>86.336507936507928</v>
      </c>
      <c r="T37" s="1">
        <f t="shared" si="1"/>
        <v>1</v>
      </c>
      <c r="U37" s="1" t="s">
        <v>33</v>
      </c>
    </row>
    <row r="38" spans="2:21" ht="12.75" customHeight="1" x14ac:dyDescent="0.25">
      <c r="C38" s="2"/>
      <c r="D38" s="1">
        <v>179</v>
      </c>
      <c r="F38" s="1">
        <v>152</v>
      </c>
      <c r="H38" s="1">
        <v>79</v>
      </c>
      <c r="J38" s="1">
        <v>85</v>
      </c>
      <c r="L38" s="1">
        <v>98</v>
      </c>
      <c r="N38" s="1">
        <v>92</v>
      </c>
      <c r="P38" s="1">
        <v>69</v>
      </c>
      <c r="Q38" s="1">
        <v>85</v>
      </c>
      <c r="S38" s="3">
        <f t="shared" si="0"/>
        <v>82.556752136752138</v>
      </c>
      <c r="T38" s="1">
        <f t="shared" si="1"/>
        <v>0</v>
      </c>
      <c r="U38" s="1" t="s">
        <v>23</v>
      </c>
    </row>
    <row r="39" spans="2:21" ht="12.75" customHeight="1" x14ac:dyDescent="0.25">
      <c r="B39" s="13" t="s">
        <v>37</v>
      </c>
      <c r="C39" s="2"/>
      <c r="D39" s="1">
        <v>185</v>
      </c>
      <c r="E39" s="1">
        <v>1</v>
      </c>
      <c r="F39" s="1">
        <v>164</v>
      </c>
      <c r="H39" s="1">
        <v>97</v>
      </c>
      <c r="J39" s="1">
        <v>96</v>
      </c>
      <c r="K39" s="1">
        <v>1</v>
      </c>
      <c r="L39" s="1">
        <v>97</v>
      </c>
      <c r="N39" s="1">
        <v>88</v>
      </c>
      <c r="P39" s="1">
        <v>82</v>
      </c>
      <c r="Q39" s="1">
        <v>94</v>
      </c>
      <c r="S39" s="3">
        <f t="shared" si="0"/>
        <v>91.137374847374858</v>
      </c>
      <c r="T39" s="1">
        <f t="shared" si="1"/>
        <v>2</v>
      </c>
      <c r="U39" s="1" t="s">
        <v>33</v>
      </c>
    </row>
    <row r="40" spans="2:21" ht="12.75" customHeight="1" x14ac:dyDescent="0.25">
      <c r="C40" s="2"/>
      <c r="D40" s="1">
        <v>192</v>
      </c>
      <c r="E40" s="1">
        <v>1</v>
      </c>
      <c r="F40" s="1">
        <v>170</v>
      </c>
      <c r="H40" s="1">
        <v>64.5</v>
      </c>
      <c r="J40" s="1">
        <v>90</v>
      </c>
      <c r="L40" s="1">
        <v>78</v>
      </c>
      <c r="N40" s="1">
        <v>85</v>
      </c>
      <c r="P40" s="1">
        <v>70</v>
      </c>
      <c r="Q40" s="1">
        <v>79</v>
      </c>
      <c r="S40" s="3">
        <f t="shared" si="0"/>
        <v>79.409847374847388</v>
      </c>
      <c r="T40" s="1">
        <f t="shared" si="1"/>
        <v>1</v>
      </c>
      <c r="U40" s="1" t="s">
        <v>23</v>
      </c>
    </row>
    <row r="41" spans="2:21" ht="12.75" customHeight="1" x14ac:dyDescent="0.25">
      <c r="C41" s="2"/>
      <c r="D41" s="1">
        <v>173</v>
      </c>
      <c r="F41" s="1">
        <v>149</v>
      </c>
      <c r="H41" s="1">
        <v>68.5</v>
      </c>
      <c r="I41" s="1">
        <v>1</v>
      </c>
      <c r="J41" s="1">
        <v>92</v>
      </c>
      <c r="K41" s="1">
        <v>1</v>
      </c>
      <c r="L41" s="1">
        <v>82</v>
      </c>
      <c r="N41" s="1">
        <v>75</v>
      </c>
      <c r="P41" s="1">
        <v>76</v>
      </c>
      <c r="Q41" s="1">
        <v>79</v>
      </c>
      <c r="S41" s="3">
        <f t="shared" si="0"/>
        <v>79.416843711843711</v>
      </c>
      <c r="T41" s="1">
        <f t="shared" si="1"/>
        <v>2</v>
      </c>
      <c r="U41" s="1" t="s">
        <v>23</v>
      </c>
    </row>
    <row r="42" spans="2:21" ht="12.75" customHeight="1" x14ac:dyDescent="0.25">
      <c r="C42" s="2"/>
      <c r="D42" s="1">
        <v>162</v>
      </c>
      <c r="F42" s="1">
        <v>119</v>
      </c>
      <c r="H42" s="1">
        <v>74.5</v>
      </c>
      <c r="J42" s="1">
        <v>74</v>
      </c>
      <c r="L42" s="1">
        <v>90</v>
      </c>
      <c r="P42" s="1">
        <v>87</v>
      </c>
      <c r="Q42" s="1">
        <v>84</v>
      </c>
      <c r="S42" s="3">
        <f t="shared" si="0"/>
        <v>76.736733821733822</v>
      </c>
      <c r="T42" s="1">
        <f t="shared" si="1"/>
        <v>0</v>
      </c>
      <c r="U42" s="1" t="s">
        <v>23</v>
      </c>
    </row>
    <row r="43" spans="2:21" ht="12.75" customHeight="1" x14ac:dyDescent="0.25">
      <c r="C43" s="2"/>
      <c r="D43" s="1">
        <v>120</v>
      </c>
      <c r="E43" s="1">
        <v>1</v>
      </c>
      <c r="F43" s="1">
        <v>66</v>
      </c>
      <c r="H43" s="1">
        <v>61.5</v>
      </c>
      <c r="J43" s="1">
        <v>79</v>
      </c>
      <c r="L43" s="1">
        <v>45</v>
      </c>
      <c r="N43" s="1">
        <v>70</v>
      </c>
      <c r="P43" s="1">
        <v>59</v>
      </c>
      <c r="Q43" s="1">
        <v>62</v>
      </c>
      <c r="S43" s="3">
        <f t="shared" si="0"/>
        <v>60.033644688644692</v>
      </c>
      <c r="T43" s="1">
        <f t="shared" si="1"/>
        <v>1</v>
      </c>
      <c r="U43" s="1" t="s">
        <v>31</v>
      </c>
    </row>
    <row r="44" spans="2:21" ht="12.75" customHeight="1" x14ac:dyDescent="0.25">
      <c r="C44" s="2"/>
      <c r="D44" s="1">
        <v>173</v>
      </c>
      <c r="E44" s="1">
        <v>1</v>
      </c>
      <c r="F44" s="1">
        <v>175</v>
      </c>
      <c r="G44" s="1">
        <v>1</v>
      </c>
      <c r="H44" s="1">
        <v>92.5</v>
      </c>
      <c r="J44" s="1">
        <f>68+28</f>
        <v>96</v>
      </c>
      <c r="L44" s="1">
        <v>97</v>
      </c>
      <c r="N44" s="1">
        <v>92</v>
      </c>
      <c r="P44" s="1">
        <v>79</v>
      </c>
      <c r="Q44" s="1">
        <v>77</v>
      </c>
      <c r="S44" s="3">
        <f t="shared" si="0"/>
        <v>84.739383394383395</v>
      </c>
      <c r="T44" s="1">
        <f t="shared" si="1"/>
        <v>2</v>
      </c>
      <c r="U44" s="1" t="s">
        <v>23</v>
      </c>
    </row>
    <row r="45" spans="2:21" ht="12.75" customHeight="1" x14ac:dyDescent="0.25">
      <c r="C45" s="2"/>
      <c r="D45" s="1">
        <v>145</v>
      </c>
      <c r="F45" s="1">
        <v>128</v>
      </c>
      <c r="H45" s="1">
        <v>70</v>
      </c>
      <c r="J45" s="1">
        <v>70</v>
      </c>
      <c r="L45" s="1">
        <v>89</v>
      </c>
      <c r="N45" s="1">
        <v>91</v>
      </c>
      <c r="P45" s="1">
        <v>66</v>
      </c>
      <c r="Q45" s="1">
        <v>60</v>
      </c>
      <c r="S45" s="3">
        <f t="shared" si="0"/>
        <v>69.010048840048839</v>
      </c>
      <c r="T45" s="1">
        <f t="shared" si="1"/>
        <v>0</v>
      </c>
      <c r="U45" s="1" t="s">
        <v>25</v>
      </c>
    </row>
    <row r="46" spans="2:21" ht="12.75" customHeight="1" x14ac:dyDescent="0.25">
      <c r="C46" s="2"/>
      <c r="D46" s="1">
        <v>131</v>
      </c>
      <c r="F46" s="1">
        <v>154</v>
      </c>
      <c r="H46" s="1">
        <v>66</v>
      </c>
      <c r="J46" s="1">
        <v>59</v>
      </c>
      <c r="L46" s="1">
        <v>25</v>
      </c>
      <c r="N46" s="1">
        <v>76</v>
      </c>
      <c r="P46" s="1">
        <v>67</v>
      </c>
      <c r="Q46" s="1">
        <v>51</v>
      </c>
      <c r="S46" s="3">
        <f t="shared" si="0"/>
        <v>60.127167277167281</v>
      </c>
      <c r="T46" s="1">
        <f t="shared" si="1"/>
        <v>0</v>
      </c>
      <c r="U46" s="1" t="s">
        <v>31</v>
      </c>
    </row>
    <row r="47" spans="2:21" ht="12.75" customHeight="1" x14ac:dyDescent="0.25">
      <c r="C47" s="2"/>
      <c r="D47" s="1">
        <v>190</v>
      </c>
      <c r="F47" s="1">
        <v>162</v>
      </c>
      <c r="H47" s="1">
        <v>71.5</v>
      </c>
      <c r="J47" s="1">
        <v>86</v>
      </c>
      <c r="L47" s="1">
        <v>67</v>
      </c>
      <c r="N47" s="1">
        <v>88</v>
      </c>
      <c r="P47" s="1">
        <v>76</v>
      </c>
      <c r="Q47" s="1">
        <v>65</v>
      </c>
      <c r="S47" s="3">
        <f t="shared" si="0"/>
        <v>75.541227106227112</v>
      </c>
      <c r="T47" s="1">
        <f t="shared" si="1"/>
        <v>0</v>
      </c>
      <c r="U47" s="1" t="s">
        <v>23</v>
      </c>
    </row>
    <row r="48" spans="2:21" ht="12.75" customHeight="1" x14ac:dyDescent="0.25">
      <c r="B48" s="13" t="s">
        <v>38</v>
      </c>
      <c r="C48" s="2"/>
      <c r="D48" s="1">
        <v>131</v>
      </c>
      <c r="E48" s="1">
        <v>1</v>
      </c>
      <c r="F48" s="1">
        <v>108</v>
      </c>
      <c r="H48" s="1">
        <f>47.5+23</f>
        <v>70.5</v>
      </c>
      <c r="I48" s="1">
        <v>1</v>
      </c>
      <c r="J48" s="1">
        <v>47</v>
      </c>
      <c r="L48" s="1">
        <v>63</v>
      </c>
      <c r="N48" s="1">
        <v>87</v>
      </c>
      <c r="P48" s="1">
        <v>36</v>
      </c>
      <c r="Q48" s="1">
        <v>64</v>
      </c>
      <c r="S48" s="3">
        <f t="shared" si="0"/>
        <v>57.837564102564109</v>
      </c>
      <c r="T48" s="1">
        <f t="shared" si="1"/>
        <v>2</v>
      </c>
      <c r="U48" s="1" t="s">
        <v>31</v>
      </c>
    </row>
    <row r="49" spans="2:21" ht="12.75" customHeight="1" x14ac:dyDescent="0.25">
      <c r="B49" s="13" t="s">
        <v>39</v>
      </c>
      <c r="C49" s="2"/>
      <c r="D49" s="1">
        <v>185</v>
      </c>
      <c r="F49" s="1">
        <v>163</v>
      </c>
      <c r="G49" s="1">
        <v>1</v>
      </c>
      <c r="H49" s="1">
        <v>87</v>
      </c>
      <c r="J49" s="1">
        <v>92</v>
      </c>
      <c r="L49" s="1">
        <v>76</v>
      </c>
      <c r="N49" s="1">
        <v>90</v>
      </c>
      <c r="P49" s="1">
        <v>76</v>
      </c>
      <c r="Q49" s="1">
        <v>79</v>
      </c>
      <c r="S49" s="3">
        <f t="shared" ref="S49:S80" si="2">(D49/D$4*D$5+F49/F$4*F$5+H49/H$4*H$5+J49/J$4*J$5+L49/L$4*L$5+N49/N$4*N$5+P49/P$4*P$5+Q49/Q$4*Q$5)*100</f>
        <v>82.30848595848596</v>
      </c>
      <c r="T49" s="1">
        <f t="shared" ref="T49:T80" si="3">E49+G49+I49+K49+M49+O49</f>
        <v>1</v>
      </c>
      <c r="U49" s="1" t="s">
        <v>23</v>
      </c>
    </row>
    <row r="50" spans="2:21" ht="12.75" customHeight="1" x14ac:dyDescent="0.25">
      <c r="C50" s="2"/>
      <c r="D50" s="1">
        <v>179</v>
      </c>
      <c r="E50" s="1">
        <v>1</v>
      </c>
      <c r="F50" s="1">
        <v>167</v>
      </c>
      <c r="G50" s="1">
        <v>1</v>
      </c>
      <c r="H50" s="1">
        <v>88</v>
      </c>
      <c r="J50" s="1">
        <v>97</v>
      </c>
      <c r="L50" s="1">
        <v>98</v>
      </c>
      <c r="N50" s="1">
        <v>80</v>
      </c>
      <c r="P50" s="1">
        <v>91</v>
      </c>
      <c r="Q50" s="1">
        <v>84</v>
      </c>
      <c r="S50" s="3">
        <f t="shared" si="2"/>
        <v>88.940085470085478</v>
      </c>
      <c r="T50" s="1">
        <f t="shared" si="3"/>
        <v>2</v>
      </c>
      <c r="U50" s="1" t="s">
        <v>33</v>
      </c>
    </row>
    <row r="51" spans="2:21" ht="12.75" customHeight="1" x14ac:dyDescent="0.25">
      <c r="B51" s="13" t="s">
        <v>40</v>
      </c>
      <c r="C51" s="2"/>
      <c r="D51" s="1">
        <v>170</v>
      </c>
      <c r="F51" s="1">
        <v>140</v>
      </c>
      <c r="H51" s="1">
        <v>46.5</v>
      </c>
      <c r="J51" s="1">
        <v>53</v>
      </c>
      <c r="L51" s="1">
        <v>75</v>
      </c>
      <c r="N51" s="1">
        <v>80</v>
      </c>
      <c r="P51" s="1">
        <v>81</v>
      </c>
      <c r="Q51" s="1">
        <v>95</v>
      </c>
      <c r="S51" s="3">
        <f t="shared" si="2"/>
        <v>81.069151404151413</v>
      </c>
      <c r="T51" s="1">
        <f t="shared" si="3"/>
        <v>0</v>
      </c>
      <c r="U51" s="1" t="s">
        <v>23</v>
      </c>
    </row>
    <row r="52" spans="2:21" ht="12.75" customHeight="1" x14ac:dyDescent="0.25">
      <c r="B52" s="13" t="s">
        <v>41</v>
      </c>
      <c r="C52" s="2"/>
      <c r="D52" s="1">
        <v>192</v>
      </c>
      <c r="E52" s="1">
        <v>1</v>
      </c>
      <c r="F52" s="1">
        <v>178</v>
      </c>
      <c r="H52" s="1">
        <v>94</v>
      </c>
      <c r="I52" s="1">
        <v>1</v>
      </c>
      <c r="J52" s="1">
        <v>97</v>
      </c>
      <c r="L52" s="1">
        <v>87</v>
      </c>
      <c r="N52" s="1">
        <v>95</v>
      </c>
      <c r="P52" s="1">
        <v>72</v>
      </c>
      <c r="Q52" s="1">
        <v>81</v>
      </c>
      <c r="S52" s="3">
        <f t="shared" si="2"/>
        <v>84.778815628815636</v>
      </c>
      <c r="T52" s="1">
        <f t="shared" si="3"/>
        <v>2</v>
      </c>
      <c r="U52" s="1" t="s">
        <v>23</v>
      </c>
    </row>
    <row r="53" spans="2:21" ht="12.75" customHeight="1" x14ac:dyDescent="0.25">
      <c r="C53" s="2"/>
      <c r="D53" s="1">
        <v>191</v>
      </c>
      <c r="E53" s="1">
        <v>1</v>
      </c>
      <c r="F53" s="1">
        <v>176</v>
      </c>
      <c r="H53" s="1">
        <v>94</v>
      </c>
      <c r="J53" s="1">
        <v>91</v>
      </c>
      <c r="L53" s="1">
        <v>98</v>
      </c>
      <c r="N53" s="1">
        <v>99</v>
      </c>
      <c r="P53" s="1">
        <v>94</v>
      </c>
      <c r="Q53" s="1">
        <v>86</v>
      </c>
      <c r="S53" s="3">
        <f t="shared" si="2"/>
        <v>92.460854700854696</v>
      </c>
      <c r="T53" s="1">
        <f t="shared" si="3"/>
        <v>1</v>
      </c>
      <c r="U53" s="1" t="s">
        <v>33</v>
      </c>
    </row>
    <row r="54" spans="2:21" ht="12.75" customHeight="1" x14ac:dyDescent="0.25">
      <c r="C54" s="2"/>
      <c r="D54" s="1">
        <v>185</v>
      </c>
      <c r="E54" s="1">
        <v>1</v>
      </c>
      <c r="F54" s="1">
        <v>157</v>
      </c>
      <c r="G54" s="1">
        <v>1</v>
      </c>
      <c r="H54" s="1">
        <v>82</v>
      </c>
      <c r="P54" s="1">
        <v>71</v>
      </c>
      <c r="Q54" s="1">
        <v>66</v>
      </c>
      <c r="S54" s="3">
        <f t="shared" si="2"/>
        <v>58.0165811965812</v>
      </c>
      <c r="T54" s="1">
        <f t="shared" si="3"/>
        <v>2</v>
      </c>
      <c r="U54" s="1" t="s">
        <v>31</v>
      </c>
    </row>
    <row r="55" spans="2:21" ht="12.75" customHeight="1" x14ac:dyDescent="0.25">
      <c r="C55" s="2"/>
      <c r="D55" s="1">
        <v>142</v>
      </c>
      <c r="F55" s="1">
        <v>160</v>
      </c>
      <c r="H55" s="1">
        <v>74.5</v>
      </c>
      <c r="J55" s="1">
        <v>91</v>
      </c>
      <c r="L55" s="1">
        <v>89</v>
      </c>
      <c r="N55" s="1">
        <v>93</v>
      </c>
      <c r="P55" s="1">
        <v>82</v>
      </c>
      <c r="Q55" s="1">
        <v>62</v>
      </c>
      <c r="S55" s="3">
        <f t="shared" si="2"/>
        <v>76.731800976800983</v>
      </c>
      <c r="T55" s="1">
        <f t="shared" si="3"/>
        <v>0</v>
      </c>
      <c r="U55" s="1" t="s">
        <v>23</v>
      </c>
    </row>
    <row r="56" spans="2:21" ht="12.75" customHeight="1" x14ac:dyDescent="0.25">
      <c r="B56" s="13" t="s">
        <v>42</v>
      </c>
      <c r="C56" s="2"/>
      <c r="D56" s="1">
        <v>138</v>
      </c>
      <c r="F56" s="1">
        <v>140</v>
      </c>
      <c r="H56" s="1">
        <v>72.5</v>
      </c>
      <c r="J56" s="1">
        <v>56</v>
      </c>
      <c r="L56" s="1">
        <v>64</v>
      </c>
      <c r="N56" s="1">
        <v>89</v>
      </c>
      <c r="P56" s="1">
        <v>57</v>
      </c>
      <c r="Q56" s="1">
        <v>62</v>
      </c>
      <c r="S56" s="3">
        <f t="shared" si="2"/>
        <v>64.904719169719172</v>
      </c>
      <c r="T56" s="1">
        <f t="shared" si="3"/>
        <v>0</v>
      </c>
      <c r="U56" s="1" t="s">
        <v>31</v>
      </c>
    </row>
    <row r="57" spans="2:21" ht="12.75" customHeight="1" x14ac:dyDescent="0.25">
      <c r="C57" s="2"/>
      <c r="D57" s="1">
        <v>178</v>
      </c>
      <c r="E57" s="1">
        <v>1</v>
      </c>
      <c r="F57" s="1">
        <v>135</v>
      </c>
      <c r="H57" s="1">
        <v>73</v>
      </c>
      <c r="J57" s="1">
        <v>87</v>
      </c>
      <c r="L57" s="1">
        <v>77</v>
      </c>
      <c r="N57" s="1">
        <v>94</v>
      </c>
      <c r="P57" s="1">
        <v>65</v>
      </c>
      <c r="Q57" s="1">
        <v>80</v>
      </c>
      <c r="S57" s="3">
        <f t="shared" si="2"/>
        <v>77.569743589743595</v>
      </c>
      <c r="T57" s="1">
        <f t="shared" si="3"/>
        <v>1</v>
      </c>
      <c r="U57" s="1" t="s">
        <v>23</v>
      </c>
    </row>
    <row r="58" spans="2:21" ht="12.75" customHeight="1" x14ac:dyDescent="0.25">
      <c r="C58" s="2"/>
      <c r="D58" s="1">
        <v>184</v>
      </c>
      <c r="F58" s="1">
        <v>141</v>
      </c>
      <c r="H58" s="1">
        <v>90</v>
      </c>
      <c r="J58" s="1">
        <v>95</v>
      </c>
      <c r="L58" s="1">
        <v>60</v>
      </c>
      <c r="N58" s="1">
        <v>92</v>
      </c>
      <c r="P58" s="1">
        <v>54</v>
      </c>
      <c r="Q58" s="1">
        <v>35</v>
      </c>
      <c r="S58" s="3">
        <f t="shared" si="2"/>
        <v>60.814175824175834</v>
      </c>
      <c r="T58" s="1">
        <f t="shared" si="3"/>
        <v>0</v>
      </c>
      <c r="U58" s="1" t="s">
        <v>27</v>
      </c>
    </row>
    <row r="59" spans="2:21" ht="12.75" customHeight="1" x14ac:dyDescent="0.25">
      <c r="C59" s="2"/>
      <c r="D59" s="1">
        <v>161</v>
      </c>
      <c r="F59" s="1">
        <v>144</v>
      </c>
      <c r="H59" s="1">
        <v>81</v>
      </c>
      <c r="J59" s="1">
        <v>74</v>
      </c>
      <c r="L59" s="1">
        <v>56</v>
      </c>
      <c r="N59" s="1">
        <v>65</v>
      </c>
      <c r="P59" s="1">
        <v>77</v>
      </c>
      <c r="Q59" s="1">
        <v>60</v>
      </c>
      <c r="S59" s="3">
        <f t="shared" si="2"/>
        <v>69.829487179487188</v>
      </c>
      <c r="T59" s="1">
        <f t="shared" si="3"/>
        <v>0</v>
      </c>
      <c r="U59" s="1" t="s">
        <v>25</v>
      </c>
    </row>
    <row r="60" spans="2:21" ht="12.75" customHeight="1" x14ac:dyDescent="0.25">
      <c r="C60" s="2"/>
      <c r="D60" s="1">
        <v>195</v>
      </c>
      <c r="F60" s="1">
        <v>139</v>
      </c>
      <c r="H60" s="1">
        <v>89</v>
      </c>
      <c r="J60" s="1">
        <v>96</v>
      </c>
      <c r="L60" s="1">
        <v>98</v>
      </c>
      <c r="N60" s="1">
        <v>91</v>
      </c>
      <c r="P60" s="1">
        <v>79</v>
      </c>
      <c r="Q60" s="1">
        <v>87</v>
      </c>
      <c r="S60" s="3">
        <f t="shared" si="2"/>
        <v>87.185555555555567</v>
      </c>
      <c r="T60" s="1">
        <f t="shared" si="3"/>
        <v>0</v>
      </c>
      <c r="U60" s="1" t="s">
        <v>33</v>
      </c>
    </row>
    <row r="61" spans="2:21" ht="12.75" customHeight="1" x14ac:dyDescent="0.25">
      <c r="C61" s="2"/>
      <c r="D61" s="1">
        <v>188</v>
      </c>
      <c r="F61" s="1">
        <v>166</v>
      </c>
      <c r="H61" s="1">
        <v>97</v>
      </c>
      <c r="J61" s="1">
        <v>95</v>
      </c>
      <c r="L61" s="1">
        <v>95</v>
      </c>
      <c r="N61" s="1">
        <v>90</v>
      </c>
      <c r="P61" s="1">
        <v>85</v>
      </c>
      <c r="Q61" s="1">
        <v>83</v>
      </c>
      <c r="S61" s="3">
        <f t="shared" si="2"/>
        <v>88.369987789987789</v>
      </c>
      <c r="T61" s="1">
        <f t="shared" si="3"/>
        <v>0</v>
      </c>
      <c r="U61" s="1" t="s">
        <v>33</v>
      </c>
    </row>
    <row r="62" spans="2:21" ht="12.75" customHeight="1" x14ac:dyDescent="0.25">
      <c r="C62" s="2"/>
      <c r="D62" s="1">
        <v>168</v>
      </c>
      <c r="F62" s="1">
        <v>139</v>
      </c>
      <c r="H62" s="1">
        <f>77+16</f>
        <v>93</v>
      </c>
      <c r="J62" s="1">
        <v>98</v>
      </c>
      <c r="L62" s="1">
        <v>98</v>
      </c>
      <c r="N62" s="1">
        <v>95</v>
      </c>
      <c r="P62" s="1">
        <v>64</v>
      </c>
      <c r="Q62" s="1">
        <v>65</v>
      </c>
      <c r="S62" s="3">
        <f t="shared" si="2"/>
        <v>75.906324786324802</v>
      </c>
      <c r="T62" s="1">
        <f t="shared" si="3"/>
        <v>0</v>
      </c>
      <c r="U62" s="1" t="s">
        <v>23</v>
      </c>
    </row>
    <row r="63" spans="2:21" ht="12.75" customHeight="1" x14ac:dyDescent="0.25">
      <c r="C63" s="2"/>
      <c r="D63" s="1">
        <v>170</v>
      </c>
      <c r="E63" s="1">
        <v>1</v>
      </c>
      <c r="F63" s="1">
        <v>177</v>
      </c>
      <c r="G63" s="1">
        <v>1</v>
      </c>
      <c r="H63" s="1">
        <f>88.5+1</f>
        <v>89.5</v>
      </c>
      <c r="I63" s="1">
        <v>1</v>
      </c>
      <c r="J63" s="1">
        <v>78</v>
      </c>
      <c r="L63" s="1">
        <v>98</v>
      </c>
      <c r="N63" s="1">
        <v>91</v>
      </c>
      <c r="P63" s="1">
        <v>68</v>
      </c>
      <c r="Q63" s="1">
        <v>74</v>
      </c>
      <c r="S63" s="3">
        <f t="shared" si="2"/>
        <v>79.500897435897443</v>
      </c>
      <c r="T63" s="1">
        <f t="shared" si="3"/>
        <v>3</v>
      </c>
      <c r="U63" s="1" t="s">
        <v>23</v>
      </c>
    </row>
    <row r="64" spans="2:21" ht="12.75" customHeight="1" x14ac:dyDescent="0.25">
      <c r="C64" s="2"/>
      <c r="D64" s="1">
        <v>174</v>
      </c>
      <c r="E64" s="1">
        <v>1</v>
      </c>
      <c r="F64" s="1">
        <v>119</v>
      </c>
      <c r="H64" s="1">
        <v>83.5</v>
      </c>
      <c r="J64" s="1">
        <f>62+24</f>
        <v>86</v>
      </c>
      <c r="L64" s="1">
        <v>76</v>
      </c>
      <c r="M64" s="1">
        <v>1</v>
      </c>
      <c r="N64" s="1">
        <v>82</v>
      </c>
      <c r="P64" s="1">
        <v>72</v>
      </c>
      <c r="Q64" s="1">
        <v>80</v>
      </c>
      <c r="S64" s="3">
        <f t="shared" si="2"/>
        <v>78.307503052503051</v>
      </c>
      <c r="T64" s="1">
        <f t="shared" si="3"/>
        <v>2</v>
      </c>
      <c r="U64" s="1" t="s">
        <v>23</v>
      </c>
    </row>
    <row r="65" spans="2:21" ht="12.75" customHeight="1" x14ac:dyDescent="0.25">
      <c r="C65" s="2"/>
      <c r="D65" s="1">
        <v>127</v>
      </c>
      <c r="F65" s="1">
        <v>120</v>
      </c>
      <c r="H65" s="1">
        <v>60</v>
      </c>
      <c r="J65" s="1">
        <v>73</v>
      </c>
      <c r="L65" s="1">
        <v>98</v>
      </c>
      <c r="N65" s="1">
        <v>86</v>
      </c>
      <c r="P65" s="1">
        <v>56</v>
      </c>
      <c r="Q65" s="1">
        <v>63</v>
      </c>
      <c r="S65" s="3">
        <f t="shared" si="2"/>
        <v>66.345641025641029</v>
      </c>
      <c r="T65" s="1">
        <f t="shared" si="3"/>
        <v>0</v>
      </c>
      <c r="U65" s="1" t="s">
        <v>25</v>
      </c>
    </row>
    <row r="66" spans="2:21" ht="12.75" customHeight="1" x14ac:dyDescent="0.25">
      <c r="C66" s="2"/>
      <c r="D66" s="1">
        <v>169</v>
      </c>
      <c r="E66" s="1">
        <v>1</v>
      </c>
      <c r="F66" s="1">
        <v>168</v>
      </c>
      <c r="H66" s="1">
        <v>70</v>
      </c>
      <c r="J66" s="1">
        <v>83</v>
      </c>
      <c r="L66" s="1">
        <v>91</v>
      </c>
      <c r="N66" s="1">
        <v>86</v>
      </c>
      <c r="P66" s="1">
        <v>51</v>
      </c>
      <c r="Q66" s="1">
        <v>64</v>
      </c>
      <c r="S66" s="3">
        <f t="shared" si="2"/>
        <v>69.7</v>
      </c>
      <c r="T66" s="1">
        <f t="shared" si="3"/>
        <v>1</v>
      </c>
      <c r="U66" s="1" t="s">
        <v>25</v>
      </c>
    </row>
    <row r="67" spans="2:21" ht="12.75" customHeight="1" x14ac:dyDescent="0.25">
      <c r="B67" s="13" t="s">
        <v>43</v>
      </c>
      <c r="C67" s="2"/>
      <c r="D67" s="1">
        <v>91</v>
      </c>
      <c r="E67" s="1">
        <v>1</v>
      </c>
      <c r="F67" s="1">
        <v>3</v>
      </c>
      <c r="H67" s="1">
        <v>26</v>
      </c>
      <c r="J67" s="1">
        <v>29</v>
      </c>
      <c r="L67" s="1">
        <v>30</v>
      </c>
      <c r="N67" s="1">
        <v>8</v>
      </c>
      <c r="P67" s="1">
        <v>53</v>
      </c>
      <c r="Q67" s="1">
        <v>59</v>
      </c>
      <c r="S67" s="3">
        <f t="shared" si="2"/>
        <v>42.656190476190481</v>
      </c>
      <c r="T67" s="1">
        <f t="shared" si="3"/>
        <v>1</v>
      </c>
      <c r="U67" s="1" t="s">
        <v>27</v>
      </c>
    </row>
    <row r="68" spans="2:21" ht="12.75" customHeight="1" x14ac:dyDescent="0.25">
      <c r="C68" s="2"/>
      <c r="D68" s="1">
        <v>178</v>
      </c>
      <c r="E68" s="1">
        <v>1</v>
      </c>
      <c r="F68" s="1">
        <v>124</v>
      </c>
      <c r="H68" s="1">
        <v>56.5</v>
      </c>
      <c r="J68" s="1">
        <v>75</v>
      </c>
      <c r="L68" s="1">
        <v>30</v>
      </c>
      <c r="N68" s="1">
        <v>50</v>
      </c>
      <c r="P68" s="1">
        <v>59</v>
      </c>
      <c r="Q68" s="1">
        <v>69</v>
      </c>
      <c r="S68" s="3">
        <f t="shared" si="2"/>
        <v>63.579822954822959</v>
      </c>
      <c r="T68" s="1">
        <f t="shared" si="3"/>
        <v>1</v>
      </c>
      <c r="U68" s="1" t="s">
        <v>31</v>
      </c>
    </row>
    <row r="69" spans="2:21" ht="12.75" customHeight="1" x14ac:dyDescent="0.25">
      <c r="C69" s="2"/>
      <c r="D69" s="1">
        <v>130</v>
      </c>
      <c r="F69" s="1">
        <v>79</v>
      </c>
      <c r="H69" s="1">
        <v>45.5</v>
      </c>
      <c r="J69" s="1">
        <v>57</v>
      </c>
      <c r="L69" s="1">
        <v>46</v>
      </c>
      <c r="N69" s="1">
        <v>61</v>
      </c>
      <c r="P69" s="1">
        <v>63</v>
      </c>
      <c r="Q69" s="1">
        <v>59</v>
      </c>
      <c r="S69" s="3">
        <f t="shared" si="2"/>
        <v>57.689603174603178</v>
      </c>
      <c r="T69" s="1">
        <f t="shared" si="3"/>
        <v>0</v>
      </c>
      <c r="U69" s="1" t="s">
        <v>31</v>
      </c>
    </row>
    <row r="70" spans="2:21" ht="12.75" customHeight="1" x14ac:dyDescent="0.25">
      <c r="C70" s="2"/>
      <c r="D70" s="1">
        <v>183</v>
      </c>
      <c r="F70" s="1">
        <v>126</v>
      </c>
      <c r="H70" s="1">
        <v>81.5</v>
      </c>
      <c r="J70" s="1">
        <v>90</v>
      </c>
      <c r="L70" s="1">
        <v>94</v>
      </c>
      <c r="N70" s="1">
        <v>94</v>
      </c>
      <c r="P70" s="1">
        <v>69</v>
      </c>
      <c r="Q70" s="1">
        <v>83</v>
      </c>
      <c r="S70" s="3">
        <f t="shared" si="2"/>
        <v>81.408516483516479</v>
      </c>
      <c r="T70" s="1">
        <f t="shared" si="3"/>
        <v>0</v>
      </c>
      <c r="U70" s="1" t="s">
        <v>23</v>
      </c>
    </row>
    <row r="71" spans="2:21" ht="12.75" customHeight="1" x14ac:dyDescent="0.25">
      <c r="C71" s="2"/>
      <c r="D71" s="1">
        <v>191</v>
      </c>
      <c r="E71" s="1">
        <v>1</v>
      </c>
      <c r="F71" s="1">
        <v>156</v>
      </c>
      <c r="H71" s="1">
        <v>91</v>
      </c>
      <c r="J71" s="1">
        <v>77</v>
      </c>
      <c r="L71" s="1">
        <v>93</v>
      </c>
      <c r="N71" s="1">
        <v>99</v>
      </c>
      <c r="P71" s="1">
        <v>88</v>
      </c>
      <c r="Q71" s="1">
        <v>87</v>
      </c>
      <c r="S71" s="3">
        <f t="shared" si="2"/>
        <v>88.965934065934078</v>
      </c>
      <c r="T71" s="1">
        <f t="shared" si="3"/>
        <v>1</v>
      </c>
      <c r="U71" s="1" t="s">
        <v>33</v>
      </c>
    </row>
    <row r="72" spans="2:21" ht="12.75" customHeight="1" x14ac:dyDescent="0.25">
      <c r="C72" s="2"/>
      <c r="D72" s="1">
        <v>157</v>
      </c>
      <c r="F72" s="1">
        <v>154</v>
      </c>
      <c r="H72" s="1">
        <v>49</v>
      </c>
      <c r="J72" s="1">
        <v>83</v>
      </c>
      <c r="L72" s="1">
        <v>78</v>
      </c>
      <c r="N72" s="1">
        <v>82</v>
      </c>
      <c r="P72" s="1">
        <v>58</v>
      </c>
      <c r="Q72" s="1">
        <v>59</v>
      </c>
      <c r="S72" s="3">
        <f t="shared" si="2"/>
        <v>66.1462148962149</v>
      </c>
      <c r="T72" s="1">
        <f t="shared" si="3"/>
        <v>0</v>
      </c>
      <c r="U72" s="1" t="s">
        <v>31</v>
      </c>
    </row>
    <row r="73" spans="2:21" ht="12.75" customHeight="1" x14ac:dyDescent="0.25">
      <c r="B73" s="13" t="s">
        <v>44</v>
      </c>
      <c r="C73" s="2"/>
      <c r="D73" s="1">
        <v>181</v>
      </c>
      <c r="F73" s="1">
        <v>170</v>
      </c>
      <c r="H73" s="1">
        <v>87</v>
      </c>
      <c r="J73" s="1">
        <v>90</v>
      </c>
      <c r="L73" s="1">
        <v>64</v>
      </c>
      <c r="N73" s="1">
        <v>93</v>
      </c>
      <c r="P73" s="1">
        <v>70</v>
      </c>
      <c r="Q73" s="1">
        <v>64</v>
      </c>
      <c r="S73" s="3">
        <f t="shared" si="2"/>
        <v>75.199975579975586</v>
      </c>
      <c r="T73" s="1">
        <f t="shared" si="3"/>
        <v>0</v>
      </c>
      <c r="U73" s="1" t="s">
        <v>23</v>
      </c>
    </row>
    <row r="74" spans="2:21" ht="12.75" customHeight="1" x14ac:dyDescent="0.25">
      <c r="B74" s="13" t="s">
        <v>45</v>
      </c>
      <c r="C74" s="2"/>
      <c r="D74" s="1">
        <v>169</v>
      </c>
      <c r="F74" s="1">
        <v>114</v>
      </c>
      <c r="H74" s="1">
        <v>60</v>
      </c>
      <c r="J74" s="1">
        <v>82</v>
      </c>
      <c r="L74" s="1">
        <v>72</v>
      </c>
      <c r="N74" s="1">
        <v>89</v>
      </c>
      <c r="P74" s="1">
        <v>63</v>
      </c>
      <c r="Q74" s="1">
        <v>66</v>
      </c>
      <c r="S74" s="3">
        <f t="shared" si="2"/>
        <v>69.342857142857156</v>
      </c>
      <c r="T74" s="1">
        <f t="shared" si="3"/>
        <v>0</v>
      </c>
      <c r="U74" s="1" t="s">
        <v>25</v>
      </c>
    </row>
    <row r="75" spans="2:21" ht="12.75" customHeight="1" x14ac:dyDescent="0.25">
      <c r="C75" s="2"/>
      <c r="D75" s="1">
        <v>161</v>
      </c>
      <c r="F75" s="1">
        <v>140</v>
      </c>
      <c r="H75" s="1">
        <v>81.5</v>
      </c>
      <c r="J75" s="1">
        <v>84</v>
      </c>
      <c r="L75" s="1">
        <v>84</v>
      </c>
      <c r="N75" s="1">
        <v>72</v>
      </c>
      <c r="P75" s="1">
        <v>80</v>
      </c>
      <c r="Q75" s="1">
        <v>54</v>
      </c>
      <c r="S75" s="3">
        <f t="shared" si="2"/>
        <v>71.668931623931627</v>
      </c>
      <c r="T75" s="1">
        <f t="shared" si="3"/>
        <v>0</v>
      </c>
      <c r="U75" s="1" t="s">
        <v>25</v>
      </c>
    </row>
    <row r="76" spans="2:21" ht="12.75" customHeight="1" x14ac:dyDescent="0.25">
      <c r="B76" s="14" t="s">
        <v>46</v>
      </c>
      <c r="C76" s="2"/>
      <c r="D76" s="1">
        <v>185</v>
      </c>
      <c r="E76" s="1">
        <v>1</v>
      </c>
      <c r="F76" s="1">
        <v>185</v>
      </c>
      <c r="H76" s="1">
        <v>93</v>
      </c>
      <c r="I76" s="1">
        <v>1</v>
      </c>
      <c r="J76" s="1">
        <v>96</v>
      </c>
      <c r="L76" s="1">
        <v>98</v>
      </c>
      <c r="M76" s="1">
        <v>1</v>
      </c>
      <c r="N76" s="1">
        <v>94</v>
      </c>
      <c r="P76" s="1">
        <v>85</v>
      </c>
      <c r="Q76" s="1">
        <v>84</v>
      </c>
      <c r="S76" s="3">
        <f t="shared" si="2"/>
        <v>89.615470085470093</v>
      </c>
      <c r="T76" s="1">
        <f t="shared" si="3"/>
        <v>3</v>
      </c>
      <c r="U76" s="1" t="s">
        <v>33</v>
      </c>
    </row>
    <row r="77" spans="2:21" ht="12.75" customHeight="1" x14ac:dyDescent="0.25">
      <c r="C77" s="2"/>
      <c r="D77" s="1">
        <v>150</v>
      </c>
      <c r="F77" s="1">
        <v>54.9</v>
      </c>
      <c r="H77" s="1">
        <v>55.5</v>
      </c>
      <c r="J77" s="1">
        <v>20</v>
      </c>
      <c r="L77" s="1">
        <v>50</v>
      </c>
      <c r="N77" s="1">
        <v>54</v>
      </c>
      <c r="P77" s="1">
        <v>72</v>
      </c>
      <c r="Q77" s="1">
        <v>65</v>
      </c>
      <c r="S77" s="3">
        <f t="shared" si="2"/>
        <v>59.606043956043962</v>
      </c>
      <c r="T77" s="1">
        <f t="shared" si="3"/>
        <v>0</v>
      </c>
      <c r="U77" s="1" t="s">
        <v>31</v>
      </c>
    </row>
    <row r="78" spans="2:21" ht="12.75" customHeight="1" x14ac:dyDescent="0.25">
      <c r="C78" s="2"/>
      <c r="D78" s="1">
        <v>173</v>
      </c>
      <c r="F78" s="1">
        <v>140</v>
      </c>
      <c r="H78" s="1">
        <v>81</v>
      </c>
      <c r="J78" s="1">
        <v>59</v>
      </c>
      <c r="L78" s="1">
        <v>67</v>
      </c>
      <c r="N78" s="1">
        <v>85</v>
      </c>
      <c r="P78" s="1">
        <v>71</v>
      </c>
      <c r="Q78" s="1">
        <v>60</v>
      </c>
      <c r="S78" s="3">
        <f t="shared" si="2"/>
        <v>69.740415140415138</v>
      </c>
      <c r="T78" s="1">
        <f t="shared" si="3"/>
        <v>0</v>
      </c>
      <c r="U78" s="1" t="s">
        <v>25</v>
      </c>
    </row>
    <row r="79" spans="2:21" ht="12.75" customHeight="1" x14ac:dyDescent="0.25">
      <c r="B79" s="14" t="s">
        <v>47</v>
      </c>
      <c r="C79" s="2"/>
      <c r="D79" s="1">
        <v>189</v>
      </c>
      <c r="F79" s="1">
        <v>179</v>
      </c>
      <c r="H79" s="1">
        <v>92</v>
      </c>
      <c r="J79" s="1">
        <v>100</v>
      </c>
      <c r="L79" s="1">
        <v>94</v>
      </c>
      <c r="N79" s="1">
        <v>99</v>
      </c>
      <c r="P79" s="1">
        <v>87</v>
      </c>
      <c r="Q79" s="1">
        <v>93</v>
      </c>
      <c r="S79" s="3">
        <f t="shared" si="2"/>
        <v>93.270012210012212</v>
      </c>
      <c r="T79" s="1">
        <f t="shared" si="3"/>
        <v>0</v>
      </c>
      <c r="U79" s="1" t="s">
        <v>33</v>
      </c>
    </row>
    <row r="80" spans="2:21" ht="12.75" customHeight="1" x14ac:dyDescent="0.25">
      <c r="B80" s="14"/>
      <c r="C80" s="2"/>
      <c r="D80" s="1">
        <v>155</v>
      </c>
      <c r="F80" s="1">
        <v>145</v>
      </c>
      <c r="H80" s="1">
        <v>70</v>
      </c>
      <c r="J80" s="1">
        <v>79</v>
      </c>
      <c r="L80" s="1">
        <v>77</v>
      </c>
      <c r="N80" s="1">
        <v>91</v>
      </c>
      <c r="P80" s="1">
        <v>59</v>
      </c>
      <c r="Q80" s="1">
        <v>70</v>
      </c>
      <c r="S80" s="3">
        <f t="shared" si="2"/>
        <v>71.352991452991461</v>
      </c>
      <c r="T80" s="1">
        <f t="shared" si="3"/>
        <v>0</v>
      </c>
      <c r="U80" s="1" t="s">
        <v>25</v>
      </c>
    </row>
    <row r="81" spans="2:21" ht="12.75" customHeight="1" x14ac:dyDescent="0.25">
      <c r="B81" s="14"/>
      <c r="C81" s="2"/>
      <c r="D81" s="1">
        <v>152</v>
      </c>
      <c r="E81" s="1">
        <v>1</v>
      </c>
      <c r="F81" s="1">
        <v>173.7</v>
      </c>
      <c r="H81" s="1">
        <v>83</v>
      </c>
      <c r="J81" s="1">
        <v>65</v>
      </c>
      <c r="L81" s="1">
        <v>94</v>
      </c>
      <c r="N81" s="1">
        <v>99</v>
      </c>
      <c r="P81" s="1">
        <v>70</v>
      </c>
      <c r="Q81" s="1">
        <v>58</v>
      </c>
      <c r="S81" s="3">
        <f t="shared" ref="S81:S92" si="4">(D81/D$4*D$5+F81/F$4*F$5+H81/H$4*H$5+J81/J$4*J$5+L81/L$4*L$5+N81/N$4*N$5+P81/P$4*P$5+Q81/Q$4*Q$5)*100</f>
        <v>72.855695970695962</v>
      </c>
      <c r="T81" s="1">
        <f t="shared" ref="T81:T92" si="5">E81+G81+I81+K81+M81+O81</f>
        <v>1</v>
      </c>
      <c r="U81" s="1" t="s">
        <v>25</v>
      </c>
    </row>
    <row r="82" spans="2:21" ht="12.75" customHeight="1" x14ac:dyDescent="0.25">
      <c r="B82" s="14"/>
      <c r="C82" s="2"/>
      <c r="D82" s="1">
        <v>172</v>
      </c>
      <c r="F82" s="1">
        <v>146</v>
      </c>
      <c r="H82" s="1">
        <v>64.5</v>
      </c>
      <c r="J82" s="1">
        <v>57</v>
      </c>
      <c r="L82" s="1">
        <v>73</v>
      </c>
      <c r="N82" s="1">
        <v>87</v>
      </c>
      <c r="P82" s="1">
        <v>86</v>
      </c>
      <c r="Q82" s="1">
        <v>76</v>
      </c>
      <c r="S82" s="3">
        <f t="shared" si="4"/>
        <v>78.241422466422478</v>
      </c>
      <c r="T82" s="1">
        <f t="shared" si="5"/>
        <v>0</v>
      </c>
      <c r="U82" s="1" t="s">
        <v>23</v>
      </c>
    </row>
    <row r="83" spans="2:21" ht="12.75" customHeight="1" x14ac:dyDescent="0.25">
      <c r="B83" s="14"/>
      <c r="C83" s="2"/>
      <c r="D83" s="1">
        <v>171</v>
      </c>
      <c r="F83" s="1">
        <f>147+10</f>
        <v>157</v>
      </c>
      <c r="G83" s="1">
        <v>1</v>
      </c>
      <c r="H83" s="1">
        <v>87.5</v>
      </c>
      <c r="J83" s="1">
        <v>94</v>
      </c>
      <c r="L83" s="1">
        <v>98</v>
      </c>
      <c r="N83" s="1">
        <v>93</v>
      </c>
      <c r="P83" s="1">
        <v>81</v>
      </c>
      <c r="Q83" s="1">
        <v>84</v>
      </c>
      <c r="S83" s="3">
        <f t="shared" si="4"/>
        <v>86.429017094017098</v>
      </c>
      <c r="T83" s="1">
        <f t="shared" si="5"/>
        <v>1</v>
      </c>
      <c r="U83" s="1" t="s">
        <v>33</v>
      </c>
    </row>
    <row r="84" spans="2:21" ht="12.75" customHeight="1" x14ac:dyDescent="0.25">
      <c r="B84" s="14" t="s">
        <v>48</v>
      </c>
      <c r="C84" s="2"/>
      <c r="D84" s="1">
        <v>172</v>
      </c>
      <c r="F84" s="1">
        <v>124</v>
      </c>
      <c r="H84" s="1">
        <v>70.5</v>
      </c>
      <c r="J84" s="1">
        <v>83</v>
      </c>
      <c r="L84" s="1">
        <v>89</v>
      </c>
      <c r="N84" s="1">
        <v>64</v>
      </c>
      <c r="P84" s="1">
        <v>71</v>
      </c>
      <c r="Q84" s="1">
        <v>62</v>
      </c>
      <c r="S84" s="3">
        <f t="shared" si="4"/>
        <v>70.788724053724067</v>
      </c>
      <c r="T84" s="1">
        <f t="shared" si="5"/>
        <v>0</v>
      </c>
      <c r="U84" s="1" t="s">
        <v>25</v>
      </c>
    </row>
    <row r="85" spans="2:21" ht="12.75" customHeight="1" x14ac:dyDescent="0.25">
      <c r="B85" s="14" t="s">
        <v>49</v>
      </c>
      <c r="C85" s="2"/>
      <c r="D85" s="1">
        <v>195</v>
      </c>
      <c r="E85" s="1">
        <v>1</v>
      </c>
      <c r="F85" s="1">
        <v>177</v>
      </c>
      <c r="G85" s="1">
        <v>1</v>
      </c>
      <c r="H85" s="1">
        <v>98</v>
      </c>
      <c r="J85" s="1">
        <v>100</v>
      </c>
      <c r="L85" s="1">
        <v>98</v>
      </c>
      <c r="N85" s="1">
        <v>100</v>
      </c>
      <c r="P85" s="1">
        <v>95</v>
      </c>
      <c r="Q85" s="1">
        <v>94</v>
      </c>
      <c r="S85" s="3">
        <f t="shared" si="4"/>
        <v>96.513333333333335</v>
      </c>
      <c r="T85" s="1">
        <f t="shared" si="5"/>
        <v>2</v>
      </c>
      <c r="U85" s="1" t="s">
        <v>33</v>
      </c>
    </row>
    <row r="86" spans="2:21" ht="12.75" customHeight="1" x14ac:dyDescent="0.25">
      <c r="B86" s="14" t="s">
        <v>50</v>
      </c>
      <c r="C86" s="2"/>
      <c r="D86" s="1">
        <v>183</v>
      </c>
      <c r="E86" s="1">
        <v>1</v>
      </c>
      <c r="F86" s="1">
        <v>173</v>
      </c>
      <c r="G86" s="1">
        <v>1</v>
      </c>
      <c r="H86" s="1">
        <v>99.5</v>
      </c>
      <c r="J86" s="1">
        <v>98</v>
      </c>
      <c r="L86" s="1">
        <v>98</v>
      </c>
      <c r="N86" s="1">
        <v>98</v>
      </c>
      <c r="P86" s="1">
        <v>91</v>
      </c>
      <c r="Q86" s="1">
        <v>95</v>
      </c>
      <c r="S86" s="3">
        <f t="shared" si="4"/>
        <v>95.082008547008542</v>
      </c>
      <c r="T86" s="1">
        <f t="shared" si="5"/>
        <v>2</v>
      </c>
      <c r="U86" s="1" t="s">
        <v>33</v>
      </c>
    </row>
    <row r="87" spans="2:21" ht="12.75" customHeight="1" x14ac:dyDescent="0.25">
      <c r="B87" s="14"/>
      <c r="C87" s="2"/>
      <c r="D87" s="1">
        <v>181</v>
      </c>
      <c r="E87" s="1">
        <v>1</v>
      </c>
      <c r="F87" s="1">
        <v>152</v>
      </c>
      <c r="G87" s="1">
        <v>1</v>
      </c>
      <c r="H87" s="1">
        <v>96.5</v>
      </c>
      <c r="J87" s="1">
        <v>96</v>
      </c>
      <c r="L87" s="1">
        <v>98</v>
      </c>
      <c r="N87" s="1">
        <v>89</v>
      </c>
      <c r="P87" s="1">
        <v>88</v>
      </c>
      <c r="Q87" s="1">
        <v>92</v>
      </c>
      <c r="S87" s="3">
        <f t="shared" si="4"/>
        <v>91.473547008547015</v>
      </c>
      <c r="T87" s="1">
        <f t="shared" si="5"/>
        <v>2</v>
      </c>
      <c r="U87" s="1" t="s">
        <v>33</v>
      </c>
    </row>
    <row r="88" spans="2:21" ht="12.75" customHeight="1" x14ac:dyDescent="0.25">
      <c r="B88" s="14"/>
      <c r="C88" s="2"/>
      <c r="D88" s="1">
        <v>173</v>
      </c>
      <c r="F88" s="1">
        <v>175</v>
      </c>
      <c r="H88" s="1">
        <v>93</v>
      </c>
      <c r="J88" s="1">
        <v>94</v>
      </c>
      <c r="L88" s="1">
        <v>88</v>
      </c>
      <c r="N88" s="1">
        <v>89</v>
      </c>
      <c r="P88" s="1">
        <v>69</v>
      </c>
      <c r="Q88" s="1">
        <v>83</v>
      </c>
      <c r="S88" s="3">
        <f t="shared" si="4"/>
        <v>83.261526251526249</v>
      </c>
      <c r="T88" s="1">
        <f t="shared" si="5"/>
        <v>0</v>
      </c>
      <c r="U88" s="1" t="s">
        <v>23</v>
      </c>
    </row>
    <row r="89" spans="2:21" ht="12.75" customHeight="1" x14ac:dyDescent="0.25">
      <c r="B89" s="14" t="s">
        <v>51</v>
      </c>
      <c r="C89" s="2"/>
      <c r="D89" s="1">
        <v>165</v>
      </c>
      <c r="F89" s="1">
        <v>71</v>
      </c>
      <c r="H89" s="1">
        <v>62</v>
      </c>
      <c r="J89" s="1">
        <v>73</v>
      </c>
      <c r="L89" s="1">
        <v>75</v>
      </c>
      <c r="N89" s="1">
        <v>76</v>
      </c>
      <c r="P89" s="1">
        <v>60</v>
      </c>
      <c r="Q89" s="1">
        <v>60</v>
      </c>
      <c r="S89" s="3">
        <f t="shared" si="4"/>
        <v>63.611330891330887</v>
      </c>
      <c r="T89" s="1">
        <f t="shared" si="5"/>
        <v>0</v>
      </c>
      <c r="U89" s="1" t="s">
        <v>31</v>
      </c>
    </row>
    <row r="90" spans="2:21" ht="12.75" customHeight="1" x14ac:dyDescent="0.25">
      <c r="B90" s="14" t="s">
        <v>52</v>
      </c>
      <c r="C90" s="2"/>
      <c r="D90" s="1">
        <v>173</v>
      </c>
      <c r="F90" s="1">
        <v>137</v>
      </c>
      <c r="H90" s="1">
        <v>15.5</v>
      </c>
      <c r="J90" s="1">
        <v>77</v>
      </c>
      <c r="L90" s="1">
        <v>72</v>
      </c>
      <c r="N90" s="1">
        <v>81</v>
      </c>
      <c r="P90" s="1">
        <v>62</v>
      </c>
      <c r="Q90" s="1">
        <v>38</v>
      </c>
      <c r="S90" s="3">
        <f t="shared" si="4"/>
        <v>56.86589133089133</v>
      </c>
      <c r="T90" s="1">
        <f t="shared" si="5"/>
        <v>0</v>
      </c>
      <c r="U90" s="1" t="s">
        <v>27</v>
      </c>
    </row>
    <row r="91" spans="2:21" ht="14.25" customHeight="1" x14ac:dyDescent="0.25">
      <c r="B91" s="14"/>
      <c r="C91" s="2"/>
      <c r="D91" s="1">
        <v>185</v>
      </c>
      <c r="E91" s="1">
        <v>1</v>
      </c>
      <c r="F91" s="1">
        <v>169</v>
      </c>
      <c r="H91" s="1">
        <v>89</v>
      </c>
      <c r="I91" s="1">
        <v>1</v>
      </c>
      <c r="J91" s="1">
        <v>89</v>
      </c>
      <c r="L91" s="1">
        <v>85</v>
      </c>
      <c r="N91" s="1">
        <v>97</v>
      </c>
      <c r="P91" s="1">
        <v>79</v>
      </c>
      <c r="Q91" s="1">
        <v>76</v>
      </c>
      <c r="S91" s="3">
        <f t="shared" si="4"/>
        <v>83.36467643467644</v>
      </c>
      <c r="T91" s="1">
        <f t="shared" si="5"/>
        <v>2</v>
      </c>
      <c r="U91" s="1" t="s">
        <v>23</v>
      </c>
    </row>
    <row r="92" spans="2:21" ht="14.25" customHeight="1" x14ac:dyDescent="0.25">
      <c r="B92" s="14" t="s">
        <v>53</v>
      </c>
      <c r="C92" s="2"/>
      <c r="D92" s="1">
        <v>172</v>
      </c>
      <c r="F92" s="1">
        <v>169</v>
      </c>
      <c r="H92" s="1">
        <v>80</v>
      </c>
      <c r="J92" s="1">
        <v>75</v>
      </c>
      <c r="L92" s="1">
        <v>95</v>
      </c>
      <c r="N92" s="1">
        <v>84</v>
      </c>
      <c r="P92" s="1">
        <v>76</v>
      </c>
      <c r="Q92" s="1">
        <v>79</v>
      </c>
      <c r="S92" s="3">
        <f t="shared" si="4"/>
        <v>81.332295482295493</v>
      </c>
      <c r="T92" s="1">
        <f t="shared" si="5"/>
        <v>0</v>
      </c>
      <c r="U92" s="1" t="s">
        <v>23</v>
      </c>
    </row>
    <row r="96" spans="2:21" ht="13" x14ac:dyDescent="0.3">
      <c r="B96" s="12" t="s">
        <v>54</v>
      </c>
    </row>
    <row r="98" spans="1:23" ht="13" x14ac:dyDescent="0.3">
      <c r="C98" s="2" t="s">
        <v>0</v>
      </c>
      <c r="D98" s="6" t="s">
        <v>1</v>
      </c>
      <c r="E98" s="1" t="s">
        <v>2</v>
      </c>
      <c r="F98" s="6" t="s">
        <v>3</v>
      </c>
      <c r="G98" s="1" t="s">
        <v>2</v>
      </c>
      <c r="H98" s="6" t="s">
        <v>4</v>
      </c>
      <c r="I98" s="1" t="s">
        <v>2</v>
      </c>
      <c r="J98" s="6" t="s">
        <v>5</v>
      </c>
      <c r="K98" s="1" t="s">
        <v>2</v>
      </c>
      <c r="L98" s="6" t="s">
        <v>6</v>
      </c>
      <c r="M98" s="1" t="s">
        <v>2</v>
      </c>
      <c r="N98" s="6" t="s">
        <v>7</v>
      </c>
      <c r="O98" s="1" t="s">
        <v>2</v>
      </c>
      <c r="P98" s="6" t="s">
        <v>8</v>
      </c>
      <c r="Q98" s="6" t="s">
        <v>9</v>
      </c>
      <c r="S98" s="6" t="s">
        <v>55</v>
      </c>
      <c r="U98" s="6" t="s">
        <v>56</v>
      </c>
      <c r="V98" s="12" t="s">
        <v>57</v>
      </c>
    </row>
    <row r="99" spans="1:23" x14ac:dyDescent="0.25">
      <c r="C99" s="2" t="s">
        <v>12</v>
      </c>
      <c r="D99" s="4">
        <v>195</v>
      </c>
      <c r="F99" s="4">
        <v>180</v>
      </c>
      <c r="H99" s="4">
        <v>100</v>
      </c>
      <c r="J99" s="4">
        <v>100</v>
      </c>
      <c r="L99" s="4">
        <v>98</v>
      </c>
      <c r="N99" s="4">
        <v>100</v>
      </c>
      <c r="P99" s="4">
        <v>100</v>
      </c>
      <c r="Q99" s="4">
        <v>100</v>
      </c>
      <c r="U99" s="1">
        <v>100</v>
      </c>
    </row>
    <row r="100" spans="1:23" x14ac:dyDescent="0.25">
      <c r="C100" s="2" t="s">
        <v>13</v>
      </c>
      <c r="D100" s="3">
        <v>7.0000000000000007E-2</v>
      </c>
      <c r="F100" s="3">
        <v>7.0000000000000007E-2</v>
      </c>
      <c r="H100" s="3">
        <v>7.0000000000000007E-2</v>
      </c>
      <c r="J100" s="3">
        <v>7.0000000000000007E-2</v>
      </c>
      <c r="L100" s="3">
        <v>7.0000000000000007E-2</v>
      </c>
      <c r="N100" s="3">
        <v>7.0000000000000007E-2</v>
      </c>
      <c r="P100" s="3">
        <v>0.25</v>
      </c>
      <c r="Q100" s="3">
        <v>0.33</v>
      </c>
      <c r="S100" s="3">
        <v>0.8</v>
      </c>
      <c r="U100" s="1">
        <v>0.2</v>
      </c>
    </row>
    <row r="102" spans="1:23" x14ac:dyDescent="0.25">
      <c r="B102" s="13" t="s">
        <v>58</v>
      </c>
      <c r="C102" s="2"/>
      <c r="D102" s="1">
        <v>146</v>
      </c>
      <c r="F102" s="1">
        <v>159</v>
      </c>
      <c r="H102" s="1">
        <v>77.5</v>
      </c>
      <c r="J102" s="1">
        <v>77</v>
      </c>
      <c r="L102" s="1">
        <v>98</v>
      </c>
      <c r="N102" s="1">
        <v>83</v>
      </c>
      <c r="P102" s="1">
        <v>75</v>
      </c>
      <c r="Q102" s="1">
        <v>67</v>
      </c>
      <c r="S102" s="3">
        <f>(D102/D$4*D$5+F102/F$4*F$5+H102/H$4*H$5+J102/J$4*J$5+L102/L$4*L$5+N102/N$4*N$5+P102/P$4*P$5+Q102/Q$4*Q$5)*100</f>
        <v>75.90935897435898</v>
      </c>
      <c r="T102" s="1">
        <f>E102+G102+I102+K102+M102+O102</f>
        <v>0</v>
      </c>
      <c r="U102" s="1">
        <v>100</v>
      </c>
      <c r="V102" s="3">
        <f>(S102 * S$100) + (U102 * U$100)</f>
        <v>80.727487179487184</v>
      </c>
      <c r="W102" s="1" t="s">
        <v>23</v>
      </c>
    </row>
    <row r="103" spans="1:23" ht="12.75" customHeight="1" x14ac:dyDescent="0.25">
      <c r="C103" s="2"/>
      <c r="D103" s="1">
        <v>170</v>
      </c>
      <c r="E103" s="1">
        <v>1</v>
      </c>
      <c r="F103" s="1">
        <v>174</v>
      </c>
      <c r="H103" s="1">
        <v>100</v>
      </c>
      <c r="J103" s="1">
        <v>96</v>
      </c>
      <c r="L103" s="1">
        <v>89</v>
      </c>
      <c r="N103" s="1">
        <v>95</v>
      </c>
      <c r="O103" s="1">
        <v>1</v>
      </c>
      <c r="P103" s="1">
        <v>68</v>
      </c>
      <c r="Q103" s="1">
        <v>81</v>
      </c>
      <c r="S103" s="3">
        <f>(D103/D$4*D$5+F103/F$4*F$5+H103/H$4*H$5+J103/J$4*J$5+L103/L$4*L$5+N103/N$4*N$5+P103/P$4*P$5+Q103/Q$4*Q$5)*100</f>
        <v>83.326373626373652</v>
      </c>
      <c r="T103" s="1">
        <f>E103+G103+I103+K103+M103+O103</f>
        <v>2</v>
      </c>
      <c r="U103" s="1">
        <v>30</v>
      </c>
      <c r="V103" s="3">
        <f>(S103 * S$100) + (U103 * U$100)</f>
        <v>72.661098901098924</v>
      </c>
      <c r="W103" s="1" t="s">
        <v>23</v>
      </c>
    </row>
    <row r="104" spans="1:23" x14ac:dyDescent="0.25">
      <c r="C104" s="2"/>
      <c r="D104" s="1">
        <v>140</v>
      </c>
      <c r="F104" s="1">
        <v>157</v>
      </c>
      <c r="H104" s="1">
        <v>97</v>
      </c>
      <c r="J104" s="1">
        <v>100</v>
      </c>
      <c r="L104" s="1">
        <v>69</v>
      </c>
      <c r="N104" s="1">
        <v>99</v>
      </c>
      <c r="O104" s="1">
        <v>1</v>
      </c>
      <c r="P104" s="1">
        <v>95</v>
      </c>
      <c r="Q104" s="1">
        <v>89</v>
      </c>
      <c r="S104" s="3">
        <f>(D104/D$4*D$5+F104/F$4*F$5+H104/H$4*H$5+J104/J$4*J$5+L104/L$4*L$5+N104/N$4*N$5+P104/P$4*P$5+Q104/Q$4*Q$5)*100</f>
        <v>89.899768009768025</v>
      </c>
      <c r="T104" s="1">
        <f>E104+G104+I104+K104+M104+O104</f>
        <v>1</v>
      </c>
      <c r="U104" s="1">
        <v>100</v>
      </c>
      <c r="V104" s="3">
        <f>(S104 * S$100) + (U104 * U$100)</f>
        <v>91.919814407814428</v>
      </c>
      <c r="W104" s="1" t="s">
        <v>33</v>
      </c>
    </row>
    <row r="105" spans="1:23" x14ac:dyDescent="0.25">
      <c r="C105" s="2"/>
      <c r="D105" s="1">
        <v>185</v>
      </c>
      <c r="E105" s="1">
        <v>1</v>
      </c>
      <c r="F105" s="1">
        <v>163</v>
      </c>
      <c r="G105" s="1">
        <v>1</v>
      </c>
      <c r="H105" s="1">
        <v>90</v>
      </c>
      <c r="J105" s="1">
        <v>100</v>
      </c>
      <c r="K105" s="1">
        <v>1</v>
      </c>
      <c r="L105" s="1">
        <v>98</v>
      </c>
      <c r="M105" s="1">
        <v>1</v>
      </c>
      <c r="N105" s="1">
        <v>100</v>
      </c>
      <c r="P105" s="1">
        <v>85</v>
      </c>
      <c r="Q105" s="1">
        <v>91</v>
      </c>
      <c r="S105" s="3">
        <f>(D105/D$4*D$5+F105/F$4*F$5+H105/H$4*H$5+J105/J$4*J$5+L105/L$4*L$5+N105/N$4*N$5+P105/P$4*P$5+Q105/Q$4*Q$5)*100</f>
        <v>91.559914529914536</v>
      </c>
      <c r="T105" s="1">
        <f>E105+G105+I105+K105+M105+O105</f>
        <v>4</v>
      </c>
      <c r="U105" s="1">
        <v>100</v>
      </c>
      <c r="V105" s="3">
        <f>(S105 * S$100) + (U105 * U$100)</f>
        <v>93.247931623931635</v>
      </c>
      <c r="W105" s="1" t="s">
        <v>33</v>
      </c>
    </row>
    <row r="106" spans="1:23" x14ac:dyDescent="0.25">
      <c r="B106" s="13" t="s">
        <v>59</v>
      </c>
      <c r="C106" s="2"/>
      <c r="D106" s="1">
        <v>193</v>
      </c>
      <c r="E106" s="1">
        <v>1</v>
      </c>
      <c r="F106" s="1">
        <v>177</v>
      </c>
      <c r="G106" s="1">
        <v>1</v>
      </c>
      <c r="H106" s="1">
        <v>92</v>
      </c>
      <c r="J106" s="1">
        <v>95</v>
      </c>
      <c r="L106" s="1">
        <v>98</v>
      </c>
      <c r="N106" s="1">
        <v>99</v>
      </c>
      <c r="O106" s="1">
        <v>1</v>
      </c>
      <c r="P106" s="1">
        <v>88</v>
      </c>
      <c r="Q106" s="1">
        <v>91</v>
      </c>
      <c r="S106" s="3">
        <f>(D106/D$4*D$5+F106/F$4*F$5+H106/H$4*H$5+J106/J$4*J$5+L106/L$4*L$5+N106/N$4*N$5+P106/P$4*P$5+Q106/Q$4*Q$5)*100</f>
        <v>92.861538461538458</v>
      </c>
      <c r="T106" s="1">
        <f>E106+G106+I106+K106+M106+O106</f>
        <v>3</v>
      </c>
      <c r="U106" s="1">
        <v>100</v>
      </c>
      <c r="V106" s="3">
        <f>(S106 * S$100) + (U106 * U$100)</f>
        <v>94.28923076923077</v>
      </c>
      <c r="W106" s="1" t="s">
        <v>33</v>
      </c>
    </row>
    <row r="108" spans="1:23" ht="11.5" x14ac:dyDescent="0.25">
      <c r="A108" s="1"/>
      <c r="B108" s="1"/>
    </row>
    <row r="109" spans="1:23" ht="11.5" x14ac:dyDescent="0.25">
      <c r="A109" s="1"/>
      <c r="B109" s="1"/>
    </row>
    <row r="110" spans="1:23" ht="11.5" x14ac:dyDescent="0.25">
      <c r="A110" s="1"/>
      <c r="B110" s="1"/>
    </row>
    <row r="111" spans="1:23" ht="11.5" x14ac:dyDescent="0.25">
      <c r="A111" s="1"/>
      <c r="B111" s="1"/>
    </row>
    <row r="112" spans="1:23" ht="11.5" x14ac:dyDescent="0.25">
      <c r="A112" s="1"/>
      <c r="B112" s="1"/>
    </row>
    <row r="113" spans="1:19" ht="11.5" x14ac:dyDescent="0.25">
      <c r="A113" s="1"/>
      <c r="B113" s="1"/>
    </row>
    <row r="114" spans="1:19" x14ac:dyDescent="0.25">
      <c r="C114" s="2"/>
      <c r="S114" s="3"/>
    </row>
    <row r="115" spans="1:19" x14ac:dyDescent="0.25">
      <c r="C115" s="2"/>
      <c r="S115" s="3"/>
    </row>
    <row r="116" spans="1:19" x14ac:dyDescent="0.25">
      <c r="C116" s="2"/>
      <c r="S116" s="3"/>
    </row>
    <row r="117" spans="1:19" x14ac:dyDescent="0.25">
      <c r="C117" s="2"/>
      <c r="S117" s="3"/>
    </row>
    <row r="118" spans="1:19" x14ac:dyDescent="0.25">
      <c r="C118" s="2"/>
      <c r="S118" s="3"/>
    </row>
    <row r="119" spans="1:19" x14ac:dyDescent="0.25">
      <c r="C119" s="2"/>
      <c r="S119" s="3"/>
    </row>
    <row r="120" spans="1:19" x14ac:dyDescent="0.25">
      <c r="C120" s="2"/>
      <c r="S120" s="3"/>
    </row>
    <row r="121" spans="1:19" x14ac:dyDescent="0.25">
      <c r="C121" s="2"/>
      <c r="S121" s="3"/>
    </row>
    <row r="122" spans="1:19" x14ac:dyDescent="0.25">
      <c r="C122" s="2"/>
      <c r="S122" s="3"/>
    </row>
  </sheetData>
  <pageMargins left="0.75" right="0.75" top="1" bottom="1" header="0.5" footer="0.5"/>
  <pageSetup scale="72" orientation="portrait" r:id="rId1"/>
  <headerFooter alignWithMargins="0"/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selection sqref="A1:B62"/>
    </sheetView>
  </sheetViews>
  <sheetFormatPr defaultRowHeight="11.5" x14ac:dyDescent="0.25"/>
  <sheetData>
    <row r="1" spans="1:2" ht="12" x14ac:dyDescent="0.3">
      <c r="A1" s="11" t="s">
        <v>60</v>
      </c>
      <c r="B1" s="11" t="s">
        <v>61</v>
      </c>
    </row>
    <row r="2" spans="1:2" x14ac:dyDescent="0.25">
      <c r="A2" s="8">
        <v>41</v>
      </c>
      <c r="B2" s="9">
        <v>0</v>
      </c>
    </row>
    <row r="3" spans="1:2" x14ac:dyDescent="0.25">
      <c r="A3" s="8">
        <v>42</v>
      </c>
      <c r="B3" s="9">
        <v>0</v>
      </c>
    </row>
    <row r="4" spans="1:2" x14ac:dyDescent="0.25">
      <c r="A4" s="8">
        <v>43</v>
      </c>
      <c r="B4" s="9">
        <v>1</v>
      </c>
    </row>
    <row r="5" spans="1:2" x14ac:dyDescent="0.25">
      <c r="A5" s="8">
        <v>44</v>
      </c>
      <c r="B5" s="9">
        <v>0</v>
      </c>
    </row>
    <row r="6" spans="1:2" x14ac:dyDescent="0.25">
      <c r="A6" s="8">
        <v>45</v>
      </c>
      <c r="B6" s="9">
        <v>0</v>
      </c>
    </row>
    <row r="7" spans="1:2" x14ac:dyDescent="0.25">
      <c r="A7" s="8">
        <v>46</v>
      </c>
      <c r="B7" s="9">
        <v>0</v>
      </c>
    </row>
    <row r="8" spans="1:2" x14ac:dyDescent="0.25">
      <c r="A8" s="8">
        <v>47</v>
      </c>
      <c r="B8" s="9">
        <v>0</v>
      </c>
    </row>
    <row r="9" spans="1:2" x14ac:dyDescent="0.25">
      <c r="A9" s="8">
        <v>48</v>
      </c>
      <c r="B9" s="9">
        <v>0</v>
      </c>
    </row>
    <row r="10" spans="1:2" x14ac:dyDescent="0.25">
      <c r="A10" s="8">
        <v>49</v>
      </c>
      <c r="B10" s="9">
        <v>0</v>
      </c>
    </row>
    <row r="11" spans="1:2" x14ac:dyDescent="0.25">
      <c r="A11" s="8">
        <v>50</v>
      </c>
      <c r="B11" s="9">
        <v>0</v>
      </c>
    </row>
    <row r="12" spans="1:2" x14ac:dyDescent="0.25">
      <c r="A12" s="8">
        <v>51</v>
      </c>
      <c r="B12" s="9">
        <v>0</v>
      </c>
    </row>
    <row r="13" spans="1:2" x14ac:dyDescent="0.25">
      <c r="A13" s="8">
        <v>52</v>
      </c>
      <c r="B13" s="9">
        <v>0</v>
      </c>
    </row>
    <row r="14" spans="1:2" x14ac:dyDescent="0.25">
      <c r="A14" s="8">
        <v>53</v>
      </c>
      <c r="B14" s="9">
        <v>0</v>
      </c>
    </row>
    <row r="15" spans="1:2" x14ac:dyDescent="0.25">
      <c r="A15" s="8">
        <v>54</v>
      </c>
      <c r="B15" s="9">
        <v>0</v>
      </c>
    </row>
    <row r="16" spans="1:2" x14ac:dyDescent="0.25">
      <c r="A16" s="8">
        <v>55</v>
      </c>
      <c r="B16" s="9">
        <v>0</v>
      </c>
    </row>
    <row r="17" spans="1:2" x14ac:dyDescent="0.25">
      <c r="A17" s="8">
        <v>56</v>
      </c>
      <c r="B17" s="9">
        <v>0</v>
      </c>
    </row>
    <row r="18" spans="1:2" x14ac:dyDescent="0.25">
      <c r="A18" s="8">
        <v>57</v>
      </c>
      <c r="B18" s="9">
        <v>2</v>
      </c>
    </row>
    <row r="19" spans="1:2" x14ac:dyDescent="0.25">
      <c r="A19" s="8">
        <v>58</v>
      </c>
      <c r="B19" s="9">
        <v>2</v>
      </c>
    </row>
    <row r="20" spans="1:2" x14ac:dyDescent="0.25">
      <c r="A20" s="8">
        <v>59</v>
      </c>
      <c r="B20" s="9">
        <v>1</v>
      </c>
    </row>
    <row r="21" spans="1:2" x14ac:dyDescent="0.25">
      <c r="A21" s="8">
        <v>60</v>
      </c>
      <c r="B21" s="9">
        <v>1</v>
      </c>
    </row>
    <row r="22" spans="1:2" x14ac:dyDescent="0.25">
      <c r="A22" s="8">
        <v>61</v>
      </c>
      <c r="B22" s="9">
        <v>3</v>
      </c>
    </row>
    <row r="23" spans="1:2" x14ac:dyDescent="0.25">
      <c r="A23" s="8">
        <v>62</v>
      </c>
      <c r="B23" s="9">
        <v>0</v>
      </c>
    </row>
    <row r="24" spans="1:2" x14ac:dyDescent="0.25">
      <c r="A24" s="8">
        <v>63</v>
      </c>
      <c r="B24" s="9">
        <v>1</v>
      </c>
    </row>
    <row r="25" spans="1:2" x14ac:dyDescent="0.25">
      <c r="A25" s="8">
        <v>64</v>
      </c>
      <c r="B25" s="9">
        <v>2</v>
      </c>
    </row>
    <row r="26" spans="1:2" x14ac:dyDescent="0.25">
      <c r="A26" s="8">
        <v>65</v>
      </c>
      <c r="B26" s="9">
        <v>1</v>
      </c>
    </row>
    <row r="27" spans="1:2" x14ac:dyDescent="0.25">
      <c r="A27" s="8">
        <v>66</v>
      </c>
      <c r="B27" s="9">
        <v>0</v>
      </c>
    </row>
    <row r="28" spans="1:2" x14ac:dyDescent="0.25">
      <c r="A28" s="8">
        <v>67</v>
      </c>
      <c r="B28" s="9">
        <v>5</v>
      </c>
    </row>
    <row r="29" spans="1:2" x14ac:dyDescent="0.25">
      <c r="A29" s="8">
        <v>68</v>
      </c>
      <c r="B29" s="9">
        <v>0</v>
      </c>
    </row>
    <row r="30" spans="1:2" x14ac:dyDescent="0.25">
      <c r="A30" s="8">
        <v>69</v>
      </c>
      <c r="B30" s="9">
        <v>0</v>
      </c>
    </row>
    <row r="31" spans="1:2" x14ac:dyDescent="0.25">
      <c r="A31" s="8">
        <v>70</v>
      </c>
      <c r="B31" s="9">
        <v>5</v>
      </c>
    </row>
    <row r="32" spans="1:2" x14ac:dyDescent="0.25">
      <c r="A32" s="8">
        <v>71</v>
      </c>
      <c r="B32" s="9">
        <v>2</v>
      </c>
    </row>
    <row r="33" spans="1:2" x14ac:dyDescent="0.25">
      <c r="A33" s="8">
        <v>72</v>
      </c>
      <c r="B33" s="9">
        <v>2</v>
      </c>
    </row>
    <row r="34" spans="1:2" x14ac:dyDescent="0.25">
      <c r="A34" s="8">
        <v>73</v>
      </c>
      <c r="B34" s="9">
        <v>3</v>
      </c>
    </row>
    <row r="35" spans="1:2" x14ac:dyDescent="0.25">
      <c r="A35" s="8">
        <v>74</v>
      </c>
      <c r="B35" s="9">
        <v>2</v>
      </c>
    </row>
    <row r="36" spans="1:2" x14ac:dyDescent="0.25">
      <c r="A36" s="8">
        <v>75</v>
      </c>
      <c r="B36" s="9">
        <v>0</v>
      </c>
    </row>
    <row r="37" spans="1:2" x14ac:dyDescent="0.25">
      <c r="A37" s="8">
        <v>76</v>
      </c>
      <c r="B37" s="9">
        <v>3</v>
      </c>
    </row>
    <row r="38" spans="1:2" x14ac:dyDescent="0.25">
      <c r="A38" s="8">
        <v>77</v>
      </c>
      <c r="B38" s="9">
        <v>2</v>
      </c>
    </row>
    <row r="39" spans="1:2" x14ac:dyDescent="0.25">
      <c r="A39" s="8">
        <v>78</v>
      </c>
      <c r="B39" s="9">
        <v>1</v>
      </c>
    </row>
    <row r="40" spans="1:2" x14ac:dyDescent="0.25">
      <c r="A40" s="8">
        <v>79</v>
      </c>
      <c r="B40" s="9">
        <v>2</v>
      </c>
    </row>
    <row r="41" spans="1:2" x14ac:dyDescent="0.25">
      <c r="A41" s="8">
        <v>80</v>
      </c>
      <c r="B41" s="9">
        <v>3</v>
      </c>
    </row>
    <row r="42" spans="1:2" x14ac:dyDescent="0.25">
      <c r="A42" s="8">
        <v>81</v>
      </c>
      <c r="B42" s="9">
        <v>1</v>
      </c>
    </row>
    <row r="43" spans="1:2" x14ac:dyDescent="0.25">
      <c r="A43" s="8">
        <v>82</v>
      </c>
      <c r="B43" s="9">
        <v>3</v>
      </c>
    </row>
    <row r="44" spans="1:2" x14ac:dyDescent="0.25">
      <c r="A44" s="8">
        <v>83</v>
      </c>
      <c r="B44" s="9">
        <v>3</v>
      </c>
    </row>
    <row r="45" spans="1:2" x14ac:dyDescent="0.25">
      <c r="A45" s="8">
        <v>84</v>
      </c>
      <c r="B45" s="9">
        <v>4</v>
      </c>
    </row>
    <row r="46" spans="1:2" x14ac:dyDescent="0.25">
      <c r="A46" s="8">
        <v>85</v>
      </c>
      <c r="B46" s="9">
        <v>2</v>
      </c>
    </row>
    <row r="47" spans="1:2" x14ac:dyDescent="0.25">
      <c r="A47" s="8">
        <v>86</v>
      </c>
      <c r="B47" s="9">
        <v>2</v>
      </c>
    </row>
    <row r="48" spans="1:2" x14ac:dyDescent="0.25">
      <c r="A48" s="8">
        <v>87</v>
      </c>
      <c r="B48" s="9">
        <v>2</v>
      </c>
    </row>
    <row r="49" spans="1:2" x14ac:dyDescent="0.25">
      <c r="A49" s="8">
        <v>88</v>
      </c>
      <c r="B49" s="9">
        <v>2</v>
      </c>
    </row>
    <row r="50" spans="1:2" x14ac:dyDescent="0.25">
      <c r="A50" s="8">
        <v>89</v>
      </c>
      <c r="B50" s="9">
        <v>4</v>
      </c>
    </row>
    <row r="51" spans="1:2" x14ac:dyDescent="0.25">
      <c r="A51" s="8">
        <v>90</v>
      </c>
      <c r="B51" s="9">
        <v>1</v>
      </c>
    </row>
    <row r="52" spans="1:2" x14ac:dyDescent="0.25">
      <c r="A52" s="8">
        <v>91</v>
      </c>
      <c r="B52" s="9">
        <v>0</v>
      </c>
    </row>
    <row r="53" spans="1:2" x14ac:dyDescent="0.25">
      <c r="A53" s="8">
        <v>92</v>
      </c>
      <c r="B53" s="9">
        <v>3</v>
      </c>
    </row>
    <row r="54" spans="1:2" x14ac:dyDescent="0.25">
      <c r="A54" s="8">
        <v>93</v>
      </c>
      <c r="B54" s="9">
        <v>1</v>
      </c>
    </row>
    <row r="55" spans="1:2" x14ac:dyDescent="0.25">
      <c r="A55" s="8">
        <v>94</v>
      </c>
      <c r="B55" s="9">
        <v>1</v>
      </c>
    </row>
    <row r="56" spans="1:2" x14ac:dyDescent="0.25">
      <c r="A56" s="8">
        <v>95</v>
      </c>
      <c r="B56" s="9">
        <v>0</v>
      </c>
    </row>
    <row r="57" spans="1:2" x14ac:dyDescent="0.25">
      <c r="A57" s="8">
        <v>96</v>
      </c>
      <c r="B57" s="9">
        <v>1</v>
      </c>
    </row>
    <row r="58" spans="1:2" x14ac:dyDescent="0.25">
      <c r="A58" s="8">
        <v>97</v>
      </c>
      <c r="B58" s="9">
        <v>1</v>
      </c>
    </row>
    <row r="59" spans="1:2" x14ac:dyDescent="0.25">
      <c r="A59" s="8">
        <v>98</v>
      </c>
      <c r="B59" s="9">
        <v>0</v>
      </c>
    </row>
    <row r="60" spans="1:2" x14ac:dyDescent="0.25">
      <c r="A60" s="8">
        <v>99</v>
      </c>
      <c r="B60" s="9">
        <v>0</v>
      </c>
    </row>
    <row r="61" spans="1:2" x14ac:dyDescent="0.25">
      <c r="A61" s="8">
        <v>100</v>
      </c>
      <c r="B61" s="9">
        <v>0</v>
      </c>
    </row>
    <row r="62" spans="1:2" ht="12" thickBot="1" x14ac:dyDescent="0.3">
      <c r="A62" s="10" t="s">
        <v>62</v>
      </c>
      <c r="B62" s="10">
        <v>0</v>
      </c>
    </row>
  </sheetData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2" sqref="A2"/>
    </sheetView>
  </sheetViews>
  <sheetFormatPr defaultColWidth="10.296875" defaultRowHeight="11.5" x14ac:dyDescent="0.25"/>
  <cols>
    <col min="1" max="1" width="15.59765625" style="1" customWidth="1"/>
    <col min="2" max="2" width="17.59765625" style="1" customWidth="1"/>
    <col min="3" max="16384" width="10.296875" style="1"/>
  </cols>
  <sheetData>
    <row r="1" spans="1:2" ht="12.75" customHeight="1" x14ac:dyDescent="0.3">
      <c r="B1" s="7" t="s">
        <v>63</v>
      </c>
    </row>
    <row r="2" spans="1:2" ht="12.75" customHeight="1" x14ac:dyDescent="0.25">
      <c r="A2" s="1" t="s">
        <v>64</v>
      </c>
      <c r="B2" s="1">
        <v>72.243902439024396</v>
      </c>
    </row>
    <row r="3" spans="1:2" ht="12.75" customHeight="1" x14ac:dyDescent="0.25">
      <c r="A3" s="1" t="s">
        <v>65</v>
      </c>
      <c r="B3" s="1">
        <v>1.3792413958210246</v>
      </c>
    </row>
    <row r="4" spans="1:2" ht="12.75" customHeight="1" x14ac:dyDescent="0.25">
      <c r="A4" s="1" t="s">
        <v>16</v>
      </c>
      <c r="B4" s="1">
        <v>72</v>
      </c>
    </row>
    <row r="5" spans="1:2" ht="12.75" customHeight="1" x14ac:dyDescent="0.25">
      <c r="A5" s="1" t="s">
        <v>17</v>
      </c>
      <c r="B5" s="1">
        <v>85</v>
      </c>
    </row>
    <row r="6" spans="1:2" ht="12.75" customHeight="1" x14ac:dyDescent="0.25">
      <c r="A6" s="1" t="s">
        <v>66</v>
      </c>
      <c r="B6" s="1">
        <v>12.489562037621612</v>
      </c>
    </row>
    <row r="7" spans="1:2" ht="12.75" customHeight="1" x14ac:dyDescent="0.25">
      <c r="A7" s="1" t="s">
        <v>67</v>
      </c>
      <c r="B7" s="1">
        <v>155.98915989159892</v>
      </c>
    </row>
    <row r="8" spans="1:2" ht="12.75" customHeight="1" x14ac:dyDescent="0.25">
      <c r="A8" s="1" t="s">
        <v>68</v>
      </c>
      <c r="B8" s="1">
        <v>-0.27274405589002293</v>
      </c>
    </row>
    <row r="9" spans="1:2" ht="12.75" customHeight="1" x14ac:dyDescent="0.25">
      <c r="A9" s="1" t="s">
        <v>69</v>
      </c>
      <c r="B9" s="1">
        <v>-0.23397522508380617</v>
      </c>
    </row>
    <row r="10" spans="1:2" ht="12.75" customHeight="1" x14ac:dyDescent="0.25">
      <c r="A10" s="1" t="s">
        <v>70</v>
      </c>
      <c r="B10" s="1">
        <v>60</v>
      </c>
    </row>
    <row r="11" spans="1:2" ht="12.75" customHeight="1" x14ac:dyDescent="0.25">
      <c r="A11" s="1" t="s">
        <v>71</v>
      </c>
      <c r="B11" s="1">
        <v>36</v>
      </c>
    </row>
    <row r="12" spans="1:2" ht="12.75" customHeight="1" x14ac:dyDescent="0.25">
      <c r="A12" s="1" t="s">
        <v>72</v>
      </c>
      <c r="B12" s="1">
        <v>96</v>
      </c>
    </row>
    <row r="13" spans="1:2" ht="12.75" customHeight="1" x14ac:dyDescent="0.25">
      <c r="A13" s="1" t="s">
        <v>73</v>
      </c>
      <c r="B13" s="1">
        <v>5924</v>
      </c>
    </row>
    <row r="14" spans="1:2" ht="12.75" customHeight="1" x14ac:dyDescent="0.25">
      <c r="A14" s="1" t="s">
        <v>74</v>
      </c>
      <c r="B14" s="1">
        <v>82</v>
      </c>
    </row>
  </sheetData>
  <pageMargins left="0.39370078740152775" right="0.39370078740152775" top="0.39370078740152775" bottom="0.39370078740152775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grades</vt:lpstr>
      <vt:lpstr>histogram</vt:lpstr>
      <vt:lpstr>Midterm Statistics</vt:lpstr>
      <vt:lpstr>Chart1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 Kravitz</dc:creator>
  <cp:lastModifiedBy>Carina Negreanu</cp:lastModifiedBy>
  <cp:lastPrinted>2002-12-21T00:31:05Z</cp:lastPrinted>
  <dcterms:created xsi:type="dcterms:W3CDTF">2002-09-14T04:39:32Z</dcterms:created>
  <dcterms:modified xsi:type="dcterms:W3CDTF">2020-01-27T11:21:32Z</dcterms:modified>
</cp:coreProperties>
</file>