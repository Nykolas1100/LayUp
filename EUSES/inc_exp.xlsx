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B054882-ACD3-4CEF-9A4D-5BADFC49A28D}" xr6:coauthVersionLast="45" xr6:coauthVersionMax="45" xr10:uidLastSave="{00000000-0000-0000-0000-000000000000}"/>
  <bookViews>
    <workbookView xWindow="380" yWindow="380" windowWidth="28800" windowHeight="15460" firstSheet="5" activeTab="9"/>
  </bookViews>
  <sheets>
    <sheet name="Secured" sheetId="11" r:id="rId1"/>
    <sheet name="Unsecured" sheetId="10" r:id="rId2"/>
    <sheet name="Income" sheetId="9" r:id="rId3"/>
    <sheet name="Priorities" sheetId="8" r:id="rId4"/>
    <sheet name="Formal" sheetId="7" r:id="rId5"/>
    <sheet name="Everyday" sheetId="6" r:id="rId6"/>
    <sheet name="Occasional" sheetId="5" r:id="rId7"/>
    <sheet name="Summary" sheetId="4" r:id="rId8"/>
    <sheet name="Capital" sheetId="1" r:id="rId9"/>
    <sheet name="Financial Statement -1" sheetId="12" r:id="rId10"/>
    <sheet name="Financial Statement - 2" sheetId="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4" i="6" l="1"/>
  <c r="C5" i="6"/>
  <c r="C6" i="6"/>
  <c r="C7" i="6"/>
  <c r="C45" i="6" s="1"/>
  <c r="C10" i="4" s="1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8" i="12" s="1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35" i="12" s="1"/>
  <c r="C42" i="6"/>
  <c r="C43" i="6"/>
  <c r="C7" i="2"/>
  <c r="C8" i="2"/>
  <c r="C9" i="2"/>
  <c r="C13" i="2" s="1"/>
  <c r="C10" i="2"/>
  <c r="C11" i="2"/>
  <c r="C12" i="2"/>
  <c r="C16" i="2"/>
  <c r="C40" i="2" s="1"/>
  <c r="C17" i="2"/>
  <c r="C18" i="2"/>
  <c r="E18" i="2"/>
  <c r="G18" i="2"/>
  <c r="G36" i="2" s="1"/>
  <c r="C19" i="2"/>
  <c r="E19" i="2"/>
  <c r="G19" i="2"/>
  <c r="C20" i="2"/>
  <c r="E20" i="2"/>
  <c r="G20" i="2"/>
  <c r="C21" i="2"/>
  <c r="E21" i="2"/>
  <c r="G21" i="2"/>
  <c r="C22" i="2"/>
  <c r="E22" i="2"/>
  <c r="G22" i="2"/>
  <c r="C23" i="2"/>
  <c r="E23" i="2"/>
  <c r="G23" i="2"/>
  <c r="C24" i="2"/>
  <c r="E24" i="2"/>
  <c r="G24" i="2"/>
  <c r="C25" i="2"/>
  <c r="E25" i="2"/>
  <c r="G25" i="2"/>
  <c r="C26" i="2"/>
  <c r="E26" i="2"/>
  <c r="G26" i="2"/>
  <c r="C27" i="2"/>
  <c r="E27" i="2"/>
  <c r="G27" i="2"/>
  <c r="C28" i="2"/>
  <c r="E28" i="2"/>
  <c r="G28" i="2"/>
  <c r="C29" i="2"/>
  <c r="E29" i="2"/>
  <c r="G29" i="2"/>
  <c r="C30" i="2"/>
  <c r="E30" i="2"/>
  <c r="G30" i="2"/>
  <c r="C31" i="2"/>
  <c r="E31" i="2"/>
  <c r="G31" i="2"/>
  <c r="C32" i="2"/>
  <c r="E32" i="2"/>
  <c r="G32" i="2"/>
  <c r="C33" i="2"/>
  <c r="E33" i="2"/>
  <c r="G33" i="2"/>
  <c r="C34" i="2"/>
  <c r="E34" i="2"/>
  <c r="G34" i="2"/>
  <c r="C35" i="2"/>
  <c r="E35" i="2"/>
  <c r="G35" i="2"/>
  <c r="C36" i="2"/>
  <c r="C37" i="2"/>
  <c r="C38" i="2"/>
  <c r="C39" i="2"/>
  <c r="C9" i="12"/>
  <c r="C10" i="12"/>
  <c r="C11" i="12"/>
  <c r="C16" i="12"/>
  <c r="C17" i="12"/>
  <c r="E18" i="12"/>
  <c r="G18" i="12"/>
  <c r="E19" i="12"/>
  <c r="G19" i="12"/>
  <c r="C20" i="12"/>
  <c r="E20" i="12"/>
  <c r="G20" i="12"/>
  <c r="C21" i="12"/>
  <c r="E21" i="12"/>
  <c r="G21" i="12"/>
  <c r="C22" i="12"/>
  <c r="E22" i="12"/>
  <c r="G22" i="12"/>
  <c r="C23" i="12"/>
  <c r="E23" i="12"/>
  <c r="G23" i="12"/>
  <c r="G36" i="12" s="1"/>
  <c r="C24" i="12"/>
  <c r="E24" i="12"/>
  <c r="G24" i="12"/>
  <c r="E25" i="12"/>
  <c r="G25" i="12"/>
  <c r="C26" i="12"/>
  <c r="E26" i="12"/>
  <c r="G26" i="12"/>
  <c r="E27" i="12"/>
  <c r="G27" i="12"/>
  <c r="E28" i="12"/>
  <c r="G28" i="12"/>
  <c r="C29" i="12"/>
  <c r="E29" i="12"/>
  <c r="G29" i="12"/>
  <c r="C30" i="12"/>
  <c r="E30" i="12"/>
  <c r="G30" i="12"/>
  <c r="C31" i="12"/>
  <c r="E31" i="12"/>
  <c r="G31" i="12"/>
  <c r="E32" i="12"/>
  <c r="G32" i="12"/>
  <c r="E33" i="12"/>
  <c r="G33" i="12"/>
  <c r="C34" i="12"/>
  <c r="E34" i="12"/>
  <c r="G34" i="12"/>
  <c r="E35" i="12"/>
  <c r="G35" i="12"/>
  <c r="C36" i="12"/>
  <c r="C37" i="12"/>
  <c r="C39" i="12"/>
  <c r="C4" i="7"/>
  <c r="C5" i="7"/>
  <c r="C6" i="7"/>
  <c r="C7" i="7"/>
  <c r="C8" i="7"/>
  <c r="C9" i="7"/>
  <c r="C32" i="12" s="1"/>
  <c r="C10" i="7"/>
  <c r="C12" i="7"/>
  <c r="C27" i="12" s="1"/>
  <c r="C14" i="7"/>
  <c r="C15" i="7"/>
  <c r="C16" i="7"/>
  <c r="C17" i="7"/>
  <c r="B20" i="7"/>
  <c r="C20" i="7"/>
  <c r="D20" i="7"/>
  <c r="E20" i="7"/>
  <c r="C4" i="9"/>
  <c r="C30" i="9" s="1"/>
  <c r="C5" i="4" s="1"/>
  <c r="C15" i="4" s="1"/>
  <c r="C5" i="9"/>
  <c r="C8" i="12" s="1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12" i="12" s="1"/>
  <c r="C25" i="9"/>
  <c r="C26" i="9"/>
  <c r="C27" i="9"/>
  <c r="C28" i="9"/>
  <c r="C29" i="9"/>
  <c r="B30" i="9"/>
  <c r="D30" i="9"/>
  <c r="E30" i="9"/>
  <c r="C4" i="5"/>
  <c r="C5" i="5"/>
  <c r="C6" i="5"/>
  <c r="C7" i="5"/>
  <c r="C8" i="5"/>
  <c r="C9" i="5"/>
  <c r="C30" i="5" s="1"/>
  <c r="C11" i="4" s="1"/>
  <c r="C10" i="5"/>
  <c r="C11" i="5"/>
  <c r="C12" i="5"/>
  <c r="C33" i="12" s="1"/>
  <c r="C13" i="5"/>
  <c r="C14" i="5"/>
  <c r="C15" i="5"/>
  <c r="C16" i="5"/>
  <c r="C38" i="12" s="1"/>
  <c r="C17" i="5"/>
  <c r="C18" i="5"/>
  <c r="C19" i="5"/>
  <c r="C20" i="5"/>
  <c r="C21" i="5"/>
  <c r="C22" i="5"/>
  <c r="C23" i="5"/>
  <c r="C24" i="5"/>
  <c r="C25" i="5"/>
  <c r="C27" i="5"/>
  <c r="C28" i="5"/>
  <c r="B30" i="5"/>
  <c r="D30" i="5"/>
  <c r="E30" i="5"/>
  <c r="C4" i="8"/>
  <c r="C18" i="8" s="1"/>
  <c r="C8" i="4" s="1"/>
  <c r="C12" i="4" s="1"/>
  <c r="C5" i="8"/>
  <c r="C19" i="12" s="1"/>
  <c r="C6" i="8"/>
  <c r="C18" i="12" s="1"/>
  <c r="C7" i="8"/>
  <c r="C8" i="8"/>
  <c r="C9" i="8"/>
  <c r="C10" i="8"/>
  <c r="C11" i="8"/>
  <c r="C12" i="8"/>
  <c r="C25" i="12" s="1"/>
  <c r="C13" i="8"/>
  <c r="C14" i="8"/>
  <c r="B18" i="8"/>
  <c r="D18" i="8"/>
  <c r="E18" i="8"/>
  <c r="C17" i="11"/>
  <c r="C20" i="4" s="1"/>
  <c r="D17" i="11"/>
  <c r="D20" i="4" s="1"/>
  <c r="E17" i="11"/>
  <c r="E20" i="4" s="1"/>
  <c r="C7" i="4"/>
  <c r="C9" i="4"/>
  <c r="B12" i="4"/>
  <c r="B15" i="4" s="1"/>
  <c r="D12" i="4"/>
  <c r="E12" i="4"/>
  <c r="D15" i="4"/>
  <c r="E15" i="4"/>
  <c r="A20" i="4"/>
  <c r="B20" i="4"/>
  <c r="A22" i="4"/>
  <c r="B22" i="4"/>
  <c r="C16" i="10"/>
  <c r="C22" i="4" s="1"/>
  <c r="D16" i="10"/>
  <c r="D22" i="4" s="1"/>
  <c r="E16" i="10"/>
  <c r="E22" i="4" s="1"/>
  <c r="C40" i="12" l="1"/>
  <c r="C42" i="2"/>
  <c r="C7" i="12"/>
  <c r="C13" i="12" s="1"/>
  <c r="C42" i="12" s="1"/>
</calcChain>
</file>

<file path=xl/sharedStrings.xml><?xml version="1.0" encoding="utf-8"?>
<sst xmlns="http://schemas.openxmlformats.org/spreadsheetml/2006/main" count="314" uniqueCount="183">
  <si>
    <t>Secured Debts: Loans, (Incl. Mortgage) &amp; Hire Purchase</t>
  </si>
  <si>
    <t>Outstanding Bal.</t>
  </si>
  <si>
    <t>Monthly Repay't</t>
  </si>
  <si>
    <t>Arrears</t>
  </si>
  <si>
    <t>Creditor 1</t>
  </si>
  <si>
    <t>Creditor 2</t>
  </si>
  <si>
    <t>Creditor 3</t>
  </si>
  <si>
    <t>Creditor 4</t>
  </si>
  <si>
    <t>Creditor 5</t>
  </si>
  <si>
    <t>Creditor 6</t>
  </si>
  <si>
    <t>Creditor 7</t>
  </si>
  <si>
    <t>Creditor 8</t>
  </si>
  <si>
    <t>Creditor 9</t>
  </si>
  <si>
    <t>Total Secured Debts</t>
  </si>
  <si>
    <t>Unsecured Loans (Loans, Credit Cards, Store Cards, Overdraft, etc.)</t>
  </si>
  <si>
    <t>Total Unsecured Debts</t>
  </si>
  <si>
    <t>Creditor Information</t>
  </si>
  <si>
    <t>Income</t>
  </si>
  <si>
    <t>£ per week</t>
  </si>
  <si>
    <t>£ per month</t>
  </si>
  <si>
    <t>£ per year</t>
  </si>
  <si>
    <t>Rev £/m</t>
  </si>
  <si>
    <t>Wages/ Salary</t>
  </si>
  <si>
    <t>Wages/ Salary (spouse/partner)</t>
  </si>
  <si>
    <t>Child Benefit</t>
  </si>
  <si>
    <t>Income Support</t>
  </si>
  <si>
    <t>Unemployment Benefit</t>
  </si>
  <si>
    <t>Family Credit</t>
  </si>
  <si>
    <t>Disability Allowance</t>
  </si>
  <si>
    <t>Maternity Allowance</t>
  </si>
  <si>
    <t>Pension</t>
  </si>
  <si>
    <t>Child Maintenance</t>
  </si>
  <si>
    <t>Sickness Benefit</t>
  </si>
  <si>
    <t>Invalidity Benefit</t>
  </si>
  <si>
    <t>Contributions (non-dependants)</t>
  </si>
  <si>
    <t>Contributions (lodger)</t>
  </si>
  <si>
    <t>Interest Income (Bank)</t>
  </si>
  <si>
    <t>Interest Income (Building Society)</t>
  </si>
  <si>
    <t>Other Income (Specify)</t>
  </si>
  <si>
    <t>Total Income</t>
  </si>
  <si>
    <t>Rent or Mortgage</t>
  </si>
  <si>
    <t>Mortgage Endowment Premium</t>
  </si>
  <si>
    <t>Secured Loan/2nd mortgage</t>
  </si>
  <si>
    <t>Ground Rent, Service Charges, etc.</t>
  </si>
  <si>
    <t>Council Tax</t>
  </si>
  <si>
    <t>Water Charges</t>
  </si>
  <si>
    <t>Electricity</t>
  </si>
  <si>
    <t>Gas</t>
  </si>
  <si>
    <t>Oil</t>
  </si>
  <si>
    <t>Total Priority Commitments (1)</t>
  </si>
  <si>
    <t>Priority Commitments</t>
  </si>
  <si>
    <t>Total Priority Commitments.</t>
  </si>
  <si>
    <t>Other Household Fuels</t>
  </si>
  <si>
    <t>House Insurance (Building)</t>
  </si>
  <si>
    <t>House Insurance (Contents)</t>
  </si>
  <si>
    <t>Life Insurance</t>
  </si>
  <si>
    <t>Medical Insurance</t>
  </si>
  <si>
    <t>Telephone</t>
  </si>
  <si>
    <t>TV License</t>
  </si>
  <si>
    <t>Appliance Rentals</t>
  </si>
  <si>
    <t>Appliance Service Contracts/Insurance</t>
  </si>
  <si>
    <t>Total Formal Commitments (2)</t>
  </si>
  <si>
    <t>Formal Commitments</t>
  </si>
  <si>
    <t>Total Formal Commitments</t>
  </si>
  <si>
    <t>Food</t>
  </si>
  <si>
    <t>Toiletries &amp; Soaps</t>
  </si>
  <si>
    <t>Detergents &amp; Cleaning Materials</t>
  </si>
  <si>
    <t>Meals (work)</t>
  </si>
  <si>
    <t>Car Road Fund License</t>
  </si>
  <si>
    <t>Car MOT</t>
  </si>
  <si>
    <t>Car Insurance</t>
  </si>
  <si>
    <t>AA, RAC, etc.</t>
  </si>
  <si>
    <t>Car Fuel</t>
  </si>
  <si>
    <t>Parking</t>
  </si>
  <si>
    <t>Car Repairs &amp; Servicing</t>
  </si>
  <si>
    <t>Car Spares &amp; Accessories</t>
  </si>
  <si>
    <t>Fares &amp; Travel</t>
  </si>
  <si>
    <t>Baby costs</t>
  </si>
  <si>
    <t>Children's Pocket Money</t>
  </si>
  <si>
    <t>Childminder</t>
  </si>
  <si>
    <t>Meals Lunches</t>
  </si>
  <si>
    <t>Toys &amp; Books</t>
  </si>
  <si>
    <t>Pets &amp; Pet Food</t>
  </si>
  <si>
    <t>Laundry &amp; Dry Cleaning Costs</t>
  </si>
  <si>
    <t>Chemist</t>
  </si>
  <si>
    <t>Video Rental</t>
  </si>
  <si>
    <t>Evening Classes</t>
  </si>
  <si>
    <t>Hobbies/Sports</t>
  </si>
  <si>
    <t>Records/Tapes/CD's</t>
  </si>
  <si>
    <t>Computer Games</t>
  </si>
  <si>
    <t>Church/Charity</t>
  </si>
  <si>
    <t>Alcoholic Drinks</t>
  </si>
  <si>
    <t>Cigarettes/Tobacco</t>
  </si>
  <si>
    <t>Newspapers/Magazines</t>
  </si>
  <si>
    <t>Subscriptions, Professional fees</t>
  </si>
  <si>
    <t>Total Everyday Spending (3)</t>
  </si>
  <si>
    <t>Everyday Expenditure</t>
  </si>
  <si>
    <t>Total Everyday Spending</t>
  </si>
  <si>
    <t>Birthdays</t>
  </si>
  <si>
    <t>Christmas</t>
  </si>
  <si>
    <t>Holiday</t>
  </si>
  <si>
    <t>Appliance Repairs</t>
  </si>
  <si>
    <t>Redecoration</t>
  </si>
  <si>
    <t>Vet Bills</t>
  </si>
  <si>
    <t>Clothing, Men's</t>
  </si>
  <si>
    <t>Clothing, Women's</t>
  </si>
  <si>
    <t>Clothing, Children</t>
  </si>
  <si>
    <t>Hairdressing</t>
  </si>
  <si>
    <t>School Trips</t>
  </si>
  <si>
    <t>Prescription Costs</t>
  </si>
  <si>
    <t>Dentist</t>
  </si>
  <si>
    <t>Optician</t>
  </si>
  <si>
    <t>Meals Out</t>
  </si>
  <si>
    <t>Other</t>
  </si>
  <si>
    <t>Total Occasional Costs (4)</t>
  </si>
  <si>
    <t>Occasional Costs</t>
  </si>
  <si>
    <t>Total Occasional Costs</t>
  </si>
  <si>
    <t>Summary of Income/Expenditure</t>
  </si>
  <si>
    <t>Total Expenditure</t>
  </si>
  <si>
    <t>Surplus (Deficit)</t>
  </si>
  <si>
    <t>Capital, Investments, Insurances, etc.</t>
  </si>
  <si>
    <t>Equity in Property</t>
  </si>
  <si>
    <t>Endowment Policies</t>
  </si>
  <si>
    <t>P.E.P.</t>
  </si>
  <si>
    <t>Whole Life Insurance</t>
  </si>
  <si>
    <t>Shares</t>
  </si>
  <si>
    <t>Bank</t>
  </si>
  <si>
    <t>Building Society</t>
  </si>
  <si>
    <t>Income (salary)</t>
  </si>
  <si>
    <t>Income (other)</t>
  </si>
  <si>
    <t>Monthly</t>
  </si>
  <si>
    <t>Total</t>
  </si>
  <si>
    <t>Outgoings</t>
  </si>
  <si>
    <t>Mortgage</t>
  </si>
  <si>
    <t>Rent</t>
  </si>
  <si>
    <t>House Insurance</t>
  </si>
  <si>
    <t>Maintenance/CSA</t>
  </si>
  <si>
    <t>Housekeeping</t>
  </si>
  <si>
    <t>Car Costs</t>
  </si>
  <si>
    <t>Other Travel</t>
  </si>
  <si>
    <t>TV (Cable, satellite, etc.)</t>
  </si>
  <si>
    <t>Health Costs</t>
  </si>
  <si>
    <t>Clothing &amp; Shoes</t>
  </si>
  <si>
    <t>Spending Money</t>
  </si>
  <si>
    <t>Extras</t>
  </si>
  <si>
    <t>Contingency</t>
  </si>
  <si>
    <t>Financial Statement</t>
  </si>
  <si>
    <t>As of</t>
  </si>
  <si>
    <t>No. in family</t>
  </si>
  <si>
    <t>Ages of Children</t>
  </si>
  <si>
    <t>Money Adviser:</t>
  </si>
  <si>
    <t>Client Company:</t>
  </si>
  <si>
    <t>Client Reference:</t>
  </si>
  <si>
    <t>Client Name:</t>
  </si>
  <si>
    <t>Priority Debts</t>
  </si>
  <si>
    <t>Maint./CSA</t>
  </si>
  <si>
    <t>Fines</t>
  </si>
  <si>
    <t>Others</t>
  </si>
  <si>
    <t>Creditors</t>
  </si>
  <si>
    <t>Person</t>
  </si>
  <si>
    <t>O/S Bal.</t>
  </si>
  <si>
    <t>Offer</t>
  </si>
  <si>
    <t>CCJ's</t>
  </si>
  <si>
    <t>Endowment</t>
  </si>
  <si>
    <t>Secured Loan</t>
  </si>
  <si>
    <t>Other Benefits</t>
  </si>
  <si>
    <t>Disposable Income</t>
  </si>
  <si>
    <t>O/s Bal.</t>
  </si>
  <si>
    <t>Mon. Repay't</t>
  </si>
  <si>
    <t>Financial Statement - Rev.</t>
  </si>
  <si>
    <t>Payslips:</t>
  </si>
  <si>
    <t>Notes:</t>
  </si>
  <si>
    <t>CSA/Maintenance</t>
  </si>
  <si>
    <t>Ground Rent, Service Charges</t>
  </si>
  <si>
    <t>Mortgage/Rent</t>
  </si>
  <si>
    <t>Telephone (Mobile)</t>
  </si>
  <si>
    <t>Dental Insurance</t>
  </si>
  <si>
    <t>Window Cleaning</t>
  </si>
  <si>
    <t>Postage &amp; Stationery</t>
  </si>
  <si>
    <t>Other (Formal)</t>
  </si>
  <si>
    <t>Other (Occasional)</t>
  </si>
  <si>
    <t>Other (Everyday)</t>
  </si>
  <si>
    <t>TV Rental (Sky, Cable, etc)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</si>
</sst>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£&quot;#,##0.00"/>
  </numFmts>
  <fonts count="6" x14ac:knownFonts="1">
    <font>
      <sz val="10"/>
      <name val="Arial"/>
    </font>
    <font>
      <b/>
      <sz val="10"/>
      <name val="Arial"/>
      <family val="2"/>
    </font>
    <font>
      <b/>
      <u/>
      <sz val="10"/>
      <name val="Arial"/>
      <family val="2"/>
    </font>
    <font>
      <b/>
      <i/>
      <u/>
      <sz val="10"/>
      <name val="Arial"/>
      <family val="2"/>
    </font>
    <font>
      <u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164" fontId="0" fillId="0" borderId="0" xfId="0" applyNumberFormat="1"/>
    <xf numFmtId="0" fontId="5" fillId="0" borderId="0" xfId="0" applyFont="1" applyAlignment="1">
      <alignment horizontal="center"/>
    </xf>
    <xf numFmtId="0" fontId="4" fillId="0" borderId="0" xfId="0" applyFont="1"/>
    <xf numFmtId="164" fontId="4" fillId="0" borderId="0" xfId="0" applyNumberFormat="1" applyFont="1" applyAlignment="1">
      <alignment horizontal="center"/>
    </xf>
    <xf numFmtId="164" fontId="0" fillId="0" borderId="1" xfId="0" applyNumberFormat="1" applyBorder="1"/>
    <xf numFmtId="0" fontId="0" fillId="0" borderId="1" xfId="0" applyBorder="1"/>
    <xf numFmtId="0" fontId="0" fillId="0" borderId="0" xfId="0" applyBorder="1"/>
    <xf numFmtId="17" fontId="0" fillId="0" borderId="0" xfId="0" applyNumberFormat="1"/>
    <xf numFmtId="4" fontId="0" fillId="0" borderId="1" xfId="0" applyNumberFormat="1" applyBorder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9"/>
  <sheetViews>
    <sheetView showZeros="0" workbookViewId="0">
      <selection activeCell="B19" sqref="B19"/>
    </sheetView>
  </sheetViews>
  <sheetFormatPr defaultRowHeight="12.5" x14ac:dyDescent="0.25"/>
  <cols>
    <col min="1" max="1" width="17.81640625" bestFit="1" customWidth="1"/>
    <col min="2" max="2" width="17.81640625" customWidth="1"/>
    <col min="3" max="3" width="14.81640625" bestFit="1" customWidth="1"/>
    <col min="4" max="4" width="14.26953125" bestFit="1" customWidth="1"/>
    <col min="5" max="5" width="12.26953125" customWidth="1"/>
  </cols>
  <sheetData>
    <row r="1" spans="1:5" ht="13" x14ac:dyDescent="0.3">
      <c r="A1" s="2" t="s">
        <v>16</v>
      </c>
      <c r="B1" s="2"/>
    </row>
    <row r="3" spans="1:5" ht="13" x14ac:dyDescent="0.3">
      <c r="A3" s="3" t="s">
        <v>0</v>
      </c>
      <c r="B3" s="3"/>
    </row>
    <row r="5" spans="1:5" x14ac:dyDescent="0.25">
      <c r="C5" s="4" t="s">
        <v>1</v>
      </c>
      <c r="D5" s="4" t="s">
        <v>2</v>
      </c>
      <c r="E5" s="4" t="s">
        <v>3</v>
      </c>
    </row>
    <row r="6" spans="1:5" x14ac:dyDescent="0.25">
      <c r="C6" s="4"/>
      <c r="D6" s="4"/>
      <c r="E6" s="4"/>
    </row>
    <row r="7" spans="1:5" x14ac:dyDescent="0.25">
      <c r="A7" t="s">
        <v>4</v>
      </c>
      <c r="C7" s="5"/>
      <c r="D7" s="5"/>
      <c r="E7" s="5"/>
    </row>
    <row r="8" spans="1:5" x14ac:dyDescent="0.25">
      <c r="A8" t="s">
        <v>5</v>
      </c>
      <c r="C8" s="5"/>
      <c r="D8" s="5"/>
      <c r="E8" s="5"/>
    </row>
    <row r="9" spans="1:5" x14ac:dyDescent="0.25">
      <c r="A9" t="s">
        <v>6</v>
      </c>
      <c r="C9" s="5"/>
      <c r="D9" s="5"/>
      <c r="E9" s="5"/>
    </row>
    <row r="10" spans="1:5" x14ac:dyDescent="0.25">
      <c r="A10" t="s">
        <v>7</v>
      </c>
      <c r="C10" s="5"/>
      <c r="D10" s="5"/>
      <c r="E10" s="5"/>
    </row>
    <row r="11" spans="1:5" x14ac:dyDescent="0.25">
      <c r="A11" t="s">
        <v>8</v>
      </c>
      <c r="C11" s="5"/>
      <c r="D11" s="5"/>
      <c r="E11" s="5"/>
    </row>
    <row r="12" spans="1:5" x14ac:dyDescent="0.25">
      <c r="A12" t="s">
        <v>9</v>
      </c>
      <c r="C12" s="5"/>
      <c r="D12" s="5"/>
      <c r="E12" s="5"/>
    </row>
    <row r="13" spans="1:5" x14ac:dyDescent="0.25">
      <c r="A13" t="s">
        <v>10</v>
      </c>
      <c r="C13" s="5"/>
      <c r="D13" s="5"/>
      <c r="E13" s="5"/>
    </row>
    <row r="14" spans="1:5" x14ac:dyDescent="0.25">
      <c r="A14" t="s">
        <v>11</v>
      </c>
      <c r="C14" s="5"/>
      <c r="D14" s="5"/>
      <c r="E14" s="5"/>
    </row>
    <row r="15" spans="1:5" x14ac:dyDescent="0.25">
      <c r="A15" t="s">
        <v>12</v>
      </c>
      <c r="C15" s="5"/>
      <c r="D15" s="5"/>
      <c r="E15" s="5"/>
    </row>
    <row r="16" spans="1:5" x14ac:dyDescent="0.25">
      <c r="C16" s="5"/>
      <c r="D16" s="5"/>
      <c r="E16" s="5"/>
    </row>
    <row r="17" spans="1:5" ht="13" x14ac:dyDescent="0.3">
      <c r="A17" s="1" t="s">
        <v>13</v>
      </c>
      <c r="B17" s="1"/>
      <c r="C17" s="9">
        <f>SUM(C6:C16)</f>
        <v>0</v>
      </c>
      <c r="D17" s="9">
        <f>SUM(D6:D16)</f>
        <v>0</v>
      </c>
      <c r="E17" s="9">
        <f>SUM(E6:E16)</f>
        <v>0</v>
      </c>
    </row>
    <row r="19" spans="1:5" x14ac:dyDescent="0.25">
      <c r="B19" s="7" t="s">
        <v>171</v>
      </c>
    </row>
  </sheetData>
  <pageMargins left="0.75" right="0.75" top="1" bottom="1" header="0.5" footer="0.5"/>
  <pageSetup paperSize="9" orientation="portrait" horizontalDpi="200" verticalDpi="200" r:id="rId1"/>
  <headerFooter alignWithMargins="0">
    <oddHeader>&amp;LPersonal Finance Schedule</oddHeader>
    <oddFooter>&amp;L&amp;F; &amp;A&amp;Cp. &amp;P&amp;R&amp;D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8"/>
  <sheetViews>
    <sheetView showZeros="0" workbookViewId="0">
      <selection activeCell="B18" sqref="B18"/>
    </sheetView>
  </sheetViews>
  <sheetFormatPr defaultRowHeight="12.5" x14ac:dyDescent="0.25"/>
  <cols>
    <col min="1" max="1" width="19.81640625" bestFit="1" customWidth="1"/>
    <col min="2" max="2" width="19.7265625" customWidth="1"/>
    <col min="3" max="3" width="14.81640625" bestFit="1" customWidth="1"/>
    <col min="4" max="4" width="14.26953125" bestFit="1" customWidth="1"/>
    <col min="5" max="5" width="13" customWidth="1"/>
  </cols>
  <sheetData>
    <row r="1" spans="1:5" ht="13" x14ac:dyDescent="0.3">
      <c r="A1" s="2" t="s">
        <v>16</v>
      </c>
      <c r="B1" s="2"/>
    </row>
    <row r="3" spans="1:5" ht="13" x14ac:dyDescent="0.3">
      <c r="A3" s="3" t="s">
        <v>14</v>
      </c>
      <c r="B3" s="3"/>
    </row>
    <row r="5" spans="1:5" x14ac:dyDescent="0.25">
      <c r="C5" s="6" t="s">
        <v>1</v>
      </c>
      <c r="D5" s="6" t="s">
        <v>2</v>
      </c>
      <c r="E5" s="6" t="s">
        <v>3</v>
      </c>
    </row>
    <row r="6" spans="1:5" x14ac:dyDescent="0.25">
      <c r="A6" t="s">
        <v>4</v>
      </c>
      <c r="C6" s="5"/>
      <c r="D6" s="5"/>
      <c r="E6" s="5"/>
    </row>
    <row r="7" spans="1:5" x14ac:dyDescent="0.25">
      <c r="A7" t="s">
        <v>5</v>
      </c>
      <c r="C7" s="5"/>
      <c r="D7" s="5"/>
      <c r="E7" s="5"/>
    </row>
    <row r="8" spans="1:5" x14ac:dyDescent="0.25">
      <c r="A8" t="s">
        <v>6</v>
      </c>
      <c r="C8" s="5"/>
      <c r="D8" s="5"/>
      <c r="E8" s="5"/>
    </row>
    <row r="9" spans="1:5" x14ac:dyDescent="0.25">
      <c r="A9" t="s">
        <v>7</v>
      </c>
      <c r="C9" s="5"/>
      <c r="D9" s="5"/>
      <c r="E9" s="5"/>
    </row>
    <row r="10" spans="1:5" x14ac:dyDescent="0.25">
      <c r="A10" t="s">
        <v>8</v>
      </c>
      <c r="C10" s="5"/>
      <c r="D10" s="5"/>
      <c r="E10" s="5"/>
    </row>
    <row r="11" spans="1:5" x14ac:dyDescent="0.25">
      <c r="A11" t="s">
        <v>9</v>
      </c>
      <c r="C11" s="5"/>
      <c r="D11" s="5"/>
      <c r="E11" s="5"/>
    </row>
    <row r="12" spans="1:5" x14ac:dyDescent="0.25">
      <c r="A12" t="s">
        <v>10</v>
      </c>
      <c r="C12" s="5"/>
      <c r="D12" s="5"/>
      <c r="E12" s="5"/>
    </row>
    <row r="13" spans="1:5" x14ac:dyDescent="0.25">
      <c r="A13" t="s">
        <v>11</v>
      </c>
      <c r="C13" s="5"/>
      <c r="D13" s="5"/>
      <c r="E13" s="5"/>
    </row>
    <row r="14" spans="1:5" x14ac:dyDescent="0.25">
      <c r="A14" t="s">
        <v>12</v>
      </c>
      <c r="C14" s="5"/>
      <c r="D14" s="5"/>
      <c r="E14" s="5"/>
    </row>
    <row r="15" spans="1:5" x14ac:dyDescent="0.25">
      <c r="C15" s="5"/>
      <c r="D15" s="5"/>
      <c r="E15" s="5"/>
    </row>
    <row r="16" spans="1:5" ht="13" x14ac:dyDescent="0.3">
      <c r="A16" s="1" t="s">
        <v>15</v>
      </c>
      <c r="C16" s="9">
        <f>SUM(C6:C15)</f>
        <v>0</v>
      </c>
      <c r="D16" s="9">
        <f>SUM(D6:D15)</f>
        <v>0</v>
      </c>
      <c r="E16" s="9">
        <f>SUM(E6:E15)</f>
        <v>0</v>
      </c>
    </row>
    <row r="18" spans="2:2" x14ac:dyDescent="0.25">
      <c r="B18" s="7" t="s">
        <v>171</v>
      </c>
    </row>
  </sheetData>
  <pageMargins left="0.75" right="0.75" top="1" bottom="1" header="0.5" footer="0.5"/>
  <pageSetup paperSize="9" orientation="portrait" horizontalDpi="200" verticalDpi="200" r:id="rId1"/>
  <headerFooter alignWithMargins="0">
    <oddHeader>&amp;LPersonal finance Schedule</oddHeader>
    <oddFooter>&amp;L&amp;F; &amp;A&amp;Cp. &amp;P&amp;R&amp;D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3"/>
  <sheetViews>
    <sheetView showZeros="0" topLeftCell="A14" workbookViewId="0">
      <selection activeCell="E32" sqref="E32"/>
    </sheetView>
  </sheetViews>
  <sheetFormatPr defaultRowHeight="12.5" x14ac:dyDescent="0.25"/>
  <cols>
    <col min="1" max="1" width="28.81640625" bestFit="1" customWidth="1"/>
    <col min="2" max="5" width="11.7265625" customWidth="1"/>
  </cols>
  <sheetData>
    <row r="1" spans="1:5" ht="13" x14ac:dyDescent="0.3">
      <c r="A1" s="2" t="s">
        <v>17</v>
      </c>
    </row>
    <row r="2" spans="1:5" ht="13" x14ac:dyDescent="0.3">
      <c r="A2" s="2"/>
    </row>
    <row r="3" spans="1:5" x14ac:dyDescent="0.25">
      <c r="B3" s="4" t="s">
        <v>18</v>
      </c>
      <c r="C3" s="4" t="s">
        <v>19</v>
      </c>
      <c r="D3" s="4" t="s">
        <v>20</v>
      </c>
      <c r="E3" s="4" t="s">
        <v>21</v>
      </c>
    </row>
    <row r="4" spans="1:5" x14ac:dyDescent="0.25">
      <c r="A4" t="s">
        <v>22</v>
      </c>
      <c r="B4" s="5"/>
      <c r="C4" s="5">
        <f>B4*52/12</f>
        <v>0</v>
      </c>
      <c r="D4" s="5"/>
      <c r="E4" s="5"/>
    </row>
    <row r="5" spans="1:5" x14ac:dyDescent="0.25">
      <c r="A5" t="s">
        <v>23</v>
      </c>
      <c r="B5" s="5"/>
      <c r="C5" s="5">
        <f t="shared" ref="C5:C29" si="0">B5*52/12</f>
        <v>0</v>
      </c>
      <c r="D5" s="5"/>
      <c r="E5" s="5"/>
    </row>
    <row r="6" spans="1:5" x14ac:dyDescent="0.25">
      <c r="B6" s="5"/>
      <c r="C6" s="5">
        <f t="shared" si="0"/>
        <v>0</v>
      </c>
      <c r="D6" s="5"/>
      <c r="E6" s="5"/>
    </row>
    <row r="7" spans="1:5" x14ac:dyDescent="0.25">
      <c r="A7" t="s">
        <v>24</v>
      </c>
      <c r="B7" s="5"/>
      <c r="C7" s="5">
        <f t="shared" si="0"/>
        <v>0</v>
      </c>
      <c r="D7" s="5"/>
      <c r="E7" s="5"/>
    </row>
    <row r="8" spans="1:5" x14ac:dyDescent="0.25">
      <c r="A8" t="s">
        <v>25</v>
      </c>
      <c r="B8" s="5"/>
      <c r="C8" s="5">
        <f t="shared" si="0"/>
        <v>0</v>
      </c>
      <c r="D8" s="5"/>
      <c r="E8" s="5"/>
    </row>
    <row r="9" spans="1:5" x14ac:dyDescent="0.25">
      <c r="A9" t="s">
        <v>26</v>
      </c>
      <c r="B9" s="5"/>
      <c r="C9" s="5">
        <f t="shared" si="0"/>
        <v>0</v>
      </c>
      <c r="D9" s="5"/>
      <c r="E9" s="5"/>
    </row>
    <row r="10" spans="1:5" x14ac:dyDescent="0.25">
      <c r="A10" t="s">
        <v>27</v>
      </c>
      <c r="B10" s="5"/>
      <c r="C10" s="5">
        <f t="shared" si="0"/>
        <v>0</v>
      </c>
      <c r="D10" s="5"/>
      <c r="E10" s="5"/>
    </row>
    <row r="11" spans="1:5" x14ac:dyDescent="0.25">
      <c r="B11" s="5"/>
      <c r="C11" s="5">
        <f t="shared" si="0"/>
        <v>0</v>
      </c>
      <c r="D11" s="5"/>
      <c r="E11" s="5"/>
    </row>
    <row r="12" spans="1:5" x14ac:dyDescent="0.25">
      <c r="A12" t="s">
        <v>28</v>
      </c>
      <c r="B12" s="5"/>
      <c r="C12" s="5">
        <f t="shared" si="0"/>
        <v>0</v>
      </c>
      <c r="D12" s="5"/>
      <c r="E12" s="5"/>
    </row>
    <row r="13" spans="1:5" x14ac:dyDescent="0.25">
      <c r="A13" t="s">
        <v>29</v>
      </c>
      <c r="B13" s="5"/>
      <c r="C13" s="5">
        <f t="shared" si="0"/>
        <v>0</v>
      </c>
      <c r="D13" s="5"/>
      <c r="E13" s="5"/>
    </row>
    <row r="14" spans="1:5" x14ac:dyDescent="0.25">
      <c r="B14" s="5"/>
      <c r="C14" s="5">
        <f t="shared" si="0"/>
        <v>0</v>
      </c>
      <c r="D14" s="5"/>
      <c r="E14" s="5"/>
    </row>
    <row r="15" spans="1:5" x14ac:dyDescent="0.25">
      <c r="A15" t="s">
        <v>30</v>
      </c>
      <c r="B15" s="5"/>
      <c r="C15" s="5">
        <f t="shared" si="0"/>
        <v>0</v>
      </c>
      <c r="D15" s="5"/>
      <c r="E15" s="5"/>
    </row>
    <row r="16" spans="1:5" x14ac:dyDescent="0.25">
      <c r="B16" s="5"/>
      <c r="C16" s="5">
        <f t="shared" si="0"/>
        <v>0</v>
      </c>
      <c r="D16" s="5"/>
      <c r="E16" s="5"/>
    </row>
    <row r="17" spans="1:5" x14ac:dyDescent="0.25">
      <c r="A17" t="s">
        <v>31</v>
      </c>
      <c r="B17" s="5"/>
      <c r="C17" s="5">
        <f t="shared" si="0"/>
        <v>0</v>
      </c>
      <c r="D17" s="5"/>
      <c r="E17" s="5"/>
    </row>
    <row r="18" spans="1:5" x14ac:dyDescent="0.25">
      <c r="A18" t="s">
        <v>32</v>
      </c>
      <c r="B18" s="5"/>
      <c r="C18" s="5">
        <f t="shared" si="0"/>
        <v>0</v>
      </c>
      <c r="D18" s="5"/>
      <c r="E18" s="5"/>
    </row>
    <row r="19" spans="1:5" x14ac:dyDescent="0.25">
      <c r="A19" t="s">
        <v>33</v>
      </c>
      <c r="B19" s="5"/>
      <c r="C19" s="5">
        <f t="shared" si="0"/>
        <v>0</v>
      </c>
      <c r="D19" s="5"/>
      <c r="E19" s="5"/>
    </row>
    <row r="20" spans="1:5" x14ac:dyDescent="0.25">
      <c r="B20" s="5"/>
      <c r="C20" s="5">
        <f t="shared" si="0"/>
        <v>0</v>
      </c>
      <c r="D20" s="5"/>
      <c r="E20" s="5"/>
    </row>
    <row r="21" spans="1:5" x14ac:dyDescent="0.25">
      <c r="A21" t="s">
        <v>34</v>
      </c>
      <c r="B21" s="5"/>
      <c r="C21" s="5">
        <f t="shared" si="0"/>
        <v>0</v>
      </c>
      <c r="D21" s="5"/>
      <c r="E21" s="5"/>
    </row>
    <row r="22" spans="1:5" x14ac:dyDescent="0.25">
      <c r="A22" t="s">
        <v>35</v>
      </c>
      <c r="B22" s="5"/>
      <c r="C22" s="5">
        <f t="shared" si="0"/>
        <v>0</v>
      </c>
      <c r="D22" s="5"/>
      <c r="E22" s="5"/>
    </row>
    <row r="23" spans="1:5" x14ac:dyDescent="0.25">
      <c r="B23" s="5"/>
      <c r="C23" s="5">
        <f t="shared" si="0"/>
        <v>0</v>
      </c>
      <c r="D23" s="5"/>
      <c r="E23" s="5"/>
    </row>
    <row r="24" spans="1:5" x14ac:dyDescent="0.25">
      <c r="A24" t="s">
        <v>36</v>
      </c>
      <c r="B24" s="5"/>
      <c r="C24" s="5">
        <f t="shared" si="0"/>
        <v>0</v>
      </c>
      <c r="D24" s="5"/>
      <c r="E24" s="5"/>
    </row>
    <row r="25" spans="1:5" x14ac:dyDescent="0.25">
      <c r="A25" t="s">
        <v>37</v>
      </c>
      <c r="B25" s="5"/>
      <c r="C25" s="5">
        <f t="shared" si="0"/>
        <v>0</v>
      </c>
      <c r="D25" s="5"/>
      <c r="E25" s="5"/>
    </row>
    <row r="26" spans="1:5" x14ac:dyDescent="0.25">
      <c r="B26" s="5"/>
      <c r="C26" s="5">
        <f t="shared" si="0"/>
        <v>0</v>
      </c>
      <c r="D26" s="5"/>
      <c r="E26" s="5"/>
    </row>
    <row r="27" spans="1:5" x14ac:dyDescent="0.25">
      <c r="A27" t="s">
        <v>38</v>
      </c>
      <c r="B27" s="5"/>
      <c r="C27" s="5">
        <f t="shared" si="0"/>
        <v>0</v>
      </c>
      <c r="D27" s="5"/>
      <c r="E27" s="5"/>
    </row>
    <row r="28" spans="1:5" x14ac:dyDescent="0.25">
      <c r="A28" t="s">
        <v>38</v>
      </c>
      <c r="B28" s="5"/>
      <c r="C28" s="5">
        <f t="shared" si="0"/>
        <v>0</v>
      </c>
      <c r="D28" s="5"/>
      <c r="E28" s="5"/>
    </row>
    <row r="29" spans="1:5" x14ac:dyDescent="0.25">
      <c r="B29" s="5"/>
      <c r="C29" s="5">
        <f t="shared" si="0"/>
        <v>0</v>
      </c>
      <c r="D29" s="5"/>
      <c r="E29" s="5"/>
    </row>
    <row r="30" spans="1:5" ht="13" x14ac:dyDescent="0.3">
      <c r="A30" s="1" t="s">
        <v>39</v>
      </c>
      <c r="B30" s="9">
        <f>SUM(B4:B29)</f>
        <v>0</v>
      </c>
      <c r="C30" s="9">
        <f>SUM(C4:C29)</f>
        <v>0</v>
      </c>
      <c r="D30" s="9">
        <f>SUM(D4:D29)</f>
        <v>0</v>
      </c>
      <c r="E30" s="9">
        <f>SUM(E4:E29)</f>
        <v>0</v>
      </c>
    </row>
    <row r="32" spans="1:5" x14ac:dyDescent="0.25">
      <c r="B32" s="7" t="s">
        <v>170</v>
      </c>
      <c r="E32" s="7" t="s">
        <v>171</v>
      </c>
    </row>
    <row r="33" spans="2:3" x14ac:dyDescent="0.25">
      <c r="B33" s="12"/>
      <c r="C33" s="5"/>
    </row>
  </sheetData>
  <pageMargins left="0.75" right="0.75" top="1" bottom="1" header="0.5" footer="0.5"/>
  <pageSetup paperSize="9" orientation="portrait" horizontalDpi="300" verticalDpi="300" r:id="rId1"/>
  <headerFooter alignWithMargins="0">
    <oddHeader>&amp;LPersonal Finance Schedule</oddHeader>
    <oddFooter>&amp;L&amp;F; &amp;A&amp;Cp. &amp;P&amp;R&amp;D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0"/>
  <sheetViews>
    <sheetView showZeros="0" workbookViewId="0">
      <selection activeCell="C7" sqref="C7"/>
    </sheetView>
  </sheetViews>
  <sheetFormatPr defaultRowHeight="12.5" x14ac:dyDescent="0.25"/>
  <cols>
    <col min="1" max="1" width="30.26953125" bestFit="1" customWidth="1"/>
    <col min="2" max="5" width="11.7265625" customWidth="1"/>
  </cols>
  <sheetData>
    <row r="1" spans="1:5" ht="13" x14ac:dyDescent="0.3">
      <c r="A1" s="2" t="s">
        <v>50</v>
      </c>
    </row>
    <row r="3" spans="1:5" x14ac:dyDescent="0.25">
      <c r="B3" s="4" t="s">
        <v>18</v>
      </c>
      <c r="C3" s="4" t="s">
        <v>19</v>
      </c>
      <c r="D3" s="4" t="s">
        <v>20</v>
      </c>
      <c r="E3" s="4" t="s">
        <v>21</v>
      </c>
    </row>
    <row r="4" spans="1:5" x14ac:dyDescent="0.25">
      <c r="A4" t="s">
        <v>40</v>
      </c>
      <c r="C4" s="5">
        <f>B4*52/12</f>
        <v>0</v>
      </c>
    </row>
    <row r="5" spans="1:5" x14ac:dyDescent="0.25">
      <c r="A5" t="s">
        <v>41</v>
      </c>
      <c r="C5" s="5">
        <f t="shared" ref="C5:C14" si="0">B5*52/12</f>
        <v>0</v>
      </c>
    </row>
    <row r="6" spans="1:5" x14ac:dyDescent="0.25">
      <c r="A6" t="s">
        <v>42</v>
      </c>
      <c r="C6" s="5">
        <f t="shared" si="0"/>
        <v>0</v>
      </c>
    </row>
    <row r="7" spans="1:5" x14ac:dyDescent="0.25">
      <c r="A7" t="s">
        <v>43</v>
      </c>
      <c r="C7" s="5">
        <f t="shared" si="0"/>
        <v>0</v>
      </c>
    </row>
    <row r="8" spans="1:5" x14ac:dyDescent="0.25">
      <c r="C8" s="5">
        <f t="shared" si="0"/>
        <v>0</v>
      </c>
    </row>
    <row r="9" spans="1:5" x14ac:dyDescent="0.25">
      <c r="A9" t="s">
        <v>44</v>
      </c>
      <c r="C9" s="5">
        <f t="shared" si="0"/>
        <v>0</v>
      </c>
    </row>
    <row r="10" spans="1:5" x14ac:dyDescent="0.25">
      <c r="A10" t="s">
        <v>45</v>
      </c>
      <c r="C10" s="5">
        <f t="shared" si="0"/>
        <v>0</v>
      </c>
    </row>
    <row r="11" spans="1:5" x14ac:dyDescent="0.25">
      <c r="C11" s="5">
        <f t="shared" si="0"/>
        <v>0</v>
      </c>
    </row>
    <row r="12" spans="1:5" x14ac:dyDescent="0.25">
      <c r="A12" t="s">
        <v>46</v>
      </c>
      <c r="C12" s="5">
        <f t="shared" si="0"/>
        <v>0</v>
      </c>
    </row>
    <row r="13" spans="1:5" x14ac:dyDescent="0.25">
      <c r="A13" t="s">
        <v>47</v>
      </c>
      <c r="C13" s="5">
        <f t="shared" si="0"/>
        <v>0</v>
      </c>
    </row>
    <row r="14" spans="1:5" x14ac:dyDescent="0.25">
      <c r="A14" t="s">
        <v>48</v>
      </c>
      <c r="C14" s="5">
        <f t="shared" si="0"/>
        <v>0</v>
      </c>
    </row>
    <row r="15" spans="1:5" x14ac:dyDescent="0.25">
      <c r="C15" s="5"/>
    </row>
    <row r="16" spans="1:5" x14ac:dyDescent="0.25">
      <c r="A16" t="s">
        <v>172</v>
      </c>
      <c r="C16" s="5"/>
    </row>
    <row r="18" spans="1:5" ht="13" x14ac:dyDescent="0.3">
      <c r="A18" s="1" t="s">
        <v>51</v>
      </c>
      <c r="B18" s="9">
        <f>SUM(B4:B17)</f>
        <v>0</v>
      </c>
      <c r="C18" s="9">
        <f>SUM(C4:C17)</f>
        <v>0</v>
      </c>
      <c r="D18" s="9">
        <f>SUM(D4:D17)</f>
        <v>0</v>
      </c>
      <c r="E18" s="9">
        <f>SUM(E4:E17)</f>
        <v>0</v>
      </c>
    </row>
    <row r="20" spans="1:5" x14ac:dyDescent="0.25">
      <c r="B20" s="7" t="s">
        <v>171</v>
      </c>
    </row>
  </sheetData>
  <pageMargins left="0.75" right="0.75" top="1" bottom="1" header="0.5" footer="0.5"/>
  <pageSetup paperSize="9" orientation="portrait" horizontalDpi="300" verticalDpi="300" r:id="rId1"/>
  <headerFooter alignWithMargins="0">
    <oddHeader>&amp;LPersonal Finance Schedule</oddHeader>
    <oddFooter>&amp;L&amp;F; &amp;A&amp;Cp. &amp;P&amp;R&amp;D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2"/>
  <sheetViews>
    <sheetView showZeros="0" workbookViewId="0">
      <selection activeCell="A10" sqref="A10"/>
    </sheetView>
  </sheetViews>
  <sheetFormatPr defaultRowHeight="12.5" x14ac:dyDescent="0.25"/>
  <cols>
    <col min="1" max="1" width="32.81640625" bestFit="1" customWidth="1"/>
    <col min="2" max="5" width="11.7265625" customWidth="1"/>
  </cols>
  <sheetData>
    <row r="1" spans="1:5" ht="13" x14ac:dyDescent="0.3">
      <c r="A1" s="2" t="s">
        <v>62</v>
      </c>
    </row>
    <row r="3" spans="1:5" x14ac:dyDescent="0.25">
      <c r="B3" s="4" t="s">
        <v>18</v>
      </c>
      <c r="C3" s="4" t="s">
        <v>19</v>
      </c>
      <c r="D3" s="4" t="s">
        <v>20</v>
      </c>
      <c r="E3" s="4" t="s">
        <v>21</v>
      </c>
    </row>
    <row r="4" spans="1:5" x14ac:dyDescent="0.25">
      <c r="A4" t="s">
        <v>52</v>
      </c>
      <c r="C4" s="5">
        <f>B4*52/12</f>
        <v>0</v>
      </c>
    </row>
    <row r="5" spans="1:5" x14ac:dyDescent="0.25">
      <c r="C5" s="5">
        <f t="shared" ref="C5:C17" si="0">B5*52/12</f>
        <v>0</v>
      </c>
    </row>
    <row r="6" spans="1:5" x14ac:dyDescent="0.25">
      <c r="A6" t="s">
        <v>53</v>
      </c>
      <c r="C6" s="5">
        <f t="shared" si="0"/>
        <v>0</v>
      </c>
    </row>
    <row r="7" spans="1:5" x14ac:dyDescent="0.25">
      <c r="A7" t="s">
        <v>54</v>
      </c>
      <c r="C7" s="5">
        <f t="shared" si="0"/>
        <v>0</v>
      </c>
    </row>
    <row r="8" spans="1:5" x14ac:dyDescent="0.25">
      <c r="A8" t="s">
        <v>55</v>
      </c>
      <c r="C8" s="5">
        <f t="shared" si="0"/>
        <v>0</v>
      </c>
    </row>
    <row r="9" spans="1:5" x14ac:dyDescent="0.25">
      <c r="A9" t="s">
        <v>56</v>
      </c>
      <c r="C9" s="5">
        <f t="shared" si="0"/>
        <v>0</v>
      </c>
    </row>
    <row r="10" spans="1:5" x14ac:dyDescent="0.25">
      <c r="A10" t="s">
        <v>176</v>
      </c>
      <c r="C10" s="5">
        <f t="shared" si="0"/>
        <v>0</v>
      </c>
    </row>
    <row r="11" spans="1:5" x14ac:dyDescent="0.25">
      <c r="C11" s="5"/>
    </row>
    <row r="12" spans="1:5" x14ac:dyDescent="0.25">
      <c r="A12" t="s">
        <v>57</v>
      </c>
      <c r="C12" s="5">
        <f t="shared" si="0"/>
        <v>0</v>
      </c>
    </row>
    <row r="13" spans="1:5" x14ac:dyDescent="0.25">
      <c r="A13" t="s">
        <v>175</v>
      </c>
      <c r="C13" s="5"/>
    </row>
    <row r="14" spans="1:5" x14ac:dyDescent="0.25">
      <c r="C14" s="5">
        <f t="shared" si="0"/>
        <v>0</v>
      </c>
    </row>
    <row r="15" spans="1:5" x14ac:dyDescent="0.25">
      <c r="A15" t="s">
        <v>58</v>
      </c>
      <c r="C15" s="5">
        <f t="shared" si="0"/>
        <v>0</v>
      </c>
    </row>
    <row r="16" spans="1:5" x14ac:dyDescent="0.25">
      <c r="A16" t="s">
        <v>59</v>
      </c>
      <c r="C16" s="5">
        <f t="shared" si="0"/>
        <v>0</v>
      </c>
    </row>
    <row r="17" spans="1:5" x14ac:dyDescent="0.25">
      <c r="A17" t="s">
        <v>60</v>
      </c>
      <c r="C17" s="5">
        <f t="shared" si="0"/>
        <v>0</v>
      </c>
    </row>
    <row r="20" spans="1:5" ht="13" x14ac:dyDescent="0.3">
      <c r="A20" s="1" t="s">
        <v>63</v>
      </c>
      <c r="B20" s="9">
        <f>SUM(B4:B19)</f>
        <v>0</v>
      </c>
      <c r="C20" s="9">
        <f>SUM(C4:C19)</f>
        <v>0</v>
      </c>
      <c r="D20" s="9">
        <f>SUM(D4:D19)</f>
        <v>0</v>
      </c>
      <c r="E20" s="9">
        <f>SUM(E4:E19)</f>
        <v>0</v>
      </c>
    </row>
    <row r="22" spans="1:5" x14ac:dyDescent="0.25">
      <c r="B22" s="7" t="s">
        <v>171</v>
      </c>
    </row>
  </sheetData>
  <pageMargins left="0.75" right="0.75" top="1" bottom="1" header="0.5" footer="0.5"/>
  <pageSetup paperSize="9" orientation="portrait" horizontalDpi="300" verticalDpi="300" r:id="rId1"/>
  <headerFooter alignWithMargins="0">
    <oddHeader>&amp;LPersonal Finance Schedule</oddHeader>
    <oddFooter>&amp;L&amp;F; &amp;A&amp;Cp. &amp;P&amp;R&amp;D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7"/>
  <sheetViews>
    <sheetView showZeros="0" topLeftCell="A28" workbookViewId="0">
      <selection activeCell="A30" sqref="A30"/>
    </sheetView>
  </sheetViews>
  <sheetFormatPr defaultRowHeight="12.5" x14ac:dyDescent="0.25"/>
  <cols>
    <col min="1" max="1" width="27.7265625" bestFit="1" customWidth="1"/>
    <col min="2" max="5" width="11.7265625" customWidth="1"/>
  </cols>
  <sheetData>
    <row r="1" spans="1:5" ht="13" x14ac:dyDescent="0.3">
      <c r="A1" s="2" t="s">
        <v>96</v>
      </c>
    </row>
    <row r="2" spans="1:5" ht="13" x14ac:dyDescent="0.3">
      <c r="A2" s="2"/>
    </row>
    <row r="3" spans="1:5" x14ac:dyDescent="0.25">
      <c r="B3" s="4" t="s">
        <v>18</v>
      </c>
      <c r="C3" s="4" t="s">
        <v>19</v>
      </c>
      <c r="D3" s="4" t="s">
        <v>20</v>
      </c>
      <c r="E3" s="4" t="s">
        <v>21</v>
      </c>
    </row>
    <row r="4" spans="1:5" x14ac:dyDescent="0.25">
      <c r="A4" t="s">
        <v>64</v>
      </c>
      <c r="C4" s="5">
        <f>B4*52/12</f>
        <v>0</v>
      </c>
    </row>
    <row r="5" spans="1:5" x14ac:dyDescent="0.25">
      <c r="A5" t="s">
        <v>65</v>
      </c>
      <c r="C5" s="5">
        <f t="shared" ref="C5:C43" si="0">B5*52/12</f>
        <v>0</v>
      </c>
    </row>
    <row r="6" spans="1:5" x14ac:dyDescent="0.25">
      <c r="A6" t="s">
        <v>66</v>
      </c>
      <c r="C6" s="5">
        <f t="shared" si="0"/>
        <v>0</v>
      </c>
    </row>
    <row r="7" spans="1:5" x14ac:dyDescent="0.25">
      <c r="A7" t="s">
        <v>67</v>
      </c>
      <c r="C7" s="5">
        <f t="shared" si="0"/>
        <v>0</v>
      </c>
    </row>
    <row r="8" spans="1:5" x14ac:dyDescent="0.25">
      <c r="C8" s="5">
        <f t="shared" si="0"/>
        <v>0</v>
      </c>
    </row>
    <row r="9" spans="1:5" x14ac:dyDescent="0.25">
      <c r="A9" t="s">
        <v>68</v>
      </c>
      <c r="C9" s="5">
        <f t="shared" si="0"/>
        <v>0</v>
      </c>
    </row>
    <row r="10" spans="1:5" x14ac:dyDescent="0.25">
      <c r="A10" t="s">
        <v>69</v>
      </c>
      <c r="C10" s="5">
        <f t="shared" si="0"/>
        <v>0</v>
      </c>
    </row>
    <row r="11" spans="1:5" x14ac:dyDescent="0.25">
      <c r="A11" t="s">
        <v>70</v>
      </c>
      <c r="C11" s="5">
        <f t="shared" si="0"/>
        <v>0</v>
      </c>
    </row>
    <row r="12" spans="1:5" x14ac:dyDescent="0.25">
      <c r="A12" t="s">
        <v>71</v>
      </c>
      <c r="C12" s="5">
        <f t="shared" si="0"/>
        <v>0</v>
      </c>
    </row>
    <row r="13" spans="1:5" x14ac:dyDescent="0.25">
      <c r="A13" t="s">
        <v>72</v>
      </c>
      <c r="C13" s="5">
        <f t="shared" si="0"/>
        <v>0</v>
      </c>
    </row>
    <row r="14" spans="1:5" x14ac:dyDescent="0.25">
      <c r="A14" t="s">
        <v>73</v>
      </c>
      <c r="C14" s="5">
        <f t="shared" si="0"/>
        <v>0</v>
      </c>
    </row>
    <row r="15" spans="1:5" x14ac:dyDescent="0.25">
      <c r="A15" t="s">
        <v>74</v>
      </c>
      <c r="C15" s="5">
        <f t="shared" si="0"/>
        <v>0</v>
      </c>
    </row>
    <row r="16" spans="1:5" x14ac:dyDescent="0.25">
      <c r="A16" t="s">
        <v>75</v>
      </c>
      <c r="C16" s="5">
        <f t="shared" si="0"/>
        <v>0</v>
      </c>
    </row>
    <row r="17" spans="1:3" x14ac:dyDescent="0.25">
      <c r="C17" s="5">
        <f t="shared" si="0"/>
        <v>0</v>
      </c>
    </row>
    <row r="18" spans="1:3" x14ac:dyDescent="0.25">
      <c r="A18" t="s">
        <v>76</v>
      </c>
      <c r="C18" s="5">
        <f t="shared" si="0"/>
        <v>0</v>
      </c>
    </row>
    <row r="19" spans="1:3" x14ac:dyDescent="0.25">
      <c r="C19" s="5">
        <f t="shared" si="0"/>
        <v>0</v>
      </c>
    </row>
    <row r="20" spans="1:3" x14ac:dyDescent="0.25">
      <c r="A20" t="s">
        <v>77</v>
      </c>
      <c r="C20" s="5">
        <f t="shared" si="0"/>
        <v>0</v>
      </c>
    </row>
    <row r="21" spans="1:3" x14ac:dyDescent="0.25">
      <c r="A21" t="s">
        <v>78</v>
      </c>
      <c r="C21" s="5">
        <f t="shared" si="0"/>
        <v>0</v>
      </c>
    </row>
    <row r="22" spans="1:3" x14ac:dyDescent="0.25">
      <c r="A22" t="s">
        <v>79</v>
      </c>
      <c r="C22" s="5">
        <f t="shared" si="0"/>
        <v>0</v>
      </c>
    </row>
    <row r="23" spans="1:3" x14ac:dyDescent="0.25">
      <c r="A23" t="s">
        <v>80</v>
      </c>
      <c r="C23" s="5">
        <f t="shared" si="0"/>
        <v>0</v>
      </c>
    </row>
    <row r="24" spans="1:3" x14ac:dyDescent="0.25">
      <c r="A24" t="s">
        <v>81</v>
      </c>
      <c r="C24" s="5">
        <f t="shared" si="0"/>
        <v>0</v>
      </c>
    </row>
    <row r="25" spans="1:3" x14ac:dyDescent="0.25">
      <c r="C25" s="5">
        <f t="shared" si="0"/>
        <v>0</v>
      </c>
    </row>
    <row r="26" spans="1:3" x14ac:dyDescent="0.25">
      <c r="A26" t="s">
        <v>82</v>
      </c>
      <c r="C26" s="5">
        <f t="shared" si="0"/>
        <v>0</v>
      </c>
    </row>
    <row r="27" spans="1:3" x14ac:dyDescent="0.25">
      <c r="A27" t="s">
        <v>83</v>
      </c>
      <c r="C27" s="5">
        <f t="shared" si="0"/>
        <v>0</v>
      </c>
    </row>
    <row r="28" spans="1:3" x14ac:dyDescent="0.25">
      <c r="A28" t="s">
        <v>84</v>
      </c>
      <c r="C28" s="5">
        <f t="shared" si="0"/>
        <v>0</v>
      </c>
    </row>
    <row r="29" spans="1:3" x14ac:dyDescent="0.25">
      <c r="C29" s="5">
        <f t="shared" si="0"/>
        <v>0</v>
      </c>
    </row>
    <row r="30" spans="1:3" x14ac:dyDescent="0.25">
      <c r="A30" t="s">
        <v>182</v>
      </c>
      <c r="C30" s="5">
        <f t="shared" si="0"/>
        <v>0</v>
      </c>
    </row>
    <row r="31" spans="1:3" x14ac:dyDescent="0.25">
      <c r="A31" t="s">
        <v>85</v>
      </c>
      <c r="C31" s="5">
        <f t="shared" si="0"/>
        <v>0</v>
      </c>
    </row>
    <row r="32" spans="1:3" x14ac:dyDescent="0.25">
      <c r="A32" t="s">
        <v>86</v>
      </c>
      <c r="C32" s="5">
        <f t="shared" si="0"/>
        <v>0</v>
      </c>
    </row>
    <row r="33" spans="1:5" x14ac:dyDescent="0.25">
      <c r="A33" t="s">
        <v>87</v>
      </c>
      <c r="C33" s="5">
        <f t="shared" si="0"/>
        <v>0</v>
      </c>
    </row>
    <row r="34" spans="1:5" x14ac:dyDescent="0.25">
      <c r="A34" t="s">
        <v>88</v>
      </c>
      <c r="C34" s="5">
        <f t="shared" si="0"/>
        <v>0</v>
      </c>
    </row>
    <row r="35" spans="1:5" x14ac:dyDescent="0.25">
      <c r="A35" t="s">
        <v>89</v>
      </c>
      <c r="C35" s="5">
        <f t="shared" si="0"/>
        <v>0</v>
      </c>
    </row>
    <row r="36" spans="1:5" x14ac:dyDescent="0.25">
      <c r="C36" s="5">
        <f t="shared" si="0"/>
        <v>0</v>
      </c>
    </row>
    <row r="37" spans="1:5" x14ac:dyDescent="0.25">
      <c r="A37" t="s">
        <v>90</v>
      </c>
      <c r="C37" s="5">
        <f t="shared" si="0"/>
        <v>0</v>
      </c>
    </row>
    <row r="38" spans="1:5" x14ac:dyDescent="0.25">
      <c r="C38" s="5">
        <f t="shared" si="0"/>
        <v>0</v>
      </c>
    </row>
    <row r="39" spans="1:5" x14ac:dyDescent="0.25">
      <c r="A39" t="s">
        <v>91</v>
      </c>
      <c r="C39" s="5">
        <f t="shared" si="0"/>
        <v>0</v>
      </c>
    </row>
    <row r="40" spans="1:5" x14ac:dyDescent="0.25">
      <c r="A40" t="s">
        <v>92</v>
      </c>
      <c r="C40" s="5">
        <f t="shared" si="0"/>
        <v>0</v>
      </c>
    </row>
    <row r="41" spans="1:5" x14ac:dyDescent="0.25">
      <c r="A41" t="s">
        <v>93</v>
      </c>
      <c r="C41" s="5">
        <f t="shared" si="0"/>
        <v>0</v>
      </c>
    </row>
    <row r="42" spans="1:5" x14ac:dyDescent="0.25">
      <c r="C42" s="5">
        <f t="shared" si="0"/>
        <v>0</v>
      </c>
    </row>
    <row r="43" spans="1:5" x14ac:dyDescent="0.25">
      <c r="A43" t="s">
        <v>94</v>
      </c>
      <c r="C43" s="5">
        <f t="shared" si="0"/>
        <v>0</v>
      </c>
    </row>
    <row r="45" spans="1:5" ht="13" x14ac:dyDescent="0.3">
      <c r="A45" s="1" t="s">
        <v>97</v>
      </c>
      <c r="B45" s="9"/>
      <c r="C45" s="9">
        <f>SUM(C4:C44)</f>
        <v>0</v>
      </c>
      <c r="D45" s="9"/>
      <c r="E45" s="9"/>
    </row>
    <row r="47" spans="1:5" x14ac:dyDescent="0.25">
      <c r="B47" s="7" t="s">
        <v>171</v>
      </c>
    </row>
  </sheetData>
  <pageMargins left="0.75" right="0.75" top="1" bottom="1" header="0.5" footer="0.5"/>
  <pageSetup paperSize="9" orientation="portrait" horizontalDpi="300" verticalDpi="300" r:id="rId1"/>
  <headerFooter alignWithMargins="0">
    <oddHeader>&amp;LPersonal Finance Schedule</oddHeader>
    <oddFooter>&amp;L&amp;F; &amp;A&amp;Cp. &amp;P&amp;R&amp;F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2"/>
  <sheetViews>
    <sheetView showZeros="0" topLeftCell="A10" workbookViewId="0">
      <selection activeCell="A26" sqref="A26:IV26"/>
    </sheetView>
  </sheetViews>
  <sheetFormatPr defaultRowHeight="12.5" x14ac:dyDescent="0.25"/>
  <cols>
    <col min="1" max="1" width="23" bestFit="1" customWidth="1"/>
    <col min="2" max="5" width="11.7265625" customWidth="1"/>
  </cols>
  <sheetData>
    <row r="1" spans="1:5" ht="13" x14ac:dyDescent="0.3">
      <c r="A1" s="2" t="s">
        <v>115</v>
      </c>
    </row>
    <row r="2" spans="1:5" ht="13" x14ac:dyDescent="0.3">
      <c r="A2" s="2"/>
    </row>
    <row r="3" spans="1:5" x14ac:dyDescent="0.25">
      <c r="B3" s="4" t="s">
        <v>18</v>
      </c>
      <c r="C3" s="4" t="s">
        <v>19</v>
      </c>
      <c r="D3" s="4" t="s">
        <v>20</v>
      </c>
      <c r="E3" s="4" t="s">
        <v>21</v>
      </c>
    </row>
    <row r="4" spans="1:5" x14ac:dyDescent="0.25">
      <c r="A4" t="s">
        <v>98</v>
      </c>
      <c r="C4" s="5">
        <f>B4*52/12</f>
        <v>0</v>
      </c>
    </row>
    <row r="5" spans="1:5" x14ac:dyDescent="0.25">
      <c r="A5" t="s">
        <v>99</v>
      </c>
      <c r="C5" s="5">
        <f t="shared" ref="C5:C28" si="0">B5*52/12</f>
        <v>0</v>
      </c>
    </row>
    <row r="6" spans="1:5" x14ac:dyDescent="0.25">
      <c r="A6" t="s">
        <v>100</v>
      </c>
      <c r="C6" s="5">
        <f t="shared" si="0"/>
        <v>0</v>
      </c>
    </row>
    <row r="7" spans="1:5" x14ac:dyDescent="0.25">
      <c r="C7" s="5">
        <f t="shared" si="0"/>
        <v>0</v>
      </c>
    </row>
    <row r="8" spans="1:5" x14ac:dyDescent="0.25">
      <c r="A8" t="s">
        <v>101</v>
      </c>
      <c r="C8" s="5">
        <f t="shared" si="0"/>
        <v>0</v>
      </c>
    </row>
    <row r="9" spans="1:5" x14ac:dyDescent="0.25">
      <c r="A9" t="s">
        <v>102</v>
      </c>
      <c r="C9" s="5">
        <f t="shared" si="0"/>
        <v>0</v>
      </c>
    </row>
    <row r="10" spans="1:5" x14ac:dyDescent="0.25">
      <c r="A10" t="s">
        <v>103</v>
      </c>
      <c r="C10" s="5">
        <f t="shared" si="0"/>
        <v>0</v>
      </c>
    </row>
    <row r="11" spans="1:5" x14ac:dyDescent="0.25">
      <c r="C11" s="5">
        <f t="shared" si="0"/>
        <v>0</v>
      </c>
    </row>
    <row r="12" spans="1:5" x14ac:dyDescent="0.25">
      <c r="A12" t="s">
        <v>104</v>
      </c>
      <c r="C12" s="5">
        <f t="shared" si="0"/>
        <v>0</v>
      </c>
    </row>
    <row r="13" spans="1:5" x14ac:dyDescent="0.25">
      <c r="A13" t="s">
        <v>105</v>
      </c>
      <c r="C13" s="5">
        <f t="shared" si="0"/>
        <v>0</v>
      </c>
    </row>
    <row r="14" spans="1:5" x14ac:dyDescent="0.25">
      <c r="A14" t="s">
        <v>106</v>
      </c>
      <c r="C14" s="5">
        <f t="shared" si="0"/>
        <v>0</v>
      </c>
    </row>
    <row r="15" spans="1:5" x14ac:dyDescent="0.25">
      <c r="C15" s="5">
        <f t="shared" si="0"/>
        <v>0</v>
      </c>
    </row>
    <row r="16" spans="1:5" x14ac:dyDescent="0.25">
      <c r="A16" t="s">
        <v>107</v>
      </c>
      <c r="C16" s="5">
        <f t="shared" si="0"/>
        <v>0</v>
      </c>
    </row>
    <row r="17" spans="1:5" x14ac:dyDescent="0.25">
      <c r="C17" s="5">
        <f t="shared" si="0"/>
        <v>0</v>
      </c>
    </row>
    <row r="18" spans="1:5" x14ac:dyDescent="0.25">
      <c r="A18" t="s">
        <v>108</v>
      </c>
      <c r="C18" s="5">
        <f t="shared" si="0"/>
        <v>0</v>
      </c>
    </row>
    <row r="19" spans="1:5" x14ac:dyDescent="0.25">
      <c r="A19" t="s">
        <v>109</v>
      </c>
      <c r="C19" s="5">
        <f t="shared" si="0"/>
        <v>0</v>
      </c>
    </row>
    <row r="20" spans="1:5" x14ac:dyDescent="0.25">
      <c r="A20" t="s">
        <v>110</v>
      </c>
      <c r="C20" s="5">
        <f t="shared" si="0"/>
        <v>0</v>
      </c>
    </row>
    <row r="21" spans="1:5" x14ac:dyDescent="0.25">
      <c r="A21" t="s">
        <v>111</v>
      </c>
      <c r="C21" s="5">
        <f t="shared" si="0"/>
        <v>0</v>
      </c>
    </row>
    <row r="22" spans="1:5" x14ac:dyDescent="0.25">
      <c r="A22" t="s">
        <v>112</v>
      </c>
      <c r="C22" s="5">
        <f t="shared" si="0"/>
        <v>0</v>
      </c>
    </row>
    <row r="23" spans="1:5" x14ac:dyDescent="0.25">
      <c r="C23" s="5">
        <f t="shared" si="0"/>
        <v>0</v>
      </c>
    </row>
    <row r="24" spans="1:5" x14ac:dyDescent="0.25">
      <c r="A24" t="s">
        <v>177</v>
      </c>
      <c r="C24" s="5">
        <f t="shared" si="0"/>
        <v>0</v>
      </c>
    </row>
    <row r="25" spans="1:5" x14ac:dyDescent="0.25">
      <c r="A25" t="s">
        <v>178</v>
      </c>
      <c r="C25" s="5">
        <f t="shared" si="0"/>
        <v>0</v>
      </c>
    </row>
    <row r="26" spans="1:5" x14ac:dyDescent="0.25">
      <c r="C26" s="5"/>
    </row>
    <row r="27" spans="1:5" x14ac:dyDescent="0.25">
      <c r="A27" t="s">
        <v>113</v>
      </c>
      <c r="C27" s="5">
        <f t="shared" si="0"/>
        <v>0</v>
      </c>
    </row>
    <row r="28" spans="1:5" x14ac:dyDescent="0.25">
      <c r="A28" t="s">
        <v>113</v>
      </c>
      <c r="C28" s="5">
        <f t="shared" si="0"/>
        <v>0</v>
      </c>
    </row>
    <row r="30" spans="1:5" ht="13" x14ac:dyDescent="0.3">
      <c r="A30" s="1" t="s">
        <v>116</v>
      </c>
      <c r="B30" s="9">
        <f>SUM(B4:B29)</f>
        <v>0</v>
      </c>
      <c r="C30" s="9">
        <f>SUM(C4:C29)</f>
        <v>0</v>
      </c>
      <c r="D30" s="9">
        <f>SUM(D4:D29)</f>
        <v>0</v>
      </c>
      <c r="E30" s="9">
        <f>SUM(E4:E29)</f>
        <v>0</v>
      </c>
    </row>
    <row r="32" spans="1:5" x14ac:dyDescent="0.25">
      <c r="B32" s="7" t="s">
        <v>171</v>
      </c>
    </row>
  </sheetData>
  <pageMargins left="0.75" right="0.75" top="1" bottom="1" header="0.5" footer="0.5"/>
  <pageSetup paperSize="9" orientation="portrait" horizontalDpi="300" verticalDpi="300" r:id="rId1"/>
  <headerFooter alignWithMargins="0">
    <oddHeader>&amp;LPersonal Finance Schedule</oddHeader>
    <oddFooter>&amp;L&amp;F; &amp;A&amp;Cp. &amp;P&amp;R&amp;D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2"/>
  <sheetViews>
    <sheetView showZeros="0" workbookViewId="0">
      <selection activeCell="C15" sqref="C15"/>
    </sheetView>
  </sheetViews>
  <sheetFormatPr defaultRowHeight="12.5" x14ac:dyDescent="0.25"/>
  <cols>
    <col min="1" max="1" width="26.26953125" bestFit="1" customWidth="1"/>
    <col min="2" max="5" width="11.7265625" customWidth="1"/>
  </cols>
  <sheetData>
    <row r="1" spans="1:5" ht="13" x14ac:dyDescent="0.3">
      <c r="A1" s="2" t="s">
        <v>117</v>
      </c>
    </row>
    <row r="3" spans="1:5" x14ac:dyDescent="0.25">
      <c r="B3" s="4" t="s">
        <v>18</v>
      </c>
      <c r="C3" s="4" t="s">
        <v>19</v>
      </c>
      <c r="D3" s="4" t="s">
        <v>20</v>
      </c>
      <c r="E3" s="4" t="s">
        <v>21</v>
      </c>
    </row>
    <row r="4" spans="1:5" x14ac:dyDescent="0.25">
      <c r="B4" s="4"/>
      <c r="C4" s="4"/>
      <c r="D4" s="4"/>
      <c r="E4" s="4"/>
    </row>
    <row r="5" spans="1:5" ht="13" x14ac:dyDescent="0.3">
      <c r="A5" s="1" t="s">
        <v>39</v>
      </c>
      <c r="C5" s="5">
        <f>Income!$C$30</f>
        <v>0</v>
      </c>
    </row>
    <row r="6" spans="1:5" x14ac:dyDescent="0.25">
      <c r="C6" s="5"/>
    </row>
    <row r="7" spans="1:5" x14ac:dyDescent="0.25">
      <c r="A7" s="7" t="s">
        <v>118</v>
      </c>
      <c r="C7" s="5">
        <f>B7*52/12</f>
        <v>0</v>
      </c>
    </row>
    <row r="8" spans="1:5" x14ac:dyDescent="0.25">
      <c r="A8" t="s">
        <v>49</v>
      </c>
      <c r="C8" s="5">
        <f>Priorities!$C$18</f>
        <v>0</v>
      </c>
    </row>
    <row r="9" spans="1:5" x14ac:dyDescent="0.25">
      <c r="A9" t="s">
        <v>61</v>
      </c>
      <c r="C9" s="5">
        <f>Formal!$C$20</f>
        <v>0</v>
      </c>
    </row>
    <row r="10" spans="1:5" x14ac:dyDescent="0.25">
      <c r="A10" t="s">
        <v>95</v>
      </c>
      <c r="C10" s="5">
        <f>Everyday!$C$45</f>
        <v>0</v>
      </c>
    </row>
    <row r="11" spans="1:5" x14ac:dyDescent="0.25">
      <c r="A11" t="s">
        <v>114</v>
      </c>
      <c r="C11" s="5">
        <f>Occasional!$C$30</f>
        <v>0</v>
      </c>
    </row>
    <row r="12" spans="1:5" ht="13" x14ac:dyDescent="0.3">
      <c r="A12" s="1" t="s">
        <v>118</v>
      </c>
      <c r="B12" s="10">
        <f>SUM(B7:B11)</f>
        <v>0</v>
      </c>
      <c r="C12" s="9">
        <f>SUM(C8:C11)</f>
        <v>0</v>
      </c>
      <c r="D12" s="10">
        <f>SUM(D7:D11)</f>
        <v>0</v>
      </c>
      <c r="E12" s="10">
        <f>SUM(E7:E11)</f>
        <v>0</v>
      </c>
    </row>
    <row r="15" spans="1:5" ht="13" x14ac:dyDescent="0.3">
      <c r="A15" s="1" t="s">
        <v>119</v>
      </c>
      <c r="B15" s="10">
        <f>B5-B12</f>
        <v>0</v>
      </c>
      <c r="C15" s="9">
        <f>C5-C12</f>
        <v>0</v>
      </c>
      <c r="D15" s="10">
        <f>D5-D12</f>
        <v>0</v>
      </c>
      <c r="E15" s="10">
        <f>E5-E12</f>
        <v>0</v>
      </c>
    </row>
    <row r="18" spans="1:5" x14ac:dyDescent="0.25">
      <c r="C18" s="4" t="s">
        <v>167</v>
      </c>
      <c r="D18" s="4" t="s">
        <v>168</v>
      </c>
      <c r="E18" s="4" t="s">
        <v>3</v>
      </c>
    </row>
    <row r="20" spans="1:5" ht="13" x14ac:dyDescent="0.3">
      <c r="A20" s="1" t="str">
        <f>Secured!A17</f>
        <v>Total Secured Debts</v>
      </c>
      <c r="B20" s="11">
        <f>Secured!B17</f>
        <v>0</v>
      </c>
      <c r="C20" s="9">
        <f>Secured!C17</f>
        <v>0</v>
      </c>
      <c r="D20" s="9">
        <f>Secured!D17</f>
        <v>0</v>
      </c>
      <c r="E20" s="9">
        <f>Secured!E17</f>
        <v>0</v>
      </c>
    </row>
    <row r="21" spans="1:5" x14ac:dyDescent="0.25">
      <c r="B21" s="11"/>
      <c r="C21" s="5"/>
      <c r="D21" s="5"/>
      <c r="E21" s="5"/>
    </row>
    <row r="22" spans="1:5" ht="13" x14ac:dyDescent="0.3">
      <c r="A22" s="1" t="str">
        <f>Unsecured!A16</f>
        <v>Total Unsecured Debts</v>
      </c>
      <c r="B22" s="11">
        <f>Unsecured!B16</f>
        <v>0</v>
      </c>
      <c r="C22" s="9">
        <f>Unsecured!C16</f>
        <v>0</v>
      </c>
      <c r="D22" s="9">
        <f>Unsecured!D16</f>
        <v>0</v>
      </c>
      <c r="E22" s="9">
        <f>Unsecured!E16</f>
        <v>0</v>
      </c>
    </row>
  </sheetData>
  <pageMargins left="0.75" right="0.75" top="1" bottom="1" header="0.5" footer="0.5"/>
  <pageSetup paperSize="9" orientation="portrait" horizontalDpi="300" verticalDpi="300" r:id="rId1"/>
  <headerFooter alignWithMargins="0">
    <oddHeader>&amp;LPersonal Finance Schedule</oddHeader>
    <oddFooter>&amp;L&amp;F; &amp;A&amp;Cp. &amp;P&amp;R&amp;D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workbookViewId="0">
      <selection activeCell="D15" sqref="D15"/>
    </sheetView>
  </sheetViews>
  <sheetFormatPr defaultRowHeight="12.5" x14ac:dyDescent="0.25"/>
  <sheetData>
    <row r="1" spans="1:4" ht="13" x14ac:dyDescent="0.3">
      <c r="A1" s="2" t="s">
        <v>120</v>
      </c>
    </row>
    <row r="3" spans="1:4" x14ac:dyDescent="0.25">
      <c r="A3" t="s">
        <v>121</v>
      </c>
      <c r="D3" s="5"/>
    </row>
    <row r="4" spans="1:4" x14ac:dyDescent="0.25">
      <c r="D4" s="5"/>
    </row>
    <row r="5" spans="1:4" x14ac:dyDescent="0.25">
      <c r="A5" t="s">
        <v>122</v>
      </c>
      <c r="D5" s="5"/>
    </row>
    <row r="6" spans="1:4" x14ac:dyDescent="0.25">
      <c r="A6" t="s">
        <v>123</v>
      </c>
      <c r="D6" s="5"/>
    </row>
    <row r="7" spans="1:4" x14ac:dyDescent="0.25">
      <c r="A7" t="s">
        <v>124</v>
      </c>
      <c r="D7" s="5"/>
    </row>
    <row r="8" spans="1:4" x14ac:dyDescent="0.25">
      <c r="A8" t="s">
        <v>125</v>
      </c>
      <c r="D8" s="5"/>
    </row>
    <row r="9" spans="1:4" x14ac:dyDescent="0.25">
      <c r="D9" s="5"/>
    </row>
    <row r="10" spans="1:4" x14ac:dyDescent="0.25">
      <c r="A10" t="s">
        <v>126</v>
      </c>
      <c r="D10" s="5"/>
    </row>
    <row r="11" spans="1:4" x14ac:dyDescent="0.25">
      <c r="A11" t="s">
        <v>126</v>
      </c>
      <c r="D11" s="5"/>
    </row>
    <row r="12" spans="1:4" x14ac:dyDescent="0.25">
      <c r="A12" t="s">
        <v>126</v>
      </c>
      <c r="D12" s="5"/>
    </row>
    <row r="13" spans="1:4" x14ac:dyDescent="0.25">
      <c r="D13" s="5"/>
    </row>
    <row r="14" spans="1:4" x14ac:dyDescent="0.25">
      <c r="A14" t="s">
        <v>127</v>
      </c>
      <c r="D14" s="5"/>
    </row>
    <row r="15" spans="1:4" x14ac:dyDescent="0.25">
      <c r="A15" t="s">
        <v>127</v>
      </c>
      <c r="D15" s="5"/>
    </row>
    <row r="16" spans="1:4" x14ac:dyDescent="0.25">
      <c r="A16" t="s">
        <v>127</v>
      </c>
      <c r="D16" s="5"/>
    </row>
    <row r="17" spans="1:4" x14ac:dyDescent="0.25">
      <c r="D17" s="5"/>
    </row>
    <row r="18" spans="1:4" x14ac:dyDescent="0.25">
      <c r="A18" t="s">
        <v>113</v>
      </c>
      <c r="D18" s="5"/>
    </row>
    <row r="19" spans="1:4" x14ac:dyDescent="0.25">
      <c r="A19" t="s">
        <v>113</v>
      </c>
      <c r="D19" s="5"/>
    </row>
    <row r="20" spans="1:4" x14ac:dyDescent="0.25">
      <c r="A20" t="s">
        <v>113</v>
      </c>
      <c r="D20" s="5"/>
    </row>
    <row r="21" spans="1:4" x14ac:dyDescent="0.25">
      <c r="A21" t="s">
        <v>113</v>
      </c>
      <c r="D21" s="5"/>
    </row>
  </sheetData>
  <pageMargins left="0.75" right="0.75" top="1" bottom="1" header="0.5" footer="0.5"/>
  <pageSetup paperSize="9" orientation="portrait" horizontalDpi="300" verticalDpi="300" r:id="rId1"/>
  <headerFooter alignWithMargins="0">
    <oddHeader>&amp;LPersonal Finance Schedule</oddHeader>
    <oddFooter>&amp;L&amp;F; &amp;A&amp;Cp. &amp;P&amp;R&amp;D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2"/>
  <sheetViews>
    <sheetView showZeros="0" tabSelected="1" topLeftCell="A20" workbookViewId="0">
      <selection activeCell="C36" sqref="C36"/>
    </sheetView>
  </sheetViews>
  <sheetFormatPr defaultRowHeight="12.5" x14ac:dyDescent="0.25"/>
  <cols>
    <col min="1" max="1" width="21.54296875" customWidth="1"/>
    <col min="3" max="3" width="9.1796875" style="5" customWidth="1"/>
    <col min="5" max="5" width="15.1796875" customWidth="1"/>
  </cols>
  <sheetData>
    <row r="1" spans="1:9" ht="13" x14ac:dyDescent="0.3">
      <c r="A1" s="2" t="s">
        <v>146</v>
      </c>
      <c r="E1" t="s">
        <v>152</v>
      </c>
    </row>
    <row r="2" spans="1:9" x14ac:dyDescent="0.25">
      <c r="A2" t="s">
        <v>147</v>
      </c>
      <c r="E2" t="s">
        <v>151</v>
      </c>
    </row>
    <row r="3" spans="1:9" x14ac:dyDescent="0.25">
      <c r="A3" t="s">
        <v>148</v>
      </c>
      <c r="E3" t="s">
        <v>153</v>
      </c>
    </row>
    <row r="4" spans="1:9" x14ac:dyDescent="0.25">
      <c r="A4" t="s">
        <v>149</v>
      </c>
      <c r="E4" t="s">
        <v>150</v>
      </c>
    </row>
    <row r="6" spans="1:9" x14ac:dyDescent="0.25">
      <c r="C6" s="8" t="s">
        <v>130</v>
      </c>
      <c r="E6" s="7" t="s">
        <v>154</v>
      </c>
      <c r="G6" s="4" t="s">
        <v>3</v>
      </c>
      <c r="H6" s="4" t="s">
        <v>161</v>
      </c>
      <c r="I6" s="4" t="s">
        <v>162</v>
      </c>
    </row>
    <row r="7" spans="1:9" x14ac:dyDescent="0.25">
      <c r="A7" t="s">
        <v>128</v>
      </c>
      <c r="C7" s="5">
        <f>Income!$C$4</f>
        <v>0</v>
      </c>
      <c r="E7" t="s">
        <v>133</v>
      </c>
    </row>
    <row r="8" spans="1:9" x14ac:dyDescent="0.25">
      <c r="A8" t="s">
        <v>128</v>
      </c>
      <c r="C8" s="5">
        <f>Income!$C$5</f>
        <v>0</v>
      </c>
      <c r="E8" t="s">
        <v>134</v>
      </c>
    </row>
    <row r="9" spans="1:9" x14ac:dyDescent="0.25">
      <c r="A9" t="s">
        <v>129</v>
      </c>
      <c r="C9" s="5">
        <f>Income!$C$15</f>
        <v>0</v>
      </c>
      <c r="E9" t="s">
        <v>44</v>
      </c>
    </row>
    <row r="10" spans="1:9" x14ac:dyDescent="0.25">
      <c r="A10" t="s">
        <v>24</v>
      </c>
      <c r="C10" s="5">
        <f>Income!$C$7</f>
        <v>0</v>
      </c>
      <c r="E10" t="s">
        <v>45</v>
      </c>
    </row>
    <row r="11" spans="1:9" x14ac:dyDescent="0.25">
      <c r="A11" t="s">
        <v>165</v>
      </c>
      <c r="C11" s="5">
        <f>Income!$C$8+Income!C9+Income!C10+Income!C12+Income!C13+Income!C18+Income!C19</f>
        <v>0</v>
      </c>
      <c r="E11" t="s">
        <v>47</v>
      </c>
    </row>
    <row r="12" spans="1:9" x14ac:dyDescent="0.25">
      <c r="A12" t="s">
        <v>113</v>
      </c>
      <c r="C12" s="5">
        <f>Income!$C$21+Income!C22+Income!C24+Income!C25+Income!C27+Income!C28+Income!C17</f>
        <v>0</v>
      </c>
      <c r="E12" t="s">
        <v>46</v>
      </c>
    </row>
    <row r="13" spans="1:9" ht="13" x14ac:dyDescent="0.3">
      <c r="B13" s="1" t="s">
        <v>131</v>
      </c>
      <c r="C13" s="9">
        <f>SUM(C7:C12)</f>
        <v>0</v>
      </c>
      <c r="E13" t="s">
        <v>155</v>
      </c>
    </row>
    <row r="14" spans="1:9" x14ac:dyDescent="0.25">
      <c r="E14" t="s">
        <v>156</v>
      </c>
    </row>
    <row r="15" spans="1:9" ht="13" x14ac:dyDescent="0.3">
      <c r="A15" s="1" t="s">
        <v>132</v>
      </c>
      <c r="E15" t="s">
        <v>157</v>
      </c>
    </row>
    <row r="16" spans="1:9" x14ac:dyDescent="0.25">
      <c r="A16" t="s">
        <v>174</v>
      </c>
      <c r="C16" s="5">
        <f>Priorities!$C$4</f>
        <v>0</v>
      </c>
    </row>
    <row r="17" spans="1:9" x14ac:dyDescent="0.25">
      <c r="A17" t="s">
        <v>173</v>
      </c>
      <c r="C17" s="5">
        <f>Priorities!$C$7</f>
        <v>0</v>
      </c>
      <c r="E17" s="7" t="s">
        <v>158</v>
      </c>
      <c r="F17" s="4" t="s">
        <v>159</v>
      </c>
      <c r="G17" s="4" t="s">
        <v>160</v>
      </c>
      <c r="H17" s="4" t="s">
        <v>161</v>
      </c>
      <c r="I17" s="4" t="s">
        <v>162</v>
      </c>
    </row>
    <row r="18" spans="1:9" x14ac:dyDescent="0.25">
      <c r="A18" t="s">
        <v>164</v>
      </c>
      <c r="C18" s="5">
        <f>Priorities!$C$6</f>
        <v>0</v>
      </c>
      <c r="E18">
        <f>Secured!B7</f>
        <v>0</v>
      </c>
      <c r="G18" s="14">
        <f>Secured!C7</f>
        <v>0</v>
      </c>
      <c r="H18" s="5"/>
    </row>
    <row r="19" spans="1:9" x14ac:dyDescent="0.25">
      <c r="A19" t="s">
        <v>163</v>
      </c>
      <c r="C19" s="5">
        <f>Priorities!$C$5</f>
        <v>0</v>
      </c>
      <c r="E19">
        <f>Secured!B8</f>
        <v>0</v>
      </c>
      <c r="G19" s="14">
        <f>Secured!C8</f>
        <v>0</v>
      </c>
      <c r="H19" s="5"/>
    </row>
    <row r="20" spans="1:9" x14ac:dyDescent="0.25">
      <c r="A20" t="s">
        <v>55</v>
      </c>
      <c r="C20" s="5">
        <f>Formal!$C$8</f>
        <v>0</v>
      </c>
      <c r="E20">
        <f>Secured!B9</f>
        <v>0</v>
      </c>
      <c r="G20" s="14">
        <f>Secured!C9</f>
        <v>0</v>
      </c>
      <c r="H20" s="5"/>
    </row>
    <row r="21" spans="1:9" x14ac:dyDescent="0.25">
      <c r="A21" t="s">
        <v>135</v>
      </c>
      <c r="C21" s="5">
        <f>Formal!$C$6+Formal!$C$7</f>
        <v>0</v>
      </c>
      <c r="E21">
        <f>Secured!B10</f>
        <v>0</v>
      </c>
      <c r="G21" s="14">
        <f>Secured!C10</f>
        <v>0</v>
      </c>
      <c r="H21" s="5"/>
    </row>
    <row r="22" spans="1:9" x14ac:dyDescent="0.25">
      <c r="A22" t="s">
        <v>136</v>
      </c>
      <c r="C22" s="5">
        <f>Priorities!$C$16</f>
        <v>0</v>
      </c>
      <c r="E22">
        <f>Secured!B11</f>
        <v>0</v>
      </c>
      <c r="G22" s="14">
        <f>Secured!C11</f>
        <v>0</v>
      </c>
      <c r="H22" s="5"/>
    </row>
    <row r="23" spans="1:9" x14ac:dyDescent="0.25">
      <c r="A23" t="s">
        <v>44</v>
      </c>
      <c r="C23" s="5">
        <f>Priorities!$C$9</f>
        <v>0</v>
      </c>
      <c r="E23">
        <f>Secured!B12</f>
        <v>0</v>
      </c>
      <c r="G23" s="14">
        <f>Secured!C12</f>
        <v>0</v>
      </c>
      <c r="H23" s="5"/>
    </row>
    <row r="24" spans="1:9" x14ac:dyDescent="0.25">
      <c r="A24" t="s">
        <v>47</v>
      </c>
      <c r="C24" s="5">
        <f>Priorities!$C$13</f>
        <v>0</v>
      </c>
      <c r="E24">
        <f>Secured!B13</f>
        <v>0</v>
      </c>
      <c r="G24" s="14">
        <f>Secured!C13</f>
        <v>0</v>
      </c>
      <c r="H24" s="5"/>
    </row>
    <row r="25" spans="1:9" x14ac:dyDescent="0.25">
      <c r="A25" t="s">
        <v>46</v>
      </c>
      <c r="C25" s="5">
        <f>Priorities!$C$12</f>
        <v>0</v>
      </c>
      <c r="E25">
        <f>Secured!B14</f>
        <v>0</v>
      </c>
      <c r="G25" s="14">
        <f>Secured!C14</f>
        <v>0</v>
      </c>
      <c r="H25" s="5"/>
    </row>
    <row r="26" spans="1:9" x14ac:dyDescent="0.25">
      <c r="A26" t="s">
        <v>45</v>
      </c>
      <c r="C26" s="5">
        <f>Priorities!$C$10</f>
        <v>0</v>
      </c>
      <c r="E26">
        <f>Secured!B15</f>
        <v>0</v>
      </c>
      <c r="G26" s="14">
        <f>Secured!C15</f>
        <v>0</v>
      </c>
      <c r="H26" s="5"/>
    </row>
    <row r="27" spans="1:9" x14ac:dyDescent="0.25">
      <c r="A27" t="s">
        <v>57</v>
      </c>
      <c r="C27" s="5">
        <f>Formal!$C$12+Formal!$C$13</f>
        <v>0</v>
      </c>
      <c r="E27">
        <f>Unsecured!B6</f>
        <v>0</v>
      </c>
      <c r="G27" s="14">
        <f>Unsecured!C6</f>
        <v>0</v>
      </c>
      <c r="H27" s="5"/>
    </row>
    <row r="28" spans="1:9" x14ac:dyDescent="0.25">
      <c r="A28" t="s">
        <v>137</v>
      </c>
      <c r="C28" s="5">
        <f>Everyday!$C$4+Everyday!$C$5+Everyday!$C$6+Everyday!$C$7+Everyday!C20+Everyday!C21+Everyday!C22+Everyday!C23+Everyday!C24+Everyday!C26+Everyday!C27+Everyday!C39+Everyday!C40+Everyday!C43</f>
        <v>0</v>
      </c>
      <c r="E28">
        <f>Unsecured!B7</f>
        <v>0</v>
      </c>
      <c r="G28" s="14">
        <f>Unsecured!C7</f>
        <v>0</v>
      </c>
      <c r="H28" s="5"/>
    </row>
    <row r="29" spans="1:9" x14ac:dyDescent="0.25">
      <c r="A29" t="s">
        <v>138</v>
      </c>
      <c r="C29" s="5">
        <f>Everyday!$C$9+Everyday!$C$10+Everyday!$C$11+Everyday!$C$12+Everyday!$C$13+Everyday!$C$14+Everyday!$C$15+Everyday!$C$16</f>
        <v>0</v>
      </c>
      <c r="E29">
        <f>Unsecured!B8</f>
        <v>0</v>
      </c>
      <c r="G29" s="14">
        <f>Unsecured!C8</f>
        <v>0</v>
      </c>
      <c r="H29" s="5"/>
    </row>
    <row r="30" spans="1:9" x14ac:dyDescent="0.25">
      <c r="A30" t="s">
        <v>139</v>
      </c>
      <c r="C30" s="5">
        <f>Everyday!$C$18</f>
        <v>0</v>
      </c>
      <c r="E30">
        <f>Unsecured!B9</f>
        <v>0</v>
      </c>
      <c r="G30" s="14">
        <f>Unsecured!C9</f>
        <v>0</v>
      </c>
      <c r="H30" s="5"/>
    </row>
    <row r="31" spans="1:9" x14ac:dyDescent="0.25">
      <c r="A31" t="s">
        <v>140</v>
      </c>
      <c r="C31" s="5">
        <f>Formal!$C$15+Everyday!C30+Everyday!C31</f>
        <v>0</v>
      </c>
      <c r="E31">
        <f>Unsecured!B10</f>
        <v>0</v>
      </c>
      <c r="G31" s="14">
        <f>Unsecured!C10</f>
        <v>0</v>
      </c>
      <c r="H31" s="5"/>
    </row>
    <row r="32" spans="1:9" x14ac:dyDescent="0.25">
      <c r="A32" t="s">
        <v>141</v>
      </c>
      <c r="C32" s="5">
        <f>Formal!$C$9+Formal!$C$10+Everyday!C28+Occasional!C19+Occasional!C20+Occasional!C21</f>
        <v>0</v>
      </c>
      <c r="E32">
        <f>Unsecured!B11</f>
        <v>0</v>
      </c>
      <c r="G32" s="14">
        <f>Unsecured!C11</f>
        <v>0</v>
      </c>
      <c r="H32" s="5"/>
    </row>
    <row r="33" spans="1:8" x14ac:dyDescent="0.25">
      <c r="A33" t="s">
        <v>142</v>
      </c>
      <c r="C33" s="5">
        <f>Occasional!$C$12+Occasional!C13+Occasional!C14</f>
        <v>0</v>
      </c>
      <c r="E33">
        <f>Unsecured!B12</f>
        <v>0</v>
      </c>
      <c r="G33" s="14">
        <f>Unsecured!C12</f>
        <v>0</v>
      </c>
      <c r="H33" s="5"/>
    </row>
    <row r="34" spans="1:8" x14ac:dyDescent="0.25">
      <c r="A34" t="s">
        <v>143</v>
      </c>
      <c r="C34" s="5">
        <f>Occasional!$C$22</f>
        <v>0</v>
      </c>
      <c r="E34">
        <f>Unsecured!B13</f>
        <v>0</v>
      </c>
      <c r="G34" s="14">
        <f>Unsecured!C13</f>
        <v>0</v>
      </c>
      <c r="H34" s="5"/>
    </row>
    <row r="35" spans="1:8" x14ac:dyDescent="0.25">
      <c r="A35" t="s">
        <v>144</v>
      </c>
      <c r="C35" s="5">
        <f>Everyday!$C$32+Everyday!C33+Everyday!C34+Everyday!C35+Everyday!C41</f>
        <v>0</v>
      </c>
      <c r="E35">
        <f>Unsecured!B14</f>
        <v>0</v>
      </c>
      <c r="G35" s="14">
        <f>Unsecured!C14</f>
        <v>0</v>
      </c>
      <c r="H35" s="5"/>
    </row>
    <row r="36" spans="1:8" x14ac:dyDescent="0.25">
      <c r="A36" t="s">
        <v>145</v>
      </c>
      <c r="C36" s="5">
        <f>Occasional!$C$24+Occasional!C27+Occasional!C28</f>
        <v>0</v>
      </c>
      <c r="D36" s="7" t="s">
        <v>131</v>
      </c>
      <c r="G36" s="13">
        <f>SUM(G18:G35)</f>
        <v>0</v>
      </c>
      <c r="H36" s="5"/>
    </row>
    <row r="37" spans="1:8" x14ac:dyDescent="0.25">
      <c r="A37" t="s">
        <v>179</v>
      </c>
      <c r="C37" s="5">
        <f>Formal!$C$16+Formal!$C$17</f>
        <v>0</v>
      </c>
    </row>
    <row r="38" spans="1:8" x14ac:dyDescent="0.25">
      <c r="A38" t="s">
        <v>180</v>
      </c>
      <c r="C38" s="5">
        <f>Occasional!$C$4+Occasional!C5+Occasional!C6+Occasional!C8+Occasional!C16+Occasional!C10+Occasional!C9+Occasional!C18+Occasional!C24+Occasional!C25</f>
        <v>0</v>
      </c>
    </row>
    <row r="39" spans="1:8" x14ac:dyDescent="0.25">
      <c r="A39" t="s">
        <v>181</v>
      </c>
      <c r="C39" s="5">
        <f>Everyday!$C$37</f>
        <v>0</v>
      </c>
    </row>
    <row r="40" spans="1:8" x14ac:dyDescent="0.25">
      <c r="B40" t="s">
        <v>131</v>
      </c>
      <c r="C40" s="9">
        <f>SUM(C16:C39)</f>
        <v>0</v>
      </c>
    </row>
    <row r="42" spans="1:8" x14ac:dyDescent="0.25">
      <c r="A42" t="s">
        <v>166</v>
      </c>
      <c r="C42" s="9">
        <f>C13-C40</f>
        <v>0</v>
      </c>
    </row>
  </sheetData>
  <pageMargins left="0.75" right="0.75" top="1" bottom="1" header="0.5" footer="0.5"/>
  <pageSetup paperSize="9" scale="87" orientation="portrait" horizontalDpi="200" verticalDpi="200" r:id="rId1"/>
  <headerFooter alignWithMargins="0">
    <oddHeader>&amp;LPersonal Finance Schedule</oddHeader>
    <oddFooter>&amp;L&amp;F; &amp;A&amp;Cp. &amp;P&amp;R&amp;D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2"/>
  <sheetViews>
    <sheetView showZeros="0" topLeftCell="A22" workbookViewId="0">
      <selection activeCell="C38" sqref="C38"/>
    </sheetView>
  </sheetViews>
  <sheetFormatPr defaultRowHeight="12.5" x14ac:dyDescent="0.25"/>
  <cols>
    <col min="1" max="1" width="21.54296875" bestFit="1" customWidth="1"/>
    <col min="3" max="3" width="9.1796875" style="5" customWidth="1"/>
    <col min="5" max="5" width="15.1796875" bestFit="1" customWidth="1"/>
  </cols>
  <sheetData>
    <row r="1" spans="1:9" ht="13" x14ac:dyDescent="0.3">
      <c r="A1" s="2" t="s">
        <v>169</v>
      </c>
      <c r="E1" t="s">
        <v>152</v>
      </c>
    </row>
    <row r="2" spans="1:9" x14ac:dyDescent="0.25">
      <c r="A2" t="s">
        <v>147</v>
      </c>
      <c r="E2" t="s">
        <v>151</v>
      </c>
    </row>
    <row r="3" spans="1:9" x14ac:dyDescent="0.25">
      <c r="A3" t="s">
        <v>148</v>
      </c>
      <c r="E3" t="s">
        <v>153</v>
      </c>
    </row>
    <row r="4" spans="1:9" x14ac:dyDescent="0.25">
      <c r="A4" t="s">
        <v>149</v>
      </c>
      <c r="E4" t="s">
        <v>150</v>
      </c>
    </row>
    <row r="6" spans="1:9" x14ac:dyDescent="0.25">
      <c r="C6" s="8" t="s">
        <v>130</v>
      </c>
      <c r="E6" s="7" t="s">
        <v>154</v>
      </c>
      <c r="G6" s="4" t="s">
        <v>3</v>
      </c>
      <c r="H6" s="4" t="s">
        <v>161</v>
      </c>
      <c r="I6" s="4" t="s">
        <v>162</v>
      </c>
    </row>
    <row r="7" spans="1:9" x14ac:dyDescent="0.25">
      <c r="A7" t="s">
        <v>128</v>
      </c>
      <c r="C7" s="5">
        <f>Income!$E$4</f>
        <v>0</v>
      </c>
      <c r="E7" t="s">
        <v>133</v>
      </c>
    </row>
    <row r="8" spans="1:9" x14ac:dyDescent="0.25">
      <c r="A8" t="s">
        <v>128</v>
      </c>
      <c r="C8" s="5">
        <f>Income!$E$5</f>
        <v>0</v>
      </c>
      <c r="E8" t="s">
        <v>134</v>
      </c>
    </row>
    <row r="9" spans="1:9" x14ac:dyDescent="0.25">
      <c r="A9" t="s">
        <v>129</v>
      </c>
      <c r="C9" s="5">
        <f>Income!$E$15</f>
        <v>0</v>
      </c>
      <c r="E9" t="s">
        <v>44</v>
      </c>
    </row>
    <row r="10" spans="1:9" x14ac:dyDescent="0.25">
      <c r="A10" t="s">
        <v>24</v>
      </c>
      <c r="C10" s="5">
        <f>Income!$E$7</f>
        <v>0</v>
      </c>
      <c r="E10" t="s">
        <v>45</v>
      </c>
    </row>
    <row r="11" spans="1:9" x14ac:dyDescent="0.25">
      <c r="A11" t="s">
        <v>165</v>
      </c>
      <c r="C11" s="5">
        <f>Income!$E$8+Income!E9+Income!E10+Income!E12+Income!E13+Income!E18+Income!E19</f>
        <v>0</v>
      </c>
      <c r="E11" t="s">
        <v>47</v>
      </c>
    </row>
    <row r="12" spans="1:9" x14ac:dyDescent="0.25">
      <c r="A12" t="s">
        <v>113</v>
      </c>
      <c r="C12" s="5">
        <f>Income!$E$21+Income!E22+Income!E24+Income!E25+Income!E27+Income!E28</f>
        <v>0</v>
      </c>
      <c r="E12" t="s">
        <v>46</v>
      </c>
    </row>
    <row r="13" spans="1:9" ht="13" x14ac:dyDescent="0.3">
      <c r="B13" s="1" t="s">
        <v>131</v>
      </c>
      <c r="C13" s="9">
        <f>SUM(C7:C12)</f>
        <v>0</v>
      </c>
      <c r="E13" t="s">
        <v>155</v>
      </c>
    </row>
    <row r="14" spans="1:9" x14ac:dyDescent="0.25">
      <c r="E14" t="s">
        <v>156</v>
      </c>
    </row>
    <row r="15" spans="1:9" ht="13" x14ac:dyDescent="0.3">
      <c r="A15" s="1" t="s">
        <v>132</v>
      </c>
      <c r="E15" t="s">
        <v>157</v>
      </c>
    </row>
    <row r="16" spans="1:9" x14ac:dyDescent="0.25">
      <c r="A16" t="s">
        <v>133</v>
      </c>
      <c r="C16" s="5">
        <f>Priorities!$E$4</f>
        <v>0</v>
      </c>
    </row>
    <row r="17" spans="1:9" x14ac:dyDescent="0.25">
      <c r="A17" t="s">
        <v>134</v>
      </c>
      <c r="C17" s="5">
        <f>Priorities!$E$7</f>
        <v>0</v>
      </c>
      <c r="E17" s="7" t="s">
        <v>158</v>
      </c>
      <c r="F17" s="4" t="s">
        <v>159</v>
      </c>
      <c r="G17" s="4" t="s">
        <v>160</v>
      </c>
      <c r="H17" s="4" t="s">
        <v>161</v>
      </c>
      <c r="I17" s="4" t="s">
        <v>162</v>
      </c>
    </row>
    <row r="18" spans="1:9" x14ac:dyDescent="0.25">
      <c r="A18" t="s">
        <v>164</v>
      </c>
      <c r="C18" s="5">
        <f>Priorities!$E$6</f>
        <v>0</v>
      </c>
      <c r="E18">
        <f>Secured!B7</f>
        <v>0</v>
      </c>
      <c r="G18" s="14">
        <f>Secured!E7</f>
        <v>0</v>
      </c>
      <c r="H18" s="5"/>
    </row>
    <row r="19" spans="1:9" x14ac:dyDescent="0.25">
      <c r="A19" t="s">
        <v>163</v>
      </c>
      <c r="C19" s="5">
        <f>Priorities!$E$5</f>
        <v>0</v>
      </c>
      <c r="E19">
        <f>Secured!B8</f>
        <v>0</v>
      </c>
      <c r="G19" s="14">
        <f>Secured!E8</f>
        <v>0</v>
      </c>
      <c r="H19" s="5"/>
    </row>
    <row r="20" spans="1:9" x14ac:dyDescent="0.25">
      <c r="A20" t="s">
        <v>55</v>
      </c>
      <c r="C20" s="5">
        <f>Formal!$E$8</f>
        <v>0</v>
      </c>
      <c r="E20">
        <f>Secured!B9</f>
        <v>0</v>
      </c>
      <c r="G20" s="14">
        <f>Secured!E9</f>
        <v>0</v>
      </c>
      <c r="H20" s="5"/>
    </row>
    <row r="21" spans="1:9" x14ac:dyDescent="0.25">
      <c r="A21" t="s">
        <v>135</v>
      </c>
      <c r="C21" s="5">
        <f>Formal!$E$6+Formal!$E$7</f>
        <v>0</v>
      </c>
      <c r="E21">
        <f>Secured!B10</f>
        <v>0</v>
      </c>
      <c r="G21" s="14">
        <f>Secured!E10</f>
        <v>0</v>
      </c>
      <c r="H21" s="5"/>
    </row>
    <row r="22" spans="1:9" x14ac:dyDescent="0.25">
      <c r="A22" t="s">
        <v>136</v>
      </c>
      <c r="C22" s="5">
        <f>Priorities!$E$16</f>
        <v>0</v>
      </c>
      <c r="E22">
        <f>Secured!B11</f>
        <v>0</v>
      </c>
      <c r="G22" s="14">
        <f>Secured!E11</f>
        <v>0</v>
      </c>
      <c r="H22" s="5"/>
    </row>
    <row r="23" spans="1:9" x14ac:dyDescent="0.25">
      <c r="A23" t="s">
        <v>44</v>
      </c>
      <c r="C23" s="5">
        <f>Priorities!$E$9</f>
        <v>0</v>
      </c>
      <c r="E23">
        <f>Secured!B12</f>
        <v>0</v>
      </c>
      <c r="G23" s="14">
        <f>Secured!E12</f>
        <v>0</v>
      </c>
      <c r="H23" s="5"/>
    </row>
    <row r="24" spans="1:9" x14ac:dyDescent="0.25">
      <c r="A24" t="s">
        <v>47</v>
      </c>
      <c r="C24" s="5">
        <f>Priorities!$E$13</f>
        <v>0</v>
      </c>
      <c r="E24">
        <f>Secured!B13</f>
        <v>0</v>
      </c>
      <c r="G24" s="14">
        <f>Secured!E13</f>
        <v>0</v>
      </c>
      <c r="H24" s="5"/>
    </row>
    <row r="25" spans="1:9" x14ac:dyDescent="0.25">
      <c r="A25" t="s">
        <v>46</v>
      </c>
      <c r="C25" s="5">
        <f>Priorities!$E$12</f>
        <v>0</v>
      </c>
      <c r="E25">
        <f>Secured!B14</f>
        <v>0</v>
      </c>
      <c r="G25" s="14">
        <f>Secured!E14</f>
        <v>0</v>
      </c>
      <c r="H25" s="5"/>
    </row>
    <row r="26" spans="1:9" x14ac:dyDescent="0.25">
      <c r="A26" t="s">
        <v>45</v>
      </c>
      <c r="C26" s="5">
        <f>Priorities!$E$10</f>
        <v>0</v>
      </c>
      <c r="E26">
        <f>Secured!B15</f>
        <v>0</v>
      </c>
      <c r="G26" s="14">
        <f>Secured!E15</f>
        <v>0</v>
      </c>
      <c r="H26" s="5"/>
    </row>
    <row r="27" spans="1:9" x14ac:dyDescent="0.25">
      <c r="A27" t="s">
        <v>57</v>
      </c>
      <c r="C27" s="5">
        <f>Formal!$E$12++Formal!$E$13</f>
        <v>0</v>
      </c>
      <c r="E27">
        <f>Unsecured!B6</f>
        <v>0</v>
      </c>
      <c r="G27" s="14">
        <f>Unsecured!E6</f>
        <v>0</v>
      </c>
      <c r="H27" s="5"/>
    </row>
    <row r="28" spans="1:9" x14ac:dyDescent="0.25">
      <c r="A28" t="s">
        <v>137</v>
      </c>
      <c r="C28" s="5">
        <f>Everyday!$E$4+Everyday!$E$5+Everyday!$E$6+Everyday!$E$7+Everyday!E20+Everyday!E21+Everyday!E22+Everyday!E23+Everyday!E24+Everyday!E26+Everyday!E27+Everyday!E39+Everyday!E40+Everyday!E43</f>
        <v>0</v>
      </c>
      <c r="E28">
        <f>Unsecured!B7</f>
        <v>0</v>
      </c>
      <c r="G28" s="14">
        <f>Unsecured!E7</f>
        <v>0</v>
      </c>
      <c r="H28" s="5"/>
    </row>
    <row r="29" spans="1:9" x14ac:dyDescent="0.25">
      <c r="A29" t="s">
        <v>138</v>
      </c>
      <c r="C29" s="5">
        <f>Everyday!$E$9+Everyday!$E$10+Everyday!$E$11+Everyday!$E$12+Everyday!$E$13+Everyday!$E$14+Everyday!$E$15+Everyday!$E$16</f>
        <v>0</v>
      </c>
      <c r="E29">
        <f>Unsecured!B8</f>
        <v>0</v>
      </c>
      <c r="G29" s="14">
        <f>Unsecured!E8</f>
        <v>0</v>
      </c>
      <c r="H29" s="5"/>
    </row>
    <row r="30" spans="1:9" x14ac:dyDescent="0.25">
      <c r="A30" t="s">
        <v>139</v>
      </c>
      <c r="C30" s="5">
        <f>Everyday!$E$18</f>
        <v>0</v>
      </c>
      <c r="E30">
        <f>Unsecured!B9</f>
        <v>0</v>
      </c>
      <c r="G30" s="14">
        <f>Unsecured!E9</f>
        <v>0</v>
      </c>
      <c r="H30" s="5"/>
    </row>
    <row r="31" spans="1:9" x14ac:dyDescent="0.25">
      <c r="A31" t="s">
        <v>140</v>
      </c>
      <c r="C31" s="5">
        <f>Formal!$E$15+Everyday!E30+Everyday!E31</f>
        <v>0</v>
      </c>
      <c r="E31">
        <f>Unsecured!B10</f>
        <v>0</v>
      </c>
      <c r="G31" s="14">
        <f>Unsecured!E10</f>
        <v>0</v>
      </c>
      <c r="H31" s="5"/>
    </row>
    <row r="32" spans="1:9" x14ac:dyDescent="0.25">
      <c r="A32" t="s">
        <v>141</v>
      </c>
      <c r="C32" s="5">
        <f>Formal!$E$9+Formal!$C$10+Everyday!E28+Occasional!E19+Occasional!EE20+Occasional!E21</f>
        <v>0</v>
      </c>
      <c r="E32">
        <f>Unsecured!B11</f>
        <v>0</v>
      </c>
      <c r="G32" s="14">
        <f>Unsecured!E11</f>
        <v>0</v>
      </c>
      <c r="H32" s="5"/>
    </row>
    <row r="33" spans="1:8" x14ac:dyDescent="0.25">
      <c r="A33" t="s">
        <v>142</v>
      </c>
      <c r="C33" s="5">
        <f>Occasional!$E$12+Occasional!E13+Occasional!E14</f>
        <v>0</v>
      </c>
      <c r="E33">
        <f>Unsecured!B12</f>
        <v>0</v>
      </c>
      <c r="G33" s="14">
        <f>Unsecured!E12</f>
        <v>0</v>
      </c>
      <c r="H33" s="5"/>
    </row>
    <row r="34" spans="1:8" x14ac:dyDescent="0.25">
      <c r="A34" t="s">
        <v>143</v>
      </c>
      <c r="C34" s="5">
        <f>Occasional!$E$22</f>
        <v>0</v>
      </c>
      <c r="E34">
        <f>Unsecured!B13</f>
        <v>0</v>
      </c>
      <c r="G34" s="14">
        <f>Unsecured!E13</f>
        <v>0</v>
      </c>
      <c r="H34" s="5"/>
    </row>
    <row r="35" spans="1:8" x14ac:dyDescent="0.25">
      <c r="A35" t="s">
        <v>144</v>
      </c>
      <c r="C35" s="5">
        <f>Everyday!$E$32+Everyday!E33+Everyday!E34+Everyday!E35+Everyday!E41</f>
        <v>0</v>
      </c>
      <c r="E35">
        <f>Unsecured!B14</f>
        <v>0</v>
      </c>
      <c r="G35" s="14">
        <f>Unsecured!E14</f>
        <v>0</v>
      </c>
      <c r="H35" s="5"/>
    </row>
    <row r="36" spans="1:8" x14ac:dyDescent="0.25">
      <c r="A36" t="s">
        <v>145</v>
      </c>
      <c r="C36" s="5">
        <f>Occasional!$E$24+Occasional!E25+Occasional!E27+Occasional!E28</f>
        <v>0</v>
      </c>
      <c r="D36" s="7" t="s">
        <v>131</v>
      </c>
      <c r="G36" s="13">
        <f>SUM(G18:G35)</f>
        <v>0</v>
      </c>
      <c r="H36" s="5"/>
    </row>
    <row r="37" spans="1:8" x14ac:dyDescent="0.25">
      <c r="A37" t="s">
        <v>179</v>
      </c>
      <c r="C37" s="5">
        <f>Formal!$E$16+Formal!$E$17</f>
        <v>0</v>
      </c>
    </row>
    <row r="38" spans="1:8" x14ac:dyDescent="0.25">
      <c r="A38" t="s">
        <v>180</v>
      </c>
      <c r="C38" s="5">
        <f>Occasional!$E$4+Occasional!E5+Occasional!E6+Occasional!E8+Occasional!E16+Occasional!E10+Occasional!E9+Occasional!E18+Occasional!E24+Occasional!E25</f>
        <v>0</v>
      </c>
    </row>
    <row r="39" spans="1:8" x14ac:dyDescent="0.25">
      <c r="A39" t="s">
        <v>181</v>
      </c>
      <c r="C39" s="5">
        <f>Everyday!$E$37</f>
        <v>0</v>
      </c>
    </row>
    <row r="40" spans="1:8" x14ac:dyDescent="0.25">
      <c r="B40" t="s">
        <v>131</v>
      </c>
      <c r="C40" s="9">
        <f>SUM(C16:C39)</f>
        <v>0</v>
      </c>
    </row>
    <row r="42" spans="1:8" x14ac:dyDescent="0.25">
      <c r="A42" t="s">
        <v>166</v>
      </c>
      <c r="C42" s="9">
        <f>C13-C40</f>
        <v>0</v>
      </c>
    </row>
  </sheetData>
  <pageMargins left="0.75" right="0.75" top="1" bottom="1" header="0.5" footer="0.5"/>
  <pageSetup paperSize="9" scale="87" orientation="portrait" horizontalDpi="200" verticalDpi="200" r:id="rId1"/>
  <headerFooter alignWithMargins="0">
    <oddHeader>&amp;LPersonal Finance Schedule</oddHeader>
    <oddFooter>&amp;L&amp;F; &amp;A&amp;Cp.&amp;P&amp;R&amp;D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Secured</vt:lpstr>
      <vt:lpstr>Unsecured</vt:lpstr>
      <vt:lpstr>Income</vt:lpstr>
      <vt:lpstr>Priorities</vt:lpstr>
      <vt:lpstr>Formal</vt:lpstr>
      <vt:lpstr>Everyday</vt:lpstr>
      <vt:lpstr>Occasional</vt:lpstr>
      <vt:lpstr>Summary</vt:lpstr>
      <vt:lpstr>Capital</vt:lpstr>
      <vt:lpstr>Financial Statement -1</vt:lpstr>
      <vt:lpstr>Financial Statement - 2</vt:lpstr>
    </vt:vector>
  </TitlesOfParts>
  <Company>David Mapes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Mapes</dc:creator>
  <cp:lastModifiedBy>Carina Negreanu</cp:lastModifiedBy>
  <cp:lastPrinted>2001-06-01T11:25:02Z</cp:lastPrinted>
  <dcterms:created xsi:type="dcterms:W3CDTF">1999-02-03T17:40:49Z</dcterms:created>
  <dcterms:modified xsi:type="dcterms:W3CDTF">2020-01-27T11:44:40Z</dcterms:modified>
</cp:coreProperties>
</file>