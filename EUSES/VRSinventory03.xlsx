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BA452E-FD73-4479-B4D6-143F14B999D0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G6" i="1"/>
  <c r="F6" i="1"/>
  <c r="E6" i="1"/>
  <c r="D6" i="1"/>
  <c r="D7" i="1" s="1"/>
  <c r="C6" i="1"/>
  <c r="C7" i="1" s="1"/>
  <c r="L19" i="1"/>
  <c r="B19" i="1"/>
  <c r="G20" i="1" s="1"/>
  <c r="L20" i="1"/>
  <c r="K19" i="1"/>
  <c r="K20" i="1" s="1"/>
  <c r="J19" i="1"/>
  <c r="J20" i="1"/>
  <c r="I19" i="1"/>
  <c r="I20" i="1"/>
  <c r="H19" i="1"/>
  <c r="H20" i="1"/>
  <c r="G19" i="1"/>
  <c r="F19" i="1"/>
  <c r="E19" i="1"/>
  <c r="E20" i="1" s="1"/>
  <c r="D19" i="1"/>
  <c r="D20" i="1" s="1"/>
  <c r="C19" i="1"/>
  <c r="M19" i="1" s="1"/>
  <c r="L10" i="1"/>
  <c r="L21" i="1" s="1"/>
  <c r="B10" i="1"/>
  <c r="F11" i="1" s="1"/>
  <c r="L11" i="1"/>
  <c r="K10" i="1"/>
  <c r="K21" i="1" s="1"/>
  <c r="K11" i="1"/>
  <c r="J10" i="1"/>
  <c r="J21" i="1" s="1"/>
  <c r="I10" i="1"/>
  <c r="I21" i="1" s="1"/>
  <c r="H10" i="1"/>
  <c r="H11" i="1" s="1"/>
  <c r="G10" i="1"/>
  <c r="G11" i="1" s="1"/>
  <c r="F10" i="1"/>
  <c r="E10" i="1"/>
  <c r="D10" i="1"/>
  <c r="C10" i="1"/>
  <c r="B6" i="1"/>
  <c r="B21" i="1" s="1"/>
  <c r="G22" i="1" s="1"/>
  <c r="L7" i="1"/>
  <c r="K7" i="1"/>
  <c r="J7" i="1"/>
  <c r="I7" i="1"/>
  <c r="H7" i="1"/>
  <c r="G7" i="1"/>
  <c r="F7" i="1"/>
  <c r="E7" i="1"/>
  <c r="G21" i="1"/>
  <c r="F21" i="1"/>
  <c r="E21" i="1"/>
  <c r="D21" i="1"/>
  <c r="M18" i="1"/>
  <c r="M17" i="1"/>
  <c r="M16" i="1"/>
  <c r="M15" i="1"/>
  <c r="M14" i="1"/>
  <c r="M13" i="1"/>
  <c r="M12" i="1"/>
  <c r="M10" i="1"/>
  <c r="M9" i="1"/>
  <c r="M8" i="1"/>
  <c r="M6" i="1"/>
  <c r="M5" i="1"/>
  <c r="M4" i="1"/>
  <c r="L2" i="1"/>
  <c r="I22" i="1" l="1"/>
  <c r="D22" i="1"/>
  <c r="J22" i="1"/>
  <c r="E22" i="1"/>
  <c r="F22" i="1"/>
  <c r="K22" i="1"/>
  <c r="L22" i="1"/>
  <c r="I11" i="1"/>
  <c r="J11" i="1"/>
  <c r="H21" i="1"/>
  <c r="H22" i="1" s="1"/>
  <c r="C11" i="1"/>
  <c r="C20" i="1"/>
  <c r="D11" i="1"/>
  <c r="E11" i="1"/>
  <c r="F20" i="1"/>
  <c r="C21" i="1"/>
  <c r="C22" i="1" l="1"/>
  <c r="M21" i="1"/>
</calcChain>
</file>

<file path=xl/sharedStrings.xml><?xml version="1.0" encoding="utf-8"?>
<sst xmlns="http://schemas.openxmlformats.org/spreadsheetml/2006/main" count="29" uniqueCount="29">
  <si>
    <t>SUBTOTAL ACADEMIC</t>
  </si>
  <si>
    <t>SUBTOTAL PUBLIC</t>
  </si>
  <si>
    <t>SUBTOTAL SPECIAL</t>
  </si>
  <si>
    <t>LIBRARY TYPE</t>
  </si>
  <si>
    <t>WALK-IN</t>
  </si>
  <si>
    <t>PHONE</t>
  </si>
  <si>
    <t>800 NUMBER</t>
  </si>
  <si>
    <t>EMAIL</t>
  </si>
  <si>
    <t>ONLINE FORM</t>
  </si>
  <si>
    <t>INTERNET</t>
  </si>
  <si>
    <t>WEB PAGE</t>
  </si>
  <si>
    <t>answer?</t>
  </si>
  <si>
    <t>REAL-TIME*</t>
  </si>
  <si>
    <t>STATEWIDE VIRTUAL REFERENCE PROJECT:  ELECTRONIC REFERENCE INVENTORY / November 2002</t>
  </si>
  <si>
    <t>#</t>
  </si>
  <si>
    <t>2-YEAR COLLEGE</t>
  </si>
  <si>
    <t>4-YEAR COLLEGE/UNIV</t>
  </si>
  <si>
    <t>PUBLIC--OVER 5000</t>
  </si>
  <si>
    <t>PUBLIC--UNDER 5000</t>
  </si>
  <si>
    <t># Replies</t>
  </si>
  <si>
    <t>TRIBAL</t>
  </si>
  <si>
    <t>MEDICAL</t>
  </si>
  <si>
    <t>COUNTY LAW</t>
  </si>
  <si>
    <t>GOV'T AGENCY</t>
  </si>
  <si>
    <t>FEDERAL</t>
  </si>
  <si>
    <t>NEWSPAPER</t>
  </si>
  <si>
    <t>OTHER SPECIAL</t>
  </si>
  <si>
    <t>GRAND 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</si>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</sst>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7" fontId="2" fillId="0" borderId="0" xfId="0" applyNumberFormat="1" applyFont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2" fillId="0" borderId="0" xfId="0" applyFont="1" applyBorder="1"/>
    <xf numFmtId="9" fontId="2" fillId="0" borderId="0" xfId="0" applyNumberFormat="1" applyFont="1" applyBorder="1"/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75" zoomScaleNormal="100" workbookViewId="0">
      <selection activeCell="D24" sqref="D24"/>
    </sheetView>
  </sheetViews>
  <sheetFormatPr defaultRowHeight="12.5" x14ac:dyDescent="0.25"/>
  <cols>
    <col min="1" max="1" width="25.7265625" customWidth="1"/>
    <col min="2" max="2" width="5.7265625" customWidth="1"/>
    <col min="3" max="5" width="12.7265625" customWidth="1"/>
    <col min="6" max="6" width="15.7265625" customWidth="1"/>
    <col min="7" max="7" width="12.7265625" customWidth="1"/>
    <col min="8" max="11" width="15.7265625" customWidth="1"/>
    <col min="13" max="13" width="5.7265625" customWidth="1"/>
  </cols>
  <sheetData>
    <row r="1" spans="1:13" ht="15.5" x14ac:dyDescent="0.35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3" x14ac:dyDescent="0.3">
      <c r="A2" s="2"/>
      <c r="B2" s="2"/>
      <c r="C2" s="2"/>
      <c r="D2" s="1"/>
      <c r="E2" s="1"/>
      <c r="F2" s="1"/>
      <c r="G2" s="1"/>
      <c r="H2" s="1"/>
      <c r="I2" s="1"/>
      <c r="J2" s="1"/>
      <c r="K2" s="1"/>
      <c r="L2" s="6">
        <f ca="1">NOW()</f>
        <v>43857.445172222222</v>
      </c>
    </row>
    <row r="3" spans="1:13" ht="13" x14ac:dyDescent="0.3">
      <c r="A3" s="3" t="s">
        <v>3</v>
      </c>
      <c r="B3" s="3" t="s">
        <v>14</v>
      </c>
      <c r="C3" s="3" t="s">
        <v>19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12</v>
      </c>
      <c r="K3" s="3" t="s">
        <v>10</v>
      </c>
      <c r="L3" s="4" t="s">
        <v>11</v>
      </c>
      <c r="M3" s="10" t="s">
        <v>28</v>
      </c>
    </row>
    <row r="4" spans="1:13" x14ac:dyDescent="0.25">
      <c r="A4" s="5" t="s">
        <v>16</v>
      </c>
      <c r="B4" s="5">
        <v>34</v>
      </c>
      <c r="C4" s="5">
        <v>20</v>
      </c>
      <c r="D4" s="5">
        <v>20</v>
      </c>
      <c r="E4" s="5">
        <v>20</v>
      </c>
      <c r="F4" s="5">
        <v>6</v>
      </c>
      <c r="G4" s="5">
        <v>19</v>
      </c>
      <c r="H4" s="5">
        <v>18</v>
      </c>
      <c r="I4" s="5">
        <v>19</v>
      </c>
      <c r="J4" s="5">
        <v>1</v>
      </c>
      <c r="K4" s="5">
        <v>18</v>
      </c>
      <c r="L4" s="5">
        <v>16</v>
      </c>
      <c r="M4" s="11">
        <f t="shared" ref="M4:M19" si="0">C4/B4</f>
        <v>0.58823529411764708</v>
      </c>
    </row>
    <row r="5" spans="1:13" x14ac:dyDescent="0.25">
      <c r="A5" s="5" t="s">
        <v>15</v>
      </c>
      <c r="B5" s="5">
        <v>37</v>
      </c>
      <c r="C5" s="5">
        <v>21</v>
      </c>
      <c r="D5" s="5">
        <v>21</v>
      </c>
      <c r="E5" s="5">
        <v>20</v>
      </c>
      <c r="F5" s="5">
        <v>4</v>
      </c>
      <c r="G5" s="5">
        <v>19</v>
      </c>
      <c r="H5" s="5">
        <v>8</v>
      </c>
      <c r="I5" s="5">
        <v>20</v>
      </c>
      <c r="J5" s="5">
        <v>3</v>
      </c>
      <c r="K5" s="5">
        <v>19</v>
      </c>
      <c r="L5" s="5">
        <v>14</v>
      </c>
      <c r="M5" s="11">
        <f t="shared" si="0"/>
        <v>0.56756756756756754</v>
      </c>
    </row>
    <row r="6" spans="1:13" ht="13" x14ac:dyDescent="0.3">
      <c r="A6" s="8" t="s">
        <v>0</v>
      </c>
      <c r="B6" s="8">
        <f t="shared" ref="B6:K6" si="1">SUM(B4:B5)</f>
        <v>71</v>
      </c>
      <c r="C6" s="8">
        <f t="shared" si="1"/>
        <v>41</v>
      </c>
      <c r="D6" s="8">
        <f t="shared" si="1"/>
        <v>41</v>
      </c>
      <c r="E6" s="8">
        <f t="shared" si="1"/>
        <v>40</v>
      </c>
      <c r="F6" s="8">
        <f t="shared" si="1"/>
        <v>10</v>
      </c>
      <c r="G6" s="8">
        <f t="shared" si="1"/>
        <v>38</v>
      </c>
      <c r="H6" s="8">
        <f t="shared" si="1"/>
        <v>26</v>
      </c>
      <c r="I6" s="8">
        <f t="shared" si="1"/>
        <v>39</v>
      </c>
      <c r="J6" s="8">
        <f t="shared" si="1"/>
        <v>4</v>
      </c>
      <c r="K6" s="8">
        <f t="shared" si="1"/>
        <v>37</v>
      </c>
      <c r="L6" s="8"/>
      <c r="M6" s="11">
        <f t="shared" si="0"/>
        <v>0.57746478873239437</v>
      </c>
    </row>
    <row r="7" spans="1:13" ht="13" x14ac:dyDescent="0.3">
      <c r="A7" s="8"/>
      <c r="B7" s="8"/>
      <c r="C7" s="13">
        <f>C6/B6</f>
        <v>0.57746478873239437</v>
      </c>
      <c r="D7" s="13">
        <f>D6/B6</f>
        <v>0.57746478873239437</v>
      </c>
      <c r="E7" s="13">
        <f>E6/B6</f>
        <v>0.56338028169014087</v>
      </c>
      <c r="F7" s="13">
        <f>F6/B6</f>
        <v>0.14084507042253522</v>
      </c>
      <c r="G7" s="13">
        <f>G6/B6</f>
        <v>0.53521126760563376</v>
      </c>
      <c r="H7" s="13">
        <f>H6/B6</f>
        <v>0.36619718309859156</v>
      </c>
      <c r="I7" s="13">
        <f>I6/B6</f>
        <v>0.54929577464788737</v>
      </c>
      <c r="J7" s="13">
        <f>J6/B6</f>
        <v>5.6338028169014086E-2</v>
      </c>
      <c r="K7" s="13">
        <f>K6/B6</f>
        <v>0.52112676056338025</v>
      </c>
      <c r="L7" s="13">
        <f>L6/B6</f>
        <v>0</v>
      </c>
      <c r="M7" s="11"/>
    </row>
    <row r="8" spans="1:13" ht="30" customHeight="1" x14ac:dyDescent="0.25">
      <c r="A8" s="5" t="s">
        <v>17</v>
      </c>
      <c r="B8" s="5">
        <v>40</v>
      </c>
      <c r="C8" s="5">
        <v>40</v>
      </c>
      <c r="D8" s="5">
        <v>40</v>
      </c>
      <c r="E8" s="5">
        <v>40</v>
      </c>
      <c r="F8" s="5">
        <v>10</v>
      </c>
      <c r="G8" s="5">
        <v>36</v>
      </c>
      <c r="H8" s="5">
        <v>13</v>
      </c>
      <c r="I8" s="5">
        <v>40</v>
      </c>
      <c r="J8" s="5">
        <v>10</v>
      </c>
      <c r="K8" s="5">
        <v>36</v>
      </c>
      <c r="L8" s="5">
        <v>34</v>
      </c>
      <c r="M8" s="11">
        <f t="shared" si="0"/>
        <v>1</v>
      </c>
    </row>
    <row r="9" spans="1:13" x14ac:dyDescent="0.25">
      <c r="A9" s="5" t="s">
        <v>18</v>
      </c>
      <c r="B9" s="5">
        <v>27</v>
      </c>
      <c r="C9" s="5">
        <v>14</v>
      </c>
      <c r="D9" s="5">
        <v>14</v>
      </c>
      <c r="E9" s="5">
        <v>14</v>
      </c>
      <c r="F9" s="5"/>
      <c r="G9" s="5">
        <v>4</v>
      </c>
      <c r="H9" s="5"/>
      <c r="I9" s="5">
        <v>13</v>
      </c>
      <c r="J9" s="5"/>
      <c r="K9" s="5">
        <v>2</v>
      </c>
      <c r="L9" s="5">
        <v>7</v>
      </c>
      <c r="M9" s="11">
        <f t="shared" si="0"/>
        <v>0.51851851851851849</v>
      </c>
    </row>
    <row r="10" spans="1:13" ht="12.75" customHeight="1" x14ac:dyDescent="0.3">
      <c r="A10" s="8" t="s">
        <v>1</v>
      </c>
      <c r="B10" s="8">
        <f t="shared" ref="B10:L10" si="2">SUM(B8:B9)</f>
        <v>67</v>
      </c>
      <c r="C10" s="8">
        <f t="shared" si="2"/>
        <v>54</v>
      </c>
      <c r="D10" s="8">
        <f t="shared" si="2"/>
        <v>54</v>
      </c>
      <c r="E10" s="8">
        <f t="shared" si="2"/>
        <v>54</v>
      </c>
      <c r="F10" s="8">
        <f t="shared" si="2"/>
        <v>10</v>
      </c>
      <c r="G10" s="8">
        <f t="shared" si="2"/>
        <v>40</v>
      </c>
      <c r="H10" s="8">
        <f t="shared" si="2"/>
        <v>13</v>
      </c>
      <c r="I10" s="8">
        <f t="shared" si="2"/>
        <v>53</v>
      </c>
      <c r="J10" s="8">
        <f t="shared" si="2"/>
        <v>10</v>
      </c>
      <c r="K10" s="8">
        <f t="shared" si="2"/>
        <v>38</v>
      </c>
      <c r="L10" s="8">
        <f t="shared" si="2"/>
        <v>41</v>
      </c>
      <c r="M10" s="11">
        <f t="shared" si="0"/>
        <v>0.80597014925373134</v>
      </c>
    </row>
    <row r="11" spans="1:13" ht="12.75" customHeight="1" x14ac:dyDescent="0.3">
      <c r="A11" s="8"/>
      <c r="B11" s="8"/>
      <c r="C11" s="13">
        <f>C10/B10</f>
        <v>0.80597014925373134</v>
      </c>
      <c r="D11" s="13">
        <f>D10/B10</f>
        <v>0.80597014925373134</v>
      </c>
      <c r="E11" s="13">
        <f>E10/B10</f>
        <v>0.80597014925373134</v>
      </c>
      <c r="F11" s="13">
        <f>F10/B10</f>
        <v>0.14925373134328357</v>
      </c>
      <c r="G11" s="13">
        <f>G10/B10</f>
        <v>0.59701492537313428</v>
      </c>
      <c r="H11" s="13">
        <f>H10/B10</f>
        <v>0.19402985074626866</v>
      </c>
      <c r="I11" s="13">
        <f>I10/B10</f>
        <v>0.79104477611940294</v>
      </c>
      <c r="J11" s="13">
        <f>J10/B10</f>
        <v>0.14925373134328357</v>
      </c>
      <c r="K11" s="13">
        <f>K10/B10</f>
        <v>0.56716417910447758</v>
      </c>
      <c r="L11" s="13">
        <f>L10/B10</f>
        <v>0.61194029850746268</v>
      </c>
      <c r="M11" s="11"/>
    </row>
    <row r="12" spans="1:13" ht="30" customHeight="1" x14ac:dyDescent="0.25">
      <c r="A12" s="5" t="s">
        <v>20</v>
      </c>
      <c r="B12" s="5">
        <v>26</v>
      </c>
      <c r="C12" s="5">
        <v>6</v>
      </c>
      <c r="D12" s="5">
        <v>6</v>
      </c>
      <c r="E12" s="5">
        <v>5</v>
      </c>
      <c r="F12" s="5"/>
      <c r="G12" s="5">
        <v>4</v>
      </c>
      <c r="H12" s="5"/>
      <c r="I12" s="5">
        <v>6</v>
      </c>
      <c r="J12" s="5"/>
      <c r="K12" s="5">
        <v>2</v>
      </c>
      <c r="L12" s="5">
        <v>4</v>
      </c>
      <c r="M12" s="11">
        <f t="shared" si="0"/>
        <v>0.23076923076923078</v>
      </c>
    </row>
    <row r="13" spans="1:13" x14ac:dyDescent="0.25">
      <c r="A13" s="5" t="s">
        <v>21</v>
      </c>
      <c r="B13" s="5">
        <v>49</v>
      </c>
      <c r="C13" s="5">
        <v>16</v>
      </c>
      <c r="D13" s="5">
        <v>16</v>
      </c>
      <c r="E13" s="5">
        <v>14</v>
      </c>
      <c r="F13" s="5">
        <v>1</v>
      </c>
      <c r="G13" s="5">
        <v>13</v>
      </c>
      <c r="H13" s="5">
        <v>7</v>
      </c>
      <c r="I13" s="5">
        <v>11</v>
      </c>
      <c r="J13" s="5">
        <v>2</v>
      </c>
      <c r="K13" s="5">
        <v>7</v>
      </c>
      <c r="L13" s="5">
        <v>9</v>
      </c>
      <c r="M13" s="11">
        <f t="shared" si="0"/>
        <v>0.32653061224489793</v>
      </c>
    </row>
    <row r="14" spans="1:13" ht="12.75" customHeight="1" x14ac:dyDescent="0.25">
      <c r="A14" s="5" t="s">
        <v>22</v>
      </c>
      <c r="B14" s="5">
        <v>39</v>
      </c>
      <c r="C14" s="5">
        <v>19</v>
      </c>
      <c r="D14" s="5">
        <v>13</v>
      </c>
      <c r="E14" s="5">
        <v>8</v>
      </c>
      <c r="F14" s="5"/>
      <c r="G14" s="5">
        <v>4</v>
      </c>
      <c r="H14" s="5">
        <v>2</v>
      </c>
      <c r="I14" s="5">
        <v>11</v>
      </c>
      <c r="J14" s="5">
        <v>2</v>
      </c>
      <c r="K14" s="5">
        <v>5</v>
      </c>
      <c r="L14" s="5">
        <v>12</v>
      </c>
      <c r="M14" s="11">
        <f t="shared" si="0"/>
        <v>0.48717948717948717</v>
      </c>
    </row>
    <row r="15" spans="1:13" x14ac:dyDescent="0.25">
      <c r="A15" s="5" t="s">
        <v>23</v>
      </c>
      <c r="B15" s="5">
        <v>34</v>
      </c>
      <c r="C15" s="5">
        <v>12</v>
      </c>
      <c r="D15" s="5">
        <v>10</v>
      </c>
      <c r="E15" s="5">
        <v>11</v>
      </c>
      <c r="F15" s="5"/>
      <c r="G15" s="5">
        <v>11</v>
      </c>
      <c r="H15" s="5">
        <v>3</v>
      </c>
      <c r="I15" s="5">
        <v>3</v>
      </c>
      <c r="J15" s="5">
        <v>1</v>
      </c>
      <c r="K15" s="5">
        <v>9</v>
      </c>
      <c r="L15" s="5">
        <v>8</v>
      </c>
      <c r="M15" s="11">
        <f t="shared" si="0"/>
        <v>0.35294117647058826</v>
      </c>
    </row>
    <row r="16" spans="1:13" x14ac:dyDescent="0.25">
      <c r="A16" s="5" t="s">
        <v>24</v>
      </c>
      <c r="B16" s="5">
        <v>24</v>
      </c>
      <c r="C16" s="5">
        <v>9</v>
      </c>
      <c r="D16" s="5">
        <v>9</v>
      </c>
      <c r="E16" s="5">
        <v>9</v>
      </c>
      <c r="F16" s="5">
        <v>1</v>
      </c>
      <c r="G16" s="5">
        <v>8</v>
      </c>
      <c r="H16" s="5">
        <v>2</v>
      </c>
      <c r="I16" s="5">
        <v>7</v>
      </c>
      <c r="J16" s="5">
        <v>1</v>
      </c>
      <c r="K16" s="5">
        <v>3</v>
      </c>
      <c r="L16" s="5">
        <v>6</v>
      </c>
      <c r="M16" s="11">
        <f t="shared" si="0"/>
        <v>0.375</v>
      </c>
    </row>
    <row r="17" spans="1:13" x14ac:dyDescent="0.25">
      <c r="A17" s="5" t="s">
        <v>25</v>
      </c>
      <c r="B17" s="5">
        <v>13</v>
      </c>
      <c r="C17" s="5">
        <v>2</v>
      </c>
      <c r="D17" s="5">
        <v>1</v>
      </c>
      <c r="E17" s="5">
        <v>1</v>
      </c>
      <c r="F17" s="5"/>
      <c r="G17" s="5">
        <v>1</v>
      </c>
      <c r="H17" s="5"/>
      <c r="I17" s="5"/>
      <c r="J17" s="5"/>
      <c r="K17" s="5">
        <v>1</v>
      </c>
      <c r="L17" s="5"/>
      <c r="M17" s="11">
        <f t="shared" si="0"/>
        <v>0.15384615384615385</v>
      </c>
    </row>
    <row r="18" spans="1:13" x14ac:dyDescent="0.25">
      <c r="A18" s="5" t="s">
        <v>26</v>
      </c>
      <c r="B18" s="5">
        <v>55</v>
      </c>
      <c r="C18" s="5">
        <v>31</v>
      </c>
      <c r="D18" s="5">
        <v>24</v>
      </c>
      <c r="E18" s="5">
        <v>26</v>
      </c>
      <c r="F18" s="5">
        <v>1</v>
      </c>
      <c r="G18" s="5">
        <v>3</v>
      </c>
      <c r="H18" s="5">
        <v>5</v>
      </c>
      <c r="I18" s="5">
        <v>9</v>
      </c>
      <c r="J18" s="5"/>
      <c r="K18" s="5">
        <v>10</v>
      </c>
      <c r="L18" s="5">
        <v>13</v>
      </c>
      <c r="M18" s="11">
        <f t="shared" si="0"/>
        <v>0.5636363636363636</v>
      </c>
    </row>
    <row r="19" spans="1:13" ht="13" x14ac:dyDescent="0.3">
      <c r="A19" s="8" t="s">
        <v>2</v>
      </c>
      <c r="B19" s="8">
        <f t="shared" ref="B19:L19" si="3">SUM(B12:B18)</f>
        <v>240</v>
      </c>
      <c r="C19" s="8">
        <f t="shared" si="3"/>
        <v>95</v>
      </c>
      <c r="D19" s="8">
        <f t="shared" si="3"/>
        <v>79</v>
      </c>
      <c r="E19" s="8">
        <f t="shared" si="3"/>
        <v>74</v>
      </c>
      <c r="F19" s="8">
        <f t="shared" si="3"/>
        <v>3</v>
      </c>
      <c r="G19" s="8">
        <f t="shared" si="3"/>
        <v>44</v>
      </c>
      <c r="H19" s="8">
        <f t="shared" si="3"/>
        <v>19</v>
      </c>
      <c r="I19" s="8">
        <f t="shared" si="3"/>
        <v>47</v>
      </c>
      <c r="J19" s="8">
        <f t="shared" si="3"/>
        <v>6</v>
      </c>
      <c r="K19" s="8">
        <f t="shared" si="3"/>
        <v>37</v>
      </c>
      <c r="L19" s="8">
        <f t="shared" si="3"/>
        <v>52</v>
      </c>
      <c r="M19" s="11">
        <f t="shared" si="0"/>
        <v>0.39583333333333331</v>
      </c>
    </row>
    <row r="20" spans="1:13" ht="13" x14ac:dyDescent="0.3">
      <c r="A20" s="8"/>
      <c r="B20" s="8"/>
      <c r="C20" s="13">
        <f>C19/B19</f>
        <v>0.39583333333333331</v>
      </c>
      <c r="D20" s="13">
        <f>D19/B19</f>
        <v>0.32916666666666666</v>
      </c>
      <c r="E20" s="13">
        <f>E19/B19</f>
        <v>0.30833333333333335</v>
      </c>
      <c r="F20" s="13">
        <f>F19/B19</f>
        <v>1.2500000000000001E-2</v>
      </c>
      <c r="G20" s="13">
        <f>G19/B19</f>
        <v>0.18333333333333332</v>
      </c>
      <c r="H20" s="13">
        <f>H19/B19</f>
        <v>7.9166666666666663E-2</v>
      </c>
      <c r="I20" s="13">
        <f>I19/B19</f>
        <v>0.19583333333333333</v>
      </c>
      <c r="J20" s="13">
        <f>J19/B19</f>
        <v>2.5000000000000001E-2</v>
      </c>
      <c r="K20" s="13">
        <f>K19/B19</f>
        <v>0.15416666666666667</v>
      </c>
      <c r="L20" s="13">
        <f>L19/B19</f>
        <v>0.21666666666666667</v>
      </c>
      <c r="M20" s="11"/>
    </row>
    <row r="21" spans="1:13" ht="20.149999999999999" customHeight="1" x14ac:dyDescent="0.3">
      <c r="A21" s="4" t="s">
        <v>27</v>
      </c>
      <c r="B21" s="4">
        <f t="shared" ref="B21:L21" si="4">B6+B10+B19</f>
        <v>378</v>
      </c>
      <c r="C21" s="4">
        <f t="shared" si="4"/>
        <v>190</v>
      </c>
      <c r="D21" s="4">
        <f t="shared" si="4"/>
        <v>174</v>
      </c>
      <c r="E21" s="4">
        <f t="shared" si="4"/>
        <v>168</v>
      </c>
      <c r="F21" s="4">
        <f t="shared" si="4"/>
        <v>23</v>
      </c>
      <c r="G21" s="4">
        <f t="shared" si="4"/>
        <v>122</v>
      </c>
      <c r="H21" s="4">
        <f t="shared" si="4"/>
        <v>58</v>
      </c>
      <c r="I21" s="4">
        <f t="shared" si="4"/>
        <v>139</v>
      </c>
      <c r="J21" s="4">
        <f t="shared" si="4"/>
        <v>20</v>
      </c>
      <c r="K21" s="4">
        <f t="shared" si="4"/>
        <v>112</v>
      </c>
      <c r="L21" s="4">
        <f t="shared" si="4"/>
        <v>93</v>
      </c>
      <c r="M21" s="11">
        <f>C21/B21</f>
        <v>0.50264550264550267</v>
      </c>
    </row>
    <row r="22" spans="1:13" ht="13" x14ac:dyDescent="0.3">
      <c r="A22" s="12"/>
      <c r="B22" s="12"/>
      <c r="C22" s="13">
        <f>C21/B21</f>
        <v>0.50264550264550267</v>
      </c>
      <c r="D22" s="13">
        <f>D21/B21</f>
        <v>0.46031746031746029</v>
      </c>
      <c r="E22" s="13">
        <f>E21/B21</f>
        <v>0.44444444444444442</v>
      </c>
      <c r="F22" s="13">
        <f>F21/B21</f>
        <v>6.0846560846560843E-2</v>
      </c>
      <c r="G22" s="13">
        <f>G21/B21</f>
        <v>0.32275132275132273</v>
      </c>
      <c r="H22" s="13">
        <f>H21/B21</f>
        <v>0.15343915343915343</v>
      </c>
      <c r="I22" s="13">
        <f>I21/B21</f>
        <v>0.36772486772486773</v>
      </c>
      <c r="J22" s="13">
        <f>J21/B21</f>
        <v>5.2910052910052907E-2</v>
      </c>
      <c r="K22" s="13">
        <f>K21/B21</f>
        <v>0.29629629629629628</v>
      </c>
      <c r="L22" s="13">
        <f>L21/B21</f>
        <v>0.24603174603174602</v>
      </c>
      <c r="M22" s="11"/>
    </row>
    <row r="24" spans="1:13" ht="12.75" customHeight="1" x14ac:dyDescent="0.3">
      <c r="A24" s="9"/>
      <c r="B24" s="7"/>
    </row>
    <row r="26" spans="1:13" ht="12.75" customHeight="1" x14ac:dyDescent="0.25"/>
  </sheetData>
  <mergeCells count="1">
    <mergeCell ref="A1:L1"/>
  </mergeCells>
  <phoneticPr fontId="5" type="noConversion"/>
  <pageMargins left="0.28000000000000003" right="0.23" top="1" bottom="1" header="0.5" footer="0.5"/>
  <pageSetup paperSize="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Consultants</dc:creator>
  <cp:lastModifiedBy>Carina Negreanu</cp:lastModifiedBy>
  <cp:lastPrinted>2002-12-04T21:23:07Z</cp:lastPrinted>
  <dcterms:created xsi:type="dcterms:W3CDTF">2001-07-19T15:18:11Z</dcterms:created>
  <dcterms:modified xsi:type="dcterms:W3CDTF">2020-01-27T10:41:03Z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-1474276400</vt:i4>
  </property>
  <property fmtid="{D5CDD505-2E9C-101B-9397-08002B2CF9AE}" pid="3" name="_EmailSubject">
    <vt:lpwstr>VRS web page update</vt:lpwstr>
  </property>
  <property fmtid="{D5CDD505-2E9C-101B-9397-08002B2CF9AE}" pid="4" name="_AuthorEmail">
    <vt:lpwstr>bhirko@secstate.wa.gov</vt:lpwstr>
  </property>
  <property fmtid="{D5CDD505-2E9C-101B-9397-08002B2CF9AE}" pid="5" name="_AuthorEmailDisplayName">
    <vt:lpwstr>Hirko, Buff</vt:lpwstr>
  </property>
  <property fmtid="{D5CDD505-2E9C-101B-9397-08002B2CF9AE}" pid="6" name="_ReviewingToolsShownOnce">
    <vt:lpwstr/>
  </property>
</Properties>
</file>