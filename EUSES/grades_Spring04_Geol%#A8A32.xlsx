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A939B4-CEA7-403C-8E19-C397889BEC35}" xr6:coauthVersionLast="45" xr6:coauthVersionMax="45" xr10:uidLastSave="{00000000-0000-0000-0000-000000000000}"/>
  <bookViews>
    <workbookView xWindow="380" yWindow="380" windowWidth="28800" windowHeight="15460"/>
  </bookViews>
  <sheets>
    <sheet name="Geol 2001 Grade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7" i="1" l="1"/>
  <c r="C41" i="1"/>
  <c r="C70" i="1"/>
  <c r="E70" i="1"/>
  <c r="K70" i="1"/>
  <c r="C59" i="1"/>
  <c r="E59" i="1"/>
  <c r="K59" i="1"/>
  <c r="E41" i="1"/>
  <c r="K41" i="1"/>
  <c r="C27" i="1"/>
  <c r="E27" i="1"/>
  <c r="K27" i="1"/>
  <c r="E57" i="1"/>
  <c r="K57" i="1" s="1"/>
  <c r="C15" i="1"/>
  <c r="E15" i="1"/>
  <c r="K15" i="1"/>
  <c r="E72" i="1"/>
  <c r="E71" i="1"/>
  <c r="E69" i="1"/>
  <c r="E68" i="1"/>
  <c r="E67" i="1"/>
  <c r="E66" i="1"/>
  <c r="E65" i="1"/>
  <c r="K65" i="1" s="1"/>
  <c r="E64" i="1"/>
  <c r="E63" i="1"/>
  <c r="E62" i="1"/>
  <c r="E61" i="1"/>
  <c r="E60" i="1"/>
  <c r="E58" i="1"/>
  <c r="E56" i="1"/>
  <c r="E55" i="1"/>
  <c r="E54" i="1"/>
  <c r="E53" i="1"/>
  <c r="E52" i="1"/>
  <c r="E51" i="1"/>
  <c r="E50" i="1"/>
  <c r="E49" i="1"/>
  <c r="E48" i="1"/>
  <c r="K48" i="1" s="1"/>
  <c r="E47" i="1"/>
  <c r="E46" i="1"/>
  <c r="E45" i="1"/>
  <c r="E44" i="1"/>
  <c r="E43" i="1"/>
  <c r="K43" i="1" s="1"/>
  <c r="E42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6" i="1"/>
  <c r="E25" i="1"/>
  <c r="E24" i="1"/>
  <c r="E23" i="1"/>
  <c r="E22" i="1"/>
  <c r="E21" i="1"/>
  <c r="K21" i="1" s="1"/>
  <c r="E20" i="1"/>
  <c r="E19" i="1"/>
  <c r="E18" i="1"/>
  <c r="E17" i="1"/>
  <c r="E16" i="1"/>
  <c r="E14" i="1"/>
  <c r="E13" i="1"/>
  <c r="E12" i="1"/>
  <c r="E11" i="1"/>
  <c r="E10" i="1"/>
  <c r="E9" i="1"/>
  <c r="E8" i="1"/>
  <c r="C72" i="1"/>
  <c r="K72" i="1" s="1"/>
  <c r="C71" i="1"/>
  <c r="K71" i="1" s="1"/>
  <c r="C69" i="1"/>
  <c r="K69" i="1" s="1"/>
  <c r="C68" i="1"/>
  <c r="C67" i="1"/>
  <c r="C66" i="1"/>
  <c r="K66" i="1" s="1"/>
  <c r="C65" i="1"/>
  <c r="C64" i="1"/>
  <c r="K64" i="1" s="1"/>
  <c r="C63" i="1"/>
  <c r="K63" i="1" s="1"/>
  <c r="C62" i="1"/>
  <c r="K62" i="1" s="1"/>
  <c r="C61" i="1"/>
  <c r="K61" i="1" s="1"/>
  <c r="C60" i="1"/>
  <c r="K60" i="1" s="1"/>
  <c r="C58" i="1"/>
  <c r="K58" i="1" s="1"/>
  <c r="C56" i="1"/>
  <c r="K56" i="1" s="1"/>
  <c r="C55" i="1"/>
  <c r="K55" i="1" s="1"/>
  <c r="C54" i="1"/>
  <c r="K54" i="1" s="1"/>
  <c r="C53" i="1"/>
  <c r="K53" i="1" s="1"/>
  <c r="C52" i="1"/>
  <c r="K52" i="1" s="1"/>
  <c r="C51" i="1"/>
  <c r="K51" i="1" s="1"/>
  <c r="C50" i="1"/>
  <c r="K50" i="1" s="1"/>
  <c r="C49" i="1"/>
  <c r="K49" i="1" s="1"/>
  <c r="C48" i="1"/>
  <c r="C47" i="1"/>
  <c r="K47" i="1" s="1"/>
  <c r="C46" i="1"/>
  <c r="C45" i="1"/>
  <c r="C44" i="1"/>
  <c r="K44" i="1" s="1"/>
  <c r="C43" i="1"/>
  <c r="C42" i="1"/>
  <c r="K42" i="1" s="1"/>
  <c r="C40" i="1"/>
  <c r="K40" i="1" s="1"/>
  <c r="C39" i="1"/>
  <c r="K39" i="1" s="1"/>
  <c r="C38" i="1"/>
  <c r="K38" i="1" s="1"/>
  <c r="C37" i="1"/>
  <c r="K37" i="1" s="1"/>
  <c r="C36" i="1"/>
  <c r="K36" i="1" s="1"/>
  <c r="C35" i="1"/>
  <c r="K35" i="1" s="1"/>
  <c r="C34" i="1"/>
  <c r="K34" i="1" s="1"/>
  <c r="C33" i="1"/>
  <c r="K33" i="1" s="1"/>
  <c r="C32" i="1"/>
  <c r="K32" i="1" s="1"/>
  <c r="C31" i="1"/>
  <c r="K31" i="1" s="1"/>
  <c r="C30" i="1"/>
  <c r="K30" i="1" s="1"/>
  <c r="C29" i="1"/>
  <c r="K29" i="1" s="1"/>
  <c r="C28" i="1"/>
  <c r="K28" i="1" s="1"/>
  <c r="C26" i="1"/>
  <c r="K26" i="1" s="1"/>
  <c r="C25" i="1"/>
  <c r="K25" i="1" s="1"/>
  <c r="C24" i="1"/>
  <c r="C23" i="1"/>
  <c r="C22" i="1"/>
  <c r="K22" i="1" s="1"/>
  <c r="C21" i="1"/>
  <c r="C20" i="1"/>
  <c r="K20" i="1" s="1"/>
  <c r="C19" i="1"/>
  <c r="K19" i="1" s="1"/>
  <c r="C18" i="1"/>
  <c r="K18" i="1" s="1"/>
  <c r="C17" i="1"/>
  <c r="K17" i="1" s="1"/>
  <c r="C16" i="1"/>
  <c r="K16" i="1" s="1"/>
  <c r="C14" i="1"/>
  <c r="K14" i="1" s="1"/>
  <c r="C13" i="1"/>
  <c r="K13" i="1" s="1"/>
  <c r="C12" i="1"/>
  <c r="K12" i="1" s="1"/>
  <c r="C11" i="1"/>
  <c r="K11" i="1" s="1"/>
  <c r="C10" i="1"/>
  <c r="K10" i="1" s="1"/>
  <c r="C9" i="1"/>
  <c r="K9" i="1" s="1"/>
  <c r="C8" i="1"/>
  <c r="K8" i="1" s="1"/>
  <c r="K68" i="1"/>
  <c r="K67" i="1"/>
  <c r="K46" i="1"/>
  <c r="K45" i="1"/>
  <c r="K24" i="1"/>
  <c r="K23" i="1"/>
  <c r="C7" i="1"/>
  <c r="E7" i="1"/>
  <c r="K7" i="1"/>
  <c r="K6" i="1"/>
</calcChain>
</file>

<file path=xl/sharedStrings.xml><?xml version="1.0" encoding="utf-8"?>
<sst xmlns="http://schemas.openxmlformats.org/spreadsheetml/2006/main" count="83" uniqueCount="80">
  <si>
    <t>1st Exam</t>
  </si>
  <si>
    <t>Debate</t>
  </si>
  <si>
    <t>Research Paper</t>
  </si>
  <si>
    <t>Total</t>
  </si>
  <si>
    <t>Debating</t>
  </si>
  <si>
    <t>Paper</t>
  </si>
  <si>
    <t>Moderator</t>
  </si>
  <si>
    <t>%</t>
  </si>
  <si>
    <t>optional</t>
  </si>
  <si>
    <t>2nd Exam</t>
  </si>
  <si>
    <t>Last 4</t>
  </si>
  <si>
    <t>SSN</t>
  </si>
  <si>
    <t>Course: Geol 2001 - 001</t>
  </si>
  <si>
    <t>CRN: 81250</t>
  </si>
  <si>
    <t xml:space="preserve">1058 </t>
  </si>
  <si>
    <t xml:space="preserve">6807 </t>
  </si>
  <si>
    <t>7112</t>
  </si>
  <si>
    <t xml:space="preserve">6032 </t>
  </si>
  <si>
    <t xml:space="preserve">3115 </t>
  </si>
  <si>
    <t xml:space="preserve">6740 </t>
  </si>
  <si>
    <t xml:space="preserve">5964 </t>
  </si>
  <si>
    <t xml:space="preserve">1138 </t>
  </si>
  <si>
    <t xml:space="preserve">7170 </t>
  </si>
  <si>
    <t xml:space="preserve">4666 </t>
  </si>
  <si>
    <t xml:space="preserve">9742 </t>
  </si>
  <si>
    <t xml:space="preserve">2577 </t>
  </si>
  <si>
    <t xml:space="preserve">9449 </t>
  </si>
  <si>
    <t xml:space="preserve">2395 </t>
  </si>
  <si>
    <t xml:space="preserve">8480 </t>
  </si>
  <si>
    <t xml:space="preserve">1215 </t>
  </si>
  <si>
    <t xml:space="preserve">6529 </t>
  </si>
  <si>
    <t xml:space="preserve">3453 </t>
  </si>
  <si>
    <t xml:space="preserve">6611 </t>
  </si>
  <si>
    <t>9281</t>
  </si>
  <si>
    <t>1179</t>
  </si>
  <si>
    <t xml:space="preserve">1648 </t>
  </si>
  <si>
    <t xml:space="preserve">6481 </t>
  </si>
  <si>
    <t xml:space="preserve">8680 </t>
  </si>
  <si>
    <t xml:space="preserve">7978 </t>
  </si>
  <si>
    <t xml:space="preserve">4373 </t>
  </si>
  <si>
    <t xml:space="preserve">1949 </t>
  </si>
  <si>
    <t xml:space="preserve">6344 </t>
  </si>
  <si>
    <t xml:space="preserve">7068 </t>
  </si>
  <si>
    <t xml:space="preserve">7167 </t>
  </si>
  <si>
    <t xml:space="preserve">9178 </t>
  </si>
  <si>
    <t xml:space="preserve">3537 </t>
  </si>
  <si>
    <t xml:space="preserve">3105 </t>
  </si>
  <si>
    <t xml:space="preserve">9822 </t>
  </si>
  <si>
    <t xml:space="preserve">0737 </t>
  </si>
  <si>
    <t xml:space="preserve">9379 </t>
  </si>
  <si>
    <t xml:space="preserve">0047 </t>
  </si>
  <si>
    <t xml:space="preserve">8974 </t>
  </si>
  <si>
    <t xml:space="preserve">5611 </t>
  </si>
  <si>
    <t xml:space="preserve">9703 </t>
  </si>
  <si>
    <t xml:space="preserve">3637  </t>
  </si>
  <si>
    <t xml:space="preserve">2729 </t>
  </si>
  <si>
    <t>0269</t>
  </si>
  <si>
    <t xml:space="preserve">3216 </t>
  </si>
  <si>
    <t xml:space="preserve">2675 </t>
  </si>
  <si>
    <t xml:space="preserve">5503 </t>
  </si>
  <si>
    <t xml:space="preserve">9423 </t>
  </si>
  <si>
    <t xml:space="preserve">3526 </t>
  </si>
  <si>
    <t>1685</t>
  </si>
  <si>
    <t xml:space="preserve">7497 </t>
  </si>
  <si>
    <t xml:space="preserve">7561 </t>
  </si>
  <si>
    <t xml:space="preserve">1294 </t>
  </si>
  <si>
    <t xml:space="preserve">9924 </t>
  </si>
  <si>
    <t xml:space="preserve">1745 </t>
  </si>
  <si>
    <t xml:space="preserve">5408 </t>
  </si>
  <si>
    <t xml:space="preserve">6088 </t>
  </si>
  <si>
    <t xml:space="preserve">0341 </t>
  </si>
  <si>
    <t xml:space="preserve">1064 </t>
  </si>
  <si>
    <t xml:space="preserve">1221 </t>
  </si>
  <si>
    <t xml:space="preserve">6569 </t>
  </si>
  <si>
    <t xml:space="preserve">3358 </t>
  </si>
  <si>
    <t xml:space="preserve">4302 </t>
  </si>
  <si>
    <t xml:space="preserve">8098 </t>
  </si>
  <si>
    <t>Talk</t>
  </si>
  <si>
    <t>Donald</t>
  </si>
  <si>
    <t>Minnie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</si>
</sst>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3" x14ac:knownFonts="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7"/>
      <name val="Arial"/>
      <family val="2"/>
    </font>
    <font>
      <b/>
      <sz val="10"/>
      <color indexed="8"/>
      <name val="Arial"/>
      <family val="2"/>
    </font>
    <font>
      <b/>
      <sz val="10"/>
      <color indexed="57"/>
      <name val="Arial"/>
      <family val="2"/>
    </font>
    <font>
      <b/>
      <sz val="10"/>
      <color indexed="10"/>
      <name val="Arial"/>
      <family val="2"/>
    </font>
    <font>
      <sz val="10"/>
      <color indexed="17"/>
      <name val="Arial"/>
      <family val="2"/>
    </font>
    <font>
      <b/>
      <sz val="10"/>
      <color indexed="14"/>
      <name val="Arial"/>
      <family val="2"/>
    </font>
    <font>
      <sz val="10"/>
      <color indexed="14"/>
      <name val="Arial"/>
      <family val="2"/>
    </font>
    <font>
      <b/>
      <sz val="10"/>
      <color indexed="61"/>
      <name val="Arial"/>
      <family val="2"/>
    </font>
    <font>
      <sz val="10"/>
      <color indexed="61"/>
      <name val="Arial"/>
      <family val="2"/>
    </font>
    <font>
      <b/>
      <i/>
      <sz val="10"/>
      <color indexed="6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1" fillId="0" borderId="0" xfId="0" applyFont="1"/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76" fontId="2" fillId="0" borderId="0" xfId="0" applyNumberFormat="1" applyFont="1" applyBorder="1" applyAlignment="1">
      <alignment horizontal="center"/>
    </xf>
    <xf numFmtId="176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49" fontId="3" fillId="2" borderId="4" xfId="0" applyNumberFormat="1" applyFont="1" applyFill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1" fontId="11" fillId="0" borderId="0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76" fontId="10" fillId="0" borderId="0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9" fontId="10" fillId="0" borderId="9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8" fillId="3" borderId="11" xfId="0" applyNumberFormat="1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49" fontId="8" fillId="2" borderId="4" xfId="0" applyNumberFormat="1" applyFont="1" applyFill="1" applyBorder="1" applyAlignment="1">
      <alignment horizontal="center" vertical="top" wrapText="1"/>
    </xf>
    <xf numFmtId="49" fontId="0" fillId="4" borderId="11" xfId="0" applyNumberForma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12" fillId="0" borderId="13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" fontId="8" fillId="5" borderId="11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6"/>
  <sheetViews>
    <sheetView tabSelected="1" workbookViewId="0">
      <selection activeCell="L45" sqref="L45"/>
    </sheetView>
  </sheetViews>
  <sheetFormatPr defaultRowHeight="13" x14ac:dyDescent="0.3"/>
  <cols>
    <col min="1" max="1" width="8.1796875" style="16" customWidth="1"/>
    <col min="2" max="2" width="5" style="2" customWidth="1"/>
    <col min="3" max="3" width="4.81640625" style="7" customWidth="1"/>
    <col min="4" max="4" width="5" style="3" customWidth="1"/>
    <col min="5" max="5" width="4.7265625" style="9" customWidth="1"/>
    <col min="6" max="6" width="8.1796875" style="10" customWidth="1"/>
    <col min="7" max="7" width="5.81640625" style="12" customWidth="1"/>
    <col min="8" max="8" width="11" style="13" customWidth="1"/>
    <col min="9" max="9" width="6" style="12" customWidth="1"/>
    <col min="10" max="10" width="10.1796875" style="13" customWidth="1"/>
    <col min="11" max="11" width="6.54296875" style="46" customWidth="1"/>
  </cols>
  <sheetData>
    <row r="1" spans="1:11" ht="17.25" customHeight="1" x14ac:dyDescent="0.3">
      <c r="A1" s="18" t="s">
        <v>12</v>
      </c>
      <c r="B1" s="1"/>
      <c r="C1" s="10"/>
      <c r="D1" s="1"/>
      <c r="E1" s="8"/>
      <c r="G1" s="4" t="s">
        <v>13</v>
      </c>
      <c r="I1" s="11"/>
    </row>
    <row r="2" spans="1:11" ht="13.5" thickBot="1" x14ac:dyDescent="0.35">
      <c r="B2" s="1"/>
      <c r="C2" s="10"/>
      <c r="D2" s="1"/>
      <c r="E2" s="8"/>
      <c r="G2" s="11"/>
      <c r="I2" s="11"/>
      <c r="J2" s="14"/>
    </row>
    <row r="3" spans="1:11" ht="13.5" thickBot="1" x14ac:dyDescent="0.35">
      <c r="B3" s="52" t="s">
        <v>0</v>
      </c>
      <c r="C3" s="53"/>
      <c r="D3" s="52" t="s">
        <v>9</v>
      </c>
      <c r="E3" s="54"/>
      <c r="F3" s="50" t="s">
        <v>1</v>
      </c>
      <c r="G3" s="51"/>
      <c r="H3" s="50" t="s">
        <v>2</v>
      </c>
      <c r="I3" s="51"/>
      <c r="J3" s="14"/>
    </row>
    <row r="4" spans="1:11" ht="13.5" thickBot="1" x14ac:dyDescent="0.35">
      <c r="A4" s="26" t="s">
        <v>10</v>
      </c>
      <c r="B4" s="27"/>
      <c r="C4" s="28" t="s">
        <v>7</v>
      </c>
      <c r="D4" s="29"/>
      <c r="E4" s="30" t="s">
        <v>7</v>
      </c>
      <c r="F4" s="31" t="s">
        <v>4</v>
      </c>
      <c r="G4" s="32" t="s">
        <v>5</v>
      </c>
      <c r="H4" s="31" t="s">
        <v>77</v>
      </c>
      <c r="I4" s="32" t="s">
        <v>5</v>
      </c>
      <c r="J4" s="33" t="s">
        <v>6</v>
      </c>
      <c r="K4" s="29"/>
    </row>
    <row r="5" spans="1:11" ht="13.5" thickBot="1" x14ac:dyDescent="0.35">
      <c r="A5" s="34" t="s">
        <v>11</v>
      </c>
      <c r="B5" s="27"/>
      <c r="C5" s="28"/>
      <c r="D5" s="29"/>
      <c r="E5" s="30"/>
      <c r="F5" s="31"/>
      <c r="G5" s="32"/>
      <c r="H5" s="35" t="s">
        <v>8</v>
      </c>
      <c r="I5" s="32"/>
      <c r="J5" s="36" t="s">
        <v>8</v>
      </c>
      <c r="K5" s="47" t="s">
        <v>3</v>
      </c>
    </row>
    <row r="6" spans="1:11" ht="12.75" customHeight="1" thickBot="1" x14ac:dyDescent="0.35">
      <c r="A6" s="19" t="s">
        <v>78</v>
      </c>
      <c r="B6" s="20">
        <v>100</v>
      </c>
      <c r="C6" s="5">
        <v>35</v>
      </c>
      <c r="D6" s="5">
        <v>100</v>
      </c>
      <c r="E6" s="21">
        <v>35</v>
      </c>
      <c r="F6" s="6">
        <v>10</v>
      </c>
      <c r="G6" s="6">
        <v>10</v>
      </c>
      <c r="H6" s="6">
        <v>7</v>
      </c>
      <c r="I6" s="6">
        <v>10</v>
      </c>
      <c r="J6" s="17">
        <v>5</v>
      </c>
      <c r="K6" s="48">
        <f>C6+E6+F6+G6+H6+I6+J6</f>
        <v>112</v>
      </c>
    </row>
    <row r="7" spans="1:11" ht="12.75" customHeight="1" thickBot="1" x14ac:dyDescent="0.35">
      <c r="A7" s="41" t="s">
        <v>79</v>
      </c>
      <c r="B7" s="23">
        <v>100</v>
      </c>
      <c r="C7" s="38">
        <f>B7*0.35</f>
        <v>35</v>
      </c>
      <c r="D7" s="24">
        <v>100</v>
      </c>
      <c r="E7" s="40">
        <f>D7*0.35</f>
        <v>35</v>
      </c>
      <c r="F7" s="37">
        <v>10</v>
      </c>
      <c r="G7" s="37">
        <v>10</v>
      </c>
      <c r="H7" s="22">
        <v>0</v>
      </c>
      <c r="I7" s="37">
        <v>10</v>
      </c>
      <c r="J7" s="25">
        <v>0</v>
      </c>
      <c r="K7" s="38">
        <f>C7+E7+F7+G7+H7+I7+J7</f>
        <v>100</v>
      </c>
    </row>
    <row r="8" spans="1:11" x14ac:dyDescent="0.3">
      <c r="A8" s="42">
        <v>6893</v>
      </c>
      <c r="B8" s="2">
        <v>68</v>
      </c>
      <c r="C8" s="39">
        <f t="shared" ref="C8:C71" si="0">B8*0.35</f>
        <v>23.799999999999997</v>
      </c>
      <c r="D8" s="44"/>
      <c r="E8" s="43">
        <f t="shared" ref="E8:E71" si="1">D8*0.35</f>
        <v>0</v>
      </c>
      <c r="F8" s="43">
        <v>9.5</v>
      </c>
      <c r="G8" s="43">
        <v>9</v>
      </c>
      <c r="H8" s="45"/>
      <c r="I8" s="43"/>
      <c r="J8" s="45"/>
      <c r="K8" s="49">
        <f t="shared" ref="K8:K71" si="2">C8+E8+F8+G8+H8+I8+J8</f>
        <v>42.3</v>
      </c>
    </row>
    <row r="9" spans="1:11" x14ac:dyDescent="0.3">
      <c r="A9" s="42">
        <v>7988</v>
      </c>
      <c r="B9" s="2">
        <v>86</v>
      </c>
      <c r="C9" s="39">
        <f t="shared" si="0"/>
        <v>30.099999999999998</v>
      </c>
      <c r="D9" s="44"/>
      <c r="E9" s="43">
        <f t="shared" si="1"/>
        <v>0</v>
      </c>
      <c r="F9" s="43">
        <v>9.3000000000000007</v>
      </c>
      <c r="G9" s="43">
        <v>9.1999999999999993</v>
      </c>
      <c r="H9" s="45"/>
      <c r="I9" s="43"/>
      <c r="J9" s="45"/>
      <c r="K9" s="49">
        <f t="shared" si="2"/>
        <v>48.599999999999994</v>
      </c>
    </row>
    <row r="10" spans="1:11" x14ac:dyDescent="0.3">
      <c r="A10" s="42" t="s">
        <v>14</v>
      </c>
      <c r="B10" s="2">
        <v>62</v>
      </c>
      <c r="C10" s="39">
        <f t="shared" si="0"/>
        <v>21.7</v>
      </c>
      <c r="D10" s="44"/>
      <c r="E10" s="43">
        <f t="shared" si="1"/>
        <v>0</v>
      </c>
      <c r="F10" s="43">
        <v>9.3000000000000007</v>
      </c>
      <c r="G10" s="43">
        <v>8.8000000000000007</v>
      </c>
      <c r="H10" s="45"/>
      <c r="I10" s="43"/>
      <c r="J10" s="45"/>
      <c r="K10" s="49">
        <f t="shared" si="2"/>
        <v>39.799999999999997</v>
      </c>
    </row>
    <row r="11" spans="1:11" x14ac:dyDescent="0.3">
      <c r="A11" s="42" t="s">
        <v>15</v>
      </c>
      <c r="B11" s="2">
        <v>48</v>
      </c>
      <c r="C11" s="39">
        <f t="shared" si="0"/>
        <v>16.799999999999997</v>
      </c>
      <c r="D11" s="44"/>
      <c r="E11" s="43">
        <f t="shared" si="1"/>
        <v>0</v>
      </c>
      <c r="F11" s="43">
        <v>8.5</v>
      </c>
      <c r="G11" s="43">
        <v>9.1</v>
      </c>
      <c r="H11" s="45"/>
      <c r="I11" s="43"/>
      <c r="J11" s="45"/>
      <c r="K11" s="49">
        <f t="shared" si="2"/>
        <v>34.4</v>
      </c>
    </row>
    <row r="12" spans="1:11" x14ac:dyDescent="0.3">
      <c r="A12" s="42" t="s">
        <v>16</v>
      </c>
      <c r="B12" s="2">
        <v>63</v>
      </c>
      <c r="C12" s="39">
        <f t="shared" si="0"/>
        <v>22.049999999999997</v>
      </c>
      <c r="D12" s="44"/>
      <c r="E12" s="43">
        <f t="shared" si="1"/>
        <v>0</v>
      </c>
      <c r="F12" s="43"/>
      <c r="G12" s="43"/>
      <c r="H12" s="45"/>
      <c r="I12" s="43"/>
      <c r="J12" s="45"/>
      <c r="K12" s="49">
        <f t="shared" si="2"/>
        <v>22.049999999999997</v>
      </c>
    </row>
    <row r="13" spans="1:11" x14ac:dyDescent="0.3">
      <c r="A13" s="42" t="s">
        <v>17</v>
      </c>
      <c r="B13" s="2">
        <v>75</v>
      </c>
      <c r="C13" s="39">
        <f t="shared" si="0"/>
        <v>26.25</v>
      </c>
      <c r="D13" s="44"/>
      <c r="E13" s="43">
        <f t="shared" si="1"/>
        <v>0</v>
      </c>
      <c r="F13" s="43">
        <v>9.1999999999999993</v>
      </c>
      <c r="G13" s="43">
        <v>9.3000000000000007</v>
      </c>
      <c r="H13" s="45"/>
      <c r="I13" s="43"/>
      <c r="J13" s="45"/>
      <c r="K13" s="49">
        <f t="shared" si="2"/>
        <v>44.75</v>
      </c>
    </row>
    <row r="14" spans="1:11" x14ac:dyDescent="0.3">
      <c r="A14" s="42" t="s">
        <v>18</v>
      </c>
      <c r="B14" s="2">
        <v>52</v>
      </c>
      <c r="C14" s="39">
        <f t="shared" si="0"/>
        <v>18.2</v>
      </c>
      <c r="D14" s="44"/>
      <c r="E14" s="43">
        <f t="shared" si="1"/>
        <v>0</v>
      </c>
      <c r="F14" s="43"/>
      <c r="G14" s="43"/>
      <c r="H14" s="45"/>
      <c r="I14" s="43"/>
      <c r="J14" s="45"/>
      <c r="K14" s="49">
        <f t="shared" si="2"/>
        <v>18.2</v>
      </c>
    </row>
    <row r="15" spans="1:11" x14ac:dyDescent="0.3">
      <c r="A15" s="42" t="s">
        <v>19</v>
      </c>
      <c r="B15" s="2">
        <v>76</v>
      </c>
      <c r="C15" s="39">
        <f t="shared" si="0"/>
        <v>26.599999999999998</v>
      </c>
      <c r="D15" s="44"/>
      <c r="E15" s="43">
        <f t="shared" si="1"/>
        <v>0</v>
      </c>
      <c r="F15" s="43">
        <v>9.1</v>
      </c>
      <c r="G15" s="43">
        <v>8.9</v>
      </c>
      <c r="H15" s="45"/>
      <c r="I15" s="43"/>
      <c r="J15" s="45"/>
      <c r="K15" s="49">
        <f t="shared" si="2"/>
        <v>44.599999999999994</v>
      </c>
    </row>
    <row r="16" spans="1:11" x14ac:dyDescent="0.3">
      <c r="A16" s="42" t="s">
        <v>20</v>
      </c>
      <c r="B16" s="2">
        <v>81</v>
      </c>
      <c r="C16" s="39">
        <f t="shared" si="0"/>
        <v>28.349999999999998</v>
      </c>
      <c r="D16" s="44"/>
      <c r="E16" s="43">
        <f t="shared" si="1"/>
        <v>0</v>
      </c>
      <c r="F16" s="43">
        <v>9.1999999999999993</v>
      </c>
      <c r="G16" s="43">
        <v>9.1</v>
      </c>
      <c r="H16" s="45"/>
      <c r="I16" s="43"/>
      <c r="J16" s="45"/>
      <c r="K16" s="49">
        <f t="shared" si="2"/>
        <v>46.65</v>
      </c>
    </row>
    <row r="17" spans="1:11" x14ac:dyDescent="0.3">
      <c r="A17" s="42" t="s">
        <v>21</v>
      </c>
      <c r="B17" s="2">
        <v>66</v>
      </c>
      <c r="C17" s="39">
        <f t="shared" si="0"/>
        <v>23.099999999999998</v>
      </c>
      <c r="D17" s="44"/>
      <c r="E17" s="43">
        <f t="shared" si="1"/>
        <v>0</v>
      </c>
      <c r="F17" s="43"/>
      <c r="G17" s="43"/>
      <c r="H17" s="45"/>
      <c r="I17" s="43"/>
      <c r="J17" s="45"/>
      <c r="K17" s="49">
        <f t="shared" si="2"/>
        <v>23.099999999999998</v>
      </c>
    </row>
    <row r="18" spans="1:11" x14ac:dyDescent="0.3">
      <c r="A18" s="42" t="s">
        <v>22</v>
      </c>
      <c r="B18" s="2">
        <v>72</v>
      </c>
      <c r="C18" s="39">
        <f t="shared" si="0"/>
        <v>25.2</v>
      </c>
      <c r="D18" s="44"/>
      <c r="E18" s="43">
        <f t="shared" si="1"/>
        <v>0</v>
      </c>
      <c r="F18" s="43">
        <v>9.8000000000000007</v>
      </c>
      <c r="G18" s="43">
        <v>9.4</v>
      </c>
      <c r="H18" s="45"/>
      <c r="I18" s="43"/>
      <c r="J18" s="45"/>
      <c r="K18" s="49">
        <f t="shared" si="2"/>
        <v>44.4</v>
      </c>
    </row>
    <row r="19" spans="1:11" x14ac:dyDescent="0.3">
      <c r="A19" s="42" t="s">
        <v>23</v>
      </c>
      <c r="B19" s="2">
        <v>78</v>
      </c>
      <c r="C19" s="39">
        <f t="shared" si="0"/>
        <v>27.299999999999997</v>
      </c>
      <c r="D19" s="44"/>
      <c r="E19" s="43">
        <f t="shared" si="1"/>
        <v>0</v>
      </c>
      <c r="F19" s="43">
        <v>0</v>
      </c>
      <c r="G19" s="43">
        <v>9</v>
      </c>
      <c r="H19" s="45"/>
      <c r="I19" s="43"/>
      <c r="J19" s="45"/>
      <c r="K19" s="49">
        <f t="shared" si="2"/>
        <v>36.299999999999997</v>
      </c>
    </row>
    <row r="20" spans="1:11" x14ac:dyDescent="0.3">
      <c r="A20" s="42" t="s">
        <v>24</v>
      </c>
      <c r="B20" s="2">
        <v>71</v>
      </c>
      <c r="C20" s="39">
        <f t="shared" si="0"/>
        <v>24.849999999999998</v>
      </c>
      <c r="D20" s="44"/>
      <c r="E20" s="43">
        <f t="shared" si="1"/>
        <v>0</v>
      </c>
      <c r="F20" s="43"/>
      <c r="G20" s="43"/>
      <c r="H20" s="45"/>
      <c r="I20" s="43"/>
      <c r="J20" s="45"/>
      <c r="K20" s="49">
        <f t="shared" si="2"/>
        <v>24.849999999999998</v>
      </c>
    </row>
    <row r="21" spans="1:11" x14ac:dyDescent="0.3">
      <c r="A21" s="42" t="s">
        <v>25</v>
      </c>
      <c r="B21" s="2">
        <v>58</v>
      </c>
      <c r="C21" s="39">
        <f t="shared" si="0"/>
        <v>20.299999999999997</v>
      </c>
      <c r="D21" s="44"/>
      <c r="E21" s="43">
        <f t="shared" si="1"/>
        <v>0</v>
      </c>
      <c r="F21" s="43"/>
      <c r="G21" s="43"/>
      <c r="H21" s="45"/>
      <c r="I21" s="43"/>
      <c r="J21" s="45"/>
      <c r="K21" s="49">
        <f t="shared" si="2"/>
        <v>20.299999999999997</v>
      </c>
    </row>
    <row r="22" spans="1:11" x14ac:dyDescent="0.3">
      <c r="A22" s="42" t="s">
        <v>26</v>
      </c>
      <c r="B22" s="2">
        <v>76</v>
      </c>
      <c r="C22" s="39">
        <f t="shared" si="0"/>
        <v>26.599999999999998</v>
      </c>
      <c r="D22" s="44"/>
      <c r="E22" s="43">
        <f t="shared" si="1"/>
        <v>0</v>
      </c>
      <c r="F22" s="43"/>
      <c r="G22" s="43"/>
      <c r="H22" s="45"/>
      <c r="I22" s="43"/>
      <c r="J22" s="45"/>
      <c r="K22" s="49">
        <f t="shared" si="2"/>
        <v>26.599999999999998</v>
      </c>
    </row>
    <row r="23" spans="1:11" x14ac:dyDescent="0.3">
      <c r="A23" s="42" t="s">
        <v>27</v>
      </c>
      <c r="B23" s="2">
        <v>63</v>
      </c>
      <c r="C23" s="39">
        <f t="shared" si="0"/>
        <v>22.049999999999997</v>
      </c>
      <c r="D23" s="44"/>
      <c r="E23" s="43">
        <f t="shared" si="1"/>
        <v>0</v>
      </c>
      <c r="F23" s="43">
        <v>8.1999999999999993</v>
      </c>
      <c r="G23" s="43">
        <v>8.6</v>
      </c>
      <c r="H23" s="45"/>
      <c r="I23" s="43"/>
      <c r="J23" s="45"/>
      <c r="K23" s="49">
        <f t="shared" si="2"/>
        <v>38.849999999999994</v>
      </c>
    </row>
    <row r="24" spans="1:11" x14ac:dyDescent="0.3">
      <c r="A24" s="42" t="s">
        <v>28</v>
      </c>
      <c r="B24" s="2">
        <v>0</v>
      </c>
      <c r="C24" s="39">
        <f t="shared" si="0"/>
        <v>0</v>
      </c>
      <c r="D24" s="44"/>
      <c r="E24" s="43">
        <f t="shared" si="1"/>
        <v>0</v>
      </c>
      <c r="F24" s="43"/>
      <c r="G24" s="43"/>
      <c r="H24" s="45"/>
      <c r="I24" s="43"/>
      <c r="J24" s="45"/>
      <c r="K24" s="49">
        <f t="shared" si="2"/>
        <v>0</v>
      </c>
    </row>
    <row r="25" spans="1:11" x14ac:dyDescent="0.3">
      <c r="A25" s="42" t="s">
        <v>29</v>
      </c>
      <c r="B25" s="2">
        <v>75</v>
      </c>
      <c r="C25" s="39">
        <f t="shared" si="0"/>
        <v>26.25</v>
      </c>
      <c r="D25" s="44"/>
      <c r="E25" s="43">
        <f t="shared" si="1"/>
        <v>0</v>
      </c>
      <c r="F25" s="43"/>
      <c r="G25" s="43"/>
      <c r="H25" s="45"/>
      <c r="I25" s="43"/>
      <c r="J25" s="45"/>
      <c r="K25" s="49">
        <f t="shared" si="2"/>
        <v>26.25</v>
      </c>
    </row>
    <row r="26" spans="1:11" x14ac:dyDescent="0.3">
      <c r="A26" s="42" t="s">
        <v>30</v>
      </c>
      <c r="B26" s="2">
        <v>39</v>
      </c>
      <c r="C26" s="39">
        <f t="shared" si="0"/>
        <v>13.649999999999999</v>
      </c>
      <c r="D26" s="44"/>
      <c r="E26" s="43">
        <f t="shared" si="1"/>
        <v>0</v>
      </c>
      <c r="F26" s="43"/>
      <c r="G26" s="43"/>
      <c r="H26" s="45"/>
      <c r="I26" s="43"/>
      <c r="J26" s="45">
        <v>4.2</v>
      </c>
      <c r="K26" s="49">
        <f t="shared" si="2"/>
        <v>17.849999999999998</v>
      </c>
    </row>
    <row r="27" spans="1:11" x14ac:dyDescent="0.3">
      <c r="A27" s="42" t="s">
        <v>31</v>
      </c>
      <c r="B27" s="2">
        <v>43</v>
      </c>
      <c r="C27" s="39">
        <f t="shared" si="0"/>
        <v>15.049999999999999</v>
      </c>
      <c r="D27" s="44"/>
      <c r="E27" s="43">
        <f t="shared" si="1"/>
        <v>0</v>
      </c>
      <c r="F27" s="43">
        <v>9.1999999999999993</v>
      </c>
      <c r="G27" s="43">
        <v>0</v>
      </c>
      <c r="H27" s="45"/>
      <c r="I27" s="43"/>
      <c r="J27" s="45"/>
      <c r="K27" s="49">
        <f t="shared" si="2"/>
        <v>24.25</v>
      </c>
    </row>
    <row r="28" spans="1:11" x14ac:dyDescent="0.3">
      <c r="A28" s="42" t="s">
        <v>32</v>
      </c>
      <c r="B28" s="2">
        <v>65</v>
      </c>
      <c r="C28" s="39">
        <f t="shared" si="0"/>
        <v>22.75</v>
      </c>
      <c r="D28" s="44"/>
      <c r="E28" s="43">
        <f t="shared" si="1"/>
        <v>0</v>
      </c>
      <c r="F28" s="43"/>
      <c r="G28" s="43"/>
      <c r="H28" s="45"/>
      <c r="I28" s="43"/>
      <c r="J28" s="45"/>
      <c r="K28" s="49">
        <f t="shared" si="2"/>
        <v>22.75</v>
      </c>
    </row>
    <row r="29" spans="1:11" x14ac:dyDescent="0.3">
      <c r="A29" s="42" t="s">
        <v>33</v>
      </c>
      <c r="B29" s="2">
        <v>73</v>
      </c>
      <c r="C29" s="39">
        <f t="shared" si="0"/>
        <v>25.549999999999997</v>
      </c>
      <c r="D29" s="44"/>
      <c r="E29" s="43">
        <f t="shared" si="1"/>
        <v>0</v>
      </c>
      <c r="F29" s="43">
        <v>9.3000000000000007</v>
      </c>
      <c r="G29" s="43">
        <v>9.4</v>
      </c>
      <c r="H29" s="45"/>
      <c r="I29" s="43"/>
      <c r="J29" s="45"/>
      <c r="K29" s="49">
        <f t="shared" si="2"/>
        <v>44.249999999999993</v>
      </c>
    </row>
    <row r="30" spans="1:11" x14ac:dyDescent="0.3">
      <c r="A30" s="42" t="s">
        <v>34</v>
      </c>
      <c r="B30" s="2">
        <v>76</v>
      </c>
      <c r="C30" s="39">
        <f t="shared" si="0"/>
        <v>26.599999999999998</v>
      </c>
      <c r="D30" s="44"/>
      <c r="E30" s="43">
        <f t="shared" si="1"/>
        <v>0</v>
      </c>
      <c r="F30" s="43">
        <v>9.4</v>
      </c>
      <c r="G30" s="43">
        <v>9.3000000000000007</v>
      </c>
      <c r="H30" s="45"/>
      <c r="I30" s="43"/>
      <c r="J30" s="45"/>
      <c r="K30" s="49">
        <f t="shared" si="2"/>
        <v>45.3</v>
      </c>
    </row>
    <row r="31" spans="1:11" x14ac:dyDescent="0.3">
      <c r="A31" s="42" t="s">
        <v>35</v>
      </c>
      <c r="B31" s="2">
        <v>77</v>
      </c>
      <c r="C31" s="39">
        <f t="shared" si="0"/>
        <v>26.95</v>
      </c>
      <c r="D31" s="44"/>
      <c r="E31" s="43">
        <f t="shared" si="1"/>
        <v>0</v>
      </c>
      <c r="F31" s="43"/>
      <c r="G31" s="43"/>
      <c r="H31" s="45"/>
      <c r="I31" s="43"/>
      <c r="J31" s="45"/>
      <c r="K31" s="49">
        <f t="shared" si="2"/>
        <v>26.95</v>
      </c>
    </row>
    <row r="32" spans="1:11" x14ac:dyDescent="0.3">
      <c r="A32" s="42" t="s">
        <v>36</v>
      </c>
      <c r="B32" s="2">
        <v>81</v>
      </c>
      <c r="C32" s="39">
        <f t="shared" si="0"/>
        <v>28.349999999999998</v>
      </c>
      <c r="D32" s="44"/>
      <c r="E32" s="43">
        <f t="shared" si="1"/>
        <v>0</v>
      </c>
      <c r="F32" s="43"/>
      <c r="G32" s="43"/>
      <c r="H32" s="45"/>
      <c r="I32" s="43"/>
      <c r="J32" s="45"/>
      <c r="K32" s="49">
        <f t="shared" si="2"/>
        <v>28.349999999999998</v>
      </c>
    </row>
    <row r="33" spans="1:11" x14ac:dyDescent="0.3">
      <c r="A33" s="42" t="s">
        <v>37</v>
      </c>
      <c r="B33" s="2">
        <v>80</v>
      </c>
      <c r="C33" s="39">
        <f t="shared" si="0"/>
        <v>28</v>
      </c>
      <c r="D33" s="44"/>
      <c r="E33" s="43">
        <f t="shared" si="1"/>
        <v>0</v>
      </c>
      <c r="F33" s="43">
        <v>9.4</v>
      </c>
      <c r="G33" s="43">
        <v>9.5</v>
      </c>
      <c r="H33" s="45"/>
      <c r="I33" s="43"/>
      <c r="J33" s="45"/>
      <c r="K33" s="49">
        <f t="shared" si="2"/>
        <v>46.9</v>
      </c>
    </row>
    <row r="34" spans="1:11" x14ac:dyDescent="0.3">
      <c r="A34" s="42" t="s">
        <v>38</v>
      </c>
      <c r="B34" s="2">
        <v>67</v>
      </c>
      <c r="C34" s="39">
        <f t="shared" si="0"/>
        <v>23.45</v>
      </c>
      <c r="D34" s="44"/>
      <c r="E34" s="43">
        <f t="shared" si="1"/>
        <v>0</v>
      </c>
      <c r="F34" s="43"/>
      <c r="G34" s="43"/>
      <c r="H34" s="45"/>
      <c r="I34" s="43"/>
      <c r="J34" s="45"/>
      <c r="K34" s="49">
        <f t="shared" si="2"/>
        <v>23.45</v>
      </c>
    </row>
    <row r="35" spans="1:11" x14ac:dyDescent="0.3">
      <c r="A35" s="42" t="s">
        <v>39</v>
      </c>
      <c r="B35" s="2">
        <v>77</v>
      </c>
      <c r="C35" s="39">
        <f t="shared" si="0"/>
        <v>26.95</v>
      </c>
      <c r="D35" s="44"/>
      <c r="E35" s="43">
        <f t="shared" si="1"/>
        <v>0</v>
      </c>
      <c r="F35" s="43"/>
      <c r="G35" s="43"/>
      <c r="H35" s="45"/>
      <c r="I35" s="43"/>
      <c r="J35" s="45"/>
      <c r="K35" s="49">
        <f t="shared" si="2"/>
        <v>26.95</v>
      </c>
    </row>
    <row r="36" spans="1:11" x14ac:dyDescent="0.3">
      <c r="A36" s="42" t="s">
        <v>40</v>
      </c>
      <c r="B36" s="2">
        <v>0</v>
      </c>
      <c r="C36" s="39">
        <f t="shared" si="0"/>
        <v>0</v>
      </c>
      <c r="D36" s="44"/>
      <c r="E36" s="43">
        <f t="shared" si="1"/>
        <v>0</v>
      </c>
      <c r="F36" s="43">
        <v>0</v>
      </c>
      <c r="G36" s="43">
        <v>0</v>
      </c>
      <c r="H36" s="45"/>
      <c r="I36" s="43"/>
      <c r="J36" s="45"/>
      <c r="K36" s="49">
        <f t="shared" si="2"/>
        <v>0</v>
      </c>
    </row>
    <row r="37" spans="1:11" x14ac:dyDescent="0.3">
      <c r="A37" s="42" t="s">
        <v>41</v>
      </c>
      <c r="B37" s="2">
        <v>81</v>
      </c>
      <c r="C37" s="39">
        <f t="shared" si="0"/>
        <v>28.349999999999998</v>
      </c>
      <c r="D37" s="44"/>
      <c r="E37" s="43">
        <f t="shared" si="1"/>
        <v>0</v>
      </c>
      <c r="F37" s="43"/>
      <c r="G37" s="43"/>
      <c r="H37" s="45"/>
      <c r="I37" s="43"/>
      <c r="J37" s="45"/>
      <c r="K37" s="49">
        <f t="shared" si="2"/>
        <v>28.349999999999998</v>
      </c>
    </row>
    <row r="38" spans="1:11" x14ac:dyDescent="0.3">
      <c r="A38" s="42" t="s">
        <v>42</v>
      </c>
      <c r="B38" s="2">
        <v>72</v>
      </c>
      <c r="C38" s="39">
        <f t="shared" si="0"/>
        <v>25.2</v>
      </c>
      <c r="D38" s="44"/>
      <c r="E38" s="43">
        <f t="shared" si="1"/>
        <v>0</v>
      </c>
      <c r="F38" s="43"/>
      <c r="G38" s="43"/>
      <c r="H38" s="45"/>
      <c r="I38" s="43"/>
      <c r="J38" s="45"/>
      <c r="K38" s="49">
        <f t="shared" si="2"/>
        <v>25.2</v>
      </c>
    </row>
    <row r="39" spans="1:11" x14ac:dyDescent="0.3">
      <c r="A39" s="42" t="s">
        <v>43</v>
      </c>
      <c r="B39" s="2">
        <v>58</v>
      </c>
      <c r="C39" s="39">
        <f t="shared" si="0"/>
        <v>20.299999999999997</v>
      </c>
      <c r="D39" s="44"/>
      <c r="E39" s="43">
        <f t="shared" si="1"/>
        <v>0</v>
      </c>
      <c r="F39" s="43"/>
      <c r="G39" s="43"/>
      <c r="H39" s="45"/>
      <c r="I39" s="43"/>
      <c r="J39" s="45"/>
      <c r="K39" s="49">
        <f t="shared" si="2"/>
        <v>20.299999999999997</v>
      </c>
    </row>
    <row r="40" spans="1:11" x14ac:dyDescent="0.3">
      <c r="A40" s="42" t="s">
        <v>44</v>
      </c>
      <c r="B40" s="2">
        <v>0</v>
      </c>
      <c r="C40" s="39">
        <f t="shared" si="0"/>
        <v>0</v>
      </c>
      <c r="D40" s="44"/>
      <c r="E40" s="43">
        <f t="shared" si="1"/>
        <v>0</v>
      </c>
      <c r="F40" s="43"/>
      <c r="G40" s="43"/>
      <c r="H40" s="45"/>
      <c r="I40" s="43"/>
      <c r="J40" s="45"/>
      <c r="K40" s="49">
        <f t="shared" si="2"/>
        <v>0</v>
      </c>
    </row>
    <row r="41" spans="1:11" x14ac:dyDescent="0.3">
      <c r="A41" s="42" t="s">
        <v>45</v>
      </c>
      <c r="B41" s="2">
        <v>76</v>
      </c>
      <c r="C41" s="39">
        <f>B41*0.35+3</f>
        <v>29.599999999999998</v>
      </c>
      <c r="D41" s="44"/>
      <c r="E41" s="43">
        <f t="shared" si="1"/>
        <v>0</v>
      </c>
      <c r="F41" s="43"/>
      <c r="G41" s="43"/>
      <c r="H41" s="45"/>
      <c r="I41" s="43"/>
      <c r="J41" s="45"/>
      <c r="K41" s="49">
        <f t="shared" si="2"/>
        <v>29.599999999999998</v>
      </c>
    </row>
    <row r="42" spans="1:11" x14ac:dyDescent="0.3">
      <c r="A42" s="42" t="s">
        <v>46</v>
      </c>
      <c r="B42" s="2">
        <v>0</v>
      </c>
      <c r="C42" s="39">
        <f t="shared" si="0"/>
        <v>0</v>
      </c>
      <c r="D42" s="44"/>
      <c r="E42" s="43">
        <f t="shared" si="1"/>
        <v>0</v>
      </c>
      <c r="F42" s="43">
        <v>0</v>
      </c>
      <c r="G42" s="43">
        <v>0</v>
      </c>
      <c r="H42" s="45"/>
      <c r="I42" s="43"/>
      <c r="J42" s="45"/>
      <c r="K42" s="49">
        <f t="shared" si="2"/>
        <v>0</v>
      </c>
    </row>
    <row r="43" spans="1:11" x14ac:dyDescent="0.3">
      <c r="A43" s="42" t="s">
        <v>47</v>
      </c>
      <c r="B43" s="2">
        <v>75</v>
      </c>
      <c r="C43" s="39">
        <f t="shared" si="0"/>
        <v>26.25</v>
      </c>
      <c r="D43" s="44"/>
      <c r="E43" s="43">
        <f t="shared" si="1"/>
        <v>0</v>
      </c>
      <c r="F43" s="43">
        <v>0</v>
      </c>
      <c r="G43" s="43">
        <v>9</v>
      </c>
      <c r="H43" s="45"/>
      <c r="I43" s="43"/>
      <c r="J43" s="45"/>
      <c r="K43" s="49">
        <f t="shared" si="2"/>
        <v>35.25</v>
      </c>
    </row>
    <row r="44" spans="1:11" x14ac:dyDescent="0.3">
      <c r="A44" s="42" t="s">
        <v>48</v>
      </c>
      <c r="B44" s="2">
        <v>77</v>
      </c>
      <c r="C44" s="39">
        <f t="shared" si="0"/>
        <v>26.95</v>
      </c>
      <c r="D44" s="44"/>
      <c r="E44" s="43">
        <f t="shared" si="1"/>
        <v>0</v>
      </c>
      <c r="F44" s="43"/>
      <c r="G44" s="43"/>
      <c r="H44" s="45"/>
      <c r="I44" s="43"/>
      <c r="J44" s="45"/>
      <c r="K44" s="49">
        <f t="shared" si="2"/>
        <v>26.95</v>
      </c>
    </row>
    <row r="45" spans="1:11" x14ac:dyDescent="0.3">
      <c r="A45" s="42" t="s">
        <v>49</v>
      </c>
      <c r="B45" s="2">
        <v>85</v>
      </c>
      <c r="C45" s="39">
        <f t="shared" si="0"/>
        <v>29.749999999999996</v>
      </c>
      <c r="D45" s="44"/>
      <c r="E45" s="43">
        <f t="shared" si="1"/>
        <v>0</v>
      </c>
      <c r="F45" s="43"/>
      <c r="G45" s="43"/>
      <c r="H45" s="45"/>
      <c r="I45" s="43"/>
      <c r="J45" s="45"/>
      <c r="K45" s="49">
        <f t="shared" si="2"/>
        <v>29.749999999999996</v>
      </c>
    </row>
    <row r="46" spans="1:11" x14ac:dyDescent="0.3">
      <c r="A46" s="42" t="s">
        <v>50</v>
      </c>
      <c r="B46" s="2">
        <v>59</v>
      </c>
      <c r="C46" s="39">
        <f t="shared" si="0"/>
        <v>20.65</v>
      </c>
      <c r="D46" s="44"/>
      <c r="E46" s="43">
        <f t="shared" si="1"/>
        <v>0</v>
      </c>
      <c r="F46" s="43"/>
      <c r="G46" s="43"/>
      <c r="H46" s="45"/>
      <c r="I46" s="43"/>
      <c r="J46" s="45"/>
      <c r="K46" s="49">
        <f t="shared" si="2"/>
        <v>20.65</v>
      </c>
    </row>
    <row r="47" spans="1:11" x14ac:dyDescent="0.3">
      <c r="A47" s="42" t="s">
        <v>51</v>
      </c>
      <c r="B47" s="2">
        <v>53</v>
      </c>
      <c r="C47" s="39">
        <f t="shared" si="0"/>
        <v>18.549999999999997</v>
      </c>
      <c r="D47" s="44"/>
      <c r="E47" s="43">
        <f t="shared" si="1"/>
        <v>0</v>
      </c>
      <c r="F47" s="43">
        <v>9.4</v>
      </c>
      <c r="G47" s="43">
        <v>9.5</v>
      </c>
      <c r="H47" s="45"/>
      <c r="I47" s="43"/>
      <c r="J47" s="45"/>
      <c r="K47" s="49">
        <f t="shared" si="2"/>
        <v>37.449999999999996</v>
      </c>
    </row>
    <row r="48" spans="1:11" x14ac:dyDescent="0.3">
      <c r="A48" s="42" t="s">
        <v>52</v>
      </c>
      <c r="B48" s="2">
        <v>80</v>
      </c>
      <c r="C48" s="39">
        <f t="shared" si="0"/>
        <v>28</v>
      </c>
      <c r="D48" s="44"/>
      <c r="E48" s="43">
        <f t="shared" si="1"/>
        <v>0</v>
      </c>
      <c r="F48" s="43">
        <v>8.6999999999999993</v>
      </c>
      <c r="G48" s="43">
        <v>9.1</v>
      </c>
      <c r="H48" s="45"/>
      <c r="I48" s="43"/>
      <c r="J48" s="45"/>
      <c r="K48" s="49">
        <f t="shared" si="2"/>
        <v>45.800000000000004</v>
      </c>
    </row>
    <row r="49" spans="1:11" x14ac:dyDescent="0.3">
      <c r="A49" s="42" t="s">
        <v>53</v>
      </c>
      <c r="B49" s="2">
        <v>71</v>
      </c>
      <c r="C49" s="39">
        <f t="shared" si="0"/>
        <v>24.849999999999998</v>
      </c>
      <c r="D49" s="44"/>
      <c r="E49" s="43">
        <f t="shared" si="1"/>
        <v>0</v>
      </c>
      <c r="F49" s="43">
        <v>9.1</v>
      </c>
      <c r="G49" s="43">
        <v>9.1999999999999993</v>
      </c>
      <c r="H49" s="45"/>
      <c r="I49" s="43"/>
      <c r="J49" s="45">
        <v>4.0999999999999996</v>
      </c>
      <c r="K49" s="49">
        <f t="shared" si="2"/>
        <v>47.249999999999993</v>
      </c>
    </row>
    <row r="50" spans="1:11" x14ac:dyDescent="0.3">
      <c r="A50" s="42" t="s">
        <v>54</v>
      </c>
      <c r="B50" s="2">
        <v>70</v>
      </c>
      <c r="C50" s="39">
        <f t="shared" si="0"/>
        <v>24.5</v>
      </c>
      <c r="D50" s="44"/>
      <c r="E50" s="43">
        <f t="shared" si="1"/>
        <v>0</v>
      </c>
      <c r="F50" s="43">
        <v>9.3000000000000007</v>
      </c>
      <c r="G50" s="43">
        <v>9.1999999999999993</v>
      </c>
      <c r="H50" s="45"/>
      <c r="I50" s="43"/>
      <c r="J50" s="45"/>
      <c r="K50" s="49">
        <f t="shared" si="2"/>
        <v>43</v>
      </c>
    </row>
    <row r="51" spans="1:11" x14ac:dyDescent="0.3">
      <c r="A51" s="42" t="s">
        <v>55</v>
      </c>
      <c r="B51" s="2">
        <v>71</v>
      </c>
      <c r="C51" s="39">
        <f t="shared" si="0"/>
        <v>24.849999999999998</v>
      </c>
      <c r="D51" s="44"/>
      <c r="E51" s="43">
        <f t="shared" si="1"/>
        <v>0</v>
      </c>
      <c r="F51" s="43">
        <v>9.1999999999999993</v>
      </c>
      <c r="G51" s="43">
        <v>9.3000000000000007</v>
      </c>
      <c r="H51" s="45"/>
      <c r="I51" s="43"/>
      <c r="J51" s="45"/>
      <c r="K51" s="49">
        <f t="shared" si="2"/>
        <v>43.349999999999994</v>
      </c>
    </row>
    <row r="52" spans="1:11" x14ac:dyDescent="0.3">
      <c r="A52" s="42" t="s">
        <v>56</v>
      </c>
      <c r="B52" s="2">
        <v>62</v>
      </c>
      <c r="C52" s="39">
        <f t="shared" si="0"/>
        <v>21.7</v>
      </c>
      <c r="D52" s="44"/>
      <c r="E52" s="43">
        <f t="shared" si="1"/>
        <v>0</v>
      </c>
      <c r="F52" s="43">
        <v>9.1999999999999993</v>
      </c>
      <c r="G52" s="43">
        <v>9.3000000000000007</v>
      </c>
      <c r="H52" s="45"/>
      <c r="I52" s="43"/>
      <c r="J52" s="45">
        <v>4.5</v>
      </c>
      <c r="K52" s="49">
        <f t="shared" si="2"/>
        <v>44.7</v>
      </c>
    </row>
    <row r="53" spans="1:11" x14ac:dyDescent="0.3">
      <c r="A53" s="42" t="s">
        <v>57</v>
      </c>
      <c r="B53" s="2">
        <v>66</v>
      </c>
      <c r="C53" s="39">
        <f t="shared" si="0"/>
        <v>23.099999999999998</v>
      </c>
      <c r="D53" s="44"/>
      <c r="E53" s="43">
        <f t="shared" si="1"/>
        <v>0</v>
      </c>
      <c r="F53" s="43"/>
      <c r="G53" s="43"/>
      <c r="H53" s="45"/>
      <c r="I53" s="43"/>
      <c r="J53" s="45"/>
      <c r="K53" s="49">
        <f t="shared" si="2"/>
        <v>23.099999999999998</v>
      </c>
    </row>
    <row r="54" spans="1:11" x14ac:dyDescent="0.3">
      <c r="A54" s="42" t="s">
        <v>58</v>
      </c>
      <c r="B54" s="2">
        <v>75</v>
      </c>
      <c r="C54" s="39">
        <f t="shared" si="0"/>
        <v>26.25</v>
      </c>
      <c r="D54" s="44"/>
      <c r="E54" s="43">
        <f t="shared" si="1"/>
        <v>0</v>
      </c>
      <c r="F54" s="43">
        <v>8.6</v>
      </c>
      <c r="G54" s="43">
        <v>8.6999999999999993</v>
      </c>
      <c r="H54" s="45"/>
      <c r="I54" s="43"/>
      <c r="J54" s="45"/>
      <c r="K54" s="49">
        <f t="shared" si="2"/>
        <v>43.55</v>
      </c>
    </row>
    <row r="55" spans="1:11" x14ac:dyDescent="0.3">
      <c r="A55" s="42" t="s">
        <v>59</v>
      </c>
      <c r="B55" s="2">
        <v>68</v>
      </c>
      <c r="C55" s="39">
        <f t="shared" si="0"/>
        <v>23.799999999999997</v>
      </c>
      <c r="D55" s="44"/>
      <c r="E55" s="43">
        <f t="shared" si="1"/>
        <v>0</v>
      </c>
      <c r="F55" s="43"/>
      <c r="G55" s="43"/>
      <c r="H55" s="45"/>
      <c r="I55" s="43"/>
      <c r="J55" s="45"/>
      <c r="K55" s="49">
        <f t="shared" si="2"/>
        <v>23.799999999999997</v>
      </c>
    </row>
    <row r="56" spans="1:11" x14ac:dyDescent="0.3">
      <c r="A56" s="42" t="s">
        <v>60</v>
      </c>
      <c r="B56" s="2">
        <v>0</v>
      </c>
      <c r="C56" s="39">
        <f t="shared" si="0"/>
        <v>0</v>
      </c>
      <c r="D56" s="44"/>
      <c r="E56" s="43">
        <f t="shared" si="1"/>
        <v>0</v>
      </c>
      <c r="F56" s="43"/>
      <c r="G56" s="43"/>
      <c r="H56" s="45"/>
      <c r="I56" s="43"/>
      <c r="J56" s="45"/>
      <c r="K56" s="49">
        <f t="shared" si="2"/>
        <v>0</v>
      </c>
    </row>
    <row r="57" spans="1:11" x14ac:dyDescent="0.3">
      <c r="A57" s="42" t="s">
        <v>61</v>
      </c>
      <c r="B57" s="2">
        <v>84</v>
      </c>
      <c r="C57" s="39">
        <f>B57*0.35+3</f>
        <v>32.4</v>
      </c>
      <c r="D57" s="44"/>
      <c r="E57" s="43">
        <f t="shared" si="1"/>
        <v>0</v>
      </c>
      <c r="F57" s="43">
        <v>9.5</v>
      </c>
      <c r="G57" s="43">
        <v>9.6</v>
      </c>
      <c r="H57" s="45"/>
      <c r="I57" s="43"/>
      <c r="J57" s="45">
        <v>4.5</v>
      </c>
      <c r="K57" s="49">
        <f t="shared" si="2"/>
        <v>56</v>
      </c>
    </row>
    <row r="58" spans="1:11" x14ac:dyDescent="0.3">
      <c r="A58" s="42" t="s">
        <v>62</v>
      </c>
      <c r="B58" s="2">
        <v>80</v>
      </c>
      <c r="C58" s="39">
        <f t="shared" si="0"/>
        <v>28</v>
      </c>
      <c r="D58" s="44"/>
      <c r="E58" s="43">
        <f t="shared" si="1"/>
        <v>0</v>
      </c>
      <c r="F58" s="43"/>
      <c r="G58" s="43"/>
      <c r="H58" s="45"/>
      <c r="I58" s="43"/>
      <c r="J58" s="45"/>
      <c r="K58" s="49">
        <f t="shared" si="2"/>
        <v>28</v>
      </c>
    </row>
    <row r="59" spans="1:11" x14ac:dyDescent="0.3">
      <c r="A59" s="42" t="s">
        <v>63</v>
      </c>
      <c r="B59" s="2">
        <v>48</v>
      </c>
      <c r="C59" s="39">
        <f t="shared" si="0"/>
        <v>16.799999999999997</v>
      </c>
      <c r="D59" s="44"/>
      <c r="E59" s="43">
        <f t="shared" si="1"/>
        <v>0</v>
      </c>
      <c r="F59" s="43">
        <v>9.3000000000000007</v>
      </c>
      <c r="G59" s="43">
        <v>9.1</v>
      </c>
      <c r="H59" s="45"/>
      <c r="I59" s="43"/>
      <c r="J59" s="45"/>
      <c r="K59" s="49">
        <f t="shared" si="2"/>
        <v>35.199999999999996</v>
      </c>
    </row>
    <row r="60" spans="1:11" x14ac:dyDescent="0.3">
      <c r="A60" s="42" t="s">
        <v>64</v>
      </c>
      <c r="B60" s="2">
        <v>67</v>
      </c>
      <c r="C60" s="39">
        <f t="shared" si="0"/>
        <v>23.45</v>
      </c>
      <c r="D60" s="44"/>
      <c r="E60" s="43">
        <f t="shared" si="1"/>
        <v>0</v>
      </c>
      <c r="F60" s="43"/>
      <c r="G60" s="43"/>
      <c r="H60" s="45"/>
      <c r="I60" s="43"/>
      <c r="J60" s="45"/>
      <c r="K60" s="49">
        <f t="shared" si="2"/>
        <v>23.45</v>
      </c>
    </row>
    <row r="61" spans="1:11" x14ac:dyDescent="0.3">
      <c r="A61" s="42" t="s">
        <v>65</v>
      </c>
      <c r="B61" s="2">
        <v>0</v>
      </c>
      <c r="C61" s="39">
        <f t="shared" si="0"/>
        <v>0</v>
      </c>
      <c r="D61" s="44"/>
      <c r="E61" s="43">
        <f t="shared" si="1"/>
        <v>0</v>
      </c>
      <c r="F61" s="43"/>
      <c r="G61" s="43"/>
      <c r="H61" s="45"/>
      <c r="I61" s="43"/>
      <c r="J61" s="45"/>
      <c r="K61" s="49">
        <f t="shared" si="2"/>
        <v>0</v>
      </c>
    </row>
    <row r="62" spans="1:11" x14ac:dyDescent="0.3">
      <c r="A62" s="42" t="s">
        <v>66</v>
      </c>
      <c r="B62" s="2">
        <v>86</v>
      </c>
      <c r="C62" s="39">
        <f t="shared" si="0"/>
        <v>30.099999999999998</v>
      </c>
      <c r="D62" s="44"/>
      <c r="E62" s="43">
        <f t="shared" si="1"/>
        <v>0</v>
      </c>
      <c r="F62" s="43"/>
      <c r="G62" s="43"/>
      <c r="H62" s="45"/>
      <c r="I62" s="43"/>
      <c r="J62" s="45"/>
      <c r="K62" s="49">
        <f t="shared" si="2"/>
        <v>30.099999999999998</v>
      </c>
    </row>
    <row r="63" spans="1:11" x14ac:dyDescent="0.3">
      <c r="A63" s="42" t="s">
        <v>67</v>
      </c>
      <c r="B63" s="2">
        <v>75</v>
      </c>
      <c r="C63" s="39">
        <f t="shared" si="0"/>
        <v>26.25</v>
      </c>
      <c r="D63" s="44"/>
      <c r="E63" s="43">
        <f t="shared" si="1"/>
        <v>0</v>
      </c>
      <c r="F63" s="43">
        <v>9.1</v>
      </c>
      <c r="G63" s="43">
        <v>9.1999999999999993</v>
      </c>
      <c r="H63" s="45"/>
      <c r="I63" s="43"/>
      <c r="J63" s="45"/>
      <c r="K63" s="49">
        <f t="shared" si="2"/>
        <v>44.55</v>
      </c>
    </row>
    <row r="64" spans="1:11" x14ac:dyDescent="0.3">
      <c r="A64" s="42" t="s">
        <v>68</v>
      </c>
      <c r="B64" s="2">
        <v>47</v>
      </c>
      <c r="C64" s="39">
        <f t="shared" si="0"/>
        <v>16.45</v>
      </c>
      <c r="D64" s="44"/>
      <c r="E64" s="43">
        <f t="shared" si="1"/>
        <v>0</v>
      </c>
      <c r="F64" s="43"/>
      <c r="G64" s="43"/>
      <c r="H64" s="45"/>
      <c r="I64" s="43"/>
      <c r="J64" s="45"/>
      <c r="K64" s="49">
        <f t="shared" si="2"/>
        <v>16.45</v>
      </c>
    </row>
    <row r="65" spans="1:11" x14ac:dyDescent="0.3">
      <c r="A65" s="42" t="s">
        <v>69</v>
      </c>
      <c r="B65" s="2">
        <v>78</v>
      </c>
      <c r="C65" s="39">
        <f t="shared" si="0"/>
        <v>27.299999999999997</v>
      </c>
      <c r="D65" s="44"/>
      <c r="E65" s="43">
        <f t="shared" si="1"/>
        <v>0</v>
      </c>
      <c r="F65" s="43"/>
      <c r="G65" s="43"/>
      <c r="H65" s="45"/>
      <c r="I65" s="43"/>
      <c r="J65" s="45"/>
      <c r="K65" s="49">
        <f t="shared" si="2"/>
        <v>27.299999999999997</v>
      </c>
    </row>
    <row r="66" spans="1:11" x14ac:dyDescent="0.3">
      <c r="A66" s="42" t="s">
        <v>70</v>
      </c>
      <c r="B66" s="2">
        <v>51</v>
      </c>
      <c r="C66" s="39">
        <f t="shared" si="0"/>
        <v>17.849999999999998</v>
      </c>
      <c r="D66" s="44"/>
      <c r="E66" s="43">
        <f t="shared" si="1"/>
        <v>0</v>
      </c>
      <c r="F66" s="43"/>
      <c r="G66" s="43"/>
      <c r="H66" s="45"/>
      <c r="I66" s="43"/>
      <c r="J66" s="45"/>
      <c r="K66" s="49">
        <f t="shared" si="2"/>
        <v>17.849999999999998</v>
      </c>
    </row>
    <row r="67" spans="1:11" x14ac:dyDescent="0.3">
      <c r="A67" s="42" t="s">
        <v>71</v>
      </c>
      <c r="B67" s="2">
        <v>67</v>
      </c>
      <c r="C67" s="39">
        <f t="shared" si="0"/>
        <v>23.45</v>
      </c>
      <c r="D67" s="44"/>
      <c r="E67" s="43">
        <f t="shared" si="1"/>
        <v>0</v>
      </c>
      <c r="F67" s="43">
        <v>9.1</v>
      </c>
      <c r="G67" s="43">
        <v>9.3000000000000007</v>
      </c>
      <c r="H67" s="45"/>
      <c r="I67" s="43"/>
      <c r="J67" s="45"/>
      <c r="K67" s="49">
        <f t="shared" si="2"/>
        <v>41.849999999999994</v>
      </c>
    </row>
    <row r="68" spans="1:11" x14ac:dyDescent="0.3">
      <c r="A68" s="42" t="s">
        <v>72</v>
      </c>
      <c r="B68" s="2">
        <v>86</v>
      </c>
      <c r="C68" s="39">
        <f t="shared" si="0"/>
        <v>30.099999999999998</v>
      </c>
      <c r="D68" s="44"/>
      <c r="E68" s="43">
        <f t="shared" si="1"/>
        <v>0</v>
      </c>
      <c r="F68" s="43"/>
      <c r="G68" s="43"/>
      <c r="H68" s="45"/>
      <c r="I68" s="43"/>
      <c r="J68" s="45"/>
      <c r="K68" s="49">
        <f t="shared" si="2"/>
        <v>30.099999999999998</v>
      </c>
    </row>
    <row r="69" spans="1:11" x14ac:dyDescent="0.3">
      <c r="A69" s="42" t="s">
        <v>73</v>
      </c>
      <c r="B69" s="2">
        <v>80</v>
      </c>
      <c r="C69" s="39">
        <f t="shared" si="0"/>
        <v>28</v>
      </c>
      <c r="D69" s="44"/>
      <c r="E69" s="43">
        <f t="shared" si="1"/>
        <v>0</v>
      </c>
      <c r="F69" s="43">
        <v>9.1999999999999993</v>
      </c>
      <c r="G69" s="43">
        <v>9.3000000000000007</v>
      </c>
      <c r="H69" s="45"/>
      <c r="I69" s="43"/>
      <c r="J69" s="45"/>
      <c r="K69" s="49">
        <f t="shared" si="2"/>
        <v>46.5</v>
      </c>
    </row>
    <row r="70" spans="1:11" x14ac:dyDescent="0.3">
      <c r="A70" s="42" t="s">
        <v>74</v>
      </c>
      <c r="B70" s="2">
        <v>63</v>
      </c>
      <c r="C70" s="39">
        <f t="shared" si="0"/>
        <v>22.049999999999997</v>
      </c>
      <c r="D70" s="44"/>
      <c r="E70" s="43">
        <f t="shared" si="1"/>
        <v>0</v>
      </c>
      <c r="F70" s="43">
        <v>8.8000000000000007</v>
      </c>
      <c r="G70" s="43">
        <v>9.1999999999999993</v>
      </c>
      <c r="H70" s="45"/>
      <c r="I70" s="43"/>
      <c r="J70" s="45"/>
      <c r="K70" s="49">
        <f t="shared" si="2"/>
        <v>40.049999999999997</v>
      </c>
    </row>
    <row r="71" spans="1:11" x14ac:dyDescent="0.3">
      <c r="A71" s="42" t="s">
        <v>75</v>
      </c>
      <c r="B71" s="2">
        <v>75</v>
      </c>
      <c r="C71" s="39">
        <f t="shared" si="0"/>
        <v>26.25</v>
      </c>
      <c r="D71" s="44"/>
      <c r="E71" s="43">
        <f t="shared" si="1"/>
        <v>0</v>
      </c>
      <c r="F71" s="43"/>
      <c r="G71" s="43"/>
      <c r="H71" s="45"/>
      <c r="I71" s="43"/>
      <c r="J71" s="45"/>
      <c r="K71" s="49">
        <f t="shared" si="2"/>
        <v>26.25</v>
      </c>
    </row>
    <row r="72" spans="1:11" x14ac:dyDescent="0.3">
      <c r="A72" s="42" t="s">
        <v>76</v>
      </c>
      <c r="B72" s="2">
        <v>78</v>
      </c>
      <c r="C72" s="39">
        <f>B72*0.35</f>
        <v>27.299999999999997</v>
      </c>
      <c r="D72" s="44"/>
      <c r="E72" s="43">
        <f>D72*0.35</f>
        <v>0</v>
      </c>
      <c r="F72" s="43">
        <v>9.4</v>
      </c>
      <c r="G72" s="43">
        <v>9.5</v>
      </c>
      <c r="H72" s="45"/>
      <c r="I72" s="43"/>
      <c r="J72" s="45"/>
      <c r="K72" s="49">
        <f>C72+E72+F72+G72+H72+I72+J72</f>
        <v>46.199999999999996</v>
      </c>
    </row>
    <row r="73" spans="1:11" x14ac:dyDescent="0.3">
      <c r="C73" s="15"/>
      <c r="E73" s="10"/>
      <c r="G73" s="10"/>
      <c r="I73" s="10"/>
    </row>
    <row r="74" spans="1:11" x14ac:dyDescent="0.3">
      <c r="C74" s="15"/>
      <c r="E74" s="10"/>
      <c r="G74" s="10"/>
      <c r="I74" s="10"/>
    </row>
    <row r="75" spans="1:11" x14ac:dyDescent="0.3">
      <c r="C75" s="15"/>
      <c r="E75" s="10"/>
      <c r="G75" s="10"/>
      <c r="I75" s="10"/>
    </row>
    <row r="76" spans="1:11" x14ac:dyDescent="0.3">
      <c r="C76" s="15"/>
      <c r="E76" s="10"/>
      <c r="G76" s="10"/>
      <c r="I76" s="10"/>
    </row>
    <row r="77" spans="1:11" x14ac:dyDescent="0.3">
      <c r="C77" s="15"/>
      <c r="E77" s="10"/>
      <c r="G77" s="10"/>
      <c r="I77" s="10"/>
    </row>
    <row r="78" spans="1:11" x14ac:dyDescent="0.3">
      <c r="C78" s="15"/>
      <c r="E78" s="10"/>
      <c r="G78" s="10"/>
      <c r="I78" s="10"/>
    </row>
    <row r="79" spans="1:11" x14ac:dyDescent="0.3">
      <c r="C79" s="15"/>
      <c r="E79" s="10"/>
      <c r="G79" s="10"/>
      <c r="I79" s="10"/>
    </row>
    <row r="80" spans="1:11" x14ac:dyDescent="0.3">
      <c r="C80" s="15"/>
      <c r="E80" s="10"/>
      <c r="G80" s="10"/>
      <c r="I80" s="10"/>
    </row>
    <row r="81" spans="3:9" x14ac:dyDescent="0.3">
      <c r="C81" s="15"/>
      <c r="E81" s="10"/>
      <c r="G81" s="10"/>
      <c r="I81" s="10"/>
    </row>
    <row r="82" spans="3:9" x14ac:dyDescent="0.3">
      <c r="C82" s="15"/>
      <c r="E82" s="10"/>
      <c r="G82" s="10"/>
      <c r="I82" s="10"/>
    </row>
    <row r="83" spans="3:9" x14ac:dyDescent="0.3">
      <c r="C83" s="15"/>
      <c r="E83" s="10"/>
      <c r="G83" s="10"/>
      <c r="I83" s="10"/>
    </row>
    <row r="84" spans="3:9" x14ac:dyDescent="0.3">
      <c r="C84" s="15"/>
      <c r="E84" s="10"/>
      <c r="G84" s="10"/>
      <c r="I84" s="10"/>
    </row>
    <row r="85" spans="3:9" x14ac:dyDescent="0.3">
      <c r="C85" s="15"/>
      <c r="E85" s="10"/>
      <c r="G85" s="10"/>
      <c r="I85" s="10"/>
    </row>
    <row r="86" spans="3:9" x14ac:dyDescent="0.3">
      <c r="C86" s="15"/>
      <c r="E86" s="10"/>
      <c r="G86" s="10"/>
      <c r="I86" s="10"/>
    </row>
    <row r="87" spans="3:9" x14ac:dyDescent="0.3">
      <c r="C87" s="15"/>
      <c r="E87" s="10"/>
      <c r="G87" s="10"/>
      <c r="I87" s="10"/>
    </row>
    <row r="88" spans="3:9" x14ac:dyDescent="0.3">
      <c r="C88" s="15"/>
      <c r="E88" s="10"/>
      <c r="G88" s="10"/>
      <c r="I88" s="10"/>
    </row>
    <row r="89" spans="3:9" x14ac:dyDescent="0.3">
      <c r="C89" s="15"/>
      <c r="E89" s="10"/>
      <c r="G89" s="10"/>
      <c r="I89" s="10"/>
    </row>
    <row r="90" spans="3:9" x14ac:dyDescent="0.3">
      <c r="C90" s="15"/>
      <c r="E90" s="10"/>
      <c r="G90" s="10"/>
      <c r="I90" s="10"/>
    </row>
    <row r="91" spans="3:9" x14ac:dyDescent="0.3">
      <c r="C91" s="15"/>
      <c r="E91" s="10"/>
      <c r="G91" s="10"/>
      <c r="I91" s="10"/>
    </row>
    <row r="92" spans="3:9" x14ac:dyDescent="0.3">
      <c r="C92" s="15"/>
      <c r="E92" s="10"/>
      <c r="G92" s="10"/>
      <c r="I92" s="10"/>
    </row>
    <row r="93" spans="3:9" x14ac:dyDescent="0.3">
      <c r="C93" s="15"/>
      <c r="E93" s="10"/>
      <c r="G93" s="10"/>
      <c r="I93" s="10"/>
    </row>
    <row r="94" spans="3:9" x14ac:dyDescent="0.3">
      <c r="C94" s="15"/>
      <c r="E94" s="10"/>
      <c r="G94" s="10"/>
      <c r="I94" s="10"/>
    </row>
    <row r="95" spans="3:9" x14ac:dyDescent="0.3">
      <c r="C95" s="15"/>
      <c r="E95" s="10"/>
      <c r="G95" s="10"/>
      <c r="I95" s="10"/>
    </row>
    <row r="96" spans="3:9" x14ac:dyDescent="0.3">
      <c r="C96" s="15"/>
      <c r="E96" s="10"/>
      <c r="G96" s="10"/>
      <c r="I96" s="10"/>
    </row>
    <row r="97" spans="3:9" x14ac:dyDescent="0.3">
      <c r="C97" s="15"/>
      <c r="E97" s="10"/>
      <c r="G97" s="10"/>
      <c r="I97" s="10"/>
    </row>
    <row r="98" spans="3:9" x14ac:dyDescent="0.3">
      <c r="C98" s="15"/>
      <c r="E98" s="10"/>
      <c r="G98" s="10"/>
      <c r="I98" s="10"/>
    </row>
    <row r="99" spans="3:9" x14ac:dyDescent="0.3">
      <c r="C99" s="15"/>
      <c r="E99" s="10"/>
      <c r="G99" s="10"/>
      <c r="I99" s="10"/>
    </row>
    <row r="100" spans="3:9" x14ac:dyDescent="0.3">
      <c r="C100" s="15"/>
      <c r="E100" s="10"/>
      <c r="G100" s="10"/>
      <c r="I100" s="10"/>
    </row>
    <row r="101" spans="3:9" x14ac:dyDescent="0.3">
      <c r="C101" s="15"/>
      <c r="E101" s="10"/>
      <c r="G101" s="10"/>
      <c r="I101" s="10"/>
    </row>
    <row r="102" spans="3:9" x14ac:dyDescent="0.3">
      <c r="C102" s="15"/>
      <c r="E102" s="10"/>
      <c r="G102" s="10"/>
      <c r="I102" s="10"/>
    </row>
    <row r="103" spans="3:9" x14ac:dyDescent="0.3">
      <c r="C103" s="15"/>
      <c r="E103" s="10"/>
      <c r="G103" s="10"/>
      <c r="I103" s="10"/>
    </row>
    <row r="104" spans="3:9" x14ac:dyDescent="0.3">
      <c r="C104" s="15"/>
      <c r="E104" s="10"/>
      <c r="G104" s="10"/>
      <c r="I104" s="10"/>
    </row>
    <row r="105" spans="3:9" x14ac:dyDescent="0.3">
      <c r="C105" s="15"/>
      <c r="E105" s="10"/>
      <c r="G105" s="10"/>
      <c r="I105" s="10"/>
    </row>
    <row r="106" spans="3:9" x14ac:dyDescent="0.3">
      <c r="C106" s="15"/>
      <c r="E106" s="10"/>
      <c r="G106" s="10"/>
      <c r="I106" s="10"/>
    </row>
    <row r="107" spans="3:9" x14ac:dyDescent="0.3">
      <c r="C107" s="15"/>
      <c r="E107" s="10"/>
      <c r="G107" s="10"/>
      <c r="I107" s="10"/>
    </row>
    <row r="108" spans="3:9" x14ac:dyDescent="0.3">
      <c r="C108" s="15"/>
      <c r="E108" s="10"/>
      <c r="G108" s="10"/>
      <c r="I108" s="10"/>
    </row>
    <row r="109" spans="3:9" x14ac:dyDescent="0.3">
      <c r="C109" s="15"/>
      <c r="E109" s="10"/>
      <c r="G109" s="10"/>
      <c r="I109" s="10"/>
    </row>
    <row r="110" spans="3:9" x14ac:dyDescent="0.3">
      <c r="C110" s="15"/>
      <c r="E110" s="10"/>
      <c r="G110" s="10"/>
      <c r="I110" s="10"/>
    </row>
    <row r="111" spans="3:9" x14ac:dyDescent="0.3">
      <c r="C111" s="15"/>
      <c r="E111" s="10"/>
      <c r="G111" s="10"/>
      <c r="I111" s="10"/>
    </row>
    <row r="112" spans="3:9" x14ac:dyDescent="0.3">
      <c r="C112" s="15"/>
      <c r="E112" s="10"/>
      <c r="G112" s="10"/>
      <c r="I112" s="10"/>
    </row>
    <row r="113" spans="3:9" x14ac:dyDescent="0.3">
      <c r="C113" s="15"/>
      <c r="E113" s="10"/>
      <c r="G113" s="10"/>
      <c r="I113" s="10"/>
    </row>
    <row r="114" spans="3:9" x14ac:dyDescent="0.3">
      <c r="C114" s="15"/>
      <c r="E114" s="10"/>
      <c r="G114" s="10"/>
      <c r="I114" s="10"/>
    </row>
    <row r="115" spans="3:9" x14ac:dyDescent="0.3">
      <c r="C115" s="15"/>
      <c r="E115" s="10"/>
      <c r="G115" s="10"/>
      <c r="I115" s="10"/>
    </row>
    <row r="116" spans="3:9" x14ac:dyDescent="0.3">
      <c r="C116" s="15"/>
      <c r="E116" s="10"/>
      <c r="G116" s="10"/>
      <c r="I116" s="10"/>
    </row>
    <row r="117" spans="3:9" x14ac:dyDescent="0.3">
      <c r="C117" s="15"/>
      <c r="E117" s="10"/>
      <c r="G117" s="10"/>
      <c r="I117" s="10"/>
    </row>
    <row r="118" spans="3:9" x14ac:dyDescent="0.3">
      <c r="C118" s="15"/>
      <c r="E118" s="10"/>
      <c r="G118" s="10"/>
      <c r="I118" s="10"/>
    </row>
    <row r="119" spans="3:9" x14ac:dyDescent="0.3">
      <c r="C119" s="15"/>
      <c r="E119" s="10"/>
      <c r="G119" s="10"/>
      <c r="I119" s="10"/>
    </row>
    <row r="120" spans="3:9" x14ac:dyDescent="0.3">
      <c r="C120" s="15"/>
      <c r="E120" s="10"/>
      <c r="G120" s="10"/>
      <c r="I120" s="10"/>
    </row>
    <row r="121" spans="3:9" x14ac:dyDescent="0.3">
      <c r="C121" s="15"/>
      <c r="E121" s="10"/>
      <c r="G121" s="10"/>
      <c r="I121" s="10"/>
    </row>
    <row r="122" spans="3:9" x14ac:dyDescent="0.3">
      <c r="C122" s="15"/>
      <c r="E122" s="10"/>
      <c r="G122" s="10"/>
      <c r="I122" s="10"/>
    </row>
    <row r="123" spans="3:9" x14ac:dyDescent="0.3">
      <c r="C123" s="15"/>
      <c r="E123" s="10"/>
      <c r="G123" s="10"/>
      <c r="I123" s="10"/>
    </row>
    <row r="124" spans="3:9" x14ac:dyDescent="0.3">
      <c r="C124" s="15"/>
      <c r="E124" s="10"/>
      <c r="G124" s="10"/>
      <c r="I124" s="10"/>
    </row>
    <row r="125" spans="3:9" x14ac:dyDescent="0.3">
      <c r="C125" s="15"/>
      <c r="E125" s="10"/>
      <c r="G125" s="10"/>
      <c r="I125" s="10"/>
    </row>
    <row r="126" spans="3:9" x14ac:dyDescent="0.3">
      <c r="C126" s="15"/>
      <c r="E126" s="10"/>
      <c r="G126" s="10"/>
      <c r="I126" s="10"/>
    </row>
    <row r="127" spans="3:9" x14ac:dyDescent="0.3">
      <c r="C127" s="15"/>
      <c r="E127" s="10"/>
      <c r="G127" s="10"/>
      <c r="I127" s="10"/>
    </row>
    <row r="128" spans="3:9" x14ac:dyDescent="0.3">
      <c r="C128" s="15"/>
      <c r="E128" s="10"/>
      <c r="G128" s="10"/>
      <c r="I128" s="10"/>
    </row>
    <row r="129" spans="3:9" x14ac:dyDescent="0.3">
      <c r="C129" s="15"/>
      <c r="E129" s="10"/>
      <c r="G129" s="10"/>
      <c r="I129" s="10"/>
    </row>
    <row r="130" spans="3:9" x14ac:dyDescent="0.3">
      <c r="C130" s="15"/>
      <c r="E130" s="10"/>
      <c r="G130" s="10"/>
      <c r="I130" s="10"/>
    </row>
    <row r="131" spans="3:9" x14ac:dyDescent="0.3">
      <c r="C131" s="15"/>
      <c r="E131" s="10"/>
      <c r="G131" s="10"/>
      <c r="I131" s="10"/>
    </row>
    <row r="132" spans="3:9" x14ac:dyDescent="0.3">
      <c r="C132" s="15"/>
      <c r="E132" s="10"/>
      <c r="G132" s="10"/>
      <c r="I132" s="10"/>
    </row>
    <row r="133" spans="3:9" x14ac:dyDescent="0.3">
      <c r="C133" s="15"/>
      <c r="E133" s="10"/>
      <c r="G133" s="10"/>
      <c r="I133" s="10"/>
    </row>
    <row r="134" spans="3:9" x14ac:dyDescent="0.3">
      <c r="C134" s="15"/>
      <c r="E134" s="10"/>
      <c r="G134" s="10"/>
      <c r="I134" s="10"/>
    </row>
    <row r="135" spans="3:9" x14ac:dyDescent="0.3">
      <c r="C135" s="15"/>
      <c r="E135" s="10"/>
      <c r="G135" s="10"/>
      <c r="I135" s="10"/>
    </row>
    <row r="136" spans="3:9" x14ac:dyDescent="0.3">
      <c r="C136" s="15"/>
      <c r="E136" s="10"/>
      <c r="G136" s="10"/>
      <c r="I136" s="10"/>
    </row>
    <row r="137" spans="3:9" x14ac:dyDescent="0.3">
      <c r="C137" s="15"/>
      <c r="E137" s="10"/>
      <c r="G137" s="10"/>
      <c r="I137" s="10"/>
    </row>
    <row r="138" spans="3:9" x14ac:dyDescent="0.3">
      <c r="C138" s="15"/>
      <c r="E138" s="10"/>
      <c r="G138" s="10"/>
      <c r="I138" s="10"/>
    </row>
    <row r="139" spans="3:9" x14ac:dyDescent="0.3">
      <c r="C139" s="15"/>
      <c r="E139" s="10"/>
      <c r="G139" s="10"/>
      <c r="I139" s="10"/>
    </row>
    <row r="140" spans="3:9" x14ac:dyDescent="0.3">
      <c r="C140" s="15"/>
      <c r="E140" s="10"/>
      <c r="G140" s="10"/>
      <c r="I140" s="10"/>
    </row>
    <row r="141" spans="3:9" x14ac:dyDescent="0.3">
      <c r="C141" s="15"/>
      <c r="E141" s="10"/>
      <c r="G141" s="10"/>
      <c r="I141" s="10"/>
    </row>
    <row r="142" spans="3:9" x14ac:dyDescent="0.3">
      <c r="C142" s="15"/>
      <c r="E142" s="10"/>
      <c r="G142" s="10"/>
      <c r="I142" s="10"/>
    </row>
    <row r="143" spans="3:9" x14ac:dyDescent="0.3">
      <c r="C143" s="15"/>
      <c r="E143" s="10"/>
      <c r="G143" s="10"/>
      <c r="I143" s="10"/>
    </row>
    <row r="144" spans="3:9" x14ac:dyDescent="0.3">
      <c r="C144" s="15"/>
      <c r="E144" s="10"/>
      <c r="G144" s="10"/>
      <c r="I144" s="10"/>
    </row>
    <row r="145" spans="3:9" x14ac:dyDescent="0.3">
      <c r="C145" s="15"/>
      <c r="E145" s="10"/>
      <c r="G145" s="10"/>
      <c r="I145" s="10"/>
    </row>
    <row r="146" spans="3:9" x14ac:dyDescent="0.3">
      <c r="C146" s="15"/>
      <c r="E146" s="10"/>
      <c r="G146" s="10"/>
      <c r="I146" s="10"/>
    </row>
    <row r="147" spans="3:9" x14ac:dyDescent="0.3">
      <c r="C147" s="15"/>
      <c r="E147" s="10"/>
      <c r="G147" s="10"/>
      <c r="I147" s="10"/>
    </row>
    <row r="148" spans="3:9" x14ac:dyDescent="0.3">
      <c r="C148" s="15"/>
      <c r="E148" s="10"/>
      <c r="G148" s="10"/>
      <c r="I148" s="10"/>
    </row>
    <row r="149" spans="3:9" x14ac:dyDescent="0.3">
      <c r="C149" s="15"/>
      <c r="E149" s="10"/>
      <c r="G149" s="10"/>
      <c r="I149" s="10"/>
    </row>
    <row r="150" spans="3:9" x14ac:dyDescent="0.3">
      <c r="C150" s="15"/>
      <c r="E150" s="10"/>
      <c r="G150" s="10"/>
      <c r="I150" s="10"/>
    </row>
    <row r="151" spans="3:9" x14ac:dyDescent="0.3">
      <c r="C151" s="15"/>
      <c r="E151" s="10"/>
      <c r="G151" s="10"/>
      <c r="I151" s="10"/>
    </row>
    <row r="152" spans="3:9" x14ac:dyDescent="0.3">
      <c r="C152" s="15"/>
      <c r="E152" s="10"/>
      <c r="G152" s="10"/>
      <c r="I152" s="10"/>
    </row>
    <row r="153" spans="3:9" x14ac:dyDescent="0.3">
      <c r="C153" s="15"/>
      <c r="E153" s="10"/>
      <c r="G153" s="10"/>
      <c r="I153" s="10"/>
    </row>
    <row r="154" spans="3:9" x14ac:dyDescent="0.3">
      <c r="C154" s="15"/>
      <c r="E154" s="10"/>
      <c r="G154" s="10"/>
      <c r="I154" s="10"/>
    </row>
    <row r="155" spans="3:9" x14ac:dyDescent="0.3">
      <c r="C155" s="15"/>
      <c r="E155" s="10"/>
      <c r="G155" s="10"/>
      <c r="I155" s="10"/>
    </row>
    <row r="156" spans="3:9" x14ac:dyDescent="0.3">
      <c r="C156" s="15"/>
      <c r="E156" s="10"/>
      <c r="G156" s="10"/>
      <c r="I156" s="10"/>
    </row>
    <row r="157" spans="3:9" x14ac:dyDescent="0.3">
      <c r="C157" s="15"/>
      <c r="E157" s="10"/>
      <c r="G157" s="10"/>
      <c r="I157" s="10"/>
    </row>
    <row r="158" spans="3:9" x14ac:dyDescent="0.3">
      <c r="C158" s="15"/>
      <c r="E158" s="10"/>
      <c r="G158" s="10"/>
      <c r="I158" s="10"/>
    </row>
    <row r="159" spans="3:9" x14ac:dyDescent="0.3">
      <c r="C159" s="15"/>
      <c r="E159" s="10"/>
      <c r="G159" s="10"/>
      <c r="I159" s="10"/>
    </row>
    <row r="160" spans="3:9" x14ac:dyDescent="0.3">
      <c r="C160" s="15"/>
      <c r="E160" s="10"/>
      <c r="G160" s="10"/>
      <c r="I160" s="10"/>
    </row>
    <row r="161" spans="3:9" x14ac:dyDescent="0.3">
      <c r="C161" s="15"/>
      <c r="E161" s="10"/>
      <c r="G161" s="10"/>
      <c r="I161" s="10"/>
    </row>
    <row r="162" spans="3:9" x14ac:dyDescent="0.3">
      <c r="C162" s="15"/>
      <c r="E162" s="10"/>
      <c r="G162" s="10"/>
      <c r="I162" s="10"/>
    </row>
    <row r="163" spans="3:9" x14ac:dyDescent="0.3">
      <c r="C163" s="15"/>
      <c r="E163" s="10"/>
      <c r="G163" s="10"/>
      <c r="I163" s="10"/>
    </row>
    <row r="164" spans="3:9" x14ac:dyDescent="0.3">
      <c r="C164" s="15"/>
      <c r="E164" s="10"/>
      <c r="G164" s="10"/>
      <c r="I164" s="10"/>
    </row>
    <row r="165" spans="3:9" x14ac:dyDescent="0.3">
      <c r="C165" s="15"/>
      <c r="E165" s="10"/>
      <c r="G165" s="10"/>
      <c r="I165" s="10"/>
    </row>
    <row r="166" spans="3:9" x14ac:dyDescent="0.3">
      <c r="C166" s="15"/>
      <c r="E166" s="10"/>
      <c r="G166" s="10"/>
      <c r="I166" s="10"/>
    </row>
    <row r="167" spans="3:9" x14ac:dyDescent="0.3">
      <c r="C167" s="15"/>
      <c r="E167" s="10"/>
      <c r="G167" s="10"/>
      <c r="I167" s="10"/>
    </row>
    <row r="168" spans="3:9" x14ac:dyDescent="0.3">
      <c r="C168" s="15"/>
      <c r="E168" s="10"/>
      <c r="G168" s="10"/>
      <c r="I168" s="10"/>
    </row>
    <row r="169" spans="3:9" x14ac:dyDescent="0.3">
      <c r="C169" s="15"/>
      <c r="E169" s="10"/>
      <c r="G169" s="10"/>
      <c r="I169" s="10"/>
    </row>
    <row r="170" spans="3:9" x14ac:dyDescent="0.3">
      <c r="C170" s="15"/>
      <c r="E170" s="10"/>
      <c r="G170" s="10"/>
      <c r="I170" s="10"/>
    </row>
    <row r="171" spans="3:9" x14ac:dyDescent="0.3">
      <c r="C171" s="15"/>
      <c r="E171" s="10"/>
      <c r="G171" s="10"/>
      <c r="I171" s="10"/>
    </row>
    <row r="172" spans="3:9" x14ac:dyDescent="0.3">
      <c r="C172" s="15"/>
      <c r="E172" s="10"/>
      <c r="G172" s="10"/>
      <c r="I172" s="10"/>
    </row>
    <row r="173" spans="3:9" x14ac:dyDescent="0.3">
      <c r="C173" s="15"/>
      <c r="E173" s="10"/>
      <c r="G173" s="10"/>
      <c r="I173" s="10"/>
    </row>
    <row r="174" spans="3:9" x14ac:dyDescent="0.3">
      <c r="C174" s="15"/>
      <c r="E174" s="10"/>
      <c r="G174" s="10"/>
      <c r="I174" s="10"/>
    </row>
    <row r="175" spans="3:9" x14ac:dyDescent="0.3">
      <c r="C175" s="15"/>
      <c r="E175" s="10"/>
      <c r="G175" s="10"/>
      <c r="I175" s="10"/>
    </row>
    <row r="176" spans="3:9" x14ac:dyDescent="0.3">
      <c r="C176" s="15"/>
      <c r="E176" s="10"/>
      <c r="G176" s="10"/>
      <c r="I176" s="10"/>
    </row>
    <row r="177" spans="3:9" x14ac:dyDescent="0.3">
      <c r="C177" s="15"/>
      <c r="E177" s="10"/>
      <c r="G177" s="10"/>
      <c r="I177" s="10"/>
    </row>
    <row r="178" spans="3:9" x14ac:dyDescent="0.3">
      <c r="C178" s="15"/>
      <c r="E178" s="10"/>
      <c r="G178" s="10"/>
      <c r="I178" s="10"/>
    </row>
    <row r="179" spans="3:9" x14ac:dyDescent="0.3">
      <c r="C179" s="15"/>
      <c r="E179" s="10"/>
      <c r="G179" s="10"/>
      <c r="I179" s="10"/>
    </row>
    <row r="180" spans="3:9" x14ac:dyDescent="0.3">
      <c r="C180" s="15"/>
      <c r="E180" s="10"/>
      <c r="G180" s="10"/>
      <c r="I180" s="10"/>
    </row>
    <row r="181" spans="3:9" x14ac:dyDescent="0.3">
      <c r="C181" s="15"/>
      <c r="E181" s="10"/>
      <c r="G181" s="10"/>
      <c r="I181" s="10"/>
    </row>
    <row r="182" spans="3:9" x14ac:dyDescent="0.3">
      <c r="C182" s="15"/>
      <c r="E182" s="10"/>
      <c r="G182" s="10"/>
      <c r="I182" s="10"/>
    </row>
    <row r="183" spans="3:9" x14ac:dyDescent="0.3">
      <c r="C183" s="15"/>
      <c r="E183" s="10"/>
      <c r="G183" s="10"/>
      <c r="I183" s="10"/>
    </row>
    <row r="184" spans="3:9" x14ac:dyDescent="0.3">
      <c r="C184" s="15"/>
      <c r="E184" s="10"/>
      <c r="G184" s="10"/>
      <c r="I184" s="10"/>
    </row>
    <row r="185" spans="3:9" x14ac:dyDescent="0.3">
      <c r="C185" s="15"/>
      <c r="E185" s="10"/>
      <c r="G185" s="10"/>
      <c r="I185" s="10"/>
    </row>
    <row r="186" spans="3:9" x14ac:dyDescent="0.3">
      <c r="C186" s="15"/>
      <c r="E186" s="10"/>
      <c r="G186" s="10"/>
      <c r="I186" s="10"/>
    </row>
    <row r="187" spans="3:9" x14ac:dyDescent="0.3">
      <c r="C187" s="15"/>
      <c r="E187" s="10"/>
      <c r="G187" s="10"/>
      <c r="I187" s="10"/>
    </row>
    <row r="188" spans="3:9" x14ac:dyDescent="0.3">
      <c r="C188" s="15"/>
      <c r="E188" s="10"/>
      <c r="G188" s="10"/>
      <c r="I188" s="10"/>
    </row>
    <row r="189" spans="3:9" x14ac:dyDescent="0.3">
      <c r="C189" s="15"/>
      <c r="E189" s="10"/>
      <c r="G189" s="10"/>
      <c r="I189" s="10"/>
    </row>
    <row r="190" spans="3:9" x14ac:dyDescent="0.3">
      <c r="C190" s="15"/>
      <c r="E190" s="10"/>
      <c r="G190" s="10"/>
      <c r="I190" s="10"/>
    </row>
    <row r="191" spans="3:9" x14ac:dyDescent="0.3">
      <c r="C191" s="15"/>
      <c r="E191" s="10"/>
      <c r="G191" s="10"/>
      <c r="I191" s="10"/>
    </row>
    <row r="192" spans="3:9" x14ac:dyDescent="0.3">
      <c r="C192" s="15"/>
      <c r="E192" s="10"/>
      <c r="G192" s="10"/>
      <c r="I192" s="10"/>
    </row>
    <row r="193" spans="3:9" x14ac:dyDescent="0.3">
      <c r="C193" s="15"/>
      <c r="E193" s="10"/>
      <c r="G193" s="10"/>
      <c r="I193" s="10"/>
    </row>
    <row r="194" spans="3:9" x14ac:dyDescent="0.3">
      <c r="C194" s="15"/>
      <c r="E194" s="10"/>
      <c r="G194" s="10"/>
      <c r="I194" s="10"/>
    </row>
    <row r="195" spans="3:9" x14ac:dyDescent="0.3">
      <c r="C195" s="15"/>
      <c r="E195" s="10"/>
      <c r="G195" s="10"/>
      <c r="I195" s="10"/>
    </row>
    <row r="196" spans="3:9" x14ac:dyDescent="0.3">
      <c r="C196" s="15"/>
      <c r="E196" s="10"/>
      <c r="G196" s="10"/>
      <c r="I196" s="10"/>
    </row>
    <row r="197" spans="3:9" x14ac:dyDescent="0.3">
      <c r="C197" s="15"/>
      <c r="E197" s="10"/>
      <c r="G197" s="10"/>
      <c r="I197" s="10"/>
    </row>
    <row r="198" spans="3:9" x14ac:dyDescent="0.3">
      <c r="C198" s="15"/>
      <c r="E198" s="10"/>
      <c r="G198" s="10"/>
      <c r="I198" s="10"/>
    </row>
    <row r="199" spans="3:9" x14ac:dyDescent="0.3">
      <c r="C199" s="15"/>
      <c r="E199" s="10"/>
      <c r="G199" s="10"/>
      <c r="I199" s="10"/>
    </row>
    <row r="200" spans="3:9" x14ac:dyDescent="0.3">
      <c r="C200" s="15"/>
      <c r="E200" s="10"/>
      <c r="G200" s="10"/>
      <c r="I200" s="10"/>
    </row>
    <row r="201" spans="3:9" x14ac:dyDescent="0.3">
      <c r="C201" s="15"/>
      <c r="E201" s="10"/>
      <c r="G201" s="10"/>
      <c r="I201" s="10"/>
    </row>
    <row r="202" spans="3:9" x14ac:dyDescent="0.3">
      <c r="C202" s="15"/>
      <c r="E202" s="10"/>
      <c r="G202" s="10"/>
      <c r="I202" s="10"/>
    </row>
    <row r="203" spans="3:9" x14ac:dyDescent="0.3">
      <c r="C203" s="15"/>
      <c r="E203" s="10"/>
      <c r="G203" s="10"/>
      <c r="I203" s="10"/>
    </row>
    <row r="204" spans="3:9" x14ac:dyDescent="0.3">
      <c r="C204" s="15"/>
      <c r="E204" s="10"/>
      <c r="G204" s="10"/>
      <c r="I204" s="10"/>
    </row>
    <row r="205" spans="3:9" x14ac:dyDescent="0.3">
      <c r="C205" s="15"/>
      <c r="E205" s="10"/>
      <c r="G205" s="10"/>
      <c r="I205" s="10"/>
    </row>
    <row r="206" spans="3:9" x14ac:dyDescent="0.3">
      <c r="C206" s="15"/>
      <c r="E206" s="10"/>
      <c r="G206" s="10"/>
      <c r="I206" s="10"/>
    </row>
    <row r="207" spans="3:9" x14ac:dyDescent="0.3">
      <c r="C207" s="15"/>
      <c r="E207" s="10"/>
      <c r="G207" s="10"/>
      <c r="I207" s="10"/>
    </row>
    <row r="208" spans="3:9" x14ac:dyDescent="0.3">
      <c r="C208" s="15"/>
      <c r="E208" s="10"/>
      <c r="G208" s="10"/>
      <c r="I208" s="10"/>
    </row>
    <row r="209" spans="3:9" x14ac:dyDescent="0.3">
      <c r="C209" s="15"/>
      <c r="E209" s="10"/>
      <c r="G209" s="10"/>
      <c r="I209" s="10"/>
    </row>
    <row r="210" spans="3:9" x14ac:dyDescent="0.3">
      <c r="C210" s="15"/>
      <c r="E210" s="10"/>
      <c r="G210" s="10"/>
      <c r="I210" s="10"/>
    </row>
    <row r="211" spans="3:9" x14ac:dyDescent="0.3">
      <c r="C211" s="15"/>
      <c r="E211" s="10"/>
      <c r="G211" s="10"/>
      <c r="I211" s="10"/>
    </row>
    <row r="212" spans="3:9" x14ac:dyDescent="0.3">
      <c r="C212" s="15"/>
      <c r="E212" s="10"/>
      <c r="G212" s="10"/>
      <c r="I212" s="10"/>
    </row>
    <row r="213" spans="3:9" x14ac:dyDescent="0.3">
      <c r="C213" s="15"/>
      <c r="E213" s="10"/>
      <c r="G213" s="10"/>
      <c r="I213" s="10"/>
    </row>
    <row r="214" spans="3:9" x14ac:dyDescent="0.3">
      <c r="C214" s="15"/>
      <c r="E214" s="10"/>
      <c r="G214" s="10"/>
      <c r="I214" s="10"/>
    </row>
    <row r="215" spans="3:9" x14ac:dyDescent="0.3">
      <c r="C215" s="15"/>
      <c r="E215" s="10"/>
      <c r="G215" s="10"/>
      <c r="I215" s="10"/>
    </row>
    <row r="216" spans="3:9" x14ac:dyDescent="0.3">
      <c r="C216" s="15"/>
      <c r="E216" s="10"/>
      <c r="G216" s="10"/>
      <c r="I216" s="10"/>
    </row>
    <row r="217" spans="3:9" x14ac:dyDescent="0.3">
      <c r="C217" s="15"/>
      <c r="E217" s="10"/>
      <c r="G217" s="10"/>
      <c r="I217" s="10"/>
    </row>
    <row r="218" spans="3:9" x14ac:dyDescent="0.3">
      <c r="C218" s="15"/>
      <c r="E218" s="10"/>
      <c r="G218" s="10"/>
      <c r="I218" s="10"/>
    </row>
    <row r="219" spans="3:9" x14ac:dyDescent="0.3">
      <c r="C219" s="15"/>
      <c r="E219" s="10"/>
      <c r="G219" s="10"/>
      <c r="I219" s="10"/>
    </row>
    <row r="220" spans="3:9" x14ac:dyDescent="0.3">
      <c r="C220" s="15"/>
      <c r="E220" s="10"/>
      <c r="G220" s="10"/>
      <c r="I220" s="10"/>
    </row>
    <row r="221" spans="3:9" x14ac:dyDescent="0.3">
      <c r="C221" s="15"/>
      <c r="E221" s="10"/>
      <c r="G221" s="10"/>
      <c r="I221" s="10"/>
    </row>
    <row r="222" spans="3:9" x14ac:dyDescent="0.3">
      <c r="C222" s="15"/>
      <c r="E222" s="10"/>
      <c r="G222" s="10"/>
      <c r="I222" s="10"/>
    </row>
    <row r="223" spans="3:9" x14ac:dyDescent="0.3">
      <c r="C223" s="15"/>
      <c r="E223" s="10"/>
      <c r="G223" s="10"/>
      <c r="I223" s="10"/>
    </row>
    <row r="224" spans="3:9" x14ac:dyDescent="0.3">
      <c r="C224" s="15"/>
      <c r="E224" s="10"/>
      <c r="G224" s="10"/>
      <c r="I224" s="10"/>
    </row>
    <row r="225" spans="3:9" x14ac:dyDescent="0.3">
      <c r="C225" s="15"/>
      <c r="E225" s="10"/>
      <c r="G225" s="10"/>
      <c r="I225" s="10"/>
    </row>
    <row r="226" spans="3:9" x14ac:dyDescent="0.3">
      <c r="C226" s="15"/>
      <c r="E226" s="10"/>
      <c r="G226" s="10"/>
      <c r="I226" s="10"/>
    </row>
    <row r="227" spans="3:9" x14ac:dyDescent="0.3">
      <c r="C227" s="15"/>
      <c r="E227" s="10"/>
      <c r="G227" s="10"/>
      <c r="I227" s="10"/>
    </row>
    <row r="228" spans="3:9" x14ac:dyDescent="0.3">
      <c r="C228" s="15"/>
      <c r="E228" s="10"/>
      <c r="G228" s="10"/>
      <c r="I228" s="10"/>
    </row>
    <row r="229" spans="3:9" x14ac:dyDescent="0.3">
      <c r="C229" s="15"/>
      <c r="E229" s="10"/>
      <c r="G229" s="10"/>
      <c r="I229" s="10"/>
    </row>
    <row r="230" spans="3:9" x14ac:dyDescent="0.3">
      <c r="C230" s="15"/>
      <c r="E230" s="10"/>
      <c r="G230" s="10"/>
      <c r="I230" s="10"/>
    </row>
    <row r="231" spans="3:9" x14ac:dyDescent="0.3">
      <c r="C231" s="15"/>
      <c r="E231" s="10"/>
      <c r="G231" s="10"/>
      <c r="I231" s="10"/>
    </row>
    <row r="232" spans="3:9" x14ac:dyDescent="0.3">
      <c r="C232" s="15"/>
      <c r="E232" s="10"/>
      <c r="G232" s="10"/>
      <c r="I232" s="10"/>
    </row>
    <row r="233" spans="3:9" x14ac:dyDescent="0.3">
      <c r="C233" s="15"/>
      <c r="E233" s="10"/>
      <c r="G233" s="10"/>
      <c r="I233" s="10"/>
    </row>
    <row r="234" spans="3:9" x14ac:dyDescent="0.3">
      <c r="C234" s="15"/>
      <c r="E234" s="10"/>
      <c r="G234" s="10"/>
      <c r="I234" s="10"/>
    </row>
    <row r="235" spans="3:9" x14ac:dyDescent="0.3">
      <c r="C235" s="15"/>
      <c r="E235" s="10"/>
      <c r="G235" s="10"/>
      <c r="I235" s="10"/>
    </row>
    <row r="236" spans="3:9" x14ac:dyDescent="0.3">
      <c r="C236" s="15"/>
      <c r="E236" s="10"/>
      <c r="G236" s="10"/>
      <c r="I236" s="10"/>
    </row>
    <row r="237" spans="3:9" x14ac:dyDescent="0.3">
      <c r="C237" s="15"/>
      <c r="E237" s="10"/>
      <c r="G237" s="10"/>
      <c r="I237" s="10"/>
    </row>
    <row r="238" spans="3:9" x14ac:dyDescent="0.3">
      <c r="C238" s="15"/>
      <c r="E238" s="10"/>
      <c r="G238" s="10"/>
      <c r="I238" s="10"/>
    </row>
    <row r="239" spans="3:9" x14ac:dyDescent="0.3">
      <c r="C239" s="15"/>
      <c r="E239" s="10"/>
      <c r="G239" s="10"/>
      <c r="I239" s="10"/>
    </row>
    <row r="240" spans="3:9" x14ac:dyDescent="0.3">
      <c r="C240" s="15"/>
      <c r="E240" s="10"/>
      <c r="G240" s="10"/>
      <c r="I240" s="10"/>
    </row>
    <row r="241" spans="3:9" x14ac:dyDescent="0.3">
      <c r="C241" s="15"/>
      <c r="E241" s="10"/>
      <c r="G241" s="10"/>
      <c r="I241" s="10"/>
    </row>
    <row r="242" spans="3:9" x14ac:dyDescent="0.3">
      <c r="C242" s="15"/>
      <c r="E242" s="10"/>
      <c r="G242" s="10"/>
      <c r="I242" s="10"/>
    </row>
    <row r="243" spans="3:9" x14ac:dyDescent="0.3">
      <c r="C243" s="15"/>
      <c r="E243" s="10"/>
      <c r="G243" s="10"/>
      <c r="I243" s="10"/>
    </row>
    <row r="244" spans="3:9" x14ac:dyDescent="0.3">
      <c r="C244" s="15"/>
      <c r="E244" s="10"/>
      <c r="G244" s="10"/>
      <c r="I244" s="10"/>
    </row>
    <row r="245" spans="3:9" x14ac:dyDescent="0.3">
      <c r="C245" s="15"/>
      <c r="E245" s="10"/>
      <c r="G245" s="10"/>
      <c r="I245" s="10"/>
    </row>
    <row r="246" spans="3:9" x14ac:dyDescent="0.3">
      <c r="C246" s="15"/>
      <c r="E246" s="10"/>
      <c r="G246" s="10"/>
      <c r="I246" s="10"/>
    </row>
    <row r="247" spans="3:9" x14ac:dyDescent="0.3">
      <c r="C247" s="15"/>
      <c r="E247" s="10"/>
      <c r="G247" s="10"/>
      <c r="I247" s="10"/>
    </row>
    <row r="248" spans="3:9" x14ac:dyDescent="0.3">
      <c r="C248" s="15"/>
      <c r="E248" s="10"/>
      <c r="G248" s="10"/>
      <c r="I248" s="10"/>
    </row>
    <row r="249" spans="3:9" x14ac:dyDescent="0.3">
      <c r="C249" s="15"/>
      <c r="E249" s="10"/>
      <c r="G249" s="10"/>
      <c r="I249" s="10"/>
    </row>
    <row r="250" spans="3:9" x14ac:dyDescent="0.3">
      <c r="C250" s="15"/>
      <c r="E250" s="10"/>
      <c r="G250" s="10"/>
      <c r="I250" s="10"/>
    </row>
    <row r="251" spans="3:9" x14ac:dyDescent="0.3">
      <c r="C251" s="15"/>
      <c r="E251" s="10"/>
      <c r="G251" s="10"/>
      <c r="I251" s="10"/>
    </row>
    <row r="252" spans="3:9" x14ac:dyDescent="0.3">
      <c r="C252" s="15"/>
      <c r="E252" s="10"/>
      <c r="G252" s="10"/>
      <c r="I252" s="10"/>
    </row>
    <row r="253" spans="3:9" x14ac:dyDescent="0.3">
      <c r="C253" s="15"/>
      <c r="E253" s="10"/>
      <c r="G253" s="10"/>
      <c r="I253" s="10"/>
    </row>
    <row r="254" spans="3:9" x14ac:dyDescent="0.3">
      <c r="C254" s="15"/>
      <c r="E254" s="10"/>
      <c r="G254" s="10"/>
      <c r="I254" s="10"/>
    </row>
    <row r="255" spans="3:9" x14ac:dyDescent="0.3">
      <c r="C255" s="15"/>
      <c r="E255" s="10"/>
      <c r="G255" s="10"/>
      <c r="I255" s="10"/>
    </row>
    <row r="256" spans="3:9" x14ac:dyDescent="0.3">
      <c r="C256" s="15"/>
      <c r="E256" s="10"/>
      <c r="G256" s="10"/>
      <c r="I256" s="10"/>
    </row>
    <row r="257" spans="3:9" x14ac:dyDescent="0.3">
      <c r="C257" s="15"/>
      <c r="E257" s="10"/>
      <c r="G257" s="10"/>
      <c r="I257" s="10"/>
    </row>
    <row r="258" spans="3:9" x14ac:dyDescent="0.3">
      <c r="C258" s="15"/>
      <c r="E258" s="10"/>
      <c r="G258" s="10"/>
      <c r="I258" s="10"/>
    </row>
    <row r="259" spans="3:9" x14ac:dyDescent="0.3">
      <c r="C259" s="15"/>
      <c r="E259" s="10"/>
      <c r="G259" s="10"/>
      <c r="I259" s="10"/>
    </row>
    <row r="260" spans="3:9" x14ac:dyDescent="0.3">
      <c r="C260" s="15"/>
      <c r="E260" s="10"/>
      <c r="G260" s="10"/>
      <c r="I260" s="10"/>
    </row>
    <row r="261" spans="3:9" x14ac:dyDescent="0.3">
      <c r="C261" s="15"/>
      <c r="E261" s="10"/>
      <c r="G261" s="10"/>
      <c r="I261" s="10"/>
    </row>
    <row r="262" spans="3:9" x14ac:dyDescent="0.3">
      <c r="C262" s="15"/>
      <c r="E262" s="10"/>
      <c r="G262" s="10"/>
      <c r="I262" s="10"/>
    </row>
    <row r="263" spans="3:9" x14ac:dyDescent="0.3">
      <c r="C263" s="15"/>
      <c r="E263" s="10"/>
      <c r="G263" s="10"/>
      <c r="I263" s="10"/>
    </row>
    <row r="264" spans="3:9" x14ac:dyDescent="0.3">
      <c r="C264" s="15"/>
      <c r="E264" s="10"/>
      <c r="G264" s="10"/>
      <c r="I264" s="10"/>
    </row>
    <row r="265" spans="3:9" x14ac:dyDescent="0.3">
      <c r="C265" s="15"/>
      <c r="E265" s="10"/>
      <c r="G265" s="10"/>
      <c r="I265" s="10"/>
    </row>
    <row r="266" spans="3:9" x14ac:dyDescent="0.3">
      <c r="C266" s="15"/>
      <c r="E266" s="10"/>
      <c r="G266" s="10"/>
      <c r="I266" s="10"/>
    </row>
    <row r="267" spans="3:9" x14ac:dyDescent="0.3">
      <c r="C267" s="15"/>
      <c r="E267" s="10"/>
      <c r="G267" s="10"/>
      <c r="I267" s="10"/>
    </row>
    <row r="268" spans="3:9" x14ac:dyDescent="0.3">
      <c r="C268" s="15"/>
      <c r="E268" s="10"/>
      <c r="G268" s="10"/>
      <c r="I268" s="10"/>
    </row>
    <row r="269" spans="3:9" x14ac:dyDescent="0.3">
      <c r="C269" s="15"/>
      <c r="E269" s="10"/>
      <c r="G269" s="10"/>
      <c r="I269" s="10"/>
    </row>
    <row r="270" spans="3:9" x14ac:dyDescent="0.3">
      <c r="C270" s="15"/>
      <c r="E270" s="10"/>
      <c r="G270" s="10"/>
      <c r="I270" s="10"/>
    </row>
    <row r="271" spans="3:9" x14ac:dyDescent="0.3">
      <c r="C271" s="15"/>
      <c r="E271" s="10"/>
      <c r="G271" s="10"/>
      <c r="I271" s="10"/>
    </row>
    <row r="272" spans="3:9" x14ac:dyDescent="0.3">
      <c r="C272" s="15"/>
      <c r="E272" s="10"/>
      <c r="G272" s="10"/>
      <c r="I272" s="10"/>
    </row>
    <row r="273" spans="3:9" x14ac:dyDescent="0.3">
      <c r="C273" s="15"/>
      <c r="E273" s="10"/>
      <c r="G273" s="10"/>
      <c r="I273" s="10"/>
    </row>
    <row r="274" spans="3:9" x14ac:dyDescent="0.3">
      <c r="C274" s="15"/>
      <c r="E274" s="10"/>
      <c r="G274" s="10"/>
      <c r="I274" s="10"/>
    </row>
    <row r="275" spans="3:9" x14ac:dyDescent="0.3">
      <c r="C275" s="15"/>
      <c r="E275" s="10"/>
      <c r="G275" s="10"/>
      <c r="I275" s="10"/>
    </row>
    <row r="276" spans="3:9" x14ac:dyDescent="0.3">
      <c r="C276" s="15"/>
      <c r="E276" s="10"/>
      <c r="G276" s="10"/>
      <c r="I276" s="10"/>
    </row>
    <row r="277" spans="3:9" x14ac:dyDescent="0.3">
      <c r="C277" s="15"/>
      <c r="E277" s="10"/>
      <c r="G277" s="10"/>
      <c r="I277" s="10"/>
    </row>
    <row r="278" spans="3:9" x14ac:dyDescent="0.3">
      <c r="C278" s="15"/>
      <c r="E278" s="10"/>
      <c r="G278" s="10"/>
      <c r="I278" s="10"/>
    </row>
    <row r="279" spans="3:9" x14ac:dyDescent="0.3">
      <c r="C279" s="15"/>
      <c r="E279" s="10"/>
      <c r="G279" s="10"/>
      <c r="I279" s="10"/>
    </row>
    <row r="280" spans="3:9" x14ac:dyDescent="0.3">
      <c r="C280" s="15"/>
      <c r="E280" s="10"/>
      <c r="G280" s="10"/>
      <c r="I280" s="10"/>
    </row>
    <row r="281" spans="3:9" x14ac:dyDescent="0.3">
      <c r="C281" s="15"/>
      <c r="E281" s="10"/>
      <c r="G281" s="10"/>
      <c r="I281" s="10"/>
    </row>
    <row r="282" spans="3:9" x14ac:dyDescent="0.3">
      <c r="C282" s="15"/>
      <c r="E282" s="10"/>
      <c r="G282" s="10"/>
      <c r="I282" s="10"/>
    </row>
    <row r="283" spans="3:9" x14ac:dyDescent="0.3">
      <c r="C283" s="15"/>
      <c r="E283" s="10"/>
      <c r="G283" s="10"/>
      <c r="I283" s="10"/>
    </row>
    <row r="284" spans="3:9" x14ac:dyDescent="0.3">
      <c r="C284" s="15"/>
      <c r="E284" s="10"/>
      <c r="G284" s="10"/>
      <c r="I284" s="10"/>
    </row>
    <row r="285" spans="3:9" x14ac:dyDescent="0.3">
      <c r="C285" s="15"/>
      <c r="E285" s="10"/>
      <c r="G285" s="10"/>
      <c r="I285" s="10"/>
    </row>
    <row r="286" spans="3:9" x14ac:dyDescent="0.3">
      <c r="C286" s="15"/>
      <c r="E286" s="10"/>
      <c r="G286" s="10"/>
      <c r="I286" s="10"/>
    </row>
    <row r="287" spans="3:9" x14ac:dyDescent="0.3">
      <c r="C287" s="15"/>
      <c r="E287" s="10"/>
      <c r="G287" s="10"/>
      <c r="I287" s="10"/>
    </row>
    <row r="288" spans="3:9" x14ac:dyDescent="0.3">
      <c r="C288" s="15"/>
      <c r="E288" s="10"/>
      <c r="G288" s="10"/>
      <c r="I288" s="10"/>
    </row>
    <row r="289" spans="3:9" x14ac:dyDescent="0.3">
      <c r="C289" s="15"/>
      <c r="E289" s="10"/>
      <c r="G289" s="10"/>
      <c r="I289" s="10"/>
    </row>
    <row r="290" spans="3:9" x14ac:dyDescent="0.3">
      <c r="C290" s="15"/>
      <c r="E290" s="10"/>
      <c r="G290" s="10"/>
      <c r="I290" s="10"/>
    </row>
    <row r="291" spans="3:9" x14ac:dyDescent="0.3">
      <c r="C291" s="15"/>
      <c r="E291" s="10"/>
      <c r="G291" s="10"/>
      <c r="I291" s="10"/>
    </row>
    <row r="292" spans="3:9" x14ac:dyDescent="0.3">
      <c r="C292" s="15"/>
      <c r="E292" s="10"/>
      <c r="G292" s="10"/>
      <c r="I292" s="10"/>
    </row>
    <row r="293" spans="3:9" x14ac:dyDescent="0.3">
      <c r="C293" s="15"/>
      <c r="E293" s="10"/>
      <c r="G293" s="10"/>
      <c r="I293" s="10"/>
    </row>
    <row r="294" spans="3:9" x14ac:dyDescent="0.3">
      <c r="C294" s="15"/>
      <c r="E294" s="10"/>
      <c r="G294" s="10"/>
      <c r="I294" s="10"/>
    </row>
    <row r="295" spans="3:9" x14ac:dyDescent="0.3">
      <c r="C295" s="15"/>
      <c r="E295" s="10"/>
      <c r="G295" s="10"/>
      <c r="I295" s="10"/>
    </row>
    <row r="296" spans="3:9" x14ac:dyDescent="0.3">
      <c r="C296" s="15"/>
      <c r="E296" s="10"/>
      <c r="G296" s="10"/>
      <c r="I296" s="10"/>
    </row>
    <row r="297" spans="3:9" x14ac:dyDescent="0.3">
      <c r="C297" s="15"/>
      <c r="E297" s="10"/>
      <c r="G297" s="10"/>
      <c r="I297" s="10"/>
    </row>
    <row r="298" spans="3:9" x14ac:dyDescent="0.3">
      <c r="C298" s="15"/>
      <c r="E298" s="10"/>
      <c r="G298" s="10"/>
      <c r="I298" s="10"/>
    </row>
    <row r="299" spans="3:9" x14ac:dyDescent="0.3">
      <c r="C299" s="15"/>
      <c r="E299" s="10"/>
      <c r="G299" s="10"/>
      <c r="I299" s="10"/>
    </row>
    <row r="300" spans="3:9" x14ac:dyDescent="0.3">
      <c r="C300" s="15"/>
      <c r="E300" s="10"/>
      <c r="G300" s="10"/>
      <c r="I300" s="10"/>
    </row>
    <row r="301" spans="3:9" x14ac:dyDescent="0.3">
      <c r="C301" s="15"/>
      <c r="E301" s="10"/>
      <c r="G301" s="10"/>
      <c r="I301" s="10"/>
    </row>
    <row r="302" spans="3:9" x14ac:dyDescent="0.3">
      <c r="C302" s="15"/>
      <c r="E302" s="10"/>
      <c r="G302" s="10"/>
      <c r="I302" s="10"/>
    </row>
    <row r="303" spans="3:9" x14ac:dyDescent="0.3">
      <c r="C303" s="15"/>
      <c r="E303" s="10"/>
      <c r="G303" s="10"/>
      <c r="I303" s="10"/>
    </row>
    <row r="304" spans="3:9" x14ac:dyDescent="0.3">
      <c r="C304" s="15"/>
      <c r="E304" s="10"/>
      <c r="G304" s="10"/>
      <c r="I304" s="10"/>
    </row>
    <row r="305" spans="3:9" x14ac:dyDescent="0.3">
      <c r="C305" s="15"/>
      <c r="E305" s="10"/>
      <c r="G305" s="10"/>
      <c r="I305" s="10"/>
    </row>
    <row r="306" spans="3:9" x14ac:dyDescent="0.3">
      <c r="C306" s="15"/>
      <c r="E306" s="10"/>
      <c r="G306" s="10"/>
      <c r="I306" s="10"/>
    </row>
    <row r="307" spans="3:9" x14ac:dyDescent="0.3">
      <c r="C307" s="15"/>
      <c r="E307" s="10"/>
      <c r="G307" s="10"/>
      <c r="I307" s="10"/>
    </row>
    <row r="308" spans="3:9" x14ac:dyDescent="0.3">
      <c r="C308" s="15"/>
      <c r="E308" s="10"/>
      <c r="G308" s="10"/>
      <c r="I308" s="10"/>
    </row>
    <row r="309" spans="3:9" x14ac:dyDescent="0.3">
      <c r="C309" s="15"/>
      <c r="E309" s="10"/>
      <c r="G309" s="10"/>
      <c r="I309" s="10"/>
    </row>
    <row r="310" spans="3:9" x14ac:dyDescent="0.3">
      <c r="C310" s="15"/>
      <c r="E310" s="10"/>
      <c r="G310" s="10"/>
      <c r="I310" s="10"/>
    </row>
    <row r="311" spans="3:9" x14ac:dyDescent="0.3">
      <c r="C311" s="15"/>
      <c r="E311" s="10"/>
      <c r="G311" s="10"/>
      <c r="I311" s="10"/>
    </row>
    <row r="312" spans="3:9" x14ac:dyDescent="0.3">
      <c r="C312" s="15"/>
      <c r="E312" s="10"/>
      <c r="G312" s="10"/>
      <c r="I312" s="10"/>
    </row>
    <row r="313" spans="3:9" x14ac:dyDescent="0.3">
      <c r="C313" s="15"/>
      <c r="E313" s="10"/>
      <c r="G313" s="10"/>
      <c r="I313" s="10"/>
    </row>
    <row r="314" spans="3:9" x14ac:dyDescent="0.3">
      <c r="C314" s="15"/>
      <c r="E314" s="10"/>
      <c r="G314" s="10"/>
      <c r="I314" s="10"/>
    </row>
    <row r="315" spans="3:9" x14ac:dyDescent="0.3">
      <c r="C315" s="15"/>
      <c r="E315" s="10"/>
      <c r="G315" s="10"/>
      <c r="I315" s="10"/>
    </row>
    <row r="316" spans="3:9" x14ac:dyDescent="0.3">
      <c r="C316" s="15"/>
      <c r="E316" s="10"/>
      <c r="G316" s="10"/>
      <c r="I316" s="10"/>
    </row>
    <row r="317" spans="3:9" x14ac:dyDescent="0.3">
      <c r="C317" s="15"/>
      <c r="E317" s="10"/>
      <c r="G317" s="10"/>
      <c r="I317" s="10"/>
    </row>
    <row r="318" spans="3:9" x14ac:dyDescent="0.3">
      <c r="C318" s="15"/>
      <c r="E318" s="10"/>
      <c r="G318" s="10"/>
      <c r="I318" s="10"/>
    </row>
    <row r="319" spans="3:9" x14ac:dyDescent="0.3">
      <c r="C319" s="15"/>
      <c r="E319" s="10"/>
      <c r="G319" s="10"/>
      <c r="I319" s="10"/>
    </row>
    <row r="320" spans="3:9" x14ac:dyDescent="0.3">
      <c r="C320" s="15"/>
      <c r="E320" s="10"/>
      <c r="G320" s="10"/>
      <c r="I320" s="10"/>
    </row>
    <row r="321" spans="3:9" x14ac:dyDescent="0.3">
      <c r="C321" s="15"/>
      <c r="E321" s="10"/>
      <c r="G321" s="10"/>
      <c r="I321" s="10"/>
    </row>
    <row r="322" spans="3:9" x14ac:dyDescent="0.3">
      <c r="C322" s="15"/>
      <c r="E322" s="10"/>
      <c r="G322" s="10"/>
      <c r="I322" s="10"/>
    </row>
    <row r="323" spans="3:9" x14ac:dyDescent="0.3">
      <c r="C323" s="15"/>
      <c r="E323" s="10"/>
      <c r="G323" s="10"/>
      <c r="I323" s="10"/>
    </row>
    <row r="324" spans="3:9" x14ac:dyDescent="0.3">
      <c r="C324" s="15"/>
      <c r="E324" s="10"/>
      <c r="G324" s="10"/>
      <c r="I324" s="10"/>
    </row>
    <row r="325" spans="3:9" x14ac:dyDescent="0.3">
      <c r="C325" s="15"/>
      <c r="E325" s="10"/>
      <c r="G325" s="10"/>
      <c r="I325" s="10"/>
    </row>
    <row r="326" spans="3:9" x14ac:dyDescent="0.3">
      <c r="C326" s="15"/>
      <c r="E326" s="10"/>
      <c r="G326" s="10"/>
      <c r="I326" s="10"/>
    </row>
    <row r="327" spans="3:9" x14ac:dyDescent="0.3">
      <c r="C327" s="15"/>
      <c r="E327" s="10"/>
      <c r="G327" s="10"/>
      <c r="I327" s="10"/>
    </row>
    <row r="328" spans="3:9" x14ac:dyDescent="0.3">
      <c r="C328" s="15"/>
      <c r="E328" s="10"/>
      <c r="G328" s="10"/>
      <c r="I328" s="10"/>
    </row>
    <row r="329" spans="3:9" x14ac:dyDescent="0.3">
      <c r="C329" s="15"/>
      <c r="E329" s="10"/>
      <c r="G329" s="10"/>
      <c r="I329" s="10"/>
    </row>
    <row r="330" spans="3:9" x14ac:dyDescent="0.3">
      <c r="C330" s="15"/>
      <c r="E330" s="10"/>
      <c r="G330" s="10"/>
      <c r="I330" s="10"/>
    </row>
    <row r="331" spans="3:9" x14ac:dyDescent="0.3">
      <c r="C331" s="15"/>
      <c r="E331" s="10"/>
      <c r="G331" s="10"/>
      <c r="I331" s="10"/>
    </row>
    <row r="332" spans="3:9" x14ac:dyDescent="0.3">
      <c r="C332" s="15"/>
      <c r="E332" s="10"/>
      <c r="G332" s="10"/>
      <c r="I332" s="10"/>
    </row>
    <row r="333" spans="3:9" x14ac:dyDescent="0.3">
      <c r="C333" s="15"/>
      <c r="E333" s="10"/>
      <c r="G333" s="10"/>
      <c r="I333" s="10"/>
    </row>
    <row r="334" spans="3:9" x14ac:dyDescent="0.3">
      <c r="C334" s="15"/>
      <c r="E334" s="10"/>
      <c r="G334" s="10"/>
      <c r="I334" s="10"/>
    </row>
    <row r="335" spans="3:9" x14ac:dyDescent="0.3">
      <c r="C335" s="15"/>
      <c r="E335" s="10"/>
      <c r="G335" s="10"/>
      <c r="I335" s="10"/>
    </row>
    <row r="336" spans="3:9" x14ac:dyDescent="0.3">
      <c r="C336" s="15"/>
      <c r="E336" s="10"/>
      <c r="G336" s="10"/>
      <c r="I336" s="10"/>
    </row>
    <row r="337" spans="3:9" x14ac:dyDescent="0.3">
      <c r="C337" s="15"/>
      <c r="E337" s="10"/>
      <c r="G337" s="10"/>
      <c r="I337" s="10"/>
    </row>
    <row r="338" spans="3:9" x14ac:dyDescent="0.3">
      <c r="C338" s="15"/>
      <c r="E338" s="10"/>
      <c r="G338" s="10"/>
      <c r="I338" s="10"/>
    </row>
    <row r="339" spans="3:9" x14ac:dyDescent="0.3">
      <c r="C339" s="15"/>
      <c r="E339" s="10"/>
      <c r="G339" s="10"/>
      <c r="I339" s="10"/>
    </row>
    <row r="340" spans="3:9" x14ac:dyDescent="0.3">
      <c r="C340" s="15"/>
      <c r="E340" s="10"/>
      <c r="G340" s="10"/>
      <c r="I340" s="10"/>
    </row>
    <row r="341" spans="3:9" x14ac:dyDescent="0.3">
      <c r="C341" s="15"/>
      <c r="E341" s="10"/>
      <c r="G341" s="10"/>
      <c r="I341" s="10"/>
    </row>
    <row r="342" spans="3:9" x14ac:dyDescent="0.3">
      <c r="C342" s="15"/>
      <c r="E342" s="10"/>
      <c r="G342" s="10"/>
      <c r="I342" s="10"/>
    </row>
    <row r="343" spans="3:9" x14ac:dyDescent="0.3">
      <c r="C343" s="15"/>
      <c r="E343" s="10"/>
      <c r="G343" s="10"/>
      <c r="I343" s="10"/>
    </row>
    <row r="344" spans="3:9" x14ac:dyDescent="0.3">
      <c r="C344" s="15"/>
      <c r="E344" s="10"/>
      <c r="G344" s="10"/>
      <c r="I344" s="10"/>
    </row>
    <row r="345" spans="3:9" x14ac:dyDescent="0.3">
      <c r="C345" s="15"/>
      <c r="E345" s="10"/>
      <c r="G345" s="10"/>
      <c r="I345" s="10"/>
    </row>
    <row r="346" spans="3:9" x14ac:dyDescent="0.3">
      <c r="C346" s="15"/>
      <c r="E346" s="10"/>
      <c r="G346" s="10"/>
      <c r="I346" s="10"/>
    </row>
    <row r="347" spans="3:9" x14ac:dyDescent="0.3">
      <c r="C347" s="15"/>
      <c r="E347" s="10"/>
      <c r="G347" s="10"/>
      <c r="I347" s="10"/>
    </row>
    <row r="348" spans="3:9" x14ac:dyDescent="0.3">
      <c r="C348" s="15"/>
      <c r="E348" s="10"/>
      <c r="G348" s="10"/>
      <c r="I348" s="10"/>
    </row>
    <row r="349" spans="3:9" x14ac:dyDescent="0.3">
      <c r="C349" s="15"/>
      <c r="E349" s="10"/>
      <c r="G349" s="10"/>
      <c r="I349" s="10"/>
    </row>
    <row r="350" spans="3:9" x14ac:dyDescent="0.3">
      <c r="C350" s="15"/>
      <c r="E350" s="10"/>
      <c r="G350" s="10"/>
      <c r="I350" s="10"/>
    </row>
    <row r="351" spans="3:9" x14ac:dyDescent="0.3">
      <c r="C351" s="15"/>
      <c r="E351" s="10"/>
      <c r="G351" s="10"/>
      <c r="I351" s="10"/>
    </row>
    <row r="352" spans="3:9" x14ac:dyDescent="0.3">
      <c r="C352" s="15"/>
      <c r="E352" s="10"/>
      <c r="G352" s="10"/>
      <c r="I352" s="10"/>
    </row>
    <row r="353" spans="3:9" x14ac:dyDescent="0.3">
      <c r="C353" s="15"/>
      <c r="E353" s="10"/>
      <c r="G353" s="10"/>
      <c r="I353" s="10"/>
    </row>
    <row r="354" spans="3:9" x14ac:dyDescent="0.3">
      <c r="C354" s="15"/>
      <c r="E354" s="10"/>
      <c r="G354" s="10"/>
      <c r="I354" s="10"/>
    </row>
    <row r="355" spans="3:9" x14ac:dyDescent="0.3">
      <c r="C355" s="15"/>
      <c r="E355" s="10"/>
      <c r="G355" s="10"/>
      <c r="I355" s="10"/>
    </row>
    <row r="356" spans="3:9" x14ac:dyDescent="0.3">
      <c r="C356" s="15"/>
      <c r="E356" s="10"/>
      <c r="G356" s="10"/>
      <c r="I356" s="10"/>
    </row>
    <row r="357" spans="3:9" x14ac:dyDescent="0.3">
      <c r="C357" s="15"/>
      <c r="E357" s="10"/>
      <c r="G357" s="10"/>
      <c r="I357" s="10"/>
    </row>
    <row r="358" spans="3:9" x14ac:dyDescent="0.3">
      <c r="C358" s="15"/>
      <c r="E358" s="10"/>
      <c r="G358" s="10"/>
      <c r="I358" s="10"/>
    </row>
    <row r="359" spans="3:9" x14ac:dyDescent="0.3">
      <c r="C359" s="15"/>
      <c r="E359" s="10"/>
      <c r="G359" s="10"/>
      <c r="I359" s="10"/>
    </row>
    <row r="360" spans="3:9" x14ac:dyDescent="0.3">
      <c r="C360" s="15"/>
      <c r="E360" s="10"/>
      <c r="G360" s="10"/>
      <c r="I360" s="10"/>
    </row>
    <row r="361" spans="3:9" x14ac:dyDescent="0.3">
      <c r="C361" s="15"/>
      <c r="E361" s="10"/>
      <c r="G361" s="10"/>
      <c r="I361" s="10"/>
    </row>
    <row r="362" spans="3:9" x14ac:dyDescent="0.3">
      <c r="C362" s="15"/>
      <c r="E362" s="10"/>
      <c r="G362" s="10"/>
      <c r="I362" s="10"/>
    </row>
    <row r="363" spans="3:9" x14ac:dyDescent="0.3">
      <c r="C363" s="15"/>
      <c r="E363" s="10"/>
      <c r="G363" s="10"/>
      <c r="I363" s="10"/>
    </row>
    <row r="364" spans="3:9" x14ac:dyDescent="0.3">
      <c r="C364" s="15"/>
      <c r="E364" s="10"/>
      <c r="G364" s="10"/>
      <c r="I364" s="10"/>
    </row>
    <row r="365" spans="3:9" x14ac:dyDescent="0.3">
      <c r="C365" s="15"/>
      <c r="E365" s="10"/>
      <c r="G365" s="10"/>
      <c r="I365" s="10"/>
    </row>
    <row r="366" spans="3:9" x14ac:dyDescent="0.3">
      <c r="C366" s="15"/>
      <c r="E366" s="10"/>
      <c r="G366" s="10"/>
      <c r="I366" s="10"/>
    </row>
    <row r="367" spans="3:9" x14ac:dyDescent="0.3">
      <c r="C367" s="15"/>
      <c r="E367" s="10"/>
      <c r="G367" s="10"/>
      <c r="I367" s="10"/>
    </row>
    <row r="368" spans="3:9" x14ac:dyDescent="0.3">
      <c r="C368" s="15"/>
      <c r="E368" s="10"/>
      <c r="G368" s="10"/>
      <c r="I368" s="10"/>
    </row>
    <row r="369" spans="3:9" x14ac:dyDescent="0.3">
      <c r="C369" s="15"/>
      <c r="E369" s="10"/>
      <c r="G369" s="10"/>
      <c r="I369" s="10"/>
    </row>
    <row r="370" spans="3:9" x14ac:dyDescent="0.3">
      <c r="C370" s="15"/>
      <c r="E370" s="10"/>
      <c r="G370" s="10"/>
      <c r="I370" s="10"/>
    </row>
    <row r="371" spans="3:9" x14ac:dyDescent="0.3">
      <c r="C371" s="15"/>
      <c r="E371" s="10"/>
      <c r="G371" s="10"/>
      <c r="I371" s="10"/>
    </row>
    <row r="372" spans="3:9" x14ac:dyDescent="0.3">
      <c r="C372" s="15"/>
      <c r="E372" s="10"/>
      <c r="G372" s="10"/>
      <c r="I372" s="10"/>
    </row>
    <row r="373" spans="3:9" x14ac:dyDescent="0.3">
      <c r="C373" s="15"/>
      <c r="E373" s="10"/>
      <c r="G373" s="10"/>
      <c r="I373" s="10"/>
    </row>
    <row r="374" spans="3:9" x14ac:dyDescent="0.3">
      <c r="C374" s="15"/>
      <c r="E374" s="10"/>
      <c r="G374" s="10"/>
      <c r="I374" s="10"/>
    </row>
    <row r="375" spans="3:9" x14ac:dyDescent="0.3">
      <c r="C375" s="15"/>
      <c r="E375" s="10"/>
      <c r="G375" s="10"/>
      <c r="I375" s="10"/>
    </row>
    <row r="376" spans="3:9" x14ac:dyDescent="0.3">
      <c r="C376" s="15"/>
      <c r="E376" s="10"/>
      <c r="G376" s="10"/>
      <c r="I376" s="10"/>
    </row>
    <row r="377" spans="3:9" x14ac:dyDescent="0.3">
      <c r="C377" s="15"/>
      <c r="E377" s="10"/>
      <c r="G377" s="10"/>
      <c r="I377" s="10"/>
    </row>
    <row r="378" spans="3:9" x14ac:dyDescent="0.3">
      <c r="C378" s="15"/>
      <c r="E378" s="10"/>
      <c r="G378" s="10"/>
      <c r="I378" s="10"/>
    </row>
    <row r="379" spans="3:9" x14ac:dyDescent="0.3">
      <c r="C379" s="15"/>
      <c r="E379" s="10"/>
      <c r="G379" s="10"/>
      <c r="I379" s="10"/>
    </row>
    <row r="380" spans="3:9" x14ac:dyDescent="0.3">
      <c r="C380" s="15"/>
      <c r="E380" s="10"/>
      <c r="G380" s="10"/>
      <c r="I380" s="10"/>
    </row>
    <row r="381" spans="3:9" x14ac:dyDescent="0.3">
      <c r="C381" s="15"/>
      <c r="E381" s="10"/>
      <c r="G381" s="10"/>
      <c r="I381" s="10"/>
    </row>
    <row r="382" spans="3:9" x14ac:dyDescent="0.3">
      <c r="C382" s="15"/>
      <c r="E382" s="10"/>
      <c r="G382" s="10"/>
      <c r="I382" s="10"/>
    </row>
    <row r="383" spans="3:9" x14ac:dyDescent="0.3">
      <c r="C383" s="15"/>
      <c r="E383" s="10"/>
      <c r="G383" s="10"/>
      <c r="I383" s="10"/>
    </row>
    <row r="384" spans="3:9" x14ac:dyDescent="0.3">
      <c r="C384" s="15"/>
      <c r="E384" s="10"/>
      <c r="G384" s="10"/>
      <c r="I384" s="10"/>
    </row>
    <row r="385" spans="3:9" x14ac:dyDescent="0.3">
      <c r="C385" s="15"/>
      <c r="E385" s="10"/>
      <c r="G385" s="10"/>
      <c r="I385" s="10"/>
    </row>
    <row r="386" spans="3:9" x14ac:dyDescent="0.3">
      <c r="C386" s="15"/>
      <c r="E386" s="10"/>
      <c r="G386" s="10"/>
      <c r="I386" s="10"/>
    </row>
    <row r="387" spans="3:9" x14ac:dyDescent="0.3">
      <c r="C387" s="15"/>
      <c r="E387" s="10"/>
      <c r="G387" s="10"/>
      <c r="I387" s="10"/>
    </row>
    <row r="388" spans="3:9" x14ac:dyDescent="0.3">
      <c r="C388" s="15"/>
      <c r="E388" s="10"/>
      <c r="G388" s="10"/>
      <c r="I388" s="10"/>
    </row>
    <row r="389" spans="3:9" x14ac:dyDescent="0.3">
      <c r="C389" s="15"/>
      <c r="E389" s="10"/>
      <c r="G389" s="10"/>
      <c r="I389" s="10"/>
    </row>
    <row r="390" spans="3:9" x14ac:dyDescent="0.3">
      <c r="C390" s="15"/>
      <c r="E390" s="10"/>
      <c r="G390" s="10"/>
      <c r="I390" s="10"/>
    </row>
    <row r="391" spans="3:9" x14ac:dyDescent="0.3">
      <c r="C391" s="15"/>
      <c r="E391" s="10"/>
      <c r="G391" s="10"/>
      <c r="I391" s="10"/>
    </row>
    <row r="392" spans="3:9" x14ac:dyDescent="0.3">
      <c r="C392" s="15"/>
      <c r="E392" s="10"/>
      <c r="G392" s="10"/>
      <c r="I392" s="10"/>
    </row>
    <row r="393" spans="3:9" x14ac:dyDescent="0.3">
      <c r="C393" s="15"/>
      <c r="E393" s="10"/>
      <c r="G393" s="10"/>
      <c r="I393" s="10"/>
    </row>
    <row r="394" spans="3:9" x14ac:dyDescent="0.3">
      <c r="C394" s="15"/>
      <c r="E394" s="10"/>
      <c r="G394" s="10"/>
      <c r="I394" s="10"/>
    </row>
    <row r="395" spans="3:9" x14ac:dyDescent="0.3">
      <c r="C395" s="15"/>
      <c r="E395" s="10"/>
      <c r="G395" s="10"/>
      <c r="I395" s="10"/>
    </row>
    <row r="396" spans="3:9" x14ac:dyDescent="0.3">
      <c r="C396" s="15"/>
      <c r="E396" s="10"/>
      <c r="G396" s="10"/>
      <c r="I396" s="10"/>
    </row>
    <row r="397" spans="3:9" x14ac:dyDescent="0.3">
      <c r="C397" s="15"/>
      <c r="E397" s="10"/>
      <c r="G397" s="10"/>
      <c r="I397" s="10"/>
    </row>
    <row r="398" spans="3:9" x14ac:dyDescent="0.3">
      <c r="C398" s="15"/>
      <c r="E398" s="10"/>
      <c r="G398" s="10"/>
      <c r="I398" s="10"/>
    </row>
    <row r="399" spans="3:9" x14ac:dyDescent="0.3">
      <c r="C399" s="15"/>
      <c r="E399" s="10"/>
      <c r="G399" s="10"/>
      <c r="I399" s="10"/>
    </row>
    <row r="400" spans="3:9" x14ac:dyDescent="0.3">
      <c r="C400" s="15"/>
      <c r="E400" s="10"/>
      <c r="G400" s="10"/>
      <c r="I400" s="10"/>
    </row>
    <row r="401" spans="3:9" x14ac:dyDescent="0.3">
      <c r="C401" s="15"/>
      <c r="E401" s="10"/>
      <c r="G401" s="10"/>
      <c r="I401" s="10"/>
    </row>
    <row r="402" spans="3:9" x14ac:dyDescent="0.3">
      <c r="C402" s="15"/>
      <c r="E402" s="10"/>
      <c r="G402" s="10"/>
      <c r="I402" s="10"/>
    </row>
    <row r="403" spans="3:9" x14ac:dyDescent="0.3">
      <c r="C403" s="15"/>
      <c r="E403" s="10"/>
      <c r="G403" s="10"/>
      <c r="I403" s="10"/>
    </row>
    <row r="404" spans="3:9" x14ac:dyDescent="0.3">
      <c r="C404" s="15"/>
      <c r="E404" s="10"/>
      <c r="G404" s="10"/>
      <c r="I404" s="10"/>
    </row>
    <row r="405" spans="3:9" x14ac:dyDescent="0.3">
      <c r="C405" s="15"/>
      <c r="E405" s="10"/>
      <c r="G405" s="10"/>
      <c r="I405" s="10"/>
    </row>
    <row r="406" spans="3:9" x14ac:dyDescent="0.3">
      <c r="C406" s="15"/>
      <c r="E406" s="10"/>
      <c r="G406" s="10"/>
      <c r="I406" s="10"/>
    </row>
    <row r="407" spans="3:9" x14ac:dyDescent="0.3">
      <c r="C407" s="15"/>
      <c r="E407" s="10"/>
      <c r="G407" s="10"/>
      <c r="I407" s="10"/>
    </row>
    <row r="408" spans="3:9" x14ac:dyDescent="0.3">
      <c r="C408" s="15"/>
      <c r="E408" s="10"/>
      <c r="G408" s="10"/>
      <c r="I408" s="10"/>
    </row>
    <row r="409" spans="3:9" x14ac:dyDescent="0.3">
      <c r="C409" s="15"/>
      <c r="E409" s="10"/>
      <c r="G409" s="10"/>
      <c r="I409" s="10"/>
    </row>
    <row r="410" spans="3:9" x14ac:dyDescent="0.3">
      <c r="C410" s="15"/>
      <c r="E410" s="10"/>
      <c r="G410" s="10"/>
      <c r="I410" s="10"/>
    </row>
    <row r="411" spans="3:9" x14ac:dyDescent="0.3">
      <c r="C411" s="15"/>
      <c r="E411" s="10"/>
      <c r="G411" s="10"/>
      <c r="I411" s="10"/>
    </row>
    <row r="412" spans="3:9" x14ac:dyDescent="0.3">
      <c r="C412" s="15"/>
      <c r="E412" s="10"/>
      <c r="G412" s="10"/>
      <c r="I412" s="10"/>
    </row>
    <row r="413" spans="3:9" x14ac:dyDescent="0.3">
      <c r="C413" s="15"/>
      <c r="E413" s="10"/>
      <c r="G413" s="10"/>
      <c r="I413" s="10"/>
    </row>
    <row r="414" spans="3:9" x14ac:dyDescent="0.3">
      <c r="C414" s="15"/>
      <c r="E414" s="10"/>
      <c r="G414" s="10"/>
      <c r="I414" s="10"/>
    </row>
    <row r="415" spans="3:9" x14ac:dyDescent="0.3">
      <c r="C415" s="15"/>
      <c r="E415" s="10"/>
      <c r="G415" s="10"/>
      <c r="I415" s="10"/>
    </row>
    <row r="416" spans="3:9" x14ac:dyDescent="0.3">
      <c r="C416" s="15"/>
      <c r="E416" s="10"/>
      <c r="G416" s="10"/>
      <c r="I416" s="10"/>
    </row>
    <row r="417" spans="3:9" x14ac:dyDescent="0.3">
      <c r="C417" s="15"/>
      <c r="E417" s="10"/>
      <c r="G417" s="10"/>
      <c r="I417" s="10"/>
    </row>
    <row r="418" spans="3:9" x14ac:dyDescent="0.3">
      <c r="C418" s="15"/>
      <c r="E418" s="10"/>
      <c r="G418" s="10"/>
      <c r="I418" s="10"/>
    </row>
    <row r="419" spans="3:9" x14ac:dyDescent="0.3">
      <c r="C419" s="15"/>
      <c r="E419" s="10"/>
      <c r="G419" s="10"/>
      <c r="I419" s="10"/>
    </row>
    <row r="420" spans="3:9" x14ac:dyDescent="0.3">
      <c r="C420" s="15"/>
      <c r="E420" s="10"/>
      <c r="G420" s="10"/>
      <c r="I420" s="10"/>
    </row>
    <row r="421" spans="3:9" x14ac:dyDescent="0.3">
      <c r="C421" s="15"/>
      <c r="E421" s="10"/>
      <c r="G421" s="10"/>
      <c r="I421" s="10"/>
    </row>
    <row r="422" spans="3:9" x14ac:dyDescent="0.3">
      <c r="C422" s="15"/>
      <c r="E422" s="10"/>
      <c r="G422" s="10"/>
      <c r="I422" s="10"/>
    </row>
    <row r="423" spans="3:9" x14ac:dyDescent="0.3">
      <c r="C423" s="15"/>
      <c r="E423" s="10"/>
      <c r="G423" s="10"/>
      <c r="I423" s="10"/>
    </row>
    <row r="424" spans="3:9" x14ac:dyDescent="0.3">
      <c r="C424" s="15"/>
      <c r="E424" s="10"/>
      <c r="G424" s="10"/>
      <c r="I424" s="10"/>
    </row>
    <row r="425" spans="3:9" x14ac:dyDescent="0.3">
      <c r="C425" s="15"/>
      <c r="E425" s="10"/>
      <c r="G425" s="10"/>
      <c r="I425" s="10"/>
    </row>
    <row r="426" spans="3:9" x14ac:dyDescent="0.3">
      <c r="C426" s="15"/>
      <c r="E426" s="10"/>
      <c r="G426" s="10"/>
      <c r="I426" s="10"/>
    </row>
    <row r="427" spans="3:9" x14ac:dyDescent="0.3">
      <c r="C427" s="15"/>
      <c r="E427" s="10"/>
      <c r="G427" s="10"/>
      <c r="I427" s="10"/>
    </row>
    <row r="428" spans="3:9" x14ac:dyDescent="0.3">
      <c r="C428" s="15"/>
      <c r="E428" s="10"/>
      <c r="G428" s="10"/>
      <c r="I428" s="10"/>
    </row>
    <row r="429" spans="3:9" x14ac:dyDescent="0.3">
      <c r="C429" s="15"/>
      <c r="E429" s="10"/>
      <c r="G429" s="10"/>
      <c r="I429" s="10"/>
    </row>
    <row r="430" spans="3:9" x14ac:dyDescent="0.3">
      <c r="C430" s="15"/>
      <c r="E430" s="10"/>
      <c r="G430" s="10"/>
      <c r="I430" s="10"/>
    </row>
    <row r="431" spans="3:9" x14ac:dyDescent="0.3">
      <c r="C431" s="15"/>
      <c r="E431" s="10"/>
      <c r="G431" s="10"/>
      <c r="I431" s="10"/>
    </row>
    <row r="432" spans="3:9" x14ac:dyDescent="0.3">
      <c r="C432" s="15"/>
      <c r="E432" s="10"/>
      <c r="G432" s="10"/>
      <c r="I432" s="10"/>
    </row>
    <row r="433" spans="3:9" x14ac:dyDescent="0.3">
      <c r="C433" s="15"/>
      <c r="E433" s="10"/>
      <c r="G433" s="10"/>
      <c r="I433" s="10"/>
    </row>
    <row r="434" spans="3:9" x14ac:dyDescent="0.3">
      <c r="C434" s="15"/>
      <c r="E434" s="10"/>
      <c r="G434" s="10"/>
      <c r="I434" s="10"/>
    </row>
    <row r="435" spans="3:9" x14ac:dyDescent="0.3">
      <c r="C435" s="15"/>
      <c r="E435" s="10"/>
      <c r="G435" s="10"/>
      <c r="I435" s="10"/>
    </row>
    <row r="436" spans="3:9" x14ac:dyDescent="0.3">
      <c r="C436" s="15"/>
      <c r="E436" s="10"/>
      <c r="G436" s="10"/>
      <c r="I436" s="10"/>
    </row>
    <row r="437" spans="3:9" x14ac:dyDescent="0.3">
      <c r="C437" s="15"/>
      <c r="E437" s="10"/>
      <c r="G437" s="10"/>
      <c r="I437" s="10"/>
    </row>
    <row r="438" spans="3:9" x14ac:dyDescent="0.3">
      <c r="C438" s="15"/>
      <c r="E438" s="10"/>
      <c r="G438" s="10"/>
      <c r="I438" s="10"/>
    </row>
    <row r="439" spans="3:9" x14ac:dyDescent="0.3">
      <c r="C439" s="15"/>
      <c r="E439" s="10"/>
      <c r="G439" s="10"/>
      <c r="I439" s="10"/>
    </row>
    <row r="440" spans="3:9" x14ac:dyDescent="0.3">
      <c r="C440" s="15"/>
      <c r="E440" s="10"/>
      <c r="G440" s="10"/>
      <c r="I440" s="10"/>
    </row>
    <row r="441" spans="3:9" x14ac:dyDescent="0.3">
      <c r="C441" s="15"/>
      <c r="E441" s="10"/>
      <c r="G441" s="10"/>
      <c r="I441" s="10"/>
    </row>
    <row r="442" spans="3:9" x14ac:dyDescent="0.3">
      <c r="C442" s="15"/>
      <c r="E442" s="10"/>
      <c r="G442" s="10"/>
      <c r="I442" s="10"/>
    </row>
    <row r="443" spans="3:9" x14ac:dyDescent="0.3">
      <c r="C443" s="15"/>
      <c r="E443" s="10"/>
      <c r="G443" s="10"/>
      <c r="I443" s="10"/>
    </row>
    <row r="444" spans="3:9" x14ac:dyDescent="0.3">
      <c r="C444" s="15"/>
      <c r="E444" s="10"/>
      <c r="G444" s="10"/>
      <c r="I444" s="10"/>
    </row>
    <row r="445" spans="3:9" x14ac:dyDescent="0.3">
      <c r="C445" s="15"/>
      <c r="E445" s="10"/>
      <c r="G445" s="10"/>
      <c r="I445" s="10"/>
    </row>
    <row r="446" spans="3:9" x14ac:dyDescent="0.3">
      <c r="C446" s="15"/>
      <c r="E446" s="10"/>
      <c r="G446" s="10"/>
      <c r="I446" s="10"/>
    </row>
    <row r="447" spans="3:9" x14ac:dyDescent="0.3">
      <c r="C447" s="15"/>
      <c r="E447" s="10"/>
      <c r="G447" s="10"/>
      <c r="I447" s="10"/>
    </row>
    <row r="448" spans="3:9" x14ac:dyDescent="0.3">
      <c r="C448" s="15"/>
      <c r="E448" s="10"/>
      <c r="G448" s="10"/>
      <c r="I448" s="10"/>
    </row>
    <row r="449" spans="3:9" x14ac:dyDescent="0.3">
      <c r="C449" s="15"/>
      <c r="E449" s="10"/>
      <c r="G449" s="10"/>
      <c r="I449" s="10"/>
    </row>
    <row r="450" spans="3:9" x14ac:dyDescent="0.3">
      <c r="C450" s="15"/>
      <c r="E450" s="10"/>
      <c r="G450" s="10"/>
      <c r="I450" s="10"/>
    </row>
    <row r="451" spans="3:9" x14ac:dyDescent="0.3">
      <c r="C451" s="15"/>
      <c r="E451" s="10"/>
      <c r="G451" s="10"/>
      <c r="I451" s="10"/>
    </row>
    <row r="452" spans="3:9" x14ac:dyDescent="0.3">
      <c r="C452" s="15"/>
      <c r="E452" s="10"/>
      <c r="G452" s="10"/>
      <c r="I452" s="10"/>
    </row>
    <row r="453" spans="3:9" x14ac:dyDescent="0.3">
      <c r="C453" s="15"/>
      <c r="E453" s="10"/>
      <c r="G453" s="10"/>
      <c r="I453" s="10"/>
    </row>
    <row r="454" spans="3:9" x14ac:dyDescent="0.3">
      <c r="C454" s="15"/>
      <c r="E454" s="10"/>
      <c r="G454" s="10"/>
      <c r="I454" s="10"/>
    </row>
    <row r="455" spans="3:9" x14ac:dyDescent="0.3">
      <c r="C455" s="15"/>
      <c r="E455" s="10"/>
      <c r="G455" s="10"/>
      <c r="I455" s="10"/>
    </row>
    <row r="456" spans="3:9" x14ac:dyDescent="0.3">
      <c r="C456" s="15"/>
      <c r="E456" s="10"/>
      <c r="G456" s="10"/>
      <c r="I456" s="10"/>
    </row>
    <row r="457" spans="3:9" x14ac:dyDescent="0.3">
      <c r="C457" s="15"/>
      <c r="E457" s="10"/>
      <c r="G457" s="10"/>
      <c r="I457" s="10"/>
    </row>
    <row r="458" spans="3:9" x14ac:dyDescent="0.3">
      <c r="C458" s="15"/>
      <c r="E458" s="10"/>
      <c r="G458" s="10"/>
      <c r="I458" s="10"/>
    </row>
    <row r="459" spans="3:9" x14ac:dyDescent="0.3">
      <c r="C459" s="15"/>
      <c r="E459" s="10"/>
      <c r="G459" s="10"/>
      <c r="I459" s="10"/>
    </row>
    <row r="460" spans="3:9" x14ac:dyDescent="0.3">
      <c r="C460" s="15"/>
      <c r="E460" s="10"/>
      <c r="G460" s="10"/>
      <c r="I460" s="10"/>
    </row>
    <row r="461" spans="3:9" x14ac:dyDescent="0.3">
      <c r="C461" s="15"/>
      <c r="E461" s="10"/>
      <c r="G461" s="10"/>
      <c r="I461" s="10"/>
    </row>
    <row r="462" spans="3:9" x14ac:dyDescent="0.3">
      <c r="C462" s="15"/>
      <c r="E462" s="10"/>
      <c r="G462" s="10"/>
      <c r="I462" s="10"/>
    </row>
    <row r="463" spans="3:9" x14ac:dyDescent="0.3">
      <c r="C463" s="15"/>
      <c r="E463" s="10"/>
      <c r="G463" s="10"/>
      <c r="I463" s="10"/>
    </row>
    <row r="464" spans="3:9" x14ac:dyDescent="0.3">
      <c r="C464" s="15"/>
      <c r="E464" s="10"/>
      <c r="G464" s="10"/>
      <c r="I464" s="10"/>
    </row>
    <row r="465" spans="3:9" x14ac:dyDescent="0.3">
      <c r="C465" s="15"/>
      <c r="E465" s="10"/>
      <c r="G465" s="10"/>
      <c r="I465" s="10"/>
    </row>
    <row r="466" spans="3:9" x14ac:dyDescent="0.3">
      <c r="C466" s="15"/>
      <c r="E466" s="10"/>
      <c r="G466" s="10"/>
      <c r="I466" s="10"/>
    </row>
    <row r="467" spans="3:9" x14ac:dyDescent="0.3">
      <c r="C467" s="15"/>
      <c r="E467" s="10"/>
      <c r="G467" s="10"/>
      <c r="I467" s="10"/>
    </row>
    <row r="468" spans="3:9" x14ac:dyDescent="0.3">
      <c r="C468" s="15"/>
      <c r="E468" s="10"/>
      <c r="G468" s="10"/>
      <c r="I468" s="10"/>
    </row>
    <row r="469" spans="3:9" x14ac:dyDescent="0.3">
      <c r="C469" s="15"/>
      <c r="E469" s="10"/>
      <c r="G469" s="10"/>
      <c r="I469" s="10"/>
    </row>
    <row r="470" spans="3:9" x14ac:dyDescent="0.3">
      <c r="C470" s="15"/>
      <c r="E470" s="10"/>
      <c r="G470" s="10"/>
      <c r="I470" s="10"/>
    </row>
    <row r="471" spans="3:9" x14ac:dyDescent="0.3">
      <c r="C471" s="15"/>
      <c r="E471" s="10"/>
      <c r="G471" s="10"/>
      <c r="I471" s="10"/>
    </row>
    <row r="472" spans="3:9" x14ac:dyDescent="0.3">
      <c r="C472" s="15"/>
      <c r="E472" s="10"/>
      <c r="G472" s="10"/>
      <c r="I472" s="10"/>
    </row>
    <row r="473" spans="3:9" x14ac:dyDescent="0.3">
      <c r="C473" s="15"/>
      <c r="E473" s="10"/>
      <c r="G473" s="10"/>
      <c r="I473" s="10"/>
    </row>
    <row r="474" spans="3:9" x14ac:dyDescent="0.3">
      <c r="C474" s="15"/>
      <c r="E474" s="10"/>
      <c r="G474" s="10"/>
      <c r="I474" s="10"/>
    </row>
    <row r="475" spans="3:9" x14ac:dyDescent="0.3">
      <c r="C475" s="15"/>
      <c r="E475" s="10"/>
      <c r="G475" s="10"/>
      <c r="I475" s="10"/>
    </row>
    <row r="476" spans="3:9" x14ac:dyDescent="0.3">
      <c r="C476" s="15"/>
      <c r="E476" s="10"/>
      <c r="G476" s="10"/>
      <c r="I476" s="10"/>
    </row>
    <row r="477" spans="3:9" x14ac:dyDescent="0.3">
      <c r="C477" s="15"/>
      <c r="E477" s="10"/>
      <c r="G477" s="10"/>
      <c r="I477" s="10"/>
    </row>
    <row r="478" spans="3:9" x14ac:dyDescent="0.3">
      <c r="C478" s="15"/>
      <c r="E478" s="10"/>
      <c r="G478" s="10"/>
      <c r="I478" s="10"/>
    </row>
    <row r="479" spans="3:9" x14ac:dyDescent="0.3">
      <c r="C479" s="15"/>
      <c r="E479" s="10"/>
      <c r="G479" s="10"/>
      <c r="I479" s="10"/>
    </row>
    <row r="480" spans="3:9" x14ac:dyDescent="0.3">
      <c r="C480" s="15"/>
      <c r="E480" s="10"/>
      <c r="G480" s="10"/>
      <c r="I480" s="10"/>
    </row>
    <row r="481" spans="3:9" x14ac:dyDescent="0.3">
      <c r="C481" s="15"/>
      <c r="E481" s="10"/>
      <c r="G481" s="10"/>
      <c r="I481" s="10"/>
    </row>
    <row r="482" spans="3:9" x14ac:dyDescent="0.3">
      <c r="C482" s="15"/>
      <c r="E482" s="10"/>
      <c r="G482" s="10"/>
      <c r="I482" s="10"/>
    </row>
    <row r="483" spans="3:9" x14ac:dyDescent="0.3">
      <c r="C483" s="15"/>
      <c r="E483" s="10"/>
      <c r="G483" s="10"/>
      <c r="I483" s="10"/>
    </row>
    <row r="484" spans="3:9" x14ac:dyDescent="0.3">
      <c r="C484" s="15"/>
      <c r="E484" s="10"/>
      <c r="G484" s="10"/>
      <c r="I484" s="10"/>
    </row>
    <row r="485" spans="3:9" x14ac:dyDescent="0.3">
      <c r="C485" s="15"/>
      <c r="E485" s="10"/>
      <c r="G485" s="10"/>
      <c r="I485" s="10"/>
    </row>
    <row r="486" spans="3:9" x14ac:dyDescent="0.3">
      <c r="C486" s="15"/>
      <c r="E486" s="10"/>
      <c r="G486" s="10"/>
      <c r="I486" s="10"/>
    </row>
    <row r="487" spans="3:9" x14ac:dyDescent="0.3">
      <c r="C487" s="15"/>
      <c r="E487" s="10"/>
      <c r="G487" s="10"/>
      <c r="I487" s="10"/>
    </row>
    <row r="488" spans="3:9" x14ac:dyDescent="0.3">
      <c r="C488" s="15"/>
      <c r="E488" s="10"/>
      <c r="G488" s="10"/>
      <c r="I488" s="10"/>
    </row>
    <row r="489" spans="3:9" x14ac:dyDescent="0.3">
      <c r="C489" s="15"/>
      <c r="E489" s="10"/>
      <c r="G489" s="10"/>
      <c r="I489" s="10"/>
    </row>
    <row r="490" spans="3:9" x14ac:dyDescent="0.3">
      <c r="C490" s="15"/>
      <c r="E490" s="10"/>
      <c r="G490" s="10"/>
      <c r="I490" s="10"/>
    </row>
    <row r="491" spans="3:9" x14ac:dyDescent="0.3">
      <c r="C491" s="15"/>
      <c r="E491" s="10"/>
      <c r="G491" s="10"/>
      <c r="I491" s="10"/>
    </row>
    <row r="492" spans="3:9" x14ac:dyDescent="0.3">
      <c r="C492" s="15"/>
      <c r="E492" s="10"/>
      <c r="G492" s="10"/>
      <c r="I492" s="10"/>
    </row>
    <row r="493" spans="3:9" x14ac:dyDescent="0.3">
      <c r="C493" s="15"/>
      <c r="E493" s="10"/>
      <c r="G493" s="10"/>
      <c r="I493" s="10"/>
    </row>
    <row r="494" spans="3:9" x14ac:dyDescent="0.3">
      <c r="C494" s="15"/>
      <c r="E494" s="10"/>
      <c r="G494" s="10"/>
      <c r="I494" s="10"/>
    </row>
    <row r="495" spans="3:9" x14ac:dyDescent="0.3">
      <c r="C495" s="15"/>
      <c r="E495" s="10"/>
      <c r="G495" s="10"/>
      <c r="I495" s="10"/>
    </row>
    <row r="496" spans="3:9" x14ac:dyDescent="0.3">
      <c r="C496" s="15"/>
      <c r="E496" s="10"/>
      <c r="G496" s="10"/>
      <c r="I496" s="10"/>
    </row>
    <row r="497" spans="3:9" x14ac:dyDescent="0.3">
      <c r="C497" s="15"/>
      <c r="E497" s="10"/>
      <c r="G497" s="10"/>
      <c r="I497" s="10"/>
    </row>
    <row r="498" spans="3:9" x14ac:dyDescent="0.3">
      <c r="C498" s="15"/>
      <c r="E498" s="10"/>
      <c r="G498" s="10"/>
      <c r="I498" s="10"/>
    </row>
    <row r="499" spans="3:9" x14ac:dyDescent="0.3">
      <c r="C499" s="15"/>
      <c r="E499" s="10"/>
      <c r="G499" s="10"/>
      <c r="I499" s="10"/>
    </row>
    <row r="500" spans="3:9" x14ac:dyDescent="0.3">
      <c r="C500" s="15"/>
      <c r="E500" s="10"/>
      <c r="G500" s="10"/>
      <c r="I500" s="10"/>
    </row>
    <row r="501" spans="3:9" x14ac:dyDescent="0.3">
      <c r="C501" s="15"/>
      <c r="E501" s="10"/>
      <c r="G501" s="10"/>
      <c r="I501" s="10"/>
    </row>
    <row r="502" spans="3:9" x14ac:dyDescent="0.3">
      <c r="C502" s="15"/>
      <c r="E502" s="10"/>
      <c r="G502" s="10"/>
      <c r="I502" s="10"/>
    </row>
    <row r="503" spans="3:9" x14ac:dyDescent="0.3">
      <c r="C503" s="15"/>
      <c r="E503" s="10"/>
      <c r="G503" s="10"/>
      <c r="I503" s="10"/>
    </row>
    <row r="504" spans="3:9" x14ac:dyDescent="0.3">
      <c r="C504" s="15"/>
      <c r="E504" s="10"/>
      <c r="G504" s="10"/>
      <c r="I504" s="10"/>
    </row>
    <row r="505" spans="3:9" x14ac:dyDescent="0.3">
      <c r="C505" s="15"/>
      <c r="E505" s="10"/>
      <c r="G505" s="10"/>
      <c r="I505" s="10"/>
    </row>
    <row r="506" spans="3:9" x14ac:dyDescent="0.3">
      <c r="C506" s="15"/>
      <c r="E506" s="10"/>
      <c r="G506" s="10"/>
      <c r="I506" s="10"/>
    </row>
    <row r="507" spans="3:9" x14ac:dyDescent="0.3">
      <c r="C507" s="15"/>
      <c r="E507" s="10"/>
      <c r="G507" s="10"/>
      <c r="I507" s="10"/>
    </row>
    <row r="508" spans="3:9" x14ac:dyDescent="0.3">
      <c r="C508" s="15"/>
      <c r="E508" s="10"/>
      <c r="G508" s="10"/>
      <c r="I508" s="10"/>
    </row>
    <row r="509" spans="3:9" x14ac:dyDescent="0.3">
      <c r="C509" s="15"/>
      <c r="E509" s="10"/>
      <c r="G509" s="10"/>
      <c r="I509" s="10"/>
    </row>
    <row r="510" spans="3:9" x14ac:dyDescent="0.3">
      <c r="C510" s="15"/>
      <c r="E510" s="10"/>
      <c r="G510" s="10"/>
      <c r="I510" s="10"/>
    </row>
    <row r="511" spans="3:9" x14ac:dyDescent="0.3">
      <c r="C511" s="15"/>
      <c r="E511" s="10"/>
      <c r="G511" s="10"/>
      <c r="I511" s="10"/>
    </row>
    <row r="512" spans="3:9" x14ac:dyDescent="0.3">
      <c r="C512" s="15"/>
      <c r="E512" s="10"/>
      <c r="G512" s="10"/>
      <c r="I512" s="10"/>
    </row>
    <row r="513" spans="3:9" x14ac:dyDescent="0.3">
      <c r="C513" s="15"/>
      <c r="E513" s="10"/>
      <c r="G513" s="10"/>
      <c r="I513" s="10"/>
    </row>
    <row r="514" spans="3:9" x14ac:dyDescent="0.3">
      <c r="C514" s="15"/>
      <c r="E514" s="10"/>
      <c r="G514" s="10"/>
      <c r="I514" s="10"/>
    </row>
    <row r="515" spans="3:9" x14ac:dyDescent="0.3">
      <c r="C515" s="15"/>
      <c r="E515" s="10"/>
      <c r="G515" s="10"/>
      <c r="I515" s="10"/>
    </row>
    <row r="516" spans="3:9" x14ac:dyDescent="0.3">
      <c r="C516" s="15"/>
      <c r="E516" s="10"/>
      <c r="G516" s="10"/>
      <c r="I516" s="10"/>
    </row>
    <row r="517" spans="3:9" x14ac:dyDescent="0.3">
      <c r="C517" s="15"/>
      <c r="E517" s="10"/>
      <c r="G517" s="10"/>
      <c r="I517" s="10"/>
    </row>
    <row r="518" spans="3:9" x14ac:dyDescent="0.3">
      <c r="C518" s="15"/>
      <c r="E518" s="10"/>
      <c r="G518" s="10"/>
      <c r="I518" s="10"/>
    </row>
    <row r="519" spans="3:9" x14ac:dyDescent="0.3">
      <c r="C519" s="15"/>
      <c r="E519" s="10"/>
      <c r="G519" s="10"/>
      <c r="I519" s="10"/>
    </row>
    <row r="520" spans="3:9" x14ac:dyDescent="0.3">
      <c r="C520" s="15"/>
      <c r="E520" s="10"/>
      <c r="G520" s="10"/>
      <c r="I520" s="10"/>
    </row>
    <row r="521" spans="3:9" x14ac:dyDescent="0.3">
      <c r="C521" s="15"/>
      <c r="E521" s="10"/>
      <c r="G521" s="10"/>
      <c r="I521" s="10"/>
    </row>
    <row r="522" spans="3:9" x14ac:dyDescent="0.3">
      <c r="C522" s="15"/>
      <c r="E522" s="10"/>
      <c r="G522" s="10"/>
      <c r="I522" s="10"/>
    </row>
    <row r="523" spans="3:9" x14ac:dyDescent="0.3">
      <c r="C523" s="15"/>
      <c r="E523" s="10"/>
      <c r="G523" s="10"/>
      <c r="I523" s="10"/>
    </row>
    <row r="524" spans="3:9" x14ac:dyDescent="0.3">
      <c r="C524" s="15"/>
      <c r="E524" s="10"/>
      <c r="G524" s="10"/>
      <c r="I524" s="10"/>
    </row>
    <row r="525" spans="3:9" x14ac:dyDescent="0.3">
      <c r="C525" s="15"/>
      <c r="E525" s="10"/>
      <c r="G525" s="10"/>
      <c r="I525" s="10"/>
    </row>
    <row r="526" spans="3:9" x14ac:dyDescent="0.3">
      <c r="C526" s="15"/>
      <c r="E526" s="10"/>
      <c r="G526" s="10"/>
      <c r="I526" s="10"/>
    </row>
    <row r="527" spans="3:9" x14ac:dyDescent="0.3">
      <c r="C527" s="15"/>
      <c r="E527" s="10"/>
      <c r="G527" s="10"/>
      <c r="I527" s="10"/>
    </row>
    <row r="528" spans="3:9" x14ac:dyDescent="0.3">
      <c r="C528" s="15"/>
      <c r="E528" s="10"/>
      <c r="G528" s="10"/>
      <c r="I528" s="10"/>
    </row>
    <row r="529" spans="3:9" x14ac:dyDescent="0.3">
      <c r="C529" s="15"/>
      <c r="E529" s="10"/>
      <c r="G529" s="10"/>
      <c r="I529" s="10"/>
    </row>
    <row r="530" spans="3:9" x14ac:dyDescent="0.3">
      <c r="C530" s="15"/>
      <c r="E530" s="10"/>
      <c r="G530" s="10"/>
      <c r="I530" s="10"/>
    </row>
    <row r="531" spans="3:9" x14ac:dyDescent="0.3">
      <c r="C531" s="15"/>
      <c r="E531" s="10"/>
      <c r="G531" s="10"/>
      <c r="I531" s="10"/>
    </row>
    <row r="532" spans="3:9" x14ac:dyDescent="0.3">
      <c r="C532" s="15"/>
      <c r="E532" s="10"/>
      <c r="G532" s="10"/>
      <c r="I532" s="10"/>
    </row>
    <row r="533" spans="3:9" x14ac:dyDescent="0.3">
      <c r="C533" s="15"/>
      <c r="E533" s="10"/>
      <c r="G533" s="10"/>
      <c r="I533" s="10"/>
    </row>
    <row r="534" spans="3:9" x14ac:dyDescent="0.3">
      <c r="C534" s="15"/>
      <c r="E534" s="10"/>
      <c r="G534" s="10"/>
      <c r="I534" s="10"/>
    </row>
    <row r="535" spans="3:9" x14ac:dyDescent="0.3">
      <c r="C535" s="15"/>
      <c r="E535" s="10"/>
      <c r="G535" s="10"/>
      <c r="I535" s="10"/>
    </row>
    <row r="536" spans="3:9" x14ac:dyDescent="0.3">
      <c r="C536" s="15"/>
      <c r="E536" s="10"/>
      <c r="G536" s="10"/>
      <c r="I536" s="10"/>
    </row>
    <row r="537" spans="3:9" x14ac:dyDescent="0.3">
      <c r="C537" s="15"/>
      <c r="E537" s="10"/>
      <c r="G537" s="10"/>
      <c r="I537" s="10"/>
    </row>
    <row r="538" spans="3:9" x14ac:dyDescent="0.3">
      <c r="C538" s="15"/>
      <c r="E538" s="10"/>
      <c r="G538" s="10"/>
      <c r="I538" s="10"/>
    </row>
    <row r="539" spans="3:9" x14ac:dyDescent="0.3">
      <c r="C539" s="15"/>
      <c r="E539" s="10"/>
      <c r="G539" s="10"/>
      <c r="I539" s="10"/>
    </row>
    <row r="540" spans="3:9" x14ac:dyDescent="0.3">
      <c r="C540" s="15"/>
      <c r="E540" s="10"/>
      <c r="G540" s="10"/>
      <c r="I540" s="10"/>
    </row>
    <row r="541" spans="3:9" x14ac:dyDescent="0.3">
      <c r="C541" s="15"/>
      <c r="E541" s="10"/>
      <c r="G541" s="10"/>
      <c r="I541" s="10"/>
    </row>
    <row r="542" spans="3:9" x14ac:dyDescent="0.3">
      <c r="C542" s="15"/>
      <c r="E542" s="10"/>
      <c r="G542" s="10"/>
      <c r="I542" s="10"/>
    </row>
    <row r="543" spans="3:9" x14ac:dyDescent="0.3">
      <c r="C543" s="15"/>
      <c r="E543" s="10"/>
      <c r="G543" s="10"/>
      <c r="I543" s="10"/>
    </row>
    <row r="544" spans="3:9" x14ac:dyDescent="0.3">
      <c r="C544" s="15"/>
      <c r="E544" s="10"/>
      <c r="G544" s="10"/>
      <c r="I544" s="10"/>
    </row>
    <row r="545" spans="3:9" x14ac:dyDescent="0.3">
      <c r="C545" s="15"/>
      <c r="E545" s="10"/>
      <c r="G545" s="10"/>
      <c r="I545" s="10"/>
    </row>
    <row r="546" spans="3:9" x14ac:dyDescent="0.3">
      <c r="C546" s="15"/>
      <c r="E546" s="10"/>
      <c r="G546" s="10"/>
      <c r="I546" s="10"/>
    </row>
    <row r="547" spans="3:9" x14ac:dyDescent="0.3">
      <c r="C547" s="15"/>
      <c r="E547" s="10"/>
      <c r="G547" s="10"/>
      <c r="I547" s="10"/>
    </row>
    <row r="548" spans="3:9" x14ac:dyDescent="0.3">
      <c r="C548" s="15"/>
      <c r="E548" s="10"/>
      <c r="G548" s="10"/>
      <c r="I548" s="10"/>
    </row>
    <row r="549" spans="3:9" x14ac:dyDescent="0.3">
      <c r="C549" s="15"/>
      <c r="E549" s="10"/>
      <c r="G549" s="10"/>
      <c r="I549" s="10"/>
    </row>
    <row r="550" spans="3:9" x14ac:dyDescent="0.3">
      <c r="C550" s="15"/>
      <c r="E550" s="10"/>
      <c r="G550" s="10"/>
      <c r="I550" s="10"/>
    </row>
    <row r="551" spans="3:9" x14ac:dyDescent="0.3">
      <c r="C551" s="15"/>
      <c r="E551" s="10"/>
      <c r="G551" s="10"/>
      <c r="I551" s="10"/>
    </row>
    <row r="552" spans="3:9" x14ac:dyDescent="0.3">
      <c r="C552" s="15"/>
      <c r="E552" s="10"/>
      <c r="G552" s="10"/>
      <c r="I552" s="10"/>
    </row>
    <row r="553" spans="3:9" x14ac:dyDescent="0.3">
      <c r="C553" s="15"/>
      <c r="E553" s="10"/>
      <c r="G553" s="10"/>
      <c r="I553" s="10"/>
    </row>
    <row r="554" spans="3:9" x14ac:dyDescent="0.3">
      <c r="C554" s="15"/>
      <c r="E554" s="10"/>
      <c r="G554" s="10"/>
      <c r="I554" s="10"/>
    </row>
    <row r="555" spans="3:9" x14ac:dyDescent="0.3">
      <c r="C555" s="15"/>
      <c r="E555" s="10"/>
      <c r="G555" s="10"/>
      <c r="I555" s="10"/>
    </row>
    <row r="556" spans="3:9" x14ac:dyDescent="0.3">
      <c r="C556" s="15"/>
      <c r="E556" s="10"/>
      <c r="G556" s="10"/>
      <c r="I556" s="10"/>
    </row>
    <row r="557" spans="3:9" x14ac:dyDescent="0.3">
      <c r="C557" s="15"/>
      <c r="E557" s="10"/>
      <c r="G557" s="10"/>
      <c r="I557" s="10"/>
    </row>
    <row r="558" spans="3:9" x14ac:dyDescent="0.3">
      <c r="C558" s="15"/>
      <c r="E558" s="10"/>
      <c r="G558" s="10"/>
      <c r="I558" s="10"/>
    </row>
    <row r="559" spans="3:9" x14ac:dyDescent="0.3">
      <c r="C559" s="15"/>
      <c r="E559" s="10"/>
      <c r="G559" s="10"/>
      <c r="I559" s="10"/>
    </row>
    <row r="560" spans="3:9" x14ac:dyDescent="0.3">
      <c r="C560" s="15"/>
      <c r="E560" s="10"/>
      <c r="G560" s="10"/>
      <c r="I560" s="10"/>
    </row>
    <row r="561" spans="3:9" x14ac:dyDescent="0.3">
      <c r="C561" s="15"/>
      <c r="E561" s="10"/>
      <c r="G561" s="10"/>
      <c r="I561" s="10"/>
    </row>
    <row r="562" spans="3:9" x14ac:dyDescent="0.3">
      <c r="C562" s="15"/>
      <c r="E562" s="10"/>
      <c r="G562" s="10"/>
      <c r="I562" s="10"/>
    </row>
    <row r="563" spans="3:9" x14ac:dyDescent="0.3">
      <c r="C563" s="15"/>
      <c r="E563" s="10"/>
      <c r="G563" s="10"/>
      <c r="I563" s="10"/>
    </row>
    <row r="564" spans="3:9" x14ac:dyDescent="0.3">
      <c r="C564" s="15"/>
      <c r="E564" s="10"/>
      <c r="G564" s="10"/>
      <c r="I564" s="10"/>
    </row>
    <row r="565" spans="3:9" x14ac:dyDescent="0.3">
      <c r="C565" s="15"/>
      <c r="E565" s="10"/>
      <c r="G565" s="10"/>
      <c r="I565" s="10"/>
    </row>
    <row r="566" spans="3:9" x14ac:dyDescent="0.3">
      <c r="C566" s="15"/>
      <c r="E566" s="10"/>
      <c r="G566" s="10"/>
      <c r="I566" s="10"/>
    </row>
    <row r="567" spans="3:9" x14ac:dyDescent="0.3">
      <c r="C567" s="15"/>
      <c r="E567" s="10"/>
      <c r="G567" s="10"/>
      <c r="I567" s="10"/>
    </row>
    <row r="568" spans="3:9" x14ac:dyDescent="0.3">
      <c r="C568" s="15"/>
      <c r="E568" s="10"/>
      <c r="G568" s="10"/>
      <c r="I568" s="10"/>
    </row>
    <row r="569" spans="3:9" x14ac:dyDescent="0.3">
      <c r="C569" s="15"/>
      <c r="E569" s="10"/>
      <c r="G569" s="10"/>
      <c r="I569" s="10"/>
    </row>
    <row r="570" spans="3:9" x14ac:dyDescent="0.3">
      <c r="C570" s="15"/>
      <c r="E570" s="10"/>
      <c r="G570" s="10"/>
      <c r="I570" s="10"/>
    </row>
    <row r="571" spans="3:9" x14ac:dyDescent="0.3">
      <c r="C571" s="15"/>
      <c r="E571" s="10"/>
      <c r="G571" s="10"/>
      <c r="I571" s="10"/>
    </row>
    <row r="572" spans="3:9" x14ac:dyDescent="0.3">
      <c r="C572" s="15"/>
      <c r="E572" s="10"/>
      <c r="G572" s="10"/>
      <c r="I572" s="10"/>
    </row>
    <row r="573" spans="3:9" x14ac:dyDescent="0.3">
      <c r="C573" s="15"/>
      <c r="E573" s="10"/>
      <c r="G573" s="10"/>
      <c r="I573" s="10"/>
    </row>
    <row r="574" spans="3:9" x14ac:dyDescent="0.3">
      <c r="C574" s="15"/>
      <c r="E574" s="10"/>
      <c r="G574" s="10"/>
      <c r="I574" s="10"/>
    </row>
    <row r="575" spans="3:9" x14ac:dyDescent="0.3">
      <c r="C575" s="15"/>
      <c r="E575" s="10"/>
      <c r="G575" s="10"/>
      <c r="I575" s="10"/>
    </row>
    <row r="576" spans="3:9" x14ac:dyDescent="0.3">
      <c r="C576" s="15"/>
      <c r="E576" s="10"/>
      <c r="G576" s="10"/>
      <c r="I576" s="10"/>
    </row>
    <row r="577" spans="3:9" x14ac:dyDescent="0.3">
      <c r="C577" s="15"/>
      <c r="E577" s="10"/>
      <c r="G577" s="10"/>
      <c r="I577" s="10"/>
    </row>
    <row r="578" spans="3:9" x14ac:dyDescent="0.3">
      <c r="C578" s="15"/>
      <c r="E578" s="10"/>
      <c r="G578" s="10"/>
      <c r="I578" s="10"/>
    </row>
    <row r="579" spans="3:9" x14ac:dyDescent="0.3">
      <c r="C579" s="15"/>
      <c r="E579" s="10"/>
      <c r="G579" s="10"/>
      <c r="I579" s="10"/>
    </row>
    <row r="580" spans="3:9" x14ac:dyDescent="0.3">
      <c r="C580" s="15"/>
      <c r="E580" s="10"/>
      <c r="G580" s="10"/>
      <c r="I580" s="10"/>
    </row>
    <row r="581" spans="3:9" x14ac:dyDescent="0.3">
      <c r="C581" s="15"/>
      <c r="E581" s="10"/>
      <c r="G581" s="10"/>
      <c r="I581" s="10"/>
    </row>
    <row r="582" spans="3:9" x14ac:dyDescent="0.3">
      <c r="C582" s="15"/>
      <c r="E582" s="10"/>
      <c r="G582" s="10"/>
      <c r="I582" s="10"/>
    </row>
    <row r="583" spans="3:9" x14ac:dyDescent="0.3">
      <c r="C583" s="15"/>
      <c r="E583" s="10"/>
      <c r="G583" s="10"/>
      <c r="I583" s="10"/>
    </row>
    <row r="584" spans="3:9" x14ac:dyDescent="0.3">
      <c r="C584" s="15"/>
      <c r="E584" s="10"/>
      <c r="G584" s="10"/>
      <c r="I584" s="10"/>
    </row>
    <row r="585" spans="3:9" x14ac:dyDescent="0.3">
      <c r="C585" s="15"/>
      <c r="E585" s="10"/>
      <c r="G585" s="10"/>
      <c r="I585" s="10"/>
    </row>
    <row r="586" spans="3:9" x14ac:dyDescent="0.3">
      <c r="C586" s="15"/>
      <c r="E586" s="10"/>
      <c r="G586" s="10"/>
      <c r="I586" s="10"/>
    </row>
    <row r="587" spans="3:9" x14ac:dyDescent="0.3">
      <c r="C587" s="15"/>
      <c r="E587" s="10"/>
      <c r="G587" s="10"/>
      <c r="I587" s="10"/>
    </row>
    <row r="588" spans="3:9" x14ac:dyDescent="0.3">
      <c r="C588" s="15"/>
      <c r="E588" s="10"/>
      <c r="G588" s="10"/>
      <c r="I588" s="10"/>
    </row>
    <row r="589" spans="3:9" x14ac:dyDescent="0.3">
      <c r="C589" s="15"/>
      <c r="E589" s="10"/>
      <c r="G589" s="10"/>
      <c r="I589" s="10"/>
    </row>
    <row r="590" spans="3:9" x14ac:dyDescent="0.3">
      <c r="C590" s="15"/>
      <c r="E590" s="10"/>
      <c r="G590" s="10"/>
      <c r="I590" s="10"/>
    </row>
    <row r="591" spans="3:9" x14ac:dyDescent="0.3">
      <c r="C591" s="15"/>
      <c r="E591" s="10"/>
      <c r="G591" s="10"/>
      <c r="I591" s="10"/>
    </row>
    <row r="592" spans="3:9" x14ac:dyDescent="0.3">
      <c r="C592" s="15"/>
      <c r="E592" s="10"/>
      <c r="G592" s="10"/>
      <c r="I592" s="10"/>
    </row>
    <row r="593" spans="3:9" x14ac:dyDescent="0.3">
      <c r="C593" s="15"/>
      <c r="E593" s="10"/>
      <c r="G593" s="10"/>
      <c r="I593" s="10"/>
    </row>
    <row r="594" spans="3:9" x14ac:dyDescent="0.3">
      <c r="C594" s="15"/>
      <c r="E594" s="10"/>
      <c r="G594" s="10"/>
      <c r="I594" s="10"/>
    </row>
    <row r="595" spans="3:9" x14ac:dyDescent="0.3">
      <c r="C595" s="15"/>
      <c r="E595" s="10"/>
      <c r="G595" s="10"/>
      <c r="I595" s="10"/>
    </row>
    <row r="596" spans="3:9" x14ac:dyDescent="0.3">
      <c r="C596" s="15"/>
      <c r="E596" s="10"/>
      <c r="G596" s="10"/>
      <c r="I596" s="10"/>
    </row>
    <row r="597" spans="3:9" x14ac:dyDescent="0.3">
      <c r="C597" s="15"/>
      <c r="E597" s="10"/>
      <c r="G597" s="10"/>
      <c r="I597" s="10"/>
    </row>
    <row r="598" spans="3:9" x14ac:dyDescent="0.3">
      <c r="C598" s="15"/>
      <c r="E598" s="10"/>
      <c r="G598" s="10"/>
      <c r="I598" s="10"/>
    </row>
    <row r="599" spans="3:9" x14ac:dyDescent="0.3">
      <c r="C599" s="15"/>
      <c r="E599" s="10"/>
      <c r="G599" s="10"/>
      <c r="I599" s="10"/>
    </row>
    <row r="600" spans="3:9" x14ac:dyDescent="0.3">
      <c r="C600" s="15"/>
      <c r="E600" s="10"/>
      <c r="G600" s="10"/>
      <c r="I600" s="10"/>
    </row>
    <row r="601" spans="3:9" x14ac:dyDescent="0.3">
      <c r="C601" s="15"/>
      <c r="E601" s="10"/>
      <c r="G601" s="10"/>
      <c r="I601" s="10"/>
    </row>
    <row r="602" spans="3:9" x14ac:dyDescent="0.3">
      <c r="C602" s="15"/>
      <c r="E602" s="10"/>
      <c r="G602" s="10"/>
      <c r="I602" s="10"/>
    </row>
    <row r="603" spans="3:9" x14ac:dyDescent="0.3">
      <c r="C603" s="15"/>
      <c r="E603" s="10"/>
      <c r="G603" s="10"/>
      <c r="I603" s="10"/>
    </row>
    <row r="604" spans="3:9" x14ac:dyDescent="0.3">
      <c r="C604" s="15"/>
      <c r="E604" s="10"/>
      <c r="G604" s="10"/>
      <c r="I604" s="10"/>
    </row>
    <row r="605" spans="3:9" x14ac:dyDescent="0.3">
      <c r="C605" s="15"/>
      <c r="E605" s="10"/>
      <c r="G605" s="10"/>
      <c r="I605" s="10"/>
    </row>
    <row r="606" spans="3:9" x14ac:dyDescent="0.3">
      <c r="C606" s="15"/>
      <c r="E606" s="10"/>
      <c r="G606" s="10"/>
      <c r="I606" s="10"/>
    </row>
    <row r="607" spans="3:9" x14ac:dyDescent="0.3">
      <c r="C607" s="15"/>
      <c r="E607" s="10"/>
      <c r="G607" s="10"/>
      <c r="I607" s="10"/>
    </row>
    <row r="608" spans="3:9" x14ac:dyDescent="0.3">
      <c r="C608" s="15"/>
      <c r="E608" s="10"/>
      <c r="G608" s="10"/>
      <c r="I608" s="10"/>
    </row>
    <row r="609" spans="3:9" x14ac:dyDescent="0.3">
      <c r="C609" s="15"/>
      <c r="E609" s="10"/>
      <c r="G609" s="10"/>
      <c r="I609" s="10"/>
    </row>
    <row r="610" spans="3:9" x14ac:dyDescent="0.3">
      <c r="C610" s="15"/>
      <c r="E610" s="10"/>
      <c r="G610" s="10"/>
      <c r="I610" s="10"/>
    </row>
    <row r="611" spans="3:9" x14ac:dyDescent="0.3">
      <c r="C611" s="15"/>
      <c r="E611" s="10"/>
      <c r="G611" s="10"/>
      <c r="I611" s="10"/>
    </row>
    <row r="612" spans="3:9" x14ac:dyDescent="0.3">
      <c r="C612" s="15"/>
      <c r="E612" s="10"/>
      <c r="G612" s="10"/>
      <c r="I612" s="10"/>
    </row>
    <row r="613" spans="3:9" x14ac:dyDescent="0.3">
      <c r="C613" s="15"/>
      <c r="E613" s="10"/>
      <c r="G613" s="10"/>
      <c r="I613" s="10"/>
    </row>
    <row r="614" spans="3:9" x14ac:dyDescent="0.3">
      <c r="C614" s="15"/>
      <c r="E614" s="10"/>
      <c r="G614" s="10"/>
      <c r="I614" s="10"/>
    </row>
    <row r="615" spans="3:9" x14ac:dyDescent="0.3">
      <c r="C615" s="15"/>
      <c r="E615" s="10"/>
      <c r="G615" s="10"/>
      <c r="I615" s="10"/>
    </row>
    <row r="616" spans="3:9" x14ac:dyDescent="0.3">
      <c r="C616" s="15"/>
      <c r="E616" s="10"/>
      <c r="G616" s="10"/>
      <c r="I616" s="10"/>
    </row>
    <row r="617" spans="3:9" x14ac:dyDescent="0.3">
      <c r="C617" s="15"/>
      <c r="E617" s="10"/>
      <c r="G617" s="10"/>
      <c r="I617" s="10"/>
    </row>
    <row r="618" spans="3:9" x14ac:dyDescent="0.3">
      <c r="C618" s="15"/>
      <c r="E618" s="10"/>
      <c r="G618" s="10"/>
      <c r="I618" s="10"/>
    </row>
    <row r="619" spans="3:9" x14ac:dyDescent="0.3">
      <c r="C619" s="15"/>
      <c r="E619" s="10"/>
      <c r="G619" s="10"/>
      <c r="I619" s="10"/>
    </row>
    <row r="620" spans="3:9" x14ac:dyDescent="0.3">
      <c r="C620" s="15"/>
      <c r="E620" s="10"/>
      <c r="G620" s="10"/>
      <c r="I620" s="10"/>
    </row>
    <row r="621" spans="3:9" x14ac:dyDescent="0.3">
      <c r="C621" s="15"/>
      <c r="E621" s="10"/>
      <c r="G621" s="10"/>
      <c r="I621" s="10"/>
    </row>
    <row r="622" spans="3:9" x14ac:dyDescent="0.3">
      <c r="C622" s="15"/>
      <c r="E622" s="10"/>
      <c r="G622" s="10"/>
      <c r="I622" s="10"/>
    </row>
    <row r="623" spans="3:9" x14ac:dyDescent="0.3">
      <c r="C623" s="15"/>
      <c r="E623" s="10"/>
      <c r="G623" s="10"/>
      <c r="I623" s="10"/>
    </row>
    <row r="624" spans="3:9" x14ac:dyDescent="0.3">
      <c r="C624" s="15"/>
      <c r="E624" s="10"/>
      <c r="G624" s="10"/>
      <c r="I624" s="10"/>
    </row>
    <row r="625" spans="3:9" x14ac:dyDescent="0.3">
      <c r="C625" s="15"/>
      <c r="E625" s="10"/>
      <c r="G625" s="10"/>
      <c r="I625" s="10"/>
    </row>
    <row r="626" spans="3:9" x14ac:dyDescent="0.3">
      <c r="C626" s="15"/>
      <c r="E626" s="10"/>
      <c r="G626" s="10"/>
      <c r="I626" s="10"/>
    </row>
    <row r="627" spans="3:9" x14ac:dyDescent="0.3">
      <c r="C627" s="15"/>
      <c r="E627" s="10"/>
      <c r="G627" s="10"/>
      <c r="I627" s="10"/>
    </row>
    <row r="628" spans="3:9" x14ac:dyDescent="0.3">
      <c r="C628" s="15"/>
      <c r="E628" s="10"/>
      <c r="G628" s="10"/>
      <c r="I628" s="10"/>
    </row>
    <row r="629" spans="3:9" x14ac:dyDescent="0.3">
      <c r="C629" s="15"/>
      <c r="E629" s="10"/>
      <c r="G629" s="10"/>
      <c r="I629" s="10"/>
    </row>
    <row r="630" spans="3:9" x14ac:dyDescent="0.3">
      <c r="C630" s="15"/>
      <c r="E630" s="10"/>
      <c r="G630" s="10"/>
      <c r="I630" s="10"/>
    </row>
    <row r="631" spans="3:9" x14ac:dyDescent="0.3">
      <c r="C631" s="15"/>
      <c r="E631" s="10"/>
      <c r="G631" s="10"/>
      <c r="I631" s="10"/>
    </row>
    <row r="632" spans="3:9" x14ac:dyDescent="0.3">
      <c r="C632" s="15"/>
      <c r="E632" s="10"/>
      <c r="G632" s="10"/>
      <c r="I632" s="10"/>
    </row>
    <row r="633" spans="3:9" x14ac:dyDescent="0.3">
      <c r="C633" s="15"/>
      <c r="E633" s="10"/>
      <c r="G633" s="10"/>
      <c r="I633" s="10"/>
    </row>
    <row r="634" spans="3:9" x14ac:dyDescent="0.3">
      <c r="C634" s="15"/>
      <c r="E634" s="10"/>
      <c r="G634" s="10"/>
      <c r="I634" s="10"/>
    </row>
    <row r="635" spans="3:9" x14ac:dyDescent="0.3">
      <c r="C635" s="15"/>
      <c r="E635" s="10"/>
      <c r="G635" s="10"/>
      <c r="I635" s="10"/>
    </row>
    <row r="636" spans="3:9" x14ac:dyDescent="0.3">
      <c r="C636" s="15"/>
      <c r="E636" s="10"/>
      <c r="G636" s="10"/>
      <c r="I636" s="10"/>
    </row>
    <row r="637" spans="3:9" x14ac:dyDescent="0.3">
      <c r="C637" s="15"/>
      <c r="E637" s="10"/>
      <c r="G637" s="10"/>
      <c r="I637" s="10"/>
    </row>
    <row r="638" spans="3:9" x14ac:dyDescent="0.3">
      <c r="C638" s="15"/>
      <c r="E638" s="10"/>
      <c r="G638" s="10"/>
      <c r="I638" s="10"/>
    </row>
    <row r="639" spans="3:9" x14ac:dyDescent="0.3">
      <c r="C639" s="15"/>
      <c r="E639" s="10"/>
      <c r="G639" s="10"/>
      <c r="I639" s="10"/>
    </row>
    <row r="640" spans="3:9" x14ac:dyDescent="0.3">
      <c r="C640" s="15"/>
      <c r="E640" s="10"/>
      <c r="G640" s="10"/>
      <c r="I640" s="10"/>
    </row>
    <row r="641" spans="3:9" x14ac:dyDescent="0.3">
      <c r="C641" s="15"/>
      <c r="E641" s="10"/>
      <c r="G641" s="10"/>
      <c r="I641" s="10"/>
    </row>
    <row r="642" spans="3:9" x14ac:dyDescent="0.3">
      <c r="C642" s="15"/>
      <c r="E642" s="10"/>
      <c r="G642" s="10"/>
      <c r="I642" s="10"/>
    </row>
    <row r="643" spans="3:9" x14ac:dyDescent="0.3">
      <c r="C643" s="15"/>
      <c r="E643" s="10"/>
      <c r="G643" s="10"/>
      <c r="I643" s="10"/>
    </row>
    <row r="644" spans="3:9" x14ac:dyDescent="0.3">
      <c r="C644" s="15"/>
      <c r="E644" s="10"/>
      <c r="G644" s="10"/>
      <c r="I644" s="10"/>
    </row>
    <row r="645" spans="3:9" x14ac:dyDescent="0.3">
      <c r="C645" s="15"/>
      <c r="E645" s="10"/>
      <c r="G645" s="10"/>
      <c r="I645" s="10"/>
    </row>
    <row r="646" spans="3:9" x14ac:dyDescent="0.3">
      <c r="C646" s="15"/>
      <c r="E646" s="10"/>
      <c r="G646" s="10"/>
      <c r="I646" s="10"/>
    </row>
    <row r="647" spans="3:9" x14ac:dyDescent="0.3">
      <c r="C647" s="15"/>
      <c r="E647" s="10"/>
      <c r="G647" s="10"/>
      <c r="I647" s="10"/>
    </row>
    <row r="648" spans="3:9" x14ac:dyDescent="0.3">
      <c r="C648" s="15"/>
      <c r="E648" s="10"/>
      <c r="G648" s="10"/>
      <c r="I648" s="10"/>
    </row>
    <row r="649" spans="3:9" x14ac:dyDescent="0.3">
      <c r="C649" s="15"/>
      <c r="E649" s="10"/>
      <c r="G649" s="10"/>
      <c r="I649" s="10"/>
    </row>
    <row r="650" spans="3:9" x14ac:dyDescent="0.3">
      <c r="C650" s="15"/>
      <c r="E650" s="10"/>
      <c r="G650" s="10"/>
      <c r="I650" s="10"/>
    </row>
    <row r="651" spans="3:9" x14ac:dyDescent="0.3">
      <c r="C651" s="15"/>
      <c r="E651" s="10"/>
      <c r="G651" s="10"/>
      <c r="I651" s="10"/>
    </row>
    <row r="652" spans="3:9" x14ac:dyDescent="0.3">
      <c r="C652" s="15"/>
      <c r="E652" s="10"/>
      <c r="G652" s="10"/>
      <c r="I652" s="10"/>
    </row>
    <row r="653" spans="3:9" x14ac:dyDescent="0.3">
      <c r="C653" s="15"/>
      <c r="E653" s="10"/>
      <c r="G653" s="10"/>
      <c r="I653" s="10"/>
    </row>
    <row r="654" spans="3:9" x14ac:dyDescent="0.3">
      <c r="C654" s="15"/>
      <c r="E654" s="10"/>
      <c r="G654" s="10"/>
      <c r="I654" s="10"/>
    </row>
    <row r="655" spans="3:9" x14ac:dyDescent="0.3">
      <c r="C655" s="15"/>
      <c r="E655" s="10"/>
      <c r="G655" s="10"/>
      <c r="I655" s="10"/>
    </row>
    <row r="656" spans="3:9" x14ac:dyDescent="0.3">
      <c r="C656" s="15"/>
      <c r="E656" s="10"/>
      <c r="G656" s="10"/>
      <c r="I656" s="10"/>
    </row>
    <row r="657" spans="3:9" x14ac:dyDescent="0.3">
      <c r="C657" s="15"/>
      <c r="E657" s="10"/>
      <c r="G657" s="10"/>
      <c r="I657" s="10"/>
    </row>
    <row r="658" spans="3:9" x14ac:dyDescent="0.3">
      <c r="C658" s="15"/>
      <c r="E658" s="10"/>
      <c r="G658" s="10"/>
      <c r="I658" s="10"/>
    </row>
    <row r="659" spans="3:9" x14ac:dyDescent="0.3">
      <c r="C659" s="15"/>
      <c r="E659" s="10"/>
      <c r="G659" s="10"/>
      <c r="I659" s="10"/>
    </row>
    <row r="660" spans="3:9" x14ac:dyDescent="0.3">
      <c r="C660" s="15"/>
      <c r="E660" s="10"/>
      <c r="G660" s="10"/>
      <c r="I660" s="10"/>
    </row>
    <row r="661" spans="3:9" x14ac:dyDescent="0.3">
      <c r="C661" s="15"/>
      <c r="E661" s="10"/>
      <c r="G661" s="10"/>
      <c r="I661" s="10"/>
    </row>
    <row r="662" spans="3:9" x14ac:dyDescent="0.3">
      <c r="C662" s="15"/>
      <c r="E662" s="10"/>
      <c r="G662" s="10"/>
      <c r="I662" s="10"/>
    </row>
    <row r="663" spans="3:9" x14ac:dyDescent="0.3">
      <c r="C663" s="15"/>
      <c r="E663" s="10"/>
      <c r="G663" s="10"/>
      <c r="I663" s="10"/>
    </row>
    <row r="664" spans="3:9" x14ac:dyDescent="0.3">
      <c r="C664" s="15"/>
      <c r="E664" s="10"/>
      <c r="G664" s="10"/>
      <c r="I664" s="10"/>
    </row>
    <row r="665" spans="3:9" x14ac:dyDescent="0.3">
      <c r="C665" s="15"/>
      <c r="E665" s="10"/>
      <c r="G665" s="10"/>
      <c r="I665" s="10"/>
    </row>
    <row r="666" spans="3:9" x14ac:dyDescent="0.3">
      <c r="C666" s="15"/>
      <c r="E666" s="10"/>
      <c r="G666" s="10"/>
      <c r="I666" s="10"/>
    </row>
    <row r="667" spans="3:9" x14ac:dyDescent="0.3">
      <c r="C667" s="15"/>
      <c r="E667" s="10"/>
      <c r="G667" s="10"/>
      <c r="I667" s="10"/>
    </row>
    <row r="668" spans="3:9" x14ac:dyDescent="0.3">
      <c r="C668" s="15"/>
      <c r="E668" s="10"/>
      <c r="G668" s="10"/>
      <c r="I668" s="10"/>
    </row>
    <row r="669" spans="3:9" x14ac:dyDescent="0.3">
      <c r="C669" s="15"/>
      <c r="E669" s="10"/>
      <c r="G669" s="10"/>
      <c r="I669" s="10"/>
    </row>
    <row r="670" spans="3:9" x14ac:dyDescent="0.3">
      <c r="C670" s="15"/>
      <c r="E670" s="10"/>
      <c r="G670" s="10"/>
      <c r="I670" s="10"/>
    </row>
    <row r="671" spans="3:9" x14ac:dyDescent="0.3">
      <c r="C671" s="15"/>
      <c r="E671" s="10"/>
      <c r="G671" s="10"/>
      <c r="I671" s="10"/>
    </row>
    <row r="672" spans="3:9" x14ac:dyDescent="0.3">
      <c r="C672" s="15"/>
      <c r="E672" s="10"/>
      <c r="G672" s="10"/>
      <c r="I672" s="10"/>
    </row>
    <row r="673" spans="3:9" x14ac:dyDescent="0.3">
      <c r="C673" s="15"/>
      <c r="E673" s="10"/>
      <c r="G673" s="10"/>
      <c r="I673" s="10"/>
    </row>
    <row r="674" spans="3:9" x14ac:dyDescent="0.3">
      <c r="C674" s="15"/>
      <c r="E674" s="10"/>
      <c r="G674" s="10"/>
      <c r="I674" s="10"/>
    </row>
    <row r="675" spans="3:9" x14ac:dyDescent="0.3">
      <c r="C675" s="15"/>
      <c r="E675" s="10"/>
      <c r="G675" s="10"/>
      <c r="I675" s="10"/>
    </row>
    <row r="676" spans="3:9" x14ac:dyDescent="0.3">
      <c r="C676" s="15"/>
      <c r="E676" s="10"/>
      <c r="G676" s="10"/>
      <c r="I676" s="10"/>
    </row>
    <row r="677" spans="3:9" x14ac:dyDescent="0.3">
      <c r="C677" s="15"/>
      <c r="E677" s="10"/>
      <c r="G677" s="10"/>
      <c r="I677" s="10"/>
    </row>
    <row r="678" spans="3:9" x14ac:dyDescent="0.3">
      <c r="C678" s="15"/>
      <c r="E678" s="10"/>
      <c r="G678" s="10"/>
      <c r="I678" s="10"/>
    </row>
    <row r="679" spans="3:9" x14ac:dyDescent="0.3">
      <c r="C679" s="15"/>
      <c r="E679" s="10"/>
      <c r="G679" s="10"/>
      <c r="I679" s="10"/>
    </row>
    <row r="680" spans="3:9" x14ac:dyDescent="0.3">
      <c r="C680" s="15"/>
      <c r="E680" s="10"/>
      <c r="G680" s="10"/>
      <c r="I680" s="10"/>
    </row>
    <row r="681" spans="3:9" x14ac:dyDescent="0.3">
      <c r="C681" s="15"/>
      <c r="E681" s="10"/>
      <c r="G681" s="10"/>
      <c r="I681" s="10"/>
    </row>
    <row r="682" spans="3:9" x14ac:dyDescent="0.3">
      <c r="C682" s="15"/>
      <c r="E682" s="10"/>
      <c r="G682" s="10"/>
      <c r="I682" s="10"/>
    </row>
    <row r="683" spans="3:9" x14ac:dyDescent="0.3">
      <c r="C683" s="15"/>
      <c r="E683" s="10"/>
      <c r="G683" s="10"/>
      <c r="I683" s="10"/>
    </row>
    <row r="684" spans="3:9" x14ac:dyDescent="0.3">
      <c r="C684" s="15"/>
      <c r="E684" s="10"/>
      <c r="G684" s="10"/>
      <c r="I684" s="10"/>
    </row>
    <row r="685" spans="3:9" x14ac:dyDescent="0.3">
      <c r="C685" s="15"/>
      <c r="E685" s="10"/>
      <c r="G685" s="10"/>
      <c r="I685" s="10"/>
    </row>
    <row r="686" spans="3:9" x14ac:dyDescent="0.3">
      <c r="C686" s="15"/>
      <c r="E686" s="10"/>
      <c r="G686" s="10"/>
      <c r="I686" s="10"/>
    </row>
    <row r="687" spans="3:9" x14ac:dyDescent="0.3">
      <c r="C687" s="15"/>
      <c r="E687" s="10"/>
      <c r="G687" s="10"/>
      <c r="I687" s="10"/>
    </row>
    <row r="688" spans="3:9" x14ac:dyDescent="0.3">
      <c r="C688" s="15"/>
      <c r="E688" s="10"/>
      <c r="G688" s="10"/>
      <c r="I688" s="10"/>
    </row>
    <row r="689" spans="3:9" x14ac:dyDescent="0.3">
      <c r="C689" s="15"/>
      <c r="E689" s="10"/>
      <c r="G689" s="10"/>
      <c r="I689" s="10"/>
    </row>
    <row r="690" spans="3:9" x14ac:dyDescent="0.3">
      <c r="C690" s="15"/>
      <c r="E690" s="10"/>
      <c r="G690" s="10"/>
      <c r="I690" s="10"/>
    </row>
    <row r="691" spans="3:9" x14ac:dyDescent="0.3">
      <c r="C691" s="15"/>
      <c r="E691" s="10"/>
      <c r="G691" s="10"/>
      <c r="I691" s="10"/>
    </row>
    <row r="692" spans="3:9" x14ac:dyDescent="0.3">
      <c r="C692" s="15"/>
      <c r="E692" s="10"/>
      <c r="G692" s="10"/>
      <c r="I692" s="10"/>
    </row>
    <row r="693" spans="3:9" x14ac:dyDescent="0.3">
      <c r="C693" s="15"/>
      <c r="E693" s="10"/>
      <c r="G693" s="10"/>
      <c r="I693" s="10"/>
    </row>
    <row r="694" spans="3:9" x14ac:dyDescent="0.3">
      <c r="C694" s="15"/>
      <c r="E694" s="10"/>
      <c r="G694" s="10"/>
      <c r="I694" s="10"/>
    </row>
    <row r="695" spans="3:9" x14ac:dyDescent="0.3">
      <c r="C695" s="15"/>
      <c r="E695" s="10"/>
      <c r="G695" s="10"/>
      <c r="I695" s="10"/>
    </row>
    <row r="696" spans="3:9" x14ac:dyDescent="0.3">
      <c r="C696" s="15"/>
      <c r="E696" s="10"/>
      <c r="G696" s="10"/>
      <c r="I696" s="10"/>
    </row>
    <row r="697" spans="3:9" x14ac:dyDescent="0.3">
      <c r="C697" s="15"/>
      <c r="E697" s="10"/>
      <c r="G697" s="10"/>
      <c r="I697" s="10"/>
    </row>
    <row r="698" spans="3:9" x14ac:dyDescent="0.3">
      <c r="C698" s="15"/>
      <c r="E698" s="10"/>
      <c r="G698" s="10"/>
      <c r="I698" s="10"/>
    </row>
    <row r="699" spans="3:9" x14ac:dyDescent="0.3">
      <c r="C699" s="15"/>
      <c r="E699" s="10"/>
      <c r="G699" s="10"/>
      <c r="I699" s="10"/>
    </row>
    <row r="700" spans="3:9" x14ac:dyDescent="0.3">
      <c r="C700" s="15"/>
      <c r="E700" s="10"/>
      <c r="G700" s="10"/>
      <c r="I700" s="10"/>
    </row>
    <row r="701" spans="3:9" x14ac:dyDescent="0.3">
      <c r="C701" s="15"/>
      <c r="E701" s="10"/>
      <c r="G701" s="10"/>
      <c r="I701" s="10"/>
    </row>
    <row r="702" spans="3:9" x14ac:dyDescent="0.3">
      <c r="C702" s="15"/>
      <c r="E702" s="10"/>
      <c r="G702" s="10"/>
      <c r="I702" s="10"/>
    </row>
    <row r="703" spans="3:9" x14ac:dyDescent="0.3">
      <c r="C703" s="15"/>
      <c r="E703" s="10"/>
      <c r="G703" s="10"/>
      <c r="I703" s="10"/>
    </row>
    <row r="704" spans="3:9" x14ac:dyDescent="0.3">
      <c r="C704" s="15"/>
      <c r="E704" s="10"/>
      <c r="G704" s="10"/>
      <c r="I704" s="10"/>
    </row>
    <row r="705" spans="3:9" x14ac:dyDescent="0.3">
      <c r="C705" s="15"/>
      <c r="E705" s="10"/>
      <c r="G705" s="10"/>
      <c r="I705" s="10"/>
    </row>
    <row r="706" spans="3:9" x14ac:dyDescent="0.3">
      <c r="C706" s="15"/>
      <c r="E706" s="10"/>
      <c r="G706" s="10"/>
      <c r="I706" s="10"/>
    </row>
    <row r="707" spans="3:9" x14ac:dyDescent="0.3">
      <c r="C707" s="15"/>
      <c r="E707" s="10"/>
      <c r="G707" s="10"/>
      <c r="I707" s="10"/>
    </row>
    <row r="708" spans="3:9" x14ac:dyDescent="0.3">
      <c r="C708" s="15"/>
      <c r="E708" s="10"/>
      <c r="G708" s="10"/>
      <c r="I708" s="10"/>
    </row>
    <row r="709" spans="3:9" x14ac:dyDescent="0.3">
      <c r="C709" s="15"/>
      <c r="E709" s="10"/>
      <c r="G709" s="10"/>
      <c r="I709" s="10"/>
    </row>
    <row r="710" spans="3:9" x14ac:dyDescent="0.3">
      <c r="C710" s="15"/>
      <c r="E710" s="10"/>
      <c r="G710" s="10"/>
      <c r="I710" s="10"/>
    </row>
    <row r="711" spans="3:9" x14ac:dyDescent="0.3">
      <c r="C711" s="15"/>
      <c r="E711" s="10"/>
      <c r="G711" s="10"/>
      <c r="I711" s="10"/>
    </row>
    <row r="712" spans="3:9" x14ac:dyDescent="0.3">
      <c r="C712" s="15"/>
      <c r="E712" s="10"/>
      <c r="G712" s="10"/>
      <c r="I712" s="10"/>
    </row>
    <row r="713" spans="3:9" x14ac:dyDescent="0.3">
      <c r="C713" s="15"/>
      <c r="E713" s="10"/>
      <c r="G713" s="10"/>
      <c r="I713" s="10"/>
    </row>
    <row r="714" spans="3:9" x14ac:dyDescent="0.3">
      <c r="C714" s="15"/>
      <c r="E714" s="10"/>
      <c r="G714" s="10"/>
      <c r="I714" s="10"/>
    </row>
    <row r="715" spans="3:9" x14ac:dyDescent="0.3">
      <c r="C715" s="15"/>
      <c r="E715" s="10"/>
      <c r="G715" s="10"/>
      <c r="I715" s="10"/>
    </row>
    <row r="716" spans="3:9" x14ac:dyDescent="0.3">
      <c r="C716" s="15"/>
      <c r="E716" s="10"/>
      <c r="G716" s="10"/>
      <c r="I716" s="10"/>
    </row>
    <row r="717" spans="3:9" x14ac:dyDescent="0.3">
      <c r="C717" s="15"/>
      <c r="E717" s="10"/>
      <c r="G717" s="10"/>
      <c r="I717" s="10"/>
    </row>
    <row r="718" spans="3:9" x14ac:dyDescent="0.3">
      <c r="C718" s="15"/>
      <c r="E718" s="10"/>
      <c r="G718" s="10"/>
      <c r="I718" s="10"/>
    </row>
    <row r="719" spans="3:9" x14ac:dyDescent="0.3">
      <c r="C719" s="15"/>
      <c r="E719" s="10"/>
      <c r="G719" s="10"/>
      <c r="I719" s="10"/>
    </row>
    <row r="720" spans="3:9" x14ac:dyDescent="0.3">
      <c r="C720" s="15"/>
      <c r="E720" s="10"/>
      <c r="G720" s="10"/>
      <c r="I720" s="10"/>
    </row>
    <row r="721" spans="3:9" x14ac:dyDescent="0.3">
      <c r="C721" s="15"/>
      <c r="E721" s="10"/>
      <c r="G721" s="10"/>
      <c r="I721" s="10"/>
    </row>
    <row r="722" spans="3:9" x14ac:dyDescent="0.3">
      <c r="C722" s="15"/>
      <c r="E722" s="10"/>
      <c r="G722" s="10"/>
      <c r="I722" s="10"/>
    </row>
    <row r="723" spans="3:9" x14ac:dyDescent="0.3">
      <c r="C723" s="15"/>
      <c r="E723" s="10"/>
      <c r="G723" s="10"/>
      <c r="I723" s="10"/>
    </row>
    <row r="724" spans="3:9" x14ac:dyDescent="0.3">
      <c r="C724" s="15"/>
      <c r="E724" s="10"/>
      <c r="G724" s="10"/>
      <c r="I724" s="10"/>
    </row>
    <row r="725" spans="3:9" x14ac:dyDescent="0.3">
      <c r="C725" s="15"/>
      <c r="E725" s="10"/>
      <c r="G725" s="10"/>
      <c r="I725" s="10"/>
    </row>
    <row r="726" spans="3:9" x14ac:dyDescent="0.3">
      <c r="C726" s="15"/>
      <c r="E726" s="10"/>
      <c r="G726" s="10"/>
      <c r="I726" s="10"/>
    </row>
    <row r="727" spans="3:9" x14ac:dyDescent="0.3">
      <c r="C727" s="15"/>
      <c r="E727" s="10"/>
      <c r="G727" s="10"/>
      <c r="I727" s="10"/>
    </row>
    <row r="728" spans="3:9" x14ac:dyDescent="0.3">
      <c r="C728" s="15"/>
      <c r="E728" s="10"/>
      <c r="G728" s="10"/>
      <c r="I728" s="10"/>
    </row>
    <row r="729" spans="3:9" x14ac:dyDescent="0.3">
      <c r="C729" s="15"/>
      <c r="E729" s="10"/>
      <c r="G729" s="10"/>
      <c r="I729" s="10"/>
    </row>
    <row r="730" spans="3:9" x14ac:dyDescent="0.3">
      <c r="C730" s="15"/>
      <c r="E730" s="10"/>
      <c r="G730" s="10"/>
      <c r="I730" s="10"/>
    </row>
    <row r="731" spans="3:9" x14ac:dyDescent="0.3">
      <c r="C731" s="15"/>
      <c r="E731" s="10"/>
      <c r="G731" s="10"/>
      <c r="I731" s="10"/>
    </row>
    <row r="732" spans="3:9" x14ac:dyDescent="0.3">
      <c r="C732" s="15"/>
      <c r="E732" s="10"/>
      <c r="G732" s="10"/>
      <c r="I732" s="10"/>
    </row>
    <row r="733" spans="3:9" x14ac:dyDescent="0.3">
      <c r="C733" s="15"/>
      <c r="E733" s="10"/>
      <c r="G733" s="10"/>
      <c r="I733" s="10"/>
    </row>
    <row r="734" spans="3:9" x14ac:dyDescent="0.3">
      <c r="C734" s="15"/>
      <c r="E734" s="10"/>
      <c r="G734" s="10"/>
      <c r="I734" s="10"/>
    </row>
    <row r="735" spans="3:9" x14ac:dyDescent="0.3">
      <c r="C735" s="15"/>
      <c r="E735" s="10"/>
      <c r="G735" s="10"/>
      <c r="I735" s="10"/>
    </row>
    <row r="736" spans="3:9" x14ac:dyDescent="0.3">
      <c r="C736" s="15"/>
      <c r="E736" s="10"/>
      <c r="G736" s="10"/>
      <c r="I736" s="10"/>
    </row>
    <row r="737" spans="3:9" x14ac:dyDescent="0.3">
      <c r="C737" s="15"/>
      <c r="E737" s="10"/>
      <c r="G737" s="10"/>
      <c r="I737" s="10"/>
    </row>
    <row r="738" spans="3:9" x14ac:dyDescent="0.3">
      <c r="C738" s="15"/>
      <c r="E738" s="10"/>
      <c r="G738" s="10"/>
      <c r="I738" s="10"/>
    </row>
    <row r="739" spans="3:9" x14ac:dyDescent="0.3">
      <c r="C739" s="15"/>
      <c r="E739" s="10"/>
      <c r="G739" s="10"/>
      <c r="I739" s="10"/>
    </row>
    <row r="740" spans="3:9" x14ac:dyDescent="0.3">
      <c r="C740" s="15"/>
      <c r="E740" s="10"/>
      <c r="G740" s="10"/>
      <c r="I740" s="10"/>
    </row>
    <row r="741" spans="3:9" x14ac:dyDescent="0.3">
      <c r="C741" s="15"/>
      <c r="E741" s="10"/>
      <c r="G741" s="10"/>
      <c r="I741" s="10"/>
    </row>
    <row r="742" spans="3:9" x14ac:dyDescent="0.3">
      <c r="C742" s="15"/>
      <c r="E742" s="10"/>
      <c r="G742" s="10"/>
      <c r="I742" s="10"/>
    </row>
    <row r="743" spans="3:9" x14ac:dyDescent="0.3">
      <c r="C743" s="15"/>
      <c r="E743" s="10"/>
      <c r="G743" s="10"/>
      <c r="I743" s="10"/>
    </row>
    <row r="744" spans="3:9" x14ac:dyDescent="0.3">
      <c r="C744" s="15"/>
      <c r="E744" s="10"/>
      <c r="G744" s="10"/>
      <c r="I744" s="10"/>
    </row>
    <row r="745" spans="3:9" x14ac:dyDescent="0.3">
      <c r="C745" s="15"/>
      <c r="E745" s="10"/>
      <c r="G745" s="10"/>
      <c r="I745" s="10"/>
    </row>
    <row r="746" spans="3:9" x14ac:dyDescent="0.3">
      <c r="C746" s="15"/>
      <c r="E746" s="10"/>
      <c r="G746" s="10"/>
      <c r="I746" s="10"/>
    </row>
    <row r="747" spans="3:9" x14ac:dyDescent="0.3">
      <c r="C747" s="15"/>
      <c r="E747" s="10"/>
      <c r="G747" s="10"/>
      <c r="I747" s="10"/>
    </row>
    <row r="748" spans="3:9" x14ac:dyDescent="0.3">
      <c r="C748" s="15"/>
      <c r="E748" s="10"/>
      <c r="G748" s="10"/>
      <c r="I748" s="10"/>
    </row>
    <row r="749" spans="3:9" x14ac:dyDescent="0.3">
      <c r="C749" s="15"/>
      <c r="E749" s="10"/>
      <c r="G749" s="10"/>
      <c r="I749" s="10"/>
    </row>
    <row r="750" spans="3:9" x14ac:dyDescent="0.3">
      <c r="C750" s="15"/>
      <c r="E750" s="10"/>
      <c r="G750" s="10"/>
      <c r="I750" s="10"/>
    </row>
    <row r="751" spans="3:9" x14ac:dyDescent="0.3">
      <c r="C751" s="15"/>
      <c r="E751" s="10"/>
      <c r="G751" s="10"/>
      <c r="I751" s="10"/>
    </row>
    <row r="752" spans="3:9" x14ac:dyDescent="0.3">
      <c r="C752" s="15"/>
      <c r="E752" s="10"/>
      <c r="G752" s="10"/>
      <c r="I752" s="10"/>
    </row>
    <row r="753" spans="3:9" x14ac:dyDescent="0.3">
      <c r="C753" s="15"/>
      <c r="E753" s="10"/>
      <c r="G753" s="10"/>
      <c r="I753" s="10"/>
    </row>
    <row r="754" spans="3:9" x14ac:dyDescent="0.3">
      <c r="C754" s="15"/>
      <c r="E754" s="10"/>
      <c r="G754" s="10"/>
      <c r="I754" s="10"/>
    </row>
    <row r="755" spans="3:9" x14ac:dyDescent="0.3">
      <c r="C755" s="15"/>
      <c r="E755" s="10"/>
      <c r="G755" s="10"/>
      <c r="I755" s="10"/>
    </row>
    <row r="756" spans="3:9" x14ac:dyDescent="0.3">
      <c r="C756" s="15"/>
      <c r="E756" s="10"/>
      <c r="G756" s="10"/>
      <c r="I756" s="10"/>
    </row>
    <row r="757" spans="3:9" x14ac:dyDescent="0.3">
      <c r="C757" s="15"/>
      <c r="E757" s="10"/>
      <c r="G757" s="10"/>
      <c r="I757" s="10"/>
    </row>
    <row r="758" spans="3:9" x14ac:dyDescent="0.3">
      <c r="C758" s="15"/>
      <c r="E758" s="10"/>
      <c r="G758" s="10"/>
      <c r="I758" s="10"/>
    </row>
    <row r="759" spans="3:9" x14ac:dyDescent="0.3">
      <c r="C759" s="15"/>
      <c r="E759" s="10"/>
      <c r="G759" s="10"/>
      <c r="I759" s="10"/>
    </row>
    <row r="760" spans="3:9" x14ac:dyDescent="0.3">
      <c r="C760" s="15"/>
      <c r="E760" s="10"/>
      <c r="G760" s="10"/>
      <c r="I760" s="10"/>
    </row>
    <row r="761" spans="3:9" x14ac:dyDescent="0.3">
      <c r="C761" s="15"/>
      <c r="E761" s="10"/>
      <c r="G761" s="10"/>
      <c r="I761" s="10"/>
    </row>
    <row r="762" spans="3:9" x14ac:dyDescent="0.3">
      <c r="C762" s="15"/>
      <c r="E762" s="10"/>
      <c r="G762" s="10"/>
      <c r="I762" s="10"/>
    </row>
    <row r="763" spans="3:9" x14ac:dyDescent="0.3">
      <c r="C763" s="15"/>
      <c r="E763" s="10"/>
      <c r="G763" s="10"/>
      <c r="I763" s="10"/>
    </row>
    <row r="764" spans="3:9" x14ac:dyDescent="0.3">
      <c r="C764" s="15"/>
      <c r="E764" s="10"/>
      <c r="G764" s="10"/>
      <c r="I764" s="10"/>
    </row>
    <row r="765" spans="3:9" x14ac:dyDescent="0.3">
      <c r="C765" s="15"/>
      <c r="E765" s="10"/>
      <c r="G765" s="10"/>
      <c r="I765" s="10"/>
    </row>
    <row r="766" spans="3:9" x14ac:dyDescent="0.3">
      <c r="C766" s="15"/>
      <c r="E766" s="10"/>
      <c r="G766" s="10"/>
      <c r="I766" s="10"/>
    </row>
    <row r="767" spans="3:9" x14ac:dyDescent="0.3">
      <c r="C767" s="15"/>
      <c r="E767" s="10"/>
      <c r="G767" s="10"/>
      <c r="I767" s="10"/>
    </row>
    <row r="768" spans="3:9" x14ac:dyDescent="0.3">
      <c r="C768" s="15"/>
      <c r="E768" s="10"/>
      <c r="G768" s="10"/>
      <c r="I768" s="10"/>
    </row>
    <row r="769" spans="3:9" x14ac:dyDescent="0.3">
      <c r="C769" s="15"/>
      <c r="E769" s="10"/>
      <c r="G769" s="10"/>
      <c r="I769" s="10"/>
    </row>
    <row r="770" spans="3:9" x14ac:dyDescent="0.3">
      <c r="C770" s="15"/>
      <c r="E770" s="10"/>
      <c r="G770" s="10"/>
      <c r="I770" s="10"/>
    </row>
    <row r="771" spans="3:9" x14ac:dyDescent="0.3">
      <c r="C771" s="15"/>
      <c r="E771" s="10"/>
      <c r="G771" s="10"/>
      <c r="I771" s="10"/>
    </row>
    <row r="772" spans="3:9" x14ac:dyDescent="0.3">
      <c r="C772" s="15"/>
      <c r="E772" s="10"/>
      <c r="G772" s="10"/>
      <c r="I772" s="10"/>
    </row>
    <row r="773" spans="3:9" x14ac:dyDescent="0.3">
      <c r="C773" s="15"/>
      <c r="E773" s="10"/>
      <c r="G773" s="10"/>
      <c r="I773" s="10"/>
    </row>
    <row r="774" spans="3:9" x14ac:dyDescent="0.3">
      <c r="C774" s="15"/>
      <c r="E774" s="10"/>
      <c r="G774" s="10"/>
      <c r="I774" s="10"/>
    </row>
    <row r="775" spans="3:9" x14ac:dyDescent="0.3">
      <c r="C775" s="15"/>
      <c r="E775" s="10"/>
      <c r="G775" s="10"/>
      <c r="I775" s="10"/>
    </row>
    <row r="776" spans="3:9" x14ac:dyDescent="0.3">
      <c r="C776" s="15"/>
      <c r="E776" s="10"/>
      <c r="G776" s="10"/>
      <c r="I776" s="10"/>
    </row>
    <row r="777" spans="3:9" x14ac:dyDescent="0.3">
      <c r="C777" s="15"/>
      <c r="E777" s="10"/>
      <c r="G777" s="10"/>
      <c r="I777" s="10"/>
    </row>
    <row r="778" spans="3:9" x14ac:dyDescent="0.3">
      <c r="C778" s="15"/>
      <c r="E778" s="10"/>
      <c r="G778" s="10"/>
      <c r="I778" s="10"/>
    </row>
    <row r="779" spans="3:9" x14ac:dyDescent="0.3">
      <c r="C779" s="15"/>
      <c r="E779" s="10"/>
      <c r="G779" s="10"/>
      <c r="I779" s="10"/>
    </row>
    <row r="780" spans="3:9" x14ac:dyDescent="0.3">
      <c r="C780" s="15"/>
      <c r="E780" s="10"/>
      <c r="G780" s="10"/>
      <c r="I780" s="10"/>
    </row>
    <row r="781" spans="3:9" x14ac:dyDescent="0.3">
      <c r="C781" s="15"/>
      <c r="E781" s="10"/>
      <c r="G781" s="10"/>
      <c r="I781" s="10"/>
    </row>
    <row r="782" spans="3:9" x14ac:dyDescent="0.3">
      <c r="C782" s="15"/>
      <c r="E782" s="10"/>
      <c r="G782" s="10"/>
      <c r="I782" s="10"/>
    </row>
    <row r="783" spans="3:9" x14ac:dyDescent="0.3">
      <c r="C783" s="15"/>
      <c r="E783" s="10"/>
      <c r="G783" s="10"/>
      <c r="I783" s="10"/>
    </row>
    <row r="784" spans="3:9" x14ac:dyDescent="0.3">
      <c r="C784" s="15"/>
      <c r="E784" s="10"/>
      <c r="G784" s="10"/>
      <c r="I784" s="10"/>
    </row>
    <row r="785" spans="3:9" x14ac:dyDescent="0.3">
      <c r="C785" s="15"/>
      <c r="E785" s="10"/>
      <c r="G785" s="10"/>
      <c r="I785" s="10"/>
    </row>
    <row r="786" spans="3:9" x14ac:dyDescent="0.3">
      <c r="C786" s="15"/>
      <c r="E786" s="10"/>
      <c r="G786" s="10"/>
      <c r="I786" s="10"/>
    </row>
    <row r="787" spans="3:9" x14ac:dyDescent="0.3">
      <c r="C787" s="15"/>
      <c r="E787" s="10"/>
      <c r="G787" s="10"/>
      <c r="I787" s="10"/>
    </row>
    <row r="788" spans="3:9" x14ac:dyDescent="0.3">
      <c r="C788" s="15"/>
      <c r="E788" s="10"/>
      <c r="G788" s="10"/>
      <c r="I788" s="10"/>
    </row>
    <row r="789" spans="3:9" x14ac:dyDescent="0.3">
      <c r="C789" s="15"/>
      <c r="E789" s="10"/>
      <c r="G789" s="10"/>
      <c r="I789" s="10"/>
    </row>
    <row r="790" spans="3:9" x14ac:dyDescent="0.3">
      <c r="C790" s="15"/>
      <c r="E790" s="10"/>
      <c r="G790" s="10"/>
      <c r="I790" s="10"/>
    </row>
    <row r="791" spans="3:9" x14ac:dyDescent="0.3">
      <c r="C791" s="15"/>
      <c r="E791" s="10"/>
      <c r="G791" s="10"/>
      <c r="I791" s="10"/>
    </row>
    <row r="792" spans="3:9" x14ac:dyDescent="0.3">
      <c r="C792" s="15"/>
      <c r="E792" s="10"/>
      <c r="G792" s="10"/>
      <c r="I792" s="10"/>
    </row>
    <row r="793" spans="3:9" x14ac:dyDescent="0.3">
      <c r="C793" s="15"/>
      <c r="E793" s="10"/>
      <c r="G793" s="10"/>
      <c r="I793" s="10"/>
    </row>
    <row r="794" spans="3:9" x14ac:dyDescent="0.3">
      <c r="C794" s="15"/>
      <c r="E794" s="10"/>
      <c r="G794" s="10"/>
      <c r="I794" s="10"/>
    </row>
    <row r="795" spans="3:9" x14ac:dyDescent="0.3">
      <c r="C795" s="15"/>
      <c r="E795" s="10"/>
      <c r="G795" s="10"/>
      <c r="I795" s="10"/>
    </row>
    <row r="796" spans="3:9" x14ac:dyDescent="0.3">
      <c r="C796" s="15"/>
      <c r="E796" s="10"/>
      <c r="G796" s="10"/>
      <c r="I796" s="10"/>
    </row>
    <row r="797" spans="3:9" x14ac:dyDescent="0.3">
      <c r="C797" s="15"/>
      <c r="E797" s="10"/>
      <c r="G797" s="10"/>
      <c r="I797" s="10"/>
    </row>
    <row r="798" spans="3:9" x14ac:dyDescent="0.3">
      <c r="C798" s="15"/>
      <c r="E798" s="10"/>
      <c r="G798" s="10"/>
      <c r="I798" s="10"/>
    </row>
    <row r="799" spans="3:9" x14ac:dyDescent="0.3">
      <c r="C799" s="15"/>
      <c r="E799" s="10"/>
      <c r="G799" s="10"/>
      <c r="I799" s="10"/>
    </row>
    <row r="800" spans="3:9" x14ac:dyDescent="0.3">
      <c r="C800" s="15"/>
      <c r="E800" s="10"/>
      <c r="G800" s="10"/>
      <c r="I800" s="10"/>
    </row>
    <row r="801" spans="3:9" x14ac:dyDescent="0.3">
      <c r="C801" s="15"/>
      <c r="E801" s="10"/>
      <c r="G801" s="10"/>
      <c r="I801" s="10"/>
    </row>
    <row r="802" spans="3:9" x14ac:dyDescent="0.3">
      <c r="C802" s="15"/>
      <c r="E802" s="10"/>
      <c r="G802" s="10"/>
      <c r="I802" s="10"/>
    </row>
    <row r="803" spans="3:9" x14ac:dyDescent="0.3">
      <c r="C803" s="15"/>
      <c r="E803" s="10"/>
      <c r="G803" s="10"/>
      <c r="I803" s="10"/>
    </row>
    <row r="804" spans="3:9" x14ac:dyDescent="0.3">
      <c r="C804" s="15"/>
      <c r="E804" s="10"/>
      <c r="G804" s="10"/>
      <c r="I804" s="10"/>
    </row>
    <row r="805" spans="3:9" x14ac:dyDescent="0.3">
      <c r="C805" s="15"/>
      <c r="E805" s="10"/>
      <c r="G805" s="10"/>
      <c r="I805" s="10"/>
    </row>
    <row r="806" spans="3:9" x14ac:dyDescent="0.3">
      <c r="C806" s="15"/>
      <c r="E806" s="10"/>
      <c r="G806" s="10"/>
      <c r="I806" s="10"/>
    </row>
    <row r="807" spans="3:9" x14ac:dyDescent="0.3">
      <c r="C807" s="15"/>
      <c r="E807" s="10"/>
      <c r="G807" s="10"/>
      <c r="I807" s="10"/>
    </row>
    <row r="808" spans="3:9" x14ac:dyDescent="0.3">
      <c r="C808" s="15"/>
      <c r="E808" s="10"/>
      <c r="G808" s="10"/>
      <c r="I808" s="10"/>
    </row>
    <row r="809" spans="3:9" x14ac:dyDescent="0.3">
      <c r="C809" s="15"/>
      <c r="E809" s="10"/>
      <c r="G809" s="10"/>
      <c r="I809" s="10"/>
    </row>
    <row r="810" spans="3:9" x14ac:dyDescent="0.3">
      <c r="C810" s="15"/>
      <c r="E810" s="10"/>
      <c r="G810" s="10"/>
      <c r="I810" s="10"/>
    </row>
    <row r="811" spans="3:9" x14ac:dyDescent="0.3">
      <c r="C811" s="15"/>
      <c r="E811" s="10"/>
      <c r="G811" s="10"/>
      <c r="I811" s="10"/>
    </row>
    <row r="812" spans="3:9" x14ac:dyDescent="0.3">
      <c r="C812" s="15"/>
      <c r="E812" s="10"/>
      <c r="G812" s="10"/>
      <c r="I812" s="10"/>
    </row>
    <row r="813" spans="3:9" x14ac:dyDescent="0.3">
      <c r="C813" s="15"/>
      <c r="E813" s="10"/>
      <c r="G813" s="10"/>
      <c r="I813" s="10"/>
    </row>
    <row r="814" spans="3:9" x14ac:dyDescent="0.3">
      <c r="C814" s="15"/>
      <c r="E814" s="10"/>
      <c r="G814" s="10"/>
      <c r="I814" s="10"/>
    </row>
    <row r="815" spans="3:9" x14ac:dyDescent="0.3">
      <c r="C815" s="15"/>
      <c r="E815" s="10"/>
      <c r="G815" s="10"/>
      <c r="I815" s="10"/>
    </row>
    <row r="816" spans="3:9" x14ac:dyDescent="0.3">
      <c r="C816" s="15"/>
      <c r="E816" s="10"/>
      <c r="G816" s="10"/>
      <c r="I816" s="10"/>
    </row>
    <row r="817" spans="3:9" x14ac:dyDescent="0.3">
      <c r="C817" s="15"/>
      <c r="E817" s="10"/>
      <c r="G817" s="10"/>
      <c r="I817" s="10"/>
    </row>
    <row r="818" spans="3:9" x14ac:dyDescent="0.3">
      <c r="C818" s="15"/>
      <c r="E818" s="10"/>
      <c r="G818" s="10"/>
      <c r="I818" s="10"/>
    </row>
    <row r="819" spans="3:9" x14ac:dyDescent="0.3">
      <c r="C819" s="15"/>
      <c r="E819" s="10"/>
      <c r="G819" s="10"/>
      <c r="I819" s="10"/>
    </row>
    <row r="820" spans="3:9" x14ac:dyDescent="0.3">
      <c r="C820" s="15"/>
      <c r="E820" s="10"/>
      <c r="G820" s="10"/>
      <c r="I820" s="10"/>
    </row>
    <row r="821" spans="3:9" x14ac:dyDescent="0.3">
      <c r="C821" s="15"/>
      <c r="E821" s="10"/>
      <c r="G821" s="10"/>
      <c r="I821" s="10"/>
    </row>
    <row r="822" spans="3:9" x14ac:dyDescent="0.3">
      <c r="C822" s="15"/>
      <c r="E822" s="10"/>
      <c r="G822" s="10"/>
      <c r="I822" s="10"/>
    </row>
    <row r="823" spans="3:9" x14ac:dyDescent="0.3">
      <c r="C823" s="15"/>
      <c r="E823" s="10"/>
      <c r="G823" s="10"/>
      <c r="I823" s="10"/>
    </row>
    <row r="824" spans="3:9" x14ac:dyDescent="0.3">
      <c r="C824" s="15"/>
      <c r="E824" s="10"/>
      <c r="G824" s="10"/>
      <c r="I824" s="10"/>
    </row>
    <row r="825" spans="3:9" x14ac:dyDescent="0.3">
      <c r="C825" s="15"/>
      <c r="E825" s="10"/>
      <c r="G825" s="10"/>
      <c r="I825" s="10"/>
    </row>
    <row r="826" spans="3:9" x14ac:dyDescent="0.3">
      <c r="C826" s="15"/>
      <c r="E826" s="10"/>
      <c r="G826" s="10"/>
      <c r="I826" s="10"/>
    </row>
    <row r="827" spans="3:9" x14ac:dyDescent="0.3">
      <c r="C827" s="15"/>
      <c r="E827" s="10"/>
      <c r="G827" s="10"/>
      <c r="I827" s="10"/>
    </row>
    <row r="828" spans="3:9" x14ac:dyDescent="0.3">
      <c r="C828" s="15"/>
      <c r="E828" s="10"/>
      <c r="G828" s="10"/>
      <c r="I828" s="10"/>
    </row>
    <row r="829" spans="3:9" x14ac:dyDescent="0.3">
      <c r="C829" s="15"/>
      <c r="E829" s="10"/>
      <c r="G829" s="10"/>
      <c r="I829" s="10"/>
    </row>
    <row r="830" spans="3:9" x14ac:dyDescent="0.3">
      <c r="C830" s="15"/>
      <c r="E830" s="10"/>
      <c r="G830" s="10"/>
      <c r="I830" s="10"/>
    </row>
    <row r="831" spans="3:9" x14ac:dyDescent="0.3">
      <c r="C831" s="15"/>
      <c r="E831" s="10"/>
      <c r="G831" s="10"/>
      <c r="I831" s="10"/>
    </row>
    <row r="832" spans="3:9" x14ac:dyDescent="0.3">
      <c r="C832" s="15"/>
      <c r="E832" s="10"/>
      <c r="G832" s="10"/>
      <c r="I832" s="10"/>
    </row>
    <row r="833" spans="3:9" x14ac:dyDescent="0.3">
      <c r="C833" s="15"/>
      <c r="E833" s="10"/>
      <c r="G833" s="10"/>
      <c r="I833" s="10"/>
    </row>
    <row r="834" spans="3:9" x14ac:dyDescent="0.3">
      <c r="C834" s="15"/>
      <c r="E834" s="10"/>
      <c r="G834" s="10"/>
      <c r="I834" s="10"/>
    </row>
    <row r="835" spans="3:9" x14ac:dyDescent="0.3">
      <c r="C835" s="15"/>
      <c r="E835" s="10"/>
      <c r="G835" s="10"/>
      <c r="I835" s="10"/>
    </row>
    <row r="836" spans="3:9" x14ac:dyDescent="0.3">
      <c r="C836" s="15"/>
      <c r="E836" s="10"/>
      <c r="G836" s="10"/>
      <c r="I836" s="10"/>
    </row>
    <row r="837" spans="3:9" x14ac:dyDescent="0.3">
      <c r="C837" s="15"/>
      <c r="E837" s="10"/>
      <c r="G837" s="10"/>
      <c r="I837" s="10"/>
    </row>
    <row r="838" spans="3:9" x14ac:dyDescent="0.3">
      <c r="C838" s="15"/>
      <c r="E838" s="10"/>
      <c r="G838" s="10"/>
      <c r="I838" s="10"/>
    </row>
    <row r="839" spans="3:9" x14ac:dyDescent="0.3">
      <c r="C839" s="15"/>
      <c r="E839" s="10"/>
      <c r="G839" s="10"/>
      <c r="I839" s="10"/>
    </row>
    <row r="840" spans="3:9" x14ac:dyDescent="0.3">
      <c r="C840" s="15"/>
      <c r="E840" s="10"/>
      <c r="G840" s="10"/>
      <c r="I840" s="10"/>
    </row>
    <row r="841" spans="3:9" x14ac:dyDescent="0.3">
      <c r="C841" s="15"/>
      <c r="E841" s="10"/>
      <c r="G841" s="10"/>
      <c r="I841" s="10"/>
    </row>
    <row r="842" spans="3:9" x14ac:dyDescent="0.3">
      <c r="C842" s="15"/>
      <c r="E842" s="10"/>
      <c r="G842" s="10"/>
      <c r="I842" s="10"/>
    </row>
    <row r="843" spans="3:9" x14ac:dyDescent="0.3">
      <c r="C843" s="15"/>
      <c r="E843" s="10"/>
      <c r="G843" s="10"/>
      <c r="I843" s="10"/>
    </row>
    <row r="844" spans="3:9" x14ac:dyDescent="0.3">
      <c r="C844" s="15"/>
      <c r="E844" s="10"/>
      <c r="G844" s="10"/>
      <c r="I844" s="10"/>
    </row>
    <row r="845" spans="3:9" x14ac:dyDescent="0.3">
      <c r="C845" s="15"/>
      <c r="E845" s="10"/>
      <c r="G845" s="10"/>
      <c r="I845" s="10"/>
    </row>
    <row r="846" spans="3:9" x14ac:dyDescent="0.3">
      <c r="C846" s="15"/>
      <c r="E846" s="10"/>
      <c r="G846" s="10"/>
      <c r="I846" s="10"/>
    </row>
    <row r="847" spans="3:9" x14ac:dyDescent="0.3">
      <c r="C847" s="15"/>
      <c r="E847" s="10"/>
      <c r="G847" s="10"/>
      <c r="I847" s="10"/>
    </row>
    <row r="848" spans="3:9" x14ac:dyDescent="0.3">
      <c r="C848" s="15"/>
      <c r="E848" s="10"/>
      <c r="G848" s="10"/>
      <c r="I848" s="10"/>
    </row>
    <row r="849" spans="3:9" x14ac:dyDescent="0.3">
      <c r="C849" s="15"/>
      <c r="E849" s="10"/>
      <c r="G849" s="10"/>
      <c r="I849" s="10"/>
    </row>
    <row r="850" spans="3:9" x14ac:dyDescent="0.3">
      <c r="C850" s="15"/>
      <c r="E850" s="10"/>
      <c r="G850" s="10"/>
      <c r="I850" s="10"/>
    </row>
    <row r="851" spans="3:9" x14ac:dyDescent="0.3">
      <c r="C851" s="15"/>
      <c r="E851" s="10"/>
      <c r="G851" s="10"/>
      <c r="I851" s="10"/>
    </row>
    <row r="852" spans="3:9" x14ac:dyDescent="0.3">
      <c r="C852" s="15"/>
      <c r="E852" s="10"/>
      <c r="G852" s="10"/>
      <c r="I852" s="10"/>
    </row>
    <row r="853" spans="3:9" x14ac:dyDescent="0.3">
      <c r="C853" s="15"/>
      <c r="E853" s="10"/>
      <c r="G853" s="10"/>
      <c r="I853" s="10"/>
    </row>
    <row r="854" spans="3:9" x14ac:dyDescent="0.3">
      <c r="C854" s="15"/>
      <c r="E854" s="10"/>
      <c r="G854" s="10"/>
      <c r="I854" s="10"/>
    </row>
    <row r="855" spans="3:9" x14ac:dyDescent="0.3">
      <c r="C855" s="15"/>
      <c r="E855" s="10"/>
      <c r="G855" s="10"/>
      <c r="I855" s="10"/>
    </row>
    <row r="856" spans="3:9" x14ac:dyDescent="0.3">
      <c r="C856" s="15"/>
      <c r="E856" s="10"/>
      <c r="G856" s="10"/>
      <c r="I856" s="10"/>
    </row>
    <row r="857" spans="3:9" x14ac:dyDescent="0.3">
      <c r="C857" s="15"/>
      <c r="E857" s="10"/>
      <c r="G857" s="10"/>
      <c r="I857" s="10"/>
    </row>
    <row r="858" spans="3:9" x14ac:dyDescent="0.3">
      <c r="C858" s="15"/>
      <c r="E858" s="10"/>
      <c r="G858" s="10"/>
      <c r="I858" s="10"/>
    </row>
    <row r="859" spans="3:9" x14ac:dyDescent="0.3">
      <c r="C859" s="15"/>
      <c r="E859" s="10"/>
      <c r="G859" s="10"/>
      <c r="I859" s="10"/>
    </row>
    <row r="860" spans="3:9" x14ac:dyDescent="0.3">
      <c r="C860" s="15"/>
      <c r="E860" s="10"/>
      <c r="G860" s="10"/>
      <c r="I860" s="10"/>
    </row>
    <row r="861" spans="3:9" x14ac:dyDescent="0.3">
      <c r="C861" s="15"/>
      <c r="E861" s="10"/>
      <c r="G861" s="10"/>
      <c r="I861" s="10"/>
    </row>
    <row r="862" spans="3:9" x14ac:dyDescent="0.3">
      <c r="C862" s="15"/>
      <c r="E862" s="10"/>
      <c r="G862" s="10"/>
      <c r="I862" s="10"/>
    </row>
    <row r="863" spans="3:9" x14ac:dyDescent="0.3">
      <c r="C863" s="15"/>
      <c r="E863" s="10"/>
      <c r="G863" s="10"/>
      <c r="I863" s="10"/>
    </row>
    <row r="864" spans="3:9" x14ac:dyDescent="0.3">
      <c r="C864" s="15"/>
      <c r="E864" s="10"/>
      <c r="G864" s="10"/>
      <c r="I864" s="10"/>
    </row>
    <row r="865" spans="3:9" x14ac:dyDescent="0.3">
      <c r="C865" s="15"/>
      <c r="E865" s="10"/>
      <c r="G865" s="10"/>
      <c r="I865" s="10"/>
    </row>
    <row r="866" spans="3:9" x14ac:dyDescent="0.3">
      <c r="C866" s="15"/>
      <c r="E866" s="10"/>
      <c r="G866" s="10"/>
      <c r="I866" s="10"/>
    </row>
    <row r="867" spans="3:9" x14ac:dyDescent="0.3">
      <c r="C867" s="15"/>
      <c r="E867" s="10"/>
      <c r="G867" s="10"/>
      <c r="I867" s="10"/>
    </row>
    <row r="868" spans="3:9" x14ac:dyDescent="0.3">
      <c r="C868" s="15"/>
      <c r="E868" s="10"/>
      <c r="G868" s="10"/>
      <c r="I868" s="10"/>
    </row>
    <row r="869" spans="3:9" x14ac:dyDescent="0.3">
      <c r="C869" s="15"/>
      <c r="E869" s="10"/>
      <c r="G869" s="10"/>
      <c r="I869" s="10"/>
    </row>
    <row r="870" spans="3:9" x14ac:dyDescent="0.3">
      <c r="C870" s="15"/>
      <c r="E870" s="10"/>
      <c r="G870" s="10"/>
      <c r="I870" s="10"/>
    </row>
    <row r="871" spans="3:9" x14ac:dyDescent="0.3">
      <c r="C871" s="15"/>
      <c r="E871" s="10"/>
      <c r="G871" s="10"/>
      <c r="I871" s="10"/>
    </row>
    <row r="872" spans="3:9" x14ac:dyDescent="0.3">
      <c r="C872" s="15"/>
      <c r="E872" s="10"/>
      <c r="G872" s="10"/>
      <c r="I872" s="10"/>
    </row>
    <row r="873" spans="3:9" x14ac:dyDescent="0.3">
      <c r="C873" s="15"/>
      <c r="E873" s="10"/>
      <c r="G873" s="10"/>
      <c r="I873" s="10"/>
    </row>
    <row r="874" spans="3:9" x14ac:dyDescent="0.3">
      <c r="C874" s="15"/>
      <c r="E874" s="10"/>
      <c r="G874" s="10"/>
      <c r="I874" s="10"/>
    </row>
    <row r="875" spans="3:9" x14ac:dyDescent="0.3">
      <c r="C875" s="15"/>
      <c r="E875" s="10"/>
      <c r="G875" s="10"/>
      <c r="I875" s="10"/>
    </row>
    <row r="876" spans="3:9" x14ac:dyDescent="0.3">
      <c r="C876" s="15"/>
      <c r="E876" s="10"/>
      <c r="G876" s="10"/>
      <c r="I876" s="10"/>
    </row>
    <row r="877" spans="3:9" x14ac:dyDescent="0.3">
      <c r="C877" s="15"/>
      <c r="E877" s="10"/>
      <c r="G877" s="10"/>
      <c r="I877" s="10"/>
    </row>
    <row r="878" spans="3:9" x14ac:dyDescent="0.3">
      <c r="C878" s="15"/>
      <c r="E878" s="10"/>
      <c r="G878" s="10"/>
      <c r="I878" s="10"/>
    </row>
    <row r="879" spans="3:9" x14ac:dyDescent="0.3">
      <c r="C879" s="15"/>
      <c r="E879" s="10"/>
      <c r="G879" s="10"/>
      <c r="I879" s="10"/>
    </row>
    <row r="880" spans="3:9" x14ac:dyDescent="0.3">
      <c r="C880" s="15"/>
      <c r="E880" s="10"/>
      <c r="G880" s="10"/>
      <c r="I880" s="10"/>
    </row>
    <row r="881" spans="3:9" x14ac:dyDescent="0.3">
      <c r="C881" s="15"/>
      <c r="E881" s="10"/>
      <c r="G881" s="10"/>
      <c r="I881" s="10"/>
    </row>
    <row r="882" spans="3:9" x14ac:dyDescent="0.3">
      <c r="C882" s="15"/>
      <c r="E882" s="10"/>
      <c r="G882" s="10"/>
      <c r="I882" s="10"/>
    </row>
    <row r="883" spans="3:9" x14ac:dyDescent="0.3">
      <c r="C883" s="15"/>
      <c r="E883" s="10"/>
      <c r="G883" s="10"/>
      <c r="I883" s="10"/>
    </row>
    <row r="884" spans="3:9" x14ac:dyDescent="0.3">
      <c r="C884" s="15"/>
      <c r="E884" s="10"/>
      <c r="G884" s="10"/>
      <c r="I884" s="10"/>
    </row>
    <row r="885" spans="3:9" x14ac:dyDescent="0.3">
      <c r="C885" s="15"/>
      <c r="E885" s="10"/>
      <c r="G885" s="10"/>
      <c r="I885" s="10"/>
    </row>
    <row r="886" spans="3:9" x14ac:dyDescent="0.3">
      <c r="C886" s="15"/>
      <c r="E886" s="10"/>
      <c r="G886" s="10"/>
      <c r="I886" s="10"/>
    </row>
    <row r="887" spans="3:9" x14ac:dyDescent="0.3">
      <c r="C887" s="15"/>
      <c r="E887" s="10"/>
      <c r="G887" s="10"/>
      <c r="I887" s="10"/>
    </row>
    <row r="888" spans="3:9" x14ac:dyDescent="0.3">
      <c r="C888" s="15"/>
      <c r="E888" s="10"/>
      <c r="G888" s="10"/>
      <c r="I888" s="10"/>
    </row>
    <row r="889" spans="3:9" x14ac:dyDescent="0.3">
      <c r="C889" s="15"/>
      <c r="E889" s="10"/>
      <c r="G889" s="10"/>
      <c r="I889" s="10"/>
    </row>
    <row r="890" spans="3:9" x14ac:dyDescent="0.3">
      <c r="C890" s="15"/>
      <c r="E890" s="10"/>
      <c r="G890" s="10"/>
      <c r="I890" s="10"/>
    </row>
    <row r="891" spans="3:9" x14ac:dyDescent="0.3">
      <c r="C891" s="15"/>
      <c r="E891" s="10"/>
      <c r="G891" s="10"/>
      <c r="I891" s="10"/>
    </row>
    <row r="892" spans="3:9" x14ac:dyDescent="0.3">
      <c r="C892" s="15"/>
      <c r="E892" s="10"/>
      <c r="G892" s="10"/>
      <c r="I892" s="10"/>
    </row>
    <row r="893" spans="3:9" x14ac:dyDescent="0.3">
      <c r="C893" s="15"/>
      <c r="E893" s="10"/>
      <c r="G893" s="10"/>
      <c r="I893" s="10"/>
    </row>
    <row r="894" spans="3:9" x14ac:dyDescent="0.3">
      <c r="C894" s="15"/>
      <c r="E894" s="10"/>
      <c r="G894" s="10"/>
      <c r="I894" s="10"/>
    </row>
    <row r="895" spans="3:9" x14ac:dyDescent="0.3">
      <c r="C895" s="15"/>
      <c r="E895" s="10"/>
      <c r="G895" s="10"/>
      <c r="I895" s="10"/>
    </row>
    <row r="896" spans="3:9" x14ac:dyDescent="0.3">
      <c r="C896" s="15"/>
      <c r="E896" s="10"/>
      <c r="G896" s="10"/>
      <c r="I896" s="10"/>
    </row>
    <row r="897" spans="3:9" x14ac:dyDescent="0.3">
      <c r="C897" s="15"/>
      <c r="E897" s="10"/>
      <c r="G897" s="10"/>
      <c r="I897" s="10"/>
    </row>
    <row r="898" spans="3:9" x14ac:dyDescent="0.3">
      <c r="C898" s="15"/>
      <c r="E898" s="10"/>
      <c r="G898" s="10"/>
      <c r="I898" s="10"/>
    </row>
    <row r="899" spans="3:9" x14ac:dyDescent="0.3">
      <c r="C899" s="15"/>
      <c r="E899" s="10"/>
      <c r="G899" s="10"/>
      <c r="I899" s="10"/>
    </row>
    <row r="900" spans="3:9" x14ac:dyDescent="0.3">
      <c r="C900" s="15"/>
      <c r="E900" s="10"/>
      <c r="G900" s="10"/>
      <c r="I900" s="10"/>
    </row>
    <row r="901" spans="3:9" x14ac:dyDescent="0.3">
      <c r="C901" s="15"/>
      <c r="E901" s="10"/>
      <c r="G901" s="10"/>
      <c r="I901" s="10"/>
    </row>
    <row r="902" spans="3:9" x14ac:dyDescent="0.3">
      <c r="C902" s="15"/>
      <c r="E902" s="10"/>
      <c r="G902" s="10"/>
      <c r="I902" s="10"/>
    </row>
    <row r="903" spans="3:9" x14ac:dyDescent="0.3">
      <c r="C903" s="15"/>
      <c r="E903" s="10"/>
      <c r="G903" s="10"/>
      <c r="I903" s="10"/>
    </row>
    <row r="904" spans="3:9" x14ac:dyDescent="0.3">
      <c r="C904" s="15"/>
      <c r="E904" s="10"/>
      <c r="G904" s="10"/>
      <c r="I904" s="10"/>
    </row>
    <row r="905" spans="3:9" x14ac:dyDescent="0.3">
      <c r="C905" s="15"/>
      <c r="E905" s="10"/>
      <c r="G905" s="10"/>
      <c r="I905" s="10"/>
    </row>
    <row r="906" spans="3:9" x14ac:dyDescent="0.3">
      <c r="C906" s="15"/>
      <c r="E906" s="10"/>
      <c r="G906" s="10"/>
      <c r="I906" s="10"/>
    </row>
    <row r="907" spans="3:9" x14ac:dyDescent="0.3">
      <c r="C907" s="15"/>
      <c r="E907" s="10"/>
      <c r="G907" s="10"/>
      <c r="I907" s="10"/>
    </row>
    <row r="908" spans="3:9" x14ac:dyDescent="0.3">
      <c r="C908" s="15"/>
      <c r="E908" s="10"/>
      <c r="G908" s="10"/>
      <c r="I908" s="10"/>
    </row>
    <row r="909" spans="3:9" x14ac:dyDescent="0.3">
      <c r="C909" s="15"/>
      <c r="E909" s="10"/>
      <c r="G909" s="10"/>
      <c r="I909" s="10"/>
    </row>
    <row r="910" spans="3:9" x14ac:dyDescent="0.3">
      <c r="C910" s="15"/>
      <c r="E910" s="10"/>
      <c r="G910" s="10"/>
      <c r="I910" s="10"/>
    </row>
    <row r="911" spans="3:9" x14ac:dyDescent="0.3">
      <c r="C911" s="15"/>
      <c r="E911" s="10"/>
      <c r="G911" s="10"/>
      <c r="I911" s="10"/>
    </row>
    <row r="912" spans="3:9" x14ac:dyDescent="0.3">
      <c r="C912" s="15"/>
      <c r="E912" s="10"/>
      <c r="G912" s="10"/>
      <c r="I912" s="10"/>
    </row>
    <row r="913" spans="3:9" x14ac:dyDescent="0.3">
      <c r="C913" s="15"/>
      <c r="E913" s="10"/>
      <c r="G913" s="10"/>
      <c r="I913" s="10"/>
    </row>
    <row r="914" spans="3:9" x14ac:dyDescent="0.3">
      <c r="C914" s="15"/>
      <c r="E914" s="10"/>
      <c r="G914" s="10"/>
      <c r="I914" s="10"/>
    </row>
    <row r="915" spans="3:9" x14ac:dyDescent="0.3">
      <c r="C915" s="15"/>
      <c r="E915" s="10"/>
      <c r="G915" s="10"/>
      <c r="I915" s="10"/>
    </row>
    <row r="916" spans="3:9" x14ac:dyDescent="0.3">
      <c r="C916" s="15"/>
      <c r="E916" s="10"/>
      <c r="G916" s="10"/>
      <c r="I916" s="10"/>
    </row>
    <row r="917" spans="3:9" x14ac:dyDescent="0.3">
      <c r="C917" s="15"/>
      <c r="E917" s="10"/>
      <c r="G917" s="10"/>
      <c r="I917" s="10"/>
    </row>
    <row r="918" spans="3:9" x14ac:dyDescent="0.3">
      <c r="C918" s="15"/>
      <c r="E918" s="10"/>
      <c r="G918" s="10"/>
      <c r="I918" s="10"/>
    </row>
    <row r="919" spans="3:9" x14ac:dyDescent="0.3">
      <c r="C919" s="15"/>
      <c r="E919" s="10"/>
      <c r="G919" s="10"/>
      <c r="I919" s="10"/>
    </row>
    <row r="920" spans="3:9" x14ac:dyDescent="0.3">
      <c r="C920" s="15"/>
      <c r="E920" s="10"/>
      <c r="G920" s="10"/>
      <c r="I920" s="10"/>
    </row>
    <row r="921" spans="3:9" x14ac:dyDescent="0.3">
      <c r="C921" s="15"/>
      <c r="E921" s="10"/>
      <c r="G921" s="10"/>
      <c r="I921" s="10"/>
    </row>
    <row r="922" spans="3:9" x14ac:dyDescent="0.3">
      <c r="C922" s="15"/>
      <c r="E922" s="10"/>
      <c r="G922" s="10"/>
      <c r="I922" s="10"/>
    </row>
    <row r="923" spans="3:9" x14ac:dyDescent="0.3">
      <c r="C923" s="15"/>
      <c r="E923" s="10"/>
      <c r="G923" s="10"/>
      <c r="I923" s="10"/>
    </row>
    <row r="924" spans="3:9" x14ac:dyDescent="0.3">
      <c r="C924" s="15"/>
      <c r="E924" s="10"/>
      <c r="G924" s="10"/>
      <c r="I924" s="10"/>
    </row>
    <row r="925" spans="3:9" x14ac:dyDescent="0.3">
      <c r="C925" s="15"/>
      <c r="E925" s="10"/>
      <c r="G925" s="10"/>
      <c r="I925" s="10"/>
    </row>
    <row r="926" spans="3:9" x14ac:dyDescent="0.3">
      <c r="C926" s="15"/>
      <c r="E926" s="10"/>
      <c r="G926" s="10"/>
      <c r="I926" s="10"/>
    </row>
    <row r="927" spans="3:9" x14ac:dyDescent="0.3">
      <c r="C927" s="15"/>
      <c r="E927" s="10"/>
      <c r="G927" s="10"/>
      <c r="I927" s="10"/>
    </row>
    <row r="928" spans="3:9" x14ac:dyDescent="0.3">
      <c r="C928" s="15"/>
      <c r="E928" s="10"/>
      <c r="G928" s="10"/>
      <c r="I928" s="10"/>
    </row>
    <row r="929" spans="3:9" x14ac:dyDescent="0.3">
      <c r="C929" s="15"/>
      <c r="E929" s="10"/>
      <c r="G929" s="10"/>
      <c r="I929" s="10"/>
    </row>
    <row r="930" spans="3:9" x14ac:dyDescent="0.3">
      <c r="C930" s="15"/>
      <c r="E930" s="10"/>
      <c r="G930" s="10"/>
      <c r="I930" s="10"/>
    </row>
    <row r="931" spans="3:9" x14ac:dyDescent="0.3">
      <c r="C931" s="15"/>
      <c r="E931" s="10"/>
      <c r="G931" s="10"/>
      <c r="I931" s="10"/>
    </row>
    <row r="932" spans="3:9" x14ac:dyDescent="0.3">
      <c r="C932" s="15"/>
      <c r="E932" s="10"/>
      <c r="G932" s="10"/>
      <c r="I932" s="10"/>
    </row>
    <row r="933" spans="3:9" x14ac:dyDescent="0.3">
      <c r="C933" s="15"/>
      <c r="E933" s="10"/>
      <c r="G933" s="10"/>
      <c r="I933" s="10"/>
    </row>
    <row r="934" spans="3:9" x14ac:dyDescent="0.3">
      <c r="C934" s="15"/>
      <c r="E934" s="10"/>
      <c r="G934" s="10"/>
      <c r="I934" s="10"/>
    </row>
    <row r="935" spans="3:9" x14ac:dyDescent="0.3">
      <c r="C935" s="15"/>
      <c r="E935" s="10"/>
      <c r="G935" s="10"/>
      <c r="I935" s="10"/>
    </row>
    <row r="936" spans="3:9" x14ac:dyDescent="0.3">
      <c r="C936" s="15"/>
      <c r="E936" s="10"/>
      <c r="G936" s="10"/>
      <c r="I936" s="10"/>
    </row>
    <row r="937" spans="3:9" x14ac:dyDescent="0.3">
      <c r="C937" s="15"/>
      <c r="E937" s="10"/>
      <c r="G937" s="10"/>
      <c r="I937" s="10"/>
    </row>
    <row r="938" spans="3:9" x14ac:dyDescent="0.3">
      <c r="C938" s="15"/>
      <c r="E938" s="10"/>
      <c r="G938" s="10"/>
      <c r="I938" s="10"/>
    </row>
    <row r="939" spans="3:9" x14ac:dyDescent="0.3">
      <c r="C939" s="15"/>
      <c r="E939" s="10"/>
      <c r="G939" s="10"/>
      <c r="I939" s="10"/>
    </row>
    <row r="940" spans="3:9" x14ac:dyDescent="0.3">
      <c r="C940" s="15"/>
      <c r="E940" s="10"/>
      <c r="G940" s="10"/>
      <c r="I940" s="10"/>
    </row>
    <row r="941" spans="3:9" x14ac:dyDescent="0.3">
      <c r="C941" s="15"/>
      <c r="E941" s="10"/>
      <c r="G941" s="10"/>
      <c r="I941" s="10"/>
    </row>
    <row r="942" spans="3:9" x14ac:dyDescent="0.3">
      <c r="C942" s="15"/>
      <c r="E942" s="10"/>
      <c r="G942" s="10"/>
      <c r="I942" s="10"/>
    </row>
    <row r="943" spans="3:9" x14ac:dyDescent="0.3">
      <c r="C943" s="15"/>
      <c r="E943" s="10"/>
      <c r="G943" s="10"/>
      <c r="I943" s="10"/>
    </row>
    <row r="944" spans="3:9" x14ac:dyDescent="0.3">
      <c r="C944" s="15"/>
      <c r="E944" s="10"/>
      <c r="G944" s="10"/>
      <c r="I944" s="10"/>
    </row>
    <row r="945" spans="3:9" x14ac:dyDescent="0.3">
      <c r="C945" s="15"/>
      <c r="E945" s="10"/>
      <c r="G945" s="10"/>
      <c r="I945" s="10"/>
    </row>
    <row r="946" spans="3:9" x14ac:dyDescent="0.3">
      <c r="C946" s="15"/>
      <c r="E946" s="10"/>
      <c r="G946" s="10"/>
      <c r="I946" s="10"/>
    </row>
    <row r="947" spans="3:9" x14ac:dyDescent="0.3">
      <c r="C947" s="15"/>
      <c r="E947" s="10"/>
      <c r="G947" s="10"/>
      <c r="I947" s="10"/>
    </row>
    <row r="948" spans="3:9" x14ac:dyDescent="0.3">
      <c r="C948" s="15"/>
      <c r="E948" s="10"/>
      <c r="G948" s="10"/>
      <c r="I948" s="10"/>
    </row>
    <row r="949" spans="3:9" x14ac:dyDescent="0.3">
      <c r="C949" s="15"/>
      <c r="E949" s="10"/>
      <c r="G949" s="10"/>
      <c r="I949" s="10"/>
    </row>
    <row r="950" spans="3:9" x14ac:dyDescent="0.3">
      <c r="C950" s="15"/>
      <c r="E950" s="10"/>
      <c r="G950" s="10"/>
      <c r="I950" s="10"/>
    </row>
    <row r="951" spans="3:9" x14ac:dyDescent="0.3">
      <c r="C951" s="15"/>
      <c r="E951" s="10"/>
      <c r="G951" s="10"/>
      <c r="I951" s="10"/>
    </row>
    <row r="952" spans="3:9" x14ac:dyDescent="0.3">
      <c r="C952" s="15"/>
      <c r="E952" s="10"/>
      <c r="G952" s="10"/>
      <c r="I952" s="10"/>
    </row>
    <row r="953" spans="3:9" x14ac:dyDescent="0.3">
      <c r="C953" s="15"/>
      <c r="E953" s="10"/>
      <c r="G953" s="10"/>
      <c r="I953" s="10"/>
    </row>
    <row r="954" spans="3:9" x14ac:dyDescent="0.3">
      <c r="C954" s="15"/>
      <c r="E954" s="10"/>
      <c r="G954" s="10"/>
      <c r="I954" s="10"/>
    </row>
    <row r="955" spans="3:9" x14ac:dyDescent="0.3">
      <c r="C955" s="15"/>
      <c r="E955" s="10"/>
      <c r="G955" s="10"/>
      <c r="I955" s="10"/>
    </row>
    <row r="956" spans="3:9" x14ac:dyDescent="0.3">
      <c r="C956" s="15"/>
      <c r="E956" s="10"/>
      <c r="G956" s="10"/>
      <c r="I956" s="10"/>
    </row>
    <row r="957" spans="3:9" x14ac:dyDescent="0.3">
      <c r="C957" s="15"/>
      <c r="E957" s="10"/>
      <c r="G957" s="10"/>
      <c r="I957" s="10"/>
    </row>
    <row r="958" spans="3:9" x14ac:dyDescent="0.3">
      <c r="C958" s="15"/>
      <c r="E958" s="10"/>
      <c r="G958" s="10"/>
      <c r="I958" s="10"/>
    </row>
    <row r="959" spans="3:9" x14ac:dyDescent="0.3">
      <c r="C959" s="15"/>
      <c r="E959" s="10"/>
      <c r="G959" s="10"/>
      <c r="I959" s="10"/>
    </row>
    <row r="960" spans="3:9" x14ac:dyDescent="0.3">
      <c r="C960" s="15"/>
      <c r="E960" s="10"/>
      <c r="G960" s="10"/>
      <c r="I960" s="10"/>
    </row>
    <row r="961" spans="3:9" x14ac:dyDescent="0.3">
      <c r="C961" s="15"/>
      <c r="E961" s="10"/>
      <c r="G961" s="10"/>
      <c r="I961" s="10"/>
    </row>
    <row r="962" spans="3:9" x14ac:dyDescent="0.3">
      <c r="C962" s="15"/>
      <c r="E962" s="10"/>
      <c r="G962" s="10"/>
      <c r="I962" s="10"/>
    </row>
    <row r="963" spans="3:9" x14ac:dyDescent="0.3">
      <c r="C963" s="15"/>
      <c r="E963" s="10"/>
      <c r="G963" s="10"/>
      <c r="I963" s="10"/>
    </row>
    <row r="964" spans="3:9" x14ac:dyDescent="0.3">
      <c r="C964" s="15"/>
      <c r="E964" s="10"/>
      <c r="G964" s="10"/>
      <c r="I964" s="10"/>
    </row>
    <row r="965" spans="3:9" x14ac:dyDescent="0.3">
      <c r="C965" s="15"/>
      <c r="E965" s="10"/>
      <c r="G965" s="10"/>
      <c r="I965" s="10"/>
    </row>
    <row r="966" spans="3:9" x14ac:dyDescent="0.3">
      <c r="C966" s="15"/>
      <c r="E966" s="10"/>
      <c r="G966" s="10"/>
      <c r="I966" s="10"/>
    </row>
    <row r="967" spans="3:9" x14ac:dyDescent="0.3">
      <c r="C967" s="15"/>
      <c r="E967" s="10"/>
      <c r="G967" s="10"/>
      <c r="I967" s="10"/>
    </row>
    <row r="968" spans="3:9" x14ac:dyDescent="0.3">
      <c r="C968" s="15"/>
      <c r="E968" s="10"/>
      <c r="G968" s="10"/>
      <c r="I968" s="10"/>
    </row>
    <row r="969" spans="3:9" x14ac:dyDescent="0.3">
      <c r="C969" s="15"/>
      <c r="E969" s="10"/>
      <c r="G969" s="10"/>
      <c r="I969" s="10"/>
    </row>
    <row r="970" spans="3:9" x14ac:dyDescent="0.3">
      <c r="C970" s="15"/>
      <c r="E970" s="10"/>
      <c r="G970" s="10"/>
      <c r="I970" s="10"/>
    </row>
    <row r="971" spans="3:9" x14ac:dyDescent="0.3">
      <c r="C971" s="15"/>
      <c r="E971" s="10"/>
      <c r="G971" s="10"/>
      <c r="I971" s="10"/>
    </row>
    <row r="972" spans="3:9" x14ac:dyDescent="0.3">
      <c r="C972" s="15"/>
      <c r="E972" s="10"/>
      <c r="G972" s="10"/>
      <c r="I972" s="10"/>
    </row>
    <row r="973" spans="3:9" x14ac:dyDescent="0.3">
      <c r="C973" s="15"/>
      <c r="E973" s="10"/>
      <c r="G973" s="10"/>
      <c r="I973" s="10"/>
    </row>
    <row r="974" spans="3:9" x14ac:dyDescent="0.3">
      <c r="C974" s="15"/>
      <c r="E974" s="10"/>
      <c r="G974" s="10"/>
      <c r="I974" s="10"/>
    </row>
    <row r="975" spans="3:9" x14ac:dyDescent="0.3">
      <c r="C975" s="15"/>
      <c r="E975" s="10"/>
      <c r="G975" s="10"/>
      <c r="I975" s="10"/>
    </row>
    <row r="976" spans="3:9" x14ac:dyDescent="0.3">
      <c r="C976" s="15"/>
      <c r="E976" s="10"/>
      <c r="G976" s="10"/>
      <c r="I976" s="10"/>
    </row>
    <row r="977" spans="3:9" x14ac:dyDescent="0.3">
      <c r="C977" s="15"/>
      <c r="E977" s="10"/>
      <c r="G977" s="10"/>
      <c r="I977" s="10"/>
    </row>
    <row r="978" spans="3:9" x14ac:dyDescent="0.3">
      <c r="C978" s="15"/>
      <c r="E978" s="10"/>
      <c r="G978" s="10"/>
      <c r="I978" s="10"/>
    </row>
    <row r="979" spans="3:9" x14ac:dyDescent="0.3">
      <c r="C979" s="15"/>
      <c r="E979" s="10"/>
      <c r="G979" s="10"/>
      <c r="I979" s="10"/>
    </row>
    <row r="980" spans="3:9" x14ac:dyDescent="0.3">
      <c r="C980" s="15"/>
      <c r="E980" s="10"/>
      <c r="G980" s="10"/>
      <c r="I980" s="10"/>
    </row>
    <row r="981" spans="3:9" x14ac:dyDescent="0.3">
      <c r="C981" s="15"/>
      <c r="E981" s="10"/>
      <c r="G981" s="10"/>
      <c r="I981" s="10"/>
    </row>
    <row r="982" spans="3:9" x14ac:dyDescent="0.3">
      <c r="C982" s="15"/>
      <c r="E982" s="10"/>
      <c r="G982" s="10"/>
      <c r="I982" s="10"/>
    </row>
    <row r="983" spans="3:9" x14ac:dyDescent="0.3">
      <c r="C983" s="15"/>
      <c r="E983" s="10"/>
      <c r="G983" s="10"/>
      <c r="I983" s="10"/>
    </row>
    <row r="984" spans="3:9" x14ac:dyDescent="0.3">
      <c r="C984" s="15"/>
      <c r="E984" s="10"/>
      <c r="G984" s="10"/>
      <c r="I984" s="10"/>
    </row>
    <row r="985" spans="3:9" x14ac:dyDescent="0.3">
      <c r="C985" s="15"/>
      <c r="E985" s="10"/>
      <c r="G985" s="10"/>
      <c r="I985" s="10"/>
    </row>
    <row r="986" spans="3:9" x14ac:dyDescent="0.3">
      <c r="C986" s="15"/>
      <c r="E986" s="10"/>
      <c r="G986" s="10"/>
      <c r="I986" s="10"/>
    </row>
    <row r="987" spans="3:9" x14ac:dyDescent="0.3">
      <c r="C987" s="15"/>
      <c r="E987" s="10"/>
      <c r="G987" s="10"/>
      <c r="I987" s="10"/>
    </row>
    <row r="988" spans="3:9" x14ac:dyDescent="0.3">
      <c r="C988" s="15"/>
      <c r="E988" s="10"/>
      <c r="G988" s="10"/>
      <c r="I988" s="10"/>
    </row>
    <row r="989" spans="3:9" x14ac:dyDescent="0.3">
      <c r="C989" s="15"/>
      <c r="E989" s="10"/>
      <c r="G989" s="10"/>
      <c r="I989" s="10"/>
    </row>
    <row r="990" spans="3:9" x14ac:dyDescent="0.3">
      <c r="C990" s="15"/>
      <c r="E990" s="10"/>
      <c r="G990" s="10"/>
      <c r="I990" s="10"/>
    </row>
    <row r="991" spans="3:9" x14ac:dyDescent="0.3">
      <c r="C991" s="15"/>
      <c r="E991" s="10"/>
      <c r="G991" s="10"/>
      <c r="I991" s="10"/>
    </row>
    <row r="992" spans="3:9" x14ac:dyDescent="0.3">
      <c r="C992" s="15"/>
      <c r="E992" s="10"/>
      <c r="G992" s="10"/>
      <c r="I992" s="10"/>
    </row>
    <row r="993" spans="3:9" x14ac:dyDescent="0.3">
      <c r="C993" s="15"/>
      <c r="E993" s="10"/>
      <c r="G993" s="10"/>
      <c r="I993" s="10"/>
    </row>
    <row r="994" spans="3:9" x14ac:dyDescent="0.3">
      <c r="C994" s="15"/>
      <c r="E994" s="10"/>
      <c r="G994" s="10"/>
      <c r="I994" s="10"/>
    </row>
    <row r="995" spans="3:9" x14ac:dyDescent="0.3">
      <c r="C995" s="15"/>
      <c r="E995" s="10"/>
      <c r="G995" s="10"/>
      <c r="I995" s="10"/>
    </row>
    <row r="996" spans="3:9" x14ac:dyDescent="0.3">
      <c r="C996" s="15"/>
      <c r="E996" s="10"/>
      <c r="G996" s="10"/>
      <c r="I996" s="10"/>
    </row>
    <row r="997" spans="3:9" x14ac:dyDescent="0.3">
      <c r="C997" s="15"/>
      <c r="E997" s="10"/>
      <c r="G997" s="10"/>
      <c r="I997" s="10"/>
    </row>
    <row r="998" spans="3:9" x14ac:dyDescent="0.3">
      <c r="C998" s="15"/>
      <c r="E998" s="10"/>
      <c r="G998" s="10"/>
      <c r="I998" s="10"/>
    </row>
    <row r="999" spans="3:9" x14ac:dyDescent="0.3">
      <c r="C999" s="15"/>
      <c r="E999" s="10"/>
      <c r="G999" s="10"/>
      <c r="I999" s="10"/>
    </row>
    <row r="1000" spans="3:9" x14ac:dyDescent="0.3">
      <c r="C1000" s="15"/>
      <c r="E1000" s="10"/>
      <c r="G1000" s="10"/>
      <c r="I1000" s="10"/>
    </row>
    <row r="1001" spans="3:9" x14ac:dyDescent="0.3">
      <c r="C1001" s="15"/>
      <c r="E1001" s="10"/>
      <c r="G1001" s="10"/>
      <c r="I1001" s="10"/>
    </row>
    <row r="1002" spans="3:9" x14ac:dyDescent="0.3">
      <c r="C1002" s="15"/>
      <c r="E1002" s="10"/>
      <c r="G1002" s="10"/>
      <c r="I1002" s="10"/>
    </row>
    <row r="1003" spans="3:9" x14ac:dyDescent="0.3">
      <c r="C1003" s="15"/>
      <c r="E1003" s="10"/>
      <c r="G1003" s="10"/>
      <c r="I1003" s="10"/>
    </row>
    <row r="1004" spans="3:9" x14ac:dyDescent="0.3">
      <c r="C1004" s="15"/>
      <c r="E1004" s="10"/>
      <c r="G1004" s="10"/>
      <c r="I1004" s="10"/>
    </row>
    <row r="1005" spans="3:9" x14ac:dyDescent="0.3">
      <c r="C1005" s="15"/>
      <c r="E1005" s="10"/>
      <c r="G1005" s="10"/>
      <c r="I1005" s="10"/>
    </row>
    <row r="1006" spans="3:9" x14ac:dyDescent="0.3">
      <c r="C1006" s="15"/>
      <c r="E1006" s="10"/>
      <c r="G1006" s="10"/>
      <c r="I1006" s="10"/>
    </row>
    <row r="1007" spans="3:9" x14ac:dyDescent="0.3">
      <c r="C1007" s="15"/>
      <c r="E1007" s="10"/>
      <c r="G1007" s="10"/>
      <c r="I1007" s="10"/>
    </row>
    <row r="1008" spans="3:9" x14ac:dyDescent="0.3">
      <c r="C1008" s="15"/>
      <c r="E1008" s="10"/>
      <c r="G1008" s="10"/>
      <c r="I1008" s="10"/>
    </row>
    <row r="1009" spans="3:9" x14ac:dyDescent="0.3">
      <c r="C1009" s="15"/>
      <c r="E1009" s="10"/>
      <c r="G1009" s="10"/>
      <c r="I1009" s="10"/>
    </row>
    <row r="1010" spans="3:9" x14ac:dyDescent="0.3">
      <c r="C1010" s="15"/>
      <c r="E1010" s="10"/>
      <c r="G1010" s="10"/>
      <c r="I1010" s="10"/>
    </row>
    <row r="1011" spans="3:9" x14ac:dyDescent="0.3">
      <c r="C1011" s="15"/>
      <c r="E1011" s="10"/>
      <c r="G1011" s="10"/>
      <c r="I1011" s="10"/>
    </row>
    <row r="1012" spans="3:9" x14ac:dyDescent="0.3">
      <c r="C1012" s="15"/>
      <c r="E1012" s="10"/>
      <c r="G1012" s="10"/>
      <c r="I1012" s="10"/>
    </row>
    <row r="1013" spans="3:9" x14ac:dyDescent="0.3">
      <c r="C1013" s="15"/>
      <c r="E1013" s="10"/>
      <c r="G1013" s="10"/>
      <c r="I1013" s="10"/>
    </row>
    <row r="1014" spans="3:9" x14ac:dyDescent="0.3">
      <c r="C1014" s="15"/>
      <c r="E1014" s="10"/>
      <c r="G1014" s="10"/>
      <c r="I1014" s="10"/>
    </row>
    <row r="1015" spans="3:9" x14ac:dyDescent="0.3">
      <c r="C1015" s="15"/>
      <c r="E1015" s="10"/>
      <c r="G1015" s="10"/>
      <c r="I1015" s="10"/>
    </row>
    <row r="1016" spans="3:9" x14ac:dyDescent="0.3">
      <c r="C1016" s="15"/>
      <c r="E1016" s="10"/>
      <c r="G1016" s="10"/>
      <c r="I1016" s="10"/>
    </row>
    <row r="1017" spans="3:9" x14ac:dyDescent="0.3">
      <c r="C1017" s="15"/>
      <c r="E1017" s="10"/>
      <c r="G1017" s="10"/>
      <c r="I1017" s="10"/>
    </row>
    <row r="1018" spans="3:9" x14ac:dyDescent="0.3">
      <c r="C1018" s="15"/>
      <c r="E1018" s="10"/>
      <c r="G1018" s="10"/>
      <c r="I1018" s="10"/>
    </row>
    <row r="1019" spans="3:9" x14ac:dyDescent="0.3">
      <c r="C1019" s="15"/>
      <c r="E1019" s="10"/>
      <c r="G1019" s="10"/>
      <c r="I1019" s="10"/>
    </row>
    <row r="1020" spans="3:9" x14ac:dyDescent="0.3">
      <c r="C1020" s="15"/>
      <c r="E1020" s="10"/>
      <c r="G1020" s="10"/>
      <c r="I1020" s="10"/>
    </row>
    <row r="1021" spans="3:9" x14ac:dyDescent="0.3">
      <c r="C1021" s="15"/>
      <c r="E1021" s="10"/>
      <c r="G1021" s="10"/>
      <c r="I1021" s="10"/>
    </row>
    <row r="1022" spans="3:9" x14ac:dyDescent="0.3">
      <c r="C1022" s="15"/>
      <c r="E1022" s="10"/>
      <c r="G1022" s="10"/>
      <c r="I1022" s="10"/>
    </row>
    <row r="1023" spans="3:9" x14ac:dyDescent="0.3">
      <c r="C1023" s="15"/>
      <c r="E1023" s="10"/>
      <c r="G1023" s="10"/>
      <c r="I1023" s="10"/>
    </row>
    <row r="1024" spans="3:9" x14ac:dyDescent="0.3">
      <c r="C1024" s="15"/>
      <c r="E1024" s="10"/>
      <c r="G1024" s="10"/>
      <c r="I1024" s="10"/>
    </row>
    <row r="1025" spans="3:9" x14ac:dyDescent="0.3">
      <c r="C1025" s="15"/>
      <c r="E1025" s="10"/>
      <c r="G1025" s="10"/>
      <c r="I1025" s="10"/>
    </row>
    <row r="1026" spans="3:9" x14ac:dyDescent="0.3">
      <c r="C1026" s="15"/>
      <c r="E1026" s="10"/>
      <c r="G1026" s="10"/>
      <c r="I1026" s="10"/>
    </row>
    <row r="1027" spans="3:9" x14ac:dyDescent="0.3">
      <c r="C1027" s="15"/>
      <c r="E1027" s="10"/>
      <c r="G1027" s="10"/>
      <c r="I1027" s="10"/>
    </row>
    <row r="1028" spans="3:9" x14ac:dyDescent="0.3">
      <c r="C1028" s="15"/>
      <c r="E1028" s="10"/>
      <c r="G1028" s="10"/>
      <c r="I1028" s="10"/>
    </row>
    <row r="1029" spans="3:9" x14ac:dyDescent="0.3">
      <c r="C1029" s="15"/>
      <c r="E1029" s="10"/>
      <c r="G1029" s="10"/>
      <c r="I1029" s="10"/>
    </row>
    <row r="1030" spans="3:9" x14ac:dyDescent="0.3">
      <c r="C1030" s="15"/>
      <c r="E1030" s="10"/>
      <c r="G1030" s="10"/>
      <c r="I1030" s="10"/>
    </row>
    <row r="1031" spans="3:9" x14ac:dyDescent="0.3">
      <c r="C1031" s="15"/>
      <c r="E1031" s="10"/>
      <c r="G1031" s="10"/>
      <c r="I1031" s="10"/>
    </row>
    <row r="1032" spans="3:9" x14ac:dyDescent="0.3">
      <c r="C1032" s="15"/>
      <c r="E1032" s="10"/>
      <c r="G1032" s="10"/>
      <c r="I1032" s="10"/>
    </row>
    <row r="1033" spans="3:9" x14ac:dyDescent="0.3">
      <c r="C1033" s="15"/>
      <c r="E1033" s="10"/>
      <c r="G1033" s="10"/>
      <c r="I1033" s="10"/>
    </row>
    <row r="1034" spans="3:9" x14ac:dyDescent="0.3">
      <c r="C1034" s="15"/>
      <c r="E1034" s="10"/>
      <c r="G1034" s="10"/>
      <c r="I1034" s="10"/>
    </row>
    <row r="1035" spans="3:9" x14ac:dyDescent="0.3">
      <c r="C1035" s="15"/>
      <c r="E1035" s="10"/>
      <c r="G1035" s="10"/>
      <c r="I1035" s="10"/>
    </row>
    <row r="1036" spans="3:9" x14ac:dyDescent="0.3">
      <c r="C1036" s="15"/>
      <c r="E1036" s="10"/>
      <c r="G1036" s="10"/>
      <c r="I1036" s="10"/>
    </row>
    <row r="1037" spans="3:9" x14ac:dyDescent="0.3">
      <c r="C1037" s="15"/>
      <c r="E1037" s="10"/>
      <c r="G1037" s="10"/>
      <c r="I1037" s="10"/>
    </row>
    <row r="1038" spans="3:9" x14ac:dyDescent="0.3">
      <c r="C1038" s="15"/>
      <c r="E1038" s="10"/>
      <c r="G1038" s="10"/>
      <c r="I1038" s="10"/>
    </row>
    <row r="1039" spans="3:9" x14ac:dyDescent="0.3">
      <c r="C1039" s="15"/>
      <c r="E1039" s="10"/>
      <c r="G1039" s="10"/>
      <c r="I1039" s="10"/>
    </row>
    <row r="1040" spans="3:9" x14ac:dyDescent="0.3">
      <c r="C1040" s="15"/>
      <c r="E1040" s="10"/>
      <c r="G1040" s="10"/>
      <c r="I1040" s="10"/>
    </row>
    <row r="1041" spans="3:9" x14ac:dyDescent="0.3">
      <c r="C1041" s="15"/>
      <c r="E1041" s="10"/>
      <c r="G1041" s="10"/>
      <c r="I1041" s="10"/>
    </row>
    <row r="1042" spans="3:9" x14ac:dyDescent="0.3">
      <c r="C1042" s="15"/>
      <c r="E1042" s="10"/>
      <c r="G1042" s="10"/>
      <c r="I1042" s="10"/>
    </row>
    <row r="1043" spans="3:9" x14ac:dyDescent="0.3">
      <c r="C1043" s="15"/>
      <c r="E1043" s="10"/>
      <c r="G1043" s="10"/>
      <c r="I1043" s="10"/>
    </row>
    <row r="1044" spans="3:9" x14ac:dyDescent="0.3">
      <c r="C1044" s="15"/>
      <c r="E1044" s="10"/>
      <c r="G1044" s="10"/>
      <c r="I1044" s="10"/>
    </row>
    <row r="1045" spans="3:9" x14ac:dyDescent="0.3">
      <c r="C1045" s="15"/>
      <c r="E1045" s="10"/>
      <c r="G1045" s="10"/>
      <c r="I1045" s="10"/>
    </row>
    <row r="1046" spans="3:9" x14ac:dyDescent="0.3">
      <c r="C1046" s="15"/>
      <c r="E1046" s="10"/>
      <c r="G1046" s="10"/>
      <c r="I1046" s="10"/>
    </row>
    <row r="1047" spans="3:9" x14ac:dyDescent="0.3">
      <c r="C1047" s="15"/>
      <c r="E1047" s="10"/>
      <c r="G1047" s="10"/>
      <c r="I1047" s="10"/>
    </row>
    <row r="1048" spans="3:9" x14ac:dyDescent="0.3">
      <c r="C1048" s="15"/>
      <c r="E1048" s="10"/>
      <c r="G1048" s="10"/>
      <c r="I1048" s="10"/>
    </row>
    <row r="1049" spans="3:9" x14ac:dyDescent="0.3">
      <c r="C1049" s="15"/>
      <c r="E1049" s="10"/>
      <c r="G1049" s="10"/>
      <c r="I1049" s="10"/>
    </row>
    <row r="1050" spans="3:9" x14ac:dyDescent="0.3">
      <c r="C1050" s="15"/>
      <c r="E1050" s="10"/>
      <c r="G1050" s="10"/>
      <c r="I1050" s="10"/>
    </row>
    <row r="1051" spans="3:9" x14ac:dyDescent="0.3">
      <c r="C1051" s="15"/>
      <c r="E1051" s="10"/>
      <c r="G1051" s="10"/>
      <c r="I1051" s="10"/>
    </row>
    <row r="1052" spans="3:9" x14ac:dyDescent="0.3">
      <c r="C1052" s="15"/>
      <c r="E1052" s="10"/>
      <c r="G1052" s="10"/>
      <c r="I1052" s="10"/>
    </row>
    <row r="1053" spans="3:9" x14ac:dyDescent="0.3">
      <c r="C1053" s="15"/>
      <c r="E1053" s="10"/>
      <c r="G1053" s="10"/>
      <c r="I1053" s="10"/>
    </row>
    <row r="1054" spans="3:9" x14ac:dyDescent="0.3">
      <c r="C1054" s="15"/>
      <c r="E1054" s="10"/>
      <c r="G1054" s="10"/>
      <c r="I1054" s="10"/>
    </row>
    <row r="1055" spans="3:9" x14ac:dyDescent="0.3">
      <c r="C1055" s="15"/>
      <c r="E1055" s="10"/>
      <c r="G1055" s="10"/>
      <c r="I1055" s="10"/>
    </row>
    <row r="1056" spans="3:9" x14ac:dyDescent="0.3">
      <c r="C1056" s="15"/>
      <c r="E1056" s="10"/>
      <c r="G1056" s="10"/>
      <c r="I1056" s="10"/>
    </row>
    <row r="1057" spans="3:9" x14ac:dyDescent="0.3">
      <c r="C1057" s="15"/>
      <c r="E1057" s="10"/>
      <c r="G1057" s="10"/>
      <c r="I1057" s="10"/>
    </row>
    <row r="1058" spans="3:9" x14ac:dyDescent="0.3">
      <c r="C1058" s="15"/>
      <c r="E1058" s="10"/>
      <c r="G1058" s="10"/>
      <c r="I1058" s="10"/>
    </row>
    <row r="1059" spans="3:9" x14ac:dyDescent="0.3">
      <c r="C1059" s="15"/>
      <c r="E1059" s="10"/>
      <c r="G1059" s="10"/>
      <c r="I1059" s="10"/>
    </row>
    <row r="1060" spans="3:9" x14ac:dyDescent="0.3">
      <c r="C1060" s="15"/>
      <c r="E1060" s="10"/>
      <c r="G1060" s="10"/>
      <c r="I1060" s="10"/>
    </row>
    <row r="1061" spans="3:9" x14ac:dyDescent="0.3">
      <c r="C1061" s="15"/>
      <c r="E1061" s="10"/>
      <c r="G1061" s="10"/>
      <c r="I1061" s="10"/>
    </row>
    <row r="1062" spans="3:9" x14ac:dyDescent="0.3">
      <c r="C1062" s="15"/>
      <c r="E1062" s="10"/>
      <c r="G1062" s="10"/>
      <c r="I1062" s="10"/>
    </row>
    <row r="1063" spans="3:9" x14ac:dyDescent="0.3">
      <c r="C1063" s="15"/>
      <c r="E1063" s="10"/>
      <c r="G1063" s="10"/>
      <c r="I1063" s="10"/>
    </row>
    <row r="1064" spans="3:9" x14ac:dyDescent="0.3">
      <c r="C1064" s="15"/>
      <c r="E1064" s="10"/>
      <c r="G1064" s="10"/>
      <c r="I1064" s="10"/>
    </row>
    <row r="1065" spans="3:9" x14ac:dyDescent="0.3">
      <c r="C1065" s="15"/>
      <c r="E1065" s="10"/>
      <c r="G1065" s="10"/>
      <c r="I1065" s="10"/>
    </row>
    <row r="1066" spans="3:9" x14ac:dyDescent="0.3">
      <c r="C1066" s="15"/>
      <c r="E1066" s="10"/>
      <c r="G1066" s="10"/>
      <c r="I1066" s="10"/>
    </row>
    <row r="1067" spans="3:9" x14ac:dyDescent="0.3">
      <c r="C1067" s="15"/>
      <c r="E1067" s="10"/>
      <c r="G1067" s="10"/>
      <c r="I1067" s="10"/>
    </row>
    <row r="1068" spans="3:9" x14ac:dyDescent="0.3">
      <c r="C1068" s="15"/>
      <c r="E1068" s="10"/>
      <c r="G1068" s="10"/>
      <c r="I1068" s="10"/>
    </row>
    <row r="1069" spans="3:9" x14ac:dyDescent="0.3">
      <c r="C1069" s="15"/>
      <c r="E1069" s="10"/>
      <c r="G1069" s="10"/>
      <c r="I1069" s="10"/>
    </row>
    <row r="1070" spans="3:9" x14ac:dyDescent="0.3">
      <c r="C1070" s="15"/>
      <c r="E1070" s="10"/>
      <c r="G1070" s="10"/>
      <c r="I1070" s="10"/>
    </row>
    <row r="1071" spans="3:9" x14ac:dyDescent="0.3">
      <c r="C1071" s="15"/>
      <c r="E1071" s="10"/>
      <c r="G1071" s="10"/>
      <c r="I1071" s="10"/>
    </row>
    <row r="1072" spans="3:9" x14ac:dyDescent="0.3">
      <c r="C1072" s="15"/>
      <c r="E1072" s="10"/>
      <c r="G1072" s="10"/>
      <c r="I1072" s="10"/>
    </row>
    <row r="1073" spans="3:9" x14ac:dyDescent="0.3">
      <c r="C1073" s="15"/>
      <c r="E1073" s="10"/>
      <c r="G1073" s="10"/>
      <c r="I1073" s="10"/>
    </row>
    <row r="1074" spans="3:9" x14ac:dyDescent="0.3">
      <c r="C1074" s="15"/>
      <c r="E1074" s="10"/>
      <c r="G1074" s="10"/>
      <c r="I1074" s="10"/>
    </row>
    <row r="1075" spans="3:9" x14ac:dyDescent="0.3">
      <c r="C1075" s="15"/>
      <c r="E1075" s="10"/>
      <c r="G1075" s="10"/>
      <c r="I1075" s="10"/>
    </row>
    <row r="1076" spans="3:9" x14ac:dyDescent="0.3">
      <c r="C1076" s="15"/>
      <c r="E1076" s="10"/>
      <c r="G1076" s="10"/>
      <c r="I1076" s="10"/>
    </row>
    <row r="1077" spans="3:9" x14ac:dyDescent="0.3">
      <c r="C1077" s="15"/>
      <c r="E1077" s="10"/>
      <c r="G1077" s="10"/>
      <c r="I1077" s="10"/>
    </row>
    <row r="1078" spans="3:9" x14ac:dyDescent="0.3">
      <c r="C1078" s="15"/>
      <c r="E1078" s="10"/>
      <c r="G1078" s="10"/>
      <c r="I1078" s="10"/>
    </row>
    <row r="1079" spans="3:9" x14ac:dyDescent="0.3">
      <c r="C1079" s="15"/>
      <c r="E1079" s="10"/>
      <c r="G1079" s="10"/>
      <c r="I1079" s="10"/>
    </row>
    <row r="1080" spans="3:9" x14ac:dyDescent="0.3">
      <c r="C1080" s="15"/>
      <c r="E1080" s="10"/>
      <c r="G1080" s="10"/>
      <c r="I1080" s="10"/>
    </row>
    <row r="1081" spans="3:9" x14ac:dyDescent="0.3">
      <c r="C1081" s="15"/>
      <c r="E1081" s="10"/>
      <c r="G1081" s="10"/>
      <c r="I1081" s="10"/>
    </row>
    <row r="1082" spans="3:9" x14ac:dyDescent="0.3">
      <c r="C1082" s="15"/>
      <c r="E1082" s="10"/>
      <c r="G1082" s="10"/>
      <c r="I1082" s="10"/>
    </row>
    <row r="1083" spans="3:9" x14ac:dyDescent="0.3">
      <c r="C1083" s="15"/>
      <c r="E1083" s="10"/>
      <c r="G1083" s="10"/>
      <c r="I1083" s="10"/>
    </row>
    <row r="1084" spans="3:9" x14ac:dyDescent="0.3">
      <c r="C1084" s="15"/>
      <c r="E1084" s="10"/>
      <c r="G1084" s="10"/>
      <c r="I1084" s="10"/>
    </row>
    <row r="1085" spans="3:9" x14ac:dyDescent="0.3">
      <c r="C1085" s="15"/>
      <c r="E1085" s="10"/>
      <c r="G1085" s="10"/>
      <c r="I1085" s="10"/>
    </row>
    <row r="1086" spans="3:9" x14ac:dyDescent="0.3">
      <c r="C1086" s="15"/>
      <c r="E1086" s="10"/>
      <c r="G1086" s="10"/>
      <c r="I1086" s="10"/>
    </row>
    <row r="1087" spans="3:9" x14ac:dyDescent="0.3">
      <c r="C1087" s="15"/>
      <c r="E1087" s="10"/>
      <c r="G1087" s="10"/>
      <c r="I1087" s="10"/>
    </row>
    <row r="1088" spans="3:9" x14ac:dyDescent="0.3">
      <c r="C1088" s="15"/>
      <c r="E1088" s="10"/>
      <c r="G1088" s="10"/>
      <c r="I1088" s="10"/>
    </row>
    <row r="1089" spans="3:9" x14ac:dyDescent="0.3">
      <c r="C1089" s="15"/>
      <c r="E1089" s="10"/>
      <c r="G1089" s="10"/>
      <c r="I1089" s="10"/>
    </row>
    <row r="1090" spans="3:9" x14ac:dyDescent="0.3">
      <c r="C1090" s="15"/>
      <c r="E1090" s="10"/>
      <c r="G1090" s="10"/>
      <c r="I1090" s="10"/>
    </row>
    <row r="1091" spans="3:9" x14ac:dyDescent="0.3">
      <c r="C1091" s="15"/>
      <c r="E1091" s="10"/>
      <c r="G1091" s="10"/>
      <c r="I1091" s="10"/>
    </row>
    <row r="1092" spans="3:9" x14ac:dyDescent="0.3">
      <c r="C1092" s="15"/>
      <c r="E1092" s="10"/>
      <c r="G1092" s="10"/>
      <c r="I1092" s="10"/>
    </row>
    <row r="1093" spans="3:9" x14ac:dyDescent="0.3">
      <c r="C1093" s="15"/>
      <c r="E1093" s="10"/>
      <c r="G1093" s="10"/>
      <c r="I1093" s="10"/>
    </row>
    <row r="1094" spans="3:9" x14ac:dyDescent="0.3">
      <c r="C1094" s="15"/>
      <c r="E1094" s="10"/>
      <c r="G1094" s="10"/>
      <c r="I1094" s="10"/>
    </row>
    <row r="1095" spans="3:9" x14ac:dyDescent="0.3">
      <c r="C1095" s="15"/>
      <c r="E1095" s="10"/>
      <c r="G1095" s="10"/>
      <c r="I1095" s="10"/>
    </row>
    <row r="1096" spans="3:9" x14ac:dyDescent="0.3">
      <c r="C1096" s="15"/>
      <c r="E1096" s="10"/>
      <c r="G1096" s="10"/>
      <c r="I1096" s="10"/>
    </row>
    <row r="1097" spans="3:9" x14ac:dyDescent="0.3">
      <c r="C1097" s="15"/>
      <c r="E1097" s="10"/>
      <c r="G1097" s="10"/>
      <c r="I1097" s="10"/>
    </row>
    <row r="1098" spans="3:9" x14ac:dyDescent="0.3">
      <c r="C1098" s="15"/>
      <c r="E1098" s="10"/>
      <c r="G1098" s="10"/>
      <c r="I1098" s="10"/>
    </row>
    <row r="1099" spans="3:9" x14ac:dyDescent="0.3">
      <c r="C1099" s="15"/>
      <c r="E1099" s="10"/>
      <c r="G1099" s="10"/>
      <c r="I1099" s="10"/>
    </row>
    <row r="1100" spans="3:9" x14ac:dyDescent="0.3">
      <c r="C1100" s="15"/>
      <c r="E1100" s="10"/>
      <c r="G1100" s="10"/>
      <c r="I1100" s="10"/>
    </row>
    <row r="1101" spans="3:9" x14ac:dyDescent="0.3">
      <c r="C1101" s="15"/>
      <c r="E1101" s="10"/>
      <c r="G1101" s="10"/>
      <c r="I1101" s="10"/>
    </row>
    <row r="1102" spans="3:9" x14ac:dyDescent="0.3">
      <c r="C1102" s="15"/>
      <c r="E1102" s="10"/>
      <c r="G1102" s="10"/>
      <c r="I1102" s="10"/>
    </row>
    <row r="1103" spans="3:9" x14ac:dyDescent="0.3">
      <c r="C1103" s="15"/>
      <c r="E1103" s="10"/>
      <c r="G1103" s="10"/>
      <c r="I1103" s="10"/>
    </row>
    <row r="1104" spans="3:9" x14ac:dyDescent="0.3">
      <c r="C1104" s="15"/>
      <c r="E1104" s="10"/>
      <c r="G1104" s="10"/>
      <c r="I1104" s="10"/>
    </row>
    <row r="1105" spans="3:9" x14ac:dyDescent="0.3">
      <c r="C1105" s="15"/>
      <c r="E1105" s="10"/>
      <c r="G1105" s="10"/>
      <c r="I1105" s="10"/>
    </row>
    <row r="1106" spans="3:9" x14ac:dyDescent="0.3">
      <c r="C1106" s="15"/>
      <c r="E1106" s="10"/>
      <c r="G1106" s="10"/>
      <c r="I1106" s="10"/>
    </row>
    <row r="1107" spans="3:9" x14ac:dyDescent="0.3">
      <c r="C1107" s="15"/>
      <c r="E1107" s="10"/>
      <c r="G1107" s="10"/>
      <c r="I1107" s="10"/>
    </row>
    <row r="1108" spans="3:9" x14ac:dyDescent="0.3">
      <c r="C1108" s="15"/>
      <c r="E1108" s="10"/>
      <c r="G1108" s="10"/>
      <c r="I1108" s="10"/>
    </row>
    <row r="1109" spans="3:9" x14ac:dyDescent="0.3">
      <c r="C1109" s="15"/>
      <c r="E1109" s="10"/>
      <c r="G1109" s="10"/>
      <c r="I1109" s="10"/>
    </row>
    <row r="1110" spans="3:9" x14ac:dyDescent="0.3">
      <c r="C1110" s="15"/>
      <c r="E1110" s="10"/>
      <c r="G1110" s="10"/>
      <c r="I1110" s="10"/>
    </row>
    <row r="1111" spans="3:9" x14ac:dyDescent="0.3">
      <c r="C1111" s="15"/>
      <c r="E1111" s="10"/>
      <c r="G1111" s="10"/>
      <c r="I1111" s="10"/>
    </row>
    <row r="1112" spans="3:9" x14ac:dyDescent="0.3">
      <c r="C1112" s="15"/>
      <c r="E1112" s="10"/>
      <c r="G1112" s="10"/>
      <c r="I1112" s="10"/>
    </row>
    <row r="1113" spans="3:9" x14ac:dyDescent="0.3">
      <c r="C1113" s="15"/>
      <c r="E1113" s="10"/>
      <c r="G1113" s="10"/>
      <c r="I1113" s="10"/>
    </row>
    <row r="1114" spans="3:9" x14ac:dyDescent="0.3">
      <c r="C1114" s="15"/>
      <c r="E1114" s="10"/>
      <c r="G1114" s="10"/>
      <c r="I1114" s="10"/>
    </row>
    <row r="1115" spans="3:9" x14ac:dyDescent="0.3">
      <c r="C1115" s="15"/>
      <c r="E1115" s="10"/>
      <c r="G1115" s="10"/>
      <c r="I1115" s="10"/>
    </row>
    <row r="1116" spans="3:9" x14ac:dyDescent="0.3">
      <c r="C1116" s="15"/>
      <c r="E1116" s="10"/>
      <c r="G1116" s="10"/>
      <c r="I1116" s="10"/>
    </row>
    <row r="1117" spans="3:9" x14ac:dyDescent="0.3">
      <c r="C1117" s="15"/>
      <c r="E1117" s="10"/>
      <c r="G1117" s="10"/>
      <c r="I1117" s="10"/>
    </row>
    <row r="1118" spans="3:9" x14ac:dyDescent="0.3">
      <c r="C1118" s="15"/>
      <c r="E1118" s="10"/>
      <c r="G1118" s="10"/>
      <c r="I1118" s="10"/>
    </row>
    <row r="1119" spans="3:9" x14ac:dyDescent="0.3">
      <c r="C1119" s="15"/>
      <c r="E1119" s="10"/>
      <c r="G1119" s="10"/>
      <c r="I1119" s="10"/>
    </row>
    <row r="1120" spans="3:9" x14ac:dyDescent="0.3">
      <c r="C1120" s="15"/>
      <c r="E1120" s="10"/>
      <c r="G1120" s="10"/>
      <c r="I1120" s="10"/>
    </row>
    <row r="1121" spans="3:9" x14ac:dyDescent="0.3">
      <c r="C1121" s="15"/>
      <c r="E1121" s="10"/>
      <c r="G1121" s="10"/>
      <c r="I1121" s="10"/>
    </row>
    <row r="1122" spans="3:9" x14ac:dyDescent="0.3">
      <c r="C1122" s="15"/>
      <c r="E1122" s="10"/>
      <c r="G1122" s="10"/>
      <c r="I1122" s="10"/>
    </row>
    <row r="1123" spans="3:9" x14ac:dyDescent="0.3">
      <c r="C1123" s="15"/>
      <c r="E1123" s="10"/>
      <c r="G1123" s="10"/>
      <c r="I1123" s="10"/>
    </row>
    <row r="1124" spans="3:9" x14ac:dyDescent="0.3">
      <c r="C1124" s="15"/>
      <c r="E1124" s="10"/>
      <c r="G1124" s="10"/>
      <c r="I1124" s="10"/>
    </row>
    <row r="1125" spans="3:9" x14ac:dyDescent="0.3">
      <c r="C1125" s="15"/>
      <c r="E1125" s="10"/>
      <c r="G1125" s="10"/>
      <c r="I1125" s="10"/>
    </row>
    <row r="1126" spans="3:9" x14ac:dyDescent="0.3">
      <c r="C1126" s="15"/>
      <c r="E1126" s="10"/>
      <c r="G1126" s="10"/>
      <c r="I1126" s="10"/>
    </row>
    <row r="1127" spans="3:9" x14ac:dyDescent="0.3">
      <c r="C1127" s="15"/>
      <c r="E1127" s="10"/>
      <c r="G1127" s="10"/>
      <c r="I1127" s="10"/>
    </row>
    <row r="1128" spans="3:9" x14ac:dyDescent="0.3">
      <c r="C1128" s="15"/>
      <c r="E1128" s="10"/>
      <c r="G1128" s="10"/>
      <c r="I1128" s="10"/>
    </row>
    <row r="1129" spans="3:9" x14ac:dyDescent="0.3">
      <c r="C1129" s="15"/>
      <c r="E1129" s="10"/>
      <c r="G1129" s="10"/>
      <c r="I1129" s="10"/>
    </row>
    <row r="1130" spans="3:9" x14ac:dyDescent="0.3">
      <c r="C1130" s="15"/>
      <c r="E1130" s="10"/>
      <c r="G1130" s="10"/>
      <c r="I1130" s="10"/>
    </row>
    <row r="1131" spans="3:9" x14ac:dyDescent="0.3">
      <c r="C1131" s="15"/>
      <c r="E1131" s="10"/>
      <c r="G1131" s="10"/>
      <c r="I1131" s="10"/>
    </row>
    <row r="1132" spans="3:9" x14ac:dyDescent="0.3">
      <c r="C1132" s="15"/>
      <c r="E1132" s="10"/>
      <c r="G1132" s="10"/>
      <c r="I1132" s="10"/>
    </row>
    <row r="1133" spans="3:9" x14ac:dyDescent="0.3">
      <c r="C1133" s="15"/>
      <c r="E1133" s="10"/>
      <c r="G1133" s="10"/>
      <c r="I1133" s="10"/>
    </row>
    <row r="1134" spans="3:9" x14ac:dyDescent="0.3">
      <c r="C1134" s="15"/>
      <c r="E1134" s="10"/>
      <c r="G1134" s="10"/>
      <c r="I1134" s="10"/>
    </row>
    <row r="1135" spans="3:9" x14ac:dyDescent="0.3">
      <c r="C1135" s="15"/>
      <c r="E1135" s="10"/>
      <c r="G1135" s="10"/>
      <c r="I1135" s="10"/>
    </row>
    <row r="1136" spans="3:9" x14ac:dyDescent="0.3">
      <c r="C1136" s="15"/>
      <c r="E1136" s="10"/>
      <c r="G1136" s="10"/>
      <c r="I1136" s="10"/>
    </row>
    <row r="1137" spans="3:9" x14ac:dyDescent="0.3">
      <c r="C1137" s="15"/>
      <c r="E1137" s="10"/>
      <c r="G1137" s="10"/>
      <c r="I1137" s="10"/>
    </row>
    <row r="1138" spans="3:9" x14ac:dyDescent="0.3">
      <c r="C1138" s="15"/>
      <c r="E1138" s="10"/>
      <c r="G1138" s="10"/>
      <c r="I1138" s="10"/>
    </row>
    <row r="1139" spans="3:9" x14ac:dyDescent="0.3">
      <c r="C1139" s="15"/>
      <c r="E1139" s="10"/>
      <c r="G1139" s="10"/>
      <c r="I1139" s="10"/>
    </row>
    <row r="1140" spans="3:9" x14ac:dyDescent="0.3">
      <c r="C1140" s="15"/>
      <c r="E1140" s="10"/>
      <c r="G1140" s="10"/>
      <c r="I1140" s="10"/>
    </row>
    <row r="1141" spans="3:9" x14ac:dyDescent="0.3">
      <c r="C1141" s="15"/>
      <c r="E1141" s="10"/>
      <c r="G1141" s="10"/>
      <c r="I1141" s="10"/>
    </row>
    <row r="1142" spans="3:9" x14ac:dyDescent="0.3">
      <c r="C1142" s="15"/>
      <c r="E1142" s="10"/>
      <c r="G1142" s="10"/>
      <c r="I1142" s="10"/>
    </row>
    <row r="1143" spans="3:9" x14ac:dyDescent="0.3">
      <c r="C1143" s="15"/>
      <c r="E1143" s="10"/>
      <c r="G1143" s="10"/>
      <c r="I1143" s="10"/>
    </row>
    <row r="1144" spans="3:9" x14ac:dyDescent="0.3">
      <c r="C1144" s="15"/>
      <c r="E1144" s="10"/>
      <c r="G1144" s="10"/>
      <c r="I1144" s="10"/>
    </row>
    <row r="1145" spans="3:9" x14ac:dyDescent="0.3">
      <c r="C1145" s="15"/>
      <c r="E1145" s="10"/>
      <c r="G1145" s="10"/>
      <c r="I1145" s="10"/>
    </row>
    <row r="1146" spans="3:9" x14ac:dyDescent="0.3">
      <c r="C1146" s="15"/>
      <c r="E1146" s="10"/>
      <c r="G1146" s="10"/>
      <c r="I1146" s="10"/>
    </row>
    <row r="1147" spans="3:9" x14ac:dyDescent="0.3">
      <c r="C1147" s="15"/>
      <c r="E1147" s="10"/>
      <c r="G1147" s="10"/>
      <c r="I1147" s="10"/>
    </row>
    <row r="1148" spans="3:9" x14ac:dyDescent="0.3">
      <c r="C1148" s="15"/>
      <c r="E1148" s="10"/>
      <c r="G1148" s="10"/>
      <c r="I1148" s="10"/>
    </row>
    <row r="1149" spans="3:9" x14ac:dyDescent="0.3">
      <c r="C1149" s="15"/>
      <c r="E1149" s="10"/>
      <c r="G1149" s="10"/>
      <c r="I1149" s="10"/>
    </row>
    <row r="1150" spans="3:9" x14ac:dyDescent="0.3">
      <c r="C1150" s="15"/>
      <c r="E1150" s="10"/>
      <c r="G1150" s="10"/>
      <c r="I1150" s="10"/>
    </row>
    <row r="1151" spans="3:9" x14ac:dyDescent="0.3">
      <c r="C1151" s="15"/>
      <c r="E1151" s="10"/>
      <c r="G1151" s="10"/>
      <c r="I1151" s="10"/>
    </row>
    <row r="1152" spans="3:9" x14ac:dyDescent="0.3">
      <c r="C1152" s="15"/>
      <c r="E1152" s="10"/>
      <c r="G1152" s="10"/>
      <c r="I1152" s="10"/>
    </row>
    <row r="1153" spans="3:9" x14ac:dyDescent="0.3">
      <c r="C1153" s="15"/>
      <c r="E1153" s="10"/>
      <c r="G1153" s="10"/>
      <c r="I1153" s="10"/>
    </row>
    <row r="1154" spans="3:9" x14ac:dyDescent="0.3">
      <c r="C1154" s="15"/>
      <c r="E1154" s="10"/>
      <c r="G1154" s="10"/>
      <c r="I1154" s="10"/>
    </row>
    <row r="1155" spans="3:9" x14ac:dyDescent="0.3">
      <c r="C1155" s="15"/>
      <c r="E1155" s="10"/>
      <c r="G1155" s="10"/>
      <c r="I1155" s="10"/>
    </row>
    <row r="1156" spans="3:9" x14ac:dyDescent="0.3">
      <c r="C1156" s="15"/>
      <c r="E1156" s="10"/>
      <c r="G1156" s="10"/>
      <c r="I1156" s="10"/>
    </row>
    <row r="1157" spans="3:9" x14ac:dyDescent="0.3">
      <c r="C1157" s="15"/>
      <c r="E1157" s="10"/>
      <c r="G1157" s="10"/>
      <c r="I1157" s="10"/>
    </row>
    <row r="1158" spans="3:9" x14ac:dyDescent="0.3">
      <c r="C1158" s="15"/>
      <c r="E1158" s="10"/>
      <c r="G1158" s="10"/>
      <c r="I1158" s="10"/>
    </row>
    <row r="1159" spans="3:9" x14ac:dyDescent="0.3">
      <c r="C1159" s="15"/>
      <c r="E1159" s="10"/>
      <c r="G1159" s="10"/>
      <c r="I1159" s="10"/>
    </row>
    <row r="1160" spans="3:9" x14ac:dyDescent="0.3">
      <c r="C1160" s="15"/>
      <c r="E1160" s="10"/>
      <c r="G1160" s="10"/>
      <c r="I1160" s="10"/>
    </row>
    <row r="1161" spans="3:9" x14ac:dyDescent="0.3">
      <c r="C1161" s="15"/>
      <c r="E1161" s="10"/>
      <c r="G1161" s="10"/>
      <c r="I1161" s="10"/>
    </row>
    <row r="1162" spans="3:9" x14ac:dyDescent="0.3">
      <c r="C1162" s="15"/>
      <c r="E1162" s="10"/>
      <c r="G1162" s="10"/>
      <c r="I1162" s="10"/>
    </row>
    <row r="1163" spans="3:9" x14ac:dyDescent="0.3">
      <c r="C1163" s="15"/>
      <c r="E1163" s="10"/>
      <c r="G1163" s="10"/>
      <c r="I1163" s="10"/>
    </row>
    <row r="1164" spans="3:9" x14ac:dyDescent="0.3">
      <c r="C1164" s="15"/>
      <c r="E1164" s="10"/>
      <c r="G1164" s="10"/>
      <c r="I1164" s="10"/>
    </row>
    <row r="1165" spans="3:9" x14ac:dyDescent="0.3">
      <c r="C1165" s="15"/>
      <c r="E1165" s="10"/>
      <c r="G1165" s="10"/>
      <c r="I1165" s="10"/>
    </row>
    <row r="1166" spans="3:9" x14ac:dyDescent="0.3">
      <c r="C1166" s="15"/>
      <c r="E1166" s="10"/>
      <c r="G1166" s="10"/>
      <c r="I1166" s="10"/>
    </row>
    <row r="1167" spans="3:9" x14ac:dyDescent="0.3">
      <c r="C1167" s="15"/>
      <c r="E1167" s="10"/>
      <c r="G1167" s="10"/>
      <c r="I1167" s="10"/>
    </row>
    <row r="1168" spans="3:9" x14ac:dyDescent="0.3">
      <c r="C1168" s="15"/>
      <c r="E1168" s="10"/>
      <c r="G1168" s="10"/>
      <c r="I1168" s="10"/>
    </row>
    <row r="1169" spans="3:9" x14ac:dyDescent="0.3">
      <c r="C1169" s="15"/>
      <c r="E1169" s="10"/>
      <c r="G1169" s="10"/>
      <c r="I1169" s="10"/>
    </row>
    <row r="1170" spans="3:9" x14ac:dyDescent="0.3">
      <c r="C1170" s="15"/>
      <c r="E1170" s="10"/>
      <c r="G1170" s="10"/>
      <c r="I1170" s="10"/>
    </row>
    <row r="1171" spans="3:9" x14ac:dyDescent="0.3">
      <c r="C1171" s="15"/>
      <c r="E1171" s="10"/>
      <c r="G1171" s="10"/>
      <c r="I1171" s="10"/>
    </row>
    <row r="1172" spans="3:9" x14ac:dyDescent="0.3">
      <c r="C1172" s="15"/>
      <c r="E1172" s="10"/>
      <c r="G1172" s="10"/>
      <c r="I1172" s="10"/>
    </row>
    <row r="1173" spans="3:9" x14ac:dyDescent="0.3">
      <c r="C1173" s="15"/>
      <c r="E1173" s="10"/>
      <c r="G1173" s="10"/>
      <c r="I1173" s="10"/>
    </row>
    <row r="1174" spans="3:9" x14ac:dyDescent="0.3">
      <c r="C1174" s="15"/>
      <c r="E1174" s="10"/>
      <c r="G1174" s="10"/>
      <c r="I1174" s="10"/>
    </row>
    <row r="1175" spans="3:9" x14ac:dyDescent="0.3">
      <c r="C1175" s="15"/>
      <c r="E1175" s="10"/>
      <c r="G1175" s="10"/>
      <c r="I1175" s="10"/>
    </row>
    <row r="1176" spans="3:9" x14ac:dyDescent="0.3">
      <c r="C1176" s="15"/>
      <c r="E1176" s="10"/>
      <c r="G1176" s="10"/>
      <c r="I1176" s="10"/>
    </row>
    <row r="1177" spans="3:9" x14ac:dyDescent="0.3">
      <c r="C1177" s="15"/>
      <c r="E1177" s="10"/>
      <c r="G1177" s="10"/>
      <c r="I1177" s="10"/>
    </row>
    <row r="1178" spans="3:9" x14ac:dyDescent="0.3">
      <c r="C1178" s="15"/>
      <c r="E1178" s="10"/>
      <c r="G1178" s="10"/>
      <c r="I1178" s="10"/>
    </row>
    <row r="1179" spans="3:9" x14ac:dyDescent="0.3">
      <c r="C1179" s="15"/>
      <c r="E1179" s="10"/>
      <c r="G1179" s="10"/>
      <c r="I1179" s="10"/>
    </row>
    <row r="1180" spans="3:9" x14ac:dyDescent="0.3">
      <c r="C1180" s="15"/>
      <c r="E1180" s="10"/>
      <c r="G1180" s="10"/>
      <c r="I1180" s="10"/>
    </row>
    <row r="1181" spans="3:9" x14ac:dyDescent="0.3">
      <c r="C1181" s="15"/>
      <c r="E1181" s="10"/>
      <c r="G1181" s="10"/>
      <c r="I1181" s="10"/>
    </row>
    <row r="1182" spans="3:9" x14ac:dyDescent="0.3">
      <c r="C1182" s="15"/>
      <c r="E1182" s="10"/>
      <c r="G1182" s="10"/>
      <c r="I1182" s="10"/>
    </row>
    <row r="1183" spans="3:9" x14ac:dyDescent="0.3">
      <c r="C1183" s="15"/>
      <c r="E1183" s="10"/>
      <c r="G1183" s="10"/>
      <c r="I1183" s="10"/>
    </row>
    <row r="1184" spans="3:9" x14ac:dyDescent="0.3">
      <c r="C1184" s="15"/>
      <c r="E1184" s="10"/>
      <c r="G1184" s="10"/>
      <c r="I1184" s="10"/>
    </row>
    <row r="1185" spans="3:9" x14ac:dyDescent="0.3">
      <c r="C1185" s="15"/>
      <c r="E1185" s="10"/>
      <c r="G1185" s="10"/>
      <c r="I1185" s="10"/>
    </row>
    <row r="1186" spans="3:9" x14ac:dyDescent="0.3">
      <c r="C1186" s="15"/>
      <c r="E1186" s="10"/>
      <c r="G1186" s="10"/>
      <c r="I1186" s="10"/>
    </row>
    <row r="1187" spans="3:9" x14ac:dyDescent="0.3">
      <c r="C1187" s="15"/>
      <c r="E1187" s="10"/>
      <c r="G1187" s="10"/>
      <c r="I1187" s="10"/>
    </row>
    <row r="1188" spans="3:9" x14ac:dyDescent="0.3">
      <c r="C1188" s="15"/>
      <c r="E1188" s="10"/>
      <c r="G1188" s="10"/>
      <c r="I1188" s="10"/>
    </row>
    <row r="1189" spans="3:9" x14ac:dyDescent="0.3">
      <c r="C1189" s="15"/>
      <c r="E1189" s="10"/>
      <c r="G1189" s="10"/>
      <c r="I1189" s="10"/>
    </row>
    <row r="1190" spans="3:9" x14ac:dyDescent="0.3">
      <c r="C1190" s="15"/>
      <c r="E1190" s="10"/>
      <c r="G1190" s="10"/>
      <c r="I1190" s="10"/>
    </row>
    <row r="1191" spans="3:9" x14ac:dyDescent="0.3">
      <c r="C1191" s="15"/>
      <c r="E1191" s="10"/>
      <c r="G1191" s="10"/>
      <c r="I1191" s="10"/>
    </row>
    <row r="1192" spans="3:9" x14ac:dyDescent="0.3">
      <c r="C1192" s="15"/>
      <c r="E1192" s="10"/>
      <c r="G1192" s="10"/>
      <c r="I1192" s="10"/>
    </row>
    <row r="1193" spans="3:9" x14ac:dyDescent="0.3">
      <c r="C1193" s="15"/>
      <c r="E1193" s="10"/>
      <c r="G1193" s="10"/>
      <c r="I1193" s="10"/>
    </row>
    <row r="1194" spans="3:9" x14ac:dyDescent="0.3">
      <c r="C1194" s="15"/>
      <c r="E1194" s="10"/>
      <c r="G1194" s="10"/>
      <c r="I1194" s="10"/>
    </row>
    <row r="1195" spans="3:9" x14ac:dyDescent="0.3">
      <c r="C1195" s="15"/>
      <c r="E1195" s="10"/>
      <c r="G1195" s="10"/>
      <c r="I1195" s="10"/>
    </row>
    <row r="1196" spans="3:9" x14ac:dyDescent="0.3">
      <c r="C1196" s="15"/>
      <c r="E1196" s="10"/>
      <c r="G1196" s="10"/>
      <c r="I1196" s="10"/>
    </row>
  </sheetData>
  <mergeCells count="4">
    <mergeCell ref="F3:G3"/>
    <mergeCell ref="H3:I3"/>
    <mergeCell ref="B3:C3"/>
    <mergeCell ref="D3:E3"/>
  </mergeCells>
  <phoneticPr fontId="0" type="noConversion"/>
  <printOptions gridLines="1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7" workbookViewId="0">
      <selection activeCell="A37" sqref="A1:E65536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Geol 2001 Grades</vt:lpstr>
      <vt:lpstr>Sheet2</vt:lpstr>
      <vt:lpstr>Sheet3</vt:lpstr>
    </vt:vector>
  </TitlesOfParts>
  <Company>GSU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Babaie</dc:creator>
  <cp:lastModifiedBy>Carina Negreanu</cp:lastModifiedBy>
  <cp:lastPrinted>2003-05-02T13:36:37Z</cp:lastPrinted>
  <dcterms:created xsi:type="dcterms:W3CDTF">2002-10-09T15:50:13Z</dcterms:created>
  <dcterms:modified xsi:type="dcterms:W3CDTF">2020-01-27T11:40:11Z</dcterms:modified>
</cp:coreProperties>
</file>