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4629A3-120C-4AF4-BA4D-83534754A768}" xr6:coauthVersionLast="45" xr6:coauthVersionMax="45" xr10:uidLastSave="{00000000-0000-0000-0000-000000000000}"/>
  <bookViews>
    <workbookView xWindow="3420" yWindow="3420" windowWidth="28800" windowHeight="15460" firstSheet="1" activeTab="8"/>
  </bookViews>
  <sheets>
    <sheet name="00 Bal. Sheet" sheetId="1" r:id="rId1"/>
    <sheet name="01 Bal. Sheet" sheetId="2" r:id="rId2"/>
    <sheet name="00 Rev. Proj." sheetId="3" r:id="rId3"/>
    <sheet name="01 Rev. Proj." sheetId="4" r:id="rId4"/>
    <sheet name="00 Rev.Graph" sheetId="5" r:id="rId5"/>
    <sheet name="01 Rev. Graph" sheetId="6" r:id="rId6"/>
    <sheet name="Enrollment Rev. Proj." sheetId="7" r:id="rId7"/>
    <sheet name="00 Cash Flow Budget" sheetId="8" r:id="rId8"/>
    <sheet name="01 Cash Flow Budget" sheetId="9" r:id="rId9"/>
  </sheets>
  <definedNames>
    <definedName name="M10EB">'01 Cash Flow Budget'!$U$47</definedName>
    <definedName name="M11EB">'01 Cash Flow Budget'!$W$47</definedName>
    <definedName name="M1EB">'01 Cash Flow Budget'!$C$47</definedName>
    <definedName name="M7EB">'01 Cash Flow Budget'!$O$47</definedName>
    <definedName name="M8EB">'01 Cash Flow Budget'!$Q$47</definedName>
    <definedName name="M9EB">'01 Cash Flow Budget'!$S$47</definedName>
    <definedName name="Month1_Ending_Bal">'00 Cash Flow Budget'!$D$47</definedName>
    <definedName name="Month10_Ending_Bal">'00 Cash Flow Budget'!$V$47</definedName>
    <definedName name="Month11_Ending_Bal">'00 Cash Flow Budget'!$X$47</definedName>
    <definedName name="Month7_Ending_Bal">'00 Cash Flow Budget'!$P$47</definedName>
    <definedName name="Month8_Ending_Bal">'00 Cash Flow Budget'!$R$47</definedName>
    <definedName name="Month9_Ending_Bal">'00 Cash Flow Budget'!$T$47</definedName>
    <definedName name="_xlnm.Print_Area" localSheetId="7">'00 Cash Flow Budget'!$A$1:$AB$53</definedName>
  </definedNames>
  <calcPr calcId="0"/>
</workbook>
</file>

<file path=xl/calcChain.xml><?xml version="1.0" encoding="utf-8"?>
<calcChain xmlns="http://schemas.openxmlformats.org/spreadsheetml/2006/main">
  <c r="F10" i="1" l="1"/>
  <c r="H14" i="1"/>
  <c r="F18" i="1"/>
  <c r="F21" i="1"/>
  <c r="F24" i="1"/>
  <c r="F27" i="1"/>
  <c r="H30" i="1"/>
  <c r="H34" i="1"/>
  <c r="H36" i="1"/>
  <c r="H49" i="1"/>
  <c r="H54" i="1"/>
  <c r="H56" i="1"/>
  <c r="H64" i="1"/>
  <c r="H66" i="1"/>
  <c r="A68" i="1"/>
  <c r="F10" i="2"/>
  <c r="H14" i="2"/>
  <c r="F18" i="2"/>
  <c r="F21" i="2"/>
  <c r="F24" i="2"/>
  <c r="F27" i="2"/>
  <c r="H30" i="2"/>
  <c r="H34" i="2"/>
  <c r="H36" i="2"/>
  <c r="H49" i="2"/>
  <c r="H54" i="2"/>
  <c r="H56" i="2"/>
  <c r="H64" i="2"/>
  <c r="H66" i="2"/>
  <c r="A68" i="2"/>
  <c r="E8" i="4"/>
  <c r="G8" i="4"/>
  <c r="I8" i="4"/>
  <c r="K8" i="4"/>
  <c r="M8" i="4"/>
  <c r="E11" i="4"/>
  <c r="G11" i="4"/>
  <c r="I11" i="4"/>
  <c r="K11" i="4"/>
  <c r="M11" i="4"/>
  <c r="E15" i="4"/>
  <c r="G15" i="4"/>
  <c r="I15" i="4"/>
  <c r="K15" i="4"/>
  <c r="M15" i="4"/>
  <c r="E17" i="4"/>
  <c r="G17" i="4"/>
  <c r="I17" i="4"/>
  <c r="K17" i="4"/>
  <c r="M17" i="4"/>
  <c r="E18" i="4"/>
  <c r="G18" i="4"/>
  <c r="I18" i="4"/>
  <c r="K18" i="4"/>
  <c r="M18" i="4"/>
  <c r="E50" i="4"/>
  <c r="G50" i="4"/>
  <c r="I50" i="4"/>
  <c r="K50" i="4"/>
  <c r="M50" i="4"/>
  <c r="E51" i="4"/>
  <c r="G51" i="4"/>
  <c r="I51" i="4"/>
  <c r="K51" i="4"/>
  <c r="M51" i="4"/>
  <c r="E55" i="4"/>
  <c r="G55" i="4"/>
  <c r="I55" i="4"/>
  <c r="K55" i="4"/>
  <c r="M55" i="4"/>
  <c r="E56" i="4"/>
  <c r="G56" i="4"/>
  <c r="I56" i="4"/>
  <c r="K56" i="4"/>
  <c r="M56" i="4"/>
  <c r="E57" i="4"/>
  <c r="G57" i="4"/>
  <c r="I57" i="4"/>
  <c r="K57" i="4"/>
</calcChain>
</file>

<file path=xl/sharedStrings.xml><?xml version="1.0" encoding="utf-8"?>
<sst xmlns="http://schemas.openxmlformats.org/spreadsheetml/2006/main" count="538" uniqueCount="182">
  <si>
    <t>Computing Development Strategies</t>
  </si>
  <si>
    <t>Pro Forma Balance Sheet - 12/31/00</t>
  </si>
  <si>
    <t xml:space="preserve"> </t>
  </si>
  <si>
    <t>Assets</t>
  </si>
  <si>
    <t>Current Assets:</t>
  </si>
  <si>
    <t>Cash</t>
  </si>
  <si>
    <t>Accounts Receivable</t>
  </si>
  <si>
    <t>Less:</t>
  </si>
  <si>
    <t>Reserve for Bad Debts</t>
  </si>
  <si>
    <t>Merchandise Inventory</t>
  </si>
  <si>
    <t>Prepaid Expenses - Insurance</t>
  </si>
  <si>
    <t>Notes Receivable</t>
  </si>
  <si>
    <t xml:space="preserve">  </t>
  </si>
  <si>
    <t>Total Current Assets</t>
  </si>
  <si>
    <t>Fixed Assets:</t>
  </si>
  <si>
    <t>Vehicles</t>
  </si>
  <si>
    <t>Accumulated Depreciation</t>
  </si>
  <si>
    <t>Furniture and Fixtures</t>
  </si>
  <si>
    <t>Equipment - Computer Fax Machine</t>
  </si>
  <si>
    <t>Buildings</t>
  </si>
  <si>
    <t>Land</t>
  </si>
  <si>
    <t>Total Fixed Assets</t>
  </si>
  <si>
    <t>Other Assets:</t>
  </si>
  <si>
    <t>Goodwill</t>
  </si>
  <si>
    <t>Total Other Assets</t>
  </si>
  <si>
    <t>Total Assets</t>
  </si>
  <si>
    <t>Liabilities and Capital</t>
  </si>
  <si>
    <t>Current Liabilities:</t>
  </si>
  <si>
    <t>Accounts Payable</t>
  </si>
  <si>
    <t>Sales Taxes Payable</t>
  </si>
  <si>
    <t>Payroll Taxes Payable - third quarter</t>
  </si>
  <si>
    <t>Accrued Wages Payable</t>
  </si>
  <si>
    <t>Unearned Revenues - January Deposits</t>
  </si>
  <si>
    <t>Short-Term Notes Payable</t>
  </si>
  <si>
    <t>Short-Term Bank Loan Payable</t>
  </si>
  <si>
    <t>Total Current Liabilities</t>
  </si>
  <si>
    <t>Long-Term Liabilities:</t>
  </si>
  <si>
    <t>Long-Term Notes Payable</t>
  </si>
  <si>
    <t>Mortgage Payable</t>
  </si>
  <si>
    <t>Total Long-Term Liabilities</t>
  </si>
  <si>
    <t>Total Liabilities</t>
  </si>
  <si>
    <t>Capital:</t>
  </si>
  <si>
    <t>Owner's Investment</t>
  </si>
  <si>
    <t>Net Profit (Loss)</t>
  </si>
  <si>
    <t>Less drawings or dividends</t>
  </si>
  <si>
    <t>Total Capital</t>
  </si>
  <si>
    <t>Total Liabilities and Capital</t>
  </si>
  <si>
    <t>Pro Forma Balance Sheet - 12/31/01</t>
  </si>
  <si>
    <t>Projected Profit and Loss Statement - 2000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</si>
  <si>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</si>
  <si>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</si>
  <si>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</si>
  <si>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</si>
  <si>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</si>
  <si>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</si>
  <si>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</si>
  <si>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</si>
  <si>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</si>
  <si>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</si>
  <si>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</si>
  <si>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</si>
  <si>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Revenue:</t>
  </si>
  <si>
    <t>Gross Sales</t>
  </si>
  <si>
    <t>Less: Sales Returns and Allowances</t>
  </si>
  <si>
    <t>Net Sales</t>
  </si>
  <si>
    <t>Cost of Goods Sold:</t>
  </si>
  <si>
    <t>Beginning Inventory</t>
  </si>
  <si>
    <t>Add:</t>
  </si>
  <si>
    <t>Purchases</t>
  </si>
  <si>
    <t>Freight-in</t>
  </si>
  <si>
    <t>Direct Labor</t>
  </si>
  <si>
    <t>Indirect Expenses</t>
  </si>
  <si>
    <t>Ending Inventory</t>
  </si>
  <si>
    <t>Cost of Goods Sold</t>
  </si>
  <si>
    <t>Gross Profit (Loss)</t>
  </si>
  <si>
    <t>Expenses:</t>
  </si>
  <si>
    <t>Advertising</t>
  </si>
  <si>
    <t>Amortization</t>
  </si>
  <si>
    <t>Bad Debts</t>
  </si>
  <si>
    <t>Bank Charges</t>
  </si>
  <si>
    <t>Charitable Contributions</t>
  </si>
  <si>
    <t>Commissions</t>
  </si>
  <si>
    <t>Computer Leases</t>
  </si>
  <si>
    <t>Contract Labor</t>
  </si>
  <si>
    <t>Credit Card Fees</t>
  </si>
  <si>
    <t>Delivery Expenses</t>
  </si>
  <si>
    <t>Depreciation</t>
  </si>
  <si>
    <t>Dues and Subscriptions</t>
  </si>
  <si>
    <t>Insurance</t>
  </si>
  <si>
    <t>Interest</t>
  </si>
  <si>
    <t>Maintenance</t>
  </si>
  <si>
    <t>Miscellaneous</t>
  </si>
  <si>
    <t>Office Expenses</t>
  </si>
  <si>
    <t>Operating Supplies</t>
  </si>
  <si>
    <t>Payroll Taxes</t>
  </si>
  <si>
    <t>Permits and Licenses</t>
  </si>
  <si>
    <t>Postage</t>
  </si>
  <si>
    <t>Professional Fees</t>
  </si>
  <si>
    <t>Property Taxes</t>
  </si>
  <si>
    <t>Rent</t>
  </si>
  <si>
    <t>Repairs</t>
  </si>
  <si>
    <t>Telephone</t>
  </si>
  <si>
    <t>Travel</t>
  </si>
  <si>
    <t>Utilities</t>
  </si>
  <si>
    <t>Vehicle Expenses</t>
  </si>
  <si>
    <t>Wages</t>
  </si>
  <si>
    <t>Total Expenses</t>
  </si>
  <si>
    <t>Net Operating Income</t>
  </si>
  <si>
    <t>Other Income:</t>
  </si>
  <si>
    <t>Gain (Loss) on Sale of Assets</t>
  </si>
  <si>
    <t>Interest Income</t>
  </si>
  <si>
    <t>Total Other Income</t>
  </si>
  <si>
    <t>Net Income (Loss)</t>
  </si>
  <si>
    <t>Cumulative Net Income (Loss)</t>
  </si>
  <si>
    <r>
      <t xml:space="preserve">Note 1. </t>
    </r>
    <r>
      <rPr>
        <b/>
        <sz val="10"/>
        <rFont val="Arial"/>
      </rPr>
      <t>Advertising</t>
    </r>
    <r>
      <rPr>
        <sz val="10"/>
        <rFont val="Arial"/>
        <family val="2"/>
      </rPr>
      <t>: CDS has signed a two year contract with Technical Marketing Support, Inc.  TMS will assist CDS in developing and implementing a marketing and advertising strategy.</t>
    </r>
  </si>
  <si>
    <t>The contract calls for payments of $300 a month for the first six months, and $600 a month thereafter.</t>
  </si>
  <si>
    <r>
      <t xml:space="preserve">Note 2. </t>
    </r>
    <r>
      <rPr>
        <b/>
        <sz val="10"/>
        <rFont val="Arial"/>
      </rPr>
      <t>Bad Debt Expense</t>
    </r>
    <r>
      <rPr>
        <sz val="10"/>
        <rFont val="Arial"/>
        <family val="2"/>
      </rPr>
      <t>: Based on the survey of 100 computer training firms in the Midwest, the average  amount of uncollectible accounts is projected to be 5% of all sales on credit.</t>
    </r>
  </si>
  <si>
    <t>About 5% of all course fees will be paid on credit.  Accordingly, bad debt should be small.</t>
  </si>
  <si>
    <r>
      <t xml:space="preserve">Note 3. </t>
    </r>
    <r>
      <rPr>
        <b/>
        <sz val="10"/>
        <rFont val="Arial"/>
      </rPr>
      <t>Contract Labor</t>
    </r>
    <r>
      <rPr>
        <sz val="10"/>
        <rFont val="Arial"/>
        <family val="2"/>
      </rPr>
      <t>: During the first four months of the year and September, October and November, CDS will hire Ms. Howe as a training instructor for $1,520 per month.</t>
    </r>
  </si>
  <si>
    <r>
      <t xml:space="preserve">Note 4. </t>
    </r>
    <r>
      <rPr>
        <b/>
        <sz val="10"/>
        <rFont val="Arial"/>
      </rPr>
      <t>Depreciation</t>
    </r>
    <r>
      <rPr>
        <sz val="10"/>
        <rFont val="Arial"/>
        <family val="2"/>
      </rPr>
      <t>: The office furniture will be depreciated over six years on a straight-line basis.  The office equipment. such as the computer, fax machine and copier will be depreciated over five years.</t>
    </r>
  </si>
  <si>
    <r>
      <t>Note 5.</t>
    </r>
    <r>
      <rPr>
        <b/>
        <sz val="10"/>
        <rFont val="Arial"/>
      </rPr>
      <t xml:space="preserve"> Insurance</t>
    </r>
    <r>
      <rPr>
        <sz val="10"/>
        <rFont val="Arial"/>
        <family val="2"/>
      </rPr>
      <t>: CDS has contracted with Pinnacle Insurance Company to provide an insurance policy on all the office and training equipment, as well as health insurance for the two employees.</t>
    </r>
  </si>
  <si>
    <r>
      <t xml:space="preserve">Note 6. </t>
    </r>
    <r>
      <rPr>
        <b/>
        <sz val="10"/>
        <rFont val="Arial"/>
      </rPr>
      <t>Office Expenses</t>
    </r>
    <r>
      <rPr>
        <sz val="10"/>
        <rFont val="Arial"/>
        <family val="2"/>
      </rPr>
      <t>:  This includes a monthly fee assessed for a maintenance agreement for all the office and training equipment in the facility.</t>
    </r>
  </si>
  <si>
    <r>
      <t xml:space="preserve">Note 7. </t>
    </r>
    <r>
      <rPr>
        <b/>
        <sz val="10"/>
        <rFont val="Arial"/>
        <family val="2"/>
      </rPr>
      <t>Professional Fees</t>
    </r>
    <r>
      <rPr>
        <sz val="10"/>
        <rFont val="Arial"/>
        <family val="2"/>
      </rPr>
      <t>: CDS has hired an accountant to file quarterly employment tax forms and prepare financial reports for $200 per month.</t>
    </r>
  </si>
  <si>
    <r>
      <t xml:space="preserve">Note 8. </t>
    </r>
    <r>
      <rPr>
        <b/>
        <sz val="10"/>
        <rFont val="Arial"/>
      </rPr>
      <t>Rent</t>
    </r>
    <r>
      <rPr>
        <sz val="10"/>
        <rFont val="Arial"/>
        <family val="2"/>
      </rPr>
      <t xml:space="preserve">:  CDS has signed a three-year lease for the training facility.  The monthly rent is $1,500 for the first year; $1,600 for the second year, and $1,700 for the third. </t>
    </r>
  </si>
  <si>
    <t>Projected Profit and Loss Statement - 2001</t>
  </si>
  <si>
    <t>Note 1. Revenue: During 1997, gross revenues are expected to increase by 20%.  Based on discussions with software vendors and on prior experience, new computer training firms can expect</t>
  </si>
  <si>
    <t>student revenues to increase by 10% to 20% every month.  Based on this estimate, revenue increases will fluctuate by month to coincide with normal monthly fluctuations.</t>
  </si>
  <si>
    <t>Note 2. Contract Labor and Wages:  Contract labor and wages will increase by 10% in 1997 to account for inflation and performance incentives.</t>
  </si>
  <si>
    <t>Note 3. Revenue: On May 1, 1997, CDS will begin offering training on the basics of building and maintaining a web site on the Internet.  This is expected to increase revenues by 20%.</t>
  </si>
  <si>
    <t>Enrollment Revenue Projections</t>
  </si>
  <si>
    <t>Total</t>
  </si>
  <si>
    <t>NUMBER OF:</t>
  </si>
  <si>
    <t>new students</t>
  </si>
  <si>
    <t>previous students</t>
  </si>
  <si>
    <t>INCOME FROM:</t>
  </si>
  <si>
    <t>new students taking 1 class</t>
  </si>
  <si>
    <t>previous students taking package</t>
  </si>
  <si>
    <t>previous students taking 1 class</t>
  </si>
  <si>
    <t>Cash Flow Budget Worksheet - 2000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</si>
  <si>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</si>
  <si>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</si>
  <si>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</si>
  <si>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</si>
  <si>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</si>
  <si>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</si>
  <si>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</si>
  <si>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</si>
  <si>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</si>
  <si>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</si>
  <si>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</si>
  <si>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Beginning Cash Balance</t>
  </si>
  <si>
    <t>Cash Inflows (Income):</t>
  </si>
  <si>
    <t>Accts. Rec. Collections</t>
  </si>
  <si>
    <t>Loan Proceeds</t>
  </si>
  <si>
    <t>Sales &amp; Receipts</t>
  </si>
  <si>
    <t>Other:</t>
  </si>
  <si>
    <t xml:space="preserve">   Total Cash Inflows</t>
  </si>
  <si>
    <t>Available Cash Balance</t>
  </si>
  <si>
    <t>Cash Outflows (Expenses):</t>
  </si>
  <si>
    <t>Bank Service Charges</t>
  </si>
  <si>
    <t>Delivery</t>
  </si>
  <si>
    <t>Health Insurance</t>
  </si>
  <si>
    <t>Office</t>
  </si>
  <si>
    <t>Payroll</t>
  </si>
  <si>
    <t>Rent or Lease</t>
  </si>
  <si>
    <t>Subscriptions &amp; Dues</t>
  </si>
  <si>
    <t>Supplies</t>
  </si>
  <si>
    <t>Taxes &amp; Licenses</t>
  </si>
  <si>
    <t>Utilities &amp; Telephone</t>
  </si>
  <si>
    <t>Workbook Amortization</t>
  </si>
  <si>
    <t>Workbook Production</t>
  </si>
  <si>
    <t xml:space="preserve">   Subtotal</t>
  </si>
  <si>
    <t>Other Cash Out Flows:</t>
  </si>
  <si>
    <t>Capital Purchases</t>
  </si>
  <si>
    <t>Loan Principal</t>
  </si>
  <si>
    <t>Owner's Draw</t>
  </si>
  <si>
    <t xml:space="preserve">   Total Cash Outflows</t>
  </si>
  <si>
    <t>Ending Cash Balance</t>
  </si>
  <si>
    <r>
      <t xml:space="preserve">Note 1. </t>
    </r>
    <r>
      <rPr>
        <b/>
        <sz val="10"/>
        <rFont val="Arial"/>
        <family val="2"/>
      </rPr>
      <t>Accounts Receivable Collection</t>
    </r>
    <r>
      <rPr>
        <sz val="10"/>
        <rFont val="Arial"/>
        <family val="2"/>
      </rPr>
      <t>: This assumes that only 5% of all sales are made on account.  Also, only 5% of these credit sales are uncollectible.</t>
    </r>
  </si>
  <si>
    <t>All sales to non-corporate clients with less than 20 employees will be required to be paid in cash prior to taking the class.</t>
  </si>
  <si>
    <r>
      <t xml:space="preserve">Note 2. </t>
    </r>
    <r>
      <rPr>
        <b/>
        <sz val="10"/>
        <rFont val="Arial"/>
        <family val="2"/>
      </rPr>
      <t>Loan Proceeds</t>
    </r>
    <r>
      <rPr>
        <sz val="10"/>
        <rFont val="Arial"/>
        <family val="2"/>
      </rPr>
      <t>: On January 12, 1996, CDS obtained a $6,000 loan from State Loan and Trust.  This loan is to be repaid over 12 months at a 9.5% interest rate.</t>
    </r>
  </si>
  <si>
    <t>Cash Flow Budget Worksheet - 200X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</si>
</sst>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0" formatCode="_(&quot;$&quot;* #,##0.00_);_(&quot;$&quot;* \(#,##0.00\);_(&quot;$&quot;* &quot;-&quot;??_);_(@_)"/>
  </numFmts>
  <fonts count="34" x14ac:knownFonts="1">
    <font>
      <sz val="10"/>
      <name val="Arial"/>
    </font>
    <font>
      <b/>
      <sz val="10"/>
      <name val="Arial"/>
    </font>
    <font>
      <sz val="10"/>
      <name val="Arial"/>
    </font>
    <font>
      <b/>
      <i/>
      <sz val="16"/>
      <color indexed="9"/>
      <name val="Arial"/>
      <family val="2"/>
    </font>
    <font>
      <b/>
      <i/>
      <sz val="14"/>
      <color indexed="9"/>
      <name val="Arial"/>
      <family val="2"/>
    </font>
    <font>
      <b/>
      <i/>
      <sz val="9"/>
      <color indexed="9"/>
      <name val="Arial"/>
      <family val="2"/>
    </font>
    <font>
      <b/>
      <i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6"/>
      <name val="Arial"/>
      <family val="2"/>
    </font>
    <font>
      <b/>
      <i/>
      <sz val="11"/>
      <color indexed="8"/>
      <name val="Arial"/>
    </font>
    <font>
      <sz val="10"/>
      <color indexed="8"/>
      <name val="Arial"/>
    </font>
    <font>
      <b/>
      <i/>
      <sz val="11"/>
      <color indexed="8"/>
      <name val="Arial"/>
      <family val="2"/>
    </font>
    <font>
      <b/>
      <u/>
      <sz val="10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2"/>
      <name val="Arial"/>
    </font>
    <font>
      <sz val="9"/>
      <color indexed="8"/>
      <name val="Arial"/>
    </font>
    <font>
      <b/>
      <i/>
      <sz val="10"/>
      <color indexed="8"/>
      <name val="Arial"/>
      <family val="2"/>
    </font>
    <font>
      <b/>
      <sz val="11"/>
      <color indexed="8"/>
      <name val="Arial"/>
      <family val="2"/>
    </font>
    <font>
      <b/>
      <i/>
      <sz val="16"/>
      <name val="Arial"/>
    </font>
    <font>
      <sz val="14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i/>
      <u/>
      <sz val="10"/>
      <name val="Arial"/>
    </font>
    <font>
      <b/>
      <i/>
      <sz val="8"/>
      <color indexed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u/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darkUp">
        <fgColor indexed="9"/>
        <bgColor indexed="8"/>
      </patternFill>
    </fill>
    <fill>
      <patternFill patternType="solid">
        <fgColor indexed="22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2" fillId="0" borderId="0" applyFont="0" applyFill="0" applyBorder="0" applyAlignment="0" applyProtection="0"/>
  </cellStyleXfs>
  <cellXfs count="114">
    <xf numFmtId="0" fontId="0" fillId="0" borderId="0" xfId="0"/>
    <xf numFmtId="0" fontId="3" fillId="2" borderId="0" xfId="0" applyFont="1" applyFill="1" applyBorder="1" applyAlignment="1" applyProtection="1">
      <alignment horizontal="centerContinuous"/>
      <protection locked="0" hidden="1"/>
    </xf>
    <xf numFmtId="0" fontId="4" fillId="2" borderId="0" xfId="0" applyFont="1" applyFill="1" applyBorder="1" applyAlignment="1" applyProtection="1">
      <alignment horizontal="centerContinuous"/>
      <protection locked="0" hidden="1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0" fontId="7" fillId="3" borderId="0" xfId="0" applyFont="1" applyFill="1" applyBorder="1" applyAlignment="1" applyProtection="1">
      <protection locked="0" hidden="1"/>
    </xf>
    <xf numFmtId="0" fontId="8" fillId="3" borderId="0" xfId="0" applyFont="1" applyFill="1" applyBorder="1" applyAlignment="1" applyProtection="1">
      <protection locked="0" hidden="1"/>
    </xf>
    <xf numFmtId="38" fontId="8" fillId="3" borderId="2" xfId="0" applyNumberFormat="1" applyFont="1" applyFill="1" applyBorder="1" applyAlignment="1" applyProtection="1">
      <protection locked="0" hidden="1"/>
    </xf>
    <xf numFmtId="165" fontId="8" fillId="3" borderId="2" xfId="0" applyNumberFormat="1" applyFont="1" applyFill="1" applyBorder="1" applyAlignment="1" applyProtection="1">
      <protection hidden="1"/>
    </xf>
    <xf numFmtId="0" fontId="8" fillId="3" borderId="0" xfId="0" applyFont="1" applyFill="1" applyBorder="1" applyAlignment="1" applyProtection="1">
      <protection hidden="1"/>
    </xf>
    <xf numFmtId="165" fontId="8" fillId="4" borderId="2" xfId="0" applyNumberFormat="1" applyFont="1" applyFill="1" applyBorder="1" applyAlignment="1" applyProtection="1">
      <protection hidden="1"/>
    </xf>
    <xf numFmtId="0" fontId="8" fillId="5" borderId="0" xfId="0" applyFont="1" applyFill="1" applyBorder="1" applyAlignment="1" applyProtection="1">
      <protection hidden="1"/>
    </xf>
    <xf numFmtId="38" fontId="8" fillId="3" borderId="0" xfId="0" applyNumberFormat="1" applyFont="1" applyFill="1" applyBorder="1" applyAlignment="1" applyProtection="1">
      <protection locked="0" hidden="1"/>
    </xf>
    <xf numFmtId="38" fontId="8" fillId="5" borderId="0" xfId="0" applyNumberFormat="1" applyFont="1" applyFill="1" applyBorder="1" applyAlignment="1" applyProtection="1">
      <protection hidden="1"/>
    </xf>
    <xf numFmtId="165" fontId="8" fillId="3" borderId="3" xfId="0" applyNumberFormat="1" applyFont="1" applyFill="1" applyBorder="1" applyAlignment="1" applyProtection="1">
      <protection hidden="1"/>
    </xf>
    <xf numFmtId="165" fontId="8" fillId="5" borderId="3" xfId="0" applyNumberFormat="1" applyFont="1" applyFill="1" applyBorder="1" applyAlignment="1" applyProtection="1">
      <protection hidden="1"/>
    </xf>
    <xf numFmtId="37" fontId="8" fillId="3" borderId="0" xfId="0" applyNumberFormat="1" applyFont="1" applyFill="1" applyBorder="1" applyAlignment="1" applyProtection="1">
      <protection locked="0" hidden="1"/>
    </xf>
    <xf numFmtId="165" fontId="8" fillId="5" borderId="2" xfId="0" applyNumberFormat="1" applyFont="1" applyFill="1" applyBorder="1" applyAlignment="1" applyProtection="1">
      <protection hidden="1"/>
    </xf>
    <xf numFmtId="165" fontId="9" fillId="3" borderId="4" xfId="0" applyNumberFormat="1" applyFont="1" applyFill="1" applyBorder="1" applyAlignment="1" applyProtection="1">
      <protection hidden="1"/>
    </xf>
    <xf numFmtId="38" fontId="9" fillId="3" borderId="0" xfId="0" applyNumberFormat="1" applyFont="1" applyFill="1" applyBorder="1" applyAlignment="1" applyProtection="1">
      <protection hidden="1"/>
    </xf>
    <xf numFmtId="0" fontId="9" fillId="3" borderId="0" xfId="0" applyFont="1" applyFill="1" applyBorder="1" applyAlignment="1" applyProtection="1">
      <protection hidden="1"/>
    </xf>
    <xf numFmtId="0" fontId="9" fillId="3" borderId="0" xfId="0" applyFont="1" applyFill="1" applyBorder="1" applyAlignment="1" applyProtection="1">
      <protection locked="0" hidden="1"/>
    </xf>
    <xf numFmtId="165" fontId="9" fillId="4" borderId="0" xfId="0" applyNumberFormat="1" applyFont="1" applyFill="1" applyBorder="1" applyAlignment="1" applyProtection="1">
      <protection hidden="1"/>
    </xf>
    <xf numFmtId="0" fontId="10" fillId="6" borderId="1" xfId="0" applyFont="1" applyFill="1" applyBorder="1" applyProtection="1">
      <protection locked="0" hidden="1"/>
    </xf>
    <xf numFmtId="0" fontId="10" fillId="0" borderId="0" xfId="0" applyFont="1" applyProtection="1">
      <protection locked="0" hidden="1"/>
    </xf>
    <xf numFmtId="0" fontId="12" fillId="3" borderId="0" xfId="0" applyFont="1" applyFill="1" applyBorder="1" applyAlignment="1" applyProtection="1">
      <protection locked="0" hidden="1"/>
    </xf>
    <xf numFmtId="0" fontId="13" fillId="3" borderId="0" xfId="0" applyFont="1" applyFill="1" applyBorder="1" applyAlignment="1" applyProtection="1">
      <protection locked="0" hidden="1"/>
    </xf>
    <xf numFmtId="0" fontId="0" fillId="6" borderId="0" xfId="0" applyFill="1"/>
    <xf numFmtId="165" fontId="8" fillId="3" borderId="4" xfId="0" applyNumberFormat="1" applyFont="1" applyFill="1" applyBorder="1" applyAlignment="1" applyProtection="1">
      <protection hidden="1"/>
    </xf>
    <xf numFmtId="38" fontId="8" fillId="3" borderId="0" xfId="0" applyNumberFormat="1" applyFont="1" applyFill="1" applyBorder="1" applyAlignment="1" applyProtection="1">
      <protection hidden="1"/>
    </xf>
    <xf numFmtId="165" fontId="8" fillId="4" borderId="0" xfId="0" applyNumberFormat="1" applyFont="1" applyFill="1" applyBorder="1" applyAlignment="1" applyProtection="1">
      <protection hidden="1"/>
    </xf>
    <xf numFmtId="0" fontId="14" fillId="6" borderId="1" xfId="0" applyFont="1" applyFill="1" applyBorder="1" applyProtection="1">
      <protection locked="0" hidden="1"/>
    </xf>
    <xf numFmtId="0" fontId="15" fillId="0" borderId="0" xfId="0" applyFont="1"/>
    <xf numFmtId="0" fontId="3" fillId="2" borderId="0" xfId="0" applyFont="1" applyFill="1" applyBorder="1" applyAlignment="1" applyProtection="1">
      <alignment horizontal="centerContinuous"/>
      <protection locked="0"/>
    </xf>
    <xf numFmtId="0" fontId="3" fillId="2" borderId="0" xfId="0" applyFont="1" applyFill="1" applyBorder="1" applyAlignment="1" applyProtection="1">
      <alignment horizontal="centerContinuous"/>
      <protection hidden="1"/>
    </xf>
    <xf numFmtId="14" fontId="4" fillId="2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 applyProtection="1">
      <alignment horizontal="centerContinuous"/>
      <protection locked="0"/>
    </xf>
    <xf numFmtId="49" fontId="4" fillId="2" borderId="1" xfId="0" applyNumberFormat="1" applyFont="1" applyFill="1" applyBorder="1" applyAlignment="1" applyProtection="1">
      <alignment horizontal="centerContinuous"/>
      <protection locked="0"/>
    </xf>
    <xf numFmtId="49" fontId="8" fillId="3" borderId="0" xfId="0" applyNumberFormat="1" applyFont="1" applyFill="1" applyBorder="1" applyAlignment="1" applyProtection="1">
      <protection locked="0"/>
    </xf>
    <xf numFmtId="49" fontId="8" fillId="3" borderId="0" xfId="1" applyNumberFormat="1" applyFont="1" applyFill="1" applyBorder="1" applyAlignment="1" applyProtection="1">
      <protection locked="0"/>
    </xf>
    <xf numFmtId="49" fontId="9" fillId="3" borderId="0" xfId="0" applyNumberFormat="1" applyFont="1" applyFill="1" applyBorder="1" applyAlignment="1" applyProtection="1">
      <alignment horizontal="center"/>
      <protection locked="0"/>
    </xf>
    <xf numFmtId="49" fontId="9" fillId="3" borderId="0" xfId="1" applyNumberFormat="1" applyFont="1" applyFill="1" applyBorder="1" applyAlignment="1" applyProtection="1">
      <alignment horizontal="center"/>
      <protection locked="0"/>
    </xf>
    <xf numFmtId="49" fontId="16" fillId="3" borderId="0" xfId="0" applyNumberFormat="1" applyFont="1" applyFill="1" applyBorder="1" applyAlignment="1" applyProtection="1">
      <protection locked="0"/>
    </xf>
    <xf numFmtId="49" fontId="13" fillId="3" borderId="0" xfId="0" applyNumberFormat="1" applyFont="1" applyFill="1" applyBorder="1" applyAlignment="1" applyProtection="1">
      <protection locked="0"/>
    </xf>
    <xf numFmtId="49" fontId="13" fillId="3" borderId="0" xfId="0" applyNumberFormat="1" applyFont="1" applyFill="1" applyBorder="1" applyAlignment="1" applyProtection="1">
      <alignment horizontal="centerContinuous"/>
      <protection locked="0"/>
    </xf>
    <xf numFmtId="49" fontId="13" fillId="3" borderId="0" xfId="1" applyNumberFormat="1" applyFont="1" applyFill="1" applyBorder="1" applyAlignment="1" applyProtection="1">
      <alignment horizontal="centerContinuous"/>
      <protection locked="0"/>
    </xf>
    <xf numFmtId="165" fontId="8" fillId="3" borderId="0" xfId="0" applyNumberFormat="1" applyFont="1" applyFill="1" applyBorder="1" applyAlignment="1" applyProtection="1">
      <protection locked="0"/>
    </xf>
    <xf numFmtId="49" fontId="17" fillId="3" borderId="0" xfId="0" applyNumberFormat="1" applyFont="1" applyFill="1" applyBorder="1" applyAlignment="1" applyProtection="1">
      <protection locked="0"/>
    </xf>
    <xf numFmtId="38" fontId="8" fillId="3" borderId="2" xfId="0" applyNumberFormat="1" applyFont="1" applyFill="1" applyBorder="1" applyAlignment="1" applyProtection="1">
      <protection locked="0"/>
    </xf>
    <xf numFmtId="38" fontId="8" fillId="3" borderId="0" xfId="0" applyNumberFormat="1" applyFont="1" applyFill="1" applyBorder="1" applyAlignment="1" applyProtection="1">
      <protection locked="0"/>
    </xf>
    <xf numFmtId="49" fontId="9" fillId="3" borderId="0" xfId="0" applyNumberFormat="1" applyFont="1" applyFill="1" applyBorder="1" applyAlignment="1" applyProtection="1">
      <protection locked="0"/>
    </xf>
    <xf numFmtId="49" fontId="18" fillId="3" borderId="0" xfId="0" applyNumberFormat="1" applyFont="1" applyFill="1" applyBorder="1" applyAlignment="1" applyProtection="1">
      <protection locked="0"/>
    </xf>
    <xf numFmtId="49" fontId="8" fillId="3" borderId="0" xfId="0" applyNumberFormat="1" applyFont="1" applyFill="1" applyBorder="1" applyAlignment="1" applyProtection="1">
      <alignment horizontal="left"/>
      <protection locked="0"/>
    </xf>
    <xf numFmtId="38" fontId="8" fillId="3" borderId="2" xfId="0" applyNumberFormat="1" applyFont="1" applyFill="1" applyBorder="1" applyAlignment="1" applyProtection="1">
      <protection hidden="1"/>
    </xf>
    <xf numFmtId="49" fontId="8" fillId="3" borderId="0" xfId="0" applyNumberFormat="1" applyFont="1" applyFill="1" applyBorder="1" applyAlignment="1" applyProtection="1">
      <protection hidden="1"/>
    </xf>
    <xf numFmtId="37" fontId="8" fillId="3" borderId="2" xfId="0" applyNumberFormat="1" applyFont="1" applyFill="1" applyBorder="1" applyAlignment="1" applyProtection="1">
      <protection locked="0"/>
    </xf>
    <xf numFmtId="37" fontId="8" fillId="3" borderId="0" xfId="0" applyNumberFormat="1" applyFont="1" applyFill="1" applyBorder="1" applyAlignment="1" applyProtection="1">
      <protection locked="0"/>
    </xf>
    <xf numFmtId="37" fontId="8" fillId="3" borderId="2" xfId="0" applyNumberFormat="1" applyFont="1" applyFill="1" applyBorder="1" applyAlignment="1" applyProtection="1">
      <protection hidden="1"/>
    </xf>
    <xf numFmtId="37" fontId="8" fillId="3" borderId="0" xfId="0" applyNumberFormat="1" applyFont="1" applyFill="1" applyBorder="1" applyAlignment="1" applyProtection="1">
      <protection hidden="1"/>
    </xf>
    <xf numFmtId="165" fontId="8" fillId="3" borderId="0" xfId="0" applyNumberFormat="1" applyFont="1" applyFill="1" applyBorder="1" applyAlignment="1" applyProtection="1">
      <protection hidden="1"/>
    </xf>
    <xf numFmtId="165" fontId="19" fillId="3" borderId="0" xfId="0" applyNumberFormat="1" applyFont="1" applyFill="1" applyBorder="1" applyAlignment="1" applyProtection="1">
      <protection hidden="1"/>
    </xf>
    <xf numFmtId="49" fontId="20" fillId="3" borderId="0" xfId="0" applyNumberFormat="1" applyFont="1" applyFill="1" applyBorder="1" applyAlignment="1" applyProtection="1">
      <protection locked="0"/>
    </xf>
    <xf numFmtId="49" fontId="19" fillId="3" borderId="0" xfId="0" applyNumberFormat="1" applyFont="1" applyFill="1" applyBorder="1" applyAlignment="1" applyProtection="1">
      <protection locked="0"/>
    </xf>
    <xf numFmtId="49" fontId="8" fillId="0" borderId="0" xfId="0" applyNumberFormat="1" applyFont="1" applyFill="1" applyBorder="1" applyAlignment="1" applyProtection="1">
      <protection locked="0"/>
    </xf>
    <xf numFmtId="0" fontId="10" fillId="0" borderId="0" xfId="0" applyFont="1"/>
    <xf numFmtId="49" fontId="22" fillId="3" borderId="0" xfId="0" applyNumberFormat="1" applyFont="1" applyFill="1" applyBorder="1" applyAlignment="1" applyProtection="1">
      <protection locked="0"/>
    </xf>
    <xf numFmtId="49" fontId="16" fillId="3" borderId="0" xfId="0" applyNumberFormat="1" applyFont="1" applyFill="1" applyBorder="1" applyAlignment="1" applyProtection="1">
      <alignment horizontal="centerContinuous"/>
      <protection locked="0"/>
    </xf>
    <xf numFmtId="49" fontId="8" fillId="3" borderId="0" xfId="0" applyNumberFormat="1" applyFont="1" applyFill="1" applyBorder="1" applyAlignment="1" applyProtection="1">
      <alignment horizontal="centerContinuous"/>
      <protection locked="0"/>
    </xf>
    <xf numFmtId="49" fontId="22" fillId="3" borderId="0" xfId="0" applyNumberFormat="1" applyFont="1" applyFill="1" applyBorder="1" applyAlignment="1" applyProtection="1">
      <alignment horizontal="centerContinuous"/>
      <protection locked="0"/>
    </xf>
    <xf numFmtId="49" fontId="23" fillId="3" borderId="0" xfId="0" applyNumberFormat="1" applyFont="1" applyFill="1" applyBorder="1" applyAlignment="1" applyProtection="1">
      <protection hidden="1"/>
    </xf>
    <xf numFmtId="49" fontId="13" fillId="3" borderId="0" xfId="0" applyNumberFormat="1" applyFont="1" applyFill="1" applyBorder="1" applyAlignment="1" applyProtection="1">
      <protection hidden="1"/>
    </xf>
    <xf numFmtId="49" fontId="8" fillId="3" borderId="0" xfId="0" applyNumberFormat="1" applyFont="1" applyFill="1" applyBorder="1" applyAlignment="1" applyProtection="1">
      <alignment horizontal="center"/>
      <protection locked="0"/>
    </xf>
    <xf numFmtId="49" fontId="8" fillId="3" borderId="0" xfId="0" applyNumberFormat="1" applyFont="1" applyFill="1" applyBorder="1" applyAlignment="1" applyProtection="1">
      <alignment horizontal="right"/>
      <protection locked="0"/>
    </xf>
    <xf numFmtId="49" fontId="17" fillId="3" borderId="0" xfId="0" applyNumberFormat="1" applyFont="1" applyFill="1" applyBorder="1" applyAlignment="1" applyProtection="1">
      <protection hidden="1"/>
    </xf>
    <xf numFmtId="49" fontId="8" fillId="3" borderId="0" xfId="0" applyNumberFormat="1" applyFont="1" applyFill="1" applyBorder="1" applyAlignment="1" applyProtection="1">
      <alignment horizontal="center"/>
      <protection hidden="1"/>
    </xf>
    <xf numFmtId="49" fontId="8" fillId="3" borderId="0" xfId="0" applyNumberFormat="1" applyFont="1" applyFill="1" applyBorder="1" applyAlignment="1" applyProtection="1">
      <alignment horizontal="right"/>
      <protection hidden="1"/>
    </xf>
    <xf numFmtId="49" fontId="23" fillId="3" borderId="0" xfId="0" applyNumberFormat="1" applyFont="1" applyFill="1" applyBorder="1" applyAlignment="1" applyProtection="1"/>
    <xf numFmtId="49" fontId="8" fillId="3" borderId="0" xfId="0" applyNumberFormat="1" applyFont="1" applyFill="1" applyBorder="1" applyAlignment="1" applyProtection="1">
      <alignment horizontal="center"/>
    </xf>
    <xf numFmtId="49" fontId="8" fillId="3" borderId="0" xfId="0" applyNumberFormat="1" applyFont="1" applyFill="1" applyBorder="1" applyAlignment="1" applyProtection="1"/>
    <xf numFmtId="49" fontId="8" fillId="3" borderId="0" xfId="0" applyNumberFormat="1" applyFont="1" applyFill="1" applyBorder="1" applyAlignment="1" applyProtection="1">
      <alignment horizontal="right"/>
    </xf>
    <xf numFmtId="49" fontId="24" fillId="3" borderId="0" xfId="0" applyNumberFormat="1" applyFont="1" applyFill="1" applyBorder="1" applyAlignment="1" applyProtection="1">
      <protection hidden="1"/>
    </xf>
    <xf numFmtId="49" fontId="7" fillId="3" borderId="0" xfId="0" applyNumberFormat="1" applyFont="1" applyFill="1" applyBorder="1" applyAlignment="1" applyProtection="1">
      <protection hidden="1"/>
    </xf>
    <xf numFmtId="49" fontId="24" fillId="3" borderId="0" xfId="0" applyNumberFormat="1" applyFont="1" applyFill="1" applyBorder="1" applyAlignment="1" applyProtection="1">
      <protection locked="0"/>
    </xf>
    <xf numFmtId="49" fontId="7" fillId="3" borderId="0" xfId="0" applyNumberFormat="1" applyFont="1" applyFill="1" applyBorder="1" applyAlignment="1" applyProtection="1">
      <protection locked="0"/>
    </xf>
    <xf numFmtId="49" fontId="18" fillId="3" borderId="0" xfId="0" applyNumberFormat="1" applyFont="1" applyFill="1" applyBorder="1" applyAlignment="1" applyProtection="1">
      <alignment horizontal="centerContinuous"/>
      <protection locked="0"/>
    </xf>
    <xf numFmtId="49" fontId="7" fillId="3" borderId="0" xfId="0" applyNumberFormat="1" applyFont="1" applyFill="1" applyBorder="1" applyAlignment="1" applyProtection="1">
      <alignment horizontal="centerContinuous"/>
      <protection locked="0"/>
    </xf>
    <xf numFmtId="49" fontId="8" fillId="3" borderId="0" xfId="1" applyNumberFormat="1" applyFont="1" applyFill="1" applyBorder="1" applyAlignment="1" applyProtection="1">
      <alignment horizontal="centerContinuous"/>
      <protection locked="0"/>
    </xf>
    <xf numFmtId="49" fontId="7" fillId="3" borderId="0" xfId="1" applyNumberFormat="1" applyFont="1" applyFill="1" applyBorder="1" applyAlignment="1" applyProtection="1">
      <protection locked="0"/>
    </xf>
    <xf numFmtId="49" fontId="8" fillId="3" borderId="0" xfId="1" applyNumberFormat="1" applyFont="1" applyFill="1" applyBorder="1" applyAlignment="1" applyProtection="1">
      <protection hidden="1"/>
    </xf>
    <xf numFmtId="49" fontId="23" fillId="3" borderId="0" xfId="0" applyNumberFormat="1" applyFont="1" applyFill="1" applyBorder="1" applyAlignment="1" applyProtection="1">
      <protection locked="0"/>
    </xf>
    <xf numFmtId="0" fontId="7" fillId="3" borderId="1" xfId="0" applyNumberFormat="1" applyFont="1" applyFill="1" applyBorder="1" applyAlignment="1" applyProtection="1">
      <alignment horizontal="centerContinuous"/>
      <protection hidden="1"/>
    </xf>
    <xf numFmtId="0" fontId="8" fillId="3" borderId="1" xfId="0" applyNumberFormat="1" applyFont="1" applyFill="1" applyBorder="1" applyAlignment="1" applyProtection="1">
      <alignment horizontal="centerContinuous"/>
      <protection hidden="1"/>
    </xf>
    <xf numFmtId="0" fontId="14" fillId="0" borderId="0" xfId="0" applyFont="1"/>
    <xf numFmtId="0" fontId="25" fillId="0" borderId="0" xfId="0" applyFont="1"/>
    <xf numFmtId="0" fontId="26" fillId="0" borderId="0" xfId="0" applyFont="1"/>
    <xf numFmtId="0" fontId="25" fillId="7" borderId="0" xfId="0" applyFont="1" applyFill="1" applyAlignment="1">
      <alignment horizontal="centerContinuous"/>
    </xf>
    <xf numFmtId="0" fontId="0" fillId="7" borderId="0" xfId="0" applyFill="1" applyAlignment="1">
      <alignment horizontal="centerContinuous"/>
    </xf>
    <xf numFmtId="0" fontId="26" fillId="7" borderId="1" xfId="0" applyFont="1" applyFill="1" applyBorder="1"/>
    <xf numFmtId="0" fontId="21" fillId="6" borderId="0" xfId="0" applyFont="1" applyFill="1"/>
    <xf numFmtId="0" fontId="27" fillId="6" borderId="0" xfId="0" applyFont="1" applyFill="1" applyAlignment="1">
      <alignment horizontal="center"/>
    </xf>
    <xf numFmtId="0" fontId="28" fillId="6" borderId="0" xfId="0" applyFont="1" applyFill="1"/>
    <xf numFmtId="165" fontId="0" fillId="6" borderId="0" xfId="0" applyNumberFormat="1" applyFill="1"/>
    <xf numFmtId="0" fontId="0" fillId="6" borderId="0" xfId="0" applyFill="1" applyAlignment="1">
      <alignment horizontal="center"/>
    </xf>
    <xf numFmtId="0" fontId="29" fillId="6" borderId="0" xfId="0" applyFont="1" applyFill="1"/>
    <xf numFmtId="0" fontId="3" fillId="7" borderId="0" xfId="0" applyFont="1" applyFill="1" applyAlignment="1">
      <alignment horizontal="centerContinuous"/>
    </xf>
    <xf numFmtId="0" fontId="0" fillId="6" borderId="1" xfId="0" applyFill="1" applyBorder="1"/>
    <xf numFmtId="0" fontId="0" fillId="0" borderId="0" xfId="0" applyFill="1"/>
    <xf numFmtId="14" fontId="30" fillId="2" borderId="1" xfId="0" applyNumberFormat="1" applyFont="1" applyFill="1" applyBorder="1" applyAlignment="1" applyProtection="1">
      <alignment horizontal="centerContinuous"/>
      <protection locked="0"/>
    </xf>
    <xf numFmtId="0" fontId="30" fillId="2" borderId="1" xfId="0" applyFont="1" applyFill="1" applyBorder="1" applyAlignment="1" applyProtection="1">
      <alignment horizontal="centerContinuous"/>
      <protection locked="0"/>
    </xf>
    <xf numFmtId="49" fontId="30" fillId="2" borderId="1" xfId="0" applyNumberFormat="1" applyFont="1" applyFill="1" applyBorder="1" applyAlignment="1" applyProtection="1">
      <alignment horizontal="centerContinuous"/>
      <protection locked="0"/>
    </xf>
    <xf numFmtId="0" fontId="31" fillId="0" borderId="0" xfId="0" applyFont="1"/>
    <xf numFmtId="49" fontId="32" fillId="3" borderId="1" xfId="0" applyNumberFormat="1" applyFont="1" applyFill="1" applyBorder="1" applyAlignment="1" applyProtection="1">
      <protection locked="0"/>
    </xf>
    <xf numFmtId="165" fontId="33" fillId="3" borderId="0" xfId="0" applyNumberFormat="1" applyFont="1" applyFill="1" applyBorder="1" applyAlignment="1" applyProtection="1">
      <protection hidden="1"/>
    </xf>
    <xf numFmtId="49" fontId="32" fillId="0" borderId="0" xfId="0" applyNumberFormat="1" applyFont="1" applyFill="1" applyBorder="1" applyAlignme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Projected Revenues - 2000
</a:t>
            </a:r>
          </a:p>
        </c:rich>
      </c:tx>
      <c:layout>
        <c:manualLayout>
          <c:xMode val="edge"/>
          <c:yMode val="edge"/>
          <c:x val="0.35579169682274531"/>
          <c:y val="3.883614527139664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1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468455400230106"/>
          <c:y val="0.22088057623106844"/>
          <c:w val="0.71719525006225315"/>
          <c:h val="0.6626417286932052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('00 Rev. Proj.'!$E$4,'00 Rev. Proj.'!$G$4,'00 Rev. Proj.'!$I$4,'00 Rev. Proj.'!$K$4,'00 Rev. Proj.'!$M$4,'00 Rev. Proj.'!$O$4,'00 Rev. Proj.'!$Q$4,'00 Rev. Proj.'!$S$4,'00 Rev. Proj.'!$U$4,'00 Rev. Proj.'!$W$4,'00 Rev. Proj.'!$Y$4,'00 Rev. Proj.'!$AA$4)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('00 Rev. Proj.'!$E$8,'00 Rev. Proj.'!$G$8,'00 Rev. Proj.'!$I$8,'00 Rev. Proj.'!$K$8,'00 Rev. Proj.'!$M$8,'00 Rev. Proj.'!$O$8,'00 Rev. Proj.'!$Q$8,'00 Rev. Proj.'!$S$8,'00 Rev. Proj.'!$U$8,'00 Rev. Proj.'!$W$8,'00 Rev. Proj.'!$Y$8,'00 Rev. Proj.'!$AA$8)</c:f>
              <c:numCache>
                <c:formatCode>#,##0_);[Red]\(#,##0\)</c:formatCode>
                <c:ptCount val="12"/>
                <c:pt idx="0">
                  <c:v>21000</c:v>
                </c:pt>
                <c:pt idx="1">
                  <c:v>30960</c:v>
                </c:pt>
                <c:pt idx="2">
                  <c:v>34200</c:v>
                </c:pt>
                <c:pt idx="3">
                  <c:v>34200</c:v>
                </c:pt>
                <c:pt idx="4">
                  <c:v>32760</c:v>
                </c:pt>
                <c:pt idx="5">
                  <c:v>28080</c:v>
                </c:pt>
                <c:pt idx="6">
                  <c:v>21240</c:v>
                </c:pt>
                <c:pt idx="7">
                  <c:v>19440</c:v>
                </c:pt>
                <c:pt idx="8">
                  <c:v>25560</c:v>
                </c:pt>
                <c:pt idx="9">
                  <c:v>30600</c:v>
                </c:pt>
                <c:pt idx="10">
                  <c:v>38880</c:v>
                </c:pt>
                <c:pt idx="11">
                  <c:v>34920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F-43A0-A058-E125E463E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75818895"/>
        <c:axId val="1"/>
        <c:axId val="0"/>
      </c:bar3DChart>
      <c:catAx>
        <c:axId val="875818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Monthly Revenue</a:t>
                </a:r>
              </a:p>
            </c:rich>
          </c:tx>
          <c:layout>
            <c:manualLayout>
              <c:xMode val="edge"/>
              <c:yMode val="edge"/>
              <c:x val="2.3569796950402684E-2"/>
              <c:y val="0.39807048903181563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81889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Projected Revenues - 2001</a:t>
            </a:r>
          </a:p>
        </c:rich>
      </c:tx>
      <c:layout>
        <c:manualLayout>
          <c:xMode val="edge"/>
          <c:yMode val="edge"/>
          <c:x val="0.35571577213924643"/>
          <c:y val="3.864857373694484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41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4429979435837353"/>
          <c:y val="0.14251661565498411"/>
          <c:w val="0.83224067443899163"/>
          <c:h val="0.7681404030217787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('01 Rev. Proj.'!$E$4,'01 Rev. Proj.'!$G$4,'01 Rev. Proj.'!$I$4,'01 Rev. Proj.'!$K$4,'01 Rev. Proj.'!$M$4,'01 Rev. Proj.'!$O$4,'01 Rev. Proj.'!$Q$4,'01 Rev. Proj.'!$S$4,'01 Rev. Proj.'!$U$4,'01 Rev. Proj.'!$W$4,'01 Rev. Proj.'!$Y$4,'01 Rev. Proj.'!$AA$4)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('01 Rev. Proj.'!$E$8,'01 Rev. Proj.'!$G$8,'01 Rev. Proj.'!$I$8,'01 Rev. Proj.'!$K$8,'01 Rev. Proj.'!$M$8,'01 Rev. Proj.'!$O$8,'01 Rev. Proj.'!$Q$8,'01 Rev. Proj.'!$S$8,'01 Rev. Proj.'!$U$8,'01 Rev. Proj.'!$W$8,'01 Rev. Proj.'!$Y$8,'01 Rev. Proj.'!$AA$8)</c:f>
              <c:numCache>
                <c:formatCode>#,##0_);[Red]\(#,##0\)</c:formatCode>
                <c:ptCount val="12"/>
                <c:pt idx="0">
                  <c:v>34020</c:v>
                </c:pt>
                <c:pt idx="1">
                  <c:v>39009</c:v>
                </c:pt>
                <c:pt idx="2">
                  <c:v>43092</c:v>
                </c:pt>
                <c:pt idx="3">
                  <c:v>41277</c:v>
                </c:pt>
                <c:pt idx="4">
                  <c:v>41277</c:v>
                </c:pt>
                <c:pt idx="5">
                  <c:v>35380</c:v>
                </c:pt>
                <c:pt idx="6">
                  <c:v>26762</c:v>
                </c:pt>
                <c:pt idx="7">
                  <c:v>24494</c:v>
                </c:pt>
                <c:pt idx="8">
                  <c:v>32205</c:v>
                </c:pt>
                <c:pt idx="9">
                  <c:v>38556</c:v>
                </c:pt>
                <c:pt idx="10">
                  <c:v>48988</c:v>
                </c:pt>
                <c:pt idx="11">
                  <c:v>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563-AE8B-9930F6895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75817695"/>
        <c:axId val="1"/>
        <c:axId val="0"/>
      </c:bar3DChart>
      <c:catAx>
        <c:axId val="87581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Monthly Revenue</a:t>
                </a:r>
              </a:p>
            </c:rich>
          </c:tx>
          <c:layout>
            <c:manualLayout>
              <c:xMode val="edge"/>
              <c:yMode val="edge"/>
              <c:x val="2.7965076426041385E-2"/>
              <c:y val="0.3744080580766531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_);[Red]\(&quot;$&quot;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81769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1</xdr:row>
      <xdr:rowOff>6350</xdr:rowOff>
    </xdr:from>
    <xdr:to>
      <xdr:col>10</xdr:col>
      <xdr:colOff>69850</xdr:colOff>
      <xdr:row>17</xdr:row>
      <xdr:rowOff>82550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76B151B9-E3B8-4734-9863-72F9B96EF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9</xdr:col>
      <xdr:colOff>190500</xdr:colOff>
      <xdr:row>17</xdr:row>
      <xdr:rowOff>82550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358FB17C-568E-4E7F-A1DD-C60EC8D45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workbookViewId="0">
      <selection activeCell="A3" sqref="A3"/>
    </sheetView>
  </sheetViews>
  <sheetFormatPr defaultRowHeight="12.5" x14ac:dyDescent="0.25"/>
  <cols>
    <col min="1" max="1" width="5.7265625" style="92" customWidth="1"/>
    <col min="2" max="2" width="26.7265625" style="92" customWidth="1"/>
    <col min="3" max="3" width="2.7265625" style="92" customWidth="1"/>
    <col min="4" max="4" width="14.7265625" style="92" customWidth="1"/>
    <col min="5" max="5" width="2.7265625" style="64" customWidth="1"/>
    <col min="6" max="6" width="14.7265625" style="64" customWidth="1"/>
    <col min="7" max="7" width="2.7265625" style="64" customWidth="1"/>
    <col min="8" max="8" width="14.7265625" style="64" customWidth="1"/>
  </cols>
  <sheetData>
    <row r="1" spans="1:8" ht="20" x14ac:dyDescent="0.4">
      <c r="A1" s="33" t="s">
        <v>0</v>
      </c>
      <c r="B1" s="33"/>
      <c r="C1" s="33"/>
      <c r="D1" s="33"/>
      <c r="E1" s="33"/>
      <c r="F1" s="33"/>
      <c r="G1" s="33"/>
      <c r="H1" s="33"/>
    </row>
    <row r="2" spans="1:8" ht="20" x14ac:dyDescent="0.4">
      <c r="A2" s="34" t="s">
        <v>1</v>
      </c>
      <c r="B2" s="34"/>
      <c r="C2" s="34"/>
      <c r="D2" s="34"/>
      <c r="E2" s="34"/>
      <c r="F2" s="34"/>
      <c r="G2" s="34"/>
      <c r="H2" s="34"/>
    </row>
    <row r="3" spans="1:8" ht="18" thickBot="1" x14ac:dyDescent="0.4">
      <c r="A3" s="35"/>
      <c r="B3" s="35"/>
      <c r="C3" s="36"/>
      <c r="D3" s="36"/>
      <c r="E3" s="35"/>
      <c r="F3" s="35"/>
      <c r="G3" s="37"/>
      <c r="H3" s="35"/>
    </row>
    <row r="4" spans="1:8" x14ac:dyDescent="0.25">
      <c r="A4" s="65" t="s">
        <v>2</v>
      </c>
      <c r="B4" s="65"/>
      <c r="C4" s="43" t="s">
        <v>2</v>
      </c>
      <c r="D4" s="38"/>
      <c r="E4" s="38" t="s">
        <v>2</v>
      </c>
      <c r="F4" s="38"/>
      <c r="G4" s="38"/>
      <c r="H4" s="38"/>
    </row>
    <row r="5" spans="1:8" ht="14" x14ac:dyDescent="0.3">
      <c r="A5" s="66" t="s">
        <v>3</v>
      </c>
      <c r="B5" s="66"/>
      <c r="C5" s="44"/>
      <c r="D5" s="44"/>
      <c r="E5" s="67"/>
      <c r="F5" s="67"/>
      <c r="G5" s="67"/>
      <c r="H5" s="68"/>
    </row>
    <row r="6" spans="1:8" ht="14" x14ac:dyDescent="0.3">
      <c r="A6" s="66"/>
      <c r="B6" s="66"/>
      <c r="C6" s="44"/>
      <c r="D6" s="44"/>
      <c r="E6" s="67"/>
      <c r="F6" s="67"/>
      <c r="G6" s="67"/>
      <c r="H6" s="68"/>
    </row>
    <row r="7" spans="1:8" ht="13" x14ac:dyDescent="0.3">
      <c r="A7" s="69" t="s">
        <v>4</v>
      </c>
      <c r="B7" s="69"/>
      <c r="C7" s="70"/>
      <c r="D7" s="70"/>
      <c r="E7" s="70"/>
      <c r="F7" s="70"/>
      <c r="G7" s="70"/>
      <c r="H7" s="70"/>
    </row>
    <row r="8" spans="1:8" x14ac:dyDescent="0.25">
      <c r="A8" s="38" t="s">
        <v>5</v>
      </c>
      <c r="B8" s="38"/>
      <c r="C8" s="71"/>
      <c r="D8" s="38"/>
      <c r="E8" s="71"/>
      <c r="F8" s="46">
        <v>91647</v>
      </c>
      <c r="G8" s="71"/>
      <c r="H8" s="38"/>
    </row>
    <row r="9" spans="1:8" x14ac:dyDescent="0.25">
      <c r="A9" s="38" t="s">
        <v>6</v>
      </c>
      <c r="B9" s="38"/>
      <c r="C9" s="71"/>
      <c r="D9" s="46">
        <v>0</v>
      </c>
      <c r="E9" s="72"/>
      <c r="F9" s="38"/>
      <c r="G9" s="71" t="s">
        <v>2</v>
      </c>
      <c r="H9" s="38"/>
    </row>
    <row r="10" spans="1:8" x14ac:dyDescent="0.25">
      <c r="A10" s="38" t="s">
        <v>7</v>
      </c>
      <c r="B10" s="38" t="s">
        <v>8</v>
      </c>
      <c r="C10" s="71"/>
      <c r="D10" s="48">
        <v>0</v>
      </c>
      <c r="E10" s="72"/>
      <c r="F10" s="29">
        <f>D9-D10</f>
        <v>0</v>
      </c>
      <c r="G10" s="71"/>
      <c r="H10" s="38"/>
    </row>
    <row r="11" spans="1:8" x14ac:dyDescent="0.25">
      <c r="A11" s="38" t="s">
        <v>9</v>
      </c>
      <c r="B11" s="38"/>
      <c r="C11" s="71" t="s">
        <v>2</v>
      </c>
      <c r="D11" s="38"/>
      <c r="E11" s="72"/>
      <c r="F11" s="49">
        <v>1000</v>
      </c>
      <c r="G11" s="71" t="s">
        <v>2</v>
      </c>
      <c r="H11" s="38"/>
    </row>
    <row r="12" spans="1:8" x14ac:dyDescent="0.25">
      <c r="A12" s="38" t="s">
        <v>10</v>
      </c>
      <c r="B12" s="38"/>
      <c r="C12" s="71" t="s">
        <v>2</v>
      </c>
      <c r="D12" s="38"/>
      <c r="E12" s="72"/>
      <c r="F12" s="49">
        <v>600</v>
      </c>
      <c r="G12" s="71" t="s">
        <v>2</v>
      </c>
      <c r="H12" s="38"/>
    </row>
    <row r="13" spans="1:8" x14ac:dyDescent="0.25">
      <c r="A13" s="38" t="s">
        <v>11</v>
      </c>
      <c r="B13" s="38"/>
      <c r="C13" s="71" t="s">
        <v>12</v>
      </c>
      <c r="D13" s="38"/>
      <c r="E13" s="72"/>
      <c r="F13" s="48">
        <v>0</v>
      </c>
      <c r="G13" s="71" t="s">
        <v>2</v>
      </c>
      <c r="H13" s="38"/>
    </row>
    <row r="14" spans="1:8" ht="13" x14ac:dyDescent="0.3">
      <c r="A14" s="73"/>
      <c r="B14" s="69" t="s">
        <v>13</v>
      </c>
      <c r="C14" s="54"/>
      <c r="D14" s="54"/>
      <c r="E14" s="54" t="s">
        <v>2</v>
      </c>
      <c r="F14" s="54"/>
      <c r="G14" s="54"/>
      <c r="H14" s="59">
        <f>F8+F10+SUM(F11:F13)</f>
        <v>93247</v>
      </c>
    </row>
    <row r="15" spans="1:8" x14ac:dyDescent="0.25">
      <c r="A15" s="38" t="s">
        <v>2</v>
      </c>
      <c r="B15" s="38"/>
      <c r="C15" s="38"/>
      <c r="D15" s="38"/>
      <c r="E15" s="38"/>
      <c r="F15" s="38"/>
      <c r="G15" s="38"/>
      <c r="H15" s="38"/>
    </row>
    <row r="16" spans="1:8" ht="13" x14ac:dyDescent="0.3">
      <c r="A16" s="69" t="s">
        <v>14</v>
      </c>
      <c r="B16" s="69"/>
      <c r="C16" s="54"/>
      <c r="D16" s="54"/>
      <c r="E16" s="54" t="s">
        <v>2</v>
      </c>
      <c r="F16" s="54"/>
      <c r="G16" s="54"/>
      <c r="H16" s="54"/>
    </row>
    <row r="17" spans="1:8" x14ac:dyDescent="0.25">
      <c r="A17" s="38" t="s">
        <v>15</v>
      </c>
      <c r="B17" s="38"/>
      <c r="C17" s="38"/>
      <c r="D17" s="49">
        <v>0</v>
      </c>
      <c r="E17" s="38" t="s">
        <v>2</v>
      </c>
      <c r="F17" s="38"/>
      <c r="G17" s="38"/>
      <c r="H17" s="38"/>
    </row>
    <row r="18" spans="1:8" x14ac:dyDescent="0.25">
      <c r="A18" s="38" t="s">
        <v>7</v>
      </c>
      <c r="B18" s="38" t="s">
        <v>16</v>
      </c>
      <c r="C18" s="38" t="s">
        <v>2</v>
      </c>
      <c r="D18" s="48">
        <v>0</v>
      </c>
      <c r="E18" s="38"/>
      <c r="F18" s="29">
        <f>D17-D18</f>
        <v>0</v>
      </c>
      <c r="G18" s="38"/>
      <c r="H18" s="38"/>
    </row>
    <row r="19" spans="1:8" x14ac:dyDescent="0.25">
      <c r="A19" s="38"/>
      <c r="B19" s="38"/>
      <c r="C19" s="38"/>
      <c r="D19" s="38"/>
      <c r="E19" s="38"/>
      <c r="F19" s="38"/>
      <c r="G19" s="38"/>
      <c r="H19" s="38"/>
    </row>
    <row r="20" spans="1:8" x14ac:dyDescent="0.25">
      <c r="A20" s="38" t="s">
        <v>17</v>
      </c>
      <c r="B20" s="38"/>
      <c r="C20" s="38"/>
      <c r="D20" s="49">
        <v>6000</v>
      </c>
      <c r="E20" s="38"/>
      <c r="F20" s="38"/>
      <c r="G20" s="38"/>
      <c r="H20" s="38"/>
    </row>
    <row r="21" spans="1:8" x14ac:dyDescent="0.25">
      <c r="A21" s="38" t="s">
        <v>7</v>
      </c>
      <c r="B21" s="38" t="s">
        <v>16</v>
      </c>
      <c r="C21" s="71"/>
      <c r="D21" s="48">
        <v>1000</v>
      </c>
      <c r="E21" s="71"/>
      <c r="F21" s="29">
        <f>D20-D21</f>
        <v>5000</v>
      </c>
      <c r="G21" s="71"/>
      <c r="H21" s="38"/>
    </row>
    <row r="22" spans="1:8" x14ac:dyDescent="0.25">
      <c r="A22" s="38"/>
      <c r="B22" s="38"/>
      <c r="C22" s="71"/>
      <c r="D22" s="38"/>
      <c r="E22" s="71"/>
      <c r="F22" s="38"/>
      <c r="G22" s="71"/>
      <c r="H22" s="38"/>
    </row>
    <row r="23" spans="1:8" x14ac:dyDescent="0.25">
      <c r="A23" s="38" t="s">
        <v>18</v>
      </c>
      <c r="B23" s="38"/>
      <c r="C23" s="71" t="s">
        <v>2</v>
      </c>
      <c r="D23" s="49">
        <v>3000</v>
      </c>
      <c r="E23" s="72"/>
      <c r="F23" s="38"/>
      <c r="G23" s="71" t="s">
        <v>2</v>
      </c>
      <c r="H23" s="38"/>
    </row>
    <row r="24" spans="1:8" x14ac:dyDescent="0.25">
      <c r="A24" s="38" t="s">
        <v>7</v>
      </c>
      <c r="B24" s="38" t="s">
        <v>16</v>
      </c>
      <c r="C24" s="71" t="s">
        <v>2</v>
      </c>
      <c r="D24" s="48">
        <v>300</v>
      </c>
      <c r="E24" s="72"/>
      <c r="F24" s="29">
        <f>D23-D24</f>
        <v>2700</v>
      </c>
      <c r="G24" s="71" t="s">
        <v>2</v>
      </c>
      <c r="H24" s="38"/>
    </row>
    <row r="25" spans="1:8" x14ac:dyDescent="0.25">
      <c r="A25" s="38"/>
      <c r="B25" s="38"/>
      <c r="C25" s="71"/>
      <c r="D25" s="38"/>
      <c r="E25" s="72"/>
      <c r="F25" s="38"/>
      <c r="G25" s="71"/>
      <c r="H25" s="38"/>
    </row>
    <row r="26" spans="1:8" x14ac:dyDescent="0.25">
      <c r="A26" s="38" t="s">
        <v>19</v>
      </c>
      <c r="B26" s="38"/>
      <c r="C26" s="71" t="s">
        <v>2</v>
      </c>
      <c r="D26" s="49">
        <v>0</v>
      </c>
      <c r="E26" s="72"/>
      <c r="F26" s="38"/>
      <c r="G26" s="71" t="s">
        <v>2</v>
      </c>
      <c r="H26" s="38"/>
    </row>
    <row r="27" spans="1:8" x14ac:dyDescent="0.25">
      <c r="A27" s="38" t="s">
        <v>7</v>
      </c>
      <c r="B27" s="38" t="s">
        <v>16</v>
      </c>
      <c r="C27" s="71" t="s">
        <v>2</v>
      </c>
      <c r="D27" s="48">
        <v>0</v>
      </c>
      <c r="E27" s="72"/>
      <c r="F27" s="29">
        <f>D26-D27</f>
        <v>0</v>
      </c>
      <c r="G27" s="71" t="s">
        <v>2</v>
      </c>
      <c r="H27" s="38"/>
    </row>
    <row r="28" spans="1:8" x14ac:dyDescent="0.25">
      <c r="A28" s="38"/>
      <c r="B28" s="38"/>
      <c r="C28" s="71"/>
      <c r="D28" s="38"/>
      <c r="E28" s="72"/>
      <c r="F28" s="38"/>
      <c r="G28" s="71"/>
      <c r="H28" s="38"/>
    </row>
    <row r="29" spans="1:8" x14ac:dyDescent="0.25">
      <c r="A29" s="38" t="s">
        <v>20</v>
      </c>
      <c r="B29" s="38"/>
      <c r="C29" s="71"/>
      <c r="D29" s="38"/>
      <c r="E29" s="72"/>
      <c r="F29" s="48">
        <v>0</v>
      </c>
      <c r="G29" s="71" t="s">
        <v>12</v>
      </c>
      <c r="H29" s="38"/>
    </row>
    <row r="30" spans="1:8" ht="13" x14ac:dyDescent="0.3">
      <c r="A30" s="73"/>
      <c r="B30" s="69" t="s">
        <v>21</v>
      </c>
      <c r="C30" s="74"/>
      <c r="D30" s="54"/>
      <c r="E30" s="75"/>
      <c r="F30" s="54"/>
      <c r="G30" s="74"/>
      <c r="H30" s="29">
        <f>F18+F21+F24+F27+F29</f>
        <v>7700</v>
      </c>
    </row>
    <row r="31" spans="1:8" x14ac:dyDescent="0.25">
      <c r="A31" s="38"/>
      <c r="B31" s="38"/>
      <c r="C31" s="71" t="s">
        <v>2</v>
      </c>
      <c r="D31" s="38"/>
      <c r="E31" s="72"/>
      <c r="F31" s="38"/>
      <c r="G31" s="71" t="s">
        <v>2</v>
      </c>
      <c r="H31" s="38"/>
    </row>
    <row r="32" spans="1:8" ht="13" x14ac:dyDescent="0.3">
      <c r="A32" s="76" t="s">
        <v>22</v>
      </c>
      <c r="B32" s="76"/>
      <c r="C32" s="77" t="s">
        <v>2</v>
      </c>
      <c r="D32" s="78"/>
      <c r="E32" s="79"/>
      <c r="F32" s="78"/>
      <c r="G32" s="77" t="s">
        <v>2</v>
      </c>
      <c r="H32" s="78"/>
    </row>
    <row r="33" spans="1:8" x14ac:dyDescent="0.25">
      <c r="A33" s="38" t="s">
        <v>23</v>
      </c>
      <c r="B33" s="38"/>
      <c r="C33" s="71" t="s">
        <v>2</v>
      </c>
      <c r="D33" s="38"/>
      <c r="E33" s="72"/>
      <c r="F33" s="48">
        <v>0</v>
      </c>
      <c r="G33" s="71" t="s">
        <v>2</v>
      </c>
      <c r="H33" s="38"/>
    </row>
    <row r="34" spans="1:8" ht="13" x14ac:dyDescent="0.3">
      <c r="A34" s="73"/>
      <c r="B34" s="69" t="s">
        <v>24</v>
      </c>
      <c r="C34" s="74"/>
      <c r="D34" s="54"/>
      <c r="E34" s="75"/>
      <c r="F34" s="54"/>
      <c r="G34" s="74" t="s">
        <v>2</v>
      </c>
      <c r="H34" s="53">
        <f>SUM(F33)</f>
        <v>0</v>
      </c>
    </row>
    <row r="35" spans="1:8" x14ac:dyDescent="0.25">
      <c r="A35" s="38"/>
      <c r="B35" s="38"/>
      <c r="C35" s="71" t="s">
        <v>2</v>
      </c>
      <c r="D35" s="38"/>
      <c r="E35" s="72"/>
      <c r="F35" s="38"/>
      <c r="G35" s="71" t="s">
        <v>2</v>
      </c>
      <c r="H35" s="38"/>
    </row>
    <row r="36" spans="1:8" ht="14.5" thickBot="1" x14ac:dyDescent="0.35">
      <c r="A36" s="80" t="s">
        <v>25</v>
      </c>
      <c r="B36" s="81"/>
      <c r="C36" s="74" t="s">
        <v>2</v>
      </c>
      <c r="D36" s="54"/>
      <c r="E36" s="75"/>
      <c r="F36" s="54"/>
      <c r="G36" s="74" t="s">
        <v>12</v>
      </c>
      <c r="H36" s="28">
        <f>H14+H30+H34</f>
        <v>100947</v>
      </c>
    </row>
    <row r="37" spans="1:8" ht="14.5" thickTop="1" x14ac:dyDescent="0.3">
      <c r="A37" s="82"/>
      <c r="B37" s="83"/>
      <c r="C37" s="71"/>
      <c r="D37" s="38"/>
      <c r="E37" s="72"/>
      <c r="F37" s="38"/>
      <c r="G37" s="71"/>
      <c r="H37" s="46"/>
    </row>
    <row r="38" spans="1:8" ht="13" x14ac:dyDescent="0.3">
      <c r="A38" s="83"/>
      <c r="B38" s="83"/>
      <c r="C38" s="71"/>
      <c r="D38" s="38"/>
      <c r="E38" s="72"/>
      <c r="F38" s="38"/>
      <c r="G38" s="71"/>
      <c r="H38" s="38"/>
    </row>
    <row r="39" spans="1:8" ht="14" x14ac:dyDescent="0.3">
      <c r="A39" s="84" t="s">
        <v>26</v>
      </c>
      <c r="B39" s="85"/>
      <c r="C39" s="86"/>
      <c r="D39" s="67"/>
      <c r="E39" s="67"/>
      <c r="F39" s="67"/>
      <c r="G39" s="67"/>
      <c r="H39" s="67"/>
    </row>
    <row r="40" spans="1:8" ht="13" x14ac:dyDescent="0.3">
      <c r="A40" s="83"/>
      <c r="B40" s="83"/>
      <c r="C40" s="87"/>
      <c r="D40" s="83"/>
      <c r="E40" s="83"/>
      <c r="F40" s="72"/>
      <c r="G40" s="38"/>
      <c r="H40" s="38"/>
    </row>
    <row r="41" spans="1:8" ht="13" x14ac:dyDescent="0.3">
      <c r="A41" s="69" t="s">
        <v>27</v>
      </c>
      <c r="B41" s="69"/>
      <c r="C41" s="88"/>
      <c r="D41" s="54"/>
      <c r="E41" s="54"/>
      <c r="F41" s="54"/>
      <c r="G41" s="81"/>
      <c r="H41" s="54"/>
    </row>
    <row r="42" spans="1:8" x14ac:dyDescent="0.25">
      <c r="A42" s="38" t="s">
        <v>28</v>
      </c>
      <c r="B42" s="38"/>
      <c r="C42" s="71"/>
      <c r="D42" s="38"/>
      <c r="E42" s="38"/>
      <c r="F42" s="46">
        <v>4504</v>
      </c>
      <c r="G42" s="38"/>
      <c r="H42" s="38"/>
    </row>
    <row r="43" spans="1:8" x14ac:dyDescent="0.25">
      <c r="A43" s="38" t="s">
        <v>29</v>
      </c>
      <c r="B43" s="38"/>
      <c r="C43" s="72"/>
      <c r="D43" s="38"/>
      <c r="E43" s="38"/>
      <c r="F43" s="49">
        <v>0</v>
      </c>
      <c r="G43" s="71"/>
      <c r="H43" s="38"/>
    </row>
    <row r="44" spans="1:8" x14ac:dyDescent="0.25">
      <c r="A44" s="38" t="s">
        <v>30</v>
      </c>
      <c r="B44" s="38"/>
      <c r="C44" s="72"/>
      <c r="D44" s="38"/>
      <c r="E44" s="38" t="s">
        <v>2</v>
      </c>
      <c r="F44" s="49">
        <v>2880</v>
      </c>
      <c r="G44" s="71" t="s">
        <v>2</v>
      </c>
      <c r="H44" s="38"/>
    </row>
    <row r="45" spans="1:8" x14ac:dyDescent="0.25">
      <c r="A45" s="38" t="s">
        <v>31</v>
      </c>
      <c r="B45" s="38"/>
      <c r="C45" s="72"/>
      <c r="D45" s="38"/>
      <c r="E45" s="38"/>
      <c r="F45" s="49">
        <v>4078</v>
      </c>
      <c r="G45" s="71" t="s">
        <v>2</v>
      </c>
      <c r="H45" s="38"/>
    </row>
    <row r="46" spans="1:8" x14ac:dyDescent="0.25">
      <c r="A46" s="38" t="s">
        <v>32</v>
      </c>
      <c r="B46" s="38"/>
      <c r="C46" s="72"/>
      <c r="D46" s="38"/>
      <c r="E46" s="38"/>
      <c r="F46" s="49">
        <v>5000</v>
      </c>
      <c r="G46" s="71"/>
      <c r="H46" s="38"/>
    </row>
    <row r="47" spans="1:8" x14ac:dyDescent="0.25">
      <c r="A47" s="38" t="s">
        <v>33</v>
      </c>
      <c r="B47" s="38"/>
      <c r="C47" s="72"/>
      <c r="D47" s="38"/>
      <c r="E47" s="38" t="s">
        <v>2</v>
      </c>
      <c r="F47" s="49">
        <v>0</v>
      </c>
      <c r="G47" s="71" t="s">
        <v>2</v>
      </c>
      <c r="H47" s="38"/>
    </row>
    <row r="48" spans="1:8" x14ac:dyDescent="0.25">
      <c r="A48" s="38" t="s">
        <v>34</v>
      </c>
      <c r="B48" s="38"/>
      <c r="C48" s="72"/>
      <c r="D48" s="38"/>
      <c r="E48" s="38" t="s">
        <v>2</v>
      </c>
      <c r="F48" s="48">
        <v>0</v>
      </c>
      <c r="G48" s="71" t="s">
        <v>2</v>
      </c>
      <c r="H48" s="38"/>
    </row>
    <row r="49" spans="1:8" ht="13" x14ac:dyDescent="0.3">
      <c r="A49" s="73"/>
      <c r="B49" s="69" t="s">
        <v>35</v>
      </c>
      <c r="C49" s="54"/>
      <c r="D49" s="54"/>
      <c r="E49" s="54"/>
      <c r="F49" s="54"/>
      <c r="G49" s="74" t="s">
        <v>2</v>
      </c>
      <c r="H49" s="59">
        <f>SUM(F42:F48)</f>
        <v>16462</v>
      </c>
    </row>
    <row r="50" spans="1:8" x14ac:dyDescent="0.25">
      <c r="A50" s="38"/>
      <c r="B50" s="38"/>
      <c r="C50" s="38" t="s">
        <v>2</v>
      </c>
      <c r="D50" s="38"/>
      <c r="E50" s="38"/>
      <c r="F50" s="38"/>
      <c r="G50" s="38"/>
      <c r="H50" s="38"/>
    </row>
    <row r="51" spans="1:8" ht="13" x14ac:dyDescent="0.3">
      <c r="A51" s="69" t="s">
        <v>36</v>
      </c>
      <c r="B51" s="69"/>
      <c r="C51" s="54"/>
      <c r="D51" s="54"/>
      <c r="E51" s="54" t="s">
        <v>2</v>
      </c>
      <c r="F51" s="54"/>
      <c r="G51" s="54"/>
      <c r="H51" s="54"/>
    </row>
    <row r="52" spans="1:8" ht="13" x14ac:dyDescent="0.3">
      <c r="A52" s="47" t="s">
        <v>37</v>
      </c>
      <c r="B52" s="89"/>
      <c r="C52" s="38"/>
      <c r="D52" s="38"/>
      <c r="E52" s="38"/>
      <c r="F52" s="49" t="s">
        <v>2</v>
      </c>
      <c r="G52" s="38"/>
      <c r="H52" s="38"/>
    </row>
    <row r="53" spans="1:8" x14ac:dyDescent="0.25">
      <c r="A53" s="38" t="s">
        <v>38</v>
      </c>
      <c r="B53" s="38"/>
      <c r="C53" s="38"/>
      <c r="D53" s="38"/>
      <c r="E53" s="38"/>
      <c r="F53" s="48">
        <v>0</v>
      </c>
      <c r="G53" s="38"/>
      <c r="H53" s="38"/>
    </row>
    <row r="54" spans="1:8" ht="13" x14ac:dyDescent="0.3">
      <c r="A54" s="73"/>
      <c r="B54" s="69" t="s">
        <v>39</v>
      </c>
      <c r="C54" s="54"/>
      <c r="D54" s="54"/>
      <c r="E54" s="54"/>
      <c r="F54" s="54"/>
      <c r="G54" s="54"/>
      <c r="H54" s="53">
        <f>SUM(F52:F53)</f>
        <v>0</v>
      </c>
    </row>
    <row r="55" spans="1:8" x14ac:dyDescent="0.25">
      <c r="A55" s="38"/>
      <c r="B55" s="38"/>
      <c r="C55" s="71"/>
      <c r="D55" s="38"/>
      <c r="E55" s="38"/>
      <c r="F55" s="38"/>
      <c r="G55" s="38"/>
      <c r="H55" s="38"/>
    </row>
    <row r="56" spans="1:8" ht="14" x14ac:dyDescent="0.3">
      <c r="A56" s="80" t="s">
        <v>40</v>
      </c>
      <c r="B56" s="81"/>
      <c r="C56" s="75"/>
      <c r="D56" s="54"/>
      <c r="E56" s="54"/>
      <c r="F56" s="54"/>
      <c r="G56" s="74"/>
      <c r="H56" s="29">
        <f>H49+H54</f>
        <v>16462</v>
      </c>
    </row>
    <row r="57" spans="1:8" x14ac:dyDescent="0.25">
      <c r="A57" s="38"/>
      <c r="B57" s="38"/>
      <c r="C57" s="72"/>
      <c r="D57" s="38"/>
      <c r="E57" s="38"/>
      <c r="F57" s="38"/>
      <c r="G57" s="71" t="s">
        <v>2</v>
      </c>
      <c r="H57" s="38"/>
    </row>
    <row r="58" spans="1:8" x14ac:dyDescent="0.25">
      <c r="A58" s="38"/>
      <c r="B58" s="38"/>
      <c r="C58" s="72"/>
      <c r="D58" s="38"/>
      <c r="E58" s="38"/>
      <c r="F58" s="38"/>
      <c r="G58" s="71" t="s">
        <v>2</v>
      </c>
      <c r="H58" s="38"/>
    </row>
    <row r="59" spans="1:8" ht="13" x14ac:dyDescent="0.3">
      <c r="A59" s="89" t="s">
        <v>41</v>
      </c>
      <c r="B59" s="89"/>
      <c r="C59" s="72"/>
      <c r="D59" s="38"/>
      <c r="E59" s="38"/>
      <c r="F59" s="38"/>
      <c r="G59" s="71" t="s">
        <v>2</v>
      </c>
      <c r="H59" s="38"/>
    </row>
    <row r="60" spans="1:8" x14ac:dyDescent="0.25">
      <c r="A60" s="47"/>
      <c r="B60" s="47"/>
      <c r="C60" s="72"/>
      <c r="D60" s="38"/>
      <c r="E60" s="38"/>
      <c r="F60" s="38"/>
      <c r="G60" s="71"/>
      <c r="H60" s="38"/>
    </row>
    <row r="61" spans="1:8" x14ac:dyDescent="0.25">
      <c r="A61" s="47" t="s">
        <v>42</v>
      </c>
      <c r="B61" s="47"/>
      <c r="C61" s="72"/>
      <c r="D61" s="38"/>
      <c r="E61" s="38"/>
      <c r="F61" s="49">
        <v>10000</v>
      </c>
      <c r="G61" s="71"/>
      <c r="H61" s="38"/>
    </row>
    <row r="62" spans="1:8" x14ac:dyDescent="0.25">
      <c r="A62" s="47" t="s">
        <v>43</v>
      </c>
      <c r="B62" s="47"/>
      <c r="C62" s="72"/>
      <c r="D62" s="38"/>
      <c r="E62" s="38"/>
      <c r="F62" s="48">
        <v>74485</v>
      </c>
      <c r="G62" s="71"/>
      <c r="H62" s="38"/>
    </row>
    <row r="63" spans="1:8" x14ac:dyDescent="0.25">
      <c r="A63" s="47" t="s">
        <v>44</v>
      </c>
      <c r="B63" s="38"/>
      <c r="C63" s="72"/>
      <c r="D63" s="38"/>
      <c r="E63" s="38"/>
      <c r="F63" s="48">
        <v>0</v>
      </c>
      <c r="G63" s="71" t="s">
        <v>2</v>
      </c>
      <c r="H63" s="38"/>
    </row>
    <row r="64" spans="1:8" ht="14" x14ac:dyDescent="0.3">
      <c r="A64" s="82" t="s">
        <v>45</v>
      </c>
      <c r="B64" s="83"/>
      <c r="C64" s="72"/>
      <c r="D64" s="38"/>
      <c r="E64" s="38"/>
      <c r="F64" s="38"/>
      <c r="G64" s="71"/>
      <c r="H64" s="53">
        <f>SUM(F61:F63)</f>
        <v>84485</v>
      </c>
    </row>
    <row r="65" spans="1:8" x14ac:dyDescent="0.25">
      <c r="A65" s="38"/>
      <c r="B65" s="38"/>
      <c r="C65" s="72"/>
      <c r="D65" s="38"/>
      <c r="E65" s="38"/>
      <c r="F65" s="38"/>
      <c r="G65" s="71" t="s">
        <v>2</v>
      </c>
      <c r="H65" s="38"/>
    </row>
    <row r="66" spans="1:8" ht="14.5" thickBot="1" x14ac:dyDescent="0.35">
      <c r="A66" s="82" t="s">
        <v>46</v>
      </c>
      <c r="B66" s="83"/>
      <c r="C66" s="72"/>
      <c r="D66" s="38"/>
      <c r="E66" s="38"/>
      <c r="F66" s="38"/>
      <c r="G66" s="71" t="s">
        <v>2</v>
      </c>
      <c r="H66" s="28">
        <f>H56+H64</f>
        <v>100947</v>
      </c>
    </row>
    <row r="67" spans="1:8" ht="13.5" thickTop="1" x14ac:dyDescent="0.3">
      <c r="A67" s="83"/>
      <c r="B67" s="83"/>
      <c r="C67" s="72"/>
      <c r="D67" s="38"/>
      <c r="E67" s="38"/>
      <c r="F67" s="38"/>
      <c r="G67" s="71" t="s">
        <v>12</v>
      </c>
      <c r="H67" s="38"/>
    </row>
    <row r="68" spans="1:8" ht="13.5" thickBot="1" x14ac:dyDescent="0.35">
      <c r="A68" s="90">
        <f>H66-H36</f>
        <v>0</v>
      </c>
      <c r="B68" s="91"/>
      <c r="C68" s="91"/>
      <c r="D68" s="91"/>
      <c r="E68" s="91"/>
      <c r="F68" s="91"/>
      <c r="G68" s="91"/>
      <c r="H68" s="91"/>
    </row>
  </sheetData>
  <pageMargins left="1.75" right="0.75" top="1" bottom="1" header="0.5" footer="0.5"/>
  <pageSetup scale="69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workbookViewId="0">
      <selection activeCell="A3" sqref="A3"/>
    </sheetView>
  </sheetViews>
  <sheetFormatPr defaultRowHeight="12.5" x14ac:dyDescent="0.25"/>
  <cols>
    <col min="1" max="1" width="5.7265625" style="92" customWidth="1"/>
    <col min="2" max="2" width="26.7265625" style="92" customWidth="1"/>
    <col min="3" max="3" width="2.7265625" style="92" customWidth="1"/>
    <col min="4" max="4" width="14.7265625" style="92" customWidth="1"/>
    <col min="5" max="5" width="2.7265625" style="64" customWidth="1"/>
    <col min="6" max="6" width="14.7265625" style="64" customWidth="1"/>
    <col min="7" max="7" width="2.7265625" style="64" customWidth="1"/>
    <col min="8" max="8" width="14.7265625" style="64" customWidth="1"/>
  </cols>
  <sheetData>
    <row r="1" spans="1:8" s="32" customFormat="1" ht="20" x14ac:dyDescent="0.4">
      <c r="A1" s="33" t="s">
        <v>0</v>
      </c>
      <c r="B1" s="33"/>
      <c r="C1" s="33"/>
      <c r="D1" s="33"/>
      <c r="E1" s="33"/>
      <c r="F1" s="33"/>
      <c r="G1" s="33"/>
      <c r="H1" s="33"/>
    </row>
    <row r="2" spans="1:8" s="32" customFormat="1" ht="20" x14ac:dyDescent="0.4">
      <c r="A2" s="34" t="s">
        <v>47</v>
      </c>
      <c r="B2" s="34"/>
      <c r="C2" s="34"/>
      <c r="D2" s="34"/>
      <c r="E2" s="34"/>
      <c r="F2" s="34"/>
      <c r="G2" s="34"/>
      <c r="H2" s="34"/>
    </row>
    <row r="3" spans="1:8" s="94" customFormat="1" ht="18" thickBot="1" x14ac:dyDescent="0.4">
      <c r="A3" s="35"/>
      <c r="B3" s="35"/>
      <c r="C3" s="36"/>
      <c r="D3" s="36"/>
      <c r="E3" s="35"/>
      <c r="F3" s="35"/>
      <c r="G3" s="37"/>
      <c r="H3" s="35"/>
    </row>
    <row r="4" spans="1:8" x14ac:dyDescent="0.25">
      <c r="A4" s="65" t="s">
        <v>2</v>
      </c>
      <c r="B4" s="65"/>
      <c r="C4" s="43" t="s">
        <v>2</v>
      </c>
      <c r="D4" s="38"/>
      <c r="E4" s="38" t="s">
        <v>2</v>
      </c>
      <c r="F4" s="38"/>
      <c r="G4" s="38"/>
      <c r="H4" s="38"/>
    </row>
    <row r="5" spans="1:8" ht="14" x14ac:dyDescent="0.3">
      <c r="A5" s="66" t="s">
        <v>3</v>
      </c>
      <c r="B5" s="66"/>
      <c r="C5" s="44"/>
      <c r="D5" s="44"/>
      <c r="E5" s="67"/>
      <c r="F5" s="67"/>
      <c r="G5" s="67"/>
      <c r="H5" s="68"/>
    </row>
    <row r="6" spans="1:8" ht="14" x14ac:dyDescent="0.3">
      <c r="A6" s="66"/>
      <c r="B6" s="66"/>
      <c r="C6" s="44"/>
      <c r="D6" s="44"/>
      <c r="E6" s="67"/>
      <c r="F6" s="67"/>
      <c r="G6" s="67"/>
      <c r="H6" s="68"/>
    </row>
    <row r="7" spans="1:8" ht="13" x14ac:dyDescent="0.3">
      <c r="A7" s="69" t="s">
        <v>4</v>
      </c>
      <c r="B7" s="69"/>
      <c r="C7" s="70"/>
      <c r="D7" s="70"/>
      <c r="E7" s="70"/>
      <c r="F7" s="70"/>
      <c r="G7" s="70"/>
      <c r="H7" s="70"/>
    </row>
    <row r="8" spans="1:8" x14ac:dyDescent="0.25">
      <c r="A8" s="38" t="s">
        <v>5</v>
      </c>
      <c r="B8" s="38"/>
      <c r="C8" s="71"/>
      <c r="D8" s="38"/>
      <c r="E8" s="71"/>
      <c r="F8" s="46">
        <v>283076</v>
      </c>
      <c r="G8" s="71"/>
      <c r="H8" s="38"/>
    </row>
    <row r="9" spans="1:8" x14ac:dyDescent="0.25">
      <c r="A9" s="38" t="s">
        <v>6</v>
      </c>
      <c r="B9" s="38"/>
      <c r="C9" s="71"/>
      <c r="D9" s="46">
        <v>0</v>
      </c>
      <c r="E9" s="72"/>
      <c r="F9" s="38"/>
      <c r="G9" s="71" t="s">
        <v>2</v>
      </c>
      <c r="H9" s="38"/>
    </row>
    <row r="10" spans="1:8" x14ac:dyDescent="0.25">
      <c r="A10" s="38" t="s">
        <v>7</v>
      </c>
      <c r="B10" s="38" t="s">
        <v>8</v>
      </c>
      <c r="C10" s="71"/>
      <c r="D10" s="48">
        <v>0</v>
      </c>
      <c r="E10" s="72"/>
      <c r="F10" s="29">
        <f>D9-D10</f>
        <v>0</v>
      </c>
      <c r="G10" s="71"/>
      <c r="H10" s="38"/>
    </row>
    <row r="11" spans="1:8" x14ac:dyDescent="0.25">
      <c r="A11" s="38" t="s">
        <v>9</v>
      </c>
      <c r="B11" s="38"/>
      <c r="C11" s="71" t="s">
        <v>2</v>
      </c>
      <c r="D11" s="38"/>
      <c r="E11" s="72"/>
      <c r="F11" s="49">
        <v>1000</v>
      </c>
      <c r="G11" s="71" t="s">
        <v>2</v>
      </c>
      <c r="H11" s="38"/>
    </row>
    <row r="12" spans="1:8" x14ac:dyDescent="0.25">
      <c r="A12" s="38" t="s">
        <v>10</v>
      </c>
      <c r="B12" s="38"/>
      <c r="C12" s="71" t="s">
        <v>2</v>
      </c>
      <c r="D12" s="38"/>
      <c r="E12" s="72"/>
      <c r="F12" s="49">
        <v>600</v>
      </c>
      <c r="G12" s="71" t="s">
        <v>2</v>
      </c>
      <c r="H12" s="38"/>
    </row>
    <row r="13" spans="1:8" x14ac:dyDescent="0.25">
      <c r="A13" s="38" t="s">
        <v>11</v>
      </c>
      <c r="B13" s="38"/>
      <c r="C13" s="71" t="s">
        <v>12</v>
      </c>
      <c r="D13" s="38"/>
      <c r="E13" s="72"/>
      <c r="F13" s="48">
        <v>0</v>
      </c>
      <c r="G13" s="71" t="s">
        <v>2</v>
      </c>
      <c r="H13" s="38"/>
    </row>
    <row r="14" spans="1:8" ht="13" x14ac:dyDescent="0.3">
      <c r="A14" s="73"/>
      <c r="B14" s="69" t="s">
        <v>13</v>
      </c>
      <c r="C14" s="54"/>
      <c r="D14" s="54"/>
      <c r="E14" s="54" t="s">
        <v>2</v>
      </c>
      <c r="F14" s="54"/>
      <c r="G14" s="54"/>
      <c r="H14" s="59">
        <f>F8+F10+SUM(F11:F13)</f>
        <v>284676</v>
      </c>
    </row>
    <row r="15" spans="1:8" x14ac:dyDescent="0.25">
      <c r="A15" s="38" t="s">
        <v>2</v>
      </c>
      <c r="B15" s="38"/>
      <c r="C15" s="38"/>
      <c r="D15" s="38"/>
      <c r="E15" s="38"/>
      <c r="F15" s="38"/>
      <c r="G15" s="38"/>
      <c r="H15" s="38"/>
    </row>
    <row r="16" spans="1:8" ht="13" x14ac:dyDescent="0.3">
      <c r="A16" s="69" t="s">
        <v>14</v>
      </c>
      <c r="B16" s="69"/>
      <c r="C16" s="54"/>
      <c r="D16" s="54"/>
      <c r="E16" s="54" t="s">
        <v>2</v>
      </c>
      <c r="F16" s="54"/>
      <c r="G16" s="54"/>
      <c r="H16" s="54"/>
    </row>
    <row r="17" spans="1:8" x14ac:dyDescent="0.25">
      <c r="A17" s="38" t="s">
        <v>15</v>
      </c>
      <c r="B17" s="38"/>
      <c r="C17" s="38"/>
      <c r="D17" s="49">
        <v>0</v>
      </c>
      <c r="E17" s="38" t="s">
        <v>2</v>
      </c>
      <c r="F17" s="38"/>
      <c r="G17" s="38"/>
      <c r="H17" s="38"/>
    </row>
    <row r="18" spans="1:8" x14ac:dyDescent="0.25">
      <c r="A18" s="38" t="s">
        <v>7</v>
      </c>
      <c r="B18" s="38" t="s">
        <v>16</v>
      </c>
      <c r="C18" s="38" t="s">
        <v>2</v>
      </c>
      <c r="D18" s="48">
        <v>0</v>
      </c>
      <c r="E18" s="38"/>
      <c r="F18" s="29">
        <f>D17-D18</f>
        <v>0</v>
      </c>
      <c r="G18" s="38"/>
      <c r="H18" s="38"/>
    </row>
    <row r="19" spans="1:8" x14ac:dyDescent="0.25">
      <c r="A19" s="38"/>
      <c r="B19" s="38"/>
      <c r="C19" s="38"/>
      <c r="D19" s="38"/>
      <c r="E19" s="38"/>
      <c r="F19" s="38"/>
      <c r="G19" s="38"/>
      <c r="H19" s="38"/>
    </row>
    <row r="20" spans="1:8" x14ac:dyDescent="0.25">
      <c r="A20" s="38" t="s">
        <v>17</v>
      </c>
      <c r="B20" s="38"/>
      <c r="C20" s="38"/>
      <c r="D20" s="49">
        <v>6000</v>
      </c>
      <c r="E20" s="38"/>
      <c r="F20" s="38"/>
      <c r="G20" s="38"/>
      <c r="H20" s="38"/>
    </row>
    <row r="21" spans="1:8" x14ac:dyDescent="0.25">
      <c r="A21" s="38" t="s">
        <v>7</v>
      </c>
      <c r="B21" s="38" t="s">
        <v>16</v>
      </c>
      <c r="C21" s="71"/>
      <c r="D21" s="48">
        <v>2000</v>
      </c>
      <c r="E21" s="71"/>
      <c r="F21" s="29">
        <f>D20-D21</f>
        <v>4000</v>
      </c>
      <c r="G21" s="71"/>
      <c r="H21" s="38"/>
    </row>
    <row r="22" spans="1:8" x14ac:dyDescent="0.25">
      <c r="A22" s="38"/>
      <c r="B22" s="38"/>
      <c r="C22" s="71"/>
      <c r="D22" s="38"/>
      <c r="E22" s="71"/>
      <c r="F22" s="38"/>
      <c r="G22" s="71"/>
      <c r="H22" s="38"/>
    </row>
    <row r="23" spans="1:8" x14ac:dyDescent="0.25">
      <c r="A23" s="38" t="s">
        <v>18</v>
      </c>
      <c r="B23" s="38"/>
      <c r="C23" s="71" t="s">
        <v>2</v>
      </c>
      <c r="D23" s="49">
        <v>3000</v>
      </c>
      <c r="E23" s="72"/>
      <c r="F23" s="38"/>
      <c r="G23" s="71" t="s">
        <v>2</v>
      </c>
      <c r="H23" s="38"/>
    </row>
    <row r="24" spans="1:8" x14ac:dyDescent="0.25">
      <c r="A24" s="38" t="s">
        <v>7</v>
      </c>
      <c r="B24" s="38" t="s">
        <v>16</v>
      </c>
      <c r="C24" s="71" t="s">
        <v>2</v>
      </c>
      <c r="D24" s="48">
        <v>600</v>
      </c>
      <c r="E24" s="72"/>
      <c r="F24" s="29">
        <f>D23-D24</f>
        <v>2400</v>
      </c>
      <c r="G24" s="71" t="s">
        <v>2</v>
      </c>
      <c r="H24" s="38"/>
    </row>
    <row r="25" spans="1:8" x14ac:dyDescent="0.25">
      <c r="A25" s="38"/>
      <c r="B25" s="38"/>
      <c r="C25" s="71"/>
      <c r="D25" s="38"/>
      <c r="E25" s="72"/>
      <c r="F25" s="38"/>
      <c r="G25" s="71"/>
      <c r="H25" s="38"/>
    </row>
    <row r="26" spans="1:8" x14ac:dyDescent="0.25">
      <c r="A26" s="38" t="s">
        <v>19</v>
      </c>
      <c r="B26" s="38"/>
      <c r="C26" s="71" t="s">
        <v>2</v>
      </c>
      <c r="D26" s="49">
        <v>0</v>
      </c>
      <c r="E26" s="72"/>
      <c r="F26" s="38"/>
      <c r="G26" s="71" t="s">
        <v>2</v>
      </c>
      <c r="H26" s="38"/>
    </row>
    <row r="27" spans="1:8" x14ac:dyDescent="0.25">
      <c r="A27" s="38" t="s">
        <v>7</v>
      </c>
      <c r="B27" s="38" t="s">
        <v>16</v>
      </c>
      <c r="C27" s="71" t="s">
        <v>2</v>
      </c>
      <c r="D27" s="48">
        <v>0</v>
      </c>
      <c r="E27" s="72"/>
      <c r="F27" s="29">
        <f>D26-D27</f>
        <v>0</v>
      </c>
      <c r="G27" s="71" t="s">
        <v>2</v>
      </c>
      <c r="H27" s="38"/>
    </row>
    <row r="28" spans="1:8" x14ac:dyDescent="0.25">
      <c r="A28" s="38"/>
      <c r="B28" s="38"/>
      <c r="C28" s="71"/>
      <c r="D28" s="38"/>
      <c r="E28" s="72"/>
      <c r="F28" s="38"/>
      <c r="G28" s="71"/>
      <c r="H28" s="38"/>
    </row>
    <row r="29" spans="1:8" x14ac:dyDescent="0.25">
      <c r="A29" s="38" t="s">
        <v>20</v>
      </c>
      <c r="B29" s="38"/>
      <c r="C29" s="71"/>
      <c r="D29" s="38"/>
      <c r="E29" s="72"/>
      <c r="F29" s="48">
        <v>0</v>
      </c>
      <c r="G29" s="71" t="s">
        <v>12</v>
      </c>
      <c r="H29" s="38"/>
    </row>
    <row r="30" spans="1:8" ht="13" x14ac:dyDescent="0.3">
      <c r="A30" s="73"/>
      <c r="B30" s="69" t="s">
        <v>21</v>
      </c>
      <c r="C30" s="74"/>
      <c r="D30" s="54"/>
      <c r="E30" s="75"/>
      <c r="F30" s="54"/>
      <c r="G30" s="74"/>
      <c r="H30" s="29">
        <f>F18+F21+F24+F27+F29</f>
        <v>6400</v>
      </c>
    </row>
    <row r="31" spans="1:8" x14ac:dyDescent="0.25">
      <c r="A31" s="38"/>
      <c r="B31" s="38"/>
      <c r="C31" s="71" t="s">
        <v>2</v>
      </c>
      <c r="D31" s="38"/>
      <c r="E31" s="72"/>
      <c r="F31" s="38"/>
      <c r="G31" s="71" t="s">
        <v>2</v>
      </c>
      <c r="H31" s="38"/>
    </row>
    <row r="32" spans="1:8" ht="13" x14ac:dyDescent="0.3">
      <c r="A32" s="76" t="s">
        <v>22</v>
      </c>
      <c r="B32" s="76"/>
      <c r="C32" s="77" t="s">
        <v>2</v>
      </c>
      <c r="D32" s="78"/>
      <c r="E32" s="79"/>
      <c r="F32" s="78"/>
      <c r="G32" s="77" t="s">
        <v>2</v>
      </c>
      <c r="H32" s="78"/>
    </row>
    <row r="33" spans="1:8" x14ac:dyDescent="0.25">
      <c r="A33" s="38" t="s">
        <v>23</v>
      </c>
      <c r="B33" s="38"/>
      <c r="C33" s="71" t="s">
        <v>2</v>
      </c>
      <c r="D33" s="38"/>
      <c r="E33" s="72"/>
      <c r="F33" s="48">
        <v>0</v>
      </c>
      <c r="G33" s="71" t="s">
        <v>2</v>
      </c>
      <c r="H33" s="38"/>
    </row>
    <row r="34" spans="1:8" ht="13" x14ac:dyDescent="0.3">
      <c r="A34" s="73"/>
      <c r="B34" s="69" t="s">
        <v>24</v>
      </c>
      <c r="C34" s="74"/>
      <c r="D34" s="54"/>
      <c r="E34" s="75"/>
      <c r="F34" s="54"/>
      <c r="G34" s="74" t="s">
        <v>2</v>
      </c>
      <c r="H34" s="53">
        <f>SUM(F33)</f>
        <v>0</v>
      </c>
    </row>
    <row r="35" spans="1:8" x14ac:dyDescent="0.25">
      <c r="A35" s="38"/>
      <c r="B35" s="38"/>
      <c r="C35" s="71" t="s">
        <v>2</v>
      </c>
      <c r="D35" s="38"/>
      <c r="E35" s="72"/>
      <c r="F35" s="38"/>
      <c r="G35" s="71" t="s">
        <v>2</v>
      </c>
      <c r="H35" s="38"/>
    </row>
    <row r="36" spans="1:8" ht="14.5" thickBot="1" x14ac:dyDescent="0.35">
      <c r="A36" s="80" t="s">
        <v>25</v>
      </c>
      <c r="B36" s="81"/>
      <c r="C36" s="74" t="s">
        <v>2</v>
      </c>
      <c r="D36" s="54"/>
      <c r="E36" s="75"/>
      <c r="F36" s="54"/>
      <c r="G36" s="74" t="s">
        <v>12</v>
      </c>
      <c r="H36" s="28">
        <f>H14+H30+H34</f>
        <v>291076</v>
      </c>
    </row>
    <row r="37" spans="1:8" ht="14.5" thickTop="1" x14ac:dyDescent="0.3">
      <c r="A37" s="82"/>
      <c r="B37" s="83"/>
      <c r="C37" s="71"/>
      <c r="D37" s="38"/>
      <c r="E37" s="72"/>
      <c r="F37" s="38"/>
      <c r="G37" s="71"/>
      <c r="H37" s="46"/>
    </row>
    <row r="38" spans="1:8" ht="13" x14ac:dyDescent="0.3">
      <c r="A38" s="83"/>
      <c r="B38" s="83"/>
      <c r="C38" s="71"/>
      <c r="D38" s="38"/>
      <c r="E38" s="72"/>
      <c r="F38" s="38"/>
      <c r="G38" s="71"/>
      <c r="H38" s="38"/>
    </row>
    <row r="39" spans="1:8" ht="14" x14ac:dyDescent="0.3">
      <c r="A39" s="84" t="s">
        <v>26</v>
      </c>
      <c r="B39" s="85"/>
      <c r="C39" s="86"/>
      <c r="D39" s="67"/>
      <c r="E39" s="67"/>
      <c r="F39" s="67"/>
      <c r="G39" s="67"/>
      <c r="H39" s="67"/>
    </row>
    <row r="40" spans="1:8" ht="13" x14ac:dyDescent="0.3">
      <c r="A40" s="83"/>
      <c r="B40" s="83"/>
      <c r="C40" s="87"/>
      <c r="D40" s="83"/>
      <c r="E40" s="83"/>
      <c r="F40" s="72"/>
      <c r="G40" s="38"/>
      <c r="H40" s="38"/>
    </row>
    <row r="41" spans="1:8" ht="13" x14ac:dyDescent="0.3">
      <c r="A41" s="69" t="s">
        <v>27</v>
      </c>
      <c r="B41" s="69"/>
      <c r="C41" s="88"/>
      <c r="D41" s="54"/>
      <c r="E41" s="54"/>
      <c r="F41" s="54"/>
      <c r="G41" s="81"/>
      <c r="H41" s="54"/>
    </row>
    <row r="42" spans="1:8" x14ac:dyDescent="0.25">
      <c r="A42" s="38" t="s">
        <v>28</v>
      </c>
      <c r="B42" s="38"/>
      <c r="C42" s="71"/>
      <c r="D42" s="38"/>
      <c r="E42" s="38"/>
      <c r="F42" s="46">
        <v>4504</v>
      </c>
      <c r="G42" s="38"/>
      <c r="H42" s="38"/>
    </row>
    <row r="43" spans="1:8" x14ac:dyDescent="0.25">
      <c r="A43" s="38" t="s">
        <v>29</v>
      </c>
      <c r="B43" s="38"/>
      <c r="C43" s="72"/>
      <c r="D43" s="38"/>
      <c r="E43" s="38"/>
      <c r="F43" s="49">
        <v>0</v>
      </c>
      <c r="G43" s="71"/>
      <c r="H43" s="38"/>
    </row>
    <row r="44" spans="1:8" x14ac:dyDescent="0.25">
      <c r="A44" s="38" t="s">
        <v>30</v>
      </c>
      <c r="B44" s="38"/>
      <c r="C44" s="72"/>
      <c r="D44" s="38"/>
      <c r="E44" s="38" t="s">
        <v>2</v>
      </c>
      <c r="F44" s="49">
        <v>2880</v>
      </c>
      <c r="G44" s="71" t="s">
        <v>2</v>
      </c>
      <c r="H44" s="38"/>
    </row>
    <row r="45" spans="1:8" x14ac:dyDescent="0.25">
      <c r="A45" s="38" t="s">
        <v>31</v>
      </c>
      <c r="B45" s="38"/>
      <c r="C45" s="72"/>
      <c r="D45" s="38"/>
      <c r="E45" s="38"/>
      <c r="F45" s="49">
        <v>4078</v>
      </c>
      <c r="G45" s="71" t="s">
        <v>2</v>
      </c>
      <c r="H45" s="38"/>
    </row>
    <row r="46" spans="1:8" x14ac:dyDescent="0.25">
      <c r="A46" s="38" t="s">
        <v>32</v>
      </c>
      <c r="B46" s="38"/>
      <c r="C46" s="72"/>
      <c r="D46" s="38"/>
      <c r="E46" s="38"/>
      <c r="F46" s="49">
        <v>7000</v>
      </c>
      <c r="G46" s="71"/>
      <c r="H46" s="38"/>
    </row>
    <row r="47" spans="1:8" x14ac:dyDescent="0.25">
      <c r="A47" s="38" t="s">
        <v>33</v>
      </c>
      <c r="B47" s="38"/>
      <c r="C47" s="72"/>
      <c r="D47" s="38"/>
      <c r="E47" s="38" t="s">
        <v>2</v>
      </c>
      <c r="F47" s="49">
        <v>0</v>
      </c>
      <c r="G47" s="71" t="s">
        <v>2</v>
      </c>
      <c r="H47" s="38"/>
    </row>
    <row r="48" spans="1:8" x14ac:dyDescent="0.25">
      <c r="A48" s="38" t="s">
        <v>34</v>
      </c>
      <c r="B48" s="38"/>
      <c r="C48" s="72"/>
      <c r="D48" s="38"/>
      <c r="E48" s="38" t="s">
        <v>2</v>
      </c>
      <c r="F48" s="48">
        <v>0</v>
      </c>
      <c r="G48" s="71" t="s">
        <v>2</v>
      </c>
      <c r="H48" s="38"/>
    </row>
    <row r="49" spans="1:8" ht="13" x14ac:dyDescent="0.3">
      <c r="A49" s="73"/>
      <c r="B49" s="69" t="s">
        <v>35</v>
      </c>
      <c r="C49" s="54"/>
      <c r="D49" s="54"/>
      <c r="E49" s="54"/>
      <c r="F49" s="54"/>
      <c r="G49" s="74" t="s">
        <v>2</v>
      </c>
      <c r="H49" s="59">
        <f>SUM(F42:F48)</f>
        <v>18462</v>
      </c>
    </row>
    <row r="50" spans="1:8" x14ac:dyDescent="0.25">
      <c r="A50" s="38"/>
      <c r="B50" s="38"/>
      <c r="C50" s="38" t="s">
        <v>2</v>
      </c>
      <c r="D50" s="38"/>
      <c r="E50" s="38"/>
      <c r="F50" s="38"/>
      <c r="G50" s="38"/>
      <c r="H50" s="38"/>
    </row>
    <row r="51" spans="1:8" ht="13" x14ac:dyDescent="0.3">
      <c r="A51" s="69" t="s">
        <v>36</v>
      </c>
      <c r="B51" s="69"/>
      <c r="C51" s="54"/>
      <c r="D51" s="54"/>
      <c r="E51" s="54" t="s">
        <v>2</v>
      </c>
      <c r="F51" s="54"/>
      <c r="G51" s="54"/>
      <c r="H51" s="54"/>
    </row>
    <row r="52" spans="1:8" ht="13" x14ac:dyDescent="0.3">
      <c r="A52" s="47" t="s">
        <v>37</v>
      </c>
      <c r="B52" s="89"/>
      <c r="C52" s="38"/>
      <c r="D52" s="38"/>
      <c r="E52" s="38"/>
      <c r="F52" s="49" t="s">
        <v>2</v>
      </c>
      <c r="G52" s="38"/>
      <c r="H52" s="38"/>
    </row>
    <row r="53" spans="1:8" x14ac:dyDescent="0.25">
      <c r="A53" s="38" t="s">
        <v>38</v>
      </c>
      <c r="B53" s="38"/>
      <c r="C53" s="38"/>
      <c r="D53" s="38"/>
      <c r="E53" s="38"/>
      <c r="F53" s="48">
        <v>0</v>
      </c>
      <c r="G53" s="38"/>
      <c r="H53" s="38"/>
    </row>
    <row r="54" spans="1:8" ht="13" x14ac:dyDescent="0.3">
      <c r="A54" s="73"/>
      <c r="B54" s="69" t="s">
        <v>39</v>
      </c>
      <c r="C54" s="54"/>
      <c r="D54" s="54"/>
      <c r="E54" s="54"/>
      <c r="F54" s="54"/>
      <c r="G54" s="54"/>
      <c r="H54" s="53">
        <f>SUM(F52:F53)</f>
        <v>0</v>
      </c>
    </row>
    <row r="55" spans="1:8" x14ac:dyDescent="0.25">
      <c r="A55" s="38"/>
      <c r="B55" s="38"/>
      <c r="C55" s="71"/>
      <c r="D55" s="38"/>
      <c r="E55" s="38"/>
      <c r="F55" s="38"/>
      <c r="G55" s="38"/>
      <c r="H55" s="38"/>
    </row>
    <row r="56" spans="1:8" ht="14" x14ac:dyDescent="0.3">
      <c r="A56" s="80" t="s">
        <v>40</v>
      </c>
      <c r="B56" s="81"/>
      <c r="C56" s="75"/>
      <c r="D56" s="54"/>
      <c r="E56" s="54"/>
      <c r="F56" s="54"/>
      <c r="G56" s="74"/>
      <c r="H56" s="29">
        <f>H49+H54</f>
        <v>18462</v>
      </c>
    </row>
    <row r="57" spans="1:8" x14ac:dyDescent="0.25">
      <c r="A57" s="38"/>
      <c r="B57" s="38"/>
      <c r="C57" s="72"/>
      <c r="D57" s="38"/>
      <c r="E57" s="38"/>
      <c r="F57" s="38"/>
      <c r="G57" s="71" t="s">
        <v>2</v>
      </c>
      <c r="H57" s="38"/>
    </row>
    <row r="58" spans="1:8" x14ac:dyDescent="0.25">
      <c r="A58" s="38"/>
      <c r="B58" s="38"/>
      <c r="C58" s="72"/>
      <c r="D58" s="38"/>
      <c r="E58" s="38"/>
      <c r="F58" s="38"/>
      <c r="G58" s="71" t="s">
        <v>2</v>
      </c>
      <c r="H58" s="38"/>
    </row>
    <row r="59" spans="1:8" ht="13" x14ac:dyDescent="0.3">
      <c r="A59" s="89" t="s">
        <v>41</v>
      </c>
      <c r="B59" s="89"/>
      <c r="C59" s="72"/>
      <c r="D59" s="38"/>
      <c r="E59" s="38"/>
      <c r="F59" s="38"/>
      <c r="G59" s="71" t="s">
        <v>2</v>
      </c>
      <c r="H59" s="38"/>
    </row>
    <row r="60" spans="1:8" x14ac:dyDescent="0.25">
      <c r="A60" s="47"/>
      <c r="B60" s="47"/>
      <c r="C60" s="72"/>
      <c r="D60" s="38"/>
      <c r="E60" s="38"/>
      <c r="F60" s="38"/>
      <c r="G60" s="71"/>
      <c r="H60" s="38"/>
    </row>
    <row r="61" spans="1:8" x14ac:dyDescent="0.25">
      <c r="A61" s="47" t="s">
        <v>42</v>
      </c>
      <c r="B61" s="47"/>
      <c r="C61" s="72"/>
      <c r="D61" s="38"/>
      <c r="E61" s="38"/>
      <c r="F61" s="49">
        <v>10000</v>
      </c>
      <c r="G61" s="71"/>
      <c r="H61" s="38"/>
    </row>
    <row r="62" spans="1:8" x14ac:dyDescent="0.25">
      <c r="A62" s="47" t="s">
        <v>43</v>
      </c>
      <c r="B62" s="47"/>
      <c r="C62" s="72"/>
      <c r="D62" s="38"/>
      <c r="E62" s="38"/>
      <c r="F62" s="49">
        <v>282614</v>
      </c>
      <c r="G62" s="71"/>
      <c r="H62" s="38"/>
    </row>
    <row r="63" spans="1:8" x14ac:dyDescent="0.25">
      <c r="A63" s="47" t="s">
        <v>44</v>
      </c>
      <c r="B63" s="38"/>
      <c r="C63" s="72"/>
      <c r="D63" s="38"/>
      <c r="E63" s="38"/>
      <c r="F63" s="49">
        <v>20000</v>
      </c>
      <c r="G63" s="71" t="s">
        <v>2</v>
      </c>
      <c r="H63" s="38"/>
    </row>
    <row r="64" spans="1:8" ht="14" x14ac:dyDescent="0.3">
      <c r="A64" s="82" t="s">
        <v>45</v>
      </c>
      <c r="B64" s="83"/>
      <c r="C64" s="72"/>
      <c r="D64" s="38"/>
      <c r="E64" s="38"/>
      <c r="F64" s="38"/>
      <c r="G64" s="71"/>
      <c r="H64" s="53">
        <f>+F61+F62-F63</f>
        <v>272614</v>
      </c>
    </row>
    <row r="65" spans="1:8" x14ac:dyDescent="0.25">
      <c r="A65" s="38"/>
      <c r="B65" s="38"/>
      <c r="C65" s="72"/>
      <c r="D65" s="38"/>
      <c r="E65" s="38"/>
      <c r="F65" s="38"/>
      <c r="G65" s="71" t="s">
        <v>2</v>
      </c>
      <c r="H65" s="38"/>
    </row>
    <row r="66" spans="1:8" ht="14.5" thickBot="1" x14ac:dyDescent="0.35">
      <c r="A66" s="82" t="s">
        <v>46</v>
      </c>
      <c r="B66" s="83"/>
      <c r="C66" s="72"/>
      <c r="D66" s="38"/>
      <c r="E66" s="38"/>
      <c r="F66" s="38"/>
      <c r="G66" s="71" t="s">
        <v>2</v>
      </c>
      <c r="H66" s="28">
        <f>H56+H64</f>
        <v>291076</v>
      </c>
    </row>
    <row r="67" spans="1:8" ht="13.5" thickTop="1" x14ac:dyDescent="0.3">
      <c r="A67" s="83"/>
      <c r="B67" s="83"/>
      <c r="C67" s="72"/>
      <c r="D67" s="38"/>
      <c r="E67" s="38"/>
      <c r="F67" s="38"/>
      <c r="G67" s="71" t="s">
        <v>12</v>
      </c>
      <c r="H67" s="38"/>
    </row>
    <row r="68" spans="1:8" ht="13.5" thickBot="1" x14ac:dyDescent="0.35">
      <c r="A68" s="90">
        <f>H66-H36</f>
        <v>0</v>
      </c>
      <c r="B68" s="91"/>
      <c r="C68" s="91"/>
      <c r="D68" s="91"/>
      <c r="E68" s="91"/>
      <c r="F68" s="91"/>
      <c r="G68" s="91"/>
      <c r="H68" s="91"/>
    </row>
  </sheetData>
  <pageMargins left="1.75" right="0.75" top="1" bottom="1" header="0.5" footer="0.5"/>
  <pageSetup scale="69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0"/>
  <sheetViews>
    <sheetView workbookViewId="0">
      <selection activeCell="A3" sqref="A3"/>
    </sheetView>
  </sheetViews>
  <sheetFormatPr defaultRowHeight="12.5" x14ac:dyDescent="0.25"/>
  <cols>
    <col min="1" max="1" width="3.7265625" style="64" customWidth="1"/>
    <col min="2" max="2" width="14.1796875" style="64" customWidth="1"/>
    <col min="3" max="4" width="8.7265625" style="64"/>
    <col min="5" max="5" width="9.7265625" style="64" customWidth="1"/>
    <col min="6" max="6" width="1.7265625" style="64" customWidth="1"/>
    <col min="7" max="7" width="9.7265625" style="64" customWidth="1"/>
    <col min="8" max="8" width="1.7265625" style="64" customWidth="1"/>
    <col min="9" max="9" width="9.7265625" style="64" customWidth="1"/>
    <col min="10" max="10" width="1.7265625" style="64" customWidth="1"/>
    <col min="11" max="11" width="9.7265625" style="64" customWidth="1"/>
    <col min="12" max="12" width="1.7265625" style="64" customWidth="1"/>
    <col min="13" max="13" width="9.7265625" style="64" customWidth="1"/>
    <col min="14" max="14" width="1.7265625" style="64" customWidth="1"/>
    <col min="15" max="15" width="9.7265625" style="64" customWidth="1"/>
    <col min="16" max="16" width="1.7265625" style="64" customWidth="1"/>
    <col min="17" max="17" width="9.7265625" style="64" customWidth="1"/>
    <col min="18" max="18" width="1.7265625" style="64" customWidth="1"/>
    <col min="19" max="19" width="9.7265625" style="64" customWidth="1"/>
    <col min="20" max="20" width="1.7265625" style="64" customWidth="1"/>
    <col min="21" max="21" width="9.7265625" style="64" customWidth="1"/>
    <col min="22" max="22" width="1.7265625" style="64" customWidth="1"/>
    <col min="23" max="23" width="9.7265625" style="64" customWidth="1"/>
    <col min="24" max="24" width="1.7265625" style="64" customWidth="1"/>
    <col min="25" max="25" width="9.7265625" style="64" customWidth="1"/>
    <col min="26" max="26" width="1.7265625" style="64" customWidth="1"/>
    <col min="27" max="27" width="9.7265625" style="64" customWidth="1"/>
  </cols>
  <sheetData>
    <row r="1" spans="1:27" ht="20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20" x14ac:dyDescent="0.4">
      <c r="A2" s="34" t="s">
        <v>48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s="110" customFormat="1" ht="10.5" thickBot="1" x14ac:dyDescent="0.25">
      <c r="A3" s="107"/>
      <c r="B3" s="107"/>
      <c r="C3" s="108"/>
      <c r="D3" s="108"/>
      <c r="E3" s="107"/>
      <c r="F3" s="107"/>
      <c r="G3" s="107"/>
      <c r="H3" s="109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7" ht="13" x14ac:dyDescent="0.3">
      <c r="A4" s="38"/>
      <c r="B4" s="38"/>
      <c r="C4" s="38" t="s">
        <v>2</v>
      </c>
      <c r="D4" s="39" t="s">
        <v>2</v>
      </c>
      <c r="E4" s="40" t="s">
        <v>49</v>
      </c>
      <c r="F4" s="38"/>
      <c r="G4" s="40" t="s">
        <v>50</v>
      </c>
      <c r="H4" s="38"/>
      <c r="I4" s="40" t="s">
        <v>51</v>
      </c>
      <c r="J4" s="39" t="s">
        <v>2</v>
      </c>
      <c r="K4" s="41" t="s">
        <v>52</v>
      </c>
      <c r="L4" s="38" t="s">
        <v>2</v>
      </c>
      <c r="M4" s="40" t="s">
        <v>53</v>
      </c>
      <c r="N4" s="38"/>
      <c r="O4" s="40" t="s">
        <v>54</v>
      </c>
      <c r="P4" s="38"/>
      <c r="Q4" s="41" t="s">
        <v>55</v>
      </c>
      <c r="R4" s="39"/>
      <c r="S4" s="40" t="s">
        <v>56</v>
      </c>
      <c r="T4" s="38"/>
      <c r="U4" s="40" t="s">
        <v>57</v>
      </c>
      <c r="V4" s="38"/>
      <c r="W4" s="40" t="s">
        <v>58</v>
      </c>
      <c r="X4" s="39" t="s">
        <v>2</v>
      </c>
      <c r="Y4" s="41" t="s">
        <v>59</v>
      </c>
      <c r="Z4" s="38" t="s">
        <v>2</v>
      </c>
      <c r="AA4" s="40" t="s">
        <v>60</v>
      </c>
    </row>
    <row r="5" spans="1:27" ht="14" x14ac:dyDescent="0.3">
      <c r="A5" s="42" t="s">
        <v>61</v>
      </c>
      <c r="B5" s="43"/>
      <c r="C5" s="44"/>
      <c r="D5" s="45"/>
      <c r="E5" s="44"/>
      <c r="F5" s="44"/>
      <c r="G5" s="42"/>
      <c r="H5" s="43"/>
      <c r="I5" s="44"/>
      <c r="J5" s="45"/>
      <c r="K5" s="45"/>
      <c r="L5" s="44"/>
      <c r="M5" s="44"/>
      <c r="N5" s="42"/>
      <c r="O5" s="43"/>
      <c r="P5" s="44"/>
      <c r="Q5" s="45"/>
      <c r="R5" s="45"/>
      <c r="S5" s="44"/>
      <c r="T5" s="44"/>
      <c r="U5" s="42"/>
      <c r="V5" s="43"/>
      <c r="W5" s="44"/>
      <c r="X5" s="45"/>
      <c r="Y5" s="45"/>
      <c r="Z5" s="44"/>
      <c r="AA5" s="38" t="s">
        <v>2</v>
      </c>
    </row>
    <row r="6" spans="1:27" x14ac:dyDescent="0.25">
      <c r="A6" s="38"/>
      <c r="B6" s="38" t="s">
        <v>62</v>
      </c>
      <c r="C6" s="38"/>
      <c r="D6" s="39"/>
      <c r="E6" s="46">
        <v>21000</v>
      </c>
      <c r="F6" s="46"/>
      <c r="G6" s="46">
        <v>30960</v>
      </c>
      <c r="H6" s="38"/>
      <c r="I6" s="46">
        <v>34200</v>
      </c>
      <c r="J6" s="39"/>
      <c r="K6" s="46">
        <v>34200</v>
      </c>
      <c r="L6" s="39"/>
      <c r="M6" s="46">
        <v>32760</v>
      </c>
      <c r="N6" s="38"/>
      <c r="O6" s="46">
        <v>28080</v>
      </c>
      <c r="P6" s="38"/>
      <c r="Q6" s="46">
        <v>21240</v>
      </c>
      <c r="R6" s="39"/>
      <c r="S6" s="46">
        <v>19440</v>
      </c>
      <c r="T6" s="46"/>
      <c r="U6" s="46">
        <v>25560</v>
      </c>
      <c r="V6" s="38"/>
      <c r="W6" s="46">
        <v>30600</v>
      </c>
      <c r="X6" s="39"/>
      <c r="Y6" s="46">
        <v>38880</v>
      </c>
      <c r="Z6" s="46"/>
      <c r="AA6" s="46">
        <v>34920</v>
      </c>
    </row>
    <row r="7" spans="1:27" x14ac:dyDescent="0.25">
      <c r="A7" s="38"/>
      <c r="B7" s="38" t="s">
        <v>63</v>
      </c>
      <c r="C7" s="47"/>
      <c r="D7" s="39"/>
      <c r="E7" s="48">
        <v>0</v>
      </c>
      <c r="F7" s="49"/>
      <c r="G7" s="48">
        <v>0</v>
      </c>
      <c r="H7" s="38"/>
      <c r="I7" s="48">
        <v>0</v>
      </c>
      <c r="J7" s="39"/>
      <c r="K7" s="48">
        <v>0</v>
      </c>
      <c r="L7" s="39"/>
      <c r="M7" s="48">
        <v>0</v>
      </c>
      <c r="N7" s="38"/>
      <c r="O7" s="48">
        <v>0</v>
      </c>
      <c r="P7" s="47"/>
      <c r="Q7" s="48">
        <v>0</v>
      </c>
      <c r="R7" s="39"/>
      <c r="S7" s="48">
        <v>0</v>
      </c>
      <c r="T7" s="49"/>
      <c r="U7" s="48">
        <v>0</v>
      </c>
      <c r="V7" s="38"/>
      <c r="W7" s="48">
        <v>0</v>
      </c>
      <c r="X7" s="39"/>
      <c r="Y7" s="48">
        <v>0</v>
      </c>
      <c r="Z7" s="49"/>
      <c r="AA7" s="48">
        <v>0</v>
      </c>
    </row>
    <row r="8" spans="1:27" ht="13" x14ac:dyDescent="0.3">
      <c r="A8" s="38"/>
      <c r="B8" s="50" t="s">
        <v>64</v>
      </c>
      <c r="C8" s="38"/>
      <c r="D8" s="38"/>
      <c r="E8" s="29">
        <v>21000</v>
      </c>
      <c r="F8" s="29"/>
      <c r="G8" s="29">
        <v>30960</v>
      </c>
      <c r="H8" s="50"/>
      <c r="I8" s="29">
        <v>34200</v>
      </c>
      <c r="J8" s="38"/>
      <c r="K8" s="29">
        <v>34200</v>
      </c>
      <c r="L8" s="38"/>
      <c r="M8" s="29">
        <v>32760</v>
      </c>
      <c r="N8" s="38"/>
      <c r="O8" s="29">
        <v>28080</v>
      </c>
      <c r="P8" s="38"/>
      <c r="Q8" s="29">
        <v>21240</v>
      </c>
      <c r="R8" s="38"/>
      <c r="S8" s="29">
        <v>19440</v>
      </c>
      <c r="T8" s="29"/>
      <c r="U8" s="29">
        <v>25560</v>
      </c>
      <c r="V8" s="50"/>
      <c r="W8" s="29">
        <v>30600</v>
      </c>
      <c r="X8" s="38"/>
      <c r="Y8" s="29">
        <v>38880</v>
      </c>
      <c r="Z8" s="29"/>
      <c r="AA8" s="29">
        <v>34920</v>
      </c>
    </row>
    <row r="9" spans="1:27" ht="14" x14ac:dyDescent="0.3">
      <c r="A9" s="51" t="s">
        <v>65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51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x14ac:dyDescent="0.25">
      <c r="A10" s="38"/>
      <c r="B10" s="38" t="s">
        <v>66</v>
      </c>
      <c r="C10" s="38"/>
      <c r="D10" s="38"/>
      <c r="E10" s="46">
        <v>0</v>
      </c>
      <c r="F10" s="46"/>
      <c r="G10" s="46">
        <v>1000</v>
      </c>
      <c r="H10" s="38"/>
      <c r="I10" s="46">
        <v>1000</v>
      </c>
      <c r="J10" s="38"/>
      <c r="K10" s="46">
        <v>1000</v>
      </c>
      <c r="L10" s="38"/>
      <c r="M10" s="46">
        <v>1000</v>
      </c>
      <c r="N10" s="38"/>
      <c r="O10" s="46">
        <v>1000</v>
      </c>
      <c r="P10" s="38"/>
      <c r="Q10" s="46">
        <v>1000</v>
      </c>
      <c r="R10" s="38"/>
      <c r="S10" s="46">
        <v>1000</v>
      </c>
      <c r="T10" s="46"/>
      <c r="U10" s="46">
        <v>1000</v>
      </c>
      <c r="V10" s="38"/>
      <c r="W10" s="46">
        <v>1000</v>
      </c>
      <c r="X10" s="38"/>
      <c r="Y10" s="46">
        <v>1000</v>
      </c>
      <c r="Z10" s="46"/>
      <c r="AA10" s="46">
        <v>1000</v>
      </c>
    </row>
    <row r="11" spans="1:27" x14ac:dyDescent="0.25">
      <c r="A11" s="38"/>
      <c r="B11" s="38" t="s">
        <v>67</v>
      </c>
      <c r="C11" s="38" t="s">
        <v>68</v>
      </c>
      <c r="D11" s="38"/>
      <c r="E11" s="49">
        <v>2520</v>
      </c>
      <c r="F11" s="49"/>
      <c r="G11" s="49">
        <v>2160</v>
      </c>
      <c r="H11" s="38"/>
      <c r="I11" s="49">
        <v>2380</v>
      </c>
      <c r="J11" s="38"/>
      <c r="K11" s="49">
        <v>2380</v>
      </c>
      <c r="L11" s="38"/>
      <c r="M11" s="49">
        <v>2280</v>
      </c>
      <c r="N11" s="38"/>
      <c r="O11" s="49">
        <v>1960</v>
      </c>
      <c r="P11" s="38"/>
      <c r="Q11" s="49">
        <v>1480</v>
      </c>
      <c r="R11" s="38"/>
      <c r="S11" s="49">
        <v>1360</v>
      </c>
      <c r="T11" s="49"/>
      <c r="U11" s="49">
        <v>1780</v>
      </c>
      <c r="V11" s="38"/>
      <c r="W11" s="49">
        <v>2080</v>
      </c>
      <c r="X11" s="38"/>
      <c r="Y11" s="49">
        <v>2700</v>
      </c>
      <c r="Z11" s="49"/>
      <c r="AA11" s="49">
        <v>2420</v>
      </c>
    </row>
    <row r="12" spans="1:27" x14ac:dyDescent="0.25">
      <c r="A12" s="38"/>
      <c r="B12" s="38" t="s">
        <v>2</v>
      </c>
      <c r="C12" s="38" t="s">
        <v>69</v>
      </c>
      <c r="D12" s="38"/>
      <c r="E12" s="49">
        <v>50</v>
      </c>
      <c r="F12" s="49"/>
      <c r="G12" s="49">
        <v>50</v>
      </c>
      <c r="H12" s="38" t="s">
        <v>2</v>
      </c>
      <c r="I12" s="49">
        <v>50</v>
      </c>
      <c r="J12" s="38"/>
      <c r="K12" s="49">
        <v>50</v>
      </c>
      <c r="L12" s="38"/>
      <c r="M12" s="49">
        <v>50</v>
      </c>
      <c r="N12" s="38"/>
      <c r="O12" s="49">
        <v>50</v>
      </c>
      <c r="P12" s="38"/>
      <c r="Q12" s="49">
        <v>50</v>
      </c>
      <c r="R12" s="38"/>
      <c r="S12" s="49">
        <v>50</v>
      </c>
      <c r="T12" s="49"/>
      <c r="U12" s="49">
        <v>50</v>
      </c>
      <c r="V12" s="38"/>
      <c r="W12" s="49">
        <v>50</v>
      </c>
      <c r="X12" s="38"/>
      <c r="Y12" s="49">
        <v>50</v>
      </c>
      <c r="Z12" s="49"/>
      <c r="AA12" s="49">
        <v>50</v>
      </c>
    </row>
    <row r="13" spans="1:27" x14ac:dyDescent="0.25">
      <c r="A13" s="38"/>
      <c r="B13" s="38"/>
      <c r="C13" s="38" t="s">
        <v>70</v>
      </c>
      <c r="D13" s="38"/>
      <c r="E13" s="49">
        <v>0</v>
      </c>
      <c r="F13" s="49"/>
      <c r="G13" s="49">
        <v>0</v>
      </c>
      <c r="H13" s="38"/>
      <c r="I13" s="49">
        <v>0</v>
      </c>
      <c r="J13" s="38"/>
      <c r="K13" s="49">
        <v>0</v>
      </c>
      <c r="L13" s="38"/>
      <c r="M13" s="49">
        <v>0</v>
      </c>
      <c r="N13" s="38"/>
      <c r="O13" s="49">
        <v>0</v>
      </c>
      <c r="P13" s="38"/>
      <c r="Q13" s="49">
        <v>0</v>
      </c>
      <c r="R13" s="38"/>
      <c r="S13" s="49">
        <v>0</v>
      </c>
      <c r="T13" s="49"/>
      <c r="U13" s="49">
        <v>0</v>
      </c>
      <c r="V13" s="38"/>
      <c r="W13" s="49">
        <v>0</v>
      </c>
      <c r="X13" s="38"/>
      <c r="Y13" s="49">
        <v>0</v>
      </c>
      <c r="Z13" s="49"/>
      <c r="AA13" s="49">
        <v>0</v>
      </c>
    </row>
    <row r="14" spans="1:27" x14ac:dyDescent="0.25">
      <c r="A14" s="38"/>
      <c r="B14" s="38"/>
      <c r="C14" s="38" t="s">
        <v>71</v>
      </c>
      <c r="D14" s="38"/>
      <c r="E14" s="48">
        <v>0</v>
      </c>
      <c r="F14" s="49"/>
      <c r="G14" s="48">
        <v>0</v>
      </c>
      <c r="H14" s="38"/>
      <c r="I14" s="48">
        <v>0</v>
      </c>
      <c r="J14" s="38"/>
      <c r="K14" s="48">
        <v>0</v>
      </c>
      <c r="L14" s="38"/>
      <c r="M14" s="48">
        <v>0</v>
      </c>
      <c r="N14" s="38"/>
      <c r="O14" s="48">
        <v>0</v>
      </c>
      <c r="P14" s="38"/>
      <c r="Q14" s="48">
        <v>0</v>
      </c>
      <c r="R14" s="38"/>
      <c r="S14" s="48">
        <v>0</v>
      </c>
      <c r="T14" s="49"/>
      <c r="U14" s="48">
        <v>0</v>
      </c>
      <c r="V14" s="38"/>
      <c r="W14" s="48">
        <v>20</v>
      </c>
      <c r="X14" s="38"/>
      <c r="Y14" s="48">
        <v>20</v>
      </c>
      <c r="Z14" s="49"/>
      <c r="AA14" s="48">
        <v>20</v>
      </c>
    </row>
    <row r="15" spans="1:27" x14ac:dyDescent="0.25">
      <c r="A15" s="38"/>
      <c r="B15" s="38"/>
      <c r="C15" s="38"/>
      <c r="D15" s="38"/>
      <c r="E15" s="29">
        <v>2570</v>
      </c>
      <c r="F15" s="29"/>
      <c r="G15" s="29">
        <v>3210</v>
      </c>
      <c r="H15" s="38"/>
      <c r="I15" s="29">
        <v>3430</v>
      </c>
      <c r="J15" s="38"/>
      <c r="K15" s="29">
        <v>3430</v>
      </c>
      <c r="L15" s="38"/>
      <c r="M15" s="29">
        <v>3330</v>
      </c>
      <c r="N15" s="38"/>
      <c r="O15" s="29">
        <v>3010</v>
      </c>
      <c r="P15" s="38"/>
      <c r="Q15" s="29">
        <v>2530</v>
      </c>
      <c r="R15" s="38"/>
      <c r="S15" s="29">
        <v>2410</v>
      </c>
      <c r="T15" s="29"/>
      <c r="U15" s="29">
        <v>2830</v>
      </c>
      <c r="V15" s="38"/>
      <c r="W15" s="29">
        <v>3150</v>
      </c>
      <c r="X15" s="38"/>
      <c r="Y15" s="29">
        <v>3770</v>
      </c>
      <c r="Z15" s="29"/>
      <c r="AA15" s="29">
        <v>3490</v>
      </c>
    </row>
    <row r="16" spans="1:27" x14ac:dyDescent="0.25">
      <c r="A16" s="38"/>
      <c r="B16" s="38" t="s">
        <v>7</v>
      </c>
      <c r="C16" s="52" t="s">
        <v>72</v>
      </c>
      <c r="D16" s="38"/>
      <c r="E16" s="48">
        <v>0</v>
      </c>
      <c r="F16" s="49"/>
      <c r="G16" s="48">
        <v>0</v>
      </c>
      <c r="H16" s="38"/>
      <c r="I16" s="48">
        <v>0</v>
      </c>
      <c r="J16" s="38"/>
      <c r="K16" s="48">
        <v>0</v>
      </c>
      <c r="L16" s="38"/>
      <c r="M16" s="48">
        <v>0</v>
      </c>
      <c r="N16" s="38"/>
      <c r="O16" s="48">
        <v>0</v>
      </c>
      <c r="P16" s="52"/>
      <c r="Q16" s="48">
        <v>0</v>
      </c>
      <c r="R16" s="38"/>
      <c r="S16" s="48">
        <v>0</v>
      </c>
      <c r="T16" s="49"/>
      <c r="U16" s="48">
        <v>0</v>
      </c>
      <c r="V16" s="38"/>
      <c r="W16" s="48">
        <v>0</v>
      </c>
      <c r="X16" s="38"/>
      <c r="Y16" s="48">
        <v>0</v>
      </c>
      <c r="Z16" s="49"/>
      <c r="AA16" s="48">
        <v>0</v>
      </c>
    </row>
    <row r="17" spans="1:27" ht="13" x14ac:dyDescent="0.3">
      <c r="A17" s="38"/>
      <c r="B17" s="50" t="s">
        <v>73</v>
      </c>
      <c r="C17" s="38"/>
      <c r="D17" s="38"/>
      <c r="E17" s="53">
        <v>2570</v>
      </c>
      <c r="F17" s="29"/>
      <c r="G17" s="53">
        <v>3210</v>
      </c>
      <c r="H17" s="50"/>
      <c r="I17" s="53">
        <v>3430</v>
      </c>
      <c r="J17" s="38"/>
      <c r="K17" s="53">
        <v>3430</v>
      </c>
      <c r="L17" s="38"/>
      <c r="M17" s="53">
        <v>3330</v>
      </c>
      <c r="N17" s="38"/>
      <c r="O17" s="53">
        <v>3010</v>
      </c>
      <c r="P17" s="38"/>
      <c r="Q17" s="53">
        <v>2530</v>
      </c>
      <c r="R17" s="38"/>
      <c r="S17" s="53">
        <v>2410</v>
      </c>
      <c r="T17" s="29"/>
      <c r="U17" s="53">
        <v>2830</v>
      </c>
      <c r="V17" s="50"/>
      <c r="W17" s="53">
        <v>3150</v>
      </c>
      <c r="X17" s="38"/>
      <c r="Y17" s="53">
        <v>3770</v>
      </c>
      <c r="Z17" s="29"/>
      <c r="AA17" s="53">
        <v>3490</v>
      </c>
    </row>
    <row r="18" spans="1:27" ht="13" x14ac:dyDescent="0.3">
      <c r="A18" s="38"/>
      <c r="B18" s="50" t="s">
        <v>74</v>
      </c>
      <c r="C18" s="38"/>
      <c r="D18" s="38"/>
      <c r="E18" s="29">
        <v>18430</v>
      </c>
      <c r="F18" s="29"/>
      <c r="G18" s="29">
        <v>27750</v>
      </c>
      <c r="H18" s="50"/>
      <c r="I18" s="29">
        <v>30770</v>
      </c>
      <c r="J18" s="38"/>
      <c r="K18" s="29">
        <v>30770</v>
      </c>
      <c r="L18" s="38"/>
      <c r="M18" s="29">
        <v>29430</v>
      </c>
      <c r="N18" s="38"/>
      <c r="O18" s="29">
        <v>25070</v>
      </c>
      <c r="P18" s="38"/>
      <c r="Q18" s="29">
        <v>18710</v>
      </c>
      <c r="R18" s="38"/>
      <c r="S18" s="29">
        <v>17030</v>
      </c>
      <c r="T18" s="29"/>
      <c r="U18" s="29">
        <v>22730</v>
      </c>
      <c r="V18" s="50"/>
      <c r="W18" s="29">
        <v>27450</v>
      </c>
      <c r="X18" s="38"/>
      <c r="Y18" s="29">
        <v>35110</v>
      </c>
      <c r="Z18" s="29"/>
      <c r="AA18" s="29">
        <v>31430</v>
      </c>
    </row>
    <row r="19" spans="1:27" ht="14" x14ac:dyDescent="0.3">
      <c r="A19" s="42" t="s">
        <v>75</v>
      </c>
      <c r="B19" s="38"/>
      <c r="C19" s="38"/>
      <c r="D19" s="38"/>
      <c r="E19" s="54"/>
      <c r="F19" s="54"/>
      <c r="G19" s="54"/>
      <c r="H19" s="38"/>
      <c r="I19" s="54"/>
      <c r="J19" s="38"/>
      <c r="K19" s="54"/>
      <c r="L19" s="38"/>
      <c r="M19" s="54"/>
      <c r="N19" s="42"/>
      <c r="O19" s="54"/>
      <c r="P19" s="38"/>
      <c r="Q19" s="54"/>
      <c r="R19" s="38"/>
      <c r="S19" s="54"/>
      <c r="T19" s="54"/>
      <c r="U19" s="54"/>
      <c r="V19" s="38"/>
      <c r="W19" s="54"/>
      <c r="X19" s="38"/>
      <c r="Y19" s="54"/>
      <c r="Z19" s="54"/>
      <c r="AA19" s="54"/>
    </row>
    <row r="20" spans="1:27" x14ac:dyDescent="0.25">
      <c r="A20" s="38"/>
      <c r="B20" s="38" t="s">
        <v>76</v>
      </c>
      <c r="C20" s="38"/>
      <c r="D20" s="38"/>
      <c r="E20" s="49">
        <v>300</v>
      </c>
      <c r="F20" s="49"/>
      <c r="G20" s="49">
        <v>300</v>
      </c>
      <c r="H20" s="38"/>
      <c r="I20" s="49">
        <v>300</v>
      </c>
      <c r="J20" s="38"/>
      <c r="K20" s="49">
        <v>300</v>
      </c>
      <c r="L20" s="38"/>
      <c r="M20" s="49">
        <v>300</v>
      </c>
      <c r="N20" s="38"/>
      <c r="O20" s="49">
        <v>300</v>
      </c>
      <c r="P20" s="38"/>
      <c r="Q20" s="49">
        <v>300</v>
      </c>
      <c r="R20" s="38"/>
      <c r="S20" s="49">
        <v>300</v>
      </c>
      <c r="T20" s="49"/>
      <c r="U20" s="49">
        <v>600</v>
      </c>
      <c r="V20" s="38"/>
      <c r="W20" s="49">
        <v>600</v>
      </c>
      <c r="X20" s="38"/>
      <c r="Y20" s="49">
        <v>600</v>
      </c>
      <c r="Z20" s="49"/>
      <c r="AA20" s="49">
        <v>300</v>
      </c>
    </row>
    <row r="21" spans="1:27" x14ac:dyDescent="0.25">
      <c r="A21" s="38"/>
      <c r="B21" s="38" t="s">
        <v>77</v>
      </c>
      <c r="C21" s="38"/>
      <c r="D21" s="38"/>
      <c r="E21" s="49">
        <v>0</v>
      </c>
      <c r="F21" s="49"/>
      <c r="G21" s="49">
        <v>0</v>
      </c>
      <c r="H21" s="38"/>
      <c r="I21" s="49">
        <v>0</v>
      </c>
      <c r="J21" s="38"/>
      <c r="K21" s="49">
        <v>0</v>
      </c>
      <c r="L21" s="38"/>
      <c r="M21" s="49">
        <v>0</v>
      </c>
      <c r="N21" s="38"/>
      <c r="O21" s="49">
        <v>0</v>
      </c>
      <c r="P21" s="38"/>
      <c r="Q21" s="49">
        <v>0</v>
      </c>
      <c r="R21" s="38"/>
      <c r="S21" s="49">
        <v>0</v>
      </c>
      <c r="T21" s="49"/>
      <c r="U21" s="49">
        <v>0</v>
      </c>
      <c r="V21" s="38"/>
      <c r="W21" s="49">
        <v>0</v>
      </c>
      <c r="X21" s="38"/>
      <c r="Y21" s="49">
        <v>0</v>
      </c>
      <c r="Z21" s="49"/>
      <c r="AA21" s="49">
        <v>0</v>
      </c>
    </row>
    <row r="22" spans="1:27" x14ac:dyDescent="0.25">
      <c r="A22" s="38"/>
      <c r="B22" s="38" t="s">
        <v>78</v>
      </c>
      <c r="C22" s="38"/>
      <c r="D22" s="38" t="s">
        <v>2</v>
      </c>
      <c r="E22" s="49">
        <v>810</v>
      </c>
      <c r="F22" s="49"/>
      <c r="G22" s="49">
        <v>929</v>
      </c>
      <c r="H22" s="38"/>
      <c r="I22" s="49">
        <v>1026</v>
      </c>
      <c r="J22" s="38"/>
      <c r="K22" s="49">
        <v>1026</v>
      </c>
      <c r="L22" s="38"/>
      <c r="M22" s="49">
        <v>983</v>
      </c>
      <c r="N22" s="38"/>
      <c r="O22" s="49">
        <v>842</v>
      </c>
      <c r="P22" s="38"/>
      <c r="Q22" s="49">
        <v>637</v>
      </c>
      <c r="R22" s="38"/>
      <c r="S22" s="49">
        <v>583</v>
      </c>
      <c r="T22" s="49"/>
      <c r="U22" s="49">
        <v>767</v>
      </c>
      <c r="V22" s="38"/>
      <c r="W22" s="49">
        <v>918</v>
      </c>
      <c r="X22" s="38"/>
      <c r="Y22" s="49">
        <v>1166</v>
      </c>
      <c r="Z22" s="49"/>
      <c r="AA22" s="49">
        <v>1048</v>
      </c>
    </row>
    <row r="23" spans="1:27" x14ac:dyDescent="0.25">
      <c r="A23" s="38"/>
      <c r="B23" s="38" t="s">
        <v>79</v>
      </c>
      <c r="C23" s="38"/>
      <c r="D23" s="38"/>
      <c r="E23" s="49">
        <v>40</v>
      </c>
      <c r="F23" s="49"/>
      <c r="G23" s="49">
        <v>40</v>
      </c>
      <c r="H23" s="38"/>
      <c r="I23" s="49">
        <v>0</v>
      </c>
      <c r="J23" s="38"/>
      <c r="K23" s="49">
        <v>0</v>
      </c>
      <c r="L23" s="38"/>
      <c r="M23" s="49">
        <v>0</v>
      </c>
      <c r="N23" s="38"/>
      <c r="O23" s="49">
        <v>0</v>
      </c>
      <c r="P23" s="38"/>
      <c r="Q23" s="49">
        <v>0</v>
      </c>
      <c r="R23" s="38"/>
      <c r="S23" s="49">
        <v>0</v>
      </c>
      <c r="T23" s="49"/>
      <c r="U23" s="49">
        <v>45</v>
      </c>
      <c r="V23" s="38"/>
      <c r="W23" s="49">
        <v>40</v>
      </c>
      <c r="X23" s="38"/>
      <c r="Y23" s="49">
        <v>40</v>
      </c>
      <c r="Z23" s="49"/>
      <c r="AA23" s="49">
        <v>40</v>
      </c>
    </row>
    <row r="24" spans="1:27" x14ac:dyDescent="0.25">
      <c r="A24" s="38"/>
      <c r="B24" s="38" t="s">
        <v>80</v>
      </c>
      <c r="C24" s="38"/>
      <c r="D24" s="38"/>
      <c r="E24" s="49">
        <v>0</v>
      </c>
      <c r="F24" s="49"/>
      <c r="G24" s="49">
        <v>0</v>
      </c>
      <c r="H24" s="38"/>
      <c r="I24" s="49">
        <v>0</v>
      </c>
      <c r="J24" s="38"/>
      <c r="K24" s="49">
        <v>0</v>
      </c>
      <c r="L24" s="38"/>
      <c r="M24" s="49">
        <v>0</v>
      </c>
      <c r="N24" s="38"/>
      <c r="O24" s="49">
        <v>0</v>
      </c>
      <c r="P24" s="38"/>
      <c r="Q24" s="49">
        <v>0</v>
      </c>
      <c r="R24" s="38"/>
      <c r="S24" s="49">
        <v>0</v>
      </c>
      <c r="T24" s="49"/>
      <c r="U24" s="49">
        <v>0</v>
      </c>
      <c r="V24" s="38"/>
      <c r="W24" s="49">
        <v>0</v>
      </c>
      <c r="X24" s="38"/>
      <c r="Y24" s="49">
        <v>0</v>
      </c>
      <c r="Z24" s="49"/>
      <c r="AA24" s="49">
        <v>0</v>
      </c>
    </row>
    <row r="25" spans="1:27" x14ac:dyDescent="0.25">
      <c r="A25" s="38"/>
      <c r="B25" s="38" t="s">
        <v>81</v>
      </c>
      <c r="C25" s="38"/>
      <c r="D25" s="38"/>
      <c r="E25" s="49">
        <v>0</v>
      </c>
      <c r="F25" s="49"/>
      <c r="G25" s="49">
        <v>0</v>
      </c>
      <c r="H25" s="38"/>
      <c r="I25" s="49">
        <v>0</v>
      </c>
      <c r="J25" s="38"/>
      <c r="K25" s="49">
        <v>0</v>
      </c>
      <c r="L25" s="38"/>
      <c r="M25" s="49">
        <v>0</v>
      </c>
      <c r="N25" s="38"/>
      <c r="O25" s="49">
        <v>0</v>
      </c>
      <c r="P25" s="38"/>
      <c r="Q25" s="49">
        <v>0</v>
      </c>
      <c r="R25" s="38"/>
      <c r="S25" s="49">
        <v>0</v>
      </c>
      <c r="T25" s="49"/>
      <c r="U25" s="49">
        <v>0</v>
      </c>
      <c r="V25" s="38"/>
      <c r="W25" s="49">
        <v>0</v>
      </c>
      <c r="X25" s="38"/>
      <c r="Y25" s="49">
        <v>0</v>
      </c>
      <c r="Z25" s="49"/>
      <c r="AA25" s="49">
        <v>0</v>
      </c>
    </row>
    <row r="26" spans="1:27" x14ac:dyDescent="0.25">
      <c r="A26" s="38"/>
      <c r="B26" s="38" t="s">
        <v>82</v>
      </c>
      <c r="C26" s="38"/>
      <c r="D26" s="38"/>
      <c r="E26" s="49">
        <v>3154</v>
      </c>
      <c r="F26" s="49"/>
      <c r="G26" s="49">
        <v>3154</v>
      </c>
      <c r="H26" s="38"/>
      <c r="I26" s="49">
        <v>3154</v>
      </c>
      <c r="J26" s="38"/>
      <c r="K26" s="49">
        <v>3154</v>
      </c>
      <c r="L26" s="38"/>
      <c r="M26" s="49">
        <v>3154</v>
      </c>
      <c r="N26" s="38"/>
      <c r="O26" s="49">
        <v>3154</v>
      </c>
      <c r="P26" s="38"/>
      <c r="Q26" s="49">
        <v>3154</v>
      </c>
      <c r="R26" s="49"/>
      <c r="S26" s="49">
        <v>3154</v>
      </c>
      <c r="T26" s="49"/>
      <c r="U26" s="49">
        <v>3154</v>
      </c>
      <c r="V26" s="38"/>
      <c r="W26" s="49">
        <v>3154</v>
      </c>
      <c r="X26" s="38"/>
      <c r="Y26" s="49">
        <v>3154</v>
      </c>
      <c r="Z26" s="49"/>
      <c r="AA26" s="49">
        <v>3154</v>
      </c>
    </row>
    <row r="27" spans="1:27" x14ac:dyDescent="0.25">
      <c r="A27" s="38"/>
      <c r="B27" s="38" t="s">
        <v>83</v>
      </c>
      <c r="C27" s="38"/>
      <c r="D27" s="38"/>
      <c r="E27" s="49">
        <v>1520</v>
      </c>
      <c r="F27" s="49"/>
      <c r="G27" s="49">
        <v>1520</v>
      </c>
      <c r="H27" s="38"/>
      <c r="I27" s="49">
        <v>1520</v>
      </c>
      <c r="J27" s="38"/>
      <c r="K27" s="49">
        <v>1520</v>
      </c>
      <c r="L27" s="38"/>
      <c r="M27" s="49">
        <v>0</v>
      </c>
      <c r="N27" s="38"/>
      <c r="O27" s="49">
        <v>0</v>
      </c>
      <c r="P27" s="38"/>
      <c r="Q27" s="49">
        <v>0</v>
      </c>
      <c r="R27" s="38"/>
      <c r="S27" s="49">
        <v>0</v>
      </c>
      <c r="T27" s="49"/>
      <c r="U27" s="49">
        <v>1520</v>
      </c>
      <c r="V27" s="38"/>
      <c r="W27" s="49">
        <v>1520</v>
      </c>
      <c r="X27" s="38"/>
      <c r="Y27" s="49">
        <v>1520</v>
      </c>
      <c r="Z27" s="49"/>
      <c r="AA27" s="49">
        <v>0</v>
      </c>
    </row>
    <row r="28" spans="1:27" x14ac:dyDescent="0.25">
      <c r="A28" s="38"/>
      <c r="B28" s="38" t="s">
        <v>84</v>
      </c>
      <c r="C28" s="38"/>
      <c r="D28" s="38"/>
      <c r="E28" s="49">
        <v>50</v>
      </c>
      <c r="F28" s="49"/>
      <c r="G28" s="49">
        <v>58</v>
      </c>
      <c r="H28" s="38"/>
      <c r="I28" s="49">
        <v>64</v>
      </c>
      <c r="J28" s="38"/>
      <c r="K28" s="49">
        <v>64</v>
      </c>
      <c r="L28" s="38"/>
      <c r="M28" s="49">
        <v>61</v>
      </c>
      <c r="N28" s="38"/>
      <c r="O28" s="49">
        <v>52</v>
      </c>
      <c r="P28" s="38"/>
      <c r="Q28" s="49">
        <v>39</v>
      </c>
      <c r="R28" s="38"/>
      <c r="S28" s="49">
        <v>35</v>
      </c>
      <c r="T28" s="49"/>
      <c r="U28" s="49">
        <v>46</v>
      </c>
      <c r="V28" s="38"/>
      <c r="W28" s="49">
        <v>55</v>
      </c>
      <c r="X28" s="38"/>
      <c r="Y28" s="49">
        <v>69</v>
      </c>
      <c r="Z28" s="49"/>
      <c r="AA28" s="49">
        <v>62</v>
      </c>
    </row>
    <row r="29" spans="1:27" x14ac:dyDescent="0.25">
      <c r="A29" s="38"/>
      <c r="B29" s="38" t="s">
        <v>85</v>
      </c>
      <c r="C29" s="38"/>
      <c r="D29" s="38"/>
      <c r="E29" s="49">
        <v>30</v>
      </c>
      <c r="F29" s="49"/>
      <c r="G29" s="49">
        <v>30</v>
      </c>
      <c r="H29" s="38"/>
      <c r="I29" s="49">
        <v>0</v>
      </c>
      <c r="J29" s="38"/>
      <c r="K29" s="49">
        <v>0</v>
      </c>
      <c r="L29" s="38"/>
      <c r="M29" s="49">
        <v>36</v>
      </c>
      <c r="N29" s="38"/>
      <c r="O29" s="49">
        <v>31</v>
      </c>
      <c r="P29" s="38"/>
      <c r="Q29" s="49">
        <v>24</v>
      </c>
      <c r="R29" s="38"/>
      <c r="S29" s="49">
        <v>22</v>
      </c>
      <c r="T29" s="49"/>
      <c r="U29" s="49">
        <v>29</v>
      </c>
      <c r="V29" s="38"/>
      <c r="W29" s="49">
        <v>35</v>
      </c>
      <c r="X29" s="38"/>
      <c r="Y29" s="49">
        <v>44</v>
      </c>
      <c r="Z29" s="49"/>
      <c r="AA29" s="49">
        <v>40</v>
      </c>
    </row>
    <row r="30" spans="1:27" x14ac:dyDescent="0.25">
      <c r="A30" s="38"/>
      <c r="B30" s="38" t="s">
        <v>86</v>
      </c>
      <c r="C30" s="38"/>
      <c r="D30" s="38"/>
      <c r="E30" s="49">
        <v>100</v>
      </c>
      <c r="F30" s="49"/>
      <c r="G30" s="49">
        <v>100</v>
      </c>
      <c r="H30" s="38"/>
      <c r="I30" s="49">
        <v>100</v>
      </c>
      <c r="J30" s="38"/>
      <c r="K30" s="49">
        <v>100</v>
      </c>
      <c r="L30" s="38"/>
      <c r="M30" s="49">
        <v>100</v>
      </c>
      <c r="N30" s="38"/>
      <c r="O30" s="49">
        <v>100</v>
      </c>
      <c r="P30" s="38"/>
      <c r="Q30" s="49">
        <v>100</v>
      </c>
      <c r="R30" s="38"/>
      <c r="S30" s="49">
        <v>100</v>
      </c>
      <c r="T30" s="49"/>
      <c r="U30" s="49">
        <v>100</v>
      </c>
      <c r="V30" s="38"/>
      <c r="W30" s="49">
        <v>100</v>
      </c>
      <c r="X30" s="38"/>
      <c r="Y30" s="49">
        <v>100</v>
      </c>
      <c r="Z30" s="49"/>
      <c r="AA30" s="49">
        <v>100</v>
      </c>
    </row>
    <row r="31" spans="1:27" x14ac:dyDescent="0.25">
      <c r="A31" s="38"/>
      <c r="B31" s="38" t="s">
        <v>87</v>
      </c>
      <c r="C31" s="38"/>
      <c r="D31" s="38"/>
      <c r="E31" s="49">
        <v>10</v>
      </c>
      <c r="F31" s="49"/>
      <c r="G31" s="49">
        <v>10</v>
      </c>
      <c r="H31" s="38"/>
      <c r="I31" s="49">
        <v>10</v>
      </c>
      <c r="J31" s="38"/>
      <c r="K31" s="49">
        <v>10</v>
      </c>
      <c r="L31" s="38"/>
      <c r="M31" s="49">
        <v>10</v>
      </c>
      <c r="N31" s="38"/>
      <c r="O31" s="49">
        <v>10</v>
      </c>
      <c r="P31" s="38"/>
      <c r="Q31" s="49">
        <v>10</v>
      </c>
      <c r="R31" s="38"/>
      <c r="S31" s="49">
        <v>10</v>
      </c>
      <c r="T31" s="49"/>
      <c r="U31" s="49">
        <v>10</v>
      </c>
      <c r="V31" s="38"/>
      <c r="W31" s="49">
        <v>10</v>
      </c>
      <c r="X31" s="38"/>
      <c r="Y31" s="49">
        <v>10</v>
      </c>
      <c r="Z31" s="49"/>
      <c r="AA31" s="49">
        <v>10</v>
      </c>
    </row>
    <row r="32" spans="1:27" x14ac:dyDescent="0.25">
      <c r="A32" s="38"/>
      <c r="B32" s="38" t="s">
        <v>88</v>
      </c>
      <c r="C32" s="38"/>
      <c r="D32" s="38"/>
      <c r="E32" s="49">
        <v>600</v>
      </c>
      <c r="F32" s="49"/>
      <c r="G32" s="49">
        <v>600</v>
      </c>
      <c r="H32" s="38"/>
      <c r="I32" s="49">
        <v>600</v>
      </c>
      <c r="J32" s="38"/>
      <c r="K32" s="49">
        <v>600</v>
      </c>
      <c r="L32" s="38"/>
      <c r="M32" s="49">
        <v>600</v>
      </c>
      <c r="N32" s="38"/>
      <c r="O32" s="49">
        <v>600</v>
      </c>
      <c r="P32" s="38"/>
      <c r="Q32" s="49">
        <v>600</v>
      </c>
      <c r="R32" s="38"/>
      <c r="S32" s="49">
        <v>600</v>
      </c>
      <c r="T32" s="49"/>
      <c r="U32" s="49">
        <v>600</v>
      </c>
      <c r="V32" s="38"/>
      <c r="W32" s="49">
        <v>600</v>
      </c>
      <c r="X32" s="38"/>
      <c r="Y32" s="49">
        <v>600</v>
      </c>
      <c r="Z32" s="49"/>
      <c r="AA32" s="49">
        <v>600</v>
      </c>
    </row>
    <row r="33" spans="1:27" x14ac:dyDescent="0.25">
      <c r="A33" s="38"/>
      <c r="B33" s="38" t="s">
        <v>89</v>
      </c>
      <c r="C33" s="38"/>
      <c r="D33" s="38"/>
      <c r="E33" s="49">
        <v>48</v>
      </c>
      <c r="F33" s="49"/>
      <c r="G33" s="49">
        <v>48</v>
      </c>
      <c r="H33" s="38"/>
      <c r="I33" s="49">
        <v>48</v>
      </c>
      <c r="J33" s="38"/>
      <c r="K33" s="49">
        <v>48</v>
      </c>
      <c r="L33" s="38"/>
      <c r="M33" s="49">
        <v>48</v>
      </c>
      <c r="N33" s="38"/>
      <c r="O33" s="49">
        <v>48</v>
      </c>
      <c r="P33" s="38"/>
      <c r="Q33" s="49">
        <v>48</v>
      </c>
      <c r="R33" s="38"/>
      <c r="S33" s="49">
        <v>48</v>
      </c>
      <c r="T33" s="49"/>
      <c r="U33" s="49">
        <v>48</v>
      </c>
      <c r="V33" s="38"/>
      <c r="W33" s="49">
        <v>48</v>
      </c>
      <c r="X33" s="38"/>
      <c r="Y33" s="49">
        <v>48</v>
      </c>
      <c r="Z33" s="49"/>
      <c r="AA33" s="49">
        <v>48</v>
      </c>
    </row>
    <row r="34" spans="1:27" x14ac:dyDescent="0.25">
      <c r="A34" s="38"/>
      <c r="B34" s="38" t="s">
        <v>90</v>
      </c>
      <c r="C34" s="38"/>
      <c r="D34" s="38"/>
      <c r="E34" s="49">
        <v>20</v>
      </c>
      <c r="F34" s="49"/>
      <c r="G34" s="49">
        <v>20</v>
      </c>
      <c r="H34" s="38"/>
      <c r="I34" s="49">
        <v>20</v>
      </c>
      <c r="J34" s="38"/>
      <c r="K34" s="49">
        <v>20</v>
      </c>
      <c r="L34" s="38"/>
      <c r="M34" s="49">
        <v>20</v>
      </c>
      <c r="N34" s="38"/>
      <c r="O34" s="49">
        <v>20</v>
      </c>
      <c r="P34" s="38"/>
      <c r="Q34" s="49">
        <v>20</v>
      </c>
      <c r="R34" s="38"/>
      <c r="S34" s="49">
        <v>20</v>
      </c>
      <c r="T34" s="49"/>
      <c r="U34" s="49">
        <v>20</v>
      </c>
      <c r="V34" s="38"/>
      <c r="W34" s="49">
        <v>20</v>
      </c>
      <c r="X34" s="38"/>
      <c r="Y34" s="49">
        <v>20</v>
      </c>
      <c r="Z34" s="49"/>
      <c r="AA34" s="49">
        <v>20</v>
      </c>
    </row>
    <row r="35" spans="1:27" x14ac:dyDescent="0.25">
      <c r="A35" s="38"/>
      <c r="B35" s="38" t="s">
        <v>91</v>
      </c>
      <c r="C35" s="38"/>
      <c r="D35" s="38"/>
      <c r="E35" s="49">
        <v>0</v>
      </c>
      <c r="F35" s="49"/>
      <c r="G35" s="49">
        <v>0</v>
      </c>
      <c r="H35" s="38"/>
      <c r="I35" s="49">
        <v>0</v>
      </c>
      <c r="J35" s="38"/>
      <c r="K35" s="49">
        <v>0</v>
      </c>
      <c r="L35" s="38"/>
      <c r="M35" s="49">
        <v>0</v>
      </c>
      <c r="N35" s="38"/>
      <c r="O35" s="49">
        <v>0</v>
      </c>
      <c r="P35" s="38"/>
      <c r="Q35" s="49">
        <v>0</v>
      </c>
      <c r="R35" s="38"/>
      <c r="S35" s="49">
        <v>0</v>
      </c>
      <c r="T35" s="49"/>
      <c r="U35" s="49">
        <v>0</v>
      </c>
      <c r="V35" s="38"/>
      <c r="W35" s="49">
        <v>0</v>
      </c>
      <c r="X35" s="38"/>
      <c r="Y35" s="49">
        <v>0</v>
      </c>
      <c r="Z35" s="49"/>
      <c r="AA35" s="49">
        <v>0</v>
      </c>
    </row>
    <row r="36" spans="1:27" x14ac:dyDescent="0.25">
      <c r="A36" s="38"/>
      <c r="B36" s="38" t="s">
        <v>92</v>
      </c>
      <c r="C36" s="38"/>
      <c r="D36" s="38"/>
      <c r="E36" s="49">
        <v>200</v>
      </c>
      <c r="F36" s="49"/>
      <c r="G36" s="49">
        <v>200</v>
      </c>
      <c r="H36" s="38"/>
      <c r="I36" s="49">
        <v>200</v>
      </c>
      <c r="J36" s="38"/>
      <c r="K36" s="49">
        <v>200</v>
      </c>
      <c r="L36" s="38"/>
      <c r="M36" s="49">
        <v>200</v>
      </c>
      <c r="N36" s="38"/>
      <c r="O36" s="49">
        <v>200</v>
      </c>
      <c r="P36" s="38"/>
      <c r="Q36" s="49">
        <v>200</v>
      </c>
      <c r="R36" s="38"/>
      <c r="S36" s="49">
        <v>200</v>
      </c>
      <c r="T36" s="49"/>
      <c r="U36" s="49">
        <v>200</v>
      </c>
      <c r="V36" s="38"/>
      <c r="W36" s="49">
        <v>200</v>
      </c>
      <c r="X36" s="38"/>
      <c r="Y36" s="49">
        <v>200</v>
      </c>
      <c r="Z36" s="49"/>
      <c r="AA36" s="49">
        <v>200</v>
      </c>
    </row>
    <row r="37" spans="1:27" x14ac:dyDescent="0.25">
      <c r="A37" s="38"/>
      <c r="B37" s="38" t="s">
        <v>93</v>
      </c>
      <c r="C37" s="38"/>
      <c r="D37" s="38"/>
      <c r="E37" s="49">
        <v>400</v>
      </c>
      <c r="F37" s="49"/>
      <c r="G37" s="49">
        <v>460</v>
      </c>
      <c r="H37" s="38"/>
      <c r="I37" s="49">
        <v>506</v>
      </c>
      <c r="J37" s="38"/>
      <c r="K37" s="49">
        <v>506</v>
      </c>
      <c r="L37" s="38"/>
      <c r="M37" s="49">
        <v>400</v>
      </c>
      <c r="N37" s="38"/>
      <c r="O37" s="49">
        <v>409</v>
      </c>
      <c r="P37" s="38"/>
      <c r="Q37" s="49">
        <v>307</v>
      </c>
      <c r="R37" s="38"/>
      <c r="S37" s="49">
        <v>276</v>
      </c>
      <c r="T37" s="49"/>
      <c r="U37" s="49">
        <v>359</v>
      </c>
      <c r="V37" s="38"/>
      <c r="W37" s="49">
        <v>431</v>
      </c>
      <c r="X37" s="38"/>
      <c r="Y37" s="49">
        <v>539</v>
      </c>
      <c r="Z37" s="49"/>
      <c r="AA37" s="49">
        <v>485</v>
      </c>
    </row>
    <row r="38" spans="1:27" x14ac:dyDescent="0.25">
      <c r="A38" s="38"/>
      <c r="B38" s="38" t="s">
        <v>94</v>
      </c>
      <c r="C38" s="38"/>
      <c r="D38" s="38"/>
      <c r="E38" s="49">
        <v>960</v>
      </c>
      <c r="F38" s="49"/>
      <c r="G38" s="49">
        <v>960</v>
      </c>
      <c r="H38" s="38"/>
      <c r="I38" s="49">
        <v>960</v>
      </c>
      <c r="J38" s="38"/>
      <c r="K38" s="49">
        <v>960</v>
      </c>
      <c r="L38" s="38"/>
      <c r="M38" s="49">
        <v>734</v>
      </c>
      <c r="N38" s="38"/>
      <c r="O38" s="49">
        <v>734</v>
      </c>
      <c r="P38" s="38"/>
      <c r="Q38" s="49">
        <v>734</v>
      </c>
      <c r="R38" s="38"/>
      <c r="S38" s="49">
        <v>734</v>
      </c>
      <c r="T38" s="49"/>
      <c r="U38" s="49">
        <v>960</v>
      </c>
      <c r="V38" s="38"/>
      <c r="W38" s="49">
        <v>960</v>
      </c>
      <c r="X38" s="38"/>
      <c r="Y38" s="49">
        <v>960</v>
      </c>
      <c r="Z38" s="49"/>
      <c r="AA38" s="49">
        <v>734</v>
      </c>
    </row>
    <row r="39" spans="1:27" x14ac:dyDescent="0.25">
      <c r="A39" s="38"/>
      <c r="B39" s="38" t="s">
        <v>95</v>
      </c>
      <c r="C39" s="38"/>
      <c r="D39" s="38"/>
      <c r="E39" s="49">
        <v>20</v>
      </c>
      <c r="F39" s="49"/>
      <c r="G39" s="49">
        <v>20</v>
      </c>
      <c r="H39" s="38"/>
      <c r="I39" s="49">
        <v>20</v>
      </c>
      <c r="J39" s="38"/>
      <c r="K39" s="49">
        <v>20</v>
      </c>
      <c r="L39" s="38"/>
      <c r="M39" s="49">
        <v>20</v>
      </c>
      <c r="N39" s="38"/>
      <c r="O39" s="49">
        <v>20</v>
      </c>
      <c r="P39" s="38"/>
      <c r="Q39" s="49">
        <v>20</v>
      </c>
      <c r="R39" s="38"/>
      <c r="S39" s="49">
        <v>20</v>
      </c>
      <c r="T39" s="49"/>
      <c r="U39" s="49">
        <v>20</v>
      </c>
      <c r="V39" s="38"/>
      <c r="W39" s="49">
        <v>20</v>
      </c>
      <c r="X39" s="38"/>
      <c r="Y39" s="49">
        <v>20</v>
      </c>
      <c r="Z39" s="49"/>
      <c r="AA39" s="49">
        <v>20</v>
      </c>
    </row>
    <row r="40" spans="1:27" x14ac:dyDescent="0.25">
      <c r="A40" s="38"/>
      <c r="B40" s="38" t="s">
        <v>96</v>
      </c>
      <c r="C40" s="38"/>
      <c r="D40" s="38"/>
      <c r="E40" s="49">
        <v>200</v>
      </c>
      <c r="F40" s="49"/>
      <c r="G40" s="49">
        <v>200</v>
      </c>
      <c r="H40" s="38"/>
      <c r="I40" s="49">
        <v>200</v>
      </c>
      <c r="J40" s="38"/>
      <c r="K40" s="49">
        <v>200</v>
      </c>
      <c r="L40" s="38"/>
      <c r="M40" s="49">
        <v>200</v>
      </c>
      <c r="N40" s="38"/>
      <c r="O40" s="49">
        <v>200</v>
      </c>
      <c r="P40" s="38"/>
      <c r="Q40" s="49">
        <v>200</v>
      </c>
      <c r="R40" s="38"/>
      <c r="S40" s="49">
        <v>200</v>
      </c>
      <c r="T40" s="49"/>
      <c r="U40" s="49">
        <v>200</v>
      </c>
      <c r="V40" s="38"/>
      <c r="W40" s="49">
        <v>200</v>
      </c>
      <c r="X40" s="38"/>
      <c r="Y40" s="49">
        <v>200</v>
      </c>
      <c r="Z40" s="49"/>
      <c r="AA40" s="49">
        <v>200</v>
      </c>
    </row>
    <row r="41" spans="1:27" x14ac:dyDescent="0.25">
      <c r="A41" s="38"/>
      <c r="B41" s="38" t="s">
        <v>97</v>
      </c>
      <c r="C41" s="38"/>
      <c r="D41" s="38"/>
      <c r="E41" s="49">
        <v>200</v>
      </c>
      <c r="F41" s="49"/>
      <c r="G41" s="49">
        <v>200</v>
      </c>
      <c r="H41" s="38"/>
      <c r="I41" s="49">
        <v>200</v>
      </c>
      <c r="J41" s="38"/>
      <c r="K41" s="49">
        <v>200</v>
      </c>
      <c r="L41" s="38"/>
      <c r="M41" s="49">
        <v>200</v>
      </c>
      <c r="N41" s="38"/>
      <c r="O41" s="49">
        <v>200</v>
      </c>
      <c r="P41" s="38"/>
      <c r="Q41" s="49">
        <v>200</v>
      </c>
      <c r="R41" s="38"/>
      <c r="S41" s="49">
        <v>200</v>
      </c>
      <c r="T41" s="49"/>
      <c r="U41" s="49">
        <v>200</v>
      </c>
      <c r="V41" s="38"/>
      <c r="W41" s="49">
        <v>200</v>
      </c>
      <c r="X41" s="38"/>
      <c r="Y41" s="49">
        <v>200</v>
      </c>
      <c r="Z41" s="49"/>
      <c r="AA41" s="49">
        <v>200</v>
      </c>
    </row>
    <row r="42" spans="1:27" x14ac:dyDescent="0.25">
      <c r="A42" s="38"/>
      <c r="B42" s="38" t="s">
        <v>98</v>
      </c>
      <c r="C42" s="38"/>
      <c r="D42" s="38"/>
      <c r="E42" s="49">
        <v>0</v>
      </c>
      <c r="F42" s="49"/>
      <c r="G42" s="49">
        <v>0</v>
      </c>
      <c r="H42" s="38"/>
      <c r="I42" s="49">
        <v>0</v>
      </c>
      <c r="J42" s="38"/>
      <c r="K42" s="49">
        <v>0</v>
      </c>
      <c r="L42" s="38"/>
      <c r="M42" s="49">
        <v>0</v>
      </c>
      <c r="N42" s="38"/>
      <c r="O42" s="49">
        <v>0</v>
      </c>
      <c r="P42" s="38"/>
      <c r="Q42" s="49">
        <v>0</v>
      </c>
      <c r="R42" s="38"/>
      <c r="S42" s="49">
        <v>0</v>
      </c>
      <c r="T42" s="49"/>
      <c r="U42" s="49">
        <v>0</v>
      </c>
      <c r="V42" s="38"/>
      <c r="W42" s="49">
        <v>0</v>
      </c>
      <c r="X42" s="38"/>
      <c r="Y42" s="49">
        <v>0</v>
      </c>
      <c r="Z42" s="49"/>
      <c r="AA42" s="49">
        <v>0</v>
      </c>
    </row>
    <row r="43" spans="1:27" x14ac:dyDescent="0.25">
      <c r="A43" s="38"/>
      <c r="B43" s="38" t="s">
        <v>99</v>
      </c>
      <c r="C43" s="38"/>
      <c r="D43" s="38"/>
      <c r="E43" s="49">
        <v>1500</v>
      </c>
      <c r="F43" s="49"/>
      <c r="G43" s="49">
        <v>1500</v>
      </c>
      <c r="H43" s="38"/>
      <c r="I43" s="49">
        <v>1500</v>
      </c>
      <c r="J43" s="38"/>
      <c r="K43" s="49">
        <v>1500</v>
      </c>
      <c r="L43" s="38"/>
      <c r="M43" s="49">
        <v>1500</v>
      </c>
      <c r="N43" s="38"/>
      <c r="O43" s="49">
        <v>1500</v>
      </c>
      <c r="P43" s="38"/>
      <c r="Q43" s="49">
        <v>1500</v>
      </c>
      <c r="R43" s="38"/>
      <c r="S43" s="49">
        <v>1500</v>
      </c>
      <c r="T43" s="49"/>
      <c r="U43" s="49">
        <v>1500</v>
      </c>
      <c r="V43" s="38"/>
      <c r="W43" s="49">
        <v>1500</v>
      </c>
      <c r="X43" s="38"/>
      <c r="Y43" s="49">
        <v>1500</v>
      </c>
      <c r="Z43" s="49"/>
      <c r="AA43" s="49">
        <v>1500</v>
      </c>
    </row>
    <row r="44" spans="1:27" x14ac:dyDescent="0.25">
      <c r="A44" s="38"/>
      <c r="B44" s="38" t="s">
        <v>100</v>
      </c>
      <c r="C44" s="38"/>
      <c r="D44" s="38"/>
      <c r="E44" s="49">
        <v>0</v>
      </c>
      <c r="F44" s="49"/>
      <c r="G44" s="49">
        <v>0</v>
      </c>
      <c r="H44" s="38"/>
      <c r="I44" s="49">
        <v>0</v>
      </c>
      <c r="J44" s="38"/>
      <c r="K44" s="49">
        <v>0</v>
      </c>
      <c r="L44" s="38"/>
      <c r="M44" s="49">
        <v>0</v>
      </c>
      <c r="N44" s="38"/>
      <c r="O44" s="49">
        <v>0</v>
      </c>
      <c r="P44" s="38"/>
      <c r="Q44" s="49">
        <v>0</v>
      </c>
      <c r="R44" s="38"/>
      <c r="S44" s="49">
        <v>0</v>
      </c>
      <c r="T44" s="49"/>
      <c r="U44" s="49">
        <v>0</v>
      </c>
      <c r="V44" s="38"/>
      <c r="W44" s="49">
        <v>0</v>
      </c>
      <c r="X44" s="38"/>
      <c r="Y44" s="49">
        <v>0</v>
      </c>
      <c r="Z44" s="49"/>
      <c r="AA44" s="49">
        <v>0</v>
      </c>
    </row>
    <row r="45" spans="1:27" x14ac:dyDescent="0.25">
      <c r="A45" s="38"/>
      <c r="B45" s="38" t="s">
        <v>101</v>
      </c>
      <c r="C45" s="38"/>
      <c r="D45" s="38"/>
      <c r="E45" s="49">
        <v>400</v>
      </c>
      <c r="F45" s="49"/>
      <c r="G45" s="49">
        <v>400</v>
      </c>
      <c r="H45" s="38"/>
      <c r="I45" s="49">
        <v>400</v>
      </c>
      <c r="J45" s="38"/>
      <c r="K45" s="49">
        <v>400</v>
      </c>
      <c r="L45" s="38"/>
      <c r="M45" s="49">
        <v>400</v>
      </c>
      <c r="N45" s="38"/>
      <c r="O45" s="49">
        <v>400</v>
      </c>
      <c r="P45" s="38"/>
      <c r="Q45" s="49">
        <v>400</v>
      </c>
      <c r="R45" s="38"/>
      <c r="S45" s="49">
        <v>400</v>
      </c>
      <c r="T45" s="49"/>
      <c r="U45" s="49">
        <v>400</v>
      </c>
      <c r="V45" s="38"/>
      <c r="W45" s="49">
        <v>400</v>
      </c>
      <c r="X45" s="38"/>
      <c r="Y45" s="49">
        <v>400</v>
      </c>
      <c r="Z45" s="49"/>
      <c r="AA45" s="49">
        <v>400</v>
      </c>
    </row>
    <row r="46" spans="1:27" x14ac:dyDescent="0.25">
      <c r="A46" s="38"/>
      <c r="B46" s="38" t="s">
        <v>102</v>
      </c>
      <c r="C46" s="38"/>
      <c r="D46" s="38"/>
      <c r="E46" s="49">
        <v>0</v>
      </c>
      <c r="F46" s="49"/>
      <c r="G46" s="49">
        <v>0</v>
      </c>
      <c r="H46" s="38"/>
      <c r="I46" s="49">
        <v>0</v>
      </c>
      <c r="J46" s="38"/>
      <c r="K46" s="49">
        <v>0</v>
      </c>
      <c r="L46" s="38"/>
      <c r="M46" s="49">
        <v>0</v>
      </c>
      <c r="N46" s="38"/>
      <c r="O46" s="49">
        <v>0</v>
      </c>
      <c r="P46" s="38"/>
      <c r="Q46" s="49">
        <v>0</v>
      </c>
      <c r="R46" s="38"/>
      <c r="S46" s="49">
        <v>0</v>
      </c>
      <c r="T46" s="49"/>
      <c r="U46" s="49">
        <v>0</v>
      </c>
      <c r="V46" s="38"/>
      <c r="W46" s="49">
        <v>0</v>
      </c>
      <c r="X46" s="38"/>
      <c r="Y46" s="49">
        <v>0</v>
      </c>
      <c r="Z46" s="49"/>
      <c r="AA46" s="49">
        <v>0</v>
      </c>
    </row>
    <row r="47" spans="1:27" x14ac:dyDescent="0.25">
      <c r="A47" s="38"/>
      <c r="B47" s="38" t="s">
        <v>103</v>
      </c>
      <c r="C47" s="38"/>
      <c r="D47" s="38"/>
      <c r="E47" s="49">
        <v>300</v>
      </c>
      <c r="F47" s="49"/>
      <c r="G47" s="49">
        <v>300</v>
      </c>
      <c r="H47" s="38"/>
      <c r="I47" s="49">
        <v>300</v>
      </c>
      <c r="J47" s="38"/>
      <c r="K47" s="49">
        <v>300</v>
      </c>
      <c r="L47" s="38"/>
      <c r="M47" s="49">
        <v>300</v>
      </c>
      <c r="N47" s="38"/>
      <c r="O47" s="49">
        <v>300</v>
      </c>
      <c r="P47" s="38"/>
      <c r="Q47" s="49">
        <v>300</v>
      </c>
      <c r="R47" s="38"/>
      <c r="S47" s="49">
        <v>300</v>
      </c>
      <c r="T47" s="49"/>
      <c r="U47" s="49">
        <v>300</v>
      </c>
      <c r="V47" s="38"/>
      <c r="W47" s="49">
        <v>300</v>
      </c>
      <c r="X47" s="38"/>
      <c r="Y47" s="49">
        <v>300</v>
      </c>
      <c r="Z47" s="49"/>
      <c r="AA47" s="49">
        <v>300</v>
      </c>
    </row>
    <row r="48" spans="1:27" x14ac:dyDescent="0.25">
      <c r="A48" s="38"/>
      <c r="B48" s="38" t="s">
        <v>104</v>
      </c>
      <c r="C48" s="38"/>
      <c r="D48" s="38"/>
      <c r="E48" s="49">
        <v>0</v>
      </c>
      <c r="F48" s="49"/>
      <c r="G48" s="49">
        <v>0</v>
      </c>
      <c r="H48" s="38"/>
      <c r="I48" s="49">
        <v>0</v>
      </c>
      <c r="J48" s="38"/>
      <c r="K48" s="49">
        <v>0</v>
      </c>
      <c r="L48" s="38"/>
      <c r="M48" s="49">
        <v>0</v>
      </c>
      <c r="N48" s="38"/>
      <c r="O48" s="49">
        <v>0</v>
      </c>
      <c r="P48" s="38"/>
      <c r="Q48" s="49">
        <v>0</v>
      </c>
      <c r="R48" s="38"/>
      <c r="S48" s="49">
        <v>0</v>
      </c>
      <c r="T48" s="49"/>
      <c r="U48" s="49">
        <v>0</v>
      </c>
      <c r="V48" s="38"/>
      <c r="W48" s="49">
        <v>0</v>
      </c>
      <c r="X48" s="38"/>
      <c r="Y48" s="49">
        <v>0</v>
      </c>
      <c r="Z48" s="49"/>
      <c r="AA48" s="49">
        <v>0</v>
      </c>
    </row>
    <row r="49" spans="1:27" x14ac:dyDescent="0.25">
      <c r="A49" s="38"/>
      <c r="B49" s="38" t="s">
        <v>105</v>
      </c>
      <c r="C49" s="38"/>
      <c r="D49" s="38"/>
      <c r="E49" s="48">
        <v>8155</v>
      </c>
      <c r="F49" s="49"/>
      <c r="G49" s="48">
        <v>8155</v>
      </c>
      <c r="H49" s="38"/>
      <c r="I49" s="48">
        <v>8155</v>
      </c>
      <c r="J49" s="38"/>
      <c r="K49" s="48">
        <v>8155</v>
      </c>
      <c r="L49" s="38"/>
      <c r="M49" s="48">
        <v>8155</v>
      </c>
      <c r="N49" s="38"/>
      <c r="O49" s="48">
        <v>8155</v>
      </c>
      <c r="P49" s="38"/>
      <c r="Q49" s="48">
        <v>8155</v>
      </c>
      <c r="R49" s="38"/>
      <c r="S49" s="48">
        <v>8155</v>
      </c>
      <c r="T49" s="49"/>
      <c r="U49" s="48">
        <v>8155</v>
      </c>
      <c r="V49" s="38"/>
      <c r="W49" s="48">
        <v>8155</v>
      </c>
      <c r="X49" s="38"/>
      <c r="Y49" s="48">
        <v>8155</v>
      </c>
      <c r="Z49" s="49"/>
      <c r="AA49" s="48">
        <v>8155</v>
      </c>
    </row>
    <row r="50" spans="1:27" ht="13" x14ac:dyDescent="0.3">
      <c r="A50" s="38"/>
      <c r="B50" s="50" t="s">
        <v>106</v>
      </c>
      <c r="C50" s="38"/>
      <c r="D50" s="38"/>
      <c r="E50" s="53">
        <v>19017</v>
      </c>
      <c r="F50" s="29"/>
      <c r="G50" s="53">
        <v>19204</v>
      </c>
      <c r="H50" s="50"/>
      <c r="I50" s="53">
        <v>19283</v>
      </c>
      <c r="J50" s="38"/>
      <c r="K50" s="53">
        <v>19283</v>
      </c>
      <c r="L50" s="38"/>
      <c r="M50" s="53">
        <v>17421</v>
      </c>
      <c r="N50" s="38"/>
      <c r="O50" s="53">
        <v>17275</v>
      </c>
      <c r="P50" s="38"/>
      <c r="Q50" s="53">
        <v>16948</v>
      </c>
      <c r="R50" s="38"/>
      <c r="S50" s="53">
        <v>16857</v>
      </c>
      <c r="T50" s="29"/>
      <c r="U50" s="53">
        <v>19233</v>
      </c>
      <c r="V50" s="50"/>
      <c r="W50" s="53">
        <v>19466</v>
      </c>
      <c r="X50" s="38"/>
      <c r="Y50" s="53">
        <v>19845</v>
      </c>
      <c r="Z50" s="29"/>
      <c r="AA50" s="53">
        <v>17616</v>
      </c>
    </row>
    <row r="51" spans="1:27" ht="14" x14ac:dyDescent="0.3">
      <c r="A51" s="51"/>
      <c r="B51" s="50" t="s">
        <v>107</v>
      </c>
      <c r="C51" s="38"/>
      <c r="D51" s="38"/>
      <c r="E51" s="29">
        <v>-587</v>
      </c>
      <c r="F51" s="29"/>
      <c r="G51" s="29">
        <v>8546</v>
      </c>
      <c r="H51" s="50"/>
      <c r="I51" s="29">
        <v>11487</v>
      </c>
      <c r="J51" s="38"/>
      <c r="K51" s="29">
        <v>11487</v>
      </c>
      <c r="L51" s="38"/>
      <c r="M51" s="29">
        <v>12009</v>
      </c>
      <c r="N51" s="51"/>
      <c r="O51" s="29">
        <v>7795</v>
      </c>
      <c r="P51" s="38"/>
      <c r="Q51" s="29">
        <v>1762</v>
      </c>
      <c r="R51" s="38"/>
      <c r="S51" s="29">
        <v>173</v>
      </c>
      <c r="T51" s="29"/>
      <c r="U51" s="29">
        <v>3497</v>
      </c>
      <c r="V51" s="50"/>
      <c r="W51" s="29">
        <v>7984</v>
      </c>
      <c r="X51" s="38"/>
      <c r="Y51" s="29">
        <v>15265</v>
      </c>
      <c r="Z51" s="29"/>
      <c r="AA51" s="29">
        <v>13814</v>
      </c>
    </row>
    <row r="52" spans="1:27" ht="14" x14ac:dyDescent="0.3">
      <c r="A52" s="51" t="s">
        <v>108</v>
      </c>
      <c r="B52" s="50"/>
      <c r="C52" s="38"/>
      <c r="D52" s="38"/>
      <c r="E52" s="54"/>
      <c r="F52" s="54"/>
      <c r="G52" s="54"/>
      <c r="H52" s="50"/>
      <c r="I52" s="54"/>
      <c r="J52" s="38"/>
      <c r="K52" s="54"/>
      <c r="L52" s="38"/>
      <c r="M52" s="54"/>
      <c r="N52" s="51"/>
      <c r="O52" s="54"/>
      <c r="P52" s="38"/>
      <c r="Q52" s="54"/>
      <c r="R52" s="38"/>
      <c r="S52" s="54"/>
      <c r="T52" s="54"/>
      <c r="U52" s="54"/>
      <c r="V52" s="50"/>
      <c r="W52" s="54"/>
      <c r="X52" s="38"/>
      <c r="Y52" s="54"/>
      <c r="Z52" s="54"/>
      <c r="AA52" s="54"/>
    </row>
    <row r="53" spans="1:27" ht="14" x14ac:dyDescent="0.3">
      <c r="A53" s="51"/>
      <c r="B53" s="47" t="s">
        <v>109</v>
      </c>
      <c r="C53" s="38"/>
      <c r="D53" s="38"/>
      <c r="E53" s="49">
        <v>0</v>
      </c>
      <c r="F53" s="49"/>
      <c r="G53" s="49">
        <v>0</v>
      </c>
      <c r="H53" s="47"/>
      <c r="I53" s="49">
        <v>0</v>
      </c>
      <c r="J53" s="38"/>
      <c r="K53" s="49">
        <v>0</v>
      </c>
      <c r="L53" s="38"/>
      <c r="M53" s="49">
        <v>0</v>
      </c>
      <c r="N53" s="51"/>
      <c r="O53" s="49">
        <v>0</v>
      </c>
      <c r="P53" s="38"/>
      <c r="Q53" s="49">
        <v>0</v>
      </c>
      <c r="R53" s="38"/>
      <c r="S53" s="49">
        <v>0</v>
      </c>
      <c r="T53" s="49"/>
      <c r="U53" s="49">
        <v>0</v>
      </c>
      <c r="V53" s="47"/>
      <c r="W53" s="49">
        <v>0</v>
      </c>
      <c r="X53" s="38"/>
      <c r="Y53" s="49">
        <v>0</v>
      </c>
      <c r="Z53" s="49"/>
      <c r="AA53" s="49">
        <v>0</v>
      </c>
    </row>
    <row r="54" spans="1:27" ht="14" x14ac:dyDescent="0.3">
      <c r="A54" s="51"/>
      <c r="B54" s="47" t="s">
        <v>110</v>
      </c>
      <c r="C54" s="38"/>
      <c r="D54" s="38"/>
      <c r="E54" s="55">
        <v>0</v>
      </c>
      <c r="F54" s="56"/>
      <c r="G54" s="55">
        <v>0</v>
      </c>
      <c r="H54" s="47"/>
      <c r="I54" s="55">
        <v>0</v>
      </c>
      <c r="J54" s="38"/>
      <c r="K54" s="55">
        <v>0</v>
      </c>
      <c r="L54" s="38"/>
      <c r="M54" s="55">
        <v>0</v>
      </c>
      <c r="N54" s="51"/>
      <c r="O54" s="55">
        <v>0</v>
      </c>
      <c r="P54" s="38"/>
      <c r="Q54" s="55">
        <v>0</v>
      </c>
      <c r="R54" s="38"/>
      <c r="S54" s="55">
        <v>0</v>
      </c>
      <c r="T54" s="56"/>
      <c r="U54" s="55">
        <v>0</v>
      </c>
      <c r="V54" s="47"/>
      <c r="W54" s="55">
        <v>0</v>
      </c>
      <c r="X54" s="38"/>
      <c r="Y54" s="55">
        <v>0</v>
      </c>
      <c r="Z54" s="56"/>
      <c r="AA54" s="55">
        <v>0</v>
      </c>
    </row>
    <row r="55" spans="1:27" ht="14" x14ac:dyDescent="0.3">
      <c r="A55" s="51"/>
      <c r="B55" s="50" t="s">
        <v>111</v>
      </c>
      <c r="C55" s="38"/>
      <c r="D55" s="38"/>
      <c r="E55" s="57">
        <v>0</v>
      </c>
      <c r="F55" s="58"/>
      <c r="G55" s="57">
        <v>0</v>
      </c>
      <c r="H55" s="50"/>
      <c r="I55" s="57">
        <v>0</v>
      </c>
      <c r="J55" s="38"/>
      <c r="K55" s="57">
        <v>0</v>
      </c>
      <c r="L55" s="38"/>
      <c r="M55" s="57">
        <v>0</v>
      </c>
      <c r="N55" s="51"/>
      <c r="O55" s="57">
        <v>0</v>
      </c>
      <c r="P55" s="38"/>
      <c r="Q55" s="57">
        <v>0</v>
      </c>
      <c r="R55" s="38"/>
      <c r="S55" s="57">
        <v>0</v>
      </c>
      <c r="T55" s="58"/>
      <c r="U55" s="57">
        <v>0</v>
      </c>
      <c r="V55" s="50"/>
      <c r="W55" s="57">
        <v>0</v>
      </c>
      <c r="X55" s="38"/>
      <c r="Y55" s="57">
        <v>0</v>
      </c>
      <c r="Z55" s="58"/>
      <c r="AA55" s="57">
        <v>0</v>
      </c>
    </row>
    <row r="56" spans="1:27" ht="14.5" thickBot="1" x14ac:dyDescent="0.35">
      <c r="A56" s="51" t="s">
        <v>112</v>
      </c>
      <c r="B56" s="50"/>
      <c r="C56" s="38"/>
      <c r="D56" s="38"/>
      <c r="E56" s="28">
        <v>-587</v>
      </c>
      <c r="F56" s="59"/>
      <c r="G56" s="28">
        <v>8546</v>
      </c>
      <c r="H56" s="50"/>
      <c r="I56" s="28">
        <v>11487</v>
      </c>
      <c r="J56" s="38"/>
      <c r="K56" s="28">
        <v>11487</v>
      </c>
      <c r="L56" s="38"/>
      <c r="M56" s="28">
        <v>12009</v>
      </c>
      <c r="N56" s="51"/>
      <c r="O56" s="28">
        <v>7795</v>
      </c>
      <c r="P56" s="38"/>
      <c r="Q56" s="28">
        <v>1762</v>
      </c>
      <c r="R56" s="38"/>
      <c r="S56" s="28">
        <v>173</v>
      </c>
      <c r="T56" s="59"/>
      <c r="U56" s="28">
        <v>3497</v>
      </c>
      <c r="V56" s="50"/>
      <c r="W56" s="28">
        <v>7984</v>
      </c>
      <c r="X56" s="38"/>
      <c r="Y56" s="28">
        <v>15265</v>
      </c>
      <c r="Z56" s="59"/>
      <c r="AA56" s="28">
        <v>13814</v>
      </c>
    </row>
    <row r="57" spans="1:27" ht="14.5" thickTop="1" x14ac:dyDescent="0.3">
      <c r="A57" s="51" t="s">
        <v>113</v>
      </c>
      <c r="B57" s="50"/>
      <c r="C57" s="38"/>
      <c r="D57" s="38"/>
      <c r="E57" s="112">
        <v>-587</v>
      </c>
      <c r="F57" s="59"/>
      <c r="G57" s="60">
        <v>7959</v>
      </c>
      <c r="H57" s="50"/>
      <c r="I57" s="60">
        <v>19446</v>
      </c>
      <c r="J57" s="38"/>
      <c r="K57" s="60">
        <v>30933</v>
      </c>
      <c r="L57" s="38"/>
      <c r="M57" s="112">
        <v>42942</v>
      </c>
      <c r="N57" s="61"/>
      <c r="O57" s="60">
        <v>38728</v>
      </c>
      <c r="P57" s="62"/>
      <c r="Q57" s="112">
        <v>44704</v>
      </c>
      <c r="R57" s="62"/>
      <c r="S57" s="112">
        <v>44877</v>
      </c>
      <c r="T57" s="60"/>
      <c r="U57" s="60">
        <v>48374</v>
      </c>
      <c r="V57" s="62"/>
      <c r="W57" s="60">
        <v>56358</v>
      </c>
      <c r="X57" s="62"/>
      <c r="Y57" s="60">
        <v>71623</v>
      </c>
      <c r="Z57" s="60"/>
      <c r="AA57" s="60">
        <v>85437</v>
      </c>
    </row>
    <row r="58" spans="1:27" s="110" customFormat="1" ht="10.5" thickBot="1" x14ac:dyDescent="0.25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</row>
    <row r="59" spans="1:27" s="106" customFormat="1" x14ac:dyDescent="0.2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spans="1:27" s="106" customFormat="1" x14ac:dyDescent="0.2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spans="1:27" s="106" customFormat="1" x14ac:dyDescent="0.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spans="1:27" s="106" customFormat="1" x14ac:dyDescent="0.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spans="1:27" x14ac:dyDescent="0.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spans="1:27" ht="13" x14ac:dyDescent="0.3">
      <c r="B64" s="64" t="s">
        <v>114</v>
      </c>
    </row>
    <row r="65" spans="2:3" x14ac:dyDescent="0.25">
      <c r="B65" s="64" t="s">
        <v>115</v>
      </c>
      <c r="C65"/>
    </row>
    <row r="66" spans="2:3" x14ac:dyDescent="0.25">
      <c r="C66"/>
    </row>
    <row r="67" spans="2:3" ht="13" x14ac:dyDescent="0.3">
      <c r="B67" s="64" t="s">
        <v>116</v>
      </c>
      <c r="C67"/>
    </row>
    <row r="68" spans="2:3" x14ac:dyDescent="0.25">
      <c r="B68" s="64" t="s">
        <v>117</v>
      </c>
      <c r="C68"/>
    </row>
    <row r="69" spans="2:3" x14ac:dyDescent="0.25">
      <c r="C69"/>
    </row>
    <row r="70" spans="2:3" ht="13" x14ac:dyDescent="0.3">
      <c r="B70" s="64" t="s">
        <v>118</v>
      </c>
      <c r="C70"/>
    </row>
    <row r="72" spans="2:3" ht="13" x14ac:dyDescent="0.3">
      <c r="B72" s="64" t="s">
        <v>119</v>
      </c>
      <c r="C72"/>
    </row>
    <row r="74" spans="2:3" ht="13" x14ac:dyDescent="0.3">
      <c r="B74" s="64" t="s">
        <v>120</v>
      </c>
      <c r="C74"/>
    </row>
    <row r="76" spans="2:3" ht="13" x14ac:dyDescent="0.3">
      <c r="B76" s="64" t="s">
        <v>121</v>
      </c>
      <c r="C76"/>
    </row>
    <row r="78" spans="2:3" ht="13" x14ac:dyDescent="0.3">
      <c r="B78" s="64" t="s">
        <v>122</v>
      </c>
      <c r="C78"/>
    </row>
    <row r="80" spans="2:3" ht="13" x14ac:dyDescent="0.3">
      <c r="B80" s="64" t="s">
        <v>123</v>
      </c>
      <c r="C80"/>
    </row>
  </sheetData>
  <pageMargins left="0.75" right="0.75" top="0.25" bottom="0.25" header="0.5" footer="0.5"/>
  <pageSetup scale="72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workbookViewId="0">
      <selection activeCell="A2" sqref="A2"/>
    </sheetView>
  </sheetViews>
  <sheetFormatPr defaultRowHeight="12.5" x14ac:dyDescent="0.25"/>
  <cols>
    <col min="1" max="1" width="3.7265625" customWidth="1"/>
    <col min="2" max="2" width="14.1796875" customWidth="1"/>
    <col min="3" max="3" width="9.1796875" customWidth="1"/>
    <col min="6" max="6" width="1.7265625" customWidth="1"/>
    <col min="8" max="8" width="1.7265625" customWidth="1"/>
    <col min="10" max="10" width="1.7265625" customWidth="1"/>
    <col min="12" max="12" width="1.7265625" customWidth="1"/>
    <col min="14" max="14" width="1.7265625" customWidth="1"/>
    <col min="16" max="16" width="1.7265625" customWidth="1"/>
    <col min="18" max="18" width="1.7265625" customWidth="1"/>
    <col min="20" max="20" width="1.7265625" customWidth="1"/>
    <col min="22" max="22" width="1.7265625" customWidth="1"/>
    <col min="24" max="24" width="1.7265625" customWidth="1"/>
    <col min="26" max="26" width="1.7265625" customWidth="1"/>
  </cols>
  <sheetData>
    <row r="1" spans="1:27" ht="20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20" x14ac:dyDescent="0.4">
      <c r="A2" s="34" t="s">
        <v>124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3" thickBot="1" x14ac:dyDescent="0.3">
      <c r="A3" s="107"/>
      <c r="B3" s="107"/>
      <c r="C3" s="108"/>
      <c r="D3" s="108"/>
      <c r="E3" s="107"/>
      <c r="F3" s="107"/>
      <c r="G3" s="107"/>
      <c r="H3" s="109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7" ht="13" x14ac:dyDescent="0.3">
      <c r="A4" s="38"/>
      <c r="B4" s="38"/>
      <c r="C4" s="38" t="s">
        <v>2</v>
      </c>
      <c r="D4" s="39" t="s">
        <v>2</v>
      </c>
      <c r="E4" s="40" t="s">
        <v>49</v>
      </c>
      <c r="F4" s="38"/>
      <c r="G4" s="40" t="s">
        <v>50</v>
      </c>
      <c r="H4" s="38"/>
      <c r="I4" s="40" t="s">
        <v>51</v>
      </c>
      <c r="J4" s="39" t="s">
        <v>2</v>
      </c>
      <c r="K4" s="41" t="s">
        <v>52</v>
      </c>
      <c r="L4" s="38" t="s">
        <v>2</v>
      </c>
      <c r="M4" s="40" t="s">
        <v>53</v>
      </c>
      <c r="N4" s="38"/>
      <c r="O4" s="40" t="s">
        <v>54</v>
      </c>
      <c r="P4" s="38"/>
      <c r="Q4" s="41" t="s">
        <v>55</v>
      </c>
      <c r="R4" s="39"/>
      <c r="S4" s="40" t="s">
        <v>56</v>
      </c>
      <c r="T4" s="38"/>
      <c r="U4" s="40" t="s">
        <v>57</v>
      </c>
      <c r="V4" s="38"/>
      <c r="W4" s="40" t="s">
        <v>58</v>
      </c>
      <c r="X4" s="39" t="s">
        <v>2</v>
      </c>
      <c r="Y4" s="41" t="s">
        <v>59</v>
      </c>
      <c r="Z4" s="38" t="s">
        <v>2</v>
      </c>
      <c r="AA4" s="40" t="s">
        <v>60</v>
      </c>
    </row>
    <row r="5" spans="1:27" ht="14" x14ac:dyDescent="0.3">
      <c r="A5" s="42" t="s">
        <v>61</v>
      </c>
      <c r="B5" s="43"/>
      <c r="C5" s="44"/>
      <c r="D5" s="45"/>
      <c r="E5" s="44"/>
      <c r="F5" s="44"/>
      <c r="G5" s="42"/>
      <c r="H5" s="43"/>
      <c r="I5" s="44"/>
      <c r="J5" s="45"/>
      <c r="K5" s="45"/>
      <c r="L5" s="44"/>
      <c r="M5" s="44"/>
      <c r="N5" s="42"/>
      <c r="O5" s="43"/>
      <c r="P5" s="44"/>
      <c r="Q5" s="45"/>
      <c r="R5" s="45"/>
      <c r="S5" s="44"/>
      <c r="T5" s="44"/>
      <c r="U5" s="42"/>
      <c r="V5" s="43"/>
      <c r="W5" s="44"/>
      <c r="X5" s="45"/>
      <c r="Y5" s="45"/>
      <c r="Z5" s="44"/>
      <c r="AA5" s="38" t="s">
        <v>2</v>
      </c>
    </row>
    <row r="6" spans="1:27" x14ac:dyDescent="0.25">
      <c r="A6" s="38"/>
      <c r="B6" s="38" t="s">
        <v>62</v>
      </c>
      <c r="C6" s="38"/>
      <c r="D6" s="39"/>
      <c r="E6" s="46">
        <v>34020</v>
      </c>
      <c r="F6" s="46"/>
      <c r="G6" s="46">
        <v>39009</v>
      </c>
      <c r="H6" s="38"/>
      <c r="I6" s="46">
        <v>43092</v>
      </c>
      <c r="J6" s="39"/>
      <c r="K6" s="46">
        <v>41277</v>
      </c>
      <c r="L6" s="39"/>
      <c r="M6" s="46">
        <v>41277</v>
      </c>
      <c r="N6" s="38"/>
      <c r="O6" s="46">
        <v>35380</v>
      </c>
      <c r="P6" s="38"/>
      <c r="Q6" s="46">
        <v>26762</v>
      </c>
      <c r="R6" s="39"/>
      <c r="S6" s="46">
        <v>24494</v>
      </c>
      <c r="T6" s="46"/>
      <c r="U6" s="46">
        <v>32205</v>
      </c>
      <c r="V6" s="38"/>
      <c r="W6" s="46">
        <v>38556</v>
      </c>
      <c r="X6" s="39"/>
      <c r="Y6" s="46">
        <v>48988</v>
      </c>
      <c r="Z6" s="46"/>
      <c r="AA6" s="46">
        <v>43999</v>
      </c>
    </row>
    <row r="7" spans="1:27" x14ac:dyDescent="0.25">
      <c r="A7" s="38"/>
      <c r="B7" s="38" t="s">
        <v>63</v>
      </c>
      <c r="C7" s="47"/>
      <c r="D7" s="39"/>
      <c r="E7" s="48">
        <v>0</v>
      </c>
      <c r="F7" s="49"/>
      <c r="G7" s="48">
        <v>0</v>
      </c>
      <c r="H7" s="38"/>
      <c r="I7" s="48">
        <v>0</v>
      </c>
      <c r="J7" s="39"/>
      <c r="K7" s="48">
        <v>0</v>
      </c>
      <c r="L7" s="39"/>
      <c r="M7" s="48">
        <v>0</v>
      </c>
      <c r="N7" s="38"/>
      <c r="O7" s="48">
        <v>0</v>
      </c>
      <c r="P7" s="47"/>
      <c r="Q7" s="48">
        <v>0</v>
      </c>
      <c r="R7" s="39"/>
      <c r="S7" s="48">
        <v>0</v>
      </c>
      <c r="T7" s="49"/>
      <c r="U7" s="48">
        <v>0</v>
      </c>
      <c r="V7" s="38"/>
      <c r="W7" s="48">
        <v>0</v>
      </c>
      <c r="X7" s="39"/>
      <c r="Y7" s="48">
        <v>0</v>
      </c>
      <c r="Z7" s="49"/>
      <c r="AA7" s="48">
        <v>0</v>
      </c>
    </row>
    <row r="8" spans="1:27" ht="13" x14ac:dyDescent="0.3">
      <c r="A8" s="38"/>
      <c r="B8" s="50" t="s">
        <v>64</v>
      </c>
      <c r="C8" s="38"/>
      <c r="D8" s="38"/>
      <c r="E8" s="29">
        <f>E6-E7</f>
        <v>34020</v>
      </c>
      <c r="F8" s="29"/>
      <c r="G8" s="29">
        <f>G6-G7</f>
        <v>39009</v>
      </c>
      <c r="H8" s="50"/>
      <c r="I8" s="29">
        <f>I6-I7</f>
        <v>43092</v>
      </c>
      <c r="J8" s="38"/>
      <c r="K8" s="29">
        <f>K6-K7</f>
        <v>41277</v>
      </c>
      <c r="L8" s="38"/>
      <c r="M8" s="29">
        <f>M6-M7</f>
        <v>41277</v>
      </c>
      <c r="N8" s="38"/>
      <c r="O8" s="29">
        <v>35380</v>
      </c>
      <c r="P8" s="38"/>
      <c r="Q8" s="29">
        <v>26762</v>
      </c>
      <c r="R8" s="38"/>
      <c r="S8" s="29">
        <v>24494</v>
      </c>
      <c r="T8" s="29"/>
      <c r="U8" s="29">
        <v>32205</v>
      </c>
      <c r="V8" s="50"/>
      <c r="W8" s="29">
        <v>38556</v>
      </c>
      <c r="X8" s="38"/>
      <c r="Y8" s="29">
        <v>48988</v>
      </c>
      <c r="Z8" s="29"/>
      <c r="AA8" s="29">
        <v>43999</v>
      </c>
    </row>
    <row r="9" spans="1:27" ht="14" x14ac:dyDescent="0.3">
      <c r="A9" s="51" t="s">
        <v>65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51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x14ac:dyDescent="0.25">
      <c r="A10" s="38"/>
      <c r="B10" s="38" t="s">
        <v>66</v>
      </c>
      <c r="C10" s="38"/>
      <c r="D10" s="38"/>
      <c r="E10" s="46">
        <v>1000</v>
      </c>
      <c r="F10" s="46"/>
      <c r="G10" s="46">
        <v>1000</v>
      </c>
      <c r="H10" s="38"/>
      <c r="I10" s="46">
        <v>1000</v>
      </c>
      <c r="J10" s="38"/>
      <c r="K10" s="46">
        <v>1000</v>
      </c>
      <c r="L10" s="38"/>
      <c r="M10" s="46">
        <v>1000</v>
      </c>
      <c r="N10" s="38"/>
      <c r="O10" s="46">
        <v>1000</v>
      </c>
      <c r="P10" s="38"/>
      <c r="Q10" s="46">
        <v>1000</v>
      </c>
      <c r="R10" s="38"/>
      <c r="S10" s="46">
        <v>1000</v>
      </c>
      <c r="T10" s="46"/>
      <c r="U10" s="46">
        <v>1000</v>
      </c>
      <c r="V10" s="38"/>
      <c r="W10" s="46">
        <v>1000</v>
      </c>
      <c r="X10" s="38"/>
      <c r="Y10" s="46">
        <v>1000</v>
      </c>
      <c r="Z10" s="46"/>
      <c r="AA10" s="46">
        <v>1000</v>
      </c>
    </row>
    <row r="11" spans="1:27" x14ac:dyDescent="0.25">
      <c r="A11" s="38"/>
      <c r="B11" s="38" t="s">
        <v>67</v>
      </c>
      <c r="C11" s="38" t="s">
        <v>68</v>
      </c>
      <c r="D11" s="38"/>
      <c r="E11" s="49">
        <f>152*20</f>
        <v>3040</v>
      </c>
      <c r="F11" s="49"/>
      <c r="G11" s="49">
        <f>121*20</f>
        <v>2420</v>
      </c>
      <c r="H11" s="38"/>
      <c r="I11" s="49">
        <f>137*20</f>
        <v>2740</v>
      </c>
      <c r="J11" s="38"/>
      <c r="K11" s="49">
        <f>143*20</f>
        <v>2860</v>
      </c>
      <c r="L11" s="38"/>
      <c r="M11" s="49">
        <f>161*20</f>
        <v>3220</v>
      </c>
      <c r="N11" s="38"/>
      <c r="O11" s="49">
        <v>2660</v>
      </c>
      <c r="P11" s="38"/>
      <c r="Q11" s="49">
        <v>1960</v>
      </c>
      <c r="R11" s="38"/>
      <c r="S11" s="49">
        <v>1800</v>
      </c>
      <c r="T11" s="49"/>
      <c r="U11" s="49">
        <v>2400</v>
      </c>
      <c r="V11" s="38"/>
      <c r="W11" s="49">
        <v>2940</v>
      </c>
      <c r="X11" s="38"/>
      <c r="Y11" s="49">
        <v>3880</v>
      </c>
      <c r="Z11" s="49"/>
      <c r="AA11" s="49">
        <v>2991</v>
      </c>
    </row>
    <row r="12" spans="1:27" x14ac:dyDescent="0.25">
      <c r="A12" s="38"/>
      <c r="B12" s="38" t="s">
        <v>2</v>
      </c>
      <c r="C12" s="38" t="s">
        <v>69</v>
      </c>
      <c r="D12" s="38"/>
      <c r="E12" s="49">
        <v>50</v>
      </c>
      <c r="F12" s="49"/>
      <c r="G12" s="49">
        <v>50</v>
      </c>
      <c r="H12" s="38" t="s">
        <v>2</v>
      </c>
      <c r="I12" s="49">
        <v>50</v>
      </c>
      <c r="J12" s="38"/>
      <c r="K12" s="49">
        <v>50</v>
      </c>
      <c r="L12" s="38"/>
      <c r="M12" s="49">
        <v>100</v>
      </c>
      <c r="N12" s="38"/>
      <c r="O12" s="49">
        <v>100</v>
      </c>
      <c r="P12" s="38"/>
      <c r="Q12" s="49">
        <v>100</v>
      </c>
      <c r="R12" s="38"/>
      <c r="S12" s="49">
        <v>100</v>
      </c>
      <c r="T12" s="49"/>
      <c r="U12" s="49">
        <v>100</v>
      </c>
      <c r="V12" s="38"/>
      <c r="W12" s="49">
        <v>100</v>
      </c>
      <c r="X12" s="38"/>
      <c r="Y12" s="49">
        <v>100</v>
      </c>
      <c r="Z12" s="49"/>
      <c r="AA12" s="49">
        <v>100</v>
      </c>
    </row>
    <row r="13" spans="1:27" x14ac:dyDescent="0.25">
      <c r="A13" s="38"/>
      <c r="B13" s="38"/>
      <c r="C13" s="38" t="s">
        <v>70</v>
      </c>
      <c r="D13" s="38"/>
      <c r="E13" s="49">
        <v>0</v>
      </c>
      <c r="F13" s="49"/>
      <c r="G13" s="49">
        <v>0</v>
      </c>
      <c r="H13" s="38"/>
      <c r="I13" s="49">
        <v>0</v>
      </c>
      <c r="J13" s="38"/>
      <c r="K13" s="49">
        <v>0</v>
      </c>
      <c r="L13" s="38"/>
      <c r="M13" s="49">
        <v>0</v>
      </c>
      <c r="N13" s="38"/>
      <c r="O13" s="49">
        <v>0</v>
      </c>
      <c r="P13" s="38"/>
      <c r="Q13" s="49">
        <v>0</v>
      </c>
      <c r="R13" s="38"/>
      <c r="S13" s="49">
        <v>0</v>
      </c>
      <c r="T13" s="49"/>
      <c r="U13" s="49">
        <v>0</v>
      </c>
      <c r="V13" s="38"/>
      <c r="W13" s="49">
        <v>0</v>
      </c>
      <c r="X13" s="38"/>
      <c r="Y13" s="49">
        <v>0</v>
      </c>
      <c r="Z13" s="49"/>
      <c r="AA13" s="49">
        <v>0</v>
      </c>
    </row>
    <row r="14" spans="1:27" x14ac:dyDescent="0.25">
      <c r="A14" s="38"/>
      <c r="B14" s="38"/>
      <c r="C14" s="38" t="s">
        <v>71</v>
      </c>
      <c r="D14" s="38"/>
      <c r="E14" s="48">
        <v>0</v>
      </c>
      <c r="F14" s="49"/>
      <c r="G14" s="48">
        <v>0</v>
      </c>
      <c r="H14" s="38"/>
      <c r="I14" s="48">
        <v>0</v>
      </c>
      <c r="J14" s="38"/>
      <c r="K14" s="48">
        <v>0</v>
      </c>
      <c r="L14" s="38"/>
      <c r="M14" s="48">
        <v>0</v>
      </c>
      <c r="N14" s="38"/>
      <c r="O14" s="48">
        <v>0</v>
      </c>
      <c r="P14" s="38"/>
      <c r="Q14" s="48">
        <v>0</v>
      </c>
      <c r="R14" s="38"/>
      <c r="S14" s="48">
        <v>0</v>
      </c>
      <c r="T14" s="49"/>
      <c r="U14" s="48">
        <v>0</v>
      </c>
      <c r="V14" s="38"/>
      <c r="W14" s="48">
        <v>20</v>
      </c>
      <c r="X14" s="38"/>
      <c r="Y14" s="48">
        <v>20</v>
      </c>
      <c r="Z14" s="49"/>
      <c r="AA14" s="48">
        <v>20</v>
      </c>
    </row>
    <row r="15" spans="1:27" x14ac:dyDescent="0.25">
      <c r="A15" s="38"/>
      <c r="B15" s="38"/>
      <c r="C15" s="38"/>
      <c r="D15" s="38"/>
      <c r="E15" s="29">
        <f>SUM(E10:E14)</f>
        <v>4090</v>
      </c>
      <c r="F15" s="29"/>
      <c r="G15" s="29">
        <f>SUM(G10:G14)</f>
        <v>3470</v>
      </c>
      <c r="H15" s="38"/>
      <c r="I15" s="29">
        <f>SUM(I10:I14)</f>
        <v>3790</v>
      </c>
      <c r="J15" s="38"/>
      <c r="K15" s="29">
        <f>SUM(K10:K14)</f>
        <v>3910</v>
      </c>
      <c r="L15" s="38"/>
      <c r="M15" s="29">
        <f>SUM(M10:M14)</f>
        <v>4320</v>
      </c>
      <c r="N15" s="38"/>
      <c r="O15" s="29">
        <v>3760</v>
      </c>
      <c r="P15" s="38"/>
      <c r="Q15" s="29">
        <v>3060</v>
      </c>
      <c r="R15" s="38"/>
      <c r="S15" s="29">
        <v>2900</v>
      </c>
      <c r="T15" s="29"/>
      <c r="U15" s="29">
        <v>3500</v>
      </c>
      <c r="V15" s="38"/>
      <c r="W15" s="29">
        <v>4060</v>
      </c>
      <c r="X15" s="38"/>
      <c r="Y15" s="29">
        <v>5000</v>
      </c>
      <c r="Z15" s="29"/>
      <c r="AA15" s="29">
        <v>4111</v>
      </c>
    </row>
    <row r="16" spans="1:27" x14ac:dyDescent="0.25">
      <c r="A16" s="38"/>
      <c r="B16" s="38" t="s">
        <v>7</v>
      </c>
      <c r="C16" s="52" t="s">
        <v>72</v>
      </c>
      <c r="D16" s="38"/>
      <c r="E16" s="48">
        <v>0</v>
      </c>
      <c r="F16" s="49"/>
      <c r="G16" s="48">
        <v>0</v>
      </c>
      <c r="H16" s="38"/>
      <c r="I16" s="48">
        <v>0</v>
      </c>
      <c r="J16" s="38"/>
      <c r="K16" s="48">
        <v>0</v>
      </c>
      <c r="L16" s="38"/>
      <c r="M16" s="48">
        <v>0</v>
      </c>
      <c r="N16" s="38"/>
      <c r="O16" s="48">
        <v>0</v>
      </c>
      <c r="P16" s="52"/>
      <c r="Q16" s="48">
        <v>0</v>
      </c>
      <c r="R16" s="38"/>
      <c r="S16" s="48">
        <v>0</v>
      </c>
      <c r="T16" s="49"/>
      <c r="U16" s="48">
        <v>0</v>
      </c>
      <c r="V16" s="38"/>
      <c r="W16" s="48">
        <v>0</v>
      </c>
      <c r="X16" s="38"/>
      <c r="Y16" s="48">
        <v>0</v>
      </c>
      <c r="Z16" s="49"/>
      <c r="AA16" s="48">
        <v>0</v>
      </c>
    </row>
    <row r="17" spans="1:27" ht="13" x14ac:dyDescent="0.3">
      <c r="A17" s="38"/>
      <c r="B17" s="50" t="s">
        <v>73</v>
      </c>
      <c r="C17" s="38"/>
      <c r="D17" s="38"/>
      <c r="E17" s="53">
        <f>E15-E16</f>
        <v>4090</v>
      </c>
      <c r="F17" s="29"/>
      <c r="G17" s="53">
        <f>G15-G16</f>
        <v>3470</v>
      </c>
      <c r="H17" s="50"/>
      <c r="I17" s="53">
        <f>I15-I16</f>
        <v>3790</v>
      </c>
      <c r="J17" s="38"/>
      <c r="K17" s="53">
        <f>K15-K16</f>
        <v>3910</v>
      </c>
      <c r="L17" s="38"/>
      <c r="M17" s="53">
        <f>M15-M16</f>
        <v>4320</v>
      </c>
      <c r="N17" s="38"/>
      <c r="O17" s="53">
        <v>3760</v>
      </c>
      <c r="P17" s="38"/>
      <c r="Q17" s="53">
        <v>3060</v>
      </c>
      <c r="R17" s="38"/>
      <c r="S17" s="53">
        <v>2900</v>
      </c>
      <c r="T17" s="29"/>
      <c r="U17" s="53">
        <v>3500</v>
      </c>
      <c r="V17" s="50"/>
      <c r="W17" s="53">
        <v>4060</v>
      </c>
      <c r="X17" s="38"/>
      <c r="Y17" s="53">
        <v>5000</v>
      </c>
      <c r="Z17" s="29"/>
      <c r="AA17" s="53">
        <v>4111</v>
      </c>
    </row>
    <row r="18" spans="1:27" ht="13" x14ac:dyDescent="0.3">
      <c r="A18" s="38"/>
      <c r="B18" s="50" t="s">
        <v>74</v>
      </c>
      <c r="C18" s="38"/>
      <c r="D18" s="38"/>
      <c r="E18" s="29">
        <f>E8-E17</f>
        <v>29930</v>
      </c>
      <c r="F18" s="29"/>
      <c r="G18" s="29">
        <f>G8-G17</f>
        <v>35539</v>
      </c>
      <c r="H18" s="50"/>
      <c r="I18" s="29">
        <f>I8-I17</f>
        <v>39302</v>
      </c>
      <c r="J18" s="38"/>
      <c r="K18" s="29">
        <f>K8-K17</f>
        <v>37367</v>
      </c>
      <c r="L18" s="38"/>
      <c r="M18" s="29">
        <f>M8-M17</f>
        <v>36957</v>
      </c>
      <c r="N18" s="38"/>
      <c r="O18" s="29">
        <v>31620</v>
      </c>
      <c r="P18" s="38"/>
      <c r="Q18" s="29">
        <v>23702</v>
      </c>
      <c r="R18" s="38"/>
      <c r="S18" s="29">
        <v>21594</v>
      </c>
      <c r="T18" s="29"/>
      <c r="U18" s="29">
        <v>28705</v>
      </c>
      <c r="V18" s="50"/>
      <c r="W18" s="29">
        <v>34496</v>
      </c>
      <c r="X18" s="38"/>
      <c r="Y18" s="29">
        <v>43988</v>
      </c>
      <c r="Z18" s="29"/>
      <c r="AA18" s="29">
        <v>39888</v>
      </c>
    </row>
    <row r="19" spans="1:27" ht="14" x14ac:dyDescent="0.3">
      <c r="A19" s="42" t="s">
        <v>75</v>
      </c>
      <c r="B19" s="38"/>
      <c r="C19" s="38"/>
      <c r="D19" s="38"/>
      <c r="E19" s="54"/>
      <c r="F19" s="54"/>
      <c r="G19" s="54"/>
      <c r="H19" s="38"/>
      <c r="I19" s="54"/>
      <c r="J19" s="38"/>
      <c r="K19" s="54"/>
      <c r="L19" s="38"/>
      <c r="M19" s="54"/>
      <c r="N19" s="42"/>
      <c r="O19" s="54"/>
      <c r="P19" s="38"/>
      <c r="Q19" s="54"/>
      <c r="R19" s="38"/>
      <c r="S19" s="54"/>
      <c r="T19" s="54"/>
      <c r="U19" s="54"/>
      <c r="V19" s="38"/>
      <c r="W19" s="54"/>
      <c r="X19" s="38"/>
      <c r="Y19" s="54"/>
      <c r="Z19" s="54"/>
      <c r="AA19" s="54"/>
    </row>
    <row r="20" spans="1:27" x14ac:dyDescent="0.25">
      <c r="A20" s="38"/>
      <c r="B20" s="38" t="s">
        <v>76</v>
      </c>
      <c r="C20" s="38"/>
      <c r="D20" s="38"/>
      <c r="E20" s="49">
        <v>600</v>
      </c>
      <c r="F20" s="49"/>
      <c r="G20" s="49">
        <v>600</v>
      </c>
      <c r="H20" s="38"/>
      <c r="I20" s="49">
        <v>600</v>
      </c>
      <c r="J20" s="38"/>
      <c r="K20" s="49">
        <v>600</v>
      </c>
      <c r="L20" s="38"/>
      <c r="M20" s="49">
        <v>600</v>
      </c>
      <c r="N20" s="38"/>
      <c r="O20" s="49">
        <v>600</v>
      </c>
      <c r="P20" s="38"/>
      <c r="Q20" s="49">
        <v>600</v>
      </c>
      <c r="R20" s="38"/>
      <c r="S20" s="49">
        <v>600</v>
      </c>
      <c r="T20" s="49"/>
      <c r="U20" s="49">
        <v>600</v>
      </c>
      <c r="V20" s="38"/>
      <c r="W20" s="49">
        <v>600</v>
      </c>
      <c r="X20" s="38"/>
      <c r="Y20" s="49">
        <v>600</v>
      </c>
      <c r="Z20" s="49"/>
      <c r="AA20" s="49">
        <v>600</v>
      </c>
    </row>
    <row r="21" spans="1:27" x14ac:dyDescent="0.25">
      <c r="A21" s="38"/>
      <c r="B21" s="38" t="s">
        <v>77</v>
      </c>
      <c r="C21" s="38"/>
      <c r="D21" s="38"/>
      <c r="E21" s="49">
        <v>0</v>
      </c>
      <c r="F21" s="49"/>
      <c r="G21" s="49">
        <v>0</v>
      </c>
      <c r="H21" s="38"/>
      <c r="I21" s="49">
        <v>0</v>
      </c>
      <c r="J21" s="38"/>
      <c r="K21" s="49">
        <v>0</v>
      </c>
      <c r="L21" s="38"/>
      <c r="M21" s="49">
        <v>0</v>
      </c>
      <c r="N21" s="38"/>
      <c r="O21" s="49">
        <v>0</v>
      </c>
      <c r="P21" s="38"/>
      <c r="Q21" s="49">
        <v>0</v>
      </c>
      <c r="R21" s="38"/>
      <c r="S21" s="49">
        <v>0</v>
      </c>
      <c r="T21" s="49"/>
      <c r="U21" s="49">
        <v>0</v>
      </c>
      <c r="V21" s="38"/>
      <c r="W21" s="49">
        <v>0</v>
      </c>
      <c r="X21" s="38"/>
      <c r="Y21" s="49">
        <v>0</v>
      </c>
      <c r="Z21" s="49"/>
      <c r="AA21" s="49">
        <v>0</v>
      </c>
    </row>
    <row r="22" spans="1:27" x14ac:dyDescent="0.25">
      <c r="A22" s="38"/>
      <c r="B22" s="38" t="s">
        <v>78</v>
      </c>
      <c r="C22" s="38"/>
      <c r="D22" s="38" t="s">
        <v>2</v>
      </c>
      <c r="E22" s="49">
        <v>810</v>
      </c>
      <c r="F22" s="49"/>
      <c r="G22" s="49">
        <v>929</v>
      </c>
      <c r="H22" s="38"/>
      <c r="I22" s="49">
        <v>1026</v>
      </c>
      <c r="J22" s="38"/>
      <c r="K22" s="49">
        <v>1231</v>
      </c>
      <c r="L22" s="38"/>
      <c r="M22" s="49">
        <v>983</v>
      </c>
      <c r="N22" s="38"/>
      <c r="O22" s="49">
        <v>842</v>
      </c>
      <c r="P22" s="38"/>
      <c r="Q22" s="49">
        <v>637</v>
      </c>
      <c r="R22" s="38"/>
      <c r="S22" s="49">
        <v>583</v>
      </c>
      <c r="T22" s="49"/>
      <c r="U22" s="49">
        <v>767</v>
      </c>
      <c r="V22" s="38"/>
      <c r="W22" s="49">
        <v>918</v>
      </c>
      <c r="X22" s="38"/>
      <c r="Y22" s="49">
        <v>1166</v>
      </c>
      <c r="Z22" s="49"/>
      <c r="AA22" s="49">
        <v>1048</v>
      </c>
    </row>
    <row r="23" spans="1:27" x14ac:dyDescent="0.25">
      <c r="A23" s="38"/>
      <c r="B23" s="38" t="s">
        <v>79</v>
      </c>
      <c r="C23" s="38"/>
      <c r="D23" s="38"/>
      <c r="E23" s="49">
        <v>40</v>
      </c>
      <c r="F23" s="49"/>
      <c r="G23" s="49">
        <v>40</v>
      </c>
      <c r="H23" s="38"/>
      <c r="I23" s="49">
        <v>0</v>
      </c>
      <c r="J23" s="38"/>
      <c r="K23" s="49">
        <v>0</v>
      </c>
      <c r="L23" s="38"/>
      <c r="M23" s="49">
        <v>0</v>
      </c>
      <c r="N23" s="38"/>
      <c r="O23" s="49">
        <v>0</v>
      </c>
      <c r="P23" s="38"/>
      <c r="Q23" s="49">
        <v>0</v>
      </c>
      <c r="R23" s="38"/>
      <c r="S23" s="49">
        <v>0</v>
      </c>
      <c r="T23" s="49"/>
      <c r="U23" s="49">
        <v>0</v>
      </c>
      <c r="V23" s="38"/>
      <c r="W23" s="49">
        <v>40</v>
      </c>
      <c r="X23" s="38"/>
      <c r="Y23" s="49">
        <v>40</v>
      </c>
      <c r="Z23" s="49"/>
      <c r="AA23" s="49">
        <v>40</v>
      </c>
    </row>
    <row r="24" spans="1:27" x14ac:dyDescent="0.25">
      <c r="A24" s="38"/>
      <c r="B24" s="38" t="s">
        <v>80</v>
      </c>
      <c r="C24" s="38"/>
      <c r="D24" s="38"/>
      <c r="E24" s="49">
        <v>0</v>
      </c>
      <c r="F24" s="49"/>
      <c r="G24" s="49">
        <v>0</v>
      </c>
      <c r="H24" s="38"/>
      <c r="I24" s="49">
        <v>0</v>
      </c>
      <c r="J24" s="38"/>
      <c r="K24" s="49">
        <v>0</v>
      </c>
      <c r="L24" s="38"/>
      <c r="M24" s="49">
        <v>0</v>
      </c>
      <c r="N24" s="38"/>
      <c r="O24" s="49">
        <v>0</v>
      </c>
      <c r="P24" s="38"/>
      <c r="Q24" s="49">
        <v>0</v>
      </c>
      <c r="R24" s="38"/>
      <c r="S24" s="49">
        <v>0</v>
      </c>
      <c r="T24" s="49"/>
      <c r="U24" s="49">
        <v>0</v>
      </c>
      <c r="V24" s="38"/>
      <c r="W24" s="49">
        <v>0</v>
      </c>
      <c r="X24" s="38"/>
      <c r="Y24" s="49">
        <v>0</v>
      </c>
      <c r="Z24" s="49"/>
      <c r="AA24" s="49">
        <v>0</v>
      </c>
    </row>
    <row r="25" spans="1:27" x14ac:dyDescent="0.25">
      <c r="A25" s="38"/>
      <c r="B25" s="38" t="s">
        <v>81</v>
      </c>
      <c r="C25" s="38"/>
      <c r="D25" s="38"/>
      <c r="E25" s="49">
        <v>0</v>
      </c>
      <c r="F25" s="49"/>
      <c r="G25" s="49">
        <v>0</v>
      </c>
      <c r="H25" s="38"/>
      <c r="I25" s="49">
        <v>0</v>
      </c>
      <c r="J25" s="38"/>
      <c r="K25" s="49">
        <v>0</v>
      </c>
      <c r="L25" s="38"/>
      <c r="M25" s="49">
        <v>0</v>
      </c>
      <c r="N25" s="38"/>
      <c r="O25" s="49">
        <v>0</v>
      </c>
      <c r="P25" s="38"/>
      <c r="Q25" s="49">
        <v>0</v>
      </c>
      <c r="R25" s="38"/>
      <c r="S25" s="49">
        <v>0</v>
      </c>
      <c r="T25" s="49"/>
      <c r="U25" s="49">
        <v>0</v>
      </c>
      <c r="V25" s="38"/>
      <c r="W25" s="49">
        <v>0</v>
      </c>
      <c r="X25" s="38"/>
      <c r="Y25" s="49">
        <v>0</v>
      </c>
      <c r="Z25" s="49"/>
      <c r="AA25" s="49">
        <v>0</v>
      </c>
    </row>
    <row r="26" spans="1:27" x14ac:dyDescent="0.25">
      <c r="A26" s="38"/>
      <c r="B26" s="38" t="s">
        <v>82</v>
      </c>
      <c r="C26" s="38"/>
      <c r="D26" s="38"/>
      <c r="E26" s="49">
        <v>3154</v>
      </c>
      <c r="F26" s="49"/>
      <c r="G26" s="49">
        <v>3154</v>
      </c>
      <c r="H26" s="38"/>
      <c r="I26" s="49">
        <v>3154</v>
      </c>
      <c r="J26" s="38"/>
      <c r="K26" s="49">
        <v>3154</v>
      </c>
      <c r="L26" s="38"/>
      <c r="M26" s="49">
        <v>3154</v>
      </c>
      <c r="N26" s="38"/>
      <c r="O26" s="49">
        <v>3154</v>
      </c>
      <c r="P26" s="38"/>
      <c r="Q26" s="49">
        <v>3154</v>
      </c>
      <c r="R26" s="49"/>
      <c r="S26" s="49">
        <v>3154</v>
      </c>
      <c r="T26" s="49"/>
      <c r="U26" s="49">
        <v>3154</v>
      </c>
      <c r="V26" s="38"/>
      <c r="W26" s="49">
        <v>3154</v>
      </c>
      <c r="X26" s="38"/>
      <c r="Y26" s="49">
        <v>3154</v>
      </c>
      <c r="Z26" s="49"/>
      <c r="AA26" s="49">
        <v>3154</v>
      </c>
    </row>
    <row r="27" spans="1:27" x14ac:dyDescent="0.25">
      <c r="A27" s="38"/>
      <c r="B27" s="38" t="s">
        <v>83</v>
      </c>
      <c r="C27" s="38"/>
      <c r="D27" s="38"/>
      <c r="E27" s="49">
        <v>1672</v>
      </c>
      <c r="F27" s="49"/>
      <c r="G27" s="49">
        <v>1672</v>
      </c>
      <c r="H27" s="38"/>
      <c r="I27" s="49">
        <v>1672</v>
      </c>
      <c r="J27" s="38"/>
      <c r="K27" s="49">
        <v>1672</v>
      </c>
      <c r="L27" s="38"/>
      <c r="M27" s="49">
        <v>0</v>
      </c>
      <c r="N27" s="38"/>
      <c r="O27" s="49">
        <v>0</v>
      </c>
      <c r="P27" s="38"/>
      <c r="Q27" s="49">
        <v>0</v>
      </c>
      <c r="R27" s="38"/>
      <c r="S27" s="49">
        <v>0</v>
      </c>
      <c r="T27" s="49"/>
      <c r="U27" s="49">
        <v>1672</v>
      </c>
      <c r="V27" s="38"/>
      <c r="W27" s="49">
        <v>1672</v>
      </c>
      <c r="X27" s="38"/>
      <c r="Y27" s="49">
        <v>1672</v>
      </c>
      <c r="Z27" s="49"/>
      <c r="AA27" s="49">
        <v>0</v>
      </c>
    </row>
    <row r="28" spans="1:27" x14ac:dyDescent="0.25">
      <c r="A28" s="38"/>
      <c r="B28" s="38" t="s">
        <v>84</v>
      </c>
      <c r="C28" s="38"/>
      <c r="D28" s="38"/>
      <c r="E28" s="49">
        <v>50</v>
      </c>
      <c r="F28" s="49"/>
      <c r="G28" s="49">
        <v>58</v>
      </c>
      <c r="H28" s="38"/>
      <c r="I28" s="49">
        <v>64</v>
      </c>
      <c r="J28" s="38"/>
      <c r="K28" s="49">
        <v>81</v>
      </c>
      <c r="L28" s="38"/>
      <c r="M28" s="49">
        <v>61</v>
      </c>
      <c r="N28" s="38"/>
      <c r="O28" s="49">
        <v>52</v>
      </c>
      <c r="P28" s="38"/>
      <c r="Q28" s="49">
        <v>39</v>
      </c>
      <c r="R28" s="38"/>
      <c r="S28" s="49">
        <v>35</v>
      </c>
      <c r="T28" s="49"/>
      <c r="U28" s="49">
        <v>46</v>
      </c>
      <c r="V28" s="38"/>
      <c r="W28" s="49">
        <v>55</v>
      </c>
      <c r="X28" s="38"/>
      <c r="Y28" s="49">
        <v>69</v>
      </c>
      <c r="Z28" s="49"/>
      <c r="AA28" s="49">
        <v>62</v>
      </c>
    </row>
    <row r="29" spans="1:27" x14ac:dyDescent="0.25">
      <c r="A29" s="38"/>
      <c r="B29" s="38" t="s">
        <v>85</v>
      </c>
      <c r="C29" s="38"/>
      <c r="D29" s="38"/>
      <c r="E29" s="49">
        <v>30</v>
      </c>
      <c r="F29" s="49"/>
      <c r="G29" s="49">
        <v>30</v>
      </c>
      <c r="H29" s="38"/>
      <c r="I29" s="49">
        <v>0</v>
      </c>
      <c r="J29" s="38"/>
      <c r="K29" s="49">
        <v>0</v>
      </c>
      <c r="L29" s="38"/>
      <c r="M29" s="49">
        <v>36</v>
      </c>
      <c r="N29" s="38"/>
      <c r="O29" s="49">
        <v>31</v>
      </c>
      <c r="P29" s="38"/>
      <c r="Q29" s="49">
        <v>24</v>
      </c>
      <c r="R29" s="38"/>
      <c r="S29" s="49">
        <v>22</v>
      </c>
      <c r="T29" s="49"/>
      <c r="U29" s="49">
        <v>29</v>
      </c>
      <c r="V29" s="38"/>
      <c r="W29" s="49">
        <v>35</v>
      </c>
      <c r="X29" s="38"/>
      <c r="Y29" s="49">
        <v>44</v>
      </c>
      <c r="Z29" s="49"/>
      <c r="AA29" s="49">
        <v>40</v>
      </c>
    </row>
    <row r="30" spans="1:27" x14ac:dyDescent="0.25">
      <c r="A30" s="38"/>
      <c r="B30" s="38" t="s">
        <v>86</v>
      </c>
      <c r="C30" s="38"/>
      <c r="D30" s="38"/>
      <c r="E30" s="49">
        <v>100</v>
      </c>
      <c r="F30" s="49"/>
      <c r="G30" s="49">
        <v>100</v>
      </c>
      <c r="H30" s="38"/>
      <c r="I30" s="49">
        <v>100</v>
      </c>
      <c r="J30" s="38"/>
      <c r="K30" s="49">
        <v>100</v>
      </c>
      <c r="L30" s="38"/>
      <c r="M30" s="49">
        <v>100</v>
      </c>
      <c r="N30" s="38"/>
      <c r="O30" s="49">
        <v>100</v>
      </c>
      <c r="P30" s="38"/>
      <c r="Q30" s="49">
        <v>100</v>
      </c>
      <c r="R30" s="38"/>
      <c r="S30" s="49">
        <v>100</v>
      </c>
      <c r="T30" s="49"/>
      <c r="U30" s="49">
        <v>100</v>
      </c>
      <c r="V30" s="38"/>
      <c r="W30" s="49">
        <v>100</v>
      </c>
      <c r="X30" s="38"/>
      <c r="Y30" s="49">
        <v>100</v>
      </c>
      <c r="Z30" s="49"/>
      <c r="AA30" s="49">
        <v>100</v>
      </c>
    </row>
    <row r="31" spans="1:27" x14ac:dyDescent="0.25">
      <c r="A31" s="38"/>
      <c r="B31" s="38" t="s">
        <v>87</v>
      </c>
      <c r="C31" s="38"/>
      <c r="D31" s="38"/>
      <c r="E31" s="49">
        <v>10</v>
      </c>
      <c r="F31" s="49"/>
      <c r="G31" s="49">
        <v>10</v>
      </c>
      <c r="H31" s="38"/>
      <c r="I31" s="49">
        <v>10</v>
      </c>
      <c r="J31" s="38"/>
      <c r="K31" s="49">
        <v>10</v>
      </c>
      <c r="L31" s="38"/>
      <c r="M31" s="49">
        <v>10</v>
      </c>
      <c r="N31" s="38"/>
      <c r="O31" s="49">
        <v>10</v>
      </c>
      <c r="P31" s="38"/>
      <c r="Q31" s="49">
        <v>10</v>
      </c>
      <c r="R31" s="38"/>
      <c r="S31" s="49">
        <v>10</v>
      </c>
      <c r="T31" s="49"/>
      <c r="U31" s="49">
        <v>10</v>
      </c>
      <c r="V31" s="38"/>
      <c r="W31" s="49">
        <v>10</v>
      </c>
      <c r="X31" s="38"/>
      <c r="Y31" s="49">
        <v>10</v>
      </c>
      <c r="Z31" s="49"/>
      <c r="AA31" s="49">
        <v>10</v>
      </c>
    </row>
    <row r="32" spans="1:27" x14ac:dyDescent="0.25">
      <c r="A32" s="38"/>
      <c r="B32" s="38" t="s">
        <v>88</v>
      </c>
      <c r="C32" s="38"/>
      <c r="D32" s="38"/>
      <c r="E32" s="49">
        <v>600</v>
      </c>
      <c r="F32" s="49"/>
      <c r="G32" s="49">
        <v>600</v>
      </c>
      <c r="H32" s="38"/>
      <c r="I32" s="49">
        <v>600</v>
      </c>
      <c r="J32" s="38"/>
      <c r="K32" s="49">
        <v>600</v>
      </c>
      <c r="L32" s="38"/>
      <c r="M32" s="49">
        <v>600</v>
      </c>
      <c r="N32" s="38"/>
      <c r="O32" s="49">
        <v>600</v>
      </c>
      <c r="P32" s="38"/>
      <c r="Q32" s="49">
        <v>600</v>
      </c>
      <c r="R32" s="38"/>
      <c r="S32" s="49">
        <v>600</v>
      </c>
      <c r="T32" s="49"/>
      <c r="U32" s="49">
        <v>600</v>
      </c>
      <c r="V32" s="38"/>
      <c r="W32" s="49">
        <v>600</v>
      </c>
      <c r="X32" s="38"/>
      <c r="Y32" s="49">
        <v>600</v>
      </c>
      <c r="Z32" s="49"/>
      <c r="AA32" s="49">
        <v>600</v>
      </c>
    </row>
    <row r="33" spans="1:27" x14ac:dyDescent="0.25">
      <c r="A33" s="38"/>
      <c r="B33" s="38" t="s">
        <v>89</v>
      </c>
      <c r="C33" s="38"/>
      <c r="D33" s="38"/>
      <c r="E33" s="49">
        <v>48</v>
      </c>
      <c r="F33" s="49"/>
      <c r="G33" s="49">
        <v>48</v>
      </c>
      <c r="H33" s="38"/>
      <c r="I33" s="49">
        <v>48</v>
      </c>
      <c r="J33" s="38"/>
      <c r="K33" s="49">
        <v>48</v>
      </c>
      <c r="L33" s="38"/>
      <c r="M33" s="49">
        <v>48</v>
      </c>
      <c r="N33" s="38"/>
      <c r="O33" s="49">
        <v>48</v>
      </c>
      <c r="P33" s="38"/>
      <c r="Q33" s="49">
        <v>48</v>
      </c>
      <c r="R33" s="38"/>
      <c r="S33" s="49">
        <v>48</v>
      </c>
      <c r="T33" s="49"/>
      <c r="U33" s="49">
        <v>48</v>
      </c>
      <c r="V33" s="38"/>
      <c r="W33" s="49">
        <v>48</v>
      </c>
      <c r="X33" s="38"/>
      <c r="Y33" s="49">
        <v>48</v>
      </c>
      <c r="Z33" s="49"/>
      <c r="AA33" s="49">
        <v>48</v>
      </c>
    </row>
    <row r="34" spans="1:27" x14ac:dyDescent="0.25">
      <c r="A34" s="38"/>
      <c r="B34" s="38" t="s">
        <v>90</v>
      </c>
      <c r="C34" s="38"/>
      <c r="D34" s="38"/>
      <c r="E34" s="49">
        <v>50</v>
      </c>
      <c r="F34" s="49"/>
      <c r="G34" s="49">
        <v>50</v>
      </c>
      <c r="H34" s="38"/>
      <c r="I34" s="49">
        <v>50</v>
      </c>
      <c r="J34" s="38"/>
      <c r="K34" s="49">
        <v>50</v>
      </c>
      <c r="L34" s="38"/>
      <c r="M34" s="49">
        <v>50</v>
      </c>
      <c r="N34" s="38"/>
      <c r="O34" s="49">
        <v>50</v>
      </c>
      <c r="P34" s="38"/>
      <c r="Q34" s="49">
        <v>50</v>
      </c>
      <c r="R34" s="38"/>
      <c r="S34" s="49">
        <v>50</v>
      </c>
      <c r="T34" s="49"/>
      <c r="U34" s="49">
        <v>50</v>
      </c>
      <c r="V34" s="38"/>
      <c r="W34" s="49">
        <v>50</v>
      </c>
      <c r="X34" s="38"/>
      <c r="Y34" s="49">
        <v>50</v>
      </c>
      <c r="Z34" s="49"/>
      <c r="AA34" s="49">
        <v>50</v>
      </c>
    </row>
    <row r="35" spans="1:27" x14ac:dyDescent="0.25">
      <c r="A35" s="38"/>
      <c r="B35" s="38" t="s">
        <v>91</v>
      </c>
      <c r="C35" s="38"/>
      <c r="D35" s="38"/>
      <c r="E35" s="49">
        <v>0</v>
      </c>
      <c r="F35" s="49"/>
      <c r="G35" s="49">
        <v>0</v>
      </c>
      <c r="H35" s="38"/>
      <c r="I35" s="49">
        <v>0</v>
      </c>
      <c r="J35" s="38"/>
      <c r="K35" s="49">
        <v>0</v>
      </c>
      <c r="L35" s="38"/>
      <c r="M35" s="49">
        <v>0</v>
      </c>
      <c r="N35" s="38"/>
      <c r="O35" s="49">
        <v>0</v>
      </c>
      <c r="P35" s="38"/>
      <c r="Q35" s="49">
        <v>0</v>
      </c>
      <c r="R35" s="38"/>
      <c r="S35" s="49">
        <v>0</v>
      </c>
      <c r="T35" s="49"/>
      <c r="U35" s="49">
        <v>0</v>
      </c>
      <c r="V35" s="38"/>
      <c r="W35" s="49">
        <v>0</v>
      </c>
      <c r="X35" s="38"/>
      <c r="Y35" s="49">
        <v>0</v>
      </c>
      <c r="Z35" s="49"/>
      <c r="AA35" s="49">
        <v>0</v>
      </c>
    </row>
    <row r="36" spans="1:27" x14ac:dyDescent="0.25">
      <c r="A36" s="38"/>
      <c r="B36" s="38" t="s">
        <v>92</v>
      </c>
      <c r="C36" s="38"/>
      <c r="D36" s="38"/>
      <c r="E36" s="49">
        <v>200</v>
      </c>
      <c r="F36" s="49"/>
      <c r="G36" s="49">
        <v>200</v>
      </c>
      <c r="H36" s="38"/>
      <c r="I36" s="49">
        <v>200</v>
      </c>
      <c r="J36" s="38"/>
      <c r="K36" s="49">
        <v>200</v>
      </c>
      <c r="L36" s="38"/>
      <c r="M36" s="49">
        <v>200</v>
      </c>
      <c r="N36" s="38"/>
      <c r="O36" s="49">
        <v>200</v>
      </c>
      <c r="P36" s="38"/>
      <c r="Q36" s="49">
        <v>200</v>
      </c>
      <c r="R36" s="38"/>
      <c r="S36" s="49">
        <v>200</v>
      </c>
      <c r="T36" s="49"/>
      <c r="U36" s="49">
        <v>200</v>
      </c>
      <c r="V36" s="38"/>
      <c r="W36" s="49">
        <v>200</v>
      </c>
      <c r="X36" s="38"/>
      <c r="Y36" s="49">
        <v>200</v>
      </c>
      <c r="Z36" s="49"/>
      <c r="AA36" s="49">
        <v>200</v>
      </c>
    </row>
    <row r="37" spans="1:27" x14ac:dyDescent="0.25">
      <c r="A37" s="38"/>
      <c r="B37" s="38" t="s">
        <v>93</v>
      </c>
      <c r="C37" s="38"/>
      <c r="D37" s="38"/>
      <c r="E37" s="49">
        <v>400</v>
      </c>
      <c r="F37" s="49"/>
      <c r="G37" s="49">
        <v>460</v>
      </c>
      <c r="H37" s="38"/>
      <c r="I37" s="49">
        <v>506</v>
      </c>
      <c r="J37" s="38"/>
      <c r="K37" s="49">
        <v>506</v>
      </c>
      <c r="L37" s="38"/>
      <c r="M37" s="49">
        <v>400</v>
      </c>
      <c r="N37" s="38"/>
      <c r="O37" s="49">
        <v>409</v>
      </c>
      <c r="P37" s="38"/>
      <c r="Q37" s="49">
        <v>307</v>
      </c>
      <c r="R37" s="38"/>
      <c r="S37" s="49">
        <v>276</v>
      </c>
      <c r="T37" s="49"/>
      <c r="U37" s="49">
        <v>359</v>
      </c>
      <c r="V37" s="38"/>
      <c r="W37" s="49">
        <v>431</v>
      </c>
      <c r="X37" s="38"/>
      <c r="Y37" s="49">
        <v>539</v>
      </c>
      <c r="Z37" s="49"/>
      <c r="AA37" s="49">
        <v>485</v>
      </c>
    </row>
    <row r="38" spans="1:27" x14ac:dyDescent="0.25">
      <c r="A38" s="38"/>
      <c r="B38" s="38" t="s">
        <v>94</v>
      </c>
      <c r="C38" s="38"/>
      <c r="D38" s="38"/>
      <c r="E38" s="49">
        <v>1056</v>
      </c>
      <c r="F38" s="49"/>
      <c r="G38" s="49">
        <v>1056</v>
      </c>
      <c r="H38" s="38"/>
      <c r="I38" s="49">
        <v>1056</v>
      </c>
      <c r="J38" s="38"/>
      <c r="K38" s="49">
        <v>1056</v>
      </c>
      <c r="L38" s="38"/>
      <c r="M38" s="49">
        <v>807</v>
      </c>
      <c r="N38" s="38"/>
      <c r="O38" s="49">
        <v>807</v>
      </c>
      <c r="P38" s="38"/>
      <c r="Q38" s="49">
        <v>807</v>
      </c>
      <c r="R38" s="38"/>
      <c r="S38" s="49">
        <v>807</v>
      </c>
      <c r="T38" s="49"/>
      <c r="U38" s="49">
        <v>1056</v>
      </c>
      <c r="V38" s="38"/>
      <c r="W38" s="49">
        <v>1056</v>
      </c>
      <c r="X38" s="38"/>
      <c r="Y38" s="49">
        <v>1056</v>
      </c>
      <c r="Z38" s="49"/>
      <c r="AA38" s="49">
        <v>807</v>
      </c>
    </row>
    <row r="39" spans="1:27" x14ac:dyDescent="0.25">
      <c r="A39" s="38"/>
      <c r="B39" s="38" t="s">
        <v>95</v>
      </c>
      <c r="C39" s="38"/>
      <c r="D39" s="38"/>
      <c r="E39" s="49">
        <v>20</v>
      </c>
      <c r="F39" s="49"/>
      <c r="G39" s="49">
        <v>20</v>
      </c>
      <c r="H39" s="38"/>
      <c r="I39" s="49">
        <v>20</v>
      </c>
      <c r="J39" s="38"/>
      <c r="K39" s="49">
        <v>20</v>
      </c>
      <c r="L39" s="38"/>
      <c r="M39" s="49">
        <v>20</v>
      </c>
      <c r="N39" s="38"/>
      <c r="O39" s="49">
        <v>20</v>
      </c>
      <c r="P39" s="38"/>
      <c r="Q39" s="49">
        <v>20</v>
      </c>
      <c r="R39" s="38"/>
      <c r="S39" s="49">
        <v>20</v>
      </c>
      <c r="T39" s="49"/>
      <c r="U39" s="49">
        <v>20</v>
      </c>
      <c r="V39" s="38"/>
      <c r="W39" s="49">
        <v>20</v>
      </c>
      <c r="X39" s="38"/>
      <c r="Y39" s="49">
        <v>20</v>
      </c>
      <c r="Z39" s="49"/>
      <c r="AA39" s="49">
        <v>20</v>
      </c>
    </row>
    <row r="40" spans="1:27" x14ac:dyDescent="0.25">
      <c r="A40" s="38"/>
      <c r="B40" s="38" t="s">
        <v>96</v>
      </c>
      <c r="C40" s="38"/>
      <c r="D40" s="38"/>
      <c r="E40" s="49">
        <v>200</v>
      </c>
      <c r="F40" s="49"/>
      <c r="G40" s="49">
        <v>200</v>
      </c>
      <c r="H40" s="38"/>
      <c r="I40" s="49">
        <v>200</v>
      </c>
      <c r="J40" s="38"/>
      <c r="K40" s="49">
        <v>200</v>
      </c>
      <c r="L40" s="38"/>
      <c r="M40" s="49">
        <v>200</v>
      </c>
      <c r="N40" s="38"/>
      <c r="O40" s="49">
        <v>200</v>
      </c>
      <c r="P40" s="38"/>
      <c r="Q40" s="49">
        <v>200</v>
      </c>
      <c r="R40" s="38"/>
      <c r="S40" s="49">
        <v>200</v>
      </c>
      <c r="T40" s="49"/>
      <c r="U40" s="49">
        <v>200</v>
      </c>
      <c r="V40" s="38"/>
      <c r="W40" s="49">
        <v>200</v>
      </c>
      <c r="X40" s="38"/>
      <c r="Y40" s="49">
        <v>200</v>
      </c>
      <c r="Z40" s="49"/>
      <c r="AA40" s="49">
        <v>200</v>
      </c>
    </row>
    <row r="41" spans="1:27" x14ac:dyDescent="0.25">
      <c r="A41" s="38"/>
      <c r="B41" s="38" t="s">
        <v>97</v>
      </c>
      <c r="C41" s="38"/>
      <c r="D41" s="38"/>
      <c r="E41" s="49">
        <v>200</v>
      </c>
      <c r="F41" s="49"/>
      <c r="G41" s="49">
        <v>200</v>
      </c>
      <c r="H41" s="38"/>
      <c r="I41" s="49">
        <v>200</v>
      </c>
      <c r="J41" s="38"/>
      <c r="K41" s="49">
        <v>200</v>
      </c>
      <c r="L41" s="38"/>
      <c r="M41" s="49">
        <v>200</v>
      </c>
      <c r="N41" s="38"/>
      <c r="O41" s="49">
        <v>200</v>
      </c>
      <c r="P41" s="38"/>
      <c r="Q41" s="49">
        <v>200</v>
      </c>
      <c r="R41" s="38"/>
      <c r="S41" s="49">
        <v>200</v>
      </c>
      <c r="T41" s="49"/>
      <c r="U41" s="49">
        <v>200</v>
      </c>
      <c r="V41" s="38"/>
      <c r="W41" s="49">
        <v>200</v>
      </c>
      <c r="X41" s="38"/>
      <c r="Y41" s="49">
        <v>200</v>
      </c>
      <c r="Z41" s="49"/>
      <c r="AA41" s="49">
        <v>200</v>
      </c>
    </row>
    <row r="42" spans="1:27" x14ac:dyDescent="0.25">
      <c r="A42" s="38"/>
      <c r="B42" s="38" t="s">
        <v>98</v>
      </c>
      <c r="C42" s="38"/>
      <c r="D42" s="38"/>
      <c r="E42" s="49">
        <v>0</v>
      </c>
      <c r="F42" s="49"/>
      <c r="G42" s="49">
        <v>0</v>
      </c>
      <c r="H42" s="38"/>
      <c r="I42" s="49">
        <v>0</v>
      </c>
      <c r="J42" s="38"/>
      <c r="K42" s="49">
        <v>0</v>
      </c>
      <c r="L42" s="38"/>
      <c r="M42" s="49">
        <v>0</v>
      </c>
      <c r="N42" s="38"/>
      <c r="O42" s="49">
        <v>0</v>
      </c>
      <c r="P42" s="38"/>
      <c r="Q42" s="49">
        <v>0</v>
      </c>
      <c r="R42" s="38"/>
      <c r="S42" s="49">
        <v>0</v>
      </c>
      <c r="T42" s="49"/>
      <c r="U42" s="49">
        <v>0</v>
      </c>
      <c r="V42" s="38"/>
      <c r="W42" s="49">
        <v>0</v>
      </c>
      <c r="X42" s="38"/>
      <c r="Y42" s="49">
        <v>0</v>
      </c>
      <c r="Z42" s="49"/>
      <c r="AA42" s="49">
        <v>0</v>
      </c>
    </row>
    <row r="43" spans="1:27" x14ac:dyDescent="0.25">
      <c r="A43" s="38"/>
      <c r="B43" s="38" t="s">
        <v>99</v>
      </c>
      <c r="C43" s="38"/>
      <c r="D43" s="38"/>
      <c r="E43" s="49">
        <v>1600</v>
      </c>
      <c r="F43" s="49"/>
      <c r="G43" s="49">
        <v>1600</v>
      </c>
      <c r="H43" s="38"/>
      <c r="I43" s="49">
        <v>1600</v>
      </c>
      <c r="J43" s="38"/>
      <c r="K43" s="49">
        <v>1600</v>
      </c>
      <c r="L43" s="38"/>
      <c r="M43" s="49">
        <v>1600</v>
      </c>
      <c r="N43" s="38"/>
      <c r="O43" s="49">
        <v>1600</v>
      </c>
      <c r="P43" s="38"/>
      <c r="Q43" s="49">
        <v>1600</v>
      </c>
      <c r="R43" s="38"/>
      <c r="S43" s="49">
        <v>1600</v>
      </c>
      <c r="T43" s="49"/>
      <c r="U43" s="49">
        <v>1600</v>
      </c>
      <c r="V43" s="38"/>
      <c r="W43" s="49">
        <v>1600</v>
      </c>
      <c r="X43" s="38"/>
      <c r="Y43" s="49">
        <v>1600</v>
      </c>
      <c r="Z43" s="49"/>
      <c r="AA43" s="49">
        <v>1600</v>
      </c>
    </row>
    <row r="44" spans="1:27" x14ac:dyDescent="0.25">
      <c r="A44" s="38"/>
      <c r="B44" s="38" t="s">
        <v>100</v>
      </c>
      <c r="C44" s="38"/>
      <c r="D44" s="38"/>
      <c r="E44" s="49">
        <v>0</v>
      </c>
      <c r="F44" s="49"/>
      <c r="G44" s="49">
        <v>0</v>
      </c>
      <c r="H44" s="38"/>
      <c r="I44" s="49">
        <v>0</v>
      </c>
      <c r="J44" s="38"/>
      <c r="K44" s="49">
        <v>0</v>
      </c>
      <c r="L44" s="38"/>
      <c r="M44" s="49">
        <v>0</v>
      </c>
      <c r="N44" s="38"/>
      <c r="O44" s="49">
        <v>0</v>
      </c>
      <c r="P44" s="38"/>
      <c r="Q44" s="49">
        <v>0</v>
      </c>
      <c r="R44" s="38"/>
      <c r="S44" s="49">
        <v>0</v>
      </c>
      <c r="T44" s="49"/>
      <c r="U44" s="49">
        <v>0</v>
      </c>
      <c r="V44" s="38"/>
      <c r="W44" s="49">
        <v>0</v>
      </c>
      <c r="X44" s="38"/>
      <c r="Y44" s="49">
        <v>0</v>
      </c>
      <c r="Z44" s="49"/>
      <c r="AA44" s="49">
        <v>0</v>
      </c>
    </row>
    <row r="45" spans="1:27" x14ac:dyDescent="0.25">
      <c r="A45" s="38"/>
      <c r="B45" s="38" t="s">
        <v>101</v>
      </c>
      <c r="C45" s="38"/>
      <c r="D45" s="38"/>
      <c r="E45" s="49">
        <v>400</v>
      </c>
      <c r="F45" s="49"/>
      <c r="G45" s="49">
        <v>400</v>
      </c>
      <c r="H45" s="38"/>
      <c r="I45" s="49">
        <v>400</v>
      </c>
      <c r="J45" s="38"/>
      <c r="K45" s="49">
        <v>400</v>
      </c>
      <c r="L45" s="38"/>
      <c r="M45" s="49">
        <v>400</v>
      </c>
      <c r="N45" s="38"/>
      <c r="O45" s="49">
        <v>400</v>
      </c>
      <c r="P45" s="38"/>
      <c r="Q45" s="49">
        <v>400</v>
      </c>
      <c r="R45" s="38"/>
      <c r="S45" s="49">
        <v>400</v>
      </c>
      <c r="T45" s="49"/>
      <c r="U45" s="49">
        <v>400</v>
      </c>
      <c r="V45" s="38"/>
      <c r="W45" s="49">
        <v>400</v>
      </c>
      <c r="X45" s="38"/>
      <c r="Y45" s="49">
        <v>400</v>
      </c>
      <c r="Z45" s="49"/>
      <c r="AA45" s="49">
        <v>400</v>
      </c>
    </row>
    <row r="46" spans="1:27" x14ac:dyDescent="0.25">
      <c r="A46" s="38"/>
      <c r="B46" s="38" t="s">
        <v>102</v>
      </c>
      <c r="C46" s="38"/>
      <c r="D46" s="38"/>
      <c r="E46" s="49">
        <v>0</v>
      </c>
      <c r="F46" s="49"/>
      <c r="G46" s="49">
        <v>0</v>
      </c>
      <c r="H46" s="38"/>
      <c r="I46" s="49">
        <v>0</v>
      </c>
      <c r="J46" s="38"/>
      <c r="K46" s="49">
        <v>0</v>
      </c>
      <c r="L46" s="38"/>
      <c r="M46" s="49">
        <v>0</v>
      </c>
      <c r="N46" s="38"/>
      <c r="O46" s="49">
        <v>0</v>
      </c>
      <c r="P46" s="38"/>
      <c r="Q46" s="49">
        <v>0</v>
      </c>
      <c r="R46" s="38"/>
      <c r="S46" s="49">
        <v>0</v>
      </c>
      <c r="T46" s="49"/>
      <c r="U46" s="49">
        <v>0</v>
      </c>
      <c r="V46" s="38"/>
      <c r="W46" s="49">
        <v>0</v>
      </c>
      <c r="X46" s="38"/>
      <c r="Y46" s="49">
        <v>0</v>
      </c>
      <c r="Z46" s="49"/>
      <c r="AA46" s="49">
        <v>0</v>
      </c>
    </row>
    <row r="47" spans="1:27" x14ac:dyDescent="0.25">
      <c r="A47" s="38"/>
      <c r="B47" s="38" t="s">
        <v>103</v>
      </c>
      <c r="C47" s="38"/>
      <c r="D47" s="38"/>
      <c r="E47" s="49">
        <v>300</v>
      </c>
      <c r="F47" s="49"/>
      <c r="G47" s="49">
        <v>300</v>
      </c>
      <c r="H47" s="38"/>
      <c r="I47" s="49">
        <v>300</v>
      </c>
      <c r="J47" s="38"/>
      <c r="K47" s="49">
        <v>300</v>
      </c>
      <c r="L47" s="38"/>
      <c r="M47" s="49">
        <v>300</v>
      </c>
      <c r="N47" s="38"/>
      <c r="O47" s="49">
        <v>300</v>
      </c>
      <c r="P47" s="38"/>
      <c r="Q47" s="49">
        <v>300</v>
      </c>
      <c r="R47" s="38"/>
      <c r="S47" s="49">
        <v>300</v>
      </c>
      <c r="T47" s="49"/>
      <c r="U47" s="49">
        <v>300</v>
      </c>
      <c r="V47" s="38"/>
      <c r="W47" s="49">
        <v>300</v>
      </c>
      <c r="X47" s="38"/>
      <c r="Y47" s="49">
        <v>300</v>
      </c>
      <c r="Z47" s="49"/>
      <c r="AA47" s="49">
        <v>300</v>
      </c>
    </row>
    <row r="48" spans="1:27" x14ac:dyDescent="0.25">
      <c r="A48" s="38"/>
      <c r="B48" s="38" t="s">
        <v>104</v>
      </c>
      <c r="C48" s="38"/>
      <c r="D48" s="38"/>
      <c r="E48" s="49">
        <v>0</v>
      </c>
      <c r="F48" s="49"/>
      <c r="G48" s="49">
        <v>0</v>
      </c>
      <c r="H48" s="38"/>
      <c r="I48" s="49">
        <v>0</v>
      </c>
      <c r="J48" s="38"/>
      <c r="K48" s="49">
        <v>0</v>
      </c>
      <c r="L48" s="38"/>
      <c r="M48" s="49">
        <v>0</v>
      </c>
      <c r="N48" s="38"/>
      <c r="O48" s="49">
        <v>0</v>
      </c>
      <c r="P48" s="38"/>
      <c r="Q48" s="49">
        <v>0</v>
      </c>
      <c r="R48" s="38"/>
      <c r="S48" s="49">
        <v>0</v>
      </c>
      <c r="T48" s="49"/>
      <c r="U48" s="49">
        <v>0</v>
      </c>
      <c r="V48" s="38"/>
      <c r="W48" s="49">
        <v>0</v>
      </c>
      <c r="X48" s="38"/>
      <c r="Y48" s="49">
        <v>0</v>
      </c>
      <c r="Z48" s="49"/>
      <c r="AA48" s="49">
        <v>0</v>
      </c>
    </row>
    <row r="49" spans="1:27" x14ac:dyDescent="0.25">
      <c r="A49" s="38"/>
      <c r="B49" s="38" t="s">
        <v>105</v>
      </c>
      <c r="C49" s="38"/>
      <c r="D49" s="38"/>
      <c r="E49" s="48">
        <v>8971</v>
      </c>
      <c r="F49" s="49"/>
      <c r="G49" s="48">
        <v>8971</v>
      </c>
      <c r="H49" s="38"/>
      <c r="I49" s="48">
        <v>8971</v>
      </c>
      <c r="J49" s="38"/>
      <c r="K49" s="48">
        <v>8971</v>
      </c>
      <c r="L49" s="38"/>
      <c r="M49" s="48">
        <v>8971</v>
      </c>
      <c r="N49" s="38"/>
      <c r="O49" s="48">
        <v>8971</v>
      </c>
      <c r="P49" s="38"/>
      <c r="Q49" s="48">
        <v>8971</v>
      </c>
      <c r="R49" s="38"/>
      <c r="S49" s="48">
        <v>8971</v>
      </c>
      <c r="T49" s="49"/>
      <c r="U49" s="48">
        <v>8971</v>
      </c>
      <c r="V49" s="38"/>
      <c r="W49" s="48">
        <v>8971</v>
      </c>
      <c r="X49" s="38"/>
      <c r="Y49" s="48">
        <v>8971</v>
      </c>
      <c r="Z49" s="49"/>
      <c r="AA49" s="48">
        <v>8971</v>
      </c>
    </row>
    <row r="50" spans="1:27" ht="13" x14ac:dyDescent="0.3">
      <c r="A50" s="38"/>
      <c r="B50" s="50" t="s">
        <v>106</v>
      </c>
      <c r="C50" s="38"/>
      <c r="D50" s="38"/>
      <c r="E50" s="53">
        <f>SUM(E20:E49)</f>
        <v>20511</v>
      </c>
      <c r="F50" s="29"/>
      <c r="G50" s="53">
        <f>SUM(G20:G49)</f>
        <v>20698</v>
      </c>
      <c r="H50" s="50"/>
      <c r="I50" s="53">
        <f>SUM(I20:I49)</f>
        <v>20777</v>
      </c>
      <c r="J50" s="38"/>
      <c r="K50" s="53">
        <f>SUM(K20:K49)</f>
        <v>20999</v>
      </c>
      <c r="L50" s="38"/>
      <c r="M50" s="53">
        <f>SUM(M20:M49)</f>
        <v>18740</v>
      </c>
      <c r="N50" s="38"/>
      <c r="O50" s="53">
        <v>18594</v>
      </c>
      <c r="P50" s="38"/>
      <c r="Q50" s="53">
        <v>18267</v>
      </c>
      <c r="R50" s="38"/>
      <c r="S50" s="53">
        <v>18176</v>
      </c>
      <c r="T50" s="29"/>
      <c r="U50" s="53">
        <v>20382</v>
      </c>
      <c r="V50" s="50"/>
      <c r="W50" s="53">
        <v>20660</v>
      </c>
      <c r="X50" s="38"/>
      <c r="Y50" s="53">
        <v>21039</v>
      </c>
      <c r="Z50" s="29"/>
      <c r="AA50" s="53">
        <v>18935</v>
      </c>
    </row>
    <row r="51" spans="1:27" ht="14" x14ac:dyDescent="0.3">
      <c r="A51" s="51"/>
      <c r="B51" s="50" t="s">
        <v>107</v>
      </c>
      <c r="C51" s="38"/>
      <c r="D51" s="38"/>
      <c r="E51" s="29">
        <f>E18-E50</f>
        <v>9419</v>
      </c>
      <c r="F51" s="29"/>
      <c r="G51" s="29">
        <f>G18-G50</f>
        <v>14841</v>
      </c>
      <c r="H51" s="50"/>
      <c r="I51" s="29">
        <f>I18-I50</f>
        <v>18525</v>
      </c>
      <c r="J51" s="38"/>
      <c r="K51" s="29">
        <f>K18-K50</f>
        <v>16368</v>
      </c>
      <c r="L51" s="38"/>
      <c r="M51" s="29">
        <f>M18-M50</f>
        <v>18217</v>
      </c>
      <c r="N51" s="51"/>
      <c r="O51" s="29">
        <v>13026</v>
      </c>
      <c r="P51" s="38"/>
      <c r="Q51" s="29">
        <v>5435</v>
      </c>
      <c r="R51" s="38"/>
      <c r="S51" s="29">
        <v>3418</v>
      </c>
      <c r="T51" s="29"/>
      <c r="U51" s="29">
        <v>8323</v>
      </c>
      <c r="V51" s="50"/>
      <c r="W51" s="29">
        <v>13836</v>
      </c>
      <c r="X51" s="38"/>
      <c r="Y51" s="29">
        <v>22949</v>
      </c>
      <c r="Z51" s="29"/>
      <c r="AA51" s="29">
        <v>20953</v>
      </c>
    </row>
    <row r="52" spans="1:27" ht="14" x14ac:dyDescent="0.3">
      <c r="A52" s="51" t="s">
        <v>108</v>
      </c>
      <c r="B52" s="50"/>
      <c r="C52" s="38"/>
      <c r="D52" s="38"/>
      <c r="E52" s="54"/>
      <c r="F52" s="54"/>
      <c r="G52" s="54"/>
      <c r="H52" s="50"/>
      <c r="I52" s="54"/>
      <c r="J52" s="38"/>
      <c r="K52" s="54"/>
      <c r="L52" s="38"/>
      <c r="M52" s="54"/>
      <c r="N52" s="51"/>
      <c r="O52" s="54"/>
      <c r="P52" s="38"/>
      <c r="Q52" s="54"/>
      <c r="R52" s="38"/>
      <c r="S52" s="54"/>
      <c r="T52" s="54"/>
      <c r="U52" s="54"/>
      <c r="V52" s="50"/>
      <c r="W52" s="54"/>
      <c r="X52" s="38"/>
      <c r="Y52" s="54"/>
      <c r="Z52" s="54"/>
      <c r="AA52" s="54"/>
    </row>
    <row r="53" spans="1:27" ht="14" x14ac:dyDescent="0.3">
      <c r="A53" s="51"/>
      <c r="B53" s="47" t="s">
        <v>109</v>
      </c>
      <c r="C53" s="38"/>
      <c r="D53" s="38"/>
      <c r="E53" s="49">
        <v>0</v>
      </c>
      <c r="F53" s="49"/>
      <c r="G53" s="49">
        <v>0</v>
      </c>
      <c r="H53" s="47"/>
      <c r="I53" s="49">
        <v>0</v>
      </c>
      <c r="J53" s="38"/>
      <c r="K53" s="49">
        <v>0</v>
      </c>
      <c r="L53" s="38"/>
      <c r="M53" s="49">
        <v>0</v>
      </c>
      <c r="N53" s="51"/>
      <c r="O53" s="49">
        <v>0</v>
      </c>
      <c r="P53" s="38"/>
      <c r="Q53" s="49">
        <v>0</v>
      </c>
      <c r="R53" s="38"/>
      <c r="S53" s="49">
        <v>0</v>
      </c>
      <c r="T53" s="49"/>
      <c r="U53" s="49">
        <v>0</v>
      </c>
      <c r="V53" s="47"/>
      <c r="W53" s="49">
        <v>0</v>
      </c>
      <c r="X53" s="38"/>
      <c r="Y53" s="49">
        <v>0</v>
      </c>
      <c r="Z53" s="49"/>
      <c r="AA53" s="49">
        <v>0</v>
      </c>
    </row>
    <row r="54" spans="1:27" ht="14" x14ac:dyDescent="0.3">
      <c r="A54" s="51"/>
      <c r="B54" s="47" t="s">
        <v>110</v>
      </c>
      <c r="C54" s="38"/>
      <c r="D54" s="38"/>
      <c r="E54" s="55">
        <v>0</v>
      </c>
      <c r="F54" s="56"/>
      <c r="G54" s="55">
        <v>0</v>
      </c>
      <c r="H54" s="47"/>
      <c r="I54" s="55">
        <v>0</v>
      </c>
      <c r="J54" s="38"/>
      <c r="K54" s="55">
        <v>0</v>
      </c>
      <c r="L54" s="38"/>
      <c r="M54" s="55">
        <v>0</v>
      </c>
      <c r="N54" s="51"/>
      <c r="O54" s="55">
        <v>0</v>
      </c>
      <c r="P54" s="38"/>
      <c r="Q54" s="55">
        <v>0</v>
      </c>
      <c r="R54" s="38"/>
      <c r="S54" s="55">
        <v>0</v>
      </c>
      <c r="T54" s="56"/>
      <c r="U54" s="55">
        <v>0</v>
      </c>
      <c r="V54" s="47"/>
      <c r="W54" s="55">
        <v>0</v>
      </c>
      <c r="X54" s="38"/>
      <c r="Y54" s="55">
        <v>0</v>
      </c>
      <c r="Z54" s="56"/>
      <c r="AA54" s="55">
        <v>0</v>
      </c>
    </row>
    <row r="55" spans="1:27" ht="14" x14ac:dyDescent="0.3">
      <c r="A55" s="51"/>
      <c r="B55" s="50" t="s">
        <v>111</v>
      </c>
      <c r="C55" s="38"/>
      <c r="D55" s="38"/>
      <c r="E55" s="57">
        <f>SUM(E53:E54)</f>
        <v>0</v>
      </c>
      <c r="F55" s="58"/>
      <c r="G55" s="57">
        <f>SUM(G53:G54)</f>
        <v>0</v>
      </c>
      <c r="H55" s="50"/>
      <c r="I55" s="57">
        <f>SUM(I53:I54)</f>
        <v>0</v>
      </c>
      <c r="J55" s="38"/>
      <c r="K55" s="57">
        <f>SUM(K53:K54)</f>
        <v>0</v>
      </c>
      <c r="L55" s="38"/>
      <c r="M55" s="57">
        <f>SUM(M53:M54)</f>
        <v>0</v>
      </c>
      <c r="N55" s="51"/>
      <c r="O55" s="57">
        <v>0</v>
      </c>
      <c r="P55" s="38"/>
      <c r="Q55" s="57">
        <v>0</v>
      </c>
      <c r="R55" s="38"/>
      <c r="S55" s="57">
        <v>0</v>
      </c>
      <c r="T55" s="58"/>
      <c r="U55" s="57">
        <v>0</v>
      </c>
      <c r="V55" s="50"/>
      <c r="W55" s="57">
        <v>0</v>
      </c>
      <c r="X55" s="38"/>
      <c r="Y55" s="57">
        <v>0</v>
      </c>
      <c r="Z55" s="58"/>
      <c r="AA55" s="57">
        <v>0</v>
      </c>
    </row>
    <row r="56" spans="1:27" ht="14.5" thickBot="1" x14ac:dyDescent="0.35">
      <c r="A56" s="51" t="s">
        <v>112</v>
      </c>
      <c r="B56" s="50"/>
      <c r="C56" s="38"/>
      <c r="D56" s="38"/>
      <c r="E56" s="28">
        <f>E51+E55</f>
        <v>9419</v>
      </c>
      <c r="F56" s="59"/>
      <c r="G56" s="28">
        <f>G51+G55</f>
        <v>14841</v>
      </c>
      <c r="H56" s="50"/>
      <c r="I56" s="28">
        <f>I51+I55</f>
        <v>18525</v>
      </c>
      <c r="J56" s="38"/>
      <c r="K56" s="28">
        <f>K51+K55</f>
        <v>16368</v>
      </c>
      <c r="L56" s="38"/>
      <c r="M56" s="28">
        <f>M51+M55</f>
        <v>18217</v>
      </c>
      <c r="N56" s="51"/>
      <c r="O56" s="28">
        <v>13026</v>
      </c>
      <c r="P56" s="38"/>
      <c r="Q56" s="28">
        <v>5435</v>
      </c>
      <c r="R56" s="38"/>
      <c r="S56" s="28">
        <v>3418</v>
      </c>
      <c r="T56" s="59"/>
      <c r="U56" s="28">
        <v>8323</v>
      </c>
      <c r="V56" s="50"/>
      <c r="W56" s="28">
        <v>13836</v>
      </c>
      <c r="X56" s="38"/>
      <c r="Y56" s="28">
        <v>22949</v>
      </c>
      <c r="Z56" s="59"/>
      <c r="AA56" s="28">
        <v>20953</v>
      </c>
    </row>
    <row r="57" spans="1:27" ht="14.5" thickTop="1" x14ac:dyDescent="0.3">
      <c r="A57" s="51" t="s">
        <v>113</v>
      </c>
      <c r="B57" s="50"/>
      <c r="C57" s="38"/>
      <c r="D57" s="38"/>
      <c r="E57" s="112">
        <f>SUM(E56)</f>
        <v>9419</v>
      </c>
      <c r="F57" s="59"/>
      <c r="G57" s="112">
        <f>SUM($F$56:G56)</f>
        <v>14841</v>
      </c>
      <c r="H57" s="50"/>
      <c r="I57" s="112">
        <f>SUM($F$56:I56)</f>
        <v>33366</v>
      </c>
      <c r="J57" s="38"/>
      <c r="K57" s="112">
        <f>SUM($F$56:K56)</f>
        <v>49734</v>
      </c>
      <c r="L57" s="38"/>
      <c r="M57" s="60">
        <v>34585</v>
      </c>
      <c r="N57" s="61"/>
      <c r="O57" s="60">
        <v>47611</v>
      </c>
      <c r="P57" s="62"/>
      <c r="Q57" s="112">
        <v>53046</v>
      </c>
      <c r="R57" s="62"/>
      <c r="S57" s="112">
        <v>56464</v>
      </c>
      <c r="T57" s="60"/>
      <c r="U57" s="60">
        <v>11741</v>
      </c>
      <c r="V57" s="62"/>
      <c r="W57" s="60">
        <v>25577</v>
      </c>
      <c r="X57" s="62"/>
      <c r="Y57" s="60">
        <v>48526</v>
      </c>
      <c r="Z57" s="60"/>
      <c r="AA57" s="60">
        <v>69479</v>
      </c>
    </row>
    <row r="58" spans="1:27" ht="13" thickBot="1" x14ac:dyDescent="0.3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</row>
    <row r="59" spans="1:27" s="106" customFormat="1" x14ac:dyDescent="0.25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</row>
    <row r="60" spans="1:27" s="106" customFormat="1" x14ac:dyDescent="0.25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</row>
    <row r="61" spans="1:27" s="106" customFormat="1" x14ac:dyDescent="0.25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</row>
    <row r="62" spans="1:27" s="106" customFormat="1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</row>
    <row r="63" spans="1:27" s="106" customFormat="1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</row>
    <row r="64" spans="1:27" s="106" customFormat="1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</row>
    <row r="67" spans="3:3" s="64" customFormat="1" x14ac:dyDescent="0.25">
      <c r="C67" s="106" t="s">
        <v>125</v>
      </c>
    </row>
    <row r="68" spans="3:3" s="64" customFormat="1" x14ac:dyDescent="0.25">
      <c r="C68" s="106" t="s">
        <v>126</v>
      </c>
    </row>
    <row r="69" spans="3:3" s="64" customFormat="1" x14ac:dyDescent="0.25"/>
    <row r="70" spans="3:3" s="64" customFormat="1" x14ac:dyDescent="0.25">
      <c r="C70" s="64" t="s">
        <v>127</v>
      </c>
    </row>
    <row r="71" spans="3:3" s="64" customFormat="1" x14ac:dyDescent="0.25"/>
    <row r="72" spans="3:3" s="64" customFormat="1" x14ac:dyDescent="0.25">
      <c r="C72" s="64" t="s">
        <v>128</v>
      </c>
    </row>
    <row r="73" spans="3:3" s="64" customFormat="1" x14ac:dyDescent="0.25"/>
  </sheetData>
  <pageMargins left="0.75" right="0.75" top="0.25" bottom="0.25" header="0.5" footer="0.5"/>
  <pageSetup scale="69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J6" sqref="J6"/>
    </sheetView>
  </sheetViews>
  <sheetFormatPr defaultRowHeight="12.5" x14ac:dyDescent="0.25"/>
  <sheetData/>
  <printOptions horizontalCentered="1" verticalCentered="1"/>
  <pageMargins left="0.75" right="0.75" top="1" bottom="1" header="0.5" footer="0.5"/>
  <pageSetup scale="13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horizontalCentered="1" verticalCentered="1"/>
  <pageMargins left="0.75" right="0.75" top="1" bottom="1" header="0.5" footer="0.5"/>
  <pageSetup scale="135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5"/>
  <sheetViews>
    <sheetView workbookViewId="0"/>
  </sheetViews>
  <sheetFormatPr defaultRowHeight="12.5" x14ac:dyDescent="0.25"/>
  <sheetData>
    <row r="1" spans="1:18" s="93" customFormat="1" ht="20" x14ac:dyDescent="0.4">
      <c r="A1" s="10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 ht="20" x14ac:dyDescent="0.4">
      <c r="A2" s="104" t="s">
        <v>129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s="94" customFormat="1" ht="18" thickBot="1" x14ac:dyDescent="0.4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4" spans="1:18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5.5" x14ac:dyDescent="0.35">
      <c r="A5" s="98">
        <v>2000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13" x14ac:dyDescent="0.3">
      <c r="A7" s="27"/>
      <c r="B7" s="27"/>
      <c r="C7" s="27"/>
      <c r="D7" s="27"/>
      <c r="E7" s="27"/>
      <c r="F7" s="99" t="s">
        <v>49</v>
      </c>
      <c r="G7" s="99" t="s">
        <v>50</v>
      </c>
      <c r="H7" s="99" t="s">
        <v>51</v>
      </c>
      <c r="I7" s="99" t="s">
        <v>52</v>
      </c>
      <c r="J7" s="99" t="s">
        <v>53</v>
      </c>
      <c r="K7" s="99" t="s">
        <v>54</v>
      </c>
      <c r="L7" s="99" t="s">
        <v>55</v>
      </c>
      <c r="M7" s="99" t="s">
        <v>56</v>
      </c>
      <c r="N7" s="99" t="s">
        <v>57</v>
      </c>
      <c r="O7" s="99" t="s">
        <v>58</v>
      </c>
      <c r="P7" s="99" t="s">
        <v>59</v>
      </c>
      <c r="Q7" s="99" t="s">
        <v>60</v>
      </c>
      <c r="R7" s="99" t="s">
        <v>130</v>
      </c>
    </row>
    <row r="8" spans="1:18" ht="13" x14ac:dyDescent="0.3">
      <c r="A8" s="27"/>
      <c r="B8" s="27"/>
      <c r="C8" s="27"/>
      <c r="D8" s="100" t="s">
        <v>131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x14ac:dyDescent="0.25">
      <c r="A9" s="27"/>
      <c r="B9" s="27"/>
      <c r="C9" s="27"/>
      <c r="D9" s="27" t="s">
        <v>132</v>
      </c>
      <c r="E9" s="27"/>
      <c r="F9" s="102">
        <v>75</v>
      </c>
      <c r="G9" s="102">
        <v>86</v>
      </c>
      <c r="H9" s="102">
        <v>95</v>
      </c>
      <c r="I9" s="102">
        <v>95</v>
      </c>
      <c r="J9" s="102">
        <v>91</v>
      </c>
      <c r="K9" s="102">
        <v>78</v>
      </c>
      <c r="L9" s="102">
        <v>59</v>
      </c>
      <c r="M9" s="102">
        <v>54</v>
      </c>
      <c r="N9" s="102">
        <v>71</v>
      </c>
      <c r="O9" s="102">
        <v>85</v>
      </c>
      <c r="P9" s="102">
        <v>108</v>
      </c>
      <c r="Q9" s="102">
        <v>97</v>
      </c>
      <c r="R9" s="102">
        <v>994</v>
      </c>
    </row>
    <row r="10" spans="1:18" x14ac:dyDescent="0.25">
      <c r="A10" s="27"/>
      <c r="B10" s="27"/>
      <c r="C10" s="27"/>
      <c r="D10" s="27" t="s">
        <v>133</v>
      </c>
      <c r="E10" s="27"/>
      <c r="F10" s="102"/>
      <c r="G10" s="102">
        <v>22</v>
      </c>
      <c r="H10" s="102">
        <v>24</v>
      </c>
      <c r="I10" s="102">
        <v>24</v>
      </c>
      <c r="J10" s="102">
        <v>23</v>
      </c>
      <c r="K10" s="102">
        <v>20</v>
      </c>
      <c r="L10" s="102">
        <v>15</v>
      </c>
      <c r="M10" s="102">
        <v>14</v>
      </c>
      <c r="N10" s="102">
        <v>18</v>
      </c>
      <c r="O10" s="102">
        <v>21</v>
      </c>
      <c r="P10" s="102">
        <v>27</v>
      </c>
      <c r="Q10" s="102">
        <v>24</v>
      </c>
      <c r="R10" s="102">
        <v>230</v>
      </c>
    </row>
    <row r="11" spans="1:18" x14ac:dyDescent="0.25">
      <c r="A11" s="27"/>
      <c r="B11" s="27"/>
      <c r="C11" s="27"/>
      <c r="D11" s="27"/>
      <c r="E11" s="27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</row>
    <row r="12" spans="1:18" ht="13" x14ac:dyDescent="0.3">
      <c r="A12" s="100" t="s">
        <v>134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x14ac:dyDescent="0.25">
      <c r="A13" s="27" t="s">
        <v>135</v>
      </c>
      <c r="B13" s="27"/>
      <c r="C13" s="27"/>
      <c r="D13" s="27"/>
      <c r="E13" s="27"/>
      <c r="F13" s="101">
        <v>6750</v>
      </c>
      <c r="G13" s="101">
        <v>7740</v>
      </c>
      <c r="H13" s="101">
        <v>8550</v>
      </c>
      <c r="I13" s="101">
        <v>8550</v>
      </c>
      <c r="J13" s="101">
        <v>8190</v>
      </c>
      <c r="K13" s="101">
        <v>7020</v>
      </c>
      <c r="L13" s="101">
        <v>5310</v>
      </c>
      <c r="M13" s="101">
        <v>4860</v>
      </c>
      <c r="N13" s="101">
        <v>6390</v>
      </c>
      <c r="O13" s="101">
        <v>7650</v>
      </c>
      <c r="P13" s="101">
        <v>9720</v>
      </c>
      <c r="Q13" s="101">
        <v>8730</v>
      </c>
      <c r="R13" s="27"/>
    </row>
    <row r="14" spans="1:18" x14ac:dyDescent="0.25">
      <c r="A14" s="27" t="s">
        <v>136</v>
      </c>
      <c r="B14" s="27"/>
      <c r="C14" s="27"/>
      <c r="D14" s="27"/>
      <c r="E14" s="27"/>
      <c r="F14" s="101">
        <v>14250</v>
      </c>
      <c r="G14" s="101">
        <v>16340</v>
      </c>
      <c r="H14" s="101">
        <v>18050</v>
      </c>
      <c r="I14" s="101">
        <v>18050</v>
      </c>
      <c r="J14" s="101">
        <v>17290</v>
      </c>
      <c r="K14" s="101">
        <v>14820</v>
      </c>
      <c r="L14" s="101">
        <v>11210</v>
      </c>
      <c r="M14" s="101">
        <v>10260</v>
      </c>
      <c r="N14" s="101">
        <v>13490</v>
      </c>
      <c r="O14" s="101">
        <v>16150</v>
      </c>
      <c r="P14" s="101">
        <v>20520</v>
      </c>
      <c r="Q14" s="101">
        <v>18430</v>
      </c>
      <c r="R14" s="27"/>
    </row>
    <row r="15" spans="1:18" x14ac:dyDescent="0.25">
      <c r="A15" s="27" t="s">
        <v>137</v>
      </c>
      <c r="B15" s="27"/>
      <c r="C15" s="27"/>
      <c r="D15" s="27"/>
      <c r="E15" s="27"/>
      <c r="F15" s="27"/>
      <c r="G15" s="101">
        <v>5719</v>
      </c>
      <c r="H15" s="101">
        <v>6318</v>
      </c>
      <c r="I15" s="101">
        <v>6318</v>
      </c>
      <c r="J15" s="101">
        <v>6052</v>
      </c>
      <c r="K15" s="101">
        <v>5187</v>
      </c>
      <c r="L15" s="101">
        <v>3924</v>
      </c>
      <c r="M15" s="101">
        <v>3591</v>
      </c>
      <c r="N15" s="101">
        <v>4722</v>
      </c>
      <c r="O15" s="101">
        <v>5653</v>
      </c>
      <c r="P15" s="101">
        <v>7182</v>
      </c>
      <c r="Q15" s="101">
        <v>6451</v>
      </c>
      <c r="R15" s="27"/>
    </row>
    <row r="16" spans="1:18" x14ac:dyDescent="0.25">
      <c r="A16" s="27" t="s">
        <v>136</v>
      </c>
      <c r="B16" s="27"/>
      <c r="C16" s="27"/>
      <c r="D16" s="27"/>
      <c r="E16" s="27"/>
      <c r="F16" s="27"/>
      <c r="G16" s="101">
        <v>1161</v>
      </c>
      <c r="H16" s="101">
        <v>1283</v>
      </c>
      <c r="I16" s="101">
        <v>1283</v>
      </c>
      <c r="J16" s="101">
        <v>1229</v>
      </c>
      <c r="K16" s="101">
        <v>1053</v>
      </c>
      <c r="L16" s="101">
        <v>797</v>
      </c>
      <c r="M16" s="101">
        <v>729</v>
      </c>
      <c r="N16" s="101">
        <v>959</v>
      </c>
      <c r="O16" s="101">
        <v>1148</v>
      </c>
      <c r="P16" s="101">
        <v>1458</v>
      </c>
      <c r="Q16" s="101">
        <v>1310</v>
      </c>
      <c r="R16" s="27"/>
    </row>
    <row r="17" spans="1:18" x14ac:dyDescent="0.25">
      <c r="A17" s="27"/>
      <c r="B17" s="27"/>
      <c r="C17" s="27"/>
      <c r="D17" s="27"/>
      <c r="E17" s="27"/>
      <c r="F17" s="101">
        <v>21000</v>
      </c>
      <c r="G17" s="101">
        <v>30960</v>
      </c>
      <c r="H17" s="101">
        <v>34200</v>
      </c>
      <c r="I17" s="101">
        <v>34200</v>
      </c>
      <c r="J17" s="101">
        <v>32760</v>
      </c>
      <c r="K17" s="101">
        <v>28080</v>
      </c>
      <c r="L17" s="101">
        <v>21240</v>
      </c>
      <c r="M17" s="101">
        <v>19440</v>
      </c>
      <c r="N17" s="101">
        <v>25560</v>
      </c>
      <c r="O17" s="101">
        <v>30600</v>
      </c>
      <c r="P17" s="101">
        <v>38880</v>
      </c>
      <c r="Q17" s="101">
        <v>34920</v>
      </c>
      <c r="R17" s="101">
        <v>351840</v>
      </c>
    </row>
    <row r="18" spans="1:18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15.5" x14ac:dyDescent="0.35">
      <c r="A23" s="98">
        <v>2001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3" x14ac:dyDescent="0.3">
      <c r="A24" s="27"/>
      <c r="B24" s="27"/>
      <c r="C24" s="27"/>
      <c r="D24" s="27"/>
      <c r="E24" s="27"/>
      <c r="F24" s="99" t="s">
        <v>49</v>
      </c>
      <c r="G24" s="99" t="s">
        <v>50</v>
      </c>
      <c r="H24" s="99" t="s">
        <v>51</v>
      </c>
      <c r="I24" s="99" t="s">
        <v>52</v>
      </c>
      <c r="J24" s="99" t="s">
        <v>53</v>
      </c>
      <c r="K24" s="99" t="s">
        <v>54</v>
      </c>
      <c r="L24" s="99" t="s">
        <v>55</v>
      </c>
      <c r="M24" s="99" t="s">
        <v>56</v>
      </c>
      <c r="N24" s="99" t="s">
        <v>57</v>
      </c>
      <c r="O24" s="99" t="s">
        <v>58</v>
      </c>
      <c r="P24" s="99" t="s">
        <v>59</v>
      </c>
      <c r="Q24" s="99" t="s">
        <v>60</v>
      </c>
      <c r="R24" s="99" t="s">
        <v>130</v>
      </c>
    </row>
    <row r="25" spans="1:18" ht="13" x14ac:dyDescent="0.3">
      <c r="A25" s="27"/>
      <c r="B25" s="27"/>
      <c r="C25" s="27"/>
      <c r="D25" s="103" t="s">
        <v>131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x14ac:dyDescent="0.25">
      <c r="A26" s="27"/>
      <c r="B26" s="27"/>
      <c r="C26" s="27"/>
      <c r="D26" s="27" t="s">
        <v>132</v>
      </c>
      <c r="E26" s="27"/>
      <c r="F26" s="102">
        <v>95</v>
      </c>
      <c r="G26" s="102">
        <v>108</v>
      </c>
      <c r="H26" s="102">
        <v>120</v>
      </c>
      <c r="I26" s="102">
        <v>120</v>
      </c>
      <c r="J26" s="102">
        <v>115</v>
      </c>
      <c r="K26" s="102">
        <v>98</v>
      </c>
      <c r="L26" s="102">
        <v>74</v>
      </c>
      <c r="M26" s="102">
        <v>68</v>
      </c>
      <c r="N26" s="102">
        <v>89</v>
      </c>
      <c r="O26" s="102">
        <v>107</v>
      </c>
      <c r="P26" s="102">
        <v>136</v>
      </c>
      <c r="Q26" s="102">
        <v>122</v>
      </c>
      <c r="R26" s="102">
        <v>1252</v>
      </c>
    </row>
    <row r="27" spans="1:18" x14ac:dyDescent="0.25">
      <c r="A27" s="27"/>
      <c r="B27" s="27"/>
      <c r="C27" s="27"/>
      <c r="D27" s="27" t="s">
        <v>133</v>
      </c>
      <c r="E27" s="27"/>
      <c r="F27" s="102">
        <v>24</v>
      </c>
      <c r="G27" s="102">
        <v>27</v>
      </c>
      <c r="H27" s="102">
        <v>30</v>
      </c>
      <c r="I27" s="102">
        <v>30</v>
      </c>
      <c r="J27" s="102">
        <v>29</v>
      </c>
      <c r="K27" s="102">
        <v>25</v>
      </c>
      <c r="L27" s="102">
        <v>19</v>
      </c>
      <c r="M27" s="102">
        <v>17</v>
      </c>
      <c r="N27" s="102">
        <v>22</v>
      </c>
      <c r="O27" s="102">
        <v>27</v>
      </c>
      <c r="P27" s="102">
        <v>34</v>
      </c>
      <c r="Q27" s="102">
        <v>31</v>
      </c>
      <c r="R27" s="102">
        <v>313</v>
      </c>
    </row>
    <row r="28" spans="1:18" x14ac:dyDescent="0.25">
      <c r="A28" s="27"/>
      <c r="B28" s="27"/>
      <c r="C28" s="27"/>
      <c r="D28" s="27"/>
      <c r="E28" s="27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</row>
    <row r="29" spans="1:18" ht="13" x14ac:dyDescent="0.3">
      <c r="A29" s="100" t="s">
        <v>134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x14ac:dyDescent="0.25">
      <c r="A30" s="27" t="s">
        <v>135</v>
      </c>
      <c r="B30" s="27"/>
      <c r="C30" s="27"/>
      <c r="D30" s="27"/>
      <c r="E30" s="27"/>
      <c r="F30" s="101">
        <v>8505</v>
      </c>
      <c r="G30" s="101">
        <v>9752</v>
      </c>
      <c r="H30" s="101">
        <v>10773</v>
      </c>
      <c r="I30" s="101">
        <v>10773</v>
      </c>
      <c r="J30" s="101">
        <v>10319</v>
      </c>
      <c r="K30" s="101">
        <v>8845</v>
      </c>
      <c r="L30" s="101">
        <v>6691</v>
      </c>
      <c r="M30" s="101">
        <v>6124</v>
      </c>
      <c r="N30" s="101">
        <v>8051</v>
      </c>
      <c r="O30" s="101">
        <v>9639</v>
      </c>
      <c r="P30" s="101">
        <v>12247</v>
      </c>
      <c r="Q30" s="101">
        <v>11000</v>
      </c>
      <c r="R30" s="27"/>
    </row>
    <row r="31" spans="1:18" x14ac:dyDescent="0.25">
      <c r="A31" s="27" t="s">
        <v>136</v>
      </c>
      <c r="B31" s="27"/>
      <c r="C31" s="27"/>
      <c r="D31" s="27"/>
      <c r="E31" s="27"/>
      <c r="F31" s="101">
        <v>17955</v>
      </c>
      <c r="G31" s="101">
        <v>20588</v>
      </c>
      <c r="H31" s="101">
        <v>22743</v>
      </c>
      <c r="I31" s="101">
        <v>22743</v>
      </c>
      <c r="J31" s="101">
        <v>21785</v>
      </c>
      <c r="K31" s="101">
        <v>18673</v>
      </c>
      <c r="L31" s="101">
        <v>14125</v>
      </c>
      <c r="M31" s="101">
        <v>12928</v>
      </c>
      <c r="N31" s="101">
        <v>16997</v>
      </c>
      <c r="O31" s="101">
        <v>20349</v>
      </c>
      <c r="P31" s="101">
        <v>25855</v>
      </c>
      <c r="Q31" s="101">
        <v>23222</v>
      </c>
      <c r="R31" s="27"/>
    </row>
    <row r="32" spans="1:18" x14ac:dyDescent="0.25">
      <c r="A32" s="27" t="s">
        <v>137</v>
      </c>
      <c r="B32" s="27"/>
      <c r="C32" s="27"/>
      <c r="D32" s="27"/>
      <c r="E32" s="27"/>
      <c r="F32" s="101">
        <v>6284</v>
      </c>
      <c r="G32" s="101">
        <v>7206</v>
      </c>
      <c r="H32" s="101">
        <v>7960</v>
      </c>
      <c r="I32" s="101">
        <v>7960</v>
      </c>
      <c r="J32" s="101">
        <v>7625</v>
      </c>
      <c r="K32" s="101">
        <v>6536</v>
      </c>
      <c r="L32" s="101">
        <v>4944</v>
      </c>
      <c r="M32" s="101">
        <v>4525</v>
      </c>
      <c r="N32" s="101">
        <v>5949</v>
      </c>
      <c r="O32" s="101">
        <v>7122</v>
      </c>
      <c r="P32" s="101">
        <v>9049</v>
      </c>
      <c r="Q32" s="101">
        <v>8128</v>
      </c>
      <c r="R32" s="27"/>
    </row>
    <row r="33" spans="1:18" x14ac:dyDescent="0.25">
      <c r="A33" s="27" t="s">
        <v>136</v>
      </c>
      <c r="B33" s="27"/>
      <c r="C33" s="27"/>
      <c r="D33" s="27"/>
      <c r="E33" s="27"/>
      <c r="F33" s="101">
        <v>1276</v>
      </c>
      <c r="G33" s="101">
        <v>1463</v>
      </c>
      <c r="H33" s="101">
        <v>1616</v>
      </c>
      <c r="I33" s="101">
        <v>1616</v>
      </c>
      <c r="J33" s="101">
        <v>1548</v>
      </c>
      <c r="K33" s="101">
        <v>1327</v>
      </c>
      <c r="L33" s="101">
        <v>1004</v>
      </c>
      <c r="M33" s="101">
        <v>919</v>
      </c>
      <c r="N33" s="101">
        <v>1208</v>
      </c>
      <c r="O33" s="101">
        <v>1446</v>
      </c>
      <c r="P33" s="101">
        <v>1837</v>
      </c>
      <c r="Q33" s="101">
        <v>1650</v>
      </c>
      <c r="R33" s="27"/>
    </row>
    <row r="34" spans="1:18" x14ac:dyDescent="0.25">
      <c r="A34" s="27"/>
      <c r="B34" s="27"/>
      <c r="C34" s="27"/>
      <c r="D34" s="27"/>
      <c r="E34" s="27"/>
      <c r="F34" s="101">
        <v>34020</v>
      </c>
      <c r="G34" s="101">
        <v>39010</v>
      </c>
      <c r="H34" s="101">
        <v>43092</v>
      </c>
      <c r="I34" s="101">
        <v>43092</v>
      </c>
      <c r="J34" s="101">
        <v>41278</v>
      </c>
      <c r="K34" s="101">
        <v>35381</v>
      </c>
      <c r="L34" s="101">
        <v>26762</v>
      </c>
      <c r="M34" s="101">
        <v>24494</v>
      </c>
      <c r="N34" s="101">
        <v>32206</v>
      </c>
      <c r="O34" s="101">
        <v>38556</v>
      </c>
      <c r="P34" s="101">
        <v>48989</v>
      </c>
      <c r="Q34" s="101">
        <v>43999</v>
      </c>
      <c r="R34" s="101">
        <v>450878</v>
      </c>
    </row>
    <row r="35" spans="1:18" ht="13" thickBot="1" x14ac:dyDescent="0.3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</row>
  </sheetData>
  <pageMargins left="0.75" right="0.75" top="1" bottom="1" header="0.5" footer="0.5"/>
  <pageSetup scale="75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3"/>
  <sheetViews>
    <sheetView workbookViewId="0">
      <selection activeCell="A4" sqref="A4"/>
    </sheetView>
  </sheetViews>
  <sheetFormatPr defaultRowHeight="12.5" x14ac:dyDescent="0.25"/>
  <cols>
    <col min="1" max="1" width="9.7265625" customWidth="1"/>
    <col min="2" max="2" width="20.26953125" customWidth="1"/>
    <col min="3" max="3" width="1.7265625" customWidth="1"/>
    <col min="4" max="4" width="9.7265625" customWidth="1"/>
    <col min="5" max="5" width="1.7265625" customWidth="1"/>
    <col min="6" max="6" width="9.7265625" customWidth="1"/>
    <col min="7" max="7" width="1.7265625" customWidth="1"/>
    <col min="8" max="8" width="9.7265625" customWidth="1"/>
    <col min="9" max="9" width="1.7265625" customWidth="1"/>
    <col min="10" max="10" width="9.7265625" customWidth="1"/>
    <col min="11" max="11" width="1.7265625" customWidth="1"/>
    <col min="12" max="12" width="9.7265625" customWidth="1"/>
    <col min="13" max="13" width="1.7265625" customWidth="1"/>
    <col min="14" max="14" width="9.7265625" customWidth="1"/>
    <col min="15" max="15" width="1.7265625" customWidth="1"/>
    <col min="16" max="16" width="9.7265625" customWidth="1"/>
    <col min="17" max="17" width="1.7265625" customWidth="1"/>
    <col min="18" max="18" width="9.7265625" customWidth="1"/>
    <col min="19" max="19" width="1.7265625" customWidth="1"/>
    <col min="20" max="20" width="9.7265625" customWidth="1"/>
    <col min="21" max="21" width="1.7265625" customWidth="1"/>
    <col min="22" max="22" width="9.7265625" customWidth="1"/>
    <col min="23" max="23" width="1.7265625" customWidth="1"/>
    <col min="24" max="24" width="9.7265625" customWidth="1"/>
    <col min="25" max="25" width="1.7265625" customWidth="1"/>
    <col min="26" max="26" width="9.7265625" customWidth="1"/>
    <col min="27" max="27" width="1.7265625" customWidth="1"/>
    <col min="28" max="28" width="9.7265625" customWidth="1"/>
  </cols>
  <sheetData>
    <row r="1" spans="1:28" ht="20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x14ac:dyDescent="0.4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.5" thickBot="1" x14ac:dyDescent="0.35">
      <c r="A4" s="3"/>
      <c r="B4" s="3"/>
      <c r="C4" s="3"/>
      <c r="D4" s="4" t="s">
        <v>139</v>
      </c>
      <c r="E4" s="4"/>
      <c r="F4" s="4" t="s">
        <v>140</v>
      </c>
      <c r="G4" s="4"/>
      <c r="H4" s="4" t="s">
        <v>141</v>
      </c>
      <c r="I4" s="4"/>
      <c r="J4" s="4" t="s">
        <v>142</v>
      </c>
      <c r="K4" s="4"/>
      <c r="L4" s="4" t="s">
        <v>53</v>
      </c>
      <c r="M4" s="4"/>
      <c r="N4" s="4" t="s">
        <v>143</v>
      </c>
      <c r="O4" s="4"/>
      <c r="P4" s="4" t="s">
        <v>144</v>
      </c>
      <c r="Q4" s="4"/>
      <c r="R4" s="4" t="s">
        <v>145</v>
      </c>
      <c r="S4" s="4"/>
      <c r="T4" s="4" t="s">
        <v>146</v>
      </c>
      <c r="U4" s="4"/>
      <c r="V4" s="4" t="s">
        <v>147</v>
      </c>
      <c r="W4" s="4"/>
      <c r="X4" s="4" t="s">
        <v>148</v>
      </c>
      <c r="Y4" s="4"/>
      <c r="Z4" s="4" t="s">
        <v>149</v>
      </c>
      <c r="AA4" s="4"/>
      <c r="AB4" s="4" t="s">
        <v>130</v>
      </c>
    </row>
    <row r="5" spans="1:28" ht="13" x14ac:dyDescent="0.3">
      <c r="A5" s="5" t="s">
        <v>150</v>
      </c>
      <c r="B5" s="6"/>
      <c r="C5" s="6"/>
      <c r="D5" s="7"/>
      <c r="E5" s="6"/>
      <c r="F5" s="8">
        <v>-585</v>
      </c>
      <c r="G5" s="9"/>
      <c r="H5" s="8">
        <v>8970</v>
      </c>
      <c r="I5" s="9"/>
      <c r="J5" s="8">
        <v>21809</v>
      </c>
      <c r="K5" s="9"/>
      <c r="L5" s="8">
        <v>34802</v>
      </c>
      <c r="M5" s="9"/>
      <c r="N5" s="8">
        <v>48380</v>
      </c>
      <c r="O5" s="6"/>
      <c r="P5" s="8">
        <v>57755</v>
      </c>
      <c r="Q5" s="6"/>
      <c r="R5" s="8">
        <v>60692</v>
      </c>
      <c r="S5" s="9"/>
      <c r="T5" s="8">
        <v>61745</v>
      </c>
      <c r="U5" s="9"/>
      <c r="V5" s="8">
        <v>66276</v>
      </c>
      <c r="W5" s="9"/>
      <c r="X5" s="8">
        <v>75514</v>
      </c>
      <c r="Y5" s="9"/>
      <c r="Z5" s="8">
        <v>92130</v>
      </c>
      <c r="AA5" s="9"/>
      <c r="AB5" s="10"/>
    </row>
    <row r="6" spans="1:28" ht="13" x14ac:dyDescent="0.3">
      <c r="A6" s="5" t="s">
        <v>151</v>
      </c>
      <c r="B6" s="6"/>
      <c r="C6" s="6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</row>
    <row r="7" spans="1:28" x14ac:dyDescent="0.25">
      <c r="A7" s="6"/>
      <c r="B7" s="6" t="s">
        <v>152</v>
      </c>
      <c r="C7" s="6"/>
      <c r="D7" s="12">
        <v>0</v>
      </c>
      <c r="E7" s="6"/>
      <c r="F7" s="12">
        <v>998</v>
      </c>
      <c r="G7" s="6"/>
      <c r="H7" s="12">
        <v>1470</v>
      </c>
      <c r="I7" s="6"/>
      <c r="J7" s="12">
        <v>1624</v>
      </c>
      <c r="K7" s="6"/>
      <c r="L7" s="12">
        <v>1624</v>
      </c>
      <c r="M7" s="6"/>
      <c r="N7" s="12">
        <v>1556</v>
      </c>
      <c r="O7" s="6"/>
      <c r="P7" s="12">
        <v>1334</v>
      </c>
      <c r="Q7" s="6"/>
      <c r="R7" s="12">
        <v>1009</v>
      </c>
      <c r="S7" s="6"/>
      <c r="T7" s="12">
        <v>923</v>
      </c>
      <c r="U7" s="6"/>
      <c r="V7" s="12">
        <v>1214</v>
      </c>
      <c r="W7" s="6"/>
      <c r="X7" s="12">
        <v>1454</v>
      </c>
      <c r="Y7" s="6"/>
      <c r="Z7" s="12">
        <v>1847</v>
      </c>
      <c r="AA7" s="6"/>
      <c r="AB7" s="13">
        <v>15053</v>
      </c>
    </row>
    <row r="8" spans="1:28" x14ac:dyDescent="0.25">
      <c r="A8" s="6"/>
      <c r="B8" s="6" t="s">
        <v>153</v>
      </c>
      <c r="C8" s="6"/>
      <c r="D8" s="12">
        <v>6000</v>
      </c>
      <c r="E8" s="6"/>
      <c r="F8" s="12"/>
      <c r="G8" s="6"/>
      <c r="H8" s="12"/>
      <c r="I8" s="6"/>
      <c r="J8" s="12"/>
      <c r="K8" s="6"/>
      <c r="L8" s="12"/>
      <c r="M8" s="6"/>
      <c r="N8" s="12"/>
      <c r="O8" s="6"/>
      <c r="P8" s="12"/>
      <c r="Q8" s="6"/>
      <c r="R8" s="12"/>
      <c r="S8" s="6"/>
      <c r="T8" s="12"/>
      <c r="U8" s="6"/>
      <c r="V8" s="12"/>
      <c r="W8" s="6"/>
      <c r="X8" s="12"/>
      <c r="Y8" s="6"/>
      <c r="Z8" s="12"/>
      <c r="AA8" s="6"/>
      <c r="AB8" s="13">
        <v>6000</v>
      </c>
    </row>
    <row r="9" spans="1:28" x14ac:dyDescent="0.25">
      <c r="A9" s="6"/>
      <c r="B9" s="6" t="s">
        <v>154</v>
      </c>
      <c r="C9" s="6"/>
      <c r="D9" s="12">
        <v>19950</v>
      </c>
      <c r="E9" s="6"/>
      <c r="F9" s="12">
        <v>29412</v>
      </c>
      <c r="G9" s="6"/>
      <c r="H9" s="12">
        <v>32490</v>
      </c>
      <c r="I9" s="6"/>
      <c r="J9" s="12">
        <v>32490</v>
      </c>
      <c r="K9" s="6"/>
      <c r="L9" s="12">
        <v>31122</v>
      </c>
      <c r="M9" s="6"/>
      <c r="N9" s="12">
        <v>26676</v>
      </c>
      <c r="O9" s="6"/>
      <c r="P9" s="12">
        <v>20178</v>
      </c>
      <c r="Q9" s="6"/>
      <c r="R9" s="12">
        <v>18468</v>
      </c>
      <c r="S9" s="6"/>
      <c r="T9" s="12">
        <v>24282</v>
      </c>
      <c r="U9" s="6"/>
      <c r="V9" s="12">
        <v>29070</v>
      </c>
      <c r="W9" s="6"/>
      <c r="X9" s="12">
        <v>36936</v>
      </c>
      <c r="Y9" s="6"/>
      <c r="Z9" s="12">
        <v>33174</v>
      </c>
      <c r="AA9" s="6"/>
      <c r="AB9" s="13">
        <v>334248</v>
      </c>
    </row>
    <row r="10" spans="1:28" x14ac:dyDescent="0.25">
      <c r="A10" s="6"/>
      <c r="B10" s="6" t="s">
        <v>155</v>
      </c>
      <c r="C10" s="6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3">
        <v>0</v>
      </c>
    </row>
    <row r="11" spans="1:28" x14ac:dyDescent="0.25">
      <c r="A11" s="6"/>
      <c r="B11" s="6"/>
      <c r="C11" s="6"/>
      <c r="D11" s="12"/>
      <c r="E11" s="6"/>
      <c r="F11" s="12"/>
      <c r="G11" s="6"/>
      <c r="H11" s="12"/>
      <c r="I11" s="6"/>
      <c r="J11" s="12"/>
      <c r="K11" s="6"/>
      <c r="L11" s="12"/>
      <c r="M11" s="6"/>
      <c r="N11" s="12"/>
      <c r="O11" s="6"/>
      <c r="P11" s="12"/>
      <c r="Q11" s="6"/>
      <c r="R11" s="12"/>
      <c r="S11" s="6"/>
      <c r="T11" s="12"/>
      <c r="U11" s="6"/>
      <c r="V11" s="12"/>
      <c r="W11" s="6"/>
      <c r="X11" s="12"/>
      <c r="Y11" s="6"/>
      <c r="Z11" s="12"/>
      <c r="AA11" s="6"/>
      <c r="AB11" s="13">
        <v>0</v>
      </c>
    </row>
    <row r="12" spans="1:28" x14ac:dyDescent="0.25">
      <c r="A12" s="6"/>
      <c r="B12" s="6"/>
      <c r="C12" s="6"/>
      <c r="D12" s="12"/>
      <c r="E12" s="6"/>
      <c r="F12" s="12"/>
      <c r="G12" s="6"/>
      <c r="H12" s="12"/>
      <c r="I12" s="6"/>
      <c r="J12" s="12"/>
      <c r="K12" s="6"/>
      <c r="L12" s="12"/>
      <c r="M12" s="6"/>
      <c r="N12" s="12"/>
      <c r="O12" s="6"/>
      <c r="P12" s="12"/>
      <c r="Q12" s="6"/>
      <c r="R12" s="12"/>
      <c r="S12" s="6"/>
      <c r="T12" s="12"/>
      <c r="U12" s="6"/>
      <c r="V12" s="12"/>
      <c r="W12" s="6"/>
      <c r="X12" s="12"/>
      <c r="Y12" s="6"/>
      <c r="Z12" s="12"/>
      <c r="AA12" s="6"/>
      <c r="AB12" s="13">
        <v>0</v>
      </c>
    </row>
    <row r="13" spans="1:28" ht="13" x14ac:dyDescent="0.3">
      <c r="A13" s="6"/>
      <c r="B13" s="5" t="s">
        <v>156</v>
      </c>
      <c r="C13" s="5"/>
      <c r="D13" s="14">
        <v>25950</v>
      </c>
      <c r="E13" s="9"/>
      <c r="F13" s="14">
        <v>30410</v>
      </c>
      <c r="G13" s="9"/>
      <c r="H13" s="14">
        <v>33960</v>
      </c>
      <c r="I13" s="9"/>
      <c r="J13" s="14">
        <v>34114</v>
      </c>
      <c r="K13" s="9"/>
      <c r="L13" s="14">
        <v>32746</v>
      </c>
      <c r="M13" s="9"/>
      <c r="N13" s="14">
        <v>28232</v>
      </c>
      <c r="O13" s="6"/>
      <c r="P13" s="14">
        <v>21512</v>
      </c>
      <c r="Q13" s="9"/>
      <c r="R13" s="14">
        <v>19477</v>
      </c>
      <c r="S13" s="9"/>
      <c r="T13" s="14">
        <v>25205</v>
      </c>
      <c r="U13" s="9"/>
      <c r="V13" s="14">
        <v>30284</v>
      </c>
      <c r="W13" s="9"/>
      <c r="X13" s="14">
        <v>38390</v>
      </c>
      <c r="Y13" s="9"/>
      <c r="Z13" s="14">
        <v>35021</v>
      </c>
      <c r="AA13" s="9"/>
      <c r="AB13" s="15">
        <v>355301</v>
      </c>
    </row>
    <row r="14" spans="1:28" ht="13" x14ac:dyDescent="0.3">
      <c r="A14" s="5" t="s">
        <v>157</v>
      </c>
      <c r="B14" s="6"/>
      <c r="C14" s="6"/>
      <c r="D14" s="8">
        <v>25950</v>
      </c>
      <c r="E14" s="9"/>
      <c r="F14" s="8">
        <v>29825</v>
      </c>
      <c r="G14" s="9"/>
      <c r="H14" s="8">
        <v>42930</v>
      </c>
      <c r="I14" s="9"/>
      <c r="J14" s="8">
        <v>55923</v>
      </c>
      <c r="K14" s="9"/>
      <c r="L14" s="8">
        <v>67548</v>
      </c>
      <c r="M14" s="9"/>
      <c r="N14" s="8">
        <v>76612</v>
      </c>
      <c r="O14" s="6"/>
      <c r="P14" s="8">
        <v>79267</v>
      </c>
      <c r="Q14" s="9"/>
      <c r="R14" s="8">
        <v>80169</v>
      </c>
      <c r="S14" s="9"/>
      <c r="T14" s="8">
        <v>86950</v>
      </c>
      <c r="U14" s="9"/>
      <c r="V14" s="8">
        <v>96560</v>
      </c>
      <c r="W14" s="9"/>
      <c r="X14" s="8">
        <v>113904</v>
      </c>
      <c r="Y14" s="9"/>
      <c r="Z14" s="8">
        <v>127151</v>
      </c>
      <c r="AA14" s="9"/>
      <c r="AB14" s="10"/>
    </row>
    <row r="15" spans="1:28" ht="13" x14ac:dyDescent="0.3">
      <c r="A15" s="5" t="s">
        <v>158</v>
      </c>
      <c r="B15" s="6"/>
      <c r="C15" s="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1"/>
    </row>
    <row r="16" spans="1:28" x14ac:dyDescent="0.25">
      <c r="A16" s="6"/>
      <c r="B16" s="6" t="s">
        <v>76</v>
      </c>
      <c r="C16" s="6"/>
      <c r="D16" s="12">
        <v>300</v>
      </c>
      <c r="E16" s="6"/>
      <c r="F16" s="12">
        <v>300</v>
      </c>
      <c r="G16" s="6"/>
      <c r="H16" s="12">
        <v>300</v>
      </c>
      <c r="I16" s="6"/>
      <c r="J16" s="12">
        <v>300</v>
      </c>
      <c r="K16" s="6"/>
      <c r="L16" s="12">
        <v>300</v>
      </c>
      <c r="M16" s="6"/>
      <c r="N16" s="12">
        <v>300</v>
      </c>
      <c r="O16" s="6"/>
      <c r="P16" s="12">
        <v>600</v>
      </c>
      <c r="Q16" s="6"/>
      <c r="R16" s="12">
        <v>600</v>
      </c>
      <c r="S16" s="6"/>
      <c r="T16" s="12">
        <v>600</v>
      </c>
      <c r="U16" s="6"/>
      <c r="V16" s="12">
        <v>600</v>
      </c>
      <c r="W16" s="6"/>
      <c r="X16" s="12">
        <v>600</v>
      </c>
      <c r="Y16" s="6"/>
      <c r="Z16" s="12">
        <v>600</v>
      </c>
      <c r="AA16" s="6"/>
      <c r="AB16" s="13">
        <v>5400</v>
      </c>
    </row>
    <row r="17" spans="1:28" x14ac:dyDescent="0.25">
      <c r="A17" s="6"/>
      <c r="B17" s="6" t="s">
        <v>159</v>
      </c>
      <c r="C17" s="6"/>
      <c r="D17" s="12">
        <v>40</v>
      </c>
      <c r="E17" s="6"/>
      <c r="F17" s="12">
        <v>40</v>
      </c>
      <c r="G17" s="6"/>
      <c r="H17" s="12">
        <v>40</v>
      </c>
      <c r="I17" s="6"/>
      <c r="J17" s="12">
        <v>40</v>
      </c>
      <c r="K17" s="6"/>
      <c r="L17" s="12">
        <v>40</v>
      </c>
      <c r="M17" s="6"/>
      <c r="N17" s="12">
        <v>40</v>
      </c>
      <c r="O17" s="6"/>
      <c r="P17" s="12">
        <v>40</v>
      </c>
      <c r="Q17" s="6"/>
      <c r="R17" s="12">
        <v>40</v>
      </c>
      <c r="S17" s="6"/>
      <c r="T17" s="12">
        <v>40</v>
      </c>
      <c r="U17" s="6"/>
      <c r="V17" s="12">
        <v>40</v>
      </c>
      <c r="W17" s="6"/>
      <c r="X17" s="12">
        <v>40</v>
      </c>
      <c r="Y17" s="6"/>
      <c r="Z17" s="12">
        <v>40</v>
      </c>
      <c r="AA17" s="6"/>
      <c r="AB17" s="13">
        <v>480</v>
      </c>
    </row>
    <row r="18" spans="1:28" x14ac:dyDescent="0.25">
      <c r="A18" s="6"/>
      <c r="B18" s="6" t="s">
        <v>84</v>
      </c>
      <c r="C18" s="6"/>
      <c r="D18" s="12">
        <v>50</v>
      </c>
      <c r="E18" s="6"/>
      <c r="F18" s="12">
        <v>50</v>
      </c>
      <c r="G18" s="6"/>
      <c r="H18" s="12">
        <v>50</v>
      </c>
      <c r="I18" s="6"/>
      <c r="J18" s="12">
        <v>50</v>
      </c>
      <c r="K18" s="6"/>
      <c r="L18" s="12">
        <v>50</v>
      </c>
      <c r="M18" s="6"/>
      <c r="N18" s="12">
        <v>50</v>
      </c>
      <c r="O18" s="6"/>
      <c r="P18" s="12">
        <v>50</v>
      </c>
      <c r="Q18" s="6"/>
      <c r="R18" s="12">
        <v>50</v>
      </c>
      <c r="S18" s="6"/>
      <c r="T18" s="12">
        <v>50</v>
      </c>
      <c r="U18" s="6"/>
      <c r="V18" s="12">
        <v>50</v>
      </c>
      <c r="W18" s="6"/>
      <c r="X18" s="12">
        <v>50</v>
      </c>
      <c r="Y18" s="6"/>
      <c r="Z18" s="12">
        <v>50</v>
      </c>
      <c r="AA18" s="6"/>
      <c r="AB18" s="13">
        <v>600</v>
      </c>
    </row>
    <row r="19" spans="1:28" x14ac:dyDescent="0.25">
      <c r="A19" s="6"/>
      <c r="B19" s="6" t="s">
        <v>160</v>
      </c>
      <c r="C19" s="6"/>
      <c r="D19" s="12">
        <v>30</v>
      </c>
      <c r="E19" s="6"/>
      <c r="F19" s="12">
        <v>30</v>
      </c>
      <c r="G19" s="6"/>
      <c r="H19" s="12">
        <v>30</v>
      </c>
      <c r="I19" s="6"/>
      <c r="J19" s="12">
        <v>30</v>
      </c>
      <c r="K19" s="6"/>
      <c r="L19" s="12">
        <v>30</v>
      </c>
      <c r="M19" s="6"/>
      <c r="N19" s="12">
        <v>30</v>
      </c>
      <c r="O19" s="6"/>
      <c r="P19" s="12">
        <v>30</v>
      </c>
      <c r="Q19" s="6"/>
      <c r="R19" s="12">
        <v>30</v>
      </c>
      <c r="S19" s="6"/>
      <c r="T19" s="12">
        <v>30</v>
      </c>
      <c r="U19" s="6"/>
      <c r="V19" s="12">
        <v>30</v>
      </c>
      <c r="W19" s="6"/>
      <c r="X19" s="12">
        <v>30</v>
      </c>
      <c r="Y19" s="6"/>
      <c r="Z19" s="12">
        <v>30</v>
      </c>
      <c r="AA19" s="6"/>
      <c r="AB19" s="13">
        <v>360</v>
      </c>
    </row>
    <row r="20" spans="1:28" x14ac:dyDescent="0.25">
      <c r="A20" s="6"/>
      <c r="B20" s="6" t="s">
        <v>161</v>
      </c>
      <c r="C20" s="6"/>
      <c r="D20" s="12">
        <v>400</v>
      </c>
      <c r="E20" s="6"/>
      <c r="F20" s="12">
        <v>400</v>
      </c>
      <c r="G20" s="6"/>
      <c r="H20" s="12">
        <v>400</v>
      </c>
      <c r="I20" s="6"/>
      <c r="J20" s="12">
        <v>400</v>
      </c>
      <c r="K20" s="6"/>
      <c r="L20" s="12">
        <v>400</v>
      </c>
      <c r="M20" s="6"/>
      <c r="N20" s="12">
        <v>400</v>
      </c>
      <c r="O20" s="6"/>
      <c r="P20" s="12">
        <v>400</v>
      </c>
      <c r="Q20" s="6"/>
      <c r="R20" s="12">
        <v>400</v>
      </c>
      <c r="S20" s="6"/>
      <c r="T20" s="12">
        <v>400</v>
      </c>
      <c r="U20" s="6"/>
      <c r="V20" s="12">
        <v>400</v>
      </c>
      <c r="W20" s="6"/>
      <c r="X20" s="12">
        <v>400</v>
      </c>
      <c r="Y20" s="6"/>
      <c r="Z20" s="12">
        <v>400</v>
      </c>
      <c r="AA20" s="6"/>
      <c r="AB20" s="13">
        <v>4800</v>
      </c>
    </row>
    <row r="21" spans="1:28" x14ac:dyDescent="0.25">
      <c r="A21" s="6"/>
      <c r="B21" s="6" t="s">
        <v>88</v>
      </c>
      <c r="C21" s="6"/>
      <c r="D21" s="12">
        <v>200</v>
      </c>
      <c r="E21" s="6"/>
      <c r="F21" s="12">
        <v>200</v>
      </c>
      <c r="G21" s="6"/>
      <c r="H21" s="12">
        <v>200</v>
      </c>
      <c r="I21" s="6"/>
      <c r="J21" s="12">
        <v>200</v>
      </c>
      <c r="K21" s="6"/>
      <c r="L21" s="12">
        <v>200</v>
      </c>
      <c r="M21" s="6"/>
      <c r="N21" s="12">
        <v>200</v>
      </c>
      <c r="O21" s="6"/>
      <c r="P21" s="12">
        <v>200</v>
      </c>
      <c r="Q21" s="6"/>
      <c r="R21" s="12">
        <v>200</v>
      </c>
      <c r="S21" s="6"/>
      <c r="T21" s="12">
        <v>200</v>
      </c>
      <c r="U21" s="6"/>
      <c r="V21" s="12">
        <v>200</v>
      </c>
      <c r="W21" s="6"/>
      <c r="X21" s="12">
        <v>200</v>
      </c>
      <c r="Y21" s="6"/>
      <c r="Z21" s="12">
        <v>200</v>
      </c>
      <c r="AA21" s="6"/>
      <c r="AB21" s="13">
        <v>2400</v>
      </c>
    </row>
    <row r="22" spans="1:28" x14ac:dyDescent="0.25">
      <c r="A22" s="6"/>
      <c r="B22" s="6" t="s">
        <v>89</v>
      </c>
      <c r="C22" s="6"/>
      <c r="D22" s="12">
        <v>48</v>
      </c>
      <c r="E22" s="6"/>
      <c r="F22" s="12">
        <v>48</v>
      </c>
      <c r="G22" s="6"/>
      <c r="H22" s="12">
        <v>48</v>
      </c>
      <c r="I22" s="6"/>
      <c r="J22" s="12">
        <v>48</v>
      </c>
      <c r="K22" s="6"/>
      <c r="L22" s="12">
        <v>48</v>
      </c>
      <c r="M22" s="6"/>
      <c r="N22" s="12">
        <v>48</v>
      </c>
      <c r="O22" s="6"/>
      <c r="P22" s="12">
        <v>48</v>
      </c>
      <c r="Q22" s="6"/>
      <c r="R22" s="12">
        <v>48</v>
      </c>
      <c r="S22" s="6"/>
      <c r="T22" s="12">
        <v>48</v>
      </c>
      <c r="U22" s="6"/>
      <c r="V22" s="12">
        <v>48</v>
      </c>
      <c r="W22" s="6"/>
      <c r="X22" s="12">
        <v>48</v>
      </c>
      <c r="Y22" s="6"/>
      <c r="Z22" s="12">
        <v>48</v>
      </c>
      <c r="AA22" s="6"/>
      <c r="AB22" s="13">
        <v>576</v>
      </c>
    </row>
    <row r="23" spans="1:28" x14ac:dyDescent="0.25">
      <c r="A23" s="6"/>
      <c r="B23" s="6" t="s">
        <v>162</v>
      </c>
      <c r="C23" s="6"/>
      <c r="D23" s="12">
        <v>200</v>
      </c>
      <c r="E23" s="6"/>
      <c r="F23" s="12">
        <v>200</v>
      </c>
      <c r="G23" s="6"/>
      <c r="H23" s="12">
        <v>200</v>
      </c>
      <c r="I23" s="6"/>
      <c r="J23" s="12">
        <v>200</v>
      </c>
      <c r="K23" s="6"/>
      <c r="L23" s="12">
        <v>200</v>
      </c>
      <c r="M23" s="6"/>
      <c r="N23" s="12">
        <v>200</v>
      </c>
      <c r="O23" s="6"/>
      <c r="P23" s="12">
        <v>200</v>
      </c>
      <c r="Q23" s="6"/>
      <c r="R23" s="12">
        <v>200</v>
      </c>
      <c r="S23" s="6"/>
      <c r="T23" s="12">
        <v>200</v>
      </c>
      <c r="U23" s="6"/>
      <c r="V23" s="12">
        <v>200</v>
      </c>
      <c r="W23" s="6"/>
      <c r="X23" s="12">
        <v>200</v>
      </c>
      <c r="Y23" s="6"/>
      <c r="Z23" s="12">
        <v>200</v>
      </c>
      <c r="AA23" s="6"/>
      <c r="AB23" s="13">
        <v>2400</v>
      </c>
    </row>
    <row r="24" spans="1:28" x14ac:dyDescent="0.25">
      <c r="A24" s="6"/>
      <c r="B24" s="6" t="s">
        <v>163</v>
      </c>
      <c r="C24" s="6"/>
      <c r="D24" s="12">
        <v>9675</v>
      </c>
      <c r="E24" s="6"/>
      <c r="F24" s="12">
        <v>9675</v>
      </c>
      <c r="G24" s="6"/>
      <c r="H24" s="12">
        <v>9675</v>
      </c>
      <c r="I24" s="6"/>
      <c r="J24" s="12">
        <v>9675</v>
      </c>
      <c r="K24" s="6"/>
      <c r="L24" s="12">
        <v>8154</v>
      </c>
      <c r="M24" s="6"/>
      <c r="N24" s="12">
        <v>8154</v>
      </c>
      <c r="O24" s="6"/>
      <c r="P24" s="12">
        <v>8154</v>
      </c>
      <c r="Q24" s="6"/>
      <c r="R24" s="12">
        <v>8154</v>
      </c>
      <c r="S24" s="6"/>
      <c r="T24" s="12">
        <v>9675</v>
      </c>
      <c r="U24" s="6"/>
      <c r="V24" s="12">
        <v>9675</v>
      </c>
      <c r="W24" s="6"/>
      <c r="X24" s="12">
        <v>9675</v>
      </c>
      <c r="Y24" s="6"/>
      <c r="Z24" s="12">
        <v>8154</v>
      </c>
      <c r="AA24" s="6"/>
      <c r="AB24" s="13">
        <v>108495</v>
      </c>
    </row>
    <row r="25" spans="1:28" x14ac:dyDescent="0.25">
      <c r="A25" s="6"/>
      <c r="B25" s="6" t="s">
        <v>94</v>
      </c>
      <c r="C25" s="6"/>
      <c r="D25" s="12">
        <v>960</v>
      </c>
      <c r="E25" s="6"/>
      <c r="F25" s="12">
        <v>960</v>
      </c>
      <c r="G25" s="6"/>
      <c r="H25" s="12">
        <v>960</v>
      </c>
      <c r="I25" s="6"/>
      <c r="J25" s="12">
        <v>960</v>
      </c>
      <c r="K25" s="6"/>
      <c r="L25" s="12">
        <v>734</v>
      </c>
      <c r="M25" s="6"/>
      <c r="N25" s="12">
        <v>734</v>
      </c>
      <c r="O25" s="6"/>
      <c r="P25" s="12">
        <v>734</v>
      </c>
      <c r="Q25" s="6"/>
      <c r="R25" s="12">
        <v>734</v>
      </c>
      <c r="S25" s="6"/>
      <c r="T25" s="12">
        <v>960</v>
      </c>
      <c r="U25" s="6"/>
      <c r="V25" s="12">
        <v>960</v>
      </c>
      <c r="W25" s="6"/>
      <c r="X25" s="12">
        <v>960</v>
      </c>
      <c r="Y25" s="6"/>
      <c r="Z25" s="12">
        <v>734</v>
      </c>
      <c r="AA25" s="6"/>
      <c r="AB25" s="13">
        <v>10390</v>
      </c>
    </row>
    <row r="26" spans="1:28" x14ac:dyDescent="0.25">
      <c r="A26" s="6"/>
      <c r="B26" s="6" t="s">
        <v>97</v>
      </c>
      <c r="C26" s="6"/>
      <c r="D26" s="12">
        <v>200</v>
      </c>
      <c r="E26" s="6"/>
      <c r="F26" s="12">
        <v>200</v>
      </c>
      <c r="G26" s="6"/>
      <c r="H26" s="12">
        <v>200</v>
      </c>
      <c r="I26" s="6"/>
      <c r="J26" s="12">
        <v>200</v>
      </c>
      <c r="K26" s="6"/>
      <c r="L26" s="12">
        <v>200</v>
      </c>
      <c r="M26" s="6"/>
      <c r="N26" s="12">
        <v>200</v>
      </c>
      <c r="O26" s="6"/>
      <c r="P26" s="12">
        <v>200</v>
      </c>
      <c r="Q26" s="6"/>
      <c r="R26" s="12">
        <v>200</v>
      </c>
      <c r="S26" s="6"/>
      <c r="T26" s="12">
        <v>200</v>
      </c>
      <c r="U26" s="6"/>
      <c r="V26" s="12">
        <v>200</v>
      </c>
      <c r="W26" s="6"/>
      <c r="X26" s="12">
        <v>200</v>
      </c>
      <c r="Y26" s="6"/>
      <c r="Z26" s="12">
        <v>200</v>
      </c>
      <c r="AA26" s="6"/>
      <c r="AB26" s="13">
        <v>2400</v>
      </c>
    </row>
    <row r="27" spans="1:28" x14ac:dyDescent="0.25">
      <c r="A27" s="6"/>
      <c r="B27" s="6" t="s">
        <v>164</v>
      </c>
      <c r="C27" s="6"/>
      <c r="D27" s="12">
        <v>1500</v>
      </c>
      <c r="E27" s="6"/>
      <c r="F27" s="12">
        <v>1500</v>
      </c>
      <c r="G27" s="6"/>
      <c r="H27" s="12">
        <v>1500</v>
      </c>
      <c r="I27" s="6"/>
      <c r="J27" s="12">
        <v>1500</v>
      </c>
      <c r="K27" s="6"/>
      <c r="L27" s="12">
        <v>1500</v>
      </c>
      <c r="M27" s="6"/>
      <c r="N27" s="12">
        <v>1500</v>
      </c>
      <c r="O27" s="6"/>
      <c r="P27" s="12">
        <v>1500</v>
      </c>
      <c r="Q27" s="6"/>
      <c r="R27" s="12">
        <v>1500</v>
      </c>
      <c r="S27" s="6"/>
      <c r="T27" s="12">
        <v>1500</v>
      </c>
      <c r="U27" s="6"/>
      <c r="V27" s="12">
        <v>1500</v>
      </c>
      <c r="W27" s="6"/>
      <c r="X27" s="12">
        <v>1500</v>
      </c>
      <c r="Y27" s="6"/>
      <c r="Z27" s="12">
        <v>1500</v>
      </c>
      <c r="AA27" s="6"/>
      <c r="AB27" s="13">
        <v>18000</v>
      </c>
    </row>
    <row r="28" spans="1:28" x14ac:dyDescent="0.25">
      <c r="A28" s="6"/>
      <c r="B28" s="6" t="s">
        <v>165</v>
      </c>
      <c r="C28" s="6"/>
      <c r="D28" s="12">
        <v>10</v>
      </c>
      <c r="E28" s="6"/>
      <c r="F28" s="12">
        <v>10</v>
      </c>
      <c r="G28" s="6"/>
      <c r="H28" s="12">
        <v>10</v>
      </c>
      <c r="I28" s="6"/>
      <c r="J28" s="12">
        <v>10</v>
      </c>
      <c r="K28" s="6"/>
      <c r="L28" s="12">
        <v>10</v>
      </c>
      <c r="M28" s="6"/>
      <c r="N28" s="12">
        <v>10</v>
      </c>
      <c r="O28" s="6"/>
      <c r="P28" s="12">
        <v>10</v>
      </c>
      <c r="Q28" s="6"/>
      <c r="R28" s="12">
        <v>10</v>
      </c>
      <c r="S28" s="12"/>
      <c r="T28" s="12">
        <v>10</v>
      </c>
      <c r="U28" s="6"/>
      <c r="V28" s="12">
        <v>10</v>
      </c>
      <c r="W28" s="6"/>
      <c r="X28" s="12">
        <v>10</v>
      </c>
      <c r="Y28" s="6"/>
      <c r="Z28" s="12">
        <v>10</v>
      </c>
      <c r="AA28" s="6"/>
      <c r="AB28" s="13">
        <v>120</v>
      </c>
    </row>
    <row r="29" spans="1:28" x14ac:dyDescent="0.25">
      <c r="A29" s="6"/>
      <c r="B29" s="6" t="s">
        <v>166</v>
      </c>
      <c r="C29" s="6"/>
      <c r="D29" s="12">
        <v>600</v>
      </c>
      <c r="E29" s="6"/>
      <c r="F29" s="12">
        <v>660</v>
      </c>
      <c r="G29" s="6"/>
      <c r="H29" s="12">
        <v>706</v>
      </c>
      <c r="I29" s="6"/>
      <c r="J29" s="12">
        <v>706</v>
      </c>
      <c r="K29" s="6"/>
      <c r="L29" s="12">
        <v>600</v>
      </c>
      <c r="M29" s="6"/>
      <c r="N29" s="12">
        <v>609</v>
      </c>
      <c r="O29" s="6"/>
      <c r="P29" s="12">
        <v>507</v>
      </c>
      <c r="Q29" s="6"/>
      <c r="R29" s="12">
        <v>476</v>
      </c>
      <c r="S29" s="6"/>
      <c r="T29" s="12">
        <v>559</v>
      </c>
      <c r="U29" s="6"/>
      <c r="V29" s="12">
        <v>631</v>
      </c>
      <c r="W29" s="6"/>
      <c r="X29" s="12">
        <v>739</v>
      </c>
      <c r="Y29" s="6"/>
      <c r="Z29" s="12">
        <v>685</v>
      </c>
      <c r="AA29" s="6"/>
      <c r="AB29" s="13">
        <v>7478</v>
      </c>
    </row>
    <row r="30" spans="1:28" x14ac:dyDescent="0.25">
      <c r="A30" s="6"/>
      <c r="B30" s="6" t="s">
        <v>167</v>
      </c>
      <c r="C30" s="6"/>
      <c r="D30" s="12">
        <v>20</v>
      </c>
      <c r="E30" s="6"/>
      <c r="F30" s="12">
        <v>20</v>
      </c>
      <c r="G30" s="6"/>
      <c r="H30" s="12">
        <v>20</v>
      </c>
      <c r="I30" s="6"/>
      <c r="J30" s="12">
        <v>20</v>
      </c>
      <c r="K30" s="6"/>
      <c r="L30" s="12">
        <v>20</v>
      </c>
      <c r="M30" s="6"/>
      <c r="N30" s="12">
        <v>20</v>
      </c>
      <c r="O30" s="6"/>
      <c r="P30" s="12">
        <v>20</v>
      </c>
      <c r="Q30" s="6"/>
      <c r="R30" s="12">
        <v>20</v>
      </c>
      <c r="S30" s="6"/>
      <c r="T30" s="12">
        <v>20</v>
      </c>
      <c r="U30" s="6"/>
      <c r="V30" s="12">
        <v>20</v>
      </c>
      <c r="W30" s="6"/>
      <c r="X30" s="12">
        <v>20</v>
      </c>
      <c r="Y30" s="6"/>
      <c r="Z30" s="12">
        <v>20</v>
      </c>
      <c r="AA30" s="6"/>
      <c r="AB30" s="13">
        <v>240</v>
      </c>
    </row>
    <row r="31" spans="1:28" x14ac:dyDescent="0.25">
      <c r="A31" s="6"/>
      <c r="B31" s="6" t="s">
        <v>168</v>
      </c>
      <c r="C31" s="6"/>
      <c r="D31" s="12">
        <v>700</v>
      </c>
      <c r="E31" s="6"/>
      <c r="F31" s="12">
        <v>700</v>
      </c>
      <c r="G31" s="6"/>
      <c r="H31" s="12">
        <v>700</v>
      </c>
      <c r="I31" s="6"/>
      <c r="J31" s="12">
        <v>700</v>
      </c>
      <c r="K31" s="6"/>
      <c r="L31" s="12">
        <v>700</v>
      </c>
      <c r="M31" s="6"/>
      <c r="N31" s="12">
        <v>700</v>
      </c>
      <c r="O31" s="6"/>
      <c r="P31" s="12">
        <v>700</v>
      </c>
      <c r="Q31" s="6"/>
      <c r="R31" s="12">
        <v>700</v>
      </c>
      <c r="S31" s="6"/>
      <c r="T31" s="12">
        <v>700</v>
      </c>
      <c r="U31" s="6"/>
      <c r="V31" s="12">
        <v>700</v>
      </c>
      <c r="W31" s="6"/>
      <c r="X31" s="12">
        <v>700</v>
      </c>
      <c r="Y31" s="6"/>
      <c r="Z31" s="12">
        <v>700</v>
      </c>
      <c r="AA31" s="6"/>
      <c r="AB31" s="13">
        <v>8400</v>
      </c>
    </row>
    <row r="32" spans="1:28" x14ac:dyDescent="0.25">
      <c r="A32" s="6"/>
      <c r="B32" s="6" t="s">
        <v>169</v>
      </c>
      <c r="C32" s="6"/>
      <c r="D32" s="12">
        <v>1200</v>
      </c>
      <c r="E32" s="6"/>
      <c r="F32" s="12">
        <v>1200</v>
      </c>
      <c r="G32" s="6"/>
      <c r="H32" s="12">
        <v>1200</v>
      </c>
      <c r="I32" s="6"/>
      <c r="J32" s="12">
        <v>1200</v>
      </c>
      <c r="K32" s="6"/>
      <c r="L32" s="12">
        <v>1200</v>
      </c>
      <c r="M32" s="6"/>
      <c r="N32" s="12">
        <v>1200</v>
      </c>
      <c r="O32" s="6"/>
      <c r="P32" s="12">
        <v>1200</v>
      </c>
      <c r="Q32" s="6"/>
      <c r="R32" s="12">
        <v>1200</v>
      </c>
      <c r="S32" s="6"/>
      <c r="T32" s="12">
        <v>1200</v>
      </c>
      <c r="U32" s="6"/>
      <c r="V32" s="12">
        <v>1200</v>
      </c>
      <c r="W32" s="6"/>
      <c r="X32" s="12">
        <v>1200</v>
      </c>
      <c r="Y32" s="6"/>
      <c r="Z32" s="12">
        <v>1200</v>
      </c>
      <c r="AA32" s="6"/>
      <c r="AB32" s="13">
        <v>14400</v>
      </c>
    </row>
    <row r="33" spans="1:28" x14ac:dyDescent="0.25">
      <c r="A33" s="6"/>
      <c r="B33" s="6" t="s">
        <v>170</v>
      </c>
      <c r="C33" s="6"/>
      <c r="D33" s="12">
        <v>1750</v>
      </c>
      <c r="E33" s="6"/>
      <c r="F33" s="12">
        <v>1010</v>
      </c>
      <c r="G33" s="6"/>
      <c r="H33" s="12">
        <v>1230</v>
      </c>
      <c r="I33" s="6"/>
      <c r="J33" s="12">
        <v>1230</v>
      </c>
      <c r="K33" s="6"/>
      <c r="L33" s="12">
        <v>1130</v>
      </c>
      <c r="M33" s="6"/>
      <c r="N33" s="12">
        <v>810</v>
      </c>
      <c r="O33" s="6"/>
      <c r="P33" s="12">
        <v>330</v>
      </c>
      <c r="Q33" s="6"/>
      <c r="R33" s="12">
        <v>210</v>
      </c>
      <c r="S33" s="6"/>
      <c r="T33" s="12">
        <v>630</v>
      </c>
      <c r="U33" s="6"/>
      <c r="V33" s="12">
        <v>930</v>
      </c>
      <c r="W33" s="6"/>
      <c r="X33" s="12">
        <v>1550</v>
      </c>
      <c r="Y33" s="6"/>
      <c r="Z33" s="12">
        <v>1270</v>
      </c>
      <c r="AA33" s="6"/>
      <c r="AB33" s="13">
        <v>12080</v>
      </c>
    </row>
    <row r="34" spans="1:28" x14ac:dyDescent="0.25">
      <c r="A34" s="6"/>
      <c r="B34" s="6" t="s">
        <v>155</v>
      </c>
      <c r="C34" s="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3">
        <v>0</v>
      </c>
    </row>
    <row r="35" spans="1:28" x14ac:dyDescent="0.25">
      <c r="A35" s="6"/>
      <c r="B35" s="6" t="s">
        <v>82</v>
      </c>
      <c r="C35" s="6"/>
      <c r="D35" s="12">
        <v>3154</v>
      </c>
      <c r="E35" s="6"/>
      <c r="F35" s="12">
        <v>3154</v>
      </c>
      <c r="G35" s="6"/>
      <c r="H35" s="12">
        <v>3154</v>
      </c>
      <c r="I35" s="6"/>
      <c r="J35" s="12">
        <v>3154</v>
      </c>
      <c r="K35" s="6"/>
      <c r="L35" s="12">
        <v>3154</v>
      </c>
      <c r="M35" s="6"/>
      <c r="N35" s="12">
        <v>3154</v>
      </c>
      <c r="O35" s="6"/>
      <c r="P35" s="12">
        <v>3154</v>
      </c>
      <c r="Q35" s="6"/>
      <c r="R35" s="12">
        <v>3154</v>
      </c>
      <c r="S35" s="6"/>
      <c r="T35" s="12">
        <v>3154</v>
      </c>
      <c r="U35" s="6"/>
      <c r="V35" s="12">
        <v>3154</v>
      </c>
      <c r="W35" s="6"/>
      <c r="X35" s="12">
        <v>3154</v>
      </c>
      <c r="Y35" s="6"/>
      <c r="Z35" s="12">
        <v>3154</v>
      </c>
      <c r="AA35" s="6"/>
      <c r="AB35" s="13">
        <v>37848</v>
      </c>
    </row>
    <row r="36" spans="1:28" x14ac:dyDescent="0.25">
      <c r="A36" s="6"/>
      <c r="B36" s="6" t="s">
        <v>90</v>
      </c>
      <c r="C36" s="6"/>
      <c r="D36" s="12">
        <v>20</v>
      </c>
      <c r="E36" s="6"/>
      <c r="F36" s="12">
        <v>20</v>
      </c>
      <c r="G36" s="6"/>
      <c r="H36" s="12">
        <v>20</v>
      </c>
      <c r="I36" s="6"/>
      <c r="J36" s="12">
        <v>20</v>
      </c>
      <c r="K36" s="6"/>
      <c r="L36" s="12">
        <v>20</v>
      </c>
      <c r="M36" s="6"/>
      <c r="N36" s="12">
        <v>20</v>
      </c>
      <c r="O36" s="6"/>
      <c r="P36" s="12">
        <v>20</v>
      </c>
      <c r="Q36" s="6"/>
      <c r="R36" s="12">
        <v>20</v>
      </c>
      <c r="S36" s="6"/>
      <c r="T36" s="12">
        <v>20</v>
      </c>
      <c r="U36" s="6"/>
      <c r="V36" s="12">
        <v>20</v>
      </c>
      <c r="W36" s="6"/>
      <c r="X36" s="12">
        <v>20</v>
      </c>
      <c r="Y36" s="6"/>
      <c r="Z36" s="12">
        <v>20</v>
      </c>
      <c r="AA36" s="6"/>
      <c r="AB36" s="13">
        <v>240</v>
      </c>
    </row>
    <row r="37" spans="1:28" x14ac:dyDescent="0.25">
      <c r="A37" s="6"/>
      <c r="B37" s="6"/>
      <c r="C37" s="6"/>
      <c r="D37" s="12"/>
      <c r="E37" s="6"/>
      <c r="F37" s="12"/>
      <c r="G37" s="6"/>
      <c r="H37" s="12"/>
      <c r="I37" s="6"/>
      <c r="J37" s="12"/>
      <c r="K37" s="6"/>
      <c r="L37" s="12"/>
      <c r="M37" s="6"/>
      <c r="N37" s="12"/>
      <c r="O37" s="6"/>
      <c r="P37" s="12"/>
      <c r="Q37" s="6"/>
      <c r="R37" s="12"/>
      <c r="S37" s="6"/>
      <c r="T37" s="12"/>
      <c r="U37" s="6"/>
      <c r="V37" s="12"/>
      <c r="W37" s="6"/>
      <c r="X37" s="12"/>
      <c r="Y37" s="6"/>
      <c r="Z37" s="12"/>
      <c r="AA37" s="6"/>
      <c r="AB37" s="13">
        <v>0</v>
      </c>
    </row>
    <row r="38" spans="1:28" ht="13" x14ac:dyDescent="0.3">
      <c r="A38" s="6"/>
      <c r="B38" s="5" t="s">
        <v>171</v>
      </c>
      <c r="C38" s="5"/>
      <c r="D38" s="14">
        <v>21057</v>
      </c>
      <c r="E38" s="9"/>
      <c r="F38" s="14">
        <v>20377</v>
      </c>
      <c r="G38" s="9"/>
      <c r="H38" s="14">
        <v>20643</v>
      </c>
      <c r="I38" s="9"/>
      <c r="J38" s="14">
        <v>20643</v>
      </c>
      <c r="K38" s="9"/>
      <c r="L38" s="14">
        <v>18690</v>
      </c>
      <c r="M38" s="9"/>
      <c r="N38" s="14">
        <v>18379</v>
      </c>
      <c r="O38" s="6"/>
      <c r="P38" s="14">
        <v>18097</v>
      </c>
      <c r="Q38" s="9"/>
      <c r="R38" s="14">
        <v>17946</v>
      </c>
      <c r="S38" s="9"/>
      <c r="T38" s="14">
        <v>20196</v>
      </c>
      <c r="U38" s="9"/>
      <c r="V38" s="14">
        <v>20568</v>
      </c>
      <c r="W38" s="9"/>
      <c r="X38" s="14">
        <v>21296</v>
      </c>
      <c r="Y38" s="9"/>
      <c r="Z38" s="14">
        <v>19215</v>
      </c>
      <c r="AA38" s="9"/>
      <c r="AB38" s="15">
        <v>237107</v>
      </c>
    </row>
    <row r="39" spans="1:28" ht="13" x14ac:dyDescent="0.3">
      <c r="A39" s="5" t="s">
        <v>172</v>
      </c>
      <c r="B39" s="5"/>
      <c r="C39" s="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1"/>
    </row>
    <row r="40" spans="1:28" x14ac:dyDescent="0.25">
      <c r="A40" s="6"/>
      <c r="B40" s="6" t="s">
        <v>173</v>
      </c>
      <c r="C40" s="6"/>
      <c r="D40" s="16">
        <v>5000</v>
      </c>
      <c r="E40" s="6"/>
      <c r="F40" s="12"/>
      <c r="G40" s="6"/>
      <c r="H40" s="12"/>
      <c r="I40" s="6"/>
      <c r="J40" s="12"/>
      <c r="K40" s="6"/>
      <c r="L40" s="12"/>
      <c r="M40" s="6"/>
      <c r="N40" s="12"/>
      <c r="O40" s="6"/>
      <c r="P40" s="16"/>
      <c r="Q40" s="6"/>
      <c r="R40" s="12"/>
      <c r="S40" s="6"/>
      <c r="T40" s="12"/>
      <c r="U40" s="6"/>
      <c r="V40" s="12"/>
      <c r="W40" s="6"/>
      <c r="X40" s="12"/>
      <c r="Y40" s="6"/>
      <c r="Z40" s="12"/>
      <c r="AA40" s="6"/>
      <c r="AB40" s="13">
        <v>5000</v>
      </c>
    </row>
    <row r="41" spans="1:28" x14ac:dyDescent="0.25">
      <c r="A41" s="6"/>
      <c r="B41" s="6" t="s">
        <v>174</v>
      </c>
      <c r="C41" s="6"/>
      <c r="D41" s="16">
        <v>478</v>
      </c>
      <c r="E41" s="6"/>
      <c r="F41" s="16">
        <v>478</v>
      </c>
      <c r="G41" s="6"/>
      <c r="H41" s="16">
        <v>478</v>
      </c>
      <c r="I41" s="6"/>
      <c r="J41" s="16">
        <v>478</v>
      </c>
      <c r="K41" s="6"/>
      <c r="L41" s="16">
        <v>478</v>
      </c>
      <c r="M41" s="6"/>
      <c r="N41" s="16">
        <v>478</v>
      </c>
      <c r="O41" s="6"/>
      <c r="P41" s="16">
        <v>478</v>
      </c>
      <c r="Q41" s="6"/>
      <c r="R41" s="16">
        <v>478</v>
      </c>
      <c r="S41" s="6"/>
      <c r="T41" s="16">
        <v>478</v>
      </c>
      <c r="U41" s="6"/>
      <c r="V41" s="16">
        <v>478</v>
      </c>
      <c r="W41" s="6"/>
      <c r="X41" s="16">
        <v>478</v>
      </c>
      <c r="Y41" s="6"/>
      <c r="Z41" s="16">
        <v>478</v>
      </c>
      <c r="AA41" s="6"/>
      <c r="AB41" s="13">
        <v>5736</v>
      </c>
    </row>
    <row r="42" spans="1:28" x14ac:dyDescent="0.25">
      <c r="A42" s="6"/>
      <c r="B42" s="6" t="s">
        <v>175</v>
      </c>
      <c r="C42" s="6"/>
      <c r="D42" s="16"/>
      <c r="E42" s="6"/>
      <c r="F42" s="12"/>
      <c r="G42" s="6"/>
      <c r="H42" s="12"/>
      <c r="I42" s="6"/>
      <c r="J42" s="12"/>
      <c r="K42" s="6"/>
      <c r="L42" s="12"/>
      <c r="M42" s="6"/>
      <c r="N42" s="12"/>
      <c r="O42" s="6"/>
      <c r="P42" s="16"/>
      <c r="Q42" s="6"/>
      <c r="R42" s="12"/>
      <c r="S42" s="6"/>
      <c r="T42" s="12"/>
      <c r="U42" s="6"/>
      <c r="V42" s="12"/>
      <c r="W42" s="6"/>
      <c r="X42" s="12"/>
      <c r="Y42" s="6"/>
      <c r="Z42" s="12"/>
      <c r="AA42" s="6"/>
      <c r="AB42" s="13">
        <v>0</v>
      </c>
    </row>
    <row r="43" spans="1:28" x14ac:dyDescent="0.25">
      <c r="A43" s="6"/>
      <c r="B43" s="6" t="s">
        <v>155</v>
      </c>
      <c r="C43" s="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3">
        <v>0</v>
      </c>
    </row>
    <row r="44" spans="1:28" x14ac:dyDescent="0.25">
      <c r="A44" s="6"/>
      <c r="B44" s="6"/>
      <c r="C44" s="6"/>
      <c r="D44" s="12"/>
      <c r="E44" s="6"/>
      <c r="F44" s="12"/>
      <c r="G44" s="6"/>
      <c r="H44" s="12"/>
      <c r="I44" s="6"/>
      <c r="J44" s="12"/>
      <c r="K44" s="6"/>
      <c r="L44" s="12"/>
      <c r="M44" s="6"/>
      <c r="N44" s="12"/>
      <c r="O44" s="6"/>
      <c r="P44" s="12"/>
      <c r="Q44" s="6"/>
      <c r="R44" s="12"/>
      <c r="S44" s="6"/>
      <c r="T44" s="12"/>
      <c r="U44" s="6"/>
      <c r="V44" s="12"/>
      <c r="W44" s="6"/>
      <c r="X44" s="12"/>
      <c r="Y44" s="6"/>
      <c r="Z44" s="12"/>
      <c r="AA44" s="6"/>
      <c r="AB44" s="13">
        <v>0</v>
      </c>
    </row>
    <row r="45" spans="1:28" ht="13" x14ac:dyDescent="0.3">
      <c r="A45" s="6"/>
      <c r="B45" s="5" t="s">
        <v>171</v>
      </c>
      <c r="C45" s="5"/>
      <c r="D45" s="14">
        <v>5478</v>
      </c>
      <c r="E45" s="9"/>
      <c r="F45" s="14">
        <v>478</v>
      </c>
      <c r="G45" s="9"/>
      <c r="H45" s="14">
        <v>478</v>
      </c>
      <c r="I45" s="9"/>
      <c r="J45" s="14">
        <v>478</v>
      </c>
      <c r="K45" s="9"/>
      <c r="L45" s="14">
        <v>478</v>
      </c>
      <c r="M45" s="9"/>
      <c r="N45" s="14">
        <v>478</v>
      </c>
      <c r="O45" s="6"/>
      <c r="P45" s="14">
        <v>478</v>
      </c>
      <c r="Q45" s="9"/>
      <c r="R45" s="14">
        <v>478</v>
      </c>
      <c r="S45" s="9"/>
      <c r="T45" s="14">
        <v>478</v>
      </c>
      <c r="U45" s="9"/>
      <c r="V45" s="14">
        <v>478</v>
      </c>
      <c r="W45" s="9"/>
      <c r="X45" s="14">
        <v>478</v>
      </c>
      <c r="Y45" s="9"/>
      <c r="Z45" s="14">
        <v>478</v>
      </c>
      <c r="AA45" s="9"/>
      <c r="AB45" s="15">
        <v>10736</v>
      </c>
    </row>
    <row r="46" spans="1:28" ht="13" x14ac:dyDescent="0.3">
      <c r="A46" s="5"/>
      <c r="B46" s="5" t="s">
        <v>176</v>
      </c>
      <c r="C46" s="5"/>
      <c r="D46" s="8">
        <v>26535</v>
      </c>
      <c r="E46" s="9"/>
      <c r="F46" s="8">
        <v>20855</v>
      </c>
      <c r="G46" s="9"/>
      <c r="H46" s="8">
        <v>21121</v>
      </c>
      <c r="I46" s="9"/>
      <c r="J46" s="8">
        <v>21121</v>
      </c>
      <c r="K46" s="9"/>
      <c r="L46" s="8">
        <v>19168</v>
      </c>
      <c r="M46" s="9"/>
      <c r="N46" s="8">
        <v>18857</v>
      </c>
      <c r="O46" s="6"/>
      <c r="P46" s="8">
        <v>18575</v>
      </c>
      <c r="Q46" s="9"/>
      <c r="R46" s="8">
        <v>18424</v>
      </c>
      <c r="S46" s="9"/>
      <c r="T46" s="8">
        <v>20674</v>
      </c>
      <c r="U46" s="9"/>
      <c r="V46" s="8">
        <v>21046</v>
      </c>
      <c r="W46" s="9"/>
      <c r="X46" s="8">
        <v>21774</v>
      </c>
      <c r="Y46" s="9"/>
      <c r="Z46" s="8">
        <v>19693</v>
      </c>
      <c r="AA46" s="9"/>
      <c r="AB46" s="17">
        <v>247843</v>
      </c>
    </row>
    <row r="47" spans="1:28" ht="13.5" thickBot="1" x14ac:dyDescent="0.35">
      <c r="A47" s="5" t="s">
        <v>177</v>
      </c>
      <c r="B47" s="6"/>
      <c r="C47" s="6"/>
      <c r="D47" s="18">
        <v>-585</v>
      </c>
      <c r="E47" s="19"/>
      <c r="F47" s="18">
        <v>8970</v>
      </c>
      <c r="G47" s="20"/>
      <c r="H47" s="18">
        <v>21809</v>
      </c>
      <c r="I47" s="20"/>
      <c r="J47" s="18">
        <v>34802</v>
      </c>
      <c r="K47" s="20"/>
      <c r="L47" s="18">
        <v>48380</v>
      </c>
      <c r="M47" s="20"/>
      <c r="N47" s="18">
        <v>57755</v>
      </c>
      <c r="O47" s="21"/>
      <c r="P47" s="18">
        <v>60692</v>
      </c>
      <c r="Q47" s="19"/>
      <c r="R47" s="18">
        <v>61745</v>
      </c>
      <c r="S47" s="20"/>
      <c r="T47" s="18">
        <v>66276</v>
      </c>
      <c r="U47" s="20"/>
      <c r="V47" s="18">
        <v>75514</v>
      </c>
      <c r="W47" s="20"/>
      <c r="X47" s="18">
        <v>92130</v>
      </c>
      <c r="Y47" s="20"/>
      <c r="Z47" s="18">
        <v>107458</v>
      </c>
      <c r="AA47" s="20"/>
      <c r="AB47" s="22"/>
    </row>
    <row r="48" spans="1:28" ht="13.5" thickTop="1" thickBo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:28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 spans="1:28" ht="13" x14ac:dyDescent="0.3">
      <c r="A50" s="24" t="s">
        <v>178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 spans="1:28" x14ac:dyDescent="0.25">
      <c r="A51" s="24" t="s">
        <v>179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 spans="1:2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 spans="1:28" ht="13" x14ac:dyDescent="0.3">
      <c r="A53" s="24" t="s">
        <v>180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</sheetData>
  <pageMargins left="1" right="1" top="1" bottom="1" header="0.5" footer="0.5"/>
  <pageSetup scale="64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8"/>
  <sheetViews>
    <sheetView tabSelected="1" zoomScale="75" workbookViewId="0">
      <selection activeCell="A4" sqref="A4:IV4"/>
    </sheetView>
  </sheetViews>
  <sheetFormatPr defaultRowHeight="12.5" x14ac:dyDescent="0.25"/>
  <cols>
    <col min="1" max="1" width="2.81640625" customWidth="1"/>
    <col min="2" max="2" width="20.81640625" customWidth="1"/>
    <col min="3" max="3" width="9.7265625" customWidth="1"/>
    <col min="4" max="4" width="1.7265625" customWidth="1"/>
    <col min="5" max="5" width="9.7265625" customWidth="1"/>
    <col min="6" max="6" width="1.7265625" customWidth="1"/>
    <col min="7" max="7" width="9.7265625" customWidth="1"/>
    <col min="8" max="8" width="1.7265625" customWidth="1"/>
    <col min="9" max="9" width="9.7265625" customWidth="1"/>
    <col min="10" max="10" width="1.7265625" customWidth="1"/>
    <col min="11" max="11" width="9.7265625" customWidth="1"/>
    <col min="12" max="12" width="1.7265625" customWidth="1"/>
    <col min="13" max="13" width="9.7265625" customWidth="1"/>
    <col min="14" max="14" width="1.7265625" customWidth="1"/>
    <col min="15" max="15" width="9.7265625" customWidth="1"/>
    <col min="16" max="16" width="1.7265625" customWidth="1"/>
    <col min="17" max="17" width="9.7265625" customWidth="1"/>
    <col min="18" max="18" width="1.7265625" customWidth="1"/>
    <col min="19" max="19" width="9.7265625" customWidth="1"/>
    <col min="20" max="20" width="1.7265625" customWidth="1"/>
    <col min="21" max="21" width="9.7265625" customWidth="1"/>
    <col min="22" max="22" width="1.7265625" customWidth="1"/>
    <col min="23" max="23" width="9.7265625" customWidth="1"/>
    <col min="24" max="24" width="1.7265625" customWidth="1"/>
    <col min="25" max="25" width="9.7265625" customWidth="1"/>
    <col min="26" max="26" width="1.7265625" customWidth="1"/>
  </cols>
  <sheetData>
    <row r="1" spans="1:27" s="32" customFormat="1" ht="20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32" customFormat="1" ht="20" x14ac:dyDescent="0.4">
      <c r="A2" s="1" t="s">
        <v>181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.5" thickBot="1" x14ac:dyDescent="0.35">
      <c r="A4" s="3"/>
      <c r="B4" s="3"/>
      <c r="C4" s="4" t="s">
        <v>139</v>
      </c>
      <c r="D4" s="4"/>
      <c r="E4" s="4" t="s">
        <v>140</v>
      </c>
      <c r="F4" s="4"/>
      <c r="G4" s="4" t="s">
        <v>141</v>
      </c>
      <c r="H4" s="4"/>
      <c r="I4" s="4" t="s">
        <v>142</v>
      </c>
      <c r="J4" s="4"/>
      <c r="K4" s="4" t="s">
        <v>53</v>
      </c>
      <c r="L4" s="4"/>
      <c r="M4" s="4" t="s">
        <v>143</v>
      </c>
      <c r="N4" s="4"/>
      <c r="O4" s="4" t="s">
        <v>144</v>
      </c>
      <c r="P4" s="4"/>
      <c r="Q4" s="4" t="s">
        <v>145</v>
      </c>
      <c r="R4" s="4"/>
      <c r="S4" s="4" t="s">
        <v>146</v>
      </c>
      <c r="T4" s="4"/>
      <c r="U4" s="4" t="s">
        <v>147</v>
      </c>
      <c r="V4" s="4"/>
      <c r="W4" s="4" t="s">
        <v>148</v>
      </c>
      <c r="X4" s="4"/>
      <c r="Y4" s="4" t="s">
        <v>149</v>
      </c>
      <c r="Z4" s="4"/>
      <c r="AA4" s="4" t="s">
        <v>130</v>
      </c>
    </row>
    <row r="5" spans="1:27" x14ac:dyDescent="0.25">
      <c r="A5" s="25" t="s">
        <v>150</v>
      </c>
      <c r="B5" s="26"/>
      <c r="C5" s="7"/>
      <c r="D5" s="6"/>
      <c r="E5" s="8">
        <v>12809</v>
      </c>
      <c r="F5" s="9"/>
      <c r="G5" s="8">
        <v>30875</v>
      </c>
      <c r="H5" s="9"/>
      <c r="I5" s="8">
        <v>52690</v>
      </c>
      <c r="J5" s="9"/>
      <c r="K5" s="8">
        <v>74579</v>
      </c>
      <c r="L5" s="9"/>
      <c r="M5" s="8">
        <v>95961</v>
      </c>
      <c r="N5" s="6"/>
      <c r="O5" s="8">
        <v>112205</v>
      </c>
      <c r="P5" s="6"/>
      <c r="Q5" s="8">
        <v>120784</v>
      </c>
      <c r="R5" s="9"/>
      <c r="S5" s="8">
        <v>127132</v>
      </c>
      <c r="T5" s="9"/>
      <c r="U5" s="8">
        <v>138352</v>
      </c>
      <c r="V5" s="9"/>
      <c r="W5" s="8">
        <v>155359</v>
      </c>
      <c r="X5" s="9"/>
      <c r="Y5" s="8">
        <v>181531</v>
      </c>
      <c r="Z5" s="9"/>
      <c r="AA5" s="10"/>
    </row>
    <row r="6" spans="1:27" x14ac:dyDescent="0.25">
      <c r="A6" s="25" t="s">
        <v>151</v>
      </c>
      <c r="B6" s="2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</row>
    <row r="7" spans="1:27" x14ac:dyDescent="0.25">
      <c r="A7" s="26"/>
      <c r="B7" s="26" t="s">
        <v>152</v>
      </c>
      <c r="C7" s="12">
        <v>1659</v>
      </c>
      <c r="D7" s="6"/>
      <c r="E7" s="12">
        <v>1616</v>
      </c>
      <c r="F7" s="6"/>
      <c r="G7" s="12">
        <v>1853</v>
      </c>
      <c r="H7" s="6"/>
      <c r="I7" s="12">
        <v>2047</v>
      </c>
      <c r="J7" s="6"/>
      <c r="K7" s="12">
        <v>2047</v>
      </c>
      <c r="L7" s="6"/>
      <c r="M7" s="12">
        <v>1960</v>
      </c>
      <c r="N7" s="6"/>
      <c r="O7" s="12">
        <v>1680</v>
      </c>
      <c r="P7" s="6"/>
      <c r="Q7" s="12">
        <v>1413</v>
      </c>
      <c r="R7" s="6"/>
      <c r="S7" s="12">
        <v>1163</v>
      </c>
      <c r="T7" s="6"/>
      <c r="U7" s="12">
        <v>1529</v>
      </c>
      <c r="V7" s="6"/>
      <c r="W7" s="12">
        <v>1831</v>
      </c>
      <c r="X7" s="6"/>
      <c r="Y7" s="12">
        <v>1847</v>
      </c>
      <c r="Z7" s="6"/>
      <c r="AA7" s="13">
        <v>18986</v>
      </c>
    </row>
    <row r="8" spans="1:27" x14ac:dyDescent="0.25">
      <c r="A8" s="26"/>
      <c r="B8" s="26" t="s">
        <v>153</v>
      </c>
      <c r="C8" s="12" t="s">
        <v>2</v>
      </c>
      <c r="D8" s="6"/>
      <c r="E8" s="12"/>
      <c r="F8" s="6"/>
      <c r="G8" s="12"/>
      <c r="H8" s="6"/>
      <c r="I8" s="12"/>
      <c r="J8" s="6"/>
      <c r="K8" s="12"/>
      <c r="L8" s="6"/>
      <c r="M8" s="12"/>
      <c r="N8" s="6"/>
      <c r="O8" s="12"/>
      <c r="P8" s="6"/>
      <c r="Q8" s="12"/>
      <c r="R8" s="6"/>
      <c r="S8" s="12"/>
      <c r="T8" s="6"/>
      <c r="U8" s="12"/>
      <c r="V8" s="6"/>
      <c r="W8" s="12"/>
      <c r="X8" s="6"/>
      <c r="Y8" s="12"/>
      <c r="Z8" s="6"/>
      <c r="AA8" s="13">
        <v>0</v>
      </c>
    </row>
    <row r="9" spans="1:27" x14ac:dyDescent="0.25">
      <c r="A9" s="26"/>
      <c r="B9" s="26" t="s">
        <v>154</v>
      </c>
      <c r="C9" s="12">
        <v>32319</v>
      </c>
      <c r="D9" s="6"/>
      <c r="E9" s="12">
        <v>37059</v>
      </c>
      <c r="F9" s="6"/>
      <c r="G9" s="12">
        <v>40937</v>
      </c>
      <c r="H9" s="6"/>
      <c r="I9" s="12">
        <v>40937</v>
      </c>
      <c r="J9" s="6"/>
      <c r="K9" s="12">
        <v>39213</v>
      </c>
      <c r="L9" s="6"/>
      <c r="M9" s="12">
        <v>33611</v>
      </c>
      <c r="N9" s="6"/>
      <c r="O9" s="12">
        <v>25424</v>
      </c>
      <c r="P9" s="6"/>
      <c r="Q9" s="12">
        <v>23269</v>
      </c>
      <c r="R9" s="6"/>
      <c r="S9" s="12">
        <v>30595</v>
      </c>
      <c r="T9" s="6"/>
      <c r="U9" s="12">
        <v>36628</v>
      </c>
      <c r="V9" s="6"/>
      <c r="W9" s="12">
        <v>46539</v>
      </c>
      <c r="X9" s="6"/>
      <c r="Y9" s="12">
        <v>41799</v>
      </c>
      <c r="Z9" s="6"/>
      <c r="AA9" s="13">
        <v>428330</v>
      </c>
    </row>
    <row r="10" spans="1:27" x14ac:dyDescent="0.25">
      <c r="A10" s="26"/>
      <c r="B10" s="26" t="s">
        <v>155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3">
        <v>0</v>
      </c>
    </row>
    <row r="11" spans="1:27" x14ac:dyDescent="0.25">
      <c r="A11" s="26"/>
      <c r="B11" s="26"/>
      <c r="C11" s="12"/>
      <c r="D11" s="6"/>
      <c r="E11" s="12"/>
      <c r="F11" s="6"/>
      <c r="G11" s="12"/>
      <c r="H11" s="6"/>
      <c r="I11" s="12"/>
      <c r="J11" s="6"/>
      <c r="K11" s="12"/>
      <c r="L11" s="6"/>
      <c r="M11" s="12"/>
      <c r="N11" s="6"/>
      <c r="O11" s="12"/>
      <c r="P11" s="6"/>
      <c r="Q11" s="12"/>
      <c r="R11" s="6"/>
      <c r="S11" s="12"/>
      <c r="T11" s="6"/>
      <c r="U11" s="12"/>
      <c r="V11" s="6"/>
      <c r="W11" s="12"/>
      <c r="X11" s="6"/>
      <c r="Y11" s="12"/>
      <c r="Z11" s="6"/>
      <c r="AA11" s="13">
        <v>0</v>
      </c>
    </row>
    <row r="12" spans="1:27" x14ac:dyDescent="0.25">
      <c r="A12" s="26"/>
      <c r="B12" s="26"/>
      <c r="C12" s="12"/>
      <c r="D12" s="6"/>
      <c r="E12" s="12"/>
      <c r="F12" s="6"/>
      <c r="G12" s="12"/>
      <c r="H12" s="6"/>
      <c r="I12" s="12"/>
      <c r="J12" s="6"/>
      <c r="K12" s="12"/>
      <c r="L12" s="6"/>
      <c r="M12" s="12"/>
      <c r="N12" s="6"/>
      <c r="O12" s="12"/>
      <c r="P12" s="6"/>
      <c r="Q12" s="12"/>
      <c r="R12" s="6"/>
      <c r="S12" s="12"/>
      <c r="T12" s="6"/>
      <c r="U12" s="12"/>
      <c r="V12" s="6"/>
      <c r="W12" s="12"/>
      <c r="X12" s="6"/>
      <c r="Y12" s="12"/>
      <c r="Z12" s="6"/>
      <c r="AA12" s="13">
        <v>0</v>
      </c>
    </row>
    <row r="13" spans="1:27" x14ac:dyDescent="0.25">
      <c r="A13" s="26"/>
      <c r="B13" s="25" t="s">
        <v>156</v>
      </c>
      <c r="C13" s="14">
        <v>33978</v>
      </c>
      <c r="D13" s="9"/>
      <c r="E13" s="14">
        <v>38675</v>
      </c>
      <c r="F13" s="9"/>
      <c r="G13" s="14">
        <v>42790</v>
      </c>
      <c r="H13" s="9"/>
      <c r="I13" s="14">
        <v>42984</v>
      </c>
      <c r="J13" s="9"/>
      <c r="K13" s="14">
        <v>41260</v>
      </c>
      <c r="L13" s="9"/>
      <c r="M13" s="14">
        <v>35571</v>
      </c>
      <c r="N13" s="6"/>
      <c r="O13" s="14">
        <v>27104</v>
      </c>
      <c r="P13" s="9"/>
      <c r="Q13" s="14">
        <v>24682</v>
      </c>
      <c r="R13" s="9"/>
      <c r="S13" s="14">
        <v>31758</v>
      </c>
      <c r="T13" s="9"/>
      <c r="U13" s="14">
        <v>38157</v>
      </c>
      <c r="V13" s="9"/>
      <c r="W13" s="14">
        <v>48370</v>
      </c>
      <c r="X13" s="9"/>
      <c r="Y13" s="14">
        <v>43646</v>
      </c>
      <c r="Z13" s="9"/>
      <c r="AA13" s="15">
        <v>447316</v>
      </c>
    </row>
    <row r="14" spans="1:27" x14ac:dyDescent="0.25">
      <c r="A14" s="25" t="s">
        <v>157</v>
      </c>
      <c r="B14" s="26"/>
      <c r="C14" s="8">
        <v>33978</v>
      </c>
      <c r="D14" s="9"/>
      <c r="E14" s="8">
        <v>51484</v>
      </c>
      <c r="F14" s="9"/>
      <c r="G14" s="8">
        <v>73665</v>
      </c>
      <c r="H14" s="9"/>
      <c r="I14" s="8">
        <v>95674</v>
      </c>
      <c r="J14" s="9"/>
      <c r="K14" s="8">
        <v>115839</v>
      </c>
      <c r="L14" s="9"/>
      <c r="M14" s="8">
        <v>131532</v>
      </c>
      <c r="N14" s="6"/>
      <c r="O14" s="8">
        <v>139309</v>
      </c>
      <c r="P14" s="9"/>
      <c r="Q14" s="8">
        <v>145466</v>
      </c>
      <c r="R14" s="9"/>
      <c r="S14" s="8">
        <v>158890</v>
      </c>
      <c r="T14" s="9"/>
      <c r="U14" s="8">
        <v>176509</v>
      </c>
      <c r="V14" s="9"/>
      <c r="W14" s="8">
        <v>203729</v>
      </c>
      <c r="X14" s="9"/>
      <c r="Y14" s="8">
        <v>225177</v>
      </c>
      <c r="Z14" s="9"/>
      <c r="AA14" s="10"/>
    </row>
    <row r="15" spans="1:27" x14ac:dyDescent="0.25">
      <c r="A15" s="25" t="s">
        <v>158</v>
      </c>
      <c r="B15" s="26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1"/>
    </row>
    <row r="16" spans="1:27" x14ac:dyDescent="0.25">
      <c r="A16" s="26"/>
      <c r="B16" s="26" t="s">
        <v>76</v>
      </c>
      <c r="C16" s="12">
        <v>600</v>
      </c>
      <c r="D16" s="6"/>
      <c r="E16" s="12">
        <v>600</v>
      </c>
      <c r="F16" s="6"/>
      <c r="G16" s="12">
        <v>600</v>
      </c>
      <c r="H16" s="6"/>
      <c r="I16" s="12">
        <v>600</v>
      </c>
      <c r="J16" s="6"/>
      <c r="K16" s="12">
        <v>600</v>
      </c>
      <c r="L16" s="6"/>
      <c r="M16" s="12">
        <v>600</v>
      </c>
      <c r="N16" s="6"/>
      <c r="O16" s="12">
        <v>600</v>
      </c>
      <c r="P16" s="6"/>
      <c r="Q16" s="12">
        <v>600</v>
      </c>
      <c r="R16" s="6"/>
      <c r="S16" s="12">
        <v>600</v>
      </c>
      <c r="T16" s="6"/>
      <c r="U16" s="12">
        <v>600</v>
      </c>
      <c r="V16" s="6"/>
      <c r="W16" s="12">
        <v>600</v>
      </c>
      <c r="X16" s="6"/>
      <c r="Y16" s="12">
        <v>600</v>
      </c>
      <c r="Z16" s="6"/>
      <c r="AA16" s="13">
        <v>7200</v>
      </c>
    </row>
    <row r="17" spans="1:27" x14ac:dyDescent="0.25">
      <c r="A17" s="26"/>
      <c r="B17" s="26" t="s">
        <v>159</v>
      </c>
      <c r="C17" s="12">
        <v>40</v>
      </c>
      <c r="D17" s="6"/>
      <c r="E17" s="12">
        <v>40</v>
      </c>
      <c r="F17" s="6"/>
      <c r="G17" s="12">
        <v>40</v>
      </c>
      <c r="H17" s="6"/>
      <c r="I17" s="12">
        <v>40</v>
      </c>
      <c r="J17" s="6"/>
      <c r="K17" s="12">
        <v>40</v>
      </c>
      <c r="L17" s="6"/>
      <c r="M17" s="12">
        <v>40</v>
      </c>
      <c r="N17" s="6"/>
      <c r="O17" s="12">
        <v>40</v>
      </c>
      <c r="P17" s="6"/>
      <c r="Q17" s="12">
        <v>40</v>
      </c>
      <c r="R17" s="6"/>
      <c r="S17" s="12">
        <v>40</v>
      </c>
      <c r="T17" s="6"/>
      <c r="U17" s="12">
        <v>40</v>
      </c>
      <c r="V17" s="6"/>
      <c r="W17" s="12">
        <v>40</v>
      </c>
      <c r="X17" s="6"/>
      <c r="Y17" s="12">
        <v>40</v>
      </c>
      <c r="Z17" s="6"/>
      <c r="AA17" s="13">
        <v>480</v>
      </c>
    </row>
    <row r="18" spans="1:27" x14ac:dyDescent="0.25">
      <c r="A18" s="26"/>
      <c r="B18" s="26" t="s">
        <v>84</v>
      </c>
      <c r="C18" s="12">
        <v>50</v>
      </c>
      <c r="D18" s="6"/>
      <c r="E18" s="12">
        <v>50</v>
      </c>
      <c r="F18" s="6"/>
      <c r="G18" s="12">
        <v>50</v>
      </c>
      <c r="H18" s="6"/>
      <c r="I18" s="12">
        <v>50</v>
      </c>
      <c r="J18" s="6"/>
      <c r="K18" s="12">
        <v>50</v>
      </c>
      <c r="L18" s="6"/>
      <c r="M18" s="12">
        <v>50</v>
      </c>
      <c r="N18" s="6"/>
      <c r="O18" s="12">
        <v>50</v>
      </c>
      <c r="P18" s="6"/>
      <c r="Q18" s="12">
        <v>50</v>
      </c>
      <c r="R18" s="6"/>
      <c r="S18" s="12">
        <v>50</v>
      </c>
      <c r="T18" s="6"/>
      <c r="U18" s="12">
        <v>50</v>
      </c>
      <c r="V18" s="6"/>
      <c r="W18" s="12">
        <v>50</v>
      </c>
      <c r="X18" s="6"/>
      <c r="Y18" s="12">
        <v>50</v>
      </c>
      <c r="Z18" s="6"/>
      <c r="AA18" s="13">
        <v>600</v>
      </c>
    </row>
    <row r="19" spans="1:27" x14ac:dyDescent="0.25">
      <c r="A19" s="26"/>
      <c r="B19" s="26" t="s">
        <v>160</v>
      </c>
      <c r="C19" s="12">
        <v>80</v>
      </c>
      <c r="D19" s="6"/>
      <c r="E19" s="12">
        <v>80</v>
      </c>
      <c r="F19" s="6"/>
      <c r="G19" s="12">
        <v>80</v>
      </c>
      <c r="H19" s="6"/>
      <c r="I19" s="12">
        <v>80</v>
      </c>
      <c r="J19" s="6"/>
      <c r="K19" s="12">
        <v>130</v>
      </c>
      <c r="L19" s="6"/>
      <c r="M19" s="12">
        <v>130</v>
      </c>
      <c r="N19" s="6"/>
      <c r="O19" s="12">
        <v>130</v>
      </c>
      <c r="P19" s="6"/>
      <c r="Q19" s="12">
        <v>130</v>
      </c>
      <c r="R19" s="6"/>
      <c r="S19" s="12">
        <v>130</v>
      </c>
      <c r="T19" s="6"/>
      <c r="U19" s="12">
        <v>130</v>
      </c>
      <c r="V19" s="6"/>
      <c r="W19" s="12">
        <v>130</v>
      </c>
      <c r="X19" s="6"/>
      <c r="Y19" s="12">
        <v>130</v>
      </c>
      <c r="Z19" s="6"/>
      <c r="AA19" s="13">
        <v>1360</v>
      </c>
    </row>
    <row r="20" spans="1:27" x14ac:dyDescent="0.25">
      <c r="A20" s="26"/>
      <c r="B20" s="26" t="s">
        <v>161</v>
      </c>
      <c r="C20" s="12">
        <v>400</v>
      </c>
      <c r="D20" s="6"/>
      <c r="E20" s="12">
        <v>400</v>
      </c>
      <c r="F20" s="6"/>
      <c r="G20" s="12">
        <v>400</v>
      </c>
      <c r="H20" s="6"/>
      <c r="I20" s="12">
        <v>400</v>
      </c>
      <c r="J20" s="6"/>
      <c r="K20" s="12">
        <v>400</v>
      </c>
      <c r="L20" s="6"/>
      <c r="M20" s="12">
        <v>400</v>
      </c>
      <c r="N20" s="6"/>
      <c r="O20" s="12">
        <v>400</v>
      </c>
      <c r="P20" s="6"/>
      <c r="Q20" s="12">
        <v>400</v>
      </c>
      <c r="R20" s="6"/>
      <c r="S20" s="12">
        <v>400</v>
      </c>
      <c r="T20" s="6"/>
      <c r="U20" s="12">
        <v>400</v>
      </c>
      <c r="V20" s="6"/>
      <c r="W20" s="12">
        <v>400</v>
      </c>
      <c r="X20" s="6"/>
      <c r="Y20" s="12">
        <v>400</v>
      </c>
      <c r="Z20" s="6"/>
      <c r="AA20" s="13">
        <v>4800</v>
      </c>
    </row>
    <row r="21" spans="1:27" x14ac:dyDescent="0.25">
      <c r="A21" s="26"/>
      <c r="B21" s="26" t="s">
        <v>88</v>
      </c>
      <c r="C21" s="12">
        <v>200</v>
      </c>
      <c r="D21" s="6"/>
      <c r="E21" s="12">
        <v>200</v>
      </c>
      <c r="F21" s="6"/>
      <c r="G21" s="12">
        <v>200</v>
      </c>
      <c r="H21" s="6"/>
      <c r="I21" s="12">
        <v>200</v>
      </c>
      <c r="J21" s="6"/>
      <c r="K21" s="12">
        <v>200</v>
      </c>
      <c r="L21" s="6"/>
      <c r="M21" s="12">
        <v>200</v>
      </c>
      <c r="N21" s="6"/>
      <c r="O21" s="12">
        <v>200</v>
      </c>
      <c r="P21" s="6"/>
      <c r="Q21" s="12">
        <v>200</v>
      </c>
      <c r="R21" s="6"/>
      <c r="S21" s="12">
        <v>200</v>
      </c>
      <c r="T21" s="6"/>
      <c r="U21" s="12">
        <v>200</v>
      </c>
      <c r="V21" s="6"/>
      <c r="W21" s="12">
        <v>200</v>
      </c>
      <c r="X21" s="6"/>
      <c r="Y21" s="12">
        <v>200</v>
      </c>
      <c r="Z21" s="6"/>
      <c r="AA21" s="13">
        <v>2400</v>
      </c>
    </row>
    <row r="22" spans="1:27" x14ac:dyDescent="0.25">
      <c r="A22" s="26"/>
      <c r="B22" s="26" t="s">
        <v>89</v>
      </c>
      <c r="C22" s="12">
        <v>0</v>
      </c>
      <c r="D22" s="6"/>
      <c r="E22" s="12">
        <v>0</v>
      </c>
      <c r="F22" s="6"/>
      <c r="G22" s="12">
        <v>0</v>
      </c>
      <c r="H22" s="6"/>
      <c r="I22" s="12">
        <v>0</v>
      </c>
      <c r="J22" s="6"/>
      <c r="K22" s="12">
        <v>0</v>
      </c>
      <c r="L22" s="6"/>
      <c r="M22" s="12">
        <v>0</v>
      </c>
      <c r="N22" s="6"/>
      <c r="O22" s="12">
        <v>0</v>
      </c>
      <c r="P22" s="6"/>
      <c r="Q22" s="12">
        <v>0</v>
      </c>
      <c r="R22" s="6"/>
      <c r="S22" s="12">
        <v>0</v>
      </c>
      <c r="T22" s="6"/>
      <c r="U22" s="12">
        <v>0</v>
      </c>
      <c r="V22" s="6"/>
      <c r="W22" s="12">
        <v>0</v>
      </c>
      <c r="X22" s="6"/>
      <c r="Y22" s="12">
        <v>0</v>
      </c>
      <c r="Z22" s="6"/>
      <c r="AA22" s="13">
        <v>0</v>
      </c>
    </row>
    <row r="23" spans="1:27" x14ac:dyDescent="0.25">
      <c r="A23" s="26"/>
      <c r="B23" s="26" t="s">
        <v>91</v>
      </c>
      <c r="C23" s="12"/>
      <c r="D23" s="6"/>
      <c r="E23" s="12"/>
      <c r="F23" s="6"/>
      <c r="G23" s="12"/>
      <c r="H23" s="6"/>
      <c r="I23" s="12"/>
      <c r="J23" s="6"/>
      <c r="K23" s="12"/>
      <c r="L23" s="6"/>
      <c r="M23" s="12"/>
      <c r="N23" s="6"/>
      <c r="O23" s="12"/>
      <c r="P23" s="6"/>
      <c r="Q23" s="12"/>
      <c r="R23" s="6"/>
      <c r="S23" s="12"/>
      <c r="T23" s="6"/>
      <c r="U23" s="12"/>
      <c r="V23" s="6"/>
      <c r="W23" s="12"/>
      <c r="X23" s="6"/>
      <c r="Y23" s="12"/>
      <c r="Z23" s="6"/>
      <c r="AA23" s="13">
        <v>0</v>
      </c>
    </row>
    <row r="24" spans="1:27" x14ac:dyDescent="0.25">
      <c r="A24" s="26"/>
      <c r="B24" s="26" t="s">
        <v>162</v>
      </c>
      <c r="C24" s="12">
        <v>200</v>
      </c>
      <c r="D24" s="6"/>
      <c r="E24" s="12">
        <v>200</v>
      </c>
      <c r="F24" s="6"/>
      <c r="G24" s="12">
        <v>200</v>
      </c>
      <c r="H24" s="6"/>
      <c r="I24" s="12">
        <v>200</v>
      </c>
      <c r="J24" s="6"/>
      <c r="K24" s="12">
        <v>200</v>
      </c>
      <c r="L24" s="6"/>
      <c r="M24" s="12">
        <v>200</v>
      </c>
      <c r="N24" s="6"/>
      <c r="O24" s="12">
        <v>200</v>
      </c>
      <c r="P24" s="6"/>
      <c r="Q24" s="12">
        <v>200</v>
      </c>
      <c r="R24" s="6"/>
      <c r="S24" s="12">
        <v>200</v>
      </c>
      <c r="T24" s="6"/>
      <c r="U24" s="12">
        <v>200</v>
      </c>
      <c r="V24" s="6"/>
      <c r="W24" s="12">
        <v>200</v>
      </c>
      <c r="X24" s="6"/>
      <c r="Y24" s="12">
        <v>200</v>
      </c>
      <c r="Z24" s="6"/>
      <c r="AA24" s="13">
        <v>2400</v>
      </c>
    </row>
    <row r="25" spans="1:27" x14ac:dyDescent="0.25">
      <c r="A25" s="26"/>
      <c r="B25" s="26" t="s">
        <v>163</v>
      </c>
      <c r="C25" s="12">
        <v>10475</v>
      </c>
      <c r="D25" s="6"/>
      <c r="E25" s="12">
        <v>10475</v>
      </c>
      <c r="F25" s="6"/>
      <c r="G25" s="12">
        <v>10475</v>
      </c>
      <c r="H25" s="6"/>
      <c r="I25" s="12">
        <v>10475</v>
      </c>
      <c r="J25" s="6"/>
      <c r="K25" s="12">
        <v>8954</v>
      </c>
      <c r="L25" s="6"/>
      <c r="M25" s="12">
        <v>8954</v>
      </c>
      <c r="N25" s="6"/>
      <c r="O25" s="12">
        <v>8954</v>
      </c>
      <c r="P25" s="6"/>
      <c r="Q25" s="12">
        <v>8954</v>
      </c>
      <c r="R25" s="6"/>
      <c r="S25" s="12">
        <v>10475</v>
      </c>
      <c r="T25" s="6"/>
      <c r="U25" s="12">
        <v>10475</v>
      </c>
      <c r="V25" s="6"/>
      <c r="W25" s="12">
        <v>10475</v>
      </c>
      <c r="X25" s="6"/>
      <c r="Y25" s="12">
        <v>8954</v>
      </c>
      <c r="Z25" s="6"/>
      <c r="AA25" s="13">
        <v>118095</v>
      </c>
    </row>
    <row r="26" spans="1:27" x14ac:dyDescent="0.25">
      <c r="A26" s="26"/>
      <c r="B26" s="26" t="s">
        <v>94</v>
      </c>
      <c r="C26" s="12">
        <v>450</v>
      </c>
      <c r="D26" s="6"/>
      <c r="E26" s="12">
        <v>450</v>
      </c>
      <c r="F26" s="6"/>
      <c r="G26" s="12">
        <v>450</v>
      </c>
      <c r="H26" s="6"/>
      <c r="I26" s="12">
        <v>450</v>
      </c>
      <c r="J26" s="6"/>
      <c r="K26" s="12">
        <v>450</v>
      </c>
      <c r="L26" s="6"/>
      <c r="M26" s="12">
        <v>450</v>
      </c>
      <c r="N26" s="6"/>
      <c r="O26" s="12">
        <v>450</v>
      </c>
      <c r="P26" s="6"/>
      <c r="Q26" s="12">
        <v>450</v>
      </c>
      <c r="R26" s="6"/>
      <c r="S26" s="12">
        <v>450</v>
      </c>
      <c r="T26" s="6"/>
      <c r="U26" s="12">
        <v>450</v>
      </c>
      <c r="V26" s="6"/>
      <c r="W26" s="12">
        <v>450</v>
      </c>
      <c r="X26" s="6"/>
      <c r="Y26" s="12">
        <v>450</v>
      </c>
      <c r="Z26" s="6"/>
      <c r="AA26" s="13">
        <v>5400</v>
      </c>
    </row>
    <row r="27" spans="1:27" x14ac:dyDescent="0.25">
      <c r="A27" s="26"/>
      <c r="B27" s="26" t="s">
        <v>97</v>
      </c>
      <c r="C27" s="12">
        <v>200</v>
      </c>
      <c r="D27" s="6"/>
      <c r="E27" s="12">
        <v>200</v>
      </c>
      <c r="F27" s="6"/>
      <c r="G27" s="12">
        <v>200</v>
      </c>
      <c r="H27" s="6"/>
      <c r="I27" s="12">
        <v>200</v>
      </c>
      <c r="J27" s="6"/>
      <c r="K27" s="12">
        <v>200</v>
      </c>
      <c r="L27" s="6"/>
      <c r="M27" s="12">
        <v>200</v>
      </c>
      <c r="N27" s="6"/>
      <c r="O27" s="12">
        <v>200</v>
      </c>
      <c r="P27" s="6"/>
      <c r="Q27" s="12">
        <v>200</v>
      </c>
      <c r="R27" s="6"/>
      <c r="S27" s="12">
        <v>200</v>
      </c>
      <c r="T27" s="6"/>
      <c r="U27" s="12">
        <v>200</v>
      </c>
      <c r="V27" s="6"/>
      <c r="W27" s="12">
        <v>200</v>
      </c>
      <c r="X27" s="6"/>
      <c r="Y27" s="12">
        <v>200</v>
      </c>
      <c r="Z27" s="6"/>
      <c r="AA27" s="13">
        <v>2400</v>
      </c>
    </row>
    <row r="28" spans="1:27" x14ac:dyDescent="0.25">
      <c r="A28" s="26"/>
      <c r="B28" s="26" t="s">
        <v>164</v>
      </c>
      <c r="C28" s="12">
        <v>1600</v>
      </c>
      <c r="D28" s="6"/>
      <c r="E28" s="12">
        <v>1600</v>
      </c>
      <c r="F28" s="6"/>
      <c r="G28" s="12">
        <v>1600</v>
      </c>
      <c r="H28" s="6"/>
      <c r="I28" s="12">
        <v>1600</v>
      </c>
      <c r="J28" s="6"/>
      <c r="K28" s="12">
        <v>1600</v>
      </c>
      <c r="L28" s="6"/>
      <c r="M28" s="12">
        <v>1600</v>
      </c>
      <c r="N28" s="6"/>
      <c r="O28" s="12">
        <v>1600</v>
      </c>
      <c r="P28" s="6"/>
      <c r="Q28" s="12">
        <v>1600</v>
      </c>
      <c r="R28" s="6"/>
      <c r="S28" s="12">
        <v>1600</v>
      </c>
      <c r="T28" s="6"/>
      <c r="U28" s="12">
        <v>1600</v>
      </c>
      <c r="V28" s="6"/>
      <c r="W28" s="12">
        <v>1600</v>
      </c>
      <c r="X28" s="6"/>
      <c r="Y28" s="12">
        <v>1600</v>
      </c>
      <c r="Z28" s="6"/>
      <c r="AA28" s="13">
        <v>19200</v>
      </c>
    </row>
    <row r="29" spans="1:27" x14ac:dyDescent="0.25">
      <c r="A29" s="26"/>
      <c r="B29" s="26" t="s">
        <v>165</v>
      </c>
      <c r="C29" s="12">
        <v>10</v>
      </c>
      <c r="D29" s="6"/>
      <c r="E29" s="12">
        <v>10</v>
      </c>
      <c r="F29" s="6"/>
      <c r="G29" s="12">
        <v>10</v>
      </c>
      <c r="H29" s="6"/>
      <c r="I29" s="12">
        <v>10</v>
      </c>
      <c r="J29" s="6"/>
      <c r="K29" s="12">
        <v>10</v>
      </c>
      <c r="L29" s="6"/>
      <c r="M29" s="12">
        <v>10</v>
      </c>
      <c r="N29" s="6"/>
      <c r="O29" s="12">
        <v>10</v>
      </c>
      <c r="P29" s="6"/>
      <c r="Q29" s="12">
        <v>10</v>
      </c>
      <c r="R29" s="12"/>
      <c r="S29" s="12">
        <v>10</v>
      </c>
      <c r="T29" s="6"/>
      <c r="U29" s="12">
        <v>10</v>
      </c>
      <c r="V29" s="6"/>
      <c r="W29" s="12">
        <v>10</v>
      </c>
      <c r="X29" s="6"/>
      <c r="Y29" s="12">
        <v>10</v>
      </c>
      <c r="Z29" s="6"/>
      <c r="AA29" s="13">
        <v>120</v>
      </c>
    </row>
    <row r="30" spans="1:27" x14ac:dyDescent="0.25">
      <c r="A30" s="26"/>
      <c r="B30" s="26" t="s">
        <v>166</v>
      </c>
      <c r="C30" s="12">
        <v>600</v>
      </c>
      <c r="D30" s="6"/>
      <c r="E30" s="12">
        <v>660</v>
      </c>
      <c r="F30" s="6"/>
      <c r="G30" s="12">
        <v>706</v>
      </c>
      <c r="H30" s="6"/>
      <c r="I30" s="12">
        <v>706</v>
      </c>
      <c r="J30" s="6"/>
      <c r="K30" s="12">
        <v>600</v>
      </c>
      <c r="L30" s="6"/>
      <c r="M30" s="12">
        <v>609</v>
      </c>
      <c r="N30" s="6"/>
      <c r="O30" s="12">
        <v>507</v>
      </c>
      <c r="P30" s="6"/>
      <c r="Q30" s="12">
        <v>476</v>
      </c>
      <c r="R30" s="6"/>
      <c r="S30" s="12">
        <v>559</v>
      </c>
      <c r="T30" s="6"/>
      <c r="U30" s="12">
        <v>631</v>
      </c>
      <c r="V30" s="6"/>
      <c r="W30" s="12">
        <v>739</v>
      </c>
      <c r="X30" s="6"/>
      <c r="Y30" s="12">
        <v>685</v>
      </c>
      <c r="Z30" s="6"/>
      <c r="AA30" s="13">
        <v>7478</v>
      </c>
    </row>
    <row r="31" spans="1:27" x14ac:dyDescent="0.25">
      <c r="A31" s="26"/>
      <c r="B31" s="26" t="s">
        <v>167</v>
      </c>
      <c r="C31" s="12">
        <v>20</v>
      </c>
      <c r="D31" s="6"/>
      <c r="E31" s="12">
        <v>20</v>
      </c>
      <c r="F31" s="6"/>
      <c r="G31" s="12">
        <v>20</v>
      </c>
      <c r="H31" s="6"/>
      <c r="I31" s="12">
        <v>20</v>
      </c>
      <c r="J31" s="6"/>
      <c r="K31" s="12">
        <v>20</v>
      </c>
      <c r="L31" s="6"/>
      <c r="M31" s="12">
        <v>20</v>
      </c>
      <c r="N31" s="6"/>
      <c r="O31" s="12">
        <v>20</v>
      </c>
      <c r="P31" s="6"/>
      <c r="Q31" s="12">
        <v>20</v>
      </c>
      <c r="R31" s="6"/>
      <c r="S31" s="12">
        <v>20</v>
      </c>
      <c r="T31" s="6"/>
      <c r="U31" s="12">
        <v>20</v>
      </c>
      <c r="V31" s="6"/>
      <c r="W31" s="12">
        <v>20</v>
      </c>
      <c r="X31" s="6"/>
      <c r="Y31" s="12">
        <v>20</v>
      </c>
      <c r="Z31" s="6"/>
      <c r="AA31" s="13">
        <v>240</v>
      </c>
    </row>
    <row r="32" spans="1:27" x14ac:dyDescent="0.25">
      <c r="A32" s="26"/>
      <c r="B32" s="26" t="s">
        <v>168</v>
      </c>
      <c r="C32" s="12">
        <v>1200</v>
      </c>
      <c r="D32" s="6"/>
      <c r="E32" s="12">
        <v>1200</v>
      </c>
      <c r="F32" s="6"/>
      <c r="G32" s="12">
        <v>1200</v>
      </c>
      <c r="H32" s="6"/>
      <c r="I32" s="12">
        <v>1200</v>
      </c>
      <c r="J32" s="6"/>
      <c r="K32" s="12">
        <v>1200</v>
      </c>
      <c r="L32" s="6"/>
      <c r="M32" s="12">
        <v>1200</v>
      </c>
      <c r="N32" s="6"/>
      <c r="O32" s="12">
        <v>1200</v>
      </c>
      <c r="P32" s="6"/>
      <c r="Q32" s="12">
        <v>1200</v>
      </c>
      <c r="R32" s="6"/>
      <c r="S32" s="12">
        <v>1200</v>
      </c>
      <c r="T32" s="6"/>
      <c r="U32" s="12">
        <v>1200</v>
      </c>
      <c r="V32" s="6"/>
      <c r="W32" s="12">
        <v>1200</v>
      </c>
      <c r="X32" s="6"/>
      <c r="Y32" s="12">
        <v>1200</v>
      </c>
      <c r="Z32" s="6"/>
      <c r="AA32" s="13">
        <v>14400</v>
      </c>
    </row>
    <row r="33" spans="1:27" x14ac:dyDescent="0.25">
      <c r="A33" s="26"/>
      <c r="B33" s="26" t="s">
        <v>170</v>
      </c>
      <c r="C33" s="12">
        <v>1840</v>
      </c>
      <c r="D33" s="6"/>
      <c r="E33" s="12">
        <v>1220</v>
      </c>
      <c r="F33" s="6"/>
      <c r="G33" s="12">
        <v>1540</v>
      </c>
      <c r="H33" s="6"/>
      <c r="I33" s="12">
        <v>1660</v>
      </c>
      <c r="J33" s="6"/>
      <c r="K33" s="12">
        <v>2020</v>
      </c>
      <c r="L33" s="6"/>
      <c r="M33" s="12">
        <v>1460</v>
      </c>
      <c r="N33" s="6"/>
      <c r="O33" s="12">
        <v>760</v>
      </c>
      <c r="P33" s="6"/>
      <c r="Q33" s="12">
        <v>600</v>
      </c>
      <c r="R33" s="6"/>
      <c r="S33" s="12">
        <v>1200</v>
      </c>
      <c r="T33" s="6"/>
      <c r="U33" s="12">
        <v>1740</v>
      </c>
      <c r="V33" s="6"/>
      <c r="W33" s="12">
        <v>2680</v>
      </c>
      <c r="X33" s="6"/>
      <c r="Y33" s="12">
        <v>1791</v>
      </c>
      <c r="Z33" s="6"/>
      <c r="AA33" s="13">
        <v>18511</v>
      </c>
    </row>
    <row r="34" spans="1:27" x14ac:dyDescent="0.25">
      <c r="A34" s="26"/>
      <c r="B34" s="26" t="s">
        <v>155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3">
        <v>0</v>
      </c>
    </row>
    <row r="35" spans="1:27" x14ac:dyDescent="0.25">
      <c r="A35" s="26"/>
      <c r="B35" s="26" t="s">
        <v>82</v>
      </c>
      <c r="C35" s="12">
        <v>3154</v>
      </c>
      <c r="D35" s="6"/>
      <c r="E35" s="12">
        <v>3154</v>
      </c>
      <c r="F35" s="6"/>
      <c r="G35" s="12">
        <v>3154</v>
      </c>
      <c r="H35" s="6"/>
      <c r="I35" s="12">
        <v>3154</v>
      </c>
      <c r="J35" s="6"/>
      <c r="K35" s="12">
        <v>3154</v>
      </c>
      <c r="L35" s="6"/>
      <c r="M35" s="12">
        <v>3154</v>
      </c>
      <c r="N35" s="6"/>
      <c r="O35" s="12">
        <v>3154</v>
      </c>
      <c r="P35" s="6"/>
      <c r="Q35" s="12">
        <v>3154</v>
      </c>
      <c r="R35" s="6"/>
      <c r="S35" s="12">
        <v>3154</v>
      </c>
      <c r="T35" s="6"/>
      <c r="U35" s="12">
        <v>3154</v>
      </c>
      <c r="V35" s="6"/>
      <c r="W35" s="12">
        <v>3154</v>
      </c>
      <c r="X35" s="6"/>
      <c r="Y35" s="12">
        <v>3154</v>
      </c>
      <c r="Z35" s="6"/>
      <c r="AA35" s="13">
        <v>37848</v>
      </c>
    </row>
    <row r="36" spans="1:27" x14ac:dyDescent="0.25">
      <c r="A36" s="26"/>
      <c r="B36" s="26" t="s">
        <v>90</v>
      </c>
      <c r="C36" s="12">
        <v>50</v>
      </c>
      <c r="D36" s="6"/>
      <c r="E36" s="12">
        <v>50</v>
      </c>
      <c r="F36" s="6"/>
      <c r="G36" s="12">
        <v>50</v>
      </c>
      <c r="H36" s="6"/>
      <c r="I36" s="12">
        <v>50</v>
      </c>
      <c r="J36" s="6"/>
      <c r="K36" s="12">
        <v>50</v>
      </c>
      <c r="L36" s="12" t="s">
        <v>2</v>
      </c>
      <c r="M36" s="12">
        <v>50</v>
      </c>
      <c r="N36" s="6"/>
      <c r="O36" s="12">
        <v>50</v>
      </c>
      <c r="P36" s="6"/>
      <c r="Q36" s="12">
        <v>50</v>
      </c>
      <c r="R36" s="6"/>
      <c r="S36" s="12">
        <v>50</v>
      </c>
      <c r="T36" s="6"/>
      <c r="U36" s="12">
        <v>50</v>
      </c>
      <c r="V36" s="6"/>
      <c r="W36" s="12">
        <v>50</v>
      </c>
      <c r="X36" s="6"/>
      <c r="Y36" s="12">
        <v>50</v>
      </c>
      <c r="Z36" s="6"/>
      <c r="AA36" s="13">
        <v>600</v>
      </c>
    </row>
    <row r="37" spans="1:27" x14ac:dyDescent="0.25">
      <c r="A37" s="26"/>
      <c r="B37" s="26"/>
      <c r="C37" s="12"/>
      <c r="D37" s="6"/>
      <c r="E37" s="12"/>
      <c r="F37" s="6"/>
      <c r="G37" s="12"/>
      <c r="H37" s="6"/>
      <c r="I37" s="12"/>
      <c r="J37" s="6"/>
      <c r="K37" s="12"/>
      <c r="L37" s="6"/>
      <c r="M37" s="12"/>
      <c r="N37" s="6"/>
      <c r="O37" s="12"/>
      <c r="P37" s="6"/>
      <c r="Q37" s="12"/>
      <c r="R37" s="6"/>
      <c r="S37" s="12"/>
      <c r="T37" s="6"/>
      <c r="U37" s="12"/>
      <c r="V37" s="6"/>
      <c r="W37" s="12"/>
      <c r="X37" s="6"/>
      <c r="Y37" s="12"/>
      <c r="Z37" s="6"/>
      <c r="AA37" s="13">
        <v>0</v>
      </c>
    </row>
    <row r="38" spans="1:27" x14ac:dyDescent="0.25">
      <c r="A38" s="26"/>
      <c r="B38" s="25" t="s">
        <v>171</v>
      </c>
      <c r="C38" s="14">
        <v>21169</v>
      </c>
      <c r="D38" s="9"/>
      <c r="E38" s="14">
        <v>20609</v>
      </c>
      <c r="F38" s="9"/>
      <c r="G38" s="14">
        <v>20975</v>
      </c>
      <c r="H38" s="9"/>
      <c r="I38" s="14">
        <v>21095</v>
      </c>
      <c r="J38" s="9"/>
      <c r="K38" s="14">
        <v>19878</v>
      </c>
      <c r="L38" s="9"/>
      <c r="M38" s="14">
        <v>19327</v>
      </c>
      <c r="N38" s="6"/>
      <c r="O38" s="14">
        <v>18525</v>
      </c>
      <c r="P38" s="9"/>
      <c r="Q38" s="14">
        <v>18334</v>
      </c>
      <c r="R38" s="9"/>
      <c r="S38" s="14">
        <v>20538</v>
      </c>
      <c r="T38" s="9"/>
      <c r="U38" s="14">
        <v>21150</v>
      </c>
      <c r="V38" s="9"/>
      <c r="W38" s="14">
        <v>22198</v>
      </c>
      <c r="X38" s="9"/>
      <c r="Y38" s="14">
        <v>19734</v>
      </c>
      <c r="Z38" s="9"/>
      <c r="AA38" s="15">
        <v>243532</v>
      </c>
    </row>
    <row r="39" spans="1:27" x14ac:dyDescent="0.25">
      <c r="A39" s="25" t="s">
        <v>172</v>
      </c>
      <c r="B39" s="2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1"/>
    </row>
    <row r="40" spans="1:27" x14ac:dyDescent="0.25">
      <c r="A40" s="26"/>
      <c r="B40" s="26" t="s">
        <v>173</v>
      </c>
      <c r="C40" s="16" t="s">
        <v>2</v>
      </c>
      <c r="D40" s="6"/>
      <c r="E40" s="12"/>
      <c r="F40" s="6"/>
      <c r="G40" s="12"/>
      <c r="H40" s="6"/>
      <c r="I40" s="12"/>
      <c r="J40" s="6"/>
      <c r="K40" s="12"/>
      <c r="L40" s="6"/>
      <c r="M40" s="12"/>
      <c r="N40" s="6"/>
      <c r="O40" s="16"/>
      <c r="P40" s="6"/>
      <c r="Q40" s="12"/>
      <c r="R40" s="6"/>
      <c r="S40" s="12"/>
      <c r="T40" s="6"/>
      <c r="U40" s="12"/>
      <c r="V40" s="6"/>
      <c r="W40" s="12"/>
      <c r="X40" s="6"/>
      <c r="Y40" s="12"/>
      <c r="Z40" s="6"/>
      <c r="AA40" s="13">
        <v>0</v>
      </c>
    </row>
    <row r="41" spans="1:27" x14ac:dyDescent="0.25">
      <c r="A41" s="26"/>
      <c r="B41" s="26" t="s">
        <v>174</v>
      </c>
      <c r="C41" s="16">
        <v>0</v>
      </c>
      <c r="D41" s="6"/>
      <c r="E41" s="16">
        <v>0</v>
      </c>
      <c r="F41" s="6"/>
      <c r="G41" s="16">
        <v>0</v>
      </c>
      <c r="H41" s="6"/>
      <c r="I41" s="16">
        <v>0</v>
      </c>
      <c r="J41" s="6"/>
      <c r="K41" s="16">
        <v>0</v>
      </c>
      <c r="L41" s="6"/>
      <c r="M41" s="16">
        <v>0</v>
      </c>
      <c r="N41" s="6"/>
      <c r="O41" s="16">
        <v>0</v>
      </c>
      <c r="P41" s="6"/>
      <c r="Q41" s="16">
        <v>0</v>
      </c>
      <c r="R41" s="6"/>
      <c r="S41" s="16">
        <v>0</v>
      </c>
      <c r="T41" s="6"/>
      <c r="U41" s="16">
        <v>0</v>
      </c>
      <c r="V41" s="6"/>
      <c r="W41" s="16">
        <v>0</v>
      </c>
      <c r="X41" s="6"/>
      <c r="Y41" s="16">
        <v>0</v>
      </c>
      <c r="Z41" s="6"/>
      <c r="AA41" s="13">
        <v>0</v>
      </c>
    </row>
    <row r="42" spans="1:27" x14ac:dyDescent="0.25">
      <c r="A42" s="26"/>
      <c r="B42" s="26" t="s">
        <v>175</v>
      </c>
      <c r="C42" s="16"/>
      <c r="D42" s="6"/>
      <c r="E42" s="12"/>
      <c r="F42" s="6"/>
      <c r="G42" s="12"/>
      <c r="H42" s="6"/>
      <c r="I42" s="12"/>
      <c r="J42" s="6"/>
      <c r="K42" s="12"/>
      <c r="L42" s="6"/>
      <c r="M42" s="12"/>
      <c r="N42" s="6"/>
      <c r="O42" s="16"/>
      <c r="P42" s="6"/>
      <c r="Q42" s="12"/>
      <c r="R42" s="6"/>
      <c r="S42" s="12"/>
      <c r="T42" s="6"/>
      <c r="U42" s="12"/>
      <c r="V42" s="6"/>
      <c r="W42" s="12"/>
      <c r="X42" s="6"/>
      <c r="Y42" s="12"/>
      <c r="Z42" s="6"/>
      <c r="AA42" s="13">
        <v>0</v>
      </c>
    </row>
    <row r="43" spans="1:27" x14ac:dyDescent="0.25">
      <c r="A43" s="26"/>
      <c r="B43" s="26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3">
        <v>0</v>
      </c>
    </row>
    <row r="44" spans="1:27" x14ac:dyDescent="0.25">
      <c r="A44" s="26"/>
      <c r="B44" s="26"/>
      <c r="C44" s="12"/>
      <c r="D44" s="6"/>
      <c r="E44" s="12"/>
      <c r="F44" s="6"/>
      <c r="G44" s="12"/>
      <c r="H44" s="6"/>
      <c r="I44" s="12"/>
      <c r="J44" s="6"/>
      <c r="K44" s="12"/>
      <c r="L44" s="6"/>
      <c r="M44" s="12"/>
      <c r="N44" s="6"/>
      <c r="O44" s="12"/>
      <c r="P44" s="6"/>
      <c r="Q44" s="12"/>
      <c r="R44" s="6"/>
      <c r="S44" s="12"/>
      <c r="T44" s="6"/>
      <c r="U44" s="12"/>
      <c r="V44" s="6"/>
      <c r="W44" s="12"/>
      <c r="X44" s="6"/>
      <c r="Y44" s="12"/>
      <c r="Z44" s="6"/>
      <c r="AA44" s="13">
        <v>0</v>
      </c>
    </row>
    <row r="45" spans="1:27" x14ac:dyDescent="0.25">
      <c r="A45" s="26"/>
      <c r="B45" s="25" t="s">
        <v>171</v>
      </c>
      <c r="C45" s="14">
        <v>0</v>
      </c>
      <c r="D45" s="9"/>
      <c r="E45" s="14">
        <v>0</v>
      </c>
      <c r="F45" s="9"/>
      <c r="G45" s="14">
        <v>0</v>
      </c>
      <c r="H45" s="9"/>
      <c r="I45" s="14">
        <v>0</v>
      </c>
      <c r="J45" s="9"/>
      <c r="K45" s="14">
        <v>0</v>
      </c>
      <c r="L45" s="9"/>
      <c r="M45" s="14">
        <v>0</v>
      </c>
      <c r="N45" s="6"/>
      <c r="O45" s="14">
        <v>0</v>
      </c>
      <c r="P45" s="9"/>
      <c r="Q45" s="14">
        <v>0</v>
      </c>
      <c r="R45" s="9"/>
      <c r="S45" s="14">
        <v>0</v>
      </c>
      <c r="T45" s="9"/>
      <c r="U45" s="14">
        <v>0</v>
      </c>
      <c r="V45" s="9"/>
      <c r="W45" s="14">
        <v>0</v>
      </c>
      <c r="X45" s="9"/>
      <c r="Y45" s="14">
        <v>0</v>
      </c>
      <c r="Z45" s="9"/>
      <c r="AA45" s="15">
        <v>0</v>
      </c>
    </row>
    <row r="46" spans="1:27" x14ac:dyDescent="0.25">
      <c r="A46" s="25"/>
      <c r="B46" s="25" t="s">
        <v>176</v>
      </c>
      <c r="C46" s="8">
        <v>21169</v>
      </c>
      <c r="D46" s="9"/>
      <c r="E46" s="8">
        <v>20609</v>
      </c>
      <c r="F46" s="9"/>
      <c r="G46" s="8">
        <v>20975</v>
      </c>
      <c r="H46" s="9"/>
      <c r="I46" s="8">
        <v>21095</v>
      </c>
      <c r="J46" s="9"/>
      <c r="K46" s="8">
        <v>19878</v>
      </c>
      <c r="L46" s="9"/>
      <c r="M46" s="8">
        <v>19327</v>
      </c>
      <c r="N46" s="6"/>
      <c r="O46" s="8">
        <v>18525</v>
      </c>
      <c r="P46" s="9"/>
      <c r="Q46" s="8">
        <v>18334</v>
      </c>
      <c r="R46" s="9"/>
      <c r="S46" s="8">
        <v>20538</v>
      </c>
      <c r="T46" s="9"/>
      <c r="U46" s="8">
        <v>21150</v>
      </c>
      <c r="V46" s="9"/>
      <c r="W46" s="8">
        <v>22198</v>
      </c>
      <c r="X46" s="9"/>
      <c r="Y46" s="8">
        <v>19734</v>
      </c>
      <c r="Z46" s="9"/>
      <c r="AA46" s="17">
        <v>243532</v>
      </c>
    </row>
    <row r="47" spans="1:27" ht="13" thickBot="1" x14ac:dyDescent="0.3">
      <c r="A47" s="25" t="s">
        <v>177</v>
      </c>
      <c r="B47" s="26"/>
      <c r="C47" s="28">
        <v>12809</v>
      </c>
      <c r="D47" s="29"/>
      <c r="E47" s="28">
        <v>30875</v>
      </c>
      <c r="F47" s="9"/>
      <c r="G47" s="28">
        <v>52690</v>
      </c>
      <c r="H47" s="9"/>
      <c r="I47" s="28">
        <v>74579</v>
      </c>
      <c r="J47" s="9"/>
      <c r="K47" s="28">
        <v>95961</v>
      </c>
      <c r="L47" s="9"/>
      <c r="M47" s="28">
        <v>112205</v>
      </c>
      <c r="N47" s="6"/>
      <c r="O47" s="28">
        <v>120784</v>
      </c>
      <c r="P47" s="29"/>
      <c r="Q47" s="28">
        <v>127132</v>
      </c>
      <c r="R47" s="9"/>
      <c r="S47" s="28">
        <v>138352</v>
      </c>
      <c r="T47" s="9"/>
      <c r="U47" s="28">
        <v>155359</v>
      </c>
      <c r="V47" s="9"/>
      <c r="W47" s="28">
        <v>181531</v>
      </c>
      <c r="X47" s="9"/>
      <c r="Y47" s="28">
        <v>205443</v>
      </c>
      <c r="Z47" s="9"/>
      <c r="AA47" s="30"/>
    </row>
    <row r="48" spans="1:27" ht="13.5" thickTop="1" thickBot="1" x14ac:dyDescent="0.3">
      <c r="A48" s="31"/>
      <c r="B48" s="3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</sheetData>
  <pageMargins left="1" right="1" top="1" bottom="1" header="0.5" footer="0.5"/>
  <pageSetup scale="68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00 Bal. Sheet</vt:lpstr>
      <vt:lpstr>01 Bal. Sheet</vt:lpstr>
      <vt:lpstr>00 Rev. Proj.</vt:lpstr>
      <vt:lpstr>01 Rev. Proj.</vt:lpstr>
      <vt:lpstr>00 Rev.Graph</vt:lpstr>
      <vt:lpstr>01 Rev. Graph</vt:lpstr>
      <vt:lpstr>Enrollment Rev. Proj.</vt:lpstr>
      <vt:lpstr>00 Cash Flow Budget</vt:lpstr>
      <vt:lpstr>01 Cash Flow Budget</vt:lpstr>
      <vt:lpstr>M10EB</vt:lpstr>
      <vt:lpstr>M11EB</vt:lpstr>
      <vt:lpstr>M1EB</vt:lpstr>
      <vt:lpstr>M7EB</vt:lpstr>
      <vt:lpstr>M8EB</vt:lpstr>
      <vt:lpstr>M9EB</vt:lpstr>
      <vt:lpstr>Month1_Ending_Bal</vt:lpstr>
      <vt:lpstr>Month10_Ending_Bal</vt:lpstr>
      <vt:lpstr>Month11_Ending_Bal</vt:lpstr>
      <vt:lpstr>Month7_Ending_Bal</vt:lpstr>
      <vt:lpstr>Month8_Ending_Bal</vt:lpstr>
      <vt:lpstr>Month9_Ending_Bal</vt:lpstr>
      <vt:lpstr>'00 Cash Flow Budget'!Print_Area</vt:lpstr>
    </vt:vector>
  </TitlesOfParts>
  <Company>CCH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 Incorporated</dc:creator>
  <cp:lastModifiedBy>Carina Negreanu</cp:lastModifiedBy>
  <cp:lastPrinted>1996-08-02T21:34:28Z</cp:lastPrinted>
  <dcterms:created xsi:type="dcterms:W3CDTF">1996-07-17T19:52:57Z</dcterms:created>
  <dcterms:modified xsi:type="dcterms:W3CDTF">2020-01-27T11:18:37Z</dcterms:modified>
</cp:coreProperties>
</file>