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8C59E1-8343-4F29-9A02-224E037971BE}" xr6:coauthVersionLast="45" xr6:coauthVersionMax="45" xr10:uidLastSave="{00000000-0000-0000-0000-000000000000}"/>
  <bookViews>
    <workbookView xWindow="3420" yWindow="3420" windowWidth="28800" windowHeight="15460"/>
  </bookViews>
  <sheets>
    <sheet name="Intro" sheetId="1" r:id="rId1"/>
    <sheet name="Inventory" sheetId="2" r:id="rId2"/>
  </sheets>
  <calcPr calcId="0"/>
</workbook>
</file>

<file path=xl/calcChain.xml><?xml version="1.0" encoding="utf-8"?>
<calcChain xmlns="http://schemas.openxmlformats.org/spreadsheetml/2006/main">
  <c r="B26" i="2" l="1"/>
  <c r="C26" i="2"/>
  <c r="D26" i="2"/>
  <c r="B38" i="2"/>
  <c r="C38" i="2"/>
  <c r="D38" i="2"/>
  <c r="B49" i="2"/>
  <c r="C49" i="2"/>
  <c r="D49" i="2"/>
  <c r="B68" i="2"/>
  <c r="C68" i="2"/>
  <c r="D68" i="2"/>
  <c r="B79" i="2"/>
  <c r="C79" i="2"/>
  <c r="D79" i="2"/>
  <c r="B97" i="2"/>
  <c r="C97" i="2"/>
  <c r="D97" i="2"/>
  <c r="B103" i="2"/>
  <c r="C103" i="2"/>
  <c r="D103" i="2"/>
  <c r="B111" i="2"/>
  <c r="C111" i="2"/>
  <c r="D111" i="2"/>
  <c r="B117" i="2"/>
  <c r="C117" i="2"/>
  <c r="D117" i="2"/>
  <c r="B129" i="2"/>
  <c r="C129" i="2"/>
  <c r="D129" i="2"/>
  <c r="B140" i="2"/>
  <c r="C140" i="2"/>
  <c r="D140" i="2"/>
  <c r="B148" i="2"/>
  <c r="C148" i="2"/>
  <c r="D148" i="2"/>
  <c r="A153" i="2"/>
  <c r="B153" i="2"/>
  <c r="C153" i="2"/>
  <c r="D153" i="2"/>
  <c r="A154" i="2"/>
  <c r="B154" i="2"/>
  <c r="C154" i="2"/>
  <c r="D154" i="2"/>
  <c r="A155" i="2"/>
  <c r="B155" i="2"/>
  <c r="C155" i="2"/>
  <c r="D155" i="2"/>
  <c r="A156" i="2"/>
  <c r="B156" i="2"/>
  <c r="C156" i="2"/>
  <c r="D156" i="2"/>
  <c r="A157" i="2"/>
  <c r="B157" i="2"/>
  <c r="C157" i="2"/>
  <c r="D157" i="2"/>
  <c r="A158" i="2"/>
  <c r="B158" i="2"/>
  <c r="C158" i="2"/>
  <c r="D158" i="2"/>
  <c r="A159" i="2"/>
  <c r="B159" i="2"/>
  <c r="C159" i="2"/>
  <c r="D159" i="2"/>
  <c r="A160" i="2"/>
  <c r="B160" i="2"/>
  <c r="C160" i="2"/>
  <c r="D160" i="2"/>
  <c r="A161" i="2"/>
  <c r="B161" i="2"/>
  <c r="C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B166" i="2"/>
  <c r="C166" i="2"/>
  <c r="D166" i="2"/>
  <c r="D172" i="2"/>
  <c r="D173" i="2"/>
  <c r="D174" i="2"/>
  <c r="D175" i="2"/>
  <c r="D176" i="2"/>
  <c r="D178" i="2"/>
</calcChain>
</file>

<file path=xl/sharedStrings.xml><?xml version="1.0" encoding="utf-8"?>
<sst xmlns="http://schemas.openxmlformats.org/spreadsheetml/2006/main" count="180" uniqueCount="142">
  <si>
    <t>HOUSEHOLD INVENTORY</t>
  </si>
  <si>
    <t>As you acquire things for your home, its so easy to lose track of the total value of your family possessions.</t>
  </si>
  <si>
    <t>By completing this short inventory guide you'll be able to quickly see whether your current sum insured</t>
  </si>
  <si>
    <t>is enough to cover the value of your household contents and personal effects.</t>
  </si>
  <si>
    <t>WHAT TO DO …</t>
  </si>
  <si>
    <t>Use the spreadsheet on the next page to record the values for the various items in your home.</t>
  </si>
  <si>
    <t>Go through the whole house room by room.</t>
  </si>
  <si>
    <t>You can compare your home with the sample figures provided.</t>
  </si>
  <si>
    <t>Remember, these figures are a guide only.  You should be thinking about the articles in your own home.</t>
  </si>
  <si>
    <t>If you can see or think of articles which aren't listed on the sheet, put them in seperately.</t>
  </si>
  <si>
    <t xml:space="preserve">For the purposes of this exercise, you should use the current replacement cost for all your contents. </t>
  </si>
  <si>
    <t xml:space="preserve">Some of your contents including clothing and personal effects may only be insured for current or indemnity value, </t>
  </si>
  <si>
    <t>but it is better to be slightly higher with your sum insured than lower.</t>
  </si>
  <si>
    <t>If you need to know exactly what your policy covers, please contact us.</t>
  </si>
  <si>
    <t>Do you know what your specified item limit is ?  Do you know to which items it applies ?</t>
  </si>
  <si>
    <t>Whilst doing this inventory, it is a good time to review whether any items of jewellery or other articles need</t>
  </si>
  <si>
    <t>to be specified.</t>
  </si>
  <si>
    <t>The spreadsheet is self-totalling with a summary.  When you are happy with the sheet save the file,</t>
  </si>
  <si>
    <t>and then print a copy which should be sent to your nearest Ahlers &amp; Associates office.</t>
  </si>
  <si>
    <t>OPTIONAL</t>
  </si>
  <si>
    <t xml:space="preserve">Use a camera or video camera to record what you own. Photograph your home systemically moving from room to room.  </t>
  </si>
  <si>
    <t>If filming your home, pay particluar attention to art works, antiques or any other items that may be difficult</t>
  </si>
  <si>
    <t>to describe after a loss has occurred.</t>
  </si>
  <si>
    <t xml:space="preserve">When you have filmed your home, encourage a friend to do the same and swap tapes. </t>
  </si>
  <si>
    <t>Update your tapes every 12 months.</t>
  </si>
  <si>
    <t>On this inventory, make a note of serial numbers for appliances, or any identifying marks and brand / model names .</t>
  </si>
  <si>
    <t>This can be useful if you need to provide details to the Police in recovering stolen property.</t>
  </si>
  <si>
    <t xml:space="preserve">If you have valuable antiques, fine jewellery and other possessions for which the purchase price is not </t>
  </si>
  <si>
    <t xml:space="preserve">an indication of their present value, it may be worth the cost to have a reputable dealer appraise them. </t>
  </si>
  <si>
    <t>Keep the appraisal report with your inventory or in a safe place (away from the home).</t>
  </si>
  <si>
    <t>A copy of the this inventory (printed) should be provided to your Broker so that your Contents policy can be kept updated.</t>
  </si>
  <si>
    <t>Keep your own copy of the inventory (printed) in a safe place (safe, bank etc.) so that it can be referred to if the need arises.</t>
  </si>
  <si>
    <t>This computer file should be retained on your PC so it can be updated periodically.</t>
  </si>
  <si>
    <t>Remember, if you have any queries at all - just call your nearest Ahlers &amp; Associates Office.</t>
  </si>
  <si>
    <t>HOUSEHOLD INVENTORY FORM</t>
  </si>
  <si>
    <t>REPLACEMENT COST</t>
  </si>
  <si>
    <t>Room</t>
  </si>
  <si>
    <t>Average Value</t>
  </si>
  <si>
    <t>Above Average</t>
  </si>
  <si>
    <t>My Home</t>
  </si>
  <si>
    <t>COMMENTS - SERIAL NUMBERS - OTHER INFO</t>
  </si>
  <si>
    <t>Lounge</t>
  </si>
  <si>
    <t xml:space="preserve">Television </t>
  </si>
  <si>
    <t>Video (VCR)</t>
  </si>
  <si>
    <t>Lounge suite</t>
  </si>
  <si>
    <t>Blinds, curtains, drapes, cushions</t>
  </si>
  <si>
    <t>Carpet</t>
  </si>
  <si>
    <t>Miscellaneous furniture</t>
  </si>
  <si>
    <t>Pictures, wall hangings, artwork etc.</t>
  </si>
  <si>
    <t>Books &amp; ornaments</t>
  </si>
  <si>
    <t>Stereo equipment</t>
  </si>
  <si>
    <t>CD's, Tapes etc.</t>
  </si>
  <si>
    <t>Light fittings &amp; lamps</t>
  </si>
  <si>
    <t>China cabinet, sideboard, coffee table</t>
  </si>
  <si>
    <t>Fireplace &amp; Heaters</t>
  </si>
  <si>
    <t>(other items)</t>
  </si>
  <si>
    <t>Lounge Total</t>
  </si>
  <si>
    <t>Dining Room</t>
  </si>
  <si>
    <t xml:space="preserve">Dining room suite  </t>
  </si>
  <si>
    <t>Clock</t>
  </si>
  <si>
    <t>Dining Room Total</t>
  </si>
  <si>
    <t xml:space="preserve">Hall </t>
  </si>
  <si>
    <t>Mirrors</t>
  </si>
  <si>
    <t>Hall table</t>
  </si>
  <si>
    <t>Blinds, curtains, drapes</t>
  </si>
  <si>
    <t>Light Fittings</t>
  </si>
  <si>
    <t>Hall Total</t>
  </si>
  <si>
    <t>Bedrooms (x3)</t>
  </si>
  <si>
    <t>Television</t>
  </si>
  <si>
    <t>Mirrors, lamps</t>
  </si>
  <si>
    <t>3 x single beds, mattresses, bedding etc</t>
  </si>
  <si>
    <t>1 x double bed, mattress, bedding etc</t>
  </si>
  <si>
    <t>Radios</t>
  </si>
  <si>
    <t>Tallboys, dressing tables, bookcases</t>
  </si>
  <si>
    <t>Baby furnishings, cot, pram, pushchair</t>
  </si>
  <si>
    <t>Toys</t>
  </si>
  <si>
    <t>Ornaments, pictures</t>
  </si>
  <si>
    <t>Misc items eg. hair dryers, desks etc</t>
  </si>
  <si>
    <t>Bedrooms (x3) Total</t>
  </si>
  <si>
    <t>Family Room</t>
  </si>
  <si>
    <t>Curtains, drapes, lights</t>
  </si>
  <si>
    <t>2 Seater Couch</t>
  </si>
  <si>
    <t>Radio, clock, pictures</t>
  </si>
  <si>
    <t>Family Room Total</t>
  </si>
  <si>
    <t>Kitchen</t>
  </si>
  <si>
    <t>Refrigerator</t>
  </si>
  <si>
    <t>Freezer</t>
  </si>
  <si>
    <t>Dishwasher</t>
  </si>
  <si>
    <t>Microwave Oven</t>
  </si>
  <si>
    <t>Cutlery</t>
  </si>
  <si>
    <t>Crockery, glassware</t>
  </si>
  <si>
    <t>Toaster</t>
  </si>
  <si>
    <t>Electric jug</t>
  </si>
  <si>
    <t>Coffee percolator</t>
  </si>
  <si>
    <t>Saucepans, kitchen utensils, kitchen appliances</t>
  </si>
  <si>
    <t>Kitchen stools or chairs</t>
  </si>
  <si>
    <t>Food preserves, freezer contents etc</t>
  </si>
  <si>
    <t>KitchenTotal</t>
  </si>
  <si>
    <t>Bathroom</t>
  </si>
  <si>
    <t>Vanity suite</t>
  </si>
  <si>
    <t>Toiletries</t>
  </si>
  <si>
    <t>Heated towell rack</t>
  </si>
  <si>
    <t>Bathroom Total</t>
  </si>
  <si>
    <t>Laundry</t>
  </si>
  <si>
    <t>Washing machine</t>
  </si>
  <si>
    <t>Dryer</t>
  </si>
  <si>
    <t>Tub</t>
  </si>
  <si>
    <t>Ironing board &amp; iron</t>
  </si>
  <si>
    <t>Laundry Total</t>
  </si>
  <si>
    <t xml:space="preserve">Clothing &amp; Personal Effects </t>
  </si>
  <si>
    <t>Footwear</t>
  </si>
  <si>
    <t>Clothing</t>
  </si>
  <si>
    <t>Clothing &amp; Personal Effects Total</t>
  </si>
  <si>
    <t>Valuables &amp; Special Items</t>
  </si>
  <si>
    <t>Spectacles</t>
  </si>
  <si>
    <t>Jewellery</t>
  </si>
  <si>
    <t>Watches</t>
  </si>
  <si>
    <t>Cameras, binoculars</t>
  </si>
  <si>
    <t>Video camera</t>
  </si>
  <si>
    <t>Home computer</t>
  </si>
  <si>
    <t>Valuables &amp; Special Items Total</t>
  </si>
  <si>
    <t>Garage</t>
  </si>
  <si>
    <t>Lawnmower</t>
  </si>
  <si>
    <t>Bicycles</t>
  </si>
  <si>
    <t xml:space="preserve">Garden tools &amp; equipment </t>
  </si>
  <si>
    <t>Tools &amp; handyman equipment</t>
  </si>
  <si>
    <t>Sports equipment, camping equipment</t>
  </si>
  <si>
    <t>Garage Total</t>
  </si>
  <si>
    <t>Other</t>
  </si>
  <si>
    <t>Sewing machine, accessories etc</t>
  </si>
  <si>
    <t>Vacuum cleaner</t>
  </si>
  <si>
    <t>Other Total</t>
  </si>
  <si>
    <t>SUMMARY :</t>
  </si>
  <si>
    <t>GRAND TOTAL</t>
  </si>
  <si>
    <t>SPECIFIED ITEMS :</t>
  </si>
  <si>
    <t xml:space="preserve">The following items are to be specified under my home contents insurance policy : </t>
  </si>
  <si>
    <t>(item 1)</t>
  </si>
  <si>
    <t>(item 2)</t>
  </si>
  <si>
    <t>(item 3)</t>
  </si>
  <si>
    <t>(item 4)</t>
  </si>
  <si>
    <t>(item 5)</t>
  </si>
  <si>
    <t>TOTAL SPECIFIED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</si>
</sst>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4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u/>
      <sz val="10"/>
      <color indexed="10"/>
      <name val="Arial"/>
      <family val="2"/>
    </font>
    <font>
      <u/>
      <sz val="10"/>
      <name val="Arial"/>
      <family val="2"/>
    </font>
    <font>
      <u/>
      <sz val="10"/>
      <color indexed="10"/>
      <name val="Arial"/>
      <family val="2"/>
    </font>
    <font>
      <b/>
      <u/>
      <sz val="20"/>
      <name val="Arial"/>
      <family val="2"/>
    </font>
    <font>
      <sz val="10"/>
      <color indexed="10"/>
      <name val="Arial"/>
      <family val="2"/>
    </font>
    <font>
      <b/>
      <sz val="26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41" fontId="0" fillId="0" borderId="0" xfId="0" applyNumberFormat="1"/>
    <xf numFmtId="41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4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1" fontId="0" fillId="0" borderId="1" xfId="0" applyNumberForma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41" fontId="5" fillId="0" borderId="0" xfId="0" applyNumberFormat="1" applyFont="1"/>
    <xf numFmtId="41" fontId="6" fillId="0" borderId="0" xfId="0" applyNumberFormat="1" applyFont="1"/>
    <xf numFmtId="0" fontId="5" fillId="0" borderId="0" xfId="0" applyFont="1"/>
    <xf numFmtId="0" fontId="2" fillId="0" borderId="0" xfId="0" applyFont="1"/>
    <xf numFmtId="0" fontId="7" fillId="0" borderId="0" xfId="0" applyFont="1"/>
    <xf numFmtId="41" fontId="7" fillId="0" borderId="0" xfId="0" applyNumberFormat="1" applyFont="1"/>
    <xf numFmtId="41" fontId="8" fillId="0" borderId="0" xfId="0" applyNumberFormat="1" applyFont="1"/>
    <xf numFmtId="0" fontId="9" fillId="0" borderId="0" xfId="0" applyFont="1"/>
    <xf numFmtId="41" fontId="9" fillId="0" borderId="0" xfId="0" applyNumberFormat="1" applyFont="1"/>
    <xf numFmtId="41" fontId="10" fillId="0" borderId="0" xfId="0" applyNumberFormat="1" applyFont="1"/>
    <xf numFmtId="0" fontId="11" fillId="0" borderId="0" xfId="0" applyFont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41" fontId="0" fillId="0" borderId="0" xfId="0" applyNumberFormat="1" applyAlignment="1">
      <alignment horizontal="centerContinuous"/>
    </xf>
    <xf numFmtId="0" fontId="6" fillId="0" borderId="4" xfId="0" applyFont="1" applyBorder="1" applyAlignment="1">
      <alignment horizontal="center"/>
    </xf>
    <xf numFmtId="41" fontId="12" fillId="0" borderId="0" xfId="0" applyNumberFormat="1" applyFont="1"/>
    <xf numFmtId="0" fontId="13" fillId="0" borderId="0" xfId="0" applyFont="1"/>
    <xf numFmtId="0" fontId="0" fillId="0" borderId="5" xfId="0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444500</xdr:colOff>
      <xdr:row>0</xdr:row>
      <xdr:rowOff>361950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8AA7010-1D9F-4C2B-A0EF-D3AE189D4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31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showGridLines="0" tabSelected="1" zoomScale="80" workbookViewId="0">
      <selection activeCell="A9" sqref="A9"/>
    </sheetView>
  </sheetViews>
  <sheetFormatPr defaultRowHeight="12.5" x14ac:dyDescent="0.25"/>
  <cols>
    <col min="1" max="1" width="3.26953125" customWidth="1"/>
  </cols>
  <sheetData>
    <row r="1" spans="1:11" ht="31.5" x14ac:dyDescent="0.55000000000000004">
      <c r="C1" s="30" t="s">
        <v>0</v>
      </c>
      <c r="E1" s="24"/>
    </row>
    <row r="2" spans="1:11" ht="15" customHeight="1" x14ac:dyDescent="0.6">
      <c r="A2" s="31"/>
      <c r="B2" s="31"/>
      <c r="C2" s="31"/>
      <c r="D2" s="31"/>
      <c r="E2" s="32"/>
      <c r="F2" s="31"/>
      <c r="G2" s="31"/>
      <c r="H2" s="31"/>
      <c r="I2" s="31"/>
      <c r="J2" s="31"/>
      <c r="K2" s="31"/>
    </row>
    <row r="3" spans="1:11" ht="15" customHeight="1" x14ac:dyDescent="0.6">
      <c r="E3" s="1"/>
    </row>
    <row r="4" spans="1:11" x14ac:dyDescent="0.25">
      <c r="B4" t="s">
        <v>1</v>
      </c>
    </row>
    <row r="5" spans="1:11" x14ac:dyDescent="0.25">
      <c r="B5" t="s">
        <v>2</v>
      </c>
    </row>
    <row r="6" spans="1:11" x14ac:dyDescent="0.25">
      <c r="B6" t="s">
        <v>3</v>
      </c>
    </row>
    <row r="9" spans="1:11" ht="13" x14ac:dyDescent="0.3">
      <c r="B9" s="3" t="s">
        <v>4</v>
      </c>
    </row>
    <row r="11" spans="1:11" ht="13" x14ac:dyDescent="0.3">
      <c r="A11" s="2">
        <v>1</v>
      </c>
      <c r="B11" t="s">
        <v>5</v>
      </c>
    </row>
    <row r="12" spans="1:11" ht="13" x14ac:dyDescent="0.3">
      <c r="A12" s="2"/>
    </row>
    <row r="13" spans="1:11" ht="13" x14ac:dyDescent="0.3">
      <c r="A13" s="2">
        <v>2</v>
      </c>
      <c r="B13" t="s">
        <v>6</v>
      </c>
    </row>
    <row r="14" spans="1:11" ht="13" x14ac:dyDescent="0.3">
      <c r="A14" s="2"/>
    </row>
    <row r="15" spans="1:11" ht="13" x14ac:dyDescent="0.3">
      <c r="A15" s="2">
        <v>3</v>
      </c>
      <c r="B15" t="s">
        <v>7</v>
      </c>
    </row>
    <row r="16" spans="1:11" ht="13" x14ac:dyDescent="0.3">
      <c r="A16" s="2"/>
      <c r="B16" t="s">
        <v>8</v>
      </c>
    </row>
    <row r="17" spans="1:2" ht="13" x14ac:dyDescent="0.3">
      <c r="A17" s="2"/>
    </row>
    <row r="18" spans="1:2" ht="13" x14ac:dyDescent="0.3">
      <c r="A18" s="2">
        <v>4</v>
      </c>
      <c r="B18" t="s">
        <v>9</v>
      </c>
    </row>
    <row r="19" spans="1:2" ht="13" x14ac:dyDescent="0.3">
      <c r="A19" s="2"/>
    </row>
    <row r="20" spans="1:2" ht="13" x14ac:dyDescent="0.3">
      <c r="A20" s="2">
        <v>5</v>
      </c>
      <c r="B20" t="s">
        <v>10</v>
      </c>
    </row>
    <row r="21" spans="1:2" ht="13" x14ac:dyDescent="0.3">
      <c r="A21" s="2"/>
      <c r="B21" t="s">
        <v>11</v>
      </c>
    </row>
    <row r="22" spans="1:2" ht="13" x14ac:dyDescent="0.3">
      <c r="A22" s="2"/>
      <c r="B22" t="s">
        <v>12</v>
      </c>
    </row>
    <row r="23" spans="1:2" ht="13" x14ac:dyDescent="0.3">
      <c r="A23" s="2"/>
      <c r="B23" t="s">
        <v>13</v>
      </c>
    </row>
    <row r="24" spans="1:2" ht="13" x14ac:dyDescent="0.3">
      <c r="A24" s="2"/>
    </row>
    <row r="25" spans="1:2" ht="13" x14ac:dyDescent="0.3">
      <c r="A25" s="2">
        <v>6</v>
      </c>
      <c r="B25" t="s">
        <v>14</v>
      </c>
    </row>
    <row r="26" spans="1:2" ht="13" x14ac:dyDescent="0.3">
      <c r="A26" s="2"/>
      <c r="B26" t="s">
        <v>15</v>
      </c>
    </row>
    <row r="27" spans="1:2" ht="13" x14ac:dyDescent="0.3">
      <c r="A27" s="2"/>
      <c r="B27" t="s">
        <v>16</v>
      </c>
    </row>
    <row r="28" spans="1:2" ht="13" x14ac:dyDescent="0.3">
      <c r="A28" s="2"/>
    </row>
    <row r="29" spans="1:2" ht="13" x14ac:dyDescent="0.3">
      <c r="A29" s="2">
        <v>7</v>
      </c>
      <c r="B29" t="s">
        <v>17</v>
      </c>
    </row>
    <row r="30" spans="1:2" ht="13" x14ac:dyDescent="0.3">
      <c r="A30" s="2"/>
      <c r="B30" t="s">
        <v>18</v>
      </c>
    </row>
    <row r="31" spans="1:2" ht="13" x14ac:dyDescent="0.3">
      <c r="A31" s="2"/>
    </row>
    <row r="32" spans="1:2" ht="13" x14ac:dyDescent="0.3">
      <c r="A32" s="2"/>
    </row>
    <row r="33" spans="1:2" ht="13" x14ac:dyDescent="0.3">
      <c r="A33" s="2"/>
    </row>
    <row r="34" spans="1:2" ht="13" x14ac:dyDescent="0.3">
      <c r="A34" s="2"/>
    </row>
    <row r="35" spans="1:2" ht="13" x14ac:dyDescent="0.3">
      <c r="B35" s="3" t="s">
        <v>19</v>
      </c>
    </row>
    <row r="36" spans="1:2" ht="13" x14ac:dyDescent="0.3">
      <c r="A36" s="2"/>
    </row>
    <row r="37" spans="1:2" ht="13" x14ac:dyDescent="0.3">
      <c r="A37" s="2">
        <v>8</v>
      </c>
      <c r="B37" t="s">
        <v>20</v>
      </c>
    </row>
    <row r="38" spans="1:2" ht="13" x14ac:dyDescent="0.3">
      <c r="A38" s="2"/>
      <c r="B38" t="s">
        <v>21</v>
      </c>
    </row>
    <row r="39" spans="1:2" ht="13" x14ac:dyDescent="0.3">
      <c r="A39" s="2"/>
      <c r="B39" t="s">
        <v>22</v>
      </c>
    </row>
    <row r="40" spans="1:2" ht="13" x14ac:dyDescent="0.3">
      <c r="A40" s="2"/>
    </row>
    <row r="41" spans="1:2" ht="13" x14ac:dyDescent="0.3">
      <c r="A41" s="2">
        <v>9</v>
      </c>
      <c r="B41" t="s">
        <v>23</v>
      </c>
    </row>
    <row r="42" spans="1:2" ht="13" x14ac:dyDescent="0.3">
      <c r="A42" s="2"/>
      <c r="B42" t="s">
        <v>24</v>
      </c>
    </row>
    <row r="43" spans="1:2" ht="13" x14ac:dyDescent="0.3">
      <c r="A43" s="2"/>
    </row>
    <row r="44" spans="1:2" ht="13" x14ac:dyDescent="0.3">
      <c r="A44" s="2">
        <v>10</v>
      </c>
      <c r="B44" t="s">
        <v>25</v>
      </c>
    </row>
    <row r="45" spans="1:2" ht="13" x14ac:dyDescent="0.3">
      <c r="A45" s="2"/>
      <c r="B45" t="s">
        <v>26</v>
      </c>
    </row>
    <row r="46" spans="1:2" ht="13" x14ac:dyDescent="0.3">
      <c r="A46" s="2"/>
    </row>
    <row r="47" spans="1:2" ht="13" x14ac:dyDescent="0.3">
      <c r="A47" s="2">
        <v>11</v>
      </c>
      <c r="B47" t="s">
        <v>27</v>
      </c>
    </row>
    <row r="48" spans="1:2" x14ac:dyDescent="0.25">
      <c r="B48" t="s">
        <v>28</v>
      </c>
    </row>
    <row r="49" spans="1:2" x14ac:dyDescent="0.25">
      <c r="B49" t="s">
        <v>29</v>
      </c>
    </row>
    <row r="52" spans="1:2" x14ac:dyDescent="0.25">
      <c r="A52" t="s">
        <v>30</v>
      </c>
    </row>
    <row r="53" spans="1:2" x14ac:dyDescent="0.25">
      <c r="A53" t="s">
        <v>31</v>
      </c>
    </row>
    <row r="54" spans="1:2" x14ac:dyDescent="0.25">
      <c r="A54" t="s">
        <v>32</v>
      </c>
    </row>
    <row r="56" spans="1:2" x14ac:dyDescent="0.25">
      <c r="A56" t="s">
        <v>33</v>
      </c>
    </row>
  </sheetData>
  <printOptions horizontalCentered="1"/>
  <pageMargins left="0.35433070866141736" right="0.35433070866141736" top="0.39370078740157483" bottom="0.39370078740157483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8"/>
  <sheetViews>
    <sheetView showGridLines="0" zoomScale="75" workbookViewId="0">
      <selection activeCell="D10" sqref="D10"/>
    </sheetView>
  </sheetViews>
  <sheetFormatPr defaultRowHeight="12.5" x14ac:dyDescent="0.25"/>
  <cols>
    <col min="1" max="1" width="45.81640625" customWidth="1"/>
    <col min="2" max="2" width="17.26953125" style="4" customWidth="1"/>
    <col min="3" max="3" width="18.54296875" customWidth="1"/>
    <col min="4" max="4" width="18.453125" customWidth="1"/>
    <col min="5" max="5" width="6.7265625" customWidth="1"/>
    <col min="6" max="6" width="65.81640625" customWidth="1"/>
  </cols>
  <sheetData>
    <row r="2" spans="1:6" ht="23" x14ac:dyDescent="0.5">
      <c r="A2" s="25" t="s">
        <v>34</v>
      </c>
      <c r="B2" s="26"/>
      <c r="C2" s="26"/>
      <c r="D2" s="26"/>
    </row>
    <row r="3" spans="1:6" x14ac:dyDescent="0.25">
      <c r="A3" s="27"/>
      <c r="B3" s="26"/>
      <c r="C3" s="26"/>
      <c r="D3" s="26"/>
    </row>
    <row r="6" spans="1:6" x14ac:dyDescent="0.25">
      <c r="B6" s="11" t="s">
        <v>35</v>
      </c>
      <c r="C6" s="12"/>
      <c r="D6" s="13"/>
    </row>
    <row r="7" spans="1:6" s="6" customFormat="1" ht="13" x14ac:dyDescent="0.3">
      <c r="A7" s="7" t="s">
        <v>36</v>
      </c>
      <c r="B7" s="8" t="s">
        <v>37</v>
      </c>
      <c r="C7" s="9" t="s">
        <v>38</v>
      </c>
      <c r="D7" s="28" t="s">
        <v>39</v>
      </c>
      <c r="F7" s="10" t="s">
        <v>40</v>
      </c>
    </row>
    <row r="8" spans="1:6" x14ac:dyDescent="0.25">
      <c r="C8" s="4"/>
      <c r="D8" s="14"/>
    </row>
    <row r="9" spans="1:6" ht="13" x14ac:dyDescent="0.3">
      <c r="A9" s="3" t="s">
        <v>41</v>
      </c>
      <c r="C9" s="4"/>
      <c r="D9" s="14"/>
    </row>
    <row r="10" spans="1:6" x14ac:dyDescent="0.25">
      <c r="A10" t="s">
        <v>42</v>
      </c>
      <c r="B10" s="4">
        <v>1200</v>
      </c>
      <c r="C10" s="4">
        <v>2000</v>
      </c>
      <c r="D10" s="14">
        <v>0</v>
      </c>
    </row>
    <row r="11" spans="1:6" x14ac:dyDescent="0.25">
      <c r="A11" t="s">
        <v>43</v>
      </c>
      <c r="B11" s="4">
        <v>500</v>
      </c>
      <c r="C11" s="4">
        <v>750</v>
      </c>
      <c r="D11" s="14">
        <v>0</v>
      </c>
    </row>
    <row r="12" spans="1:6" x14ac:dyDescent="0.25">
      <c r="A12" t="s">
        <v>44</v>
      </c>
      <c r="B12" s="4">
        <v>1800</v>
      </c>
      <c r="C12" s="4">
        <v>3000</v>
      </c>
      <c r="D12" s="14">
        <v>0</v>
      </c>
    </row>
    <row r="13" spans="1:6" x14ac:dyDescent="0.25">
      <c r="A13" t="s">
        <v>45</v>
      </c>
      <c r="B13" s="4">
        <v>1500</v>
      </c>
      <c r="C13" s="4">
        <v>2500</v>
      </c>
      <c r="D13" s="14">
        <v>0</v>
      </c>
    </row>
    <row r="14" spans="1:6" x14ac:dyDescent="0.25">
      <c r="A14" t="s">
        <v>46</v>
      </c>
      <c r="B14" s="4">
        <v>1000</v>
      </c>
      <c r="C14" s="4">
        <v>2200</v>
      </c>
      <c r="D14" s="14">
        <v>0</v>
      </c>
    </row>
    <row r="15" spans="1:6" x14ac:dyDescent="0.25">
      <c r="A15" t="s">
        <v>47</v>
      </c>
      <c r="B15" s="4">
        <v>1000</v>
      </c>
      <c r="C15" s="4">
        <v>1200</v>
      </c>
      <c r="D15" s="14">
        <v>0</v>
      </c>
    </row>
    <row r="16" spans="1:6" x14ac:dyDescent="0.25">
      <c r="A16" t="s">
        <v>48</v>
      </c>
      <c r="B16" s="4">
        <v>300</v>
      </c>
      <c r="C16" s="4">
        <v>500</v>
      </c>
      <c r="D16" s="14">
        <v>0</v>
      </c>
    </row>
    <row r="17" spans="1:4" x14ac:dyDescent="0.25">
      <c r="A17" t="s">
        <v>49</v>
      </c>
      <c r="B17" s="4">
        <v>500</v>
      </c>
      <c r="C17" s="4">
        <v>750</v>
      </c>
      <c r="D17" s="14">
        <v>0</v>
      </c>
    </row>
    <row r="18" spans="1:4" x14ac:dyDescent="0.25">
      <c r="A18" t="s">
        <v>50</v>
      </c>
      <c r="B18" s="4">
        <v>1500</v>
      </c>
      <c r="C18" s="4">
        <v>2000</v>
      </c>
      <c r="D18" s="14">
        <v>0</v>
      </c>
    </row>
    <row r="19" spans="1:4" x14ac:dyDescent="0.25">
      <c r="A19" t="s">
        <v>51</v>
      </c>
      <c r="B19" s="4">
        <v>750</v>
      </c>
      <c r="C19" s="4">
        <v>1250</v>
      </c>
      <c r="D19" s="14">
        <v>0</v>
      </c>
    </row>
    <row r="20" spans="1:4" x14ac:dyDescent="0.25">
      <c r="A20" t="s">
        <v>52</v>
      </c>
      <c r="B20" s="4">
        <v>500</v>
      </c>
      <c r="C20" s="4">
        <v>750</v>
      </c>
      <c r="D20" s="14">
        <v>0</v>
      </c>
    </row>
    <row r="21" spans="1:4" x14ac:dyDescent="0.25">
      <c r="A21" t="s">
        <v>53</v>
      </c>
      <c r="B21" s="4">
        <v>1000</v>
      </c>
      <c r="C21" s="4">
        <v>1500</v>
      </c>
      <c r="D21" s="14">
        <v>0</v>
      </c>
    </row>
    <row r="22" spans="1:4" x14ac:dyDescent="0.25">
      <c r="A22" t="s">
        <v>54</v>
      </c>
      <c r="B22" s="4">
        <v>750</v>
      </c>
      <c r="C22" s="4">
        <v>1800</v>
      </c>
      <c r="D22" s="14">
        <v>0</v>
      </c>
    </row>
    <row r="23" spans="1:4" x14ac:dyDescent="0.25">
      <c r="A23" t="s">
        <v>55</v>
      </c>
      <c r="B23" s="4">
        <v>0</v>
      </c>
      <c r="C23" s="4">
        <v>0</v>
      </c>
      <c r="D23" s="14">
        <v>0</v>
      </c>
    </row>
    <row r="24" spans="1:4" x14ac:dyDescent="0.25">
      <c r="A24" t="s">
        <v>55</v>
      </c>
      <c r="B24" s="4">
        <v>0</v>
      </c>
      <c r="C24" s="4">
        <v>0</v>
      </c>
      <c r="D24" s="14">
        <v>0</v>
      </c>
    </row>
    <row r="25" spans="1:4" x14ac:dyDescent="0.25">
      <c r="A25" t="s">
        <v>55</v>
      </c>
      <c r="B25" s="4">
        <v>0</v>
      </c>
      <c r="C25" s="4">
        <v>0</v>
      </c>
      <c r="D25" s="14">
        <v>0</v>
      </c>
    </row>
    <row r="26" spans="1:4" s="21" customFormat="1" ht="13" x14ac:dyDescent="0.3">
      <c r="A26" s="18" t="s">
        <v>56</v>
      </c>
      <c r="B26" s="19">
        <f>SUM(B10:B25)</f>
        <v>12300</v>
      </c>
      <c r="C26" s="19">
        <f>SUM(C10:C25)</f>
        <v>20200</v>
      </c>
      <c r="D26" s="20">
        <f>SUM(D10:D25)</f>
        <v>0</v>
      </c>
    </row>
    <row r="27" spans="1:4" x14ac:dyDescent="0.25">
      <c r="C27" s="4"/>
      <c r="D27" s="14"/>
    </row>
    <row r="28" spans="1:4" ht="13" x14ac:dyDescent="0.3">
      <c r="A28" s="3" t="s">
        <v>57</v>
      </c>
      <c r="C28" s="4"/>
      <c r="D28" s="14"/>
    </row>
    <row r="29" spans="1:4" x14ac:dyDescent="0.25">
      <c r="A29" t="s">
        <v>58</v>
      </c>
      <c r="B29" s="4">
        <v>1200</v>
      </c>
      <c r="C29" s="4">
        <v>2400</v>
      </c>
      <c r="D29" s="14">
        <v>0</v>
      </c>
    </row>
    <row r="30" spans="1:4" x14ac:dyDescent="0.25">
      <c r="A30" t="s">
        <v>46</v>
      </c>
      <c r="B30" s="4">
        <v>800</v>
      </c>
      <c r="C30" s="4">
        <v>1500</v>
      </c>
      <c r="D30" s="14">
        <v>0</v>
      </c>
    </row>
    <row r="31" spans="1:4" x14ac:dyDescent="0.25">
      <c r="A31" t="s">
        <v>45</v>
      </c>
      <c r="B31" s="4">
        <v>500</v>
      </c>
      <c r="C31" s="4">
        <v>750</v>
      </c>
      <c r="D31" s="14">
        <v>0</v>
      </c>
    </row>
    <row r="32" spans="1:4" x14ac:dyDescent="0.25">
      <c r="A32" t="s">
        <v>48</v>
      </c>
      <c r="B32" s="4">
        <v>400</v>
      </c>
      <c r="C32" s="4">
        <v>500</v>
      </c>
      <c r="D32" s="14">
        <v>0</v>
      </c>
    </row>
    <row r="33" spans="1:4" x14ac:dyDescent="0.25">
      <c r="A33" t="s">
        <v>49</v>
      </c>
      <c r="B33" s="4">
        <v>250</v>
      </c>
      <c r="C33" s="4">
        <v>500</v>
      </c>
      <c r="D33" s="14">
        <v>0</v>
      </c>
    </row>
    <row r="34" spans="1:4" x14ac:dyDescent="0.25">
      <c r="A34" t="s">
        <v>59</v>
      </c>
      <c r="B34" s="4">
        <v>50</v>
      </c>
      <c r="C34" s="4">
        <v>100</v>
      </c>
      <c r="D34" s="14">
        <v>0</v>
      </c>
    </row>
    <row r="35" spans="1:4" x14ac:dyDescent="0.25">
      <c r="A35" t="s">
        <v>55</v>
      </c>
      <c r="B35" s="4">
        <v>0</v>
      </c>
      <c r="C35" s="4">
        <v>0</v>
      </c>
      <c r="D35" s="14">
        <v>0</v>
      </c>
    </row>
    <row r="36" spans="1:4" x14ac:dyDescent="0.25">
      <c r="A36" t="s">
        <v>55</v>
      </c>
      <c r="B36" s="4">
        <v>0</v>
      </c>
      <c r="C36" s="4">
        <v>0</v>
      </c>
      <c r="D36" s="14">
        <v>0</v>
      </c>
    </row>
    <row r="37" spans="1:4" x14ac:dyDescent="0.25">
      <c r="A37" t="s">
        <v>55</v>
      </c>
      <c r="B37" s="4">
        <v>0</v>
      </c>
      <c r="C37" s="4">
        <v>0</v>
      </c>
      <c r="D37" s="14">
        <v>0</v>
      </c>
    </row>
    <row r="38" spans="1:4" s="21" customFormat="1" ht="13" x14ac:dyDescent="0.3">
      <c r="A38" s="18" t="s">
        <v>60</v>
      </c>
      <c r="B38" s="19">
        <f>SUM(B29:B37)</f>
        <v>3200</v>
      </c>
      <c r="C38" s="19">
        <f>SUM(C29:C37)</f>
        <v>5750</v>
      </c>
      <c r="D38" s="20">
        <f>SUM(D29:D37)</f>
        <v>0</v>
      </c>
    </row>
    <row r="39" spans="1:4" x14ac:dyDescent="0.25">
      <c r="C39" s="4"/>
      <c r="D39" s="14"/>
    </row>
    <row r="40" spans="1:4" ht="13" x14ac:dyDescent="0.3">
      <c r="A40" s="3" t="s">
        <v>61</v>
      </c>
      <c r="C40" s="4"/>
      <c r="D40" s="14"/>
    </row>
    <row r="41" spans="1:4" x14ac:dyDescent="0.25">
      <c r="A41" t="s">
        <v>62</v>
      </c>
      <c r="B41" s="4">
        <v>250</v>
      </c>
      <c r="C41" s="4">
        <v>250</v>
      </c>
      <c r="D41" s="14">
        <v>0</v>
      </c>
    </row>
    <row r="42" spans="1:4" x14ac:dyDescent="0.25">
      <c r="A42" t="s">
        <v>63</v>
      </c>
      <c r="B42" s="4">
        <v>500</v>
      </c>
      <c r="C42" s="4">
        <v>750</v>
      </c>
      <c r="D42" s="14">
        <v>0</v>
      </c>
    </row>
    <row r="43" spans="1:4" x14ac:dyDescent="0.25">
      <c r="A43" t="s">
        <v>46</v>
      </c>
      <c r="B43" s="4">
        <v>700</v>
      </c>
      <c r="C43" s="4">
        <v>1000</v>
      </c>
      <c r="D43" s="14">
        <v>0</v>
      </c>
    </row>
    <row r="44" spans="1:4" x14ac:dyDescent="0.25">
      <c r="A44" t="s">
        <v>64</v>
      </c>
      <c r="B44" s="4">
        <v>300</v>
      </c>
      <c r="C44" s="4">
        <v>500</v>
      </c>
      <c r="D44" s="14">
        <v>0</v>
      </c>
    </row>
    <row r="45" spans="1:4" x14ac:dyDescent="0.25">
      <c r="A45" t="s">
        <v>65</v>
      </c>
      <c r="B45" s="4">
        <v>250</v>
      </c>
      <c r="C45" s="4">
        <v>500</v>
      </c>
      <c r="D45" s="14">
        <v>0</v>
      </c>
    </row>
    <row r="46" spans="1:4" x14ac:dyDescent="0.25">
      <c r="A46" t="s">
        <v>55</v>
      </c>
      <c r="B46" s="4">
        <v>0</v>
      </c>
      <c r="C46" s="4">
        <v>0</v>
      </c>
      <c r="D46" s="14">
        <v>0</v>
      </c>
    </row>
    <row r="47" spans="1:4" x14ac:dyDescent="0.25">
      <c r="A47" t="s">
        <v>55</v>
      </c>
      <c r="B47" s="4">
        <v>0</v>
      </c>
      <c r="C47" s="4">
        <v>0</v>
      </c>
      <c r="D47" s="14">
        <v>0</v>
      </c>
    </row>
    <row r="48" spans="1:4" x14ac:dyDescent="0.25">
      <c r="A48" t="s">
        <v>55</v>
      </c>
      <c r="B48" s="4">
        <v>0</v>
      </c>
      <c r="C48" s="4">
        <v>0</v>
      </c>
      <c r="D48" s="14">
        <v>0</v>
      </c>
    </row>
    <row r="49" spans="1:4" s="21" customFormat="1" ht="13" x14ac:dyDescent="0.3">
      <c r="A49" s="18" t="s">
        <v>66</v>
      </c>
      <c r="B49" s="19">
        <f>SUM(B41:B48)</f>
        <v>2000</v>
      </c>
      <c r="C49" s="19">
        <f>SUM(C41:C48)</f>
        <v>3000</v>
      </c>
      <c r="D49" s="20">
        <f>SUM(D41:D48)</f>
        <v>0</v>
      </c>
    </row>
    <row r="50" spans="1:4" x14ac:dyDescent="0.25">
      <c r="C50" s="4"/>
      <c r="D50" s="14"/>
    </row>
    <row r="51" spans="1:4" ht="13" x14ac:dyDescent="0.3">
      <c r="A51" s="3" t="s">
        <v>67</v>
      </c>
      <c r="C51" s="4"/>
      <c r="D51" s="14"/>
    </row>
    <row r="52" spans="1:4" x14ac:dyDescent="0.25">
      <c r="A52" t="s">
        <v>68</v>
      </c>
      <c r="B52" s="4">
        <v>500</v>
      </c>
      <c r="C52" s="4">
        <v>750</v>
      </c>
      <c r="D52" s="14">
        <v>0</v>
      </c>
    </row>
    <row r="53" spans="1:4" x14ac:dyDescent="0.25">
      <c r="A53" t="s">
        <v>69</v>
      </c>
      <c r="B53" s="4">
        <v>250</v>
      </c>
      <c r="C53" s="4">
        <v>300</v>
      </c>
      <c r="D53" s="14">
        <v>0</v>
      </c>
    </row>
    <row r="54" spans="1:4" x14ac:dyDescent="0.25">
      <c r="A54" t="s">
        <v>70</v>
      </c>
      <c r="B54" s="4">
        <v>1500</v>
      </c>
      <c r="C54" s="4">
        <v>2100</v>
      </c>
      <c r="D54" s="14">
        <v>0</v>
      </c>
    </row>
    <row r="55" spans="1:4" x14ac:dyDescent="0.25">
      <c r="A55" t="s">
        <v>71</v>
      </c>
      <c r="B55" s="4">
        <v>1500</v>
      </c>
      <c r="C55" s="4">
        <v>2500</v>
      </c>
      <c r="D55" s="14">
        <v>0</v>
      </c>
    </row>
    <row r="56" spans="1:4" x14ac:dyDescent="0.25">
      <c r="A56" t="s">
        <v>46</v>
      </c>
      <c r="B56" s="4">
        <v>2000</v>
      </c>
      <c r="C56" s="4">
        <v>3000</v>
      </c>
      <c r="D56" s="14">
        <v>0</v>
      </c>
    </row>
    <row r="57" spans="1:4" x14ac:dyDescent="0.25">
      <c r="A57" t="s">
        <v>72</v>
      </c>
      <c r="B57" s="4">
        <v>150</v>
      </c>
      <c r="C57" s="4">
        <v>250</v>
      </c>
      <c r="D57" s="14">
        <v>0</v>
      </c>
    </row>
    <row r="58" spans="1:4" x14ac:dyDescent="0.25">
      <c r="A58" t="s">
        <v>73</v>
      </c>
      <c r="B58" s="4">
        <v>1000</v>
      </c>
      <c r="C58" s="4">
        <v>3000</v>
      </c>
      <c r="D58" s="14">
        <v>0</v>
      </c>
    </row>
    <row r="59" spans="1:4" x14ac:dyDescent="0.25">
      <c r="A59" t="s">
        <v>64</v>
      </c>
      <c r="B59" s="4">
        <v>1500</v>
      </c>
      <c r="C59" s="4">
        <v>2500</v>
      </c>
      <c r="D59" s="14">
        <v>0</v>
      </c>
    </row>
    <row r="60" spans="1:4" x14ac:dyDescent="0.25">
      <c r="A60" t="s">
        <v>65</v>
      </c>
      <c r="B60" s="4">
        <v>500</v>
      </c>
      <c r="C60" s="4">
        <v>700</v>
      </c>
      <c r="D60" s="14">
        <v>0</v>
      </c>
    </row>
    <row r="61" spans="1:4" x14ac:dyDescent="0.25">
      <c r="A61" t="s">
        <v>74</v>
      </c>
      <c r="B61" s="4">
        <v>1800</v>
      </c>
      <c r="C61" s="4">
        <v>2000</v>
      </c>
      <c r="D61" s="14">
        <v>0</v>
      </c>
    </row>
    <row r="62" spans="1:4" x14ac:dyDescent="0.25">
      <c r="A62" t="s">
        <v>75</v>
      </c>
      <c r="B62" s="4">
        <v>500</v>
      </c>
      <c r="C62" s="4">
        <v>1000</v>
      </c>
      <c r="D62" s="14">
        <v>0</v>
      </c>
    </row>
    <row r="63" spans="1:4" x14ac:dyDescent="0.25">
      <c r="A63" t="s">
        <v>76</v>
      </c>
      <c r="B63" s="4">
        <v>500</v>
      </c>
      <c r="C63" s="4">
        <v>750</v>
      </c>
      <c r="D63" s="14">
        <v>0</v>
      </c>
    </row>
    <row r="64" spans="1:4" x14ac:dyDescent="0.25">
      <c r="A64" t="s">
        <v>77</v>
      </c>
      <c r="B64" s="4">
        <v>1000</v>
      </c>
      <c r="C64" s="4">
        <v>1500</v>
      </c>
      <c r="D64" s="14">
        <v>0</v>
      </c>
    </row>
    <row r="65" spans="1:4" x14ac:dyDescent="0.25">
      <c r="A65" t="s">
        <v>55</v>
      </c>
      <c r="B65" s="4">
        <v>0</v>
      </c>
      <c r="C65" s="4">
        <v>0</v>
      </c>
      <c r="D65" s="14">
        <v>0</v>
      </c>
    </row>
    <row r="66" spans="1:4" x14ac:dyDescent="0.25">
      <c r="A66" t="s">
        <v>55</v>
      </c>
      <c r="B66" s="4">
        <v>0</v>
      </c>
      <c r="C66" s="4">
        <v>0</v>
      </c>
      <c r="D66" s="14">
        <v>0</v>
      </c>
    </row>
    <row r="67" spans="1:4" x14ac:dyDescent="0.25">
      <c r="A67" t="s">
        <v>55</v>
      </c>
      <c r="B67" s="4">
        <v>0</v>
      </c>
      <c r="C67" s="4">
        <v>0</v>
      </c>
      <c r="D67" s="14">
        <v>0</v>
      </c>
    </row>
    <row r="68" spans="1:4" s="21" customFormat="1" ht="13" x14ac:dyDescent="0.3">
      <c r="A68" s="18" t="s">
        <v>78</v>
      </c>
      <c r="B68" s="19">
        <f>SUM(B52:B67)</f>
        <v>12700</v>
      </c>
      <c r="C68" s="19">
        <f>SUM(C52:C67)</f>
        <v>20350</v>
      </c>
      <c r="D68" s="20">
        <f>SUM(D53:D67)</f>
        <v>0</v>
      </c>
    </row>
    <row r="69" spans="1:4" x14ac:dyDescent="0.25">
      <c r="C69" s="4"/>
      <c r="D69" s="14"/>
    </row>
    <row r="70" spans="1:4" ht="13" x14ac:dyDescent="0.3">
      <c r="A70" s="3" t="s">
        <v>79</v>
      </c>
      <c r="C70" s="4"/>
      <c r="D70" s="14"/>
    </row>
    <row r="71" spans="1:4" x14ac:dyDescent="0.25">
      <c r="A71" s="17" t="s">
        <v>68</v>
      </c>
      <c r="B71" s="4">
        <v>0</v>
      </c>
      <c r="C71" s="4">
        <v>900</v>
      </c>
      <c r="D71" s="14"/>
    </row>
    <row r="72" spans="1:4" x14ac:dyDescent="0.25">
      <c r="A72" t="s">
        <v>46</v>
      </c>
      <c r="B72" s="4">
        <v>0</v>
      </c>
      <c r="C72" s="4">
        <v>1000</v>
      </c>
      <c r="D72" s="14">
        <v>0</v>
      </c>
    </row>
    <row r="73" spans="1:4" x14ac:dyDescent="0.25">
      <c r="A73" t="s">
        <v>80</v>
      </c>
      <c r="B73" s="4">
        <v>0</v>
      </c>
      <c r="C73" s="4">
        <v>500</v>
      </c>
      <c r="D73" s="14">
        <v>0</v>
      </c>
    </row>
    <row r="74" spans="1:4" x14ac:dyDescent="0.25">
      <c r="A74" t="s">
        <v>81</v>
      </c>
      <c r="B74" s="4">
        <v>0</v>
      </c>
      <c r="C74" s="4">
        <v>750</v>
      </c>
      <c r="D74" s="14">
        <v>0</v>
      </c>
    </row>
    <row r="75" spans="1:4" x14ac:dyDescent="0.25">
      <c r="A75" t="s">
        <v>82</v>
      </c>
      <c r="B75" s="4">
        <v>0</v>
      </c>
      <c r="C75" s="4">
        <v>400</v>
      </c>
      <c r="D75" s="14">
        <v>0</v>
      </c>
    </row>
    <row r="76" spans="1:4" x14ac:dyDescent="0.25">
      <c r="A76" t="s">
        <v>55</v>
      </c>
      <c r="B76" s="4">
        <v>0</v>
      </c>
      <c r="C76" s="4">
        <v>0</v>
      </c>
      <c r="D76" s="14">
        <v>0</v>
      </c>
    </row>
    <row r="77" spans="1:4" x14ac:dyDescent="0.25">
      <c r="A77" t="s">
        <v>55</v>
      </c>
      <c r="B77" s="4">
        <v>0</v>
      </c>
      <c r="C77" s="4">
        <v>0</v>
      </c>
      <c r="D77" s="14">
        <v>0</v>
      </c>
    </row>
    <row r="78" spans="1:4" x14ac:dyDescent="0.25">
      <c r="A78" t="s">
        <v>55</v>
      </c>
      <c r="B78" s="4">
        <v>0</v>
      </c>
      <c r="C78" s="4">
        <v>0</v>
      </c>
      <c r="D78" s="14">
        <v>0</v>
      </c>
    </row>
    <row r="79" spans="1:4" s="21" customFormat="1" ht="13" x14ac:dyDescent="0.3">
      <c r="A79" s="18" t="s">
        <v>83</v>
      </c>
      <c r="B79" s="19">
        <f>SUM(B71:B78)</f>
        <v>0</v>
      </c>
      <c r="C79" s="19">
        <f>SUM(C71:C78)</f>
        <v>3550</v>
      </c>
      <c r="D79" s="20">
        <f>SUM(D72:D78)</f>
        <v>0</v>
      </c>
    </row>
    <row r="80" spans="1:4" x14ac:dyDescent="0.25">
      <c r="C80" s="4"/>
      <c r="D80" s="14"/>
    </row>
    <row r="81" spans="1:4" ht="13" x14ac:dyDescent="0.3">
      <c r="A81" s="3" t="s">
        <v>84</v>
      </c>
      <c r="C81" s="4"/>
      <c r="D81" s="14"/>
    </row>
    <row r="82" spans="1:4" x14ac:dyDescent="0.25">
      <c r="A82" t="s">
        <v>85</v>
      </c>
      <c r="B82" s="4">
        <v>1200</v>
      </c>
      <c r="C82" s="4">
        <v>2500</v>
      </c>
      <c r="D82" s="14">
        <v>0</v>
      </c>
    </row>
    <row r="83" spans="1:4" x14ac:dyDescent="0.25">
      <c r="A83" t="s">
        <v>86</v>
      </c>
      <c r="B83" s="4">
        <v>1000</v>
      </c>
      <c r="C83" s="4">
        <v>1500</v>
      </c>
      <c r="D83" s="14">
        <v>0</v>
      </c>
    </row>
    <row r="84" spans="1:4" x14ac:dyDescent="0.25">
      <c r="A84" t="s">
        <v>87</v>
      </c>
      <c r="B84" s="4">
        <v>800</v>
      </c>
      <c r="C84" s="4">
        <v>1200</v>
      </c>
      <c r="D84" s="14">
        <v>0</v>
      </c>
    </row>
    <row r="85" spans="1:4" x14ac:dyDescent="0.25">
      <c r="A85" t="s">
        <v>88</v>
      </c>
      <c r="B85" s="4">
        <v>400</v>
      </c>
      <c r="C85" s="4">
        <v>750</v>
      </c>
      <c r="D85" s="14">
        <v>0</v>
      </c>
    </row>
    <row r="86" spans="1:4" x14ac:dyDescent="0.25">
      <c r="A86" t="s">
        <v>89</v>
      </c>
      <c r="B86" s="4">
        <v>300</v>
      </c>
      <c r="C86" s="4">
        <v>400</v>
      </c>
      <c r="D86" s="14">
        <v>0</v>
      </c>
    </row>
    <row r="87" spans="1:4" x14ac:dyDescent="0.25">
      <c r="A87" t="s">
        <v>90</v>
      </c>
      <c r="B87" s="4">
        <v>500</v>
      </c>
      <c r="C87" s="4">
        <v>750</v>
      </c>
      <c r="D87" s="14">
        <v>0</v>
      </c>
    </row>
    <row r="88" spans="1:4" x14ac:dyDescent="0.25">
      <c r="A88" t="s">
        <v>91</v>
      </c>
      <c r="B88" s="4">
        <v>75</v>
      </c>
      <c r="C88" s="4">
        <v>75</v>
      </c>
      <c r="D88" s="14">
        <v>0</v>
      </c>
    </row>
    <row r="89" spans="1:4" x14ac:dyDescent="0.25">
      <c r="A89" t="s">
        <v>92</v>
      </c>
      <c r="B89" s="4">
        <v>50</v>
      </c>
      <c r="C89" s="4">
        <v>50</v>
      </c>
      <c r="D89" s="14">
        <v>0</v>
      </c>
    </row>
    <row r="90" spans="1:4" x14ac:dyDescent="0.25">
      <c r="A90" t="s">
        <v>93</v>
      </c>
      <c r="B90" s="4">
        <v>75</v>
      </c>
      <c r="C90" s="4">
        <v>75</v>
      </c>
      <c r="D90" s="14">
        <v>0</v>
      </c>
    </row>
    <row r="91" spans="1:4" x14ac:dyDescent="0.25">
      <c r="A91" t="s">
        <v>94</v>
      </c>
      <c r="B91" s="4">
        <v>1000</v>
      </c>
      <c r="C91" s="4">
        <v>2000</v>
      </c>
      <c r="D91" s="14">
        <v>0</v>
      </c>
    </row>
    <row r="92" spans="1:4" x14ac:dyDescent="0.25">
      <c r="A92" t="s">
        <v>95</v>
      </c>
      <c r="B92" s="4">
        <v>250</v>
      </c>
      <c r="C92" s="4">
        <v>250</v>
      </c>
      <c r="D92" s="14">
        <v>0</v>
      </c>
    </row>
    <row r="93" spans="1:4" x14ac:dyDescent="0.25">
      <c r="A93" t="s">
        <v>96</v>
      </c>
      <c r="B93" s="4">
        <v>0</v>
      </c>
      <c r="C93" s="4">
        <v>0</v>
      </c>
      <c r="D93" s="14">
        <v>0</v>
      </c>
    </row>
    <row r="94" spans="1:4" x14ac:dyDescent="0.25">
      <c r="A94" t="s">
        <v>55</v>
      </c>
      <c r="B94" s="4">
        <v>0</v>
      </c>
      <c r="C94" s="4">
        <v>0</v>
      </c>
      <c r="D94" s="14">
        <v>0</v>
      </c>
    </row>
    <row r="95" spans="1:4" x14ac:dyDescent="0.25">
      <c r="A95" t="s">
        <v>55</v>
      </c>
      <c r="B95" s="4">
        <v>0</v>
      </c>
      <c r="C95" s="4">
        <v>0</v>
      </c>
      <c r="D95" s="14">
        <v>0</v>
      </c>
    </row>
    <row r="96" spans="1:4" x14ac:dyDescent="0.25">
      <c r="A96" t="s">
        <v>55</v>
      </c>
      <c r="B96" s="4">
        <v>0</v>
      </c>
      <c r="C96" s="4">
        <v>0</v>
      </c>
      <c r="D96" s="14">
        <v>0</v>
      </c>
    </row>
    <row r="97" spans="1:4" s="21" customFormat="1" ht="13" x14ac:dyDescent="0.3">
      <c r="A97" s="18" t="s">
        <v>97</v>
      </c>
      <c r="B97" s="19">
        <f>SUM(B82:B96)</f>
        <v>5650</v>
      </c>
      <c r="C97" s="19">
        <f>SUM(C82:C96)</f>
        <v>9550</v>
      </c>
      <c r="D97" s="20">
        <f>SUM(D82:D96)</f>
        <v>0</v>
      </c>
    </row>
    <row r="98" spans="1:4" ht="13" x14ac:dyDescent="0.3">
      <c r="A98" s="3"/>
      <c r="B98" s="5"/>
      <c r="C98" s="5"/>
      <c r="D98" s="15"/>
    </row>
    <row r="99" spans="1:4" ht="13" x14ac:dyDescent="0.3">
      <c r="A99" s="3" t="s">
        <v>98</v>
      </c>
      <c r="C99" s="4"/>
      <c r="D99" s="14"/>
    </row>
    <row r="100" spans="1:4" x14ac:dyDescent="0.25">
      <c r="A100" s="17" t="s">
        <v>99</v>
      </c>
      <c r="B100" s="4">
        <v>0</v>
      </c>
      <c r="C100" s="4">
        <v>0</v>
      </c>
      <c r="D100" s="14">
        <v>0</v>
      </c>
    </row>
    <row r="101" spans="1:4" x14ac:dyDescent="0.25">
      <c r="A101" t="s">
        <v>100</v>
      </c>
      <c r="B101" s="4">
        <v>200</v>
      </c>
      <c r="C101" s="4">
        <v>200</v>
      </c>
      <c r="D101" s="14">
        <v>0</v>
      </c>
    </row>
    <row r="102" spans="1:4" x14ac:dyDescent="0.25">
      <c r="A102" t="s">
        <v>101</v>
      </c>
      <c r="B102" s="4">
        <v>0</v>
      </c>
      <c r="C102" s="4">
        <v>0</v>
      </c>
      <c r="D102" s="14">
        <v>0</v>
      </c>
    </row>
    <row r="103" spans="1:4" s="21" customFormat="1" ht="13" x14ac:dyDescent="0.3">
      <c r="A103" s="18" t="s">
        <v>102</v>
      </c>
      <c r="B103" s="19">
        <f>SUM(B100:B102)</f>
        <v>200</v>
      </c>
      <c r="C103" s="19">
        <f>SUM(C100:C102)</f>
        <v>200</v>
      </c>
      <c r="D103" s="20">
        <f>SUM(D100:D102)</f>
        <v>0</v>
      </c>
    </row>
    <row r="104" spans="1:4" ht="13" x14ac:dyDescent="0.3">
      <c r="A104" s="3"/>
      <c r="B104" s="5"/>
      <c r="C104" s="5"/>
      <c r="D104" s="15"/>
    </row>
    <row r="105" spans="1:4" ht="13" x14ac:dyDescent="0.3">
      <c r="A105" s="3" t="s">
        <v>103</v>
      </c>
      <c r="C105" s="4"/>
      <c r="D105" s="14"/>
    </row>
    <row r="106" spans="1:4" x14ac:dyDescent="0.25">
      <c r="A106" s="17" t="s">
        <v>104</v>
      </c>
      <c r="B106" s="4">
        <v>0</v>
      </c>
      <c r="C106" s="4">
        <v>0</v>
      </c>
      <c r="D106" s="14">
        <v>0</v>
      </c>
    </row>
    <row r="107" spans="1:4" x14ac:dyDescent="0.25">
      <c r="A107" t="s">
        <v>105</v>
      </c>
      <c r="B107" s="4">
        <v>200</v>
      </c>
      <c r="C107" s="4">
        <v>200</v>
      </c>
      <c r="D107" s="14">
        <v>0</v>
      </c>
    </row>
    <row r="108" spans="1:4" x14ac:dyDescent="0.25">
      <c r="A108" t="s">
        <v>106</v>
      </c>
      <c r="B108" s="4">
        <v>0</v>
      </c>
      <c r="C108" s="4">
        <v>0</v>
      </c>
      <c r="D108" s="14">
        <v>0</v>
      </c>
    </row>
    <row r="109" spans="1:4" x14ac:dyDescent="0.25">
      <c r="A109" t="s">
        <v>107</v>
      </c>
      <c r="B109" s="4">
        <v>0</v>
      </c>
      <c r="C109" s="4">
        <v>0</v>
      </c>
      <c r="D109" s="14">
        <v>0</v>
      </c>
    </row>
    <row r="110" spans="1:4" x14ac:dyDescent="0.25">
      <c r="A110" t="s">
        <v>55</v>
      </c>
      <c r="B110" s="4">
        <v>0</v>
      </c>
      <c r="C110" s="4">
        <v>0</v>
      </c>
      <c r="D110" s="14">
        <v>0</v>
      </c>
    </row>
    <row r="111" spans="1:4" s="21" customFormat="1" ht="13" x14ac:dyDescent="0.3">
      <c r="A111" s="18" t="s">
        <v>108</v>
      </c>
      <c r="B111" s="19">
        <f>SUM(B106:B110)</f>
        <v>200</v>
      </c>
      <c r="C111" s="19">
        <f>SUM(C106:C110)</f>
        <v>200</v>
      </c>
      <c r="D111" s="20">
        <f>SUM(D106:D110)</f>
        <v>0</v>
      </c>
    </row>
    <row r="112" spans="1:4" ht="13" x14ac:dyDescent="0.3">
      <c r="A112" s="3"/>
      <c r="B112" s="5"/>
      <c r="C112" s="5"/>
      <c r="D112" s="15"/>
    </row>
    <row r="113" spans="1:4" ht="13" x14ac:dyDescent="0.3">
      <c r="A113" s="3" t="s">
        <v>109</v>
      </c>
      <c r="C113" s="4"/>
      <c r="D113" s="14"/>
    </row>
    <row r="114" spans="1:4" x14ac:dyDescent="0.25">
      <c r="A114" t="s">
        <v>110</v>
      </c>
      <c r="B114" s="4">
        <v>1000</v>
      </c>
      <c r="C114" s="4">
        <v>2000</v>
      </c>
      <c r="D114" s="14">
        <v>0</v>
      </c>
    </row>
    <row r="115" spans="1:4" x14ac:dyDescent="0.25">
      <c r="A115" t="s">
        <v>111</v>
      </c>
      <c r="B115" s="4">
        <v>5000</v>
      </c>
      <c r="C115" s="4">
        <v>10000</v>
      </c>
      <c r="D115" s="14">
        <v>0</v>
      </c>
    </row>
    <row r="116" spans="1:4" x14ac:dyDescent="0.25">
      <c r="A116" t="s">
        <v>55</v>
      </c>
      <c r="B116" s="4">
        <v>0</v>
      </c>
      <c r="C116" s="4">
        <v>0</v>
      </c>
      <c r="D116" s="14">
        <v>0</v>
      </c>
    </row>
    <row r="117" spans="1:4" s="21" customFormat="1" ht="13" x14ac:dyDescent="0.3">
      <c r="A117" s="18" t="s">
        <v>112</v>
      </c>
      <c r="B117" s="19">
        <f>SUM(B114:B116)</f>
        <v>6000</v>
      </c>
      <c r="C117" s="19">
        <f>SUM(C114:C116)</f>
        <v>12000</v>
      </c>
      <c r="D117" s="20">
        <f>SUM(D114:D116)</f>
        <v>0</v>
      </c>
    </row>
    <row r="118" spans="1:4" x14ac:dyDescent="0.25">
      <c r="C118" s="4"/>
      <c r="D118" s="14"/>
    </row>
    <row r="119" spans="1:4" ht="13" x14ac:dyDescent="0.3">
      <c r="A119" s="3" t="s">
        <v>113</v>
      </c>
      <c r="C119" s="4"/>
      <c r="D119" s="14"/>
    </row>
    <row r="120" spans="1:4" x14ac:dyDescent="0.25">
      <c r="A120" t="s">
        <v>114</v>
      </c>
      <c r="B120" s="4">
        <v>500</v>
      </c>
      <c r="C120" s="4">
        <v>750</v>
      </c>
      <c r="D120" s="14">
        <v>0</v>
      </c>
    </row>
    <row r="121" spans="1:4" x14ac:dyDescent="0.25">
      <c r="A121" t="s">
        <v>115</v>
      </c>
      <c r="B121" s="4">
        <v>3000</v>
      </c>
      <c r="C121" s="4">
        <v>5000</v>
      </c>
      <c r="D121" s="14">
        <v>0</v>
      </c>
    </row>
    <row r="122" spans="1:4" x14ac:dyDescent="0.25">
      <c r="A122" t="s">
        <v>116</v>
      </c>
      <c r="B122" s="4">
        <v>500</v>
      </c>
      <c r="C122" s="4">
        <v>500</v>
      </c>
      <c r="D122" s="14">
        <v>0</v>
      </c>
    </row>
    <row r="123" spans="1:4" x14ac:dyDescent="0.25">
      <c r="A123" t="s">
        <v>117</v>
      </c>
      <c r="B123" s="4">
        <v>1500</v>
      </c>
      <c r="C123" s="4">
        <v>1500</v>
      </c>
      <c r="D123" s="14">
        <v>0</v>
      </c>
    </row>
    <row r="124" spans="1:4" x14ac:dyDescent="0.25">
      <c r="A124" t="s">
        <v>118</v>
      </c>
      <c r="B124" s="4">
        <v>0</v>
      </c>
      <c r="C124" s="4">
        <v>2500</v>
      </c>
      <c r="D124" s="14">
        <v>0</v>
      </c>
    </row>
    <row r="125" spans="1:4" x14ac:dyDescent="0.25">
      <c r="A125" t="s">
        <v>119</v>
      </c>
      <c r="B125" s="4">
        <v>2000</v>
      </c>
      <c r="C125" s="4">
        <v>3000</v>
      </c>
      <c r="D125" s="14">
        <v>0</v>
      </c>
    </row>
    <row r="126" spans="1:4" x14ac:dyDescent="0.25">
      <c r="A126" t="s">
        <v>55</v>
      </c>
      <c r="B126" s="4">
        <v>0</v>
      </c>
      <c r="C126" s="4">
        <v>0</v>
      </c>
      <c r="D126" s="14">
        <v>0</v>
      </c>
    </row>
    <row r="127" spans="1:4" x14ac:dyDescent="0.25">
      <c r="A127" t="s">
        <v>55</v>
      </c>
      <c r="B127" s="4">
        <v>0</v>
      </c>
      <c r="C127" s="4">
        <v>0</v>
      </c>
      <c r="D127" s="14">
        <v>0</v>
      </c>
    </row>
    <row r="128" spans="1:4" x14ac:dyDescent="0.25">
      <c r="A128" t="s">
        <v>55</v>
      </c>
      <c r="B128" s="4">
        <v>0</v>
      </c>
      <c r="C128" s="4">
        <v>0</v>
      </c>
      <c r="D128" s="14">
        <v>0</v>
      </c>
    </row>
    <row r="129" spans="1:4" s="21" customFormat="1" ht="13" x14ac:dyDescent="0.3">
      <c r="A129" s="18" t="s">
        <v>120</v>
      </c>
      <c r="B129" s="19">
        <f>SUM(B120:B128)</f>
        <v>7500</v>
      </c>
      <c r="C129" s="19">
        <f>SUM(C120:C128)</f>
        <v>13250</v>
      </c>
      <c r="D129" s="20">
        <f>SUM(D120:D128)</f>
        <v>0</v>
      </c>
    </row>
    <row r="130" spans="1:4" x14ac:dyDescent="0.25">
      <c r="C130" s="4"/>
      <c r="D130" s="14"/>
    </row>
    <row r="131" spans="1:4" ht="13" x14ac:dyDescent="0.3">
      <c r="A131" s="3" t="s">
        <v>121</v>
      </c>
      <c r="C131" s="4"/>
      <c r="D131" s="14"/>
    </row>
    <row r="132" spans="1:4" x14ac:dyDescent="0.25">
      <c r="A132" t="s">
        <v>122</v>
      </c>
      <c r="B132" s="4">
        <v>395</v>
      </c>
      <c r="C132" s="4">
        <v>600</v>
      </c>
      <c r="D132" s="14">
        <v>0</v>
      </c>
    </row>
    <row r="133" spans="1:4" x14ac:dyDescent="0.25">
      <c r="A133" t="s">
        <v>123</v>
      </c>
      <c r="B133" s="4">
        <v>800</v>
      </c>
      <c r="C133" s="4">
        <v>800</v>
      </c>
      <c r="D133" s="14">
        <v>0</v>
      </c>
    </row>
    <row r="134" spans="1:4" x14ac:dyDescent="0.25">
      <c r="A134" t="s">
        <v>124</v>
      </c>
      <c r="B134" s="4">
        <v>450</v>
      </c>
      <c r="C134" s="4">
        <v>600</v>
      </c>
      <c r="D134" s="14">
        <v>0</v>
      </c>
    </row>
    <row r="135" spans="1:4" x14ac:dyDescent="0.25">
      <c r="A135" t="s">
        <v>125</v>
      </c>
      <c r="B135" s="4">
        <v>500</v>
      </c>
      <c r="C135" s="4">
        <v>750</v>
      </c>
      <c r="D135" s="14">
        <v>0</v>
      </c>
    </row>
    <row r="136" spans="1:4" x14ac:dyDescent="0.25">
      <c r="A136" t="s">
        <v>126</v>
      </c>
      <c r="B136" s="4">
        <v>1500</v>
      </c>
      <c r="C136" s="4">
        <v>1500</v>
      </c>
      <c r="D136" s="14">
        <v>0</v>
      </c>
    </row>
    <row r="137" spans="1:4" x14ac:dyDescent="0.25">
      <c r="A137" t="s">
        <v>55</v>
      </c>
      <c r="B137" s="4">
        <v>0</v>
      </c>
      <c r="C137" s="4">
        <v>0</v>
      </c>
      <c r="D137" s="14">
        <v>0</v>
      </c>
    </row>
    <row r="138" spans="1:4" x14ac:dyDescent="0.25">
      <c r="A138" t="s">
        <v>55</v>
      </c>
      <c r="B138" s="4">
        <v>0</v>
      </c>
      <c r="C138" s="4">
        <v>0</v>
      </c>
      <c r="D138" s="14">
        <v>0</v>
      </c>
    </row>
    <row r="139" spans="1:4" x14ac:dyDescent="0.25">
      <c r="A139" t="s">
        <v>55</v>
      </c>
      <c r="B139" s="4">
        <v>0</v>
      </c>
      <c r="C139" s="4">
        <v>0</v>
      </c>
      <c r="D139" s="14">
        <v>0</v>
      </c>
    </row>
    <row r="140" spans="1:4" s="21" customFormat="1" ht="13" x14ac:dyDescent="0.3">
      <c r="A140" s="18" t="s">
        <v>127</v>
      </c>
      <c r="B140" s="19">
        <f>SUM(B132:B139)</f>
        <v>3645</v>
      </c>
      <c r="C140" s="19">
        <f>SUM(C132:C139)</f>
        <v>4250</v>
      </c>
      <c r="D140" s="20">
        <f>SUM(D132:D139)</f>
        <v>0</v>
      </c>
    </row>
    <row r="141" spans="1:4" ht="13" x14ac:dyDescent="0.3">
      <c r="A141" s="3"/>
      <c r="B141" s="5"/>
      <c r="C141" s="5"/>
      <c r="D141" s="15"/>
    </row>
    <row r="142" spans="1:4" ht="13" x14ac:dyDescent="0.3">
      <c r="A142" s="3" t="s">
        <v>128</v>
      </c>
      <c r="C142" s="4"/>
      <c r="D142" s="14"/>
    </row>
    <row r="143" spans="1:4" x14ac:dyDescent="0.25">
      <c r="A143" t="s">
        <v>129</v>
      </c>
      <c r="B143" s="4">
        <v>750</v>
      </c>
      <c r="C143" s="4">
        <v>1200</v>
      </c>
      <c r="D143" s="14">
        <v>0</v>
      </c>
    </row>
    <row r="144" spans="1:4" x14ac:dyDescent="0.25">
      <c r="A144" t="s">
        <v>130</v>
      </c>
      <c r="B144" s="4">
        <v>300</v>
      </c>
      <c r="C144" s="4">
        <v>500</v>
      </c>
      <c r="D144" s="14">
        <v>0</v>
      </c>
    </row>
    <row r="145" spans="1:4" x14ac:dyDescent="0.25">
      <c r="A145" t="s">
        <v>55</v>
      </c>
      <c r="B145" s="4">
        <v>0</v>
      </c>
      <c r="C145" s="4">
        <v>0</v>
      </c>
      <c r="D145" s="14">
        <v>0</v>
      </c>
    </row>
    <row r="146" spans="1:4" x14ac:dyDescent="0.25">
      <c r="A146" t="s">
        <v>55</v>
      </c>
      <c r="B146" s="4">
        <v>0</v>
      </c>
      <c r="C146" s="4">
        <v>0</v>
      </c>
      <c r="D146" s="14">
        <v>0</v>
      </c>
    </row>
    <row r="147" spans="1:4" x14ac:dyDescent="0.25">
      <c r="A147" t="s">
        <v>55</v>
      </c>
      <c r="B147" s="4">
        <v>0</v>
      </c>
      <c r="C147" s="4">
        <v>0</v>
      </c>
      <c r="D147" s="14">
        <v>0</v>
      </c>
    </row>
    <row r="148" spans="1:4" s="21" customFormat="1" ht="13" x14ac:dyDescent="0.3">
      <c r="A148" s="18" t="s">
        <v>131</v>
      </c>
      <c r="B148" s="19">
        <f>SUM(B143:B147)</f>
        <v>1050</v>
      </c>
      <c r="C148" s="19">
        <f>SUM(C143:C147)</f>
        <v>1700</v>
      </c>
      <c r="D148" s="20">
        <f>SUM(D143:D147)</f>
        <v>0</v>
      </c>
    </row>
    <row r="149" spans="1:4" x14ac:dyDescent="0.25">
      <c r="C149" s="4"/>
      <c r="D149" s="14"/>
    </row>
    <row r="150" spans="1:4" x14ac:dyDescent="0.25">
      <c r="C150" s="4"/>
      <c r="D150" s="14"/>
    </row>
    <row r="151" spans="1:4" x14ac:dyDescent="0.25">
      <c r="C151" s="4"/>
      <c r="D151" s="14"/>
    </row>
    <row r="152" spans="1:4" s="21" customFormat="1" ht="13" x14ac:dyDescent="0.3">
      <c r="A152" s="18" t="s">
        <v>132</v>
      </c>
      <c r="B152" s="22"/>
      <c r="C152" s="22"/>
      <c r="D152" s="23"/>
    </row>
    <row r="153" spans="1:4" s="3" customFormat="1" ht="13" x14ac:dyDescent="0.3">
      <c r="A153" s="3" t="str">
        <f>A26</f>
        <v>Lounge Total</v>
      </c>
      <c r="B153" s="5">
        <f>B26</f>
        <v>12300</v>
      </c>
      <c r="C153" s="5">
        <f>C26</f>
        <v>20200</v>
      </c>
      <c r="D153" s="15">
        <f>D26</f>
        <v>0</v>
      </c>
    </row>
    <row r="154" spans="1:4" s="3" customFormat="1" ht="13" x14ac:dyDescent="0.3">
      <c r="A154" s="3" t="str">
        <f>A38</f>
        <v>Dining Room Total</v>
      </c>
      <c r="B154" s="5">
        <f>B38</f>
        <v>3200</v>
      </c>
      <c r="C154" s="5">
        <f>C38</f>
        <v>5750</v>
      </c>
      <c r="D154" s="15">
        <f>D38</f>
        <v>0</v>
      </c>
    </row>
    <row r="155" spans="1:4" s="3" customFormat="1" ht="13" x14ac:dyDescent="0.3">
      <c r="A155" s="3" t="str">
        <f>A49</f>
        <v>Hall Total</v>
      </c>
      <c r="B155" s="5">
        <f>B49</f>
        <v>2000</v>
      </c>
      <c r="C155" s="5">
        <f>C49</f>
        <v>3000</v>
      </c>
      <c r="D155" s="15">
        <f>D49</f>
        <v>0</v>
      </c>
    </row>
    <row r="156" spans="1:4" s="3" customFormat="1" ht="13" x14ac:dyDescent="0.3">
      <c r="A156" s="3" t="str">
        <f>A68</f>
        <v>Bedrooms (x3) Total</v>
      </c>
      <c r="B156" s="5">
        <f>B68</f>
        <v>12700</v>
      </c>
      <c r="C156" s="5">
        <f>C68</f>
        <v>20350</v>
      </c>
      <c r="D156" s="15">
        <f>D68</f>
        <v>0</v>
      </c>
    </row>
    <row r="157" spans="1:4" s="3" customFormat="1" ht="13" x14ac:dyDescent="0.3">
      <c r="A157" s="3" t="str">
        <f>A79</f>
        <v>Family Room Total</v>
      </c>
      <c r="B157" s="5">
        <f>B79</f>
        <v>0</v>
      </c>
      <c r="C157" s="5">
        <f>C79</f>
        <v>3550</v>
      </c>
      <c r="D157" s="15">
        <f>D79</f>
        <v>0</v>
      </c>
    </row>
    <row r="158" spans="1:4" s="3" customFormat="1" ht="13" x14ac:dyDescent="0.3">
      <c r="A158" s="3" t="str">
        <f>A97</f>
        <v>KitchenTotal</v>
      </c>
      <c r="B158" s="5">
        <f>B97</f>
        <v>5650</v>
      </c>
      <c r="C158" s="5">
        <f>C97</f>
        <v>9550</v>
      </c>
      <c r="D158" s="15">
        <f>D97</f>
        <v>0</v>
      </c>
    </row>
    <row r="159" spans="1:4" s="3" customFormat="1" ht="13" x14ac:dyDescent="0.3">
      <c r="A159" s="3" t="str">
        <f>A103</f>
        <v>Bathroom Total</v>
      </c>
      <c r="B159" s="5">
        <f>B103</f>
        <v>200</v>
      </c>
      <c r="C159" s="5">
        <f>C103</f>
        <v>200</v>
      </c>
      <c r="D159" s="15">
        <f>D103</f>
        <v>0</v>
      </c>
    </row>
    <row r="160" spans="1:4" s="3" customFormat="1" ht="13" x14ac:dyDescent="0.3">
      <c r="A160" s="3" t="str">
        <f>A111</f>
        <v>Laundry Total</v>
      </c>
      <c r="B160" s="5">
        <f>B111</f>
        <v>200</v>
      </c>
      <c r="C160" s="5">
        <f>C111</f>
        <v>200</v>
      </c>
      <c r="D160" s="15">
        <f>D111</f>
        <v>0</v>
      </c>
    </row>
    <row r="161" spans="1:4" s="3" customFormat="1" ht="13" x14ac:dyDescent="0.3">
      <c r="A161" s="3" t="str">
        <f>A117</f>
        <v>Clothing &amp; Personal Effects Total</v>
      </c>
      <c r="B161" s="5">
        <f>B117</f>
        <v>6000</v>
      </c>
      <c r="C161" s="5">
        <f>C117</f>
        <v>12000</v>
      </c>
      <c r="D161" s="15">
        <f>D117</f>
        <v>0</v>
      </c>
    </row>
    <row r="162" spans="1:4" s="3" customFormat="1" ht="13" x14ac:dyDescent="0.3">
      <c r="A162" s="3" t="str">
        <f>A129</f>
        <v>Valuables &amp; Special Items Total</v>
      </c>
      <c r="B162" s="5">
        <f>B129</f>
        <v>7500</v>
      </c>
      <c r="C162" s="5">
        <f>C129</f>
        <v>13250</v>
      </c>
      <c r="D162" s="15">
        <f>D129</f>
        <v>0</v>
      </c>
    </row>
    <row r="163" spans="1:4" s="3" customFormat="1" ht="13" x14ac:dyDescent="0.3">
      <c r="A163" s="3" t="str">
        <f>A140</f>
        <v>Garage Total</v>
      </c>
      <c r="B163" s="5">
        <f>B140</f>
        <v>3645</v>
      </c>
      <c r="C163" s="5">
        <f>C140</f>
        <v>4250</v>
      </c>
      <c r="D163" s="15">
        <f>D140</f>
        <v>0</v>
      </c>
    </row>
    <row r="164" spans="1:4" s="3" customFormat="1" ht="13" x14ac:dyDescent="0.3">
      <c r="A164" s="3" t="str">
        <f>A148</f>
        <v>Other Total</v>
      </c>
      <c r="B164" s="5">
        <f>B148</f>
        <v>1050</v>
      </c>
      <c r="C164" s="5">
        <f>C148</f>
        <v>1700</v>
      </c>
      <c r="D164" s="15">
        <f>D148</f>
        <v>0</v>
      </c>
    </row>
    <row r="165" spans="1:4" x14ac:dyDescent="0.25">
      <c r="D165" s="16"/>
    </row>
    <row r="166" spans="1:4" ht="13" x14ac:dyDescent="0.3">
      <c r="A166" s="3" t="s">
        <v>133</v>
      </c>
      <c r="B166" s="5">
        <f>SUM(B153:B164)</f>
        <v>54445</v>
      </c>
      <c r="C166" s="5">
        <f>SUM(C153:C164)</f>
        <v>94000</v>
      </c>
      <c r="D166" s="15">
        <f>SUM(D153:D164)</f>
        <v>0</v>
      </c>
    </row>
    <row r="167" spans="1:4" x14ac:dyDescent="0.25">
      <c r="D167" s="16"/>
    </row>
    <row r="168" spans="1:4" x14ac:dyDescent="0.25">
      <c r="D168" s="4"/>
    </row>
    <row r="169" spans="1:4" x14ac:dyDescent="0.25">
      <c r="D169" s="16"/>
    </row>
    <row r="170" spans="1:4" ht="13" x14ac:dyDescent="0.3">
      <c r="A170" s="18" t="s">
        <v>134</v>
      </c>
      <c r="D170" s="16"/>
    </row>
    <row r="171" spans="1:4" x14ac:dyDescent="0.25">
      <c r="A171" t="s">
        <v>135</v>
      </c>
      <c r="D171" s="16"/>
    </row>
    <row r="172" spans="1:4" ht="13" x14ac:dyDescent="0.3">
      <c r="A172" t="s">
        <v>136</v>
      </c>
      <c r="D172" s="15">
        <f>D156</f>
        <v>0</v>
      </c>
    </row>
    <row r="173" spans="1:4" ht="13" x14ac:dyDescent="0.3">
      <c r="A173" t="s">
        <v>137</v>
      </c>
      <c r="D173" s="15">
        <f>D157</f>
        <v>0</v>
      </c>
    </row>
    <row r="174" spans="1:4" ht="13" x14ac:dyDescent="0.3">
      <c r="A174" t="s">
        <v>138</v>
      </c>
      <c r="D174" s="15">
        <f>D158</f>
        <v>0</v>
      </c>
    </row>
    <row r="175" spans="1:4" ht="13" x14ac:dyDescent="0.3">
      <c r="A175" t="s">
        <v>139</v>
      </c>
      <c r="D175" s="15">
        <f>D159</f>
        <v>0</v>
      </c>
    </row>
    <row r="176" spans="1:4" ht="13" x14ac:dyDescent="0.3">
      <c r="A176" t="s">
        <v>140</v>
      </c>
      <c r="D176" s="15">
        <f>D160</f>
        <v>0</v>
      </c>
    </row>
    <row r="178" spans="1:4" ht="13" x14ac:dyDescent="0.3">
      <c r="A178" s="3" t="s">
        <v>141</v>
      </c>
      <c r="D178" s="29">
        <f>SUM(D172:D177)</f>
        <v>0</v>
      </c>
    </row>
  </sheetData>
  <printOptions horizontalCentered="1"/>
  <pageMargins left="0.35433070866141736" right="0.35433070866141736" top="0.39370078740157483" bottom="0.39370078740157483" header="0.51181102362204722" footer="0.51181102362204722"/>
  <pageSetup paperSize="9" scale="90" orientation="portrait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Inventory</vt:lpstr>
    </vt:vector>
  </TitlesOfParts>
  <Company>Ahlers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HH Contents Inventory</dc:title>
  <dc:creator>Paul Ahlers</dc:creator>
  <cp:lastModifiedBy>Carina Negreanu</cp:lastModifiedBy>
  <cp:lastPrinted>1998-05-31T07:54:14Z</cp:lastPrinted>
  <dcterms:created xsi:type="dcterms:W3CDTF">1998-05-28T01:51:06Z</dcterms:created>
  <dcterms:modified xsi:type="dcterms:W3CDTF">2020-01-27T10:30:37Z</dcterms:modified>
</cp:coreProperties>
</file>