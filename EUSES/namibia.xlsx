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B1B83F-6451-469C-A3D7-73221A657925}" xr6:coauthVersionLast="45" xr6:coauthVersionMax="45" xr10:uidLastSave="{00000000-0000-0000-0000-000000000000}"/>
  <bookViews>
    <workbookView xWindow="2280" yWindow="2280" windowWidth="28800" windowHeight="15460"/>
  </bookViews>
  <sheets>
    <sheet name="database" sheetId="1" r:id="rId1"/>
    <sheet name="result1" sheetId="2" r:id="rId2"/>
    <sheet name="result2" sheetId="3" r:id="rId3"/>
    <sheet name="tradeoff" sheetId="4" r:id="rId4"/>
  </sheets>
  <calcPr calcId="0" iterateCount="1"/>
</workbook>
</file>

<file path=xl/calcChain.xml><?xml version="1.0" encoding="utf-8"?>
<calcChain xmlns="http://schemas.openxmlformats.org/spreadsheetml/2006/main">
  <c r="B5" i="1" l="1"/>
  <c r="G6" i="1"/>
  <c r="E7" i="1"/>
  <c r="G7" i="1"/>
  <c r="E8" i="1"/>
  <c r="G8" i="1"/>
  <c r="G9" i="1"/>
  <c r="B11" i="1"/>
  <c r="B15" i="1"/>
  <c r="E16" i="1"/>
  <c r="E17" i="1"/>
  <c r="G17" i="1"/>
  <c r="E18" i="1"/>
  <c r="G18" i="1"/>
  <c r="E19" i="1"/>
  <c r="G19" i="1"/>
  <c r="D22" i="1"/>
  <c r="F22" i="1"/>
  <c r="F23" i="1"/>
  <c r="B25" i="1"/>
  <c r="D25" i="1"/>
  <c r="F25" i="1"/>
  <c r="B26" i="1"/>
  <c r="D26" i="1"/>
  <c r="B27" i="1"/>
  <c r="B31" i="1"/>
  <c r="G32" i="1"/>
  <c r="E33" i="1"/>
  <c r="G33" i="1"/>
  <c r="E34" i="1"/>
  <c r="G34" i="1"/>
  <c r="E35" i="1"/>
  <c r="G35" i="1"/>
  <c r="E38" i="1"/>
  <c r="G38" i="1"/>
  <c r="G39" i="1"/>
  <c r="B41" i="1"/>
  <c r="B42" i="1"/>
  <c r="B43" i="1"/>
  <c r="B44" i="1"/>
</calcChain>
</file>

<file path=xl/sharedStrings.xml><?xml version="1.0" encoding="utf-8"?>
<sst xmlns="http://schemas.openxmlformats.org/spreadsheetml/2006/main" count="222" uniqueCount="107">
  <si>
    <t>Data collection for EM database Namibia</t>
  </si>
  <si>
    <t>1 US$ =</t>
  </si>
  <si>
    <t>N$</t>
  </si>
  <si>
    <t>windpark</t>
  </si>
  <si>
    <t>MWel</t>
  </si>
  <si>
    <t>Walvis Bay</t>
  </si>
  <si>
    <t>units</t>
  </si>
  <si>
    <t>size per unit</t>
  </si>
  <si>
    <t>turbine only:</t>
  </si>
  <si>
    <t>investment</t>
  </si>
  <si>
    <t>$/kWel</t>
  </si>
  <si>
    <t>N$/kW*a</t>
  </si>
  <si>
    <t>fixed O&amp;M</t>
  </si>
  <si>
    <t>%/a (of investement)</t>
  </si>
  <si>
    <t>$/kW*a</t>
  </si>
  <si>
    <t>personell</t>
  </si>
  <si>
    <t>interest rate</t>
  </si>
  <si>
    <t>real</t>
  </si>
  <si>
    <t>total</t>
  </si>
  <si>
    <t>lifetime</t>
  </si>
  <si>
    <t>a</t>
  </si>
  <si>
    <t>operating time</t>
  </si>
  <si>
    <t>h/a</t>
  </si>
  <si>
    <t>gas-CC</t>
  </si>
  <si>
    <t>N$/kWel</t>
  </si>
  <si>
    <t>/a (of investement)</t>
  </si>
  <si>
    <t>heat rate</t>
  </si>
  <si>
    <t>MJ/kWh-el =</t>
  </si>
  <si>
    <t>kWh/kWh =</t>
  </si>
  <si>
    <t>based on LHV</t>
  </si>
  <si>
    <t>fuel cost</t>
  </si>
  <si>
    <t>$/tOE</t>
  </si>
  <si>
    <t>based on HHV</t>
  </si>
  <si>
    <t>1 tOE =</t>
  </si>
  <si>
    <t>GJ</t>
  </si>
  <si>
    <t>$/GJ=</t>
  </si>
  <si>
    <t>$/MWh</t>
  </si>
  <si>
    <t>N$/MWh</t>
  </si>
  <si>
    <t>ratio HHV/LHV</t>
  </si>
  <si>
    <t>$/MWh Hu</t>
  </si>
  <si>
    <t>N$/MWh Ho</t>
  </si>
  <si>
    <t>N$/1000 m3</t>
  </si>
  <si>
    <t>coal ST new</t>
  </si>
  <si>
    <t>incl. FGD+DeNOx</t>
  </si>
  <si>
    <t>$/kW</t>
  </si>
  <si>
    <t>g coal/kWh-el</t>
  </si>
  <si>
    <t>$/t</t>
  </si>
  <si>
    <t>LHV fuel</t>
  </si>
  <si>
    <t>MJ/kg</t>
  </si>
  <si>
    <t>MWh/t</t>
  </si>
  <si>
    <t>$/MWh LHV !</t>
  </si>
  <si>
    <t>$/MWh HHV</t>
  </si>
  <si>
    <t>in red: based on LHV</t>
  </si>
  <si>
    <t>Project: C:\ARCHIV\EM-Projekt\database\Namibia\namibia</t>
  </si>
  <si>
    <t>Definition of Demand</t>
  </si>
  <si>
    <t>1. Option :</t>
  </si>
  <si>
    <t>Energy Demand</t>
  </si>
  <si>
    <t>gas-CC-big-RSA-DECON-new :</t>
  </si>
  <si>
    <t>kWh</t>
  </si>
  <si>
    <t>Sum :</t>
  </si>
  <si>
    <t xml:space="preserve"> </t>
  </si>
  <si>
    <t>2. Option :</t>
  </si>
  <si>
    <t>wind</t>
  </si>
  <si>
    <t>windfarm-medium-DECON :</t>
  </si>
  <si>
    <t>3. Option :</t>
  </si>
  <si>
    <t>coal-new</t>
  </si>
  <si>
    <t>coal-ST-RSA-new-DECON :</t>
  </si>
  <si>
    <t>Air emissions</t>
  </si>
  <si>
    <t xml:space="preserve">                          </t>
  </si>
  <si>
    <t>Pollutant [g]</t>
  </si>
  <si>
    <t xml:space="preserve">No Scenario Option        </t>
  </si>
  <si>
    <t>SO2</t>
  </si>
  <si>
    <t>NOx</t>
  </si>
  <si>
    <t>HCl</t>
  </si>
  <si>
    <t>HF</t>
  </si>
  <si>
    <t>SO2-Equivalent</t>
  </si>
  <si>
    <t xml:space="preserve">1  gas-CC                 </t>
  </si>
  <si>
    <t xml:space="preserve">2  wind                   </t>
  </si>
  <si>
    <t xml:space="preserve">3  coal-new               </t>
  </si>
  <si>
    <t>Greenhouse Gases</t>
  </si>
  <si>
    <t>CO2</t>
  </si>
  <si>
    <t>CO2-Equivalent</t>
  </si>
  <si>
    <t>Balanced costs for scenarios</t>
  </si>
  <si>
    <t>internal</t>
  </si>
  <si>
    <t>$</t>
  </si>
  <si>
    <t>Calculations are done using the cost factor option:</t>
  </si>
  <si>
    <t>RSA-DECON</t>
  </si>
  <si>
    <t>References:</t>
  </si>
  <si>
    <t>DECON 1998</t>
  </si>
  <si>
    <t>interest rate :</t>
  </si>
  <si>
    <t>%/a</t>
  </si>
  <si>
    <t xml:space="preserve">Scenario: </t>
  </si>
  <si>
    <t>comparison DECON plants</t>
  </si>
  <si>
    <t>external</t>
  </si>
  <si>
    <t>Calculations are done using the external cost factor option:</t>
  </si>
  <si>
    <t>Balanced costs for scenarios :</t>
  </si>
  <si>
    <t>all data for a generation of 1000 kWh, life-cycle costs with 10% interest rate</t>
  </si>
  <si>
    <t>Trade Off Analysis  1</t>
  </si>
  <si>
    <t>Refence Option = coal-new CO2-Equivalent total vs. int.cost total</t>
  </si>
  <si>
    <t>Options</t>
  </si>
  <si>
    <t xml:space="preserve">gas-CC                             </t>
  </si>
  <si>
    <t xml:space="preserve">t/$              </t>
  </si>
  <si>
    <t>t</t>
  </si>
  <si>
    <t xml:space="preserve">wind                               </t>
  </si>
  <si>
    <t>Trade Off Analysis 2</t>
  </si>
  <si>
    <t>Refence Option = coal-new int.cost total vs. CO2-Equivalent total</t>
  </si>
  <si>
    <t xml:space="preserve">$/t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</si>
</sst>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8" formatCode="0.0%"/>
  </numFmts>
  <fonts count="5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9" fontId="0" fillId="0" borderId="0" xfId="1" applyFont="1"/>
    <xf numFmtId="0" fontId="2" fillId="0" borderId="0" xfId="0" applyFont="1"/>
    <xf numFmtId="2" fontId="0" fillId="0" borderId="0" xfId="0" applyNumberFormat="1"/>
    <xf numFmtId="176" fontId="0" fillId="0" borderId="0" xfId="0" applyNumberFormat="1"/>
    <xf numFmtId="0" fontId="3" fillId="0" borderId="0" xfId="0" applyFont="1"/>
    <xf numFmtId="0" fontId="4" fillId="0" borderId="0" xfId="0" applyFont="1"/>
    <xf numFmtId="178" fontId="0" fillId="0" borderId="0" xfId="1" applyNumberFormat="1" applyFont="1"/>
    <xf numFmtId="178" fontId="3" fillId="0" borderId="0" xfId="1" applyNumberFormat="1" applyFont="1"/>
    <xf numFmtId="10" fontId="0" fillId="0" borderId="0" xfId="1" applyNumberFormat="1" applyFont="1"/>
    <xf numFmtId="11" fontId="0" fillId="0" borderId="0" xfId="0" applyNumberFormat="1"/>
    <xf numFmtId="2" fontId="4" fillId="0" borderId="0" xfId="0" applyNumberFormat="1" applyFont="1"/>
    <xf numFmtId="2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22</xdr:row>
      <xdr:rowOff>114300</xdr:rowOff>
    </xdr:from>
    <xdr:to>
      <xdr:col>5</xdr:col>
      <xdr:colOff>711200</xdr:colOff>
      <xdr:row>45</xdr:row>
      <xdr:rowOff>63500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0682877-9990-4FED-93CC-6C2406E9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606800"/>
          <a:ext cx="5105400" cy="3600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15</xdr:row>
      <xdr:rowOff>133350</xdr:rowOff>
    </xdr:from>
    <xdr:to>
      <xdr:col>9</xdr:col>
      <xdr:colOff>596900</xdr:colOff>
      <xdr:row>34</xdr:row>
      <xdr:rowOff>120650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3C9AFDE-B9D3-45AC-9229-98584421A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2514600"/>
          <a:ext cx="3492500" cy="3003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393700</xdr:colOff>
      <xdr:row>15</xdr:row>
      <xdr:rowOff>152400</xdr:rowOff>
    </xdr:from>
    <xdr:to>
      <xdr:col>5</xdr:col>
      <xdr:colOff>6350</xdr:colOff>
      <xdr:row>34</xdr:row>
      <xdr:rowOff>127000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E10ECBD6-D959-47B8-845B-84FCA2502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700" y="2533650"/>
          <a:ext cx="3422650" cy="2990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workbookViewId="0">
      <selection activeCell="A9" sqref="A9"/>
    </sheetView>
  </sheetViews>
  <sheetFormatPr defaultRowHeight="12.5" x14ac:dyDescent="0.25"/>
  <cols>
    <col min="1" max="1" width="14.26953125" customWidth="1"/>
    <col min="2" max="256" width="10.90625" customWidth="1"/>
  </cols>
  <sheetData>
    <row r="1" spans="1:10" ht="13" x14ac:dyDescent="0.3">
      <c r="A1" s="1" t="s">
        <v>0</v>
      </c>
    </row>
    <row r="2" spans="1:10" ht="13" x14ac:dyDescent="0.3">
      <c r="F2" s="7" t="s">
        <v>1</v>
      </c>
      <c r="G2" s="7">
        <v>5</v>
      </c>
      <c r="H2" s="7" t="s">
        <v>2</v>
      </c>
    </row>
    <row r="3" spans="1:10" ht="13" x14ac:dyDescent="0.3">
      <c r="A3" s="1" t="s">
        <v>3</v>
      </c>
      <c r="B3">
        <v>19.2</v>
      </c>
      <c r="C3" t="s">
        <v>4</v>
      </c>
      <c r="D3" t="s">
        <v>5</v>
      </c>
    </row>
    <row r="4" spans="1:10" ht="13" x14ac:dyDescent="0.3">
      <c r="A4" s="3" t="s">
        <v>6</v>
      </c>
      <c r="B4">
        <v>32</v>
      </c>
      <c r="C4" s="7"/>
    </row>
    <row r="5" spans="1:10" x14ac:dyDescent="0.25">
      <c r="A5" t="s">
        <v>7</v>
      </c>
      <c r="B5">
        <f>+B3/B4</f>
        <v>0.6</v>
      </c>
      <c r="C5" t="s">
        <v>4</v>
      </c>
      <c r="H5" t="s">
        <v>8</v>
      </c>
      <c r="I5" s="11">
        <v>92090000</v>
      </c>
      <c r="J5" t="s">
        <v>2</v>
      </c>
    </row>
    <row r="6" spans="1:10" x14ac:dyDescent="0.25">
      <c r="A6" t="s">
        <v>9</v>
      </c>
      <c r="B6">
        <v>1088.5</v>
      </c>
      <c r="C6" t="s">
        <v>10</v>
      </c>
      <c r="G6">
        <f>+B6*G2</f>
        <v>5442.5</v>
      </c>
      <c r="H6" t="s">
        <v>11</v>
      </c>
    </row>
    <row r="7" spans="1:10" x14ac:dyDescent="0.25">
      <c r="A7" t="s">
        <v>12</v>
      </c>
      <c r="B7" s="2">
        <v>0.02</v>
      </c>
      <c r="C7" t="s">
        <v>13</v>
      </c>
      <c r="E7" s="5">
        <f>+B7*I5/(B3*1000)/+G2</f>
        <v>19.185416666666665</v>
      </c>
      <c r="F7" t="s">
        <v>14</v>
      </c>
      <c r="G7" s="5">
        <f t="shared" ref="G7:G8" si="0">+E7*G2</f>
        <v>95.927083333333329</v>
      </c>
      <c r="H7" t="s">
        <v>11</v>
      </c>
    </row>
    <row r="8" spans="1:10" x14ac:dyDescent="0.25">
      <c r="A8" t="s">
        <v>15</v>
      </c>
      <c r="B8" s="2"/>
      <c r="C8" t="s">
        <v>13</v>
      </c>
      <c r="E8" s="5">
        <f>+B6*B8</f>
        <v>0</v>
      </c>
      <c r="F8" t="s">
        <v>14</v>
      </c>
      <c r="G8">
        <f t="shared" si="0"/>
        <v>0</v>
      </c>
      <c r="H8" t="s">
        <v>11</v>
      </c>
    </row>
    <row r="9" spans="1:10" x14ac:dyDescent="0.25">
      <c r="A9" t="s">
        <v>16</v>
      </c>
      <c r="B9" s="2">
        <v>0.1</v>
      </c>
      <c r="C9" t="s">
        <v>17</v>
      </c>
      <c r="F9" t="s">
        <v>18</v>
      </c>
      <c r="G9">
        <f>+E9*G$2</f>
        <v>0</v>
      </c>
      <c r="H9" t="s">
        <v>11</v>
      </c>
    </row>
    <row r="10" spans="1:10" x14ac:dyDescent="0.25">
      <c r="A10" t="s">
        <v>19</v>
      </c>
      <c r="B10">
        <v>20</v>
      </c>
      <c r="C10" t="s">
        <v>20</v>
      </c>
    </row>
    <row r="11" spans="1:10" x14ac:dyDescent="0.25">
      <c r="A11" t="s">
        <v>21</v>
      </c>
      <c r="B11">
        <f>8760*0.2</f>
        <v>1752</v>
      </c>
      <c r="C11" t="s">
        <v>22</v>
      </c>
    </row>
    <row r="13" spans="1:10" ht="13" x14ac:dyDescent="0.3">
      <c r="A13" s="1" t="s">
        <v>23</v>
      </c>
      <c r="B13">
        <v>750</v>
      </c>
      <c r="C13" t="s">
        <v>4</v>
      </c>
    </row>
    <row r="14" spans="1:10" x14ac:dyDescent="0.25">
      <c r="A14" t="s">
        <v>6</v>
      </c>
      <c r="B14">
        <v>3</v>
      </c>
    </row>
    <row r="15" spans="1:10" x14ac:dyDescent="0.25">
      <c r="A15" t="s">
        <v>7</v>
      </c>
      <c r="B15">
        <f>+B13/B14</f>
        <v>250</v>
      </c>
      <c r="C15" t="s">
        <v>4</v>
      </c>
    </row>
    <row r="16" spans="1:10" x14ac:dyDescent="0.25">
      <c r="A16" t="s">
        <v>9</v>
      </c>
      <c r="B16">
        <v>800</v>
      </c>
      <c r="C16" t="s">
        <v>10</v>
      </c>
      <c r="E16">
        <f>+B16*5</f>
        <v>4000</v>
      </c>
      <c r="F16" t="s">
        <v>24</v>
      </c>
    </row>
    <row r="17" spans="1:10" x14ac:dyDescent="0.25">
      <c r="A17" t="s">
        <v>12</v>
      </c>
      <c r="B17" s="10">
        <v>4.2500000000000003E-2</v>
      </c>
      <c r="C17" t="s">
        <v>25</v>
      </c>
      <c r="E17" s="5">
        <f>+B16*B17</f>
        <v>34</v>
      </c>
      <c r="F17" t="s">
        <v>14</v>
      </c>
      <c r="G17">
        <f>+E17*G2</f>
        <v>170</v>
      </c>
      <c r="H17" t="s">
        <v>11</v>
      </c>
    </row>
    <row r="18" spans="1:10" x14ac:dyDescent="0.25">
      <c r="A18" t="s">
        <v>15</v>
      </c>
      <c r="B18" s="2">
        <v>0</v>
      </c>
      <c r="C18" t="s">
        <v>25</v>
      </c>
      <c r="E18" s="5">
        <f>+B16*B18</f>
        <v>0</v>
      </c>
      <c r="F18" t="s">
        <v>14</v>
      </c>
      <c r="G18">
        <f>+E18*G2</f>
        <v>0</v>
      </c>
      <c r="H18" t="s">
        <v>11</v>
      </c>
    </row>
    <row r="19" spans="1:10" x14ac:dyDescent="0.25">
      <c r="A19" t="s">
        <v>16</v>
      </c>
      <c r="B19" s="2">
        <v>0.1</v>
      </c>
      <c r="C19" t="s">
        <v>17</v>
      </c>
      <c r="E19" s="5">
        <f>+E18+E17</f>
        <v>34</v>
      </c>
      <c r="F19" t="s">
        <v>18</v>
      </c>
      <c r="G19">
        <f>+E19*G$2</f>
        <v>170</v>
      </c>
      <c r="H19" t="s">
        <v>11</v>
      </c>
    </row>
    <row r="20" spans="1:10" x14ac:dyDescent="0.25">
      <c r="A20" t="s">
        <v>19</v>
      </c>
      <c r="B20">
        <v>20</v>
      </c>
      <c r="C20" t="s">
        <v>20</v>
      </c>
    </row>
    <row r="21" spans="1:10" x14ac:dyDescent="0.25">
      <c r="A21" t="s">
        <v>21</v>
      </c>
      <c r="B21">
        <v>6000</v>
      </c>
      <c r="C21" t="s">
        <v>22</v>
      </c>
    </row>
    <row r="22" spans="1:10" x14ac:dyDescent="0.25">
      <c r="A22" t="s">
        <v>26</v>
      </c>
      <c r="B22">
        <v>7.5</v>
      </c>
      <c r="C22" t="s">
        <v>27</v>
      </c>
      <c r="D22" s="4">
        <f>+B22/3.6</f>
        <v>2.0833333333333335</v>
      </c>
      <c r="E22" t="s">
        <v>28</v>
      </c>
      <c r="F22" s="9">
        <f>1/D22</f>
        <v>0.48</v>
      </c>
      <c r="G22" t="s">
        <v>29</v>
      </c>
    </row>
    <row r="23" spans="1:10" x14ac:dyDescent="0.25">
      <c r="A23" t="s">
        <v>30</v>
      </c>
      <c r="B23">
        <v>200</v>
      </c>
      <c r="C23" t="s">
        <v>31</v>
      </c>
      <c r="F23" s="8">
        <f>+F22/B26</f>
        <v>0.43267605633802808</v>
      </c>
      <c r="G23" t="s">
        <v>32</v>
      </c>
    </row>
    <row r="24" spans="1:10" ht="13" x14ac:dyDescent="0.3">
      <c r="A24" t="s">
        <v>33</v>
      </c>
      <c r="B24">
        <v>41.878</v>
      </c>
      <c r="C24" t="s">
        <v>34</v>
      </c>
      <c r="I24" s="1"/>
      <c r="J24" s="1"/>
    </row>
    <row r="25" spans="1:10" ht="13" x14ac:dyDescent="0.3">
      <c r="B25" s="5">
        <f>+B23/B24</f>
        <v>4.7757772577486985</v>
      </c>
      <c r="C25" s="6" t="s">
        <v>35</v>
      </c>
      <c r="D25" s="12">
        <f>+(B25*3.6)</f>
        <v>17.192798127895315</v>
      </c>
      <c r="E25" t="s">
        <v>36</v>
      </c>
      <c r="F25" s="5">
        <f>+D25*G2</f>
        <v>85.963990639476577</v>
      </c>
      <c r="G25" t="s">
        <v>37</v>
      </c>
    </row>
    <row r="26" spans="1:10" x14ac:dyDescent="0.25">
      <c r="A26" t="s">
        <v>38</v>
      </c>
      <c r="B26">
        <f>49.7/44.8</f>
        <v>1.1093750000000002</v>
      </c>
      <c r="D26" s="4">
        <f>+D25/B26</f>
        <v>15.497733523736619</v>
      </c>
      <c r="E26" t="s">
        <v>39</v>
      </c>
    </row>
    <row r="27" spans="1:10" x14ac:dyDescent="0.25">
      <c r="A27" t="s">
        <v>30</v>
      </c>
      <c r="B27" s="5">
        <f>+F25/B26</f>
        <v>77.488667618683095</v>
      </c>
      <c r="C27" t="s">
        <v>40</v>
      </c>
      <c r="I27">
        <v>850</v>
      </c>
      <c r="J27" t="s">
        <v>41</v>
      </c>
    </row>
    <row r="29" spans="1:10" ht="13" x14ac:dyDescent="0.3">
      <c r="A29" s="1" t="s">
        <v>42</v>
      </c>
      <c r="B29">
        <v>300</v>
      </c>
      <c r="C29" t="s">
        <v>4</v>
      </c>
    </row>
    <row r="30" spans="1:10" x14ac:dyDescent="0.25">
      <c r="A30" s="3" t="s">
        <v>6</v>
      </c>
      <c r="B30">
        <v>1</v>
      </c>
    </row>
    <row r="31" spans="1:10" x14ac:dyDescent="0.25">
      <c r="A31" t="s">
        <v>7</v>
      </c>
      <c r="B31">
        <f>+B29/B30</f>
        <v>300</v>
      </c>
      <c r="C31" t="s">
        <v>4</v>
      </c>
    </row>
    <row r="32" spans="1:10" x14ac:dyDescent="0.25">
      <c r="A32" t="s">
        <v>9</v>
      </c>
      <c r="B32">
        <v>1600</v>
      </c>
      <c r="C32" t="s">
        <v>10</v>
      </c>
      <c r="D32" s="6" t="s">
        <v>43</v>
      </c>
      <c r="G32">
        <f>+B32*G2</f>
        <v>8000</v>
      </c>
      <c r="H32" t="s">
        <v>44</v>
      </c>
    </row>
    <row r="33" spans="1:8" x14ac:dyDescent="0.25">
      <c r="A33" t="s">
        <v>12</v>
      </c>
      <c r="B33" s="2">
        <v>0.02</v>
      </c>
      <c r="C33" t="s">
        <v>13</v>
      </c>
      <c r="E33" s="5">
        <f>+B32*B33</f>
        <v>32</v>
      </c>
      <c r="F33" t="s">
        <v>14</v>
      </c>
      <c r="G33">
        <f t="shared" ref="G33:G35" si="1">+E33*G$2</f>
        <v>160</v>
      </c>
      <c r="H33" t="s">
        <v>11</v>
      </c>
    </row>
    <row r="34" spans="1:8" x14ac:dyDescent="0.25">
      <c r="A34" t="s">
        <v>15</v>
      </c>
      <c r="B34" s="2">
        <v>0.05</v>
      </c>
      <c r="C34" t="s">
        <v>13</v>
      </c>
      <c r="E34" s="5">
        <f>+B32*B34</f>
        <v>80</v>
      </c>
      <c r="F34" t="s">
        <v>14</v>
      </c>
      <c r="G34">
        <f t="shared" si="1"/>
        <v>400</v>
      </c>
      <c r="H34" t="s">
        <v>11</v>
      </c>
    </row>
    <row r="35" spans="1:8" x14ac:dyDescent="0.25">
      <c r="A35" t="s">
        <v>16</v>
      </c>
      <c r="B35" s="2">
        <v>0.1</v>
      </c>
      <c r="C35" t="s">
        <v>17</v>
      </c>
      <c r="E35" s="5">
        <f>+E34+E33</f>
        <v>112</v>
      </c>
      <c r="F35" t="s">
        <v>18</v>
      </c>
      <c r="G35">
        <f t="shared" si="1"/>
        <v>560</v>
      </c>
      <c r="H35" t="s">
        <v>11</v>
      </c>
    </row>
    <row r="36" spans="1:8" x14ac:dyDescent="0.25">
      <c r="A36" t="s">
        <v>19</v>
      </c>
      <c r="B36">
        <v>30</v>
      </c>
      <c r="C36" t="s">
        <v>20</v>
      </c>
    </row>
    <row r="37" spans="1:8" ht="13" x14ac:dyDescent="0.3">
      <c r="A37" t="s">
        <v>21</v>
      </c>
      <c r="B37">
        <v>6000</v>
      </c>
      <c r="C37" t="s">
        <v>22</v>
      </c>
      <c r="D37" s="7"/>
    </row>
    <row r="38" spans="1:8" ht="13" x14ac:dyDescent="0.3">
      <c r="A38" t="s">
        <v>26</v>
      </c>
      <c r="B38">
        <v>430</v>
      </c>
      <c r="C38" t="s">
        <v>45</v>
      </c>
      <c r="D38" s="7"/>
      <c r="E38" s="4">
        <f>+B38*B41/1000</f>
        <v>3.2488888888888887</v>
      </c>
      <c r="F38" t="s">
        <v>28</v>
      </c>
      <c r="G38" s="9">
        <f>1/E38</f>
        <v>0.30779753761969908</v>
      </c>
      <c r="H38" t="s">
        <v>29</v>
      </c>
    </row>
    <row r="39" spans="1:8" x14ac:dyDescent="0.25">
      <c r="A39" t="s">
        <v>30</v>
      </c>
      <c r="B39">
        <v>45</v>
      </c>
      <c r="C39" t="s">
        <v>46</v>
      </c>
      <c r="G39" s="8">
        <f>+G38/B43</f>
        <v>0.29415244329208162</v>
      </c>
      <c r="H39" t="s">
        <v>32</v>
      </c>
    </row>
    <row r="40" spans="1:8" x14ac:dyDescent="0.25">
      <c r="A40" t="s">
        <v>47</v>
      </c>
      <c r="B40">
        <v>27.2</v>
      </c>
      <c r="C40" t="s">
        <v>48</v>
      </c>
    </row>
    <row r="41" spans="1:8" x14ac:dyDescent="0.25">
      <c r="B41" s="5">
        <f>+B40/3.6</f>
        <v>7.5555555555555554</v>
      </c>
      <c r="C41" t="s">
        <v>49</v>
      </c>
    </row>
    <row r="42" spans="1:8" x14ac:dyDescent="0.25">
      <c r="B42" s="5">
        <f>+B39/B41</f>
        <v>5.9558823529411766</v>
      </c>
      <c r="C42" s="6" t="s">
        <v>50</v>
      </c>
    </row>
    <row r="43" spans="1:8" x14ac:dyDescent="0.25">
      <c r="A43" t="s">
        <v>38</v>
      </c>
      <c r="B43">
        <f>27.52/26.3</f>
        <v>1.0463878326996197</v>
      </c>
    </row>
    <row r="44" spans="1:8" x14ac:dyDescent="0.25">
      <c r="B44" s="5">
        <f>+B42/B43</f>
        <v>5.6918497777017789</v>
      </c>
      <c r="C44" t="s">
        <v>51</v>
      </c>
    </row>
    <row r="46" spans="1:8" x14ac:dyDescent="0.25">
      <c r="A46" s="6" t="s">
        <v>52</v>
      </c>
    </row>
  </sheetData>
  <pageMargins left="0.75" right="0.75" top="1" bottom="1" header="0.4921259845" footer="0.4921259845"/>
  <pageSetup paperSize="9" orientation="portrait" r:id="rId1"/>
  <headerFooter alignWithMargins="0">
    <oddHeader>&amp;A</oddHeader>
    <oddFooter>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24" workbookViewId="0">
      <selection activeCell="A39" sqref="A39"/>
    </sheetView>
  </sheetViews>
  <sheetFormatPr defaultRowHeight="12.5" x14ac:dyDescent="0.25"/>
  <cols>
    <col min="1" max="1" width="45" customWidth="1"/>
    <col min="2" max="256" width="10.90625" customWidth="1"/>
  </cols>
  <sheetData>
    <row r="1" spans="1:3" x14ac:dyDescent="0.25">
      <c r="A1" t="s">
        <v>53</v>
      </c>
    </row>
    <row r="2" spans="1:3" x14ac:dyDescent="0.25">
      <c r="A2" s="13"/>
    </row>
    <row r="3" spans="1:3" x14ac:dyDescent="0.25">
      <c r="A3" t="s">
        <v>54</v>
      </c>
    </row>
    <row r="4" spans="1:3" x14ac:dyDescent="0.25">
      <c r="A4" t="s">
        <v>55</v>
      </c>
      <c r="B4" t="s">
        <v>23</v>
      </c>
    </row>
    <row r="5" spans="1:3" x14ac:dyDescent="0.25">
      <c r="A5" t="s">
        <v>56</v>
      </c>
    </row>
    <row r="6" spans="1:3" x14ac:dyDescent="0.25">
      <c r="A6" t="s">
        <v>57</v>
      </c>
      <c r="B6">
        <v>1000</v>
      </c>
      <c r="C6" t="s">
        <v>58</v>
      </c>
    </row>
    <row r="7" spans="1:3" x14ac:dyDescent="0.25">
      <c r="A7" t="s">
        <v>59</v>
      </c>
      <c r="B7">
        <v>1000</v>
      </c>
      <c r="C7" t="s">
        <v>58</v>
      </c>
    </row>
    <row r="8" spans="1:3" x14ac:dyDescent="0.25">
      <c r="A8" t="s">
        <v>60</v>
      </c>
    </row>
    <row r="9" spans="1:3" x14ac:dyDescent="0.25">
      <c r="A9" t="s">
        <v>61</v>
      </c>
      <c r="B9" t="s">
        <v>62</v>
      </c>
    </row>
    <row r="10" spans="1:3" x14ac:dyDescent="0.25">
      <c r="A10" t="s">
        <v>56</v>
      </c>
    </row>
    <row r="11" spans="1:3" x14ac:dyDescent="0.25">
      <c r="A11" t="s">
        <v>63</v>
      </c>
      <c r="B11">
        <v>1000</v>
      </c>
      <c r="C11" t="s">
        <v>58</v>
      </c>
    </row>
    <row r="12" spans="1:3" x14ac:dyDescent="0.25">
      <c r="A12" t="s">
        <v>59</v>
      </c>
      <c r="B12">
        <v>1000</v>
      </c>
      <c r="C12" t="s">
        <v>58</v>
      </c>
    </row>
    <row r="13" spans="1:3" x14ac:dyDescent="0.25">
      <c r="A13" t="s">
        <v>60</v>
      </c>
    </row>
    <row r="14" spans="1:3" x14ac:dyDescent="0.25">
      <c r="A14" t="s">
        <v>64</v>
      </c>
      <c r="B14" t="s">
        <v>65</v>
      </c>
    </row>
    <row r="15" spans="1:3" x14ac:dyDescent="0.25">
      <c r="A15" t="s">
        <v>56</v>
      </c>
    </row>
    <row r="16" spans="1:3" x14ac:dyDescent="0.25">
      <c r="A16" t="s">
        <v>66</v>
      </c>
      <c r="B16">
        <v>1000</v>
      </c>
      <c r="C16" t="s">
        <v>58</v>
      </c>
    </row>
    <row r="17" spans="1:6" x14ac:dyDescent="0.25">
      <c r="A17" t="s">
        <v>59</v>
      </c>
      <c r="B17">
        <v>1000</v>
      </c>
      <c r="C17" t="s">
        <v>58</v>
      </c>
    </row>
    <row r="18" spans="1:6" x14ac:dyDescent="0.25">
      <c r="A18" t="s">
        <v>60</v>
      </c>
    </row>
    <row r="19" spans="1:6" x14ac:dyDescent="0.25">
      <c r="A19" t="s">
        <v>67</v>
      </c>
    </row>
    <row r="20" spans="1:6" x14ac:dyDescent="0.25">
      <c r="A20" t="s">
        <v>68</v>
      </c>
      <c r="B20" t="s">
        <v>69</v>
      </c>
    </row>
    <row r="21" spans="1:6" x14ac:dyDescent="0.25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</row>
    <row r="22" spans="1:6" x14ac:dyDescent="0.25">
      <c r="A22" t="s">
        <v>76</v>
      </c>
      <c r="B22">
        <v>45.71</v>
      </c>
      <c r="C22">
        <v>1647.5</v>
      </c>
      <c r="D22">
        <v>1.7</v>
      </c>
      <c r="E22">
        <v>0.14000000000000001</v>
      </c>
      <c r="F22">
        <v>1194.51</v>
      </c>
    </row>
    <row r="23" spans="1:6" x14ac:dyDescent="0.25">
      <c r="A23" t="s">
        <v>77</v>
      </c>
      <c r="B23">
        <v>41.1</v>
      </c>
      <c r="C23">
        <v>61.64</v>
      </c>
      <c r="D23">
        <v>2.17</v>
      </c>
      <c r="E23">
        <v>0</v>
      </c>
      <c r="F23">
        <v>85.92</v>
      </c>
    </row>
    <row r="24" spans="1:6" x14ac:dyDescent="0.25">
      <c r="A24" t="s">
        <v>78</v>
      </c>
      <c r="B24">
        <v>626.91999999999996</v>
      </c>
      <c r="C24">
        <v>1020.19</v>
      </c>
      <c r="D24">
        <v>46.33</v>
      </c>
      <c r="E24">
        <v>3.4</v>
      </c>
      <c r="F24">
        <v>1383.37</v>
      </c>
    </row>
    <row r="26" spans="1:6" x14ac:dyDescent="0.25">
      <c r="A26" t="s">
        <v>79</v>
      </c>
    </row>
    <row r="27" spans="1:6" x14ac:dyDescent="0.25">
      <c r="A27" t="s">
        <v>68</v>
      </c>
      <c r="B27" t="s">
        <v>69</v>
      </c>
    </row>
    <row r="28" spans="1:6" x14ac:dyDescent="0.25">
      <c r="A28" t="s">
        <v>70</v>
      </c>
      <c r="B28" t="s">
        <v>80</v>
      </c>
      <c r="C28" t="s">
        <v>81</v>
      </c>
    </row>
    <row r="29" spans="1:6" x14ac:dyDescent="0.25">
      <c r="A29" t="s">
        <v>76</v>
      </c>
      <c r="B29" s="11">
        <v>430700</v>
      </c>
      <c r="C29" s="11">
        <v>507400</v>
      </c>
    </row>
    <row r="30" spans="1:6" x14ac:dyDescent="0.25">
      <c r="A30" t="s">
        <v>77</v>
      </c>
      <c r="B30">
        <v>23573.06</v>
      </c>
      <c r="C30">
        <v>26919.81</v>
      </c>
    </row>
    <row r="31" spans="1:6" x14ac:dyDescent="0.25">
      <c r="A31" t="s">
        <v>78</v>
      </c>
      <c r="B31" s="11">
        <v>1216000</v>
      </c>
      <c r="C31" s="11">
        <v>1278000</v>
      </c>
    </row>
    <row r="33" spans="1:3" x14ac:dyDescent="0.25">
      <c r="A33" t="s">
        <v>82</v>
      </c>
    </row>
    <row r="34" spans="1:3" x14ac:dyDescent="0.25">
      <c r="A34" t="s">
        <v>70</v>
      </c>
      <c r="B34" t="s">
        <v>83</v>
      </c>
    </row>
    <row r="35" spans="1:3" x14ac:dyDescent="0.25">
      <c r="A35" t="s">
        <v>76</v>
      </c>
      <c r="B35">
        <v>57.12</v>
      </c>
      <c r="C35" t="s">
        <v>84</v>
      </c>
    </row>
    <row r="36" spans="1:3" x14ac:dyDescent="0.25">
      <c r="A36" t="s">
        <v>77</v>
      </c>
      <c r="B36">
        <v>83.94</v>
      </c>
      <c r="C36" t="s">
        <v>84</v>
      </c>
    </row>
    <row r="37" spans="1:3" x14ac:dyDescent="0.25">
      <c r="A37" t="s">
        <v>78</v>
      </c>
      <c r="B37">
        <v>72.709999999999994</v>
      </c>
      <c r="C37" t="s">
        <v>84</v>
      </c>
    </row>
    <row r="39" spans="1:3" x14ac:dyDescent="0.25">
      <c r="A39" t="s">
        <v>85</v>
      </c>
      <c r="B39" t="s">
        <v>86</v>
      </c>
    </row>
    <row r="40" spans="1:3" x14ac:dyDescent="0.25">
      <c r="A40" t="s">
        <v>87</v>
      </c>
    </row>
    <row r="41" spans="1:3" x14ac:dyDescent="0.25">
      <c r="A41" t="s">
        <v>88</v>
      </c>
    </row>
    <row r="42" spans="1:3" x14ac:dyDescent="0.25">
      <c r="A42" t="s">
        <v>89</v>
      </c>
      <c r="B42">
        <v>10</v>
      </c>
      <c r="C42" t="s">
        <v>90</v>
      </c>
    </row>
  </sheetData>
  <pageMargins left="0.75" right="0.75" top="1" bottom="1" header="0.4921259845" footer="0.4921259845"/>
  <headerFooter alignWithMargins="0">
    <oddHeader>&amp;A</oddHeader>
    <oddFooter>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A19" sqref="A19"/>
    </sheetView>
  </sheetViews>
  <sheetFormatPr defaultRowHeight="12.5" x14ac:dyDescent="0.25"/>
  <cols>
    <col min="1" max="1" width="22.26953125" customWidth="1"/>
    <col min="2" max="256" width="10.90625" customWidth="1"/>
  </cols>
  <sheetData>
    <row r="1" spans="1:4" x14ac:dyDescent="0.25">
      <c r="A1" t="s">
        <v>53</v>
      </c>
    </row>
    <row r="2" spans="1:4" x14ac:dyDescent="0.25">
      <c r="A2" s="13"/>
    </row>
    <row r="3" spans="1:4" x14ac:dyDescent="0.25">
      <c r="A3" t="s">
        <v>91</v>
      </c>
      <c r="B3" t="s">
        <v>92</v>
      </c>
    </row>
    <row r="4" spans="1:4" x14ac:dyDescent="0.25">
      <c r="A4" t="s">
        <v>82</v>
      </c>
    </row>
    <row r="5" spans="1:4" x14ac:dyDescent="0.25">
      <c r="A5" t="s">
        <v>70</v>
      </c>
      <c r="B5" t="s">
        <v>93</v>
      </c>
    </row>
    <row r="6" spans="1:4" x14ac:dyDescent="0.25">
      <c r="A6" t="s">
        <v>76</v>
      </c>
      <c r="B6">
        <v>19.36</v>
      </c>
      <c r="C6" t="s">
        <v>84</v>
      </c>
    </row>
    <row r="7" spans="1:4" x14ac:dyDescent="0.25">
      <c r="A7" t="s">
        <v>77</v>
      </c>
      <c r="B7">
        <v>1.0900000000000001</v>
      </c>
      <c r="C7" t="s">
        <v>84</v>
      </c>
    </row>
    <row r="8" spans="1:4" x14ac:dyDescent="0.25">
      <c r="A8" t="s">
        <v>78</v>
      </c>
      <c r="B8">
        <v>42.76</v>
      </c>
      <c r="C8" t="s">
        <v>84</v>
      </c>
    </row>
    <row r="10" spans="1:4" x14ac:dyDescent="0.25">
      <c r="A10" t="s">
        <v>94</v>
      </c>
      <c r="B10" t="s">
        <v>86</v>
      </c>
    </row>
    <row r="11" spans="1:4" x14ac:dyDescent="0.25">
      <c r="A11" t="s">
        <v>87</v>
      </c>
    </row>
    <row r="12" spans="1:4" x14ac:dyDescent="0.25">
      <c r="A12" t="s">
        <v>88</v>
      </c>
    </row>
    <row r="15" spans="1:4" x14ac:dyDescent="0.25">
      <c r="A15" t="s">
        <v>95</v>
      </c>
    </row>
    <row r="16" spans="1:4" x14ac:dyDescent="0.25">
      <c r="A16" t="s">
        <v>70</v>
      </c>
      <c r="B16" t="s">
        <v>83</v>
      </c>
      <c r="C16" t="s">
        <v>93</v>
      </c>
      <c r="D16" t="s">
        <v>18</v>
      </c>
    </row>
    <row r="17" spans="1:5" x14ac:dyDescent="0.25">
      <c r="A17" t="s">
        <v>76</v>
      </c>
      <c r="B17">
        <v>57.12</v>
      </c>
      <c r="C17">
        <v>19.36</v>
      </c>
      <c r="D17">
        <v>76.48</v>
      </c>
      <c r="E17" t="s">
        <v>84</v>
      </c>
    </row>
    <row r="18" spans="1:5" x14ac:dyDescent="0.25">
      <c r="A18" t="s">
        <v>77</v>
      </c>
      <c r="B18">
        <v>83.94</v>
      </c>
      <c r="C18">
        <v>1.0900000000000001</v>
      </c>
      <c r="D18">
        <v>85.03</v>
      </c>
      <c r="E18" t="s">
        <v>84</v>
      </c>
    </row>
    <row r="19" spans="1:5" x14ac:dyDescent="0.25">
      <c r="A19" t="s">
        <v>78</v>
      </c>
      <c r="B19">
        <v>72.709999999999994</v>
      </c>
      <c r="C19">
        <v>42.76</v>
      </c>
      <c r="D19">
        <v>115.47</v>
      </c>
      <c r="E19" t="s">
        <v>84</v>
      </c>
    </row>
    <row r="21" spans="1:5" x14ac:dyDescent="0.25">
      <c r="A21" t="s">
        <v>96</v>
      </c>
    </row>
  </sheetData>
  <pageMargins left="0.75" right="0.75" top="1" bottom="1" header="0.4921259845" footer="0.4921259845"/>
  <headerFooter alignWithMargins="0">
    <oddHeader>&amp;A</oddHeader>
    <oddFooter>Seite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A16" sqref="A16"/>
    </sheetView>
  </sheetViews>
  <sheetFormatPr defaultRowHeight="12.5" x14ac:dyDescent="0.25"/>
  <cols>
    <col min="1" max="256" width="10.90625" customWidth="1"/>
  </cols>
  <sheetData>
    <row r="1" spans="1:7" x14ac:dyDescent="0.25">
      <c r="A1" t="s">
        <v>97</v>
      </c>
    </row>
    <row r="3" spans="1:7" x14ac:dyDescent="0.25">
      <c r="A3" t="s">
        <v>98</v>
      </c>
    </row>
    <row r="4" spans="1:7" x14ac:dyDescent="0.25">
      <c r="A4" t="s">
        <v>99</v>
      </c>
    </row>
    <row r="5" spans="1:7" x14ac:dyDescent="0.25">
      <c r="A5" t="s">
        <v>100</v>
      </c>
      <c r="B5">
        <v>0.05</v>
      </c>
      <c r="C5" t="s">
        <v>101</v>
      </c>
      <c r="D5" s="11">
        <v>-0.77</v>
      </c>
      <c r="E5" t="s">
        <v>102</v>
      </c>
      <c r="F5">
        <v>-15.58</v>
      </c>
      <c r="G5" t="s">
        <v>84</v>
      </c>
    </row>
    <row r="6" spans="1:7" x14ac:dyDescent="0.25">
      <c r="A6" t="s">
        <v>103</v>
      </c>
      <c r="B6" s="11">
        <v>-0.11</v>
      </c>
      <c r="C6" t="s">
        <v>101</v>
      </c>
      <c r="D6" s="11">
        <v>-1.25</v>
      </c>
      <c r="E6" t="s">
        <v>102</v>
      </c>
      <c r="F6">
        <v>11.23</v>
      </c>
      <c r="G6" t="s">
        <v>84</v>
      </c>
    </row>
    <row r="8" spans="1:7" x14ac:dyDescent="0.25">
      <c r="A8" t="s">
        <v>104</v>
      </c>
    </row>
    <row r="10" spans="1:7" x14ac:dyDescent="0.25">
      <c r="A10" t="s">
        <v>105</v>
      </c>
    </row>
    <row r="11" spans="1:7" x14ac:dyDescent="0.25">
      <c r="A11" t="s">
        <v>99</v>
      </c>
    </row>
    <row r="12" spans="1:7" x14ac:dyDescent="0.25">
      <c r="A12" t="s">
        <v>100</v>
      </c>
      <c r="B12">
        <v>20.21</v>
      </c>
      <c r="C12" t="s">
        <v>106</v>
      </c>
      <c r="D12">
        <v>-15.58</v>
      </c>
      <c r="E12" t="s">
        <v>84</v>
      </c>
      <c r="F12">
        <v>-0.77</v>
      </c>
      <c r="G12" t="s">
        <v>102</v>
      </c>
    </row>
    <row r="13" spans="1:7" x14ac:dyDescent="0.25">
      <c r="A13" t="s">
        <v>103</v>
      </c>
      <c r="B13">
        <v>-8.9700000000000006</v>
      </c>
      <c r="C13" t="s">
        <v>106</v>
      </c>
      <c r="D13">
        <v>11.23</v>
      </c>
      <c r="E13" t="s">
        <v>84</v>
      </c>
      <c r="F13">
        <v>-1.25</v>
      </c>
      <c r="G13" t="s">
        <v>102</v>
      </c>
    </row>
  </sheetData>
  <pageMargins left="0.75" right="0.75" top="1" bottom="1" header="0.4921259845" footer="0.4921259845"/>
  <headerFooter alignWithMargins="0">
    <oddHeader>&amp;A</oddHeader>
    <oddFooter>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</vt:lpstr>
      <vt:lpstr>result1</vt:lpstr>
      <vt:lpstr>result2</vt:lpstr>
      <vt:lpstr>tradeoff</vt:lpstr>
    </vt:vector>
  </TitlesOfParts>
  <Company>Öko-Institut Büro Darmstadt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Uwe R. Fritsche</dc:creator>
  <cp:lastModifiedBy>Carina Negreanu</cp:lastModifiedBy>
  <dcterms:created xsi:type="dcterms:W3CDTF">1998-12-01T12:15:47Z</dcterms:created>
  <dcterms:modified xsi:type="dcterms:W3CDTF">2020-01-27T11:52:58Z</dcterms:modified>
</cp:coreProperties>
</file>