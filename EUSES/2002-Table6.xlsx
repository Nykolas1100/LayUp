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BB5A904-53FE-4DD9-9213-B53F5929363B}" xr6:coauthVersionLast="45" xr6:coauthVersionMax="45" xr10:uidLastSave="{00000000-0000-0000-0000-000000000000}"/>
  <bookViews>
    <workbookView xWindow="3420" yWindow="3420" windowWidth="28800" windowHeight="15460" tabRatio="372" activeTab="1"/>
  </bookViews>
  <sheets>
    <sheet name="Source Data" sheetId="7" r:id="rId1"/>
    <sheet name="Table 6" sheetId="12" r:id="rId2"/>
  </sheets>
  <externalReferences>
    <externalReference r:id="rId3"/>
  </externalReferences>
  <definedNames>
    <definedName name="\c">#REF!</definedName>
    <definedName name="\p">#REF!</definedName>
    <definedName name="\q">#REF!</definedName>
    <definedName name="\s">#REF!</definedName>
    <definedName name="\t">#REF!</definedName>
    <definedName name="_Key1" hidden="1">#REF!</definedName>
    <definedName name="_Order1" hidden="1">255</definedName>
    <definedName name="_Sort" hidden="1">#REF!</definedName>
    <definedName name="_xlnm.Print_Area" localSheetId="1">'Table 6'!$A$1:$L$24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3" i="7" l="1"/>
  <c r="B13" i="7"/>
  <c r="B6" i="7"/>
  <c r="B17" i="7"/>
  <c r="F13" i="12"/>
  <c r="K13" i="12" s="1"/>
  <c r="D13" i="12"/>
  <c r="D12" i="12"/>
  <c r="K12" i="12"/>
  <c r="D11" i="12"/>
  <c r="K11" i="12" s="1"/>
  <c r="B10" i="12"/>
  <c r="K10" i="12" s="1"/>
  <c r="C10" i="12"/>
  <c r="L10" i="12"/>
  <c r="K9" i="12"/>
  <c r="K8" i="12"/>
  <c r="K7" i="12"/>
  <c r="D6" i="12"/>
  <c r="K6" i="12" s="1"/>
  <c r="G6" i="12"/>
  <c r="G5" i="12"/>
  <c r="D3" i="12"/>
  <c r="G3" i="12"/>
  <c r="K3" i="12"/>
</calcChain>
</file>

<file path=xl/sharedStrings.xml><?xml version="1.0" encoding="utf-8"?>
<sst xmlns="http://schemas.openxmlformats.org/spreadsheetml/2006/main" count="54" uniqueCount="53">
  <si>
    <t>Legislative</t>
  </si>
  <si>
    <t>Judicial</t>
  </si>
  <si>
    <t>General Control</t>
  </si>
  <si>
    <t>Commerce &amp; Ind./Exam. &amp; Lic.</t>
  </si>
  <si>
    <t>Agric., Energy &amp; Nat. Res.</t>
  </si>
  <si>
    <t>Health &amp; Human Services</t>
  </si>
  <si>
    <t>Public Safety</t>
  </si>
  <si>
    <t>Other Education</t>
  </si>
  <si>
    <t>Higher Education</t>
  </si>
  <si>
    <t>Public School Support</t>
  </si>
  <si>
    <t>Other Recurring Appropriations (2), (3)</t>
  </si>
  <si>
    <t xml:space="preserve">Legislative, Judicial, General Control, Compensatin Package, Agriculture, Commerce &amp; Industry, other </t>
  </si>
  <si>
    <t>Public School Support &amp; Other Education</t>
  </si>
  <si>
    <t>Figure 1</t>
  </si>
  <si>
    <t>Table 1:</t>
  </si>
  <si>
    <t>General appropriation</t>
  </si>
  <si>
    <t>Public Schools</t>
  </si>
  <si>
    <t>other education</t>
  </si>
  <si>
    <t>Table 2:</t>
  </si>
  <si>
    <t>Table 3:</t>
  </si>
  <si>
    <t>None</t>
  </si>
  <si>
    <t>School Year</t>
  </si>
  <si>
    <t>Grades 1-12 Units</t>
  </si>
  <si>
    <t>Special Education Units</t>
  </si>
  <si>
    <t>T &amp; E Units</t>
  </si>
  <si>
    <t>Size Adjustment Units</t>
  </si>
  <si>
    <t>Enrollment Growth Units</t>
  </si>
  <si>
    <t>Hold-Harmless Units</t>
  </si>
  <si>
    <t>Total Program Units</t>
  </si>
  <si>
    <t>Student Membership</t>
  </si>
  <si>
    <t xml:space="preserve">      </t>
  </si>
  <si>
    <t>1990-1991 Actual</t>
  </si>
  <si>
    <t>1991-1992 Actual</t>
  </si>
  <si>
    <t>1992-1993 Actual</t>
  </si>
  <si>
    <t>1993-1994 Actual</t>
  </si>
  <si>
    <t>1994-1995 Actual</t>
  </si>
  <si>
    <t>1995-1996 Actual</t>
  </si>
  <si>
    <t>1996-1997 Actual</t>
  </si>
  <si>
    <t>1998-1999 Actual</t>
  </si>
  <si>
    <r>
      <t>ECE Units</t>
    </r>
    <r>
      <rPr>
        <b/>
        <vertAlign val="superscript"/>
        <sz val="14"/>
        <rFont val="Times New Roman"/>
        <family val="1"/>
      </rPr>
      <t xml:space="preserve"> 1</t>
    </r>
  </si>
  <si>
    <r>
      <t xml:space="preserve">Bilingual Education Units </t>
    </r>
    <r>
      <rPr>
        <b/>
        <vertAlign val="superscript"/>
        <sz val="14"/>
        <rFont val="Times New Roman"/>
        <family val="1"/>
      </rPr>
      <t>2</t>
    </r>
  </si>
  <si>
    <r>
      <t xml:space="preserve">1999-2000 </t>
    </r>
    <r>
      <rPr>
        <b/>
        <vertAlign val="superscript"/>
        <sz val="14"/>
        <rFont val="Times New Roman"/>
        <family val="1"/>
      </rPr>
      <t>3</t>
    </r>
  </si>
  <si>
    <t xml:space="preserve">   Beginning in FY 01, phase-in of full-day kindergarten over five years.</t>
  </si>
  <si>
    <r>
      <t>1</t>
    </r>
    <r>
      <rPr>
        <sz val="12"/>
        <rFont val="Times New Roman"/>
        <family val="1"/>
      </rPr>
      <t xml:space="preserve"> ECE began in 1976.  Beginning in FY 98, ECE includes 3- and 4-year-old developmentally delayed children due to 1997 funding formula changes.</t>
    </r>
  </si>
  <si>
    <r>
      <t xml:space="preserve">2000-2001 </t>
    </r>
    <r>
      <rPr>
        <b/>
        <vertAlign val="superscript"/>
        <sz val="14"/>
        <rFont val="Times New Roman"/>
        <family val="1"/>
      </rPr>
      <t>4</t>
    </r>
  </si>
  <si>
    <t>2001-2002</t>
  </si>
  <si>
    <t>1997-1998 Actual</t>
  </si>
  <si>
    <r>
      <t>2</t>
    </r>
    <r>
      <rPr>
        <sz val="12"/>
        <rFont val="Times New Roman"/>
        <family val="1"/>
      </rPr>
      <t xml:space="preserve"> Bilingual education programs were initially implemented in grades K–6.  These programs were expanded to include grades 7–9 in 1989-1990 and grades 11–12 in 1990-1991.  </t>
    </r>
  </si>
  <si>
    <t xml:space="preserve">   In addition, the program cost differential was incrementally increased from 0.3 to 0.5 from 1990-1991 through 1994-1995.</t>
  </si>
  <si>
    <t xml:space="preserve">  from .50 to 1.0.  </t>
  </si>
  <si>
    <r>
      <t>3</t>
    </r>
    <r>
      <rPr>
        <sz val="12"/>
        <rFont val="Times New Roman"/>
        <family val="1"/>
      </rPr>
      <t xml:space="preserve"> In FY 00, based on prior year 40th day basic membership and prior year December 1 special education membership; adjustment for FY 00 of the enrollment growth factor </t>
    </r>
  </si>
  <si>
    <r>
      <t>4</t>
    </r>
    <r>
      <rPr>
        <sz val="12"/>
        <rFont val="Times New Roman"/>
        <family val="1"/>
      </rPr>
      <t xml:space="preserve"> Beginning in FY 01, based on average of prior year membership of 40th, 80th, and 120th school days plus full-day kindergarten and start-up charter schools.</t>
    </r>
  </si>
  <si>
    <t>At-Risk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</si>
</sst>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8" formatCode="_(* #,##0_);_(* \(#,##0\);_(* &quot;-&quot;??_);_(@_)"/>
    <numFmt numFmtId="181" formatCode="0.0%"/>
  </numFmts>
  <fonts count="10">
    <font>
      <sz val="10"/>
      <name val="Courier"/>
    </font>
    <font>
      <sz val="10"/>
      <name val="Arial"/>
    </font>
    <font>
      <sz val="12"/>
      <name val="CG Times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sz val="14"/>
      <name val="Times New Roman"/>
      <family val="1"/>
    </font>
    <font>
      <sz val="12"/>
      <color indexed="10"/>
      <name val="Times New Roman"/>
      <family val="1"/>
    </font>
    <font>
      <vertAlign val="superscript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1" xfId="0" applyBorder="1" applyAlignment="1">
      <alignment horizontal="left" wrapText="1"/>
    </xf>
    <xf numFmtId="3" fontId="0" fillId="0" borderId="2" xfId="0" applyNumberFormat="1" applyBorder="1" applyAlignment="1">
      <alignment horizontal="right" wrapText="1"/>
    </xf>
    <xf numFmtId="3" fontId="0" fillId="0" borderId="0" xfId="0" applyNumberFormat="1" applyBorder="1" applyAlignment="1">
      <alignment horizontal="right" wrapText="1"/>
    </xf>
    <xf numFmtId="0" fontId="0" fillId="0" borderId="3" xfId="0" applyBorder="1" applyAlignment="1">
      <alignment horizontal="left" wrapText="1"/>
    </xf>
    <xf numFmtId="3" fontId="0" fillId="0" borderId="4" xfId="0" applyNumberFormat="1" applyBorder="1" applyAlignment="1">
      <alignment horizontal="right" wrapText="1"/>
    </xf>
    <xf numFmtId="0" fontId="0" fillId="0" borderId="5" xfId="0" applyBorder="1" applyAlignment="1">
      <alignment horizontal="left" wrapText="1"/>
    </xf>
    <xf numFmtId="3" fontId="0" fillId="0" borderId="6" xfId="0" applyNumberFormat="1" applyBorder="1" applyAlignment="1">
      <alignment horizontal="right" wrapText="1"/>
    </xf>
    <xf numFmtId="0" fontId="0" fillId="0" borderId="7" xfId="0" applyBorder="1" applyAlignment="1">
      <alignment horizontal="left" wrapText="1"/>
    </xf>
    <xf numFmtId="3" fontId="0" fillId="0" borderId="8" xfId="0" applyNumberFormat="1" applyBorder="1" applyAlignment="1">
      <alignment horizontal="right" wrapText="1"/>
    </xf>
    <xf numFmtId="0" fontId="0" fillId="0" borderId="9" xfId="0" applyBorder="1" applyAlignment="1">
      <alignment horizontal="left" wrapText="1"/>
    </xf>
    <xf numFmtId="3" fontId="0" fillId="0" borderId="10" xfId="0" applyNumberFormat="1" applyBorder="1" applyAlignment="1">
      <alignment horizontal="right" wrapText="1"/>
    </xf>
    <xf numFmtId="0" fontId="0" fillId="0" borderId="11" xfId="0" applyBorder="1"/>
    <xf numFmtId="0" fontId="0" fillId="0" borderId="12" xfId="0" applyBorder="1"/>
    <xf numFmtId="178" fontId="2" fillId="0" borderId="12" xfId="1" applyNumberFormat="1" applyFont="1" applyBorder="1" applyAlignment="1">
      <alignment horizontal="center"/>
    </xf>
    <xf numFmtId="181" fontId="0" fillId="0" borderId="0" xfId="2" applyNumberFormat="1" applyFont="1"/>
    <xf numFmtId="0" fontId="0" fillId="0" borderId="5" xfId="0" applyBorder="1"/>
    <xf numFmtId="0" fontId="0" fillId="0" borderId="9" xfId="0" applyBorder="1"/>
    <xf numFmtId="178" fontId="2" fillId="0" borderId="6" xfId="1" applyNumberFormat="1" applyFont="1" applyBorder="1" applyAlignment="1">
      <alignment horizontal="center"/>
    </xf>
    <xf numFmtId="178" fontId="2" fillId="0" borderId="1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4" fillId="0" borderId="0" xfId="0" applyNumberFormat="1" applyFont="1"/>
    <xf numFmtId="0" fontId="4" fillId="0" borderId="0" xfId="0" applyFont="1"/>
    <xf numFmtId="3" fontId="4" fillId="0" borderId="0" xfId="0" applyNumberFormat="1" applyFont="1"/>
    <xf numFmtId="0" fontId="5" fillId="0" borderId="13" xfId="0" applyFont="1" applyBorder="1" applyAlignment="1" applyProtection="1">
      <alignment wrapText="1"/>
      <protection locked="0"/>
    </xf>
    <xf numFmtId="3" fontId="5" fillId="0" borderId="14" xfId="0" applyNumberFormat="1" applyFont="1" applyBorder="1" applyAlignment="1" applyProtection="1">
      <alignment horizontal="center" wrapText="1"/>
      <protection locked="0"/>
    </xf>
    <xf numFmtId="0" fontId="5" fillId="0" borderId="14" xfId="0" applyNumberFormat="1" applyFont="1" applyBorder="1" applyAlignment="1">
      <alignment horizontal="center" wrapText="1"/>
    </xf>
    <xf numFmtId="3" fontId="5" fillId="0" borderId="14" xfId="0" applyNumberFormat="1" applyFont="1" applyBorder="1" applyAlignment="1">
      <alignment horizontal="center" wrapText="1"/>
    </xf>
    <xf numFmtId="3" fontId="5" fillId="0" borderId="15" xfId="0" applyNumberFormat="1" applyFont="1" applyBorder="1" applyAlignment="1">
      <alignment horizontal="center" wrapText="1"/>
    </xf>
    <xf numFmtId="49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16" xfId="0" applyFont="1" applyBorder="1" applyAlignment="1"/>
    <xf numFmtId="3" fontId="7" fillId="0" borderId="0" xfId="0" applyNumberFormat="1" applyFont="1" applyBorder="1" applyAlignment="1">
      <alignment horizontal="center"/>
    </xf>
    <xf numFmtId="3" fontId="7" fillId="0" borderId="4" xfId="0" applyNumberFormat="1" applyFont="1" applyBorder="1" applyAlignment="1">
      <alignment horizontal="center"/>
    </xf>
    <xf numFmtId="49" fontId="4" fillId="0" borderId="0" xfId="0" applyNumberFormat="1" applyFont="1" applyBorder="1"/>
    <xf numFmtId="0" fontId="4" fillId="0" borderId="0" xfId="0" applyFont="1" applyBorder="1"/>
    <xf numFmtId="0" fontId="4" fillId="0" borderId="17" xfId="0" applyFont="1" applyBorder="1"/>
    <xf numFmtId="3" fontId="7" fillId="0" borderId="0" xfId="0" quotePrefix="1" applyNumberFormat="1" applyFont="1" applyBorder="1" applyAlignment="1">
      <alignment horizontal="center"/>
    </xf>
    <xf numFmtId="49" fontId="4" fillId="0" borderId="0" xfId="0" applyNumberFormat="1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7" fillId="0" borderId="16" xfId="0" quotePrefix="1" applyFont="1" applyBorder="1" applyAlignment="1"/>
    <xf numFmtId="49" fontId="4" fillId="0" borderId="0" xfId="0" applyNumberFormat="1" applyFont="1" applyBorder="1" applyAlignment="1"/>
    <xf numFmtId="0" fontId="4" fillId="0" borderId="0" xfId="0" applyFont="1" applyBorder="1" applyAlignment="1"/>
    <xf numFmtId="0" fontId="7" fillId="0" borderId="18" xfId="0" applyFont="1" applyBorder="1" applyAlignment="1"/>
    <xf numFmtId="3" fontId="7" fillId="0" borderId="17" xfId="0" applyNumberFormat="1" applyFont="1" applyBorder="1" applyAlignment="1">
      <alignment horizontal="center"/>
    </xf>
    <xf numFmtId="3" fontId="8" fillId="0" borderId="0" xfId="0" applyNumberFormat="1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3" fontId="3" fillId="0" borderId="0" xfId="0" applyNumberFormat="1" applyFont="1"/>
    <xf numFmtId="3" fontId="7" fillId="0" borderId="2" xfId="0" applyNumberFormat="1" applyFont="1" applyBorder="1" applyAlignment="1">
      <alignment horizontal="center"/>
    </xf>
    <xf numFmtId="0" fontId="9" fillId="0" borderId="0" xfId="0" applyFont="1" applyBorder="1" applyAlignment="1"/>
    <xf numFmtId="3" fontId="4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3" fontId="4" fillId="0" borderId="0" xfId="0" applyNumberFormat="1" applyFont="1" applyBorder="1"/>
    <xf numFmtId="3" fontId="4" fillId="0" borderId="0" xfId="0" applyNumberFormat="1" applyFont="1" applyBorder="1" applyAlignment="1">
      <alignment vertical="top"/>
    </xf>
    <xf numFmtId="3" fontId="3" fillId="0" borderId="0" xfId="0" applyNumberFormat="1" applyFont="1" applyBorder="1"/>
    <xf numFmtId="0" fontId="9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7" fillId="0" borderId="19" xfId="0" applyFont="1" applyBorder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EG-REPT/2000Rept/OPBD99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99-2000"/>
    </sheetNames>
    <sheetDataSet>
      <sheetData sheetId="0">
        <row r="92">
          <cell r="AA92">
            <v>19907.28000000001</v>
          </cell>
          <cell r="AF92">
            <v>357737.18999999994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7"/>
  <sheetViews>
    <sheetView topLeftCell="A14" workbookViewId="0">
      <selection activeCell="E23" sqref="E23"/>
    </sheetView>
  </sheetViews>
  <sheetFormatPr defaultRowHeight="12.5" outlineLevelRow="1"/>
  <cols>
    <col min="1" max="1" width="18.25" customWidth="1"/>
    <col min="2" max="2" width="13" bestFit="1" customWidth="1"/>
  </cols>
  <sheetData>
    <row r="3" spans="1:3" ht="13" thickBot="1">
      <c r="A3" s="20" t="s">
        <v>13</v>
      </c>
    </row>
    <row r="4" spans="1:3" ht="25" hidden="1" outlineLevel="1">
      <c r="A4" s="1" t="s">
        <v>9</v>
      </c>
      <c r="B4" s="2">
        <v>1543036</v>
      </c>
    </row>
    <row r="5" spans="1:3" hidden="1" outlineLevel="1">
      <c r="A5" s="4" t="s">
        <v>7</v>
      </c>
      <c r="B5" s="5">
        <v>19997</v>
      </c>
      <c r="C5" s="3"/>
    </row>
    <row r="6" spans="1:3" ht="37.5" collapsed="1">
      <c r="A6" s="6" t="s">
        <v>12</v>
      </c>
      <c r="B6" s="7">
        <f>SUM(B4:B5)</f>
        <v>1563033</v>
      </c>
      <c r="C6" s="3"/>
    </row>
    <row r="7" spans="1:3" hidden="1" outlineLevel="1">
      <c r="A7" s="8" t="s">
        <v>0</v>
      </c>
      <c r="B7" s="9">
        <v>12058</v>
      </c>
    </row>
    <row r="8" spans="1:3" hidden="1" outlineLevel="1">
      <c r="A8" s="8" t="s">
        <v>1</v>
      </c>
      <c r="B8" s="9">
        <v>109216</v>
      </c>
    </row>
    <row r="9" spans="1:3" hidden="1" outlineLevel="1">
      <c r="A9" s="8" t="s">
        <v>2</v>
      </c>
      <c r="B9" s="9">
        <v>120119</v>
      </c>
    </row>
    <row r="10" spans="1:3" ht="25" hidden="1" outlineLevel="1">
      <c r="A10" s="8" t="s">
        <v>3</v>
      </c>
      <c r="B10" s="9">
        <v>40559</v>
      </c>
    </row>
    <row r="11" spans="1:3" ht="25" hidden="1" outlineLevel="1">
      <c r="A11" s="8" t="s">
        <v>4</v>
      </c>
      <c r="B11" s="9">
        <v>51614</v>
      </c>
    </row>
    <row r="12" spans="1:3" ht="37.5" hidden="1" outlineLevel="1">
      <c r="A12" s="8" t="s">
        <v>10</v>
      </c>
      <c r="B12" s="9">
        <v>1322</v>
      </c>
    </row>
    <row r="13" spans="1:3" ht="100" collapsed="1">
      <c r="A13" s="10" t="s">
        <v>11</v>
      </c>
      <c r="B13" s="11">
        <f>SUM(B7:B12)</f>
        <v>334888</v>
      </c>
    </row>
    <row r="14" spans="1:3">
      <c r="A14" s="8" t="s">
        <v>8</v>
      </c>
      <c r="B14" s="9">
        <v>541197</v>
      </c>
    </row>
    <row r="15" spans="1:3" ht="25">
      <c r="A15" s="8" t="s">
        <v>5</v>
      </c>
      <c r="B15" s="9">
        <v>643531</v>
      </c>
    </row>
    <row r="16" spans="1:3">
      <c r="A16" s="8" t="s">
        <v>6</v>
      </c>
      <c r="B16" s="9">
        <v>215964</v>
      </c>
    </row>
    <row r="17" spans="1:2" ht="13" thickBot="1">
      <c r="A17" s="12"/>
      <c r="B17" s="13">
        <f>+B16+B15+B14+B13+B6</f>
        <v>3298613</v>
      </c>
    </row>
    <row r="19" spans="1:2" ht="13" thickBot="1">
      <c r="A19" s="20" t="s">
        <v>14</v>
      </c>
    </row>
    <row r="20" spans="1:2" ht="15.5">
      <c r="A20" s="16" t="s">
        <v>15</v>
      </c>
      <c r="B20" s="18">
        <v>3298613</v>
      </c>
    </row>
    <row r="21" spans="1:2" ht="15.5">
      <c r="A21" s="17" t="s">
        <v>16</v>
      </c>
      <c r="B21" s="19">
        <v>1543036</v>
      </c>
    </row>
    <row r="22" spans="1:2" ht="16" thickBot="1">
      <c r="A22" s="12" t="s">
        <v>17</v>
      </c>
      <c r="B22" s="14">
        <v>19997</v>
      </c>
    </row>
    <row r="23" spans="1:2">
      <c r="B23" s="15">
        <f>+(B21+B22)/B20</f>
        <v>0.47384552234530086</v>
      </c>
    </row>
    <row r="25" spans="1:2">
      <c r="A25" s="20" t="s">
        <v>18</v>
      </c>
      <c r="B25" t="s">
        <v>20</v>
      </c>
    </row>
    <row r="26" spans="1:2">
      <c r="A26" s="20" t="s">
        <v>19</v>
      </c>
      <c r="B26" t="s">
        <v>20</v>
      </c>
    </row>
    <row r="27" spans="1:2">
      <c r="A27" s="20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5"/>
  <sheetViews>
    <sheetView tabSelected="1" zoomScaleNormal="100" workbookViewId="0"/>
  </sheetViews>
  <sheetFormatPr defaultColWidth="11.83203125" defaultRowHeight="15.5"/>
  <cols>
    <col min="1" max="1" width="25.58203125" style="35" customWidth="1"/>
    <col min="2" max="2" width="14.83203125" style="53" customWidth="1"/>
    <col min="3" max="3" width="16.33203125" style="23" customWidth="1"/>
    <col min="4" max="4" width="13.5" style="23" customWidth="1"/>
    <col min="5" max="5" width="13.33203125" style="23" customWidth="1"/>
    <col min="6" max="6" width="7.83203125" style="23" customWidth="1"/>
    <col min="7" max="7" width="14.75" style="23" customWidth="1"/>
    <col min="8" max="8" width="9.83203125" style="23" customWidth="1"/>
    <col min="9" max="9" width="13.5" style="23" customWidth="1"/>
    <col min="10" max="10" width="14.08203125" style="23" customWidth="1"/>
    <col min="11" max="11" width="10.58203125" style="23" customWidth="1"/>
    <col min="12" max="12" width="16.58203125" style="23" customWidth="1"/>
    <col min="13" max="13" width="3.58203125" style="21" customWidth="1"/>
    <col min="14" max="16384" width="11.83203125" style="22"/>
  </cols>
  <sheetData>
    <row r="1" spans="1:64" s="30" customFormat="1" ht="65.25" customHeight="1" thickBot="1">
      <c r="A1" s="24" t="s">
        <v>21</v>
      </c>
      <c r="B1" s="25" t="s">
        <v>39</v>
      </c>
      <c r="C1" s="25" t="s">
        <v>22</v>
      </c>
      <c r="D1" s="25" t="s">
        <v>23</v>
      </c>
      <c r="E1" s="25" t="s">
        <v>40</v>
      </c>
      <c r="F1" s="25" t="s">
        <v>24</v>
      </c>
      <c r="G1" s="25" t="s">
        <v>25</v>
      </c>
      <c r="H1" s="25" t="s">
        <v>52</v>
      </c>
      <c r="I1" s="25" t="s">
        <v>26</v>
      </c>
      <c r="J1" s="26" t="s">
        <v>27</v>
      </c>
      <c r="K1" s="27" t="s">
        <v>28</v>
      </c>
      <c r="L1" s="28" t="s">
        <v>29</v>
      </c>
      <c r="M1" s="29"/>
    </row>
    <row r="2" spans="1:64" ht="24" customHeight="1">
      <c r="A2" s="60" t="s">
        <v>31</v>
      </c>
      <c r="B2" s="32">
        <v>16761.599999999999</v>
      </c>
      <c r="C2" s="32">
        <v>296813.59999999998</v>
      </c>
      <c r="D2" s="32">
        <v>80959</v>
      </c>
      <c r="E2" s="32">
        <v>9566.25</v>
      </c>
      <c r="F2" s="32">
        <v>53822.087</v>
      </c>
      <c r="G2" s="32">
        <v>18356.787</v>
      </c>
      <c r="H2" s="32"/>
      <c r="I2" s="32">
        <v>1658.625</v>
      </c>
      <c r="J2" s="32">
        <v>224.84399999999999</v>
      </c>
      <c r="K2" s="32">
        <v>478164</v>
      </c>
      <c r="L2" s="33">
        <v>290245</v>
      </c>
      <c r="M2" s="34"/>
    </row>
    <row r="3" spans="1:64" s="36" customFormat="1" ht="24" customHeight="1">
      <c r="A3" s="31" t="s">
        <v>32</v>
      </c>
      <c r="B3" s="32">
        <v>16735.68</v>
      </c>
      <c r="C3" s="32">
        <v>308177.18</v>
      </c>
      <c r="D3" s="32">
        <f>45784.6+22432.2+12929.4+5593</f>
        <v>86739.199999999997</v>
      </c>
      <c r="E3" s="32">
        <v>11302.075999999999</v>
      </c>
      <c r="F3" s="32">
        <v>55287.786</v>
      </c>
      <c r="G3" s="32">
        <f>18143.36+4850.84</f>
        <v>22994.2</v>
      </c>
      <c r="H3" s="32"/>
      <c r="I3" s="32">
        <v>3713.5</v>
      </c>
      <c r="J3" s="32">
        <v>78.111999999999995</v>
      </c>
      <c r="K3" s="32">
        <f>SUM(B3:J3)</f>
        <v>505027.73400000005</v>
      </c>
      <c r="L3" s="33">
        <v>297498</v>
      </c>
      <c r="M3" s="34"/>
      <c r="N3" s="22"/>
      <c r="O3" s="22"/>
      <c r="P3" s="22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</row>
    <row r="4" spans="1:64" ht="24" customHeight="1">
      <c r="A4" s="31" t="s">
        <v>33</v>
      </c>
      <c r="B4" s="32">
        <v>17043.84</v>
      </c>
      <c r="C4" s="32">
        <v>313723.03000000003</v>
      </c>
      <c r="D4" s="32">
        <v>92906.6</v>
      </c>
      <c r="E4" s="32">
        <v>12230.906000000001</v>
      </c>
      <c r="F4" s="32">
        <v>55443.654000000002</v>
      </c>
      <c r="G4" s="32">
        <v>23383.62</v>
      </c>
      <c r="H4" s="32"/>
      <c r="I4" s="32">
        <v>3335.25</v>
      </c>
      <c r="J4" s="32">
        <v>239.19300000000001</v>
      </c>
      <c r="K4" s="32">
        <v>518307</v>
      </c>
      <c r="L4" s="33">
        <v>303945</v>
      </c>
      <c r="M4" s="34"/>
    </row>
    <row r="5" spans="1:64" ht="24" customHeight="1">
      <c r="A5" s="31" t="s">
        <v>34</v>
      </c>
      <c r="B5" s="32">
        <v>17014.3</v>
      </c>
      <c r="C5" s="32">
        <v>321747.40000000002</v>
      </c>
      <c r="D5" s="32">
        <v>98828.2</v>
      </c>
      <c r="E5" s="32">
        <v>13626.460999999999</v>
      </c>
      <c r="F5" s="32">
        <v>56672.6</v>
      </c>
      <c r="G5" s="32">
        <f>18319.4+5712.1</f>
        <v>24031.5</v>
      </c>
      <c r="H5" s="32"/>
      <c r="I5" s="32">
        <v>3017</v>
      </c>
      <c r="J5" s="32">
        <v>14.3</v>
      </c>
      <c r="K5" s="32">
        <v>534951</v>
      </c>
      <c r="L5" s="33">
        <v>309866.5</v>
      </c>
      <c r="M5" s="34"/>
    </row>
    <row r="6" spans="1:64" s="39" customFormat="1" ht="24" customHeight="1">
      <c r="A6" s="31" t="s">
        <v>35</v>
      </c>
      <c r="B6" s="32">
        <v>17300.2</v>
      </c>
      <c r="C6" s="32">
        <v>327685.3</v>
      </c>
      <c r="D6" s="32">
        <f>55642.8+10010+25444.8+16754.4</f>
        <v>107852</v>
      </c>
      <c r="E6" s="32">
        <v>15243.8</v>
      </c>
      <c r="F6" s="32">
        <v>56826.5</v>
      </c>
      <c r="G6" s="32">
        <f>24048.2+1657.1</f>
        <v>25705.3</v>
      </c>
      <c r="H6" s="37"/>
      <c r="I6" s="32">
        <v>2103</v>
      </c>
      <c r="J6" s="32">
        <v>52.9</v>
      </c>
      <c r="K6" s="32">
        <f t="shared" ref="K6:K11" si="0">SUM(B6:J6)</f>
        <v>552769.00000000012</v>
      </c>
      <c r="L6" s="33">
        <v>313952</v>
      </c>
      <c r="M6" s="38"/>
    </row>
    <row r="7" spans="1:64" s="39" customFormat="1" ht="24" customHeight="1">
      <c r="A7" s="31" t="s">
        <v>36</v>
      </c>
      <c r="B7" s="32">
        <v>17487</v>
      </c>
      <c r="C7" s="32">
        <v>329929</v>
      </c>
      <c r="D7" s="32">
        <v>118073</v>
      </c>
      <c r="E7" s="32">
        <v>15995</v>
      </c>
      <c r="F7" s="32">
        <v>55623</v>
      </c>
      <c r="G7" s="32">
        <v>24526</v>
      </c>
      <c r="H7" s="32"/>
      <c r="I7" s="32">
        <v>1735</v>
      </c>
      <c r="J7" s="32">
        <v>161</v>
      </c>
      <c r="K7" s="32">
        <f t="shared" si="0"/>
        <v>563529</v>
      </c>
      <c r="L7" s="33">
        <v>317431</v>
      </c>
      <c r="M7" s="38"/>
    </row>
    <row r="8" spans="1:64" s="39" customFormat="1" ht="24" customHeight="1">
      <c r="A8" s="40" t="s">
        <v>37</v>
      </c>
      <c r="B8" s="32">
        <v>17477</v>
      </c>
      <c r="C8" s="32">
        <v>330799</v>
      </c>
      <c r="D8" s="32">
        <v>124688</v>
      </c>
      <c r="E8" s="32">
        <v>16181</v>
      </c>
      <c r="F8" s="32">
        <v>54781</v>
      </c>
      <c r="G8" s="32">
        <v>24693</v>
      </c>
      <c r="H8" s="32"/>
      <c r="I8" s="32">
        <v>1649</v>
      </c>
      <c r="J8" s="32">
        <v>164</v>
      </c>
      <c r="K8" s="32">
        <f t="shared" si="0"/>
        <v>570432</v>
      </c>
      <c r="L8" s="33">
        <v>319391</v>
      </c>
      <c r="M8" s="38"/>
    </row>
    <row r="9" spans="1:64" s="42" customFormat="1" ht="24" customHeight="1">
      <c r="A9" s="31" t="s">
        <v>46</v>
      </c>
      <c r="B9" s="32">
        <v>20214.72</v>
      </c>
      <c r="C9" s="32">
        <v>358872.33500000002</v>
      </c>
      <c r="D9" s="32">
        <v>105346</v>
      </c>
      <c r="E9" s="32">
        <v>16382.754999999999</v>
      </c>
      <c r="F9" s="32">
        <v>46699.184999999998</v>
      </c>
      <c r="G9" s="32">
        <v>18375.134999999998</v>
      </c>
      <c r="H9" s="32">
        <v>23641.572</v>
      </c>
      <c r="I9" s="32">
        <v>1724.75</v>
      </c>
      <c r="J9" s="32">
        <v>141.136</v>
      </c>
      <c r="K9" s="32">
        <f t="shared" si="0"/>
        <v>591397.58800000022</v>
      </c>
      <c r="L9" s="33">
        <v>317777</v>
      </c>
      <c r="M9" s="41"/>
    </row>
    <row r="10" spans="1:64" s="35" customFormat="1" ht="24" customHeight="1">
      <c r="A10" s="31" t="s">
        <v>38</v>
      </c>
      <c r="B10" s="32">
        <f>+'[1]1999-2000'!$AA$92</f>
        <v>19907.28000000001</v>
      </c>
      <c r="C10" s="32">
        <f>+'[1]1999-2000'!$AF$92</f>
        <v>357737.18999999994</v>
      </c>
      <c r="D10" s="32">
        <v>112101</v>
      </c>
      <c r="E10" s="32">
        <v>15773</v>
      </c>
      <c r="F10" s="32">
        <v>46751</v>
      </c>
      <c r="G10" s="32">
        <v>18393</v>
      </c>
      <c r="H10" s="32">
        <v>23575</v>
      </c>
      <c r="I10" s="32">
        <v>914</v>
      </c>
      <c r="J10" s="32">
        <v>217</v>
      </c>
      <c r="K10" s="32">
        <f t="shared" si="0"/>
        <v>595368.47</v>
      </c>
      <c r="L10" s="33" t="e">
        <f>+#REF!</f>
        <v>#REF!</v>
      </c>
      <c r="M10" s="34"/>
    </row>
    <row r="11" spans="1:64" s="35" customFormat="1" ht="24" customHeight="1">
      <c r="A11" s="31" t="s">
        <v>41</v>
      </c>
      <c r="B11" s="32">
        <v>19914.48</v>
      </c>
      <c r="C11" s="32">
        <v>357832.02</v>
      </c>
      <c r="D11" s="32">
        <f>23494.8+38303+7650+42659.5</f>
        <v>112107.3</v>
      </c>
      <c r="E11" s="32">
        <v>15777.4</v>
      </c>
      <c r="F11" s="32">
        <v>47235.794000000002</v>
      </c>
      <c r="G11" s="32">
        <v>18471.696</v>
      </c>
      <c r="H11" s="32">
        <v>23160.595000000001</v>
      </c>
      <c r="I11" s="32">
        <v>880.5</v>
      </c>
      <c r="J11" s="32">
        <v>165.46899999999999</v>
      </c>
      <c r="K11" s="32">
        <f t="shared" si="0"/>
        <v>595545.25400000007</v>
      </c>
      <c r="L11" s="33">
        <v>316633.5</v>
      </c>
      <c r="M11" s="34"/>
    </row>
    <row r="12" spans="1:64" s="35" customFormat="1" ht="24" customHeight="1">
      <c r="A12" s="31" t="s">
        <v>44</v>
      </c>
      <c r="B12" s="32">
        <v>21824.048999999999</v>
      </c>
      <c r="C12" s="32">
        <v>350782.47499999998</v>
      </c>
      <c r="D12" s="32">
        <f>23871.876+37974.01+6976.06+44143.25</f>
        <v>112965.196</v>
      </c>
      <c r="E12" s="32">
        <v>13580.08</v>
      </c>
      <c r="F12" s="32">
        <v>45350.59</v>
      </c>
      <c r="G12" s="32">
        <v>19194.486000000001</v>
      </c>
      <c r="H12" s="32">
        <v>22899.527999999998</v>
      </c>
      <c r="I12" s="32">
        <v>352.22500000000002</v>
      </c>
      <c r="J12" s="32">
        <v>454.803</v>
      </c>
      <c r="K12" s="32">
        <f>SUM(B12:J12)-220.289</f>
        <v>587183.14300000004</v>
      </c>
      <c r="L12" s="33">
        <v>312134.3</v>
      </c>
      <c r="M12" s="34"/>
    </row>
    <row r="13" spans="1:64" s="35" customFormat="1" ht="24" customHeight="1">
      <c r="A13" s="43" t="s">
        <v>45</v>
      </c>
      <c r="B13" s="44">
        <v>26113.43</v>
      </c>
      <c r="C13" s="44">
        <v>347381.28200000001</v>
      </c>
      <c r="D13" s="44">
        <f>24480.393+12604.32+24902.7+7129.96+44675.75</f>
        <v>113793.12300000001</v>
      </c>
      <c r="E13" s="44">
        <v>13157.705</v>
      </c>
      <c r="F13" s="44">
        <f>546139.446-500445.54-6</f>
        <v>45687.906000000017</v>
      </c>
      <c r="G13" s="44">
        <v>20161.682000000001</v>
      </c>
      <c r="H13" s="44">
        <v>23882.415000000001</v>
      </c>
      <c r="I13" s="44">
        <v>1424.0840000000001</v>
      </c>
      <c r="J13" s="44">
        <v>240.17699999999999</v>
      </c>
      <c r="K13" s="44">
        <f>SUM(B13:J13)</f>
        <v>591841.80400000012</v>
      </c>
      <c r="L13" s="48">
        <v>312287</v>
      </c>
      <c r="M13" s="34"/>
    </row>
    <row r="14" spans="1:64" s="35" customFormat="1" ht="12" customHeight="1">
      <c r="A14" s="42"/>
      <c r="B14" s="45"/>
      <c r="C14" s="45"/>
      <c r="D14" s="45"/>
      <c r="E14" s="45"/>
      <c r="F14" s="45"/>
      <c r="G14" s="45"/>
      <c r="H14" s="45"/>
      <c r="I14" s="45"/>
      <c r="J14" s="45"/>
      <c r="K14" s="46"/>
      <c r="L14" s="45"/>
      <c r="M14" s="34"/>
    </row>
    <row r="15" spans="1:64" s="35" customFormat="1" ht="20.25" customHeight="1">
      <c r="A15" s="49" t="s">
        <v>43</v>
      </c>
      <c r="B15" s="45"/>
      <c r="C15" s="45"/>
      <c r="D15" s="45"/>
      <c r="E15" s="45"/>
      <c r="F15" s="45"/>
      <c r="G15" s="45"/>
      <c r="H15" s="45"/>
      <c r="I15" s="45"/>
      <c r="J15" s="45"/>
      <c r="K15" s="46"/>
      <c r="L15" s="45"/>
      <c r="M15" s="34"/>
    </row>
    <row r="16" spans="1:64" ht="14.25" customHeight="1">
      <c r="A16" s="42" t="s">
        <v>42</v>
      </c>
    </row>
    <row r="17" spans="1:13" ht="8.15" customHeight="1"/>
    <row r="18" spans="1:13" ht="18" customHeight="1">
      <c r="A18" s="56" t="s">
        <v>47</v>
      </c>
    </row>
    <row r="19" spans="1:13" s="52" customFormat="1" ht="14.25" customHeight="1">
      <c r="A19" s="42" t="s">
        <v>48</v>
      </c>
      <c r="B19" s="54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1"/>
    </row>
    <row r="20" spans="1:13" s="52" customFormat="1" ht="8.15" customHeight="1">
      <c r="A20" s="42"/>
      <c r="B20" s="54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1"/>
    </row>
    <row r="21" spans="1:13" ht="18" customHeight="1">
      <c r="A21" s="56" t="s">
        <v>50</v>
      </c>
    </row>
    <row r="22" spans="1:13" s="52" customFormat="1" ht="18" customHeight="1">
      <c r="A22" s="39" t="s">
        <v>49</v>
      </c>
      <c r="B22" s="54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1"/>
    </row>
    <row r="23" spans="1:13" ht="8.15" customHeight="1">
      <c r="A23" s="57"/>
    </row>
    <row r="24" spans="1:13" ht="18" customHeight="1">
      <c r="A24" s="56" t="s">
        <v>51</v>
      </c>
    </row>
    <row r="25" spans="1:13" ht="15" customHeight="1">
      <c r="A25" s="58" t="s">
        <v>30</v>
      </c>
      <c r="B25" s="55"/>
      <c r="C25" s="47"/>
      <c r="D25" s="47"/>
      <c r="E25" s="47"/>
      <c r="F25" s="47"/>
      <c r="G25" s="47"/>
      <c r="H25" s="47"/>
      <c r="I25" s="47"/>
      <c r="J25" s="47"/>
      <c r="K25" s="47"/>
      <c r="L25" s="47"/>
    </row>
    <row r="26" spans="1:13" ht="15" customHeight="1">
      <c r="A26" s="59"/>
      <c r="B26" s="55"/>
      <c r="C26" s="47"/>
      <c r="D26" s="47"/>
      <c r="E26" s="47"/>
      <c r="F26" s="47"/>
      <c r="G26" s="47"/>
      <c r="H26" s="47"/>
      <c r="I26" s="47"/>
      <c r="J26" s="47"/>
      <c r="K26" s="47"/>
      <c r="L26" s="47"/>
    </row>
    <row r="27" spans="1:13">
      <c r="A27" s="59"/>
      <c r="B27" s="55"/>
      <c r="C27" s="47"/>
      <c r="D27" s="47"/>
      <c r="E27" s="47"/>
      <c r="F27" s="47"/>
      <c r="G27" s="47"/>
      <c r="H27" s="47"/>
      <c r="I27" s="47"/>
      <c r="J27" s="47"/>
      <c r="K27" s="47"/>
      <c r="L27" s="47"/>
    </row>
    <row r="28" spans="1:13">
      <c r="A28" s="59"/>
      <c r="B28" s="55"/>
      <c r="C28" s="47"/>
      <c r="D28" s="47"/>
      <c r="E28" s="47"/>
      <c r="F28" s="47"/>
      <c r="G28" s="47"/>
      <c r="H28" s="47"/>
      <c r="I28" s="47"/>
      <c r="J28" s="47"/>
      <c r="K28" s="47"/>
      <c r="L28" s="47"/>
    </row>
    <row r="29" spans="1:13">
      <c r="A29" s="59"/>
      <c r="B29" s="55"/>
      <c r="C29" s="47"/>
      <c r="D29" s="47"/>
      <c r="E29" s="47"/>
      <c r="F29" s="47"/>
      <c r="G29" s="47"/>
      <c r="H29" s="47"/>
      <c r="I29" s="47"/>
      <c r="J29" s="47"/>
      <c r="K29" s="47"/>
      <c r="L29" s="47"/>
    </row>
    <row r="30" spans="1:13">
      <c r="A30" s="59"/>
      <c r="B30" s="55"/>
      <c r="C30" s="47"/>
      <c r="D30" s="47"/>
      <c r="E30" s="47"/>
      <c r="F30" s="47"/>
      <c r="G30" s="47"/>
      <c r="H30" s="47"/>
      <c r="I30" s="47"/>
      <c r="J30" s="47"/>
      <c r="K30" s="47"/>
      <c r="L30" s="47"/>
    </row>
    <row r="31" spans="1:13">
      <c r="A31" s="59"/>
      <c r="B31" s="55"/>
      <c r="C31" s="47"/>
      <c r="D31" s="47"/>
      <c r="E31" s="47"/>
      <c r="F31" s="47"/>
      <c r="G31" s="47"/>
      <c r="H31" s="47"/>
      <c r="I31" s="47"/>
      <c r="J31" s="47"/>
      <c r="K31" s="47"/>
      <c r="L31" s="47"/>
    </row>
    <row r="32" spans="1:13">
      <c r="A32" s="59"/>
      <c r="B32" s="55"/>
      <c r="C32" s="47"/>
      <c r="D32" s="47"/>
      <c r="E32" s="47"/>
      <c r="F32" s="47"/>
      <c r="G32" s="47"/>
      <c r="H32" s="47"/>
      <c r="I32" s="47"/>
      <c r="J32" s="47"/>
      <c r="K32" s="47"/>
      <c r="L32" s="47"/>
    </row>
    <row r="33" spans="1:12">
      <c r="A33" s="59"/>
      <c r="B33" s="55"/>
      <c r="C33" s="47"/>
      <c r="D33" s="47"/>
      <c r="E33" s="47"/>
      <c r="F33" s="47"/>
      <c r="G33" s="47"/>
      <c r="H33" s="47"/>
      <c r="I33" s="47"/>
      <c r="J33" s="47"/>
      <c r="K33" s="47"/>
      <c r="L33" s="47"/>
    </row>
    <row r="34" spans="1:12">
      <c r="A34" s="59"/>
      <c r="B34" s="55"/>
      <c r="C34" s="47"/>
      <c r="D34" s="47"/>
      <c r="E34" s="47"/>
      <c r="F34" s="47"/>
      <c r="G34" s="47"/>
      <c r="H34" s="47"/>
      <c r="I34" s="47"/>
      <c r="J34" s="47"/>
      <c r="K34" s="47"/>
      <c r="L34" s="47"/>
    </row>
    <row r="35" spans="1:12">
      <c r="A35" s="59"/>
      <c r="B35" s="55"/>
      <c r="C35" s="47"/>
      <c r="D35" s="47"/>
      <c r="E35" s="47"/>
      <c r="F35" s="47"/>
      <c r="G35" s="47"/>
      <c r="H35" s="47"/>
      <c r="I35" s="47"/>
      <c r="J35" s="47"/>
      <c r="K35" s="47"/>
      <c r="L35" s="47"/>
    </row>
  </sheetData>
  <phoneticPr fontId="0" type="noConversion"/>
  <printOptions horizontalCentered="1"/>
  <pageMargins left="0" right="0" top="2" bottom="0.75" header="1.25" footer="0.5"/>
  <pageSetup scale="70" orientation="landscape" horizontalDpi="4294967292" r:id="rId1"/>
  <headerFooter alignWithMargins="0">
    <oddHeader>&amp;C&amp;"Times New Roman,Bold"&amp;18TABLE 6&amp;14
&amp;16Comparison of Program Units and Student Membership
1990-1991 through 2001-2002</oddHeader>
    <oddFooter>&amp;L&amp;"Times New Roman,Bold"&amp;12Source:&amp;"Times New Roman,Regular" SDE, School Budget and Finance Analysis Unit&amp;R&amp;"Times New Roman,Bold"&amp;12LESC - January 2002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Source Data</vt:lpstr>
      <vt:lpstr>Table 6</vt:lpstr>
      <vt:lpstr>'Table 6'!Print_Area</vt:lpstr>
    </vt:vector>
  </TitlesOfParts>
  <Company>NMSDE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Burrell</dc:creator>
  <cp:lastModifiedBy>Carina Negreanu</cp:lastModifiedBy>
  <cp:lastPrinted>2002-04-08T16:49:07Z</cp:lastPrinted>
  <dcterms:created xsi:type="dcterms:W3CDTF">1999-11-19T18:58:47Z</dcterms:created>
  <dcterms:modified xsi:type="dcterms:W3CDTF">2020-01-27T11:11:11Z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1784851127</vt:i4>
  </property>
  <property fmtid="{D5CDD505-2E9C-101B-9397-08002B2CF9AE}" pid="3" name="_EmailSubject">
    <vt:lpwstr>INFO. TO PLACE ON THE LESC WEB PAGE</vt:lpwstr>
  </property>
  <property fmtid="{D5CDD505-2E9C-101B-9397-08002B2CF9AE}" pid="4" name="_AuthorEmail">
    <vt:lpwstr>Eloise.Gonzales@state.nm.us</vt:lpwstr>
  </property>
  <property fmtid="{D5CDD505-2E9C-101B-9397-08002B2CF9AE}" pid="5" name="_AuthorEmailDisplayName">
    <vt:lpwstr>Gonzales, Eloise S</vt:lpwstr>
  </property>
  <property fmtid="{D5CDD505-2E9C-101B-9397-08002B2CF9AE}" pid="6" name="_ReviewingToolsShownOnce">
    <vt:lpwstr/>
  </property>
</Properties>
</file>