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25BE2C-D347-4B86-8D30-69EC3D0F59B8}" xr6:coauthVersionLast="45" xr6:coauthVersionMax="45" xr10:uidLastSave="{00000000-0000-0000-0000-000000000000}"/>
  <bookViews>
    <workbookView xWindow="3420" yWindow="3420" windowWidth="28800" windowHeight="15460" tabRatio="644" activeTab="3"/>
  </bookViews>
  <sheets>
    <sheet name="Other Prob &amp; Sim. Questions" sheetId="8" r:id="rId1"/>
    <sheet name="DecisionTree" sheetId="6" r:id="rId2"/>
    <sheet name="ModelParameters" sheetId="1" r:id="rId3"/>
    <sheet name="Decision Tree" sheetId="7" r:id="rId4"/>
  </sheets>
  <definedNames>
    <definedName name="Bad_Weather">'Decision Tree'!$D$27:$D$28</definedName>
    <definedName name="Bid___Bad_Weather">'Decision Tree'!$C$7</definedName>
    <definedName name="Bid___Good_Weather">'Decision Tree'!$C$6</definedName>
    <definedName name="dNClayton">#REF!</definedName>
    <definedName name="dNPilgrim">#REF!</definedName>
    <definedName name="Do_nothing">'Decision Tree'!$C$37</definedName>
    <definedName name="dPIGClayton">#REF!</definedName>
    <definedName name="dPIGPilgrim">#REF!</definedName>
    <definedName name="dPIPClayton">#REF!</definedName>
    <definedName name="dPIPPilgrim">#REF!</definedName>
    <definedName name="dRootForego">#REF!</definedName>
    <definedName name="dRootTake">#REF!</definedName>
    <definedName name="dSGClayton">#REF!</definedName>
    <definedName name="dSGPilgrim">#REF!</definedName>
    <definedName name="dSPClayton">#REF!</definedName>
    <definedName name="dSPPilgrim">#REF!</definedName>
    <definedName name="EMV_survey">'Decision Tree'!#REF!</definedName>
    <definedName name="endMarketGood">ModelParameters!$B$9</definedName>
    <definedName name="endMarketPoor">ModelParameters!#REF!</definedName>
    <definedName name="EPPI">'Decision Tree'!$C$40</definedName>
    <definedName name="EPSI">'Decision Tree'!#REF!</definedName>
    <definedName name="EVcN">#REF!</definedName>
    <definedName name="EVcPI">#REF!</definedName>
    <definedName name="EVcS">#REF!</definedName>
    <definedName name="EVcSG">#REF!</definedName>
    <definedName name="EVcSP">#REF!</definedName>
    <definedName name="EVdN">#REF!</definedName>
    <definedName name="EVdPIG">#REF!</definedName>
    <definedName name="EVdPIP">#REF!</definedName>
    <definedName name="EVdRoot">#REF!</definedName>
    <definedName name="EVdSG">#REF!</definedName>
    <definedName name="EVdSP">#REF!</definedName>
    <definedName name="EVPI">'Decision Tree'!$C$41</definedName>
    <definedName name="EVSI">'Decision Tree'!$C$42</definedName>
    <definedName name="Forecast_Bad_Weather">'Decision Tree'!$C$32</definedName>
    <definedName name="Forecast_EMV">'Decision Tree'!$C$39</definedName>
    <definedName name="Forecast_Good_Weather">'Decision Tree'!$C$31</definedName>
    <definedName name="Good_Weather">'Decision Tree'!$C$27:$C$28</definedName>
    <definedName name="Hi">ModelParameters!$B$16</definedName>
    <definedName name="Lo">ModelParameters!$B$17</definedName>
    <definedName name="No_Bid">'Decision Tree'!$C$8</definedName>
    <definedName name="No_Forecast_EMV">'Decision Tree'!$C$38</definedName>
    <definedName name="oNG">ModelParameters!$B$26</definedName>
    <definedName name="oNP">ModelParameters!$B$27</definedName>
    <definedName name="oNPil">ModelParameters!$B$28</definedName>
    <definedName name="oSG">ModelParameters!$B$30</definedName>
    <definedName name="oSP">ModelParameters!$B$31</definedName>
    <definedName name="oSPil">ModelParameters!$B$32</definedName>
    <definedName name="P_Good_Weather">'Decision Tree'!$C$9</definedName>
    <definedName name="pGood">ModelParameters!$B$40</definedName>
    <definedName name="pGood_if_PredictGood">ModelParameters!$B$55</definedName>
    <definedName name="pGood_if_PredictPoor">ModelParameters!$B$56</definedName>
    <definedName name="PilgrimOffer">ModelParameters!$B$6</definedName>
    <definedName name="Posterior_Probability">'Decision Tree'!$C$27:$D$28</definedName>
    <definedName name="pPredictGood">ModelParameters!$D$50</definedName>
    <definedName name="pPredictGood_if_Good">ModelParameters!$B$44</definedName>
    <definedName name="pPredictGood_if_Poor">ModelParameters!$C$44</definedName>
    <definedName name="Predict_Bad_Weather">'Decision Tree'!$C$28:$D$28</definedName>
    <definedName name="Predict_Good_Weather">'Decision Tree'!$C$27:$D$27</definedName>
    <definedName name="_xlnm.Print_Area" localSheetId="1">DecisionTree!$A$1:$P$101</definedName>
    <definedName name="_xlnm.Print_Area" localSheetId="2">ModelParameters!$A$1:$D$102</definedName>
    <definedName name="Risk">ModelParameters!$B$19</definedName>
    <definedName name="SurveyCost">ModelParameters!#REF!</definedName>
    <definedName name="UseU">ModelParameters!$B$14</definedName>
    <definedName name="Weather_Forecast_Cost">'Decision Tree'!$C$10</definedName>
    <definedName name="ZA0" localSheetId="3">"Crystal Ball Data : Ver. 3.0.2"</definedName>
    <definedName name="ZA0A" localSheetId="3">3+103</definedName>
    <definedName name="ZA0C" localSheetId="3">0+0</definedName>
    <definedName name="ZA0F" localSheetId="3">5+107</definedName>
    <definedName name="ZA0T" localSheetId="3">5325473+0</definedName>
    <definedName name="_ZA101" localSheetId="3">'Decision Tree'!$C$6+"fBid | Good Weather"+41+25000+"?"+75000</definedName>
    <definedName name="_ZA102" localSheetId="3">'Decision Tree'!$C$7+"fBid | Bad Weather"+41+-15000+"?"+-5000</definedName>
    <definedName name="_ZA103" localSheetId="3">'Decision Tree'!$C$10+"fWeather Forecast Cost"+41+2500+"?"+7500</definedName>
    <definedName name="_ZF100" localSheetId="3">'Decision Tree'!$C$38+"No Forecast EMV"+"dollars"+41+41+825+266+329+551+788+4+3+"-"+"+"+2.6+10+2+4+95+0+5</definedName>
    <definedName name="_ZF101" localSheetId="3">'Decision Tree'!$C$39+"Forecast EMV"+"dollars"+41+41+825+158+205+443+664+4+3+"-"+"+"+2.6+10+2+4+95+0+5</definedName>
    <definedName name="_ZF102" localSheetId="3">'Decision Tree'!$C$40+"EPPI"+"dollars"+41+41+825+308+319+593+778+4+3+"-"+"+"+2.6+10+2+4+95+0+5</definedName>
    <definedName name="_ZF103" localSheetId="3">'Decision Tree'!$C$41+"EVPI"+"dollars"+41+41+825+256+296+541+755+4+3+"-"+"+"+2.6+10+2+4+95+0+5</definedName>
    <definedName name="_ZF105" localSheetId="3">'Decision Tree'!$C$42+"EVSI"+"dollars"+41+41+825+205+275+490+734+4+3+"-"+"+"+2.6+10+2+4+95+0+5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3" i="7" l="1"/>
  <c r="D23" i="7"/>
  <c r="C31" i="7"/>
  <c r="J20" i="7"/>
  <c r="C27" i="7"/>
  <c r="O16" i="7"/>
  <c r="D27" i="7"/>
  <c r="O18" i="7"/>
  <c r="Q16" i="7"/>
  <c r="Q18" i="7"/>
  <c r="N17" i="7" s="1"/>
  <c r="L20" i="7" s="1"/>
  <c r="O21" i="7"/>
  <c r="O23" i="7"/>
  <c r="Q21" i="7"/>
  <c r="Q23" i="7"/>
  <c r="N22" i="7"/>
  <c r="C20" i="7"/>
  <c r="C24" i="7" s="1"/>
  <c r="D24" i="7"/>
  <c r="Q26" i="7"/>
  <c r="Q28" i="7"/>
  <c r="Q31" i="7"/>
  <c r="Q33" i="7"/>
  <c r="N6" i="7"/>
  <c r="L6" i="7"/>
  <c r="K7" i="7" s="1"/>
  <c r="I10" i="7" s="1"/>
  <c r="L8" i="7"/>
  <c r="N8" i="7"/>
  <c r="L11" i="7"/>
  <c r="L13" i="7"/>
  <c r="N11" i="7"/>
  <c r="N13" i="7"/>
  <c r="K12" i="7"/>
  <c r="C40" i="7"/>
  <c r="C37" i="7"/>
  <c r="B32" i="7"/>
  <c r="B31" i="7"/>
  <c r="B28" i="7"/>
  <c r="B27" i="7"/>
  <c r="B24" i="7"/>
  <c r="B23" i="7"/>
  <c r="B20" i="7"/>
  <c r="B19" i="7"/>
  <c r="K30" i="7"/>
  <c r="K20" i="7"/>
  <c r="G25" i="7"/>
  <c r="G10" i="7"/>
  <c r="J12" i="7"/>
  <c r="M17" i="7"/>
  <c r="M32" i="7"/>
  <c r="J7" i="7"/>
  <c r="D26" i="7"/>
  <c r="C26" i="7"/>
  <c r="D22" i="7"/>
  <c r="C22" i="7"/>
  <c r="D18" i="7"/>
  <c r="C18" i="7"/>
  <c r="M6" i="7"/>
  <c r="M8" i="7"/>
  <c r="P16" i="7"/>
  <c r="P33" i="7"/>
  <c r="P31" i="7"/>
  <c r="M27" i="7"/>
  <c r="P28" i="7"/>
  <c r="P26" i="7"/>
  <c r="M13" i="7"/>
  <c r="M11" i="7"/>
  <c r="P23" i="7"/>
  <c r="M22" i="7"/>
  <c r="P21" i="7"/>
  <c r="P18" i="7"/>
  <c r="B32" i="1"/>
  <c r="B31" i="1"/>
  <c r="B30" i="1"/>
  <c r="B28" i="1"/>
  <c r="B27" i="1"/>
  <c r="B45" i="1"/>
  <c r="C44" i="1"/>
  <c r="B14" i="1"/>
  <c r="C46" i="1"/>
  <c r="B46" i="1"/>
  <c r="B22" i="8"/>
  <c r="B36" i="8"/>
  <c r="B41" i="8"/>
  <c r="B43" i="8"/>
  <c r="B45" i="8"/>
  <c r="B6" i="8"/>
  <c r="B16" i="8" s="1"/>
  <c r="B18" i="8" s="1"/>
  <c r="B3" i="8"/>
  <c r="B5" i="8"/>
  <c r="B12" i="8"/>
  <c r="B13" i="8"/>
  <c r="B4" i="8"/>
  <c r="D28" i="7" l="1"/>
  <c r="C32" i="7"/>
  <c r="J30" i="7" s="1"/>
  <c r="C28" i="7"/>
  <c r="M20" i="7"/>
  <c r="C38" i="7"/>
  <c r="C41" i="7" s="1"/>
  <c r="J10" i="7"/>
  <c r="O26" i="7" l="1"/>
  <c r="O31" i="7"/>
  <c r="O33" i="7"/>
  <c r="O28" i="7"/>
  <c r="N32" i="7" l="1"/>
  <c r="N27" i="7"/>
  <c r="L30" i="7" l="1"/>
  <c r="M30" i="7" l="1"/>
  <c r="I25" i="7"/>
  <c r="C39" i="7" l="1"/>
  <c r="C42" i="7" s="1"/>
  <c r="F17" i="7"/>
  <c r="G17" i="7" s="1"/>
  <c r="E6" i="7" s="1"/>
  <c r="E8" i="7" l="1"/>
  <c r="F8" i="7"/>
  <c r="F7" i="7"/>
  <c r="E7" i="7"/>
</calcChain>
</file>

<file path=xl/comments1.xml><?xml version="1.0" encoding="utf-8"?>
<comments xmlns="http://schemas.openxmlformats.org/spreadsheetml/2006/main">
  <authors>
    <author>Karthik Balasubramaniam</author>
    <author>David C. Parkes</author>
  </authors>
  <commentList>
    <comment ref="C19" authorId="0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P("S"|S)</t>
        </r>
      </text>
    </comment>
    <comment ref="C23" authorId="1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P("S" &amp; S) = P(S) * P("S" | S)
since P("S"| S) = P("S" &amp; S) / P(S)</t>
        </r>
      </text>
    </comment>
    <comment ref="D24" authorId="0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P(F&amp;"F") = P("F"|F)*P(F)
since P("F"|F) = P(F &amp; "F")/P(F)</t>
        </r>
      </text>
    </comment>
    <comment ref="C27" authorId="1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P(S | "S") = P(S &amp;"S") / P("S")</t>
        </r>
      </text>
    </comment>
    <comment ref="D28" authorId="0" shapeId="0">
      <text>
        <r>
          <rPr>
            <b/>
            <sz val="12"/>
            <color indexed="81"/>
            <rFont val="Tahoma"/>
            <family val="2"/>
          </rPr>
          <t xml:space="preserve">Karthik:
</t>
        </r>
        <r>
          <rPr>
            <sz val="12"/>
            <color indexed="81"/>
            <rFont val="Tahoma"/>
            <family val="2"/>
          </rPr>
          <t xml:space="preserve">P(F|"F") = P(F&amp;"F")/P("F")
</t>
        </r>
      </text>
    </comment>
    <comment ref="C31" authorId="1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P("S") = P("S" &amp; S) + P("S" &amp; F)</t>
        </r>
      </text>
    </comment>
    <comment ref="C32" authorId="0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P("F") = P(S &amp; "F") + P(F &amp; "F")</t>
        </r>
      </text>
    </comment>
    <comment ref="C38" authorId="1" shapeId="0">
      <text>
        <r>
          <rPr>
            <b/>
            <sz val="12"/>
            <color indexed="81"/>
            <rFont val="Tahoma"/>
            <family val="2"/>
          </rPr>
          <t>David C. Parkes:</t>
        </r>
        <r>
          <rPr>
            <sz val="12"/>
            <color indexed="81"/>
            <rFont val="Tahoma"/>
            <family val="2"/>
          </rPr>
          <t xml:space="preserve">
the value with no survey information</t>
        </r>
      </text>
    </comment>
    <comment ref="C39" authorId="1" shapeId="0">
      <text>
        <r>
          <rPr>
            <b/>
            <sz val="12"/>
            <color indexed="81"/>
            <rFont val="Tahoma"/>
            <family val="2"/>
          </rPr>
          <t>David C. Parkes:</t>
        </r>
        <r>
          <rPr>
            <sz val="12"/>
            <color indexed="81"/>
            <rFont val="Tahoma"/>
            <family val="2"/>
          </rPr>
          <t xml:space="preserve">
the value with forecast information, including the price paid for the forecast</t>
        </r>
      </text>
    </comment>
    <comment ref="C40" authorId="1" shapeId="0">
      <text>
        <r>
          <rPr>
            <b/>
            <sz val="12"/>
            <color indexed="81"/>
            <rFont val="Tahoma"/>
            <family val="2"/>
          </rPr>
          <t>David C. Parkes:</t>
        </r>
        <r>
          <rPr>
            <sz val="12"/>
            <color indexed="81"/>
            <rFont val="Tahoma"/>
            <family val="2"/>
          </rPr>
          <t xml:space="preserve">
the value with perfect information</t>
        </r>
      </text>
    </comment>
    <comment ref="C41" authorId="1" shapeId="0">
      <text>
        <r>
          <rPr>
            <b/>
            <sz val="12"/>
            <color indexed="81"/>
            <rFont val="Tahoma"/>
            <family val="2"/>
          </rPr>
          <t>David C. Parkes:</t>
        </r>
        <r>
          <rPr>
            <sz val="8"/>
            <color indexed="81"/>
            <rFont val="Tahoma"/>
          </rPr>
          <t xml:space="preserve">
</t>
        </r>
        <r>
          <rPr>
            <sz val="12"/>
            <color indexed="81"/>
            <rFont val="Tahoma"/>
            <family val="2"/>
          </rPr>
          <t>the value of (free) perfect information, or the price of perfect information that will leave us indifferent</t>
        </r>
      </text>
    </comment>
    <comment ref="C42" authorId="1" shapeId="0">
      <text>
        <r>
          <rPr>
            <b/>
            <sz val="12"/>
            <color indexed="81"/>
            <rFont val="Tahoma"/>
            <family val="2"/>
          </rPr>
          <t>David C. Parkes:</t>
        </r>
        <r>
          <rPr>
            <sz val="12"/>
            <color indexed="81"/>
            <rFont val="Tahoma"/>
            <family val="2"/>
          </rPr>
          <t xml:space="preserve">
the value of free survey information, or the price for survey information that will leave us indifferent.</t>
        </r>
      </text>
    </comment>
  </commentList>
</comments>
</file>

<file path=xl/sharedStrings.xml><?xml version="1.0" encoding="utf-8"?>
<sst xmlns="http://schemas.openxmlformats.org/spreadsheetml/2006/main" count="118" uniqueCount="102">
  <si>
    <t xml:space="preserve"> PARAMETERS</t>
  </si>
  <si>
    <t>PAYOFF AMOUNTS</t>
  </si>
  <si>
    <t>DOLLAR VALUES</t>
  </si>
  <si>
    <t xml:space="preserve"> </t>
  </si>
  <si>
    <t>Cost of Survey</t>
  </si>
  <si>
    <t>UTILITY PARAMETERS</t>
  </si>
  <si>
    <t>Use utility function?</t>
  </si>
  <si>
    <t>UseU</t>
  </si>
  <si>
    <t>Scaling Parameters:</t>
  </si>
  <si>
    <t>Hi</t>
  </si>
  <si>
    <t>Lo</t>
  </si>
  <si>
    <t>Risk Parameter:</t>
  </si>
  <si>
    <t>Risk</t>
  </si>
  <si>
    <t>OUTCOMES</t>
  </si>
  <si>
    <t>PROBABILITIES</t>
  </si>
  <si>
    <t>Joint Probabilities</t>
  </si>
  <si>
    <t>EVSI</t>
  </si>
  <si>
    <t>EVPI</t>
  </si>
  <si>
    <t xml:space="preserve"> $</t>
  </si>
  <si>
    <t xml:space="preserve">Payoff </t>
  </si>
  <si>
    <t>Prior conditional probability of</t>
  </si>
  <si>
    <t xml:space="preserve">Posterior conditional probability </t>
  </si>
  <si>
    <t>Probability of</t>
  </si>
  <si>
    <t>Prediction</t>
  </si>
  <si>
    <t>Ghost Tours Success</t>
  </si>
  <si>
    <t>Ghost Tours Fail</t>
  </si>
  <si>
    <t>No Ghost Tours</t>
  </si>
  <si>
    <t>No Survey:</t>
  </si>
  <si>
    <t>With Survey:</t>
  </si>
  <si>
    <t>Succeed</t>
  </si>
  <si>
    <t>Flop</t>
  </si>
  <si>
    <t>Prior Beliefs</t>
  </si>
  <si>
    <t>probability:</t>
  </si>
  <si>
    <t>survey predicts "Flop"</t>
  </si>
  <si>
    <t>survey result given outcome</t>
  </si>
  <si>
    <t xml:space="preserve">Ghost Tours </t>
  </si>
  <si>
    <t>Ghost Tours</t>
  </si>
  <si>
    <t>survey predicts "Succeed"</t>
  </si>
  <si>
    <t>Ghost Tours Succeed</t>
  </si>
  <si>
    <t>Ghost Tours Flop</t>
  </si>
  <si>
    <t>of outcome given survey</t>
  </si>
  <si>
    <t>Ghost tours</t>
  </si>
  <si>
    <t>Ghost Tours example</t>
  </si>
  <si>
    <t>Parameters</t>
  </si>
  <si>
    <t>Decisions</t>
  </si>
  <si>
    <t>Profit Tours Succeed</t>
  </si>
  <si>
    <t>Protfit Tours Fail</t>
  </si>
  <si>
    <t>No Tours</t>
  </si>
  <si>
    <t>P(Succeed)</t>
  </si>
  <si>
    <t>Survey Cost</t>
  </si>
  <si>
    <t>Labels</t>
  </si>
  <si>
    <t>Do not buy survey</t>
  </si>
  <si>
    <t>Buy survey</t>
  </si>
  <si>
    <t>Proceed</t>
  </si>
  <si>
    <t>Do not proceed</t>
  </si>
  <si>
    <t>Conditional Probability</t>
  </si>
  <si>
    <t>Joint Probability</t>
  </si>
  <si>
    <t>Posterior Probability</t>
  </si>
  <si>
    <t>Prior Probability</t>
  </si>
  <si>
    <t>Results</t>
  </si>
  <si>
    <t>Value</t>
  </si>
  <si>
    <t>Do nothing</t>
  </si>
  <si>
    <t>No Forecast EMV</t>
  </si>
  <si>
    <t>Forecast EMV</t>
  </si>
  <si>
    <t>EPPI</t>
  </si>
  <si>
    <t>Survey Good ("S")</t>
  </si>
  <si>
    <t>Survey Bad ("F")</t>
  </si>
  <si>
    <t>Tour succeeds (S)</t>
  </si>
  <si>
    <t>Tour flops (F)</t>
  </si>
  <si>
    <t>P(A &amp; B')</t>
  </si>
  <si>
    <t>P(A' &amp; B)</t>
  </si>
  <si>
    <t>P(A' &amp; B')</t>
  </si>
  <si>
    <t>P(A)</t>
  </si>
  <si>
    <t>P(A|B)=?</t>
  </si>
  <si>
    <t>P(B) = 1 - P(B')</t>
  </si>
  <si>
    <t>P(B)=1 - P(B')=</t>
  </si>
  <si>
    <t>P(B') = P(B' &amp; A) + P(B' &amp; A') =</t>
  </si>
  <si>
    <t>So, P(A|B)=</t>
  </si>
  <si>
    <t>Since P(A|B)=P(A &amp; B)/P(B) lets assemble unknown quantities from the given info</t>
  </si>
  <si>
    <t>P(W)=</t>
  </si>
  <si>
    <t>P(B)=</t>
  </si>
  <si>
    <t>P("W"|W)=</t>
  </si>
  <si>
    <t>P("B"|B)=</t>
  </si>
  <si>
    <t>P(W|"W")=</t>
  </si>
  <si>
    <t>?</t>
  </si>
  <si>
    <t>Again, work backwards to figure out the intermediate probabilities</t>
  </si>
  <si>
    <t>P(W|"W") = P(W&amp;"W")/P("W")</t>
  </si>
  <si>
    <t>Since we are given the other conditional probability P("W"|W) and we also know P(W) we should be able to compute the joint probability P(W &amp; "W")</t>
  </si>
  <si>
    <t>P("W"|W) = P(W&amp;"W")/P(W)</t>
  </si>
  <si>
    <t>Both terms on the RHS of the formula are presently unknown</t>
  </si>
  <si>
    <t>So,  P(W &amp; "W") = P("W"|W) * P(W) =</t>
  </si>
  <si>
    <t>(This is the conditional probability formula. You should definitely know this!)</t>
  </si>
  <si>
    <t>Now, P("W"|B)=1 - P("B"|B)=</t>
  </si>
  <si>
    <t>So, P("W")=</t>
  </si>
  <si>
    <t>So, P(W|"W")=</t>
  </si>
  <si>
    <t>Notice that the probability computations here are identical to the ones in the Mayor Scary decision problem!!</t>
  </si>
  <si>
    <t>P(A &amp; B) = P(A) - P(A &amp; B')=</t>
  </si>
  <si>
    <t>Now, P(A &amp; B) + P(A &amp; B') = P(A), so</t>
  </si>
  <si>
    <t xml:space="preserve">P("W") = P("W" &amp; W) + P("W" &amp; B) = P("W"|W) * P(W) + P("W"|B) * P(B). </t>
  </si>
  <si>
    <t>Now, a marble can be called white, when the marble is in fact either white or black</t>
  </si>
  <si>
    <t>Q2.</t>
  </si>
  <si>
    <t>Q4.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</si>
</sst>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6" formatCode="&quot;£&quot;#,##0_);[Red]\(&quot;£&quot;#,##0\)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0.0%"/>
    <numFmt numFmtId="176" formatCode="0.0"/>
    <numFmt numFmtId="183" formatCode="#,##0.000_);[Red]\(#,##0.000\)"/>
    <numFmt numFmtId="186" formatCode="#,##0.000000_);[Red]\(#,##0.000000\)"/>
    <numFmt numFmtId="193" formatCode="0.000"/>
    <numFmt numFmtId="200" formatCode="0.0000"/>
    <numFmt numFmtId="221" formatCode="#,##0.000000000_);[Red]\(#,##0.000000000\)"/>
  </numFmts>
  <fonts count="31" x14ac:knownFonts="1">
    <font>
      <sz val="10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  <font>
      <b/>
      <sz val="14"/>
      <color indexed="8"/>
      <name val="Arial"/>
      <family val="2"/>
    </font>
    <font>
      <sz val="10"/>
      <color indexed="41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</font>
    <font>
      <b/>
      <u/>
      <sz val="10"/>
      <color indexed="8"/>
      <name val="Arial"/>
      <family val="2"/>
    </font>
    <font>
      <b/>
      <sz val="12"/>
      <name val="Arial"/>
      <family val="2"/>
    </font>
    <font>
      <b/>
      <sz val="14"/>
      <name val="Arial"/>
    </font>
    <font>
      <b/>
      <sz val="11"/>
      <color indexed="8"/>
      <name val="Arial"/>
      <family val="2"/>
    </font>
    <font>
      <b/>
      <sz val="12"/>
      <name val="Arial"/>
    </font>
    <font>
      <b/>
      <sz val="12"/>
      <color indexed="8"/>
      <name val="Arial"/>
      <family val="2"/>
    </font>
    <font>
      <b/>
      <sz val="10"/>
      <color indexed="12"/>
      <name val="Arial"/>
    </font>
    <font>
      <b/>
      <sz val="10"/>
      <name val="Arial"/>
      <family val="2"/>
    </font>
    <font>
      <b/>
      <sz val="20"/>
      <color indexed="8"/>
      <name val="Arial"/>
      <family val="2"/>
    </font>
    <font>
      <b/>
      <sz val="18"/>
      <name val="Arial"/>
      <family val="2"/>
    </font>
    <font>
      <b/>
      <u/>
      <sz val="11"/>
      <color indexed="8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12"/>
      <name val="Times New Roman"/>
    </font>
    <font>
      <b/>
      <sz val="20"/>
      <color indexed="10"/>
      <name val="Times New Roman"/>
    </font>
    <font>
      <sz val="12"/>
      <color indexed="10"/>
      <name val="Times New Roman"/>
      <family val="1"/>
    </font>
    <font>
      <b/>
      <sz val="12"/>
      <color indexed="12"/>
      <name val="Times New Roman"/>
      <family val="1"/>
    </font>
    <font>
      <b/>
      <sz val="12"/>
      <name val="Times New Roman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8"/>
      <color indexed="81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indexed="44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12"/>
      </left>
      <right style="thin">
        <color indexed="12"/>
      </right>
      <top style="thick">
        <color indexed="12"/>
      </top>
      <bottom style="double">
        <color indexed="12"/>
      </bottom>
      <diagonal/>
    </border>
    <border>
      <left style="thin">
        <color indexed="12"/>
      </left>
      <right style="thick">
        <color indexed="12"/>
      </right>
      <top style="thick">
        <color indexed="12"/>
      </top>
      <bottom style="double">
        <color indexed="12"/>
      </bottom>
      <diagonal/>
    </border>
    <border>
      <left style="thick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ck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double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/>
      <bottom style="thick">
        <color indexed="12"/>
      </bottom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uble">
        <color indexed="12"/>
      </bottom>
      <diagonal/>
    </border>
    <border>
      <left/>
      <right style="thick">
        <color indexed="12"/>
      </right>
      <top/>
      <bottom/>
      <diagonal/>
    </border>
    <border>
      <left/>
      <right/>
      <top style="double">
        <color indexed="12"/>
      </top>
      <bottom/>
      <diagonal/>
    </border>
    <border>
      <left style="thick">
        <color indexed="12"/>
      </left>
      <right style="thin">
        <color indexed="12"/>
      </right>
      <top style="thin">
        <color indexed="12"/>
      </top>
      <bottom style="thick">
        <color indexed="12"/>
      </bottom>
      <diagonal/>
    </border>
    <border>
      <left style="thin">
        <color indexed="12"/>
      </left>
      <right style="thick">
        <color indexed="12"/>
      </right>
      <top style="thin">
        <color indexed="12"/>
      </top>
      <bottom style="thick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ck">
        <color indexed="12"/>
      </top>
      <bottom/>
      <diagonal/>
    </border>
    <border>
      <left/>
      <right style="thick">
        <color indexed="12"/>
      </right>
      <top style="thick">
        <color indexed="12"/>
      </top>
      <bottom/>
      <diagonal/>
    </border>
    <border>
      <left style="thick">
        <color indexed="12"/>
      </left>
      <right/>
      <top/>
      <bottom style="thin">
        <color indexed="12"/>
      </bottom>
      <diagonal/>
    </border>
    <border>
      <left style="double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thick">
        <color indexed="12"/>
      </right>
      <top style="double">
        <color indexed="12"/>
      </top>
      <bottom style="thin">
        <color indexed="12"/>
      </bottom>
      <diagonal/>
    </border>
    <border>
      <left style="thick">
        <color indexed="12"/>
      </left>
      <right/>
      <top/>
      <bottom style="thick">
        <color indexed="12"/>
      </bottom>
      <diagonal/>
    </border>
    <border>
      <left style="double">
        <color indexed="12"/>
      </left>
      <right style="thin">
        <color indexed="12"/>
      </right>
      <top style="thin">
        <color indexed="12"/>
      </top>
      <bottom style="thick">
        <color indexed="12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thick">
        <color indexed="12"/>
      </right>
      <top/>
      <bottom style="thick">
        <color indexed="12"/>
      </bottom>
      <diagonal/>
    </border>
    <border>
      <left style="double">
        <color indexed="12"/>
      </left>
      <right/>
      <top style="double">
        <color indexed="12"/>
      </top>
      <bottom style="double">
        <color indexed="12"/>
      </bottom>
      <diagonal/>
    </border>
    <border>
      <left style="double">
        <color indexed="12"/>
      </left>
      <right/>
      <top/>
      <bottom style="double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 applyFill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1" fillId="0" borderId="0"/>
    <xf numFmtId="9" fontId="2" fillId="0" borderId="0" applyFont="0" applyFill="0" applyBorder="0" applyAlignment="0" applyProtection="0"/>
  </cellStyleXfs>
  <cellXfs count="177">
    <xf numFmtId="0" fontId="0" fillId="0" borderId="0" xfId="0"/>
    <xf numFmtId="165" fontId="2" fillId="2" borderId="1" xfId="2" applyNumberFormat="1" applyFont="1" applyFill="1" applyBorder="1"/>
    <xf numFmtId="165" fontId="2" fillId="2" borderId="2" xfId="2" applyNumberFormat="1" applyFont="1" applyFill="1" applyBorder="1"/>
    <xf numFmtId="2" fontId="2" fillId="2" borderId="1" xfId="2" applyNumberFormat="1" applyFont="1" applyFill="1" applyBorder="1" applyAlignment="1">
      <alignment horizontal="center"/>
    </xf>
    <xf numFmtId="0" fontId="22" fillId="0" borderId="0" xfId="3" applyFont="1" applyAlignment="1">
      <alignment horizontal="left"/>
    </xf>
    <xf numFmtId="0" fontId="21" fillId="0" borderId="0" xfId="3"/>
    <xf numFmtId="0" fontId="23" fillId="0" borderId="0" xfId="3" applyFont="1" applyAlignment="1">
      <alignment horizontal="center"/>
    </xf>
    <xf numFmtId="0" fontId="24" fillId="0" borderId="3" xfId="3" applyFont="1" applyBorder="1"/>
    <xf numFmtId="0" fontId="21" fillId="0" borderId="4" xfId="3" applyBorder="1"/>
    <xf numFmtId="193" fontId="21" fillId="0" borderId="0" xfId="3" applyNumberFormat="1"/>
    <xf numFmtId="0" fontId="21" fillId="0" borderId="5" xfId="3" applyBorder="1" applyAlignment="1">
      <alignment horizontal="right"/>
    </xf>
    <xf numFmtId="165" fontId="21" fillId="3" borderId="6" xfId="2" applyNumberFormat="1" applyFont="1" applyFill="1" applyBorder="1"/>
    <xf numFmtId="165" fontId="21" fillId="0" borderId="0" xfId="2" applyNumberFormat="1" applyFont="1"/>
    <xf numFmtId="0" fontId="25" fillId="4" borderId="5" xfId="3" applyFont="1" applyFill="1" applyBorder="1" applyAlignment="1">
      <alignment horizontal="right"/>
    </xf>
    <xf numFmtId="164" fontId="25" fillId="0" borderId="6" xfId="3" applyNumberFormat="1" applyFont="1" applyBorder="1"/>
    <xf numFmtId="173" fontId="21" fillId="0" borderId="7" xfId="3" applyNumberFormat="1" applyBorder="1" applyAlignment="1">
      <alignment horizontal="center"/>
    </xf>
    <xf numFmtId="0" fontId="21" fillId="0" borderId="7" xfId="3" applyBorder="1" applyAlignment="1">
      <alignment horizontal="center"/>
    </xf>
    <xf numFmtId="165" fontId="21" fillId="0" borderId="8" xfId="3" applyNumberFormat="1" applyBorder="1" applyAlignment="1">
      <alignment horizontal="right"/>
    </xf>
    <xf numFmtId="0" fontId="25" fillId="4" borderId="6" xfId="3" applyFont="1" applyFill="1" applyBorder="1" applyAlignment="1">
      <alignment horizontal="left"/>
    </xf>
    <xf numFmtId="0" fontId="21" fillId="0" borderId="9" xfId="3" applyBorder="1" applyAlignment="1">
      <alignment horizontal="right"/>
    </xf>
    <xf numFmtId="165" fontId="21" fillId="0" borderId="10" xfId="3" applyNumberFormat="1" applyBorder="1"/>
    <xf numFmtId="173" fontId="21" fillId="0" borderId="0" xfId="3" applyNumberFormat="1" applyAlignment="1">
      <alignment horizontal="center"/>
    </xf>
    <xf numFmtId="0" fontId="21" fillId="0" borderId="0" xfId="3" applyAlignment="1">
      <alignment horizontal="center"/>
    </xf>
    <xf numFmtId="0" fontId="21" fillId="0" borderId="0" xfId="3" applyAlignment="1">
      <alignment horizontal="right"/>
    </xf>
    <xf numFmtId="0" fontId="21" fillId="0" borderId="11" xfId="3" applyBorder="1"/>
    <xf numFmtId="173" fontId="21" fillId="0" borderId="12" xfId="3" applyNumberFormat="1" applyBorder="1" applyAlignment="1">
      <alignment horizontal="center"/>
    </xf>
    <xf numFmtId="0" fontId="21" fillId="0" borderId="12" xfId="3" applyBorder="1" applyAlignment="1">
      <alignment horizontal="center"/>
    </xf>
    <xf numFmtId="10" fontId="21" fillId="3" borderId="6" xfId="4" applyNumberFormat="1" applyFont="1" applyFill="1" applyBorder="1"/>
    <xf numFmtId="9" fontId="21" fillId="0" borderId="0" xfId="4" applyFont="1"/>
    <xf numFmtId="173" fontId="21" fillId="0" borderId="0" xfId="3" applyNumberFormat="1" applyBorder="1" applyAlignment="1">
      <alignment horizontal="center"/>
    </xf>
    <xf numFmtId="0" fontId="21" fillId="0" borderId="0" xfId="3" applyBorder="1" applyAlignment="1">
      <alignment horizontal="center"/>
    </xf>
    <xf numFmtId="165" fontId="21" fillId="0" borderId="0" xfId="3" applyNumberFormat="1" applyBorder="1" applyAlignment="1">
      <alignment horizontal="right"/>
    </xf>
    <xf numFmtId="0" fontId="21" fillId="0" borderId="13" xfId="3" applyBorder="1" applyAlignment="1">
      <alignment horizontal="right"/>
    </xf>
    <xf numFmtId="165" fontId="21" fillId="3" borderId="14" xfId="4" applyNumberFormat="1" applyFont="1" applyFill="1" applyBorder="1"/>
    <xf numFmtId="9" fontId="21" fillId="0" borderId="9" xfId="3" applyNumberFormat="1" applyBorder="1"/>
    <xf numFmtId="193" fontId="21" fillId="0" borderId="9" xfId="3" applyNumberFormat="1" applyBorder="1"/>
    <xf numFmtId="165" fontId="26" fillId="0" borderId="10" xfId="2" applyNumberFormat="1" applyFont="1" applyBorder="1" applyAlignment="1">
      <alignment horizontal="left"/>
    </xf>
    <xf numFmtId="165" fontId="27" fillId="0" borderId="0" xfId="2" applyNumberFormat="1" applyFont="1" applyAlignment="1">
      <alignment horizontal="left"/>
    </xf>
    <xf numFmtId="0" fontId="21" fillId="0" borderId="15" xfId="3" applyBorder="1"/>
    <xf numFmtId="9" fontId="21" fillId="0" borderId="15" xfId="4" applyFont="1" applyBorder="1"/>
    <xf numFmtId="0" fontId="21" fillId="0" borderId="0" xfId="3" applyBorder="1"/>
    <xf numFmtId="9" fontId="21" fillId="0" borderId="4" xfId="4" applyFont="1" applyBorder="1"/>
    <xf numFmtId="0" fontId="21" fillId="3" borderId="5" xfId="3" applyFill="1" applyBorder="1" applyAlignment="1">
      <alignment horizontal="center"/>
    </xf>
    <xf numFmtId="9" fontId="21" fillId="3" borderId="6" xfId="4" applyFont="1" applyFill="1" applyBorder="1"/>
    <xf numFmtId="193" fontId="21" fillId="0" borderId="11" xfId="3" applyNumberFormat="1" applyBorder="1"/>
    <xf numFmtId="193" fontId="21" fillId="0" borderId="0" xfId="3" applyNumberFormat="1" applyBorder="1"/>
    <xf numFmtId="173" fontId="21" fillId="0" borderId="0" xfId="3" applyNumberFormat="1"/>
    <xf numFmtId="0" fontId="21" fillId="3" borderId="13" xfId="3" applyFill="1" applyBorder="1" applyAlignment="1">
      <alignment horizontal="center"/>
    </xf>
    <xf numFmtId="165" fontId="21" fillId="0" borderId="0" xfId="3" applyNumberFormat="1"/>
    <xf numFmtId="165" fontId="26" fillId="0" borderId="10" xfId="3" applyNumberFormat="1" applyFont="1" applyBorder="1"/>
    <xf numFmtId="0" fontId="27" fillId="0" borderId="0" xfId="3" applyFont="1" applyBorder="1"/>
    <xf numFmtId="0" fontId="21" fillId="0" borderId="16" xfId="3" applyBorder="1" applyAlignment="1">
      <alignment horizontal="center"/>
    </xf>
    <xf numFmtId="0" fontId="21" fillId="0" borderId="17" xfId="3" applyBorder="1" applyAlignment="1">
      <alignment horizontal="center"/>
    </xf>
    <xf numFmtId="0" fontId="21" fillId="0" borderId="18" xfId="3" applyBorder="1" applyAlignment="1">
      <alignment horizontal="right"/>
    </xf>
    <xf numFmtId="193" fontId="21" fillId="3" borderId="19" xfId="3" applyNumberFormat="1" applyFill="1" applyBorder="1"/>
    <xf numFmtId="193" fontId="21" fillId="3" borderId="20" xfId="3" applyNumberFormat="1" applyFill="1" applyBorder="1"/>
    <xf numFmtId="0" fontId="21" fillId="0" borderId="21" xfId="3" applyBorder="1" applyAlignment="1">
      <alignment horizontal="right"/>
    </xf>
    <xf numFmtId="193" fontId="21" fillId="0" borderId="22" xfId="3" applyNumberFormat="1" applyFill="1" applyBorder="1"/>
    <xf numFmtId="193" fontId="21" fillId="0" borderId="14" xfId="3" applyNumberFormat="1" applyBorder="1"/>
    <xf numFmtId="173" fontId="21" fillId="0" borderId="0" xfId="4" applyNumberFormat="1" applyFont="1"/>
    <xf numFmtId="165" fontId="21" fillId="0" borderId="10" xfId="3" applyNumberFormat="1" applyBorder="1" applyAlignment="1">
      <alignment horizontal="center"/>
    </xf>
    <xf numFmtId="0" fontId="21" fillId="0" borderId="23" xfId="3" applyBorder="1"/>
    <xf numFmtId="0" fontId="21" fillId="0" borderId="12" xfId="3" applyBorder="1"/>
    <xf numFmtId="0" fontId="21" fillId="0" borderId="24" xfId="3" applyBorder="1"/>
    <xf numFmtId="193" fontId="21" fillId="0" borderId="19" xfId="3" applyNumberFormat="1" applyBorder="1"/>
    <xf numFmtId="193" fontId="21" fillId="0" borderId="20" xfId="3" applyNumberFormat="1" applyBorder="1"/>
    <xf numFmtId="193" fontId="21" fillId="0" borderId="22" xfId="3" applyNumberFormat="1" applyBorder="1"/>
    <xf numFmtId="0" fontId="21" fillId="0" borderId="24" xfId="3" applyBorder="1" applyAlignment="1">
      <alignment horizontal="right"/>
    </xf>
    <xf numFmtId="0" fontId="21" fillId="0" borderId="25" xfId="3" applyBorder="1"/>
    <xf numFmtId="165" fontId="26" fillId="0" borderId="26" xfId="3" applyNumberFormat="1" applyFont="1" applyBorder="1" applyAlignment="1">
      <alignment horizontal="center"/>
    </xf>
    <xf numFmtId="0" fontId="27" fillId="0" borderId="24" xfId="3" applyFont="1" applyBorder="1"/>
    <xf numFmtId="173" fontId="21" fillId="0" borderId="27" xfId="4" applyNumberFormat="1" applyFont="1" applyBorder="1"/>
    <xf numFmtId="0" fontId="21" fillId="0" borderId="7" xfId="3" applyBorder="1"/>
    <xf numFmtId="193" fontId="21" fillId="0" borderId="6" xfId="3" applyNumberFormat="1" applyFill="1" applyBorder="1"/>
    <xf numFmtId="193" fontId="21" fillId="0" borderId="14" xfId="3" applyNumberFormat="1" applyFill="1" applyBorder="1"/>
    <xf numFmtId="164" fontId="21" fillId="4" borderId="6" xfId="3" applyNumberFormat="1" applyFill="1" applyBorder="1"/>
    <xf numFmtId="165" fontId="21" fillId="4" borderId="6" xfId="3" applyNumberFormat="1" applyFill="1" applyBorder="1"/>
    <xf numFmtId="165" fontId="21" fillId="4" borderId="14" xfId="3" applyNumberFormat="1" applyFill="1" applyBorder="1"/>
    <xf numFmtId="165" fontId="20" fillId="2" borderId="1" xfId="2" applyNumberFormat="1" applyFont="1" applyFill="1" applyBorder="1"/>
    <xf numFmtId="38" fontId="20" fillId="2" borderId="1" xfId="2" applyNumberFormat="1" applyFont="1" applyFill="1" applyBorder="1"/>
    <xf numFmtId="165" fontId="20" fillId="2" borderId="1" xfId="2" applyNumberFormat="1" applyFont="1" applyFill="1" applyBorder="1" applyAlignment="1">
      <alignment horizontal="right"/>
    </xf>
    <xf numFmtId="173" fontId="20" fillId="2" borderId="28" xfId="4" applyNumberFormat="1" applyFont="1" applyFill="1" applyBorder="1" applyAlignment="1">
      <alignment horizontal="center"/>
    </xf>
    <xf numFmtId="173" fontId="20" fillId="2" borderId="29" xfId="4" applyNumberFormat="1" applyFont="1" applyFill="1" applyBorder="1" applyAlignment="1">
      <alignment horizontal="center"/>
    </xf>
    <xf numFmtId="173" fontId="20" fillId="2" borderId="30" xfId="4" applyNumberFormat="1" applyFont="1" applyFill="1" applyBorder="1" applyAlignment="1">
      <alignment horizontal="center"/>
    </xf>
    <xf numFmtId="173" fontId="20" fillId="2" borderId="31" xfId="4" applyNumberFormat="1" applyFont="1" applyFill="1" applyBorder="1" applyAlignment="1">
      <alignment horizontal="center"/>
    </xf>
    <xf numFmtId="173" fontId="20" fillId="2" borderId="32" xfId="4" applyNumberFormat="1" applyFont="1" applyFill="1" applyBorder="1" applyAlignment="1">
      <alignment horizontal="center"/>
    </xf>
    <xf numFmtId="173" fontId="20" fillId="2" borderId="2" xfId="4" applyNumberFormat="1" applyFont="1" applyFill="1" applyBorder="1" applyAlignment="1">
      <alignment horizontal="center"/>
    </xf>
    <xf numFmtId="173" fontId="20" fillId="2" borderId="0" xfId="4" applyNumberFormat="1" applyFont="1" applyFill="1" applyAlignment="1">
      <alignment horizontal="center"/>
    </xf>
    <xf numFmtId="173" fontId="20" fillId="2" borderId="33" xfId="4" applyNumberFormat="1" applyFont="1" applyFill="1" applyBorder="1" applyAlignment="1">
      <alignment horizontal="center"/>
    </xf>
    <xf numFmtId="173" fontId="20" fillId="2" borderId="34" xfId="4" applyNumberFormat="1" applyFont="1" applyFill="1" applyBorder="1" applyAlignment="1">
      <alignment horizontal="center"/>
    </xf>
    <xf numFmtId="173" fontId="20" fillId="2" borderId="35" xfId="4" applyNumberFormat="1" applyFont="1" applyFill="1" applyBorder="1" applyAlignment="1">
      <alignment horizontal="center"/>
    </xf>
    <xf numFmtId="0" fontId="0" fillId="5" borderId="0" xfId="0" applyFill="1"/>
    <xf numFmtId="38" fontId="16" fillId="2" borderId="36" xfId="0" applyNumberFormat="1" applyFont="1" applyFill="1" applyBorder="1"/>
    <xf numFmtId="38" fontId="0" fillId="2" borderId="0" xfId="0" applyNumberFormat="1" applyFill="1"/>
    <xf numFmtId="38" fontId="4" fillId="2" borderId="0" xfId="0" applyNumberFormat="1" applyFont="1" applyFill="1" applyBorder="1"/>
    <xf numFmtId="38" fontId="17" fillId="2" borderId="36" xfId="0" applyNumberFormat="1" applyFont="1" applyFill="1" applyBorder="1"/>
    <xf numFmtId="38" fontId="0" fillId="2" borderId="0" xfId="0" applyNumberFormat="1" applyFill="1" applyBorder="1"/>
    <xf numFmtId="38" fontId="10" fillId="2" borderId="0" xfId="0" applyNumberFormat="1" applyFont="1" applyFill="1" applyBorder="1"/>
    <xf numFmtId="38" fontId="12" fillId="2" borderId="36" xfId="0" applyNumberFormat="1" applyFont="1" applyFill="1" applyBorder="1"/>
    <xf numFmtId="38" fontId="5" fillId="2" borderId="37" xfId="0" applyNumberFormat="1" applyFont="1" applyFill="1" applyBorder="1"/>
    <xf numFmtId="0" fontId="1" fillId="2" borderId="0" xfId="0" applyFont="1" applyFill="1" applyBorder="1"/>
    <xf numFmtId="0" fontId="0" fillId="2" borderId="0" xfId="0" applyFill="1" applyBorder="1"/>
    <xf numFmtId="0" fontId="1" fillId="2" borderId="0" xfId="0" applyFont="1" applyFill="1" applyBorder="1" applyAlignment="1">
      <alignment horizontal="center"/>
    </xf>
    <xf numFmtId="38" fontId="7" fillId="2" borderId="38" xfId="0" applyNumberFormat="1" applyFont="1" applyFill="1" applyBorder="1"/>
    <xf numFmtId="172" fontId="14" fillId="2" borderId="0" xfId="2" applyNumberFormat="1" applyFont="1" applyFill="1" applyBorder="1" applyAlignment="1">
      <alignment horizontal="center"/>
    </xf>
    <xf numFmtId="38" fontId="11" fillId="2" borderId="38" xfId="0" applyNumberFormat="1" applyFont="1" applyFill="1" applyBorder="1"/>
    <xf numFmtId="38" fontId="11" fillId="2" borderId="39" xfId="0" applyNumberFormat="1" applyFont="1" applyFill="1" applyBorder="1"/>
    <xf numFmtId="38" fontId="1" fillId="2" borderId="0" xfId="0" applyNumberFormat="1" applyFont="1" applyFill="1" applyBorder="1"/>
    <xf numFmtId="0" fontId="19" fillId="2" borderId="0" xfId="0" applyFont="1" applyFill="1" applyBorder="1" applyAlignment="1">
      <alignment horizontal="right"/>
    </xf>
    <xf numFmtId="38" fontId="3" fillId="2" borderId="0" xfId="0" applyNumberFormat="1" applyFont="1" applyFill="1" applyBorder="1"/>
    <xf numFmtId="38" fontId="1" fillId="2" borderId="0" xfId="0" applyNumberFormat="1" applyFont="1" applyFill="1"/>
    <xf numFmtId="38" fontId="11" fillId="2" borderId="40" xfId="0" applyNumberFormat="1" applyFont="1" applyFill="1" applyBorder="1"/>
    <xf numFmtId="38" fontId="11" fillId="2" borderId="38" xfId="0" applyNumberFormat="1" applyFont="1" applyFill="1" applyBorder="1" applyAlignment="1">
      <alignment horizontal="left"/>
    </xf>
    <xf numFmtId="38" fontId="11" fillId="2" borderId="38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right"/>
    </xf>
    <xf numFmtId="176" fontId="0" fillId="2" borderId="0" xfId="0" applyNumberFormat="1" applyFill="1" applyBorder="1"/>
    <xf numFmtId="172" fontId="0" fillId="2" borderId="0" xfId="2" applyNumberFormat="1" applyFont="1" applyFill="1" applyBorder="1" applyAlignment="1"/>
    <xf numFmtId="172" fontId="0" fillId="2" borderId="0" xfId="2" applyNumberFormat="1" applyFont="1" applyFill="1" applyBorder="1" applyAlignment="1">
      <alignment horizontal="center"/>
    </xf>
    <xf numFmtId="172" fontId="2" fillId="2" borderId="2" xfId="2" applyNumberFormat="1" applyFont="1" applyFill="1" applyBorder="1"/>
    <xf numFmtId="38" fontId="11" fillId="2" borderId="37" xfId="0" applyNumberFormat="1" applyFont="1" applyFill="1" applyBorder="1" applyAlignment="1">
      <alignment horizontal="center"/>
    </xf>
    <xf numFmtId="166" fontId="1" fillId="2" borderId="0" xfId="0" applyNumberFormat="1" applyFont="1" applyFill="1" applyBorder="1"/>
    <xf numFmtId="38" fontId="18" fillId="2" borderId="1" xfId="0" applyNumberFormat="1" applyFont="1" applyFill="1" applyBorder="1" applyAlignment="1">
      <alignment horizontal="center"/>
    </xf>
    <xf numFmtId="38" fontId="18" fillId="2" borderId="38" xfId="0" applyNumberFormat="1" applyFont="1" applyFill="1" applyBorder="1" applyAlignment="1">
      <alignment horizontal="left"/>
    </xf>
    <xf numFmtId="38" fontId="20" fillId="2" borderId="1" xfId="2" applyNumberFormat="1" applyFont="1" applyFill="1" applyBorder="1" applyAlignment="1">
      <alignment horizontal="right"/>
    </xf>
    <xf numFmtId="38" fontId="11" fillId="2" borderId="39" xfId="0" applyNumberFormat="1" applyFont="1" applyFill="1" applyBorder="1" applyAlignment="1">
      <alignment horizontal="left"/>
    </xf>
    <xf numFmtId="38" fontId="2" fillId="2" borderId="2" xfId="2" applyNumberFormat="1" applyFont="1" applyFill="1" applyBorder="1" applyAlignment="1">
      <alignment horizontal="right"/>
    </xf>
    <xf numFmtId="38" fontId="9" fillId="2" borderId="0" xfId="0" applyNumberFormat="1" applyFont="1" applyFill="1" applyBorder="1"/>
    <xf numFmtId="166" fontId="1" fillId="2" borderId="0" xfId="2" applyNumberFormat="1" applyFont="1" applyFill="1" applyBorder="1"/>
    <xf numFmtId="38" fontId="13" fillId="2" borderId="0" xfId="0" applyNumberFormat="1" applyFont="1" applyFill="1" applyBorder="1"/>
    <xf numFmtId="38" fontId="6" fillId="2" borderId="41" xfId="0" applyNumberFormat="1" applyFont="1" applyFill="1" applyBorder="1" applyAlignment="1">
      <alignment horizontal="left"/>
    </xf>
    <xf numFmtId="38" fontId="7" fillId="2" borderId="42" xfId="0" applyNumberFormat="1" applyFont="1" applyFill="1" applyBorder="1" applyAlignment="1">
      <alignment horizontal="centerContinuous"/>
    </xf>
    <xf numFmtId="38" fontId="8" fillId="2" borderId="37" xfId="0" applyNumberFormat="1" applyFont="1" applyFill="1" applyBorder="1" applyAlignment="1">
      <alignment horizontal="centerContinuous"/>
    </xf>
    <xf numFmtId="167" fontId="1" fillId="2" borderId="0" xfId="2" applyNumberFormat="1" applyFont="1" applyFill="1" applyBorder="1" applyAlignment="1">
      <alignment horizontal="center"/>
    </xf>
    <xf numFmtId="167" fontId="1" fillId="2" borderId="1" xfId="2" applyNumberFormat="1" applyFont="1" applyFill="1" applyBorder="1" applyAlignment="1">
      <alignment horizontal="center"/>
    </xf>
    <xf numFmtId="38" fontId="7" fillId="2" borderId="39" xfId="0" applyNumberFormat="1" applyFont="1" applyFill="1" applyBorder="1" applyAlignment="1">
      <alignment horizontal="right"/>
    </xf>
    <xf numFmtId="38" fontId="7" fillId="2" borderId="0" xfId="0" applyNumberFormat="1" applyFont="1" applyFill="1" applyBorder="1" applyAlignment="1">
      <alignment horizontal="right"/>
    </xf>
    <xf numFmtId="38" fontId="6" fillId="2" borderId="43" xfId="0" applyNumberFormat="1" applyFont="1" applyFill="1" applyBorder="1" applyAlignment="1">
      <alignment horizontal="left"/>
    </xf>
    <xf numFmtId="38" fontId="7" fillId="2" borderId="44" xfId="0" applyNumberFormat="1" applyFont="1" applyFill="1" applyBorder="1"/>
    <xf numFmtId="38" fontId="7" fillId="2" borderId="38" xfId="0" applyNumberFormat="1" applyFont="1" applyFill="1" applyBorder="1" applyAlignment="1">
      <alignment horizontal="right"/>
    </xf>
    <xf numFmtId="38" fontId="0" fillId="2" borderId="0" xfId="0" applyNumberFormat="1" applyFill="1" applyAlignment="1">
      <alignment horizontal="right"/>
    </xf>
    <xf numFmtId="0" fontId="0" fillId="2" borderId="43" xfId="0" applyFill="1" applyBorder="1"/>
    <xf numFmtId="38" fontId="8" fillId="2" borderId="45" xfId="0" applyNumberFormat="1" applyFont="1" applyFill="1" applyBorder="1" applyAlignment="1">
      <alignment horizontal="centerContinuous"/>
    </xf>
    <xf numFmtId="38" fontId="1" fillId="2" borderId="37" xfId="0" applyNumberFormat="1" applyFont="1" applyFill="1" applyBorder="1" applyAlignment="1">
      <alignment horizontal="center"/>
    </xf>
    <xf numFmtId="38" fontId="6" fillId="2" borderId="44" xfId="0" applyNumberFormat="1" applyFont="1" applyFill="1" applyBorder="1" applyAlignment="1">
      <alignment horizontal="left"/>
    </xf>
    <xf numFmtId="167" fontId="1" fillId="2" borderId="46" xfId="2" applyNumberFormat="1" applyFont="1" applyFill="1" applyBorder="1" applyAlignment="1">
      <alignment horizontal="center"/>
    </xf>
    <xf numFmtId="38" fontId="1" fillId="2" borderId="1" xfId="0" applyNumberFormat="1" applyFont="1" applyFill="1" applyBorder="1" applyAlignment="1">
      <alignment horizontal="center"/>
    </xf>
    <xf numFmtId="38" fontId="20" fillId="2" borderId="0" xfId="0" applyNumberFormat="1" applyFont="1" applyFill="1" applyAlignment="1">
      <alignment horizontal="right"/>
    </xf>
    <xf numFmtId="173" fontId="20" fillId="2" borderId="0" xfId="1" applyNumberFormat="1" applyFont="1" applyFill="1" applyAlignment="1">
      <alignment horizontal="center"/>
    </xf>
    <xf numFmtId="38" fontId="15" fillId="2" borderId="43" xfId="0" applyNumberFormat="1" applyFont="1" applyFill="1" applyBorder="1"/>
    <xf numFmtId="38" fontId="2" fillId="2" borderId="0" xfId="4" applyNumberFormat="1" applyFill="1"/>
    <xf numFmtId="38" fontId="7" fillId="2" borderId="44" xfId="0" applyNumberFormat="1" applyFont="1" applyFill="1" applyBorder="1" applyAlignment="1">
      <alignment horizontal="left"/>
    </xf>
    <xf numFmtId="38" fontId="7" fillId="2" borderId="47" xfId="0" applyNumberFormat="1" applyFont="1" applyFill="1" applyBorder="1" applyAlignment="1">
      <alignment horizontal="right"/>
    </xf>
    <xf numFmtId="10" fontId="0" fillId="2" borderId="0" xfId="0" applyNumberFormat="1" applyFill="1" applyAlignment="1">
      <alignment horizontal="center"/>
    </xf>
    <xf numFmtId="38" fontId="7" fillId="2" borderId="48" xfId="0" applyNumberFormat="1" applyFont="1" applyFill="1" applyBorder="1" applyAlignment="1">
      <alignment horizontal="right"/>
    </xf>
    <xf numFmtId="221" fontId="0" fillId="2" borderId="0" xfId="0" applyNumberFormat="1" applyFill="1"/>
    <xf numFmtId="186" fontId="0" fillId="2" borderId="0" xfId="0" applyNumberFormat="1" applyFill="1"/>
    <xf numFmtId="38" fontId="17" fillId="2" borderId="49" xfId="0" applyNumberFormat="1" applyFont="1" applyFill="1" applyBorder="1"/>
    <xf numFmtId="38" fontId="17" fillId="2" borderId="50" xfId="0" applyNumberFormat="1" applyFont="1" applyFill="1" applyBorder="1"/>
    <xf numFmtId="38" fontId="17" fillId="2" borderId="51" xfId="0" applyNumberFormat="1" applyFont="1" applyFill="1" applyBorder="1"/>
    <xf numFmtId="0" fontId="0" fillId="2" borderId="0" xfId="0" applyFill="1"/>
    <xf numFmtId="166" fontId="0" fillId="2" borderId="0" xfId="0" applyNumberFormat="1" applyFill="1"/>
    <xf numFmtId="166" fontId="0" fillId="2" borderId="0" xfId="0" applyNumberFormat="1" applyFill="1" applyBorder="1"/>
    <xf numFmtId="183" fontId="0" fillId="2" borderId="0" xfId="0" applyNumberFormat="1" applyFill="1"/>
    <xf numFmtId="38" fontId="1" fillId="2" borderId="0" xfId="0" quotePrefix="1" applyNumberFormat="1" applyFont="1" applyFill="1"/>
    <xf numFmtId="173" fontId="20" fillId="2" borderId="52" xfId="4" applyNumberFormat="1" applyFont="1" applyFill="1" applyBorder="1" applyAlignment="1">
      <alignment horizontal="center"/>
    </xf>
    <xf numFmtId="0" fontId="21" fillId="3" borderId="6" xfId="3" applyFont="1" applyFill="1" applyBorder="1"/>
    <xf numFmtId="0" fontId="21" fillId="3" borderId="14" xfId="3" applyFont="1" applyFill="1" applyBorder="1"/>
    <xf numFmtId="0" fontId="21" fillId="0" borderId="5" xfId="3" applyFont="1" applyBorder="1" applyAlignment="1">
      <alignment horizontal="right"/>
    </xf>
    <xf numFmtId="0" fontId="21" fillId="3" borderId="5" xfId="3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6" borderId="0" xfId="0" applyFont="1" applyFill="1" applyAlignment="1">
      <alignment vertical="center"/>
    </xf>
    <xf numFmtId="200" fontId="15" fillId="6" borderId="0" xfId="0" applyNumberFormat="1" applyFont="1" applyFill="1" applyAlignment="1">
      <alignment vertical="center"/>
    </xf>
  </cellXfs>
  <cellStyles count="5">
    <cellStyle name="Comma" xfId="1" builtinId="3"/>
    <cellStyle name="Currency" xfId="2" builtinId="4"/>
    <cellStyle name="Normal" xfId="0" builtinId="0"/>
    <cellStyle name="Normal_dec_tree1" xfId="3"/>
    <cellStyle name="Percent" xfId="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101600</xdr:rowOff>
    </xdr:from>
    <xdr:to>
      <xdr:col>1</xdr:col>
      <xdr:colOff>571500</xdr:colOff>
      <xdr:row>62</xdr:row>
      <xdr:rowOff>120650</xdr:rowOff>
    </xdr:to>
    <xdr:sp macro="" textlink="">
      <xdr:nvSpPr>
        <xdr:cNvPr id="3103" name="Text 87">
          <a:extLst>
            <a:ext uri="{FF2B5EF4-FFF2-40B4-BE49-F238E27FC236}">
              <a16:creationId xmlns:a16="http://schemas.microsoft.com/office/drawing/2014/main" id="{AAC964F5-FA7A-4B34-9B3F-EA914139F4A3}"/>
            </a:ext>
          </a:extLst>
        </xdr:cNvPr>
        <xdr:cNvSpPr txBox="1">
          <a:spLocks noChangeArrowheads="1"/>
        </xdr:cNvSpPr>
      </xdr:nvSpPr>
      <xdr:spPr bwMode="auto">
        <a:xfrm>
          <a:off x="0" y="9918700"/>
          <a:ext cx="1460500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CCCC" mc:Ignorable="a14" a14:legacySpreadsheetColorIndex="4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LEGEND</a:t>
          </a:r>
        </a:p>
        <a:p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647700</xdr:colOff>
      <xdr:row>9</xdr:row>
      <xdr:rowOff>139700</xdr:rowOff>
    </xdr:from>
    <xdr:to>
      <xdr:col>3</xdr:col>
      <xdr:colOff>1231900</xdr:colOff>
      <xdr:row>13</xdr:row>
      <xdr:rowOff>0</xdr:rowOff>
    </xdr:to>
    <xdr:sp macro="" textlink="">
      <xdr:nvSpPr>
        <xdr:cNvPr id="3139" name="Rectangle 67">
          <a:extLst>
            <a:ext uri="{FF2B5EF4-FFF2-40B4-BE49-F238E27FC236}">
              <a16:creationId xmlns:a16="http://schemas.microsoft.com/office/drawing/2014/main" id="{E71033B9-4839-4164-9299-238521FBC61C}"/>
            </a:ext>
          </a:extLst>
        </xdr:cNvPr>
        <xdr:cNvSpPr>
          <a:spLocks noChangeArrowheads="1"/>
        </xdr:cNvSpPr>
      </xdr:nvSpPr>
      <xdr:spPr bwMode="auto">
        <a:xfrm>
          <a:off x="2978150" y="1689100"/>
          <a:ext cx="584200" cy="5080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dN: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Ghost Tours?</a:t>
          </a:r>
        </a:p>
      </xdr:txBody>
    </xdr:sp>
    <xdr:clientData/>
  </xdr:twoCellAnchor>
  <xdr:twoCellAnchor>
    <xdr:from>
      <xdr:col>6</xdr:col>
      <xdr:colOff>1117600</xdr:colOff>
      <xdr:row>14</xdr:row>
      <xdr:rowOff>152400</xdr:rowOff>
    </xdr:from>
    <xdr:to>
      <xdr:col>7</xdr:col>
      <xdr:colOff>609600</xdr:colOff>
      <xdr:row>18</xdr:row>
      <xdr:rowOff>95250</xdr:rowOff>
    </xdr:to>
    <xdr:sp macro="" textlink="">
      <xdr:nvSpPr>
        <xdr:cNvPr id="3152" name="Oval 80">
          <a:extLst>
            <a:ext uri="{FF2B5EF4-FFF2-40B4-BE49-F238E27FC236}">
              <a16:creationId xmlns:a16="http://schemas.microsoft.com/office/drawing/2014/main" id="{54A4B367-CBE4-42EF-A69C-F3F6762B8DD1}"/>
            </a:ext>
          </a:extLst>
        </xdr:cNvPr>
        <xdr:cNvSpPr>
          <a:spLocks noChangeArrowheads="1"/>
        </xdr:cNvSpPr>
      </xdr:nvSpPr>
      <xdr:spPr bwMode="auto">
        <a:xfrm>
          <a:off x="6946900" y="2508250"/>
          <a:ext cx="622300" cy="5778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FF00" mc:Ignorable="a14" a14:legacySpreadsheetColorIndex="11"/>
              </a:solidFill>
            </a14:hiddenFill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cSG</a:t>
          </a: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2</xdr:col>
      <xdr:colOff>0</xdr:colOff>
      <xdr:row>19</xdr:row>
      <xdr:rowOff>6350</xdr:rowOff>
    </xdr:to>
    <xdr:sp macro="" textlink="">
      <xdr:nvSpPr>
        <xdr:cNvPr id="3162" name="Rectangle 90">
          <a:extLst>
            <a:ext uri="{FF2B5EF4-FFF2-40B4-BE49-F238E27FC236}">
              <a16:creationId xmlns:a16="http://schemas.microsoft.com/office/drawing/2014/main" id="{A16861D8-D1CC-4B53-8037-0BADE8F399CA}"/>
            </a:ext>
          </a:extLst>
        </xdr:cNvPr>
        <xdr:cNvSpPr>
          <a:spLocks noChangeArrowheads="1"/>
        </xdr:cNvSpPr>
      </xdr:nvSpPr>
      <xdr:spPr bwMode="auto">
        <a:xfrm>
          <a:off x="889000" y="2673350"/>
          <a:ext cx="800100" cy="4826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dRoot: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Survey?</a:t>
          </a:r>
        </a:p>
      </xdr:txBody>
    </xdr:sp>
    <xdr:clientData/>
  </xdr:twoCellAnchor>
  <xdr:twoCellAnchor>
    <xdr:from>
      <xdr:col>0</xdr:col>
      <xdr:colOff>711200</xdr:colOff>
      <xdr:row>17</xdr:row>
      <xdr:rowOff>0</xdr:rowOff>
    </xdr:from>
    <xdr:to>
      <xdr:col>1</xdr:col>
      <xdr:colOff>12700</xdr:colOff>
      <xdr:row>18</xdr:row>
      <xdr:rowOff>19050</xdr:rowOff>
    </xdr:to>
    <xdr:sp macro="" textlink="">
      <xdr:nvSpPr>
        <xdr:cNvPr id="3163" name="AutoShape 91">
          <a:extLst>
            <a:ext uri="{FF2B5EF4-FFF2-40B4-BE49-F238E27FC236}">
              <a16:creationId xmlns:a16="http://schemas.microsoft.com/office/drawing/2014/main" id="{3116F9BC-E98F-432E-AA89-2A4123BA8F1B}"/>
            </a:ext>
          </a:extLst>
        </xdr:cNvPr>
        <xdr:cNvSpPr>
          <a:spLocks noChangeArrowheads="1"/>
        </xdr:cNvSpPr>
      </xdr:nvSpPr>
      <xdr:spPr bwMode="auto">
        <a:xfrm>
          <a:off x="711200" y="2832100"/>
          <a:ext cx="190500" cy="177800"/>
        </a:xfrm>
        <a:prstGeom prst="rightArrow">
          <a:avLst>
            <a:gd name="adj1" fmla="val 50000"/>
            <a:gd name="adj2" fmla="val 26786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12700</xdr:colOff>
      <xdr:row>11</xdr:row>
      <xdr:rowOff>63500</xdr:rowOff>
    </xdr:from>
    <xdr:to>
      <xdr:col>3</xdr:col>
      <xdr:colOff>641350</xdr:colOff>
      <xdr:row>17</xdr:row>
      <xdr:rowOff>82550</xdr:rowOff>
    </xdr:to>
    <xdr:cxnSp macro="">
      <xdr:nvCxnSpPr>
        <xdr:cNvPr id="3189" name="AutoShape 117">
          <a:extLst>
            <a:ext uri="{FF2B5EF4-FFF2-40B4-BE49-F238E27FC236}">
              <a16:creationId xmlns:a16="http://schemas.microsoft.com/office/drawing/2014/main" id="{689D811B-C91D-4F21-8E58-447793A14C3C}"/>
            </a:ext>
          </a:extLst>
        </xdr:cNvPr>
        <xdr:cNvCxnSpPr>
          <a:cxnSpLocks noChangeShapeType="1"/>
          <a:stCxn id="3162" idx="3"/>
          <a:endCxn id="3139" idx="1"/>
        </xdr:cNvCxnSpPr>
      </xdr:nvCxnSpPr>
      <xdr:spPr bwMode="auto">
        <a:xfrm flipV="1">
          <a:off x="1701800" y="1943100"/>
          <a:ext cx="1270000" cy="9715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730250</xdr:colOff>
      <xdr:row>4</xdr:row>
      <xdr:rowOff>31750</xdr:rowOff>
    </xdr:from>
    <xdr:to>
      <xdr:col>5</xdr:col>
      <xdr:colOff>431800</xdr:colOff>
      <xdr:row>8</xdr:row>
      <xdr:rowOff>44450</xdr:rowOff>
    </xdr:to>
    <xdr:sp macro="" textlink="">
      <xdr:nvSpPr>
        <xdr:cNvPr id="3190" name="Oval 118">
          <a:extLst>
            <a:ext uri="{FF2B5EF4-FFF2-40B4-BE49-F238E27FC236}">
              <a16:creationId xmlns:a16="http://schemas.microsoft.com/office/drawing/2014/main" id="{5329BC57-810F-4699-8C71-EDF15586B5AC}"/>
            </a:ext>
          </a:extLst>
        </xdr:cNvPr>
        <xdr:cNvSpPr>
          <a:spLocks noChangeArrowheads="1"/>
        </xdr:cNvSpPr>
      </xdr:nvSpPr>
      <xdr:spPr bwMode="auto">
        <a:xfrm>
          <a:off x="4838700" y="762000"/>
          <a:ext cx="781050" cy="673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FF00" mc:Ignorable="a14" a14:legacySpreadsheetColorIndex="11"/>
              </a:solidFill>
            </a14:hiddenFill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cSucc</a:t>
          </a:r>
        </a:p>
      </xdr:txBody>
    </xdr:sp>
    <xdr:clientData/>
  </xdr:twoCellAnchor>
  <xdr:twoCellAnchor>
    <xdr:from>
      <xdr:col>4</xdr:col>
      <xdr:colOff>412750</xdr:colOff>
      <xdr:row>12</xdr:row>
      <xdr:rowOff>152400</xdr:rowOff>
    </xdr:from>
    <xdr:to>
      <xdr:col>5</xdr:col>
      <xdr:colOff>482600</xdr:colOff>
      <xdr:row>15</xdr:row>
      <xdr:rowOff>38100</xdr:rowOff>
    </xdr:to>
    <xdr:sp macro="" textlink="">
      <xdr:nvSpPr>
        <xdr:cNvPr id="3191" name="Rectangle 119">
          <a:extLst>
            <a:ext uri="{FF2B5EF4-FFF2-40B4-BE49-F238E27FC236}">
              <a16:creationId xmlns:a16="http://schemas.microsoft.com/office/drawing/2014/main" id="{E8380114-3CC3-4B21-909F-C8F31EBF9C85}"/>
            </a:ext>
          </a:extLst>
        </xdr:cNvPr>
        <xdr:cNvSpPr>
          <a:spLocks noChangeArrowheads="1"/>
        </xdr:cNvSpPr>
      </xdr:nvSpPr>
      <xdr:spPr bwMode="auto">
        <a:xfrm>
          <a:off x="4521200" y="2190750"/>
          <a:ext cx="11493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0</xdr:row>
      <xdr:rowOff>215900</xdr:rowOff>
    </xdr:from>
    <xdr:to>
      <xdr:col>8</xdr:col>
      <xdr:colOff>431800</xdr:colOff>
      <xdr:row>3</xdr:row>
      <xdr:rowOff>6350</xdr:rowOff>
    </xdr:to>
    <xdr:sp macro="" textlink="">
      <xdr:nvSpPr>
        <xdr:cNvPr id="3192" name="Rectangle 120">
          <a:extLst>
            <a:ext uri="{FF2B5EF4-FFF2-40B4-BE49-F238E27FC236}">
              <a16:creationId xmlns:a16="http://schemas.microsoft.com/office/drawing/2014/main" id="{07A2046F-E065-43EB-BE8F-E0A25D487535}"/>
            </a:ext>
          </a:extLst>
        </xdr:cNvPr>
        <xdr:cNvSpPr>
          <a:spLocks noChangeArrowheads="1"/>
        </xdr:cNvSpPr>
      </xdr:nvSpPr>
      <xdr:spPr bwMode="auto">
        <a:xfrm>
          <a:off x="6959600" y="215900"/>
          <a:ext cx="11493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8</xdr:row>
      <xdr:rowOff>139700</xdr:rowOff>
    </xdr:from>
    <xdr:to>
      <xdr:col>8</xdr:col>
      <xdr:colOff>431800</xdr:colOff>
      <xdr:row>11</xdr:row>
      <xdr:rowOff>19050</xdr:rowOff>
    </xdr:to>
    <xdr:sp macro="" textlink="">
      <xdr:nvSpPr>
        <xdr:cNvPr id="3193" name="Rectangle 121">
          <a:extLst>
            <a:ext uri="{FF2B5EF4-FFF2-40B4-BE49-F238E27FC236}">
              <a16:creationId xmlns:a16="http://schemas.microsoft.com/office/drawing/2014/main" id="{278FD8EE-30AF-428A-B209-94301DFE89BB}"/>
            </a:ext>
          </a:extLst>
        </xdr:cNvPr>
        <xdr:cNvSpPr>
          <a:spLocks noChangeArrowheads="1"/>
        </xdr:cNvSpPr>
      </xdr:nvSpPr>
      <xdr:spPr bwMode="auto">
        <a:xfrm>
          <a:off x="6959600" y="1530350"/>
          <a:ext cx="1149350" cy="368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1238250</xdr:colOff>
      <xdr:row>6</xdr:row>
      <xdr:rowOff>25400</xdr:rowOff>
    </xdr:from>
    <xdr:to>
      <xdr:col>4</xdr:col>
      <xdr:colOff>730250</xdr:colOff>
      <xdr:row>11</xdr:row>
      <xdr:rowOff>63500</xdr:rowOff>
    </xdr:to>
    <xdr:cxnSp macro="">
      <xdr:nvCxnSpPr>
        <xdr:cNvPr id="3194" name="AutoShape 122">
          <a:extLst>
            <a:ext uri="{FF2B5EF4-FFF2-40B4-BE49-F238E27FC236}">
              <a16:creationId xmlns:a16="http://schemas.microsoft.com/office/drawing/2014/main" id="{AB9566FA-8AB9-453E-B349-1387B29C91AD}"/>
            </a:ext>
          </a:extLst>
        </xdr:cNvPr>
        <xdr:cNvCxnSpPr>
          <a:cxnSpLocks noChangeShapeType="1"/>
          <a:stCxn id="3139" idx="3"/>
          <a:endCxn id="3190" idx="2"/>
        </xdr:cNvCxnSpPr>
      </xdr:nvCxnSpPr>
      <xdr:spPr bwMode="auto">
        <a:xfrm flipV="1">
          <a:off x="3568700" y="1098550"/>
          <a:ext cx="1270000" cy="8445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431800</xdr:colOff>
      <xdr:row>1</xdr:row>
      <xdr:rowOff>152400</xdr:rowOff>
    </xdr:from>
    <xdr:to>
      <xdr:col>6</xdr:col>
      <xdr:colOff>1117600</xdr:colOff>
      <xdr:row>6</xdr:row>
      <xdr:rowOff>25400</xdr:rowOff>
    </xdr:to>
    <xdr:cxnSp macro="">
      <xdr:nvCxnSpPr>
        <xdr:cNvPr id="3195" name="AutoShape 123">
          <a:extLst>
            <a:ext uri="{FF2B5EF4-FFF2-40B4-BE49-F238E27FC236}">
              <a16:creationId xmlns:a16="http://schemas.microsoft.com/office/drawing/2014/main" id="{693C5A58-2C3C-4799-B038-CB24A6B8EB93}"/>
            </a:ext>
          </a:extLst>
        </xdr:cNvPr>
        <xdr:cNvCxnSpPr>
          <a:cxnSpLocks noChangeShapeType="1"/>
          <a:stCxn id="3190" idx="6"/>
          <a:endCxn id="3192" idx="1"/>
        </xdr:cNvCxnSpPr>
      </xdr:nvCxnSpPr>
      <xdr:spPr bwMode="auto">
        <a:xfrm flipV="1">
          <a:off x="5619750" y="406400"/>
          <a:ext cx="1327150" cy="6921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431800</xdr:colOff>
      <xdr:row>6</xdr:row>
      <xdr:rowOff>25400</xdr:rowOff>
    </xdr:from>
    <xdr:to>
      <xdr:col>6</xdr:col>
      <xdr:colOff>1117600</xdr:colOff>
      <xdr:row>10</xdr:row>
      <xdr:rowOff>0</xdr:rowOff>
    </xdr:to>
    <xdr:cxnSp macro="">
      <xdr:nvCxnSpPr>
        <xdr:cNvPr id="3196" name="AutoShape 124">
          <a:extLst>
            <a:ext uri="{FF2B5EF4-FFF2-40B4-BE49-F238E27FC236}">
              <a16:creationId xmlns:a16="http://schemas.microsoft.com/office/drawing/2014/main" id="{C69C58CD-8A8C-4494-AC6B-92C916A57AE7}"/>
            </a:ext>
          </a:extLst>
        </xdr:cNvPr>
        <xdr:cNvCxnSpPr>
          <a:cxnSpLocks noChangeShapeType="1"/>
          <a:stCxn id="3190" idx="6"/>
          <a:endCxn id="3193" idx="1"/>
        </xdr:cNvCxnSpPr>
      </xdr:nvCxnSpPr>
      <xdr:spPr bwMode="auto">
        <a:xfrm>
          <a:off x="5619750" y="1098550"/>
          <a:ext cx="1327150" cy="6223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1238250</xdr:colOff>
      <xdr:row>11</xdr:row>
      <xdr:rowOff>63500</xdr:rowOff>
    </xdr:from>
    <xdr:to>
      <xdr:col>4</xdr:col>
      <xdr:colOff>400050</xdr:colOff>
      <xdr:row>14</xdr:row>
      <xdr:rowOff>19050</xdr:rowOff>
    </xdr:to>
    <xdr:cxnSp macro="">
      <xdr:nvCxnSpPr>
        <xdr:cNvPr id="3197" name="AutoShape 125">
          <a:extLst>
            <a:ext uri="{FF2B5EF4-FFF2-40B4-BE49-F238E27FC236}">
              <a16:creationId xmlns:a16="http://schemas.microsoft.com/office/drawing/2014/main" id="{89CE0C5D-BCAF-4EA0-A458-A04EC424A9D5}"/>
            </a:ext>
          </a:extLst>
        </xdr:cNvPr>
        <xdr:cNvCxnSpPr>
          <a:cxnSpLocks noChangeShapeType="1"/>
          <a:stCxn id="3139" idx="3"/>
          <a:endCxn id="3191" idx="1"/>
        </xdr:cNvCxnSpPr>
      </xdr:nvCxnSpPr>
      <xdr:spPr bwMode="auto">
        <a:xfrm>
          <a:off x="3568700" y="1943100"/>
          <a:ext cx="939800" cy="4318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590550</xdr:colOff>
      <xdr:row>26</xdr:row>
      <xdr:rowOff>120650</xdr:rowOff>
    </xdr:from>
    <xdr:to>
      <xdr:col>3</xdr:col>
      <xdr:colOff>1289050</xdr:colOff>
      <xdr:row>30</xdr:row>
      <xdr:rowOff>114300</xdr:rowOff>
    </xdr:to>
    <xdr:sp macro="" textlink="">
      <xdr:nvSpPr>
        <xdr:cNvPr id="3198" name="Oval 126">
          <a:extLst>
            <a:ext uri="{FF2B5EF4-FFF2-40B4-BE49-F238E27FC236}">
              <a16:creationId xmlns:a16="http://schemas.microsoft.com/office/drawing/2014/main" id="{7546867E-09BF-4496-8764-9D21CE7F962B}"/>
            </a:ext>
          </a:extLst>
        </xdr:cNvPr>
        <xdr:cNvSpPr>
          <a:spLocks noChangeArrowheads="1"/>
        </xdr:cNvSpPr>
      </xdr:nvSpPr>
      <xdr:spPr bwMode="auto">
        <a:xfrm>
          <a:off x="2921000" y="4381500"/>
          <a:ext cx="698500" cy="6286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FF00" mc:Ignorable="a14" a14:legacySpreadsheetColorIndex="11"/>
              </a:solidFill>
            </a14:hiddenFill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cSurv</a:t>
          </a:r>
        </a:p>
      </xdr:txBody>
    </xdr:sp>
    <xdr:clientData/>
  </xdr:twoCellAnchor>
  <xdr:twoCellAnchor>
    <xdr:from>
      <xdr:col>4</xdr:col>
      <xdr:colOff>749300</xdr:colOff>
      <xdr:row>19</xdr:row>
      <xdr:rowOff>82550</xdr:rowOff>
    </xdr:from>
    <xdr:to>
      <xdr:col>5</xdr:col>
      <xdr:colOff>247650</xdr:colOff>
      <xdr:row>22</xdr:row>
      <xdr:rowOff>114300</xdr:rowOff>
    </xdr:to>
    <xdr:sp macro="" textlink="">
      <xdr:nvSpPr>
        <xdr:cNvPr id="3199" name="Rectangle 127">
          <a:extLst>
            <a:ext uri="{FF2B5EF4-FFF2-40B4-BE49-F238E27FC236}">
              <a16:creationId xmlns:a16="http://schemas.microsoft.com/office/drawing/2014/main" id="{71EEC216-C431-4DD3-AFA3-874BC11CDC43}"/>
            </a:ext>
          </a:extLst>
        </xdr:cNvPr>
        <xdr:cNvSpPr>
          <a:spLocks noChangeArrowheads="1"/>
        </xdr:cNvSpPr>
      </xdr:nvSpPr>
      <xdr:spPr bwMode="auto">
        <a:xfrm>
          <a:off x="4857750" y="3232150"/>
          <a:ext cx="577850" cy="5080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dS: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Ghost Tours?</a:t>
          </a:r>
        </a:p>
      </xdr:txBody>
    </xdr:sp>
    <xdr:clientData/>
  </xdr:twoCellAnchor>
  <xdr:twoCellAnchor>
    <xdr:from>
      <xdr:col>4</xdr:col>
      <xdr:colOff>666750</xdr:colOff>
      <xdr:row>33</xdr:row>
      <xdr:rowOff>76200</xdr:rowOff>
    </xdr:from>
    <xdr:to>
      <xdr:col>5</xdr:col>
      <xdr:colOff>171450</xdr:colOff>
      <xdr:row>36</xdr:row>
      <xdr:rowOff>101600</xdr:rowOff>
    </xdr:to>
    <xdr:sp macro="" textlink="">
      <xdr:nvSpPr>
        <xdr:cNvPr id="3200" name="Rectangle 128">
          <a:extLst>
            <a:ext uri="{FF2B5EF4-FFF2-40B4-BE49-F238E27FC236}">
              <a16:creationId xmlns:a16="http://schemas.microsoft.com/office/drawing/2014/main" id="{4D7E662D-10A8-4355-A3C4-25212326DF2E}"/>
            </a:ext>
          </a:extLst>
        </xdr:cNvPr>
        <xdr:cNvSpPr>
          <a:spLocks noChangeArrowheads="1"/>
        </xdr:cNvSpPr>
      </xdr:nvSpPr>
      <xdr:spPr bwMode="auto">
        <a:xfrm>
          <a:off x="4775200" y="5448300"/>
          <a:ext cx="584200" cy="50165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dF: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Ghost Tours?</a:t>
          </a:r>
        </a:p>
      </xdr:txBody>
    </xdr:sp>
    <xdr:clientData/>
  </xdr:twoCellAnchor>
  <xdr:twoCellAnchor>
    <xdr:from>
      <xdr:col>6</xdr:col>
      <xdr:colOff>1117600</xdr:colOff>
      <xdr:row>29</xdr:row>
      <xdr:rowOff>114300</xdr:rowOff>
    </xdr:from>
    <xdr:to>
      <xdr:col>7</xdr:col>
      <xdr:colOff>609600</xdr:colOff>
      <xdr:row>33</xdr:row>
      <xdr:rowOff>57150</xdr:rowOff>
    </xdr:to>
    <xdr:sp macro="" textlink="">
      <xdr:nvSpPr>
        <xdr:cNvPr id="3201" name="Oval 129">
          <a:extLst>
            <a:ext uri="{FF2B5EF4-FFF2-40B4-BE49-F238E27FC236}">
              <a16:creationId xmlns:a16="http://schemas.microsoft.com/office/drawing/2014/main" id="{E9EE6D00-AA6E-4788-8C2B-B4CB5049EC0C}"/>
            </a:ext>
          </a:extLst>
        </xdr:cNvPr>
        <xdr:cNvSpPr>
          <a:spLocks noChangeArrowheads="1"/>
        </xdr:cNvSpPr>
      </xdr:nvSpPr>
      <xdr:spPr bwMode="auto">
        <a:xfrm>
          <a:off x="6946900" y="4851400"/>
          <a:ext cx="622300" cy="5778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FF00" mc:Ignorable="a14" a14:legacySpreadsheetColorIndex="11"/>
              </a:solidFill>
            </a14:hiddenFill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cSP</a:t>
          </a:r>
        </a:p>
      </xdr:txBody>
    </xdr:sp>
    <xdr:clientData/>
  </xdr:twoCellAnchor>
  <xdr:twoCellAnchor>
    <xdr:from>
      <xdr:col>2</xdr:col>
      <xdr:colOff>12700</xdr:colOff>
      <xdr:row>17</xdr:row>
      <xdr:rowOff>82550</xdr:rowOff>
    </xdr:from>
    <xdr:to>
      <xdr:col>3</xdr:col>
      <xdr:colOff>590550</xdr:colOff>
      <xdr:row>28</xdr:row>
      <xdr:rowOff>120650</xdr:rowOff>
    </xdr:to>
    <xdr:cxnSp macro="">
      <xdr:nvCxnSpPr>
        <xdr:cNvPr id="3202" name="AutoShape 130">
          <a:extLst>
            <a:ext uri="{FF2B5EF4-FFF2-40B4-BE49-F238E27FC236}">
              <a16:creationId xmlns:a16="http://schemas.microsoft.com/office/drawing/2014/main" id="{9F8CABF0-F32A-4796-921C-287E917C9520}"/>
            </a:ext>
          </a:extLst>
        </xdr:cNvPr>
        <xdr:cNvCxnSpPr>
          <a:cxnSpLocks noChangeShapeType="1"/>
          <a:stCxn id="3162" idx="3"/>
          <a:endCxn id="3198" idx="2"/>
        </xdr:cNvCxnSpPr>
      </xdr:nvCxnSpPr>
      <xdr:spPr bwMode="auto">
        <a:xfrm>
          <a:off x="1701800" y="2914650"/>
          <a:ext cx="1219200" cy="17843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1289050</xdr:colOff>
      <xdr:row>21</xdr:row>
      <xdr:rowOff>19050</xdr:rowOff>
    </xdr:from>
    <xdr:to>
      <xdr:col>4</xdr:col>
      <xdr:colOff>742950</xdr:colOff>
      <xdr:row>28</xdr:row>
      <xdr:rowOff>120650</xdr:rowOff>
    </xdr:to>
    <xdr:cxnSp macro="">
      <xdr:nvCxnSpPr>
        <xdr:cNvPr id="3203" name="AutoShape 131">
          <a:extLst>
            <a:ext uri="{FF2B5EF4-FFF2-40B4-BE49-F238E27FC236}">
              <a16:creationId xmlns:a16="http://schemas.microsoft.com/office/drawing/2014/main" id="{D1E7565B-41CC-4A7E-84A1-6A7CD84D1CDA}"/>
            </a:ext>
          </a:extLst>
        </xdr:cNvPr>
        <xdr:cNvCxnSpPr>
          <a:cxnSpLocks noChangeShapeType="1"/>
          <a:stCxn id="3198" idx="6"/>
          <a:endCxn id="3199" idx="1"/>
        </xdr:cNvCxnSpPr>
      </xdr:nvCxnSpPr>
      <xdr:spPr bwMode="auto">
        <a:xfrm flipV="1">
          <a:off x="3619500" y="3486150"/>
          <a:ext cx="1231900" cy="12128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1289050</xdr:colOff>
      <xdr:row>28</xdr:row>
      <xdr:rowOff>120650</xdr:rowOff>
    </xdr:from>
    <xdr:to>
      <xdr:col>4</xdr:col>
      <xdr:colOff>660400</xdr:colOff>
      <xdr:row>35</xdr:row>
      <xdr:rowOff>6350</xdr:rowOff>
    </xdr:to>
    <xdr:cxnSp macro="">
      <xdr:nvCxnSpPr>
        <xdr:cNvPr id="3204" name="AutoShape 132">
          <a:extLst>
            <a:ext uri="{FF2B5EF4-FFF2-40B4-BE49-F238E27FC236}">
              <a16:creationId xmlns:a16="http://schemas.microsoft.com/office/drawing/2014/main" id="{E6C08540-DFA1-4132-A21C-D69D608B5404}"/>
            </a:ext>
          </a:extLst>
        </xdr:cNvPr>
        <xdr:cNvCxnSpPr>
          <a:cxnSpLocks noChangeShapeType="1"/>
          <a:stCxn id="3198" idx="6"/>
          <a:endCxn id="3200" idx="1"/>
        </xdr:cNvCxnSpPr>
      </xdr:nvCxnSpPr>
      <xdr:spPr bwMode="auto">
        <a:xfrm>
          <a:off x="3619500" y="4699000"/>
          <a:ext cx="1149350" cy="9969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260350</xdr:colOff>
      <xdr:row>16</xdr:row>
      <xdr:rowOff>120650</xdr:rowOff>
    </xdr:from>
    <xdr:to>
      <xdr:col>6</xdr:col>
      <xdr:colOff>1117600</xdr:colOff>
      <xdr:row>21</xdr:row>
      <xdr:rowOff>19050</xdr:rowOff>
    </xdr:to>
    <xdr:cxnSp macro="">
      <xdr:nvCxnSpPr>
        <xdr:cNvPr id="3205" name="AutoShape 133">
          <a:extLst>
            <a:ext uri="{FF2B5EF4-FFF2-40B4-BE49-F238E27FC236}">
              <a16:creationId xmlns:a16="http://schemas.microsoft.com/office/drawing/2014/main" id="{F6FB4EFC-6757-4CB8-BD95-B9DA1D3E77CD}"/>
            </a:ext>
          </a:extLst>
        </xdr:cNvPr>
        <xdr:cNvCxnSpPr>
          <a:cxnSpLocks noChangeShapeType="1"/>
          <a:stCxn id="3199" idx="3"/>
          <a:endCxn id="3152" idx="2"/>
        </xdr:cNvCxnSpPr>
      </xdr:nvCxnSpPr>
      <xdr:spPr bwMode="auto">
        <a:xfrm flipV="1">
          <a:off x="5448300" y="2794000"/>
          <a:ext cx="1498600" cy="6921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177800</xdr:colOff>
      <xdr:row>31</xdr:row>
      <xdr:rowOff>82550</xdr:rowOff>
    </xdr:from>
    <xdr:to>
      <xdr:col>6</xdr:col>
      <xdr:colOff>1117600</xdr:colOff>
      <xdr:row>35</xdr:row>
      <xdr:rowOff>6350</xdr:rowOff>
    </xdr:to>
    <xdr:cxnSp macro="">
      <xdr:nvCxnSpPr>
        <xdr:cNvPr id="3207" name="AutoShape 135">
          <a:extLst>
            <a:ext uri="{FF2B5EF4-FFF2-40B4-BE49-F238E27FC236}">
              <a16:creationId xmlns:a16="http://schemas.microsoft.com/office/drawing/2014/main" id="{8344843D-C986-4A3C-8825-0C94E41526CA}"/>
            </a:ext>
          </a:extLst>
        </xdr:cNvPr>
        <xdr:cNvCxnSpPr>
          <a:cxnSpLocks noChangeShapeType="1"/>
          <a:stCxn id="3200" idx="3"/>
          <a:endCxn id="3201" idx="2"/>
        </xdr:cNvCxnSpPr>
      </xdr:nvCxnSpPr>
      <xdr:spPr bwMode="auto">
        <a:xfrm flipV="1">
          <a:off x="5365750" y="5137150"/>
          <a:ext cx="1581150" cy="5588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0</xdr:colOff>
      <xdr:row>21</xdr:row>
      <xdr:rowOff>139700</xdr:rowOff>
    </xdr:from>
    <xdr:to>
      <xdr:col>8</xdr:col>
      <xdr:colOff>431800</xdr:colOff>
      <xdr:row>24</xdr:row>
      <xdr:rowOff>25400</xdr:rowOff>
    </xdr:to>
    <xdr:sp macro="" textlink="">
      <xdr:nvSpPr>
        <xdr:cNvPr id="3208" name="Rectangle 136">
          <a:extLst>
            <a:ext uri="{FF2B5EF4-FFF2-40B4-BE49-F238E27FC236}">
              <a16:creationId xmlns:a16="http://schemas.microsoft.com/office/drawing/2014/main" id="{E9D44095-E0AB-4719-86B3-602E9BDA18D2}"/>
            </a:ext>
          </a:extLst>
        </xdr:cNvPr>
        <xdr:cNvSpPr>
          <a:spLocks noChangeArrowheads="1"/>
        </xdr:cNvSpPr>
      </xdr:nvSpPr>
      <xdr:spPr bwMode="auto">
        <a:xfrm>
          <a:off x="6959600" y="3606800"/>
          <a:ext cx="11493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38</xdr:row>
      <xdr:rowOff>63500</xdr:rowOff>
    </xdr:from>
    <xdr:to>
      <xdr:col>8</xdr:col>
      <xdr:colOff>431800</xdr:colOff>
      <xdr:row>40</xdr:row>
      <xdr:rowOff>114300</xdr:rowOff>
    </xdr:to>
    <xdr:sp macro="" textlink="">
      <xdr:nvSpPr>
        <xdr:cNvPr id="3209" name="Rectangle 137">
          <a:extLst>
            <a:ext uri="{FF2B5EF4-FFF2-40B4-BE49-F238E27FC236}">
              <a16:creationId xmlns:a16="http://schemas.microsoft.com/office/drawing/2014/main" id="{59612680-D870-469A-B767-1A1EEED23D63}"/>
            </a:ext>
          </a:extLst>
        </xdr:cNvPr>
        <xdr:cNvSpPr>
          <a:spLocks noChangeArrowheads="1"/>
        </xdr:cNvSpPr>
      </xdr:nvSpPr>
      <xdr:spPr bwMode="auto">
        <a:xfrm>
          <a:off x="6959600" y="6229350"/>
          <a:ext cx="1149350" cy="368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0</xdr:colOff>
      <xdr:row>11</xdr:row>
      <xdr:rowOff>114300</xdr:rowOff>
    </xdr:from>
    <xdr:to>
      <xdr:col>11</xdr:col>
      <xdr:colOff>431800</xdr:colOff>
      <xdr:row>14</xdr:row>
      <xdr:rowOff>0</xdr:rowOff>
    </xdr:to>
    <xdr:sp macro="" textlink="">
      <xdr:nvSpPr>
        <xdr:cNvPr id="3210" name="Rectangle 138">
          <a:extLst>
            <a:ext uri="{FF2B5EF4-FFF2-40B4-BE49-F238E27FC236}">
              <a16:creationId xmlns:a16="http://schemas.microsoft.com/office/drawing/2014/main" id="{2A873F2E-2BF8-4A1D-9414-E6338E26A3F5}"/>
            </a:ext>
          </a:extLst>
        </xdr:cNvPr>
        <xdr:cNvSpPr>
          <a:spLocks noChangeArrowheads="1"/>
        </xdr:cNvSpPr>
      </xdr:nvSpPr>
      <xdr:spPr bwMode="auto">
        <a:xfrm>
          <a:off x="8978900" y="1993900"/>
          <a:ext cx="11493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0</xdr:colOff>
      <xdr:row>18</xdr:row>
      <xdr:rowOff>38100</xdr:rowOff>
    </xdr:from>
    <xdr:to>
      <xdr:col>11</xdr:col>
      <xdr:colOff>431800</xdr:colOff>
      <xdr:row>20</xdr:row>
      <xdr:rowOff>82550</xdr:rowOff>
    </xdr:to>
    <xdr:sp macro="" textlink="">
      <xdr:nvSpPr>
        <xdr:cNvPr id="3211" name="Rectangle 139">
          <a:extLst>
            <a:ext uri="{FF2B5EF4-FFF2-40B4-BE49-F238E27FC236}">
              <a16:creationId xmlns:a16="http://schemas.microsoft.com/office/drawing/2014/main" id="{E0FAD379-6321-4379-9D7D-219863320052}"/>
            </a:ext>
          </a:extLst>
        </xdr:cNvPr>
        <xdr:cNvSpPr>
          <a:spLocks noChangeArrowheads="1"/>
        </xdr:cNvSpPr>
      </xdr:nvSpPr>
      <xdr:spPr bwMode="auto">
        <a:xfrm>
          <a:off x="8978900" y="3028950"/>
          <a:ext cx="11493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0</xdr:colOff>
      <xdr:row>26</xdr:row>
      <xdr:rowOff>101600</xdr:rowOff>
    </xdr:from>
    <xdr:to>
      <xdr:col>11</xdr:col>
      <xdr:colOff>431800</xdr:colOff>
      <xdr:row>28</xdr:row>
      <xdr:rowOff>152400</xdr:rowOff>
    </xdr:to>
    <xdr:sp macro="" textlink="">
      <xdr:nvSpPr>
        <xdr:cNvPr id="3212" name="Rectangle 140">
          <a:extLst>
            <a:ext uri="{FF2B5EF4-FFF2-40B4-BE49-F238E27FC236}">
              <a16:creationId xmlns:a16="http://schemas.microsoft.com/office/drawing/2014/main" id="{F62DE3A4-767C-43AB-AF67-60886D4DC4F7}"/>
            </a:ext>
          </a:extLst>
        </xdr:cNvPr>
        <xdr:cNvSpPr>
          <a:spLocks noChangeArrowheads="1"/>
        </xdr:cNvSpPr>
      </xdr:nvSpPr>
      <xdr:spPr bwMode="auto">
        <a:xfrm>
          <a:off x="8978900" y="4362450"/>
          <a:ext cx="1149350" cy="368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12700</xdr:colOff>
      <xdr:row>33</xdr:row>
      <xdr:rowOff>82550</xdr:rowOff>
    </xdr:from>
    <xdr:to>
      <xdr:col>11</xdr:col>
      <xdr:colOff>438150</xdr:colOff>
      <xdr:row>35</xdr:row>
      <xdr:rowOff>133350</xdr:rowOff>
    </xdr:to>
    <xdr:sp macro="" textlink="">
      <xdr:nvSpPr>
        <xdr:cNvPr id="3213" name="Rectangle 141">
          <a:extLst>
            <a:ext uri="{FF2B5EF4-FFF2-40B4-BE49-F238E27FC236}">
              <a16:creationId xmlns:a16="http://schemas.microsoft.com/office/drawing/2014/main" id="{ABA7E891-6FD9-4901-ADB4-6A406D387773}"/>
            </a:ext>
          </a:extLst>
        </xdr:cNvPr>
        <xdr:cNvSpPr>
          <a:spLocks noChangeArrowheads="1"/>
        </xdr:cNvSpPr>
      </xdr:nvSpPr>
      <xdr:spPr bwMode="auto">
        <a:xfrm>
          <a:off x="8991600" y="5454650"/>
          <a:ext cx="1143000" cy="368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177800</xdr:colOff>
      <xdr:row>35</xdr:row>
      <xdr:rowOff>6350</xdr:rowOff>
    </xdr:from>
    <xdr:to>
      <xdr:col>6</xdr:col>
      <xdr:colOff>1117600</xdr:colOff>
      <xdr:row>39</xdr:row>
      <xdr:rowOff>95250</xdr:rowOff>
    </xdr:to>
    <xdr:cxnSp macro="">
      <xdr:nvCxnSpPr>
        <xdr:cNvPr id="3214" name="AutoShape 142">
          <a:extLst>
            <a:ext uri="{FF2B5EF4-FFF2-40B4-BE49-F238E27FC236}">
              <a16:creationId xmlns:a16="http://schemas.microsoft.com/office/drawing/2014/main" id="{73F30725-952C-4792-AB30-A517601139A3}"/>
            </a:ext>
          </a:extLst>
        </xdr:cNvPr>
        <xdr:cNvCxnSpPr>
          <a:cxnSpLocks noChangeShapeType="1"/>
          <a:stCxn id="3200" idx="3"/>
          <a:endCxn id="3209" idx="1"/>
        </xdr:cNvCxnSpPr>
      </xdr:nvCxnSpPr>
      <xdr:spPr bwMode="auto">
        <a:xfrm>
          <a:off x="5365750" y="5695950"/>
          <a:ext cx="1581150" cy="7239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260350</xdr:colOff>
      <xdr:row>21</xdr:row>
      <xdr:rowOff>19050</xdr:rowOff>
    </xdr:from>
    <xdr:to>
      <xdr:col>6</xdr:col>
      <xdr:colOff>1117600</xdr:colOff>
      <xdr:row>23</xdr:row>
      <xdr:rowOff>6350</xdr:rowOff>
    </xdr:to>
    <xdr:cxnSp macro="">
      <xdr:nvCxnSpPr>
        <xdr:cNvPr id="3215" name="AutoShape 143">
          <a:extLst>
            <a:ext uri="{FF2B5EF4-FFF2-40B4-BE49-F238E27FC236}">
              <a16:creationId xmlns:a16="http://schemas.microsoft.com/office/drawing/2014/main" id="{666A5884-9C40-4AC5-8A37-A4ED9B3E3082}"/>
            </a:ext>
          </a:extLst>
        </xdr:cNvPr>
        <xdr:cNvCxnSpPr>
          <a:cxnSpLocks noChangeShapeType="1"/>
          <a:stCxn id="3199" idx="3"/>
          <a:endCxn id="3208" idx="1"/>
        </xdr:cNvCxnSpPr>
      </xdr:nvCxnSpPr>
      <xdr:spPr bwMode="auto">
        <a:xfrm>
          <a:off x="5448300" y="3486150"/>
          <a:ext cx="1498600" cy="3048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609600</xdr:colOff>
      <xdr:row>12</xdr:row>
      <xdr:rowOff>139700</xdr:rowOff>
    </xdr:from>
    <xdr:to>
      <xdr:col>9</xdr:col>
      <xdr:colOff>647700</xdr:colOff>
      <xdr:row>16</xdr:row>
      <xdr:rowOff>120650</xdr:rowOff>
    </xdr:to>
    <xdr:cxnSp macro="">
      <xdr:nvCxnSpPr>
        <xdr:cNvPr id="3216" name="AutoShape 144">
          <a:extLst>
            <a:ext uri="{FF2B5EF4-FFF2-40B4-BE49-F238E27FC236}">
              <a16:creationId xmlns:a16="http://schemas.microsoft.com/office/drawing/2014/main" id="{E787057F-D2FE-4758-98BA-23D7B1745307}"/>
            </a:ext>
          </a:extLst>
        </xdr:cNvPr>
        <xdr:cNvCxnSpPr>
          <a:cxnSpLocks noChangeShapeType="1"/>
          <a:stCxn id="3152" idx="6"/>
          <a:endCxn id="3210" idx="1"/>
        </xdr:cNvCxnSpPr>
      </xdr:nvCxnSpPr>
      <xdr:spPr bwMode="auto">
        <a:xfrm flipV="1">
          <a:off x="7569200" y="2178050"/>
          <a:ext cx="1397000" cy="6159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609600</xdr:colOff>
      <xdr:row>16</xdr:row>
      <xdr:rowOff>120650</xdr:rowOff>
    </xdr:from>
    <xdr:to>
      <xdr:col>9</xdr:col>
      <xdr:colOff>647700</xdr:colOff>
      <xdr:row>19</xdr:row>
      <xdr:rowOff>63500</xdr:rowOff>
    </xdr:to>
    <xdr:cxnSp macro="">
      <xdr:nvCxnSpPr>
        <xdr:cNvPr id="3217" name="AutoShape 145">
          <a:extLst>
            <a:ext uri="{FF2B5EF4-FFF2-40B4-BE49-F238E27FC236}">
              <a16:creationId xmlns:a16="http://schemas.microsoft.com/office/drawing/2014/main" id="{CA1CB4B8-0111-40CC-B463-7EB482566CEA}"/>
            </a:ext>
          </a:extLst>
        </xdr:cNvPr>
        <xdr:cNvCxnSpPr>
          <a:cxnSpLocks noChangeShapeType="1"/>
          <a:stCxn id="3152" idx="6"/>
          <a:endCxn id="3211" idx="1"/>
        </xdr:cNvCxnSpPr>
      </xdr:nvCxnSpPr>
      <xdr:spPr bwMode="auto">
        <a:xfrm>
          <a:off x="7569200" y="2794000"/>
          <a:ext cx="1397000" cy="4191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609600</xdr:colOff>
      <xdr:row>27</xdr:row>
      <xdr:rowOff>133350</xdr:rowOff>
    </xdr:from>
    <xdr:to>
      <xdr:col>9</xdr:col>
      <xdr:colOff>647700</xdr:colOff>
      <xdr:row>31</xdr:row>
      <xdr:rowOff>82550</xdr:rowOff>
    </xdr:to>
    <xdr:cxnSp macro="">
      <xdr:nvCxnSpPr>
        <xdr:cNvPr id="3218" name="AutoShape 146">
          <a:extLst>
            <a:ext uri="{FF2B5EF4-FFF2-40B4-BE49-F238E27FC236}">
              <a16:creationId xmlns:a16="http://schemas.microsoft.com/office/drawing/2014/main" id="{04BF7472-91E3-497D-AE1C-BCE0F1348941}"/>
            </a:ext>
          </a:extLst>
        </xdr:cNvPr>
        <xdr:cNvCxnSpPr>
          <a:cxnSpLocks noChangeShapeType="1"/>
          <a:stCxn id="3201" idx="6"/>
          <a:endCxn id="3212" idx="1"/>
        </xdr:cNvCxnSpPr>
      </xdr:nvCxnSpPr>
      <xdr:spPr bwMode="auto">
        <a:xfrm flipV="1">
          <a:off x="7569200" y="4552950"/>
          <a:ext cx="1397000" cy="5842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609600</xdr:colOff>
      <xdr:row>31</xdr:row>
      <xdr:rowOff>82550</xdr:rowOff>
    </xdr:from>
    <xdr:to>
      <xdr:col>10</xdr:col>
      <xdr:colOff>0</xdr:colOff>
      <xdr:row>34</xdr:row>
      <xdr:rowOff>114300</xdr:rowOff>
    </xdr:to>
    <xdr:cxnSp macro="">
      <xdr:nvCxnSpPr>
        <xdr:cNvPr id="3219" name="AutoShape 147">
          <a:extLst>
            <a:ext uri="{FF2B5EF4-FFF2-40B4-BE49-F238E27FC236}">
              <a16:creationId xmlns:a16="http://schemas.microsoft.com/office/drawing/2014/main" id="{CD5786E3-9435-48F8-8595-FB8B552B95FC}"/>
            </a:ext>
          </a:extLst>
        </xdr:cNvPr>
        <xdr:cNvCxnSpPr>
          <a:cxnSpLocks noChangeShapeType="1"/>
          <a:stCxn id="3201" idx="6"/>
          <a:endCxn id="3213" idx="1"/>
        </xdr:cNvCxnSpPr>
      </xdr:nvCxnSpPr>
      <xdr:spPr bwMode="auto">
        <a:xfrm>
          <a:off x="7569200" y="5137150"/>
          <a:ext cx="1409700" cy="5080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3</xdr:col>
      <xdr:colOff>1136650</xdr:colOff>
      <xdr:row>23</xdr:row>
      <xdr:rowOff>25400</xdr:rowOff>
    </xdr:from>
    <xdr:ext cx="863600" cy="230716"/>
    <xdr:sp macro="" textlink="">
      <xdr:nvSpPr>
        <xdr:cNvPr id="3221" name="Text Box 149">
          <a:extLst>
            <a:ext uri="{FF2B5EF4-FFF2-40B4-BE49-F238E27FC236}">
              <a16:creationId xmlns:a16="http://schemas.microsoft.com/office/drawing/2014/main" id="{77EF326A-A483-4BBF-9032-625BE3C29D72}"/>
            </a:ext>
          </a:extLst>
        </xdr:cNvPr>
        <xdr:cNvSpPr txBox="1">
          <a:spLocks noChangeArrowheads="1"/>
        </xdr:cNvSpPr>
      </xdr:nvSpPr>
      <xdr:spPr bwMode="auto">
        <a:xfrm>
          <a:off x="3467100" y="3810000"/>
          <a:ext cx="86360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"succeed"</a:t>
          </a:r>
        </a:p>
      </xdr:txBody>
    </xdr:sp>
    <xdr:clientData/>
  </xdr:oneCellAnchor>
  <xdr:oneCellAnchor>
    <xdr:from>
      <xdr:col>3</xdr:col>
      <xdr:colOff>1365250</xdr:colOff>
      <xdr:row>33</xdr:row>
      <xdr:rowOff>82550</xdr:rowOff>
    </xdr:from>
    <xdr:ext cx="514350" cy="230717"/>
    <xdr:sp macro="" textlink="">
      <xdr:nvSpPr>
        <xdr:cNvPr id="3222" name="Text Box 150">
          <a:extLst>
            <a:ext uri="{FF2B5EF4-FFF2-40B4-BE49-F238E27FC236}">
              <a16:creationId xmlns:a16="http://schemas.microsoft.com/office/drawing/2014/main" id="{87ED7C97-4927-48BA-8E3C-4390C729451D}"/>
            </a:ext>
          </a:extLst>
        </xdr:cNvPr>
        <xdr:cNvSpPr txBox="1">
          <a:spLocks noChangeArrowheads="1"/>
        </xdr:cNvSpPr>
      </xdr:nvSpPr>
      <xdr:spPr bwMode="auto">
        <a:xfrm>
          <a:off x="3695700" y="5454650"/>
          <a:ext cx="51435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"flop"</a:t>
          </a:r>
        </a:p>
      </xdr:txBody>
    </xdr:sp>
    <xdr:clientData/>
  </xdr:oneCellAnchor>
  <xdr:oneCellAnchor>
    <xdr:from>
      <xdr:col>3</xdr:col>
      <xdr:colOff>1390650</xdr:colOff>
      <xdr:row>7</xdr:row>
      <xdr:rowOff>44450</xdr:rowOff>
    </xdr:from>
    <xdr:ext cx="355600" cy="224367"/>
    <xdr:sp macro="" textlink="">
      <xdr:nvSpPr>
        <xdr:cNvPr id="3223" name="Text Box 151">
          <a:extLst>
            <a:ext uri="{FF2B5EF4-FFF2-40B4-BE49-F238E27FC236}">
              <a16:creationId xmlns:a16="http://schemas.microsoft.com/office/drawing/2014/main" id="{5A5B6F3B-9AC3-406E-B545-6B0AD0DEE163}"/>
            </a:ext>
          </a:extLst>
        </xdr:cNvPr>
        <xdr:cNvSpPr txBox="1">
          <a:spLocks noChangeArrowheads="1"/>
        </xdr:cNvSpPr>
      </xdr:nvSpPr>
      <xdr:spPr bwMode="auto">
        <a:xfrm>
          <a:off x="3721100" y="1276350"/>
          <a:ext cx="3556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oneCellAnchor>
  <xdr:oneCellAnchor>
    <xdr:from>
      <xdr:col>3</xdr:col>
      <xdr:colOff>1397000</xdr:colOff>
      <xdr:row>13</xdr:row>
      <xdr:rowOff>82550</xdr:rowOff>
    </xdr:from>
    <xdr:ext cx="273050" cy="230717"/>
    <xdr:sp macro="" textlink="">
      <xdr:nvSpPr>
        <xdr:cNvPr id="3224" name="Text Box 152">
          <a:extLst>
            <a:ext uri="{FF2B5EF4-FFF2-40B4-BE49-F238E27FC236}">
              <a16:creationId xmlns:a16="http://schemas.microsoft.com/office/drawing/2014/main" id="{4379AEA7-4BBD-4CF6-9E3E-D573EA65BF75}"/>
            </a:ext>
          </a:extLst>
        </xdr:cNvPr>
        <xdr:cNvSpPr txBox="1">
          <a:spLocks noChangeArrowheads="1"/>
        </xdr:cNvSpPr>
      </xdr:nvSpPr>
      <xdr:spPr bwMode="auto">
        <a:xfrm>
          <a:off x="3727450" y="2279650"/>
          <a:ext cx="27305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oneCellAnchor>
  <xdr:oneCellAnchor>
    <xdr:from>
      <xdr:col>5</xdr:col>
      <xdr:colOff>438150</xdr:colOff>
      <xdr:row>1</xdr:row>
      <xdr:rowOff>146050</xdr:rowOff>
    </xdr:from>
    <xdr:ext cx="694267" cy="226483"/>
    <xdr:sp macro="" textlink="">
      <xdr:nvSpPr>
        <xdr:cNvPr id="3225" name="Text Box 153">
          <a:extLst>
            <a:ext uri="{FF2B5EF4-FFF2-40B4-BE49-F238E27FC236}">
              <a16:creationId xmlns:a16="http://schemas.microsoft.com/office/drawing/2014/main" id="{553DC27A-5929-44C7-AF87-8B4FFFC1C5B8}"/>
            </a:ext>
          </a:extLst>
        </xdr:cNvPr>
        <xdr:cNvSpPr txBox="1">
          <a:spLocks noChangeArrowheads="1"/>
        </xdr:cNvSpPr>
      </xdr:nvSpPr>
      <xdr:spPr bwMode="auto">
        <a:xfrm>
          <a:off x="5626100" y="400050"/>
          <a:ext cx="69215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success</a:t>
          </a:r>
        </a:p>
      </xdr:txBody>
    </xdr:sp>
    <xdr:clientData/>
  </xdr:oneCellAnchor>
  <xdr:oneCellAnchor>
    <xdr:from>
      <xdr:col>5</xdr:col>
      <xdr:colOff>552450</xdr:colOff>
      <xdr:row>8</xdr:row>
      <xdr:rowOff>82550</xdr:rowOff>
    </xdr:from>
    <xdr:ext cx="364067" cy="230717"/>
    <xdr:sp macro="" textlink="">
      <xdr:nvSpPr>
        <xdr:cNvPr id="3226" name="Text Box 154">
          <a:extLst>
            <a:ext uri="{FF2B5EF4-FFF2-40B4-BE49-F238E27FC236}">
              <a16:creationId xmlns:a16="http://schemas.microsoft.com/office/drawing/2014/main" id="{AE549E0E-7ED3-4617-AA13-21FFEA483431}"/>
            </a:ext>
          </a:extLst>
        </xdr:cNvPr>
        <xdr:cNvSpPr txBox="1">
          <a:spLocks noChangeArrowheads="1"/>
        </xdr:cNvSpPr>
      </xdr:nvSpPr>
      <xdr:spPr bwMode="auto">
        <a:xfrm>
          <a:off x="5740400" y="1473200"/>
          <a:ext cx="36195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flop</a:t>
          </a:r>
        </a:p>
      </xdr:txBody>
    </xdr:sp>
    <xdr:clientData/>
  </xdr:oneCellAnchor>
  <xdr:oneCellAnchor>
    <xdr:from>
      <xdr:col>8</xdr:col>
      <xdr:colOff>31750</xdr:colOff>
      <xdr:row>12</xdr:row>
      <xdr:rowOff>101600</xdr:rowOff>
    </xdr:from>
    <xdr:ext cx="713317" cy="226484"/>
    <xdr:sp macro="" textlink="">
      <xdr:nvSpPr>
        <xdr:cNvPr id="3227" name="Text Box 155">
          <a:extLst>
            <a:ext uri="{FF2B5EF4-FFF2-40B4-BE49-F238E27FC236}">
              <a16:creationId xmlns:a16="http://schemas.microsoft.com/office/drawing/2014/main" id="{A170E3A3-C1CB-445F-9F23-C2E96D228423}"/>
            </a:ext>
          </a:extLst>
        </xdr:cNvPr>
        <xdr:cNvSpPr txBox="1">
          <a:spLocks noChangeArrowheads="1"/>
        </xdr:cNvSpPr>
      </xdr:nvSpPr>
      <xdr:spPr bwMode="auto">
        <a:xfrm>
          <a:off x="7708900" y="2139950"/>
          <a:ext cx="7112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succeed</a:t>
          </a:r>
        </a:p>
      </xdr:txBody>
    </xdr:sp>
    <xdr:clientData/>
  </xdr:oneCellAnchor>
  <xdr:oneCellAnchor>
    <xdr:from>
      <xdr:col>8</xdr:col>
      <xdr:colOff>228600</xdr:colOff>
      <xdr:row>18</xdr:row>
      <xdr:rowOff>82550</xdr:rowOff>
    </xdr:from>
    <xdr:ext cx="361950" cy="230717"/>
    <xdr:sp macro="" textlink="">
      <xdr:nvSpPr>
        <xdr:cNvPr id="3228" name="Text Box 156">
          <a:extLst>
            <a:ext uri="{FF2B5EF4-FFF2-40B4-BE49-F238E27FC236}">
              <a16:creationId xmlns:a16="http://schemas.microsoft.com/office/drawing/2014/main" id="{02ED0DC5-C513-4DC2-8EE3-D6232EF40B0D}"/>
            </a:ext>
          </a:extLst>
        </xdr:cNvPr>
        <xdr:cNvSpPr txBox="1">
          <a:spLocks noChangeArrowheads="1"/>
        </xdr:cNvSpPr>
      </xdr:nvSpPr>
      <xdr:spPr bwMode="auto">
        <a:xfrm>
          <a:off x="7905750" y="3073400"/>
          <a:ext cx="36195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flop</a:t>
          </a:r>
        </a:p>
      </xdr:txBody>
    </xdr:sp>
    <xdr:clientData/>
  </xdr:oneCellAnchor>
  <xdr:oneCellAnchor>
    <xdr:from>
      <xdr:col>8</xdr:col>
      <xdr:colOff>120650</xdr:colOff>
      <xdr:row>27</xdr:row>
      <xdr:rowOff>101600</xdr:rowOff>
    </xdr:from>
    <xdr:ext cx="706967" cy="226484"/>
    <xdr:sp macro="" textlink="">
      <xdr:nvSpPr>
        <xdr:cNvPr id="3229" name="Text Box 157">
          <a:extLst>
            <a:ext uri="{FF2B5EF4-FFF2-40B4-BE49-F238E27FC236}">
              <a16:creationId xmlns:a16="http://schemas.microsoft.com/office/drawing/2014/main" id="{DF65F930-E631-426A-919F-8833084CA241}"/>
            </a:ext>
          </a:extLst>
        </xdr:cNvPr>
        <xdr:cNvSpPr txBox="1">
          <a:spLocks noChangeArrowheads="1"/>
        </xdr:cNvSpPr>
      </xdr:nvSpPr>
      <xdr:spPr bwMode="auto">
        <a:xfrm>
          <a:off x="7797800" y="4521200"/>
          <a:ext cx="70485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succeed</a:t>
          </a:r>
        </a:p>
      </xdr:txBody>
    </xdr:sp>
    <xdr:clientData/>
  </xdr:oneCellAnchor>
  <xdr:oneCellAnchor>
    <xdr:from>
      <xdr:col>8</xdr:col>
      <xdr:colOff>228600</xdr:colOff>
      <xdr:row>33</xdr:row>
      <xdr:rowOff>69850</xdr:rowOff>
    </xdr:from>
    <xdr:ext cx="361950" cy="224367"/>
    <xdr:sp macro="" textlink="">
      <xdr:nvSpPr>
        <xdr:cNvPr id="3230" name="Text Box 158">
          <a:extLst>
            <a:ext uri="{FF2B5EF4-FFF2-40B4-BE49-F238E27FC236}">
              <a16:creationId xmlns:a16="http://schemas.microsoft.com/office/drawing/2014/main" id="{19034994-4E72-4C6F-B6CD-60611C4A2B64}"/>
            </a:ext>
          </a:extLst>
        </xdr:cNvPr>
        <xdr:cNvSpPr txBox="1">
          <a:spLocks noChangeArrowheads="1"/>
        </xdr:cNvSpPr>
      </xdr:nvSpPr>
      <xdr:spPr bwMode="auto">
        <a:xfrm>
          <a:off x="7905750" y="5441950"/>
          <a:ext cx="36195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flop</a:t>
          </a:r>
        </a:p>
      </xdr:txBody>
    </xdr:sp>
    <xdr:clientData/>
  </xdr:oneCellAnchor>
  <xdr:oneCellAnchor>
    <xdr:from>
      <xdr:col>2</xdr:col>
      <xdr:colOff>50800</xdr:colOff>
      <xdr:row>11</xdr:row>
      <xdr:rowOff>101600</xdr:rowOff>
    </xdr:from>
    <xdr:ext cx="827617" cy="226483"/>
    <xdr:sp macro="" textlink="">
      <xdr:nvSpPr>
        <xdr:cNvPr id="3231" name="Text Box 159">
          <a:extLst>
            <a:ext uri="{FF2B5EF4-FFF2-40B4-BE49-F238E27FC236}">
              <a16:creationId xmlns:a16="http://schemas.microsoft.com/office/drawing/2014/main" id="{FC4B079F-E815-45E7-BCBD-3DCC74F4D691}"/>
            </a:ext>
          </a:extLst>
        </xdr:cNvPr>
        <xdr:cNvSpPr txBox="1">
          <a:spLocks noChangeArrowheads="1"/>
        </xdr:cNvSpPr>
      </xdr:nvSpPr>
      <xdr:spPr bwMode="auto">
        <a:xfrm>
          <a:off x="1739900" y="1981200"/>
          <a:ext cx="8255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 survey</a:t>
          </a:r>
        </a:p>
      </xdr:txBody>
    </xdr:sp>
    <xdr:clientData/>
  </xdr:oneCellAnchor>
  <xdr:oneCellAnchor>
    <xdr:from>
      <xdr:col>2</xdr:col>
      <xdr:colOff>50800</xdr:colOff>
      <xdr:row>24</xdr:row>
      <xdr:rowOff>146050</xdr:rowOff>
    </xdr:from>
    <xdr:ext cx="599017" cy="226484"/>
    <xdr:sp macro="" textlink="">
      <xdr:nvSpPr>
        <xdr:cNvPr id="3232" name="Text Box 160">
          <a:extLst>
            <a:ext uri="{FF2B5EF4-FFF2-40B4-BE49-F238E27FC236}">
              <a16:creationId xmlns:a16="http://schemas.microsoft.com/office/drawing/2014/main" id="{9715CB90-71CC-444E-8CDE-566CDAF8868F}"/>
            </a:ext>
          </a:extLst>
        </xdr:cNvPr>
        <xdr:cNvSpPr txBox="1">
          <a:spLocks noChangeArrowheads="1"/>
        </xdr:cNvSpPr>
      </xdr:nvSpPr>
      <xdr:spPr bwMode="auto">
        <a:xfrm>
          <a:off x="1739900" y="4089400"/>
          <a:ext cx="5969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survey</a:t>
          </a:r>
        </a:p>
      </xdr:txBody>
    </xdr:sp>
    <xdr:clientData/>
  </xdr:oneCellAnchor>
  <xdr:oneCellAnchor>
    <xdr:from>
      <xdr:col>6</xdr:col>
      <xdr:colOff>95250</xdr:colOff>
      <xdr:row>16</xdr:row>
      <xdr:rowOff>120650</xdr:rowOff>
    </xdr:from>
    <xdr:ext cx="355600" cy="226483"/>
    <xdr:sp macro="" textlink="">
      <xdr:nvSpPr>
        <xdr:cNvPr id="3233" name="Text Box 161">
          <a:extLst>
            <a:ext uri="{FF2B5EF4-FFF2-40B4-BE49-F238E27FC236}">
              <a16:creationId xmlns:a16="http://schemas.microsoft.com/office/drawing/2014/main" id="{8F221827-FE6E-4899-8667-F2E938B2234A}"/>
            </a:ext>
          </a:extLst>
        </xdr:cNvPr>
        <xdr:cNvSpPr txBox="1">
          <a:spLocks noChangeArrowheads="1"/>
        </xdr:cNvSpPr>
      </xdr:nvSpPr>
      <xdr:spPr bwMode="auto">
        <a:xfrm>
          <a:off x="5924550" y="2794000"/>
          <a:ext cx="3556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oneCellAnchor>
  <xdr:oneCellAnchor>
    <xdr:from>
      <xdr:col>6</xdr:col>
      <xdr:colOff>120650</xdr:colOff>
      <xdr:row>22</xdr:row>
      <xdr:rowOff>120650</xdr:rowOff>
    </xdr:from>
    <xdr:ext cx="266700" cy="226483"/>
    <xdr:sp macro="" textlink="">
      <xdr:nvSpPr>
        <xdr:cNvPr id="3234" name="Text Box 162">
          <a:extLst>
            <a:ext uri="{FF2B5EF4-FFF2-40B4-BE49-F238E27FC236}">
              <a16:creationId xmlns:a16="http://schemas.microsoft.com/office/drawing/2014/main" id="{24D974FC-82F8-43CE-BA64-2C2D4A78E6B7}"/>
            </a:ext>
          </a:extLst>
        </xdr:cNvPr>
        <xdr:cNvSpPr txBox="1">
          <a:spLocks noChangeArrowheads="1"/>
        </xdr:cNvSpPr>
      </xdr:nvSpPr>
      <xdr:spPr bwMode="auto">
        <a:xfrm>
          <a:off x="5949950" y="3746500"/>
          <a:ext cx="2667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oneCellAnchor>
  <xdr:oneCellAnchor>
    <xdr:from>
      <xdr:col>6</xdr:col>
      <xdr:colOff>107950</xdr:colOff>
      <xdr:row>31</xdr:row>
      <xdr:rowOff>0</xdr:rowOff>
    </xdr:from>
    <xdr:ext cx="355600" cy="230717"/>
    <xdr:sp macro="" textlink="">
      <xdr:nvSpPr>
        <xdr:cNvPr id="3235" name="Text Box 163">
          <a:extLst>
            <a:ext uri="{FF2B5EF4-FFF2-40B4-BE49-F238E27FC236}">
              <a16:creationId xmlns:a16="http://schemas.microsoft.com/office/drawing/2014/main" id="{1155EF6C-73C2-49CB-9A25-BD614F2DE935}"/>
            </a:ext>
          </a:extLst>
        </xdr:cNvPr>
        <xdr:cNvSpPr txBox="1">
          <a:spLocks noChangeArrowheads="1"/>
        </xdr:cNvSpPr>
      </xdr:nvSpPr>
      <xdr:spPr bwMode="auto">
        <a:xfrm>
          <a:off x="5937250" y="5054600"/>
          <a:ext cx="35560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oneCellAnchor>
  <xdr:oneCellAnchor>
    <xdr:from>
      <xdr:col>6</xdr:col>
      <xdr:colOff>120650</xdr:colOff>
      <xdr:row>37</xdr:row>
      <xdr:rowOff>120650</xdr:rowOff>
    </xdr:from>
    <xdr:ext cx="266700" cy="226483"/>
    <xdr:sp macro="" textlink="">
      <xdr:nvSpPr>
        <xdr:cNvPr id="3236" name="Text Box 164">
          <a:extLst>
            <a:ext uri="{FF2B5EF4-FFF2-40B4-BE49-F238E27FC236}">
              <a16:creationId xmlns:a16="http://schemas.microsoft.com/office/drawing/2014/main" id="{8A3EAB71-8DB1-4004-AFA5-6020B8EA40A1}"/>
            </a:ext>
          </a:extLst>
        </xdr:cNvPr>
        <xdr:cNvSpPr txBox="1">
          <a:spLocks noChangeArrowheads="1"/>
        </xdr:cNvSpPr>
      </xdr:nvSpPr>
      <xdr:spPr bwMode="auto">
        <a:xfrm>
          <a:off x="5949950" y="6127750"/>
          <a:ext cx="2667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34</xdr:row>
      <xdr:rowOff>158750</xdr:rowOff>
    </xdr:from>
    <xdr:ext cx="76200" cy="228600"/>
    <xdr:sp macro="" textlink="">
      <xdr:nvSpPr>
        <xdr:cNvPr id="6153" name="Text Box 9">
          <a:extLst>
            <a:ext uri="{FF2B5EF4-FFF2-40B4-BE49-F238E27FC236}">
              <a16:creationId xmlns:a16="http://schemas.microsoft.com/office/drawing/2014/main" id="{C9D7F142-4161-4513-9604-48BCC2B2BA0B}"/>
            </a:ext>
          </a:extLst>
        </xdr:cNvPr>
        <xdr:cNvSpPr txBox="1">
          <a:spLocks noChangeArrowheads="1"/>
        </xdr:cNvSpPr>
      </xdr:nvSpPr>
      <xdr:spPr bwMode="auto">
        <a:xfrm>
          <a:off x="7835900" y="7435850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8"/>
  <sheetViews>
    <sheetView workbookViewId="0">
      <selection activeCell="D20" sqref="D20"/>
    </sheetView>
  </sheetViews>
  <sheetFormatPr defaultColWidth="9.1796875" defaultRowHeight="15" customHeight="1" x14ac:dyDescent="0.25"/>
  <cols>
    <col min="1" max="1" width="36.453125" style="171" bestFit="1" customWidth="1"/>
    <col min="2" max="16384" width="9.1796875" style="170"/>
  </cols>
  <sheetData>
    <row r="2" spans="1:2" ht="15" customHeight="1" x14ac:dyDescent="0.25">
      <c r="A2" s="169" t="s">
        <v>100</v>
      </c>
    </row>
    <row r="3" spans="1:2" ht="15" customHeight="1" x14ac:dyDescent="0.25">
      <c r="A3" s="171" t="s">
        <v>69</v>
      </c>
      <c r="B3" s="170">
        <f>0.03</f>
        <v>0.03</v>
      </c>
    </row>
    <row r="4" spans="1:2" ht="15" customHeight="1" x14ac:dyDescent="0.25">
      <c r="A4" s="171" t="s">
        <v>70</v>
      </c>
      <c r="B4" s="170">
        <f>0.17</f>
        <v>0.17</v>
      </c>
    </row>
    <row r="5" spans="1:2" ht="15" customHeight="1" x14ac:dyDescent="0.25">
      <c r="A5" s="171" t="s">
        <v>71</v>
      </c>
      <c r="B5" s="170">
        <f>0.12</f>
        <v>0.12</v>
      </c>
    </row>
    <row r="6" spans="1:2" ht="15" customHeight="1" x14ac:dyDescent="0.25">
      <c r="A6" s="171" t="s">
        <v>72</v>
      </c>
      <c r="B6" s="170">
        <f>0.71</f>
        <v>0.71</v>
      </c>
    </row>
    <row r="7" spans="1:2" ht="15" customHeight="1" x14ac:dyDescent="0.25">
      <c r="A7" s="172" t="s">
        <v>73</v>
      </c>
    </row>
    <row r="9" spans="1:2" ht="15" customHeight="1" x14ac:dyDescent="0.25">
      <c r="A9" s="173" t="s">
        <v>78</v>
      </c>
    </row>
    <row r="11" spans="1:2" ht="15" customHeight="1" x14ac:dyDescent="0.25">
      <c r="A11" s="171" t="s">
        <v>74</v>
      </c>
    </row>
    <row r="12" spans="1:2" ht="15" customHeight="1" x14ac:dyDescent="0.25">
      <c r="A12" s="171" t="s">
        <v>76</v>
      </c>
      <c r="B12" s="174">
        <f>B3+B5</f>
        <v>0.15</v>
      </c>
    </row>
    <row r="13" spans="1:2" ht="15" customHeight="1" x14ac:dyDescent="0.25">
      <c r="A13" s="171" t="s">
        <v>75</v>
      </c>
      <c r="B13" s="174">
        <f>1-B12</f>
        <v>0.85</v>
      </c>
    </row>
    <row r="14" spans="1:2" ht="15" customHeight="1" x14ac:dyDescent="0.25">
      <c r="B14" s="174"/>
    </row>
    <row r="15" spans="1:2" ht="15" customHeight="1" x14ac:dyDescent="0.25">
      <c r="A15" s="171" t="s">
        <v>97</v>
      </c>
      <c r="B15" s="174"/>
    </row>
    <row r="16" spans="1:2" ht="15" customHeight="1" x14ac:dyDescent="0.25">
      <c r="A16" s="171" t="s">
        <v>96</v>
      </c>
      <c r="B16" s="174">
        <f>B6-B3</f>
        <v>0.67999999999999994</v>
      </c>
    </row>
    <row r="18" spans="1:3" ht="15" customHeight="1" x14ac:dyDescent="0.25">
      <c r="A18" s="171" t="s">
        <v>77</v>
      </c>
      <c r="B18" s="175">
        <f>B16/B13</f>
        <v>0.79999999999999993</v>
      </c>
    </row>
    <row r="21" spans="1:3" ht="15" customHeight="1" x14ac:dyDescent="0.25">
      <c r="A21" s="169" t="s">
        <v>101</v>
      </c>
    </row>
    <row r="22" spans="1:3" ht="15" customHeight="1" x14ac:dyDescent="0.25">
      <c r="A22" s="171" t="s">
        <v>79</v>
      </c>
      <c r="B22" s="170">
        <f>0.2</f>
        <v>0.2</v>
      </c>
    </row>
    <row r="23" spans="1:3" ht="15" customHeight="1" x14ac:dyDescent="0.25">
      <c r="A23" s="171" t="s">
        <v>80</v>
      </c>
      <c r="B23" s="170">
        <v>0.8</v>
      </c>
    </row>
    <row r="24" spans="1:3" ht="15" customHeight="1" x14ac:dyDescent="0.25">
      <c r="A24" s="171" t="s">
        <v>81</v>
      </c>
      <c r="B24" s="170">
        <v>0.7</v>
      </c>
    </row>
    <row r="25" spans="1:3" ht="15" customHeight="1" x14ac:dyDescent="0.25">
      <c r="A25" s="171" t="s">
        <v>82</v>
      </c>
      <c r="B25" s="170">
        <v>0.6</v>
      </c>
    </row>
    <row r="26" spans="1:3" ht="15" customHeight="1" x14ac:dyDescent="0.25">
      <c r="A26" s="172" t="s">
        <v>83</v>
      </c>
      <c r="B26" s="174" t="s">
        <v>84</v>
      </c>
    </row>
    <row r="28" spans="1:3" ht="15" customHeight="1" x14ac:dyDescent="0.25">
      <c r="A28" s="169" t="s">
        <v>95</v>
      </c>
    </row>
    <row r="30" spans="1:3" ht="15" customHeight="1" x14ac:dyDescent="0.25">
      <c r="A30" s="173" t="s">
        <v>85</v>
      </c>
    </row>
    <row r="31" spans="1:3" ht="15" customHeight="1" x14ac:dyDescent="0.25">
      <c r="A31" s="171" t="s">
        <v>86</v>
      </c>
      <c r="C31" s="174" t="s">
        <v>91</v>
      </c>
    </row>
    <row r="32" spans="1:3" ht="15" customHeight="1" x14ac:dyDescent="0.25">
      <c r="A32" s="173" t="s">
        <v>89</v>
      </c>
    </row>
    <row r="33" spans="1:2" ht="15" customHeight="1" x14ac:dyDescent="0.25">
      <c r="A33" s="173"/>
    </row>
    <row r="34" spans="1:2" ht="15" customHeight="1" x14ac:dyDescent="0.25">
      <c r="A34" s="173" t="s">
        <v>87</v>
      </c>
    </row>
    <row r="35" spans="1:2" ht="15" customHeight="1" x14ac:dyDescent="0.25">
      <c r="A35" s="171" t="s">
        <v>88</v>
      </c>
    </row>
    <row r="36" spans="1:2" ht="15" customHeight="1" x14ac:dyDescent="0.25">
      <c r="A36" s="171" t="s">
        <v>90</v>
      </c>
      <c r="B36" s="172">
        <f>B24*B22</f>
        <v>0.13999999999999999</v>
      </c>
    </row>
    <row r="37" spans="1:2" ht="15" customHeight="1" x14ac:dyDescent="0.25">
      <c r="B37" s="172"/>
    </row>
    <row r="38" spans="1:2" ht="15" customHeight="1" x14ac:dyDescent="0.25">
      <c r="A38" s="173" t="s">
        <v>99</v>
      </c>
    </row>
    <row r="39" spans="1:2" ht="15" customHeight="1" x14ac:dyDescent="0.25">
      <c r="A39" s="173" t="s">
        <v>98</v>
      </c>
    </row>
    <row r="41" spans="1:2" ht="15" customHeight="1" x14ac:dyDescent="0.25">
      <c r="A41" s="171" t="s">
        <v>92</v>
      </c>
      <c r="B41" s="174">
        <f>1-B25</f>
        <v>0.4</v>
      </c>
    </row>
    <row r="43" spans="1:2" ht="15" customHeight="1" x14ac:dyDescent="0.25">
      <c r="A43" s="171" t="s">
        <v>93</v>
      </c>
      <c r="B43" s="174">
        <f>B36+B41*B23</f>
        <v>0.46000000000000008</v>
      </c>
    </row>
    <row r="45" spans="1:2" ht="15" customHeight="1" x14ac:dyDescent="0.25">
      <c r="A45" s="171" t="s">
        <v>94</v>
      </c>
      <c r="B45" s="176">
        <f>B36/B43</f>
        <v>0.30434782608695643</v>
      </c>
    </row>
    <row r="48" spans="1:2" ht="15" customHeight="1" x14ac:dyDescent="0.25">
      <c r="A48" s="172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A10"/>
  <sheetViews>
    <sheetView topLeftCell="A14" zoomScale="75" workbookViewId="0">
      <selection activeCell="A29" sqref="A29"/>
    </sheetView>
  </sheetViews>
  <sheetFormatPr defaultColWidth="9.1796875" defaultRowHeight="12.5" x14ac:dyDescent="0.25"/>
  <cols>
    <col min="1" max="1" width="12.7265625" style="91" customWidth="1"/>
    <col min="2" max="2" width="11.453125" style="91" customWidth="1"/>
    <col min="3" max="3" width="9.1796875" style="91"/>
    <col min="4" max="4" width="25.453125" style="91" bestFit="1" customWidth="1"/>
    <col min="5" max="5" width="15.453125" style="91" customWidth="1"/>
    <col min="6" max="6" width="9.1796875" style="91"/>
    <col min="7" max="7" width="16.1796875" style="91" customWidth="1"/>
    <col min="8" max="8" width="10.26953125" style="91" customWidth="1"/>
    <col min="9" max="9" width="9.1796875" style="91"/>
    <col min="10" max="10" width="9.453125" style="91" customWidth="1"/>
    <col min="11" max="11" width="10.26953125" style="91" customWidth="1"/>
    <col min="12" max="12" width="9.1796875" style="91"/>
    <col min="13" max="13" width="13.81640625" style="91" customWidth="1"/>
    <col min="14" max="14" width="10.26953125" style="91" customWidth="1"/>
    <col min="15" max="15" width="5.26953125" style="91" customWidth="1"/>
    <col min="16" max="16" width="11" style="91" bestFit="1" customWidth="1"/>
    <col min="17" max="17" width="9.1796875" style="91"/>
    <col min="18" max="18" width="10.26953125" style="91" customWidth="1"/>
    <col min="19" max="16384" width="9.1796875" style="91"/>
  </cols>
  <sheetData>
    <row r="1" ht="20.25" customHeight="1" x14ac:dyDescent="0.25"/>
    <row r="5" ht="13.5" customHeight="1" x14ac:dyDescent="0.25"/>
    <row r="6" ht="13.5" customHeight="1" x14ac:dyDescent="0.25"/>
    <row r="7" ht="12.75" customHeight="1" x14ac:dyDescent="0.25"/>
    <row r="10" ht="13.5" customHeight="1" x14ac:dyDescent="0.25"/>
  </sheetData>
  <phoneticPr fontId="0" type="noConversion"/>
  <pageMargins left="0.75" right="0.75" top="1" bottom="1" header="0.5" footer="0.5"/>
  <pageSetup scale="46" orientation="portrait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Q119"/>
  <sheetViews>
    <sheetView topLeftCell="A34" zoomScale="75" workbookViewId="0">
      <selection activeCell="E49" sqref="E49"/>
    </sheetView>
  </sheetViews>
  <sheetFormatPr defaultColWidth="8.81640625" defaultRowHeight="12.5" x14ac:dyDescent="0.25"/>
  <cols>
    <col min="1" max="1" width="37.453125" style="93" customWidth="1"/>
    <col min="2" max="2" width="13" style="93" customWidth="1"/>
    <col min="3" max="3" width="16" style="93" customWidth="1"/>
    <col min="4" max="4" width="13.453125" style="93" customWidth="1"/>
    <col min="5" max="5" width="23" style="93" customWidth="1"/>
    <col min="6" max="6" width="15.453125" style="93" customWidth="1"/>
    <col min="7" max="7" width="16.7265625" style="93" customWidth="1"/>
    <col min="8" max="8" width="11.453125" style="93" customWidth="1"/>
    <col min="9" max="9" width="13.453125" style="93" customWidth="1"/>
    <col min="10" max="10" width="10.26953125" style="93" customWidth="1"/>
    <col min="11" max="12" width="10.453125" style="93" customWidth="1"/>
    <col min="13" max="13" width="13.26953125" style="93" customWidth="1"/>
    <col min="14" max="14" width="10.453125" style="93" customWidth="1"/>
    <col min="15" max="16" width="10" style="93" customWidth="1"/>
    <col min="17" max="16384" width="8.81640625" style="93"/>
  </cols>
  <sheetData>
    <row r="1" spans="1:17" ht="25.5" thickBot="1" x14ac:dyDescent="0.55000000000000004">
      <c r="A1" s="92" t="s">
        <v>0</v>
      </c>
    </row>
    <row r="2" spans="1:17" ht="18.5" thickBot="1" x14ac:dyDescent="0.45">
      <c r="A2" s="94"/>
    </row>
    <row r="3" spans="1:17" ht="23.5" thickBot="1" x14ac:dyDescent="0.55000000000000004">
      <c r="A3" s="95" t="s">
        <v>1</v>
      </c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</row>
    <row r="4" spans="1:17" ht="18.5" thickBot="1" x14ac:dyDescent="0.45">
      <c r="D4" s="96"/>
      <c r="E4" s="97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</row>
    <row r="5" spans="1:17" ht="16" thickBot="1" x14ac:dyDescent="0.4">
      <c r="A5" s="98" t="s">
        <v>2</v>
      </c>
      <c r="B5" s="99"/>
      <c r="D5" s="96"/>
      <c r="E5" s="100"/>
      <c r="F5" s="100"/>
      <c r="G5" s="100"/>
      <c r="H5" s="101"/>
      <c r="I5" s="102"/>
      <c r="J5" s="96"/>
      <c r="K5" s="96"/>
      <c r="L5" s="96"/>
      <c r="M5" s="96"/>
      <c r="N5" s="96"/>
      <c r="O5" s="96"/>
      <c r="P5" s="96"/>
      <c r="Q5" s="96"/>
    </row>
    <row r="6" spans="1:17" ht="15.5" x14ac:dyDescent="0.35">
      <c r="A6" s="103" t="s">
        <v>24</v>
      </c>
      <c r="B6" s="78">
        <v>60000</v>
      </c>
      <c r="D6" s="96"/>
      <c r="E6" s="101"/>
      <c r="F6" s="100"/>
      <c r="G6" s="104"/>
      <c r="H6" s="101"/>
      <c r="I6" s="104"/>
      <c r="J6" s="96"/>
      <c r="K6" s="96"/>
      <c r="L6" s="96"/>
      <c r="M6" s="96"/>
      <c r="N6" s="96"/>
      <c r="O6" s="96"/>
      <c r="P6" s="96"/>
      <c r="Q6" s="96"/>
    </row>
    <row r="7" spans="1:17" ht="15.5" x14ac:dyDescent="0.35">
      <c r="A7" s="103" t="s">
        <v>25</v>
      </c>
      <c r="B7" s="78">
        <v>-15000</v>
      </c>
      <c r="D7" s="96"/>
      <c r="E7" s="101"/>
      <c r="F7" s="100"/>
      <c r="G7" s="104"/>
      <c r="H7" s="101"/>
      <c r="I7" s="104"/>
      <c r="J7" s="96"/>
      <c r="K7" s="96"/>
      <c r="L7" s="96"/>
      <c r="M7" s="96"/>
      <c r="N7" s="96"/>
      <c r="O7" s="96"/>
      <c r="P7" s="96"/>
      <c r="Q7" s="96"/>
    </row>
    <row r="8" spans="1:17" ht="15.5" x14ac:dyDescent="0.35">
      <c r="A8" s="105" t="s">
        <v>26</v>
      </c>
      <c r="B8" s="79">
        <v>0</v>
      </c>
      <c r="D8" s="96"/>
      <c r="E8" s="101"/>
      <c r="F8" s="101"/>
      <c r="G8" s="101"/>
      <c r="H8" s="101"/>
      <c r="I8" s="96"/>
      <c r="J8" s="96"/>
      <c r="K8" s="96"/>
      <c r="L8" s="96"/>
      <c r="M8" s="96"/>
      <c r="N8" s="96"/>
      <c r="O8" s="96"/>
      <c r="P8" s="96"/>
      <c r="Q8" s="96"/>
    </row>
    <row r="9" spans="1:17" ht="15.5" x14ac:dyDescent="0.35">
      <c r="A9" s="105" t="s">
        <v>4</v>
      </c>
      <c r="B9" s="78">
        <v>-2500</v>
      </c>
      <c r="D9" s="96"/>
      <c r="E9" s="100"/>
      <c r="F9" s="100"/>
      <c r="G9" s="100"/>
      <c r="H9" s="101"/>
      <c r="I9" s="96"/>
      <c r="J9" s="96"/>
      <c r="K9" s="96"/>
      <c r="L9" s="96"/>
      <c r="M9" s="96"/>
      <c r="N9" s="96"/>
      <c r="O9" s="96"/>
      <c r="P9" s="96"/>
      <c r="Q9" s="96"/>
    </row>
    <row r="10" spans="1:17" ht="14.5" thickBot="1" x14ac:dyDescent="0.35">
      <c r="A10" s="106"/>
      <c r="B10" s="2"/>
      <c r="D10" s="107"/>
      <c r="E10" s="100"/>
      <c r="F10" s="100"/>
      <c r="G10" s="108"/>
      <c r="H10" s="101"/>
      <c r="I10" s="109"/>
      <c r="J10" s="109"/>
      <c r="K10" s="109"/>
      <c r="L10" s="109"/>
      <c r="M10" s="109"/>
      <c r="N10" s="109"/>
      <c r="O10" s="109"/>
      <c r="P10" s="109"/>
      <c r="Q10" s="96"/>
    </row>
    <row r="11" spans="1:17" s="110" customFormat="1" ht="15" customHeight="1" x14ac:dyDescent="0.3">
      <c r="D11" s="107"/>
      <c r="E11" s="100"/>
      <c r="F11" s="100"/>
      <c r="G11" s="100"/>
      <c r="H11" s="101"/>
      <c r="I11" s="107"/>
      <c r="J11" s="107"/>
      <c r="K11" s="107"/>
    </row>
    <row r="12" spans="1:17" ht="16" hidden="1" thickBot="1" x14ac:dyDescent="0.4">
      <c r="A12" s="98" t="s">
        <v>5</v>
      </c>
      <c r="B12" s="111"/>
      <c r="D12" s="107"/>
      <c r="E12" s="100"/>
      <c r="F12" s="100"/>
      <c r="G12" s="101"/>
      <c r="H12" s="101"/>
      <c r="I12" s="109"/>
      <c r="J12" s="109"/>
      <c r="K12" s="109"/>
      <c r="L12" s="109"/>
      <c r="M12" s="109"/>
      <c r="N12" s="109"/>
      <c r="O12" s="109"/>
      <c r="P12" s="109"/>
      <c r="Q12" s="96"/>
    </row>
    <row r="13" spans="1:17" ht="14" hidden="1" x14ac:dyDescent="0.3">
      <c r="A13" s="112" t="s">
        <v>6</v>
      </c>
      <c r="B13" s="1"/>
      <c r="D13" s="107"/>
      <c r="E13" s="100"/>
      <c r="F13" s="100"/>
      <c r="G13" s="101"/>
      <c r="H13" s="101"/>
      <c r="I13" s="109"/>
      <c r="J13" s="109"/>
      <c r="K13" s="109"/>
      <c r="L13" s="109"/>
      <c r="M13" s="109"/>
      <c r="N13" s="109"/>
      <c r="O13" s="109"/>
      <c r="P13" s="109"/>
      <c r="Q13" s="96"/>
    </row>
    <row r="14" spans="1:17" ht="14" hidden="1" x14ac:dyDescent="0.3">
      <c r="A14" s="113" t="s">
        <v>7</v>
      </c>
      <c r="B14" s="1" t="b">
        <f>FALSE</f>
        <v>0</v>
      </c>
      <c r="D14" s="107"/>
      <c r="E14" s="100"/>
      <c r="F14" s="100"/>
      <c r="G14" s="101"/>
      <c r="H14" s="101"/>
      <c r="I14" s="109"/>
      <c r="J14" s="109"/>
      <c r="K14" s="109"/>
      <c r="L14" s="109"/>
      <c r="M14" s="109"/>
      <c r="N14" s="109"/>
      <c r="O14" s="109"/>
      <c r="P14" s="109"/>
      <c r="Q14" s="96"/>
    </row>
    <row r="15" spans="1:17" ht="14" hidden="1" x14ac:dyDescent="0.3">
      <c r="A15" s="112" t="s">
        <v>8</v>
      </c>
      <c r="B15" s="1"/>
      <c r="D15" s="107"/>
      <c r="E15" s="109"/>
      <c r="F15" s="109"/>
      <c r="G15" s="109"/>
      <c r="H15" s="101"/>
      <c r="I15" s="109"/>
      <c r="J15" s="109"/>
      <c r="K15" s="109"/>
      <c r="L15" s="109"/>
      <c r="M15" s="109"/>
      <c r="N15" s="109"/>
      <c r="O15" s="109"/>
      <c r="P15" s="109"/>
      <c r="Q15" s="96"/>
    </row>
    <row r="16" spans="1:17" ht="14" hidden="1" x14ac:dyDescent="0.3">
      <c r="A16" s="113" t="s">
        <v>9</v>
      </c>
      <c r="B16" s="1"/>
      <c r="D16" s="107"/>
      <c r="E16" s="114"/>
      <c r="F16" s="100"/>
      <c r="G16" s="102"/>
      <c r="H16" s="96"/>
      <c r="I16" s="109"/>
      <c r="J16" s="109"/>
      <c r="K16" s="109"/>
      <c r="L16" s="109"/>
      <c r="M16" s="109"/>
      <c r="N16" s="109"/>
      <c r="O16" s="109"/>
      <c r="P16" s="109"/>
      <c r="Q16" s="96"/>
    </row>
    <row r="17" spans="1:17" ht="14" hidden="1" x14ac:dyDescent="0.3">
      <c r="A17" s="113" t="s">
        <v>10</v>
      </c>
      <c r="B17" s="1"/>
      <c r="D17" s="107"/>
      <c r="E17" s="115"/>
      <c r="F17" s="101"/>
      <c r="G17" s="116"/>
      <c r="H17" s="96"/>
      <c r="I17" s="109"/>
      <c r="J17" s="109"/>
      <c r="K17" s="109"/>
      <c r="L17" s="109"/>
      <c r="M17" s="109"/>
      <c r="N17" s="109"/>
      <c r="O17" s="109"/>
      <c r="P17" s="109"/>
      <c r="Q17" s="96"/>
    </row>
    <row r="18" spans="1:17" ht="14" hidden="1" x14ac:dyDescent="0.3">
      <c r="A18" s="105" t="s">
        <v>11</v>
      </c>
      <c r="B18" s="1"/>
      <c r="D18" s="107"/>
      <c r="E18" s="115"/>
      <c r="F18" s="101"/>
      <c r="G18" s="117"/>
      <c r="H18" s="96"/>
      <c r="I18" s="109"/>
      <c r="J18" s="109"/>
      <c r="K18" s="109"/>
      <c r="L18" s="109"/>
      <c r="M18" s="109"/>
      <c r="N18" s="109"/>
      <c r="O18" s="109"/>
      <c r="P18" s="109"/>
      <c r="Q18" s="96"/>
    </row>
    <row r="19" spans="1:17" ht="14" hidden="1" x14ac:dyDescent="0.3">
      <c r="A19" s="113" t="s">
        <v>12</v>
      </c>
      <c r="B19" s="3"/>
      <c r="D19" s="107"/>
      <c r="E19" s="115"/>
      <c r="F19" s="101"/>
      <c r="G19" s="117"/>
      <c r="H19" s="96"/>
      <c r="I19" s="109"/>
      <c r="J19" s="109"/>
      <c r="K19" s="109"/>
      <c r="L19" s="109"/>
      <c r="M19" s="109"/>
      <c r="N19" s="109"/>
      <c r="O19" s="109"/>
      <c r="P19" s="109"/>
      <c r="Q19" s="96"/>
    </row>
    <row r="20" spans="1:17" ht="14.5" hidden="1" thickBot="1" x14ac:dyDescent="0.35">
      <c r="A20" s="106"/>
      <c r="B20" s="118"/>
      <c r="D20" s="96"/>
      <c r="E20" s="115"/>
      <c r="F20" s="101"/>
      <c r="G20" s="115"/>
      <c r="H20" s="115"/>
      <c r="I20" s="96"/>
      <c r="J20" s="96"/>
      <c r="K20" s="96"/>
      <c r="L20" s="96"/>
      <c r="M20" s="96"/>
      <c r="N20" s="96"/>
      <c r="O20" s="96"/>
      <c r="P20" s="96"/>
      <c r="Q20" s="96"/>
    </row>
    <row r="21" spans="1:17" ht="13" hidden="1" x14ac:dyDescent="0.3">
      <c r="D21" s="107"/>
      <c r="E21" s="115"/>
      <c r="F21" s="101"/>
      <c r="G21" s="115"/>
      <c r="H21" s="115"/>
      <c r="I21" s="96"/>
      <c r="J21" s="96"/>
      <c r="K21" s="96"/>
      <c r="L21" s="96"/>
      <c r="M21" s="96"/>
      <c r="N21" s="96"/>
      <c r="O21" s="96"/>
      <c r="P21" s="96"/>
      <c r="Q21" s="96"/>
    </row>
    <row r="22" spans="1:17" ht="13.5" thickBot="1" x14ac:dyDescent="0.35">
      <c r="D22" s="107"/>
      <c r="E22" s="101"/>
      <c r="F22" s="101"/>
      <c r="G22" s="101"/>
      <c r="H22" s="101"/>
      <c r="I22" s="96"/>
      <c r="J22" s="96"/>
      <c r="K22" s="96"/>
      <c r="L22" s="96"/>
      <c r="M22" s="96"/>
      <c r="N22" s="96"/>
      <c r="O22" s="96"/>
      <c r="P22" s="96"/>
      <c r="Q22" s="96"/>
    </row>
    <row r="23" spans="1:17" ht="16" thickBot="1" x14ac:dyDescent="0.4">
      <c r="A23" s="98" t="s">
        <v>13</v>
      </c>
      <c r="B23" s="119" t="s">
        <v>19</v>
      </c>
      <c r="C23" s="107"/>
      <c r="D23" s="120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96"/>
    </row>
    <row r="24" spans="1:17" ht="14" x14ac:dyDescent="0.3">
      <c r="A24" s="105"/>
      <c r="B24" s="121" t="s">
        <v>18</v>
      </c>
      <c r="C24" s="110"/>
      <c r="D24" s="120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96"/>
    </row>
    <row r="25" spans="1:17" ht="14" x14ac:dyDescent="0.3">
      <c r="A25" s="122" t="s">
        <v>27</v>
      </c>
      <c r="B25" s="1"/>
      <c r="C25" s="110"/>
      <c r="D25" s="120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96"/>
    </row>
    <row r="26" spans="1:17" ht="15.5" x14ac:dyDescent="0.35">
      <c r="A26" s="112" t="s">
        <v>26</v>
      </c>
      <c r="B26" s="80">
        <v>0</v>
      </c>
      <c r="C26" s="110"/>
      <c r="D26" s="120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96"/>
    </row>
    <row r="27" spans="1:17" ht="15.5" x14ac:dyDescent="0.35">
      <c r="A27" s="112" t="s">
        <v>38</v>
      </c>
      <c r="B27" s="80">
        <f>PilgrimOffer</f>
        <v>60000</v>
      </c>
      <c r="C27" s="110"/>
      <c r="D27" s="120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96"/>
    </row>
    <row r="28" spans="1:17" ht="15.5" x14ac:dyDescent="0.35">
      <c r="A28" s="112" t="s">
        <v>39</v>
      </c>
      <c r="B28" s="80">
        <f>B7</f>
        <v>-15000</v>
      </c>
      <c r="C28" s="110"/>
      <c r="D28" s="120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96"/>
    </row>
    <row r="29" spans="1:17" ht="15.5" x14ac:dyDescent="0.35">
      <c r="A29" s="122" t="s">
        <v>28</v>
      </c>
      <c r="B29" s="123"/>
      <c r="C29" s="110"/>
      <c r="D29" s="120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96"/>
    </row>
    <row r="30" spans="1:17" ht="15.5" x14ac:dyDescent="0.35">
      <c r="A30" s="112" t="s">
        <v>26</v>
      </c>
      <c r="B30" s="80">
        <f>endMarketGood</f>
        <v>-2500</v>
      </c>
      <c r="C30" s="110"/>
      <c r="D30" s="120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96"/>
    </row>
    <row r="31" spans="1:17" ht="15.5" x14ac:dyDescent="0.35">
      <c r="A31" s="112" t="s">
        <v>38</v>
      </c>
      <c r="B31" s="80">
        <f>PilgrimOffer+endMarketGood</f>
        <v>57500</v>
      </c>
      <c r="C31" s="110"/>
      <c r="D31" s="120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96"/>
    </row>
    <row r="32" spans="1:17" ht="15.5" x14ac:dyDescent="0.35">
      <c r="A32" s="112" t="s">
        <v>39</v>
      </c>
      <c r="B32" s="80">
        <f>B7+endMarketGood</f>
        <v>-17500</v>
      </c>
      <c r="C32" s="110"/>
      <c r="D32" s="120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96"/>
    </row>
    <row r="33" spans="1:17" ht="16" thickBot="1" x14ac:dyDescent="0.4">
      <c r="A33" s="124"/>
      <c r="B33" s="125"/>
      <c r="D33" s="12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</row>
    <row r="34" spans="1:17" ht="13" x14ac:dyDescent="0.3">
      <c r="D34" s="110"/>
      <c r="E34" s="127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</row>
    <row r="35" spans="1:17" ht="13.5" thickBot="1" x14ac:dyDescent="0.35">
      <c r="D35" s="110"/>
      <c r="E35" s="127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</row>
    <row r="36" spans="1:17" ht="23.5" thickBot="1" x14ac:dyDescent="0.55000000000000004">
      <c r="A36" s="95" t="s">
        <v>14</v>
      </c>
      <c r="D36" s="110"/>
      <c r="E36" s="127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</row>
    <row r="37" spans="1:17" ht="16" thickBot="1" x14ac:dyDescent="0.4">
      <c r="A37" s="128"/>
      <c r="D37" s="110"/>
      <c r="E37" s="127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</row>
    <row r="38" spans="1:17" ht="13" x14ac:dyDescent="0.3">
      <c r="A38" s="129" t="s">
        <v>31</v>
      </c>
      <c r="B38" s="130" t="s">
        <v>35</v>
      </c>
      <c r="C38" s="131"/>
      <c r="D38" s="110"/>
      <c r="E38" s="127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</row>
    <row r="39" spans="1:17" ht="13" x14ac:dyDescent="0.3">
      <c r="A39" s="103"/>
      <c r="B39" s="132" t="s">
        <v>29</v>
      </c>
      <c r="C39" s="133" t="s">
        <v>30</v>
      </c>
      <c r="D39" s="110"/>
    </row>
    <row r="40" spans="1:17" ht="16" thickBot="1" x14ac:dyDescent="0.4">
      <c r="A40" s="134" t="s">
        <v>32</v>
      </c>
      <c r="B40" s="81">
        <v>0.25</v>
      </c>
      <c r="C40" s="82">
        <v>0.75</v>
      </c>
      <c r="D40" s="110"/>
    </row>
    <row r="41" spans="1:17" ht="13.5" thickBot="1" x14ac:dyDescent="0.35">
      <c r="A41" s="135"/>
      <c r="B41" s="101"/>
      <c r="C41" s="96"/>
      <c r="D41" s="110"/>
    </row>
    <row r="42" spans="1:17" ht="13" x14ac:dyDescent="0.3">
      <c r="A42" s="136" t="s">
        <v>20</v>
      </c>
      <c r="B42" s="130" t="s">
        <v>36</v>
      </c>
      <c r="C42" s="131"/>
      <c r="D42" s="110" t="s">
        <v>3</v>
      </c>
    </row>
    <row r="43" spans="1:17" ht="13" x14ac:dyDescent="0.3">
      <c r="A43" s="137" t="s">
        <v>34</v>
      </c>
      <c r="B43" s="132" t="s">
        <v>29</v>
      </c>
      <c r="C43" s="133" t="s">
        <v>30</v>
      </c>
      <c r="D43" s="110"/>
    </row>
    <row r="44" spans="1:17" ht="15.5" x14ac:dyDescent="0.35">
      <c r="A44" s="138" t="s">
        <v>37</v>
      </c>
      <c r="B44" s="83">
        <v>0.8</v>
      </c>
      <c r="C44" s="84">
        <f>1-C45</f>
        <v>0.30000000000000004</v>
      </c>
    </row>
    <row r="45" spans="1:17" ht="16" thickBot="1" x14ac:dyDescent="0.4">
      <c r="A45" s="134" t="s">
        <v>33</v>
      </c>
      <c r="B45" s="85">
        <f>1-pPredictGood_if_Good</f>
        <v>0.19999999999999996</v>
      </c>
      <c r="C45" s="86">
        <v>0.7</v>
      </c>
    </row>
    <row r="46" spans="1:17" ht="15.5" x14ac:dyDescent="0.35">
      <c r="B46" s="87">
        <f>SUM(B44:B45)</f>
        <v>1</v>
      </c>
      <c r="C46" s="87">
        <f>SUM(C44:C45)</f>
        <v>1</v>
      </c>
    </row>
    <row r="47" spans="1:17" ht="13" thickBot="1" x14ac:dyDescent="0.3">
      <c r="B47" s="139"/>
      <c r="C47" s="139"/>
    </row>
    <row r="48" spans="1:17" ht="13" x14ac:dyDescent="0.3">
      <c r="A48" s="140"/>
      <c r="B48" s="130" t="s">
        <v>36</v>
      </c>
      <c r="C48" s="141"/>
      <c r="D48" s="142" t="s">
        <v>22</v>
      </c>
    </row>
    <row r="49" spans="1:16" ht="13" x14ac:dyDescent="0.3">
      <c r="A49" s="143" t="s">
        <v>15</v>
      </c>
      <c r="B49" s="132" t="s">
        <v>29</v>
      </c>
      <c r="C49" s="144" t="s">
        <v>30</v>
      </c>
      <c r="D49" s="145" t="s">
        <v>23</v>
      </c>
    </row>
    <row r="50" spans="1:16" ht="15.5" x14ac:dyDescent="0.35">
      <c r="A50" s="138" t="s">
        <v>37</v>
      </c>
      <c r="B50" s="88"/>
      <c r="C50" s="88"/>
      <c r="D50" s="89"/>
    </row>
    <row r="51" spans="1:16" ht="16" thickBot="1" x14ac:dyDescent="0.4">
      <c r="A51" s="134" t="s">
        <v>33</v>
      </c>
      <c r="B51" s="81"/>
      <c r="C51" s="81"/>
      <c r="D51" s="90"/>
    </row>
    <row r="52" spans="1:16" ht="16" thickBot="1" x14ac:dyDescent="0.4">
      <c r="B52" s="146"/>
      <c r="C52" s="146"/>
      <c r="D52" s="147"/>
    </row>
    <row r="53" spans="1:16" ht="13" x14ac:dyDescent="0.3">
      <c r="A53" s="148" t="s">
        <v>21</v>
      </c>
      <c r="B53" s="130" t="s">
        <v>41</v>
      </c>
      <c r="C53" s="131"/>
      <c r="D53" s="149"/>
    </row>
    <row r="54" spans="1:16" ht="13" x14ac:dyDescent="0.3">
      <c r="A54" s="150" t="s">
        <v>40</v>
      </c>
      <c r="B54" s="132" t="s">
        <v>29</v>
      </c>
      <c r="C54" s="133" t="s">
        <v>30</v>
      </c>
    </row>
    <row r="55" spans="1:16" ht="15.5" x14ac:dyDescent="0.35">
      <c r="A55" s="151" t="s">
        <v>37</v>
      </c>
      <c r="B55" s="88"/>
      <c r="C55" s="90"/>
      <c r="D55" s="152"/>
    </row>
    <row r="56" spans="1:16" ht="16" thickBot="1" x14ac:dyDescent="0.4">
      <c r="A56" s="153" t="s">
        <v>33</v>
      </c>
      <c r="B56" s="81"/>
      <c r="C56" s="164"/>
      <c r="D56" s="152"/>
    </row>
    <row r="57" spans="1:16" ht="12.75" customHeight="1" x14ac:dyDescent="0.25">
      <c r="B57" s="154" t="s">
        <v>3</v>
      </c>
    </row>
    <row r="58" spans="1:16" ht="13" thickBot="1" x14ac:dyDescent="0.3">
      <c r="B58" s="155"/>
    </row>
    <row r="59" spans="1:16" ht="23.5" thickBot="1" x14ac:dyDescent="0.55000000000000004">
      <c r="A59" s="156"/>
      <c r="B59" s="157"/>
      <c r="C59" s="158"/>
      <c r="D59" s="110"/>
      <c r="E59" s="159"/>
      <c r="F59" s="159"/>
      <c r="G59" s="96"/>
      <c r="H59" s="96"/>
      <c r="I59" s="96"/>
      <c r="J59" s="96"/>
      <c r="K59" s="96"/>
      <c r="L59" s="96"/>
      <c r="M59" s="96"/>
      <c r="N59" s="96"/>
      <c r="O59" s="96"/>
      <c r="P59" s="96"/>
    </row>
    <row r="60" spans="1:16" x14ac:dyDescent="0.25">
      <c r="B60" s="160"/>
    </row>
    <row r="61" spans="1:16" x14ac:dyDescent="0.25">
      <c r="B61" s="160"/>
    </row>
    <row r="62" spans="1:16" x14ac:dyDescent="0.25">
      <c r="B62" s="160"/>
      <c r="C62" s="154"/>
    </row>
    <row r="63" spans="1:16" x14ac:dyDescent="0.25">
      <c r="B63" s="161"/>
      <c r="C63" s="155"/>
    </row>
    <row r="64" spans="1:16" x14ac:dyDescent="0.25">
      <c r="B64" s="160"/>
    </row>
    <row r="65" spans="2:3" x14ac:dyDescent="0.25">
      <c r="B65" s="160"/>
    </row>
    <row r="66" spans="2:3" x14ac:dyDescent="0.25">
      <c r="B66" s="160"/>
    </row>
    <row r="67" spans="2:3" x14ac:dyDescent="0.25">
      <c r="B67" s="160"/>
    </row>
    <row r="68" spans="2:3" x14ac:dyDescent="0.25">
      <c r="B68" s="160"/>
    </row>
    <row r="69" spans="2:3" x14ac:dyDescent="0.25">
      <c r="B69" s="160"/>
    </row>
    <row r="70" spans="2:3" x14ac:dyDescent="0.25">
      <c r="B70" s="160"/>
      <c r="C70" s="162"/>
    </row>
    <row r="71" spans="2:3" x14ac:dyDescent="0.25">
      <c r="B71" s="160"/>
    </row>
    <row r="72" spans="2:3" x14ac:dyDescent="0.25">
      <c r="B72" s="160"/>
    </row>
    <row r="73" spans="2:3" x14ac:dyDescent="0.25">
      <c r="B73" s="160"/>
    </row>
    <row r="74" spans="2:3" x14ac:dyDescent="0.25">
      <c r="B74" s="160"/>
    </row>
    <row r="75" spans="2:3" x14ac:dyDescent="0.25">
      <c r="B75" s="160"/>
    </row>
    <row r="76" spans="2:3" x14ac:dyDescent="0.25">
      <c r="B76" s="160"/>
    </row>
    <row r="77" spans="2:3" x14ac:dyDescent="0.25">
      <c r="B77" s="160"/>
    </row>
    <row r="78" spans="2:3" x14ac:dyDescent="0.25">
      <c r="B78" s="159"/>
    </row>
    <row r="79" spans="2:3" x14ac:dyDescent="0.25">
      <c r="B79" s="159"/>
    </row>
    <row r="80" spans="2:3" x14ac:dyDescent="0.25">
      <c r="B80" s="159"/>
    </row>
    <row r="81" spans="2:2" x14ac:dyDescent="0.25">
      <c r="B81" s="159"/>
    </row>
    <row r="114" spans="1:4" ht="13" x14ac:dyDescent="0.3">
      <c r="A114" s="110"/>
    </row>
    <row r="115" spans="1:4" ht="13" x14ac:dyDescent="0.3">
      <c r="A115" s="110"/>
    </row>
    <row r="117" spans="1:4" ht="14.25" customHeight="1" x14ac:dyDescent="0.25"/>
    <row r="118" spans="1:4" ht="14.25" customHeight="1" x14ac:dyDescent="0.3">
      <c r="D118" s="163"/>
    </row>
    <row r="119" spans="1:4" ht="13" x14ac:dyDescent="0.3">
      <c r="C119" s="163"/>
    </row>
  </sheetData>
  <scenarios current="0" show="0">
    <scenario name="Initial Model" locked="1" count="5" user="James D Laing" comment="Created by James D Laing on 2/9/97_x000a_Modified by James D Laing on 2/9/97_x000a_Modified by James D Laing on 2/11/97">
      <inputCells r="B6" val="400000" numFmtId="6"/>
      <inputCells r="B9" val="1300000" numFmtId="6"/>
      <inputCells r="B40" val="0.6" numFmtId="165"/>
      <inputCells r="B44" val="0.9" numFmtId="165"/>
      <inputCells r="C44" val="0.25" numFmtId="165"/>
    </scenario>
  </scenarios>
  <phoneticPr fontId="0" type="noConversion"/>
  <printOptions gridLines="1"/>
  <pageMargins left="0.75" right="0.75" top="1" bottom="1" header="0.5" footer="0.5"/>
  <pageSetup scale="47" orientation="portrait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43"/>
  <sheetViews>
    <sheetView showGridLines="0" tabSelected="1" zoomScale="75" workbookViewId="0">
      <selection activeCell="F27" sqref="F27"/>
    </sheetView>
  </sheetViews>
  <sheetFormatPr defaultColWidth="10.26953125" defaultRowHeight="15.5" x14ac:dyDescent="0.35"/>
  <cols>
    <col min="1" max="1" width="3.54296875" style="5" customWidth="1"/>
    <col min="2" max="2" width="25.26953125" style="5" customWidth="1"/>
    <col min="3" max="3" width="19.7265625" style="5" customWidth="1"/>
    <col min="4" max="4" width="17.54296875" style="5" customWidth="1"/>
    <col min="5" max="5" width="22.1796875" style="5" customWidth="1"/>
    <col min="6" max="6" width="15.26953125" style="5" customWidth="1"/>
    <col min="7" max="7" width="7.26953125" style="5" customWidth="1"/>
    <col min="8" max="8" width="12.54296875" style="5" customWidth="1"/>
    <col min="9" max="9" width="13.7265625" style="5" customWidth="1"/>
    <col min="10" max="10" width="14.453125" style="5" customWidth="1"/>
    <col min="11" max="11" width="19" style="5" bestFit="1" customWidth="1"/>
    <col min="12" max="12" width="11.7265625" style="5" customWidth="1"/>
    <col min="13" max="13" width="14.1796875" style="5" customWidth="1"/>
    <col min="14" max="14" width="11.26953125" style="5" customWidth="1"/>
    <col min="15" max="15" width="10" style="5" customWidth="1"/>
    <col min="16" max="16" width="18" style="5" bestFit="1" customWidth="1"/>
    <col min="17" max="17" width="10.26953125" style="5" customWidth="1"/>
    <col min="18" max="18" width="17.1796875" style="5" customWidth="1"/>
    <col min="19" max="19" width="13" style="5" customWidth="1"/>
    <col min="20" max="20" width="26" style="5" customWidth="1"/>
    <col min="21" max="21" width="13.54296875" style="5" customWidth="1"/>
    <col min="22" max="22" width="16.7265625" style="5" customWidth="1"/>
    <col min="23" max="23" width="17.81640625" style="5" customWidth="1"/>
    <col min="24" max="16384" width="10.26953125" style="5"/>
  </cols>
  <sheetData>
    <row r="1" spans="2:17" ht="25" x14ac:dyDescent="0.5">
      <c r="B1" s="4" t="s">
        <v>42</v>
      </c>
    </row>
    <row r="2" spans="2:17" x14ac:dyDescent="0.35">
      <c r="B2" s="6"/>
    </row>
    <row r="4" spans="2:17" ht="16" thickBot="1" x14ac:dyDescent="0.4"/>
    <row r="5" spans="2:17" ht="16.5" thickTop="1" thickBot="1" x14ac:dyDescent="0.4">
      <c r="B5" s="7" t="s">
        <v>43</v>
      </c>
      <c r="C5" s="8"/>
      <c r="E5" s="7" t="s">
        <v>44</v>
      </c>
      <c r="F5" s="8"/>
      <c r="G5" s="9"/>
      <c r="H5" s="9"/>
      <c r="I5" s="9"/>
      <c r="J5" s="9"/>
    </row>
    <row r="6" spans="2:17" ht="16.5" thickTop="1" thickBot="1" x14ac:dyDescent="0.4">
      <c r="B6" s="10" t="s">
        <v>45</v>
      </c>
      <c r="C6" s="11">
        <v>60000</v>
      </c>
      <c r="D6" s="12"/>
      <c r="E6" s="13" t="str">
        <f>$G$17</f>
        <v>Buy survey</v>
      </c>
      <c r="F6" s="14"/>
      <c r="G6" s="9"/>
      <c r="H6" s="9"/>
      <c r="L6" s="15">
        <f>P_Good_Weather</f>
        <v>0.25</v>
      </c>
      <c r="M6" s="16" t="str">
        <f>$B$13</f>
        <v>Tour succeeds (S)</v>
      </c>
      <c r="N6" s="17">
        <f>Bid___Good_Weather</f>
        <v>60000</v>
      </c>
    </row>
    <row r="7" spans="2:17" ht="16.5" thickTop="1" thickBot="1" x14ac:dyDescent="0.4">
      <c r="B7" s="10" t="s">
        <v>46</v>
      </c>
      <c r="C7" s="11">
        <v>-15000</v>
      </c>
      <c r="D7" s="12"/>
      <c r="E7" s="13" t="str">
        <f>IF($E$6=$C$13,$J$10,"If forecast good then ")</f>
        <v xml:space="preserve">If forecast good then </v>
      </c>
      <c r="F7" s="18" t="str">
        <f>IF(E6&lt;&gt;$C$13,$M$20,"")</f>
        <v>Proceed</v>
      </c>
      <c r="J7" s="19" t="str">
        <f>$B$15</f>
        <v>Proceed</v>
      </c>
      <c r="K7" s="20">
        <f>L6*N6+L8*N8</f>
        <v>3750</v>
      </c>
      <c r="L7" s="21"/>
      <c r="M7" s="22"/>
      <c r="N7" s="23"/>
    </row>
    <row r="8" spans="2:17" ht="16.5" thickTop="1" thickBot="1" x14ac:dyDescent="0.4">
      <c r="B8" s="10" t="s">
        <v>47</v>
      </c>
      <c r="C8" s="11">
        <v>0</v>
      </c>
      <c r="D8" s="12"/>
      <c r="E8" s="13" t="str">
        <f>IF($E$6=$C$13,"","otherwise ")</f>
        <v xml:space="preserve">otherwise </v>
      </c>
      <c r="F8" s="18" t="str">
        <f>IF(E6&lt;&gt;$C$13,$M$30,"")</f>
        <v>Do not proceed</v>
      </c>
      <c r="I8" s="24"/>
      <c r="J8" s="23"/>
      <c r="L8" s="25">
        <f>1-P_Good_Weather</f>
        <v>0.75</v>
      </c>
      <c r="M8" s="26" t="str">
        <f>$B$14</f>
        <v>Tour flops (F)</v>
      </c>
      <c r="N8" s="17">
        <f>Bid___Bad_Weather</f>
        <v>-15000</v>
      </c>
    </row>
    <row r="9" spans="2:17" ht="16" thickBot="1" x14ac:dyDescent="0.4">
      <c r="B9" s="167" t="s">
        <v>48</v>
      </c>
      <c r="C9" s="27">
        <v>0.25</v>
      </c>
      <c r="D9" s="28"/>
      <c r="F9" s="9"/>
      <c r="G9" s="9"/>
      <c r="H9" s="9"/>
      <c r="I9" s="24"/>
      <c r="J9" s="23"/>
      <c r="L9" s="29"/>
      <c r="M9" s="30"/>
      <c r="N9" s="31"/>
    </row>
    <row r="10" spans="2:17" ht="18.5" thickTop="1" thickBot="1" x14ac:dyDescent="0.4">
      <c r="B10" s="32" t="s">
        <v>49</v>
      </c>
      <c r="C10" s="33">
        <v>2500</v>
      </c>
      <c r="D10" s="28"/>
      <c r="F10" s="9"/>
      <c r="G10" s="34" t="str">
        <f>$C$13</f>
        <v>Do not buy survey</v>
      </c>
      <c r="H10" s="35"/>
      <c r="I10" s="36">
        <f>MAX(K7,K12)</f>
        <v>3750</v>
      </c>
      <c r="J10" s="37" t="str">
        <f>IF(I10&gt;K12,$B$15,$B$16)</f>
        <v>Proceed</v>
      </c>
      <c r="L10" s="21"/>
      <c r="M10" s="22"/>
      <c r="N10" s="23"/>
    </row>
    <row r="11" spans="2:17" ht="16.5" thickTop="1" thickBot="1" x14ac:dyDescent="0.4">
      <c r="B11" s="38"/>
      <c r="C11" s="39"/>
      <c r="D11" s="28"/>
      <c r="F11" s="24"/>
      <c r="G11" s="40"/>
      <c r="I11" s="24"/>
      <c r="J11" s="23"/>
      <c r="L11" s="15">
        <f>P_Good_Weather</f>
        <v>0.25</v>
      </c>
      <c r="M11" s="16" t="str">
        <f>$B$13</f>
        <v>Tour succeeds (S)</v>
      </c>
      <c r="N11" s="17">
        <f>No_Bid</f>
        <v>0</v>
      </c>
    </row>
    <row r="12" spans="2:17" ht="16.5" thickTop="1" thickBot="1" x14ac:dyDescent="0.4">
      <c r="B12" s="7" t="s">
        <v>50</v>
      </c>
      <c r="C12" s="41"/>
      <c r="D12" s="28"/>
      <c r="F12" s="24"/>
      <c r="G12" s="40"/>
      <c r="I12" s="24"/>
      <c r="J12" s="19" t="str">
        <f>$B$16</f>
        <v>Do not proceed</v>
      </c>
      <c r="K12" s="20">
        <f>L11*N11+L13*N13</f>
        <v>0</v>
      </c>
      <c r="L12" s="21"/>
      <c r="M12" s="22"/>
      <c r="N12" s="23"/>
    </row>
    <row r="13" spans="2:17" ht="16.5" thickTop="1" thickBot="1" x14ac:dyDescent="0.4">
      <c r="B13" s="168" t="s">
        <v>67</v>
      </c>
      <c r="C13" s="43" t="s">
        <v>51</v>
      </c>
      <c r="D13" s="28"/>
      <c r="E13" s="28"/>
      <c r="F13" s="24"/>
      <c r="G13" s="40"/>
      <c r="L13" s="25">
        <f>1-P_Good_Weather</f>
        <v>0.75</v>
      </c>
      <c r="M13" s="26" t="str">
        <f>$B$14</f>
        <v>Tour flops (F)</v>
      </c>
      <c r="N13" s="17">
        <f>No_Bid</f>
        <v>0</v>
      </c>
    </row>
    <row r="14" spans="2:17" x14ac:dyDescent="0.35">
      <c r="B14" s="168" t="s">
        <v>68</v>
      </c>
      <c r="C14" s="43" t="s">
        <v>52</v>
      </c>
      <c r="D14" s="28"/>
      <c r="E14" s="28"/>
      <c r="F14" s="44"/>
      <c r="G14" s="45"/>
      <c r="J14" s="9"/>
      <c r="O14" s="46"/>
    </row>
    <row r="15" spans="2:17" ht="16" thickBot="1" x14ac:dyDescent="0.4">
      <c r="B15" s="42" t="s">
        <v>53</v>
      </c>
      <c r="C15" s="165" t="s">
        <v>65</v>
      </c>
      <c r="F15" s="24"/>
      <c r="G15" s="40"/>
      <c r="O15" s="46"/>
    </row>
    <row r="16" spans="2:17" ht="16" thickBot="1" x14ac:dyDescent="0.4">
      <c r="B16" s="47" t="s">
        <v>54</v>
      </c>
      <c r="C16" s="166" t="s">
        <v>66</v>
      </c>
      <c r="F16" s="24"/>
      <c r="G16" s="40"/>
      <c r="I16" s="48"/>
      <c r="O16" s="15">
        <f>C27</f>
        <v>0.4705882352941177</v>
      </c>
      <c r="P16" s="16" t="str">
        <f>$B$13</f>
        <v>Tour succeeds (S)</v>
      </c>
      <c r="Q16" s="17">
        <f>Bid___Good_Weather-Weather_Forecast_Cost</f>
        <v>57500</v>
      </c>
    </row>
    <row r="17" spans="2:17" ht="18.5" thickTop="1" thickBot="1" x14ac:dyDescent="0.4">
      <c r="F17" s="49">
        <f>MAX(I10,I25)</f>
        <v>6125.0000000000009</v>
      </c>
      <c r="G17" s="50" t="str">
        <f>IF(F17&gt;I25,$C$13,$C$14)</f>
        <v>Buy survey</v>
      </c>
      <c r="I17" s="48"/>
      <c r="M17" s="19" t="str">
        <f>$B$15</f>
        <v>Proceed</v>
      </c>
      <c r="N17" s="20">
        <f>O16*Q16+O18*Q18</f>
        <v>17794.117647058825</v>
      </c>
      <c r="O17" s="21"/>
      <c r="P17" s="22"/>
      <c r="Q17" s="23"/>
    </row>
    <row r="18" spans="2:17" ht="16.5" thickTop="1" thickBot="1" x14ac:dyDescent="0.4">
      <c r="B18" s="7" t="s">
        <v>55</v>
      </c>
      <c r="C18" s="51" t="str">
        <f>$B$13</f>
        <v>Tour succeeds (S)</v>
      </c>
      <c r="D18" s="52" t="str">
        <f>$B$14</f>
        <v>Tour flops (F)</v>
      </c>
      <c r="E18" s="30"/>
      <c r="F18" s="24"/>
      <c r="G18" s="40"/>
      <c r="L18" s="24"/>
      <c r="M18" s="23"/>
      <c r="O18" s="25">
        <f>D27</f>
        <v>0.52941176470588236</v>
      </c>
      <c r="P18" s="26" t="str">
        <f>$B$14</f>
        <v>Tour flops (F)</v>
      </c>
      <c r="Q18" s="17">
        <f>Bid___Bad_Weather-Weather_Forecast_Cost</f>
        <v>-17500</v>
      </c>
    </row>
    <row r="19" spans="2:17" ht="16.5" thickTop="1" thickBot="1" x14ac:dyDescent="0.4">
      <c r="B19" s="53" t="str">
        <f>$C$15</f>
        <v>Survey Good ("S")</v>
      </c>
      <c r="C19" s="54">
        <v>0.8</v>
      </c>
      <c r="D19" s="55">
        <v>0.3</v>
      </c>
      <c r="E19" s="45"/>
      <c r="F19" s="24"/>
      <c r="G19" s="40"/>
      <c r="L19" s="24"/>
      <c r="M19" s="23"/>
      <c r="O19" s="29"/>
      <c r="P19" s="30"/>
      <c r="Q19" s="31"/>
    </row>
    <row r="20" spans="2:17" ht="18.5" thickTop="1" thickBot="1" x14ac:dyDescent="0.4">
      <c r="B20" s="56" t="str">
        <f>$C$16</f>
        <v>Survey Bad ("F")</v>
      </c>
      <c r="C20" s="57">
        <f>1-C19</f>
        <v>0.19999999999999996</v>
      </c>
      <c r="D20" s="58">
        <v>0.7</v>
      </c>
      <c r="E20" s="45"/>
      <c r="F20" s="24"/>
      <c r="G20" s="40"/>
      <c r="J20" s="59">
        <f>Forecast_Good_Weather</f>
        <v>0.42499999999999999</v>
      </c>
      <c r="K20" s="40" t="str">
        <f>$C$15</f>
        <v>Survey Good ("S")</v>
      </c>
      <c r="L20" s="60">
        <f>MAX(N17,N22)</f>
        <v>17794.117647058825</v>
      </c>
      <c r="M20" s="37" t="str">
        <f>IF(L20&gt;N22,$B$15,$B$16)</f>
        <v>Proceed</v>
      </c>
      <c r="O20" s="21"/>
      <c r="P20" s="22"/>
      <c r="Q20" s="23"/>
    </row>
    <row r="21" spans="2:17" ht="16.5" thickTop="1" thickBot="1" x14ac:dyDescent="0.4">
      <c r="F21" s="24"/>
      <c r="G21" s="40"/>
      <c r="I21" s="40"/>
      <c r="J21" s="61"/>
      <c r="K21" s="62"/>
      <c r="L21" s="24"/>
      <c r="M21" s="23"/>
      <c r="O21" s="15">
        <f>C27</f>
        <v>0.4705882352941177</v>
      </c>
      <c r="P21" s="16" t="str">
        <f>$B$13</f>
        <v>Tour succeeds (S)</v>
      </c>
      <c r="Q21" s="17">
        <f>No_Bid-Weather_Forecast_Cost</f>
        <v>-2500</v>
      </c>
    </row>
    <row r="22" spans="2:17" ht="16.5" thickTop="1" thickBot="1" x14ac:dyDescent="0.4">
      <c r="B22" s="7" t="s">
        <v>56</v>
      </c>
      <c r="C22" s="51" t="str">
        <f>$B$13</f>
        <v>Tour succeeds (S)</v>
      </c>
      <c r="D22" s="52" t="str">
        <f>$B$14</f>
        <v>Tour flops (F)</v>
      </c>
      <c r="E22" s="30"/>
      <c r="F22" s="24"/>
      <c r="G22" s="40"/>
      <c r="I22" s="40"/>
      <c r="J22" s="63"/>
      <c r="L22" s="24"/>
      <c r="M22" s="19" t="str">
        <f>$B$16</f>
        <v>Do not proceed</v>
      </c>
      <c r="N22" s="20">
        <f>O21*Q21+O23*Q23</f>
        <v>-2500</v>
      </c>
      <c r="O22" s="21"/>
      <c r="P22" s="22"/>
      <c r="Q22" s="23"/>
    </row>
    <row r="23" spans="2:17" ht="16.5" thickTop="1" thickBot="1" x14ac:dyDescent="0.4">
      <c r="B23" s="53" t="str">
        <f>$C$15</f>
        <v>Survey Good ("S")</v>
      </c>
      <c r="C23" s="64">
        <f>C19*P_Good_Weather</f>
        <v>0.2</v>
      </c>
      <c r="D23" s="65">
        <f>D19*(1-P_Good_Weather)</f>
        <v>0.22499999999999998</v>
      </c>
      <c r="E23" s="45"/>
      <c r="F23" s="24"/>
      <c r="G23" s="40"/>
      <c r="I23" s="40"/>
      <c r="J23" s="63"/>
      <c r="O23" s="25">
        <f>D27</f>
        <v>0.52941176470588236</v>
      </c>
      <c r="P23" s="26" t="str">
        <f>$B$14</f>
        <v>Tour flops (F)</v>
      </c>
      <c r="Q23" s="17">
        <f>No_Bid-Weather_Forecast_Cost</f>
        <v>-2500</v>
      </c>
    </row>
    <row r="24" spans="2:17" ht="16" thickBot="1" x14ac:dyDescent="0.4">
      <c r="B24" s="56" t="str">
        <f>$C$16</f>
        <v>Survey Bad ("F")</v>
      </c>
      <c r="C24" s="66">
        <f>C20*P_Good_Weather</f>
        <v>4.9999999999999989E-2</v>
      </c>
      <c r="D24" s="58">
        <f>D20*(1-P_Good_Weather)</f>
        <v>0.52499999999999991</v>
      </c>
      <c r="E24" s="45"/>
      <c r="F24" s="24"/>
      <c r="G24" s="40"/>
      <c r="I24" s="40"/>
      <c r="J24" s="67"/>
      <c r="O24" s="46"/>
    </row>
    <row r="25" spans="2:17" ht="18.5" thickTop="1" thickBot="1" x14ac:dyDescent="0.4">
      <c r="F25" s="24"/>
      <c r="G25" s="34" t="str">
        <f>$C$14</f>
        <v>Buy survey</v>
      </c>
      <c r="H25" s="68"/>
      <c r="I25" s="69">
        <f>J20*L20+J30*L30</f>
        <v>6125.0000000000009</v>
      </c>
      <c r="J25" s="70"/>
      <c r="O25" s="46"/>
    </row>
    <row r="26" spans="2:17" ht="16.5" thickTop="1" thickBot="1" x14ac:dyDescent="0.4">
      <c r="B26" s="7" t="s">
        <v>57</v>
      </c>
      <c r="C26" s="51" t="str">
        <f>$B$13</f>
        <v>Tour succeeds (S)</v>
      </c>
      <c r="D26" s="52" t="str">
        <f>$B$14</f>
        <v>Tour flops (F)</v>
      </c>
      <c r="E26" s="30"/>
      <c r="I26" s="40"/>
      <c r="J26" s="67"/>
      <c r="O26" s="15">
        <f>C28</f>
        <v>8.6956521739130418E-2</v>
      </c>
      <c r="P26" s="16" t="str">
        <f>$B$13</f>
        <v>Tour succeeds (S)</v>
      </c>
      <c r="Q26" s="17">
        <f>Bid___Good_Weather-Weather_Forecast_Cost</f>
        <v>57500</v>
      </c>
    </row>
    <row r="27" spans="2:17" ht="16.5" thickTop="1" thickBot="1" x14ac:dyDescent="0.4">
      <c r="B27" s="53" t="str">
        <f>$C$15</f>
        <v>Survey Good ("S")</v>
      </c>
      <c r="C27" s="64">
        <f>C23/Forecast_Good_Weather</f>
        <v>0.4705882352941177</v>
      </c>
      <c r="D27" s="65">
        <f>D23/Forecast_Good_Weather</f>
        <v>0.52941176470588236</v>
      </c>
      <c r="E27" s="45"/>
      <c r="I27" s="40"/>
      <c r="J27" s="63"/>
      <c r="M27" s="19" t="str">
        <f>$B$15</f>
        <v>Proceed</v>
      </c>
      <c r="N27" s="20">
        <f>O26*Q26+O28*Q28</f>
        <v>-10978.260869565216</v>
      </c>
      <c r="O27" s="21"/>
      <c r="P27" s="22"/>
      <c r="Q27" s="23"/>
    </row>
    <row r="28" spans="2:17" ht="16.5" thickTop="1" thickBot="1" x14ac:dyDescent="0.4">
      <c r="B28" s="56" t="str">
        <f>$C$16</f>
        <v>Survey Bad ("F")</v>
      </c>
      <c r="C28" s="66">
        <f>C24/Forecast_Bad_Weather</f>
        <v>8.6956521739130418E-2</v>
      </c>
      <c r="D28" s="58">
        <f>D24/Forecast_Bad_Weather</f>
        <v>0.91304347826086951</v>
      </c>
      <c r="E28" s="45"/>
      <c r="I28" s="40"/>
      <c r="J28" s="63"/>
      <c r="L28" s="24"/>
      <c r="M28" s="23"/>
      <c r="O28" s="25">
        <f>D28</f>
        <v>0.91304347826086951</v>
      </c>
      <c r="P28" s="26" t="str">
        <f>$B$14</f>
        <v>Tour flops (F)</v>
      </c>
      <c r="Q28" s="17">
        <f>Bid___Bad_Weather-Weather_Forecast_Cost</f>
        <v>-17500</v>
      </c>
    </row>
    <row r="29" spans="2:17" ht="16.5" thickTop="1" thickBot="1" x14ac:dyDescent="0.4">
      <c r="I29" s="40"/>
      <c r="J29" s="63"/>
      <c r="L29" s="24"/>
      <c r="M29" s="23"/>
      <c r="O29" s="29"/>
      <c r="P29" s="30"/>
      <c r="Q29" s="31"/>
    </row>
    <row r="30" spans="2:17" ht="18.5" thickTop="1" thickBot="1" x14ac:dyDescent="0.4">
      <c r="B30" s="7" t="s">
        <v>58</v>
      </c>
      <c r="C30" s="8"/>
      <c r="I30" s="40"/>
      <c r="J30" s="71">
        <f>Forecast_Bad_Weather</f>
        <v>0.57499999999999996</v>
      </c>
      <c r="K30" s="72" t="str">
        <f>$C$16</f>
        <v>Survey Bad ("F")</v>
      </c>
      <c r="L30" s="60">
        <f>MAX(N27,N32)</f>
        <v>-2500</v>
      </c>
      <c r="M30" s="37" t="str">
        <f>IF(L30&gt;N32,$B$15,$B$16)</f>
        <v>Do not proceed</v>
      </c>
      <c r="O30" s="21"/>
      <c r="P30" s="22"/>
      <c r="Q30" s="23"/>
    </row>
    <row r="31" spans="2:17" ht="16.5" thickTop="1" thickBot="1" x14ac:dyDescent="0.4">
      <c r="B31" s="53" t="str">
        <f>$C$15</f>
        <v>Survey Good ("S")</v>
      </c>
      <c r="C31" s="73">
        <f>C23+D23</f>
        <v>0.42499999999999999</v>
      </c>
      <c r="D31" s="9"/>
      <c r="L31" s="24"/>
      <c r="M31" s="23"/>
      <c r="O31" s="15">
        <f>C28</f>
        <v>8.6956521739130418E-2</v>
      </c>
      <c r="P31" s="16" t="str">
        <f>$B$13</f>
        <v>Tour succeeds (S)</v>
      </c>
      <c r="Q31" s="17">
        <f>No_Bid-Weather_Forecast_Cost</f>
        <v>-2500</v>
      </c>
    </row>
    <row r="32" spans="2:17" ht="16.5" thickTop="1" thickBot="1" x14ac:dyDescent="0.4">
      <c r="B32" s="56" t="str">
        <f>$C$16</f>
        <v>Survey Bad ("F")</v>
      </c>
      <c r="C32" s="74">
        <f>C24+D24</f>
        <v>0.57499999999999996</v>
      </c>
      <c r="L32" s="24"/>
      <c r="M32" s="19" t="str">
        <f>$B$16</f>
        <v>Do not proceed</v>
      </c>
      <c r="N32" s="20">
        <f>O31*Q31+O33*Q33</f>
        <v>-2500</v>
      </c>
      <c r="O32" s="21"/>
      <c r="P32" s="22"/>
      <c r="Q32" s="23"/>
    </row>
    <row r="33" spans="2:17" ht="16.5" thickTop="1" thickBot="1" x14ac:dyDescent="0.4">
      <c r="O33" s="25">
        <f>D28</f>
        <v>0.91304347826086951</v>
      </c>
      <c r="P33" s="26" t="str">
        <f>$B$14</f>
        <v>Tour flops (F)</v>
      </c>
      <c r="Q33" s="17">
        <f>No_Bid-Weather_Forecast_Cost</f>
        <v>-2500</v>
      </c>
    </row>
    <row r="35" spans="2:17" ht="16" thickBot="1" x14ac:dyDescent="0.4"/>
    <row r="36" spans="2:17" ht="16.5" thickTop="1" thickBot="1" x14ac:dyDescent="0.4">
      <c r="B36" s="7" t="s">
        <v>59</v>
      </c>
      <c r="C36" s="8" t="s">
        <v>60</v>
      </c>
    </row>
    <row r="37" spans="2:17" ht="16" thickTop="1" x14ac:dyDescent="0.35">
      <c r="B37" s="10" t="s">
        <v>61</v>
      </c>
      <c r="C37" s="75">
        <f>0</f>
        <v>0</v>
      </c>
    </row>
    <row r="38" spans="2:17" x14ac:dyDescent="0.35">
      <c r="B38" s="10" t="s">
        <v>62</v>
      </c>
      <c r="C38" s="76">
        <f>$I$10</f>
        <v>3750</v>
      </c>
    </row>
    <row r="39" spans="2:17" x14ac:dyDescent="0.35">
      <c r="B39" s="10" t="s">
        <v>63</v>
      </c>
      <c r="C39" s="75">
        <f>$I$25</f>
        <v>6125.0000000000009</v>
      </c>
    </row>
    <row r="40" spans="2:17" x14ac:dyDescent="0.35">
      <c r="B40" s="10" t="s">
        <v>64</v>
      </c>
      <c r="C40" s="76">
        <f>P_Good_Weather*Bid___Good_Weather+(1-P_Good_Weather)*0</f>
        <v>15000</v>
      </c>
    </row>
    <row r="41" spans="2:17" x14ac:dyDescent="0.35">
      <c r="B41" s="10" t="s">
        <v>17</v>
      </c>
      <c r="C41" s="76">
        <f>EPPI-No_Forecast_EMV</f>
        <v>11250</v>
      </c>
    </row>
    <row r="42" spans="2:17" ht="16" thickBot="1" x14ac:dyDescent="0.4">
      <c r="B42" s="32" t="s">
        <v>16</v>
      </c>
      <c r="C42" s="77">
        <f>(Forecast_EMV+Weather_Forecast_Cost)-No_Forecast_EMV</f>
        <v>4875</v>
      </c>
    </row>
    <row r="43" spans="2:17" ht="16" thickTop="1" x14ac:dyDescent="0.35"/>
  </sheetData>
  <phoneticPr fontId="21" type="noConversion"/>
  <printOptions horizontalCentered="1" verticalCentered="1" gridLinesSet="0"/>
  <pageMargins left="0.75" right="0.75" top="1" bottom="1" header="0.5" footer="0.5"/>
  <pageSetup orientation="landscape" horizontalDpi="4294967292" r:id="rId1"/>
  <headerFooter alignWithMargins="0">
    <oddHeader>&amp;A</oddHeader>
    <oddFooter>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38</vt:i4>
      </vt:variant>
    </vt:vector>
  </HeadingPairs>
  <TitlesOfParts>
    <vt:vector size="42" baseType="lpstr">
      <vt:lpstr>Other Prob &amp; Sim. Questions</vt:lpstr>
      <vt:lpstr>DecisionTree</vt:lpstr>
      <vt:lpstr>ModelParameters</vt:lpstr>
      <vt:lpstr>Decision Tree</vt:lpstr>
      <vt:lpstr>Bad_Weather</vt:lpstr>
      <vt:lpstr>Bid___Bad_Weather</vt:lpstr>
      <vt:lpstr>Bid___Good_Weather</vt:lpstr>
      <vt:lpstr>Do_nothing</vt:lpstr>
      <vt:lpstr>endMarketGood</vt:lpstr>
      <vt:lpstr>EPPI</vt:lpstr>
      <vt:lpstr>EVPI</vt:lpstr>
      <vt:lpstr>EVSI</vt:lpstr>
      <vt:lpstr>Forecast_Bad_Weather</vt:lpstr>
      <vt:lpstr>Forecast_EMV</vt:lpstr>
      <vt:lpstr>Forecast_Good_Weather</vt:lpstr>
      <vt:lpstr>Good_Weather</vt:lpstr>
      <vt:lpstr>Hi</vt:lpstr>
      <vt:lpstr>Lo</vt:lpstr>
      <vt:lpstr>No_Bid</vt:lpstr>
      <vt:lpstr>No_Forecast_EMV</vt:lpstr>
      <vt:lpstr>oNG</vt:lpstr>
      <vt:lpstr>oNP</vt:lpstr>
      <vt:lpstr>oNPil</vt:lpstr>
      <vt:lpstr>oSG</vt:lpstr>
      <vt:lpstr>oSP</vt:lpstr>
      <vt:lpstr>oSPil</vt:lpstr>
      <vt:lpstr>P_Good_Weather</vt:lpstr>
      <vt:lpstr>pGood</vt:lpstr>
      <vt:lpstr>pGood_if_PredictGood</vt:lpstr>
      <vt:lpstr>pGood_if_PredictPoor</vt:lpstr>
      <vt:lpstr>PilgrimOffer</vt:lpstr>
      <vt:lpstr>Posterior_Probability</vt:lpstr>
      <vt:lpstr>pPredictGood</vt:lpstr>
      <vt:lpstr>pPredictGood_if_Good</vt:lpstr>
      <vt:lpstr>pPredictGood_if_Poor</vt:lpstr>
      <vt:lpstr>Predict_Bad_Weather</vt:lpstr>
      <vt:lpstr>Predict_Good_Weather</vt:lpstr>
      <vt:lpstr>DecisionTree!Print_Area</vt:lpstr>
      <vt:lpstr>ModelParameters!Print_Area</vt:lpstr>
      <vt:lpstr>Risk</vt:lpstr>
      <vt:lpstr>UseU</vt:lpstr>
      <vt:lpstr>Weather_Forecast_Cost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Decision Analysis homework exercise</dc:title>
  <dc:creator/>
  <cp:lastModifiedBy>Carina Negreanu</cp:lastModifiedBy>
  <cp:lastPrinted>2000-11-30T23:38:56Z</cp:lastPrinted>
  <dcterms:created xsi:type="dcterms:W3CDTF">1997-02-05T16:47:23Z</dcterms:created>
  <dcterms:modified xsi:type="dcterms:W3CDTF">2020-01-27T11:27:52Z</dcterms:modified>
</cp:coreProperties>
</file>