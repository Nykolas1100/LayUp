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70A152-139B-44ED-8265-E883C789C498}" xr6:coauthVersionLast="45" xr6:coauthVersionMax="45" xr10:uidLastSave="{00000000-0000-0000-0000-000000000000}"/>
  <bookViews>
    <workbookView xWindow="3420" yWindow="3420" windowWidth="28800" windowHeight="15460"/>
  </bookViews>
  <sheets>
    <sheet name="Calculations" sheetId="1" r:id="rId1"/>
    <sheet name="Plot" sheetId="2" r:id="rId2"/>
    <sheet name="Sequences" sheetId="3" r:id="rId3"/>
  </sheets>
  <calcPr calcId="0"/>
</workbook>
</file>

<file path=xl/calcChain.xml><?xml version="1.0" encoding="utf-8"?>
<calcChain xmlns="http://schemas.openxmlformats.org/spreadsheetml/2006/main">
  <c r="B4" i="1" l="1"/>
  <c r="C4" i="1"/>
  <c r="D4" i="1"/>
  <c r="E4" i="1"/>
  <c r="B5" i="1"/>
  <c r="C5" i="1"/>
  <c r="D5" i="1"/>
  <c r="E5" i="1"/>
  <c r="B6" i="1"/>
  <c r="C6" i="1"/>
  <c r="D6" i="1"/>
  <c r="E6" i="1"/>
  <c r="I6" i="1"/>
  <c r="B7" i="1"/>
  <c r="C7" i="1"/>
  <c r="D7" i="1"/>
  <c r="E7" i="1"/>
  <c r="H9" i="1" s="1"/>
  <c r="I7" i="1"/>
  <c r="B8" i="1"/>
  <c r="C8" i="1"/>
  <c r="F9" i="1" s="1"/>
  <c r="D8" i="1"/>
  <c r="E8" i="1"/>
  <c r="I8" i="1"/>
  <c r="B9" i="1"/>
  <c r="C9" i="1"/>
  <c r="D9" i="1"/>
  <c r="E9" i="1"/>
  <c r="I9" i="1"/>
  <c r="B10" i="1"/>
  <c r="C10" i="1"/>
  <c r="D10" i="1"/>
  <c r="E10" i="1"/>
  <c r="I10" i="1"/>
  <c r="B11" i="1"/>
  <c r="C11" i="1"/>
  <c r="D11" i="1"/>
  <c r="E11" i="1"/>
  <c r="H10" i="1" s="1"/>
  <c r="I11" i="1"/>
  <c r="B12" i="1"/>
  <c r="C12" i="1"/>
  <c r="D12" i="1"/>
  <c r="E12" i="1"/>
  <c r="I12" i="1"/>
  <c r="B13" i="1"/>
  <c r="C13" i="1"/>
  <c r="D13" i="1"/>
  <c r="E13" i="1"/>
  <c r="I13" i="1"/>
  <c r="B14" i="1"/>
  <c r="C14" i="1"/>
  <c r="D14" i="1"/>
  <c r="E14" i="1"/>
  <c r="I14" i="1"/>
  <c r="B15" i="1"/>
  <c r="C15" i="1"/>
  <c r="D15" i="1"/>
  <c r="G17" i="1" s="1"/>
  <c r="E15" i="1"/>
  <c r="H17" i="1" s="1"/>
  <c r="I15" i="1"/>
  <c r="B16" i="1"/>
  <c r="C16" i="1"/>
  <c r="D16" i="1"/>
  <c r="E16" i="1"/>
  <c r="I16" i="1"/>
  <c r="B17" i="1"/>
  <c r="C17" i="1"/>
  <c r="D17" i="1"/>
  <c r="E17" i="1"/>
  <c r="I17" i="1"/>
  <c r="B18" i="1"/>
  <c r="C18" i="1"/>
  <c r="D18" i="1"/>
  <c r="E18" i="1"/>
  <c r="I18" i="1"/>
  <c r="B19" i="1"/>
  <c r="C19" i="1"/>
  <c r="D19" i="1"/>
  <c r="E19" i="1"/>
  <c r="I19" i="1"/>
  <c r="B20" i="1"/>
  <c r="C20" i="1"/>
  <c r="D20" i="1"/>
  <c r="E20" i="1"/>
  <c r="I20" i="1"/>
  <c r="B21" i="1"/>
  <c r="C21" i="1"/>
  <c r="D21" i="1"/>
  <c r="E21" i="1"/>
  <c r="I21" i="1"/>
  <c r="B22" i="1"/>
  <c r="C22" i="1"/>
  <c r="D22" i="1"/>
  <c r="E22" i="1"/>
  <c r="H24" i="1" s="1"/>
  <c r="I22" i="1"/>
  <c r="B23" i="1"/>
  <c r="C23" i="1"/>
  <c r="F25" i="1" s="1"/>
  <c r="D23" i="1"/>
  <c r="E23" i="1"/>
  <c r="I23" i="1"/>
  <c r="B24" i="1"/>
  <c r="C24" i="1"/>
  <c r="D24" i="1"/>
  <c r="E24" i="1"/>
  <c r="I24" i="1"/>
  <c r="B25" i="1"/>
  <c r="C25" i="1"/>
  <c r="D25" i="1"/>
  <c r="E25" i="1"/>
  <c r="I25" i="1"/>
  <c r="B26" i="1"/>
  <c r="C26" i="1"/>
  <c r="D26" i="1"/>
  <c r="E26" i="1"/>
  <c r="I26" i="1"/>
  <c r="B27" i="1"/>
  <c r="C27" i="1"/>
  <c r="D27" i="1"/>
  <c r="E27" i="1"/>
  <c r="I27" i="1"/>
  <c r="B28" i="1"/>
  <c r="C28" i="1"/>
  <c r="D28" i="1"/>
  <c r="E28" i="1"/>
  <c r="I28" i="1"/>
  <c r="B29" i="1"/>
  <c r="C29" i="1"/>
  <c r="D29" i="1"/>
  <c r="E29" i="1"/>
  <c r="H31" i="1" s="1"/>
  <c r="I29" i="1"/>
  <c r="B30" i="1"/>
  <c r="C30" i="1"/>
  <c r="D30" i="1"/>
  <c r="E30" i="1"/>
  <c r="H32" i="1" s="1"/>
  <c r="H30" i="1"/>
  <c r="I30" i="1"/>
  <c r="B31" i="1"/>
  <c r="C31" i="1"/>
  <c r="D31" i="1"/>
  <c r="E31" i="1"/>
  <c r="I31" i="1"/>
  <c r="B32" i="1"/>
  <c r="C32" i="1"/>
  <c r="D32" i="1"/>
  <c r="E32" i="1"/>
  <c r="I32" i="1"/>
  <c r="B33" i="1"/>
  <c r="C33" i="1"/>
  <c r="D33" i="1"/>
  <c r="E33" i="1"/>
  <c r="I33" i="1"/>
  <c r="B34" i="1"/>
  <c r="C34" i="1"/>
  <c r="D34" i="1"/>
  <c r="G36" i="1" s="1"/>
  <c r="E34" i="1"/>
  <c r="I34" i="1"/>
  <c r="B35" i="1"/>
  <c r="C35" i="1"/>
  <c r="D35" i="1"/>
  <c r="E35" i="1"/>
  <c r="I35" i="1"/>
  <c r="B36" i="1"/>
  <c r="C36" i="1"/>
  <c r="D36" i="1"/>
  <c r="E36" i="1"/>
  <c r="I36" i="1"/>
  <c r="B37" i="1"/>
  <c r="C37" i="1"/>
  <c r="D37" i="1"/>
  <c r="E37" i="1"/>
  <c r="G37" i="1"/>
  <c r="I37" i="1"/>
  <c r="B38" i="1"/>
  <c r="C38" i="1"/>
  <c r="F40" i="1" s="1"/>
  <c r="D38" i="1"/>
  <c r="E38" i="1"/>
  <c r="I38" i="1"/>
  <c r="B39" i="1"/>
  <c r="C39" i="1"/>
  <c r="D39" i="1"/>
  <c r="E39" i="1"/>
  <c r="I39" i="1"/>
  <c r="B40" i="1"/>
  <c r="C40" i="1"/>
  <c r="D40" i="1"/>
  <c r="E40" i="1"/>
  <c r="I40" i="1"/>
  <c r="B41" i="1"/>
  <c r="C41" i="1"/>
  <c r="D41" i="1"/>
  <c r="E41" i="1"/>
  <c r="H43" i="1" s="1"/>
  <c r="H41" i="1"/>
  <c r="I41" i="1"/>
  <c r="B42" i="1"/>
  <c r="C42" i="1"/>
  <c r="D42" i="1"/>
  <c r="E42" i="1"/>
  <c r="I42" i="1"/>
  <c r="B43" i="1"/>
  <c r="C43" i="1"/>
  <c r="D43" i="1"/>
  <c r="E43" i="1"/>
  <c r="I43" i="1"/>
  <c r="B44" i="1"/>
  <c r="C44" i="1"/>
  <c r="D44" i="1"/>
  <c r="E44" i="1"/>
  <c r="I44" i="1"/>
  <c r="B45" i="1"/>
  <c r="C45" i="1"/>
  <c r="D45" i="1"/>
  <c r="E45" i="1"/>
  <c r="I45" i="1"/>
  <c r="B46" i="1"/>
  <c r="C46" i="1"/>
  <c r="D46" i="1"/>
  <c r="E46" i="1"/>
  <c r="I46" i="1"/>
  <c r="B47" i="1"/>
  <c r="C47" i="1"/>
  <c r="D47" i="1"/>
  <c r="E47" i="1"/>
  <c r="I47" i="1"/>
  <c r="B48" i="1"/>
  <c r="C48" i="1"/>
  <c r="D48" i="1"/>
  <c r="E48" i="1"/>
  <c r="H50" i="1" s="1"/>
  <c r="I48" i="1"/>
  <c r="B49" i="1"/>
  <c r="C49" i="1"/>
  <c r="D49" i="1"/>
  <c r="E49" i="1"/>
  <c r="H51" i="1" s="1"/>
  <c r="I49" i="1"/>
  <c r="B50" i="1"/>
  <c r="C50" i="1"/>
  <c r="D50" i="1"/>
  <c r="E50" i="1"/>
  <c r="I50" i="1"/>
  <c r="B51" i="1"/>
  <c r="C51" i="1"/>
  <c r="D51" i="1"/>
  <c r="E51" i="1"/>
  <c r="I51" i="1"/>
  <c r="B52" i="1"/>
  <c r="C52" i="1"/>
  <c r="D52" i="1"/>
  <c r="E52" i="1"/>
  <c r="G52" i="1"/>
  <c r="I52" i="1"/>
  <c r="B53" i="1"/>
  <c r="C53" i="1"/>
  <c r="D53" i="1"/>
  <c r="E53" i="1"/>
  <c r="I53" i="1"/>
  <c r="B54" i="1"/>
  <c r="C54" i="1"/>
  <c r="D54" i="1"/>
  <c r="E54" i="1"/>
  <c r="I54" i="1"/>
  <c r="B55" i="1"/>
  <c r="C55" i="1"/>
  <c r="D55" i="1"/>
  <c r="G57" i="1" s="1"/>
  <c r="E55" i="1"/>
  <c r="I55" i="1"/>
  <c r="B56" i="1"/>
  <c r="C56" i="1"/>
  <c r="D56" i="1"/>
  <c r="E56" i="1"/>
  <c r="H58" i="1" s="1"/>
  <c r="I56" i="1"/>
  <c r="B57" i="1"/>
  <c r="C57" i="1"/>
  <c r="F59" i="1" s="1"/>
  <c r="D57" i="1"/>
  <c r="E57" i="1"/>
  <c r="I57" i="1"/>
  <c r="B58" i="1"/>
  <c r="C58" i="1"/>
  <c r="D58" i="1"/>
  <c r="E58" i="1"/>
  <c r="I58" i="1"/>
  <c r="B59" i="1"/>
  <c r="C59" i="1"/>
  <c r="D59" i="1"/>
  <c r="E59" i="1"/>
  <c r="I59" i="1"/>
  <c r="B60" i="1"/>
  <c r="C60" i="1"/>
  <c r="D60" i="1"/>
  <c r="E60" i="1"/>
  <c r="H62" i="1" s="1"/>
  <c r="I60" i="1"/>
  <c r="B61" i="1"/>
  <c r="C61" i="1"/>
  <c r="D61" i="1"/>
  <c r="E61" i="1"/>
  <c r="I61" i="1"/>
  <c r="B62" i="1"/>
  <c r="C62" i="1"/>
  <c r="D62" i="1"/>
  <c r="E62" i="1"/>
  <c r="I62" i="1"/>
  <c r="B63" i="1"/>
  <c r="C63" i="1"/>
  <c r="F63" i="1" s="1"/>
  <c r="D63" i="1"/>
  <c r="E63" i="1"/>
  <c r="I63" i="1"/>
  <c r="B64" i="1"/>
  <c r="C64" i="1"/>
  <c r="D64" i="1"/>
  <c r="E64" i="1"/>
  <c r="I64" i="1"/>
  <c r="B65" i="1"/>
  <c r="C65" i="1"/>
  <c r="D65" i="1"/>
  <c r="E65" i="1"/>
  <c r="I65" i="1"/>
  <c r="B66" i="1"/>
  <c r="C66" i="1"/>
  <c r="D66" i="1"/>
  <c r="E66" i="1"/>
  <c r="I66" i="1"/>
  <c r="B67" i="1"/>
  <c r="C67" i="1"/>
  <c r="D67" i="1"/>
  <c r="E67" i="1"/>
  <c r="I67" i="1"/>
  <c r="B68" i="1"/>
  <c r="C68" i="1"/>
  <c r="D68" i="1"/>
  <c r="E68" i="1"/>
  <c r="H70" i="1" s="1"/>
  <c r="I68" i="1"/>
  <c r="B69" i="1"/>
  <c r="C69" i="1"/>
  <c r="D69" i="1"/>
  <c r="E69" i="1"/>
  <c r="I69" i="1"/>
  <c r="B70" i="1"/>
  <c r="C70" i="1"/>
  <c r="D70" i="1"/>
  <c r="E70" i="1"/>
  <c r="I70" i="1"/>
  <c r="B71" i="1"/>
  <c r="C71" i="1"/>
  <c r="D71" i="1"/>
  <c r="E71" i="1"/>
  <c r="H71" i="1"/>
  <c r="I71" i="1"/>
  <c r="B72" i="1"/>
  <c r="C72" i="1"/>
  <c r="D72" i="1"/>
  <c r="G74" i="1" s="1"/>
  <c r="E72" i="1"/>
  <c r="I72" i="1"/>
  <c r="B73" i="1"/>
  <c r="C73" i="1"/>
  <c r="D73" i="1"/>
  <c r="E73" i="1"/>
  <c r="I73" i="1"/>
  <c r="B74" i="1"/>
  <c r="C74" i="1"/>
  <c r="D74" i="1"/>
  <c r="E74" i="1"/>
  <c r="I74" i="1"/>
  <c r="B75" i="1"/>
  <c r="C75" i="1"/>
  <c r="D75" i="1"/>
  <c r="E75" i="1"/>
  <c r="H77" i="1" s="1"/>
  <c r="I75" i="1"/>
  <c r="B76" i="1"/>
  <c r="C76" i="1"/>
  <c r="D76" i="1"/>
  <c r="E76" i="1"/>
  <c r="I76" i="1"/>
  <c r="B77" i="1"/>
  <c r="C77" i="1"/>
  <c r="D77" i="1"/>
  <c r="E77" i="1"/>
  <c r="I77" i="1"/>
  <c r="B78" i="1"/>
  <c r="C78" i="1"/>
  <c r="D78" i="1"/>
  <c r="E78" i="1"/>
  <c r="I78" i="1"/>
  <c r="B79" i="1"/>
  <c r="C79" i="1"/>
  <c r="D79" i="1"/>
  <c r="G77" i="1" s="1"/>
  <c r="E79" i="1"/>
  <c r="H80" i="1" s="1"/>
  <c r="I79" i="1"/>
  <c r="B80" i="1"/>
  <c r="C80" i="1"/>
  <c r="D80" i="1"/>
  <c r="E80" i="1"/>
  <c r="I80" i="1"/>
  <c r="B81" i="1"/>
  <c r="C81" i="1"/>
  <c r="D81" i="1"/>
  <c r="E81" i="1"/>
  <c r="I81" i="1"/>
  <c r="B82" i="1"/>
  <c r="C82" i="1"/>
  <c r="D82" i="1"/>
  <c r="E82" i="1"/>
  <c r="I82" i="1"/>
  <c r="B83" i="1"/>
  <c r="C83" i="1"/>
  <c r="D83" i="1"/>
  <c r="G79" i="1" s="1"/>
  <c r="E83" i="1"/>
  <c r="H85" i="1" s="1"/>
  <c r="I83" i="1"/>
  <c r="B84" i="1"/>
  <c r="C84" i="1"/>
  <c r="D84" i="1"/>
  <c r="E84" i="1"/>
  <c r="I84" i="1"/>
  <c r="B85" i="1"/>
  <c r="C85" i="1"/>
  <c r="D85" i="1"/>
  <c r="E85" i="1"/>
  <c r="I85" i="1"/>
  <c r="B86" i="1"/>
  <c r="C86" i="1"/>
  <c r="D86" i="1"/>
  <c r="E86" i="1"/>
  <c r="I86" i="1"/>
  <c r="B87" i="1"/>
  <c r="C87" i="1"/>
  <c r="D87" i="1"/>
  <c r="E87" i="1"/>
  <c r="I87" i="1"/>
  <c r="B88" i="1"/>
  <c r="C88" i="1"/>
  <c r="D88" i="1"/>
  <c r="E88" i="1"/>
  <c r="I88" i="1"/>
  <c r="B89" i="1"/>
  <c r="C89" i="1"/>
  <c r="D89" i="1"/>
  <c r="E89" i="1"/>
  <c r="H91" i="1" s="1"/>
  <c r="I89" i="1"/>
  <c r="B90" i="1"/>
  <c r="C90" i="1"/>
  <c r="D90" i="1"/>
  <c r="E90" i="1"/>
  <c r="I90" i="1"/>
  <c r="B91" i="1"/>
  <c r="C91" i="1"/>
  <c r="D91" i="1"/>
  <c r="G93" i="1" s="1"/>
  <c r="E91" i="1"/>
  <c r="I91" i="1"/>
  <c r="B92" i="1"/>
  <c r="C92" i="1"/>
  <c r="D92" i="1"/>
  <c r="E92" i="1"/>
  <c r="I92" i="1"/>
  <c r="B93" i="1"/>
  <c r="C93" i="1"/>
  <c r="D93" i="1"/>
  <c r="E93" i="1"/>
  <c r="I93" i="1"/>
  <c r="B94" i="1"/>
  <c r="C94" i="1"/>
  <c r="D94" i="1"/>
  <c r="E94" i="1"/>
  <c r="I94" i="1"/>
  <c r="B95" i="1"/>
  <c r="C95" i="1"/>
  <c r="D95" i="1"/>
  <c r="E95" i="1"/>
  <c r="I95" i="1"/>
  <c r="B96" i="1"/>
  <c r="C96" i="1"/>
  <c r="D96" i="1"/>
  <c r="E96" i="1"/>
  <c r="I96" i="1"/>
  <c r="B97" i="1"/>
  <c r="C97" i="1"/>
  <c r="D97" i="1"/>
  <c r="E97" i="1"/>
  <c r="I97" i="1"/>
  <c r="B98" i="1"/>
  <c r="C98" i="1"/>
  <c r="D98" i="1"/>
  <c r="E98" i="1"/>
  <c r="I98" i="1"/>
  <c r="B99" i="1"/>
  <c r="C99" i="1"/>
  <c r="D99" i="1"/>
  <c r="E99" i="1"/>
  <c r="I99" i="1"/>
  <c r="B100" i="1"/>
  <c r="C100" i="1"/>
  <c r="D100" i="1"/>
  <c r="E100" i="1"/>
  <c r="I100" i="1"/>
  <c r="B101" i="1"/>
  <c r="C101" i="1"/>
  <c r="D101" i="1"/>
  <c r="E101" i="1"/>
  <c r="H101" i="1" s="1"/>
  <c r="I101" i="1"/>
  <c r="B102" i="1"/>
  <c r="C102" i="1"/>
  <c r="D102" i="1"/>
  <c r="E102" i="1"/>
  <c r="H104" i="1" s="1"/>
  <c r="I102" i="1"/>
  <c r="B103" i="1"/>
  <c r="C103" i="1"/>
  <c r="D103" i="1"/>
  <c r="E103" i="1"/>
  <c r="I103" i="1"/>
  <c r="B104" i="1"/>
  <c r="C104" i="1"/>
  <c r="D104" i="1"/>
  <c r="E104" i="1"/>
  <c r="I104" i="1"/>
  <c r="B105" i="1"/>
  <c r="C105" i="1"/>
  <c r="D105" i="1"/>
  <c r="E105" i="1"/>
  <c r="I105" i="1"/>
  <c r="B106" i="1"/>
  <c r="C106" i="1"/>
  <c r="D106" i="1"/>
  <c r="G108" i="1" s="1"/>
  <c r="E106" i="1"/>
  <c r="I106" i="1"/>
  <c r="B107" i="1"/>
  <c r="C107" i="1"/>
  <c r="D107" i="1"/>
  <c r="E107" i="1"/>
  <c r="I107" i="1"/>
  <c r="B108" i="1"/>
  <c r="C108" i="1"/>
  <c r="D108" i="1"/>
  <c r="E108" i="1"/>
  <c r="I108" i="1"/>
  <c r="B109" i="1"/>
  <c r="C109" i="1"/>
  <c r="D109" i="1"/>
  <c r="E109" i="1"/>
  <c r="H111" i="1" s="1"/>
  <c r="H109" i="1"/>
  <c r="I109" i="1"/>
  <c r="B110" i="1"/>
  <c r="C110" i="1"/>
  <c r="F112" i="1" s="1"/>
  <c r="D110" i="1"/>
  <c r="E110" i="1"/>
  <c r="I110" i="1"/>
  <c r="B111" i="1"/>
  <c r="C111" i="1"/>
  <c r="D111" i="1"/>
  <c r="E111" i="1"/>
  <c r="I111" i="1"/>
  <c r="B112" i="1"/>
  <c r="C112" i="1"/>
  <c r="D112" i="1"/>
  <c r="E112" i="1"/>
  <c r="H112" i="1"/>
  <c r="I112" i="1"/>
  <c r="B113" i="1"/>
  <c r="C113" i="1"/>
  <c r="D113" i="1"/>
  <c r="G112" i="1" s="1"/>
  <c r="E113" i="1"/>
  <c r="I113" i="1"/>
  <c r="B114" i="1"/>
  <c r="C114" i="1"/>
  <c r="D114" i="1"/>
  <c r="E114" i="1"/>
  <c r="I114" i="1"/>
  <c r="B115" i="1"/>
  <c r="C115" i="1"/>
  <c r="D115" i="1"/>
  <c r="E115" i="1"/>
  <c r="I115" i="1"/>
  <c r="B116" i="1"/>
  <c r="C116" i="1"/>
  <c r="D116" i="1"/>
  <c r="E116" i="1"/>
  <c r="H118" i="1" s="1"/>
  <c r="I116" i="1"/>
  <c r="B117" i="1"/>
  <c r="C117" i="1"/>
  <c r="D117" i="1"/>
  <c r="E117" i="1"/>
  <c r="I117" i="1"/>
  <c r="B118" i="1"/>
  <c r="C118" i="1"/>
  <c r="D118" i="1"/>
  <c r="E118" i="1"/>
  <c r="I118" i="1"/>
  <c r="B119" i="1"/>
  <c r="C119" i="1"/>
  <c r="D119" i="1"/>
  <c r="E119" i="1"/>
  <c r="I119" i="1"/>
  <c r="B120" i="1"/>
  <c r="C120" i="1"/>
  <c r="D120" i="1"/>
  <c r="E120" i="1"/>
  <c r="I120" i="1"/>
  <c r="B121" i="1"/>
  <c r="C121" i="1"/>
  <c r="F123" i="1" s="1"/>
  <c r="D121" i="1"/>
  <c r="E121" i="1"/>
  <c r="I121" i="1"/>
  <c r="B122" i="1"/>
  <c r="C122" i="1"/>
  <c r="D122" i="1"/>
  <c r="E122" i="1"/>
  <c r="I122" i="1"/>
  <c r="B123" i="1"/>
  <c r="C123" i="1"/>
  <c r="D123" i="1"/>
  <c r="G125" i="1" s="1"/>
  <c r="E123" i="1"/>
  <c r="I123" i="1"/>
  <c r="B124" i="1"/>
  <c r="C124" i="1"/>
  <c r="D124" i="1"/>
  <c r="G126" i="1" s="1"/>
  <c r="E124" i="1"/>
  <c r="H126" i="1" s="1"/>
  <c r="I124" i="1"/>
  <c r="B125" i="1"/>
  <c r="C125" i="1"/>
  <c r="D125" i="1"/>
  <c r="E125" i="1"/>
  <c r="I125" i="1"/>
  <c r="B126" i="1"/>
  <c r="C126" i="1"/>
  <c r="D126" i="1"/>
  <c r="E126" i="1"/>
  <c r="I126" i="1"/>
  <c r="B127" i="1"/>
  <c r="C127" i="1"/>
  <c r="D127" i="1"/>
  <c r="E127" i="1"/>
  <c r="H129" i="1" s="1"/>
  <c r="I127" i="1"/>
  <c r="B128" i="1"/>
  <c r="C128" i="1"/>
  <c r="D128" i="1"/>
  <c r="E128" i="1"/>
  <c r="I128" i="1"/>
  <c r="B129" i="1"/>
  <c r="C129" i="1"/>
  <c r="D129" i="1"/>
  <c r="E129" i="1"/>
  <c r="I129" i="1"/>
  <c r="B130" i="1"/>
  <c r="C130" i="1"/>
  <c r="D130" i="1"/>
  <c r="G132" i="1" s="1"/>
  <c r="E130" i="1"/>
  <c r="H132" i="1" s="1"/>
  <c r="I130" i="1"/>
  <c r="B131" i="1"/>
  <c r="C131" i="1"/>
  <c r="D131" i="1"/>
  <c r="E131" i="1"/>
  <c r="H131" i="1" s="1"/>
  <c r="I131" i="1"/>
  <c r="B132" i="1"/>
  <c r="C132" i="1"/>
  <c r="D132" i="1"/>
  <c r="E132" i="1"/>
  <c r="I132" i="1"/>
  <c r="B133" i="1"/>
  <c r="C133" i="1"/>
  <c r="D133" i="1"/>
  <c r="E133" i="1"/>
  <c r="H135" i="1" s="1"/>
  <c r="I133" i="1"/>
  <c r="B134" i="1"/>
  <c r="C134" i="1"/>
  <c r="D134" i="1"/>
  <c r="E134" i="1"/>
  <c r="I134" i="1"/>
  <c r="B135" i="1"/>
  <c r="C135" i="1"/>
  <c r="D135" i="1"/>
  <c r="E135" i="1"/>
  <c r="H137" i="1" s="1"/>
  <c r="I135" i="1"/>
  <c r="B136" i="1"/>
  <c r="C136" i="1"/>
  <c r="D136" i="1"/>
  <c r="E136" i="1"/>
  <c r="I136" i="1"/>
  <c r="B137" i="1"/>
  <c r="C137" i="1"/>
  <c r="D137" i="1"/>
  <c r="E137" i="1"/>
  <c r="I137" i="1"/>
  <c r="B138" i="1"/>
  <c r="C138" i="1"/>
  <c r="D138" i="1"/>
  <c r="E138" i="1"/>
  <c r="H139" i="1" s="1"/>
  <c r="I138" i="1"/>
  <c r="B139" i="1"/>
  <c r="C139" i="1"/>
  <c r="D139" i="1"/>
  <c r="E139" i="1"/>
  <c r="I139" i="1"/>
  <c r="B140" i="1"/>
  <c r="C140" i="1"/>
  <c r="D140" i="1"/>
  <c r="E140" i="1"/>
  <c r="I140" i="1"/>
  <c r="B141" i="1"/>
  <c r="C141" i="1"/>
  <c r="D141" i="1"/>
  <c r="E141" i="1"/>
  <c r="I141" i="1"/>
  <c r="B142" i="1"/>
  <c r="C142" i="1"/>
  <c r="D142" i="1"/>
  <c r="E142" i="1"/>
  <c r="I142" i="1"/>
  <c r="B143" i="1"/>
  <c r="C143" i="1"/>
  <c r="D143" i="1"/>
  <c r="E143" i="1"/>
  <c r="I143" i="1"/>
  <c r="B144" i="1"/>
  <c r="C144" i="1"/>
  <c r="D144" i="1"/>
  <c r="E144" i="1"/>
  <c r="I144" i="1"/>
  <c r="B145" i="1"/>
  <c r="C145" i="1"/>
  <c r="D145" i="1"/>
  <c r="E145" i="1"/>
  <c r="I145" i="1"/>
  <c r="B146" i="1"/>
  <c r="C146" i="1"/>
  <c r="D146" i="1"/>
  <c r="G148" i="1" s="1"/>
  <c r="E146" i="1"/>
  <c r="H146" i="1"/>
  <c r="I146" i="1"/>
  <c r="B147" i="1"/>
  <c r="C147" i="1"/>
  <c r="D147" i="1"/>
  <c r="E147" i="1"/>
  <c r="I147" i="1"/>
  <c r="B148" i="1"/>
  <c r="C148" i="1"/>
  <c r="D148" i="1"/>
  <c r="E148" i="1"/>
  <c r="I148" i="1"/>
  <c r="B149" i="1"/>
  <c r="C149" i="1"/>
  <c r="D149" i="1"/>
  <c r="E149" i="1"/>
  <c r="H151" i="1" s="1"/>
  <c r="I149" i="1"/>
  <c r="B150" i="1"/>
  <c r="C150" i="1"/>
  <c r="D150" i="1"/>
  <c r="E150" i="1"/>
  <c r="H152" i="1" s="1"/>
  <c r="H150" i="1"/>
  <c r="I150" i="1"/>
  <c r="B151" i="1"/>
  <c r="C151" i="1"/>
  <c r="D151" i="1"/>
  <c r="E151" i="1"/>
  <c r="I151" i="1"/>
  <c r="B152" i="1"/>
  <c r="C152" i="1"/>
  <c r="D152" i="1"/>
  <c r="E152" i="1"/>
  <c r="I152" i="1"/>
  <c r="B153" i="1"/>
  <c r="C153" i="1"/>
  <c r="D153" i="1"/>
  <c r="E153" i="1"/>
  <c r="H153" i="1"/>
  <c r="I153" i="1"/>
  <c r="B154" i="1"/>
  <c r="C154" i="1"/>
  <c r="D154" i="1"/>
  <c r="E154" i="1"/>
  <c r="I154" i="1"/>
  <c r="B155" i="1"/>
  <c r="C155" i="1"/>
  <c r="D155" i="1"/>
  <c r="E155" i="1"/>
  <c r="I155" i="1"/>
  <c r="B156" i="1"/>
  <c r="C156" i="1"/>
  <c r="D156" i="1"/>
  <c r="E156" i="1"/>
  <c r="I156" i="1"/>
  <c r="B157" i="1"/>
  <c r="C157" i="1"/>
  <c r="D157" i="1"/>
  <c r="E157" i="1"/>
  <c r="I157" i="1"/>
  <c r="B158" i="1"/>
  <c r="C158" i="1"/>
  <c r="D158" i="1"/>
  <c r="E158" i="1"/>
  <c r="I158" i="1"/>
  <c r="B159" i="1"/>
  <c r="C159" i="1"/>
  <c r="D159" i="1"/>
  <c r="E159" i="1"/>
  <c r="I159" i="1"/>
  <c r="B160" i="1"/>
  <c r="C160" i="1"/>
  <c r="D160" i="1"/>
  <c r="E160" i="1"/>
  <c r="I160" i="1"/>
  <c r="B161" i="1"/>
  <c r="C161" i="1"/>
  <c r="F163" i="1" s="1"/>
  <c r="D161" i="1"/>
  <c r="E161" i="1"/>
  <c r="H161" i="1" s="1"/>
  <c r="G161" i="1"/>
  <c r="I161" i="1"/>
  <c r="B162" i="1"/>
  <c r="C162" i="1"/>
  <c r="D162" i="1"/>
  <c r="E162" i="1"/>
  <c r="I162" i="1"/>
  <c r="B163" i="1"/>
  <c r="C163" i="1"/>
  <c r="D163" i="1"/>
  <c r="E163" i="1"/>
  <c r="I163" i="1"/>
  <c r="B164" i="1"/>
  <c r="C164" i="1"/>
  <c r="D164" i="1"/>
  <c r="E164" i="1"/>
  <c r="I164" i="1"/>
  <c r="B165" i="1"/>
  <c r="C165" i="1"/>
  <c r="D165" i="1"/>
  <c r="E165" i="1"/>
  <c r="I165" i="1"/>
  <c r="B166" i="1"/>
  <c r="C166" i="1"/>
  <c r="D166" i="1"/>
  <c r="E166" i="1"/>
  <c r="I166" i="1"/>
  <c r="B167" i="1"/>
  <c r="C167" i="1"/>
  <c r="D167" i="1"/>
  <c r="E167" i="1"/>
  <c r="I167" i="1"/>
  <c r="B168" i="1"/>
  <c r="C168" i="1"/>
  <c r="F170" i="1" s="1"/>
  <c r="D168" i="1"/>
  <c r="E168" i="1"/>
  <c r="H170" i="1" s="1"/>
  <c r="H168" i="1"/>
  <c r="I168" i="1"/>
  <c r="B169" i="1"/>
  <c r="C169" i="1"/>
  <c r="D169" i="1"/>
  <c r="E169" i="1"/>
  <c r="I169" i="1"/>
  <c r="B170" i="1"/>
  <c r="C170" i="1"/>
  <c r="D170" i="1"/>
  <c r="E170" i="1"/>
  <c r="H172" i="1" s="1"/>
  <c r="I170" i="1"/>
  <c r="B171" i="1"/>
  <c r="C171" i="1"/>
  <c r="F172" i="1" s="1"/>
  <c r="D171" i="1"/>
  <c r="E171" i="1"/>
  <c r="H171" i="1"/>
  <c r="I171" i="1"/>
  <c r="B172" i="1"/>
  <c r="C172" i="1"/>
  <c r="F168" i="1" s="1"/>
  <c r="D172" i="1"/>
  <c r="E172" i="1"/>
  <c r="I172" i="1"/>
  <c r="B173" i="1"/>
  <c r="C173" i="1"/>
  <c r="D173" i="1"/>
  <c r="E173" i="1"/>
  <c r="I173" i="1"/>
  <c r="B174" i="1"/>
  <c r="C174" i="1"/>
  <c r="D174" i="1"/>
  <c r="E174" i="1"/>
  <c r="H174" i="1"/>
  <c r="I174" i="1"/>
  <c r="B175" i="1"/>
  <c r="C175" i="1"/>
  <c r="F177" i="1" s="1"/>
  <c r="D175" i="1"/>
  <c r="G177" i="1" s="1"/>
  <c r="K177" i="1" s="1"/>
  <c r="E175" i="1"/>
  <c r="I175" i="1"/>
  <c r="B176" i="1"/>
  <c r="C176" i="1"/>
  <c r="D176" i="1"/>
  <c r="E176" i="1"/>
  <c r="I176" i="1"/>
  <c r="B177" i="1"/>
  <c r="C177" i="1"/>
  <c r="D177" i="1"/>
  <c r="G179" i="1" s="1"/>
  <c r="E177" i="1"/>
  <c r="I177" i="1"/>
  <c r="B178" i="1"/>
  <c r="C178" i="1"/>
  <c r="D178" i="1"/>
  <c r="E178" i="1"/>
  <c r="I178" i="1"/>
  <c r="B179" i="1"/>
  <c r="C179" i="1"/>
  <c r="D179" i="1"/>
  <c r="E179" i="1"/>
  <c r="I179" i="1"/>
  <c r="B180" i="1"/>
  <c r="C180" i="1"/>
  <c r="D180" i="1"/>
  <c r="G181" i="1" s="1"/>
  <c r="E180" i="1"/>
  <c r="I180" i="1"/>
  <c r="B181" i="1"/>
  <c r="C181" i="1"/>
  <c r="D181" i="1"/>
  <c r="E181" i="1"/>
  <c r="H182" i="1" s="1"/>
  <c r="H181" i="1"/>
  <c r="I181" i="1"/>
  <c r="B182" i="1"/>
  <c r="C182" i="1"/>
  <c r="D182" i="1"/>
  <c r="E182" i="1"/>
  <c r="I182" i="1"/>
  <c r="B183" i="1"/>
  <c r="C183" i="1"/>
  <c r="D183" i="1"/>
  <c r="E183" i="1"/>
  <c r="I183" i="1"/>
  <c r="B184" i="1"/>
  <c r="C184" i="1"/>
  <c r="D184" i="1"/>
  <c r="G186" i="1" s="1"/>
  <c r="E184" i="1"/>
  <c r="I184" i="1"/>
  <c r="B185" i="1"/>
  <c r="C185" i="1"/>
  <c r="D185" i="1"/>
  <c r="E185" i="1"/>
  <c r="H187" i="1" s="1"/>
  <c r="I185" i="1"/>
  <c r="B186" i="1"/>
  <c r="C186" i="1"/>
  <c r="F188" i="1" s="1"/>
  <c r="D186" i="1"/>
  <c r="E186" i="1"/>
  <c r="I186" i="1"/>
  <c r="B187" i="1"/>
  <c r="C187" i="1"/>
  <c r="D187" i="1"/>
  <c r="E187" i="1"/>
  <c r="I187" i="1"/>
  <c r="B188" i="1"/>
  <c r="C188" i="1"/>
  <c r="F190" i="1" s="1"/>
  <c r="D188" i="1"/>
  <c r="E188" i="1"/>
  <c r="H189" i="1" s="1"/>
  <c r="H188" i="1"/>
  <c r="I188" i="1"/>
  <c r="B189" i="1"/>
  <c r="C189" i="1"/>
  <c r="D189" i="1"/>
  <c r="E189" i="1"/>
  <c r="I189" i="1"/>
  <c r="B190" i="1"/>
  <c r="C190" i="1"/>
  <c r="D190" i="1"/>
  <c r="E190" i="1"/>
  <c r="I190" i="1"/>
  <c r="B191" i="1"/>
  <c r="C191" i="1"/>
  <c r="D191" i="1"/>
  <c r="E191" i="1"/>
  <c r="I191" i="1"/>
  <c r="B192" i="1"/>
  <c r="C192" i="1"/>
  <c r="D192" i="1"/>
  <c r="E192" i="1"/>
  <c r="H191" i="1" s="1"/>
  <c r="H192" i="1"/>
  <c r="I192" i="1"/>
  <c r="B193" i="1"/>
  <c r="C193" i="1"/>
  <c r="D193" i="1"/>
  <c r="E193" i="1"/>
  <c r="I193" i="1"/>
  <c r="B194" i="1"/>
  <c r="C194" i="1"/>
  <c r="D194" i="1"/>
  <c r="E194" i="1"/>
  <c r="I194" i="1"/>
  <c r="B195" i="1"/>
  <c r="C195" i="1"/>
  <c r="D195" i="1"/>
  <c r="G197" i="1" s="1"/>
  <c r="E195" i="1"/>
  <c r="I195" i="1"/>
  <c r="B196" i="1"/>
  <c r="C196" i="1"/>
  <c r="D196" i="1"/>
  <c r="E196" i="1"/>
  <c r="I196" i="1"/>
  <c r="B197" i="1"/>
  <c r="C197" i="1"/>
  <c r="D197" i="1"/>
  <c r="E197" i="1"/>
  <c r="I197" i="1"/>
  <c r="B198" i="1"/>
  <c r="C198" i="1"/>
  <c r="D198" i="1"/>
  <c r="E198" i="1"/>
  <c r="I198" i="1"/>
  <c r="B199" i="1"/>
  <c r="C199" i="1"/>
  <c r="D199" i="1"/>
  <c r="E199" i="1"/>
  <c r="H200" i="1" s="1"/>
  <c r="I199" i="1"/>
  <c r="B200" i="1"/>
  <c r="C200" i="1"/>
  <c r="D200" i="1"/>
  <c r="E200" i="1"/>
  <c r="I200" i="1"/>
  <c r="B201" i="1"/>
  <c r="C201" i="1"/>
  <c r="D201" i="1"/>
  <c r="E201" i="1"/>
  <c r="I201" i="1"/>
  <c r="B202" i="1"/>
  <c r="C202" i="1"/>
  <c r="D202" i="1"/>
  <c r="E202" i="1"/>
  <c r="I202" i="1"/>
  <c r="B203" i="1"/>
  <c r="C203" i="1"/>
  <c r="D203" i="1"/>
  <c r="G199" i="1" s="1"/>
  <c r="E203" i="1"/>
  <c r="H205" i="1" s="1"/>
  <c r="I203" i="1"/>
  <c r="B204" i="1"/>
  <c r="C204" i="1"/>
  <c r="D204" i="1"/>
  <c r="E204" i="1"/>
  <c r="I204" i="1"/>
  <c r="B205" i="1"/>
  <c r="C205" i="1"/>
  <c r="D205" i="1"/>
  <c r="E205" i="1"/>
  <c r="H207" i="1" s="1"/>
  <c r="I205" i="1"/>
  <c r="B206" i="1"/>
  <c r="C206" i="1"/>
  <c r="D206" i="1"/>
  <c r="E206" i="1"/>
  <c r="I206" i="1"/>
  <c r="B207" i="1"/>
  <c r="C207" i="1"/>
  <c r="D207" i="1"/>
  <c r="E207" i="1"/>
  <c r="H208" i="1" s="1"/>
  <c r="I207" i="1"/>
  <c r="B208" i="1"/>
  <c r="C208" i="1"/>
  <c r="D208" i="1"/>
  <c r="E208" i="1"/>
  <c r="I208" i="1"/>
  <c r="B209" i="1"/>
  <c r="C209" i="1"/>
  <c r="D209" i="1"/>
  <c r="E209" i="1"/>
  <c r="H211" i="1" s="1"/>
  <c r="I209" i="1"/>
  <c r="B210" i="1"/>
  <c r="C210" i="1"/>
  <c r="D210" i="1"/>
  <c r="E210" i="1"/>
  <c r="I210" i="1"/>
  <c r="B211" i="1"/>
  <c r="C211" i="1"/>
  <c r="D211" i="1"/>
  <c r="E211" i="1"/>
  <c r="I211" i="1"/>
  <c r="B212" i="1"/>
  <c r="C212" i="1"/>
  <c r="D212" i="1"/>
  <c r="E212" i="1"/>
  <c r="I212" i="1"/>
  <c r="B213" i="1"/>
  <c r="C213" i="1"/>
  <c r="D213" i="1"/>
  <c r="E213" i="1"/>
  <c r="I213" i="1"/>
  <c r="B214" i="1"/>
  <c r="C214" i="1"/>
  <c r="F216" i="1" s="1"/>
  <c r="D214" i="1"/>
  <c r="E214" i="1"/>
  <c r="I214" i="1"/>
  <c r="B215" i="1"/>
  <c r="C215" i="1"/>
  <c r="D215" i="1"/>
  <c r="E215" i="1"/>
  <c r="I215" i="1"/>
  <c r="B216" i="1"/>
  <c r="C216" i="1"/>
  <c r="D216" i="1"/>
  <c r="E216" i="1"/>
  <c r="I216" i="1"/>
  <c r="B217" i="1"/>
  <c r="C217" i="1"/>
  <c r="D217" i="1"/>
  <c r="E217" i="1"/>
  <c r="I217" i="1"/>
  <c r="B218" i="1"/>
  <c r="C218" i="1"/>
  <c r="D218" i="1"/>
  <c r="G219" i="1" s="1"/>
  <c r="E218" i="1"/>
  <c r="H220" i="1" s="1"/>
  <c r="G218" i="1"/>
  <c r="I218" i="1"/>
  <c r="B219" i="1"/>
  <c r="C219" i="1"/>
  <c r="D219" i="1"/>
  <c r="E219" i="1"/>
  <c r="I219" i="1"/>
  <c r="B220" i="1"/>
  <c r="C220" i="1"/>
  <c r="D220" i="1"/>
  <c r="E220" i="1"/>
  <c r="I220" i="1"/>
  <c r="B221" i="1"/>
  <c r="C221" i="1"/>
  <c r="D221" i="1"/>
  <c r="E221" i="1"/>
  <c r="I221" i="1"/>
  <c r="B222" i="1"/>
  <c r="C222" i="1"/>
  <c r="D222" i="1"/>
  <c r="E222" i="1"/>
  <c r="I222" i="1"/>
  <c r="B223" i="1"/>
  <c r="C223" i="1"/>
  <c r="D223" i="1"/>
  <c r="E223" i="1"/>
  <c r="I223" i="1"/>
  <c r="B224" i="1"/>
  <c r="C224" i="1"/>
  <c r="D224" i="1"/>
  <c r="E224" i="1"/>
  <c r="I224" i="1"/>
  <c r="B225" i="1"/>
  <c r="C225" i="1"/>
  <c r="D225" i="1"/>
  <c r="G222" i="1" s="1"/>
  <c r="E225" i="1"/>
  <c r="I225" i="1"/>
  <c r="B226" i="1"/>
  <c r="C226" i="1"/>
  <c r="D226" i="1"/>
  <c r="E226" i="1"/>
  <c r="I226" i="1"/>
  <c r="B227" i="1"/>
  <c r="C227" i="1"/>
  <c r="D227" i="1"/>
  <c r="E227" i="1"/>
  <c r="I227" i="1"/>
  <c r="B228" i="1"/>
  <c r="C228" i="1"/>
  <c r="D228" i="1"/>
  <c r="E228" i="1"/>
  <c r="H230" i="1" s="1"/>
  <c r="I228" i="1"/>
  <c r="B229" i="1"/>
  <c r="C229" i="1"/>
  <c r="D229" i="1"/>
  <c r="E229" i="1"/>
  <c r="H228" i="1" s="1"/>
  <c r="I229" i="1"/>
  <c r="B230" i="1"/>
  <c r="C230" i="1"/>
  <c r="D230" i="1"/>
  <c r="E230" i="1"/>
  <c r="I230" i="1"/>
  <c r="B231" i="1"/>
  <c r="C231" i="1"/>
  <c r="D231" i="1"/>
  <c r="E231" i="1"/>
  <c r="I231" i="1"/>
  <c r="B232" i="1"/>
  <c r="C232" i="1"/>
  <c r="D232" i="1"/>
  <c r="E232" i="1"/>
  <c r="I232" i="1"/>
  <c r="B233" i="1"/>
  <c r="C233" i="1"/>
  <c r="D233" i="1"/>
  <c r="G235" i="1" s="1"/>
  <c r="E233" i="1"/>
  <c r="I233" i="1"/>
  <c r="B234" i="1"/>
  <c r="C234" i="1"/>
  <c r="D234" i="1"/>
  <c r="E234" i="1"/>
  <c r="I234" i="1"/>
  <c r="B235" i="1"/>
  <c r="C235" i="1"/>
  <c r="D235" i="1"/>
  <c r="E235" i="1"/>
  <c r="I235" i="1"/>
  <c r="B236" i="1"/>
  <c r="C236" i="1"/>
  <c r="D236" i="1"/>
  <c r="E236" i="1"/>
  <c r="H238" i="1" s="1"/>
  <c r="I236" i="1"/>
  <c r="B237" i="1"/>
  <c r="C237" i="1"/>
  <c r="D237" i="1"/>
  <c r="G238" i="1" s="1"/>
  <c r="E237" i="1"/>
  <c r="I237" i="1"/>
  <c r="B238" i="1"/>
  <c r="C238" i="1"/>
  <c r="D238" i="1"/>
  <c r="E238" i="1"/>
  <c r="I238" i="1"/>
  <c r="B239" i="1"/>
  <c r="C239" i="1"/>
  <c r="D239" i="1"/>
  <c r="G241" i="1" s="1"/>
  <c r="E239" i="1"/>
  <c r="I239" i="1"/>
  <c r="B240" i="1"/>
  <c r="C240" i="1"/>
  <c r="D240" i="1"/>
  <c r="G242" i="1" s="1"/>
  <c r="E240" i="1"/>
  <c r="H242" i="1" s="1"/>
  <c r="I240" i="1"/>
  <c r="B241" i="1"/>
  <c r="C241" i="1"/>
  <c r="D241" i="1"/>
  <c r="E241" i="1"/>
  <c r="I241" i="1"/>
  <c r="B242" i="1"/>
  <c r="C242" i="1"/>
  <c r="D242" i="1"/>
  <c r="E242" i="1"/>
  <c r="I242" i="1"/>
  <c r="B243" i="1"/>
  <c r="C243" i="1"/>
  <c r="D243" i="1"/>
  <c r="E243" i="1"/>
  <c r="G243" i="1"/>
  <c r="H243" i="1"/>
  <c r="I243" i="1"/>
  <c r="F119" i="1" l="1"/>
  <c r="F20" i="1"/>
  <c r="G89" i="1"/>
  <c r="K89" i="1" s="1"/>
  <c r="F183" i="1"/>
  <c r="F209" i="1"/>
  <c r="F203" i="1"/>
  <c r="G193" i="1"/>
  <c r="G146" i="1"/>
  <c r="F104" i="1"/>
  <c r="F85" i="1"/>
  <c r="F66" i="1"/>
  <c r="G120" i="1"/>
  <c r="K120" i="1" s="1"/>
  <c r="G98" i="1"/>
  <c r="K98" i="1" s="1"/>
  <c r="G96" i="1"/>
  <c r="K96" i="1" s="1"/>
  <c r="F49" i="1"/>
  <c r="F47" i="1"/>
  <c r="G31" i="1"/>
  <c r="G28" i="1"/>
  <c r="G212" i="1"/>
  <c r="L112" i="1"/>
  <c r="F100" i="1"/>
  <c r="J100" i="1" s="1"/>
  <c r="L242" i="1"/>
  <c r="F212" i="1"/>
  <c r="G200" i="1"/>
  <c r="G174" i="1"/>
  <c r="G173" i="1"/>
  <c r="G139" i="1"/>
  <c r="H134" i="1"/>
  <c r="G91" i="1"/>
  <c r="K91" i="1" s="1"/>
  <c r="G88" i="1"/>
  <c r="H84" i="1"/>
  <c r="H67" i="1"/>
  <c r="G54" i="1"/>
  <c r="K54" i="1" s="1"/>
  <c r="F42" i="1"/>
  <c r="G35" i="1"/>
  <c r="F24" i="1"/>
  <c r="G18" i="1"/>
  <c r="H158" i="1"/>
  <c r="F121" i="1"/>
  <c r="F109" i="1"/>
  <c r="F107" i="1"/>
  <c r="H103" i="1"/>
  <c r="F91" i="1"/>
  <c r="G73" i="1"/>
  <c r="G69" i="1"/>
  <c r="K69" i="1" s="1"/>
  <c r="H65" i="1"/>
  <c r="L65" i="1" s="1"/>
  <c r="F39" i="1"/>
  <c r="F223" i="1"/>
  <c r="G239" i="1"/>
  <c r="H225" i="1"/>
  <c r="H212" i="1"/>
  <c r="L212" i="1" s="1"/>
  <c r="F208" i="1"/>
  <c r="F204" i="1"/>
  <c r="F195" i="1"/>
  <c r="G176" i="1"/>
  <c r="G150" i="1"/>
  <c r="G114" i="1"/>
  <c r="H92" i="1"/>
  <c r="F84" i="1"/>
  <c r="H60" i="1"/>
  <c r="G16" i="1"/>
  <c r="G115" i="1"/>
  <c r="H169" i="1"/>
  <c r="H163" i="1"/>
  <c r="L163" i="1" s="1"/>
  <c r="F150" i="1"/>
  <c r="K150" i="1" s="1"/>
  <c r="H125" i="1"/>
  <c r="F102" i="1"/>
  <c r="L102" i="1" s="1"/>
  <c r="G95" i="1"/>
  <c r="F65" i="1"/>
  <c r="J65" i="1" s="1"/>
  <c r="H57" i="1"/>
  <c r="F46" i="1"/>
  <c r="H42" i="1"/>
  <c r="H21" i="1"/>
  <c r="F15" i="1"/>
  <c r="H12" i="1"/>
  <c r="H240" i="1"/>
  <c r="H237" i="1"/>
  <c r="H231" i="1"/>
  <c r="F230" i="1"/>
  <c r="H183" i="1"/>
  <c r="G154" i="1"/>
  <c r="H143" i="1"/>
  <c r="H120" i="1"/>
  <c r="H117" i="1"/>
  <c r="H110" i="1"/>
  <c r="F99" i="1"/>
  <c r="G78" i="1"/>
  <c r="G76" i="1"/>
  <c r="H38" i="1"/>
  <c r="G32" i="1"/>
  <c r="F29" i="1"/>
  <c r="J29" i="1" s="1"/>
  <c r="F27" i="1"/>
  <c r="H23" i="1"/>
  <c r="L23" i="1" s="1"/>
  <c r="G11" i="1"/>
  <c r="G221" i="1"/>
  <c r="G236" i="1"/>
  <c r="H201" i="1"/>
  <c r="H196" i="1"/>
  <c r="F169" i="1"/>
  <c r="F131" i="1"/>
  <c r="F125" i="1"/>
  <c r="J125" i="1" s="1"/>
  <c r="G117" i="1"/>
  <c r="H81" i="1"/>
  <c r="F80" i="1"/>
  <c r="F74" i="1"/>
  <c r="J74" i="1" s="1"/>
  <c r="G23" i="1"/>
  <c r="K23" i="1" s="1"/>
  <c r="F6" i="1"/>
  <c r="J6" i="1" s="1"/>
  <c r="F184" i="1"/>
  <c r="F211" i="1"/>
  <c r="G205" i="1"/>
  <c r="F186" i="1"/>
  <c r="J186" i="1" s="1"/>
  <c r="F174" i="1"/>
  <c r="L174" i="1" s="1"/>
  <c r="F142" i="1"/>
  <c r="F106" i="1"/>
  <c r="G100" i="1"/>
  <c r="F89" i="1"/>
  <c r="F87" i="1"/>
  <c r="H83" i="1"/>
  <c r="G71" i="1"/>
  <c r="G68" i="1"/>
  <c r="H64" i="1"/>
  <c r="G53" i="1"/>
  <c r="H47" i="1"/>
  <c r="F43" i="1"/>
  <c r="G34" i="1"/>
  <c r="F22" i="1"/>
  <c r="H18" i="1"/>
  <c r="F231" i="1"/>
  <c r="L231" i="1" s="1"/>
  <c r="F227" i="1"/>
  <c r="H218" i="1"/>
  <c r="L218" i="1" s="1"/>
  <c r="F164" i="1"/>
  <c r="J164" i="1" s="1"/>
  <c r="G152" i="1"/>
  <c r="G128" i="1"/>
  <c r="F111" i="1"/>
  <c r="H102" i="1"/>
  <c r="H98" i="1"/>
  <c r="G92" i="1"/>
  <c r="F72" i="1"/>
  <c r="G49" i="1"/>
  <c r="K49" i="1" s="1"/>
  <c r="H45" i="1"/>
  <c r="G15" i="1"/>
  <c r="H7" i="1"/>
  <c r="G231" i="1"/>
  <c r="G216" i="1"/>
  <c r="K216" i="1" s="1"/>
  <c r="H190" i="1"/>
  <c r="H221" i="1"/>
  <c r="G217" i="1"/>
  <c r="G214" i="1"/>
  <c r="F202" i="1"/>
  <c r="J202" i="1" s="1"/>
  <c r="H124" i="1"/>
  <c r="F82" i="1"/>
  <c r="F64" i="1"/>
  <c r="G58" i="1"/>
  <c r="H40" i="1"/>
  <c r="G29" i="1"/>
  <c r="G7" i="1"/>
  <c r="F207" i="1"/>
  <c r="G240" i="1"/>
  <c r="F229" i="1"/>
  <c r="F225" i="1"/>
  <c r="F218" i="1"/>
  <c r="J218" i="1" s="1"/>
  <c r="H210" i="1"/>
  <c r="H178" i="1"/>
  <c r="G168" i="1"/>
  <c r="K168" i="1" s="1"/>
  <c r="F151" i="1"/>
  <c r="H138" i="1"/>
  <c r="H119" i="1"/>
  <c r="G113" i="1"/>
  <c r="H107" i="1"/>
  <c r="L107" i="1" s="1"/>
  <c r="F103" i="1"/>
  <c r="J103" i="1" s="1"/>
  <c r="G94" i="1"/>
  <c r="H89" i="1"/>
  <c r="G75" i="1"/>
  <c r="F60" i="1"/>
  <c r="G56" i="1"/>
  <c r="F45" i="1"/>
  <c r="H37" i="1"/>
  <c r="F26" i="1"/>
  <c r="H22" i="1"/>
  <c r="F7" i="1"/>
  <c r="J7" i="1" s="1"/>
  <c r="F189" i="1"/>
  <c r="H206" i="1"/>
  <c r="H199" i="1"/>
  <c r="L199" i="1" s="1"/>
  <c r="H195" i="1"/>
  <c r="G191" i="1"/>
  <c r="K191" i="1" s="1"/>
  <c r="G178" i="1"/>
  <c r="F144" i="1"/>
  <c r="G130" i="1"/>
  <c r="G109" i="1"/>
  <c r="K109" i="1" s="1"/>
  <c r="H105" i="1"/>
  <c r="G83" i="1"/>
  <c r="L83" i="1" s="1"/>
  <c r="F79" i="1"/>
  <c r="J79" i="1" s="1"/>
  <c r="F11" i="1"/>
  <c r="F242" i="1"/>
  <c r="F235" i="1"/>
  <c r="J235" i="1" s="1"/>
  <c r="H229" i="1"/>
  <c r="F210" i="1"/>
  <c r="H202" i="1"/>
  <c r="G198" i="1"/>
  <c r="F191" i="1"/>
  <c r="H186" i="1"/>
  <c r="F185" i="1"/>
  <c r="F176" i="1"/>
  <c r="J176" i="1" s="1"/>
  <c r="H159" i="1"/>
  <c r="H154" i="1"/>
  <c r="H149" i="1"/>
  <c r="F136" i="1"/>
  <c r="F86" i="1"/>
  <c r="G80" i="1"/>
  <c r="K80" i="1" s="1"/>
  <c r="H61" i="1"/>
  <c r="H52" i="1"/>
  <c r="G12" i="1"/>
  <c r="J112" i="1"/>
  <c r="G233" i="1"/>
  <c r="H227" i="1"/>
  <c r="H224" i="1"/>
  <c r="F199" i="1"/>
  <c r="J199" i="1" s="1"/>
  <c r="H180" i="1"/>
  <c r="G159" i="1"/>
  <c r="F105" i="1"/>
  <c r="H100" i="1"/>
  <c r="L100" i="1" s="1"/>
  <c r="H97" i="1"/>
  <c r="H82" i="1"/>
  <c r="F69" i="1"/>
  <c r="J69" i="1" s="1"/>
  <c r="F67" i="1"/>
  <c r="H63" i="1"/>
  <c r="G51" i="1"/>
  <c r="G48" i="1"/>
  <c r="H44" i="1"/>
  <c r="L44" i="1" s="1"/>
  <c r="G33" i="1"/>
  <c r="H27" i="1"/>
  <c r="L27" i="1" s="1"/>
  <c r="F23" i="1"/>
  <c r="G6" i="1"/>
  <c r="H209" i="1"/>
  <c r="H241" i="1"/>
  <c r="G237" i="1"/>
  <c r="F232" i="1"/>
  <c r="G180" i="1"/>
  <c r="F171" i="1"/>
  <c r="H167" i="1"/>
  <c r="F143" i="1"/>
  <c r="J143" i="1" s="1"/>
  <c r="G97" i="1"/>
  <c r="H78" i="1"/>
  <c r="G72" i="1"/>
  <c r="L72" i="1" s="1"/>
  <c r="H25" i="1"/>
  <c r="G14" i="1"/>
  <c r="H239" i="1"/>
  <c r="H235" i="1"/>
  <c r="L235" i="1" s="1"/>
  <c r="F228" i="1"/>
  <c r="F222" i="1"/>
  <c r="J222" i="1" s="1"/>
  <c r="F214" i="1"/>
  <c r="J214" i="1" s="1"/>
  <c r="H140" i="1"/>
  <c r="H130" i="1"/>
  <c r="G111" i="1"/>
  <c r="K111" i="1" s="1"/>
  <c r="H87" i="1"/>
  <c r="F83" i="1"/>
  <c r="H72" i="1"/>
  <c r="F62" i="1"/>
  <c r="G55" i="1"/>
  <c r="F44" i="1"/>
  <c r="G38" i="1"/>
  <c r="H20" i="1"/>
  <c r="L20" i="1" s="1"/>
  <c r="G9" i="1"/>
  <c r="J9" i="1" s="1"/>
  <c r="J212" i="1"/>
  <c r="K173" i="1"/>
  <c r="J242" i="1"/>
  <c r="K242" i="1"/>
  <c r="J150" i="1"/>
  <c r="L150" i="1"/>
  <c r="K221" i="1"/>
  <c r="J225" i="1"/>
  <c r="L210" i="1"/>
  <c r="K197" i="1"/>
  <c r="L97" i="1"/>
  <c r="J210" i="1"/>
  <c r="J191" i="1"/>
  <c r="L191" i="1"/>
  <c r="F197" i="1"/>
  <c r="J197" i="1" s="1"/>
  <c r="J177" i="1"/>
  <c r="F140" i="1"/>
  <c r="F126" i="1"/>
  <c r="J126" i="1" s="1"/>
  <c r="F122" i="1"/>
  <c r="F96" i="1"/>
  <c r="F98" i="1"/>
  <c r="J98" i="1" s="1"/>
  <c r="F93" i="1"/>
  <c r="J93" i="1" s="1"/>
  <c r="F95" i="1"/>
  <c r="J95" i="1" s="1"/>
  <c r="F97" i="1"/>
  <c r="J97" i="1" s="1"/>
  <c r="K35" i="1"/>
  <c r="L172" i="1"/>
  <c r="F154" i="1"/>
  <c r="J154" i="1" s="1"/>
  <c r="F158" i="1"/>
  <c r="J158" i="1" s="1"/>
  <c r="L153" i="1"/>
  <c r="F132" i="1"/>
  <c r="J132" i="1" s="1"/>
  <c r="G210" i="1"/>
  <c r="G172" i="1"/>
  <c r="H165" i="1"/>
  <c r="F162" i="1"/>
  <c r="G153" i="1"/>
  <c r="H147" i="1"/>
  <c r="H148" i="1"/>
  <c r="H145" i="1"/>
  <c r="K115" i="1"/>
  <c r="L9" i="1"/>
  <c r="G229" i="1"/>
  <c r="K229" i="1" s="1"/>
  <c r="J216" i="1"/>
  <c r="H203" i="1"/>
  <c r="G192" i="1"/>
  <c r="K192" i="1" s="1"/>
  <c r="G188" i="1"/>
  <c r="F153" i="1"/>
  <c r="G134" i="1"/>
  <c r="F239" i="1"/>
  <c r="G224" i="1"/>
  <c r="G220" i="1"/>
  <c r="G203" i="1"/>
  <c r="G201" i="1"/>
  <c r="G194" i="1"/>
  <c r="F192" i="1"/>
  <c r="G171" i="1"/>
  <c r="K171" i="1" s="1"/>
  <c r="G165" i="1"/>
  <c r="F145" i="1"/>
  <c r="K126" i="1"/>
  <c r="L38" i="1"/>
  <c r="G25" i="1"/>
  <c r="K25" i="1" s="1"/>
  <c r="G27" i="1"/>
  <c r="K27" i="1" s="1"/>
  <c r="G22" i="1"/>
  <c r="K22" i="1" s="1"/>
  <c r="G24" i="1"/>
  <c r="K24" i="1" s="1"/>
  <c r="G26" i="1"/>
  <c r="K26" i="1" s="1"/>
  <c r="G21" i="1"/>
  <c r="H14" i="1"/>
  <c r="H16" i="1"/>
  <c r="H15" i="1"/>
  <c r="F243" i="1"/>
  <c r="J243" i="1" s="1"/>
  <c r="H222" i="1"/>
  <c r="H194" i="1"/>
  <c r="F179" i="1"/>
  <c r="H234" i="1"/>
  <c r="H232" i="1"/>
  <c r="H226" i="1"/>
  <c r="F224" i="1"/>
  <c r="F220" i="1"/>
  <c r="H213" i="1"/>
  <c r="F201" i="1"/>
  <c r="F194" i="1"/>
  <c r="J194" i="1" s="1"/>
  <c r="H176" i="1"/>
  <c r="L176" i="1" s="1"/>
  <c r="F165" i="1"/>
  <c r="F160" i="1"/>
  <c r="H155" i="1"/>
  <c r="G155" i="1"/>
  <c r="G140" i="1"/>
  <c r="G137" i="1"/>
  <c r="F129" i="1"/>
  <c r="F130" i="1"/>
  <c r="H127" i="1"/>
  <c r="F94" i="1"/>
  <c r="H54" i="1"/>
  <c r="H56" i="1"/>
  <c r="H53" i="1"/>
  <c r="H55" i="1"/>
  <c r="G234" i="1"/>
  <c r="G211" i="1"/>
  <c r="K211" i="1" s="1"/>
  <c r="F137" i="1"/>
  <c r="K93" i="1"/>
  <c r="G65" i="1"/>
  <c r="G67" i="1"/>
  <c r="G62" i="1"/>
  <c r="G64" i="1"/>
  <c r="G66" i="1"/>
  <c r="G61" i="1"/>
  <c r="F36" i="1"/>
  <c r="J36" i="1" s="1"/>
  <c r="F38" i="1"/>
  <c r="J38" i="1" s="1"/>
  <c r="F33" i="1"/>
  <c r="F35" i="1"/>
  <c r="J35" i="1" s="1"/>
  <c r="F37" i="1"/>
  <c r="J37" i="1" s="1"/>
  <c r="F32" i="1"/>
  <c r="J32" i="1" s="1"/>
  <c r="G232" i="1"/>
  <c r="K232" i="1" s="1"/>
  <c r="F155" i="1"/>
  <c r="J155" i="1" s="1"/>
  <c r="F148" i="1"/>
  <c r="J148" i="1" s="1"/>
  <c r="H136" i="1"/>
  <c r="L136" i="1" s="1"/>
  <c r="H133" i="1"/>
  <c r="F234" i="1"/>
  <c r="J234" i="1" s="1"/>
  <c r="H215" i="1"/>
  <c r="F213" i="1"/>
  <c r="G196" i="1"/>
  <c r="G183" i="1"/>
  <c r="G163" i="1"/>
  <c r="K163" i="1" s="1"/>
  <c r="G167" i="1"/>
  <c r="G160" i="1"/>
  <c r="H157" i="1"/>
  <c r="G136" i="1"/>
  <c r="K112" i="1"/>
  <c r="J67" i="1"/>
  <c r="F34" i="1"/>
  <c r="J34" i="1" s="1"/>
  <c r="F196" i="1"/>
  <c r="F167" i="1"/>
  <c r="G145" i="1"/>
  <c r="K145" i="1" s="1"/>
  <c r="F141" i="1"/>
  <c r="G138" i="1"/>
  <c r="K138" i="1" s="1"/>
  <c r="F114" i="1"/>
  <c r="J114" i="1" s="1"/>
  <c r="F116" i="1"/>
  <c r="F118" i="1"/>
  <c r="J118" i="1" s="1"/>
  <c r="F113" i="1"/>
  <c r="J113" i="1" s="1"/>
  <c r="F115" i="1"/>
  <c r="F117" i="1"/>
  <c r="H94" i="1"/>
  <c r="H96" i="1"/>
  <c r="H93" i="1"/>
  <c r="H95" i="1"/>
  <c r="H236" i="1"/>
  <c r="H217" i="1"/>
  <c r="H198" i="1"/>
  <c r="G185" i="1"/>
  <c r="K185" i="1" s="1"/>
  <c r="H185" i="1"/>
  <c r="F182" i="1"/>
  <c r="H162" i="1"/>
  <c r="F149" i="1"/>
  <c r="L149" i="1" s="1"/>
  <c r="H142" i="1"/>
  <c r="F139" i="1"/>
  <c r="J139" i="1" s="1"/>
  <c r="L125" i="1"/>
  <c r="G103" i="1"/>
  <c r="G105" i="1"/>
  <c r="G107" i="1"/>
  <c r="G102" i="1"/>
  <c r="G104" i="1"/>
  <c r="G106" i="1"/>
  <c r="K106" i="1" s="1"/>
  <c r="F76" i="1"/>
  <c r="F78" i="1"/>
  <c r="J78" i="1" s="1"/>
  <c r="F73" i="1"/>
  <c r="J73" i="1" s="1"/>
  <c r="F75" i="1"/>
  <c r="J75" i="1" s="1"/>
  <c r="F77" i="1"/>
  <c r="K77" i="1" s="1"/>
  <c r="K74" i="1"/>
  <c r="K29" i="1"/>
  <c r="F205" i="1"/>
  <c r="J205" i="1" s="1"/>
  <c r="F178" i="1"/>
  <c r="G169" i="1"/>
  <c r="K169" i="1" s="1"/>
  <c r="G162" i="1"/>
  <c r="K162" i="1" s="1"/>
  <c r="F161" i="1"/>
  <c r="J161" i="1" s="1"/>
  <c r="G157" i="1"/>
  <c r="K157" i="1" s="1"/>
  <c r="G143" i="1"/>
  <c r="G147" i="1"/>
  <c r="G144" i="1"/>
  <c r="G142" i="1"/>
  <c r="K142" i="1" s="1"/>
  <c r="F128" i="1"/>
  <c r="J128" i="1" s="1"/>
  <c r="J107" i="1"/>
  <c r="K79" i="1"/>
  <c r="K15" i="1"/>
  <c r="G228" i="1"/>
  <c r="K228" i="1" s="1"/>
  <c r="G215" i="1"/>
  <c r="F147" i="1"/>
  <c r="J147" i="1" s="1"/>
  <c r="H144" i="1"/>
  <c r="L144" i="1" s="1"/>
  <c r="K125" i="1"/>
  <c r="K117" i="1"/>
  <c r="F241" i="1"/>
  <c r="F226" i="1"/>
  <c r="J226" i="1" s="1"/>
  <c r="G207" i="1"/>
  <c r="F236" i="1"/>
  <c r="J236" i="1" s="1"/>
  <c r="F198" i="1"/>
  <c r="H164" i="1"/>
  <c r="F157" i="1"/>
  <c r="G151" i="1"/>
  <c r="H219" i="1"/>
  <c r="G187" i="1"/>
  <c r="H179" i="1"/>
  <c r="H173" i="1"/>
  <c r="L173" i="1" s="1"/>
  <c r="F152" i="1"/>
  <c r="J102" i="1"/>
  <c r="J91" i="1"/>
  <c r="L91" i="1"/>
  <c r="L84" i="1"/>
  <c r="L62" i="1"/>
  <c r="K33" i="1"/>
  <c r="G213" i="1"/>
  <c r="F238" i="1"/>
  <c r="K238" i="1" s="1"/>
  <c r="H223" i="1"/>
  <c r="H193" i="1"/>
  <c r="F187" i="1"/>
  <c r="G170" i="1"/>
  <c r="L170" i="1" s="1"/>
  <c r="G164" i="1"/>
  <c r="G158" i="1"/>
  <c r="G123" i="1"/>
  <c r="K123" i="1" s="1"/>
  <c r="G127" i="1"/>
  <c r="G122" i="1"/>
  <c r="K122" i="1" s="1"/>
  <c r="G124" i="1"/>
  <c r="K38" i="1"/>
  <c r="J23" i="1"/>
  <c r="J11" i="1"/>
  <c r="G226" i="1"/>
  <c r="F215" i="1"/>
  <c r="J215" i="1" s="1"/>
  <c r="G209" i="1"/>
  <c r="K209" i="1" s="1"/>
  <c r="F219" i="1"/>
  <c r="J219" i="1" s="1"/>
  <c r="G204" i="1"/>
  <c r="F200" i="1"/>
  <c r="J200" i="1" s="1"/>
  <c r="G189" i="1"/>
  <c r="F180" i="1"/>
  <c r="H175" i="1"/>
  <c r="F173" i="1"/>
  <c r="F159" i="1"/>
  <c r="H156" i="1"/>
  <c r="G133" i="1"/>
  <c r="G135" i="1"/>
  <c r="F127" i="1"/>
  <c r="J127" i="1" s="1"/>
  <c r="J111" i="1"/>
  <c r="K95" i="1"/>
  <c r="H34" i="1"/>
  <c r="L34" i="1" s="1"/>
  <c r="H36" i="1"/>
  <c r="L36" i="1" s="1"/>
  <c r="H33" i="1"/>
  <c r="L33" i="1" s="1"/>
  <c r="H35" i="1"/>
  <c r="L35" i="1" s="1"/>
  <c r="L25" i="1"/>
  <c r="K12" i="1"/>
  <c r="G230" i="1"/>
  <c r="K230" i="1" s="1"/>
  <c r="G223" i="1"/>
  <c r="K223" i="1" s="1"/>
  <c r="G202" i="1"/>
  <c r="K202" i="1" s="1"/>
  <c r="F240" i="1"/>
  <c r="L240" i="1" s="1"/>
  <c r="H233" i="1"/>
  <c r="G225" i="1"/>
  <c r="H214" i="1"/>
  <c r="F193" i="1"/>
  <c r="F175" i="1"/>
  <c r="G156" i="1"/>
  <c r="G149" i="1"/>
  <c r="K100" i="1"/>
  <c r="K73" i="1"/>
  <c r="L67" i="1"/>
  <c r="J49" i="1"/>
  <c r="G45" i="1"/>
  <c r="K45" i="1" s="1"/>
  <c r="G47" i="1"/>
  <c r="K47" i="1" s="1"/>
  <c r="G42" i="1"/>
  <c r="K42" i="1" s="1"/>
  <c r="G44" i="1"/>
  <c r="K44" i="1" s="1"/>
  <c r="G46" i="1"/>
  <c r="K46" i="1" s="1"/>
  <c r="G41" i="1"/>
  <c r="K36" i="1"/>
  <c r="H13" i="1"/>
  <c r="F221" i="1"/>
  <c r="J221" i="1" s="1"/>
  <c r="G206" i="1"/>
  <c r="H204" i="1"/>
  <c r="G190" i="1"/>
  <c r="H177" i="1"/>
  <c r="L177" i="1" s="1"/>
  <c r="G175" i="1"/>
  <c r="K175" i="1" s="1"/>
  <c r="H166" i="1"/>
  <c r="H160" i="1"/>
  <c r="F134" i="1"/>
  <c r="J134" i="1" s="1"/>
  <c r="F138" i="1"/>
  <c r="F133" i="1"/>
  <c r="F135" i="1"/>
  <c r="L135" i="1" s="1"/>
  <c r="H121" i="1"/>
  <c r="L121" i="1" s="1"/>
  <c r="G118" i="1"/>
  <c r="H114" i="1"/>
  <c r="H116" i="1"/>
  <c r="H113" i="1"/>
  <c r="H115" i="1"/>
  <c r="L115" i="1" s="1"/>
  <c r="K113" i="1"/>
  <c r="F16" i="1"/>
  <c r="J16" i="1" s="1"/>
  <c r="F18" i="1"/>
  <c r="J18" i="1" s="1"/>
  <c r="F17" i="1"/>
  <c r="K17" i="1" s="1"/>
  <c r="F12" i="1"/>
  <c r="J12" i="1" s="1"/>
  <c r="K14" i="1"/>
  <c r="K6" i="1"/>
  <c r="F217" i="1"/>
  <c r="J217" i="1" s="1"/>
  <c r="F233" i="1"/>
  <c r="J233" i="1" s="1"/>
  <c r="H197" i="1"/>
  <c r="L197" i="1" s="1"/>
  <c r="G195" i="1"/>
  <c r="K195" i="1" s="1"/>
  <c r="G182" i="1"/>
  <c r="F181" i="1"/>
  <c r="J181" i="1" s="1"/>
  <c r="G166" i="1"/>
  <c r="F166" i="1"/>
  <c r="J166" i="1" s="1"/>
  <c r="H141" i="1"/>
  <c r="L141" i="1" s="1"/>
  <c r="H128" i="1"/>
  <c r="G121" i="1"/>
  <c r="K121" i="1" s="1"/>
  <c r="F120" i="1"/>
  <c r="G116" i="1"/>
  <c r="J89" i="1"/>
  <c r="G85" i="1"/>
  <c r="G87" i="1"/>
  <c r="K87" i="1" s="1"/>
  <c r="G82" i="1"/>
  <c r="G84" i="1"/>
  <c r="K84" i="1" s="1"/>
  <c r="G86" i="1"/>
  <c r="K86" i="1" s="1"/>
  <c r="G81" i="1"/>
  <c r="H74" i="1"/>
  <c r="L74" i="1" s="1"/>
  <c r="H76" i="1"/>
  <c r="L76" i="1" s="1"/>
  <c r="H73" i="1"/>
  <c r="H75" i="1"/>
  <c r="L75" i="1" s="1"/>
  <c r="G63" i="1"/>
  <c r="K63" i="1" s="1"/>
  <c r="F56" i="1"/>
  <c r="J56" i="1" s="1"/>
  <c r="F58" i="1"/>
  <c r="J58" i="1" s="1"/>
  <c r="F53" i="1"/>
  <c r="J53" i="1" s="1"/>
  <c r="F55" i="1"/>
  <c r="F57" i="1"/>
  <c r="J57" i="1" s="1"/>
  <c r="F52" i="1"/>
  <c r="J52" i="1" s="1"/>
  <c r="G43" i="1"/>
  <c r="F14" i="1"/>
  <c r="F237" i="1"/>
  <c r="J237" i="1" s="1"/>
  <c r="G227" i="1"/>
  <c r="H216" i="1"/>
  <c r="L216" i="1" s="1"/>
  <c r="G208" i="1"/>
  <c r="K208" i="1" s="1"/>
  <c r="F206" i="1"/>
  <c r="L206" i="1" s="1"/>
  <c r="G184" i="1"/>
  <c r="K184" i="1" s="1"/>
  <c r="H184" i="1"/>
  <c r="L184" i="1" s="1"/>
  <c r="F156" i="1"/>
  <c r="F146" i="1"/>
  <c r="J146" i="1" s="1"/>
  <c r="G141" i="1"/>
  <c r="K141" i="1" s="1"/>
  <c r="L139" i="1"/>
  <c r="G131" i="1"/>
  <c r="K131" i="1" s="1"/>
  <c r="G129" i="1"/>
  <c r="K129" i="1" s="1"/>
  <c r="H123" i="1"/>
  <c r="K76" i="1"/>
  <c r="F54" i="1"/>
  <c r="K37" i="1"/>
  <c r="K9" i="1"/>
  <c r="G101" i="1"/>
  <c r="F92" i="1"/>
  <c r="J92" i="1" s="1"/>
  <c r="H90" i="1"/>
  <c r="L90" i="1" s="1"/>
  <c r="G110" i="1"/>
  <c r="F101" i="1"/>
  <c r="H99" i="1"/>
  <c r="G90" i="1"/>
  <c r="F81" i="1"/>
  <c r="H79" i="1"/>
  <c r="L79" i="1" s="1"/>
  <c r="G70" i="1"/>
  <c r="F61" i="1"/>
  <c r="H59" i="1"/>
  <c r="G50" i="1"/>
  <c r="K50" i="1" s="1"/>
  <c r="F41" i="1"/>
  <c r="H39" i="1"/>
  <c r="G30" i="1"/>
  <c r="F21" i="1"/>
  <c r="J21" i="1" s="1"/>
  <c r="H19" i="1"/>
  <c r="G10" i="1"/>
  <c r="F110" i="1"/>
  <c r="F90" i="1"/>
  <c r="J90" i="1" s="1"/>
  <c r="H88" i="1"/>
  <c r="L88" i="1" s="1"/>
  <c r="F70" i="1"/>
  <c r="J70" i="1" s="1"/>
  <c r="H68" i="1"/>
  <c r="G59" i="1"/>
  <c r="K59" i="1" s="1"/>
  <c r="F50" i="1"/>
  <c r="H48" i="1"/>
  <c r="G39" i="1"/>
  <c r="F30" i="1"/>
  <c r="H28" i="1"/>
  <c r="G19" i="1"/>
  <c r="F10" i="1"/>
  <c r="H8" i="1"/>
  <c r="G119" i="1"/>
  <c r="K119" i="1" s="1"/>
  <c r="H108" i="1"/>
  <c r="G99" i="1"/>
  <c r="F19" i="1"/>
  <c r="G8" i="1"/>
  <c r="F108" i="1"/>
  <c r="J108" i="1" s="1"/>
  <c r="H106" i="1"/>
  <c r="L106" i="1" s="1"/>
  <c r="F88" i="1"/>
  <c r="H86" i="1"/>
  <c r="L86" i="1" s="1"/>
  <c r="F68" i="1"/>
  <c r="J68" i="1" s="1"/>
  <c r="H66" i="1"/>
  <c r="L66" i="1" s="1"/>
  <c r="F48" i="1"/>
  <c r="J48" i="1" s="1"/>
  <c r="H46" i="1"/>
  <c r="F28" i="1"/>
  <c r="J28" i="1" s="1"/>
  <c r="H26" i="1"/>
  <c r="F8" i="1"/>
  <c r="H6" i="1"/>
  <c r="L111" i="1"/>
  <c r="F124" i="1"/>
  <c r="H122" i="1"/>
  <c r="L122" i="1" s="1"/>
  <c r="G13" i="1"/>
  <c r="F13" i="1"/>
  <c r="H11" i="1"/>
  <c r="L11" i="1" s="1"/>
  <c r="F71" i="1"/>
  <c r="K71" i="1" s="1"/>
  <c r="H69" i="1"/>
  <c r="L69" i="1" s="1"/>
  <c r="G60" i="1"/>
  <c r="K60" i="1" s="1"/>
  <c r="F51" i="1"/>
  <c r="H49" i="1"/>
  <c r="L49" i="1" s="1"/>
  <c r="G40" i="1"/>
  <c r="K40" i="1" s="1"/>
  <c r="F31" i="1"/>
  <c r="K31" i="1" s="1"/>
  <c r="H29" i="1"/>
  <c r="L29" i="1" s="1"/>
  <c r="G20" i="1"/>
  <c r="K20" i="1" s="1"/>
  <c r="K213" i="1" l="1"/>
  <c r="L118" i="1"/>
  <c r="K204" i="1"/>
  <c r="L154" i="1"/>
  <c r="K214" i="1"/>
  <c r="J182" i="1"/>
  <c r="K233" i="1"/>
  <c r="K200" i="1"/>
  <c r="K222" i="1"/>
  <c r="K83" i="1"/>
  <c r="J44" i="1"/>
  <c r="J110" i="1"/>
  <c r="J231" i="1"/>
  <c r="K165" i="1"/>
  <c r="J63" i="1"/>
  <c r="J152" i="1"/>
  <c r="L54" i="1"/>
  <c r="J96" i="1"/>
  <c r="J229" i="1"/>
  <c r="K231" i="1"/>
  <c r="J80" i="1"/>
  <c r="J60" i="1"/>
  <c r="L234" i="1"/>
  <c r="L186" i="1"/>
  <c r="L7" i="1"/>
  <c r="K82" i="1"/>
  <c r="L103" i="1"/>
  <c r="K72" i="1"/>
  <c r="J33" i="1"/>
  <c r="J94" i="1"/>
  <c r="K97" i="1"/>
  <c r="K174" i="1"/>
  <c r="J54" i="1"/>
  <c r="J76" i="1"/>
  <c r="L109" i="1"/>
  <c r="K201" i="1"/>
  <c r="J174" i="1"/>
  <c r="K149" i="1"/>
  <c r="J124" i="1"/>
  <c r="J14" i="1"/>
  <c r="K156" i="1"/>
  <c r="K133" i="1"/>
  <c r="L219" i="1"/>
  <c r="L120" i="1"/>
  <c r="L95" i="1"/>
  <c r="K136" i="1"/>
  <c r="L194" i="1"/>
  <c r="K203" i="1"/>
  <c r="L165" i="1"/>
  <c r="J109" i="1"/>
  <c r="L56" i="1"/>
  <c r="L59" i="1"/>
  <c r="J87" i="1"/>
  <c r="K151" i="1"/>
  <c r="L93" i="1"/>
  <c r="K61" i="1"/>
  <c r="J130" i="1"/>
  <c r="L222" i="1"/>
  <c r="K220" i="1"/>
  <c r="K148" i="1"/>
  <c r="J72" i="1"/>
  <c r="K212" i="1"/>
  <c r="L168" i="1"/>
  <c r="L113" i="1"/>
  <c r="K226" i="1"/>
  <c r="K13" i="1"/>
  <c r="K43" i="1"/>
  <c r="J193" i="1"/>
  <c r="J159" i="1"/>
  <c r="K164" i="1"/>
  <c r="K104" i="1"/>
  <c r="L96" i="1"/>
  <c r="K160" i="1"/>
  <c r="K66" i="1"/>
  <c r="L129" i="1"/>
  <c r="J83" i="1"/>
  <c r="K235" i="1"/>
  <c r="J20" i="1"/>
  <c r="L160" i="1"/>
  <c r="K135" i="1"/>
  <c r="L98" i="1"/>
  <c r="K116" i="1"/>
  <c r="J25" i="1"/>
  <c r="L204" i="1"/>
  <c r="L214" i="1"/>
  <c r="J173" i="1"/>
  <c r="L164" i="1"/>
  <c r="K144" i="1"/>
  <c r="K102" i="1"/>
  <c r="L94" i="1"/>
  <c r="K64" i="1"/>
  <c r="K137" i="1"/>
  <c r="L15" i="1"/>
  <c r="K243" i="1"/>
  <c r="K7" i="1"/>
  <c r="K186" i="1"/>
  <c r="J42" i="1"/>
  <c r="L60" i="1"/>
  <c r="K227" i="1"/>
  <c r="K85" i="1"/>
  <c r="K19" i="1"/>
  <c r="L6" i="1"/>
  <c r="J81" i="1"/>
  <c r="J120" i="1"/>
  <c r="K206" i="1"/>
  <c r="K225" i="1"/>
  <c r="J187" i="1"/>
  <c r="J198" i="1"/>
  <c r="K107" i="1"/>
  <c r="K62" i="1"/>
  <c r="K140" i="1"/>
  <c r="K210" i="1"/>
  <c r="K199" i="1"/>
  <c r="L48" i="1"/>
  <c r="L233" i="1"/>
  <c r="J180" i="1"/>
  <c r="K143" i="1"/>
  <c r="K105" i="1"/>
  <c r="K183" i="1"/>
  <c r="K67" i="1"/>
  <c r="L126" i="1"/>
  <c r="K176" i="1"/>
  <c r="K218" i="1"/>
  <c r="K101" i="1"/>
  <c r="J41" i="1"/>
  <c r="L166" i="1"/>
  <c r="L32" i="1"/>
  <c r="K92" i="1"/>
  <c r="J8" i="1"/>
  <c r="K39" i="1"/>
  <c r="L46" i="1"/>
  <c r="L99" i="1"/>
  <c r="J55" i="1"/>
  <c r="L128" i="1"/>
  <c r="J240" i="1"/>
  <c r="K189" i="1"/>
  <c r="K207" i="1"/>
  <c r="L152" i="1"/>
  <c r="K103" i="1"/>
  <c r="J115" i="1"/>
  <c r="K196" i="1"/>
  <c r="K65" i="1"/>
  <c r="J153" i="1"/>
  <c r="L89" i="1"/>
  <c r="K11" i="1"/>
  <c r="J15" i="1"/>
  <c r="L80" i="1"/>
  <c r="J168" i="1"/>
  <c r="L185" i="1"/>
  <c r="J141" i="1"/>
  <c r="L226" i="1"/>
  <c r="K146" i="1"/>
  <c r="K48" i="1"/>
  <c r="J195" i="1"/>
  <c r="J204" i="1"/>
  <c r="K181" i="1"/>
  <c r="J50" i="1"/>
  <c r="L50" i="1"/>
  <c r="J40" i="1"/>
  <c r="L241" i="1"/>
  <c r="J241" i="1"/>
  <c r="K241" i="1"/>
  <c r="L198" i="1"/>
  <c r="J167" i="1"/>
  <c r="L167" i="1"/>
  <c r="L215" i="1"/>
  <c r="K224" i="1"/>
  <c r="L148" i="1"/>
  <c r="K159" i="1"/>
  <c r="L200" i="1"/>
  <c r="L131" i="1"/>
  <c r="L26" i="1"/>
  <c r="K90" i="1"/>
  <c r="J213" i="1"/>
  <c r="L232" i="1"/>
  <c r="L145" i="1"/>
  <c r="K68" i="1"/>
  <c r="J101" i="1"/>
  <c r="L123" i="1"/>
  <c r="L43" i="1"/>
  <c r="J190" i="1"/>
  <c r="L190" i="1"/>
  <c r="K190" i="1"/>
  <c r="J106" i="1"/>
  <c r="J84" i="1"/>
  <c r="J66" i="1"/>
  <c r="L24" i="1"/>
  <c r="L217" i="1"/>
  <c r="J196" i="1"/>
  <c r="K53" i="1"/>
  <c r="J239" i="1"/>
  <c r="L239" i="1"/>
  <c r="K239" i="1"/>
  <c r="L147" i="1"/>
  <c r="L130" i="1"/>
  <c r="J136" i="1"/>
  <c r="K240" i="1"/>
  <c r="J223" i="1"/>
  <c r="J131" i="1"/>
  <c r="J203" i="1"/>
  <c r="L68" i="1"/>
  <c r="K110" i="1"/>
  <c r="J47" i="1"/>
  <c r="L119" i="1"/>
  <c r="K55" i="1"/>
  <c r="K147" i="1"/>
  <c r="J85" i="1"/>
  <c r="L236" i="1"/>
  <c r="J22" i="1"/>
  <c r="L133" i="1"/>
  <c r="L127" i="1"/>
  <c r="K75" i="1"/>
  <c r="K32" i="1"/>
  <c r="J64" i="1"/>
  <c r="K153" i="1"/>
  <c r="J163" i="1"/>
  <c r="L207" i="1"/>
  <c r="L221" i="1"/>
  <c r="J227" i="1"/>
  <c r="K219" i="1"/>
  <c r="L87" i="1"/>
  <c r="J86" i="1"/>
  <c r="J162" i="1"/>
  <c r="K152" i="1"/>
  <c r="J209" i="1"/>
  <c r="K28" i="1"/>
  <c r="L224" i="1"/>
  <c r="J224" i="1"/>
  <c r="L92" i="1"/>
  <c r="L124" i="1"/>
  <c r="L101" i="1"/>
  <c r="L52" i="1"/>
  <c r="L40" i="1"/>
  <c r="J129" i="1"/>
  <c r="J43" i="1"/>
  <c r="K134" i="1"/>
  <c r="L159" i="1"/>
  <c r="L57" i="1"/>
  <c r="L187" i="1"/>
  <c r="L13" i="1"/>
  <c r="J175" i="1"/>
  <c r="K124" i="1"/>
  <c r="J45" i="1"/>
  <c r="J104" i="1"/>
  <c r="J123" i="1"/>
  <c r="L47" i="1"/>
  <c r="K172" i="1"/>
  <c r="J172" i="1"/>
  <c r="J228" i="1"/>
  <c r="J185" i="1"/>
  <c r="J207" i="1"/>
  <c r="L151" i="1"/>
  <c r="J51" i="1"/>
  <c r="L51" i="1"/>
  <c r="J179" i="1"/>
  <c r="K179" i="1"/>
  <c r="K58" i="1"/>
  <c r="L188" i="1"/>
  <c r="J188" i="1"/>
  <c r="K188" i="1"/>
  <c r="J82" i="1"/>
  <c r="K198" i="1"/>
  <c r="K193" i="1"/>
  <c r="J156" i="1"/>
  <c r="L41" i="1"/>
  <c r="L138" i="1"/>
  <c r="L12" i="1"/>
  <c r="J121" i="1"/>
  <c r="K155" i="1"/>
  <c r="L82" i="1"/>
  <c r="L192" i="1"/>
  <c r="K94" i="1"/>
  <c r="K217" i="1"/>
  <c r="L225" i="1"/>
  <c r="J183" i="1"/>
  <c r="L156" i="1"/>
  <c r="K34" i="1"/>
  <c r="J137" i="1"/>
  <c r="L155" i="1"/>
  <c r="L201" i="1"/>
  <c r="L104" i="1"/>
  <c r="L203" i="1"/>
  <c r="K154" i="1"/>
  <c r="K205" i="1"/>
  <c r="L229" i="1"/>
  <c r="J39" i="1"/>
  <c r="J119" i="1"/>
  <c r="L73" i="1"/>
  <c r="J178" i="1"/>
  <c r="L178" i="1"/>
  <c r="L78" i="1"/>
  <c r="L220" i="1"/>
  <c r="J184" i="1"/>
  <c r="J169" i="1"/>
  <c r="L211" i="1"/>
  <c r="L158" i="1"/>
  <c r="L146" i="1"/>
  <c r="J77" i="1"/>
  <c r="L77" i="1"/>
  <c r="K166" i="1"/>
  <c r="K10" i="1"/>
  <c r="K127" i="1"/>
  <c r="K8" i="1"/>
  <c r="K41" i="1"/>
  <c r="K215" i="1"/>
  <c r="J19" i="1"/>
  <c r="L116" i="1"/>
  <c r="K99" i="1"/>
  <c r="J99" i="1"/>
  <c r="L179" i="1"/>
  <c r="L85" i="1"/>
  <c r="K234" i="1"/>
  <c r="J165" i="1"/>
  <c r="K130" i="1"/>
  <c r="J24" i="1"/>
  <c r="L171" i="1"/>
  <c r="L105" i="1"/>
  <c r="K236" i="1"/>
  <c r="J211" i="1"/>
  <c r="L182" i="1"/>
  <c r="L161" i="1"/>
  <c r="J30" i="1"/>
  <c r="L30" i="1"/>
  <c r="J88" i="1"/>
  <c r="K88" i="1"/>
  <c r="L63" i="1"/>
  <c r="L110" i="1"/>
  <c r="L19" i="1"/>
  <c r="K182" i="1"/>
  <c r="J71" i="1"/>
  <c r="L71" i="1"/>
  <c r="L140" i="1"/>
  <c r="J160" i="1"/>
  <c r="K30" i="1"/>
  <c r="J206" i="1"/>
  <c r="K78" i="1"/>
  <c r="L114" i="1"/>
  <c r="K158" i="1"/>
  <c r="J13" i="1"/>
  <c r="L108" i="1"/>
  <c r="L39" i="1"/>
  <c r="L81" i="1"/>
  <c r="K118" i="1"/>
  <c r="L175" i="1"/>
  <c r="K187" i="1"/>
  <c r="L22" i="1"/>
  <c r="L18" i="1"/>
  <c r="K114" i="1"/>
  <c r="J117" i="1"/>
  <c r="L117" i="1"/>
  <c r="K16" i="1"/>
  <c r="J145" i="1"/>
  <c r="L132" i="1"/>
  <c r="L42" i="1"/>
  <c r="J171" i="1"/>
  <c r="J144" i="1"/>
  <c r="L196" i="1"/>
  <c r="L189" i="1"/>
  <c r="J59" i="1"/>
  <c r="J31" i="1"/>
  <c r="L31" i="1"/>
  <c r="K81" i="1"/>
  <c r="K170" i="1"/>
  <c r="J170" i="1"/>
  <c r="J26" i="1"/>
  <c r="L181" i="1"/>
  <c r="L143" i="1"/>
  <c r="J46" i="1"/>
  <c r="K180" i="1"/>
  <c r="K178" i="1"/>
  <c r="L183" i="1"/>
  <c r="L237" i="1"/>
  <c r="L228" i="1"/>
  <c r="K108" i="1"/>
  <c r="L8" i="1"/>
  <c r="J135" i="1"/>
  <c r="K51" i="1"/>
  <c r="L157" i="1"/>
  <c r="J27" i="1"/>
  <c r="L16" i="1"/>
  <c r="L64" i="1"/>
  <c r="J122" i="1"/>
  <c r="J232" i="1"/>
  <c r="L195" i="1"/>
  <c r="J230" i="1"/>
  <c r="J208" i="1"/>
  <c r="L137" i="1"/>
  <c r="J133" i="1"/>
  <c r="L193" i="1"/>
  <c r="J157" i="1"/>
  <c r="L70" i="1"/>
  <c r="K57" i="1"/>
  <c r="L142" i="1"/>
  <c r="L45" i="1"/>
  <c r="J201" i="1"/>
  <c r="L14" i="1"/>
  <c r="L180" i="1"/>
  <c r="J105" i="1"/>
  <c r="K237" i="1"/>
  <c r="L230" i="1"/>
  <c r="L169" i="1"/>
  <c r="L243" i="1"/>
  <c r="K161" i="1"/>
  <c r="J10" i="1"/>
  <c r="L10" i="1"/>
  <c r="J61" i="1"/>
  <c r="J138" i="1"/>
  <c r="K52" i="1"/>
  <c r="L223" i="1"/>
  <c r="J62" i="1"/>
  <c r="J149" i="1"/>
  <c r="J116" i="1"/>
  <c r="K167" i="1"/>
  <c r="K56" i="1"/>
  <c r="L55" i="1"/>
  <c r="L213" i="1"/>
  <c r="L21" i="1"/>
  <c r="J192" i="1"/>
  <c r="K18" i="1"/>
  <c r="K132" i="1"/>
  <c r="L227" i="1"/>
  <c r="L37" i="1"/>
  <c r="J189" i="1"/>
  <c r="K128" i="1"/>
  <c r="L134" i="1"/>
  <c r="L205" i="1"/>
  <c r="L28" i="1"/>
  <c r="K70" i="1"/>
  <c r="J17" i="1"/>
  <c r="L17" i="1"/>
  <c r="L58" i="1"/>
  <c r="L238" i="1"/>
  <c r="J238" i="1"/>
  <c r="L162" i="1"/>
  <c r="L61" i="1"/>
  <c r="L53" i="1"/>
  <c r="J220" i="1"/>
  <c r="K21" i="1"/>
  <c r="K194" i="1"/>
  <c r="J142" i="1"/>
  <c r="J140" i="1"/>
  <c r="L202" i="1"/>
  <c r="J151" i="1"/>
  <c r="L209" i="1"/>
  <c r="K139" i="1"/>
  <c r="L208" i="1"/>
</calcChain>
</file>

<file path=xl/sharedStrings.xml><?xml version="1.0" encoding="utf-8"?>
<sst xmlns="http://schemas.openxmlformats.org/spreadsheetml/2006/main" count="1502" uniqueCount="35">
  <si>
    <t>Structural Prediction based on the Chou and Fasman Algorithm</t>
  </si>
  <si>
    <t>Tropomyosin</t>
  </si>
  <si>
    <t>AA no</t>
  </si>
  <si>
    <t>Helix</t>
  </si>
  <si>
    <t>Sheet</t>
  </si>
  <si>
    <t>Turn</t>
  </si>
  <si>
    <t>Turn (Pt)</t>
  </si>
  <si>
    <t>Turn (pt)</t>
  </si>
  <si>
    <t>f i</t>
  </si>
  <si>
    <t>f i+1</t>
  </si>
  <si>
    <t>f i+2</t>
  </si>
  <si>
    <t>f i+3</t>
  </si>
  <si>
    <t>M</t>
  </si>
  <si>
    <t>A</t>
  </si>
  <si>
    <t>D</t>
  </si>
  <si>
    <t>C</t>
  </si>
  <si>
    <t>I</t>
  </si>
  <si>
    <t>E</t>
  </si>
  <si>
    <t>K</t>
  </si>
  <si>
    <t>F</t>
  </si>
  <si>
    <t>G</t>
  </si>
  <si>
    <t>H</t>
  </si>
  <si>
    <t>Q</t>
  </si>
  <si>
    <t>L</t>
  </si>
  <si>
    <t>N</t>
  </si>
  <si>
    <t>P</t>
  </si>
  <si>
    <t>R</t>
  </si>
  <si>
    <t>S</t>
  </si>
  <si>
    <t>T</t>
  </si>
  <si>
    <t>V</t>
  </si>
  <si>
    <t>W</t>
  </si>
  <si>
    <t>Y</t>
  </si>
  <si>
    <t>Ubiquitin</t>
  </si>
  <si>
    <t>AB light</t>
  </si>
  <si>
    <t>NF-L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</si>
</sst>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8"/>
      <name val="Arial"/>
    </font>
    <font>
      <b/>
      <sz val="8"/>
      <name val="Arial"/>
    </font>
    <font>
      <b/>
      <sz val="10"/>
      <name val="Arial"/>
    </font>
    <font>
      <sz val="10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Chou and Fasman Prediction</a:t>
            </a:r>
          </a:p>
        </c:rich>
      </c:tx>
      <c:layout>
        <c:manualLayout>
          <c:xMode val="edge"/>
          <c:yMode val="edge"/>
          <c:x val="0.33131396607815405"/>
          <c:y val="3.15196692309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467170484380125E-2"/>
          <c:y val="0.1590310583925553"/>
          <c:w val="0.77103581076276295"/>
          <c:h val="0.70489442098321797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Calculations!$J$2</c:f>
              <c:strCache>
                <c:ptCount val="1"/>
                <c:pt idx="0">
                  <c:v>Helix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Calculations!$J$3:$J$243</c:f>
              <c:numCache>
                <c:formatCode>General</c:formatCode>
                <c:ptCount val="241"/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B8-47CB-B4B2-A102D3A8F51F}"/>
            </c:ext>
          </c:extLst>
        </c:ser>
        <c:ser>
          <c:idx val="1"/>
          <c:order val="1"/>
          <c:tx>
            <c:strRef>
              <c:f>Calculations!$K$2</c:f>
              <c:strCache>
                <c:ptCount val="1"/>
                <c:pt idx="0">
                  <c:v>Sheet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Calculations!$K$3:$K$243</c:f>
              <c:numCache>
                <c:formatCode>General</c:formatCode>
                <c:ptCount val="241"/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4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B8-47CB-B4B2-A102D3A8F51F}"/>
            </c:ext>
          </c:extLst>
        </c:ser>
        <c:ser>
          <c:idx val="2"/>
          <c:order val="2"/>
          <c:tx>
            <c:strRef>
              <c:f>Calculations!$L$2</c:f>
              <c:strCache>
                <c:ptCount val="1"/>
                <c:pt idx="0">
                  <c:v>Turn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Calculations!$L$3:$L$243</c:f>
              <c:numCache>
                <c:formatCode>General</c:formatCode>
                <c:ptCount val="241"/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6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B8-47CB-B4B2-A102D3A8F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774143"/>
        <c:axId val="1"/>
      </c:lineChart>
      <c:catAx>
        <c:axId val="788774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Amino Acids</a:t>
                </a:r>
              </a:p>
            </c:rich>
          </c:tx>
          <c:layout>
            <c:manualLayout>
              <c:xMode val="edge"/>
              <c:yMode val="edge"/>
              <c:x val="0.38125467420022874"/>
              <c:y val="0.915503119935520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50"/>
        <c:tickMarkSkip val="5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4143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60883069636485"/>
          <c:y val="0.45703520384887508"/>
          <c:w val="0.12058853912403401"/>
          <c:h val="0.108886130070578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6350</xdr:rowOff>
    </xdr:from>
    <xdr:to>
      <xdr:col>11</xdr:col>
      <xdr:colOff>6350</xdr:colOff>
      <xdr:row>36</xdr:row>
      <xdr:rowOff>120650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9B494070-9040-4C65-94F9-F4CC6A73A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5"/>
  <sheetViews>
    <sheetView tabSelected="1" workbookViewId="0"/>
  </sheetViews>
  <sheetFormatPr defaultColWidth="9.109375" defaultRowHeight="10" x14ac:dyDescent="0.2"/>
  <cols>
    <col min="1" max="1" width="11.44140625" customWidth="1"/>
    <col min="2" max="2" width="10.6640625" customWidth="1"/>
    <col min="20" max="22" width="9.33203125" style="1" customWidth="1"/>
  </cols>
  <sheetData>
    <row r="1" spans="1:22" ht="10.5" x14ac:dyDescent="0.25">
      <c r="B1" s="8" t="s">
        <v>0</v>
      </c>
    </row>
    <row r="2" spans="1:22" ht="12" customHeight="1" x14ac:dyDescent="0.3">
      <c r="A2" s="1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3</v>
      </c>
      <c r="G2" s="6" t="s">
        <v>4</v>
      </c>
      <c r="H2" s="6" t="s">
        <v>6</v>
      </c>
      <c r="I2" s="6" t="s">
        <v>7</v>
      </c>
      <c r="J2" s="6" t="s">
        <v>3</v>
      </c>
      <c r="K2" s="6" t="s">
        <v>4</v>
      </c>
      <c r="L2" s="6" t="s">
        <v>5</v>
      </c>
      <c r="N2" s="3"/>
      <c r="O2" s="3"/>
      <c r="P2" s="7" t="s">
        <v>3</v>
      </c>
      <c r="Q2" s="7" t="s">
        <v>4</v>
      </c>
      <c r="R2" s="7" t="s">
        <v>5</v>
      </c>
      <c r="S2" s="7" t="s">
        <v>8</v>
      </c>
      <c r="T2" s="7" t="s">
        <v>9</v>
      </c>
      <c r="U2" s="6" t="s">
        <v>10</v>
      </c>
      <c r="V2" s="6" t="s">
        <v>11</v>
      </c>
    </row>
    <row r="3" spans="1:22" ht="13" x14ac:dyDescent="0.3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N3" s="3"/>
      <c r="O3" s="3"/>
      <c r="P3" s="1"/>
      <c r="Q3" s="1"/>
      <c r="R3" s="1"/>
      <c r="S3" s="1"/>
    </row>
    <row r="4" spans="1:22" ht="13" x14ac:dyDescent="0.3">
      <c r="A4" s="1" t="s">
        <v>12</v>
      </c>
      <c r="B4">
        <f>LOOKUP(A4,$N$4:$N$23,$O$4:$O$23)</f>
        <v>10</v>
      </c>
      <c r="C4" s="1">
        <f ca="1">OFFSET($P$4,$B4,0,1,1)</f>
        <v>1.45</v>
      </c>
      <c r="D4" s="1">
        <f ca="1">OFFSET($Q$4,$B4,0,1,1)</f>
        <v>1.05</v>
      </c>
      <c r="E4" s="1">
        <f ca="1">OFFSET($R$4,$B4,0,1,1)</f>
        <v>0.6</v>
      </c>
      <c r="F4" s="1"/>
      <c r="G4" s="1"/>
      <c r="H4" s="1"/>
      <c r="I4" s="1"/>
      <c r="J4" s="1"/>
      <c r="K4" s="1"/>
      <c r="L4" s="1"/>
      <c r="N4" s="4" t="s">
        <v>13</v>
      </c>
      <c r="O4" s="5">
        <v>0</v>
      </c>
      <c r="P4" s="1">
        <v>1.42</v>
      </c>
      <c r="Q4" s="1">
        <v>0.83</v>
      </c>
      <c r="R4" s="1">
        <v>0.66</v>
      </c>
      <c r="S4" s="1">
        <v>0.06</v>
      </c>
      <c r="T4" s="1">
        <v>7.5999999999999998E-2</v>
      </c>
      <c r="U4" s="1">
        <v>3.5000000000000003E-2</v>
      </c>
      <c r="V4" s="1">
        <v>5.8000000000000003E-2</v>
      </c>
    </row>
    <row r="5" spans="1:22" ht="13" x14ac:dyDescent="0.3">
      <c r="A5" s="1" t="s">
        <v>14</v>
      </c>
      <c r="B5">
        <f t="shared" ref="B5:B20" si="0">LOOKUP(A5,$N$4:$N$23,$O$4:$O$23)</f>
        <v>2</v>
      </c>
      <c r="C5" s="1">
        <f t="shared" ref="C5:C20" ca="1" si="1">OFFSET($P$4,B5,0,1,1)</f>
        <v>1.01</v>
      </c>
      <c r="D5" s="1">
        <f t="shared" ref="D5:D20" ca="1" si="2">OFFSET($Q$4,$B5,0,1,1)</f>
        <v>0.54</v>
      </c>
      <c r="E5" s="1">
        <f t="shared" ref="E5:E20" ca="1" si="3">OFFSET($R$4,$B5,0,1,1)</f>
        <v>1.46</v>
      </c>
      <c r="F5" s="1"/>
      <c r="G5" s="1"/>
      <c r="H5" s="1"/>
      <c r="I5" s="1"/>
      <c r="J5" s="1"/>
      <c r="K5" s="1"/>
      <c r="L5" s="1"/>
      <c r="N5" s="4" t="s">
        <v>15</v>
      </c>
      <c r="O5" s="5">
        <v>1</v>
      </c>
      <c r="P5" s="1">
        <v>0.7</v>
      </c>
      <c r="Q5" s="1">
        <v>1.19</v>
      </c>
      <c r="R5" s="1">
        <v>1.19</v>
      </c>
      <c r="S5" s="1">
        <v>0.159</v>
      </c>
      <c r="T5" s="1">
        <v>5.2999999999999999E-2</v>
      </c>
      <c r="U5" s="1">
        <v>0.11700000000000001</v>
      </c>
      <c r="V5" s="1">
        <v>0.128</v>
      </c>
    </row>
    <row r="6" spans="1:22" ht="13" x14ac:dyDescent="0.3">
      <c r="A6" s="1" t="s">
        <v>13</v>
      </c>
      <c r="B6">
        <f t="shared" si="0"/>
        <v>0</v>
      </c>
      <c r="C6" s="1">
        <f t="shared" ca="1" si="1"/>
        <v>1.42</v>
      </c>
      <c r="D6" s="1">
        <f t="shared" ca="1" si="2"/>
        <v>0.83</v>
      </c>
      <c r="E6" s="1">
        <f t="shared" ca="1" si="3"/>
        <v>0.66</v>
      </c>
      <c r="F6" s="1">
        <f t="shared" ref="F6:G6" ca="1" si="4">AVERAGE(C4:C10)</f>
        <v>1.2057142857142857</v>
      </c>
      <c r="G6" s="1">
        <f t="shared" ca="1" si="4"/>
        <v>0.89142857142857146</v>
      </c>
      <c r="H6" s="1">
        <f ca="1">AVERAGE(E4:E7)</f>
        <v>0.7975000000000001</v>
      </c>
      <c r="I6" s="1">
        <f ca="1">PRODUCT(OFFSET($S$4,B4,0,1,1),OFFSET($S$4,B5,1,1,1),OFFSET($S$4,B6,2,1,1),OFFSET($S$4,B7,3,1,1))</f>
        <v>1.4660800000000002E-5</v>
      </c>
      <c r="J6" s="1">
        <f ca="1">IF(AND(F6&gt;G6,F6&gt;1.05)=TRUE,2,1)</f>
        <v>2</v>
      </c>
      <c r="K6" s="1">
        <f ca="1">IF(AND(G6&gt;1.05,G6&gt;F6)=TRUE,4,3)</f>
        <v>3</v>
      </c>
      <c r="L6" s="1">
        <f t="shared" ref="L6:L22" ca="1" si="5">IF(AND(H6&gt;F6,H6&gt;G6,H6&gt;1,I6&gt;0.000075)=TRUE,6,5)</f>
        <v>5</v>
      </c>
      <c r="N6" s="4" t="s">
        <v>14</v>
      </c>
      <c r="O6" s="5">
        <v>2</v>
      </c>
      <c r="P6" s="1">
        <v>1.01</v>
      </c>
      <c r="Q6" s="1">
        <v>0.54</v>
      </c>
      <c r="R6" s="1">
        <v>1.46</v>
      </c>
      <c r="S6" s="1">
        <v>0.14699999999999999</v>
      </c>
      <c r="T6" s="1">
        <v>0.11</v>
      </c>
      <c r="U6" s="1">
        <v>0.17899999999999999</v>
      </c>
      <c r="V6" s="1">
        <v>8.1000000000000003E-2</v>
      </c>
    </row>
    <row r="7" spans="1:22" ht="13" x14ac:dyDescent="0.3">
      <c r="A7" s="1" t="s">
        <v>16</v>
      </c>
      <c r="B7">
        <f t="shared" si="0"/>
        <v>7</v>
      </c>
      <c r="C7" s="1">
        <f t="shared" ca="1" si="1"/>
        <v>1.08</v>
      </c>
      <c r="D7" s="1">
        <f t="shared" ca="1" si="2"/>
        <v>1.6</v>
      </c>
      <c r="E7" s="1">
        <f t="shared" ca="1" si="3"/>
        <v>0.47</v>
      </c>
      <c r="F7" s="1">
        <f t="shared" ref="F7:G22" ca="1" si="6">AVERAGE(C5:C11)</f>
        <v>1.2057142857142857</v>
      </c>
      <c r="G7" s="1">
        <f t="shared" ca="1" si="6"/>
        <v>0.89142857142857146</v>
      </c>
      <c r="H7" s="1">
        <f t="shared" ref="H7:H22" ca="1" si="7">AVERAGE(E5:E8)</f>
        <v>0.89999999999999991</v>
      </c>
      <c r="I7" s="1">
        <f t="shared" ref="I7:I22" ca="1" si="8">PRODUCT(OFFSET($S$4,B5,0,1,1),OFFSET($S$4,B6,1,1,1),OFFSET($S$4,B7,2,1,1),OFFSET($S$4,B8,3,1,1))</f>
        <v>1.3797419999999997E-5</v>
      </c>
      <c r="J7" s="1">
        <f t="shared" ref="J7:J22" ca="1" si="9">IF(AND(F7&gt;G7,F7&gt;1.05)=TRUE,2,1)</f>
        <v>2</v>
      </c>
      <c r="K7" s="1">
        <f t="shared" ref="K7:K22" ca="1" si="10">IF(AND(G7&gt;1.05,G7&gt;F7)=TRUE,4,3)</f>
        <v>3</v>
      </c>
      <c r="L7" s="1">
        <f t="shared" ca="1" si="5"/>
        <v>5</v>
      </c>
      <c r="N7" s="4" t="s">
        <v>17</v>
      </c>
      <c r="O7" s="5">
        <v>3</v>
      </c>
      <c r="P7" s="1">
        <v>1.51</v>
      </c>
      <c r="Q7" s="1">
        <v>0.37</v>
      </c>
      <c r="R7" s="1">
        <v>0.74</v>
      </c>
      <c r="S7" s="1">
        <v>5.6000000000000001E-2</v>
      </c>
      <c r="T7" s="1">
        <v>0.06</v>
      </c>
      <c r="U7" s="1">
        <v>7.6999999999999999E-2</v>
      </c>
      <c r="V7" s="1">
        <v>6.4000000000000001E-2</v>
      </c>
    </row>
    <row r="8" spans="1:22" ht="13" x14ac:dyDescent="0.3">
      <c r="A8" s="1" t="s">
        <v>18</v>
      </c>
      <c r="B8">
        <f t="shared" si="0"/>
        <v>8</v>
      </c>
      <c r="C8" s="1">
        <f t="shared" ca="1" si="1"/>
        <v>1.1599999999999999</v>
      </c>
      <c r="D8" s="1">
        <f t="shared" ca="1" si="2"/>
        <v>0.74</v>
      </c>
      <c r="E8" s="1">
        <f t="shared" ca="1" si="3"/>
        <v>1.01</v>
      </c>
      <c r="F8" s="1">
        <f t="shared" ca="1" si="6"/>
        <v>1.2200000000000002</v>
      </c>
      <c r="G8" s="1">
        <f t="shared" ca="1" si="6"/>
        <v>0.97142857142857153</v>
      </c>
      <c r="H8" s="1">
        <f t="shared" ca="1" si="7"/>
        <v>0.78749999999999987</v>
      </c>
      <c r="I8" s="1">
        <f t="shared" ca="1" si="8"/>
        <v>1.39536E-5</v>
      </c>
      <c r="J8" s="1">
        <f t="shared" ca="1" si="9"/>
        <v>2</v>
      </c>
      <c r="K8" s="1">
        <f t="shared" ca="1" si="10"/>
        <v>3</v>
      </c>
      <c r="L8" s="1">
        <f t="shared" ca="1" si="5"/>
        <v>5</v>
      </c>
      <c r="N8" s="4" t="s">
        <v>19</v>
      </c>
      <c r="O8" s="5">
        <v>4</v>
      </c>
      <c r="P8" s="1">
        <v>1.1299999999999999</v>
      </c>
      <c r="Q8" s="1">
        <v>1.38</v>
      </c>
      <c r="R8" s="1">
        <v>0.6</v>
      </c>
      <c r="S8" s="1">
        <v>5.8999999999999997E-2</v>
      </c>
      <c r="T8" s="1">
        <v>4.1000000000000002E-2</v>
      </c>
      <c r="U8" s="1">
        <v>6.5000000000000002E-2</v>
      </c>
      <c r="V8" s="1">
        <v>6.5000000000000002E-2</v>
      </c>
    </row>
    <row r="9" spans="1:22" ht="13" x14ac:dyDescent="0.3">
      <c r="A9" s="1" t="s">
        <v>18</v>
      </c>
      <c r="B9">
        <f t="shared" si="0"/>
        <v>8</v>
      </c>
      <c r="C9" s="1">
        <f t="shared" ca="1" si="1"/>
        <v>1.1599999999999999</v>
      </c>
      <c r="D9" s="1">
        <f t="shared" ca="1" si="2"/>
        <v>0.74</v>
      </c>
      <c r="E9" s="1">
        <f t="shared" ca="1" si="3"/>
        <v>1.01</v>
      </c>
      <c r="F9" s="1">
        <f t="shared" ca="1" si="6"/>
        <v>1.2242857142857144</v>
      </c>
      <c r="G9" s="1">
        <f t="shared" ca="1" si="6"/>
        <v>1.0028571428571429</v>
      </c>
      <c r="H9" s="1">
        <f t="shared" ca="1" si="7"/>
        <v>0.875</v>
      </c>
      <c r="I9" s="1">
        <f t="shared" ca="1" si="8"/>
        <v>3.38238E-5</v>
      </c>
      <c r="J9" s="1">
        <f t="shared" ca="1" si="9"/>
        <v>2</v>
      </c>
      <c r="K9" s="1">
        <f t="shared" ca="1" si="10"/>
        <v>3</v>
      </c>
      <c r="L9" s="1">
        <f t="shared" ca="1" si="5"/>
        <v>5</v>
      </c>
      <c r="N9" s="4" t="s">
        <v>20</v>
      </c>
      <c r="O9" s="5">
        <v>5</v>
      </c>
      <c r="P9" s="1">
        <v>0.56999999999999995</v>
      </c>
      <c r="Q9" s="1">
        <v>0.75</v>
      </c>
      <c r="R9" s="1">
        <v>1.56</v>
      </c>
      <c r="S9" s="1">
        <v>0.10199999999999999</v>
      </c>
      <c r="T9" s="1">
        <v>8.5000000000000006E-2</v>
      </c>
      <c r="U9" s="1">
        <v>0.19</v>
      </c>
      <c r="V9" s="1">
        <v>0.152</v>
      </c>
    </row>
    <row r="10" spans="1:22" ht="13" x14ac:dyDescent="0.3">
      <c r="A10" s="1" t="s">
        <v>18</v>
      </c>
      <c r="B10">
        <f t="shared" si="0"/>
        <v>8</v>
      </c>
      <c r="C10" s="1">
        <f t="shared" ca="1" si="1"/>
        <v>1.1599999999999999</v>
      </c>
      <c r="D10" s="1">
        <f t="shared" ca="1" si="2"/>
        <v>0.74</v>
      </c>
      <c r="E10" s="1">
        <f t="shared" ca="1" si="3"/>
        <v>1.01</v>
      </c>
      <c r="F10" s="1">
        <f t="shared" ca="1" si="6"/>
        <v>1.2428571428571427</v>
      </c>
      <c r="G10" s="1">
        <f t="shared" ca="1" si="6"/>
        <v>0.95999999999999985</v>
      </c>
      <c r="H10" s="1">
        <f t="shared" ca="1" si="7"/>
        <v>0.90750000000000008</v>
      </c>
      <c r="I10" s="1">
        <f t="shared" ca="1" si="8"/>
        <v>2.5046999999999999E-5</v>
      </c>
      <c r="J10" s="1">
        <f t="shared" ca="1" si="9"/>
        <v>2</v>
      </c>
      <c r="K10" s="1">
        <f t="shared" ca="1" si="10"/>
        <v>3</v>
      </c>
      <c r="L10" s="1">
        <f t="shared" ca="1" si="5"/>
        <v>5</v>
      </c>
      <c r="N10" s="4" t="s">
        <v>21</v>
      </c>
      <c r="O10" s="5">
        <v>6</v>
      </c>
      <c r="P10" s="1">
        <v>1</v>
      </c>
      <c r="Q10" s="1">
        <v>0.87</v>
      </c>
      <c r="R10" s="1">
        <v>0.95</v>
      </c>
      <c r="S10" s="1">
        <v>0.14000000000000001</v>
      </c>
      <c r="T10" s="1">
        <v>4.7E-2</v>
      </c>
      <c r="U10" s="1">
        <v>9.2999999999999999E-2</v>
      </c>
      <c r="V10" s="1">
        <v>5.3999999999999999E-2</v>
      </c>
    </row>
    <row r="11" spans="1:22" ht="13" x14ac:dyDescent="0.3">
      <c r="A11" s="1" t="s">
        <v>12</v>
      </c>
      <c r="B11">
        <f t="shared" si="0"/>
        <v>10</v>
      </c>
      <c r="C11" s="1">
        <f t="shared" ca="1" si="1"/>
        <v>1.45</v>
      </c>
      <c r="D11" s="1">
        <f t="shared" ca="1" si="2"/>
        <v>1.05</v>
      </c>
      <c r="E11" s="1">
        <f t="shared" ca="1" si="3"/>
        <v>0.6</v>
      </c>
      <c r="F11" s="1">
        <f t="shared" ca="1" si="6"/>
        <v>1.2428571428571427</v>
      </c>
      <c r="G11" s="1">
        <f t="shared" ca="1" si="6"/>
        <v>0.96000000000000008</v>
      </c>
      <c r="H11" s="1">
        <f t="shared" ca="1" si="7"/>
        <v>0.9</v>
      </c>
      <c r="I11" s="1">
        <f t="shared" ca="1" si="8"/>
        <v>8.6779000000000004E-6</v>
      </c>
      <c r="J11" s="1">
        <f t="shared" ca="1" si="9"/>
        <v>2</v>
      </c>
      <c r="K11" s="1">
        <f t="shared" ca="1" si="10"/>
        <v>3</v>
      </c>
      <c r="L11" s="1">
        <f t="shared" ca="1" si="5"/>
        <v>5</v>
      </c>
      <c r="N11" s="4" t="s">
        <v>16</v>
      </c>
      <c r="O11" s="5">
        <v>7</v>
      </c>
      <c r="P11" s="1">
        <v>1.08</v>
      </c>
      <c r="Q11" s="1">
        <v>1.6</v>
      </c>
      <c r="R11" s="1">
        <v>0.47</v>
      </c>
      <c r="S11" s="1">
        <v>4.2999999999999997E-2</v>
      </c>
      <c r="T11" s="1">
        <v>3.4000000000000002E-2</v>
      </c>
      <c r="U11" s="1">
        <v>1.2999999999999999E-2</v>
      </c>
      <c r="V11" s="1">
        <v>5.6000000000000001E-2</v>
      </c>
    </row>
    <row r="12" spans="1:22" ht="13" x14ac:dyDescent="0.3">
      <c r="A12" s="1" t="s">
        <v>22</v>
      </c>
      <c r="B12">
        <f t="shared" si="0"/>
        <v>13</v>
      </c>
      <c r="C12" s="1">
        <f t="shared" ca="1" si="1"/>
        <v>1.1100000000000001</v>
      </c>
      <c r="D12" s="1">
        <f t="shared" ca="1" si="2"/>
        <v>1.1000000000000001</v>
      </c>
      <c r="E12" s="1">
        <f t="shared" ca="1" si="3"/>
        <v>0.98</v>
      </c>
      <c r="F12" s="1">
        <f t="shared" ca="1" si="6"/>
        <v>1.25</v>
      </c>
      <c r="G12" s="1">
        <f t="shared" ca="1" si="6"/>
        <v>1.04</v>
      </c>
      <c r="H12" s="1">
        <f t="shared" ca="1" si="7"/>
        <v>0.79749999999999999</v>
      </c>
      <c r="I12" s="1">
        <f t="shared" ca="1" si="8"/>
        <v>9.1778500000000006E-6</v>
      </c>
      <c r="J12" s="1">
        <f t="shared" ca="1" si="9"/>
        <v>2</v>
      </c>
      <c r="K12" s="1">
        <f t="shared" ca="1" si="10"/>
        <v>3</v>
      </c>
      <c r="L12" s="1">
        <f t="shared" ca="1" si="5"/>
        <v>5</v>
      </c>
      <c r="N12" s="4" t="s">
        <v>18</v>
      </c>
      <c r="O12" s="5">
        <v>8</v>
      </c>
      <c r="P12" s="1">
        <v>1.1599999999999999</v>
      </c>
      <c r="Q12" s="1">
        <v>0.74</v>
      </c>
      <c r="R12" s="1">
        <v>1.01</v>
      </c>
      <c r="S12" s="1">
        <v>5.5E-2</v>
      </c>
      <c r="T12" s="1">
        <v>0.115</v>
      </c>
      <c r="U12" s="1">
        <v>7.1999999999999995E-2</v>
      </c>
      <c r="V12" s="1">
        <v>9.5000000000000001E-2</v>
      </c>
    </row>
    <row r="13" spans="1:22" ht="13" x14ac:dyDescent="0.3">
      <c r="A13" s="1" t="s">
        <v>12</v>
      </c>
      <c r="B13">
        <f t="shared" si="0"/>
        <v>10</v>
      </c>
      <c r="C13" s="1">
        <f t="shared" ca="1" si="1"/>
        <v>1.45</v>
      </c>
      <c r="D13" s="1">
        <f t="shared" ca="1" si="2"/>
        <v>1.05</v>
      </c>
      <c r="E13" s="1">
        <f t="shared" ca="1" si="3"/>
        <v>0.6</v>
      </c>
      <c r="F13" s="1">
        <f t="shared" ca="1" si="6"/>
        <v>1.2285714285714284</v>
      </c>
      <c r="G13" s="1">
        <f t="shared" ca="1" si="6"/>
        <v>1.0114285714285713</v>
      </c>
      <c r="H13" s="1">
        <f t="shared" ca="1" si="7"/>
        <v>0.6925</v>
      </c>
      <c r="I13" s="1">
        <f t="shared" ca="1" si="8"/>
        <v>6.5307200000000014E-6</v>
      </c>
      <c r="J13" s="1">
        <f t="shared" ca="1" si="9"/>
        <v>2</v>
      </c>
      <c r="K13" s="1">
        <f t="shared" ca="1" si="10"/>
        <v>3</v>
      </c>
      <c r="L13" s="1">
        <f t="shared" ca="1" si="5"/>
        <v>5</v>
      </c>
      <c r="N13" s="4" t="s">
        <v>23</v>
      </c>
      <c r="O13" s="5">
        <v>9</v>
      </c>
      <c r="P13" s="1">
        <v>1.21</v>
      </c>
      <c r="Q13" s="1">
        <v>1.3</v>
      </c>
      <c r="R13" s="1">
        <v>0.59</v>
      </c>
      <c r="S13" s="1">
        <v>6.0999999999999999E-2</v>
      </c>
      <c r="T13" s="1">
        <v>2.5000000000000001E-2</v>
      </c>
      <c r="U13" s="1">
        <v>3.5999999999999997E-2</v>
      </c>
      <c r="V13" s="1">
        <v>7.0000000000000007E-2</v>
      </c>
    </row>
    <row r="14" spans="1:22" ht="13" x14ac:dyDescent="0.3">
      <c r="A14" s="1" t="s">
        <v>23</v>
      </c>
      <c r="B14">
        <f t="shared" si="0"/>
        <v>9</v>
      </c>
      <c r="C14" s="1">
        <f t="shared" ca="1" si="1"/>
        <v>1.21</v>
      </c>
      <c r="D14" s="1">
        <f t="shared" ca="1" si="2"/>
        <v>1.3</v>
      </c>
      <c r="E14" s="1">
        <f t="shared" ca="1" si="3"/>
        <v>0.59</v>
      </c>
      <c r="F14" s="1">
        <f t="shared" ca="1" si="6"/>
        <v>1.1871428571428571</v>
      </c>
      <c r="G14" s="1">
        <f t="shared" ca="1" si="6"/>
        <v>0.96714285714285719</v>
      </c>
      <c r="H14" s="1">
        <f t="shared" ca="1" si="7"/>
        <v>0.79499999999999993</v>
      </c>
      <c r="I14" s="1">
        <f t="shared" ca="1" si="8"/>
        <v>2.0752559999999996E-5</v>
      </c>
      <c r="J14" s="1">
        <f t="shared" ca="1" si="9"/>
        <v>2</v>
      </c>
      <c r="K14" s="1">
        <f t="shared" ca="1" si="10"/>
        <v>3</v>
      </c>
      <c r="L14" s="1">
        <f t="shared" ca="1" si="5"/>
        <v>5</v>
      </c>
      <c r="N14" s="4" t="s">
        <v>12</v>
      </c>
      <c r="O14" s="5">
        <v>10</v>
      </c>
      <c r="P14" s="1">
        <v>1.45</v>
      </c>
      <c r="Q14" s="1">
        <v>1.05</v>
      </c>
      <c r="R14" s="1">
        <v>0.6</v>
      </c>
      <c r="S14" s="1">
        <v>6.8000000000000005E-2</v>
      </c>
      <c r="T14" s="1">
        <v>8.2000000000000003E-2</v>
      </c>
      <c r="U14" s="1">
        <v>1.4E-2</v>
      </c>
      <c r="V14" s="1">
        <v>5.5E-2</v>
      </c>
    </row>
    <row r="15" spans="1:22" ht="13" x14ac:dyDescent="0.3">
      <c r="A15" s="1" t="s">
        <v>18</v>
      </c>
      <c r="B15">
        <f t="shared" si="0"/>
        <v>8</v>
      </c>
      <c r="C15" s="1">
        <f t="shared" ca="1" si="1"/>
        <v>1.1599999999999999</v>
      </c>
      <c r="D15" s="1">
        <f t="shared" ca="1" si="2"/>
        <v>0.74</v>
      </c>
      <c r="E15" s="1">
        <f t="shared" ca="1" si="3"/>
        <v>1.01</v>
      </c>
      <c r="F15" s="1">
        <f t="shared" ca="1" si="6"/>
        <v>1.2442857142857144</v>
      </c>
      <c r="G15" s="1">
        <f t="shared" ca="1" si="6"/>
        <v>0.86285714285714288</v>
      </c>
      <c r="H15" s="1">
        <f t="shared" ca="1" si="7"/>
        <v>0.69750000000000001</v>
      </c>
      <c r="I15" s="1">
        <f t="shared" ca="1" si="8"/>
        <v>8.568E-6</v>
      </c>
      <c r="J15" s="1">
        <f t="shared" ca="1" si="9"/>
        <v>2</v>
      </c>
      <c r="K15" s="1">
        <f t="shared" ca="1" si="10"/>
        <v>3</v>
      </c>
      <c r="L15" s="1">
        <f t="shared" ca="1" si="5"/>
        <v>5</v>
      </c>
      <c r="N15" s="4" t="s">
        <v>24</v>
      </c>
      <c r="O15" s="5">
        <v>11</v>
      </c>
      <c r="P15" s="1">
        <v>0.67</v>
      </c>
      <c r="Q15" s="1">
        <v>0.89</v>
      </c>
      <c r="R15" s="1">
        <v>0.98</v>
      </c>
      <c r="S15" s="1">
        <v>0.161</v>
      </c>
      <c r="T15" s="1">
        <v>8.3000000000000004E-2</v>
      </c>
      <c r="U15" s="1">
        <v>0.191</v>
      </c>
      <c r="V15" s="1">
        <v>9.0999999999999998E-2</v>
      </c>
    </row>
    <row r="16" spans="1:22" ht="13" x14ac:dyDescent="0.3">
      <c r="A16" s="1" t="s">
        <v>23</v>
      </c>
      <c r="B16">
        <f t="shared" si="0"/>
        <v>9</v>
      </c>
      <c r="C16" s="1">
        <f t="shared" ca="1" si="1"/>
        <v>1.21</v>
      </c>
      <c r="D16" s="1">
        <f t="shared" ca="1" si="2"/>
        <v>1.3</v>
      </c>
      <c r="E16" s="1">
        <f t="shared" ca="1" si="3"/>
        <v>0.59</v>
      </c>
      <c r="F16" s="1">
        <f t="shared" ca="1" si="6"/>
        <v>1.1328571428571428</v>
      </c>
      <c r="G16" s="1">
        <f t="shared" ca="1" si="6"/>
        <v>0.84</v>
      </c>
      <c r="H16" s="1">
        <f t="shared" ca="1" si="7"/>
        <v>0.91249999999999998</v>
      </c>
      <c r="I16" s="1">
        <f t="shared" ca="1" si="8"/>
        <v>2.0455740000000001E-5</v>
      </c>
      <c r="J16" s="1">
        <f t="shared" ca="1" si="9"/>
        <v>2</v>
      </c>
      <c r="K16" s="1">
        <f t="shared" ca="1" si="10"/>
        <v>3</v>
      </c>
      <c r="L16" s="1">
        <f t="shared" ca="1" si="5"/>
        <v>5</v>
      </c>
      <c r="N16" s="4" t="s">
        <v>25</v>
      </c>
      <c r="O16" s="5">
        <v>12</v>
      </c>
      <c r="P16" s="1">
        <v>0.56999999999999995</v>
      </c>
      <c r="Q16" s="1">
        <v>0.55000000000000004</v>
      </c>
      <c r="R16" s="1">
        <v>1.52</v>
      </c>
      <c r="S16" s="1">
        <v>0.10199999999999999</v>
      </c>
      <c r="T16" s="1">
        <v>0.30099999999999999</v>
      </c>
      <c r="U16" s="1">
        <v>3.4000000000000002E-2</v>
      </c>
      <c r="V16" s="1">
        <v>6.8000000000000005E-2</v>
      </c>
    </row>
    <row r="17" spans="1:22" ht="13" x14ac:dyDescent="0.3">
      <c r="A17" s="1" t="s">
        <v>14</v>
      </c>
      <c r="B17">
        <f t="shared" si="0"/>
        <v>2</v>
      </c>
      <c r="C17" s="1">
        <f t="shared" ca="1" si="1"/>
        <v>1.01</v>
      </c>
      <c r="D17" s="1">
        <f t="shared" ca="1" si="2"/>
        <v>0.54</v>
      </c>
      <c r="E17" s="1">
        <f t="shared" ca="1" si="3"/>
        <v>1.46</v>
      </c>
      <c r="F17" s="1">
        <f t="shared" ca="1" si="6"/>
        <v>1.162857142857143</v>
      </c>
      <c r="G17" s="1">
        <f t="shared" ca="1" si="6"/>
        <v>0.77285714285714291</v>
      </c>
      <c r="H17" s="1">
        <f t="shared" ca="1" si="7"/>
        <v>1.0175000000000001</v>
      </c>
      <c r="I17" s="1">
        <f t="shared" ca="1" si="8"/>
        <v>2.3381875000000002E-5</v>
      </c>
      <c r="J17" s="1">
        <f t="shared" ca="1" si="9"/>
        <v>2</v>
      </c>
      <c r="K17" s="1">
        <f t="shared" ca="1" si="10"/>
        <v>3</v>
      </c>
      <c r="L17" s="1">
        <f t="shared" ca="1" si="5"/>
        <v>5</v>
      </c>
      <c r="N17" s="4" t="s">
        <v>22</v>
      </c>
      <c r="O17" s="5">
        <v>13</v>
      </c>
      <c r="P17" s="1">
        <v>1.1100000000000001</v>
      </c>
      <c r="Q17" s="1">
        <v>1.1000000000000001</v>
      </c>
      <c r="R17" s="1">
        <v>0.98</v>
      </c>
      <c r="S17" s="1">
        <v>7.3999999999999996E-2</v>
      </c>
      <c r="T17" s="1">
        <v>9.8000000000000004E-2</v>
      </c>
      <c r="U17" s="1">
        <v>3.6999999999999998E-2</v>
      </c>
      <c r="V17" s="1">
        <v>9.8000000000000004E-2</v>
      </c>
    </row>
    <row r="18" spans="1:22" ht="13" x14ac:dyDescent="0.3">
      <c r="A18" s="1" t="s">
        <v>18</v>
      </c>
      <c r="B18">
        <f t="shared" si="0"/>
        <v>8</v>
      </c>
      <c r="C18" s="1">
        <f t="shared" ca="1" si="1"/>
        <v>1.1599999999999999</v>
      </c>
      <c r="D18" s="1">
        <f t="shared" ca="1" si="2"/>
        <v>0.74</v>
      </c>
      <c r="E18" s="1">
        <f t="shared" ca="1" si="3"/>
        <v>1.01</v>
      </c>
      <c r="F18" s="1">
        <f t="shared" ca="1" si="6"/>
        <v>1.17</v>
      </c>
      <c r="G18" s="1">
        <f t="shared" ca="1" si="6"/>
        <v>0.85285714285714287</v>
      </c>
      <c r="H18" s="1">
        <f t="shared" ca="1" si="7"/>
        <v>0.95</v>
      </c>
      <c r="I18" s="1">
        <f t="shared" ca="1" si="8"/>
        <v>3.091968E-5</v>
      </c>
      <c r="J18" s="1">
        <f t="shared" ca="1" si="9"/>
        <v>2</v>
      </c>
      <c r="K18" s="1">
        <f t="shared" ca="1" si="10"/>
        <v>3</v>
      </c>
      <c r="L18" s="1">
        <f t="shared" ca="1" si="5"/>
        <v>5</v>
      </c>
      <c r="N18" s="4" t="s">
        <v>26</v>
      </c>
      <c r="O18" s="5">
        <v>14</v>
      </c>
      <c r="P18" s="1">
        <v>0.98</v>
      </c>
      <c r="Q18" s="1">
        <v>0.93</v>
      </c>
      <c r="R18" s="1">
        <v>0.95</v>
      </c>
      <c r="S18" s="1">
        <v>0.7</v>
      </c>
      <c r="T18" s="1">
        <v>0.106</v>
      </c>
      <c r="U18" s="1">
        <v>9.9000000000000005E-2</v>
      </c>
      <c r="V18" s="1">
        <v>8.5000000000000006E-2</v>
      </c>
    </row>
    <row r="19" spans="1:22" ht="13" x14ac:dyDescent="0.3">
      <c r="A19" s="1" t="s">
        <v>17</v>
      </c>
      <c r="B19">
        <f t="shared" si="0"/>
        <v>3</v>
      </c>
      <c r="C19" s="1">
        <f t="shared" ca="1" si="1"/>
        <v>1.51</v>
      </c>
      <c r="D19" s="1">
        <f t="shared" ca="1" si="2"/>
        <v>0.37</v>
      </c>
      <c r="E19" s="1">
        <f t="shared" ca="1" si="3"/>
        <v>0.74</v>
      </c>
      <c r="F19" s="1">
        <f t="shared" ca="1" si="6"/>
        <v>1.1414285714285712</v>
      </c>
      <c r="G19" s="1">
        <f t="shared" ca="1" si="6"/>
        <v>0.74428571428571433</v>
      </c>
      <c r="H19" s="1">
        <f t="shared" ca="1" si="7"/>
        <v>1.0474999999999999</v>
      </c>
      <c r="I19" s="1">
        <f t="shared" ca="1" si="8"/>
        <v>1.1845333499999999E-4</v>
      </c>
      <c r="J19" s="1">
        <f t="shared" ca="1" si="9"/>
        <v>2</v>
      </c>
      <c r="K19" s="1">
        <f t="shared" ca="1" si="10"/>
        <v>3</v>
      </c>
      <c r="L19" s="1">
        <f t="shared" ca="1" si="5"/>
        <v>5</v>
      </c>
      <c r="N19" s="4" t="s">
        <v>27</v>
      </c>
      <c r="O19" s="5">
        <v>15</v>
      </c>
      <c r="P19" s="1">
        <v>0.77</v>
      </c>
      <c r="Q19" s="1">
        <v>0.75</v>
      </c>
      <c r="R19" s="1">
        <v>1.43</v>
      </c>
      <c r="S19" s="1">
        <v>0.12</v>
      </c>
      <c r="T19" s="1">
        <v>0.13900000000000001</v>
      </c>
      <c r="U19" s="1">
        <v>0.125</v>
      </c>
      <c r="V19" s="1">
        <v>0.106</v>
      </c>
    </row>
    <row r="20" spans="1:22" ht="13" x14ac:dyDescent="0.3">
      <c r="A20" s="1" t="s">
        <v>24</v>
      </c>
      <c r="B20">
        <f t="shared" si="0"/>
        <v>11</v>
      </c>
      <c r="C20" s="1">
        <f t="shared" ca="1" si="1"/>
        <v>0.67</v>
      </c>
      <c r="D20" s="1">
        <f t="shared" ca="1" si="2"/>
        <v>0.89</v>
      </c>
      <c r="E20" s="1">
        <f t="shared" ca="1" si="3"/>
        <v>0.98</v>
      </c>
      <c r="F20" s="1">
        <f t="shared" ca="1" si="6"/>
        <v>1.137142857142857</v>
      </c>
      <c r="G20" s="1">
        <f t="shared" ca="1" si="6"/>
        <v>0.79999999999999993</v>
      </c>
      <c r="H20" s="1">
        <f t="shared" ca="1" si="7"/>
        <v>0.84750000000000003</v>
      </c>
      <c r="I20" s="1">
        <f t="shared" ca="1" si="8"/>
        <v>3.6557400000000003E-5</v>
      </c>
      <c r="J20" s="1">
        <f t="shared" ca="1" si="9"/>
        <v>2</v>
      </c>
      <c r="K20" s="1">
        <f t="shared" ca="1" si="10"/>
        <v>3</v>
      </c>
      <c r="L20" s="1">
        <f t="shared" ca="1" si="5"/>
        <v>5</v>
      </c>
      <c r="N20" s="4" t="s">
        <v>28</v>
      </c>
      <c r="O20" s="5">
        <v>16</v>
      </c>
      <c r="P20" s="1">
        <v>0.83</v>
      </c>
      <c r="Q20" s="1">
        <v>1.19</v>
      </c>
      <c r="R20" s="1">
        <v>0.96</v>
      </c>
      <c r="S20" s="1">
        <v>8.5999999999999993E-2</v>
      </c>
      <c r="T20" s="1">
        <v>0.108</v>
      </c>
      <c r="U20" s="1">
        <v>6.5000000000000002E-2</v>
      </c>
      <c r="V20" s="1">
        <v>7.9000000000000001E-2</v>
      </c>
    </row>
    <row r="21" spans="1:22" ht="13" x14ac:dyDescent="0.3">
      <c r="A21" s="1" t="s">
        <v>13</v>
      </c>
      <c r="B21">
        <f t="shared" ref="B21:B36" si="11">LOOKUP(A21,$N$4:$N$23,$O$4:$O$23)</f>
        <v>0</v>
      </c>
      <c r="C21" s="1">
        <f t="shared" ref="C21:C36" ca="1" si="12">OFFSET($P$4,B21,0,1,1)</f>
        <v>1.42</v>
      </c>
      <c r="D21" s="1">
        <f t="shared" ref="D21:D36" ca="1" si="13">OFFSET($Q$4,$B21,0,1,1)</f>
        <v>0.83</v>
      </c>
      <c r="E21" s="1">
        <f t="shared" ref="E21:E36" ca="1" si="14">OFFSET($R$4,$B21,0,1,1)</f>
        <v>0.66</v>
      </c>
      <c r="F21" s="1">
        <f t="shared" ca="1" si="6"/>
        <v>1.1742857142857144</v>
      </c>
      <c r="G21" s="1">
        <f t="shared" ca="1" si="6"/>
        <v>0.81285714285714283</v>
      </c>
      <c r="H21" s="1">
        <f t="shared" ca="1" si="7"/>
        <v>0.74249999999999994</v>
      </c>
      <c r="I21" s="1">
        <f t="shared" ca="1" si="8"/>
        <v>1.1387600000000004E-5</v>
      </c>
      <c r="J21" s="1">
        <f t="shared" ca="1" si="9"/>
        <v>2</v>
      </c>
      <c r="K21" s="1">
        <f t="shared" ca="1" si="10"/>
        <v>3</v>
      </c>
      <c r="L21" s="1">
        <f t="shared" ca="1" si="5"/>
        <v>5</v>
      </c>
      <c r="N21" s="4" t="s">
        <v>29</v>
      </c>
      <c r="O21" s="5">
        <v>17</v>
      </c>
      <c r="P21" s="1">
        <v>0.7</v>
      </c>
      <c r="Q21" s="1">
        <v>1.7</v>
      </c>
      <c r="R21" s="1">
        <v>0.5</v>
      </c>
      <c r="S21" s="1">
        <v>6.2E-2</v>
      </c>
      <c r="T21" s="1">
        <v>4.8000000000000001E-2</v>
      </c>
      <c r="U21" s="1">
        <v>2.8000000000000001E-2</v>
      </c>
      <c r="V21" s="1">
        <v>5.2999999999999999E-2</v>
      </c>
    </row>
    <row r="22" spans="1:22" ht="13" x14ac:dyDescent="0.3">
      <c r="A22" s="1" t="s">
        <v>23</v>
      </c>
      <c r="B22">
        <f t="shared" si="11"/>
        <v>9</v>
      </c>
      <c r="C22" s="1">
        <f t="shared" ca="1" si="12"/>
        <v>1.21</v>
      </c>
      <c r="D22" s="1">
        <f t="shared" ca="1" si="13"/>
        <v>1.3</v>
      </c>
      <c r="E22" s="1">
        <f t="shared" ca="1" si="14"/>
        <v>0.59</v>
      </c>
      <c r="F22" s="1">
        <f t="shared" ca="1" si="6"/>
        <v>1.1742857142857142</v>
      </c>
      <c r="G22" s="1">
        <f t="shared" ca="1" si="6"/>
        <v>0.81285714285714294</v>
      </c>
      <c r="H22" s="1">
        <f t="shared" ca="1" si="7"/>
        <v>0.92249999999999999</v>
      </c>
      <c r="I22" s="1">
        <f t="shared" ca="1" si="8"/>
        <v>3.5680175999999999E-5</v>
      </c>
      <c r="J22" s="1">
        <f t="shared" ca="1" si="9"/>
        <v>2</v>
      </c>
      <c r="K22" s="1">
        <f t="shared" ca="1" si="10"/>
        <v>3</v>
      </c>
      <c r="L22" s="1">
        <f t="shared" ca="1" si="5"/>
        <v>5</v>
      </c>
      <c r="N22" s="4" t="s">
        <v>30</v>
      </c>
      <c r="O22" s="5">
        <v>18</v>
      </c>
      <c r="P22" s="1">
        <v>1.08</v>
      </c>
      <c r="Q22" s="1">
        <v>1.37</v>
      </c>
      <c r="R22" s="1">
        <v>0.96</v>
      </c>
      <c r="S22" s="1">
        <v>7.6999999999999999E-2</v>
      </c>
      <c r="T22" s="1">
        <v>1.2999999999999999E-2</v>
      </c>
      <c r="U22" s="1">
        <v>6.4000000000000001E-2</v>
      </c>
      <c r="V22" s="1">
        <v>0.16700000000000001</v>
      </c>
    </row>
    <row r="23" spans="1:22" ht="13" x14ac:dyDescent="0.3">
      <c r="A23" s="1" t="s">
        <v>14</v>
      </c>
      <c r="B23">
        <f t="shared" si="11"/>
        <v>2</v>
      </c>
      <c r="C23" s="1">
        <f t="shared" ca="1" si="12"/>
        <v>1.01</v>
      </c>
      <c r="D23" s="1">
        <f t="shared" ca="1" si="13"/>
        <v>0.54</v>
      </c>
      <c r="E23" s="1">
        <f t="shared" ca="1" si="14"/>
        <v>1.46</v>
      </c>
      <c r="F23" s="1">
        <f t="shared" ref="F23:G38" ca="1" si="15">AVERAGE(C21:C27)</f>
        <v>1.2371428571428569</v>
      </c>
      <c r="G23" s="1">
        <f t="shared" ca="1" si="15"/>
        <v>0.84285714285714286</v>
      </c>
      <c r="H23" s="1">
        <f t="shared" ref="H23:H38" ca="1" si="16">AVERAGE(E21:E24)</f>
        <v>0.91500000000000004</v>
      </c>
      <c r="I23" s="1">
        <f t="shared" ref="I23:I38" ca="1" si="17">PRODUCT(OFFSET($S$4,B21,0,1,1),OFFSET($S$4,B22,1,1,1),OFFSET($S$4,B23,2,1,1),OFFSET($S$4,B24,3,1,1))</f>
        <v>2.2822500000000004E-5</v>
      </c>
      <c r="J23" s="1">
        <f t="shared" ref="J23:J38" ca="1" si="18">IF(AND(F23&gt;G23,F23&gt;1.05)=TRUE,2,1)</f>
        <v>2</v>
      </c>
      <c r="K23" s="1">
        <f t="shared" ref="K23:K38" ca="1" si="19">IF(AND(G23&gt;1.05,G23&gt;F23)=TRUE,4,3)</f>
        <v>3</v>
      </c>
      <c r="L23" s="1">
        <f t="shared" ref="L23:L38" ca="1" si="20">IF(AND(H23&gt;F23,H23&gt;G23,H23&gt;1,I23&gt;0.000075)=TRUE,6,5)</f>
        <v>5</v>
      </c>
      <c r="N23" s="4" t="s">
        <v>31</v>
      </c>
      <c r="O23" s="5">
        <v>19</v>
      </c>
      <c r="P23" s="1">
        <v>0.69</v>
      </c>
      <c r="Q23" s="1">
        <v>1.47</v>
      </c>
      <c r="R23" s="1">
        <v>1.1399999999999999</v>
      </c>
      <c r="S23" s="1">
        <v>8.2000000000000003E-2</v>
      </c>
      <c r="T23" s="1">
        <v>6.5000000000000002E-2</v>
      </c>
      <c r="U23" s="1">
        <v>0.114</v>
      </c>
      <c r="V23" s="1">
        <v>0.125</v>
      </c>
    </row>
    <row r="24" spans="1:22" x14ac:dyDescent="0.2">
      <c r="A24" s="1" t="s">
        <v>26</v>
      </c>
      <c r="B24">
        <f t="shared" si="11"/>
        <v>14</v>
      </c>
      <c r="C24" s="1">
        <f t="shared" ca="1" si="12"/>
        <v>0.98</v>
      </c>
      <c r="D24" s="1">
        <f t="shared" ca="1" si="13"/>
        <v>0.93</v>
      </c>
      <c r="E24" s="1">
        <f t="shared" ca="1" si="14"/>
        <v>0.95</v>
      </c>
      <c r="F24" s="1">
        <f t="shared" ca="1" si="15"/>
        <v>1.2371428571428571</v>
      </c>
      <c r="G24" s="1">
        <f t="shared" ca="1" si="15"/>
        <v>0.84285714285714286</v>
      </c>
      <c r="H24" s="1">
        <f t="shared" ca="1" si="16"/>
        <v>0.91500000000000004</v>
      </c>
      <c r="I24" s="1">
        <f t="shared" ca="1" si="17"/>
        <v>3.8528820000000004E-5</v>
      </c>
      <c r="J24" s="1">
        <f t="shared" ca="1" si="18"/>
        <v>2</v>
      </c>
      <c r="K24" s="1">
        <f t="shared" ca="1" si="19"/>
        <v>3</v>
      </c>
      <c r="L24" s="1">
        <f t="shared" ca="1" si="20"/>
        <v>5</v>
      </c>
      <c r="P24" s="1"/>
      <c r="Q24" s="1"/>
      <c r="R24" s="1"/>
      <c r="S24" s="1"/>
    </row>
    <row r="25" spans="1:22" x14ac:dyDescent="0.2">
      <c r="A25" s="1" t="s">
        <v>13</v>
      </c>
      <c r="B25">
        <f t="shared" si="11"/>
        <v>0</v>
      </c>
      <c r="C25" s="1">
        <f t="shared" ca="1" si="12"/>
        <v>1.42</v>
      </c>
      <c r="D25" s="1">
        <f t="shared" ca="1" si="13"/>
        <v>0.83</v>
      </c>
      <c r="E25" s="1">
        <f t="shared" ca="1" si="14"/>
        <v>0.66</v>
      </c>
      <c r="F25" s="1">
        <f t="shared" ca="1" si="15"/>
        <v>1.28</v>
      </c>
      <c r="G25" s="1">
        <f t="shared" ca="1" si="15"/>
        <v>0.71000000000000008</v>
      </c>
      <c r="H25" s="1">
        <f t="shared" ca="1" si="16"/>
        <v>0.95250000000000012</v>
      </c>
      <c r="I25" s="1">
        <f t="shared" ca="1" si="17"/>
        <v>3.4903680000000001E-5</v>
      </c>
      <c r="J25" s="1">
        <f t="shared" ca="1" si="18"/>
        <v>2</v>
      </c>
      <c r="K25" s="1">
        <f t="shared" ca="1" si="19"/>
        <v>3</v>
      </c>
      <c r="L25" s="1">
        <f t="shared" ca="1" si="20"/>
        <v>5</v>
      </c>
      <c r="S25" s="1"/>
    </row>
    <row r="26" spans="1:22" x14ac:dyDescent="0.2">
      <c r="A26" s="1" t="s">
        <v>17</v>
      </c>
      <c r="B26">
        <f t="shared" si="11"/>
        <v>3</v>
      </c>
      <c r="C26" s="1">
        <f t="shared" ca="1" si="12"/>
        <v>1.51</v>
      </c>
      <c r="D26" s="1">
        <f t="shared" ca="1" si="13"/>
        <v>0.37</v>
      </c>
      <c r="E26" s="1">
        <f t="shared" ca="1" si="14"/>
        <v>0.74</v>
      </c>
      <c r="F26" s="1">
        <f t="shared" ca="1" si="15"/>
        <v>1.3385714285714287</v>
      </c>
      <c r="G26" s="1">
        <f t="shared" ca="1" si="15"/>
        <v>0.75142857142857145</v>
      </c>
      <c r="H26" s="1">
        <f t="shared" ca="1" si="16"/>
        <v>0.83249999999999991</v>
      </c>
      <c r="I26" s="1">
        <f t="shared" ca="1" si="17"/>
        <v>4.0144719999999999E-4</v>
      </c>
      <c r="J26" s="1">
        <f t="shared" ca="1" si="18"/>
        <v>2</v>
      </c>
      <c r="K26" s="1">
        <f t="shared" ca="1" si="19"/>
        <v>3</v>
      </c>
      <c r="L26" s="1">
        <f t="shared" ca="1" si="20"/>
        <v>5</v>
      </c>
      <c r="N26" s="1"/>
      <c r="O26" s="1"/>
      <c r="S26" s="1"/>
    </row>
    <row r="27" spans="1:22" x14ac:dyDescent="0.2">
      <c r="A27" s="1" t="s">
        <v>22</v>
      </c>
      <c r="B27">
        <f t="shared" si="11"/>
        <v>13</v>
      </c>
      <c r="C27" s="1">
        <f t="shared" ca="1" si="12"/>
        <v>1.1100000000000001</v>
      </c>
      <c r="D27" s="1">
        <f t="shared" ca="1" si="13"/>
        <v>1.1000000000000001</v>
      </c>
      <c r="E27" s="1">
        <f t="shared" ca="1" si="14"/>
        <v>0.98</v>
      </c>
      <c r="F27" s="1">
        <f t="shared" ca="1" si="15"/>
        <v>1.342857142857143</v>
      </c>
      <c r="G27" s="1">
        <f t="shared" ca="1" si="15"/>
        <v>0.69571428571428573</v>
      </c>
      <c r="H27" s="1">
        <f t="shared" ca="1" si="16"/>
        <v>0.76</v>
      </c>
      <c r="I27" s="1">
        <f t="shared" ca="1" si="17"/>
        <v>7.7255999999999994E-6</v>
      </c>
      <c r="J27" s="1">
        <f t="shared" ca="1" si="18"/>
        <v>2</v>
      </c>
      <c r="K27" s="1">
        <f t="shared" ca="1" si="19"/>
        <v>3</v>
      </c>
      <c r="L27" s="1">
        <f t="shared" ca="1" si="20"/>
        <v>5</v>
      </c>
      <c r="N27" s="1"/>
      <c r="O27" s="1"/>
      <c r="S27" s="1"/>
    </row>
    <row r="28" spans="1:22" x14ac:dyDescent="0.2">
      <c r="A28" s="1" t="s">
        <v>13</v>
      </c>
      <c r="B28">
        <f t="shared" si="11"/>
        <v>0</v>
      </c>
      <c r="C28" s="1">
        <f t="shared" ca="1" si="12"/>
        <v>1.42</v>
      </c>
      <c r="D28" s="1">
        <f t="shared" ca="1" si="13"/>
        <v>0.83</v>
      </c>
      <c r="E28" s="1">
        <f t="shared" ca="1" si="14"/>
        <v>0.66</v>
      </c>
      <c r="F28" s="1">
        <f t="shared" ca="1" si="15"/>
        <v>1.3057142857142856</v>
      </c>
      <c r="G28" s="1">
        <f t="shared" ca="1" si="15"/>
        <v>0.68285714285714305</v>
      </c>
      <c r="H28" s="1">
        <f t="shared" ca="1" si="16"/>
        <v>0.78</v>
      </c>
      <c r="I28" s="1">
        <f t="shared" ca="1" si="17"/>
        <v>1.2293120000000002E-5</v>
      </c>
      <c r="J28" s="1">
        <f t="shared" ca="1" si="18"/>
        <v>2</v>
      </c>
      <c r="K28" s="1">
        <f t="shared" ca="1" si="19"/>
        <v>3</v>
      </c>
      <c r="L28" s="1">
        <f t="shared" ca="1" si="20"/>
        <v>5</v>
      </c>
      <c r="N28" s="1"/>
      <c r="O28" s="1"/>
      <c r="S28" s="1"/>
    </row>
    <row r="29" spans="1:22" x14ac:dyDescent="0.2">
      <c r="A29" s="1" t="s">
        <v>17</v>
      </c>
      <c r="B29">
        <f t="shared" si="11"/>
        <v>3</v>
      </c>
      <c r="C29" s="1">
        <f t="shared" ca="1" si="12"/>
        <v>1.51</v>
      </c>
      <c r="D29" s="1">
        <f t="shared" ca="1" si="13"/>
        <v>0.37</v>
      </c>
      <c r="E29" s="1">
        <f t="shared" ca="1" si="14"/>
        <v>0.74</v>
      </c>
      <c r="F29" s="1">
        <f t="shared" ca="1" si="15"/>
        <v>1.2557142857142856</v>
      </c>
      <c r="G29" s="1">
        <f t="shared" ca="1" si="15"/>
        <v>0.73571428571428577</v>
      </c>
      <c r="H29" s="1">
        <f t="shared" ca="1" si="16"/>
        <v>0.76</v>
      </c>
      <c r="I29" s="1">
        <f t="shared" ca="1" si="17"/>
        <v>2.5116783999999999E-5</v>
      </c>
      <c r="J29" s="1">
        <f t="shared" ca="1" si="18"/>
        <v>2</v>
      </c>
      <c r="K29" s="1">
        <f t="shared" ca="1" si="19"/>
        <v>3</v>
      </c>
      <c r="L29" s="1">
        <f t="shared" ca="1" si="20"/>
        <v>5</v>
      </c>
      <c r="N29" s="1"/>
      <c r="O29" s="1"/>
      <c r="S29" s="1"/>
    </row>
    <row r="30" spans="1:22" x14ac:dyDescent="0.2">
      <c r="A30" s="1" t="s">
        <v>13</v>
      </c>
      <c r="B30">
        <f t="shared" si="11"/>
        <v>0</v>
      </c>
      <c r="C30" s="1">
        <f t="shared" ca="1" si="12"/>
        <v>1.42</v>
      </c>
      <c r="D30" s="1">
        <f t="shared" ca="1" si="13"/>
        <v>0.83</v>
      </c>
      <c r="E30" s="1">
        <f t="shared" ca="1" si="14"/>
        <v>0.66</v>
      </c>
      <c r="F30" s="1">
        <f t="shared" ca="1" si="15"/>
        <v>1.3</v>
      </c>
      <c r="G30" s="1">
        <f t="shared" ca="1" si="15"/>
        <v>0.69714285714285718</v>
      </c>
      <c r="H30" s="1">
        <f t="shared" ca="1" si="16"/>
        <v>0.88</v>
      </c>
      <c r="I30" s="1">
        <f t="shared" ca="1" si="17"/>
        <v>1.0206E-5</v>
      </c>
      <c r="J30" s="1">
        <f t="shared" ca="1" si="18"/>
        <v>2</v>
      </c>
      <c r="K30" s="1">
        <f t="shared" ca="1" si="19"/>
        <v>3</v>
      </c>
      <c r="L30" s="1">
        <f t="shared" ca="1" si="20"/>
        <v>5</v>
      </c>
      <c r="N30" s="1"/>
      <c r="O30" s="1"/>
      <c r="S30" s="1"/>
    </row>
    <row r="31" spans="1:22" x14ac:dyDescent="0.2">
      <c r="A31" s="1" t="s">
        <v>14</v>
      </c>
      <c r="B31">
        <f t="shared" si="11"/>
        <v>2</v>
      </c>
      <c r="C31" s="1">
        <f t="shared" ca="1" si="12"/>
        <v>1.01</v>
      </c>
      <c r="D31" s="1">
        <f t="shared" ca="1" si="13"/>
        <v>0.54</v>
      </c>
      <c r="E31" s="1">
        <f t="shared" ca="1" si="14"/>
        <v>1.46</v>
      </c>
      <c r="F31" s="1">
        <f t="shared" ca="1" si="15"/>
        <v>1.3</v>
      </c>
      <c r="G31" s="1">
        <f t="shared" ca="1" si="15"/>
        <v>0.69714285714285718</v>
      </c>
      <c r="H31" s="1">
        <f t="shared" ca="1" si="16"/>
        <v>0.96750000000000003</v>
      </c>
      <c r="I31" s="1">
        <f t="shared" ca="1" si="17"/>
        <v>7.2373279999999999E-5</v>
      </c>
      <c r="J31" s="1">
        <f t="shared" ca="1" si="18"/>
        <v>2</v>
      </c>
      <c r="K31" s="1">
        <f t="shared" ca="1" si="19"/>
        <v>3</v>
      </c>
      <c r="L31" s="1">
        <f t="shared" ca="1" si="20"/>
        <v>5</v>
      </c>
      <c r="N31" s="1"/>
      <c r="O31" s="1"/>
      <c r="S31" s="1"/>
    </row>
    <row r="32" spans="1:22" x14ac:dyDescent="0.2">
      <c r="A32" s="1" t="s">
        <v>18</v>
      </c>
      <c r="B32">
        <f t="shared" si="11"/>
        <v>8</v>
      </c>
      <c r="C32" s="1">
        <f t="shared" ca="1" si="12"/>
        <v>1.1599999999999999</v>
      </c>
      <c r="D32" s="1">
        <f t="shared" ca="1" si="13"/>
        <v>0.74</v>
      </c>
      <c r="E32" s="1">
        <f t="shared" ca="1" si="14"/>
        <v>1.01</v>
      </c>
      <c r="F32" s="1">
        <f t="shared" ca="1" si="15"/>
        <v>1.3</v>
      </c>
      <c r="G32" s="1">
        <f t="shared" ca="1" si="15"/>
        <v>0.69714285714285729</v>
      </c>
      <c r="H32" s="1">
        <f t="shared" ca="1" si="16"/>
        <v>1.0349999999999999</v>
      </c>
      <c r="I32" s="1">
        <f t="shared" ca="1" si="17"/>
        <v>4.5143999999999993E-5</v>
      </c>
      <c r="J32" s="1">
        <f t="shared" ca="1" si="18"/>
        <v>2</v>
      </c>
      <c r="K32" s="1">
        <f t="shared" ca="1" si="19"/>
        <v>3</v>
      </c>
      <c r="L32" s="1">
        <f t="shared" ca="1" si="20"/>
        <v>5</v>
      </c>
      <c r="N32" s="1"/>
      <c r="O32" s="1"/>
      <c r="S32" s="1"/>
    </row>
    <row r="33" spans="1:19" x14ac:dyDescent="0.2">
      <c r="A33" s="1" t="s">
        <v>18</v>
      </c>
      <c r="B33">
        <f t="shared" si="11"/>
        <v>8</v>
      </c>
      <c r="C33" s="1">
        <f t="shared" ca="1" si="12"/>
        <v>1.1599999999999999</v>
      </c>
      <c r="D33" s="1">
        <f t="shared" ca="1" si="13"/>
        <v>0.74</v>
      </c>
      <c r="E33" s="1">
        <f t="shared" ca="1" si="14"/>
        <v>1.01</v>
      </c>
      <c r="F33" s="1">
        <f t="shared" ca="1" si="15"/>
        <v>1.2414285714285713</v>
      </c>
      <c r="G33" s="1">
        <f t="shared" ca="1" si="15"/>
        <v>0.65571428571428569</v>
      </c>
      <c r="H33" s="1">
        <f t="shared" ca="1" si="16"/>
        <v>1.0349999999999999</v>
      </c>
      <c r="I33" s="1">
        <f t="shared" ca="1" si="17"/>
        <v>7.0595280000000004E-5</v>
      </c>
      <c r="J33" s="1">
        <f t="shared" ca="1" si="18"/>
        <v>2</v>
      </c>
      <c r="K33" s="1">
        <f t="shared" ca="1" si="19"/>
        <v>3</v>
      </c>
      <c r="L33" s="1">
        <f t="shared" ca="1" si="20"/>
        <v>5</v>
      </c>
      <c r="N33" s="1"/>
      <c r="O33" s="1"/>
      <c r="S33" s="1"/>
    </row>
    <row r="34" spans="1:19" x14ac:dyDescent="0.2">
      <c r="A34" s="1" t="s">
        <v>13</v>
      </c>
      <c r="B34">
        <f t="shared" si="11"/>
        <v>0</v>
      </c>
      <c r="C34" s="1">
        <f t="shared" ca="1" si="12"/>
        <v>1.42</v>
      </c>
      <c r="D34" s="1">
        <f t="shared" ca="1" si="13"/>
        <v>0.83</v>
      </c>
      <c r="E34" s="1">
        <f t="shared" ca="1" si="14"/>
        <v>0.66</v>
      </c>
      <c r="F34" s="1">
        <f t="shared" ca="1" si="15"/>
        <v>1.2371428571428571</v>
      </c>
      <c r="G34" s="1">
        <f t="shared" ca="1" si="15"/>
        <v>0.71142857142857152</v>
      </c>
      <c r="H34" s="1">
        <f t="shared" ca="1" si="16"/>
        <v>0.83500000000000008</v>
      </c>
      <c r="I34" s="1">
        <f t="shared" ca="1" si="17"/>
        <v>1.2839750000000002E-5</v>
      </c>
      <c r="J34" s="1">
        <f t="shared" ca="1" si="18"/>
        <v>2</v>
      </c>
      <c r="K34" s="1">
        <f t="shared" ca="1" si="19"/>
        <v>3</v>
      </c>
      <c r="L34" s="1">
        <f t="shared" ca="1" si="20"/>
        <v>5</v>
      </c>
      <c r="N34" s="1"/>
      <c r="O34" s="1"/>
      <c r="S34" s="1"/>
    </row>
    <row r="35" spans="1:19" x14ac:dyDescent="0.2">
      <c r="A35" s="1" t="s">
        <v>13</v>
      </c>
      <c r="B35">
        <f t="shared" si="11"/>
        <v>0</v>
      </c>
      <c r="C35" s="1">
        <f t="shared" ca="1" si="12"/>
        <v>1.42</v>
      </c>
      <c r="D35" s="1">
        <f t="shared" ca="1" si="13"/>
        <v>0.83</v>
      </c>
      <c r="E35" s="1">
        <f t="shared" ca="1" si="14"/>
        <v>0.66</v>
      </c>
      <c r="F35" s="1">
        <f t="shared" ca="1" si="15"/>
        <v>1.1814285714285713</v>
      </c>
      <c r="G35" s="1">
        <f t="shared" ca="1" si="15"/>
        <v>0.71285714285714286</v>
      </c>
      <c r="H35" s="1">
        <f t="shared" ca="1" si="16"/>
        <v>0.76750000000000007</v>
      </c>
      <c r="I35" s="1">
        <f t="shared" ca="1" si="17"/>
        <v>9.3632000000000004E-6</v>
      </c>
      <c r="J35" s="1">
        <f t="shared" ca="1" si="18"/>
        <v>2</v>
      </c>
      <c r="K35" s="1">
        <f t="shared" ca="1" si="19"/>
        <v>3</v>
      </c>
      <c r="L35" s="1">
        <f t="shared" ca="1" si="20"/>
        <v>5</v>
      </c>
      <c r="N35" s="1"/>
      <c r="O35" s="1"/>
      <c r="S35" s="1"/>
    </row>
    <row r="36" spans="1:19" x14ac:dyDescent="0.2">
      <c r="A36" s="1" t="s">
        <v>17</v>
      </c>
      <c r="B36">
        <f t="shared" si="11"/>
        <v>3</v>
      </c>
      <c r="C36" s="1">
        <f t="shared" ca="1" si="12"/>
        <v>1.51</v>
      </c>
      <c r="D36" s="1">
        <f t="shared" ca="1" si="13"/>
        <v>0.37</v>
      </c>
      <c r="E36" s="1">
        <f t="shared" ca="1" si="14"/>
        <v>0.74</v>
      </c>
      <c r="F36" s="1">
        <f t="shared" ca="1" si="15"/>
        <v>1.1814285714285713</v>
      </c>
      <c r="G36" s="1">
        <f t="shared" ca="1" si="15"/>
        <v>0.71285714285714286</v>
      </c>
      <c r="H36" s="1">
        <f t="shared" ca="1" si="16"/>
        <v>0.88</v>
      </c>
      <c r="I36" s="1">
        <f t="shared" ca="1" si="17"/>
        <v>2.8440719999999998E-5</v>
      </c>
      <c r="J36" s="1">
        <f t="shared" ca="1" si="18"/>
        <v>2</v>
      </c>
      <c r="K36" s="1">
        <f t="shared" ca="1" si="19"/>
        <v>3</v>
      </c>
      <c r="L36" s="1">
        <f t="shared" ca="1" si="20"/>
        <v>5</v>
      </c>
      <c r="N36" s="1"/>
      <c r="O36" s="1"/>
      <c r="S36" s="1"/>
    </row>
    <row r="37" spans="1:19" x14ac:dyDescent="0.2">
      <c r="A37" s="1" t="s">
        <v>14</v>
      </c>
      <c r="B37">
        <f t="shared" ref="B37:B52" si="21">LOOKUP(A37,$N$4:$N$23,$O$4:$O$23)</f>
        <v>2</v>
      </c>
      <c r="C37" s="1">
        <f t="shared" ref="C37:C52" ca="1" si="22">OFFSET($P$4,B37,0,1,1)</f>
        <v>1.01</v>
      </c>
      <c r="D37" s="1">
        <f t="shared" ref="D37:D52" ca="1" si="23">OFFSET($Q$4,$B37,0,1,1)</f>
        <v>0.54</v>
      </c>
      <c r="E37" s="1">
        <f t="shared" ref="E37:E52" ca="1" si="24">OFFSET($R$4,$B37,0,1,1)</f>
        <v>1.46</v>
      </c>
      <c r="F37" s="1">
        <f t="shared" ca="1" si="15"/>
        <v>1.1371428571428572</v>
      </c>
      <c r="G37" s="1">
        <f t="shared" ca="1" si="15"/>
        <v>0.75142857142857145</v>
      </c>
      <c r="H37" s="1">
        <f t="shared" ca="1" si="16"/>
        <v>0.9524999999999999</v>
      </c>
      <c r="I37" s="1">
        <f t="shared" ca="1" si="17"/>
        <v>5.4774000000000001E-5</v>
      </c>
      <c r="J37" s="1">
        <f t="shared" ca="1" si="18"/>
        <v>2</v>
      </c>
      <c r="K37" s="1">
        <f t="shared" ca="1" si="19"/>
        <v>3</v>
      </c>
      <c r="L37" s="1">
        <f t="shared" ca="1" si="20"/>
        <v>5</v>
      </c>
      <c r="N37" s="1"/>
      <c r="O37" s="1"/>
      <c r="S37" s="1"/>
    </row>
    <row r="38" spans="1:19" x14ac:dyDescent="0.2">
      <c r="A38" s="1" t="s">
        <v>26</v>
      </c>
      <c r="B38">
        <f t="shared" si="21"/>
        <v>14</v>
      </c>
      <c r="C38" s="1">
        <f t="shared" ca="1" si="22"/>
        <v>0.98</v>
      </c>
      <c r="D38" s="1">
        <f t="shared" ca="1" si="23"/>
        <v>0.93</v>
      </c>
      <c r="E38" s="1">
        <f t="shared" ca="1" si="24"/>
        <v>0.95</v>
      </c>
      <c r="F38" s="1">
        <f t="shared" ca="1" si="15"/>
        <v>1.1071428571428572</v>
      </c>
      <c r="G38" s="1">
        <f t="shared" ca="1" si="15"/>
        <v>0.81857142857142851</v>
      </c>
      <c r="H38" s="1">
        <f t="shared" ca="1" si="16"/>
        <v>1.145</v>
      </c>
      <c r="I38" s="1">
        <f t="shared" ca="1" si="17"/>
        <v>6.464304E-5</v>
      </c>
      <c r="J38" s="1">
        <f t="shared" ca="1" si="18"/>
        <v>2</v>
      </c>
      <c r="K38" s="1">
        <f t="shared" ca="1" si="19"/>
        <v>3</v>
      </c>
      <c r="L38" s="1">
        <f t="shared" ca="1" si="20"/>
        <v>5</v>
      </c>
      <c r="N38" s="1"/>
      <c r="O38" s="1"/>
      <c r="S38" s="1"/>
    </row>
    <row r="39" spans="1:19" x14ac:dyDescent="0.2">
      <c r="A39" s="1" t="s">
        <v>27</v>
      </c>
      <c r="B39">
        <f t="shared" si="21"/>
        <v>15</v>
      </c>
      <c r="C39" s="1">
        <f t="shared" ca="1" si="22"/>
        <v>0.77</v>
      </c>
      <c r="D39" s="1">
        <f t="shared" ca="1" si="23"/>
        <v>0.75</v>
      </c>
      <c r="E39" s="1">
        <f t="shared" ca="1" si="24"/>
        <v>1.43</v>
      </c>
      <c r="F39" s="1">
        <f t="shared" ref="F39:G54" ca="1" si="25">AVERAGE(C37:C43)</f>
        <v>1.1071428571428572</v>
      </c>
      <c r="G39" s="1">
        <f t="shared" ca="1" si="25"/>
        <v>0.81857142857142862</v>
      </c>
      <c r="H39" s="1">
        <f t="shared" ref="H39:H54" ca="1" si="26">AVERAGE(E37:E40)</f>
        <v>1.2124999999999999</v>
      </c>
      <c r="I39" s="1">
        <f t="shared" ref="I39:I54" ca="1" si="27">PRODUCT(OFFSET($S$4,B37,0,1,1),OFFSET($S$4,B38,1,1,1),OFFSET($S$4,B39,2,1,1),OFFSET($S$4,B40,3,1,1))</f>
        <v>1.8503625E-4</v>
      </c>
      <c r="J39" s="1">
        <f t="shared" ref="J39:J54" ca="1" si="28">IF(AND(F39&gt;G39,F39&gt;1.05)=TRUE,2,1)</f>
        <v>2</v>
      </c>
      <c r="K39" s="1">
        <f t="shared" ref="K39:K54" ca="1" si="29">IF(AND(G39&gt;1.05,G39&gt;F39)=TRUE,4,3)</f>
        <v>3</v>
      </c>
      <c r="L39" s="1">
        <f t="shared" ref="L39:L54" ca="1" si="30">IF(AND(H39&gt;F39,H39&gt;G39,H39&gt;1,I39&gt;0.000075)=TRUE,6,5)</f>
        <v>6</v>
      </c>
      <c r="N39" s="1"/>
      <c r="O39" s="1"/>
      <c r="S39" s="1"/>
    </row>
    <row r="40" spans="1:19" x14ac:dyDescent="0.2">
      <c r="A40" s="1" t="s">
        <v>18</v>
      </c>
      <c r="B40">
        <f t="shared" si="21"/>
        <v>8</v>
      </c>
      <c r="C40" s="1">
        <f t="shared" ca="1" si="22"/>
        <v>1.1599999999999999</v>
      </c>
      <c r="D40" s="1">
        <f t="shared" ca="1" si="23"/>
        <v>0.74</v>
      </c>
      <c r="E40" s="1">
        <f t="shared" ca="1" si="24"/>
        <v>1.01</v>
      </c>
      <c r="F40" s="1">
        <f t="shared" ca="1" si="25"/>
        <v>1.1071428571428572</v>
      </c>
      <c r="G40" s="1">
        <f t="shared" ca="1" si="25"/>
        <v>0.81857142857142862</v>
      </c>
      <c r="H40" s="1">
        <f t="shared" ca="1" si="26"/>
        <v>1.0924999999999998</v>
      </c>
      <c r="I40" s="1">
        <f t="shared" ca="1" si="27"/>
        <v>6.8654879999999988E-4</v>
      </c>
      <c r="J40" s="1">
        <f t="shared" ca="1" si="28"/>
        <v>2</v>
      </c>
      <c r="K40" s="1">
        <f t="shared" ca="1" si="29"/>
        <v>3</v>
      </c>
      <c r="L40" s="1">
        <f t="shared" ca="1" si="30"/>
        <v>5</v>
      </c>
      <c r="N40" s="1"/>
      <c r="O40" s="1"/>
      <c r="S40" s="1"/>
    </row>
    <row r="41" spans="1:19" x14ac:dyDescent="0.2">
      <c r="A41" s="1" t="s">
        <v>22</v>
      </c>
      <c r="B41">
        <f t="shared" si="21"/>
        <v>13</v>
      </c>
      <c r="C41" s="1">
        <f t="shared" ca="1" si="22"/>
        <v>1.1100000000000001</v>
      </c>
      <c r="D41" s="1">
        <f t="shared" ca="1" si="23"/>
        <v>1.1000000000000001</v>
      </c>
      <c r="E41" s="1">
        <f t="shared" ca="1" si="24"/>
        <v>0.98</v>
      </c>
      <c r="F41" s="1">
        <f t="shared" ca="1" si="25"/>
        <v>1.1828571428571428</v>
      </c>
      <c r="G41" s="1">
        <f t="shared" ca="1" si="25"/>
        <v>0.73857142857142855</v>
      </c>
      <c r="H41" s="1">
        <f t="shared" ca="1" si="26"/>
        <v>1.0024999999999999</v>
      </c>
      <c r="I41" s="1">
        <f t="shared" ca="1" si="27"/>
        <v>3.5741999999999998E-5</v>
      </c>
      <c r="J41" s="1">
        <f t="shared" ca="1" si="28"/>
        <v>2</v>
      </c>
      <c r="K41" s="1">
        <f t="shared" ca="1" si="29"/>
        <v>3</v>
      </c>
      <c r="L41" s="1">
        <f t="shared" ca="1" si="30"/>
        <v>5</v>
      </c>
      <c r="N41" s="1"/>
      <c r="O41" s="1"/>
      <c r="S41" s="1"/>
    </row>
    <row r="42" spans="1:19" x14ac:dyDescent="0.2">
      <c r="A42" s="1" t="s">
        <v>23</v>
      </c>
      <c r="B42">
        <f t="shared" si="21"/>
        <v>9</v>
      </c>
      <c r="C42" s="1">
        <f t="shared" ca="1" si="22"/>
        <v>1.21</v>
      </c>
      <c r="D42" s="1">
        <f t="shared" ca="1" si="23"/>
        <v>1.3</v>
      </c>
      <c r="E42" s="1">
        <f t="shared" ca="1" si="24"/>
        <v>0.59</v>
      </c>
      <c r="F42" s="1">
        <f t="shared" ca="1" si="25"/>
        <v>1.2457142857142856</v>
      </c>
      <c r="G42" s="1">
        <f t="shared" ca="1" si="25"/>
        <v>0.81714285714285728</v>
      </c>
      <c r="H42" s="1">
        <f t="shared" ca="1" si="26"/>
        <v>0.83000000000000007</v>
      </c>
      <c r="I42" s="1">
        <f t="shared" ca="1" si="27"/>
        <v>1.2418559999999999E-5</v>
      </c>
      <c r="J42" s="1">
        <f t="shared" ca="1" si="28"/>
        <v>2</v>
      </c>
      <c r="K42" s="1">
        <f t="shared" ca="1" si="29"/>
        <v>3</v>
      </c>
      <c r="L42" s="1">
        <f t="shared" ca="1" si="30"/>
        <v>5</v>
      </c>
      <c r="N42" s="1"/>
      <c r="O42" s="1"/>
      <c r="S42" s="1"/>
    </row>
    <row r="43" spans="1:19" x14ac:dyDescent="0.2">
      <c r="A43" s="1" t="s">
        <v>17</v>
      </c>
      <c r="B43">
        <f t="shared" si="21"/>
        <v>3</v>
      </c>
      <c r="C43" s="1">
        <f t="shared" ca="1" si="22"/>
        <v>1.51</v>
      </c>
      <c r="D43" s="1">
        <f t="shared" ca="1" si="23"/>
        <v>0.37</v>
      </c>
      <c r="E43" s="1">
        <f t="shared" ca="1" si="24"/>
        <v>0.74</v>
      </c>
      <c r="F43" s="1">
        <f t="shared" ca="1" si="25"/>
        <v>1.18</v>
      </c>
      <c r="G43" s="1">
        <f t="shared" ca="1" si="25"/>
        <v>0.9542857142857144</v>
      </c>
      <c r="H43" s="1">
        <f t="shared" ca="1" si="26"/>
        <v>0.94249999999999989</v>
      </c>
      <c r="I43" s="1">
        <f t="shared" ca="1" si="27"/>
        <v>1.153845E-5</v>
      </c>
      <c r="J43" s="1">
        <f t="shared" ca="1" si="28"/>
        <v>2</v>
      </c>
      <c r="K43" s="1">
        <f t="shared" ca="1" si="29"/>
        <v>3</v>
      </c>
      <c r="L43" s="1">
        <f t="shared" ca="1" si="30"/>
        <v>5</v>
      </c>
      <c r="N43" s="1"/>
      <c r="O43" s="1"/>
      <c r="S43" s="1"/>
    </row>
    <row r="44" spans="1:19" x14ac:dyDescent="0.2">
      <c r="A44" s="1" t="s">
        <v>14</v>
      </c>
      <c r="B44">
        <f t="shared" si="21"/>
        <v>2</v>
      </c>
      <c r="C44" s="1">
        <f t="shared" ca="1" si="22"/>
        <v>1.01</v>
      </c>
      <c r="D44" s="1">
        <f t="shared" ca="1" si="23"/>
        <v>0.54</v>
      </c>
      <c r="E44" s="1">
        <f t="shared" ca="1" si="24"/>
        <v>1.46</v>
      </c>
      <c r="F44" s="1">
        <f t="shared" ca="1" si="25"/>
        <v>1.1314285714285715</v>
      </c>
      <c r="G44" s="1">
        <f t="shared" ca="1" si="25"/>
        <v>0.90428571428571425</v>
      </c>
      <c r="H44" s="1">
        <f t="shared" ca="1" si="26"/>
        <v>0.88250000000000006</v>
      </c>
      <c r="I44" s="1">
        <f t="shared" ca="1" si="27"/>
        <v>4.1928959999999995E-5</v>
      </c>
      <c r="J44" s="1">
        <f t="shared" ca="1" si="28"/>
        <v>2</v>
      </c>
      <c r="K44" s="1">
        <f t="shared" ca="1" si="29"/>
        <v>3</v>
      </c>
      <c r="L44" s="1">
        <f t="shared" ca="1" si="30"/>
        <v>5</v>
      </c>
      <c r="N44" s="1"/>
      <c r="O44" s="1"/>
      <c r="S44" s="1"/>
    </row>
    <row r="45" spans="1:19" x14ac:dyDescent="0.2">
      <c r="A45" s="1" t="s">
        <v>17</v>
      </c>
      <c r="B45">
        <f t="shared" si="21"/>
        <v>3</v>
      </c>
      <c r="C45" s="1">
        <f t="shared" ca="1" si="22"/>
        <v>1.51</v>
      </c>
      <c r="D45" s="1">
        <f t="shared" ca="1" si="23"/>
        <v>0.37</v>
      </c>
      <c r="E45" s="1">
        <f t="shared" ca="1" si="24"/>
        <v>0.74</v>
      </c>
      <c r="F45" s="1">
        <f t="shared" ca="1" si="25"/>
        <v>1.1314285714285715</v>
      </c>
      <c r="G45" s="1">
        <f t="shared" ca="1" si="25"/>
        <v>0.90428571428571425</v>
      </c>
      <c r="H45" s="1">
        <f t="shared" ca="1" si="26"/>
        <v>0.88250000000000006</v>
      </c>
      <c r="I45" s="1">
        <f t="shared" ca="1" si="27"/>
        <v>3.3202400000000006E-5</v>
      </c>
      <c r="J45" s="1">
        <f t="shared" ca="1" si="28"/>
        <v>2</v>
      </c>
      <c r="K45" s="1">
        <f t="shared" ca="1" si="29"/>
        <v>3</v>
      </c>
      <c r="L45" s="1">
        <f t="shared" ca="1" si="30"/>
        <v>5</v>
      </c>
      <c r="N45" s="1"/>
      <c r="O45" s="1"/>
      <c r="P45" s="1"/>
      <c r="Q45" s="1"/>
      <c r="R45" s="1"/>
      <c r="S45" s="1"/>
    </row>
    <row r="46" spans="1:19" x14ac:dyDescent="0.2">
      <c r="A46" s="1" t="s">
        <v>23</v>
      </c>
      <c r="B46">
        <f t="shared" si="21"/>
        <v>9</v>
      </c>
      <c r="C46" s="1">
        <f t="shared" ca="1" si="22"/>
        <v>1.21</v>
      </c>
      <c r="D46" s="1">
        <f t="shared" ca="1" si="23"/>
        <v>1.3</v>
      </c>
      <c r="E46" s="1">
        <f t="shared" ca="1" si="24"/>
        <v>0.59</v>
      </c>
      <c r="F46" s="1">
        <f t="shared" ca="1" si="25"/>
        <v>1.0742857142857143</v>
      </c>
      <c r="G46" s="1">
        <f t="shared" ca="1" si="25"/>
        <v>1.0085714285714287</v>
      </c>
      <c r="H46" s="1">
        <f t="shared" ca="1" si="26"/>
        <v>0.82250000000000001</v>
      </c>
      <c r="I46" s="1">
        <f t="shared" ca="1" si="27"/>
        <v>1.6828559999999997E-5</v>
      </c>
      <c r="J46" s="1">
        <f t="shared" ca="1" si="28"/>
        <v>2</v>
      </c>
      <c r="K46" s="1">
        <f t="shared" ca="1" si="29"/>
        <v>3</v>
      </c>
      <c r="L46" s="1">
        <f t="shared" ca="1" si="30"/>
        <v>5</v>
      </c>
      <c r="N46" s="1"/>
      <c r="O46" s="1"/>
      <c r="P46" s="1"/>
      <c r="Q46" s="1"/>
      <c r="R46" s="1"/>
      <c r="S46" s="1"/>
    </row>
    <row r="47" spans="1:19" x14ac:dyDescent="0.2">
      <c r="A47" s="1" t="s">
        <v>29</v>
      </c>
      <c r="B47">
        <f t="shared" si="21"/>
        <v>17</v>
      </c>
      <c r="C47" s="1">
        <f t="shared" ca="1" si="22"/>
        <v>0.7</v>
      </c>
      <c r="D47" s="1">
        <f t="shared" ca="1" si="23"/>
        <v>1.7</v>
      </c>
      <c r="E47" s="1">
        <f t="shared" ca="1" si="24"/>
        <v>0.5</v>
      </c>
      <c r="F47" s="1">
        <f t="shared" ca="1" si="25"/>
        <v>1.0957142857142856</v>
      </c>
      <c r="G47" s="1">
        <f t="shared" ca="1" si="25"/>
        <v>1.0371428571428571</v>
      </c>
      <c r="H47" s="1">
        <f t="shared" ca="1" si="26"/>
        <v>0.81499999999999995</v>
      </c>
      <c r="I47" s="1">
        <f t="shared" ca="1" si="27"/>
        <v>4.1552000000000005E-6</v>
      </c>
      <c r="J47" s="1">
        <f t="shared" ca="1" si="28"/>
        <v>2</v>
      </c>
      <c r="K47" s="1">
        <f t="shared" ca="1" si="29"/>
        <v>3</v>
      </c>
      <c r="L47" s="1">
        <f t="shared" ca="1" si="30"/>
        <v>5</v>
      </c>
      <c r="N47" s="1"/>
      <c r="O47" s="1"/>
      <c r="P47" s="1"/>
      <c r="Q47" s="1"/>
      <c r="R47" s="1"/>
      <c r="S47" s="1"/>
    </row>
    <row r="48" spans="1:19" x14ac:dyDescent="0.2">
      <c r="A48" s="1" t="s">
        <v>27</v>
      </c>
      <c r="B48">
        <f t="shared" si="21"/>
        <v>15</v>
      </c>
      <c r="C48" s="1">
        <f t="shared" ca="1" si="22"/>
        <v>0.77</v>
      </c>
      <c r="D48" s="1">
        <f t="shared" ca="1" si="23"/>
        <v>0.75</v>
      </c>
      <c r="E48" s="1">
        <f t="shared" ca="1" si="24"/>
        <v>1.43</v>
      </c>
      <c r="F48" s="1">
        <f t="shared" ca="1" si="25"/>
        <v>1.0457142857142858</v>
      </c>
      <c r="G48" s="1">
        <f t="shared" ca="1" si="25"/>
        <v>1.0900000000000001</v>
      </c>
      <c r="H48" s="1">
        <f t="shared" ca="1" si="26"/>
        <v>0.77749999999999986</v>
      </c>
      <c r="I48" s="1">
        <f t="shared" ca="1" si="27"/>
        <v>2.5620000000000002E-5</v>
      </c>
      <c r="J48" s="1">
        <f t="shared" ca="1" si="28"/>
        <v>1</v>
      </c>
      <c r="K48" s="1">
        <f t="shared" ca="1" si="29"/>
        <v>4</v>
      </c>
      <c r="L48" s="1">
        <f t="shared" ca="1" si="30"/>
        <v>5</v>
      </c>
      <c r="N48" s="1"/>
      <c r="O48" s="1"/>
      <c r="P48" s="1"/>
      <c r="Q48" s="1"/>
      <c r="R48" s="1"/>
      <c r="S48" s="1"/>
    </row>
    <row r="49" spans="1:19" x14ac:dyDescent="0.2">
      <c r="A49" s="1" t="s">
        <v>23</v>
      </c>
      <c r="B49">
        <f t="shared" si="21"/>
        <v>9</v>
      </c>
      <c r="C49" s="1">
        <f t="shared" ca="1" si="22"/>
        <v>1.21</v>
      </c>
      <c r="D49" s="1">
        <f t="shared" ca="1" si="23"/>
        <v>1.3</v>
      </c>
      <c r="E49" s="1">
        <f t="shared" ca="1" si="24"/>
        <v>0.59</v>
      </c>
      <c r="F49" s="1">
        <f t="shared" ca="1" si="25"/>
        <v>1.0457142857142858</v>
      </c>
      <c r="G49" s="1">
        <f t="shared" ca="1" si="25"/>
        <v>1.0900000000000001</v>
      </c>
      <c r="H49" s="1">
        <f t="shared" ca="1" si="26"/>
        <v>0.875</v>
      </c>
      <c r="I49" s="1">
        <f t="shared" ca="1" si="27"/>
        <v>3.0404304000000001E-5</v>
      </c>
      <c r="J49" s="1">
        <f t="shared" ca="1" si="28"/>
        <v>1</v>
      </c>
      <c r="K49" s="1">
        <f t="shared" ca="1" si="29"/>
        <v>4</v>
      </c>
      <c r="L49" s="1">
        <f t="shared" ca="1" si="30"/>
        <v>5</v>
      </c>
      <c r="N49" s="1"/>
      <c r="O49" s="1"/>
      <c r="P49" s="1"/>
      <c r="Q49" s="1"/>
      <c r="R49" s="1"/>
      <c r="S49" s="1"/>
    </row>
    <row r="50" spans="1:19" x14ac:dyDescent="0.2">
      <c r="A50" s="1" t="s">
        <v>22</v>
      </c>
      <c r="B50">
        <f t="shared" si="21"/>
        <v>13</v>
      </c>
      <c r="C50" s="1">
        <f t="shared" ca="1" si="22"/>
        <v>1.1100000000000001</v>
      </c>
      <c r="D50" s="1">
        <f t="shared" ca="1" si="23"/>
        <v>1.1000000000000001</v>
      </c>
      <c r="E50" s="1">
        <f t="shared" ca="1" si="24"/>
        <v>0.98</v>
      </c>
      <c r="F50" s="1">
        <f t="shared" ca="1" si="25"/>
        <v>1.1114285714285714</v>
      </c>
      <c r="G50" s="1">
        <f t="shared" ca="1" si="25"/>
        <v>0.95285714285714285</v>
      </c>
      <c r="H50" s="1">
        <f t="shared" ca="1" si="26"/>
        <v>1.0024999999999999</v>
      </c>
      <c r="I50" s="1">
        <f t="shared" ca="1" si="27"/>
        <v>1.0545E-5</v>
      </c>
      <c r="J50" s="1">
        <f t="shared" ca="1" si="28"/>
        <v>2</v>
      </c>
      <c r="K50" s="1">
        <f t="shared" ca="1" si="29"/>
        <v>3</v>
      </c>
      <c r="L50" s="1">
        <f t="shared" ca="1" si="30"/>
        <v>5</v>
      </c>
      <c r="N50" s="1"/>
      <c r="O50" s="1"/>
      <c r="P50" s="1"/>
      <c r="Q50" s="1"/>
      <c r="R50" s="1"/>
      <c r="S50" s="1"/>
    </row>
    <row r="51" spans="1:19" x14ac:dyDescent="0.2">
      <c r="A51" s="1" t="s">
        <v>18</v>
      </c>
      <c r="B51">
        <f t="shared" si="21"/>
        <v>8</v>
      </c>
      <c r="C51" s="1">
        <f t="shared" ca="1" si="22"/>
        <v>1.1599999999999999</v>
      </c>
      <c r="D51" s="1">
        <f t="shared" ca="1" si="23"/>
        <v>0.74</v>
      </c>
      <c r="E51" s="1">
        <f t="shared" ca="1" si="24"/>
        <v>1.01</v>
      </c>
      <c r="F51" s="1">
        <f t="shared" ca="1" si="25"/>
        <v>1.082857142857143</v>
      </c>
      <c r="G51" s="1">
        <f t="shared" ca="1" si="25"/>
        <v>0.95285714285714296</v>
      </c>
      <c r="H51" s="1">
        <f t="shared" ca="1" si="26"/>
        <v>0.89749999999999996</v>
      </c>
      <c r="I51" s="1">
        <f t="shared" ca="1" si="27"/>
        <v>4.0889519999999997E-5</v>
      </c>
      <c r="J51" s="1">
        <f t="shared" ca="1" si="28"/>
        <v>2</v>
      </c>
      <c r="K51" s="1">
        <f t="shared" ca="1" si="29"/>
        <v>3</v>
      </c>
      <c r="L51" s="1">
        <f t="shared" ca="1" si="30"/>
        <v>5</v>
      </c>
      <c r="N51" s="1"/>
      <c r="O51" s="1"/>
      <c r="P51" s="1"/>
      <c r="Q51" s="1"/>
      <c r="R51" s="1"/>
      <c r="S51" s="1"/>
    </row>
    <row r="52" spans="1:19" x14ac:dyDescent="0.2">
      <c r="A52" s="1" t="s">
        <v>18</v>
      </c>
      <c r="B52">
        <f t="shared" si="21"/>
        <v>8</v>
      </c>
      <c r="C52" s="1">
        <f t="shared" ca="1" si="22"/>
        <v>1.1599999999999999</v>
      </c>
      <c r="D52" s="1">
        <f t="shared" ca="1" si="23"/>
        <v>0.74</v>
      </c>
      <c r="E52" s="1">
        <f t="shared" ca="1" si="24"/>
        <v>1.01</v>
      </c>
      <c r="F52" s="1">
        <f t="shared" ca="1" si="25"/>
        <v>1.1257142857142857</v>
      </c>
      <c r="G52" s="1">
        <f t="shared" ca="1" si="25"/>
        <v>0.82000000000000006</v>
      </c>
      <c r="H52" s="1">
        <f t="shared" ca="1" si="26"/>
        <v>0.89749999999999996</v>
      </c>
      <c r="I52" s="1">
        <f t="shared" ca="1" si="27"/>
        <v>4.2890400000000005E-5</v>
      </c>
      <c r="J52" s="1">
        <f t="shared" ca="1" si="28"/>
        <v>2</v>
      </c>
      <c r="K52" s="1">
        <f t="shared" ca="1" si="29"/>
        <v>3</v>
      </c>
      <c r="L52" s="1">
        <f t="shared" ca="1" si="30"/>
        <v>5</v>
      </c>
      <c r="N52" s="1"/>
      <c r="O52" s="1"/>
      <c r="P52" s="1"/>
      <c r="Q52" s="1"/>
      <c r="R52" s="1"/>
      <c r="S52" s="1"/>
    </row>
    <row r="53" spans="1:19" x14ac:dyDescent="0.2">
      <c r="A53" s="1" t="s">
        <v>23</v>
      </c>
      <c r="B53">
        <f t="shared" ref="B53:B68" si="31">LOOKUP(A53,$N$4:$N$23,$O$4:$O$23)</f>
        <v>9</v>
      </c>
      <c r="C53" s="1">
        <f t="shared" ref="C53:C68" ca="1" si="32">OFFSET($P$4,B53,0,1,1)</f>
        <v>1.21</v>
      </c>
      <c r="D53" s="1">
        <f t="shared" ref="D53:D68" ca="1" si="33">OFFSET($Q$4,$B53,0,1,1)</f>
        <v>1.3</v>
      </c>
      <c r="E53" s="1">
        <f t="shared" ref="E53:E68" ca="1" si="34">OFFSET($R$4,$B53,0,1,1)</f>
        <v>0.59</v>
      </c>
      <c r="F53" s="1">
        <f t="shared" ca="1" si="25"/>
        <v>1.1114285714285714</v>
      </c>
      <c r="G53" s="1">
        <f t="shared" ca="1" si="25"/>
        <v>0.7400000000000001</v>
      </c>
      <c r="H53" s="1">
        <f t="shared" ca="1" si="26"/>
        <v>0.90500000000000003</v>
      </c>
      <c r="I53" s="1">
        <f t="shared" ca="1" si="27"/>
        <v>2.1631499999999998E-5</v>
      </c>
      <c r="J53" s="1">
        <f t="shared" ca="1" si="28"/>
        <v>2</v>
      </c>
      <c r="K53" s="1">
        <f t="shared" ca="1" si="29"/>
        <v>3</v>
      </c>
      <c r="L53" s="1">
        <f t="shared" ca="1" si="30"/>
        <v>5</v>
      </c>
      <c r="N53" s="1"/>
      <c r="O53" s="1"/>
      <c r="P53" s="1"/>
      <c r="Q53" s="1"/>
      <c r="R53" s="1"/>
      <c r="S53" s="1"/>
    </row>
    <row r="54" spans="1:19" x14ac:dyDescent="0.2">
      <c r="A54" s="1" t="s">
        <v>18</v>
      </c>
      <c r="B54">
        <f t="shared" si="31"/>
        <v>8</v>
      </c>
      <c r="C54" s="1">
        <f t="shared" ca="1" si="32"/>
        <v>1.1599999999999999</v>
      </c>
      <c r="D54" s="1">
        <f t="shared" ca="1" si="33"/>
        <v>0.74</v>
      </c>
      <c r="E54" s="1">
        <f t="shared" ca="1" si="34"/>
        <v>1.01</v>
      </c>
      <c r="F54" s="1">
        <f t="shared" ca="1" si="25"/>
        <v>1.1614285714285715</v>
      </c>
      <c r="G54" s="1">
        <f t="shared" ca="1" si="25"/>
        <v>0.68714285714285717</v>
      </c>
      <c r="H54" s="1">
        <f t="shared" ca="1" si="26"/>
        <v>1.0425</v>
      </c>
      <c r="I54" s="1">
        <f t="shared" ca="1" si="27"/>
        <v>1.5048000000000001E-5</v>
      </c>
      <c r="J54" s="1">
        <f t="shared" ca="1" si="28"/>
        <v>2</v>
      </c>
      <c r="K54" s="1">
        <f t="shared" ca="1" si="29"/>
        <v>3</v>
      </c>
      <c r="L54" s="1">
        <f t="shared" ca="1" si="30"/>
        <v>5</v>
      </c>
      <c r="N54" s="1"/>
      <c r="O54" s="1"/>
      <c r="P54" s="1"/>
      <c r="Q54" s="1"/>
      <c r="R54" s="1"/>
      <c r="S54" s="1"/>
    </row>
    <row r="55" spans="1:19" x14ac:dyDescent="0.2">
      <c r="A55" s="1" t="s">
        <v>20</v>
      </c>
      <c r="B55">
        <f t="shared" si="31"/>
        <v>5</v>
      </c>
      <c r="C55" s="1">
        <f t="shared" ca="1" si="32"/>
        <v>0.56999999999999995</v>
      </c>
      <c r="D55" s="1">
        <f t="shared" ca="1" si="33"/>
        <v>0.75</v>
      </c>
      <c r="E55" s="1">
        <f t="shared" ca="1" si="34"/>
        <v>1.56</v>
      </c>
      <c r="F55" s="1">
        <f t="shared" ref="F55:G70" ca="1" si="35">AVERAGE(C53:C59)</f>
        <v>1.1685714285714286</v>
      </c>
      <c r="G55" s="1">
        <f t="shared" ca="1" si="35"/>
        <v>0.76714285714285713</v>
      </c>
      <c r="H55" s="1">
        <f t="shared" ref="H55:H70" ca="1" si="36">AVERAGE(E53:E56)</f>
        <v>0.97500000000000009</v>
      </c>
      <c r="I55" s="1">
        <f t="shared" ref="I55:I70" ca="1" si="37">PRODUCT(OFFSET($S$4,B53,0,1,1),OFFSET($S$4,B54,1,1,1),OFFSET($S$4,B55,2,1,1),OFFSET($S$4,B56,3,1,1))</f>
        <v>8.5302400000000005E-5</v>
      </c>
      <c r="J55" s="1">
        <f t="shared" ref="J55:J70" ca="1" si="38">IF(AND(F55&gt;G55,F55&gt;1.05)=TRUE,2,1)</f>
        <v>2</v>
      </c>
      <c r="K55" s="1">
        <f t="shared" ref="K55:K70" ca="1" si="39">IF(AND(G55&gt;1.05,G55&gt;F55)=TRUE,4,3)</f>
        <v>3</v>
      </c>
      <c r="L55" s="1">
        <f t="shared" ref="L55:L70" ca="1" si="40">IF(AND(H55&gt;F55,H55&gt;G55,H55&gt;1,I55&gt;0.000075)=TRUE,6,5)</f>
        <v>5</v>
      </c>
      <c r="N55" s="1"/>
      <c r="O55" s="1"/>
      <c r="P55" s="1"/>
      <c r="Q55" s="1"/>
      <c r="R55" s="1"/>
      <c r="S55" s="1"/>
    </row>
    <row r="56" spans="1:19" x14ac:dyDescent="0.2">
      <c r="A56" s="1" t="s">
        <v>17</v>
      </c>
      <c r="B56">
        <f t="shared" si="31"/>
        <v>3</v>
      </c>
      <c r="C56" s="1">
        <f t="shared" ca="1" si="32"/>
        <v>1.51</v>
      </c>
      <c r="D56" s="1">
        <f t="shared" ca="1" si="33"/>
        <v>0.37</v>
      </c>
      <c r="E56" s="1">
        <f t="shared" ca="1" si="34"/>
        <v>0.74</v>
      </c>
      <c r="F56" s="1">
        <f t="shared" ca="1" si="35"/>
        <v>1.1399999999999999</v>
      </c>
      <c r="G56" s="1">
        <f t="shared" ca="1" si="35"/>
        <v>0.65857142857142859</v>
      </c>
      <c r="H56" s="1">
        <f t="shared" ca="1" si="36"/>
        <v>1.1925000000000001</v>
      </c>
      <c r="I56" s="1">
        <f t="shared" ca="1" si="37"/>
        <v>2.9157975000000003E-5</v>
      </c>
      <c r="J56" s="1">
        <f t="shared" ca="1" si="38"/>
        <v>2</v>
      </c>
      <c r="K56" s="1">
        <f t="shared" ca="1" si="39"/>
        <v>3</v>
      </c>
      <c r="L56" s="1">
        <f t="shared" ca="1" si="40"/>
        <v>5</v>
      </c>
      <c r="N56" s="1"/>
      <c r="O56" s="1"/>
      <c r="P56" s="1"/>
      <c r="Q56" s="1"/>
      <c r="R56" s="1"/>
      <c r="S56" s="1"/>
    </row>
    <row r="57" spans="1:19" x14ac:dyDescent="0.2">
      <c r="A57" s="1" t="s">
        <v>14</v>
      </c>
      <c r="B57">
        <f t="shared" si="31"/>
        <v>2</v>
      </c>
      <c r="C57" s="1">
        <f t="shared" ca="1" si="32"/>
        <v>1.01</v>
      </c>
      <c r="D57" s="1">
        <f t="shared" ca="1" si="33"/>
        <v>0.54</v>
      </c>
      <c r="E57" s="1">
        <f t="shared" ca="1" si="34"/>
        <v>1.46</v>
      </c>
      <c r="F57" s="1">
        <f t="shared" ca="1" si="35"/>
        <v>1.1399999999999999</v>
      </c>
      <c r="G57" s="1">
        <f t="shared" ca="1" si="35"/>
        <v>0.65857142857142859</v>
      </c>
      <c r="H57" s="1">
        <f t="shared" ca="1" si="36"/>
        <v>1.125</v>
      </c>
      <c r="I57" s="1">
        <f t="shared" ca="1" si="37"/>
        <v>7.0110719999999987E-5</v>
      </c>
      <c r="J57" s="1">
        <f t="shared" ca="1" si="38"/>
        <v>2</v>
      </c>
      <c r="K57" s="1">
        <f t="shared" ca="1" si="39"/>
        <v>3</v>
      </c>
      <c r="L57" s="1">
        <f t="shared" ca="1" si="40"/>
        <v>5</v>
      </c>
      <c r="N57" s="1"/>
      <c r="O57" s="1"/>
      <c r="P57" s="1"/>
      <c r="Q57" s="1"/>
      <c r="R57" s="1"/>
      <c r="S57" s="1"/>
    </row>
    <row r="58" spans="1:19" x14ac:dyDescent="0.2">
      <c r="A58" s="1" t="s">
        <v>17</v>
      </c>
      <c r="B58">
        <f t="shared" si="31"/>
        <v>3</v>
      </c>
      <c r="C58" s="1">
        <f t="shared" ca="1" si="32"/>
        <v>1.51</v>
      </c>
      <c r="D58" s="1">
        <f t="shared" ca="1" si="33"/>
        <v>0.37</v>
      </c>
      <c r="E58" s="1">
        <f t="shared" ca="1" si="34"/>
        <v>0.74</v>
      </c>
      <c r="F58" s="1">
        <f t="shared" ca="1" si="35"/>
        <v>1.157142857142857</v>
      </c>
      <c r="G58" s="1">
        <f t="shared" ca="1" si="35"/>
        <v>0.76142857142857145</v>
      </c>
      <c r="H58" s="1">
        <f t="shared" ca="1" si="36"/>
        <v>0.88250000000000006</v>
      </c>
      <c r="I58" s="1">
        <f t="shared" ca="1" si="37"/>
        <v>3.3202400000000006E-5</v>
      </c>
      <c r="J58" s="1">
        <f t="shared" ca="1" si="38"/>
        <v>2</v>
      </c>
      <c r="K58" s="1">
        <f t="shared" ca="1" si="39"/>
        <v>3</v>
      </c>
      <c r="L58" s="1">
        <f t="shared" ca="1" si="40"/>
        <v>5</v>
      </c>
      <c r="N58" s="1"/>
      <c r="O58" s="1"/>
      <c r="P58" s="1"/>
      <c r="Q58" s="1"/>
      <c r="R58" s="1"/>
      <c r="S58" s="1"/>
    </row>
    <row r="59" spans="1:19" x14ac:dyDescent="0.2">
      <c r="A59" s="1" t="s">
        <v>23</v>
      </c>
      <c r="B59">
        <f t="shared" si="31"/>
        <v>9</v>
      </c>
      <c r="C59" s="1">
        <f t="shared" ca="1" si="32"/>
        <v>1.21</v>
      </c>
      <c r="D59" s="1">
        <f t="shared" ca="1" si="33"/>
        <v>1.3</v>
      </c>
      <c r="E59" s="1">
        <f t="shared" ca="1" si="34"/>
        <v>0.59</v>
      </c>
      <c r="F59" s="1">
        <f t="shared" ca="1" si="35"/>
        <v>1.0514285714285714</v>
      </c>
      <c r="G59" s="1">
        <f t="shared" ca="1" si="35"/>
        <v>0.81571428571428573</v>
      </c>
      <c r="H59" s="1">
        <f t="shared" ca="1" si="36"/>
        <v>1.0625</v>
      </c>
      <c r="I59" s="1">
        <f t="shared" ca="1" si="37"/>
        <v>2.5719119999999997E-5</v>
      </c>
      <c r="J59" s="1">
        <f t="shared" ca="1" si="38"/>
        <v>2</v>
      </c>
      <c r="K59" s="1">
        <f t="shared" ca="1" si="39"/>
        <v>3</v>
      </c>
      <c r="L59" s="1">
        <f t="shared" ca="1" si="40"/>
        <v>5</v>
      </c>
      <c r="N59" s="1"/>
      <c r="O59" s="1"/>
      <c r="P59" s="1"/>
      <c r="Q59" s="1"/>
      <c r="R59" s="1"/>
      <c r="S59" s="1"/>
    </row>
    <row r="60" spans="1:19" x14ac:dyDescent="0.2">
      <c r="A60" s="1" t="s">
        <v>14</v>
      </c>
      <c r="B60">
        <f t="shared" si="31"/>
        <v>2</v>
      </c>
      <c r="C60" s="1">
        <f t="shared" ca="1" si="32"/>
        <v>1.01</v>
      </c>
      <c r="D60" s="1">
        <f t="shared" ca="1" si="33"/>
        <v>0.54</v>
      </c>
      <c r="E60" s="1">
        <f t="shared" ca="1" si="34"/>
        <v>1.46</v>
      </c>
      <c r="F60" s="1">
        <f t="shared" ca="1" si="35"/>
        <v>1.1228571428571428</v>
      </c>
      <c r="G60" s="1">
        <f t="shared" ca="1" si="35"/>
        <v>0.79142857142857148</v>
      </c>
      <c r="H60" s="1">
        <f t="shared" ca="1" si="36"/>
        <v>0.95</v>
      </c>
      <c r="I60" s="1">
        <f t="shared" ca="1" si="37"/>
        <v>2.3807000000000001E-5</v>
      </c>
      <c r="J60" s="1">
        <f t="shared" ca="1" si="38"/>
        <v>2</v>
      </c>
      <c r="K60" s="1">
        <f t="shared" ca="1" si="39"/>
        <v>3</v>
      </c>
      <c r="L60" s="1">
        <f t="shared" ca="1" si="40"/>
        <v>5</v>
      </c>
      <c r="N60" s="1"/>
      <c r="O60" s="1"/>
      <c r="P60" s="1"/>
      <c r="Q60" s="1"/>
      <c r="R60" s="1"/>
      <c r="S60" s="1"/>
    </row>
    <row r="61" spans="1:19" x14ac:dyDescent="0.2">
      <c r="A61" s="1" t="s">
        <v>18</v>
      </c>
      <c r="B61">
        <f t="shared" si="31"/>
        <v>8</v>
      </c>
      <c r="C61" s="1">
        <f t="shared" ca="1" si="32"/>
        <v>1.1599999999999999</v>
      </c>
      <c r="D61" s="1">
        <f t="shared" ca="1" si="33"/>
        <v>0.74</v>
      </c>
      <c r="E61" s="1">
        <f t="shared" ca="1" si="34"/>
        <v>1.01</v>
      </c>
      <c r="F61" s="1">
        <f t="shared" ca="1" si="35"/>
        <v>1.1099999999999999</v>
      </c>
      <c r="G61" s="1">
        <f t="shared" ca="1" si="35"/>
        <v>0.8571428571428571</v>
      </c>
      <c r="H61" s="1">
        <f t="shared" ca="1" si="36"/>
        <v>1.0499999999999998</v>
      </c>
      <c r="I61" s="1">
        <f t="shared" ca="1" si="37"/>
        <v>6.0389999999999996E-5</v>
      </c>
      <c r="J61" s="1">
        <f t="shared" ca="1" si="38"/>
        <v>2</v>
      </c>
      <c r="K61" s="1">
        <f t="shared" ca="1" si="39"/>
        <v>3</v>
      </c>
      <c r="L61" s="1">
        <f t="shared" ca="1" si="40"/>
        <v>5</v>
      </c>
      <c r="N61" s="1"/>
      <c r="O61" s="1"/>
      <c r="P61" s="1"/>
      <c r="Q61" s="1"/>
      <c r="R61" s="1"/>
      <c r="S61" s="1"/>
    </row>
    <row r="62" spans="1:19" x14ac:dyDescent="0.2">
      <c r="A62" s="1" t="s">
        <v>31</v>
      </c>
      <c r="B62">
        <f t="shared" si="31"/>
        <v>19</v>
      </c>
      <c r="C62" s="1">
        <f t="shared" ca="1" si="32"/>
        <v>0.69</v>
      </c>
      <c r="D62" s="1">
        <f t="shared" ca="1" si="33"/>
        <v>1.47</v>
      </c>
      <c r="E62" s="1">
        <f t="shared" ca="1" si="34"/>
        <v>1.1399999999999999</v>
      </c>
      <c r="F62" s="1">
        <f t="shared" ca="1" si="35"/>
        <v>1.1099999999999999</v>
      </c>
      <c r="G62" s="1">
        <f t="shared" ca="1" si="35"/>
        <v>0.8571428571428571</v>
      </c>
      <c r="H62" s="1">
        <f t="shared" ca="1" si="36"/>
        <v>1.2599999999999998</v>
      </c>
      <c r="I62" s="1">
        <f t="shared" ca="1" si="37"/>
        <v>2.0428001999999999E-4</v>
      </c>
      <c r="J62" s="1">
        <f t="shared" ca="1" si="38"/>
        <v>2</v>
      </c>
      <c r="K62" s="1">
        <f t="shared" ca="1" si="39"/>
        <v>3</v>
      </c>
      <c r="L62" s="1">
        <f t="shared" ca="1" si="40"/>
        <v>6</v>
      </c>
      <c r="N62" s="1"/>
      <c r="O62" s="1"/>
      <c r="P62" s="1"/>
      <c r="Q62" s="1"/>
      <c r="R62" s="1"/>
      <c r="S62" s="1"/>
    </row>
    <row r="63" spans="1:19" x14ac:dyDescent="0.2">
      <c r="A63" s="1" t="s">
        <v>27</v>
      </c>
      <c r="B63">
        <f t="shared" si="31"/>
        <v>15</v>
      </c>
      <c r="C63" s="1">
        <f t="shared" ca="1" si="32"/>
        <v>0.77</v>
      </c>
      <c r="D63" s="1">
        <f t="shared" ca="1" si="33"/>
        <v>0.75</v>
      </c>
      <c r="E63" s="1">
        <f t="shared" ca="1" si="34"/>
        <v>1.43</v>
      </c>
      <c r="F63" s="1">
        <f t="shared" ca="1" si="35"/>
        <v>1.1314285714285715</v>
      </c>
      <c r="G63" s="1">
        <f t="shared" ca="1" si="35"/>
        <v>0.88571428571428579</v>
      </c>
      <c r="H63" s="1">
        <f t="shared" ca="1" si="36"/>
        <v>1.08</v>
      </c>
      <c r="I63" s="1">
        <f t="shared" ca="1" si="37"/>
        <v>2.8600000000000001E-5</v>
      </c>
      <c r="J63" s="1">
        <f t="shared" ca="1" si="38"/>
        <v>2</v>
      </c>
      <c r="K63" s="1">
        <f t="shared" ca="1" si="39"/>
        <v>3</v>
      </c>
      <c r="L63" s="1">
        <f t="shared" ca="1" si="40"/>
        <v>5</v>
      </c>
      <c r="N63" s="1"/>
      <c r="O63" s="1"/>
      <c r="P63" s="1"/>
      <c r="Q63" s="1"/>
      <c r="R63" s="1"/>
      <c r="S63" s="1"/>
    </row>
    <row r="64" spans="1:19" x14ac:dyDescent="0.2">
      <c r="A64" s="1" t="s">
        <v>17</v>
      </c>
      <c r="B64">
        <f t="shared" si="31"/>
        <v>3</v>
      </c>
      <c r="C64" s="1">
        <f t="shared" ca="1" si="32"/>
        <v>1.51</v>
      </c>
      <c r="D64" s="1">
        <f t="shared" ca="1" si="33"/>
        <v>0.37</v>
      </c>
      <c r="E64" s="1">
        <f t="shared" ca="1" si="34"/>
        <v>0.74</v>
      </c>
      <c r="F64" s="1">
        <f t="shared" ca="1" si="35"/>
        <v>1.1099999999999999</v>
      </c>
      <c r="G64" s="1">
        <f t="shared" ca="1" si="35"/>
        <v>0.8571428571428571</v>
      </c>
      <c r="H64" s="1">
        <f t="shared" ca="1" si="36"/>
        <v>0.99249999999999994</v>
      </c>
      <c r="I64" s="1">
        <f t="shared" ca="1" si="37"/>
        <v>5.0903468000000011E-5</v>
      </c>
      <c r="J64" s="1">
        <f t="shared" ca="1" si="38"/>
        <v>2</v>
      </c>
      <c r="K64" s="1">
        <f t="shared" ca="1" si="39"/>
        <v>3</v>
      </c>
      <c r="L64" s="1">
        <f t="shared" ca="1" si="40"/>
        <v>5</v>
      </c>
      <c r="N64" s="1"/>
      <c r="O64" s="1"/>
      <c r="P64" s="1"/>
      <c r="Q64" s="1"/>
      <c r="R64" s="1"/>
      <c r="S64" s="1"/>
    </row>
    <row r="65" spans="1:19" x14ac:dyDescent="0.2">
      <c r="A65" s="1" t="s">
        <v>13</v>
      </c>
      <c r="B65">
        <f t="shared" si="31"/>
        <v>0</v>
      </c>
      <c r="C65" s="1">
        <f t="shared" ca="1" si="32"/>
        <v>1.42</v>
      </c>
      <c r="D65" s="1">
        <f t="shared" ca="1" si="33"/>
        <v>0.83</v>
      </c>
      <c r="E65" s="1">
        <f t="shared" ca="1" si="34"/>
        <v>0.66</v>
      </c>
      <c r="F65" s="1">
        <f t="shared" ca="1" si="35"/>
        <v>1.2142857142857142</v>
      </c>
      <c r="G65" s="1">
        <f t="shared" ca="1" si="35"/>
        <v>0.76571428571428579</v>
      </c>
      <c r="H65" s="1">
        <f t="shared" ca="1" si="36"/>
        <v>0.85499999999999998</v>
      </c>
      <c r="I65" s="1">
        <f t="shared" ca="1" si="37"/>
        <v>1.7640000000000001E-5</v>
      </c>
      <c r="J65" s="1">
        <f t="shared" ca="1" si="38"/>
        <v>2</v>
      </c>
      <c r="K65" s="1">
        <f t="shared" ca="1" si="39"/>
        <v>3</v>
      </c>
      <c r="L65" s="1">
        <f t="shared" ca="1" si="40"/>
        <v>5</v>
      </c>
      <c r="N65" s="1"/>
      <c r="O65" s="1"/>
      <c r="P65" s="1"/>
      <c r="Q65" s="1"/>
      <c r="R65" s="1"/>
      <c r="S65" s="1"/>
    </row>
    <row r="66" spans="1:19" x14ac:dyDescent="0.2">
      <c r="A66" s="1" t="s">
        <v>23</v>
      </c>
      <c r="B66">
        <f t="shared" si="31"/>
        <v>9</v>
      </c>
      <c r="C66" s="1">
        <f t="shared" ca="1" si="32"/>
        <v>1.21</v>
      </c>
      <c r="D66" s="1">
        <f t="shared" ca="1" si="33"/>
        <v>1.3</v>
      </c>
      <c r="E66" s="1">
        <f t="shared" ca="1" si="34"/>
        <v>0.59</v>
      </c>
      <c r="F66" s="1">
        <f t="shared" ca="1" si="35"/>
        <v>1.2628571428571429</v>
      </c>
      <c r="G66" s="1">
        <f t="shared" ca="1" si="35"/>
        <v>0.81571428571428584</v>
      </c>
      <c r="H66" s="1">
        <f t="shared" ca="1" si="36"/>
        <v>0.75</v>
      </c>
      <c r="I66" s="1">
        <f t="shared" ca="1" si="37"/>
        <v>1.455552E-5</v>
      </c>
      <c r="J66" s="1">
        <f t="shared" ca="1" si="38"/>
        <v>2</v>
      </c>
      <c r="K66" s="1">
        <f t="shared" ca="1" si="39"/>
        <v>3</v>
      </c>
      <c r="L66" s="1">
        <f t="shared" ca="1" si="40"/>
        <v>5</v>
      </c>
      <c r="N66" s="1"/>
      <c r="O66" s="1"/>
      <c r="P66" s="1"/>
      <c r="Q66" s="1"/>
      <c r="R66" s="1"/>
      <c r="S66" s="1"/>
    </row>
    <row r="67" spans="1:19" x14ac:dyDescent="0.2">
      <c r="A67" s="1" t="s">
        <v>18</v>
      </c>
      <c r="B67">
        <f t="shared" si="31"/>
        <v>8</v>
      </c>
      <c r="C67" s="1">
        <f t="shared" ca="1" si="32"/>
        <v>1.1599999999999999</v>
      </c>
      <c r="D67" s="1">
        <f t="shared" ca="1" si="33"/>
        <v>0.74</v>
      </c>
      <c r="E67" s="1">
        <f t="shared" ca="1" si="34"/>
        <v>1.01</v>
      </c>
      <c r="F67" s="1">
        <f t="shared" ca="1" si="35"/>
        <v>1.2628571428571429</v>
      </c>
      <c r="G67" s="1">
        <f t="shared" ca="1" si="35"/>
        <v>0.81571428571428573</v>
      </c>
      <c r="H67" s="1">
        <f t="shared" ca="1" si="36"/>
        <v>0.92999999999999994</v>
      </c>
      <c r="I67" s="1">
        <f t="shared" ca="1" si="37"/>
        <v>8.7479999999999999E-6</v>
      </c>
      <c r="J67" s="1">
        <f t="shared" ca="1" si="38"/>
        <v>2</v>
      </c>
      <c r="K67" s="1">
        <f t="shared" ca="1" si="39"/>
        <v>3</v>
      </c>
      <c r="L67" s="1">
        <f t="shared" ca="1" si="40"/>
        <v>5</v>
      </c>
      <c r="N67" s="1"/>
      <c r="O67" s="1"/>
      <c r="P67" s="1"/>
      <c r="Q67" s="1"/>
      <c r="R67" s="1"/>
      <c r="S67" s="1"/>
    </row>
    <row r="68" spans="1:19" x14ac:dyDescent="0.2">
      <c r="A68" s="1" t="s">
        <v>14</v>
      </c>
      <c r="B68">
        <f t="shared" si="31"/>
        <v>2</v>
      </c>
      <c r="C68" s="1">
        <f t="shared" ca="1" si="32"/>
        <v>1.01</v>
      </c>
      <c r="D68" s="1">
        <f t="shared" ca="1" si="33"/>
        <v>0.54</v>
      </c>
      <c r="E68" s="1">
        <f t="shared" ca="1" si="34"/>
        <v>1.46</v>
      </c>
      <c r="F68" s="1">
        <f t="shared" ca="1" si="35"/>
        <v>1.2257142857142858</v>
      </c>
      <c r="G68" s="1">
        <f t="shared" ca="1" si="35"/>
        <v>0.80285714285714282</v>
      </c>
      <c r="H68" s="1">
        <f t="shared" ca="1" si="36"/>
        <v>0.93</v>
      </c>
      <c r="I68" s="1">
        <f t="shared" ca="1" si="37"/>
        <v>7.2829730000000014E-5</v>
      </c>
      <c r="J68" s="1">
        <f t="shared" ca="1" si="38"/>
        <v>2</v>
      </c>
      <c r="K68" s="1">
        <f t="shared" ca="1" si="39"/>
        <v>3</v>
      </c>
      <c r="L68" s="1">
        <f t="shared" ca="1" si="40"/>
        <v>5</v>
      </c>
      <c r="N68" s="1"/>
      <c r="O68" s="1"/>
      <c r="P68" s="1"/>
      <c r="Q68" s="1"/>
      <c r="R68" s="1"/>
      <c r="S68" s="1"/>
    </row>
    <row r="69" spans="1:19" x14ac:dyDescent="0.2">
      <c r="A69" s="1" t="s">
        <v>13</v>
      </c>
      <c r="B69">
        <f t="shared" ref="B69:B84" si="41">LOOKUP(A69,$N$4:$N$23,$O$4:$O$23)</f>
        <v>0</v>
      </c>
      <c r="C69" s="1">
        <f t="shared" ref="C69:C84" ca="1" si="42">OFFSET($P$4,B69,0,1,1)</f>
        <v>1.42</v>
      </c>
      <c r="D69" s="1">
        <f t="shared" ref="D69:D84" ca="1" si="43">OFFSET($Q$4,$B69,0,1,1)</f>
        <v>0.83</v>
      </c>
      <c r="E69" s="1">
        <f t="shared" ref="E69:E84" ca="1" si="44">OFFSET($R$4,$B69,0,1,1)</f>
        <v>0.66</v>
      </c>
      <c r="F69" s="1">
        <f t="shared" ca="1" si="35"/>
        <v>1.2257142857142858</v>
      </c>
      <c r="G69" s="1">
        <f t="shared" ca="1" si="35"/>
        <v>0.80285714285714282</v>
      </c>
      <c r="H69" s="1">
        <f t="shared" ca="1" si="36"/>
        <v>1.0274999999999999</v>
      </c>
      <c r="I69" s="1">
        <f t="shared" ca="1" si="37"/>
        <v>2.0751500000000003E-5</v>
      </c>
      <c r="J69" s="1">
        <f t="shared" ca="1" si="38"/>
        <v>2</v>
      </c>
      <c r="K69" s="1">
        <f t="shared" ca="1" si="39"/>
        <v>3</v>
      </c>
      <c r="L69" s="1">
        <f t="shared" ca="1" si="40"/>
        <v>5</v>
      </c>
      <c r="N69" s="1"/>
      <c r="O69" s="1"/>
      <c r="P69" s="1"/>
      <c r="Q69" s="1"/>
      <c r="R69" s="1"/>
      <c r="S69" s="1"/>
    </row>
    <row r="70" spans="1:19" x14ac:dyDescent="0.2">
      <c r="A70" s="1" t="s">
        <v>22</v>
      </c>
      <c r="B70">
        <f t="shared" si="41"/>
        <v>13</v>
      </c>
      <c r="C70" s="1">
        <f t="shared" ca="1" si="42"/>
        <v>1.1100000000000001</v>
      </c>
      <c r="D70" s="1">
        <f t="shared" ca="1" si="43"/>
        <v>1.1000000000000001</v>
      </c>
      <c r="E70" s="1">
        <f t="shared" ca="1" si="44"/>
        <v>0.98</v>
      </c>
      <c r="F70" s="1">
        <f t="shared" ca="1" si="35"/>
        <v>1.2757142857142856</v>
      </c>
      <c r="G70" s="1">
        <f t="shared" ca="1" si="35"/>
        <v>0.75</v>
      </c>
      <c r="H70" s="1">
        <f t="shared" ca="1" si="36"/>
        <v>0.96</v>
      </c>
      <c r="I70" s="1">
        <f t="shared" ca="1" si="37"/>
        <v>2.6455295999999996E-5</v>
      </c>
      <c r="J70" s="1">
        <f t="shared" ca="1" si="38"/>
        <v>2</v>
      </c>
      <c r="K70" s="1">
        <f t="shared" ca="1" si="39"/>
        <v>3</v>
      </c>
      <c r="L70" s="1">
        <f t="shared" ca="1" si="40"/>
        <v>5</v>
      </c>
      <c r="N70" s="1"/>
      <c r="O70" s="1"/>
      <c r="P70" s="1"/>
      <c r="Q70" s="1"/>
      <c r="R70" s="1"/>
      <c r="S70" s="1"/>
    </row>
    <row r="71" spans="1:19" x14ac:dyDescent="0.2">
      <c r="A71" s="1" t="s">
        <v>17</v>
      </c>
      <c r="B71">
        <f t="shared" si="41"/>
        <v>3</v>
      </c>
      <c r="C71" s="1">
        <f t="shared" ca="1" si="42"/>
        <v>1.51</v>
      </c>
      <c r="D71" s="1">
        <f t="shared" ca="1" si="43"/>
        <v>0.37</v>
      </c>
      <c r="E71" s="1">
        <f t="shared" ca="1" si="44"/>
        <v>0.74</v>
      </c>
      <c r="F71" s="1">
        <f t="shared" ref="F71:G86" ca="1" si="45">AVERAGE(C69:C75)</f>
        <v>1.304285714285714</v>
      </c>
      <c r="G71" s="1">
        <f t="shared" ca="1" si="45"/>
        <v>0.85857142857142854</v>
      </c>
      <c r="H71" s="1">
        <f t="shared" ref="H71:H86" ca="1" si="46">AVERAGE(E69:E72)</f>
        <v>0.84749999999999992</v>
      </c>
      <c r="I71" s="1">
        <f t="shared" ref="I71:I86" ca="1" si="47">PRODUCT(OFFSET($S$4,B69,0,1,1),OFFSET($S$4,B70,1,1,1),OFFSET($S$4,B71,2,1,1),OFFSET($S$4,B72,3,1,1))</f>
        <v>4.3012199999999995E-5</v>
      </c>
      <c r="J71" s="1">
        <f t="shared" ref="J71:J86" ca="1" si="48">IF(AND(F71&gt;G71,F71&gt;1.05)=TRUE,2,1)</f>
        <v>2</v>
      </c>
      <c r="K71" s="1">
        <f t="shared" ref="K71:K86" ca="1" si="49">IF(AND(G71&gt;1.05,G71&gt;F71)=TRUE,4,3)</f>
        <v>3</v>
      </c>
      <c r="L71" s="1">
        <f t="shared" ref="L71:L86" ca="1" si="50">IF(AND(H71&gt;F71,H71&gt;G71,H71&gt;1,I71&gt;0.000075)=TRUE,6,5)</f>
        <v>5</v>
      </c>
      <c r="N71" s="1"/>
      <c r="O71" s="1"/>
      <c r="P71" s="1"/>
      <c r="Q71" s="1"/>
      <c r="R71" s="1"/>
      <c r="S71" s="1"/>
    </row>
    <row r="72" spans="1:19" x14ac:dyDescent="0.2">
      <c r="A72" s="1" t="s">
        <v>18</v>
      </c>
      <c r="B72">
        <f t="shared" si="41"/>
        <v>8</v>
      </c>
      <c r="C72" s="1">
        <f t="shared" ca="1" si="42"/>
        <v>1.1599999999999999</v>
      </c>
      <c r="D72" s="1">
        <f t="shared" ca="1" si="43"/>
        <v>0.74</v>
      </c>
      <c r="E72" s="1">
        <f t="shared" ca="1" si="44"/>
        <v>1.01</v>
      </c>
      <c r="F72" s="1">
        <f t="shared" ca="1" si="45"/>
        <v>1.304285714285714</v>
      </c>
      <c r="G72" s="1">
        <f t="shared" ca="1" si="45"/>
        <v>0.85857142857142854</v>
      </c>
      <c r="H72" s="1">
        <f t="shared" ca="1" si="46"/>
        <v>0.83</v>
      </c>
      <c r="I72" s="1">
        <f t="shared" ca="1" si="47"/>
        <v>2.2377599999999997E-5</v>
      </c>
      <c r="J72" s="1">
        <f t="shared" ca="1" si="48"/>
        <v>2</v>
      </c>
      <c r="K72" s="1">
        <f t="shared" ca="1" si="49"/>
        <v>3</v>
      </c>
      <c r="L72" s="1">
        <f t="shared" ca="1" si="50"/>
        <v>5</v>
      </c>
      <c r="N72" s="1"/>
      <c r="O72" s="1"/>
      <c r="P72" s="1"/>
      <c r="Q72" s="1"/>
      <c r="R72" s="1"/>
      <c r="S72" s="1"/>
    </row>
    <row r="73" spans="1:19" x14ac:dyDescent="0.2">
      <c r="A73" s="1" t="s">
        <v>23</v>
      </c>
      <c r="B73">
        <f t="shared" si="41"/>
        <v>9</v>
      </c>
      <c r="C73" s="1">
        <f t="shared" ca="1" si="42"/>
        <v>1.21</v>
      </c>
      <c r="D73" s="1">
        <f t="shared" ca="1" si="43"/>
        <v>1.3</v>
      </c>
      <c r="E73" s="1">
        <f t="shared" ca="1" si="44"/>
        <v>0.59</v>
      </c>
      <c r="F73" s="1">
        <f t="shared" ca="1" si="45"/>
        <v>1.3614285714285714</v>
      </c>
      <c r="G73" s="1">
        <f t="shared" ca="1" si="45"/>
        <v>0.75428571428571434</v>
      </c>
      <c r="H73" s="1">
        <f t="shared" ca="1" si="46"/>
        <v>0.77</v>
      </c>
      <c r="I73" s="1">
        <f t="shared" ca="1" si="47"/>
        <v>1.4837760000000001E-5</v>
      </c>
      <c r="J73" s="1">
        <f t="shared" ca="1" si="48"/>
        <v>2</v>
      </c>
      <c r="K73" s="1">
        <f t="shared" ca="1" si="49"/>
        <v>3</v>
      </c>
      <c r="L73" s="1">
        <f t="shared" ca="1" si="50"/>
        <v>5</v>
      </c>
      <c r="N73" s="1"/>
      <c r="O73" s="1"/>
      <c r="P73" s="1"/>
      <c r="Q73" s="1"/>
      <c r="R73" s="1"/>
      <c r="S73" s="1"/>
    </row>
    <row r="74" spans="1:19" x14ac:dyDescent="0.2">
      <c r="A74" s="1" t="s">
        <v>17</v>
      </c>
      <c r="B74">
        <f t="shared" si="41"/>
        <v>3</v>
      </c>
      <c r="C74" s="1">
        <f t="shared" ca="1" si="42"/>
        <v>1.51</v>
      </c>
      <c r="D74" s="1">
        <f t="shared" ca="1" si="43"/>
        <v>0.37</v>
      </c>
      <c r="E74" s="1">
        <f t="shared" ca="1" si="44"/>
        <v>0.74</v>
      </c>
      <c r="F74" s="1">
        <f t="shared" ca="1" si="45"/>
        <v>1.3114285714285714</v>
      </c>
      <c r="G74" s="1">
        <f t="shared" ca="1" si="45"/>
        <v>0.80714285714285716</v>
      </c>
      <c r="H74" s="1">
        <f t="shared" ca="1" si="46"/>
        <v>0.73249999999999993</v>
      </c>
      <c r="I74" s="1">
        <f t="shared" ca="1" si="47"/>
        <v>7.4112500000000013E-6</v>
      </c>
      <c r="J74" s="1">
        <f t="shared" ca="1" si="48"/>
        <v>2</v>
      </c>
      <c r="K74" s="1">
        <f t="shared" ca="1" si="49"/>
        <v>3</v>
      </c>
      <c r="L74" s="1">
        <f t="shared" ca="1" si="50"/>
        <v>5</v>
      </c>
      <c r="N74" s="1"/>
      <c r="O74" s="1"/>
      <c r="P74" s="1"/>
      <c r="Q74" s="1"/>
      <c r="R74" s="1"/>
      <c r="S74" s="1"/>
    </row>
    <row r="75" spans="1:19" x14ac:dyDescent="0.2">
      <c r="A75" s="1" t="s">
        <v>23</v>
      </c>
      <c r="B75">
        <f t="shared" si="41"/>
        <v>9</v>
      </c>
      <c r="C75" s="1">
        <f t="shared" ca="1" si="42"/>
        <v>1.21</v>
      </c>
      <c r="D75" s="1">
        <f t="shared" ca="1" si="43"/>
        <v>1.3</v>
      </c>
      <c r="E75" s="1">
        <f t="shared" ca="1" si="44"/>
        <v>0.59</v>
      </c>
      <c r="F75" s="1">
        <f t="shared" ca="1" si="45"/>
        <v>1.3114285714285714</v>
      </c>
      <c r="G75" s="1">
        <f t="shared" ca="1" si="45"/>
        <v>0.80714285714285716</v>
      </c>
      <c r="H75" s="1">
        <f t="shared" ca="1" si="46"/>
        <v>0.64500000000000002</v>
      </c>
      <c r="I75" s="1">
        <f t="shared" ca="1" si="47"/>
        <v>7.6420799999999995E-6</v>
      </c>
      <c r="J75" s="1">
        <f t="shared" ca="1" si="48"/>
        <v>2</v>
      </c>
      <c r="K75" s="1">
        <f t="shared" ca="1" si="49"/>
        <v>3</v>
      </c>
      <c r="L75" s="1">
        <f t="shared" ca="1" si="50"/>
        <v>5</v>
      </c>
      <c r="N75" s="1"/>
      <c r="O75" s="1"/>
      <c r="P75" s="1"/>
      <c r="Q75" s="1"/>
      <c r="R75" s="1"/>
      <c r="S75" s="1"/>
    </row>
    <row r="76" spans="1:19" x14ac:dyDescent="0.2">
      <c r="A76" s="1" t="s">
        <v>13</v>
      </c>
      <c r="B76">
        <f t="shared" si="41"/>
        <v>0</v>
      </c>
      <c r="C76" s="1">
        <f t="shared" ca="1" si="42"/>
        <v>1.42</v>
      </c>
      <c r="D76" s="1">
        <f t="shared" ca="1" si="43"/>
        <v>0.83</v>
      </c>
      <c r="E76" s="1">
        <f t="shared" ca="1" si="44"/>
        <v>0.66</v>
      </c>
      <c r="F76" s="1">
        <f t="shared" ca="1" si="45"/>
        <v>1.3414285714285714</v>
      </c>
      <c r="G76" s="1">
        <f t="shared" ca="1" si="45"/>
        <v>0.7400000000000001</v>
      </c>
      <c r="H76" s="1">
        <f t="shared" ca="1" si="46"/>
        <v>0.68250000000000011</v>
      </c>
      <c r="I76" s="1">
        <f t="shared" ca="1" si="47"/>
        <v>3.136000000000001E-6</v>
      </c>
      <c r="J76" s="1">
        <f t="shared" ca="1" si="48"/>
        <v>2</v>
      </c>
      <c r="K76" s="1">
        <f t="shared" ca="1" si="49"/>
        <v>3</v>
      </c>
      <c r="L76" s="1">
        <f t="shared" ca="1" si="50"/>
        <v>5</v>
      </c>
      <c r="N76" s="1"/>
      <c r="O76" s="1"/>
      <c r="P76" s="1"/>
      <c r="Q76" s="1"/>
      <c r="R76" s="1"/>
      <c r="S76" s="1"/>
    </row>
    <row r="77" spans="1:19" x14ac:dyDescent="0.2">
      <c r="A77" s="1" t="s">
        <v>17</v>
      </c>
      <c r="B77">
        <f t="shared" si="41"/>
        <v>3</v>
      </c>
      <c r="C77" s="1">
        <f t="shared" ca="1" si="42"/>
        <v>1.51</v>
      </c>
      <c r="D77" s="1">
        <f t="shared" ca="1" si="43"/>
        <v>0.37</v>
      </c>
      <c r="E77" s="1">
        <f t="shared" ca="1" si="44"/>
        <v>0.74</v>
      </c>
      <c r="F77" s="1">
        <f t="shared" ca="1" si="45"/>
        <v>1.2442857142857142</v>
      </c>
      <c r="G77" s="1">
        <f t="shared" ca="1" si="45"/>
        <v>0.8571428571428571</v>
      </c>
      <c r="H77" s="1">
        <f t="shared" ca="1" si="46"/>
        <v>0.75</v>
      </c>
      <c r="I77" s="1">
        <f t="shared" ca="1" si="47"/>
        <v>3.3912339999999993E-5</v>
      </c>
      <c r="J77" s="1">
        <f t="shared" ca="1" si="48"/>
        <v>2</v>
      </c>
      <c r="K77" s="1">
        <f t="shared" ca="1" si="49"/>
        <v>3</v>
      </c>
      <c r="L77" s="1">
        <f t="shared" ca="1" si="50"/>
        <v>5</v>
      </c>
      <c r="N77" s="1"/>
      <c r="O77" s="1"/>
      <c r="P77" s="1"/>
      <c r="Q77" s="1"/>
      <c r="R77" s="1"/>
      <c r="S77" s="1"/>
    </row>
    <row r="78" spans="1:19" x14ac:dyDescent="0.2">
      <c r="A78" s="1" t="s">
        <v>18</v>
      </c>
      <c r="B78">
        <f t="shared" si="41"/>
        <v>8</v>
      </c>
      <c r="C78" s="1">
        <f t="shared" ca="1" si="42"/>
        <v>1.1599999999999999</v>
      </c>
      <c r="D78" s="1">
        <f t="shared" ca="1" si="43"/>
        <v>0.74</v>
      </c>
      <c r="E78" s="1">
        <f t="shared" ca="1" si="44"/>
        <v>1.01</v>
      </c>
      <c r="F78" s="1">
        <f t="shared" ca="1" si="45"/>
        <v>1.2157142857142857</v>
      </c>
      <c r="G78" s="1">
        <f t="shared" ca="1" si="45"/>
        <v>0.74857142857142844</v>
      </c>
      <c r="H78" s="1">
        <f t="shared" ca="1" si="46"/>
        <v>0.85499999999999998</v>
      </c>
      <c r="I78" s="1">
        <f t="shared" ca="1" si="47"/>
        <v>2.4623999999999997E-5</v>
      </c>
      <c r="J78" s="1">
        <f t="shared" ca="1" si="48"/>
        <v>2</v>
      </c>
      <c r="K78" s="1">
        <f t="shared" ca="1" si="49"/>
        <v>3</v>
      </c>
      <c r="L78" s="1">
        <f t="shared" ca="1" si="50"/>
        <v>5</v>
      </c>
      <c r="N78" s="1"/>
      <c r="O78" s="1"/>
      <c r="P78" s="1"/>
      <c r="Q78" s="1"/>
      <c r="R78" s="1"/>
      <c r="S78" s="1"/>
    </row>
    <row r="79" spans="1:19" x14ac:dyDescent="0.2">
      <c r="A79" s="1" t="s">
        <v>18</v>
      </c>
      <c r="B79">
        <f t="shared" si="41"/>
        <v>8</v>
      </c>
      <c r="C79" s="1">
        <f t="shared" ca="1" si="42"/>
        <v>1.1599999999999999</v>
      </c>
      <c r="D79" s="1">
        <f t="shared" ca="1" si="43"/>
        <v>0.74</v>
      </c>
      <c r="E79" s="1">
        <f t="shared" ca="1" si="44"/>
        <v>1.01</v>
      </c>
      <c r="F79" s="1">
        <f t="shared" ca="1" si="45"/>
        <v>1.2157142857142857</v>
      </c>
      <c r="G79" s="1">
        <f t="shared" ca="1" si="45"/>
        <v>0.74857142857142855</v>
      </c>
      <c r="H79" s="1">
        <f t="shared" ca="1" si="46"/>
        <v>0.85499999999999998</v>
      </c>
      <c r="I79" s="1">
        <f t="shared" ca="1" si="47"/>
        <v>2.6893440000000002E-5</v>
      </c>
      <c r="J79" s="1">
        <f t="shared" ca="1" si="48"/>
        <v>2</v>
      </c>
      <c r="K79" s="1">
        <f t="shared" ca="1" si="49"/>
        <v>3</v>
      </c>
      <c r="L79" s="1">
        <f t="shared" ca="1" si="50"/>
        <v>5</v>
      </c>
      <c r="N79" s="1"/>
      <c r="O79" s="1"/>
      <c r="P79" s="1"/>
      <c r="Q79" s="1"/>
      <c r="R79" s="1"/>
      <c r="S79" s="1"/>
    </row>
    <row r="80" spans="1:19" x14ac:dyDescent="0.2">
      <c r="A80" s="1" t="s">
        <v>13</v>
      </c>
      <c r="B80">
        <f t="shared" si="41"/>
        <v>0</v>
      </c>
      <c r="C80" s="1">
        <f t="shared" ca="1" si="42"/>
        <v>1.42</v>
      </c>
      <c r="D80" s="1">
        <f t="shared" ca="1" si="43"/>
        <v>0.83</v>
      </c>
      <c r="E80" s="1">
        <f t="shared" ca="1" si="44"/>
        <v>0.66</v>
      </c>
      <c r="F80" s="1">
        <f t="shared" ca="1" si="45"/>
        <v>1.2157142857142857</v>
      </c>
      <c r="G80" s="1">
        <f t="shared" ca="1" si="45"/>
        <v>0.74857142857142855</v>
      </c>
      <c r="H80" s="1">
        <f t="shared" ca="1" si="46"/>
        <v>0.91</v>
      </c>
      <c r="I80" s="1">
        <f t="shared" ca="1" si="47"/>
        <v>1.7488625000000002E-5</v>
      </c>
      <c r="J80" s="1">
        <f t="shared" ca="1" si="48"/>
        <v>2</v>
      </c>
      <c r="K80" s="1">
        <f t="shared" ca="1" si="49"/>
        <v>3</v>
      </c>
      <c r="L80" s="1">
        <f t="shared" ca="1" si="50"/>
        <v>5</v>
      </c>
      <c r="N80" s="1"/>
      <c r="O80" s="1"/>
      <c r="P80" s="1"/>
      <c r="Q80" s="1"/>
      <c r="R80" s="1"/>
      <c r="S80" s="1"/>
    </row>
    <row r="81" spans="1:19" x14ac:dyDescent="0.2">
      <c r="A81" s="1" t="s">
        <v>28</v>
      </c>
      <c r="B81">
        <f t="shared" si="41"/>
        <v>16</v>
      </c>
      <c r="C81" s="1">
        <f t="shared" ca="1" si="42"/>
        <v>0.83</v>
      </c>
      <c r="D81" s="1">
        <f t="shared" ca="1" si="43"/>
        <v>1.19</v>
      </c>
      <c r="E81" s="1">
        <f t="shared" ca="1" si="44"/>
        <v>0.96</v>
      </c>
      <c r="F81" s="1">
        <f t="shared" ca="1" si="45"/>
        <v>1.2528571428571429</v>
      </c>
      <c r="G81" s="1">
        <f t="shared" ca="1" si="45"/>
        <v>0.76142857142857145</v>
      </c>
      <c r="H81" s="1">
        <f t="shared" ca="1" si="46"/>
        <v>1.0225</v>
      </c>
      <c r="I81" s="1">
        <f t="shared" ca="1" si="47"/>
        <v>2.2007699999999999E-5</v>
      </c>
      <c r="J81" s="1">
        <f t="shared" ca="1" si="48"/>
        <v>2</v>
      </c>
      <c r="K81" s="1">
        <f t="shared" ca="1" si="49"/>
        <v>3</v>
      </c>
      <c r="L81" s="1">
        <f t="shared" ca="1" si="50"/>
        <v>5</v>
      </c>
      <c r="N81" s="1"/>
      <c r="O81" s="1"/>
      <c r="P81" s="1"/>
      <c r="Q81" s="1"/>
      <c r="R81" s="1"/>
      <c r="S81" s="1"/>
    </row>
    <row r="82" spans="1:19" x14ac:dyDescent="0.2">
      <c r="A82" s="1" t="s">
        <v>14</v>
      </c>
      <c r="B82">
        <f t="shared" si="41"/>
        <v>2</v>
      </c>
      <c r="C82" s="1">
        <f t="shared" ca="1" si="42"/>
        <v>1.01</v>
      </c>
      <c r="D82" s="1">
        <f t="shared" ca="1" si="43"/>
        <v>0.54</v>
      </c>
      <c r="E82" s="1">
        <f t="shared" ca="1" si="44"/>
        <v>1.46</v>
      </c>
      <c r="F82" s="1">
        <f t="shared" ca="1" si="45"/>
        <v>1.2314285714285713</v>
      </c>
      <c r="G82" s="1">
        <f t="shared" ca="1" si="45"/>
        <v>0.73285714285714287</v>
      </c>
      <c r="H82" s="1">
        <f t="shared" ca="1" si="46"/>
        <v>0.93500000000000005</v>
      </c>
      <c r="I82" s="1">
        <f t="shared" ca="1" si="47"/>
        <v>6.7275359999999993E-5</v>
      </c>
      <c r="J82" s="1">
        <f t="shared" ca="1" si="48"/>
        <v>2</v>
      </c>
      <c r="K82" s="1">
        <f t="shared" ca="1" si="49"/>
        <v>3</v>
      </c>
      <c r="L82" s="1">
        <f t="shared" ca="1" si="50"/>
        <v>5</v>
      </c>
      <c r="N82" s="1"/>
      <c r="O82" s="1"/>
      <c r="P82" s="1"/>
      <c r="Q82" s="1"/>
      <c r="R82" s="1"/>
      <c r="S82" s="1"/>
    </row>
    <row r="83" spans="1:19" x14ac:dyDescent="0.2">
      <c r="A83" s="1" t="s">
        <v>13</v>
      </c>
      <c r="B83">
        <f t="shared" si="41"/>
        <v>0</v>
      </c>
      <c r="C83" s="1">
        <f t="shared" ca="1" si="42"/>
        <v>1.42</v>
      </c>
      <c r="D83" s="1">
        <f t="shared" ca="1" si="43"/>
        <v>0.83</v>
      </c>
      <c r="E83" s="1">
        <f t="shared" ca="1" si="44"/>
        <v>0.66</v>
      </c>
      <c r="F83" s="1">
        <f t="shared" ca="1" si="45"/>
        <v>1.1285714285714286</v>
      </c>
      <c r="G83" s="1">
        <f t="shared" ca="1" si="45"/>
        <v>0.85714285714285732</v>
      </c>
      <c r="H83" s="1">
        <f t="shared" ca="1" si="46"/>
        <v>0.95500000000000007</v>
      </c>
      <c r="I83" s="1">
        <f t="shared" ca="1" si="47"/>
        <v>2.1190400000000003E-5</v>
      </c>
      <c r="J83" s="1">
        <f t="shared" ca="1" si="48"/>
        <v>2</v>
      </c>
      <c r="K83" s="1">
        <f t="shared" ca="1" si="49"/>
        <v>3</v>
      </c>
      <c r="L83" s="1">
        <f t="shared" ca="1" si="50"/>
        <v>5</v>
      </c>
      <c r="N83" s="1"/>
      <c r="O83" s="1"/>
      <c r="P83" s="1"/>
      <c r="Q83" s="1"/>
      <c r="R83" s="1"/>
      <c r="S83" s="1"/>
    </row>
    <row r="84" spans="1:19" x14ac:dyDescent="0.2">
      <c r="A84" s="1" t="s">
        <v>17</v>
      </c>
      <c r="B84">
        <f t="shared" si="41"/>
        <v>3</v>
      </c>
      <c r="C84" s="1">
        <f t="shared" ca="1" si="42"/>
        <v>1.51</v>
      </c>
      <c r="D84" s="1">
        <f t="shared" ca="1" si="43"/>
        <v>0.37</v>
      </c>
      <c r="E84" s="1">
        <f t="shared" ca="1" si="44"/>
        <v>0.74</v>
      </c>
      <c r="F84" s="1">
        <f t="shared" ca="1" si="45"/>
        <v>1.2128571428571426</v>
      </c>
      <c r="G84" s="1">
        <f t="shared" ca="1" si="45"/>
        <v>0.80571428571428583</v>
      </c>
      <c r="H84" s="1">
        <f t="shared" ca="1" si="46"/>
        <v>0.88000000000000012</v>
      </c>
      <c r="I84" s="1">
        <f t="shared" ca="1" si="47"/>
        <v>4.9894151999999996E-5</v>
      </c>
      <c r="J84" s="1">
        <f t="shared" ca="1" si="48"/>
        <v>2</v>
      </c>
      <c r="K84" s="1">
        <f t="shared" ca="1" si="49"/>
        <v>3</v>
      </c>
      <c r="L84" s="1">
        <f t="shared" ca="1" si="50"/>
        <v>5</v>
      </c>
      <c r="N84" s="1"/>
      <c r="O84" s="1"/>
      <c r="P84" s="1"/>
      <c r="Q84" s="1"/>
      <c r="R84" s="1"/>
      <c r="S84" s="1"/>
    </row>
    <row r="85" spans="1:19" x14ac:dyDescent="0.2">
      <c r="A85" s="1" t="s">
        <v>13</v>
      </c>
      <c r="B85">
        <f t="shared" ref="B85:B100" si="51">LOOKUP(A85,$N$4:$N$23,$O$4:$O$23)</f>
        <v>0</v>
      </c>
      <c r="C85" s="1">
        <f t="shared" ref="C85:C100" ca="1" si="52">OFFSET($P$4,B85,0,1,1)</f>
        <v>1.42</v>
      </c>
      <c r="D85" s="1">
        <f t="shared" ref="D85:D100" ca="1" si="53">OFFSET($Q$4,$B85,0,1,1)</f>
        <v>0.83</v>
      </c>
      <c r="E85" s="1">
        <f t="shared" ref="E85:E100" ca="1" si="54">OFFSET($R$4,$B85,0,1,1)</f>
        <v>0.66</v>
      </c>
      <c r="F85" s="1">
        <f t="shared" ca="1" si="45"/>
        <v>1.1785714285714286</v>
      </c>
      <c r="G85" s="1">
        <f t="shared" ca="1" si="45"/>
        <v>0.83571428571428563</v>
      </c>
      <c r="H85" s="1">
        <f t="shared" ca="1" si="46"/>
        <v>0.88</v>
      </c>
      <c r="I85" s="1">
        <f t="shared" ca="1" si="47"/>
        <v>1.0206E-5</v>
      </c>
      <c r="J85" s="1">
        <f t="shared" ca="1" si="48"/>
        <v>2</v>
      </c>
      <c r="K85" s="1">
        <f t="shared" ca="1" si="49"/>
        <v>3</v>
      </c>
      <c r="L85" s="1">
        <f t="shared" ca="1" si="50"/>
        <v>5</v>
      </c>
      <c r="N85" s="1"/>
      <c r="O85" s="1"/>
      <c r="P85" s="1"/>
      <c r="Q85" s="1"/>
      <c r="R85" s="1"/>
      <c r="S85" s="1"/>
    </row>
    <row r="86" spans="1:19" x14ac:dyDescent="0.2">
      <c r="A86" s="1" t="s">
        <v>14</v>
      </c>
      <c r="B86">
        <f t="shared" si="51"/>
        <v>2</v>
      </c>
      <c r="C86" s="1">
        <f t="shared" ca="1" si="52"/>
        <v>1.01</v>
      </c>
      <c r="D86" s="1">
        <f t="shared" ca="1" si="53"/>
        <v>0.54</v>
      </c>
      <c r="E86" s="1">
        <f t="shared" ca="1" si="54"/>
        <v>1.46</v>
      </c>
      <c r="F86" s="1">
        <f t="shared" ca="1" si="45"/>
        <v>1.1485714285714284</v>
      </c>
      <c r="G86" s="1">
        <f t="shared" ca="1" si="45"/>
        <v>0.9028571428571428</v>
      </c>
      <c r="H86" s="1">
        <f t="shared" ca="1" si="46"/>
        <v>0.84</v>
      </c>
      <c r="I86" s="1">
        <f t="shared" ca="1" si="47"/>
        <v>4.0376671999999999E-5</v>
      </c>
      <c r="J86" s="1">
        <f t="shared" ca="1" si="48"/>
        <v>2</v>
      </c>
      <c r="K86" s="1">
        <f t="shared" ca="1" si="49"/>
        <v>3</v>
      </c>
      <c r="L86" s="1">
        <f t="shared" ca="1" si="50"/>
        <v>5</v>
      </c>
      <c r="N86" s="1"/>
      <c r="O86" s="1"/>
      <c r="P86" s="1"/>
      <c r="Q86" s="1"/>
      <c r="R86" s="1"/>
      <c r="S86" s="1"/>
    </row>
    <row r="87" spans="1:19" x14ac:dyDescent="0.2">
      <c r="A87" s="1" t="s">
        <v>29</v>
      </c>
      <c r="B87">
        <f t="shared" si="51"/>
        <v>17</v>
      </c>
      <c r="C87" s="1">
        <f t="shared" ca="1" si="52"/>
        <v>0.7</v>
      </c>
      <c r="D87" s="1">
        <f t="shared" ca="1" si="53"/>
        <v>1.7</v>
      </c>
      <c r="E87" s="1">
        <f t="shared" ca="1" si="54"/>
        <v>0.5</v>
      </c>
      <c r="F87" s="1">
        <f t="shared" ref="F87:G102" ca="1" si="55">AVERAGE(C85:C91)</f>
        <v>1.0285714285714287</v>
      </c>
      <c r="G87" s="1">
        <f t="shared" ca="1" si="55"/>
        <v>0.97714285714285709</v>
      </c>
      <c r="H87" s="1">
        <f t="shared" ref="H87:H102" ca="1" si="56">AVERAGE(E85:E88)</f>
        <v>0.82000000000000006</v>
      </c>
      <c r="I87" s="1">
        <f t="shared" ref="I87:I102" ca="1" si="57">PRODUCT(OFFSET($S$4,B85,0,1,1),OFFSET($S$4,B86,1,1,1),OFFSET($S$4,B87,2,1,1),OFFSET($S$4,B88,3,1,1))</f>
        <v>1.0718400000000001E-5</v>
      </c>
      <c r="J87" s="1">
        <f t="shared" ref="J87:J102" ca="1" si="58">IF(AND(F87&gt;G87,F87&gt;1.05)=TRUE,2,1)</f>
        <v>1</v>
      </c>
      <c r="K87" s="1">
        <f t="shared" ref="K87:K102" ca="1" si="59">IF(AND(G87&gt;1.05,G87&gt;F87)=TRUE,4,3)</f>
        <v>3</v>
      </c>
      <c r="L87" s="1">
        <f t="shared" ref="L87:L102" ca="1" si="60">IF(AND(H87&gt;F87,H87&gt;G87,H87&gt;1,I87&gt;0.000075)=TRUE,6,5)</f>
        <v>5</v>
      </c>
      <c r="N87" s="1"/>
      <c r="O87" s="1"/>
      <c r="P87" s="1"/>
      <c r="Q87" s="1"/>
      <c r="R87" s="1"/>
      <c r="S87" s="1"/>
    </row>
    <row r="88" spans="1:19" x14ac:dyDescent="0.2">
      <c r="A88" s="1" t="s">
        <v>13</v>
      </c>
      <c r="B88">
        <f t="shared" si="51"/>
        <v>0</v>
      </c>
      <c r="C88" s="1">
        <f t="shared" ca="1" si="52"/>
        <v>1.42</v>
      </c>
      <c r="D88" s="1">
        <f t="shared" ca="1" si="53"/>
        <v>0.83</v>
      </c>
      <c r="E88" s="1">
        <f t="shared" ca="1" si="54"/>
        <v>0.66</v>
      </c>
      <c r="F88" s="1">
        <f t="shared" ca="1" si="55"/>
        <v>0.96571428571428564</v>
      </c>
      <c r="G88" s="1">
        <f t="shared" ca="1" si="55"/>
        <v>0.99142857142857133</v>
      </c>
      <c r="H88" s="1">
        <f t="shared" ca="1" si="56"/>
        <v>1.0125</v>
      </c>
      <c r="I88" s="1">
        <f t="shared" ca="1" si="57"/>
        <v>2.6177759999999999E-5</v>
      </c>
      <c r="J88" s="1">
        <f t="shared" ca="1" si="58"/>
        <v>1</v>
      </c>
      <c r="K88" s="1">
        <f t="shared" ca="1" si="59"/>
        <v>3</v>
      </c>
      <c r="L88" s="1">
        <f t="shared" ca="1" si="60"/>
        <v>5</v>
      </c>
      <c r="N88" s="1"/>
      <c r="O88" s="1"/>
      <c r="P88" s="1"/>
      <c r="Q88" s="1"/>
      <c r="R88" s="1"/>
      <c r="S88" s="1"/>
    </row>
    <row r="89" spans="1:19" x14ac:dyDescent="0.2">
      <c r="A89" s="1" t="s">
        <v>27</v>
      </c>
      <c r="B89">
        <f t="shared" si="51"/>
        <v>15</v>
      </c>
      <c r="C89" s="1">
        <f t="shared" ca="1" si="52"/>
        <v>0.77</v>
      </c>
      <c r="D89" s="1">
        <f t="shared" ca="1" si="53"/>
        <v>0.75</v>
      </c>
      <c r="E89" s="1">
        <f t="shared" ca="1" si="54"/>
        <v>1.43</v>
      </c>
      <c r="F89" s="1">
        <f t="shared" ca="1" si="55"/>
        <v>0.96142857142857152</v>
      </c>
      <c r="G89" s="1">
        <f t="shared" ca="1" si="55"/>
        <v>1.0471428571428569</v>
      </c>
      <c r="H89" s="1">
        <f t="shared" ca="1" si="56"/>
        <v>0.79499999999999993</v>
      </c>
      <c r="I89" s="1">
        <f t="shared" ca="1" si="57"/>
        <v>4.1230000000000003E-5</v>
      </c>
      <c r="J89" s="1">
        <f t="shared" ca="1" si="58"/>
        <v>1</v>
      </c>
      <c r="K89" s="1">
        <f t="shared" ca="1" si="59"/>
        <v>3</v>
      </c>
      <c r="L89" s="1">
        <f t="shared" ca="1" si="60"/>
        <v>5</v>
      </c>
      <c r="N89" s="1"/>
      <c r="O89" s="1"/>
      <c r="P89" s="1"/>
      <c r="Q89" s="1"/>
      <c r="R89" s="1"/>
      <c r="S89" s="1"/>
    </row>
    <row r="90" spans="1:19" x14ac:dyDescent="0.2">
      <c r="A90" s="1" t="s">
        <v>23</v>
      </c>
      <c r="B90">
        <f t="shared" si="51"/>
        <v>9</v>
      </c>
      <c r="C90" s="1">
        <f t="shared" ca="1" si="52"/>
        <v>1.21</v>
      </c>
      <c r="D90" s="1">
        <f t="shared" ca="1" si="53"/>
        <v>1.3</v>
      </c>
      <c r="E90" s="1">
        <f t="shared" ca="1" si="54"/>
        <v>0.59</v>
      </c>
      <c r="F90" s="1">
        <f t="shared" ca="1" si="55"/>
        <v>1.0157142857142858</v>
      </c>
      <c r="G90" s="1">
        <f t="shared" ca="1" si="55"/>
        <v>1.0328571428571429</v>
      </c>
      <c r="H90" s="1">
        <f t="shared" ca="1" si="56"/>
        <v>0.91499999999999992</v>
      </c>
      <c r="I90" s="1">
        <f t="shared" ca="1" si="57"/>
        <v>2.7321839999999996E-5</v>
      </c>
      <c r="J90" s="1">
        <f t="shared" ca="1" si="58"/>
        <v>1</v>
      </c>
      <c r="K90" s="1">
        <f t="shared" ca="1" si="59"/>
        <v>3</v>
      </c>
      <c r="L90" s="1">
        <f t="shared" ca="1" si="60"/>
        <v>5</v>
      </c>
      <c r="N90" s="1"/>
      <c r="O90" s="1"/>
      <c r="P90" s="1"/>
      <c r="Q90" s="1"/>
      <c r="R90" s="1"/>
      <c r="S90" s="1"/>
    </row>
    <row r="91" spans="1:19" x14ac:dyDescent="0.2">
      <c r="A91" s="1" t="s">
        <v>24</v>
      </c>
      <c r="B91">
        <f t="shared" si="51"/>
        <v>11</v>
      </c>
      <c r="C91" s="1">
        <f t="shared" ca="1" si="52"/>
        <v>0.67</v>
      </c>
      <c r="D91" s="1">
        <f t="shared" ca="1" si="53"/>
        <v>0.89</v>
      </c>
      <c r="E91" s="1">
        <f t="shared" ca="1" si="54"/>
        <v>0.98</v>
      </c>
      <c r="F91" s="1">
        <f t="shared" ca="1" si="55"/>
        <v>0.97142857142857142</v>
      </c>
      <c r="G91" s="1">
        <f t="shared" ca="1" si="55"/>
        <v>1.0714285714285714</v>
      </c>
      <c r="H91" s="1">
        <f t="shared" ca="1" si="56"/>
        <v>0.98750000000000004</v>
      </c>
      <c r="I91" s="1">
        <f t="shared" ca="1" si="57"/>
        <v>4.8705000000000009E-5</v>
      </c>
      <c r="J91" s="1">
        <f t="shared" ca="1" si="58"/>
        <v>1</v>
      </c>
      <c r="K91" s="1">
        <f t="shared" ca="1" si="59"/>
        <v>4</v>
      </c>
      <c r="L91" s="1">
        <f t="shared" ca="1" si="60"/>
        <v>5</v>
      </c>
      <c r="N91" s="1"/>
      <c r="O91" s="1"/>
      <c r="P91" s="1"/>
      <c r="Q91" s="1"/>
      <c r="R91" s="1"/>
      <c r="S91" s="1"/>
    </row>
    <row r="92" spans="1:19" x14ac:dyDescent="0.2">
      <c r="A92" s="1" t="s">
        <v>26</v>
      </c>
      <c r="B92">
        <f t="shared" si="51"/>
        <v>14</v>
      </c>
      <c r="C92" s="1">
        <f t="shared" ca="1" si="52"/>
        <v>0.98</v>
      </c>
      <c r="D92" s="1">
        <f t="shared" ca="1" si="53"/>
        <v>0.93</v>
      </c>
      <c r="E92" s="1">
        <f t="shared" ca="1" si="54"/>
        <v>0.95</v>
      </c>
      <c r="F92" s="1">
        <f t="shared" ca="1" si="55"/>
        <v>1.0342857142857143</v>
      </c>
      <c r="G92" s="1">
        <f t="shared" ca="1" si="55"/>
        <v>1.1500000000000001</v>
      </c>
      <c r="H92" s="1">
        <f t="shared" ca="1" si="56"/>
        <v>0.86749999999999994</v>
      </c>
      <c r="I92" s="1">
        <f t="shared" ca="1" si="57"/>
        <v>4.2605144999999999E-5</v>
      </c>
      <c r="J92" s="1">
        <f t="shared" ca="1" si="58"/>
        <v>1</v>
      </c>
      <c r="K92" s="1">
        <f t="shared" ca="1" si="59"/>
        <v>4</v>
      </c>
      <c r="L92" s="1">
        <f t="shared" ca="1" si="60"/>
        <v>5</v>
      </c>
      <c r="N92" s="1"/>
      <c r="O92" s="1"/>
      <c r="P92" s="1"/>
      <c r="Q92" s="1"/>
      <c r="R92" s="1"/>
      <c r="S92" s="1"/>
    </row>
    <row r="93" spans="1:19" x14ac:dyDescent="0.2">
      <c r="A93" s="1" t="s">
        <v>26</v>
      </c>
      <c r="B93">
        <f t="shared" si="51"/>
        <v>14</v>
      </c>
      <c r="C93" s="1">
        <f t="shared" ca="1" si="52"/>
        <v>0.98</v>
      </c>
      <c r="D93" s="1">
        <f t="shared" ca="1" si="53"/>
        <v>0.93</v>
      </c>
      <c r="E93" s="1">
        <f t="shared" ca="1" si="54"/>
        <v>0.95</v>
      </c>
      <c r="F93" s="1">
        <f t="shared" ca="1" si="55"/>
        <v>0.96142857142857152</v>
      </c>
      <c r="G93" s="1">
        <f t="shared" ca="1" si="55"/>
        <v>1.2071428571428571</v>
      </c>
      <c r="H93" s="1">
        <f t="shared" ca="1" si="56"/>
        <v>0.83749999999999991</v>
      </c>
      <c r="I93" s="1">
        <f t="shared" ca="1" si="57"/>
        <v>9.4613904000000003E-5</v>
      </c>
      <c r="J93" s="1">
        <f t="shared" ca="1" si="58"/>
        <v>1</v>
      </c>
      <c r="K93" s="1">
        <f t="shared" ca="1" si="59"/>
        <v>4</v>
      </c>
      <c r="L93" s="1">
        <f t="shared" ca="1" si="60"/>
        <v>5</v>
      </c>
      <c r="N93" s="1"/>
      <c r="O93" s="1"/>
      <c r="P93" s="1"/>
      <c r="Q93" s="1"/>
      <c r="R93" s="1"/>
      <c r="S93" s="1"/>
    </row>
    <row r="94" spans="1:19" x14ac:dyDescent="0.2">
      <c r="A94" s="1" t="s">
        <v>16</v>
      </c>
      <c r="B94">
        <f t="shared" si="51"/>
        <v>7</v>
      </c>
      <c r="C94" s="1">
        <f t="shared" ca="1" si="52"/>
        <v>1.08</v>
      </c>
      <c r="D94" s="1">
        <f t="shared" ca="1" si="53"/>
        <v>1.6</v>
      </c>
      <c r="E94" s="1">
        <f t="shared" ca="1" si="54"/>
        <v>0.47</v>
      </c>
      <c r="F94" s="1">
        <f t="shared" ca="1" si="55"/>
        <v>1.0814285714285714</v>
      </c>
      <c r="G94" s="1">
        <f t="shared" ca="1" si="55"/>
        <v>1.132857142857143</v>
      </c>
      <c r="H94" s="1">
        <f t="shared" ca="1" si="56"/>
        <v>0.83750000000000002</v>
      </c>
      <c r="I94" s="1">
        <f t="shared" ca="1" si="57"/>
        <v>9.4530799999999979E-5</v>
      </c>
      <c r="J94" s="1">
        <f t="shared" ca="1" si="58"/>
        <v>1</v>
      </c>
      <c r="K94" s="1">
        <f t="shared" ca="1" si="59"/>
        <v>4</v>
      </c>
      <c r="L94" s="1">
        <f t="shared" ca="1" si="60"/>
        <v>5</v>
      </c>
      <c r="N94" s="1"/>
      <c r="O94" s="1"/>
      <c r="P94" s="1"/>
      <c r="Q94" s="1"/>
      <c r="R94" s="1"/>
      <c r="S94" s="1"/>
    </row>
    <row r="95" spans="1:19" x14ac:dyDescent="0.2">
      <c r="A95" s="1" t="s">
        <v>22</v>
      </c>
      <c r="B95">
        <f t="shared" si="51"/>
        <v>13</v>
      </c>
      <c r="C95" s="1">
        <f t="shared" ca="1" si="52"/>
        <v>1.1100000000000001</v>
      </c>
      <c r="D95" s="1">
        <f t="shared" ca="1" si="53"/>
        <v>1.1000000000000001</v>
      </c>
      <c r="E95" s="1">
        <f t="shared" ca="1" si="54"/>
        <v>0.98</v>
      </c>
      <c r="F95" s="1">
        <f t="shared" ca="1" si="55"/>
        <v>1.157142857142857</v>
      </c>
      <c r="G95" s="1">
        <f t="shared" ca="1" si="55"/>
        <v>1.0528571428571429</v>
      </c>
      <c r="H95" s="1">
        <f t="shared" ca="1" si="56"/>
        <v>0.74749999999999994</v>
      </c>
      <c r="I95" s="1">
        <f t="shared" ca="1" si="57"/>
        <v>6.1642000000000004E-5</v>
      </c>
      <c r="J95" s="1">
        <f t="shared" ca="1" si="58"/>
        <v>2</v>
      </c>
      <c r="K95" s="1">
        <f t="shared" ca="1" si="59"/>
        <v>3</v>
      </c>
      <c r="L95" s="1">
        <f t="shared" ca="1" si="60"/>
        <v>5</v>
      </c>
      <c r="N95" s="1"/>
      <c r="O95" s="1"/>
      <c r="P95" s="1"/>
      <c r="Q95" s="1"/>
      <c r="R95" s="1"/>
      <c r="S95" s="1"/>
    </row>
    <row r="96" spans="1:19" x14ac:dyDescent="0.2">
      <c r="A96" s="1" t="s">
        <v>23</v>
      </c>
      <c r="B96">
        <f t="shared" si="51"/>
        <v>9</v>
      </c>
      <c r="C96" s="1">
        <f t="shared" ca="1" si="52"/>
        <v>1.21</v>
      </c>
      <c r="D96" s="1">
        <f t="shared" ca="1" si="53"/>
        <v>1.3</v>
      </c>
      <c r="E96" s="1">
        <f t="shared" ca="1" si="54"/>
        <v>0.59</v>
      </c>
      <c r="F96" s="1">
        <f t="shared" ca="1" si="55"/>
        <v>1.2328571428571429</v>
      </c>
      <c r="G96" s="1">
        <f t="shared" ca="1" si="55"/>
        <v>0.97285714285714298</v>
      </c>
      <c r="H96" s="1">
        <f t="shared" ca="1" si="56"/>
        <v>0.63500000000000001</v>
      </c>
      <c r="I96" s="1">
        <f t="shared" ca="1" si="57"/>
        <v>8.0403119999999994E-6</v>
      </c>
      <c r="J96" s="1">
        <f t="shared" ca="1" si="58"/>
        <v>2</v>
      </c>
      <c r="K96" s="1">
        <f t="shared" ca="1" si="59"/>
        <v>3</v>
      </c>
      <c r="L96" s="1">
        <f t="shared" ca="1" si="60"/>
        <v>5</v>
      </c>
      <c r="N96" s="1"/>
      <c r="O96" s="1"/>
      <c r="P96" s="1"/>
      <c r="Q96" s="1"/>
      <c r="R96" s="1"/>
      <c r="S96" s="1"/>
    </row>
    <row r="97" spans="1:19" x14ac:dyDescent="0.2">
      <c r="A97" s="1" t="s">
        <v>29</v>
      </c>
      <c r="B97">
        <f t="shared" si="51"/>
        <v>17</v>
      </c>
      <c r="C97" s="1">
        <f t="shared" ca="1" si="52"/>
        <v>0.7</v>
      </c>
      <c r="D97" s="1">
        <f t="shared" ca="1" si="53"/>
        <v>1.7</v>
      </c>
      <c r="E97" s="1">
        <f t="shared" ca="1" si="54"/>
        <v>0.5</v>
      </c>
      <c r="F97" s="1">
        <f t="shared" ca="1" si="55"/>
        <v>1.2514285714285713</v>
      </c>
      <c r="G97" s="1">
        <f t="shared" ca="1" si="55"/>
        <v>0.93</v>
      </c>
      <c r="H97" s="1">
        <f t="shared" ca="1" si="56"/>
        <v>0.7024999999999999</v>
      </c>
      <c r="I97" s="1">
        <f t="shared" ca="1" si="57"/>
        <v>3.3152000000000005E-6</v>
      </c>
      <c r="J97" s="1">
        <f t="shared" ca="1" si="58"/>
        <v>2</v>
      </c>
      <c r="K97" s="1">
        <f t="shared" ca="1" si="59"/>
        <v>3</v>
      </c>
      <c r="L97" s="1">
        <f t="shared" ca="1" si="60"/>
        <v>5</v>
      </c>
      <c r="N97" s="1"/>
      <c r="O97" s="1"/>
      <c r="P97" s="1"/>
      <c r="Q97" s="1"/>
      <c r="R97" s="1"/>
      <c r="S97" s="1"/>
    </row>
    <row r="98" spans="1:19" x14ac:dyDescent="0.2">
      <c r="A98" s="1" t="s">
        <v>17</v>
      </c>
      <c r="B98">
        <f t="shared" si="51"/>
        <v>3</v>
      </c>
      <c r="C98" s="1">
        <f t="shared" ca="1" si="52"/>
        <v>1.51</v>
      </c>
      <c r="D98" s="1">
        <f t="shared" ca="1" si="53"/>
        <v>0.37</v>
      </c>
      <c r="E98" s="1">
        <f t="shared" ca="1" si="54"/>
        <v>0.74</v>
      </c>
      <c r="F98" s="1">
        <f t="shared" ca="1" si="55"/>
        <v>1.2371428571428571</v>
      </c>
      <c r="G98" s="1">
        <f t="shared" ca="1" si="55"/>
        <v>0.85</v>
      </c>
      <c r="H98" s="1">
        <f t="shared" ca="1" si="56"/>
        <v>0.64249999999999996</v>
      </c>
      <c r="I98" s="1">
        <f t="shared" ca="1" si="57"/>
        <v>1.4429184E-5</v>
      </c>
      <c r="J98" s="1">
        <f t="shared" ca="1" si="58"/>
        <v>2</v>
      </c>
      <c r="K98" s="1">
        <f t="shared" ca="1" si="59"/>
        <v>3</v>
      </c>
      <c r="L98" s="1">
        <f t="shared" ca="1" si="60"/>
        <v>5</v>
      </c>
      <c r="N98" s="1"/>
      <c r="O98" s="1"/>
      <c r="P98" s="1"/>
      <c r="Q98" s="1"/>
      <c r="R98" s="1"/>
      <c r="S98" s="1"/>
    </row>
    <row r="99" spans="1:19" x14ac:dyDescent="0.2">
      <c r="A99" s="1" t="s">
        <v>17</v>
      </c>
      <c r="B99">
        <f t="shared" si="51"/>
        <v>3</v>
      </c>
      <c r="C99" s="1">
        <f t="shared" ca="1" si="52"/>
        <v>1.51</v>
      </c>
      <c r="D99" s="1">
        <f t="shared" ca="1" si="53"/>
        <v>0.37</v>
      </c>
      <c r="E99" s="1">
        <f t="shared" ca="1" si="54"/>
        <v>0.74</v>
      </c>
      <c r="F99" s="1">
        <f t="shared" ca="1" si="55"/>
        <v>1.2042857142857142</v>
      </c>
      <c r="G99" s="1">
        <f t="shared" ca="1" si="55"/>
        <v>0.79714285714285715</v>
      </c>
      <c r="H99" s="1">
        <f t="shared" ca="1" si="56"/>
        <v>0.67999999999999994</v>
      </c>
      <c r="I99" s="1">
        <f t="shared" ca="1" si="57"/>
        <v>1.8332160000000001E-5</v>
      </c>
      <c r="J99" s="1">
        <f t="shared" ca="1" si="58"/>
        <v>2</v>
      </c>
      <c r="K99" s="1">
        <f t="shared" ca="1" si="59"/>
        <v>3</v>
      </c>
      <c r="L99" s="1">
        <f t="shared" ca="1" si="60"/>
        <v>5</v>
      </c>
      <c r="N99" s="1"/>
      <c r="O99" s="1"/>
      <c r="P99" s="1"/>
      <c r="Q99" s="1"/>
      <c r="R99" s="1"/>
      <c r="S99" s="1"/>
    </row>
    <row r="100" spans="1:19" x14ac:dyDescent="0.2">
      <c r="A100" s="1" t="s">
        <v>17</v>
      </c>
      <c r="B100">
        <f t="shared" si="51"/>
        <v>3</v>
      </c>
      <c r="C100" s="1">
        <f t="shared" ca="1" si="52"/>
        <v>1.51</v>
      </c>
      <c r="D100" s="1">
        <f t="shared" ca="1" si="53"/>
        <v>0.37</v>
      </c>
      <c r="E100" s="1">
        <f t="shared" ca="1" si="54"/>
        <v>0.74</v>
      </c>
      <c r="F100" s="1">
        <f t="shared" ca="1" si="55"/>
        <v>1.3071428571428572</v>
      </c>
      <c r="G100" s="1">
        <f t="shared" ca="1" si="55"/>
        <v>0.67285714285714282</v>
      </c>
      <c r="H100" s="1">
        <f t="shared" ca="1" si="56"/>
        <v>0.7024999999999999</v>
      </c>
      <c r="I100" s="1">
        <f t="shared" ca="1" si="57"/>
        <v>1.8110400000000002E-5</v>
      </c>
      <c r="J100" s="1">
        <f t="shared" ca="1" si="58"/>
        <v>2</v>
      </c>
      <c r="K100" s="1">
        <f t="shared" ca="1" si="59"/>
        <v>3</v>
      </c>
      <c r="L100" s="1">
        <f t="shared" ca="1" si="60"/>
        <v>5</v>
      </c>
      <c r="N100" s="1"/>
      <c r="O100" s="1"/>
      <c r="P100" s="1"/>
      <c r="Q100" s="1"/>
      <c r="R100" s="1"/>
      <c r="S100" s="1"/>
    </row>
    <row r="101" spans="1:19" x14ac:dyDescent="0.2">
      <c r="A101" s="1" t="s">
        <v>23</v>
      </c>
      <c r="B101">
        <f t="shared" ref="B101:B116" si="61">LOOKUP(A101,$N$4:$N$23,$O$4:$O$23)</f>
        <v>9</v>
      </c>
      <c r="C101" s="1">
        <f t="shared" ref="C101:C116" ca="1" si="62">OFFSET($P$4,B101,0,1,1)</f>
        <v>1.21</v>
      </c>
      <c r="D101" s="1">
        <f t="shared" ref="D101:D116" ca="1" si="63">OFFSET($Q$4,$B101,0,1,1)</f>
        <v>1.3</v>
      </c>
      <c r="E101" s="1">
        <f t="shared" ref="E101:E116" ca="1" si="64">OFFSET($R$4,$B101,0,1,1)</f>
        <v>0.59</v>
      </c>
      <c r="F101" s="1">
        <f t="shared" ca="1" si="55"/>
        <v>1.25</v>
      </c>
      <c r="G101" s="1">
        <f t="shared" ca="1" si="55"/>
        <v>0.77714285714285702</v>
      </c>
      <c r="H101" s="1">
        <f t="shared" ca="1" si="56"/>
        <v>0.88249999999999995</v>
      </c>
      <c r="I101" s="1">
        <f t="shared" ca="1" si="57"/>
        <v>9.7977600000000002E-6</v>
      </c>
      <c r="J101" s="1">
        <f t="shared" ca="1" si="58"/>
        <v>2</v>
      </c>
      <c r="K101" s="1">
        <f t="shared" ca="1" si="59"/>
        <v>3</v>
      </c>
      <c r="L101" s="1">
        <f t="shared" ca="1" si="60"/>
        <v>5</v>
      </c>
      <c r="N101" s="1"/>
      <c r="O101" s="1"/>
      <c r="P101" s="1"/>
      <c r="Q101" s="1"/>
      <c r="R101" s="1"/>
      <c r="S101" s="1"/>
    </row>
    <row r="102" spans="1:19" x14ac:dyDescent="0.2">
      <c r="A102" s="1" t="s">
        <v>14</v>
      </c>
      <c r="B102">
        <f t="shared" si="61"/>
        <v>2</v>
      </c>
      <c r="C102" s="1">
        <f t="shared" ca="1" si="62"/>
        <v>1.01</v>
      </c>
      <c r="D102" s="1">
        <f t="shared" ca="1" si="63"/>
        <v>0.54</v>
      </c>
      <c r="E102" s="1">
        <f t="shared" ca="1" si="64"/>
        <v>1.46</v>
      </c>
      <c r="F102" s="1">
        <f t="shared" ca="1" si="55"/>
        <v>1.25</v>
      </c>
      <c r="G102" s="1">
        <f t="shared" ca="1" si="55"/>
        <v>0.77714285714285725</v>
      </c>
      <c r="H102" s="1">
        <f t="shared" ca="1" si="56"/>
        <v>0.93500000000000005</v>
      </c>
      <c r="I102" s="1">
        <f t="shared" ca="1" si="57"/>
        <v>2.1301000000000002E-5</v>
      </c>
      <c r="J102" s="1">
        <f t="shared" ca="1" si="58"/>
        <v>2</v>
      </c>
      <c r="K102" s="1">
        <f t="shared" ca="1" si="59"/>
        <v>3</v>
      </c>
      <c r="L102" s="1">
        <f t="shared" ca="1" si="60"/>
        <v>5</v>
      </c>
      <c r="N102" s="1"/>
      <c r="O102" s="1"/>
      <c r="P102" s="1"/>
      <c r="Q102" s="1"/>
      <c r="R102" s="1"/>
      <c r="S102" s="1"/>
    </row>
    <row r="103" spans="1:19" x14ac:dyDescent="0.2">
      <c r="A103" s="1" t="s">
        <v>26</v>
      </c>
      <c r="B103">
        <f t="shared" si="61"/>
        <v>14</v>
      </c>
      <c r="C103" s="1">
        <f t="shared" ca="1" si="62"/>
        <v>0.98</v>
      </c>
      <c r="D103" s="1">
        <f t="shared" ca="1" si="63"/>
        <v>0.93</v>
      </c>
      <c r="E103" s="1">
        <f t="shared" ca="1" si="64"/>
        <v>0.95</v>
      </c>
      <c r="F103" s="1">
        <f t="shared" ref="F103:G118" ca="1" si="65">AVERAGE(C101:C107)</f>
        <v>1.1742857142857142</v>
      </c>
      <c r="G103" s="1">
        <f t="shared" ca="1" si="65"/>
        <v>0.8571428571428571</v>
      </c>
      <c r="H103" s="1">
        <f t="shared" ref="H103:H118" ca="1" si="66">AVERAGE(E101:E104)</f>
        <v>0.91500000000000004</v>
      </c>
      <c r="I103" s="1">
        <f t="shared" ref="I103:I118" ca="1" si="67">PRODUCT(OFFSET($S$4,B101,0,1,1),OFFSET($S$4,B102,1,1,1),OFFSET($S$4,B103,2,1,1),OFFSET($S$4,B104,3,1,1))</f>
        <v>3.8528820000000004E-5</v>
      </c>
      <c r="J103" s="1">
        <f t="shared" ref="J103:J118" ca="1" si="68">IF(AND(F103&gt;G103,F103&gt;1.05)=TRUE,2,1)</f>
        <v>2</v>
      </c>
      <c r="K103" s="1">
        <f t="shared" ref="K103:K118" ca="1" si="69">IF(AND(G103&gt;1.05,G103&gt;F103)=TRUE,4,3)</f>
        <v>3</v>
      </c>
      <c r="L103" s="1">
        <f t="shared" ref="L103:L118" ca="1" si="70">IF(AND(H103&gt;F103,H103&gt;G103,H103&gt;1,I103&gt;0.000075)=TRUE,6,5)</f>
        <v>5</v>
      </c>
      <c r="N103" s="1"/>
      <c r="O103" s="1"/>
      <c r="P103" s="1"/>
      <c r="Q103" s="1"/>
      <c r="R103" s="1"/>
      <c r="S103" s="1"/>
    </row>
    <row r="104" spans="1:19" x14ac:dyDescent="0.2">
      <c r="A104" s="1" t="s">
        <v>13</v>
      </c>
      <c r="B104">
        <f t="shared" si="61"/>
        <v>0</v>
      </c>
      <c r="C104" s="1">
        <f t="shared" ca="1" si="62"/>
        <v>1.42</v>
      </c>
      <c r="D104" s="1">
        <f t="shared" ca="1" si="63"/>
        <v>0.83</v>
      </c>
      <c r="E104" s="1">
        <f t="shared" ca="1" si="64"/>
        <v>0.66</v>
      </c>
      <c r="F104" s="1">
        <f t="shared" ca="1" si="65"/>
        <v>1.1742857142857142</v>
      </c>
      <c r="G104" s="1">
        <f t="shared" ca="1" si="65"/>
        <v>0.8571428571428571</v>
      </c>
      <c r="H104" s="1">
        <f t="shared" ca="1" si="66"/>
        <v>1.0125000000000002</v>
      </c>
      <c r="I104" s="1">
        <f t="shared" ca="1" si="67"/>
        <v>5.3446260000000001E-5</v>
      </c>
      <c r="J104" s="1">
        <f t="shared" ca="1" si="68"/>
        <v>2</v>
      </c>
      <c r="K104" s="1">
        <f t="shared" ca="1" si="69"/>
        <v>3</v>
      </c>
      <c r="L104" s="1">
        <f t="shared" ca="1" si="70"/>
        <v>5</v>
      </c>
      <c r="N104" s="1"/>
      <c r="O104" s="1"/>
      <c r="P104" s="1"/>
      <c r="Q104" s="1"/>
      <c r="R104" s="1"/>
      <c r="S104" s="1"/>
    </row>
    <row r="105" spans="1:19" x14ac:dyDescent="0.2">
      <c r="A105" s="1" t="s">
        <v>22</v>
      </c>
      <c r="B105">
        <f t="shared" si="61"/>
        <v>13</v>
      </c>
      <c r="C105" s="1">
        <f t="shared" ca="1" si="62"/>
        <v>1.1100000000000001</v>
      </c>
      <c r="D105" s="1">
        <f t="shared" ca="1" si="63"/>
        <v>1.1000000000000001</v>
      </c>
      <c r="E105" s="1">
        <f t="shared" ca="1" si="64"/>
        <v>0.98</v>
      </c>
      <c r="F105" s="1">
        <f t="shared" ca="1" si="65"/>
        <v>1.1485714285714284</v>
      </c>
      <c r="G105" s="1">
        <f t="shared" ca="1" si="65"/>
        <v>0.95000000000000007</v>
      </c>
      <c r="H105" s="1">
        <f t="shared" ca="1" si="66"/>
        <v>0.83250000000000002</v>
      </c>
      <c r="I105" s="1">
        <f t="shared" ca="1" si="67"/>
        <v>1.259776E-4</v>
      </c>
      <c r="J105" s="1">
        <f t="shared" ca="1" si="68"/>
        <v>2</v>
      </c>
      <c r="K105" s="1">
        <f t="shared" ca="1" si="69"/>
        <v>3</v>
      </c>
      <c r="L105" s="1">
        <f t="shared" ca="1" si="70"/>
        <v>5</v>
      </c>
      <c r="N105" s="1"/>
      <c r="O105" s="1"/>
      <c r="P105" s="1"/>
      <c r="Q105" s="1"/>
      <c r="R105" s="1"/>
      <c r="S105" s="1"/>
    </row>
    <row r="106" spans="1:19" x14ac:dyDescent="0.2">
      <c r="A106" s="1" t="s">
        <v>17</v>
      </c>
      <c r="B106">
        <f t="shared" si="61"/>
        <v>3</v>
      </c>
      <c r="C106" s="1">
        <f t="shared" ca="1" si="62"/>
        <v>1.51</v>
      </c>
      <c r="D106" s="1">
        <f t="shared" ca="1" si="63"/>
        <v>0.37</v>
      </c>
      <c r="E106" s="1">
        <f t="shared" ca="1" si="64"/>
        <v>0.74</v>
      </c>
      <c r="F106" s="1">
        <f t="shared" ca="1" si="65"/>
        <v>1.2114285714285715</v>
      </c>
      <c r="G106" s="1">
        <f t="shared" ca="1" si="65"/>
        <v>0.93571428571428583</v>
      </c>
      <c r="H106" s="1">
        <f t="shared" ca="1" si="66"/>
        <v>0.83250000000000002</v>
      </c>
      <c r="I106" s="1">
        <f t="shared" ca="1" si="67"/>
        <v>3.8484600000000001E-5</v>
      </c>
      <c r="J106" s="1">
        <f t="shared" ca="1" si="68"/>
        <v>2</v>
      </c>
      <c r="K106" s="1">
        <f t="shared" ca="1" si="69"/>
        <v>3</v>
      </c>
      <c r="L106" s="1">
        <f t="shared" ca="1" si="70"/>
        <v>5</v>
      </c>
      <c r="N106" s="1"/>
      <c r="O106" s="1"/>
      <c r="P106" s="1"/>
      <c r="Q106" s="1"/>
      <c r="R106" s="1"/>
      <c r="S106" s="1"/>
    </row>
    <row r="107" spans="1:19" x14ac:dyDescent="0.2">
      <c r="A107" s="1" t="s">
        <v>26</v>
      </c>
      <c r="B107">
        <f t="shared" si="61"/>
        <v>14</v>
      </c>
      <c r="C107" s="1">
        <f t="shared" ca="1" si="62"/>
        <v>0.98</v>
      </c>
      <c r="D107" s="1">
        <f t="shared" ca="1" si="63"/>
        <v>0.93</v>
      </c>
      <c r="E107" s="1">
        <f t="shared" ca="1" si="64"/>
        <v>0.95</v>
      </c>
      <c r="F107" s="1">
        <f t="shared" ca="1" si="65"/>
        <v>1.1814285714285713</v>
      </c>
      <c r="G107" s="1">
        <f t="shared" ca="1" si="65"/>
        <v>1.0028571428571429</v>
      </c>
      <c r="H107" s="1">
        <f t="shared" ca="1" si="66"/>
        <v>0.81499999999999995</v>
      </c>
      <c r="I107" s="1">
        <f t="shared" ca="1" si="67"/>
        <v>3.0769200000000003E-5</v>
      </c>
      <c r="J107" s="1">
        <f t="shared" ca="1" si="68"/>
        <v>2</v>
      </c>
      <c r="K107" s="1">
        <f t="shared" ca="1" si="69"/>
        <v>3</v>
      </c>
      <c r="L107" s="1">
        <f t="shared" ca="1" si="70"/>
        <v>5</v>
      </c>
      <c r="N107" s="1"/>
      <c r="O107" s="1"/>
      <c r="P107" s="1"/>
      <c r="Q107" s="1"/>
      <c r="R107" s="1"/>
      <c r="S107" s="1"/>
    </row>
    <row r="108" spans="1:19" x14ac:dyDescent="0.2">
      <c r="A108" s="1" t="s">
        <v>23</v>
      </c>
      <c r="B108">
        <f t="shared" si="61"/>
        <v>9</v>
      </c>
      <c r="C108" s="1">
        <f t="shared" ca="1" si="62"/>
        <v>1.21</v>
      </c>
      <c r="D108" s="1">
        <f t="shared" ca="1" si="63"/>
        <v>1.3</v>
      </c>
      <c r="E108" s="1">
        <f t="shared" ca="1" si="64"/>
        <v>0.59</v>
      </c>
      <c r="F108" s="1">
        <f t="shared" ca="1" si="65"/>
        <v>1.1814285714285713</v>
      </c>
      <c r="G108" s="1">
        <f t="shared" ca="1" si="65"/>
        <v>1.0028571428571429</v>
      </c>
      <c r="H108" s="1">
        <f t="shared" ca="1" si="66"/>
        <v>0.80999999999999994</v>
      </c>
      <c r="I108" s="1">
        <f t="shared" ca="1" si="67"/>
        <v>1.6881983999999998E-5</v>
      </c>
      <c r="J108" s="1">
        <f t="shared" ca="1" si="68"/>
        <v>2</v>
      </c>
      <c r="K108" s="1">
        <f t="shared" ca="1" si="69"/>
        <v>3</v>
      </c>
      <c r="L108" s="1">
        <f t="shared" ca="1" si="70"/>
        <v>5</v>
      </c>
      <c r="N108" s="1"/>
      <c r="O108" s="1"/>
      <c r="P108" s="1"/>
      <c r="Q108" s="1"/>
      <c r="R108" s="1"/>
      <c r="S108" s="1"/>
    </row>
    <row r="109" spans="1:19" x14ac:dyDescent="0.2">
      <c r="A109" s="1" t="s">
        <v>28</v>
      </c>
      <c r="B109">
        <f t="shared" si="61"/>
        <v>16</v>
      </c>
      <c r="C109" s="1">
        <f t="shared" ca="1" si="62"/>
        <v>0.83</v>
      </c>
      <c r="D109" s="1">
        <f t="shared" ca="1" si="63"/>
        <v>1.19</v>
      </c>
      <c r="E109" s="1">
        <f t="shared" ca="1" si="64"/>
        <v>0.96</v>
      </c>
      <c r="F109" s="1">
        <f t="shared" ca="1" si="65"/>
        <v>1.1314285714285715</v>
      </c>
      <c r="G109" s="1">
        <f t="shared" ca="1" si="65"/>
        <v>1.0557142857142858</v>
      </c>
      <c r="H109" s="1">
        <f t="shared" ca="1" si="66"/>
        <v>0.79</v>
      </c>
      <c r="I109" s="1">
        <f t="shared" ca="1" si="67"/>
        <v>6.5974999999999991E-5</v>
      </c>
      <c r="J109" s="1">
        <f t="shared" ca="1" si="68"/>
        <v>2</v>
      </c>
      <c r="K109" s="1">
        <f t="shared" ca="1" si="69"/>
        <v>3</v>
      </c>
      <c r="L109" s="1">
        <f t="shared" ca="1" si="70"/>
        <v>5</v>
      </c>
      <c r="N109" s="1"/>
      <c r="O109" s="1"/>
      <c r="P109" s="1"/>
      <c r="Q109" s="1"/>
      <c r="R109" s="1"/>
      <c r="S109" s="1"/>
    </row>
    <row r="110" spans="1:19" x14ac:dyDescent="0.2">
      <c r="A110" s="1" t="s">
        <v>13</v>
      </c>
      <c r="B110">
        <f t="shared" si="61"/>
        <v>0</v>
      </c>
      <c r="C110" s="1">
        <f t="shared" ca="1" si="62"/>
        <v>1.42</v>
      </c>
      <c r="D110" s="1">
        <f t="shared" ca="1" si="63"/>
        <v>0.83</v>
      </c>
      <c r="E110" s="1">
        <f t="shared" ca="1" si="64"/>
        <v>0.66</v>
      </c>
      <c r="F110" s="1">
        <f t="shared" ca="1" si="65"/>
        <v>1.1642857142857144</v>
      </c>
      <c r="G110" s="1">
        <f t="shared" ca="1" si="65"/>
        <v>1.1085714285714288</v>
      </c>
      <c r="H110" s="1">
        <f t="shared" ca="1" si="66"/>
        <v>0.7</v>
      </c>
      <c r="I110" s="1">
        <f t="shared" ca="1" si="67"/>
        <v>1.6140600000000003E-5</v>
      </c>
      <c r="J110" s="1">
        <f t="shared" ca="1" si="68"/>
        <v>2</v>
      </c>
      <c r="K110" s="1">
        <f t="shared" ca="1" si="69"/>
        <v>3</v>
      </c>
      <c r="L110" s="1">
        <f t="shared" ca="1" si="70"/>
        <v>5</v>
      </c>
      <c r="N110" s="1"/>
      <c r="O110" s="1"/>
      <c r="P110" s="1"/>
      <c r="Q110" s="1"/>
      <c r="R110" s="1"/>
      <c r="S110" s="1"/>
    </row>
    <row r="111" spans="1:19" x14ac:dyDescent="0.2">
      <c r="A111" s="1" t="s">
        <v>23</v>
      </c>
      <c r="B111">
        <f t="shared" si="61"/>
        <v>9</v>
      </c>
      <c r="C111" s="1">
        <f t="shared" ca="1" si="62"/>
        <v>1.21</v>
      </c>
      <c r="D111" s="1">
        <f t="shared" ca="1" si="63"/>
        <v>1.3</v>
      </c>
      <c r="E111" s="1">
        <f t="shared" ca="1" si="64"/>
        <v>0.59</v>
      </c>
      <c r="F111" s="1">
        <f t="shared" ca="1" si="65"/>
        <v>1.2071428571428573</v>
      </c>
      <c r="G111" s="1">
        <f t="shared" ca="1" si="65"/>
        <v>0.97571428571428576</v>
      </c>
      <c r="H111" s="1">
        <f t="shared" ca="1" si="66"/>
        <v>0.79749999999999999</v>
      </c>
      <c r="I111" s="1">
        <f t="shared" ca="1" si="67"/>
        <v>2.3059007999999996E-5</v>
      </c>
      <c r="J111" s="1">
        <f t="shared" ca="1" si="68"/>
        <v>2</v>
      </c>
      <c r="K111" s="1">
        <f t="shared" ca="1" si="69"/>
        <v>3</v>
      </c>
      <c r="L111" s="1">
        <f t="shared" ca="1" si="70"/>
        <v>5</v>
      </c>
      <c r="N111" s="1"/>
      <c r="O111" s="1"/>
      <c r="P111" s="1"/>
      <c r="Q111" s="1"/>
      <c r="R111" s="1"/>
      <c r="S111" s="1"/>
    </row>
    <row r="112" spans="1:19" x14ac:dyDescent="0.2">
      <c r="A112" s="1" t="s">
        <v>22</v>
      </c>
      <c r="B112">
        <f t="shared" si="61"/>
        <v>13</v>
      </c>
      <c r="C112" s="1">
        <f t="shared" ca="1" si="62"/>
        <v>1.1100000000000001</v>
      </c>
      <c r="D112" s="1">
        <f t="shared" ca="1" si="63"/>
        <v>1.1000000000000001</v>
      </c>
      <c r="E112" s="1">
        <f t="shared" ca="1" si="64"/>
        <v>0.98</v>
      </c>
      <c r="F112" s="1">
        <f t="shared" ca="1" si="65"/>
        <v>1.3042857142857145</v>
      </c>
      <c r="G112" s="1">
        <f t="shared" ca="1" si="65"/>
        <v>0.85857142857142854</v>
      </c>
      <c r="H112" s="1">
        <f t="shared" ca="1" si="66"/>
        <v>0.81</v>
      </c>
      <c r="I112" s="1">
        <f t="shared" ca="1" si="67"/>
        <v>5.2724999999999999E-6</v>
      </c>
      <c r="J112" s="1">
        <f t="shared" ca="1" si="68"/>
        <v>2</v>
      </c>
      <c r="K112" s="1">
        <f t="shared" ca="1" si="69"/>
        <v>3</v>
      </c>
      <c r="L112" s="1">
        <f t="shared" ca="1" si="70"/>
        <v>5</v>
      </c>
      <c r="N112" s="1"/>
      <c r="O112" s="1"/>
      <c r="P112" s="1"/>
      <c r="Q112" s="1"/>
      <c r="R112" s="1"/>
      <c r="S112" s="1"/>
    </row>
    <row r="113" spans="1:19" x14ac:dyDescent="0.2">
      <c r="A113" s="1" t="s">
        <v>18</v>
      </c>
      <c r="B113">
        <f t="shared" si="61"/>
        <v>8</v>
      </c>
      <c r="C113" s="1">
        <f t="shared" ca="1" si="62"/>
        <v>1.1599999999999999</v>
      </c>
      <c r="D113" s="1">
        <f t="shared" ca="1" si="63"/>
        <v>0.74</v>
      </c>
      <c r="E113" s="1">
        <f t="shared" ca="1" si="64"/>
        <v>1.01</v>
      </c>
      <c r="F113" s="1">
        <f t="shared" ca="1" si="65"/>
        <v>1.304285714285714</v>
      </c>
      <c r="G113" s="1">
        <f t="shared" ca="1" si="65"/>
        <v>0.85857142857142865</v>
      </c>
      <c r="H113" s="1">
        <f t="shared" ca="1" si="66"/>
        <v>0.79249999999999998</v>
      </c>
      <c r="I113" s="1">
        <f t="shared" ca="1" si="67"/>
        <v>3.0129120000000001E-5</v>
      </c>
      <c r="J113" s="1">
        <f t="shared" ca="1" si="68"/>
        <v>2</v>
      </c>
      <c r="K113" s="1">
        <f t="shared" ca="1" si="69"/>
        <v>3</v>
      </c>
      <c r="L113" s="1">
        <f t="shared" ca="1" si="70"/>
        <v>5</v>
      </c>
      <c r="N113" s="1"/>
      <c r="O113" s="1"/>
      <c r="P113" s="1"/>
      <c r="Q113" s="1"/>
      <c r="R113" s="1"/>
      <c r="S113" s="1"/>
    </row>
    <row r="114" spans="1:19" x14ac:dyDescent="0.2">
      <c r="A114" s="1" t="s">
        <v>23</v>
      </c>
      <c r="B114">
        <f t="shared" si="61"/>
        <v>9</v>
      </c>
      <c r="C114" s="1">
        <f t="shared" ca="1" si="62"/>
        <v>1.21</v>
      </c>
      <c r="D114" s="1">
        <f t="shared" ca="1" si="63"/>
        <v>1.3</v>
      </c>
      <c r="E114" s="1">
        <f t="shared" ca="1" si="64"/>
        <v>0.59</v>
      </c>
      <c r="F114" s="1">
        <f t="shared" ca="1" si="65"/>
        <v>1.3471428571428572</v>
      </c>
      <c r="G114" s="1">
        <f t="shared" ca="1" si="65"/>
        <v>0.72571428571428576</v>
      </c>
      <c r="H114" s="1">
        <f t="shared" ca="1" si="66"/>
        <v>0.83000000000000007</v>
      </c>
      <c r="I114" s="1">
        <f t="shared" ca="1" si="67"/>
        <v>1.960704E-5</v>
      </c>
      <c r="J114" s="1">
        <f t="shared" ca="1" si="68"/>
        <v>2</v>
      </c>
      <c r="K114" s="1">
        <f t="shared" ca="1" si="69"/>
        <v>3</v>
      </c>
      <c r="L114" s="1">
        <f t="shared" ca="1" si="70"/>
        <v>5</v>
      </c>
      <c r="N114" s="1"/>
      <c r="O114" s="1"/>
      <c r="P114" s="1"/>
      <c r="Q114" s="1"/>
      <c r="R114" s="1"/>
      <c r="S114" s="1"/>
    </row>
    <row r="115" spans="1:19" x14ac:dyDescent="0.2">
      <c r="A115" s="1" t="s">
        <v>17</v>
      </c>
      <c r="B115">
        <f t="shared" si="61"/>
        <v>3</v>
      </c>
      <c r="C115" s="1">
        <f t="shared" ca="1" si="62"/>
        <v>1.51</v>
      </c>
      <c r="D115" s="1">
        <f t="shared" ca="1" si="63"/>
        <v>0.37</v>
      </c>
      <c r="E115" s="1">
        <f t="shared" ca="1" si="64"/>
        <v>0.74</v>
      </c>
      <c r="F115" s="1">
        <f t="shared" ca="1" si="65"/>
        <v>1.3542857142857143</v>
      </c>
      <c r="G115" s="1">
        <f t="shared" ca="1" si="65"/>
        <v>0.67428571428571438</v>
      </c>
      <c r="H115" s="1">
        <f t="shared" ca="1" si="66"/>
        <v>0.77</v>
      </c>
      <c r="I115" s="1">
        <f t="shared" ca="1" si="67"/>
        <v>6.7760000000000009E-6</v>
      </c>
      <c r="J115" s="1">
        <f t="shared" ca="1" si="68"/>
        <v>2</v>
      </c>
      <c r="K115" s="1">
        <f t="shared" ca="1" si="69"/>
        <v>3</v>
      </c>
      <c r="L115" s="1">
        <f t="shared" ca="1" si="70"/>
        <v>5</v>
      </c>
      <c r="N115" s="1"/>
      <c r="O115" s="1"/>
      <c r="P115" s="1"/>
      <c r="Q115" s="1"/>
      <c r="R115" s="1"/>
      <c r="S115" s="1"/>
    </row>
    <row r="116" spans="1:19" x14ac:dyDescent="0.2">
      <c r="A116" s="1" t="s">
        <v>17</v>
      </c>
      <c r="B116">
        <f t="shared" si="61"/>
        <v>3</v>
      </c>
      <c r="C116" s="1">
        <f t="shared" ca="1" si="62"/>
        <v>1.51</v>
      </c>
      <c r="D116" s="1">
        <f t="shared" ca="1" si="63"/>
        <v>0.37</v>
      </c>
      <c r="E116" s="1">
        <f t="shared" ca="1" si="64"/>
        <v>0.74</v>
      </c>
      <c r="F116" s="1">
        <f t="shared" ca="1" si="65"/>
        <v>1.3914285714285712</v>
      </c>
      <c r="G116" s="1">
        <f t="shared" ca="1" si="65"/>
        <v>0.68714285714285717</v>
      </c>
      <c r="H116" s="1">
        <f t="shared" ca="1" si="66"/>
        <v>0.68250000000000011</v>
      </c>
      <c r="I116" s="1">
        <f t="shared" ca="1" si="67"/>
        <v>1.6345559999999999E-5</v>
      </c>
      <c r="J116" s="1">
        <f t="shared" ca="1" si="68"/>
        <v>2</v>
      </c>
      <c r="K116" s="1">
        <f t="shared" ca="1" si="69"/>
        <v>3</v>
      </c>
      <c r="L116" s="1">
        <f t="shared" ca="1" si="70"/>
        <v>5</v>
      </c>
      <c r="N116" s="1"/>
      <c r="O116" s="1"/>
      <c r="P116" s="1"/>
      <c r="Q116" s="1"/>
      <c r="R116" s="1"/>
      <c r="S116" s="1"/>
    </row>
    <row r="117" spans="1:19" x14ac:dyDescent="0.2">
      <c r="A117" s="1" t="s">
        <v>13</v>
      </c>
      <c r="B117">
        <f t="shared" ref="B117:B132" si="71">LOOKUP(A117,$N$4:$N$23,$O$4:$O$23)</f>
        <v>0</v>
      </c>
      <c r="C117" s="1">
        <f t="shared" ref="C117:C132" ca="1" si="72">OFFSET($P$4,B117,0,1,1)</f>
        <v>1.42</v>
      </c>
      <c r="D117" s="1">
        <f t="shared" ref="D117:D132" ca="1" si="73">OFFSET($Q$4,$B117,0,1,1)</f>
        <v>0.83</v>
      </c>
      <c r="E117" s="1">
        <f t="shared" ref="E117:E132" ca="1" si="74">OFFSET($R$4,$B117,0,1,1)</f>
        <v>0.66</v>
      </c>
      <c r="F117" s="1">
        <f t="shared" ca="1" si="65"/>
        <v>1.4214285714285713</v>
      </c>
      <c r="G117" s="1">
        <f t="shared" ca="1" si="65"/>
        <v>0.62</v>
      </c>
      <c r="H117" s="1">
        <f t="shared" ca="1" si="66"/>
        <v>0.72</v>
      </c>
      <c r="I117" s="1">
        <f t="shared" ca="1" si="67"/>
        <v>7.5264000000000013E-6</v>
      </c>
      <c r="J117" s="1">
        <f t="shared" ca="1" si="68"/>
        <v>2</v>
      </c>
      <c r="K117" s="1">
        <f t="shared" ca="1" si="69"/>
        <v>3</v>
      </c>
      <c r="L117" s="1">
        <f t="shared" ca="1" si="70"/>
        <v>5</v>
      </c>
      <c r="N117" s="1"/>
      <c r="O117" s="1"/>
      <c r="P117" s="1"/>
      <c r="Q117" s="1"/>
      <c r="R117" s="1"/>
      <c r="S117" s="1"/>
    </row>
    <row r="118" spans="1:19" x14ac:dyDescent="0.2">
      <c r="A118" s="1" t="s">
        <v>17</v>
      </c>
      <c r="B118">
        <f t="shared" si="71"/>
        <v>3</v>
      </c>
      <c r="C118" s="1">
        <f t="shared" ca="1" si="72"/>
        <v>1.51</v>
      </c>
      <c r="D118" s="1">
        <f t="shared" ca="1" si="73"/>
        <v>0.37</v>
      </c>
      <c r="E118" s="1">
        <f t="shared" ca="1" si="74"/>
        <v>0.74</v>
      </c>
      <c r="F118" s="1">
        <f t="shared" ca="1" si="65"/>
        <v>1.3499999999999999</v>
      </c>
      <c r="G118" s="1">
        <f t="shared" ca="1" si="65"/>
        <v>0.64428571428571424</v>
      </c>
      <c r="H118" s="1">
        <f t="shared" ca="1" si="66"/>
        <v>0.78749999999999987</v>
      </c>
      <c r="I118" s="1">
        <f t="shared" ca="1" si="67"/>
        <v>3.1132640000000004E-5</v>
      </c>
      <c r="J118" s="1">
        <f t="shared" ca="1" si="68"/>
        <v>2</v>
      </c>
      <c r="K118" s="1">
        <f t="shared" ca="1" si="69"/>
        <v>3</v>
      </c>
      <c r="L118" s="1">
        <f t="shared" ca="1" si="70"/>
        <v>5</v>
      </c>
      <c r="N118" s="1"/>
      <c r="O118" s="1"/>
      <c r="P118" s="1"/>
      <c r="Q118" s="1"/>
      <c r="R118" s="1"/>
      <c r="S118" s="1"/>
    </row>
    <row r="119" spans="1:19" x14ac:dyDescent="0.2">
      <c r="A119" s="1" t="s">
        <v>18</v>
      </c>
      <c r="B119">
        <f t="shared" si="71"/>
        <v>8</v>
      </c>
      <c r="C119" s="1">
        <f t="shared" ca="1" si="72"/>
        <v>1.1599999999999999</v>
      </c>
      <c r="D119" s="1">
        <f t="shared" ca="1" si="73"/>
        <v>0.74</v>
      </c>
      <c r="E119" s="1">
        <f t="shared" ca="1" si="74"/>
        <v>1.01</v>
      </c>
      <c r="F119" s="1">
        <f t="shared" ref="F119:G134" ca="1" si="75">AVERAGE(C117:C123)</f>
        <v>1.3499999999999999</v>
      </c>
      <c r="G119" s="1">
        <f t="shared" ca="1" si="75"/>
        <v>0.64428571428571435</v>
      </c>
      <c r="H119" s="1">
        <f t="shared" ref="H119:H134" ca="1" si="76">AVERAGE(E117:E120)</f>
        <v>0.76750000000000007</v>
      </c>
      <c r="I119" s="1">
        <f t="shared" ref="I119:I134" ca="1" si="77">PRODUCT(OFFSET($S$4,B117,0,1,1),OFFSET($S$4,B118,1,1,1),OFFSET($S$4,B119,2,1,1),OFFSET($S$4,B120,3,1,1))</f>
        <v>1.5033599999999998E-5</v>
      </c>
      <c r="J119" s="1">
        <f t="shared" ref="J119:J134" ca="1" si="78">IF(AND(F119&gt;G119,F119&gt;1.05)=TRUE,2,1)</f>
        <v>2</v>
      </c>
      <c r="K119" s="1">
        <f t="shared" ref="K119:K134" ca="1" si="79">IF(AND(G119&gt;1.05,G119&gt;F119)=TRUE,4,3)</f>
        <v>3</v>
      </c>
      <c r="L119" s="1">
        <f t="shared" ref="L119:L134" ca="1" si="80">IF(AND(H119&gt;F119,H119&gt;G119,H119&gt;1,I119&gt;0.000075)=TRUE,6,5)</f>
        <v>5</v>
      </c>
      <c r="N119" s="1"/>
      <c r="O119" s="1"/>
      <c r="P119" s="1"/>
      <c r="Q119" s="1"/>
      <c r="R119" s="1"/>
      <c r="S119" s="1"/>
    </row>
    <row r="120" spans="1:19" x14ac:dyDescent="0.2">
      <c r="A120" s="1" t="s">
        <v>13</v>
      </c>
      <c r="B120">
        <f t="shared" si="71"/>
        <v>0</v>
      </c>
      <c r="C120" s="1">
        <f t="shared" ca="1" si="72"/>
        <v>1.42</v>
      </c>
      <c r="D120" s="1">
        <f t="shared" ca="1" si="73"/>
        <v>0.83</v>
      </c>
      <c r="E120" s="1">
        <f t="shared" ca="1" si="74"/>
        <v>0.66</v>
      </c>
      <c r="F120" s="1">
        <f t="shared" ca="1" si="75"/>
        <v>1.2571428571428569</v>
      </c>
      <c r="G120" s="1">
        <f t="shared" ca="1" si="75"/>
        <v>0.63285714285714278</v>
      </c>
      <c r="H120" s="1">
        <f t="shared" ca="1" si="76"/>
        <v>0.76750000000000007</v>
      </c>
      <c r="I120" s="1">
        <f t="shared" ca="1" si="77"/>
        <v>1.3073200000000002E-5</v>
      </c>
      <c r="J120" s="1">
        <f t="shared" ca="1" si="78"/>
        <v>2</v>
      </c>
      <c r="K120" s="1">
        <f t="shared" ca="1" si="79"/>
        <v>3</v>
      </c>
      <c r="L120" s="1">
        <f t="shared" ca="1" si="80"/>
        <v>5</v>
      </c>
      <c r="N120" s="1"/>
      <c r="O120" s="1"/>
      <c r="P120" s="1"/>
      <c r="Q120" s="1"/>
      <c r="R120" s="1"/>
      <c r="S120" s="1"/>
    </row>
    <row r="121" spans="1:19" x14ac:dyDescent="0.2">
      <c r="A121" s="1" t="s">
        <v>13</v>
      </c>
      <c r="B121">
        <f t="shared" si="71"/>
        <v>0</v>
      </c>
      <c r="C121" s="1">
        <f t="shared" ca="1" si="72"/>
        <v>1.42</v>
      </c>
      <c r="D121" s="1">
        <f t="shared" ca="1" si="73"/>
        <v>0.83</v>
      </c>
      <c r="E121" s="1">
        <f t="shared" ca="1" si="74"/>
        <v>0.66</v>
      </c>
      <c r="F121" s="1">
        <f t="shared" ca="1" si="75"/>
        <v>1.2571428571428569</v>
      </c>
      <c r="G121" s="1">
        <f t="shared" ca="1" si="75"/>
        <v>0.6328571428571429</v>
      </c>
      <c r="H121" s="1">
        <f t="shared" ca="1" si="76"/>
        <v>0.94750000000000001</v>
      </c>
      <c r="I121" s="1">
        <f t="shared" ca="1" si="77"/>
        <v>1.1850300000000001E-5</v>
      </c>
      <c r="J121" s="1">
        <f t="shared" ca="1" si="78"/>
        <v>2</v>
      </c>
      <c r="K121" s="1">
        <f t="shared" ca="1" si="79"/>
        <v>3</v>
      </c>
      <c r="L121" s="1">
        <f t="shared" ca="1" si="80"/>
        <v>5</v>
      </c>
      <c r="N121" s="1"/>
      <c r="O121" s="1"/>
      <c r="P121" s="1"/>
      <c r="Q121" s="1"/>
      <c r="R121" s="1"/>
      <c r="S121" s="1"/>
    </row>
    <row r="122" spans="1:19" x14ac:dyDescent="0.2">
      <c r="A122" s="1" t="s">
        <v>14</v>
      </c>
      <c r="B122">
        <f t="shared" si="71"/>
        <v>2</v>
      </c>
      <c r="C122" s="1">
        <f t="shared" ca="1" si="72"/>
        <v>1.01</v>
      </c>
      <c r="D122" s="1">
        <f t="shared" ca="1" si="73"/>
        <v>0.54</v>
      </c>
      <c r="E122" s="1">
        <f t="shared" ca="1" si="74"/>
        <v>1.46</v>
      </c>
      <c r="F122" s="1">
        <f t="shared" ca="1" si="75"/>
        <v>1.2314285714285713</v>
      </c>
      <c r="G122" s="1">
        <f t="shared" ca="1" si="75"/>
        <v>0.66</v>
      </c>
      <c r="H122" s="1">
        <f t="shared" ca="1" si="76"/>
        <v>0.88000000000000012</v>
      </c>
      <c r="I122" s="1">
        <f t="shared" ca="1" si="77"/>
        <v>5.2239359999999997E-5</v>
      </c>
      <c r="J122" s="1">
        <f t="shared" ca="1" si="78"/>
        <v>2</v>
      </c>
      <c r="K122" s="1">
        <f t="shared" ca="1" si="79"/>
        <v>3</v>
      </c>
      <c r="L122" s="1">
        <f t="shared" ca="1" si="80"/>
        <v>5</v>
      </c>
      <c r="N122" s="1"/>
      <c r="O122" s="1"/>
      <c r="P122" s="1"/>
      <c r="Q122" s="1"/>
      <c r="R122" s="1"/>
      <c r="S122" s="1"/>
    </row>
    <row r="123" spans="1:19" x14ac:dyDescent="0.2">
      <c r="A123" s="1" t="s">
        <v>17</v>
      </c>
      <c r="B123">
        <f t="shared" si="71"/>
        <v>3</v>
      </c>
      <c r="C123" s="1">
        <f t="shared" ca="1" si="72"/>
        <v>1.51</v>
      </c>
      <c r="D123" s="1">
        <f t="shared" ca="1" si="73"/>
        <v>0.37</v>
      </c>
      <c r="E123" s="1">
        <f t="shared" ca="1" si="74"/>
        <v>0.74</v>
      </c>
      <c r="F123" s="1">
        <f t="shared" ca="1" si="75"/>
        <v>1.1099999999999999</v>
      </c>
      <c r="G123" s="1">
        <f t="shared" ca="1" si="75"/>
        <v>0.64857142857142869</v>
      </c>
      <c r="H123" s="1">
        <f t="shared" ca="1" si="76"/>
        <v>1.0725</v>
      </c>
      <c r="I123" s="1">
        <f t="shared" ca="1" si="77"/>
        <v>5.3869199999999996E-5</v>
      </c>
      <c r="J123" s="1">
        <f t="shared" ca="1" si="78"/>
        <v>2</v>
      </c>
      <c r="K123" s="1">
        <f t="shared" ca="1" si="79"/>
        <v>3</v>
      </c>
      <c r="L123" s="1">
        <f t="shared" ca="1" si="80"/>
        <v>5</v>
      </c>
      <c r="N123" s="1"/>
      <c r="O123" s="1"/>
      <c r="P123" s="1"/>
      <c r="Q123" s="1"/>
      <c r="R123" s="1"/>
      <c r="S123" s="1"/>
    </row>
    <row r="124" spans="1:19" x14ac:dyDescent="0.2">
      <c r="A124" s="1" t="s">
        <v>27</v>
      </c>
      <c r="B124">
        <f t="shared" si="71"/>
        <v>15</v>
      </c>
      <c r="C124" s="1">
        <f t="shared" ca="1" si="72"/>
        <v>0.77</v>
      </c>
      <c r="D124" s="1">
        <f t="shared" ca="1" si="73"/>
        <v>0.75</v>
      </c>
      <c r="E124" s="1">
        <f t="shared" ca="1" si="74"/>
        <v>1.43</v>
      </c>
      <c r="F124" s="1">
        <f t="shared" ca="1" si="75"/>
        <v>1.1142857142857143</v>
      </c>
      <c r="G124" s="1">
        <f t="shared" ca="1" si="75"/>
        <v>0.68</v>
      </c>
      <c r="H124" s="1">
        <f t="shared" ca="1" si="76"/>
        <v>1.0925</v>
      </c>
      <c r="I124" s="1">
        <f t="shared" ca="1" si="77"/>
        <v>7.0560000000000002E-5</v>
      </c>
      <c r="J124" s="1">
        <f t="shared" ca="1" si="78"/>
        <v>2</v>
      </c>
      <c r="K124" s="1">
        <f t="shared" ca="1" si="79"/>
        <v>3</v>
      </c>
      <c r="L124" s="1">
        <f t="shared" ca="1" si="80"/>
        <v>5</v>
      </c>
      <c r="N124" s="1"/>
      <c r="O124" s="1"/>
      <c r="P124" s="1"/>
      <c r="Q124" s="1"/>
      <c r="R124" s="1"/>
      <c r="S124" s="1"/>
    </row>
    <row r="125" spans="1:19" x14ac:dyDescent="0.2">
      <c r="A125" s="1" t="s">
        <v>17</v>
      </c>
      <c r="B125">
        <f t="shared" si="71"/>
        <v>3</v>
      </c>
      <c r="C125" s="1">
        <f t="shared" ca="1" si="72"/>
        <v>1.51</v>
      </c>
      <c r="D125" s="1">
        <f t="shared" ca="1" si="73"/>
        <v>0.37</v>
      </c>
      <c r="E125" s="1">
        <f t="shared" ca="1" si="74"/>
        <v>0.74</v>
      </c>
      <c r="F125" s="1">
        <f t="shared" ca="1" si="75"/>
        <v>1.1357142857142857</v>
      </c>
      <c r="G125" s="1">
        <f t="shared" ca="1" si="75"/>
        <v>0.70857142857142874</v>
      </c>
      <c r="H125" s="1">
        <f t="shared" ca="1" si="76"/>
        <v>0.96500000000000008</v>
      </c>
      <c r="I125" s="1">
        <f t="shared" ca="1" si="77"/>
        <v>5.0946280000000009E-5</v>
      </c>
      <c r="J125" s="1">
        <f t="shared" ca="1" si="78"/>
        <v>2</v>
      </c>
      <c r="K125" s="1">
        <f t="shared" ca="1" si="79"/>
        <v>3</v>
      </c>
      <c r="L125" s="1">
        <f t="shared" ca="1" si="80"/>
        <v>5</v>
      </c>
      <c r="N125" s="1"/>
      <c r="O125" s="1"/>
      <c r="P125" s="1"/>
      <c r="Q125" s="1"/>
      <c r="R125" s="1"/>
      <c r="S125" s="1"/>
    </row>
    <row r="126" spans="1:19" x14ac:dyDescent="0.2">
      <c r="A126" s="1" t="s">
        <v>26</v>
      </c>
      <c r="B126">
        <f t="shared" si="71"/>
        <v>14</v>
      </c>
      <c r="C126" s="1">
        <f t="shared" ca="1" si="72"/>
        <v>0.98</v>
      </c>
      <c r="D126" s="1">
        <f t="shared" ca="1" si="73"/>
        <v>0.93</v>
      </c>
      <c r="E126" s="1">
        <f t="shared" ca="1" si="74"/>
        <v>0.95</v>
      </c>
      <c r="F126" s="1">
        <f t="shared" ca="1" si="75"/>
        <v>1.02</v>
      </c>
      <c r="G126" s="1">
        <f t="shared" ca="1" si="75"/>
        <v>0.89857142857142869</v>
      </c>
      <c r="H126" s="1">
        <f t="shared" ca="1" si="76"/>
        <v>1.17</v>
      </c>
      <c r="I126" s="1">
        <f t="shared" ca="1" si="77"/>
        <v>1.0834559999999999E-4</v>
      </c>
      <c r="J126" s="1">
        <f t="shared" ca="1" si="78"/>
        <v>1</v>
      </c>
      <c r="K126" s="1">
        <f t="shared" ca="1" si="79"/>
        <v>3</v>
      </c>
      <c r="L126" s="1">
        <f t="shared" ca="1" si="80"/>
        <v>6</v>
      </c>
      <c r="N126" s="1"/>
      <c r="O126" s="1"/>
      <c r="P126" s="1"/>
      <c r="Q126" s="1"/>
      <c r="R126" s="1"/>
      <c r="S126" s="1"/>
    </row>
    <row r="127" spans="1:19" x14ac:dyDescent="0.2">
      <c r="A127" s="1" t="s">
        <v>20</v>
      </c>
      <c r="B127">
        <f t="shared" si="71"/>
        <v>5</v>
      </c>
      <c r="C127" s="1">
        <f t="shared" ca="1" si="72"/>
        <v>0.56999999999999995</v>
      </c>
      <c r="D127" s="1">
        <f t="shared" ca="1" si="73"/>
        <v>0.75</v>
      </c>
      <c r="E127" s="1">
        <f t="shared" ca="1" si="74"/>
        <v>1.56</v>
      </c>
      <c r="F127" s="1">
        <f t="shared" ca="1" si="75"/>
        <v>1.0642857142857143</v>
      </c>
      <c r="G127" s="1">
        <f t="shared" ca="1" si="75"/>
        <v>1.02</v>
      </c>
      <c r="H127" s="1">
        <f t="shared" ca="1" si="76"/>
        <v>0.96250000000000002</v>
      </c>
      <c r="I127" s="1">
        <f t="shared" ca="1" si="77"/>
        <v>6.2031200000000017E-5</v>
      </c>
      <c r="J127" s="1">
        <f t="shared" ca="1" si="78"/>
        <v>2</v>
      </c>
      <c r="K127" s="1">
        <f t="shared" ca="1" si="79"/>
        <v>3</v>
      </c>
      <c r="L127" s="1">
        <f t="shared" ca="1" si="80"/>
        <v>5</v>
      </c>
      <c r="N127" s="1"/>
      <c r="O127" s="1"/>
      <c r="P127" s="1"/>
      <c r="Q127" s="1"/>
      <c r="R127" s="1"/>
      <c r="S127" s="1"/>
    </row>
    <row r="128" spans="1:19" x14ac:dyDescent="0.2">
      <c r="A128" s="1" t="s">
        <v>12</v>
      </c>
      <c r="B128">
        <f t="shared" si="71"/>
        <v>10</v>
      </c>
      <c r="C128" s="1">
        <f t="shared" ca="1" si="72"/>
        <v>1.45</v>
      </c>
      <c r="D128" s="1">
        <f t="shared" ca="1" si="73"/>
        <v>1.05</v>
      </c>
      <c r="E128" s="1">
        <f t="shared" ca="1" si="74"/>
        <v>0.6</v>
      </c>
      <c r="F128" s="1">
        <f t="shared" ca="1" si="75"/>
        <v>1.0642857142857143</v>
      </c>
      <c r="G128" s="1">
        <f t="shared" ca="1" si="75"/>
        <v>1.0200000000000002</v>
      </c>
      <c r="H128" s="1">
        <f t="shared" ca="1" si="76"/>
        <v>1.03</v>
      </c>
      <c r="I128" s="1">
        <f t="shared" ca="1" si="77"/>
        <v>7.9134999999999994E-5</v>
      </c>
      <c r="J128" s="1">
        <f t="shared" ca="1" si="78"/>
        <v>2</v>
      </c>
      <c r="K128" s="1">
        <f t="shared" ca="1" si="79"/>
        <v>3</v>
      </c>
      <c r="L128" s="1">
        <f t="shared" ca="1" si="80"/>
        <v>5</v>
      </c>
      <c r="N128" s="1"/>
      <c r="O128" s="1"/>
      <c r="P128" s="1"/>
      <c r="Q128" s="1"/>
      <c r="R128" s="1"/>
      <c r="S128" s="1"/>
    </row>
    <row r="129" spans="1:19" x14ac:dyDescent="0.2">
      <c r="A129" s="1" t="s">
        <v>18</v>
      </c>
      <c r="B129">
        <f t="shared" si="71"/>
        <v>8</v>
      </c>
      <c r="C129" s="1">
        <f t="shared" ca="1" si="72"/>
        <v>1.1599999999999999</v>
      </c>
      <c r="D129" s="1">
        <f t="shared" ca="1" si="73"/>
        <v>0.74</v>
      </c>
      <c r="E129" s="1">
        <f t="shared" ca="1" si="74"/>
        <v>1.01</v>
      </c>
      <c r="F129" s="1">
        <f t="shared" ca="1" si="75"/>
        <v>1.0342857142857143</v>
      </c>
      <c r="G129" s="1">
        <f t="shared" ca="1" si="75"/>
        <v>0.99428571428571433</v>
      </c>
      <c r="H129" s="1">
        <f t="shared" ca="1" si="76"/>
        <v>0.91749999999999998</v>
      </c>
      <c r="I129" s="1">
        <f t="shared" ca="1" si="77"/>
        <v>3.1917023999999992E-5</v>
      </c>
      <c r="J129" s="1">
        <f t="shared" ca="1" si="78"/>
        <v>1</v>
      </c>
      <c r="K129" s="1">
        <f t="shared" ca="1" si="79"/>
        <v>3</v>
      </c>
      <c r="L129" s="1">
        <f t="shared" ca="1" si="80"/>
        <v>5</v>
      </c>
      <c r="N129" s="1"/>
      <c r="O129" s="1"/>
      <c r="P129" s="1"/>
      <c r="Q129" s="1"/>
      <c r="R129" s="1"/>
      <c r="S129" s="1"/>
    </row>
    <row r="130" spans="1:19" x14ac:dyDescent="0.2">
      <c r="A130" s="1" t="s">
        <v>29</v>
      </c>
      <c r="B130">
        <f t="shared" si="71"/>
        <v>17</v>
      </c>
      <c r="C130" s="1">
        <f t="shared" ca="1" si="72"/>
        <v>0.7</v>
      </c>
      <c r="D130" s="1">
        <f t="shared" ca="1" si="73"/>
        <v>1.7</v>
      </c>
      <c r="E130" s="1">
        <f t="shared" ca="1" si="74"/>
        <v>0.5</v>
      </c>
      <c r="F130" s="1">
        <f t="shared" ca="1" si="75"/>
        <v>1.092857142857143</v>
      </c>
      <c r="G130" s="1">
        <f t="shared" ca="1" si="75"/>
        <v>1.02</v>
      </c>
      <c r="H130" s="1">
        <f t="shared" ca="1" si="76"/>
        <v>0.64500000000000002</v>
      </c>
      <c r="I130" s="1">
        <f t="shared" ca="1" si="77"/>
        <v>1.2261760000000002E-5</v>
      </c>
      <c r="J130" s="1">
        <f t="shared" ca="1" si="78"/>
        <v>2</v>
      </c>
      <c r="K130" s="1">
        <f t="shared" ca="1" si="79"/>
        <v>3</v>
      </c>
      <c r="L130" s="1">
        <f t="shared" ca="1" si="80"/>
        <v>5</v>
      </c>
      <c r="N130" s="1"/>
      <c r="O130" s="1"/>
      <c r="P130" s="1"/>
      <c r="Q130" s="1"/>
      <c r="R130" s="1"/>
      <c r="S130" s="1"/>
    </row>
    <row r="131" spans="1:19" x14ac:dyDescent="0.2">
      <c r="A131" s="1" t="s">
        <v>16</v>
      </c>
      <c r="B131">
        <f t="shared" si="71"/>
        <v>7</v>
      </c>
      <c r="C131" s="1">
        <f t="shared" ca="1" si="72"/>
        <v>1.08</v>
      </c>
      <c r="D131" s="1">
        <f t="shared" ca="1" si="73"/>
        <v>1.6</v>
      </c>
      <c r="E131" s="1">
        <f t="shared" ca="1" si="74"/>
        <v>0.47</v>
      </c>
      <c r="F131" s="1">
        <f t="shared" ca="1" si="75"/>
        <v>1.0885714285714287</v>
      </c>
      <c r="G131" s="1">
        <f t="shared" ca="1" si="75"/>
        <v>0.98857142857142855</v>
      </c>
      <c r="H131" s="1">
        <f t="shared" ca="1" si="76"/>
        <v>0.67999999999999994</v>
      </c>
      <c r="I131" s="1">
        <f t="shared" ca="1" si="77"/>
        <v>2.1964799999999999E-6</v>
      </c>
      <c r="J131" s="1">
        <f t="shared" ca="1" si="78"/>
        <v>2</v>
      </c>
      <c r="K131" s="1">
        <f t="shared" ca="1" si="79"/>
        <v>3</v>
      </c>
      <c r="L131" s="1">
        <f t="shared" ca="1" si="80"/>
        <v>5</v>
      </c>
      <c r="N131" s="1"/>
      <c r="O131" s="1"/>
      <c r="P131" s="1"/>
      <c r="Q131" s="1"/>
      <c r="R131" s="1"/>
      <c r="S131" s="1"/>
    </row>
    <row r="132" spans="1:19" x14ac:dyDescent="0.2">
      <c r="A132" s="1" t="s">
        <v>17</v>
      </c>
      <c r="B132">
        <f t="shared" si="71"/>
        <v>3</v>
      </c>
      <c r="C132" s="1">
        <f t="shared" ca="1" si="72"/>
        <v>1.51</v>
      </c>
      <c r="D132" s="1">
        <f t="shared" ca="1" si="73"/>
        <v>0.37</v>
      </c>
      <c r="E132" s="1">
        <f t="shared" ca="1" si="74"/>
        <v>0.74</v>
      </c>
      <c r="F132" s="1">
        <f t="shared" ca="1" si="75"/>
        <v>1.0814285714285716</v>
      </c>
      <c r="G132" s="1">
        <f t="shared" ca="1" si="75"/>
        <v>1.0399999999999998</v>
      </c>
      <c r="H132" s="1">
        <f t="shared" ca="1" si="76"/>
        <v>0.78499999999999992</v>
      </c>
      <c r="I132" s="1">
        <f t="shared" ca="1" si="77"/>
        <v>1.7205495999999999E-5</v>
      </c>
      <c r="J132" s="1">
        <f t="shared" ca="1" si="78"/>
        <v>2</v>
      </c>
      <c r="K132" s="1">
        <f t="shared" ca="1" si="79"/>
        <v>3</v>
      </c>
      <c r="L132" s="1">
        <f t="shared" ca="1" si="80"/>
        <v>5</v>
      </c>
      <c r="N132" s="1"/>
      <c r="O132" s="1"/>
      <c r="P132" s="1"/>
      <c r="Q132" s="1"/>
      <c r="R132" s="1"/>
      <c r="S132" s="1"/>
    </row>
    <row r="133" spans="1:19" x14ac:dyDescent="0.2">
      <c r="A133" s="1" t="s">
        <v>27</v>
      </c>
      <c r="B133">
        <f t="shared" ref="B133:B148" si="81">LOOKUP(A133,$N$4:$N$23,$O$4:$O$23)</f>
        <v>15</v>
      </c>
      <c r="C133" s="1">
        <f t="shared" ref="C133:C148" ca="1" si="82">OFFSET($P$4,B133,0,1,1)</f>
        <v>0.77</v>
      </c>
      <c r="D133" s="1">
        <f t="shared" ref="D133:D148" ca="1" si="83">OFFSET($Q$4,$B133,0,1,1)</f>
        <v>0.75</v>
      </c>
      <c r="E133" s="1">
        <f t="shared" ref="E133:E148" ca="1" si="84">OFFSET($R$4,$B133,0,1,1)</f>
        <v>1.43</v>
      </c>
      <c r="F133" s="1">
        <f t="shared" ca="1" si="75"/>
        <v>1.147142857142857</v>
      </c>
      <c r="G133" s="1">
        <f t="shared" ca="1" si="75"/>
        <v>0.90285714285714291</v>
      </c>
      <c r="H133" s="1">
        <f t="shared" ca="1" si="76"/>
        <v>0.89749999999999996</v>
      </c>
      <c r="I133" s="1">
        <f t="shared" ca="1" si="77"/>
        <v>2.7412499999999999E-5</v>
      </c>
      <c r="J133" s="1">
        <f t="shared" ca="1" si="78"/>
        <v>2</v>
      </c>
      <c r="K133" s="1">
        <f t="shared" ca="1" si="79"/>
        <v>3</v>
      </c>
      <c r="L133" s="1">
        <f t="shared" ca="1" si="80"/>
        <v>5</v>
      </c>
      <c r="N133" s="1"/>
      <c r="O133" s="1"/>
      <c r="P133" s="1"/>
      <c r="Q133" s="1"/>
      <c r="R133" s="1"/>
      <c r="S133" s="1"/>
    </row>
    <row r="134" spans="1:19" x14ac:dyDescent="0.2">
      <c r="A134" s="1" t="s">
        <v>26</v>
      </c>
      <c r="B134">
        <f t="shared" si="81"/>
        <v>14</v>
      </c>
      <c r="C134" s="1">
        <f t="shared" ca="1" si="82"/>
        <v>0.98</v>
      </c>
      <c r="D134" s="1">
        <f t="shared" ca="1" si="83"/>
        <v>0.93</v>
      </c>
      <c r="E134" s="1">
        <f t="shared" ca="1" si="84"/>
        <v>0.95</v>
      </c>
      <c r="F134" s="1">
        <f t="shared" ca="1" si="75"/>
        <v>1.1371428571428572</v>
      </c>
      <c r="G134" s="1">
        <f t="shared" ca="1" si="75"/>
        <v>0.75142857142857156</v>
      </c>
      <c r="H134" s="1">
        <f t="shared" ca="1" si="76"/>
        <v>0.94500000000000006</v>
      </c>
      <c r="I134" s="1">
        <f t="shared" ca="1" si="77"/>
        <v>4.469572800000001E-5</v>
      </c>
      <c r="J134" s="1">
        <f t="shared" ca="1" si="78"/>
        <v>2</v>
      </c>
      <c r="K134" s="1">
        <f t="shared" ca="1" si="79"/>
        <v>3</v>
      </c>
      <c r="L134" s="1">
        <f t="shared" ca="1" si="80"/>
        <v>5</v>
      </c>
      <c r="N134" s="1"/>
      <c r="O134" s="1"/>
      <c r="P134" s="1"/>
      <c r="Q134" s="1"/>
      <c r="R134" s="1"/>
      <c r="S134" s="1"/>
    </row>
    <row r="135" spans="1:19" x14ac:dyDescent="0.2">
      <c r="A135" s="1" t="s">
        <v>13</v>
      </c>
      <c r="B135">
        <f t="shared" si="81"/>
        <v>0</v>
      </c>
      <c r="C135" s="1">
        <f t="shared" ca="1" si="82"/>
        <v>1.42</v>
      </c>
      <c r="D135" s="1">
        <f t="shared" ca="1" si="83"/>
        <v>0.83</v>
      </c>
      <c r="E135" s="1">
        <f t="shared" ca="1" si="84"/>
        <v>0.66</v>
      </c>
      <c r="F135" s="1">
        <f t="shared" ref="F135:G150" ca="1" si="85">AVERAGE(C133:C139)</f>
        <v>1.1371428571428572</v>
      </c>
      <c r="G135" s="1">
        <f t="shared" ca="1" si="85"/>
        <v>0.75142857142857156</v>
      </c>
      <c r="H135" s="1">
        <f t="shared" ref="H135:H150" ca="1" si="86">AVERAGE(E133:E136)</f>
        <v>1.0049999999999999</v>
      </c>
      <c r="I135" s="1">
        <f t="shared" ref="I135:I150" ca="1" si="87">PRODUCT(OFFSET($S$4,B133,0,1,1),OFFSET($S$4,B134,1,1,1),OFFSET($S$4,B135,2,1,1),OFFSET($S$4,B136,3,1,1))</f>
        <v>4.36296E-5</v>
      </c>
      <c r="J135" s="1">
        <f t="shared" ref="J135:J150" ca="1" si="88">IF(AND(F135&gt;G135,F135&gt;1.05)=TRUE,2,1)</f>
        <v>2</v>
      </c>
      <c r="K135" s="1">
        <f t="shared" ref="K135:K150" ca="1" si="89">IF(AND(G135&gt;1.05,G135&gt;F135)=TRUE,4,3)</f>
        <v>3</v>
      </c>
      <c r="L135" s="1">
        <f t="shared" ref="L135:L150" ca="1" si="90">IF(AND(H135&gt;F135,H135&gt;G135,H135&gt;1,I135&gt;0.000075)=TRUE,6,5)</f>
        <v>5</v>
      </c>
      <c r="N135" s="1"/>
      <c r="O135" s="1"/>
      <c r="P135" s="1"/>
      <c r="Q135" s="1"/>
      <c r="R135" s="1"/>
      <c r="S135" s="1"/>
    </row>
    <row r="136" spans="1:19" x14ac:dyDescent="0.2">
      <c r="A136" s="1" t="s">
        <v>22</v>
      </c>
      <c r="B136">
        <f t="shared" si="81"/>
        <v>13</v>
      </c>
      <c r="C136" s="1">
        <f t="shared" ca="1" si="82"/>
        <v>1.1100000000000001</v>
      </c>
      <c r="D136" s="1">
        <f t="shared" ca="1" si="83"/>
        <v>1.1000000000000001</v>
      </c>
      <c r="E136" s="1">
        <f t="shared" ca="1" si="84"/>
        <v>0.98</v>
      </c>
      <c r="F136" s="1">
        <f t="shared" ca="1" si="85"/>
        <v>1.2428571428571427</v>
      </c>
      <c r="G136" s="1">
        <f t="shared" ca="1" si="85"/>
        <v>0.69714285714285729</v>
      </c>
      <c r="H136" s="1">
        <f t="shared" ca="1" si="86"/>
        <v>0.89999999999999991</v>
      </c>
      <c r="I136" s="1">
        <f t="shared" ca="1" si="87"/>
        <v>1.8699799999999999E-4</v>
      </c>
      <c r="J136" s="1">
        <f t="shared" ca="1" si="88"/>
        <v>2</v>
      </c>
      <c r="K136" s="1">
        <f t="shared" ca="1" si="89"/>
        <v>3</v>
      </c>
      <c r="L136" s="1">
        <f t="shared" ca="1" si="90"/>
        <v>5</v>
      </c>
      <c r="N136" s="1"/>
      <c r="O136" s="1"/>
      <c r="P136" s="1"/>
      <c r="Q136" s="1"/>
      <c r="R136" s="1"/>
      <c r="S136" s="1"/>
    </row>
    <row r="137" spans="1:19" x14ac:dyDescent="0.2">
      <c r="A137" s="1" t="s">
        <v>18</v>
      </c>
      <c r="B137">
        <f t="shared" si="81"/>
        <v>8</v>
      </c>
      <c r="C137" s="1">
        <f t="shared" ca="1" si="82"/>
        <v>1.1599999999999999</v>
      </c>
      <c r="D137" s="1">
        <f t="shared" ca="1" si="83"/>
        <v>0.74</v>
      </c>
      <c r="E137" s="1">
        <f t="shared" ca="1" si="84"/>
        <v>1.01</v>
      </c>
      <c r="F137" s="1">
        <f t="shared" ca="1" si="85"/>
        <v>1.2685714285714285</v>
      </c>
      <c r="G137" s="1">
        <f t="shared" ca="1" si="85"/>
        <v>0.67</v>
      </c>
      <c r="H137" s="1">
        <f t="shared" ca="1" si="86"/>
        <v>1.0275000000000001</v>
      </c>
      <c r="I137" s="1">
        <f t="shared" ca="1" si="87"/>
        <v>3.4292160000000001E-5</v>
      </c>
      <c r="J137" s="1">
        <f t="shared" ca="1" si="88"/>
        <v>2</v>
      </c>
      <c r="K137" s="1">
        <f t="shared" ca="1" si="89"/>
        <v>3</v>
      </c>
      <c r="L137" s="1">
        <f t="shared" ca="1" si="90"/>
        <v>5</v>
      </c>
      <c r="N137" s="1"/>
      <c r="O137" s="1"/>
      <c r="P137" s="1"/>
      <c r="Q137" s="1"/>
      <c r="R137" s="1"/>
      <c r="S137" s="1"/>
    </row>
    <row r="138" spans="1:19" x14ac:dyDescent="0.2">
      <c r="A138" s="1" t="s">
        <v>14</v>
      </c>
      <c r="B138">
        <f t="shared" si="81"/>
        <v>2</v>
      </c>
      <c r="C138" s="1">
        <f t="shared" ca="1" si="82"/>
        <v>1.01</v>
      </c>
      <c r="D138" s="1">
        <f t="shared" ca="1" si="83"/>
        <v>0.54</v>
      </c>
      <c r="E138" s="1">
        <f t="shared" ca="1" si="84"/>
        <v>1.46</v>
      </c>
      <c r="F138" s="1">
        <f t="shared" ca="1" si="85"/>
        <v>1.2728571428571429</v>
      </c>
      <c r="G138" s="1">
        <f t="shared" ca="1" si="85"/>
        <v>0.7014285714285714</v>
      </c>
      <c r="H138" s="1">
        <f t="shared" ca="1" si="86"/>
        <v>1.0475000000000001</v>
      </c>
      <c r="I138" s="1">
        <f t="shared" ca="1" si="87"/>
        <v>9.7490560000000002E-5</v>
      </c>
      <c r="J138" s="1">
        <f t="shared" ca="1" si="88"/>
        <v>2</v>
      </c>
      <c r="K138" s="1">
        <f t="shared" ca="1" si="89"/>
        <v>3</v>
      </c>
      <c r="L138" s="1">
        <f t="shared" ca="1" si="90"/>
        <v>5</v>
      </c>
      <c r="N138" s="1"/>
      <c r="O138" s="1"/>
      <c r="P138" s="1"/>
      <c r="Q138" s="1"/>
      <c r="R138" s="1"/>
      <c r="S138" s="1"/>
    </row>
    <row r="139" spans="1:19" x14ac:dyDescent="0.2">
      <c r="A139" s="1" t="s">
        <v>17</v>
      </c>
      <c r="B139">
        <f t="shared" si="81"/>
        <v>3</v>
      </c>
      <c r="C139" s="1">
        <f t="shared" ca="1" si="82"/>
        <v>1.51</v>
      </c>
      <c r="D139" s="1">
        <f t="shared" ca="1" si="83"/>
        <v>0.37</v>
      </c>
      <c r="E139" s="1">
        <f t="shared" ca="1" si="84"/>
        <v>0.74</v>
      </c>
      <c r="F139" s="1">
        <f t="shared" ca="1" si="85"/>
        <v>1.33</v>
      </c>
      <c r="G139" s="1">
        <f t="shared" ca="1" si="85"/>
        <v>0.59714285714285709</v>
      </c>
      <c r="H139" s="1">
        <f t="shared" ca="1" si="86"/>
        <v>0.98750000000000004</v>
      </c>
      <c r="I139" s="1">
        <f t="shared" ca="1" si="87"/>
        <v>2.9814399999999997E-5</v>
      </c>
      <c r="J139" s="1">
        <f t="shared" ca="1" si="88"/>
        <v>2</v>
      </c>
      <c r="K139" s="1">
        <f t="shared" ca="1" si="89"/>
        <v>3</v>
      </c>
      <c r="L139" s="1">
        <f t="shared" ca="1" si="90"/>
        <v>5</v>
      </c>
      <c r="N139" s="1"/>
      <c r="O139" s="1"/>
      <c r="P139" s="1"/>
      <c r="Q139" s="1"/>
      <c r="R139" s="1"/>
      <c r="S139" s="1"/>
    </row>
    <row r="140" spans="1:19" x14ac:dyDescent="0.2">
      <c r="A140" s="1" t="s">
        <v>17</v>
      </c>
      <c r="B140">
        <f t="shared" si="81"/>
        <v>3</v>
      </c>
      <c r="C140" s="1">
        <f t="shared" ca="1" si="82"/>
        <v>1.51</v>
      </c>
      <c r="D140" s="1">
        <f t="shared" ca="1" si="83"/>
        <v>0.37</v>
      </c>
      <c r="E140" s="1">
        <f t="shared" ca="1" si="84"/>
        <v>0.74</v>
      </c>
      <c r="F140" s="1">
        <f t="shared" ca="1" si="85"/>
        <v>1.3185714285714287</v>
      </c>
      <c r="G140" s="1">
        <f t="shared" ca="1" si="85"/>
        <v>0.72000000000000008</v>
      </c>
      <c r="H140" s="1">
        <f t="shared" ca="1" si="86"/>
        <v>0.98750000000000004</v>
      </c>
      <c r="I140" s="1">
        <f t="shared" ca="1" si="87"/>
        <v>6.4518300000000002E-5</v>
      </c>
      <c r="J140" s="1">
        <f t="shared" ca="1" si="88"/>
        <v>2</v>
      </c>
      <c r="K140" s="1">
        <f t="shared" ca="1" si="89"/>
        <v>3</v>
      </c>
      <c r="L140" s="1">
        <f t="shared" ca="1" si="90"/>
        <v>5</v>
      </c>
      <c r="N140" s="1"/>
      <c r="O140" s="1"/>
      <c r="P140" s="1"/>
      <c r="Q140" s="1"/>
      <c r="R140" s="1"/>
      <c r="S140" s="1"/>
    </row>
    <row r="141" spans="1:19" x14ac:dyDescent="0.2">
      <c r="A141" s="1" t="s">
        <v>18</v>
      </c>
      <c r="B141">
        <f t="shared" si="81"/>
        <v>8</v>
      </c>
      <c r="C141" s="1">
        <f t="shared" ca="1" si="82"/>
        <v>1.1599999999999999</v>
      </c>
      <c r="D141" s="1">
        <f t="shared" ca="1" si="83"/>
        <v>0.74</v>
      </c>
      <c r="E141" s="1">
        <f t="shared" ca="1" si="84"/>
        <v>1.01</v>
      </c>
      <c r="F141" s="1">
        <f t="shared" ca="1" si="85"/>
        <v>1.3328571428571425</v>
      </c>
      <c r="G141" s="1">
        <f t="shared" ca="1" si="85"/>
        <v>0.79999999999999993</v>
      </c>
      <c r="H141" s="1">
        <f t="shared" ca="1" si="86"/>
        <v>0.77250000000000008</v>
      </c>
      <c r="I141" s="1">
        <f t="shared" ca="1" si="87"/>
        <v>1.33056E-5</v>
      </c>
      <c r="J141" s="1">
        <f t="shared" ca="1" si="88"/>
        <v>2</v>
      </c>
      <c r="K141" s="1">
        <f t="shared" ca="1" si="89"/>
        <v>3</v>
      </c>
      <c r="L141" s="1">
        <f t="shared" ca="1" si="90"/>
        <v>5</v>
      </c>
      <c r="N141" s="1"/>
      <c r="O141" s="1"/>
      <c r="P141" s="1"/>
      <c r="Q141" s="1"/>
      <c r="R141" s="1"/>
      <c r="S141" s="1"/>
    </row>
    <row r="142" spans="1:19" x14ac:dyDescent="0.2">
      <c r="A142" s="1" t="s">
        <v>12</v>
      </c>
      <c r="B142">
        <f t="shared" si="81"/>
        <v>10</v>
      </c>
      <c r="C142" s="1">
        <f t="shared" ca="1" si="82"/>
        <v>1.45</v>
      </c>
      <c r="D142" s="1">
        <f t="shared" ca="1" si="83"/>
        <v>1.05</v>
      </c>
      <c r="E142" s="1">
        <f t="shared" ca="1" si="84"/>
        <v>0.6</v>
      </c>
      <c r="F142" s="1">
        <f t="shared" ca="1" si="85"/>
        <v>1.332857142857143</v>
      </c>
      <c r="G142" s="1">
        <f t="shared" ca="1" si="85"/>
        <v>0.8</v>
      </c>
      <c r="H142" s="1">
        <f t="shared" ca="1" si="86"/>
        <v>0.77249999999999996</v>
      </c>
      <c r="I142" s="1">
        <f t="shared" ca="1" si="87"/>
        <v>5.7702400000000005E-6</v>
      </c>
      <c r="J142" s="1">
        <f t="shared" ca="1" si="88"/>
        <v>2</v>
      </c>
      <c r="K142" s="1">
        <f t="shared" ca="1" si="89"/>
        <v>3</v>
      </c>
      <c r="L142" s="1">
        <f t="shared" ca="1" si="90"/>
        <v>5</v>
      </c>
      <c r="N142" s="1"/>
      <c r="O142" s="1"/>
      <c r="P142" s="1"/>
      <c r="Q142" s="1"/>
      <c r="R142" s="1"/>
      <c r="S142" s="1"/>
    </row>
    <row r="143" spans="1:19" x14ac:dyDescent="0.2">
      <c r="A143" s="1" t="s">
        <v>17</v>
      </c>
      <c r="B143">
        <f t="shared" si="81"/>
        <v>3</v>
      </c>
      <c r="C143" s="1">
        <f t="shared" ca="1" si="82"/>
        <v>1.51</v>
      </c>
      <c r="D143" s="1">
        <f t="shared" ca="1" si="83"/>
        <v>0.37</v>
      </c>
      <c r="E143" s="1">
        <f t="shared" ca="1" si="84"/>
        <v>0.74</v>
      </c>
      <c r="F143" s="1">
        <f t="shared" ca="1" si="85"/>
        <v>1.2714285714285716</v>
      </c>
      <c r="G143" s="1">
        <f t="shared" ca="1" si="85"/>
        <v>0.97571428571428576</v>
      </c>
      <c r="H143" s="1">
        <f t="shared" ca="1" si="86"/>
        <v>0.70499999999999985</v>
      </c>
      <c r="I143" s="1">
        <f t="shared" ca="1" si="87"/>
        <v>1.944712E-5</v>
      </c>
      <c r="J143" s="1">
        <f t="shared" ca="1" si="88"/>
        <v>2</v>
      </c>
      <c r="K143" s="1">
        <f t="shared" ca="1" si="89"/>
        <v>3</v>
      </c>
      <c r="L143" s="1">
        <f t="shared" ca="1" si="90"/>
        <v>5</v>
      </c>
      <c r="N143" s="1"/>
      <c r="O143" s="1"/>
      <c r="P143" s="1"/>
      <c r="Q143" s="1"/>
      <c r="R143" s="1"/>
      <c r="S143" s="1"/>
    </row>
    <row r="144" spans="1:19" x14ac:dyDescent="0.2">
      <c r="A144" s="1" t="s">
        <v>16</v>
      </c>
      <c r="B144">
        <f t="shared" si="81"/>
        <v>7</v>
      </c>
      <c r="C144" s="1">
        <f t="shared" ca="1" si="82"/>
        <v>1.08</v>
      </c>
      <c r="D144" s="1">
        <f t="shared" ca="1" si="83"/>
        <v>1.6</v>
      </c>
      <c r="E144" s="1">
        <f t="shared" ca="1" si="84"/>
        <v>0.47</v>
      </c>
      <c r="F144" s="1">
        <f t="shared" ca="1" si="85"/>
        <v>1.2642857142857142</v>
      </c>
      <c r="G144" s="1">
        <f t="shared" ca="1" si="85"/>
        <v>1.0271428571428571</v>
      </c>
      <c r="H144" s="1">
        <f t="shared" ca="1" si="86"/>
        <v>0.69750000000000001</v>
      </c>
      <c r="I144" s="1">
        <f t="shared" ca="1" si="87"/>
        <v>5.1979200000000004E-6</v>
      </c>
      <c r="J144" s="1">
        <f t="shared" ca="1" si="88"/>
        <v>2</v>
      </c>
      <c r="K144" s="1">
        <f t="shared" ca="1" si="89"/>
        <v>3</v>
      </c>
      <c r="L144" s="1">
        <f t="shared" ca="1" si="90"/>
        <v>5</v>
      </c>
      <c r="N144" s="1"/>
      <c r="O144" s="1"/>
      <c r="P144" s="1"/>
      <c r="Q144" s="1"/>
      <c r="R144" s="1"/>
      <c r="S144" s="1"/>
    </row>
    <row r="145" spans="1:19" x14ac:dyDescent="0.2">
      <c r="A145" s="1" t="s">
        <v>22</v>
      </c>
      <c r="B145">
        <f t="shared" si="81"/>
        <v>13</v>
      </c>
      <c r="C145" s="1">
        <f t="shared" ca="1" si="82"/>
        <v>1.1100000000000001</v>
      </c>
      <c r="D145" s="1">
        <f t="shared" ca="1" si="83"/>
        <v>1.1000000000000001</v>
      </c>
      <c r="E145" s="1">
        <f t="shared" ca="1" si="84"/>
        <v>0.98</v>
      </c>
      <c r="F145" s="1">
        <f t="shared" ca="1" si="85"/>
        <v>1.23</v>
      </c>
      <c r="G145" s="1">
        <f t="shared" ca="1" si="85"/>
        <v>1.0628571428571429</v>
      </c>
      <c r="H145" s="1">
        <f t="shared" ca="1" si="86"/>
        <v>0.73249999999999993</v>
      </c>
      <c r="I145" s="1">
        <f t="shared" ca="1" si="87"/>
        <v>4.5086719999999998E-6</v>
      </c>
      <c r="J145" s="1">
        <f t="shared" ca="1" si="88"/>
        <v>2</v>
      </c>
      <c r="K145" s="1">
        <f t="shared" ca="1" si="89"/>
        <v>3</v>
      </c>
      <c r="L145" s="1">
        <f t="shared" ca="1" si="90"/>
        <v>5</v>
      </c>
      <c r="N145" s="1"/>
      <c r="O145" s="1"/>
      <c r="P145" s="1"/>
      <c r="Q145" s="1"/>
      <c r="R145" s="1"/>
      <c r="S145" s="1"/>
    </row>
    <row r="146" spans="1:19" x14ac:dyDescent="0.2">
      <c r="A146" s="1" t="s">
        <v>17</v>
      </c>
      <c r="B146">
        <f t="shared" si="81"/>
        <v>3</v>
      </c>
      <c r="C146" s="1">
        <f t="shared" ca="1" si="82"/>
        <v>1.51</v>
      </c>
      <c r="D146" s="1">
        <f t="shared" ca="1" si="83"/>
        <v>0.37</v>
      </c>
      <c r="E146" s="1">
        <f t="shared" ca="1" si="84"/>
        <v>0.74</v>
      </c>
      <c r="F146" s="1">
        <f t="shared" ca="1" si="85"/>
        <v>1.18</v>
      </c>
      <c r="G146" s="1">
        <f t="shared" ca="1" si="85"/>
        <v>1.1157142857142857</v>
      </c>
      <c r="H146" s="1">
        <f t="shared" ca="1" si="86"/>
        <v>0.66500000000000004</v>
      </c>
      <c r="I146" s="1">
        <f t="shared" ca="1" si="87"/>
        <v>1.8170768000000001E-5</v>
      </c>
      <c r="J146" s="1">
        <f t="shared" ca="1" si="88"/>
        <v>2</v>
      </c>
      <c r="K146" s="1">
        <f t="shared" ca="1" si="89"/>
        <v>3</v>
      </c>
      <c r="L146" s="1">
        <f t="shared" ca="1" si="90"/>
        <v>5</v>
      </c>
      <c r="N146" s="1"/>
      <c r="O146" s="1"/>
      <c r="P146" s="1"/>
      <c r="Q146" s="1"/>
      <c r="R146" s="1"/>
      <c r="S146" s="1"/>
    </row>
    <row r="147" spans="1:19" x14ac:dyDescent="0.2">
      <c r="A147" s="1" t="s">
        <v>16</v>
      </c>
      <c r="B147">
        <f t="shared" si="81"/>
        <v>7</v>
      </c>
      <c r="C147" s="1">
        <f t="shared" ca="1" si="82"/>
        <v>1.08</v>
      </c>
      <c r="D147" s="1">
        <f t="shared" ca="1" si="83"/>
        <v>1.6</v>
      </c>
      <c r="E147" s="1">
        <f t="shared" ca="1" si="84"/>
        <v>0.47</v>
      </c>
      <c r="F147" s="1">
        <f t="shared" ca="1" si="85"/>
        <v>1.2414285714285715</v>
      </c>
      <c r="G147" s="1">
        <f t="shared" ca="1" si="85"/>
        <v>0.94000000000000006</v>
      </c>
      <c r="H147" s="1">
        <f t="shared" ca="1" si="86"/>
        <v>0.79249999999999998</v>
      </c>
      <c r="I147" s="1">
        <f t="shared" ca="1" si="87"/>
        <v>5.6565599999999991E-6</v>
      </c>
      <c r="J147" s="1">
        <f t="shared" ca="1" si="88"/>
        <v>2</v>
      </c>
      <c r="K147" s="1">
        <f t="shared" ca="1" si="89"/>
        <v>3</v>
      </c>
      <c r="L147" s="1">
        <f t="shared" ca="1" si="90"/>
        <v>5</v>
      </c>
      <c r="N147" s="1"/>
      <c r="O147" s="1"/>
      <c r="P147" s="1"/>
      <c r="Q147" s="1"/>
      <c r="R147" s="1"/>
      <c r="S147" s="1"/>
    </row>
    <row r="148" spans="1:19" x14ac:dyDescent="0.2">
      <c r="A148" s="1" t="s">
        <v>22</v>
      </c>
      <c r="B148">
        <f t="shared" si="81"/>
        <v>13</v>
      </c>
      <c r="C148" s="1">
        <f t="shared" ca="1" si="82"/>
        <v>1.1100000000000001</v>
      </c>
      <c r="D148" s="1">
        <f t="shared" ca="1" si="83"/>
        <v>1.1000000000000001</v>
      </c>
      <c r="E148" s="1">
        <f t="shared" ca="1" si="84"/>
        <v>0.98</v>
      </c>
      <c r="F148" s="1">
        <f t="shared" ca="1" si="85"/>
        <v>1.2857142857142858</v>
      </c>
      <c r="G148" s="1">
        <f t="shared" ca="1" si="85"/>
        <v>0.90142857142857147</v>
      </c>
      <c r="H148" s="1">
        <f t="shared" ca="1" si="86"/>
        <v>0.69499999999999995</v>
      </c>
      <c r="I148" s="1">
        <f t="shared" ca="1" si="87"/>
        <v>4.9313600000000005E-6</v>
      </c>
      <c r="J148" s="1">
        <f t="shared" ca="1" si="88"/>
        <v>2</v>
      </c>
      <c r="K148" s="1">
        <f t="shared" ca="1" si="89"/>
        <v>3</v>
      </c>
      <c r="L148" s="1">
        <f t="shared" ca="1" si="90"/>
        <v>5</v>
      </c>
      <c r="N148" s="1"/>
      <c r="O148" s="1"/>
      <c r="P148" s="1"/>
      <c r="Q148" s="1"/>
      <c r="R148" s="1"/>
      <c r="S148" s="1"/>
    </row>
    <row r="149" spans="1:19" x14ac:dyDescent="0.2">
      <c r="A149" s="1" t="s">
        <v>23</v>
      </c>
      <c r="B149">
        <f t="shared" ref="B149:B164" si="91">LOOKUP(A149,$N$4:$N$23,$O$4:$O$23)</f>
        <v>9</v>
      </c>
      <c r="C149" s="1">
        <f t="shared" ref="C149:C164" ca="1" si="92">OFFSET($P$4,B149,0,1,1)</f>
        <v>1.21</v>
      </c>
      <c r="D149" s="1">
        <f t="shared" ref="D149:D164" ca="1" si="93">OFFSET($Q$4,$B149,0,1,1)</f>
        <v>1.3</v>
      </c>
      <c r="E149" s="1">
        <f t="shared" ref="E149:E164" ca="1" si="94">OFFSET($R$4,$B149,0,1,1)</f>
        <v>0.59</v>
      </c>
      <c r="F149" s="1">
        <f t="shared" ca="1" si="85"/>
        <v>1.2357142857142858</v>
      </c>
      <c r="G149" s="1">
        <f t="shared" ca="1" si="85"/>
        <v>0.9542857142857144</v>
      </c>
      <c r="H149" s="1">
        <f t="shared" ca="1" si="86"/>
        <v>0.76249999999999996</v>
      </c>
      <c r="I149" s="1">
        <f t="shared" ca="1" si="87"/>
        <v>1.4411879999999999E-5</v>
      </c>
      <c r="J149" s="1">
        <f t="shared" ca="1" si="88"/>
        <v>2</v>
      </c>
      <c r="K149" s="1">
        <f t="shared" ca="1" si="89"/>
        <v>3</v>
      </c>
      <c r="L149" s="1">
        <f t="shared" ca="1" si="90"/>
        <v>5</v>
      </c>
      <c r="N149" s="1"/>
      <c r="O149" s="1"/>
      <c r="P149" s="1"/>
      <c r="Q149" s="1"/>
      <c r="R149" s="1"/>
      <c r="S149" s="1"/>
    </row>
    <row r="150" spans="1:19" x14ac:dyDescent="0.2">
      <c r="A150" s="1" t="s">
        <v>18</v>
      </c>
      <c r="B150">
        <f t="shared" si="91"/>
        <v>8</v>
      </c>
      <c r="C150" s="1">
        <f t="shared" ca="1" si="92"/>
        <v>1.1599999999999999</v>
      </c>
      <c r="D150" s="1">
        <f t="shared" ca="1" si="93"/>
        <v>0.74</v>
      </c>
      <c r="E150" s="1">
        <f t="shared" ca="1" si="94"/>
        <v>1.01</v>
      </c>
      <c r="F150" s="1">
        <f t="shared" ca="1" si="85"/>
        <v>1.2242857142857144</v>
      </c>
      <c r="G150" s="1">
        <f t="shared" ca="1" si="85"/>
        <v>0.8500000000000002</v>
      </c>
      <c r="H150" s="1">
        <f t="shared" ca="1" si="86"/>
        <v>0.83000000000000007</v>
      </c>
      <c r="I150" s="1">
        <f t="shared" ca="1" si="87"/>
        <v>8.5247999999999984E-6</v>
      </c>
      <c r="J150" s="1">
        <f t="shared" ca="1" si="88"/>
        <v>2</v>
      </c>
      <c r="K150" s="1">
        <f t="shared" ca="1" si="89"/>
        <v>3</v>
      </c>
      <c r="L150" s="1">
        <f t="shared" ca="1" si="90"/>
        <v>5</v>
      </c>
      <c r="N150" s="1"/>
      <c r="O150" s="1"/>
      <c r="P150" s="1"/>
      <c r="Q150" s="1"/>
      <c r="R150" s="1"/>
      <c r="S150" s="1"/>
    </row>
    <row r="151" spans="1:19" x14ac:dyDescent="0.2">
      <c r="A151" s="1" t="s">
        <v>17</v>
      </c>
      <c r="B151">
        <f t="shared" si="91"/>
        <v>3</v>
      </c>
      <c r="C151" s="1">
        <f t="shared" ca="1" si="92"/>
        <v>1.51</v>
      </c>
      <c r="D151" s="1">
        <f t="shared" ca="1" si="93"/>
        <v>0.37</v>
      </c>
      <c r="E151" s="1">
        <f t="shared" ca="1" si="94"/>
        <v>0.74</v>
      </c>
      <c r="F151" s="1">
        <f t="shared" ref="F151:G166" ca="1" si="95">AVERAGE(C149:C155)</f>
        <v>1.22</v>
      </c>
      <c r="G151" s="1">
        <f t="shared" ca="1" si="95"/>
        <v>0.9214285714285716</v>
      </c>
      <c r="H151" s="1">
        <f t="shared" ref="H151:H166" ca="1" si="96">AVERAGE(E149:E152)</f>
        <v>0.75</v>
      </c>
      <c r="I151" s="1">
        <f t="shared" ref="I151:I166" ca="1" si="97">PRODUCT(OFFSET($S$4,B149,0,1,1),OFFSET($S$4,B150,1,1,1),OFFSET($S$4,B151,2,1,1),OFFSET($S$4,B152,3,1,1))</f>
        <v>3.1328990000000004E-5</v>
      </c>
      <c r="J151" s="1">
        <f t="shared" ref="J151:J166" ca="1" si="98">IF(AND(F151&gt;G151,F151&gt;1.05)=TRUE,2,1)</f>
        <v>2</v>
      </c>
      <c r="K151" s="1">
        <f t="shared" ref="K151:K166" ca="1" si="99">IF(AND(G151&gt;1.05,G151&gt;F151)=TRUE,4,3)</f>
        <v>3</v>
      </c>
      <c r="L151" s="1">
        <f t="shared" ref="L151:L166" ca="1" si="100">IF(AND(H151&gt;F151,H151&gt;G151,H151&gt;1,I151&gt;0.000075)=TRUE,6,5)</f>
        <v>5</v>
      </c>
      <c r="N151" s="1"/>
      <c r="O151" s="1"/>
      <c r="P151" s="1"/>
      <c r="Q151" s="1"/>
      <c r="R151" s="1"/>
      <c r="S151" s="1"/>
    </row>
    <row r="152" spans="1:19" x14ac:dyDescent="0.2">
      <c r="A152" s="1" t="s">
        <v>13</v>
      </c>
      <c r="B152">
        <f t="shared" si="91"/>
        <v>0</v>
      </c>
      <c r="C152" s="1">
        <f t="shared" ca="1" si="92"/>
        <v>1.42</v>
      </c>
      <c r="D152" s="1">
        <f t="shared" ca="1" si="93"/>
        <v>0.83</v>
      </c>
      <c r="E152" s="1">
        <f t="shared" ca="1" si="94"/>
        <v>0.66</v>
      </c>
      <c r="F152" s="1">
        <f t="shared" ca="1" si="95"/>
        <v>1.25</v>
      </c>
      <c r="G152" s="1">
        <f t="shared" ca="1" si="95"/>
        <v>0.85428571428571431</v>
      </c>
      <c r="H152" s="1">
        <f t="shared" ca="1" si="96"/>
        <v>0.85499999999999998</v>
      </c>
      <c r="I152" s="1">
        <f t="shared" ca="1" si="97"/>
        <v>1.0972500000000002E-5</v>
      </c>
      <c r="J152" s="1">
        <f t="shared" ca="1" si="98"/>
        <v>2</v>
      </c>
      <c r="K152" s="1">
        <f t="shared" ca="1" si="99"/>
        <v>3</v>
      </c>
      <c r="L152" s="1">
        <f t="shared" ca="1" si="100"/>
        <v>5</v>
      </c>
      <c r="N152" s="1"/>
      <c r="O152" s="1"/>
      <c r="P152" s="1"/>
      <c r="Q152" s="1"/>
      <c r="R152" s="1"/>
      <c r="S152" s="1"/>
    </row>
    <row r="153" spans="1:19" x14ac:dyDescent="0.2">
      <c r="A153" s="1" t="s">
        <v>18</v>
      </c>
      <c r="B153">
        <f t="shared" si="91"/>
        <v>8</v>
      </c>
      <c r="C153" s="1">
        <f t="shared" ca="1" si="92"/>
        <v>1.1599999999999999</v>
      </c>
      <c r="D153" s="1">
        <f t="shared" ca="1" si="93"/>
        <v>0.74</v>
      </c>
      <c r="E153" s="1">
        <f t="shared" ca="1" si="94"/>
        <v>1.01</v>
      </c>
      <c r="F153" s="1">
        <f t="shared" ca="1" si="95"/>
        <v>1.3</v>
      </c>
      <c r="G153" s="1">
        <f t="shared" ca="1" si="95"/>
        <v>0.80142857142857149</v>
      </c>
      <c r="H153" s="1">
        <f t="shared" ca="1" si="96"/>
        <v>0.84000000000000008</v>
      </c>
      <c r="I153" s="1">
        <f t="shared" ca="1" si="97"/>
        <v>1.6547328E-5</v>
      </c>
      <c r="J153" s="1">
        <f t="shared" ca="1" si="98"/>
        <v>2</v>
      </c>
      <c r="K153" s="1">
        <f t="shared" ca="1" si="99"/>
        <v>3</v>
      </c>
      <c r="L153" s="1">
        <f t="shared" ca="1" si="100"/>
        <v>5</v>
      </c>
      <c r="N153" s="1"/>
      <c r="O153" s="1"/>
      <c r="P153" s="1"/>
      <c r="Q153" s="1"/>
      <c r="R153" s="1"/>
      <c r="S153" s="1"/>
    </row>
    <row r="154" spans="1:19" x14ac:dyDescent="0.2">
      <c r="A154" s="1" t="s">
        <v>21</v>
      </c>
      <c r="B154">
        <f t="shared" si="91"/>
        <v>6</v>
      </c>
      <c r="C154" s="1">
        <f t="shared" ca="1" si="92"/>
        <v>1</v>
      </c>
      <c r="D154" s="1">
        <f t="shared" ca="1" si="93"/>
        <v>0.87</v>
      </c>
      <c r="E154" s="1">
        <f t="shared" ca="1" si="94"/>
        <v>0.95</v>
      </c>
      <c r="F154" s="1">
        <f t="shared" ca="1" si="95"/>
        <v>1.2285714285714284</v>
      </c>
      <c r="G154" s="1">
        <f t="shared" ca="1" si="95"/>
        <v>0.82571428571428573</v>
      </c>
      <c r="H154" s="1">
        <f t="shared" ca="1" si="96"/>
        <v>0.77249999999999996</v>
      </c>
      <c r="I154" s="1">
        <f t="shared" ca="1" si="97"/>
        <v>3.5935199999999994E-5</v>
      </c>
      <c r="J154" s="1">
        <f t="shared" ca="1" si="98"/>
        <v>2</v>
      </c>
      <c r="K154" s="1">
        <f t="shared" ca="1" si="99"/>
        <v>3</v>
      </c>
      <c r="L154" s="1">
        <f t="shared" ca="1" si="100"/>
        <v>5</v>
      </c>
      <c r="N154" s="1"/>
      <c r="O154" s="1"/>
      <c r="P154" s="1"/>
      <c r="Q154" s="1"/>
      <c r="R154" s="1"/>
      <c r="S154" s="1"/>
    </row>
    <row r="155" spans="1:19" x14ac:dyDescent="0.2">
      <c r="A155" s="1" t="s">
        <v>16</v>
      </c>
      <c r="B155">
        <f t="shared" si="91"/>
        <v>7</v>
      </c>
      <c r="C155" s="1">
        <f t="shared" ca="1" si="92"/>
        <v>1.08</v>
      </c>
      <c r="D155" s="1">
        <f t="shared" ca="1" si="93"/>
        <v>1.6</v>
      </c>
      <c r="E155" s="1">
        <f t="shared" ca="1" si="94"/>
        <v>0.47</v>
      </c>
      <c r="F155" s="1">
        <f t="shared" ca="1" si="95"/>
        <v>1.2285714285714284</v>
      </c>
      <c r="G155" s="1">
        <f t="shared" ca="1" si="95"/>
        <v>0.82571428571428573</v>
      </c>
      <c r="H155" s="1">
        <f t="shared" ca="1" si="96"/>
        <v>0.77249999999999996</v>
      </c>
      <c r="I155" s="1">
        <f t="shared" ca="1" si="97"/>
        <v>1.9490900000000003E-6</v>
      </c>
      <c r="J155" s="1">
        <f t="shared" ca="1" si="98"/>
        <v>2</v>
      </c>
      <c r="K155" s="1">
        <f t="shared" ca="1" si="99"/>
        <v>3</v>
      </c>
      <c r="L155" s="1">
        <f t="shared" ca="1" si="100"/>
        <v>5</v>
      </c>
      <c r="N155" s="1"/>
      <c r="O155" s="1"/>
      <c r="P155" s="1"/>
      <c r="Q155" s="1"/>
      <c r="R155" s="1"/>
      <c r="S155" s="1"/>
    </row>
    <row r="156" spans="1:19" x14ac:dyDescent="0.2">
      <c r="A156" s="1" t="s">
        <v>13</v>
      </c>
      <c r="B156">
        <f t="shared" si="91"/>
        <v>0</v>
      </c>
      <c r="C156" s="1">
        <f t="shared" ca="1" si="92"/>
        <v>1.42</v>
      </c>
      <c r="D156" s="1">
        <f t="shared" ca="1" si="93"/>
        <v>0.83</v>
      </c>
      <c r="E156" s="1">
        <f t="shared" ca="1" si="94"/>
        <v>0.66</v>
      </c>
      <c r="F156" s="1">
        <f t="shared" ca="1" si="95"/>
        <v>1.2071428571428571</v>
      </c>
      <c r="G156" s="1">
        <f t="shared" ca="1" si="95"/>
        <v>0.79714285714285726</v>
      </c>
      <c r="H156" s="1">
        <f t="shared" ca="1" si="96"/>
        <v>0.70500000000000007</v>
      </c>
      <c r="I156" s="1">
        <f t="shared" ca="1" si="97"/>
        <v>1.0662400000000005E-5</v>
      </c>
      <c r="J156" s="1">
        <f t="shared" ca="1" si="98"/>
        <v>2</v>
      </c>
      <c r="K156" s="1">
        <f t="shared" ca="1" si="99"/>
        <v>3</v>
      </c>
      <c r="L156" s="1">
        <f t="shared" ca="1" si="100"/>
        <v>5</v>
      </c>
      <c r="N156" s="1"/>
      <c r="O156" s="1"/>
      <c r="P156" s="1"/>
      <c r="Q156" s="1"/>
      <c r="R156" s="1"/>
      <c r="S156" s="1"/>
    </row>
    <row r="157" spans="1:19" x14ac:dyDescent="0.2">
      <c r="A157" s="1" t="s">
        <v>17</v>
      </c>
      <c r="B157">
        <f t="shared" si="91"/>
        <v>3</v>
      </c>
      <c r="C157" s="1">
        <f t="shared" ca="1" si="92"/>
        <v>1.51</v>
      </c>
      <c r="D157" s="1">
        <f t="shared" ca="1" si="93"/>
        <v>0.37</v>
      </c>
      <c r="E157" s="1">
        <f t="shared" ca="1" si="94"/>
        <v>0.74</v>
      </c>
      <c r="F157" s="1">
        <f t="shared" ca="1" si="95"/>
        <v>1.2042857142857142</v>
      </c>
      <c r="G157" s="1">
        <f t="shared" ca="1" si="95"/>
        <v>0.80571428571428572</v>
      </c>
      <c r="H157" s="1">
        <f t="shared" ca="1" si="96"/>
        <v>0.83250000000000002</v>
      </c>
      <c r="I157" s="1">
        <f t="shared" ca="1" si="97"/>
        <v>2.0382515999999997E-5</v>
      </c>
      <c r="J157" s="1">
        <f t="shared" ca="1" si="98"/>
        <v>2</v>
      </c>
      <c r="K157" s="1">
        <f t="shared" ca="1" si="99"/>
        <v>3</v>
      </c>
      <c r="L157" s="1">
        <f t="shared" ca="1" si="100"/>
        <v>5</v>
      </c>
      <c r="N157" s="1"/>
      <c r="O157" s="1"/>
      <c r="P157" s="1"/>
      <c r="Q157" s="1"/>
      <c r="R157" s="1"/>
      <c r="S157" s="1"/>
    </row>
    <row r="158" spans="1:19" x14ac:dyDescent="0.2">
      <c r="A158" s="1" t="s">
        <v>14</v>
      </c>
      <c r="B158">
        <f t="shared" si="91"/>
        <v>2</v>
      </c>
      <c r="C158" s="1">
        <f t="shared" ca="1" si="92"/>
        <v>1.01</v>
      </c>
      <c r="D158" s="1">
        <f t="shared" ca="1" si="93"/>
        <v>0.54</v>
      </c>
      <c r="E158" s="1">
        <f t="shared" ca="1" si="94"/>
        <v>1.46</v>
      </c>
      <c r="F158" s="1">
        <f t="shared" ca="1" si="95"/>
        <v>1.1485714285714284</v>
      </c>
      <c r="G158" s="1">
        <f t="shared" ca="1" si="95"/>
        <v>0.78714285714285714</v>
      </c>
      <c r="H158" s="1">
        <f t="shared" ca="1" si="96"/>
        <v>0.88</v>
      </c>
      <c r="I158" s="1">
        <f t="shared" ca="1" si="97"/>
        <v>3.7375200000000001E-5</v>
      </c>
      <c r="J158" s="1">
        <f t="shared" ca="1" si="98"/>
        <v>2</v>
      </c>
      <c r="K158" s="1">
        <f t="shared" ca="1" si="99"/>
        <v>3</v>
      </c>
      <c r="L158" s="1">
        <f t="shared" ca="1" si="100"/>
        <v>5</v>
      </c>
      <c r="N158" s="1"/>
      <c r="O158" s="1"/>
      <c r="P158" s="1"/>
      <c r="Q158" s="1"/>
      <c r="R158" s="1"/>
      <c r="S158" s="1"/>
    </row>
    <row r="159" spans="1:19" x14ac:dyDescent="0.2">
      <c r="A159" s="1" t="s">
        <v>13</v>
      </c>
      <c r="B159">
        <f t="shared" si="91"/>
        <v>0</v>
      </c>
      <c r="C159" s="1">
        <f t="shared" ca="1" si="92"/>
        <v>1.42</v>
      </c>
      <c r="D159" s="1">
        <f t="shared" ca="1" si="93"/>
        <v>0.83</v>
      </c>
      <c r="E159" s="1">
        <f t="shared" ca="1" si="94"/>
        <v>0.66</v>
      </c>
      <c r="F159" s="1">
        <f t="shared" ca="1" si="95"/>
        <v>1.1614285714285713</v>
      </c>
      <c r="G159" s="1">
        <f t="shared" ca="1" si="95"/>
        <v>0.72142857142857153</v>
      </c>
      <c r="H159" s="1">
        <f t="shared" ca="1" si="96"/>
        <v>1.08</v>
      </c>
      <c r="I159" s="1">
        <f t="shared" ca="1" si="97"/>
        <v>1.7463600000000003E-5</v>
      </c>
      <c r="J159" s="1">
        <f t="shared" ca="1" si="98"/>
        <v>2</v>
      </c>
      <c r="K159" s="1">
        <f t="shared" ca="1" si="99"/>
        <v>3</v>
      </c>
      <c r="L159" s="1">
        <f t="shared" ca="1" si="100"/>
        <v>5</v>
      </c>
      <c r="N159" s="1"/>
      <c r="O159" s="1"/>
      <c r="P159" s="1"/>
      <c r="Q159" s="1"/>
      <c r="R159" s="1"/>
      <c r="S159" s="1"/>
    </row>
    <row r="160" spans="1:19" x14ac:dyDescent="0.2">
      <c r="A160" s="1" t="s">
        <v>14</v>
      </c>
      <c r="B160">
        <f t="shared" si="91"/>
        <v>2</v>
      </c>
      <c r="C160" s="1">
        <f t="shared" ca="1" si="92"/>
        <v>1.01</v>
      </c>
      <c r="D160" s="1">
        <f t="shared" ca="1" si="93"/>
        <v>0.54</v>
      </c>
      <c r="E160" s="1">
        <f t="shared" ca="1" si="94"/>
        <v>1.46</v>
      </c>
      <c r="F160" s="1">
        <f t="shared" ca="1" si="95"/>
        <v>1.1614285714285713</v>
      </c>
      <c r="G160" s="1">
        <f t="shared" ca="1" si="95"/>
        <v>0.72142857142857153</v>
      </c>
      <c r="H160" s="1">
        <f t="shared" ca="1" si="96"/>
        <v>1.1325000000000001</v>
      </c>
      <c r="I160" s="1">
        <f t="shared" ca="1" si="97"/>
        <v>1.6998198E-4</v>
      </c>
      <c r="J160" s="1">
        <f t="shared" ca="1" si="98"/>
        <v>2</v>
      </c>
      <c r="K160" s="1">
        <f t="shared" ca="1" si="99"/>
        <v>3</v>
      </c>
      <c r="L160" s="1">
        <f t="shared" ca="1" si="100"/>
        <v>5</v>
      </c>
      <c r="N160" s="1"/>
      <c r="O160" s="1"/>
      <c r="P160" s="1"/>
      <c r="Q160" s="1"/>
      <c r="R160" s="1"/>
      <c r="S160" s="1"/>
    </row>
    <row r="161" spans="1:19" x14ac:dyDescent="0.2">
      <c r="A161" s="1" t="s">
        <v>26</v>
      </c>
      <c r="B161">
        <f t="shared" si="91"/>
        <v>14</v>
      </c>
      <c r="C161" s="1">
        <f t="shared" ca="1" si="92"/>
        <v>0.98</v>
      </c>
      <c r="D161" s="1">
        <f t="shared" ca="1" si="93"/>
        <v>0.93</v>
      </c>
      <c r="E161" s="1">
        <f t="shared" ca="1" si="94"/>
        <v>0.95</v>
      </c>
      <c r="F161" s="1">
        <f t="shared" ca="1" si="95"/>
        <v>1.117142857142857</v>
      </c>
      <c r="G161" s="1">
        <f t="shared" ca="1" si="95"/>
        <v>0.88714285714285723</v>
      </c>
      <c r="H161" s="1">
        <f t="shared" ca="1" si="96"/>
        <v>1.0525</v>
      </c>
      <c r="I161" s="1">
        <f t="shared" ca="1" si="97"/>
        <v>8.1675000000000007E-5</v>
      </c>
      <c r="J161" s="1">
        <f t="shared" ca="1" si="98"/>
        <v>2</v>
      </c>
      <c r="K161" s="1">
        <f t="shared" ca="1" si="99"/>
        <v>3</v>
      </c>
      <c r="L161" s="1">
        <f t="shared" ca="1" si="100"/>
        <v>5</v>
      </c>
      <c r="N161" s="1"/>
      <c r="O161" s="1"/>
      <c r="P161" s="1"/>
      <c r="Q161" s="1"/>
      <c r="R161" s="1"/>
      <c r="S161" s="1"/>
    </row>
    <row r="162" spans="1:19" x14ac:dyDescent="0.2">
      <c r="A162" s="1" t="s">
        <v>31</v>
      </c>
      <c r="B162">
        <f t="shared" si="91"/>
        <v>19</v>
      </c>
      <c r="C162" s="1">
        <f t="shared" ca="1" si="92"/>
        <v>0.69</v>
      </c>
      <c r="D162" s="1">
        <f t="shared" ca="1" si="93"/>
        <v>1.47</v>
      </c>
      <c r="E162" s="1">
        <f t="shared" ca="1" si="94"/>
        <v>1.1399999999999999</v>
      </c>
      <c r="F162" s="1">
        <f t="shared" ca="1" si="95"/>
        <v>1.117142857142857</v>
      </c>
      <c r="G162" s="1">
        <f t="shared" ca="1" si="95"/>
        <v>0.88714285714285723</v>
      </c>
      <c r="H162" s="1">
        <f t="shared" ca="1" si="96"/>
        <v>1.0725</v>
      </c>
      <c r="I162" s="1">
        <f t="shared" ca="1" si="97"/>
        <v>1.1368627199999999E-4</v>
      </c>
      <c r="J162" s="1">
        <f t="shared" ca="1" si="98"/>
        <v>2</v>
      </c>
      <c r="K162" s="1">
        <f t="shared" ca="1" si="99"/>
        <v>3</v>
      </c>
      <c r="L162" s="1">
        <f t="shared" ca="1" si="100"/>
        <v>5</v>
      </c>
      <c r="N162" s="1"/>
      <c r="O162" s="1"/>
      <c r="P162" s="1"/>
      <c r="Q162" s="1"/>
      <c r="R162" s="1"/>
      <c r="S162" s="1"/>
    </row>
    <row r="163" spans="1:19" x14ac:dyDescent="0.2">
      <c r="A163" s="1" t="s">
        <v>17</v>
      </c>
      <c r="B163">
        <f t="shared" si="91"/>
        <v>3</v>
      </c>
      <c r="C163" s="1">
        <f t="shared" ca="1" si="92"/>
        <v>1.51</v>
      </c>
      <c r="D163" s="1">
        <f t="shared" ca="1" si="93"/>
        <v>0.37</v>
      </c>
      <c r="E163" s="1">
        <f t="shared" ca="1" si="94"/>
        <v>0.74</v>
      </c>
      <c r="F163" s="1">
        <f t="shared" ca="1" si="95"/>
        <v>1.1128571428571428</v>
      </c>
      <c r="G163" s="1">
        <f t="shared" ca="1" si="95"/>
        <v>0.94285714285714284</v>
      </c>
      <c r="H163" s="1">
        <f t="shared" ca="1" si="96"/>
        <v>0.89250000000000007</v>
      </c>
      <c r="I163" s="1">
        <f t="shared" ca="1" si="97"/>
        <v>2.2422399999999997E-4</v>
      </c>
      <c r="J163" s="1">
        <f t="shared" ca="1" si="98"/>
        <v>2</v>
      </c>
      <c r="K163" s="1">
        <f t="shared" ca="1" si="99"/>
        <v>3</v>
      </c>
      <c r="L163" s="1">
        <f t="shared" ca="1" si="100"/>
        <v>5</v>
      </c>
      <c r="N163" s="1"/>
      <c r="O163" s="1"/>
      <c r="P163" s="1"/>
      <c r="Q163" s="1"/>
      <c r="R163" s="1"/>
      <c r="S163" s="1"/>
    </row>
    <row r="164" spans="1:19" x14ac:dyDescent="0.2">
      <c r="A164" s="1" t="s">
        <v>17</v>
      </c>
      <c r="B164">
        <f t="shared" si="91"/>
        <v>3</v>
      </c>
      <c r="C164" s="1">
        <f t="shared" ca="1" si="92"/>
        <v>1.51</v>
      </c>
      <c r="D164" s="1">
        <f t="shared" ca="1" si="93"/>
        <v>0.37</v>
      </c>
      <c r="E164" s="1">
        <f t="shared" ca="1" si="94"/>
        <v>0.74</v>
      </c>
      <c r="F164" s="1">
        <f t="shared" ca="1" si="95"/>
        <v>1.1385714285714286</v>
      </c>
      <c r="G164" s="1">
        <f t="shared" ca="1" si="95"/>
        <v>0.9157142857142857</v>
      </c>
      <c r="H164" s="1">
        <f t="shared" ca="1" si="96"/>
        <v>0.78</v>
      </c>
      <c r="I164" s="1">
        <f t="shared" ca="1" si="97"/>
        <v>2.0078519999999999E-5</v>
      </c>
      <c r="J164" s="1">
        <f t="shared" ca="1" si="98"/>
        <v>2</v>
      </c>
      <c r="K164" s="1">
        <f t="shared" ca="1" si="99"/>
        <v>3</v>
      </c>
      <c r="L164" s="1">
        <f t="shared" ca="1" si="100"/>
        <v>5</v>
      </c>
      <c r="N164" s="1"/>
      <c r="O164" s="1"/>
      <c r="P164" s="1"/>
      <c r="Q164" s="1"/>
      <c r="R164" s="1"/>
      <c r="S164" s="1"/>
    </row>
    <row r="165" spans="1:19" x14ac:dyDescent="0.2">
      <c r="A165" s="1" t="s">
        <v>29</v>
      </c>
      <c r="B165">
        <f t="shared" ref="B165:B180" si="101">LOOKUP(A165,$N$4:$N$23,$O$4:$O$23)</f>
        <v>17</v>
      </c>
      <c r="C165" s="1">
        <f t="shared" ref="C165:C180" ca="1" si="102">OFFSET($P$4,B165,0,1,1)</f>
        <v>0.7</v>
      </c>
      <c r="D165" s="1">
        <f t="shared" ref="D165:D180" ca="1" si="103">OFFSET($Q$4,$B165,0,1,1)</f>
        <v>1.7</v>
      </c>
      <c r="E165" s="1">
        <f t="shared" ref="E165:E180" ca="1" si="104">OFFSET($R$4,$B165,0,1,1)</f>
        <v>0.5</v>
      </c>
      <c r="F165" s="1">
        <f t="shared" ca="1" si="95"/>
        <v>1.2128571428571426</v>
      </c>
      <c r="G165" s="1">
        <f t="shared" ca="1" si="95"/>
        <v>0.89142857142857146</v>
      </c>
      <c r="H165" s="1">
        <f t="shared" ca="1" si="96"/>
        <v>0.66</v>
      </c>
      <c r="I165" s="1">
        <f t="shared" ca="1" si="97"/>
        <v>5.4566400000000007E-6</v>
      </c>
      <c r="J165" s="1">
        <f t="shared" ca="1" si="98"/>
        <v>2</v>
      </c>
      <c r="K165" s="1">
        <f t="shared" ca="1" si="99"/>
        <v>3</v>
      </c>
      <c r="L165" s="1">
        <f t="shared" ca="1" si="100"/>
        <v>5</v>
      </c>
      <c r="N165" s="1"/>
      <c r="O165" s="1"/>
      <c r="P165" s="1"/>
      <c r="Q165" s="1"/>
      <c r="R165" s="1"/>
      <c r="S165" s="1"/>
    </row>
    <row r="166" spans="1:19" x14ac:dyDescent="0.2">
      <c r="A166" s="1" t="s">
        <v>13</v>
      </c>
      <c r="B166">
        <f t="shared" si="101"/>
        <v>0</v>
      </c>
      <c r="C166" s="1">
        <f t="shared" ca="1" si="102"/>
        <v>1.42</v>
      </c>
      <c r="D166" s="1">
        <f t="shared" ca="1" si="103"/>
        <v>0.83</v>
      </c>
      <c r="E166" s="1">
        <f t="shared" ca="1" si="104"/>
        <v>0.66</v>
      </c>
      <c r="F166" s="1">
        <f t="shared" ca="1" si="95"/>
        <v>1.0971428571428572</v>
      </c>
      <c r="G166" s="1">
        <f t="shared" ca="1" si="95"/>
        <v>1.0814285714285714</v>
      </c>
      <c r="H166" s="1">
        <f t="shared" ca="1" si="96"/>
        <v>0.71249999999999991</v>
      </c>
      <c r="I166" s="1">
        <f t="shared" ca="1" si="97"/>
        <v>7.9968000000000028E-6</v>
      </c>
      <c r="J166" s="1">
        <f t="shared" ca="1" si="98"/>
        <v>2</v>
      </c>
      <c r="K166" s="1">
        <f t="shared" ca="1" si="99"/>
        <v>3</v>
      </c>
      <c r="L166" s="1">
        <f t="shared" ca="1" si="100"/>
        <v>5</v>
      </c>
      <c r="N166" s="1"/>
      <c r="O166" s="1"/>
      <c r="P166" s="1"/>
      <c r="Q166" s="1"/>
      <c r="R166" s="1"/>
      <c r="S166" s="1"/>
    </row>
    <row r="167" spans="1:19" x14ac:dyDescent="0.2">
      <c r="A167" s="1" t="s">
        <v>26</v>
      </c>
      <c r="B167">
        <f t="shared" si="101"/>
        <v>14</v>
      </c>
      <c r="C167" s="1">
        <f t="shared" ca="1" si="102"/>
        <v>0.98</v>
      </c>
      <c r="D167" s="1">
        <f t="shared" ca="1" si="103"/>
        <v>0.93</v>
      </c>
      <c r="E167" s="1">
        <f t="shared" ca="1" si="104"/>
        <v>0.95</v>
      </c>
      <c r="F167" s="1">
        <f t="shared" ref="F167:G182" ca="1" si="105">AVERAGE(C165:C171)</f>
        <v>1.0357142857142858</v>
      </c>
      <c r="G167" s="1">
        <f t="shared" ca="1" si="105"/>
        <v>1.2571428571428573</v>
      </c>
      <c r="H167" s="1">
        <f t="shared" ref="H167:H182" ca="1" si="106">AVERAGE(E165:E168)</f>
        <v>0.78</v>
      </c>
      <c r="I167" s="1">
        <f t="shared" ref="I167:I182" ca="1" si="107">PRODUCT(OFFSET($S$4,B165,0,1,1),OFFSET($S$4,B166,1,1,1),OFFSET($S$4,B167,2,1,1),OFFSET($S$4,B168,3,1,1))</f>
        <v>4.4316360000000005E-5</v>
      </c>
      <c r="J167" s="1">
        <f t="shared" ref="J167:J182" ca="1" si="108">IF(AND(F167&gt;G167,F167&gt;1.05)=TRUE,2,1)</f>
        <v>1</v>
      </c>
      <c r="K167" s="1">
        <f t="shared" ref="K167:K182" ca="1" si="109">IF(AND(G167&gt;1.05,G167&gt;F167)=TRUE,4,3)</f>
        <v>4</v>
      </c>
      <c r="L167" s="1">
        <f t="shared" ref="L167:L182" ca="1" si="110">IF(AND(H167&gt;F167,H167&gt;G167,H167&gt;1,I167&gt;0.000075)=TRUE,6,5)</f>
        <v>5</v>
      </c>
      <c r="N167" s="1"/>
      <c r="O167" s="1"/>
      <c r="P167" s="1"/>
      <c r="Q167" s="1"/>
      <c r="R167" s="1"/>
      <c r="S167" s="1"/>
    </row>
    <row r="168" spans="1:19" x14ac:dyDescent="0.2">
      <c r="A168" s="1" t="s">
        <v>18</v>
      </c>
      <c r="B168">
        <f t="shared" si="101"/>
        <v>8</v>
      </c>
      <c r="C168" s="1">
        <f t="shared" ca="1" si="102"/>
        <v>1.1599999999999999</v>
      </c>
      <c r="D168" s="1">
        <f t="shared" ca="1" si="103"/>
        <v>0.74</v>
      </c>
      <c r="E168" s="1">
        <f t="shared" ca="1" si="104"/>
        <v>1.01</v>
      </c>
      <c r="F168" s="1">
        <f t="shared" ca="1" si="105"/>
        <v>1.0900000000000001</v>
      </c>
      <c r="G168" s="1">
        <f t="shared" ca="1" si="105"/>
        <v>1.2428571428571427</v>
      </c>
      <c r="H168" s="1">
        <f t="shared" ca="1" si="106"/>
        <v>0.80249999999999999</v>
      </c>
      <c r="I168" s="1">
        <f t="shared" ca="1" si="107"/>
        <v>3.2054399999999996E-5</v>
      </c>
      <c r="J168" s="1">
        <f t="shared" ca="1" si="108"/>
        <v>1</v>
      </c>
      <c r="K168" s="1">
        <f t="shared" ca="1" si="109"/>
        <v>4</v>
      </c>
      <c r="L168" s="1">
        <f t="shared" ca="1" si="110"/>
        <v>5</v>
      </c>
      <c r="N168" s="1"/>
      <c r="O168" s="1"/>
      <c r="P168" s="1"/>
      <c r="Q168" s="1"/>
      <c r="R168" s="1"/>
      <c r="S168" s="1"/>
    </row>
    <row r="169" spans="1:19" x14ac:dyDescent="0.2">
      <c r="A169" s="1" t="s">
        <v>23</v>
      </c>
      <c r="B169">
        <f t="shared" si="101"/>
        <v>9</v>
      </c>
      <c r="C169" s="1">
        <f t="shared" ca="1" si="102"/>
        <v>1.21</v>
      </c>
      <c r="D169" s="1">
        <f t="shared" ca="1" si="103"/>
        <v>1.3</v>
      </c>
      <c r="E169" s="1">
        <f t="shared" ca="1" si="104"/>
        <v>0.59</v>
      </c>
      <c r="F169" s="1">
        <f t="shared" ca="1" si="105"/>
        <v>1.1028571428571428</v>
      </c>
      <c r="G169" s="1">
        <f t="shared" ca="1" si="105"/>
        <v>1.1771428571428568</v>
      </c>
      <c r="H169" s="1">
        <f t="shared" ca="1" si="106"/>
        <v>0.76249999999999996</v>
      </c>
      <c r="I169" s="1">
        <f t="shared" ca="1" si="107"/>
        <v>1.5359400000000001E-4</v>
      </c>
      <c r="J169" s="1">
        <f t="shared" ca="1" si="108"/>
        <v>1</v>
      </c>
      <c r="K169" s="1">
        <f t="shared" ca="1" si="109"/>
        <v>4</v>
      </c>
      <c r="L169" s="1">
        <f t="shared" ca="1" si="110"/>
        <v>5</v>
      </c>
      <c r="N169" s="1"/>
      <c r="O169" s="1"/>
      <c r="P169" s="1"/>
      <c r="Q169" s="1"/>
      <c r="R169" s="1"/>
      <c r="S169" s="1"/>
    </row>
    <row r="170" spans="1:19" x14ac:dyDescent="0.2">
      <c r="A170" s="1" t="s">
        <v>29</v>
      </c>
      <c r="B170">
        <f t="shared" si="101"/>
        <v>17</v>
      </c>
      <c r="C170" s="1">
        <f t="shared" ca="1" si="102"/>
        <v>0.7</v>
      </c>
      <c r="D170" s="1">
        <f t="shared" ca="1" si="103"/>
        <v>1.7</v>
      </c>
      <c r="E170" s="1">
        <f t="shared" ca="1" si="104"/>
        <v>0.5</v>
      </c>
      <c r="F170" s="1">
        <f t="shared" ca="1" si="105"/>
        <v>1.0728571428571427</v>
      </c>
      <c r="G170" s="1">
        <f t="shared" ca="1" si="105"/>
        <v>1.1514285714285712</v>
      </c>
      <c r="H170" s="1">
        <f t="shared" ca="1" si="106"/>
        <v>0.64250000000000007</v>
      </c>
      <c r="I170" s="1">
        <f t="shared" ca="1" si="107"/>
        <v>2.1560000000000006E-6</v>
      </c>
      <c r="J170" s="1">
        <f t="shared" ca="1" si="108"/>
        <v>1</v>
      </c>
      <c r="K170" s="1">
        <f t="shared" ca="1" si="109"/>
        <v>4</v>
      </c>
      <c r="L170" s="1">
        <f t="shared" ca="1" si="110"/>
        <v>5</v>
      </c>
      <c r="N170" s="1"/>
      <c r="O170" s="1"/>
      <c r="P170" s="1"/>
      <c r="Q170" s="1"/>
      <c r="R170" s="1"/>
      <c r="S170" s="1"/>
    </row>
    <row r="171" spans="1:19" x14ac:dyDescent="0.2">
      <c r="A171" s="1" t="s">
        <v>16</v>
      </c>
      <c r="B171">
        <f t="shared" si="101"/>
        <v>7</v>
      </c>
      <c r="C171" s="1">
        <f t="shared" ca="1" si="102"/>
        <v>1.08</v>
      </c>
      <c r="D171" s="1">
        <f t="shared" ca="1" si="103"/>
        <v>1.6</v>
      </c>
      <c r="E171" s="1">
        <f t="shared" ca="1" si="104"/>
        <v>0.47</v>
      </c>
      <c r="F171" s="1">
        <f t="shared" ca="1" si="105"/>
        <v>1.0514285714285714</v>
      </c>
      <c r="G171" s="1">
        <f t="shared" ca="1" si="105"/>
        <v>1.1228571428571428</v>
      </c>
      <c r="H171" s="1">
        <f t="shared" ca="1" si="106"/>
        <v>0.50749999999999995</v>
      </c>
      <c r="I171" s="1">
        <f t="shared" ca="1" si="107"/>
        <v>2.131584E-6</v>
      </c>
      <c r="J171" s="1">
        <f t="shared" ca="1" si="108"/>
        <v>1</v>
      </c>
      <c r="K171" s="1">
        <f t="shared" ca="1" si="109"/>
        <v>4</v>
      </c>
      <c r="L171" s="1">
        <f t="shared" ca="1" si="110"/>
        <v>5</v>
      </c>
      <c r="N171" s="1"/>
      <c r="O171" s="1"/>
      <c r="P171" s="1"/>
      <c r="Q171" s="1"/>
      <c r="R171" s="1"/>
      <c r="S171" s="1"/>
    </row>
    <row r="172" spans="1:19" x14ac:dyDescent="0.2">
      <c r="A172" s="1" t="s">
        <v>16</v>
      </c>
      <c r="B172">
        <f t="shared" si="101"/>
        <v>7</v>
      </c>
      <c r="C172" s="1">
        <f t="shared" ca="1" si="102"/>
        <v>1.08</v>
      </c>
      <c r="D172" s="1">
        <f t="shared" ca="1" si="103"/>
        <v>1.6</v>
      </c>
      <c r="E172" s="1">
        <f t="shared" ca="1" si="104"/>
        <v>0.47</v>
      </c>
      <c r="F172" s="1">
        <f t="shared" ca="1" si="105"/>
        <v>1.0514285714285714</v>
      </c>
      <c r="G172" s="1">
        <f t="shared" ca="1" si="105"/>
        <v>1.122857142857143</v>
      </c>
      <c r="H172" s="1">
        <f t="shared" ca="1" si="106"/>
        <v>0.54499999999999993</v>
      </c>
      <c r="I172" s="1">
        <f t="shared" ca="1" si="107"/>
        <v>1.7538560000000001E-6</v>
      </c>
      <c r="J172" s="1">
        <f t="shared" ca="1" si="108"/>
        <v>1</v>
      </c>
      <c r="K172" s="1">
        <f t="shared" ca="1" si="109"/>
        <v>4</v>
      </c>
      <c r="L172" s="1">
        <f t="shared" ca="1" si="110"/>
        <v>5</v>
      </c>
      <c r="N172" s="1"/>
      <c r="O172" s="1"/>
      <c r="P172" s="1"/>
      <c r="Q172" s="1"/>
      <c r="R172" s="1"/>
      <c r="S172" s="1"/>
    </row>
    <row r="173" spans="1:19" x14ac:dyDescent="0.2">
      <c r="A173" s="1" t="s">
        <v>17</v>
      </c>
      <c r="B173">
        <f t="shared" si="101"/>
        <v>3</v>
      </c>
      <c r="C173" s="1">
        <f t="shared" ca="1" si="102"/>
        <v>1.51</v>
      </c>
      <c r="D173" s="1">
        <f t="shared" ca="1" si="103"/>
        <v>0.37</v>
      </c>
      <c r="E173" s="1">
        <f t="shared" ca="1" si="104"/>
        <v>0.74</v>
      </c>
      <c r="F173" s="1">
        <f t="shared" ca="1" si="105"/>
        <v>1.167142857142857</v>
      </c>
      <c r="G173" s="1">
        <f t="shared" ca="1" si="105"/>
        <v>0.93285714285714294</v>
      </c>
      <c r="H173" s="1">
        <f t="shared" ca="1" si="106"/>
        <v>0.77749999999999997</v>
      </c>
      <c r="I173" s="1">
        <f t="shared" ca="1" si="107"/>
        <v>1.1932843999999999E-5</v>
      </c>
      <c r="J173" s="1">
        <f t="shared" ca="1" si="108"/>
        <v>2</v>
      </c>
      <c r="K173" s="1">
        <f t="shared" ca="1" si="109"/>
        <v>3</v>
      </c>
      <c r="L173" s="1">
        <f t="shared" ca="1" si="110"/>
        <v>5</v>
      </c>
      <c r="N173" s="1"/>
      <c r="O173" s="1"/>
      <c r="P173" s="1"/>
      <c r="Q173" s="1"/>
      <c r="R173" s="1"/>
      <c r="S173" s="1"/>
    </row>
    <row r="174" spans="1:19" x14ac:dyDescent="0.2">
      <c r="A174" s="1" t="s">
        <v>27</v>
      </c>
      <c r="B174">
        <f t="shared" si="101"/>
        <v>15</v>
      </c>
      <c r="C174" s="1">
        <f t="shared" ca="1" si="102"/>
        <v>0.77</v>
      </c>
      <c r="D174" s="1">
        <f t="shared" ca="1" si="103"/>
        <v>0.75</v>
      </c>
      <c r="E174" s="1">
        <f t="shared" ca="1" si="104"/>
        <v>1.43</v>
      </c>
      <c r="F174" s="1">
        <f t="shared" ca="1" si="105"/>
        <v>1.1528571428571428</v>
      </c>
      <c r="G174" s="1">
        <f t="shared" ca="1" si="105"/>
        <v>0.83714285714285719</v>
      </c>
      <c r="H174" s="1">
        <f t="shared" ca="1" si="106"/>
        <v>1.0249999999999999</v>
      </c>
      <c r="I174" s="1">
        <f t="shared" ca="1" si="107"/>
        <v>2.6122499999999999E-5</v>
      </c>
      <c r="J174" s="1">
        <f t="shared" ca="1" si="108"/>
        <v>2</v>
      </c>
      <c r="K174" s="1">
        <f t="shared" ca="1" si="109"/>
        <v>3</v>
      </c>
      <c r="L174" s="1">
        <f t="shared" ca="1" si="110"/>
        <v>5</v>
      </c>
      <c r="N174" s="1"/>
      <c r="O174" s="1"/>
      <c r="P174" s="1"/>
      <c r="Q174" s="1"/>
      <c r="R174" s="1"/>
      <c r="S174" s="1"/>
    </row>
    <row r="175" spans="1:19" x14ac:dyDescent="0.2">
      <c r="A175" s="1" t="s">
        <v>14</v>
      </c>
      <c r="B175">
        <f t="shared" si="101"/>
        <v>2</v>
      </c>
      <c r="C175" s="1">
        <f t="shared" ca="1" si="102"/>
        <v>1.01</v>
      </c>
      <c r="D175" s="1">
        <f t="shared" ca="1" si="103"/>
        <v>0.54</v>
      </c>
      <c r="E175" s="1">
        <f t="shared" ca="1" si="104"/>
        <v>1.46</v>
      </c>
      <c r="F175" s="1">
        <f t="shared" ca="1" si="105"/>
        <v>1.2014285714285715</v>
      </c>
      <c r="G175" s="1">
        <f t="shared" ca="1" si="105"/>
        <v>0.72714285714285709</v>
      </c>
      <c r="H175" s="1">
        <f t="shared" ca="1" si="106"/>
        <v>1.0549999999999999</v>
      </c>
      <c r="I175" s="1">
        <f t="shared" ca="1" si="107"/>
        <v>9.7533520000000012E-5</v>
      </c>
      <c r="J175" s="1">
        <f t="shared" ca="1" si="108"/>
        <v>2</v>
      </c>
      <c r="K175" s="1">
        <f t="shared" ca="1" si="109"/>
        <v>3</v>
      </c>
      <c r="L175" s="1">
        <f t="shared" ca="1" si="110"/>
        <v>5</v>
      </c>
      <c r="N175" s="1"/>
      <c r="O175" s="1"/>
      <c r="P175" s="1"/>
      <c r="Q175" s="1"/>
      <c r="R175" s="1"/>
      <c r="S175" s="1"/>
    </row>
    <row r="176" spans="1:19" x14ac:dyDescent="0.2">
      <c r="A176" s="1" t="s">
        <v>23</v>
      </c>
      <c r="B176">
        <f t="shared" si="101"/>
        <v>9</v>
      </c>
      <c r="C176" s="1">
        <f t="shared" ca="1" si="102"/>
        <v>1.21</v>
      </c>
      <c r="D176" s="1">
        <f t="shared" ca="1" si="103"/>
        <v>1.3</v>
      </c>
      <c r="E176" s="1">
        <f t="shared" ca="1" si="104"/>
        <v>0.59</v>
      </c>
      <c r="F176" s="1">
        <f t="shared" ca="1" si="105"/>
        <v>1.2014285714285715</v>
      </c>
      <c r="G176" s="1">
        <f t="shared" ca="1" si="105"/>
        <v>0.72714285714285709</v>
      </c>
      <c r="H176" s="1">
        <f t="shared" ca="1" si="106"/>
        <v>1.0549999999999999</v>
      </c>
      <c r="I176" s="1">
        <f t="shared" ca="1" si="107"/>
        <v>3.0412799999999998E-5</v>
      </c>
      <c r="J176" s="1">
        <f t="shared" ca="1" si="108"/>
        <v>2</v>
      </c>
      <c r="K176" s="1">
        <f t="shared" ca="1" si="109"/>
        <v>3</v>
      </c>
      <c r="L176" s="1">
        <f t="shared" ca="1" si="110"/>
        <v>5</v>
      </c>
      <c r="N176" s="1"/>
      <c r="O176" s="1"/>
      <c r="P176" s="1"/>
      <c r="Q176" s="1"/>
      <c r="R176" s="1"/>
      <c r="S176" s="1"/>
    </row>
    <row r="177" spans="1:19" x14ac:dyDescent="0.2">
      <c r="A177" s="1" t="s">
        <v>17</v>
      </c>
      <c r="B177">
        <f t="shared" si="101"/>
        <v>3</v>
      </c>
      <c r="C177" s="1">
        <f t="shared" ca="1" si="102"/>
        <v>1.51</v>
      </c>
      <c r="D177" s="1">
        <f t="shared" ca="1" si="103"/>
        <v>0.37</v>
      </c>
      <c r="E177" s="1">
        <f t="shared" ca="1" si="104"/>
        <v>0.74</v>
      </c>
      <c r="F177" s="1">
        <f t="shared" ca="1" si="105"/>
        <v>1.3071428571428569</v>
      </c>
      <c r="G177" s="1">
        <f t="shared" ca="1" si="105"/>
        <v>0.67285714285714282</v>
      </c>
      <c r="H177" s="1">
        <f t="shared" ca="1" si="106"/>
        <v>0.93500000000000005</v>
      </c>
      <c r="I177" s="1">
        <f t="shared" ca="1" si="107"/>
        <v>2.4052875E-5</v>
      </c>
      <c r="J177" s="1">
        <f t="shared" ca="1" si="108"/>
        <v>2</v>
      </c>
      <c r="K177" s="1">
        <f t="shared" ca="1" si="109"/>
        <v>3</v>
      </c>
      <c r="L177" s="1">
        <f t="shared" ca="1" si="110"/>
        <v>5</v>
      </c>
      <c r="N177" s="1"/>
      <c r="O177" s="1"/>
      <c r="P177" s="1"/>
      <c r="Q177" s="1"/>
      <c r="R177" s="1"/>
      <c r="S177" s="1"/>
    </row>
    <row r="178" spans="1:19" x14ac:dyDescent="0.2">
      <c r="A178" s="1" t="s">
        <v>26</v>
      </c>
      <c r="B178">
        <f t="shared" si="101"/>
        <v>14</v>
      </c>
      <c r="C178" s="1">
        <f t="shared" ca="1" si="102"/>
        <v>0.98</v>
      </c>
      <c r="D178" s="1">
        <f t="shared" ca="1" si="103"/>
        <v>0.93</v>
      </c>
      <c r="E178" s="1">
        <f t="shared" ca="1" si="104"/>
        <v>0.95</v>
      </c>
      <c r="F178" s="1">
        <f t="shared" ca="1" si="105"/>
        <v>1.3028571428571427</v>
      </c>
      <c r="G178" s="1">
        <f t="shared" ca="1" si="105"/>
        <v>0.72857142857142854</v>
      </c>
      <c r="H178" s="1">
        <f t="shared" ca="1" si="106"/>
        <v>0.7350000000000001</v>
      </c>
      <c r="I178" s="1">
        <f t="shared" ca="1" si="107"/>
        <v>2.1015720000000001E-5</v>
      </c>
      <c r="J178" s="1">
        <f t="shared" ca="1" si="108"/>
        <v>2</v>
      </c>
      <c r="K178" s="1">
        <f t="shared" ca="1" si="109"/>
        <v>3</v>
      </c>
      <c r="L178" s="1">
        <f t="shared" ca="1" si="110"/>
        <v>5</v>
      </c>
      <c r="N178" s="1"/>
      <c r="O178" s="1"/>
      <c r="P178" s="1"/>
      <c r="Q178" s="1"/>
      <c r="R178" s="1"/>
      <c r="S178" s="1"/>
    </row>
    <row r="179" spans="1:19" x14ac:dyDescent="0.2">
      <c r="A179" s="1" t="s">
        <v>13</v>
      </c>
      <c r="B179">
        <f t="shared" si="101"/>
        <v>0</v>
      </c>
      <c r="C179" s="1">
        <f t="shared" ca="1" si="102"/>
        <v>1.42</v>
      </c>
      <c r="D179" s="1">
        <f t="shared" ca="1" si="103"/>
        <v>0.83</v>
      </c>
      <c r="E179" s="1">
        <f t="shared" ca="1" si="104"/>
        <v>0.66</v>
      </c>
      <c r="F179" s="1">
        <f t="shared" ca="1" si="105"/>
        <v>1.332857142857143</v>
      </c>
      <c r="G179" s="1">
        <f t="shared" ca="1" si="105"/>
        <v>0.66142857142857137</v>
      </c>
      <c r="H179" s="1">
        <f t="shared" ca="1" si="106"/>
        <v>0.77249999999999996</v>
      </c>
      <c r="I179" s="1">
        <f t="shared" ca="1" si="107"/>
        <v>1.3296640000000002E-5</v>
      </c>
      <c r="J179" s="1">
        <f t="shared" ca="1" si="108"/>
        <v>2</v>
      </c>
      <c r="K179" s="1">
        <f t="shared" ca="1" si="109"/>
        <v>3</v>
      </c>
      <c r="L179" s="1">
        <f t="shared" ca="1" si="110"/>
        <v>5</v>
      </c>
      <c r="N179" s="1"/>
      <c r="O179" s="1"/>
      <c r="P179" s="1"/>
      <c r="Q179" s="1"/>
      <c r="R179" s="1"/>
      <c r="S179" s="1"/>
    </row>
    <row r="180" spans="1:19" x14ac:dyDescent="0.2">
      <c r="A180" s="1" t="s">
        <v>17</v>
      </c>
      <c r="B180">
        <f t="shared" si="101"/>
        <v>3</v>
      </c>
      <c r="C180" s="1">
        <f t="shared" ca="1" si="102"/>
        <v>1.51</v>
      </c>
      <c r="D180" s="1">
        <f t="shared" ca="1" si="103"/>
        <v>0.37</v>
      </c>
      <c r="E180" s="1">
        <f t="shared" ca="1" si="104"/>
        <v>0.74</v>
      </c>
      <c r="F180" s="1">
        <f t="shared" ca="1" si="105"/>
        <v>1.332857142857143</v>
      </c>
      <c r="G180" s="1">
        <f t="shared" ca="1" si="105"/>
        <v>0.66142857142857137</v>
      </c>
      <c r="H180" s="1">
        <f t="shared" ca="1" si="106"/>
        <v>0.77249999999999996</v>
      </c>
      <c r="I180" s="1">
        <f t="shared" ca="1" si="107"/>
        <v>2.6216960000000002E-4</v>
      </c>
      <c r="J180" s="1">
        <f t="shared" ca="1" si="108"/>
        <v>2</v>
      </c>
      <c r="K180" s="1">
        <f t="shared" ca="1" si="109"/>
        <v>3</v>
      </c>
      <c r="L180" s="1">
        <f t="shared" ca="1" si="110"/>
        <v>5</v>
      </c>
      <c r="N180" s="1"/>
      <c r="O180" s="1"/>
      <c r="P180" s="1"/>
      <c r="Q180" s="1"/>
      <c r="R180" s="1"/>
      <c r="S180" s="1"/>
    </row>
    <row r="181" spans="1:19" x14ac:dyDescent="0.2">
      <c r="A181" s="1" t="s">
        <v>17</v>
      </c>
      <c r="B181">
        <f t="shared" ref="B181:B196" si="111">LOOKUP(A181,$N$4:$N$23,$O$4:$O$23)</f>
        <v>3</v>
      </c>
      <c r="C181" s="1">
        <f t="shared" ref="C181:C196" ca="1" si="112">OFFSET($P$4,B181,0,1,1)</f>
        <v>1.51</v>
      </c>
      <c r="D181" s="1">
        <f t="shared" ref="D181:D196" ca="1" si="113">OFFSET($Q$4,$B181,0,1,1)</f>
        <v>0.37</v>
      </c>
      <c r="E181" s="1">
        <f t="shared" ref="E181:E196" ca="1" si="114">OFFSET($R$4,$B181,0,1,1)</f>
        <v>0.74</v>
      </c>
      <c r="F181" s="1">
        <f t="shared" ca="1" si="105"/>
        <v>1.3657142857142854</v>
      </c>
      <c r="G181" s="1">
        <f t="shared" ca="1" si="105"/>
        <v>0.7142857142857143</v>
      </c>
      <c r="H181" s="1">
        <f t="shared" ca="1" si="106"/>
        <v>0.77249999999999996</v>
      </c>
      <c r="I181" s="1">
        <f t="shared" ca="1" si="107"/>
        <v>2.3562000000000002E-5</v>
      </c>
      <c r="J181" s="1">
        <f t="shared" ca="1" si="108"/>
        <v>2</v>
      </c>
      <c r="K181" s="1">
        <f t="shared" ca="1" si="109"/>
        <v>3</v>
      </c>
      <c r="L181" s="1">
        <f t="shared" ca="1" si="110"/>
        <v>5</v>
      </c>
      <c r="N181" s="1"/>
      <c r="O181" s="1"/>
      <c r="P181" s="1"/>
      <c r="Q181" s="1"/>
      <c r="R181" s="1"/>
      <c r="S181" s="1"/>
    </row>
    <row r="182" spans="1:19" x14ac:dyDescent="0.2">
      <c r="A182" s="1" t="s">
        <v>26</v>
      </c>
      <c r="B182">
        <f t="shared" si="111"/>
        <v>14</v>
      </c>
      <c r="C182" s="1">
        <f t="shared" ca="1" si="112"/>
        <v>0.98</v>
      </c>
      <c r="D182" s="1">
        <f t="shared" ca="1" si="113"/>
        <v>0.93</v>
      </c>
      <c r="E182" s="1">
        <f t="shared" ca="1" si="114"/>
        <v>0.95</v>
      </c>
      <c r="F182" s="1">
        <f t="shared" ca="1" si="105"/>
        <v>1.2728571428571429</v>
      </c>
      <c r="G182" s="1">
        <f t="shared" ca="1" si="105"/>
        <v>0.70285714285714285</v>
      </c>
      <c r="H182" s="1">
        <f t="shared" ca="1" si="106"/>
        <v>0.77249999999999996</v>
      </c>
      <c r="I182" s="1">
        <f t="shared" ca="1" si="107"/>
        <v>1.9293120000000005E-5</v>
      </c>
      <c r="J182" s="1">
        <f t="shared" ca="1" si="108"/>
        <v>2</v>
      </c>
      <c r="K182" s="1">
        <f t="shared" ca="1" si="109"/>
        <v>3</v>
      </c>
      <c r="L182" s="1">
        <f t="shared" ca="1" si="110"/>
        <v>5</v>
      </c>
      <c r="N182" s="1"/>
      <c r="O182" s="1"/>
      <c r="P182" s="1"/>
      <c r="Q182" s="1"/>
      <c r="R182" s="1"/>
      <c r="S182" s="1"/>
    </row>
    <row r="183" spans="1:19" x14ac:dyDescent="0.2">
      <c r="A183" s="1" t="s">
        <v>13</v>
      </c>
      <c r="B183">
        <f t="shared" si="111"/>
        <v>0</v>
      </c>
      <c r="C183" s="1">
        <f t="shared" ca="1" si="112"/>
        <v>1.42</v>
      </c>
      <c r="D183" s="1">
        <f t="shared" ca="1" si="113"/>
        <v>0.83</v>
      </c>
      <c r="E183" s="1">
        <f t="shared" ca="1" si="114"/>
        <v>0.66</v>
      </c>
      <c r="F183" s="1">
        <f t="shared" ref="F183:G198" ca="1" si="115">AVERAGE(C181:C187)</f>
        <v>1.2728571428571429</v>
      </c>
      <c r="G183" s="1">
        <f t="shared" ca="1" si="115"/>
        <v>0.70285714285714285</v>
      </c>
      <c r="H183" s="1">
        <f t="shared" ref="H183:H198" ca="1" si="116">AVERAGE(E181:E184)</f>
        <v>0.77249999999999996</v>
      </c>
      <c r="I183" s="1">
        <f t="shared" ref="I183:I198" ca="1" si="117">PRODUCT(OFFSET($S$4,B181,0,1,1),OFFSET($S$4,B182,1,1,1),OFFSET($S$4,B183,2,1,1),OFFSET($S$4,B184,3,1,1))</f>
        <v>1.3296640000000002E-5</v>
      </c>
      <c r="J183" s="1">
        <f t="shared" ref="J183:J198" ca="1" si="118">IF(AND(F183&gt;G183,F183&gt;1.05)=TRUE,2,1)</f>
        <v>2</v>
      </c>
      <c r="K183" s="1">
        <f t="shared" ref="K183:K198" ca="1" si="119">IF(AND(G183&gt;1.05,G183&gt;F183)=TRUE,4,3)</f>
        <v>3</v>
      </c>
      <c r="L183" s="1">
        <f t="shared" ref="L183:L198" ca="1" si="120">IF(AND(H183&gt;F183,H183&gt;G183,H183&gt;1,I183&gt;0.000075)=TRUE,6,5)</f>
        <v>5</v>
      </c>
      <c r="N183" s="1"/>
      <c r="O183" s="1"/>
      <c r="P183" s="1"/>
      <c r="Q183" s="1"/>
      <c r="R183" s="1"/>
      <c r="S183" s="1"/>
    </row>
    <row r="184" spans="1:19" x14ac:dyDescent="0.2">
      <c r="A184" s="1" t="s">
        <v>17</v>
      </c>
      <c r="B184">
        <f t="shared" si="111"/>
        <v>3</v>
      </c>
      <c r="C184" s="1">
        <f t="shared" ca="1" si="112"/>
        <v>1.51</v>
      </c>
      <c r="D184" s="1">
        <f t="shared" ca="1" si="113"/>
        <v>0.37</v>
      </c>
      <c r="E184" s="1">
        <f t="shared" ca="1" si="114"/>
        <v>0.74</v>
      </c>
      <c r="F184" s="1">
        <f t="shared" ca="1" si="115"/>
        <v>1.1385714285714286</v>
      </c>
      <c r="G184" s="1">
        <f t="shared" ca="1" si="115"/>
        <v>0.75714285714285712</v>
      </c>
      <c r="H184" s="1">
        <f t="shared" ca="1" si="116"/>
        <v>0.73499999999999988</v>
      </c>
      <c r="I184" s="1">
        <f t="shared" ca="1" si="117"/>
        <v>2.8674800000000003E-4</v>
      </c>
      <c r="J184" s="1">
        <f t="shared" ca="1" si="118"/>
        <v>2</v>
      </c>
      <c r="K184" s="1">
        <f t="shared" ca="1" si="119"/>
        <v>3</v>
      </c>
      <c r="L184" s="1">
        <f t="shared" ca="1" si="120"/>
        <v>5</v>
      </c>
      <c r="N184" s="1"/>
      <c r="O184" s="1"/>
      <c r="P184" s="1"/>
      <c r="Q184" s="1"/>
      <c r="R184" s="1"/>
      <c r="S184" s="1"/>
    </row>
    <row r="185" spans="1:19" x14ac:dyDescent="0.2">
      <c r="A185" s="1" t="s">
        <v>23</v>
      </c>
      <c r="B185">
        <f t="shared" si="111"/>
        <v>9</v>
      </c>
      <c r="C185" s="1">
        <f t="shared" ca="1" si="112"/>
        <v>1.21</v>
      </c>
      <c r="D185" s="1">
        <f t="shared" ca="1" si="113"/>
        <v>1.3</v>
      </c>
      <c r="E185" s="1">
        <f t="shared" ca="1" si="114"/>
        <v>0.59</v>
      </c>
      <c r="F185" s="1">
        <f t="shared" ca="1" si="115"/>
        <v>1.1642857142857144</v>
      </c>
      <c r="G185" s="1">
        <f t="shared" ca="1" si="115"/>
        <v>0.73000000000000009</v>
      </c>
      <c r="H185" s="1">
        <f t="shared" ca="1" si="116"/>
        <v>0.85499999999999998</v>
      </c>
      <c r="I185" s="1">
        <f t="shared" ca="1" si="117"/>
        <v>1.3737599999999997E-5</v>
      </c>
      <c r="J185" s="1">
        <f t="shared" ca="1" si="118"/>
        <v>2</v>
      </c>
      <c r="K185" s="1">
        <f t="shared" ca="1" si="119"/>
        <v>3</v>
      </c>
      <c r="L185" s="1">
        <f t="shared" ca="1" si="120"/>
        <v>5</v>
      </c>
      <c r="N185" s="1"/>
      <c r="O185" s="1"/>
      <c r="P185" s="1"/>
      <c r="Q185" s="1"/>
      <c r="R185" s="1"/>
      <c r="S185" s="1"/>
    </row>
    <row r="186" spans="1:19" x14ac:dyDescent="0.2">
      <c r="A186" s="1" t="s">
        <v>27</v>
      </c>
      <c r="B186">
        <f t="shared" si="111"/>
        <v>15</v>
      </c>
      <c r="C186" s="1">
        <f t="shared" ca="1" si="112"/>
        <v>0.77</v>
      </c>
      <c r="D186" s="1">
        <f t="shared" ca="1" si="113"/>
        <v>0.75</v>
      </c>
      <c r="E186" s="1">
        <f t="shared" ca="1" si="114"/>
        <v>1.43</v>
      </c>
      <c r="F186" s="1">
        <f t="shared" ca="1" si="115"/>
        <v>1.0614285714285716</v>
      </c>
      <c r="G186" s="1">
        <f t="shared" ca="1" si="115"/>
        <v>0.78142857142857147</v>
      </c>
      <c r="H186" s="1">
        <f t="shared" ca="1" si="116"/>
        <v>0.875</v>
      </c>
      <c r="I186" s="1">
        <f t="shared" ca="1" si="117"/>
        <v>1.1200000000000001E-5</v>
      </c>
      <c r="J186" s="1">
        <f t="shared" ca="1" si="118"/>
        <v>2</v>
      </c>
      <c r="K186" s="1">
        <f t="shared" ca="1" si="119"/>
        <v>3</v>
      </c>
      <c r="L186" s="1">
        <f t="shared" ca="1" si="120"/>
        <v>5</v>
      </c>
      <c r="N186" s="1"/>
      <c r="O186" s="1"/>
      <c r="P186" s="1"/>
      <c r="Q186" s="1"/>
      <c r="R186" s="1"/>
      <c r="S186" s="1"/>
    </row>
    <row r="187" spans="1:19" x14ac:dyDescent="0.2">
      <c r="A187" s="1" t="s">
        <v>17</v>
      </c>
      <c r="B187">
        <f t="shared" si="111"/>
        <v>3</v>
      </c>
      <c r="C187" s="1">
        <f t="shared" ca="1" si="112"/>
        <v>1.51</v>
      </c>
      <c r="D187" s="1">
        <f t="shared" ca="1" si="113"/>
        <v>0.37</v>
      </c>
      <c r="E187" s="1">
        <f t="shared" ca="1" si="114"/>
        <v>0.74</v>
      </c>
      <c r="F187" s="1">
        <f t="shared" ca="1" si="115"/>
        <v>1.0485714285714287</v>
      </c>
      <c r="G187" s="1">
        <f t="shared" ca="1" si="115"/>
        <v>0.84714285714285709</v>
      </c>
      <c r="H187" s="1">
        <f t="shared" ca="1" si="116"/>
        <v>1.08</v>
      </c>
      <c r="I187" s="1">
        <f t="shared" ca="1" si="117"/>
        <v>9.9238216000000005E-5</v>
      </c>
      <c r="J187" s="1">
        <f t="shared" ca="1" si="118"/>
        <v>1</v>
      </c>
      <c r="K187" s="1">
        <f t="shared" ca="1" si="119"/>
        <v>3</v>
      </c>
      <c r="L187" s="1">
        <f t="shared" ca="1" si="120"/>
        <v>6</v>
      </c>
      <c r="N187" s="1"/>
      <c r="O187" s="1"/>
      <c r="P187" s="1"/>
      <c r="Q187" s="1"/>
      <c r="R187" s="1"/>
      <c r="S187" s="1"/>
    </row>
    <row r="188" spans="1:19" x14ac:dyDescent="0.2">
      <c r="A188" s="1" t="s">
        <v>20</v>
      </c>
      <c r="B188">
        <f t="shared" si="111"/>
        <v>5</v>
      </c>
      <c r="C188" s="1">
        <f t="shared" ca="1" si="112"/>
        <v>0.56999999999999995</v>
      </c>
      <c r="D188" s="1">
        <f t="shared" ca="1" si="113"/>
        <v>0.75</v>
      </c>
      <c r="E188" s="1">
        <f t="shared" ca="1" si="114"/>
        <v>1.56</v>
      </c>
      <c r="F188" s="1">
        <f t="shared" ca="1" si="115"/>
        <v>1.0914285714285714</v>
      </c>
      <c r="G188" s="1">
        <f t="shared" ca="1" si="115"/>
        <v>0.7142857142857143</v>
      </c>
      <c r="H188" s="1">
        <f t="shared" ca="1" si="116"/>
        <v>1.1850000000000001</v>
      </c>
      <c r="I188" s="1">
        <f t="shared" ca="1" si="117"/>
        <v>1.2996000000000001E-4</v>
      </c>
      <c r="J188" s="1">
        <f t="shared" ca="1" si="118"/>
        <v>2</v>
      </c>
      <c r="K188" s="1">
        <f t="shared" ca="1" si="119"/>
        <v>3</v>
      </c>
      <c r="L188" s="1">
        <f t="shared" ca="1" si="120"/>
        <v>6</v>
      </c>
      <c r="N188" s="1"/>
      <c r="O188" s="1"/>
      <c r="P188" s="1"/>
      <c r="Q188" s="1"/>
      <c r="R188" s="1"/>
      <c r="S188" s="1"/>
    </row>
    <row r="189" spans="1:19" x14ac:dyDescent="0.2">
      <c r="A189" s="1" t="s">
        <v>18</v>
      </c>
      <c r="B189">
        <f t="shared" si="111"/>
        <v>8</v>
      </c>
      <c r="C189" s="1">
        <f t="shared" ca="1" si="112"/>
        <v>1.1599999999999999</v>
      </c>
      <c r="D189" s="1">
        <f t="shared" ca="1" si="113"/>
        <v>0.74</v>
      </c>
      <c r="E189" s="1">
        <f t="shared" ca="1" si="114"/>
        <v>1.01</v>
      </c>
      <c r="F189" s="1">
        <f t="shared" ca="1" si="115"/>
        <v>1.1542857142857144</v>
      </c>
      <c r="G189" s="1">
        <f t="shared" ca="1" si="115"/>
        <v>0.79285714285714282</v>
      </c>
      <c r="H189" s="1">
        <f t="shared" ca="1" si="116"/>
        <v>1.125</v>
      </c>
      <c r="I189" s="1">
        <f t="shared" ca="1" si="117"/>
        <v>4.3868160000000005E-5</v>
      </c>
      <c r="J189" s="1">
        <f t="shared" ca="1" si="118"/>
        <v>2</v>
      </c>
      <c r="K189" s="1">
        <f t="shared" ca="1" si="119"/>
        <v>3</v>
      </c>
      <c r="L189" s="1">
        <f t="shared" ca="1" si="120"/>
        <v>5</v>
      </c>
      <c r="N189" s="1"/>
      <c r="O189" s="1"/>
      <c r="P189" s="1"/>
      <c r="Q189" s="1"/>
      <c r="R189" s="1"/>
      <c r="S189" s="1"/>
    </row>
    <row r="190" spans="1:19" x14ac:dyDescent="0.2">
      <c r="A190" s="1" t="s">
        <v>15</v>
      </c>
      <c r="B190">
        <f t="shared" si="111"/>
        <v>1</v>
      </c>
      <c r="C190" s="1">
        <f t="shared" ca="1" si="112"/>
        <v>0.7</v>
      </c>
      <c r="D190" s="1">
        <f t="shared" ca="1" si="113"/>
        <v>1.19</v>
      </c>
      <c r="E190" s="1">
        <f t="shared" ca="1" si="114"/>
        <v>1.19</v>
      </c>
      <c r="F190" s="1">
        <f t="shared" ca="1" si="115"/>
        <v>1.1542857142857144</v>
      </c>
      <c r="G190" s="1">
        <f t="shared" ca="1" si="115"/>
        <v>0.79285714285714282</v>
      </c>
      <c r="H190" s="1">
        <f t="shared" ca="1" si="116"/>
        <v>1.105</v>
      </c>
      <c r="I190" s="1">
        <f t="shared" ca="1" si="117"/>
        <v>7.9599779999999995E-5</v>
      </c>
      <c r="J190" s="1">
        <f t="shared" ca="1" si="118"/>
        <v>2</v>
      </c>
      <c r="K190" s="1">
        <f t="shared" ca="1" si="119"/>
        <v>3</v>
      </c>
      <c r="L190" s="1">
        <f t="shared" ca="1" si="120"/>
        <v>5</v>
      </c>
      <c r="N190" s="1"/>
      <c r="O190" s="1"/>
      <c r="P190" s="1"/>
      <c r="Q190" s="1"/>
      <c r="R190" s="1"/>
      <c r="S190" s="1"/>
    </row>
    <row r="191" spans="1:19" x14ac:dyDescent="0.2">
      <c r="A191" s="1" t="s">
        <v>13</v>
      </c>
      <c r="B191">
        <f t="shared" si="111"/>
        <v>0</v>
      </c>
      <c r="C191" s="1">
        <f t="shared" ca="1" si="112"/>
        <v>1.42</v>
      </c>
      <c r="D191" s="1">
        <f t="shared" ca="1" si="113"/>
        <v>0.83</v>
      </c>
      <c r="E191" s="1">
        <f t="shared" ca="1" si="114"/>
        <v>0.66</v>
      </c>
      <c r="F191" s="1">
        <f t="shared" ca="1" si="115"/>
        <v>1.2885714285714285</v>
      </c>
      <c r="G191" s="1">
        <f t="shared" ca="1" si="115"/>
        <v>0.73857142857142855</v>
      </c>
      <c r="H191" s="1">
        <f t="shared" ca="1" si="116"/>
        <v>0.90000000000000013</v>
      </c>
      <c r="I191" s="1">
        <f t="shared" ca="1" si="117"/>
        <v>6.529600000000001E-6</v>
      </c>
      <c r="J191" s="1">
        <f t="shared" ca="1" si="118"/>
        <v>2</v>
      </c>
      <c r="K191" s="1">
        <f t="shared" ca="1" si="119"/>
        <v>3</v>
      </c>
      <c r="L191" s="1">
        <f t="shared" ca="1" si="120"/>
        <v>5</v>
      </c>
      <c r="N191" s="1"/>
      <c r="O191" s="1"/>
      <c r="P191" s="1"/>
      <c r="Q191" s="1"/>
      <c r="R191" s="1"/>
      <c r="S191" s="1"/>
    </row>
    <row r="192" spans="1:19" x14ac:dyDescent="0.2">
      <c r="A192" s="1" t="s">
        <v>17</v>
      </c>
      <c r="B192">
        <f t="shared" si="111"/>
        <v>3</v>
      </c>
      <c r="C192" s="1">
        <f t="shared" ca="1" si="112"/>
        <v>1.51</v>
      </c>
      <c r="D192" s="1">
        <f t="shared" ca="1" si="113"/>
        <v>0.37</v>
      </c>
      <c r="E192" s="1">
        <f t="shared" ca="1" si="114"/>
        <v>0.74</v>
      </c>
      <c r="F192" s="1">
        <f t="shared" ca="1" si="115"/>
        <v>1.3385714285714285</v>
      </c>
      <c r="G192" s="1">
        <f t="shared" ca="1" si="115"/>
        <v>0.68571428571428583</v>
      </c>
      <c r="H192" s="1">
        <f t="shared" ca="1" si="116"/>
        <v>0.79499999999999993</v>
      </c>
      <c r="I192" s="1">
        <f t="shared" ca="1" si="117"/>
        <v>6.5132759999999998E-5</v>
      </c>
      <c r="J192" s="1">
        <f t="shared" ca="1" si="118"/>
        <v>2</v>
      </c>
      <c r="K192" s="1">
        <f t="shared" ca="1" si="119"/>
        <v>3</v>
      </c>
      <c r="L192" s="1">
        <f t="shared" ca="1" si="120"/>
        <v>5</v>
      </c>
      <c r="N192" s="1"/>
      <c r="O192" s="1"/>
      <c r="P192" s="1"/>
      <c r="Q192" s="1"/>
      <c r="R192" s="1"/>
      <c r="S192" s="1"/>
    </row>
    <row r="193" spans="1:19" x14ac:dyDescent="0.2">
      <c r="A193" s="1" t="s">
        <v>23</v>
      </c>
      <c r="B193">
        <f t="shared" si="111"/>
        <v>9</v>
      </c>
      <c r="C193" s="1">
        <f t="shared" ca="1" si="112"/>
        <v>1.21</v>
      </c>
      <c r="D193" s="1">
        <f t="shared" ca="1" si="113"/>
        <v>1.3</v>
      </c>
      <c r="E193" s="1">
        <f t="shared" ca="1" si="114"/>
        <v>0.59</v>
      </c>
      <c r="F193" s="1">
        <f t="shared" ca="1" si="115"/>
        <v>1.4114285714285713</v>
      </c>
      <c r="G193" s="1">
        <f t="shared" ca="1" si="115"/>
        <v>0.7014285714285714</v>
      </c>
      <c r="H193" s="1">
        <f t="shared" ca="1" si="116"/>
        <v>0.68249999999999988</v>
      </c>
      <c r="I193" s="1">
        <f t="shared" ca="1" si="117"/>
        <v>8.294399999999998E-6</v>
      </c>
      <c r="J193" s="1">
        <f t="shared" ca="1" si="118"/>
        <v>2</v>
      </c>
      <c r="K193" s="1">
        <f t="shared" ca="1" si="119"/>
        <v>3</v>
      </c>
      <c r="L193" s="1">
        <f t="shared" ca="1" si="120"/>
        <v>5</v>
      </c>
      <c r="N193" s="1"/>
      <c r="O193" s="1"/>
      <c r="P193" s="1"/>
      <c r="Q193" s="1"/>
      <c r="R193" s="1"/>
      <c r="S193" s="1"/>
    </row>
    <row r="194" spans="1:19" x14ac:dyDescent="0.2">
      <c r="A194" s="1" t="s">
        <v>17</v>
      </c>
      <c r="B194">
        <f t="shared" si="111"/>
        <v>3</v>
      </c>
      <c r="C194" s="1">
        <f t="shared" ca="1" si="112"/>
        <v>1.51</v>
      </c>
      <c r="D194" s="1">
        <f t="shared" ca="1" si="113"/>
        <v>0.37</v>
      </c>
      <c r="E194" s="1">
        <f t="shared" ca="1" si="114"/>
        <v>0.74</v>
      </c>
      <c r="F194" s="1">
        <f t="shared" ca="1" si="115"/>
        <v>1.3742857142857141</v>
      </c>
      <c r="G194" s="1">
        <f t="shared" ca="1" si="115"/>
        <v>0.68857142857142861</v>
      </c>
      <c r="H194" s="1">
        <f t="shared" ca="1" si="116"/>
        <v>0.70250000000000012</v>
      </c>
      <c r="I194" s="1">
        <f t="shared" ca="1" si="117"/>
        <v>6.8992000000000016E-6</v>
      </c>
      <c r="J194" s="1">
        <f t="shared" ca="1" si="118"/>
        <v>2</v>
      </c>
      <c r="K194" s="1">
        <f t="shared" ca="1" si="119"/>
        <v>3</v>
      </c>
      <c r="L194" s="1">
        <f t="shared" ca="1" si="120"/>
        <v>5</v>
      </c>
      <c r="N194" s="1"/>
      <c r="O194" s="1"/>
      <c r="P194" s="1"/>
      <c r="Q194" s="1"/>
      <c r="R194" s="1"/>
      <c r="S194" s="1"/>
    </row>
    <row r="195" spans="1:19" x14ac:dyDescent="0.2">
      <c r="A195" s="1" t="s">
        <v>17</v>
      </c>
      <c r="B195">
        <f t="shared" si="111"/>
        <v>3</v>
      </c>
      <c r="C195" s="1">
        <f t="shared" ca="1" si="112"/>
        <v>1.51</v>
      </c>
      <c r="D195" s="1">
        <f t="shared" ca="1" si="113"/>
        <v>0.37</v>
      </c>
      <c r="E195" s="1">
        <f t="shared" ca="1" si="114"/>
        <v>0.74</v>
      </c>
      <c r="F195" s="1">
        <f t="shared" ca="1" si="115"/>
        <v>1.2771428571428571</v>
      </c>
      <c r="G195" s="1">
        <f t="shared" ca="1" si="115"/>
        <v>0.80571428571428583</v>
      </c>
      <c r="H195" s="1">
        <f t="shared" ca="1" si="116"/>
        <v>0.70250000000000012</v>
      </c>
      <c r="I195" s="1">
        <f t="shared" ca="1" si="117"/>
        <v>1.8036479999999998E-5</v>
      </c>
      <c r="J195" s="1">
        <f t="shared" ca="1" si="118"/>
        <v>2</v>
      </c>
      <c r="K195" s="1">
        <f t="shared" ca="1" si="119"/>
        <v>3</v>
      </c>
      <c r="L195" s="1">
        <f t="shared" ca="1" si="120"/>
        <v>5</v>
      </c>
      <c r="N195" s="1"/>
      <c r="O195" s="1"/>
      <c r="P195" s="1"/>
      <c r="Q195" s="1"/>
      <c r="R195" s="1"/>
      <c r="S195" s="1"/>
    </row>
    <row r="196" spans="1:19" x14ac:dyDescent="0.2">
      <c r="A196" s="1" t="s">
        <v>17</v>
      </c>
      <c r="B196">
        <f t="shared" si="111"/>
        <v>3</v>
      </c>
      <c r="C196" s="1">
        <f t="shared" ca="1" si="112"/>
        <v>1.51</v>
      </c>
      <c r="D196" s="1">
        <f t="shared" ca="1" si="113"/>
        <v>0.37</v>
      </c>
      <c r="E196" s="1">
        <f t="shared" ca="1" si="114"/>
        <v>0.74</v>
      </c>
      <c r="F196" s="1">
        <f t="shared" ca="1" si="115"/>
        <v>1.2042857142857142</v>
      </c>
      <c r="G196" s="1">
        <f t="shared" ca="1" si="115"/>
        <v>0.86285714285714288</v>
      </c>
      <c r="H196" s="1">
        <f t="shared" ca="1" si="116"/>
        <v>0.7024999999999999</v>
      </c>
      <c r="I196" s="1">
        <f t="shared" ca="1" si="117"/>
        <v>1.8110400000000002E-5</v>
      </c>
      <c r="J196" s="1">
        <f t="shared" ca="1" si="118"/>
        <v>2</v>
      </c>
      <c r="K196" s="1">
        <f t="shared" ca="1" si="119"/>
        <v>3</v>
      </c>
      <c r="L196" s="1">
        <f t="shared" ca="1" si="120"/>
        <v>5</v>
      </c>
      <c r="N196" s="1"/>
      <c r="O196" s="1"/>
      <c r="P196" s="1"/>
      <c r="Q196" s="1"/>
      <c r="R196" s="1"/>
      <c r="S196" s="1"/>
    </row>
    <row r="197" spans="1:19" x14ac:dyDescent="0.2">
      <c r="A197" s="1" t="s">
        <v>23</v>
      </c>
      <c r="B197">
        <f t="shared" ref="B197:B212" si="121">LOOKUP(A197,$N$4:$N$23,$O$4:$O$23)</f>
        <v>9</v>
      </c>
      <c r="C197" s="1">
        <f t="shared" ref="C197:C212" ca="1" si="122">OFFSET($P$4,B197,0,1,1)</f>
        <v>1.21</v>
      </c>
      <c r="D197" s="1">
        <f t="shared" ref="D197:D212" ca="1" si="123">OFFSET($Q$4,$B197,0,1,1)</f>
        <v>1.3</v>
      </c>
      <c r="E197" s="1">
        <f t="shared" ref="E197:E212" ca="1" si="124">OFFSET($R$4,$B197,0,1,1)</f>
        <v>0.59</v>
      </c>
      <c r="F197" s="1">
        <f t="shared" ca="1" si="115"/>
        <v>1.1071428571428572</v>
      </c>
      <c r="G197" s="1">
        <f t="shared" ca="1" si="115"/>
        <v>0.97999999999999987</v>
      </c>
      <c r="H197" s="1">
        <f t="shared" ca="1" si="116"/>
        <v>0.77</v>
      </c>
      <c r="I197" s="1">
        <f t="shared" ca="1" si="117"/>
        <v>1.1491199999999999E-5</v>
      </c>
      <c r="J197" s="1">
        <f t="shared" ca="1" si="118"/>
        <v>2</v>
      </c>
      <c r="K197" s="1">
        <f t="shared" ca="1" si="119"/>
        <v>3</v>
      </c>
      <c r="L197" s="1">
        <f t="shared" ca="1" si="120"/>
        <v>5</v>
      </c>
      <c r="N197" s="1"/>
      <c r="O197" s="1"/>
      <c r="P197" s="1"/>
      <c r="Q197" s="1"/>
      <c r="R197" s="1"/>
      <c r="S197" s="1"/>
    </row>
    <row r="198" spans="1:19" x14ac:dyDescent="0.2">
      <c r="A198" s="1" t="s">
        <v>18</v>
      </c>
      <c r="B198">
        <f t="shared" si="121"/>
        <v>8</v>
      </c>
      <c r="C198" s="1">
        <f t="shared" ca="1" si="122"/>
        <v>1.1599999999999999</v>
      </c>
      <c r="D198" s="1">
        <f t="shared" ca="1" si="123"/>
        <v>0.74</v>
      </c>
      <c r="E198" s="1">
        <f t="shared" ca="1" si="124"/>
        <v>1.01</v>
      </c>
      <c r="F198" s="1">
        <f t="shared" ca="1" si="115"/>
        <v>0.98714285714285721</v>
      </c>
      <c r="G198" s="1">
        <f t="shared" ca="1" si="115"/>
        <v>1.0542857142857143</v>
      </c>
      <c r="H198" s="1">
        <f t="shared" ca="1" si="116"/>
        <v>0.82499999999999996</v>
      </c>
      <c r="I198" s="1">
        <f t="shared" ca="1" si="117"/>
        <v>7.9632000000000003E-6</v>
      </c>
      <c r="J198" s="1">
        <f t="shared" ca="1" si="118"/>
        <v>1</v>
      </c>
      <c r="K198" s="1">
        <f t="shared" ca="1" si="119"/>
        <v>4</v>
      </c>
      <c r="L198" s="1">
        <f t="shared" ca="1" si="120"/>
        <v>5</v>
      </c>
      <c r="N198" s="1"/>
      <c r="O198" s="1"/>
      <c r="P198" s="1"/>
      <c r="Q198" s="1"/>
      <c r="R198" s="1"/>
      <c r="S198" s="1"/>
    </row>
    <row r="199" spans="1:19" x14ac:dyDescent="0.2">
      <c r="A199" s="1" t="s">
        <v>28</v>
      </c>
      <c r="B199">
        <f t="shared" si="121"/>
        <v>16</v>
      </c>
      <c r="C199" s="1">
        <f t="shared" ca="1" si="122"/>
        <v>0.83</v>
      </c>
      <c r="D199" s="1">
        <f t="shared" ca="1" si="123"/>
        <v>1.19</v>
      </c>
      <c r="E199" s="1">
        <f t="shared" ca="1" si="124"/>
        <v>0.96</v>
      </c>
      <c r="F199" s="1">
        <f t="shared" ref="F199:G214" ca="1" si="125">AVERAGE(C197:C203)</f>
        <v>0.86714285714285722</v>
      </c>
      <c r="G199" s="1">
        <f t="shared" ca="1" si="125"/>
        <v>1.1285714285714283</v>
      </c>
      <c r="H199" s="1">
        <f t="shared" ref="H199:H214" ca="1" si="126">AVERAGE(E197:E200)</f>
        <v>0.76500000000000001</v>
      </c>
      <c r="I199" s="1">
        <f t="shared" ref="I199:I214" ca="1" si="127">PRODUCT(OFFSET($S$4,B197,0,1,1),OFFSET($S$4,B198,1,1,1),OFFSET($S$4,B199,2,1,1),OFFSET($S$4,B200,3,1,1))</f>
        <v>2.4166675000000002E-5</v>
      </c>
      <c r="J199" s="1">
        <f t="shared" ref="J199:J214" ca="1" si="128">IF(AND(F199&gt;G199,F199&gt;1.05)=TRUE,2,1)</f>
        <v>1</v>
      </c>
      <c r="K199" s="1">
        <f t="shared" ref="K199:K214" ca="1" si="129">IF(AND(G199&gt;1.05,G199&gt;F199)=TRUE,4,3)</f>
        <v>4</v>
      </c>
      <c r="L199" s="1">
        <f t="shared" ref="L199:L214" ca="1" si="130">IF(AND(H199&gt;F199,H199&gt;G199,H199&gt;1,I199&gt;0.000075)=TRUE,6,5)</f>
        <v>5</v>
      </c>
      <c r="N199" s="1"/>
      <c r="O199" s="1"/>
      <c r="P199" s="1"/>
      <c r="Q199" s="1"/>
      <c r="R199" s="1"/>
      <c r="S199" s="1"/>
    </row>
    <row r="200" spans="1:19" x14ac:dyDescent="0.2">
      <c r="A200" s="1" t="s">
        <v>29</v>
      </c>
      <c r="B200">
        <f t="shared" si="121"/>
        <v>17</v>
      </c>
      <c r="C200" s="1">
        <f t="shared" ca="1" si="122"/>
        <v>0.7</v>
      </c>
      <c r="D200" s="1">
        <f t="shared" ca="1" si="123"/>
        <v>1.7</v>
      </c>
      <c r="E200" s="1">
        <f t="shared" ca="1" si="124"/>
        <v>0.5</v>
      </c>
      <c r="F200" s="1">
        <f t="shared" ca="1" si="125"/>
        <v>0.8671428571428571</v>
      </c>
      <c r="G200" s="1">
        <f t="shared" ca="1" si="125"/>
        <v>1.1285714285714286</v>
      </c>
      <c r="H200" s="1">
        <f t="shared" ca="1" si="126"/>
        <v>0.85749999999999993</v>
      </c>
      <c r="I200" s="1">
        <f t="shared" ca="1" si="127"/>
        <v>1.313928E-5</v>
      </c>
      <c r="J200" s="1">
        <f t="shared" ca="1" si="128"/>
        <v>1</v>
      </c>
      <c r="K200" s="1">
        <f t="shared" ca="1" si="129"/>
        <v>4</v>
      </c>
      <c r="L200" s="1">
        <f t="shared" ca="1" si="130"/>
        <v>5</v>
      </c>
      <c r="N200" s="1"/>
      <c r="O200" s="1"/>
      <c r="P200" s="1"/>
      <c r="Q200" s="1"/>
      <c r="R200" s="1"/>
      <c r="S200" s="1"/>
    </row>
    <row r="201" spans="1:19" x14ac:dyDescent="0.2">
      <c r="A201" s="1" t="s">
        <v>28</v>
      </c>
      <c r="B201">
        <f t="shared" si="121"/>
        <v>16</v>
      </c>
      <c r="C201" s="1">
        <f t="shared" ca="1" si="122"/>
        <v>0.83</v>
      </c>
      <c r="D201" s="1">
        <f t="shared" ca="1" si="123"/>
        <v>1.19</v>
      </c>
      <c r="E201" s="1">
        <f t="shared" ca="1" si="124"/>
        <v>0.96</v>
      </c>
      <c r="F201" s="1">
        <f t="shared" ca="1" si="125"/>
        <v>0.86714285714285722</v>
      </c>
      <c r="G201" s="1">
        <f t="shared" ca="1" si="125"/>
        <v>1.1285714285714286</v>
      </c>
      <c r="H201" s="1">
        <f t="shared" ca="1" si="126"/>
        <v>0.85</v>
      </c>
      <c r="I201" s="1">
        <f t="shared" ca="1" si="127"/>
        <v>2.4417119999999998E-5</v>
      </c>
      <c r="J201" s="1">
        <f t="shared" ca="1" si="128"/>
        <v>1</v>
      </c>
      <c r="K201" s="1">
        <f t="shared" ca="1" si="129"/>
        <v>4</v>
      </c>
      <c r="L201" s="1">
        <f t="shared" ca="1" si="130"/>
        <v>5</v>
      </c>
      <c r="N201" s="1"/>
      <c r="O201" s="1"/>
      <c r="P201" s="1"/>
      <c r="Q201" s="1"/>
      <c r="R201" s="1"/>
      <c r="S201" s="1"/>
    </row>
    <row r="202" spans="1:19" x14ac:dyDescent="0.2">
      <c r="A202" s="1" t="s">
        <v>24</v>
      </c>
      <c r="B202">
        <f t="shared" si="121"/>
        <v>11</v>
      </c>
      <c r="C202" s="1">
        <f t="shared" ca="1" si="122"/>
        <v>0.67</v>
      </c>
      <c r="D202" s="1">
        <f t="shared" ca="1" si="123"/>
        <v>0.89</v>
      </c>
      <c r="E202" s="1">
        <f t="shared" ca="1" si="124"/>
        <v>0.98</v>
      </c>
      <c r="F202" s="1">
        <f t="shared" ca="1" si="125"/>
        <v>0.85857142857142854</v>
      </c>
      <c r="G202" s="1">
        <f t="shared" ca="1" si="125"/>
        <v>1.0657142857142856</v>
      </c>
      <c r="H202" s="1">
        <f t="shared" ca="1" si="126"/>
        <v>0.85499999999999998</v>
      </c>
      <c r="I202" s="1">
        <f t="shared" ca="1" si="127"/>
        <v>1.16383176E-4</v>
      </c>
      <c r="J202" s="1">
        <f t="shared" ca="1" si="128"/>
        <v>1</v>
      </c>
      <c r="K202" s="1">
        <f t="shared" ca="1" si="129"/>
        <v>4</v>
      </c>
      <c r="L202" s="1">
        <f t="shared" ca="1" si="130"/>
        <v>5</v>
      </c>
      <c r="N202" s="1"/>
      <c r="O202" s="1"/>
      <c r="P202" s="1"/>
      <c r="Q202" s="1"/>
      <c r="R202" s="1"/>
      <c r="S202" s="1"/>
    </row>
    <row r="203" spans="1:19" x14ac:dyDescent="0.2">
      <c r="A203" s="1" t="s">
        <v>24</v>
      </c>
      <c r="B203">
        <f t="shared" si="121"/>
        <v>11</v>
      </c>
      <c r="C203" s="1">
        <f t="shared" ca="1" si="122"/>
        <v>0.67</v>
      </c>
      <c r="D203" s="1">
        <f t="shared" ca="1" si="123"/>
        <v>0.89</v>
      </c>
      <c r="E203" s="1">
        <f t="shared" ca="1" si="124"/>
        <v>0.98</v>
      </c>
      <c r="F203" s="1">
        <f t="shared" ca="1" si="125"/>
        <v>0.93142857142857149</v>
      </c>
      <c r="G203" s="1">
        <f t="shared" ca="1" si="125"/>
        <v>1.0085714285714287</v>
      </c>
      <c r="H203" s="1">
        <f t="shared" ca="1" si="126"/>
        <v>0.87749999999999995</v>
      </c>
      <c r="I203" s="1">
        <f t="shared" ca="1" si="127"/>
        <v>9.5435060000000001E-5</v>
      </c>
      <c r="J203" s="1">
        <f t="shared" ca="1" si="128"/>
        <v>1</v>
      </c>
      <c r="K203" s="1">
        <f t="shared" ca="1" si="129"/>
        <v>3</v>
      </c>
      <c r="L203" s="1">
        <f t="shared" ca="1" si="130"/>
        <v>5</v>
      </c>
      <c r="N203" s="1"/>
      <c r="O203" s="1"/>
      <c r="P203" s="1"/>
      <c r="Q203" s="1"/>
      <c r="R203" s="1"/>
      <c r="S203" s="1"/>
    </row>
    <row r="204" spans="1:19" x14ac:dyDescent="0.2">
      <c r="A204" s="1" t="s">
        <v>23</v>
      </c>
      <c r="B204">
        <f t="shared" si="121"/>
        <v>9</v>
      </c>
      <c r="C204" s="1">
        <f t="shared" ca="1" si="122"/>
        <v>1.21</v>
      </c>
      <c r="D204" s="1">
        <f t="shared" ca="1" si="123"/>
        <v>1.3</v>
      </c>
      <c r="E204" s="1">
        <f t="shared" ca="1" si="124"/>
        <v>0.59</v>
      </c>
      <c r="F204" s="1">
        <f t="shared" ca="1" si="125"/>
        <v>1.0285714285714287</v>
      </c>
      <c r="G204" s="1">
        <f t="shared" ca="1" si="125"/>
        <v>0.89142857142857146</v>
      </c>
      <c r="H204" s="1">
        <f t="shared" ca="1" si="126"/>
        <v>0.8899999999999999</v>
      </c>
      <c r="I204" s="1">
        <f t="shared" ca="1" si="127"/>
        <v>4.570146E-5</v>
      </c>
      <c r="J204" s="1">
        <f t="shared" ca="1" si="128"/>
        <v>1</v>
      </c>
      <c r="K204" s="1">
        <f t="shared" ca="1" si="129"/>
        <v>3</v>
      </c>
      <c r="L204" s="1">
        <f t="shared" ca="1" si="130"/>
        <v>5</v>
      </c>
      <c r="N204" s="1"/>
      <c r="O204" s="1"/>
      <c r="P204" s="1"/>
      <c r="Q204" s="1"/>
      <c r="R204" s="1"/>
      <c r="S204" s="1"/>
    </row>
    <row r="205" spans="1:19" x14ac:dyDescent="0.2">
      <c r="A205" s="1" t="s">
        <v>18</v>
      </c>
      <c r="B205">
        <f t="shared" si="121"/>
        <v>8</v>
      </c>
      <c r="C205" s="1">
        <f t="shared" ca="1" si="122"/>
        <v>1.1599999999999999</v>
      </c>
      <c r="D205" s="1">
        <f t="shared" ca="1" si="123"/>
        <v>0.74</v>
      </c>
      <c r="E205" s="1">
        <f t="shared" ca="1" si="124"/>
        <v>1.01</v>
      </c>
      <c r="F205" s="1">
        <f t="shared" ca="1" si="125"/>
        <v>1.1357142857142857</v>
      </c>
      <c r="G205" s="1">
        <f t="shared" ca="1" si="125"/>
        <v>0.88285714285714278</v>
      </c>
      <c r="H205" s="1">
        <f t="shared" ca="1" si="126"/>
        <v>1.0024999999999999</v>
      </c>
      <c r="I205" s="1">
        <f t="shared" ca="1" si="127"/>
        <v>3.0718800000000001E-5</v>
      </c>
      <c r="J205" s="1">
        <f t="shared" ca="1" si="128"/>
        <v>2</v>
      </c>
      <c r="K205" s="1">
        <f t="shared" ca="1" si="129"/>
        <v>3</v>
      </c>
      <c r="L205" s="1">
        <f t="shared" ca="1" si="130"/>
        <v>5</v>
      </c>
      <c r="N205" s="1"/>
      <c r="O205" s="1"/>
      <c r="P205" s="1"/>
      <c r="Q205" s="1"/>
      <c r="R205" s="1"/>
      <c r="S205" s="1"/>
    </row>
    <row r="206" spans="1:19" x14ac:dyDescent="0.2">
      <c r="A206" s="1" t="s">
        <v>27</v>
      </c>
      <c r="B206">
        <f t="shared" si="121"/>
        <v>15</v>
      </c>
      <c r="C206" s="1">
        <f t="shared" ca="1" si="122"/>
        <v>0.77</v>
      </c>
      <c r="D206" s="1">
        <f t="shared" ca="1" si="123"/>
        <v>0.75</v>
      </c>
      <c r="E206" s="1">
        <f t="shared" ca="1" si="124"/>
        <v>1.43</v>
      </c>
      <c r="F206" s="1">
        <f t="shared" ca="1" si="125"/>
        <v>1.1985714285714284</v>
      </c>
      <c r="G206" s="1">
        <f t="shared" ca="1" si="125"/>
        <v>0.91285714285714292</v>
      </c>
      <c r="H206" s="1">
        <f t="shared" ca="1" si="126"/>
        <v>0.90500000000000003</v>
      </c>
      <c r="I206" s="1">
        <f t="shared" ca="1" si="127"/>
        <v>6.1381250000000005E-5</v>
      </c>
      <c r="J206" s="1">
        <f t="shared" ca="1" si="128"/>
        <v>2</v>
      </c>
      <c r="K206" s="1">
        <f t="shared" ca="1" si="129"/>
        <v>3</v>
      </c>
      <c r="L206" s="1">
        <f t="shared" ca="1" si="130"/>
        <v>5</v>
      </c>
      <c r="N206" s="1"/>
      <c r="O206" s="1"/>
      <c r="P206" s="1"/>
      <c r="Q206" s="1"/>
      <c r="R206" s="1"/>
      <c r="S206" s="1"/>
    </row>
    <row r="207" spans="1:19" x14ac:dyDescent="0.2">
      <c r="A207" s="1" t="s">
        <v>23</v>
      </c>
      <c r="B207">
        <f t="shared" si="121"/>
        <v>9</v>
      </c>
      <c r="C207" s="1">
        <f t="shared" ca="1" si="122"/>
        <v>1.21</v>
      </c>
      <c r="D207" s="1">
        <f t="shared" ca="1" si="123"/>
        <v>1.3</v>
      </c>
      <c r="E207" s="1">
        <f t="shared" ca="1" si="124"/>
        <v>0.59</v>
      </c>
      <c r="F207" s="1">
        <f t="shared" ca="1" si="125"/>
        <v>1.2285714285714284</v>
      </c>
      <c r="G207" s="1">
        <f t="shared" ca="1" si="125"/>
        <v>0.84571428571428575</v>
      </c>
      <c r="H207" s="1">
        <f t="shared" ca="1" si="126"/>
        <v>0.94249999999999989</v>
      </c>
      <c r="I207" s="1">
        <f t="shared" ca="1" si="127"/>
        <v>1.761408E-5</v>
      </c>
      <c r="J207" s="1">
        <f t="shared" ca="1" si="128"/>
        <v>2</v>
      </c>
      <c r="K207" s="1">
        <f t="shared" ca="1" si="129"/>
        <v>3</v>
      </c>
      <c r="L207" s="1">
        <f t="shared" ca="1" si="130"/>
        <v>5</v>
      </c>
      <c r="N207" s="1"/>
      <c r="O207" s="1"/>
      <c r="P207" s="1"/>
      <c r="Q207" s="1"/>
      <c r="R207" s="1"/>
      <c r="S207" s="1"/>
    </row>
    <row r="208" spans="1:19" x14ac:dyDescent="0.2">
      <c r="A208" s="1" t="s">
        <v>17</v>
      </c>
      <c r="B208">
        <f t="shared" si="121"/>
        <v>3</v>
      </c>
      <c r="C208" s="1">
        <f t="shared" ca="1" si="122"/>
        <v>1.51</v>
      </c>
      <c r="D208" s="1">
        <f t="shared" ca="1" si="123"/>
        <v>0.37</v>
      </c>
      <c r="E208" s="1">
        <f t="shared" ca="1" si="124"/>
        <v>0.74</v>
      </c>
      <c r="F208" s="1">
        <f t="shared" ca="1" si="125"/>
        <v>1.2785714285714287</v>
      </c>
      <c r="G208" s="1">
        <f t="shared" ca="1" si="125"/>
        <v>0.79285714285714282</v>
      </c>
      <c r="H208" s="1">
        <f t="shared" ca="1" si="126"/>
        <v>0.85499999999999998</v>
      </c>
      <c r="I208" s="1">
        <f t="shared" ca="1" si="127"/>
        <v>1.3398000000000001E-5</v>
      </c>
      <c r="J208" s="1">
        <f t="shared" ca="1" si="128"/>
        <v>2</v>
      </c>
      <c r="K208" s="1">
        <f t="shared" ca="1" si="129"/>
        <v>3</v>
      </c>
      <c r="L208" s="1">
        <f t="shared" ca="1" si="130"/>
        <v>5</v>
      </c>
      <c r="N208" s="1"/>
      <c r="O208" s="1"/>
      <c r="P208" s="1"/>
      <c r="Q208" s="1"/>
      <c r="R208" s="1"/>
      <c r="S208" s="1"/>
    </row>
    <row r="209" spans="1:19" x14ac:dyDescent="0.2">
      <c r="A209" s="1" t="s">
        <v>13</v>
      </c>
      <c r="B209">
        <f t="shared" si="121"/>
        <v>0</v>
      </c>
      <c r="C209" s="1">
        <f t="shared" ca="1" si="122"/>
        <v>1.42</v>
      </c>
      <c r="D209" s="1">
        <f t="shared" ca="1" si="123"/>
        <v>0.83</v>
      </c>
      <c r="E209" s="1">
        <f t="shared" ca="1" si="124"/>
        <v>0.66</v>
      </c>
      <c r="F209" s="1">
        <f t="shared" ca="1" si="125"/>
        <v>1.3342857142857143</v>
      </c>
      <c r="G209" s="1">
        <f t="shared" ca="1" si="125"/>
        <v>0.79142857142857148</v>
      </c>
      <c r="H209" s="1">
        <f t="shared" ca="1" si="126"/>
        <v>0.74250000000000005</v>
      </c>
      <c r="I209" s="1">
        <f t="shared" ca="1" si="127"/>
        <v>1.25538E-5</v>
      </c>
      <c r="J209" s="1">
        <f t="shared" ca="1" si="128"/>
        <v>2</v>
      </c>
      <c r="K209" s="1">
        <f t="shared" ca="1" si="129"/>
        <v>3</v>
      </c>
      <c r="L209" s="1">
        <f t="shared" ca="1" si="130"/>
        <v>5</v>
      </c>
      <c r="N209" s="1"/>
      <c r="O209" s="1"/>
      <c r="P209" s="1"/>
      <c r="Q209" s="1"/>
      <c r="R209" s="1"/>
      <c r="S209" s="1"/>
    </row>
    <row r="210" spans="1:19" x14ac:dyDescent="0.2">
      <c r="A210" s="1" t="s">
        <v>22</v>
      </c>
      <c r="B210">
        <f t="shared" si="121"/>
        <v>13</v>
      </c>
      <c r="C210" s="1">
        <f t="shared" ca="1" si="122"/>
        <v>1.1100000000000001</v>
      </c>
      <c r="D210" s="1">
        <f t="shared" ca="1" si="123"/>
        <v>1.1000000000000001</v>
      </c>
      <c r="E210" s="1">
        <f t="shared" ca="1" si="124"/>
        <v>0.98</v>
      </c>
      <c r="F210" s="1">
        <f t="shared" ca="1" si="125"/>
        <v>1.2599999999999998</v>
      </c>
      <c r="G210" s="1">
        <f t="shared" ca="1" si="125"/>
        <v>0.81571428571428573</v>
      </c>
      <c r="H210" s="1">
        <f t="shared" ca="1" si="126"/>
        <v>0.76</v>
      </c>
      <c r="I210" s="1">
        <f t="shared" ca="1" si="127"/>
        <v>9.1333760000000007E-6</v>
      </c>
      <c r="J210" s="1">
        <f t="shared" ca="1" si="128"/>
        <v>2</v>
      </c>
      <c r="K210" s="1">
        <f t="shared" ca="1" si="129"/>
        <v>3</v>
      </c>
      <c r="L210" s="1">
        <f t="shared" ca="1" si="130"/>
        <v>5</v>
      </c>
      <c r="N210" s="1"/>
      <c r="O210" s="1"/>
      <c r="P210" s="1"/>
      <c r="Q210" s="1"/>
      <c r="R210" s="1"/>
      <c r="S210" s="1"/>
    </row>
    <row r="211" spans="1:19" x14ac:dyDescent="0.2">
      <c r="A211" s="1" t="s">
        <v>13</v>
      </c>
      <c r="B211">
        <f t="shared" si="121"/>
        <v>0</v>
      </c>
      <c r="C211" s="1">
        <f t="shared" ca="1" si="122"/>
        <v>1.42</v>
      </c>
      <c r="D211" s="1">
        <f t="shared" ca="1" si="123"/>
        <v>0.83</v>
      </c>
      <c r="E211" s="1">
        <f t="shared" ca="1" si="124"/>
        <v>0.66</v>
      </c>
      <c r="F211" s="1">
        <f t="shared" ca="1" si="125"/>
        <v>1.2028571428571428</v>
      </c>
      <c r="G211" s="1">
        <f t="shared" ca="1" si="125"/>
        <v>0.91999999999999993</v>
      </c>
      <c r="H211" s="1">
        <f t="shared" ca="1" si="126"/>
        <v>0.76</v>
      </c>
      <c r="I211" s="1">
        <f t="shared" ca="1" si="127"/>
        <v>1.3171200000000002E-5</v>
      </c>
      <c r="J211" s="1">
        <f t="shared" ca="1" si="128"/>
        <v>2</v>
      </c>
      <c r="K211" s="1">
        <f t="shared" ca="1" si="129"/>
        <v>3</v>
      </c>
      <c r="L211" s="1">
        <f t="shared" ca="1" si="130"/>
        <v>5</v>
      </c>
      <c r="N211" s="1"/>
      <c r="O211" s="1"/>
      <c r="P211" s="1"/>
      <c r="Q211" s="1"/>
      <c r="R211" s="1"/>
      <c r="S211" s="1"/>
    </row>
    <row r="212" spans="1:19" x14ac:dyDescent="0.2">
      <c r="A212" s="1" t="s">
        <v>17</v>
      </c>
      <c r="B212">
        <f t="shared" si="121"/>
        <v>3</v>
      </c>
      <c r="C212" s="1">
        <f t="shared" ca="1" si="122"/>
        <v>1.51</v>
      </c>
      <c r="D212" s="1">
        <f t="shared" ca="1" si="123"/>
        <v>0.37</v>
      </c>
      <c r="E212" s="1">
        <f t="shared" ca="1" si="124"/>
        <v>0.74</v>
      </c>
      <c r="F212" s="1">
        <f t="shared" ca="1" si="125"/>
        <v>1.1657142857142857</v>
      </c>
      <c r="G212" s="1">
        <f t="shared" ca="1" si="125"/>
        <v>0.90714285714285714</v>
      </c>
      <c r="H212" s="1">
        <f t="shared" ca="1" si="126"/>
        <v>0.84749999999999992</v>
      </c>
      <c r="I212" s="1">
        <f t="shared" ca="1" si="127"/>
        <v>4.1139559999999999E-5</v>
      </c>
      <c r="J212" s="1">
        <f t="shared" ca="1" si="128"/>
        <v>2</v>
      </c>
      <c r="K212" s="1">
        <f t="shared" ca="1" si="129"/>
        <v>3</v>
      </c>
      <c r="L212" s="1">
        <f t="shared" ca="1" si="130"/>
        <v>5</v>
      </c>
      <c r="N212" s="1"/>
      <c r="O212" s="1"/>
      <c r="P212" s="1"/>
      <c r="Q212" s="1"/>
      <c r="R212" s="1"/>
      <c r="S212" s="1"/>
    </row>
    <row r="213" spans="1:19" x14ac:dyDescent="0.2">
      <c r="A213" s="1" t="s">
        <v>18</v>
      </c>
      <c r="B213">
        <f t="shared" ref="B213:B228" si="131">LOOKUP(A213,$N$4:$N$23,$O$4:$O$23)</f>
        <v>8</v>
      </c>
      <c r="C213" s="1">
        <f t="shared" ref="C213:C228" ca="1" si="132">OFFSET($P$4,B213,0,1,1)</f>
        <v>1.1599999999999999</v>
      </c>
      <c r="D213" s="1">
        <f t="shared" ref="D213:D228" ca="1" si="133">OFFSET($Q$4,$B213,0,1,1)</f>
        <v>0.74</v>
      </c>
      <c r="E213" s="1">
        <f t="shared" ref="E213:E228" ca="1" si="134">OFFSET($R$4,$B213,0,1,1)</f>
        <v>1.01</v>
      </c>
      <c r="F213" s="1">
        <f t="shared" ca="1" si="125"/>
        <v>1.2228571428571429</v>
      </c>
      <c r="G213" s="1">
        <f t="shared" ca="1" si="125"/>
        <v>0.80285714285714282</v>
      </c>
      <c r="H213" s="1">
        <f t="shared" ca="1" si="126"/>
        <v>0.88749999999999996</v>
      </c>
      <c r="I213" s="1">
        <f t="shared" ca="1" si="127"/>
        <v>3.2399999999999995E-5</v>
      </c>
      <c r="J213" s="1">
        <f t="shared" ca="1" si="128"/>
        <v>2</v>
      </c>
      <c r="K213" s="1">
        <f t="shared" ca="1" si="129"/>
        <v>3</v>
      </c>
      <c r="L213" s="1">
        <f t="shared" ca="1" si="130"/>
        <v>5</v>
      </c>
      <c r="N213" s="1"/>
      <c r="O213" s="1"/>
      <c r="P213" s="1"/>
      <c r="Q213" s="1"/>
      <c r="R213" s="1"/>
      <c r="S213" s="1"/>
    </row>
    <row r="214" spans="1:19" x14ac:dyDescent="0.2">
      <c r="A214" s="1" t="s">
        <v>31</v>
      </c>
      <c r="B214">
        <f t="shared" si="131"/>
        <v>19</v>
      </c>
      <c r="C214" s="1">
        <f t="shared" ca="1" si="132"/>
        <v>0.69</v>
      </c>
      <c r="D214" s="1">
        <f t="shared" ca="1" si="133"/>
        <v>1.47</v>
      </c>
      <c r="E214" s="1">
        <f t="shared" ca="1" si="134"/>
        <v>1.1399999999999999</v>
      </c>
      <c r="F214" s="1">
        <f t="shared" ca="1" si="125"/>
        <v>1.1642857142857144</v>
      </c>
      <c r="G214" s="1">
        <f t="shared" ca="1" si="125"/>
        <v>0.76142857142857145</v>
      </c>
      <c r="H214" s="1">
        <f t="shared" ca="1" si="126"/>
        <v>0.96749999999999992</v>
      </c>
      <c r="I214" s="1">
        <f t="shared" ca="1" si="127"/>
        <v>7.1947680000000014E-5</v>
      </c>
      <c r="J214" s="1">
        <f t="shared" ca="1" si="128"/>
        <v>2</v>
      </c>
      <c r="K214" s="1">
        <f t="shared" ca="1" si="129"/>
        <v>3</v>
      </c>
      <c r="L214" s="1">
        <f t="shared" ca="1" si="130"/>
        <v>5</v>
      </c>
      <c r="N214" s="1"/>
      <c r="O214" s="1"/>
      <c r="P214" s="1"/>
      <c r="Q214" s="1"/>
      <c r="R214" s="1"/>
      <c r="S214" s="1"/>
    </row>
    <row r="215" spans="1:19" x14ac:dyDescent="0.2">
      <c r="A215" s="1" t="s">
        <v>22</v>
      </c>
      <c r="B215">
        <f t="shared" si="131"/>
        <v>13</v>
      </c>
      <c r="C215" s="1">
        <f t="shared" ca="1" si="132"/>
        <v>1.1100000000000001</v>
      </c>
      <c r="D215" s="1">
        <f t="shared" ca="1" si="133"/>
        <v>1.1000000000000001</v>
      </c>
      <c r="E215" s="1">
        <f t="shared" ca="1" si="134"/>
        <v>0.98</v>
      </c>
      <c r="F215" s="1">
        <f t="shared" ref="F215:G230" ca="1" si="135">AVERAGE(C213:C219)</f>
        <v>1.1142857142857143</v>
      </c>
      <c r="G215" s="1">
        <f t="shared" ca="1" si="135"/>
        <v>0.81428571428571428</v>
      </c>
      <c r="H215" s="1">
        <f t="shared" ref="H215:H230" ca="1" si="136">AVERAGE(E213:E216)</f>
        <v>1.0349999999999999</v>
      </c>
      <c r="I215" s="1">
        <f t="shared" ref="I215:I230" ca="1" si="137">PRODUCT(OFFSET($S$4,B213,0,1,1),OFFSET($S$4,B214,1,1,1),OFFSET($S$4,B215,2,1,1),OFFSET($S$4,B216,3,1,1))</f>
        <v>1.2566125E-5</v>
      </c>
      <c r="J215" s="1">
        <f t="shared" ref="J215:J230" ca="1" si="138">IF(AND(F215&gt;G215,F215&gt;1.05)=TRUE,2,1)</f>
        <v>2</v>
      </c>
      <c r="K215" s="1">
        <f t="shared" ref="K215:K230" ca="1" si="139">IF(AND(G215&gt;1.05,G215&gt;F215)=TRUE,4,3)</f>
        <v>3</v>
      </c>
      <c r="L215" s="1">
        <f t="shared" ref="L215:L230" ca="1" si="140">IF(AND(H215&gt;F215,H215&gt;G215,H215&gt;1,I215&gt;0.000075)=TRUE,6,5)</f>
        <v>5</v>
      </c>
      <c r="N215" s="1"/>
      <c r="O215" s="1"/>
      <c r="P215" s="1"/>
      <c r="Q215" s="1"/>
      <c r="R215" s="1"/>
      <c r="S215" s="1"/>
    </row>
    <row r="216" spans="1:19" x14ac:dyDescent="0.2">
      <c r="A216" s="1" t="s">
        <v>18</v>
      </c>
      <c r="B216">
        <f t="shared" si="131"/>
        <v>8</v>
      </c>
      <c r="C216" s="1">
        <f t="shared" ca="1" si="132"/>
        <v>1.1599999999999999</v>
      </c>
      <c r="D216" s="1">
        <f t="shared" ca="1" si="133"/>
        <v>0.74</v>
      </c>
      <c r="E216" s="1">
        <f t="shared" ca="1" si="134"/>
        <v>1.01</v>
      </c>
      <c r="F216" s="1">
        <f t="shared" ca="1" si="135"/>
        <v>1.0471428571428572</v>
      </c>
      <c r="G216" s="1">
        <f t="shared" ca="1" si="135"/>
        <v>0.91857142857142871</v>
      </c>
      <c r="H216" s="1">
        <f t="shared" ca="1" si="136"/>
        <v>0.96750000000000003</v>
      </c>
      <c r="I216" s="1">
        <f t="shared" ca="1" si="137"/>
        <v>3.7029888000000003E-5</v>
      </c>
      <c r="J216" s="1">
        <f t="shared" ca="1" si="138"/>
        <v>1</v>
      </c>
      <c r="K216" s="1">
        <f t="shared" ca="1" si="139"/>
        <v>3</v>
      </c>
      <c r="L216" s="1">
        <f t="shared" ca="1" si="140"/>
        <v>5</v>
      </c>
      <c r="N216" s="1"/>
      <c r="O216" s="1"/>
      <c r="P216" s="1"/>
      <c r="Q216" s="1"/>
      <c r="R216" s="1"/>
      <c r="S216" s="1"/>
    </row>
    <row r="217" spans="1:19" x14ac:dyDescent="0.2">
      <c r="A217" s="1" t="s">
        <v>17</v>
      </c>
      <c r="B217">
        <f t="shared" si="131"/>
        <v>3</v>
      </c>
      <c r="C217" s="1">
        <f t="shared" ca="1" si="132"/>
        <v>1.51</v>
      </c>
      <c r="D217" s="1">
        <f t="shared" ca="1" si="133"/>
        <v>0.37</v>
      </c>
      <c r="E217" s="1">
        <f t="shared" ca="1" si="134"/>
        <v>0.74</v>
      </c>
      <c r="F217" s="1">
        <f t="shared" ca="1" si="135"/>
        <v>1.1642857142857144</v>
      </c>
      <c r="G217" s="1">
        <f t="shared" ca="1" si="135"/>
        <v>0.76142857142857145</v>
      </c>
      <c r="H217" s="1">
        <f t="shared" ca="1" si="136"/>
        <v>1.0474999999999999</v>
      </c>
      <c r="I217" s="1">
        <f t="shared" ca="1" si="137"/>
        <v>5.3076870000000005E-5</v>
      </c>
      <c r="J217" s="1">
        <f t="shared" ca="1" si="138"/>
        <v>2</v>
      </c>
      <c r="K217" s="1">
        <f t="shared" ca="1" si="139"/>
        <v>3</v>
      </c>
      <c r="L217" s="1">
        <f t="shared" ca="1" si="140"/>
        <v>5</v>
      </c>
      <c r="N217" s="1"/>
      <c r="O217" s="1"/>
      <c r="P217" s="1"/>
      <c r="Q217" s="1"/>
      <c r="R217" s="1"/>
      <c r="S217" s="1"/>
    </row>
    <row r="218" spans="1:19" x14ac:dyDescent="0.2">
      <c r="A218" s="1" t="s">
        <v>14</v>
      </c>
      <c r="B218">
        <f t="shared" si="131"/>
        <v>2</v>
      </c>
      <c r="C218" s="1">
        <f t="shared" ca="1" si="132"/>
        <v>1.01</v>
      </c>
      <c r="D218" s="1">
        <f t="shared" ca="1" si="133"/>
        <v>0.54</v>
      </c>
      <c r="E218" s="1">
        <f t="shared" ca="1" si="134"/>
        <v>1.46</v>
      </c>
      <c r="F218" s="1">
        <f t="shared" ca="1" si="135"/>
        <v>1.2214285714285713</v>
      </c>
      <c r="G218" s="1">
        <f t="shared" ca="1" si="135"/>
        <v>0.65714285714285714</v>
      </c>
      <c r="H218" s="1">
        <f t="shared" ca="1" si="136"/>
        <v>1.0549999999999999</v>
      </c>
      <c r="I218" s="1">
        <f t="shared" ca="1" si="137"/>
        <v>5.6116499999999997E-5</v>
      </c>
      <c r="J218" s="1">
        <f t="shared" ca="1" si="138"/>
        <v>2</v>
      </c>
      <c r="K218" s="1">
        <f t="shared" ca="1" si="139"/>
        <v>3</v>
      </c>
      <c r="L218" s="1">
        <f t="shared" ca="1" si="140"/>
        <v>5</v>
      </c>
      <c r="N218" s="1"/>
      <c r="O218" s="1"/>
      <c r="P218" s="1"/>
      <c r="Q218" s="1"/>
      <c r="R218" s="1"/>
      <c r="S218" s="1"/>
    </row>
    <row r="219" spans="1:19" x14ac:dyDescent="0.2">
      <c r="A219" s="1" t="s">
        <v>18</v>
      </c>
      <c r="B219">
        <f t="shared" si="131"/>
        <v>8</v>
      </c>
      <c r="C219" s="1">
        <f t="shared" ca="1" si="132"/>
        <v>1.1599999999999999</v>
      </c>
      <c r="D219" s="1">
        <f t="shared" ca="1" si="133"/>
        <v>0.74</v>
      </c>
      <c r="E219" s="1">
        <f t="shared" ca="1" si="134"/>
        <v>1.01</v>
      </c>
      <c r="F219" s="1">
        <f t="shared" ca="1" si="135"/>
        <v>1.2714285714285711</v>
      </c>
      <c r="G219" s="1">
        <f t="shared" ca="1" si="135"/>
        <v>0.60428571428571431</v>
      </c>
      <c r="H219" s="1">
        <f t="shared" ca="1" si="136"/>
        <v>1.0874999999999999</v>
      </c>
      <c r="I219" s="1">
        <f t="shared" ca="1" si="137"/>
        <v>5.5439999999999998E-5</v>
      </c>
      <c r="J219" s="1">
        <f t="shared" ca="1" si="138"/>
        <v>2</v>
      </c>
      <c r="K219" s="1">
        <f t="shared" ca="1" si="139"/>
        <v>3</v>
      </c>
      <c r="L219" s="1">
        <f t="shared" ca="1" si="140"/>
        <v>5</v>
      </c>
      <c r="N219" s="1"/>
      <c r="O219" s="1"/>
      <c r="P219" s="1"/>
      <c r="Q219" s="1"/>
      <c r="R219" s="1"/>
      <c r="S219" s="1"/>
    </row>
    <row r="220" spans="1:19" x14ac:dyDescent="0.2">
      <c r="A220" s="1" t="s">
        <v>31</v>
      </c>
      <c r="B220">
        <f t="shared" si="131"/>
        <v>19</v>
      </c>
      <c r="C220" s="1">
        <f t="shared" ca="1" si="132"/>
        <v>0.69</v>
      </c>
      <c r="D220" s="1">
        <f t="shared" ca="1" si="133"/>
        <v>1.47</v>
      </c>
      <c r="E220" s="1">
        <f t="shared" ca="1" si="134"/>
        <v>1.1399999999999999</v>
      </c>
      <c r="F220" s="1">
        <f t="shared" ca="1" si="135"/>
        <v>1.2099999999999997</v>
      </c>
      <c r="G220" s="1">
        <f t="shared" ca="1" si="135"/>
        <v>0.78000000000000014</v>
      </c>
      <c r="H220" s="1">
        <f t="shared" ca="1" si="136"/>
        <v>1.0874999999999999</v>
      </c>
      <c r="I220" s="1">
        <f t="shared" ca="1" si="137"/>
        <v>1.2333888E-4</v>
      </c>
      <c r="J220" s="1">
        <f t="shared" ca="1" si="138"/>
        <v>2</v>
      </c>
      <c r="K220" s="1">
        <f t="shared" ca="1" si="139"/>
        <v>3</v>
      </c>
      <c r="L220" s="1">
        <f t="shared" ca="1" si="140"/>
        <v>5</v>
      </c>
      <c r="N220" s="1"/>
      <c r="O220" s="1"/>
      <c r="P220" s="1"/>
      <c r="Q220" s="1"/>
      <c r="R220" s="1"/>
      <c r="S220" s="1"/>
    </row>
    <row r="221" spans="1:19" x14ac:dyDescent="0.2">
      <c r="A221" s="1" t="s">
        <v>17</v>
      </c>
      <c r="B221">
        <f t="shared" si="131"/>
        <v>3</v>
      </c>
      <c r="C221" s="1">
        <f t="shared" ca="1" si="132"/>
        <v>1.51</v>
      </c>
      <c r="D221" s="1">
        <f t="shared" ca="1" si="133"/>
        <v>0.37</v>
      </c>
      <c r="E221" s="1">
        <f t="shared" ca="1" si="134"/>
        <v>0.74</v>
      </c>
      <c r="F221" s="1">
        <f t="shared" ca="1" si="135"/>
        <v>1.2314285714285713</v>
      </c>
      <c r="G221" s="1">
        <f t="shared" ca="1" si="135"/>
        <v>0.80857142857142861</v>
      </c>
      <c r="H221" s="1">
        <f t="shared" ca="1" si="136"/>
        <v>0.90749999999999997</v>
      </c>
      <c r="I221" s="1">
        <f t="shared" ca="1" si="137"/>
        <v>1.7617600000000002E-5</v>
      </c>
      <c r="J221" s="1">
        <f t="shared" ca="1" si="138"/>
        <v>2</v>
      </c>
      <c r="K221" s="1">
        <f t="shared" ca="1" si="139"/>
        <v>3</v>
      </c>
      <c r="L221" s="1">
        <f t="shared" ca="1" si="140"/>
        <v>5</v>
      </c>
      <c r="N221" s="1"/>
      <c r="O221" s="1"/>
      <c r="P221" s="1"/>
      <c r="Q221" s="1"/>
      <c r="R221" s="1"/>
      <c r="S221" s="1"/>
    </row>
    <row r="222" spans="1:19" x14ac:dyDescent="0.2">
      <c r="A222" s="1" t="s">
        <v>17</v>
      </c>
      <c r="B222">
        <f t="shared" si="131"/>
        <v>3</v>
      </c>
      <c r="C222" s="1">
        <f t="shared" ca="1" si="132"/>
        <v>1.51</v>
      </c>
      <c r="D222" s="1">
        <f t="shared" ca="1" si="133"/>
        <v>0.37</v>
      </c>
      <c r="E222" s="1">
        <f t="shared" ca="1" si="134"/>
        <v>0.74</v>
      </c>
      <c r="F222" s="1">
        <f t="shared" ca="1" si="135"/>
        <v>1.1657142857142857</v>
      </c>
      <c r="G222" s="1">
        <f t="shared" ca="1" si="135"/>
        <v>0.94571428571428573</v>
      </c>
      <c r="H222" s="1">
        <f t="shared" ca="1" si="136"/>
        <v>0.84000000000000008</v>
      </c>
      <c r="I222" s="1">
        <f t="shared" ca="1" si="137"/>
        <v>2.4245759999999998E-5</v>
      </c>
      <c r="J222" s="1">
        <f t="shared" ca="1" si="138"/>
        <v>2</v>
      </c>
      <c r="K222" s="1">
        <f t="shared" ca="1" si="139"/>
        <v>3</v>
      </c>
      <c r="L222" s="1">
        <f t="shared" ca="1" si="140"/>
        <v>5</v>
      </c>
      <c r="N222" s="1"/>
      <c r="O222" s="1"/>
      <c r="P222" s="1"/>
      <c r="Q222" s="1"/>
      <c r="R222" s="1"/>
      <c r="S222" s="1"/>
    </row>
    <row r="223" spans="1:19" x14ac:dyDescent="0.2">
      <c r="A223" s="1" t="s">
        <v>17</v>
      </c>
      <c r="B223">
        <f t="shared" si="131"/>
        <v>3</v>
      </c>
      <c r="C223" s="1">
        <f t="shared" ca="1" si="132"/>
        <v>1.51</v>
      </c>
      <c r="D223" s="1">
        <f t="shared" ca="1" si="133"/>
        <v>0.37</v>
      </c>
      <c r="E223" s="1">
        <f t="shared" ca="1" si="134"/>
        <v>0.74</v>
      </c>
      <c r="F223" s="1">
        <f t="shared" ca="1" si="135"/>
        <v>1.24</v>
      </c>
      <c r="G223" s="1">
        <f t="shared" ca="1" si="135"/>
        <v>0.92142857142857149</v>
      </c>
      <c r="H223" s="1">
        <f t="shared" ca="1" si="136"/>
        <v>0.67249999999999988</v>
      </c>
      <c r="I223" s="1">
        <f t="shared" ca="1" si="137"/>
        <v>1.448832E-5</v>
      </c>
      <c r="J223" s="1">
        <f t="shared" ca="1" si="138"/>
        <v>2</v>
      </c>
      <c r="K223" s="1">
        <f t="shared" ca="1" si="139"/>
        <v>3</v>
      </c>
      <c r="L223" s="1">
        <f t="shared" ca="1" si="140"/>
        <v>5</v>
      </c>
      <c r="N223" s="1"/>
      <c r="O223" s="1"/>
      <c r="P223" s="1"/>
      <c r="Q223" s="1"/>
      <c r="R223" s="1"/>
      <c r="S223" s="1"/>
    </row>
    <row r="224" spans="1:19" x14ac:dyDescent="0.2">
      <c r="A224" s="1" t="s">
        <v>16</v>
      </c>
      <c r="B224">
        <f t="shared" si="131"/>
        <v>7</v>
      </c>
      <c r="C224" s="1">
        <f t="shared" ca="1" si="132"/>
        <v>1.08</v>
      </c>
      <c r="D224" s="1">
        <f t="shared" ca="1" si="133"/>
        <v>1.6</v>
      </c>
      <c r="E224" s="1">
        <f t="shared" ca="1" si="134"/>
        <v>0.47</v>
      </c>
      <c r="F224" s="1">
        <f t="shared" ca="1" si="135"/>
        <v>1.1342857142857141</v>
      </c>
      <c r="G224" s="1">
        <f t="shared" ca="1" si="135"/>
        <v>0.97571428571428576</v>
      </c>
      <c r="H224" s="1">
        <f t="shared" ca="1" si="136"/>
        <v>0.74</v>
      </c>
      <c r="I224" s="1">
        <f t="shared" ca="1" si="137"/>
        <v>4.1496E-6</v>
      </c>
      <c r="J224" s="1">
        <f t="shared" ca="1" si="138"/>
        <v>2</v>
      </c>
      <c r="K224" s="1">
        <f t="shared" ca="1" si="139"/>
        <v>3</v>
      </c>
      <c r="L224" s="1">
        <f t="shared" ca="1" si="140"/>
        <v>5</v>
      </c>
      <c r="N224" s="1"/>
      <c r="O224" s="1"/>
      <c r="P224" s="1"/>
      <c r="Q224" s="1"/>
      <c r="R224" s="1"/>
      <c r="S224" s="1"/>
    </row>
    <row r="225" spans="1:19" x14ac:dyDescent="0.2">
      <c r="A225" s="1" t="s">
        <v>18</v>
      </c>
      <c r="B225">
        <f t="shared" si="131"/>
        <v>8</v>
      </c>
      <c r="C225" s="1">
        <f t="shared" ca="1" si="132"/>
        <v>1.1599999999999999</v>
      </c>
      <c r="D225" s="1">
        <f t="shared" ca="1" si="133"/>
        <v>0.74</v>
      </c>
      <c r="E225" s="1">
        <f t="shared" ca="1" si="134"/>
        <v>1.01</v>
      </c>
      <c r="F225" s="1">
        <f t="shared" ca="1" si="135"/>
        <v>1.0628571428571427</v>
      </c>
      <c r="G225" s="1">
        <f t="shared" ca="1" si="135"/>
        <v>1</v>
      </c>
      <c r="H225" s="1">
        <f t="shared" ca="1" si="136"/>
        <v>0.67999999999999994</v>
      </c>
      <c r="I225" s="1">
        <f t="shared" ca="1" si="137"/>
        <v>7.2656639999999996E-6</v>
      </c>
      <c r="J225" s="1">
        <f t="shared" ca="1" si="138"/>
        <v>2</v>
      </c>
      <c r="K225" s="1">
        <f t="shared" ca="1" si="139"/>
        <v>3</v>
      </c>
      <c r="L225" s="1">
        <f t="shared" ca="1" si="140"/>
        <v>5</v>
      </c>
      <c r="N225" s="1"/>
      <c r="O225" s="1"/>
      <c r="P225" s="1"/>
      <c r="Q225" s="1"/>
      <c r="R225" s="1"/>
      <c r="S225" s="1"/>
    </row>
    <row r="226" spans="1:19" x14ac:dyDescent="0.2">
      <c r="A226" s="1" t="s">
        <v>29</v>
      </c>
      <c r="B226">
        <f t="shared" si="131"/>
        <v>17</v>
      </c>
      <c r="C226" s="1">
        <f t="shared" ca="1" si="132"/>
        <v>0.7</v>
      </c>
      <c r="D226" s="1">
        <f t="shared" ca="1" si="133"/>
        <v>1.7</v>
      </c>
      <c r="E226" s="1">
        <f t="shared" ca="1" si="134"/>
        <v>0.5</v>
      </c>
      <c r="F226" s="1">
        <f t="shared" ca="1" si="135"/>
        <v>1.0128571428571429</v>
      </c>
      <c r="G226" s="1">
        <f t="shared" ca="1" si="135"/>
        <v>1.0528571428571429</v>
      </c>
      <c r="H226" s="1">
        <f t="shared" ca="1" si="136"/>
        <v>0.64249999999999996</v>
      </c>
      <c r="I226" s="1">
        <f t="shared" ca="1" si="137"/>
        <v>9.6922000000000001E-6</v>
      </c>
      <c r="J226" s="1">
        <f t="shared" ca="1" si="138"/>
        <v>1</v>
      </c>
      <c r="K226" s="1">
        <f t="shared" ca="1" si="139"/>
        <v>4</v>
      </c>
      <c r="L226" s="1">
        <f t="shared" ca="1" si="140"/>
        <v>5</v>
      </c>
      <c r="N226" s="1"/>
      <c r="O226" s="1"/>
      <c r="P226" s="1"/>
      <c r="Q226" s="1"/>
      <c r="R226" s="1"/>
      <c r="S226" s="1"/>
    </row>
    <row r="227" spans="1:19" x14ac:dyDescent="0.2">
      <c r="A227" s="1" t="s">
        <v>23</v>
      </c>
      <c r="B227">
        <f t="shared" si="131"/>
        <v>9</v>
      </c>
      <c r="C227" s="1">
        <f t="shared" ca="1" si="132"/>
        <v>1.21</v>
      </c>
      <c r="D227" s="1">
        <f t="shared" ca="1" si="133"/>
        <v>1.3</v>
      </c>
      <c r="E227" s="1">
        <f t="shared" ca="1" si="134"/>
        <v>0.59</v>
      </c>
      <c r="F227" s="1">
        <f t="shared" ca="1" si="135"/>
        <v>1.0314285714285714</v>
      </c>
      <c r="G227" s="1">
        <f t="shared" ca="1" si="135"/>
        <v>1.01</v>
      </c>
      <c r="H227" s="1">
        <f t="shared" ca="1" si="136"/>
        <v>0.88250000000000006</v>
      </c>
      <c r="I227" s="1">
        <f t="shared" ca="1" si="137"/>
        <v>1.007424E-5</v>
      </c>
      <c r="J227" s="1">
        <f t="shared" ca="1" si="138"/>
        <v>1</v>
      </c>
      <c r="K227" s="1">
        <f t="shared" ca="1" si="139"/>
        <v>3</v>
      </c>
      <c r="L227" s="1">
        <f t="shared" ca="1" si="140"/>
        <v>5</v>
      </c>
      <c r="N227" s="1"/>
      <c r="O227" s="1"/>
      <c r="P227" s="1"/>
      <c r="Q227" s="1"/>
      <c r="R227" s="1"/>
      <c r="S227" s="1"/>
    </row>
    <row r="228" spans="1:19" x14ac:dyDescent="0.2">
      <c r="A228" s="1" t="s">
        <v>27</v>
      </c>
      <c r="B228">
        <f t="shared" si="131"/>
        <v>15</v>
      </c>
      <c r="C228" s="1">
        <f t="shared" ca="1" si="132"/>
        <v>0.77</v>
      </c>
      <c r="D228" s="1">
        <f t="shared" ca="1" si="133"/>
        <v>0.75</v>
      </c>
      <c r="E228" s="1">
        <f t="shared" ca="1" si="134"/>
        <v>1.43</v>
      </c>
      <c r="F228" s="1">
        <f t="shared" ca="1" si="135"/>
        <v>1.0314285714285714</v>
      </c>
      <c r="G228" s="1">
        <f t="shared" ca="1" si="135"/>
        <v>1.01</v>
      </c>
      <c r="H228" s="1">
        <f t="shared" ca="1" si="136"/>
        <v>0.99499999999999988</v>
      </c>
      <c r="I228" s="1">
        <f t="shared" ca="1" si="137"/>
        <v>1.5693750000000002E-5</v>
      </c>
      <c r="J228" s="1">
        <f t="shared" ca="1" si="138"/>
        <v>1</v>
      </c>
      <c r="K228" s="1">
        <f t="shared" ca="1" si="139"/>
        <v>3</v>
      </c>
      <c r="L228" s="1">
        <f t="shared" ca="1" si="140"/>
        <v>5</v>
      </c>
      <c r="N228" s="1"/>
      <c r="O228" s="1"/>
      <c r="P228" s="1"/>
      <c r="Q228" s="1"/>
      <c r="R228" s="1"/>
      <c r="S228" s="1"/>
    </row>
    <row r="229" spans="1:19" x14ac:dyDescent="0.2">
      <c r="A229" s="1" t="s">
        <v>14</v>
      </c>
      <c r="B229">
        <f t="shared" ref="B229:B243" si="141">LOOKUP(A229,$N$4:$N$23,$O$4:$O$23)</f>
        <v>2</v>
      </c>
      <c r="C229" s="1">
        <f t="shared" ref="C229:C243" ca="1" si="142">OFFSET($P$4,B229,0,1,1)</f>
        <v>1.01</v>
      </c>
      <c r="D229" s="1">
        <f t="shared" ref="D229:D243" ca="1" si="143">OFFSET($Q$4,$B229,0,1,1)</f>
        <v>0.54</v>
      </c>
      <c r="E229" s="1">
        <f t="shared" ref="E229:E243" ca="1" si="144">OFFSET($R$4,$B229,0,1,1)</f>
        <v>1.46</v>
      </c>
      <c r="F229" s="1">
        <f t="shared" ca="1" si="135"/>
        <v>1.1471428571428572</v>
      </c>
      <c r="G229" s="1">
        <f t="shared" ca="1" si="135"/>
        <v>0.82000000000000006</v>
      </c>
      <c r="H229" s="1">
        <f t="shared" ca="1" si="136"/>
        <v>1.1225000000000001</v>
      </c>
      <c r="I229" s="1">
        <f t="shared" ca="1" si="137"/>
        <v>1.4418539500000001E-4</v>
      </c>
      <c r="J229" s="1">
        <f t="shared" ca="1" si="138"/>
        <v>2</v>
      </c>
      <c r="K229" s="1">
        <f t="shared" ca="1" si="139"/>
        <v>3</v>
      </c>
      <c r="L229" s="1">
        <f t="shared" ca="1" si="140"/>
        <v>5</v>
      </c>
      <c r="N229" s="1"/>
      <c r="O229" s="1"/>
      <c r="P229" s="1"/>
      <c r="Q229" s="1"/>
      <c r="R229" s="1"/>
      <c r="S229" s="1"/>
    </row>
    <row r="230" spans="1:19" x14ac:dyDescent="0.2">
      <c r="A230" s="1" t="s">
        <v>18</v>
      </c>
      <c r="B230">
        <f t="shared" si="141"/>
        <v>8</v>
      </c>
      <c r="C230" s="1">
        <f t="shared" ca="1" si="142"/>
        <v>1.1599999999999999</v>
      </c>
      <c r="D230" s="1">
        <f t="shared" ca="1" si="143"/>
        <v>0.74</v>
      </c>
      <c r="E230" s="1">
        <f t="shared" ca="1" si="144"/>
        <v>1.01</v>
      </c>
      <c r="F230" s="1">
        <f t="shared" ca="1" si="135"/>
        <v>1.1771428571428573</v>
      </c>
      <c r="G230" s="1">
        <f t="shared" ca="1" si="135"/>
        <v>0.75285714285714289</v>
      </c>
      <c r="H230" s="1">
        <f t="shared" ca="1" si="136"/>
        <v>1.1224999999999998</v>
      </c>
      <c r="I230" s="1">
        <f t="shared" ca="1" si="137"/>
        <v>6.6527999999999997E-5</v>
      </c>
      <c r="J230" s="1">
        <f t="shared" ca="1" si="138"/>
        <v>2</v>
      </c>
      <c r="K230" s="1">
        <f t="shared" ca="1" si="139"/>
        <v>3</v>
      </c>
      <c r="L230" s="1">
        <f t="shared" ca="1" si="140"/>
        <v>5</v>
      </c>
      <c r="N230" s="1"/>
      <c r="O230" s="1"/>
      <c r="P230" s="1"/>
      <c r="Q230" s="1"/>
      <c r="R230" s="1"/>
      <c r="S230" s="1"/>
    </row>
    <row r="231" spans="1:19" x14ac:dyDescent="0.2">
      <c r="A231" s="1" t="s">
        <v>23</v>
      </c>
      <c r="B231">
        <f t="shared" si="141"/>
        <v>9</v>
      </c>
      <c r="C231" s="1">
        <f t="shared" ca="1" si="142"/>
        <v>1.21</v>
      </c>
      <c r="D231" s="1">
        <f t="shared" ca="1" si="143"/>
        <v>1.3</v>
      </c>
      <c r="E231" s="1">
        <f t="shared" ca="1" si="144"/>
        <v>0.59</v>
      </c>
      <c r="F231" s="1">
        <f t="shared" ref="F231:G243" ca="1" si="145">AVERAGE(C229:C235)</f>
        <v>1.2828571428571429</v>
      </c>
      <c r="G231" s="1">
        <f t="shared" ca="1" si="145"/>
        <v>0.69857142857142862</v>
      </c>
      <c r="H231" s="1">
        <f t="shared" ref="H231:H243" ca="1" si="146">AVERAGE(E229:E232)</f>
        <v>1.0174999999999998</v>
      </c>
      <c r="I231" s="1">
        <f t="shared" ref="I231:I243" ca="1" si="147">PRODUCT(OFFSET($S$4,B229,0,1,1),OFFSET($S$4,B230,1,1,1),OFFSET($S$4,B231,2,1,1),OFFSET($S$4,B232,3,1,1))</f>
        <v>5.7815099999999995E-5</v>
      </c>
      <c r="J231" s="1">
        <f t="shared" ref="J231:J242" ca="1" si="148">IF(AND(F231&gt;G231,F231&gt;1.05)=TRUE,2,1)</f>
        <v>2</v>
      </c>
      <c r="K231" s="1">
        <f t="shared" ref="K231:K243" ca="1" si="149">IF(AND(G231&gt;1.05,G231&gt;F231)=TRUE,4,3)</f>
        <v>3</v>
      </c>
      <c r="L231" s="1">
        <f t="shared" ref="L231:L243" ca="1" si="150">IF(AND(H231&gt;F231,H231&gt;G231,H231&gt;1,I231&gt;0.000075)=TRUE,6,5)</f>
        <v>5</v>
      </c>
      <c r="N231" s="1"/>
      <c r="O231" s="1"/>
      <c r="P231" s="1"/>
      <c r="Q231" s="1"/>
      <c r="R231" s="1"/>
      <c r="S231" s="1"/>
    </row>
    <row r="232" spans="1:19" x14ac:dyDescent="0.2">
      <c r="A232" s="1" t="s">
        <v>18</v>
      </c>
      <c r="B232">
        <f t="shared" si="141"/>
        <v>8</v>
      </c>
      <c r="C232" s="1">
        <f t="shared" ca="1" si="142"/>
        <v>1.1599999999999999</v>
      </c>
      <c r="D232" s="1">
        <f t="shared" ca="1" si="143"/>
        <v>0.74</v>
      </c>
      <c r="E232" s="1">
        <f t="shared" ca="1" si="144"/>
        <v>1.01</v>
      </c>
      <c r="F232" s="1">
        <f t="shared" ca="1" si="145"/>
        <v>1.2571428571428569</v>
      </c>
      <c r="G232" s="1">
        <f t="shared" ca="1" si="145"/>
        <v>0.79142857142857159</v>
      </c>
      <c r="H232" s="1">
        <f t="shared" ca="1" si="146"/>
        <v>0.83750000000000013</v>
      </c>
      <c r="I232" s="1">
        <f t="shared" ca="1" si="147"/>
        <v>6.3360000000000008E-6</v>
      </c>
      <c r="J232" s="1">
        <f t="shared" ca="1" si="148"/>
        <v>2</v>
      </c>
      <c r="K232" s="1">
        <f t="shared" ca="1" si="149"/>
        <v>3</v>
      </c>
      <c r="L232" s="1">
        <f t="shared" ca="1" si="150"/>
        <v>5</v>
      </c>
      <c r="N232" s="1"/>
      <c r="O232" s="1"/>
      <c r="P232" s="1"/>
      <c r="Q232" s="1"/>
      <c r="R232" s="1"/>
      <c r="S232" s="1"/>
    </row>
    <row r="233" spans="1:19" x14ac:dyDescent="0.2">
      <c r="A233" s="1" t="s">
        <v>17</v>
      </c>
      <c r="B233">
        <f t="shared" si="141"/>
        <v>3</v>
      </c>
      <c r="C233" s="1">
        <f t="shared" ca="1" si="142"/>
        <v>1.51</v>
      </c>
      <c r="D233" s="1">
        <f t="shared" ca="1" si="143"/>
        <v>0.37</v>
      </c>
      <c r="E233" s="1">
        <f t="shared" ca="1" si="144"/>
        <v>0.74</v>
      </c>
      <c r="F233" s="1">
        <f t="shared" ca="1" si="145"/>
        <v>1.2314285714285713</v>
      </c>
      <c r="G233" s="1">
        <f t="shared" ca="1" si="145"/>
        <v>0.81857142857142862</v>
      </c>
      <c r="H233" s="1">
        <f t="shared" ca="1" si="146"/>
        <v>0.75</v>
      </c>
      <c r="I233" s="1">
        <f t="shared" ca="1" si="147"/>
        <v>3.1328990000000004E-5</v>
      </c>
      <c r="J233" s="1">
        <f t="shared" ca="1" si="148"/>
        <v>2</v>
      </c>
      <c r="K233" s="1">
        <f t="shared" ca="1" si="149"/>
        <v>3</v>
      </c>
      <c r="L233" s="1">
        <f t="shared" ca="1" si="150"/>
        <v>5</v>
      </c>
      <c r="N233" s="1"/>
      <c r="O233" s="1"/>
      <c r="P233" s="1"/>
      <c r="Q233" s="1"/>
      <c r="R233" s="1"/>
      <c r="S233" s="1"/>
    </row>
    <row r="234" spans="1:19" x14ac:dyDescent="0.2">
      <c r="A234" s="1" t="s">
        <v>13</v>
      </c>
      <c r="B234">
        <f t="shared" si="141"/>
        <v>0</v>
      </c>
      <c r="C234" s="1">
        <f t="shared" ca="1" si="142"/>
        <v>1.42</v>
      </c>
      <c r="D234" s="1">
        <f t="shared" ca="1" si="143"/>
        <v>0.83</v>
      </c>
      <c r="E234" s="1">
        <f t="shared" ca="1" si="144"/>
        <v>0.66</v>
      </c>
      <c r="F234" s="1">
        <f t="shared" ca="1" si="145"/>
        <v>1.2614285714285713</v>
      </c>
      <c r="G234" s="1">
        <f t="shared" ca="1" si="145"/>
        <v>0.75142857142857145</v>
      </c>
      <c r="H234" s="1">
        <f t="shared" ca="1" si="146"/>
        <v>0.78750000000000009</v>
      </c>
      <c r="I234" s="1">
        <f t="shared" ca="1" si="147"/>
        <v>7.3920000000000014E-6</v>
      </c>
      <c r="J234" s="1">
        <f t="shared" ca="1" si="148"/>
        <v>2</v>
      </c>
      <c r="K234" s="1">
        <f t="shared" ca="1" si="149"/>
        <v>3</v>
      </c>
      <c r="L234" s="1">
        <f t="shared" ca="1" si="150"/>
        <v>5</v>
      </c>
      <c r="N234" s="1"/>
      <c r="O234" s="1"/>
      <c r="P234" s="1"/>
      <c r="Q234" s="1"/>
      <c r="R234" s="1"/>
      <c r="S234" s="1"/>
    </row>
    <row r="235" spans="1:19" x14ac:dyDescent="0.2">
      <c r="A235" s="1" t="s">
        <v>17</v>
      </c>
      <c r="B235">
        <f t="shared" si="141"/>
        <v>3</v>
      </c>
      <c r="C235" s="1">
        <f t="shared" ca="1" si="142"/>
        <v>1.51</v>
      </c>
      <c r="D235" s="1">
        <f t="shared" ca="1" si="143"/>
        <v>0.37</v>
      </c>
      <c r="E235" s="1">
        <f t="shared" ca="1" si="144"/>
        <v>0.74</v>
      </c>
      <c r="F235" s="1">
        <f t="shared" ca="1" si="145"/>
        <v>1.3114285714285714</v>
      </c>
      <c r="G235" s="1">
        <f t="shared" ca="1" si="145"/>
        <v>0.69857142857142851</v>
      </c>
      <c r="H235" s="1">
        <f t="shared" ca="1" si="146"/>
        <v>0.77499999999999991</v>
      </c>
      <c r="I235" s="1">
        <f t="shared" ca="1" si="147"/>
        <v>2.5889248000000001E-5</v>
      </c>
      <c r="J235" s="1">
        <f t="shared" ca="1" si="148"/>
        <v>2</v>
      </c>
      <c r="K235" s="1">
        <f t="shared" ca="1" si="149"/>
        <v>3</v>
      </c>
      <c r="L235" s="1">
        <f t="shared" ca="1" si="150"/>
        <v>5</v>
      </c>
      <c r="N235" s="1"/>
      <c r="O235" s="1"/>
      <c r="P235" s="1"/>
      <c r="Q235" s="1"/>
      <c r="R235" s="1"/>
      <c r="S235" s="1"/>
    </row>
    <row r="236" spans="1:19" x14ac:dyDescent="0.2">
      <c r="A236" s="1" t="s">
        <v>28</v>
      </c>
      <c r="B236">
        <f t="shared" si="141"/>
        <v>16</v>
      </c>
      <c r="C236" s="1">
        <f t="shared" ca="1" si="142"/>
        <v>0.83</v>
      </c>
      <c r="D236" s="1">
        <f t="shared" ca="1" si="143"/>
        <v>1.19</v>
      </c>
      <c r="E236" s="1">
        <f t="shared" ca="1" si="144"/>
        <v>0.96</v>
      </c>
      <c r="F236" s="1">
        <f t="shared" ca="1" si="145"/>
        <v>1.2571428571428573</v>
      </c>
      <c r="G236" s="1">
        <f t="shared" ca="1" si="145"/>
        <v>0.84285714285714275</v>
      </c>
      <c r="H236" s="1">
        <f t="shared" ca="1" si="146"/>
        <v>0.8274999999999999</v>
      </c>
      <c r="I236" s="1">
        <f t="shared" ca="1" si="147"/>
        <v>1.9890000000000001E-5</v>
      </c>
      <c r="J236" s="1">
        <f t="shared" ca="1" si="148"/>
        <v>2</v>
      </c>
      <c r="K236" s="1">
        <f t="shared" ca="1" si="149"/>
        <v>3</v>
      </c>
      <c r="L236" s="1">
        <f t="shared" ca="1" si="150"/>
        <v>5</v>
      </c>
      <c r="N236" s="1"/>
      <c r="O236" s="1"/>
      <c r="P236" s="1"/>
      <c r="Q236" s="1"/>
      <c r="R236" s="1"/>
      <c r="S236" s="1"/>
    </row>
    <row r="237" spans="1:19" x14ac:dyDescent="0.2">
      <c r="A237" s="1" t="s">
        <v>26</v>
      </c>
      <c r="B237">
        <f t="shared" si="141"/>
        <v>14</v>
      </c>
      <c r="C237" s="1">
        <f t="shared" ca="1" si="142"/>
        <v>0.98</v>
      </c>
      <c r="D237" s="1">
        <f t="shared" ca="1" si="143"/>
        <v>0.93</v>
      </c>
      <c r="E237" s="1">
        <f t="shared" ca="1" si="144"/>
        <v>0.95</v>
      </c>
      <c r="F237" s="1">
        <f t="shared" ca="1" si="145"/>
        <v>1.2571428571428573</v>
      </c>
      <c r="G237" s="1">
        <f t="shared" ca="1" si="145"/>
        <v>0.84285714285714286</v>
      </c>
      <c r="H237" s="1">
        <f t="shared" ca="1" si="146"/>
        <v>0.82750000000000001</v>
      </c>
      <c r="I237" s="1">
        <f t="shared" ca="1" si="147"/>
        <v>3.4727616000000007E-5</v>
      </c>
      <c r="J237" s="1">
        <f t="shared" ca="1" si="148"/>
        <v>2</v>
      </c>
      <c r="K237" s="1">
        <f t="shared" ca="1" si="149"/>
        <v>3</v>
      </c>
      <c r="L237" s="1">
        <f t="shared" ca="1" si="150"/>
        <v>5</v>
      </c>
      <c r="N237" s="1"/>
      <c r="O237" s="1"/>
      <c r="P237" s="1"/>
      <c r="Q237" s="1"/>
      <c r="R237" s="1"/>
      <c r="S237" s="1"/>
    </row>
    <row r="238" spans="1:19" x14ac:dyDescent="0.2">
      <c r="A238" s="1" t="s">
        <v>13</v>
      </c>
      <c r="B238">
        <f t="shared" si="141"/>
        <v>0</v>
      </c>
      <c r="C238" s="1">
        <f t="shared" ca="1" si="142"/>
        <v>1.42</v>
      </c>
      <c r="D238" s="1">
        <f t="shared" ca="1" si="143"/>
        <v>0.83</v>
      </c>
      <c r="E238" s="1">
        <f t="shared" ca="1" si="144"/>
        <v>0.66</v>
      </c>
      <c r="F238" s="1">
        <f t="shared" ca="1" si="145"/>
        <v>1.2571428571428573</v>
      </c>
      <c r="G238" s="1">
        <f t="shared" ca="1" si="145"/>
        <v>0.84285714285714286</v>
      </c>
      <c r="H238" s="1">
        <f t="shared" ca="1" si="146"/>
        <v>0.8274999999999999</v>
      </c>
      <c r="I238" s="1">
        <f t="shared" ca="1" si="147"/>
        <v>2.0419840000000003E-5</v>
      </c>
      <c r="J238" s="1">
        <f t="shared" ca="1" si="148"/>
        <v>2</v>
      </c>
      <c r="K238" s="1">
        <f t="shared" ca="1" si="149"/>
        <v>3</v>
      </c>
      <c r="L238" s="1">
        <f t="shared" ca="1" si="150"/>
        <v>5</v>
      </c>
      <c r="N238" s="1"/>
      <c r="O238" s="1"/>
      <c r="P238" s="1"/>
      <c r="Q238" s="1"/>
      <c r="R238" s="1"/>
      <c r="S238" s="1"/>
    </row>
    <row r="239" spans="1:19" x14ac:dyDescent="0.2">
      <c r="A239" s="1" t="s">
        <v>17</v>
      </c>
      <c r="B239">
        <f t="shared" si="141"/>
        <v>3</v>
      </c>
      <c r="C239" s="1">
        <f t="shared" ca="1" si="142"/>
        <v>1.51</v>
      </c>
      <c r="D239" s="1">
        <f t="shared" ca="1" si="143"/>
        <v>0.37</v>
      </c>
      <c r="E239" s="1">
        <f t="shared" ca="1" si="144"/>
        <v>0.74</v>
      </c>
      <c r="F239" s="1">
        <f t="shared" ca="1" si="145"/>
        <v>1.2785714285714285</v>
      </c>
      <c r="G239" s="1">
        <f t="shared" ca="1" si="145"/>
        <v>0.80571428571428572</v>
      </c>
      <c r="H239" s="1">
        <f t="shared" ca="1" si="146"/>
        <v>0.73749999999999993</v>
      </c>
      <c r="I239" s="1">
        <f t="shared" ca="1" si="147"/>
        <v>2.6626600000000003E-4</v>
      </c>
      <c r="J239" s="1">
        <f t="shared" ca="1" si="148"/>
        <v>2</v>
      </c>
      <c r="K239" s="1">
        <f t="shared" ca="1" si="149"/>
        <v>3</v>
      </c>
      <c r="L239" s="1">
        <f t="shared" ca="1" si="150"/>
        <v>5</v>
      </c>
      <c r="N239" s="1"/>
      <c r="O239" s="1"/>
      <c r="P239" s="1"/>
      <c r="Q239" s="1"/>
      <c r="R239" s="1"/>
      <c r="S239" s="1"/>
    </row>
    <row r="240" spans="1:19" x14ac:dyDescent="0.2">
      <c r="A240" s="1" t="s">
        <v>19</v>
      </c>
      <c r="B240">
        <f t="shared" si="141"/>
        <v>4</v>
      </c>
      <c r="C240" s="1">
        <f t="shared" ca="1" si="142"/>
        <v>1.1299999999999999</v>
      </c>
      <c r="D240" s="1">
        <f t="shared" ca="1" si="143"/>
        <v>1.38</v>
      </c>
      <c r="E240" s="1">
        <f t="shared" ca="1" si="144"/>
        <v>0.6</v>
      </c>
      <c r="F240" s="1">
        <f t="shared" ca="1" si="145"/>
        <v>1.3283333333333331</v>
      </c>
      <c r="G240" s="1">
        <f t="shared" ca="1" si="145"/>
        <v>0.78500000000000003</v>
      </c>
      <c r="H240" s="1">
        <f t="shared" ca="1" si="146"/>
        <v>0.66500000000000004</v>
      </c>
      <c r="I240" s="1">
        <f t="shared" ca="1" si="147"/>
        <v>1.3572E-5</v>
      </c>
      <c r="J240" s="1">
        <f t="shared" ca="1" si="148"/>
        <v>2</v>
      </c>
      <c r="K240" s="1">
        <f t="shared" ca="1" si="149"/>
        <v>3</v>
      </c>
      <c r="L240" s="1">
        <f t="shared" ca="1" si="150"/>
        <v>5</v>
      </c>
      <c r="N240" s="1"/>
      <c r="O240" s="1"/>
      <c r="P240" s="1"/>
      <c r="Q240" s="1"/>
      <c r="R240" s="1"/>
      <c r="S240" s="1"/>
    </row>
    <row r="241" spans="1:19" x14ac:dyDescent="0.2">
      <c r="A241" s="1" t="s">
        <v>13</v>
      </c>
      <c r="B241">
        <f t="shared" si="141"/>
        <v>0</v>
      </c>
      <c r="C241" s="1">
        <f t="shared" ca="1" si="142"/>
        <v>1.42</v>
      </c>
      <c r="D241" s="1">
        <f t="shared" ca="1" si="143"/>
        <v>0.83</v>
      </c>
      <c r="E241" s="1">
        <f t="shared" ca="1" si="144"/>
        <v>0.66</v>
      </c>
      <c r="F241" s="1">
        <f t="shared" ca="1" si="145"/>
        <v>1.3099999999999998</v>
      </c>
      <c r="G241" s="1">
        <f t="shared" ca="1" si="145"/>
        <v>0.77600000000000002</v>
      </c>
      <c r="H241" s="1">
        <f t="shared" ca="1" si="146"/>
        <v>0.68500000000000005</v>
      </c>
      <c r="I241" s="1">
        <f t="shared" ca="1" si="147"/>
        <v>5.1430400000000017E-6</v>
      </c>
      <c r="J241" s="1">
        <f t="shared" ca="1" si="148"/>
        <v>2</v>
      </c>
      <c r="K241" s="1">
        <f t="shared" ca="1" si="149"/>
        <v>3</v>
      </c>
      <c r="L241" s="1">
        <f t="shared" ca="1" si="150"/>
        <v>5</v>
      </c>
      <c r="N241" s="1"/>
      <c r="O241" s="1"/>
      <c r="P241" s="1"/>
      <c r="Q241" s="1"/>
      <c r="R241" s="1"/>
      <c r="S241" s="1"/>
    </row>
    <row r="242" spans="1:19" x14ac:dyDescent="0.2">
      <c r="A242" s="1" t="s">
        <v>17</v>
      </c>
      <c r="B242">
        <f t="shared" si="141"/>
        <v>3</v>
      </c>
      <c r="C242" s="1">
        <f t="shared" ca="1" si="142"/>
        <v>1.51</v>
      </c>
      <c r="D242" s="1">
        <f t="shared" ca="1" si="143"/>
        <v>0.37</v>
      </c>
      <c r="E242" s="1">
        <f t="shared" ca="1" si="144"/>
        <v>0.74</v>
      </c>
      <c r="F242" s="1">
        <f t="shared" ca="1" si="145"/>
        <v>1.2599999999999998</v>
      </c>
      <c r="G242" s="1">
        <f t="shared" ca="1" si="145"/>
        <v>0.87750000000000006</v>
      </c>
      <c r="H242" s="1">
        <f t="shared" ca="1" si="146"/>
        <v>0.73750000000000004</v>
      </c>
      <c r="I242" s="1">
        <f t="shared" ca="1" si="147"/>
        <v>2.9347779999999996E-5</v>
      </c>
      <c r="J242" s="1">
        <f t="shared" ca="1" si="148"/>
        <v>2</v>
      </c>
      <c r="K242" s="1">
        <f t="shared" ca="1" si="149"/>
        <v>3</v>
      </c>
      <c r="L242" s="1">
        <f t="shared" ca="1" si="150"/>
        <v>5</v>
      </c>
      <c r="N242" s="1"/>
      <c r="O242" s="1"/>
      <c r="P242" s="1"/>
      <c r="Q242" s="1"/>
      <c r="R242" s="1"/>
      <c r="S242" s="1"/>
    </row>
    <row r="243" spans="1:19" x14ac:dyDescent="0.2">
      <c r="A243" s="1" t="s">
        <v>26</v>
      </c>
      <c r="B243">
        <f t="shared" si="141"/>
        <v>14</v>
      </c>
      <c r="C243" s="1">
        <f t="shared" ca="1" si="142"/>
        <v>0.98</v>
      </c>
      <c r="D243" s="1">
        <f t="shared" ca="1" si="143"/>
        <v>0.93</v>
      </c>
      <c r="E243" s="1">
        <f t="shared" ca="1" si="144"/>
        <v>0.95</v>
      </c>
      <c r="F243" s="1">
        <f t="shared" ca="1" si="145"/>
        <v>1.3033333333333332</v>
      </c>
      <c r="G243" s="1">
        <f t="shared" ca="1" si="145"/>
        <v>0.71</v>
      </c>
      <c r="H243" s="1">
        <f t="shared" ca="1" si="146"/>
        <v>0.78333333333333321</v>
      </c>
      <c r="I243" s="1">
        <f t="shared" ca="1" si="147"/>
        <v>2.06712E-5</v>
      </c>
      <c r="J243" s="1">
        <f ca="1">IF(AND(F243&gt;G243,F243&gt;1.05)=TRUE,2,1)</f>
        <v>2</v>
      </c>
      <c r="K243" s="1">
        <f t="shared" ca="1" si="149"/>
        <v>3</v>
      </c>
      <c r="L243" s="1">
        <f t="shared" ca="1" si="150"/>
        <v>5</v>
      </c>
      <c r="N243" s="1"/>
      <c r="O243" s="1"/>
      <c r="P243" s="1"/>
      <c r="Q243" s="1"/>
      <c r="R243" s="1"/>
      <c r="S243" s="1"/>
    </row>
    <row r="244" spans="1:19" x14ac:dyDescent="0.2">
      <c r="A244" s="1" t="s">
        <v>27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N244" s="1"/>
      <c r="O244" s="1"/>
      <c r="P244" s="1"/>
      <c r="Q244" s="1"/>
      <c r="R244" s="1"/>
      <c r="S244" s="1"/>
    </row>
    <row r="245" spans="1:19" x14ac:dyDescent="0.2">
      <c r="A245" s="1" t="s">
        <v>29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N245" s="1"/>
      <c r="O245" s="1"/>
      <c r="P245" s="1"/>
      <c r="Q245" s="1"/>
      <c r="R245" s="1"/>
      <c r="S245" s="1"/>
    </row>
    <row r="246" spans="1:19" x14ac:dyDescent="0.2">
      <c r="A246" s="1" t="s">
        <v>28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N246" s="1"/>
      <c r="O246" s="1"/>
      <c r="P246" s="1"/>
      <c r="Q246" s="1"/>
      <c r="R246" s="1"/>
      <c r="S246" s="1"/>
    </row>
    <row r="247" spans="1:19" x14ac:dyDescent="0.2">
      <c r="A247" s="1" t="s">
        <v>18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N247" s="1"/>
      <c r="O247" s="1"/>
      <c r="P247" s="1"/>
      <c r="Q247" s="1"/>
      <c r="R247" s="1"/>
      <c r="S247" s="1"/>
    </row>
    <row r="248" spans="1:19" x14ac:dyDescent="0.2">
      <c r="A248" s="1" t="s">
        <v>23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N248" s="1"/>
      <c r="O248" s="1"/>
      <c r="P248" s="1"/>
      <c r="Q248" s="1"/>
      <c r="R248" s="1"/>
      <c r="S248" s="1"/>
    </row>
    <row r="249" spans="1:19" x14ac:dyDescent="0.2">
      <c r="A249" s="1" t="s">
        <v>17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N249" s="1"/>
      <c r="O249" s="1"/>
      <c r="P249" s="1"/>
      <c r="Q249" s="1"/>
      <c r="R249" s="1"/>
      <c r="S249" s="1"/>
    </row>
    <row r="250" spans="1:19" x14ac:dyDescent="0.2">
      <c r="A250" s="1" t="s">
        <v>18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N250" s="1"/>
      <c r="O250" s="1"/>
      <c r="P250" s="1"/>
      <c r="Q250" s="1"/>
      <c r="R250" s="1"/>
      <c r="S250" s="1"/>
    </row>
    <row r="251" spans="1:19" x14ac:dyDescent="0.2">
      <c r="A251" s="1" t="s">
        <v>27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N251" s="1"/>
      <c r="O251" s="1"/>
      <c r="P251" s="1"/>
      <c r="Q251" s="1"/>
      <c r="R251" s="1"/>
      <c r="S251" s="1"/>
    </row>
    <row r="252" spans="1:19" x14ac:dyDescent="0.2">
      <c r="A252" s="1" t="s">
        <v>16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N252" s="1"/>
      <c r="O252" s="1"/>
      <c r="P252" s="1"/>
      <c r="Q252" s="1"/>
      <c r="R252" s="1"/>
      <c r="S252" s="1"/>
    </row>
    <row r="253" spans="1:19" x14ac:dyDescent="0.2">
      <c r="A253" s="1" t="s">
        <v>14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N253" s="1"/>
      <c r="O253" s="1"/>
      <c r="P253" s="1"/>
      <c r="Q253" s="1"/>
      <c r="R253" s="1"/>
      <c r="S253" s="1"/>
    </row>
    <row r="254" spans="1:19" x14ac:dyDescent="0.2">
      <c r="A254" s="1" t="s">
        <v>14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N254" s="1"/>
      <c r="O254" s="1"/>
      <c r="P254" s="1"/>
      <c r="Q254" s="1"/>
      <c r="R254" s="1"/>
      <c r="S254" s="1"/>
    </row>
    <row r="255" spans="1:19" x14ac:dyDescent="0.2">
      <c r="A255" s="1" t="s">
        <v>23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N255" s="1"/>
      <c r="O255" s="1"/>
      <c r="P255" s="1"/>
      <c r="Q255" s="1"/>
      <c r="R255" s="1"/>
      <c r="S255" s="1"/>
    </row>
    <row r="256" spans="1:19" x14ac:dyDescent="0.2">
      <c r="A256" s="1" t="s">
        <v>17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N256" s="1"/>
      <c r="O256" s="1"/>
      <c r="P256" s="1"/>
      <c r="Q256" s="1"/>
      <c r="R256" s="1"/>
      <c r="S256" s="1"/>
    </row>
    <row r="257" spans="1:19" x14ac:dyDescent="0.2">
      <c r="A257" s="1" t="s">
        <v>14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N257" s="1"/>
      <c r="O257" s="1"/>
      <c r="P257" s="1"/>
      <c r="Q257" s="1"/>
      <c r="R257" s="1"/>
      <c r="S257" s="1"/>
    </row>
    <row r="258" spans="1:19" x14ac:dyDescent="0.2">
      <c r="A258" s="1" t="s">
        <v>17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N258" s="1"/>
      <c r="O258" s="1"/>
      <c r="P258" s="1"/>
      <c r="Q258" s="1"/>
      <c r="R258" s="1"/>
      <c r="S258" s="1"/>
    </row>
    <row r="259" spans="1:19" x14ac:dyDescent="0.2">
      <c r="A259" s="1" t="s">
        <v>23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N259" s="1"/>
      <c r="O259" s="1"/>
      <c r="P259" s="1"/>
      <c r="Q259" s="1"/>
      <c r="R259" s="1"/>
      <c r="S259" s="1"/>
    </row>
    <row r="260" spans="1:19" x14ac:dyDescent="0.2">
      <c r="A260" s="1" t="s">
        <v>31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N260" s="1"/>
      <c r="O260" s="1"/>
      <c r="P260" s="1"/>
      <c r="Q260" s="1"/>
      <c r="R260" s="1"/>
      <c r="S260" s="1"/>
    </row>
    <row r="261" spans="1:19" x14ac:dyDescent="0.2">
      <c r="A261" s="1" t="s">
        <v>13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N261" s="1"/>
      <c r="O261" s="1"/>
      <c r="P261" s="1"/>
      <c r="Q261" s="1"/>
      <c r="R261" s="1"/>
      <c r="S261" s="1"/>
    </row>
    <row r="262" spans="1:19" x14ac:dyDescent="0.2">
      <c r="A262" s="1" t="s">
        <v>22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N262" s="1"/>
      <c r="O262" s="1"/>
      <c r="P262" s="1"/>
      <c r="Q262" s="1"/>
      <c r="R262" s="1"/>
      <c r="S262" s="1"/>
    </row>
    <row r="263" spans="1:19" x14ac:dyDescent="0.2">
      <c r="A263" s="1" t="s">
        <v>18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N263" s="1"/>
      <c r="O263" s="1"/>
      <c r="P263" s="1"/>
      <c r="Q263" s="1"/>
      <c r="R263" s="1"/>
      <c r="S263" s="1"/>
    </row>
    <row r="264" spans="1:19" x14ac:dyDescent="0.2">
      <c r="A264" s="1" t="s">
        <v>23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N264" s="1"/>
      <c r="O264" s="1"/>
      <c r="P264" s="1"/>
      <c r="Q264" s="1"/>
      <c r="R264" s="1"/>
      <c r="S264" s="1"/>
    </row>
    <row r="265" spans="1:19" x14ac:dyDescent="0.2">
      <c r="A265" s="1" t="s">
        <v>18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N265" s="1"/>
      <c r="O265" s="1"/>
      <c r="P265" s="1"/>
      <c r="Q265" s="1"/>
      <c r="R265" s="1"/>
      <c r="S265" s="1"/>
    </row>
    <row r="266" spans="1:19" x14ac:dyDescent="0.2">
      <c r="A266" s="1" t="s">
        <v>31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N266" s="1"/>
      <c r="O266" s="1"/>
      <c r="P266" s="1"/>
      <c r="Q266" s="1"/>
      <c r="R266" s="1"/>
      <c r="S266" s="1"/>
    </row>
    <row r="267" spans="1:19" x14ac:dyDescent="0.2">
      <c r="A267" s="1" t="s">
        <v>18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1"/>
      <c r="O267" s="1"/>
      <c r="P267" s="1"/>
      <c r="Q267" s="1"/>
      <c r="R267" s="1"/>
      <c r="S267" s="1"/>
    </row>
    <row r="268" spans="1:19" x14ac:dyDescent="0.2">
      <c r="A268" s="1" t="s">
        <v>16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N268" s="1"/>
      <c r="O268" s="1"/>
      <c r="P268" s="1"/>
      <c r="Q268" s="1"/>
      <c r="R268" s="1"/>
      <c r="S268" s="1"/>
    </row>
    <row r="269" spans="1:19" x14ac:dyDescent="0.2">
      <c r="A269" s="1" t="s">
        <v>27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N269" s="1"/>
      <c r="O269" s="1"/>
      <c r="P269" s="1"/>
      <c r="Q269" s="1"/>
      <c r="R269" s="1"/>
      <c r="S269" s="1"/>
    </row>
    <row r="270" spans="1:19" x14ac:dyDescent="0.2">
      <c r="A270" s="1" t="s">
        <v>17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N270" s="1"/>
      <c r="O270" s="1"/>
      <c r="P270" s="1"/>
      <c r="Q270" s="1"/>
      <c r="R270" s="1"/>
      <c r="S270" s="1"/>
    </row>
    <row r="271" spans="1:19" x14ac:dyDescent="0.2">
      <c r="A271" s="1" t="s">
        <v>17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N271" s="1"/>
      <c r="O271" s="1"/>
      <c r="P271" s="1"/>
      <c r="Q271" s="1"/>
      <c r="R271" s="1"/>
      <c r="S271" s="1"/>
    </row>
    <row r="272" spans="1:19" x14ac:dyDescent="0.2">
      <c r="A272" s="1" t="s">
        <v>23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N272" s="1"/>
      <c r="O272" s="1"/>
      <c r="P272" s="1"/>
      <c r="Q272" s="1"/>
      <c r="R272" s="1"/>
      <c r="S272" s="1"/>
    </row>
    <row r="273" spans="1:19" x14ac:dyDescent="0.2">
      <c r="A273" s="1" t="s">
        <v>14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N273" s="1"/>
      <c r="O273" s="1"/>
      <c r="P273" s="1"/>
      <c r="Q273" s="1"/>
      <c r="R273" s="1"/>
      <c r="S273" s="1"/>
    </row>
    <row r="274" spans="1:19" x14ac:dyDescent="0.2">
      <c r="A274" s="1" t="s">
        <v>21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N274" s="1"/>
      <c r="O274" s="1"/>
      <c r="P274" s="1"/>
      <c r="Q274" s="1"/>
      <c r="R274" s="1"/>
      <c r="S274" s="1"/>
    </row>
    <row r="275" spans="1:19" x14ac:dyDescent="0.2">
      <c r="A275" s="1" t="s">
        <v>13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N275" s="1"/>
      <c r="O275" s="1"/>
      <c r="P275" s="1"/>
      <c r="Q275" s="1"/>
      <c r="R275" s="1"/>
      <c r="S275" s="1"/>
    </row>
    <row r="276" spans="1:19" x14ac:dyDescent="0.2">
      <c r="A276" s="1" t="s">
        <v>23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N276" s="1"/>
      <c r="O276" s="1"/>
      <c r="P276" s="1"/>
      <c r="Q276" s="1"/>
      <c r="R276" s="1"/>
      <c r="S276" s="1"/>
    </row>
    <row r="277" spans="1:19" x14ac:dyDescent="0.2">
      <c r="A277" s="1" t="s">
        <v>24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N277" s="1"/>
      <c r="O277" s="1"/>
      <c r="P277" s="1"/>
      <c r="Q277" s="1"/>
      <c r="R277" s="1"/>
      <c r="S277" s="1"/>
    </row>
    <row r="278" spans="1:19" x14ac:dyDescent="0.2">
      <c r="A278" s="1" t="s">
        <v>14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N278" s="1"/>
      <c r="O278" s="1"/>
      <c r="P278" s="1"/>
      <c r="Q278" s="1"/>
      <c r="R278" s="1"/>
      <c r="S278" s="1"/>
    </row>
    <row r="279" spans="1:19" x14ac:dyDescent="0.2">
      <c r="A279" s="1" t="s">
        <v>12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N279" s="1"/>
      <c r="O279" s="1"/>
      <c r="P279" s="1"/>
      <c r="Q279" s="1"/>
      <c r="R279" s="1"/>
      <c r="S279" s="1"/>
    </row>
    <row r="280" spans="1:19" x14ac:dyDescent="0.2">
      <c r="A280" s="1" t="s">
        <v>28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N280" s="1"/>
      <c r="O280" s="1"/>
      <c r="P280" s="1"/>
      <c r="Q280" s="1"/>
      <c r="R280" s="1"/>
      <c r="S280" s="1"/>
    </row>
    <row r="281" spans="1:19" x14ac:dyDescent="0.2">
      <c r="A281" s="1" t="s">
        <v>27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N281" s="1"/>
      <c r="O281" s="1"/>
      <c r="P281" s="1"/>
      <c r="Q281" s="1"/>
      <c r="R281" s="1"/>
      <c r="S281" s="1"/>
    </row>
    <row r="282" spans="1:19" x14ac:dyDescent="0.2">
      <c r="A282" s="1" t="s">
        <v>16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N282" s="1"/>
      <c r="O282" s="1"/>
      <c r="P282" s="1"/>
      <c r="Q282" s="1"/>
      <c r="R282" s="1"/>
      <c r="S282" s="1"/>
    </row>
    <row r="283" spans="1:19" x14ac:dyDescent="0.2">
      <c r="A283" s="1" t="s">
        <v>17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N283" s="1"/>
      <c r="O283" s="1"/>
      <c r="P283" s="1"/>
      <c r="Q283" s="1"/>
      <c r="R283" s="1"/>
      <c r="S283" s="1"/>
    </row>
    <row r="284" spans="1:19" x14ac:dyDescent="0.2">
      <c r="A284" s="1" t="s">
        <v>26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N284" s="1"/>
      <c r="O284" s="1"/>
      <c r="P284" s="1"/>
      <c r="Q284" s="1"/>
      <c r="R284" s="1"/>
      <c r="S284" s="1"/>
    </row>
    <row r="285" spans="1:19" x14ac:dyDescent="0.2">
      <c r="A285" s="1" t="s">
        <v>27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N285" s="1"/>
      <c r="O285" s="1"/>
      <c r="P285" s="1"/>
      <c r="Q285" s="1"/>
      <c r="R285" s="1"/>
      <c r="S285" s="1"/>
    </row>
    <row r="286" spans="1:19" x14ac:dyDescent="0.2">
      <c r="A286" s="1" t="s">
        <v>29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Q286" s="1"/>
      <c r="R286" s="1"/>
      <c r="S286" s="1"/>
    </row>
    <row r="287" spans="1:19" x14ac:dyDescent="0.2">
      <c r="A287" s="1" t="s">
        <v>28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N287" s="1"/>
      <c r="O287" s="1"/>
      <c r="P287" s="1"/>
      <c r="Q287" s="1"/>
      <c r="R287" s="1"/>
      <c r="S287" s="1"/>
    </row>
    <row r="288" spans="1:19" x14ac:dyDescent="0.2">
      <c r="A288" s="1" t="s">
        <v>18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N288" s="1"/>
      <c r="O288" s="1"/>
      <c r="P288" s="1"/>
      <c r="Q288" s="1"/>
      <c r="R288" s="1"/>
      <c r="S288" s="1"/>
    </row>
    <row r="289" spans="1:19" x14ac:dyDescent="0.2">
      <c r="A289" s="1" t="s">
        <v>23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N289" s="1"/>
      <c r="O289" s="1"/>
      <c r="P289" s="1"/>
      <c r="Q289" s="1"/>
      <c r="R289" s="1"/>
      <c r="S289" s="1"/>
    </row>
    <row r="290" spans="1:19" x14ac:dyDescent="0.2">
      <c r="A290" s="1" t="s">
        <v>17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N290" s="1"/>
      <c r="O290" s="1"/>
      <c r="P290" s="1"/>
      <c r="Q290" s="1"/>
      <c r="R290" s="1"/>
      <c r="S290" s="1"/>
    </row>
    <row r="291" spans="1:19" x14ac:dyDescent="0.2">
      <c r="A291" s="1" t="s">
        <v>18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N291" s="1"/>
      <c r="O291" s="1"/>
      <c r="P291" s="1"/>
      <c r="Q291" s="1"/>
      <c r="R291" s="1"/>
      <c r="S291" s="1"/>
    </row>
    <row r="292" spans="1:19" x14ac:dyDescent="0.2">
      <c r="A292" s="1" t="s">
        <v>27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N292" s="1"/>
      <c r="O292" s="1"/>
      <c r="P292" s="1"/>
      <c r="Q292" s="1"/>
      <c r="R292" s="1"/>
      <c r="S292" s="1"/>
    </row>
    <row r="293" spans="1:19" x14ac:dyDescent="0.2">
      <c r="A293" s="1" t="s">
        <v>16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N293" s="1"/>
      <c r="O293" s="1"/>
      <c r="P293" s="1"/>
      <c r="Q293" s="1"/>
      <c r="R293" s="1"/>
      <c r="S293" s="1"/>
    </row>
    <row r="294" spans="1:19" x14ac:dyDescent="0.2">
      <c r="A294" s="1" t="s">
        <v>14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N294" s="1"/>
      <c r="O294" s="1"/>
      <c r="P294" s="1"/>
      <c r="Q294" s="1"/>
      <c r="R294" s="1"/>
      <c r="S294" s="1"/>
    </row>
    <row r="295" spans="1:19" x14ac:dyDescent="0.2">
      <c r="A295" s="1" t="s">
        <v>14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N295" s="1"/>
      <c r="O295" s="1"/>
      <c r="P295" s="1"/>
      <c r="Q295" s="1"/>
      <c r="R295" s="1"/>
      <c r="S295" s="1"/>
    </row>
    <row r="296" spans="1:19" x14ac:dyDescent="0.2">
      <c r="A296" s="1" t="s">
        <v>23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N296" s="1"/>
      <c r="O296" s="1"/>
      <c r="P296" s="1"/>
      <c r="Q296" s="1"/>
      <c r="R296" s="1"/>
      <c r="S296" s="1"/>
    </row>
    <row r="297" spans="1:19" x14ac:dyDescent="0.2">
      <c r="A297" s="1" t="s">
        <v>17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N297" s="1"/>
      <c r="O297" s="1"/>
      <c r="P297" s="1"/>
      <c r="Q297" s="1"/>
      <c r="R297" s="1"/>
      <c r="S297" s="1"/>
    </row>
    <row r="298" spans="1:19" x14ac:dyDescent="0.2">
      <c r="A298" s="1" t="s">
        <v>14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N298" s="1"/>
      <c r="O298" s="1"/>
      <c r="P298" s="1"/>
      <c r="Q298" s="1"/>
      <c r="R298" s="1"/>
      <c r="S298" s="1"/>
    </row>
    <row r="299" spans="1:19" x14ac:dyDescent="0.2">
      <c r="A299" s="1" t="s">
        <v>17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N299" s="1"/>
      <c r="O299" s="1"/>
      <c r="P299" s="1"/>
      <c r="Q299" s="1"/>
      <c r="R299" s="1"/>
      <c r="S299" s="1"/>
    </row>
    <row r="300" spans="1:19" x14ac:dyDescent="0.2">
      <c r="A300" s="1" t="s">
        <v>23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N300" s="1"/>
      <c r="O300" s="1"/>
      <c r="P300" s="1"/>
      <c r="Q300" s="1"/>
      <c r="R300" s="1"/>
      <c r="S300" s="1"/>
    </row>
    <row r="301" spans="1:19" x14ac:dyDescent="0.2">
      <c r="A301" s="1" t="s">
        <v>31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N301" s="1"/>
      <c r="O301" s="1"/>
      <c r="P301" s="1"/>
      <c r="Q301" s="1"/>
      <c r="R301" s="1"/>
      <c r="S301" s="1"/>
    </row>
    <row r="302" spans="1:19" x14ac:dyDescent="0.2">
      <c r="A302" s="1" t="s">
        <v>31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N302" s="1"/>
      <c r="O302" s="1"/>
      <c r="P302" s="1"/>
      <c r="Q302" s="1"/>
      <c r="R302" s="1"/>
      <c r="S302" s="1"/>
    </row>
    <row r="303" spans="1:19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N303" s="1"/>
      <c r="O303" s="1"/>
      <c r="P303" s="1"/>
      <c r="Q303" s="1"/>
      <c r="R303" s="1"/>
      <c r="S303" s="1"/>
    </row>
    <row r="304" spans="1:19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N304" s="1"/>
      <c r="O304" s="1"/>
      <c r="P304" s="1"/>
      <c r="Q304" s="1"/>
      <c r="R304" s="1"/>
      <c r="S304" s="1"/>
    </row>
    <row r="305" spans="1:19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1"/>
      <c r="O305" s="1"/>
      <c r="P305" s="1"/>
      <c r="Q305" s="1"/>
      <c r="R305" s="1"/>
      <c r="S305" s="1"/>
    </row>
    <row r="306" spans="1:19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N306" s="1"/>
      <c r="O306" s="1"/>
      <c r="P306" s="1"/>
      <c r="Q306" s="1"/>
      <c r="R306" s="1"/>
      <c r="S306" s="1"/>
    </row>
    <row r="307" spans="1:19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N307" s="1"/>
      <c r="O307" s="1"/>
      <c r="P307" s="1"/>
      <c r="Q307" s="1"/>
      <c r="R307" s="1"/>
      <c r="S307" s="1"/>
    </row>
    <row r="308" spans="1:19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N308" s="1"/>
      <c r="O308" s="1"/>
      <c r="P308" s="1"/>
      <c r="Q308" s="1"/>
      <c r="R308" s="1"/>
      <c r="S308" s="1"/>
    </row>
    <row r="309" spans="1:19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N309" s="1"/>
      <c r="O309" s="1"/>
      <c r="P309" s="1"/>
      <c r="Q309" s="1"/>
      <c r="R309" s="1"/>
      <c r="S309" s="1"/>
    </row>
    <row r="310" spans="1:19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N310" s="1"/>
      <c r="O310" s="1"/>
      <c r="P310" s="1"/>
      <c r="Q310" s="1"/>
      <c r="R310" s="1"/>
      <c r="S310" s="1"/>
    </row>
    <row r="311" spans="1:19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N311" s="1"/>
      <c r="O311" s="1"/>
      <c r="P311" s="1"/>
      <c r="Q311" s="1"/>
      <c r="R311" s="1"/>
      <c r="S311" s="1"/>
    </row>
    <row r="312" spans="1:19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N312" s="1"/>
      <c r="O312" s="1"/>
      <c r="P312" s="1"/>
      <c r="Q312" s="1"/>
      <c r="R312" s="1"/>
      <c r="S312" s="1"/>
    </row>
    <row r="313" spans="1:19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N313" s="1"/>
      <c r="O313" s="1"/>
      <c r="P313" s="1"/>
      <c r="Q313" s="1"/>
      <c r="R313" s="1"/>
      <c r="S313" s="1"/>
    </row>
    <row r="314" spans="1:19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N314" s="1"/>
      <c r="O314" s="1"/>
      <c r="P314" s="1"/>
      <c r="Q314" s="1"/>
      <c r="R314" s="1"/>
      <c r="S314" s="1"/>
    </row>
    <row r="315" spans="1:19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N315" s="1"/>
      <c r="O315" s="1"/>
      <c r="P315" s="1"/>
      <c r="Q315" s="1"/>
      <c r="R315" s="1"/>
      <c r="S315" s="1"/>
    </row>
    <row r="316" spans="1:19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N316" s="1"/>
      <c r="O316" s="1"/>
      <c r="P316" s="1"/>
      <c r="Q316" s="1"/>
      <c r="R316" s="1"/>
      <c r="S316" s="1"/>
    </row>
    <row r="317" spans="1:19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N317" s="1"/>
      <c r="O317" s="1"/>
      <c r="P317" s="1"/>
      <c r="Q317" s="1"/>
      <c r="R317" s="1"/>
      <c r="S317" s="1"/>
    </row>
    <row r="318" spans="1:19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N318" s="1"/>
      <c r="O318" s="1"/>
      <c r="P318" s="1"/>
      <c r="Q318" s="1"/>
      <c r="R318" s="1"/>
      <c r="S318" s="1"/>
    </row>
    <row r="319" spans="1:19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N319" s="1"/>
      <c r="O319" s="1"/>
      <c r="P319" s="1"/>
      <c r="Q319" s="1"/>
      <c r="R319" s="1"/>
      <c r="S319" s="1"/>
    </row>
    <row r="320" spans="1:19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N320" s="1"/>
      <c r="O320" s="1"/>
      <c r="P320" s="1"/>
      <c r="Q320" s="1"/>
      <c r="R320" s="1"/>
      <c r="S320" s="1"/>
    </row>
    <row r="321" spans="1:19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N321" s="1"/>
      <c r="O321" s="1"/>
      <c r="P321" s="1"/>
      <c r="Q321" s="1"/>
      <c r="R321" s="1"/>
      <c r="S321" s="1"/>
    </row>
    <row r="322" spans="1:19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N322" s="1"/>
      <c r="O322" s="1"/>
      <c r="P322" s="1"/>
      <c r="Q322" s="1"/>
      <c r="R322" s="1"/>
      <c r="S322" s="1"/>
    </row>
    <row r="323" spans="1:19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N323" s="1"/>
      <c r="O323" s="1"/>
      <c r="P323" s="1"/>
      <c r="Q323" s="1"/>
      <c r="R323" s="1"/>
      <c r="S323" s="1"/>
    </row>
    <row r="324" spans="1:19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N324" s="1"/>
      <c r="O324" s="1"/>
      <c r="P324" s="1"/>
      <c r="Q324" s="1"/>
      <c r="R324" s="1"/>
      <c r="S324" s="1"/>
    </row>
    <row r="325" spans="1:19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N325" s="1"/>
      <c r="O325" s="1"/>
      <c r="P325" s="1"/>
      <c r="Q325" s="1"/>
      <c r="R325" s="1"/>
      <c r="S325" s="1"/>
    </row>
    <row r="326" spans="1:19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N326" s="1"/>
      <c r="O326" s="1"/>
      <c r="P326" s="1"/>
      <c r="Q326" s="1"/>
      <c r="R326" s="1"/>
      <c r="S326" s="1"/>
    </row>
    <row r="327" spans="1:19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N327" s="1"/>
      <c r="O327" s="1"/>
      <c r="P327" s="1"/>
      <c r="Q327" s="1"/>
      <c r="R327" s="1"/>
      <c r="S327" s="1"/>
    </row>
    <row r="328" spans="1:19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N328" s="1"/>
      <c r="O328" s="1"/>
      <c r="P328" s="1"/>
      <c r="Q328" s="1"/>
      <c r="R328" s="1"/>
      <c r="S328" s="1"/>
    </row>
    <row r="329" spans="1:19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N329" s="1"/>
      <c r="O329" s="1"/>
      <c r="P329" s="1"/>
      <c r="Q329" s="1"/>
      <c r="R329" s="1"/>
      <c r="S329" s="1"/>
    </row>
    <row r="330" spans="1:19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N330" s="1"/>
      <c r="O330" s="1"/>
      <c r="P330" s="1"/>
      <c r="Q330" s="1"/>
      <c r="R330" s="1"/>
      <c r="S330" s="1"/>
    </row>
    <row r="331" spans="1:19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N331" s="1"/>
      <c r="O331" s="1"/>
      <c r="P331" s="1"/>
      <c r="Q331" s="1"/>
      <c r="R331" s="1"/>
      <c r="S331" s="1"/>
    </row>
    <row r="332" spans="1:19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N332" s="1"/>
      <c r="O332" s="1"/>
      <c r="P332" s="1"/>
      <c r="Q332" s="1"/>
      <c r="R332" s="1"/>
      <c r="S332" s="1"/>
    </row>
    <row r="333" spans="1:19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N333" s="1"/>
      <c r="O333" s="1"/>
      <c r="P333" s="1"/>
      <c r="Q333" s="1"/>
      <c r="R333" s="1"/>
      <c r="S333" s="1"/>
    </row>
    <row r="334" spans="1:19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N334" s="1"/>
      <c r="O334" s="1"/>
      <c r="P334" s="1"/>
      <c r="Q334" s="1"/>
      <c r="R334" s="1"/>
      <c r="S334" s="1"/>
    </row>
    <row r="335" spans="1:19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N335" s="1"/>
      <c r="O335" s="1"/>
      <c r="P335" s="1"/>
      <c r="Q335" s="1"/>
      <c r="R335" s="1"/>
      <c r="S335" s="1"/>
    </row>
    <row r="336" spans="1:19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N336" s="1"/>
      <c r="O336" s="1"/>
      <c r="P336" s="1"/>
      <c r="Q336" s="1"/>
      <c r="R336" s="1"/>
      <c r="S336" s="1"/>
    </row>
    <row r="337" spans="2:19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N337" s="1"/>
      <c r="O337" s="1"/>
      <c r="P337" s="1"/>
      <c r="Q337" s="1"/>
      <c r="R337" s="1"/>
      <c r="S337" s="1"/>
    </row>
    <row r="338" spans="2:19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N338" s="1"/>
      <c r="O338" s="1"/>
      <c r="P338" s="1"/>
      <c r="Q338" s="1"/>
      <c r="R338" s="1"/>
      <c r="S338" s="1"/>
    </row>
    <row r="339" spans="2:19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N339" s="1"/>
      <c r="O339" s="1"/>
      <c r="P339" s="1"/>
      <c r="Q339" s="1"/>
      <c r="R339" s="1"/>
      <c r="S339" s="1"/>
    </row>
    <row r="340" spans="2:19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N340" s="1"/>
      <c r="O340" s="1"/>
      <c r="P340" s="1"/>
      <c r="Q340" s="1"/>
      <c r="R340" s="1"/>
      <c r="S340" s="1"/>
    </row>
    <row r="341" spans="2:19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N341" s="1"/>
      <c r="O341" s="1"/>
      <c r="P341" s="1"/>
      <c r="Q341" s="1"/>
      <c r="R341" s="1"/>
      <c r="S341" s="1"/>
    </row>
    <row r="342" spans="2:19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N342" s="1"/>
      <c r="O342" s="1"/>
      <c r="P342" s="1"/>
      <c r="Q342" s="1"/>
      <c r="R342" s="1"/>
      <c r="S342" s="1"/>
    </row>
    <row r="343" spans="2:19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1"/>
      <c r="O343" s="1"/>
      <c r="P343" s="1"/>
      <c r="Q343" s="1"/>
      <c r="R343" s="1"/>
      <c r="S343" s="1"/>
    </row>
    <row r="344" spans="2:19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N344" s="1"/>
      <c r="O344" s="1"/>
      <c r="P344" s="1"/>
      <c r="Q344" s="1"/>
      <c r="R344" s="1"/>
      <c r="S344" s="1"/>
    </row>
    <row r="345" spans="2:19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N345" s="1"/>
      <c r="O345" s="1"/>
      <c r="P345" s="1"/>
      <c r="Q345" s="1"/>
      <c r="R345" s="1"/>
      <c r="S345" s="1"/>
    </row>
    <row r="346" spans="2:19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N346" s="1"/>
      <c r="O346" s="1"/>
      <c r="P346" s="1"/>
      <c r="Q346" s="1"/>
      <c r="R346" s="1"/>
      <c r="S346" s="1"/>
    </row>
    <row r="347" spans="2:19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1"/>
      <c r="R347" s="1"/>
      <c r="S347" s="1"/>
    </row>
    <row r="348" spans="2:19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</row>
    <row r="349" spans="2:19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</row>
    <row r="350" spans="2:19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  <c r="S350" s="1"/>
    </row>
    <row r="351" spans="2:19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</row>
    <row r="352" spans="2:19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</row>
    <row r="353" spans="2:19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1"/>
      <c r="R353" s="1"/>
      <c r="S353" s="1"/>
    </row>
    <row r="354" spans="2:19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1"/>
      <c r="R354" s="1"/>
      <c r="S354" s="1"/>
    </row>
    <row r="355" spans="2:19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1"/>
      <c r="R355" s="1"/>
      <c r="S355" s="1"/>
    </row>
    <row r="356" spans="2:19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</row>
    <row r="357" spans="2:19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1"/>
      <c r="R357" s="1"/>
      <c r="S357" s="1"/>
    </row>
    <row r="358" spans="2:19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</row>
    <row r="359" spans="2:19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1"/>
      <c r="R359" s="1"/>
      <c r="S359" s="1"/>
    </row>
    <row r="360" spans="2:19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</row>
    <row r="361" spans="2:19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1"/>
      <c r="R361" s="1"/>
      <c r="S361" s="1"/>
    </row>
    <row r="362" spans="2:19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1"/>
      <c r="R362" s="1"/>
      <c r="S362" s="1"/>
    </row>
    <row r="363" spans="2:19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1"/>
      <c r="R363" s="1"/>
      <c r="S363" s="1"/>
    </row>
    <row r="364" spans="2:19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1"/>
      <c r="R364" s="1"/>
      <c r="S364" s="1"/>
    </row>
    <row r="365" spans="2:19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</row>
    <row r="366" spans="2:19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</row>
    <row r="367" spans="2:19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1"/>
      <c r="R367" s="1"/>
      <c r="S367" s="1"/>
    </row>
    <row r="368" spans="2:19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</row>
    <row r="369" spans="2:19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1"/>
      <c r="R369" s="1"/>
      <c r="S369" s="1"/>
    </row>
    <row r="370" spans="2:19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</row>
    <row r="371" spans="2:19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1"/>
      <c r="R371" s="1"/>
      <c r="S371" s="1"/>
    </row>
    <row r="372" spans="2:19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</row>
    <row r="373" spans="2:19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</row>
    <row r="374" spans="2:19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1"/>
      <c r="R374" s="1"/>
      <c r="S374" s="1"/>
    </row>
    <row r="375" spans="2:19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1"/>
      <c r="R375" s="1"/>
      <c r="S375" s="1"/>
    </row>
    <row r="376" spans="2:19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</row>
    <row r="377" spans="2:19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1"/>
      <c r="R377" s="1"/>
      <c r="S377" s="1"/>
    </row>
    <row r="378" spans="2:19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1"/>
      <c r="R378" s="1"/>
      <c r="S378" s="1"/>
    </row>
    <row r="379" spans="2:19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1"/>
      <c r="R379" s="1"/>
      <c r="S379" s="1"/>
    </row>
    <row r="380" spans="2:19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1"/>
      <c r="R380" s="1"/>
      <c r="S380" s="1"/>
    </row>
    <row r="381" spans="2:19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</row>
    <row r="382" spans="2:19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1"/>
      <c r="R382" s="1"/>
      <c r="S382" s="1"/>
    </row>
    <row r="383" spans="2:19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</row>
    <row r="384" spans="2:19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</row>
    <row r="385" spans="2:19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1"/>
      <c r="R385" s="1"/>
      <c r="S385" s="1"/>
    </row>
    <row r="386" spans="2:19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1"/>
      <c r="R386" s="1"/>
      <c r="S386" s="1"/>
    </row>
    <row r="387" spans="2:19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</row>
    <row r="388" spans="2:19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1"/>
      <c r="R388" s="1"/>
      <c r="S388" s="1"/>
    </row>
    <row r="389" spans="2:19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</row>
    <row r="390" spans="2:19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1"/>
      <c r="R390" s="1"/>
      <c r="S390" s="1"/>
    </row>
    <row r="391" spans="2:19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1"/>
      <c r="R391" s="1"/>
      <c r="S391" s="1"/>
    </row>
    <row r="392" spans="2:19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</row>
    <row r="393" spans="2:19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</row>
    <row r="394" spans="2:19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1"/>
      <c r="R394" s="1"/>
      <c r="S394" s="1"/>
    </row>
    <row r="395" spans="2:19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1"/>
      <c r="R395" s="1"/>
      <c r="S395" s="1"/>
    </row>
    <row r="396" spans="2:19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</row>
    <row r="397" spans="2:19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</row>
    <row r="398" spans="2:19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1"/>
      <c r="R398" s="1"/>
      <c r="S398" s="1"/>
    </row>
    <row r="399" spans="2:19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1"/>
      <c r="R399" s="1"/>
      <c r="S399" s="1"/>
    </row>
    <row r="400" spans="2:19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</row>
    <row r="401" spans="2:19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1"/>
      <c r="R401" s="1"/>
      <c r="S401" s="1"/>
    </row>
    <row r="402" spans="2:19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</row>
    <row r="403" spans="2:19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1"/>
      <c r="R403" s="1"/>
      <c r="S403" s="1"/>
    </row>
    <row r="404" spans="2:19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</row>
    <row r="405" spans="2:19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1"/>
      <c r="R405" s="1"/>
      <c r="S405" s="1"/>
    </row>
    <row r="406" spans="2:19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</row>
    <row r="407" spans="2:19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1"/>
      <c r="R407" s="1"/>
      <c r="S407" s="1"/>
    </row>
    <row r="408" spans="2:19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</row>
    <row r="409" spans="2:19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</row>
    <row r="410" spans="2:19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1"/>
      <c r="R410" s="1"/>
      <c r="S410" s="1"/>
    </row>
    <row r="411" spans="2:19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</row>
    <row r="412" spans="2:19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N412" s="1"/>
      <c r="O412" s="1"/>
      <c r="P412" s="1"/>
      <c r="Q412" s="1"/>
      <c r="R412" s="1"/>
      <c r="S412" s="1"/>
    </row>
    <row r="413" spans="2:19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</row>
    <row r="414" spans="2:19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N414" s="1"/>
      <c r="O414" s="1"/>
      <c r="P414" s="1"/>
      <c r="Q414" s="1"/>
      <c r="R414" s="1"/>
      <c r="S414" s="1"/>
    </row>
    <row r="415" spans="2:19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N415" s="1"/>
      <c r="O415" s="1"/>
      <c r="P415" s="1"/>
      <c r="Q415" s="1"/>
      <c r="R415" s="1"/>
      <c r="S415" s="1"/>
    </row>
    <row r="416" spans="2:19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N416" s="1"/>
      <c r="O416" s="1"/>
      <c r="P416" s="1"/>
      <c r="Q416" s="1"/>
      <c r="R416" s="1"/>
      <c r="S416" s="1"/>
    </row>
    <row r="417" spans="2:19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N417" s="1"/>
      <c r="O417" s="1"/>
      <c r="P417" s="1"/>
      <c r="Q417" s="1"/>
      <c r="R417" s="1"/>
      <c r="S417" s="1"/>
    </row>
    <row r="418" spans="2:19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N418" s="1"/>
      <c r="O418" s="1"/>
      <c r="P418" s="1"/>
      <c r="Q418" s="1"/>
      <c r="R418" s="1"/>
      <c r="S418" s="1"/>
    </row>
    <row r="419" spans="2:19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1"/>
      <c r="O419" s="1"/>
      <c r="P419" s="1"/>
      <c r="Q419" s="1"/>
      <c r="R419" s="1"/>
      <c r="S419" s="1"/>
    </row>
    <row r="420" spans="2:19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N420" s="1"/>
      <c r="O420" s="1"/>
      <c r="P420" s="1"/>
      <c r="Q420" s="1"/>
      <c r="R420" s="1"/>
      <c r="S420" s="1"/>
    </row>
    <row r="421" spans="2:19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N421" s="1"/>
      <c r="O421" s="1"/>
      <c r="P421" s="1"/>
      <c r="Q421" s="1"/>
      <c r="R421" s="1"/>
      <c r="S421" s="1"/>
    </row>
    <row r="422" spans="2:19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N422" s="1"/>
      <c r="O422" s="1"/>
      <c r="P422" s="1"/>
      <c r="Q422" s="1"/>
      <c r="R422" s="1"/>
      <c r="S422" s="1"/>
    </row>
    <row r="423" spans="2:19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N423" s="1"/>
      <c r="O423" s="1"/>
      <c r="P423" s="1"/>
      <c r="Q423" s="1"/>
      <c r="R423" s="1"/>
      <c r="S423" s="1"/>
    </row>
    <row r="424" spans="2:19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N424" s="1"/>
      <c r="O424" s="1"/>
      <c r="P424" s="1"/>
      <c r="Q424" s="1"/>
      <c r="R424" s="1"/>
      <c r="S424" s="1"/>
    </row>
    <row r="425" spans="2:19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N425" s="1"/>
      <c r="O425" s="1"/>
      <c r="P425" s="1"/>
      <c r="Q425" s="1"/>
      <c r="R425" s="1"/>
      <c r="S425" s="1"/>
    </row>
    <row r="426" spans="2:19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N426" s="1"/>
      <c r="O426" s="1"/>
      <c r="P426" s="1"/>
      <c r="Q426" s="1"/>
      <c r="R426" s="1"/>
      <c r="S426" s="1"/>
    </row>
    <row r="427" spans="2:19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N427" s="1"/>
      <c r="O427" s="1"/>
      <c r="P427" s="1"/>
      <c r="Q427" s="1"/>
      <c r="R427" s="1"/>
      <c r="S427" s="1"/>
    </row>
    <row r="428" spans="2:19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N428" s="1"/>
      <c r="O428" s="1"/>
      <c r="P428" s="1"/>
      <c r="Q428" s="1"/>
      <c r="R428" s="1"/>
      <c r="S428" s="1"/>
    </row>
    <row r="429" spans="2:19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N429" s="1"/>
      <c r="O429" s="1"/>
      <c r="P429" s="1"/>
      <c r="Q429" s="1"/>
      <c r="R429" s="1"/>
      <c r="S429" s="1"/>
    </row>
    <row r="430" spans="2:19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N430" s="1"/>
      <c r="O430" s="1"/>
      <c r="P430" s="1"/>
      <c r="Q430" s="1"/>
      <c r="R430" s="1"/>
      <c r="S430" s="1"/>
    </row>
    <row r="431" spans="2:19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N431" s="1"/>
      <c r="O431" s="1"/>
      <c r="P431" s="1"/>
      <c r="Q431" s="1"/>
      <c r="R431" s="1"/>
      <c r="S431" s="1"/>
    </row>
    <row r="432" spans="2:19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N432" s="1"/>
      <c r="O432" s="1"/>
      <c r="P432" s="1"/>
      <c r="Q432" s="1"/>
      <c r="R432" s="1"/>
      <c r="S432" s="1"/>
    </row>
    <row r="433" spans="2:19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N433" s="1"/>
      <c r="O433" s="1"/>
      <c r="P433" s="1"/>
      <c r="Q433" s="1"/>
      <c r="R433" s="1"/>
      <c r="S433" s="1"/>
    </row>
    <row r="434" spans="2:19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N434" s="1"/>
      <c r="O434" s="1"/>
      <c r="P434" s="1"/>
      <c r="Q434" s="1"/>
      <c r="R434" s="1"/>
      <c r="S434" s="1"/>
    </row>
    <row r="435" spans="2:19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N435" s="1"/>
      <c r="O435" s="1"/>
      <c r="P435" s="1"/>
      <c r="Q435" s="1"/>
      <c r="R435" s="1"/>
      <c r="S435" s="1"/>
    </row>
    <row r="436" spans="2:19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N436" s="1"/>
      <c r="O436" s="1"/>
      <c r="P436" s="1"/>
      <c r="Q436" s="1"/>
      <c r="R436" s="1"/>
      <c r="S436" s="1"/>
    </row>
    <row r="437" spans="2:19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N437" s="1"/>
      <c r="O437" s="1"/>
      <c r="P437" s="1"/>
      <c r="Q437" s="1"/>
      <c r="R437" s="1"/>
      <c r="S437" s="1"/>
    </row>
    <row r="438" spans="2:19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N438" s="1"/>
      <c r="O438" s="1"/>
      <c r="P438" s="1"/>
      <c r="Q438" s="1"/>
      <c r="R438" s="1"/>
      <c r="S438" s="1"/>
    </row>
    <row r="439" spans="2:19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N439" s="1"/>
      <c r="O439" s="1"/>
      <c r="P439" s="1"/>
      <c r="Q439" s="1"/>
      <c r="R439" s="1"/>
      <c r="S439" s="1"/>
    </row>
    <row r="440" spans="2:19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N440" s="1"/>
      <c r="O440" s="1"/>
      <c r="P440" s="1"/>
      <c r="Q440" s="1"/>
      <c r="R440" s="1"/>
      <c r="S440" s="1"/>
    </row>
    <row r="441" spans="2:19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N441" s="1"/>
      <c r="O441" s="1"/>
      <c r="P441" s="1"/>
      <c r="Q441" s="1"/>
      <c r="R441" s="1"/>
      <c r="S441" s="1"/>
    </row>
    <row r="442" spans="2:19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N442" s="1"/>
      <c r="O442" s="1"/>
      <c r="P442" s="1"/>
      <c r="Q442" s="1"/>
      <c r="R442" s="1"/>
      <c r="S442" s="1"/>
    </row>
    <row r="443" spans="2:19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N443" s="1"/>
      <c r="O443" s="1"/>
      <c r="P443" s="1"/>
      <c r="Q443" s="1"/>
      <c r="R443" s="1"/>
      <c r="S443" s="1"/>
    </row>
    <row r="444" spans="2:19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N444" s="1"/>
      <c r="O444" s="1"/>
      <c r="P444" s="1"/>
      <c r="Q444" s="1"/>
      <c r="R444" s="1"/>
      <c r="S444" s="1"/>
    </row>
    <row r="445" spans="2:19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N445" s="1"/>
      <c r="O445" s="1"/>
      <c r="P445" s="1"/>
      <c r="Q445" s="1"/>
      <c r="R445" s="1"/>
      <c r="S445" s="1"/>
    </row>
    <row r="446" spans="2:19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N446" s="1"/>
      <c r="O446" s="1"/>
      <c r="P446" s="1"/>
      <c r="Q446" s="1"/>
      <c r="R446" s="1"/>
      <c r="S446" s="1"/>
    </row>
    <row r="447" spans="2:19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N447" s="1"/>
      <c r="O447" s="1"/>
      <c r="P447" s="1"/>
      <c r="Q447" s="1"/>
      <c r="R447" s="1"/>
      <c r="S447" s="1"/>
    </row>
    <row r="448" spans="2:19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N448" s="1"/>
      <c r="O448" s="1"/>
      <c r="P448" s="1"/>
      <c r="Q448" s="1"/>
      <c r="R448" s="1"/>
      <c r="S448" s="1"/>
    </row>
    <row r="449" spans="2:19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N449" s="1"/>
      <c r="O449" s="1"/>
      <c r="P449" s="1"/>
      <c r="Q449" s="1"/>
      <c r="R449" s="1"/>
      <c r="S449" s="1"/>
    </row>
    <row r="450" spans="2:19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N450" s="1"/>
      <c r="O450" s="1"/>
      <c r="P450" s="1"/>
      <c r="Q450" s="1"/>
      <c r="R450" s="1"/>
      <c r="S450" s="1"/>
    </row>
    <row r="451" spans="2:19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N451" s="1"/>
      <c r="O451" s="1"/>
      <c r="P451" s="1"/>
      <c r="Q451" s="1"/>
      <c r="R451" s="1"/>
      <c r="S451" s="1"/>
    </row>
    <row r="452" spans="2:19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N452" s="1"/>
      <c r="O452" s="1"/>
      <c r="P452" s="1"/>
      <c r="Q452" s="1"/>
      <c r="R452" s="1"/>
      <c r="S452" s="1"/>
    </row>
    <row r="453" spans="2:19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N453" s="1"/>
      <c r="O453" s="1"/>
      <c r="P453" s="1"/>
      <c r="Q453" s="1"/>
      <c r="R453" s="1"/>
      <c r="S453" s="1"/>
    </row>
    <row r="454" spans="2:19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N454" s="1"/>
      <c r="O454" s="1"/>
      <c r="P454" s="1"/>
      <c r="Q454" s="1"/>
      <c r="R454" s="1"/>
      <c r="S454" s="1"/>
    </row>
    <row r="455" spans="2:19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N455" s="1"/>
      <c r="O455" s="1"/>
      <c r="P455" s="1"/>
      <c r="Q455" s="1"/>
      <c r="R455" s="1"/>
      <c r="S455" s="1"/>
    </row>
    <row r="456" spans="2:19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N456" s="1"/>
      <c r="O456" s="1"/>
      <c r="P456" s="1"/>
      <c r="Q456" s="1"/>
      <c r="R456" s="1"/>
      <c r="S456" s="1"/>
    </row>
    <row r="457" spans="2:19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1"/>
      <c r="O457" s="1"/>
      <c r="P457" s="1"/>
      <c r="Q457" s="1"/>
      <c r="R457" s="1"/>
      <c r="S457" s="1"/>
    </row>
    <row r="458" spans="2:19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N458" s="1"/>
      <c r="O458" s="1"/>
      <c r="P458" s="1"/>
      <c r="Q458" s="1"/>
      <c r="R458" s="1"/>
      <c r="S458" s="1"/>
    </row>
    <row r="459" spans="2:19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N459" s="1"/>
      <c r="O459" s="1"/>
      <c r="P459" s="1"/>
      <c r="Q459" s="1"/>
      <c r="R459" s="1"/>
      <c r="S459" s="1"/>
    </row>
    <row r="460" spans="2:19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N460" s="1"/>
      <c r="O460" s="1"/>
      <c r="P460" s="1"/>
      <c r="Q460" s="1"/>
      <c r="R460" s="1"/>
      <c r="S460" s="1"/>
    </row>
    <row r="461" spans="2:19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N461" s="1"/>
      <c r="O461" s="1"/>
      <c r="P461" s="1"/>
      <c r="Q461" s="1"/>
      <c r="R461" s="1"/>
      <c r="S461" s="1"/>
    </row>
    <row r="462" spans="2:19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N462" s="1"/>
      <c r="O462" s="1"/>
      <c r="P462" s="1"/>
      <c r="Q462" s="1"/>
      <c r="R462" s="1"/>
      <c r="S462" s="1"/>
    </row>
    <row r="463" spans="2:19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N463" s="1"/>
      <c r="O463" s="1"/>
      <c r="P463" s="1"/>
      <c r="Q463" s="1"/>
      <c r="R463" s="1"/>
      <c r="S463" s="1"/>
    </row>
    <row r="464" spans="2:19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N464" s="1"/>
      <c r="O464" s="1"/>
      <c r="P464" s="1"/>
      <c r="Q464" s="1"/>
      <c r="R464" s="1"/>
      <c r="S464" s="1"/>
    </row>
    <row r="465" spans="2:19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N465" s="1"/>
      <c r="O465" s="1"/>
      <c r="P465" s="1"/>
      <c r="Q465" s="1"/>
      <c r="R465" s="1"/>
      <c r="S465" s="1"/>
    </row>
    <row r="466" spans="2:19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N466" s="1"/>
      <c r="O466" s="1"/>
      <c r="P466" s="1"/>
      <c r="Q466" s="1"/>
      <c r="R466" s="1"/>
      <c r="S466" s="1"/>
    </row>
    <row r="467" spans="2:19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N467" s="1"/>
      <c r="O467" s="1"/>
      <c r="P467" s="1"/>
      <c r="Q467" s="1"/>
      <c r="R467" s="1"/>
      <c r="S467" s="1"/>
    </row>
    <row r="468" spans="2:19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N468" s="1"/>
      <c r="O468" s="1"/>
      <c r="P468" s="1"/>
      <c r="Q468" s="1"/>
      <c r="R468" s="1"/>
      <c r="S468" s="1"/>
    </row>
    <row r="469" spans="2:19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N469" s="1"/>
      <c r="O469" s="1"/>
      <c r="P469" s="1"/>
      <c r="Q469" s="1"/>
      <c r="R469" s="1"/>
      <c r="S469" s="1"/>
    </row>
    <row r="470" spans="2:19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N470" s="1"/>
      <c r="O470" s="1"/>
      <c r="P470" s="1"/>
      <c r="Q470" s="1"/>
      <c r="R470" s="1"/>
      <c r="S470" s="1"/>
    </row>
    <row r="471" spans="2:19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N471" s="1"/>
      <c r="O471" s="1"/>
      <c r="P471" s="1"/>
      <c r="Q471" s="1"/>
      <c r="R471" s="1"/>
      <c r="S471" s="1"/>
    </row>
    <row r="472" spans="2:19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N472" s="1"/>
      <c r="O472" s="1"/>
      <c r="P472" s="1"/>
      <c r="Q472" s="1"/>
      <c r="R472" s="1"/>
      <c r="S472" s="1"/>
    </row>
    <row r="473" spans="2:19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N473" s="1"/>
      <c r="O473" s="1"/>
      <c r="P473" s="1"/>
      <c r="Q473" s="1"/>
      <c r="R473" s="1"/>
      <c r="S473" s="1"/>
    </row>
    <row r="474" spans="2:19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N474" s="1"/>
      <c r="O474" s="1"/>
      <c r="P474" s="1"/>
      <c r="Q474" s="1"/>
      <c r="R474" s="1"/>
      <c r="S474" s="1"/>
    </row>
    <row r="475" spans="2:19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N475" s="1"/>
      <c r="O475" s="1"/>
      <c r="P475" s="1"/>
      <c r="Q475" s="1"/>
      <c r="R475" s="1"/>
      <c r="S475" s="1"/>
    </row>
    <row r="476" spans="2:19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N476" s="1"/>
      <c r="O476" s="1"/>
      <c r="P476" s="1"/>
      <c r="Q476" s="1"/>
      <c r="R476" s="1"/>
      <c r="S476" s="1"/>
    </row>
    <row r="477" spans="2:19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N477" s="1"/>
      <c r="O477" s="1"/>
      <c r="P477" s="1"/>
      <c r="Q477" s="1"/>
      <c r="R477" s="1"/>
      <c r="S477" s="1"/>
    </row>
    <row r="478" spans="2:19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N478" s="1"/>
      <c r="O478" s="1"/>
      <c r="P478" s="1"/>
      <c r="Q478" s="1"/>
      <c r="R478" s="1"/>
      <c r="S478" s="1"/>
    </row>
    <row r="479" spans="2:19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N479" s="1"/>
      <c r="O479" s="1"/>
      <c r="P479" s="1"/>
      <c r="Q479" s="1"/>
      <c r="R479" s="1"/>
      <c r="S479" s="1"/>
    </row>
    <row r="480" spans="2:19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N480" s="1"/>
      <c r="O480" s="1"/>
      <c r="P480" s="1"/>
      <c r="Q480" s="1"/>
      <c r="R480" s="1"/>
      <c r="S480" s="1"/>
    </row>
    <row r="481" spans="2:19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N481" s="1"/>
      <c r="O481" s="1"/>
      <c r="P481" s="1"/>
      <c r="Q481" s="1"/>
      <c r="R481" s="1"/>
      <c r="S481" s="1"/>
    </row>
    <row r="482" spans="2:19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N482" s="1"/>
      <c r="O482" s="1"/>
      <c r="P482" s="1"/>
      <c r="Q482" s="1"/>
      <c r="R482" s="1"/>
      <c r="S482" s="1"/>
    </row>
    <row r="483" spans="2:19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N483" s="1"/>
      <c r="O483" s="1"/>
      <c r="P483" s="1"/>
      <c r="Q483" s="1"/>
      <c r="R483" s="1"/>
      <c r="S483" s="1"/>
    </row>
    <row r="484" spans="2:19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N484" s="1"/>
      <c r="O484" s="1"/>
      <c r="P484" s="1"/>
      <c r="Q484" s="1"/>
      <c r="R484" s="1"/>
      <c r="S484" s="1"/>
    </row>
    <row r="485" spans="2:19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N485" s="1"/>
      <c r="O485" s="1"/>
      <c r="P485" s="1"/>
      <c r="Q485" s="1"/>
      <c r="R485" s="1"/>
      <c r="S485" s="1"/>
    </row>
    <row r="486" spans="2:19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N486" s="1"/>
      <c r="O486" s="1"/>
      <c r="P486" s="1"/>
      <c r="Q486" s="1"/>
      <c r="R486" s="1"/>
      <c r="S486" s="1"/>
    </row>
    <row r="487" spans="2:19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N487" s="1"/>
      <c r="O487" s="1"/>
      <c r="P487" s="1"/>
      <c r="Q487" s="1"/>
      <c r="R487" s="1"/>
      <c r="S487" s="1"/>
    </row>
    <row r="488" spans="2:19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N488" s="1"/>
      <c r="O488" s="1"/>
      <c r="P488" s="1"/>
      <c r="Q488" s="1"/>
      <c r="R488" s="1"/>
      <c r="S488" s="1"/>
    </row>
    <row r="489" spans="2:19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N489" s="1"/>
      <c r="O489" s="1"/>
      <c r="P489" s="1"/>
      <c r="Q489" s="1"/>
      <c r="R489" s="1"/>
      <c r="S489" s="1"/>
    </row>
    <row r="490" spans="2:19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N490" s="1"/>
      <c r="O490" s="1"/>
      <c r="P490" s="1"/>
      <c r="Q490" s="1"/>
      <c r="R490" s="1"/>
      <c r="S490" s="1"/>
    </row>
    <row r="491" spans="2:19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N491" s="1"/>
      <c r="O491" s="1"/>
      <c r="P491" s="1"/>
      <c r="Q491" s="1"/>
      <c r="R491" s="1"/>
      <c r="S491" s="1"/>
    </row>
    <row r="492" spans="2:19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N492" s="1"/>
      <c r="O492" s="1"/>
      <c r="P492" s="1"/>
      <c r="Q492" s="1"/>
      <c r="R492" s="1"/>
      <c r="S492" s="1"/>
    </row>
    <row r="493" spans="2:19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N493" s="1"/>
      <c r="O493" s="1"/>
      <c r="P493" s="1"/>
      <c r="Q493" s="1"/>
      <c r="R493" s="1"/>
      <c r="S493" s="1"/>
    </row>
    <row r="494" spans="2:19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N494" s="1"/>
      <c r="O494" s="1"/>
      <c r="P494" s="1"/>
      <c r="Q494" s="1"/>
      <c r="R494" s="1"/>
      <c r="S494" s="1"/>
    </row>
    <row r="495" spans="2:19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1"/>
      <c r="O495" s="1"/>
      <c r="P495" s="1"/>
      <c r="Q495" s="1"/>
      <c r="R495" s="1"/>
      <c r="S495" s="1"/>
    </row>
    <row r="496" spans="2:19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N496" s="1"/>
      <c r="O496" s="1"/>
      <c r="P496" s="1"/>
      <c r="Q496" s="1"/>
      <c r="R496" s="1"/>
      <c r="S496" s="1"/>
    </row>
    <row r="497" spans="2:19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N497" s="1"/>
      <c r="O497" s="1"/>
      <c r="P497" s="1"/>
      <c r="Q497" s="1"/>
      <c r="R497" s="1"/>
      <c r="S497" s="1"/>
    </row>
    <row r="498" spans="2:19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N498" s="1"/>
      <c r="O498" s="1"/>
      <c r="P498" s="1"/>
      <c r="Q498" s="1"/>
      <c r="R498" s="1"/>
      <c r="S498" s="1"/>
    </row>
    <row r="499" spans="2:19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N499" s="1"/>
      <c r="O499" s="1"/>
      <c r="P499" s="1"/>
      <c r="Q499" s="1"/>
      <c r="R499" s="1"/>
      <c r="S499" s="1"/>
    </row>
    <row r="500" spans="2:19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N500" s="1"/>
      <c r="O500" s="1"/>
      <c r="P500" s="1"/>
      <c r="Q500" s="1"/>
      <c r="R500" s="1"/>
      <c r="S500" s="1"/>
    </row>
    <row r="501" spans="2:19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N501" s="1"/>
      <c r="O501" s="1"/>
      <c r="P501" s="1"/>
      <c r="Q501" s="1"/>
      <c r="R501" s="1"/>
      <c r="S501" s="1"/>
    </row>
    <row r="502" spans="2:19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N502" s="1"/>
      <c r="O502" s="1"/>
      <c r="P502" s="1"/>
      <c r="Q502" s="1"/>
      <c r="R502" s="1"/>
      <c r="S502" s="1"/>
    </row>
    <row r="503" spans="2:19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N503" s="1"/>
      <c r="O503" s="1"/>
      <c r="P503" s="1"/>
      <c r="Q503" s="1"/>
      <c r="R503" s="1"/>
      <c r="S503" s="1"/>
    </row>
    <row r="504" spans="2:19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N504" s="1"/>
      <c r="O504" s="1"/>
      <c r="P504" s="1"/>
      <c r="Q504" s="1"/>
      <c r="R504" s="1"/>
      <c r="S504" s="1"/>
    </row>
    <row r="505" spans="2:19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N505" s="1"/>
      <c r="O505" s="1"/>
      <c r="P505" s="1"/>
      <c r="Q505" s="1"/>
      <c r="R505" s="1"/>
      <c r="S505" s="1"/>
    </row>
    <row r="506" spans="2:19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N506" s="1"/>
      <c r="O506" s="1"/>
      <c r="P506" s="1"/>
      <c r="Q506" s="1"/>
      <c r="R506" s="1"/>
      <c r="S506" s="1"/>
    </row>
    <row r="507" spans="2:19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N507" s="1"/>
      <c r="O507" s="1"/>
      <c r="P507" s="1"/>
      <c r="Q507" s="1"/>
      <c r="R507" s="1"/>
      <c r="S507" s="1"/>
    </row>
    <row r="508" spans="2:19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N508" s="1"/>
      <c r="O508" s="1"/>
      <c r="P508" s="1"/>
      <c r="Q508" s="1"/>
      <c r="R508" s="1"/>
      <c r="S508" s="1"/>
    </row>
    <row r="509" spans="2:19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N509" s="1"/>
      <c r="O509" s="1"/>
      <c r="P509" s="1"/>
      <c r="Q509" s="1"/>
      <c r="R509" s="1"/>
      <c r="S509" s="1"/>
    </row>
    <row r="510" spans="2:19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N510" s="1"/>
      <c r="O510" s="1"/>
      <c r="P510" s="1"/>
      <c r="Q510" s="1"/>
      <c r="R510" s="1"/>
      <c r="S510" s="1"/>
    </row>
    <row r="511" spans="2:19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N511" s="1"/>
      <c r="O511" s="1"/>
      <c r="P511" s="1"/>
      <c r="Q511" s="1"/>
      <c r="R511" s="1"/>
      <c r="S511" s="1"/>
    </row>
    <row r="512" spans="2:19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N512" s="1"/>
      <c r="O512" s="1"/>
      <c r="P512" s="1"/>
      <c r="Q512" s="1"/>
      <c r="R512" s="1"/>
      <c r="S512" s="1"/>
    </row>
    <row r="513" spans="2:19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N513" s="1"/>
      <c r="O513" s="1"/>
      <c r="P513" s="1"/>
      <c r="Q513" s="1"/>
      <c r="R513" s="1"/>
      <c r="S513" s="1"/>
    </row>
    <row r="514" spans="2:19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N514" s="1"/>
      <c r="O514" s="1"/>
      <c r="P514" s="1"/>
      <c r="Q514" s="1"/>
      <c r="R514" s="1"/>
      <c r="S514" s="1"/>
    </row>
    <row r="515" spans="2:19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N515" s="1"/>
      <c r="O515" s="1"/>
      <c r="P515" s="1"/>
      <c r="Q515" s="1"/>
      <c r="R515" s="1"/>
      <c r="S515" s="1"/>
    </row>
    <row r="516" spans="2:19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N516" s="1"/>
      <c r="O516" s="1"/>
      <c r="P516" s="1"/>
      <c r="Q516" s="1"/>
      <c r="R516" s="1"/>
      <c r="S516" s="1"/>
    </row>
    <row r="517" spans="2:19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N517" s="1"/>
      <c r="O517" s="1"/>
      <c r="P517" s="1"/>
      <c r="Q517" s="1"/>
      <c r="R517" s="1"/>
      <c r="S517" s="1"/>
    </row>
    <row r="518" spans="2:19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N518" s="1"/>
      <c r="O518" s="1"/>
      <c r="P518" s="1"/>
      <c r="Q518" s="1"/>
      <c r="R518" s="1"/>
      <c r="S518" s="1"/>
    </row>
    <row r="519" spans="2:19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N519" s="1"/>
      <c r="O519" s="1"/>
      <c r="P519" s="1"/>
      <c r="Q519" s="1"/>
      <c r="R519" s="1"/>
      <c r="S519" s="1"/>
    </row>
    <row r="520" spans="2:19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N520" s="1"/>
      <c r="O520" s="1"/>
      <c r="P520" s="1"/>
      <c r="Q520" s="1"/>
      <c r="R520" s="1"/>
      <c r="S520" s="1"/>
    </row>
    <row r="521" spans="2:19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N521" s="1"/>
      <c r="O521" s="1"/>
      <c r="P521" s="1"/>
      <c r="Q521" s="1"/>
      <c r="R521" s="1"/>
      <c r="S521" s="1"/>
    </row>
    <row r="522" spans="2:19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N522" s="1"/>
      <c r="O522" s="1"/>
      <c r="P522" s="1"/>
      <c r="Q522" s="1"/>
      <c r="R522" s="1"/>
      <c r="S522" s="1"/>
    </row>
    <row r="523" spans="2:19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N523" s="1"/>
      <c r="O523" s="1"/>
      <c r="P523" s="1"/>
      <c r="Q523" s="1"/>
      <c r="R523" s="1"/>
      <c r="S523" s="1"/>
    </row>
    <row r="524" spans="2:19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N524" s="1"/>
      <c r="O524" s="1"/>
      <c r="P524" s="1"/>
      <c r="Q524" s="1"/>
      <c r="R524" s="1"/>
      <c r="S524" s="1"/>
    </row>
    <row r="525" spans="2:19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N525" s="1"/>
      <c r="O525" s="1"/>
      <c r="P525" s="1"/>
      <c r="Q525" s="1"/>
      <c r="R525" s="1"/>
      <c r="S525" s="1"/>
    </row>
    <row r="526" spans="2:19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N526" s="1"/>
      <c r="O526" s="1"/>
      <c r="P526" s="1"/>
      <c r="Q526" s="1"/>
      <c r="R526" s="1"/>
      <c r="S526" s="1"/>
    </row>
    <row r="527" spans="2:19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N527" s="1"/>
      <c r="O527" s="1"/>
      <c r="P527" s="1"/>
      <c r="Q527" s="1"/>
      <c r="R527" s="1"/>
      <c r="S527" s="1"/>
    </row>
    <row r="528" spans="2:19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N528" s="1"/>
      <c r="O528" s="1"/>
      <c r="P528" s="1"/>
      <c r="Q528" s="1"/>
      <c r="R528" s="1"/>
      <c r="S528" s="1"/>
    </row>
    <row r="529" spans="2:19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N529" s="1"/>
      <c r="O529" s="1"/>
      <c r="P529" s="1"/>
      <c r="Q529" s="1"/>
      <c r="R529" s="1"/>
      <c r="S529" s="1"/>
    </row>
    <row r="530" spans="2:19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N530" s="1"/>
      <c r="O530" s="1"/>
      <c r="P530" s="1"/>
      <c r="Q530" s="1"/>
      <c r="R530" s="1"/>
      <c r="S530" s="1"/>
    </row>
    <row r="531" spans="2:19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N531" s="1"/>
      <c r="O531" s="1"/>
      <c r="P531" s="1"/>
      <c r="Q531" s="1"/>
      <c r="R531" s="1"/>
      <c r="S531" s="1"/>
    </row>
    <row r="532" spans="2:19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N532" s="1"/>
      <c r="O532" s="1"/>
      <c r="P532" s="1"/>
      <c r="Q532" s="1"/>
      <c r="R532" s="1"/>
      <c r="S532" s="1"/>
    </row>
    <row r="533" spans="2:19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1"/>
      <c r="O533" s="1"/>
      <c r="P533" s="1"/>
      <c r="Q533" s="1"/>
      <c r="R533" s="1"/>
      <c r="S533" s="1"/>
    </row>
    <row r="534" spans="2:19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N534" s="1"/>
      <c r="O534" s="1"/>
      <c r="P534" s="1"/>
      <c r="Q534" s="1"/>
      <c r="R534" s="1"/>
      <c r="S534" s="1"/>
    </row>
    <row r="535" spans="2:19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N535" s="1"/>
      <c r="O535" s="1"/>
      <c r="P535" s="1"/>
      <c r="Q535" s="1"/>
      <c r="R535" s="1"/>
      <c r="S535" s="1"/>
    </row>
    <row r="536" spans="2:19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N536" s="1"/>
      <c r="O536" s="1"/>
      <c r="P536" s="1"/>
      <c r="Q536" s="1"/>
      <c r="R536" s="1"/>
      <c r="S536" s="1"/>
    </row>
    <row r="537" spans="2:19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N537" s="1"/>
      <c r="O537" s="1"/>
      <c r="P537" s="1"/>
      <c r="Q537" s="1"/>
      <c r="R537" s="1"/>
      <c r="S537" s="1"/>
    </row>
    <row r="538" spans="2:19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N538" s="1"/>
      <c r="O538" s="1"/>
      <c r="P538" s="1"/>
      <c r="Q538" s="1"/>
      <c r="R538" s="1"/>
      <c r="S538" s="1"/>
    </row>
    <row r="539" spans="2:19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N539" s="1"/>
      <c r="O539" s="1"/>
      <c r="P539" s="1"/>
      <c r="Q539" s="1"/>
      <c r="R539" s="1"/>
      <c r="S539" s="1"/>
    </row>
    <row r="540" spans="2:19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N540" s="1"/>
      <c r="O540" s="1"/>
      <c r="P540" s="1"/>
      <c r="Q540" s="1"/>
      <c r="R540" s="1"/>
      <c r="S540" s="1"/>
    </row>
    <row r="541" spans="2:19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N541" s="1"/>
      <c r="O541" s="1"/>
      <c r="P541" s="1"/>
      <c r="Q541" s="1"/>
      <c r="R541" s="1"/>
      <c r="S541" s="1"/>
    </row>
    <row r="542" spans="2:19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N542" s="1"/>
      <c r="O542" s="1"/>
      <c r="P542" s="1"/>
      <c r="Q542" s="1"/>
      <c r="R542" s="1"/>
      <c r="S542" s="1"/>
    </row>
    <row r="543" spans="2:19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N543" s="1"/>
      <c r="O543" s="1"/>
      <c r="P543" s="1"/>
      <c r="Q543" s="1"/>
      <c r="R543" s="1"/>
      <c r="S543" s="1"/>
    </row>
    <row r="544" spans="2:19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N544" s="1"/>
      <c r="O544" s="1"/>
      <c r="P544" s="1"/>
      <c r="Q544" s="1"/>
      <c r="R544" s="1"/>
      <c r="S544" s="1"/>
    </row>
    <row r="545" spans="2:19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N545" s="1"/>
      <c r="O545" s="1"/>
      <c r="P545" s="1"/>
      <c r="Q545" s="1"/>
      <c r="R545" s="1"/>
      <c r="S545" s="1"/>
    </row>
    <row r="546" spans="2:19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N546" s="1"/>
      <c r="O546" s="1"/>
      <c r="P546" s="1"/>
      <c r="Q546" s="1"/>
      <c r="R546" s="1"/>
      <c r="S546" s="1"/>
    </row>
    <row r="547" spans="2:19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N547" s="1"/>
      <c r="O547" s="1"/>
      <c r="P547" s="1"/>
      <c r="Q547" s="1"/>
      <c r="R547" s="1"/>
      <c r="S547" s="1"/>
    </row>
    <row r="548" spans="2:19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N548" s="1"/>
      <c r="O548" s="1"/>
      <c r="P548" s="1"/>
      <c r="Q548" s="1"/>
      <c r="R548" s="1"/>
      <c r="S548" s="1"/>
    </row>
    <row r="549" spans="2:19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N549" s="1"/>
      <c r="O549" s="1"/>
      <c r="P549" s="1"/>
      <c r="Q549" s="1"/>
      <c r="R549" s="1"/>
      <c r="S549" s="1"/>
    </row>
    <row r="550" spans="2:19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N550" s="1"/>
      <c r="O550" s="1"/>
      <c r="P550" s="1"/>
      <c r="Q550" s="1"/>
      <c r="R550" s="1"/>
      <c r="S550" s="1"/>
    </row>
    <row r="551" spans="2:19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N551" s="1"/>
      <c r="O551" s="1"/>
      <c r="P551" s="1"/>
      <c r="Q551" s="1"/>
      <c r="R551" s="1"/>
      <c r="S551" s="1"/>
    </row>
    <row r="552" spans="2:19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N552" s="1"/>
      <c r="O552" s="1"/>
      <c r="P552" s="1"/>
      <c r="Q552" s="1"/>
      <c r="R552" s="1"/>
      <c r="S552" s="1"/>
    </row>
    <row r="553" spans="2:19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N553" s="1"/>
      <c r="O553" s="1"/>
      <c r="P553" s="1"/>
      <c r="Q553" s="1"/>
      <c r="R553" s="1"/>
      <c r="S553" s="1"/>
    </row>
    <row r="554" spans="2:19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N554" s="1"/>
      <c r="O554" s="1"/>
      <c r="P554" s="1"/>
      <c r="Q554" s="1"/>
      <c r="R554" s="1"/>
      <c r="S554" s="1"/>
    </row>
    <row r="555" spans="2:19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N555" s="1"/>
      <c r="O555" s="1"/>
      <c r="P555" s="1"/>
      <c r="Q555" s="1"/>
      <c r="R555" s="1"/>
      <c r="S555" s="1"/>
    </row>
    <row r="556" spans="2:19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N556" s="1"/>
      <c r="O556" s="1"/>
      <c r="P556" s="1"/>
      <c r="Q556" s="1"/>
      <c r="R556" s="1"/>
      <c r="S556" s="1"/>
    </row>
    <row r="557" spans="2:19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N557" s="1"/>
      <c r="O557" s="1"/>
      <c r="P557" s="1"/>
      <c r="Q557" s="1"/>
      <c r="R557" s="1"/>
      <c r="S557" s="1"/>
    </row>
    <row r="558" spans="2:19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N558" s="1"/>
      <c r="O558" s="1"/>
      <c r="P558" s="1"/>
      <c r="Q558" s="1"/>
      <c r="R558" s="1"/>
      <c r="S558" s="1"/>
    </row>
    <row r="559" spans="2:19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N559" s="1"/>
      <c r="O559" s="1"/>
      <c r="P559" s="1"/>
      <c r="Q559" s="1"/>
      <c r="R559" s="1"/>
      <c r="S559" s="1"/>
    </row>
    <row r="560" spans="2:19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N560" s="1"/>
      <c r="O560" s="1"/>
      <c r="P560" s="1"/>
      <c r="Q560" s="1"/>
      <c r="R560" s="1"/>
      <c r="S560" s="1"/>
    </row>
    <row r="561" spans="2:19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N561" s="1"/>
      <c r="O561" s="1"/>
      <c r="P561" s="1"/>
      <c r="Q561" s="1"/>
      <c r="R561" s="1"/>
      <c r="S561" s="1"/>
    </row>
    <row r="562" spans="2:19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N562" s="1"/>
      <c r="O562" s="1"/>
      <c r="P562" s="1"/>
      <c r="Q562" s="1"/>
      <c r="R562" s="1"/>
      <c r="S562" s="1"/>
    </row>
    <row r="563" spans="2:19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N563" s="1"/>
      <c r="O563" s="1"/>
      <c r="P563" s="1"/>
      <c r="Q563" s="1"/>
      <c r="R563" s="1"/>
      <c r="S563" s="1"/>
    </row>
    <row r="564" spans="2:19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N564" s="1"/>
      <c r="O564" s="1"/>
      <c r="P564" s="1"/>
      <c r="Q564" s="1"/>
      <c r="R564" s="1"/>
      <c r="S564" s="1"/>
    </row>
    <row r="565" spans="2:19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N565" s="1"/>
      <c r="O565" s="1"/>
      <c r="P565" s="1"/>
      <c r="Q565" s="1"/>
      <c r="R565" s="1"/>
      <c r="S565" s="1"/>
    </row>
    <row r="566" spans="2:19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N566" s="1"/>
      <c r="O566" s="1"/>
      <c r="P566" s="1"/>
      <c r="Q566" s="1"/>
      <c r="R566" s="1"/>
      <c r="S566" s="1"/>
    </row>
    <row r="567" spans="2:19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N567" s="1"/>
      <c r="O567" s="1"/>
      <c r="P567" s="1"/>
      <c r="Q567" s="1"/>
      <c r="R567" s="1"/>
      <c r="S567" s="1"/>
    </row>
    <row r="568" spans="2:19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N568" s="1"/>
      <c r="O568" s="1"/>
      <c r="P568" s="1"/>
      <c r="Q568" s="1"/>
      <c r="R568" s="1"/>
      <c r="S568" s="1"/>
    </row>
    <row r="569" spans="2:19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N569" s="1"/>
      <c r="O569" s="1"/>
      <c r="P569" s="1"/>
      <c r="Q569" s="1"/>
      <c r="R569" s="1"/>
      <c r="S569" s="1"/>
    </row>
    <row r="570" spans="2:19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N570" s="1"/>
      <c r="O570" s="1"/>
      <c r="P570" s="1"/>
      <c r="Q570" s="1"/>
      <c r="R570" s="1"/>
      <c r="S570" s="1"/>
    </row>
    <row r="571" spans="2:19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1"/>
      <c r="O571" s="1"/>
      <c r="P571" s="1"/>
      <c r="Q571" s="1"/>
      <c r="R571" s="1"/>
      <c r="S571" s="1"/>
    </row>
    <row r="572" spans="2:19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N572" s="1"/>
      <c r="O572" s="1"/>
      <c r="P572" s="1"/>
      <c r="Q572" s="1"/>
      <c r="R572" s="1"/>
      <c r="S572" s="1"/>
    </row>
    <row r="573" spans="2:19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N573" s="1"/>
      <c r="O573" s="1"/>
      <c r="P573" s="1"/>
      <c r="Q573" s="1"/>
      <c r="R573" s="1"/>
      <c r="S573" s="1"/>
    </row>
    <row r="574" spans="2:19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N574" s="1"/>
      <c r="O574" s="1"/>
      <c r="P574" s="1"/>
      <c r="Q574" s="1"/>
      <c r="R574" s="1"/>
      <c r="S574" s="1"/>
    </row>
    <row r="575" spans="2:19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N575" s="1"/>
      <c r="O575" s="1"/>
      <c r="P575" s="1"/>
      <c r="Q575" s="1"/>
      <c r="R575" s="1"/>
      <c r="S575" s="1"/>
    </row>
    <row r="576" spans="2:19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N576" s="1"/>
      <c r="O576" s="1"/>
      <c r="P576" s="1"/>
      <c r="Q576" s="1"/>
      <c r="R576" s="1"/>
      <c r="S576" s="1"/>
    </row>
    <row r="577" spans="2:19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N577" s="1"/>
      <c r="O577" s="1"/>
      <c r="P577" s="1"/>
      <c r="Q577" s="1"/>
      <c r="R577" s="1"/>
      <c r="S577" s="1"/>
    </row>
    <row r="578" spans="2:19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N578" s="1"/>
      <c r="O578" s="1"/>
      <c r="P578" s="1"/>
      <c r="Q578" s="1"/>
      <c r="R578" s="1"/>
      <c r="S578" s="1"/>
    </row>
    <row r="579" spans="2:19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N579" s="1"/>
      <c r="O579" s="1"/>
      <c r="P579" s="1"/>
      <c r="Q579" s="1"/>
      <c r="R579" s="1"/>
      <c r="S579" s="1"/>
    </row>
    <row r="580" spans="2:19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N580" s="1"/>
      <c r="O580" s="1"/>
      <c r="P580" s="1"/>
      <c r="Q580" s="1"/>
      <c r="R580" s="1"/>
      <c r="S580" s="1"/>
    </row>
    <row r="581" spans="2:19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N581" s="1"/>
      <c r="O581" s="1"/>
      <c r="P581" s="1"/>
      <c r="Q581" s="1"/>
      <c r="R581" s="1"/>
      <c r="S581" s="1"/>
    </row>
    <row r="582" spans="2:19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N582" s="1"/>
      <c r="O582" s="1"/>
      <c r="P582" s="1"/>
      <c r="Q582" s="1"/>
      <c r="R582" s="1"/>
      <c r="S582" s="1"/>
    </row>
    <row r="583" spans="2:19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N583" s="1"/>
      <c r="O583" s="1"/>
      <c r="P583" s="1"/>
      <c r="Q583" s="1"/>
      <c r="R583" s="1"/>
      <c r="S583" s="1"/>
    </row>
    <row r="584" spans="2:19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N584" s="1"/>
      <c r="O584" s="1"/>
      <c r="P584" s="1"/>
      <c r="Q584" s="1"/>
      <c r="R584" s="1"/>
      <c r="S584" s="1"/>
    </row>
    <row r="585" spans="2:19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N585" s="1"/>
      <c r="O585" s="1"/>
      <c r="P585" s="1"/>
      <c r="Q585" s="1"/>
      <c r="R585" s="1"/>
      <c r="S585" s="1"/>
    </row>
    <row r="586" spans="2:19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N586" s="1"/>
      <c r="O586" s="1"/>
      <c r="P586" s="1"/>
      <c r="Q586" s="1"/>
      <c r="R586" s="1"/>
      <c r="S586" s="1"/>
    </row>
    <row r="587" spans="2:19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N587" s="1"/>
      <c r="O587" s="1"/>
      <c r="P587" s="1"/>
      <c r="Q587" s="1"/>
      <c r="R587" s="1"/>
      <c r="S587" s="1"/>
    </row>
    <row r="588" spans="2:19" x14ac:dyDescent="0.2">
      <c r="C588" s="1"/>
      <c r="D588" s="1"/>
      <c r="E588" s="1"/>
      <c r="F588" s="1"/>
      <c r="G588" s="1"/>
      <c r="H588" s="1"/>
      <c r="I588" s="1"/>
      <c r="J588" s="1"/>
      <c r="K588" s="1"/>
      <c r="L588" s="1"/>
      <c r="N588" s="1"/>
      <c r="O588" s="1"/>
      <c r="P588" s="1"/>
      <c r="Q588" s="1"/>
      <c r="R588" s="1"/>
      <c r="S588" s="1"/>
    </row>
    <row r="589" spans="2:19" x14ac:dyDescent="0.2">
      <c r="C589" s="1"/>
      <c r="D589" s="1"/>
      <c r="E589" s="1"/>
      <c r="F589" s="1"/>
      <c r="G589" s="1"/>
      <c r="H589" s="1"/>
      <c r="I589" s="1"/>
      <c r="J589" s="1"/>
      <c r="K589" s="1"/>
      <c r="L589" s="1"/>
      <c r="N589" s="1"/>
      <c r="O589" s="1"/>
      <c r="P589" s="1"/>
      <c r="Q589" s="1"/>
      <c r="R589" s="1"/>
      <c r="S589" s="1"/>
    </row>
    <row r="590" spans="2:19" x14ac:dyDescent="0.2">
      <c r="C590" s="1"/>
      <c r="D590" s="1"/>
      <c r="E590" s="1"/>
      <c r="F590" s="1"/>
      <c r="G590" s="1"/>
      <c r="H590" s="1"/>
      <c r="I590" s="1"/>
      <c r="J590" s="1"/>
      <c r="K590" s="1"/>
      <c r="L590" s="1"/>
      <c r="N590" s="1"/>
      <c r="O590" s="1"/>
      <c r="P590" s="1"/>
      <c r="Q590" s="1"/>
      <c r="R590" s="1"/>
      <c r="S590" s="1"/>
    </row>
    <row r="591" spans="2:19" x14ac:dyDescent="0.2">
      <c r="C591" s="1"/>
      <c r="D591" s="1"/>
      <c r="E591" s="1"/>
      <c r="F591" s="1"/>
      <c r="G591" s="1"/>
      <c r="H591" s="1"/>
      <c r="I591" s="1"/>
      <c r="J591" s="1"/>
      <c r="K591" s="1"/>
      <c r="L591" s="1"/>
      <c r="N591" s="1"/>
      <c r="O591" s="1"/>
      <c r="P591" s="1"/>
      <c r="Q591" s="1"/>
      <c r="R591" s="1"/>
      <c r="S591" s="1"/>
    </row>
    <row r="592" spans="2:19" x14ac:dyDescent="0.2">
      <c r="C592" s="1"/>
      <c r="D592" s="1"/>
      <c r="E592" s="1"/>
      <c r="F592" s="1"/>
      <c r="G592" s="1"/>
      <c r="H592" s="1"/>
      <c r="I592" s="1"/>
      <c r="J592" s="1"/>
      <c r="K592" s="1"/>
      <c r="L592" s="1"/>
      <c r="N592" s="1"/>
      <c r="O592" s="1"/>
      <c r="P592" s="1"/>
      <c r="Q592" s="1"/>
      <c r="R592" s="1"/>
      <c r="S592" s="1"/>
    </row>
    <row r="593" spans="3:19" x14ac:dyDescent="0.2">
      <c r="C593" s="1"/>
      <c r="D593" s="1"/>
      <c r="E593" s="1"/>
      <c r="F593" s="1"/>
      <c r="G593" s="1"/>
      <c r="H593" s="1"/>
      <c r="I593" s="1"/>
      <c r="J593" s="1"/>
      <c r="K593" s="1"/>
      <c r="L593" s="1"/>
      <c r="N593" s="1"/>
      <c r="O593" s="1"/>
      <c r="P593" s="1"/>
      <c r="Q593" s="1"/>
      <c r="R593" s="1"/>
      <c r="S593" s="1"/>
    </row>
    <row r="594" spans="3:19" x14ac:dyDescent="0.2">
      <c r="C594" s="1"/>
      <c r="D594" s="1"/>
      <c r="E594" s="1"/>
      <c r="F594" s="1"/>
      <c r="G594" s="1"/>
      <c r="H594" s="1"/>
      <c r="I594" s="1"/>
      <c r="J594" s="1"/>
      <c r="K594" s="1"/>
      <c r="L594" s="1"/>
      <c r="N594" s="1"/>
      <c r="O594" s="1"/>
      <c r="P594" s="1"/>
      <c r="Q594" s="1"/>
      <c r="R594" s="1"/>
      <c r="S594" s="1"/>
    </row>
    <row r="595" spans="3:19" x14ac:dyDescent="0.2">
      <c r="C595" s="1"/>
      <c r="D595" s="1"/>
      <c r="E595" s="1"/>
      <c r="F595" s="1"/>
      <c r="G595" s="1"/>
      <c r="H595" s="1"/>
      <c r="I595" s="1"/>
      <c r="J595" s="1"/>
      <c r="K595" s="1"/>
      <c r="L595" s="1"/>
      <c r="N595" s="1"/>
      <c r="O595" s="1"/>
      <c r="P595" s="1"/>
      <c r="Q595" s="1"/>
      <c r="R595" s="1"/>
      <c r="S595" s="1"/>
    </row>
    <row r="596" spans="3:19" x14ac:dyDescent="0.2">
      <c r="C596" s="1"/>
      <c r="D596" s="1"/>
      <c r="E596" s="1"/>
      <c r="F596" s="1"/>
      <c r="G596" s="1"/>
      <c r="H596" s="1"/>
      <c r="I596" s="1"/>
      <c r="J596" s="1"/>
      <c r="K596" s="1"/>
      <c r="L596" s="1"/>
      <c r="N596" s="1"/>
      <c r="O596" s="1"/>
      <c r="P596" s="1"/>
      <c r="Q596" s="1"/>
      <c r="R596" s="1"/>
      <c r="S596" s="1"/>
    </row>
    <row r="597" spans="3:19" x14ac:dyDescent="0.2">
      <c r="C597" s="1"/>
      <c r="D597" s="1"/>
      <c r="E597" s="1"/>
      <c r="F597" s="1"/>
      <c r="G597" s="1"/>
      <c r="H597" s="1"/>
      <c r="I597" s="1"/>
      <c r="J597" s="1"/>
      <c r="K597" s="1"/>
      <c r="L597" s="1"/>
      <c r="N597" s="1"/>
      <c r="O597" s="1"/>
      <c r="P597" s="1"/>
      <c r="Q597" s="1"/>
      <c r="R597" s="1"/>
      <c r="S597" s="1"/>
    </row>
    <row r="598" spans="3:19" x14ac:dyDescent="0.2">
      <c r="C598" s="1"/>
      <c r="D598" s="1"/>
      <c r="E598" s="1"/>
      <c r="F598" s="1"/>
      <c r="G598" s="1"/>
      <c r="H598" s="1"/>
      <c r="I598" s="1"/>
      <c r="J598" s="1"/>
      <c r="K598" s="1"/>
      <c r="L598" s="1"/>
      <c r="N598" s="1"/>
      <c r="O598" s="1"/>
      <c r="P598" s="1"/>
      <c r="Q598" s="1"/>
      <c r="R598" s="1"/>
      <c r="S598" s="1"/>
    </row>
    <row r="599" spans="3:19" x14ac:dyDescent="0.2">
      <c r="C599" s="1"/>
      <c r="D599" s="1"/>
      <c r="E599" s="1"/>
      <c r="F599" s="1"/>
      <c r="G599" s="1"/>
      <c r="H599" s="1"/>
      <c r="I599" s="1"/>
      <c r="J599" s="1"/>
      <c r="K599" s="1"/>
      <c r="L599" s="1"/>
      <c r="N599" s="1"/>
      <c r="O599" s="1"/>
      <c r="P599" s="1"/>
      <c r="Q599" s="1"/>
      <c r="R599" s="1"/>
      <c r="S599" s="1"/>
    </row>
    <row r="600" spans="3:19" x14ac:dyDescent="0.2">
      <c r="C600" s="1"/>
      <c r="D600" s="1"/>
      <c r="E600" s="1"/>
      <c r="F600" s="1"/>
      <c r="G600" s="1"/>
      <c r="H600" s="1"/>
      <c r="I600" s="1"/>
      <c r="J600" s="1"/>
      <c r="K600" s="1"/>
      <c r="L600" s="1"/>
      <c r="N600" s="1"/>
      <c r="O600" s="1"/>
      <c r="P600" s="1"/>
      <c r="Q600" s="1"/>
      <c r="R600" s="1"/>
      <c r="S600" s="1"/>
    </row>
    <row r="601" spans="3:19" x14ac:dyDescent="0.2">
      <c r="C601" s="1"/>
      <c r="D601" s="1"/>
      <c r="E601" s="1"/>
      <c r="F601" s="1"/>
      <c r="G601" s="1"/>
      <c r="H601" s="1"/>
      <c r="I601" s="1"/>
      <c r="J601" s="1"/>
      <c r="K601" s="1"/>
      <c r="L601" s="1"/>
      <c r="N601" s="1"/>
      <c r="O601" s="1"/>
      <c r="P601" s="1"/>
      <c r="Q601" s="1"/>
      <c r="R601" s="1"/>
      <c r="S601" s="1"/>
    </row>
    <row r="602" spans="3:19" x14ac:dyDescent="0.2">
      <c r="C602" s="1"/>
      <c r="D602" s="1"/>
      <c r="E602" s="1"/>
      <c r="F602" s="1"/>
      <c r="G602" s="1"/>
      <c r="H602" s="1"/>
      <c r="I602" s="1"/>
      <c r="J602" s="1"/>
      <c r="K602" s="1"/>
      <c r="L602" s="1"/>
      <c r="N602" s="1"/>
      <c r="O602" s="1"/>
      <c r="P602" s="1"/>
      <c r="Q602" s="1"/>
      <c r="R602" s="1"/>
      <c r="S602" s="1"/>
    </row>
    <row r="603" spans="3:19" x14ac:dyDescent="0.2">
      <c r="C603" s="1"/>
      <c r="D603" s="1"/>
      <c r="E603" s="1"/>
      <c r="F603" s="1"/>
      <c r="G603" s="1"/>
      <c r="H603" s="1"/>
      <c r="I603" s="1"/>
      <c r="J603" s="1"/>
      <c r="K603" s="1"/>
      <c r="L603" s="1"/>
      <c r="N603" s="1"/>
      <c r="O603" s="1"/>
      <c r="P603" s="1"/>
      <c r="Q603" s="1"/>
      <c r="R603" s="1"/>
      <c r="S603" s="1"/>
    </row>
    <row r="604" spans="3:19" x14ac:dyDescent="0.2">
      <c r="C604" s="1"/>
      <c r="D604" s="1"/>
      <c r="E604" s="1"/>
      <c r="F604" s="1"/>
      <c r="G604" s="1"/>
      <c r="H604" s="1"/>
      <c r="I604" s="1"/>
      <c r="J604" s="1"/>
      <c r="K604" s="1"/>
      <c r="L604" s="1"/>
      <c r="N604" s="1"/>
      <c r="O604" s="1"/>
      <c r="P604" s="1"/>
      <c r="Q604" s="1"/>
      <c r="R604" s="1"/>
      <c r="S604" s="1"/>
    </row>
    <row r="605" spans="3:19" x14ac:dyDescent="0.2">
      <c r="C605" s="1"/>
      <c r="D605" s="1"/>
      <c r="E605" s="1"/>
      <c r="F605" s="1"/>
      <c r="G605" s="1"/>
      <c r="H605" s="1"/>
      <c r="I605" s="1"/>
      <c r="J605" s="1"/>
      <c r="K605" s="1"/>
      <c r="L605" s="1"/>
      <c r="N605" s="1"/>
      <c r="O605" s="1"/>
      <c r="P605" s="1"/>
      <c r="Q605" s="1"/>
      <c r="R605" s="1"/>
      <c r="S605" s="1"/>
    </row>
    <row r="606" spans="3:19" x14ac:dyDescent="0.2">
      <c r="C606" s="1"/>
      <c r="D606" s="1"/>
      <c r="E606" s="1"/>
      <c r="F606" s="1"/>
      <c r="G606" s="1"/>
      <c r="H606" s="1"/>
      <c r="I606" s="1"/>
      <c r="J606" s="1"/>
      <c r="K606" s="1"/>
      <c r="L606" s="1"/>
      <c r="N606" s="1"/>
      <c r="O606" s="1"/>
      <c r="P606" s="1"/>
      <c r="Q606" s="1"/>
      <c r="R606" s="1"/>
      <c r="S606" s="1"/>
    </row>
    <row r="607" spans="3:19" x14ac:dyDescent="0.2">
      <c r="C607" s="1"/>
      <c r="D607" s="1"/>
      <c r="E607" s="1"/>
      <c r="F607" s="1"/>
      <c r="G607" s="1"/>
      <c r="H607" s="1"/>
      <c r="I607" s="1"/>
      <c r="J607" s="1"/>
      <c r="K607" s="1"/>
      <c r="L607" s="1"/>
      <c r="N607" s="1"/>
      <c r="O607" s="1"/>
      <c r="P607" s="1"/>
      <c r="Q607" s="1"/>
      <c r="R607" s="1"/>
      <c r="S607" s="1"/>
    </row>
    <row r="608" spans="3:19" x14ac:dyDescent="0.2">
      <c r="C608" s="1"/>
      <c r="D608" s="1"/>
      <c r="E608" s="1"/>
      <c r="F608" s="1"/>
      <c r="G608" s="1"/>
      <c r="H608" s="1"/>
      <c r="I608" s="1"/>
      <c r="J608" s="1"/>
      <c r="K608" s="1"/>
      <c r="L608" s="1"/>
      <c r="N608" s="1"/>
      <c r="O608" s="1"/>
      <c r="P608" s="1"/>
      <c r="Q608" s="1"/>
      <c r="R608" s="1"/>
      <c r="S608" s="1"/>
    </row>
    <row r="609" spans="3:19" x14ac:dyDescent="0.2"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1"/>
      <c r="O609" s="1"/>
      <c r="P609" s="1"/>
      <c r="Q609" s="1"/>
      <c r="R609" s="1"/>
      <c r="S609" s="1"/>
    </row>
    <row r="610" spans="3:19" x14ac:dyDescent="0.2">
      <c r="C610" s="1"/>
      <c r="D610" s="1"/>
      <c r="E610" s="1"/>
      <c r="F610" s="1"/>
      <c r="G610" s="1"/>
      <c r="H610" s="1"/>
      <c r="I610" s="1"/>
      <c r="J610" s="1"/>
      <c r="K610" s="1"/>
      <c r="L610" s="1"/>
      <c r="N610" s="1"/>
      <c r="O610" s="1"/>
      <c r="P610" s="1"/>
      <c r="Q610" s="1"/>
      <c r="R610" s="1"/>
      <c r="S610" s="1"/>
    </row>
    <row r="611" spans="3:19" x14ac:dyDescent="0.2">
      <c r="C611" s="1"/>
      <c r="D611" s="1"/>
      <c r="E611" s="1"/>
      <c r="F611" s="1"/>
      <c r="G611" s="1"/>
      <c r="H611" s="1"/>
      <c r="I611" s="1"/>
      <c r="J611" s="1"/>
      <c r="K611" s="1"/>
      <c r="L611" s="1"/>
      <c r="N611" s="1"/>
      <c r="O611" s="1"/>
      <c r="P611" s="1"/>
      <c r="Q611" s="1"/>
      <c r="R611" s="1"/>
      <c r="S611" s="1"/>
    </row>
    <row r="612" spans="3:19" x14ac:dyDescent="0.2">
      <c r="C612" s="1"/>
      <c r="D612" s="1"/>
      <c r="E612" s="1"/>
      <c r="F612" s="1"/>
      <c r="G612" s="1"/>
      <c r="H612" s="1"/>
      <c r="I612" s="1"/>
      <c r="J612" s="1"/>
      <c r="K612" s="1"/>
      <c r="L612" s="1"/>
      <c r="N612" s="1"/>
      <c r="O612" s="1"/>
      <c r="P612" s="1"/>
      <c r="Q612" s="1"/>
      <c r="R612" s="1"/>
      <c r="S612" s="1"/>
    </row>
    <row r="613" spans="3:19" x14ac:dyDescent="0.2">
      <c r="C613" s="1"/>
      <c r="D613" s="1"/>
      <c r="E613" s="1"/>
      <c r="F613" s="1"/>
      <c r="G613" s="1"/>
      <c r="H613" s="1"/>
      <c r="I613" s="1"/>
      <c r="J613" s="1"/>
      <c r="K613" s="1"/>
      <c r="L613" s="1"/>
      <c r="N613" s="1"/>
      <c r="O613" s="1"/>
      <c r="P613" s="1"/>
      <c r="Q613" s="1"/>
      <c r="R613" s="1"/>
      <c r="S613" s="1"/>
    </row>
    <row r="614" spans="3:19" x14ac:dyDescent="0.2">
      <c r="C614" s="1"/>
      <c r="D614" s="1"/>
      <c r="E614" s="1"/>
      <c r="F614" s="1"/>
      <c r="G614" s="1"/>
      <c r="H614" s="1"/>
      <c r="I614" s="1"/>
      <c r="J614" s="1"/>
      <c r="K614" s="1"/>
      <c r="L614" s="1"/>
      <c r="N614" s="1"/>
      <c r="O614" s="1"/>
      <c r="P614" s="1"/>
      <c r="Q614" s="1"/>
      <c r="R614" s="1"/>
      <c r="S614" s="1"/>
    </row>
    <row r="615" spans="3:19" x14ac:dyDescent="0.2">
      <c r="C615" s="1"/>
      <c r="D615" s="1"/>
      <c r="E615" s="1"/>
      <c r="F615" s="1"/>
      <c r="G615" s="1"/>
      <c r="H615" s="1"/>
      <c r="I615" s="1"/>
      <c r="J615" s="1"/>
      <c r="K615" s="1"/>
      <c r="L615" s="1"/>
      <c r="N615" s="1"/>
      <c r="O615" s="1"/>
      <c r="P615" s="1"/>
      <c r="Q615" s="1"/>
      <c r="R615" s="1"/>
      <c r="S615" s="1"/>
    </row>
    <row r="616" spans="3:19" x14ac:dyDescent="0.2">
      <c r="C616" s="1"/>
      <c r="D616" s="1"/>
      <c r="E616" s="1"/>
      <c r="F616" s="1"/>
      <c r="G616" s="1"/>
      <c r="H616" s="1"/>
      <c r="I616" s="1"/>
      <c r="J616" s="1"/>
      <c r="K616" s="1"/>
      <c r="L616" s="1"/>
      <c r="N616" s="1"/>
      <c r="O616" s="1"/>
      <c r="P616" s="1"/>
      <c r="Q616" s="1"/>
      <c r="R616" s="1"/>
      <c r="S616" s="1"/>
    </row>
    <row r="617" spans="3:19" x14ac:dyDescent="0.2">
      <c r="C617" s="1"/>
      <c r="D617" s="1"/>
      <c r="E617" s="1"/>
      <c r="F617" s="1"/>
      <c r="G617" s="1"/>
      <c r="H617" s="1"/>
      <c r="I617" s="1"/>
      <c r="J617" s="1"/>
      <c r="K617" s="1"/>
      <c r="L617" s="1"/>
      <c r="N617" s="1"/>
      <c r="O617" s="1"/>
      <c r="P617" s="1"/>
      <c r="Q617" s="1"/>
      <c r="R617" s="1"/>
      <c r="S617" s="1"/>
    </row>
    <row r="618" spans="3:19" x14ac:dyDescent="0.2">
      <c r="C618" s="1"/>
      <c r="D618" s="1"/>
      <c r="E618" s="1"/>
      <c r="F618" s="1"/>
      <c r="G618" s="1"/>
      <c r="H618" s="1"/>
      <c r="I618" s="1"/>
      <c r="J618" s="1"/>
      <c r="K618" s="1"/>
      <c r="L618" s="1"/>
      <c r="N618" s="1"/>
      <c r="O618" s="1"/>
      <c r="P618" s="1"/>
      <c r="Q618" s="1"/>
      <c r="R618" s="1"/>
      <c r="S618" s="1"/>
    </row>
    <row r="619" spans="3:19" x14ac:dyDescent="0.2">
      <c r="C619" s="1"/>
      <c r="D619" s="1"/>
      <c r="E619" s="1"/>
      <c r="F619" s="1"/>
      <c r="G619" s="1"/>
      <c r="H619" s="1"/>
      <c r="I619" s="1"/>
      <c r="J619" s="1"/>
      <c r="K619" s="1"/>
      <c r="L619" s="1"/>
      <c r="N619" s="1"/>
      <c r="O619" s="1"/>
      <c r="P619" s="1"/>
      <c r="Q619" s="1"/>
      <c r="R619" s="1"/>
      <c r="S619" s="1"/>
    </row>
    <row r="620" spans="3:19" x14ac:dyDescent="0.2">
      <c r="C620" s="1"/>
      <c r="D620" s="1"/>
      <c r="E620" s="1"/>
      <c r="F620" s="1"/>
      <c r="G620" s="1"/>
      <c r="H620" s="1"/>
      <c r="I620" s="1"/>
      <c r="J620" s="1"/>
      <c r="K620" s="1"/>
      <c r="L620" s="1"/>
      <c r="N620" s="1"/>
      <c r="O620" s="1"/>
      <c r="P620" s="1"/>
      <c r="Q620" s="1"/>
      <c r="R620" s="1"/>
      <c r="S620" s="1"/>
    </row>
    <row r="621" spans="3:19" x14ac:dyDescent="0.2">
      <c r="C621" s="1"/>
      <c r="D621" s="1"/>
      <c r="E621" s="1"/>
      <c r="F621" s="1"/>
      <c r="G621" s="1"/>
      <c r="H621" s="1"/>
      <c r="I621" s="1"/>
      <c r="J621" s="1"/>
      <c r="K621" s="1"/>
      <c r="L621" s="1"/>
      <c r="N621" s="1"/>
      <c r="O621" s="1"/>
      <c r="P621" s="1"/>
      <c r="Q621" s="1"/>
      <c r="R621" s="1"/>
      <c r="S621" s="1"/>
    </row>
    <row r="622" spans="3:19" x14ac:dyDescent="0.2">
      <c r="C622" s="1"/>
      <c r="D622" s="1"/>
      <c r="E622" s="1"/>
      <c r="F622" s="1"/>
      <c r="G622" s="1"/>
      <c r="H622" s="1"/>
      <c r="I622" s="1"/>
      <c r="J622" s="1"/>
      <c r="K622" s="1"/>
      <c r="L622" s="1"/>
      <c r="N622" s="1"/>
      <c r="O622" s="1"/>
      <c r="P622" s="1"/>
      <c r="Q622" s="1"/>
      <c r="R622" s="1"/>
      <c r="S622" s="1"/>
    </row>
    <row r="623" spans="3:19" x14ac:dyDescent="0.2">
      <c r="C623" s="1"/>
      <c r="D623" s="1"/>
      <c r="E623" s="1"/>
      <c r="F623" s="1"/>
      <c r="G623" s="1"/>
      <c r="H623" s="1"/>
      <c r="I623" s="1"/>
      <c r="J623" s="1"/>
      <c r="K623" s="1"/>
      <c r="L623" s="1"/>
      <c r="N623" s="1"/>
      <c r="O623" s="1"/>
      <c r="P623" s="1"/>
      <c r="Q623" s="1"/>
      <c r="R623" s="1"/>
      <c r="S623" s="1"/>
    </row>
    <row r="624" spans="3:19" x14ac:dyDescent="0.2">
      <c r="C624" s="1"/>
      <c r="D624" s="1"/>
      <c r="E624" s="1"/>
      <c r="F624" s="1"/>
      <c r="G624" s="1"/>
      <c r="H624" s="1"/>
      <c r="I624" s="1"/>
      <c r="J624" s="1"/>
      <c r="K624" s="1"/>
      <c r="L624" s="1"/>
      <c r="N624" s="1"/>
      <c r="O624" s="1"/>
      <c r="P624" s="1"/>
      <c r="Q624" s="1"/>
      <c r="R624" s="1"/>
      <c r="S624" s="1"/>
    </row>
    <row r="625" spans="3:19" x14ac:dyDescent="0.2">
      <c r="C625" s="1"/>
      <c r="D625" s="1"/>
      <c r="E625" s="1"/>
      <c r="F625" s="1"/>
      <c r="G625" s="1"/>
      <c r="H625" s="1"/>
      <c r="I625" s="1"/>
      <c r="J625" s="1"/>
      <c r="K625" s="1"/>
      <c r="L625" s="1"/>
      <c r="N625" s="1"/>
      <c r="O625" s="1"/>
      <c r="P625" s="1"/>
      <c r="Q625" s="1"/>
      <c r="R625" s="1"/>
      <c r="S625" s="1"/>
    </row>
    <row r="626" spans="3:19" x14ac:dyDescent="0.2">
      <c r="C626" s="1"/>
      <c r="D626" s="1"/>
      <c r="E626" s="1"/>
      <c r="F626" s="1"/>
      <c r="G626" s="1"/>
      <c r="H626" s="1"/>
      <c r="I626" s="1"/>
      <c r="J626" s="1"/>
      <c r="K626" s="1"/>
      <c r="L626" s="1"/>
      <c r="N626" s="1"/>
      <c r="O626" s="1"/>
      <c r="P626" s="1"/>
      <c r="Q626" s="1"/>
      <c r="R626" s="1"/>
      <c r="S626" s="1"/>
    </row>
    <row r="627" spans="3:19" x14ac:dyDescent="0.2">
      <c r="C627" s="1"/>
      <c r="D627" s="1"/>
      <c r="E627" s="1"/>
      <c r="F627" s="1"/>
      <c r="G627" s="1"/>
      <c r="H627" s="1"/>
      <c r="I627" s="1"/>
      <c r="J627" s="1"/>
      <c r="K627" s="1"/>
      <c r="L627" s="1"/>
      <c r="N627" s="1"/>
      <c r="O627" s="1"/>
      <c r="P627" s="1"/>
      <c r="Q627" s="1"/>
      <c r="R627" s="1"/>
      <c r="S627" s="1"/>
    </row>
    <row r="628" spans="3:19" x14ac:dyDescent="0.2">
      <c r="C628" s="1"/>
      <c r="D628" s="1"/>
      <c r="E628" s="1"/>
      <c r="F628" s="1"/>
      <c r="G628" s="1"/>
      <c r="H628" s="1"/>
      <c r="I628" s="1"/>
      <c r="J628" s="1"/>
      <c r="K628" s="1"/>
      <c r="L628" s="1"/>
      <c r="N628" s="1"/>
      <c r="O628" s="1"/>
      <c r="P628" s="1"/>
      <c r="Q628" s="1"/>
      <c r="R628" s="1"/>
      <c r="S628" s="1"/>
    </row>
    <row r="629" spans="3:19" x14ac:dyDescent="0.2">
      <c r="C629" s="1"/>
      <c r="D629" s="1"/>
      <c r="E629" s="1"/>
      <c r="F629" s="1"/>
      <c r="G629" s="1"/>
      <c r="H629" s="1"/>
      <c r="I629" s="1"/>
      <c r="J629" s="1"/>
      <c r="K629" s="1"/>
      <c r="L629" s="1"/>
      <c r="N629" s="1"/>
      <c r="O629" s="1"/>
      <c r="P629" s="1"/>
      <c r="Q629" s="1"/>
      <c r="R629" s="1"/>
      <c r="S629" s="1"/>
    </row>
    <row r="630" spans="3:19" x14ac:dyDescent="0.2">
      <c r="C630" s="1"/>
      <c r="D630" s="1"/>
      <c r="E630" s="1"/>
      <c r="F630" s="1"/>
      <c r="G630" s="1"/>
      <c r="H630" s="1"/>
      <c r="I630" s="1"/>
      <c r="J630" s="1"/>
      <c r="K630" s="1"/>
      <c r="L630" s="1"/>
      <c r="N630" s="1"/>
      <c r="O630" s="1"/>
      <c r="P630" s="1"/>
      <c r="Q630" s="1"/>
      <c r="R630" s="1"/>
      <c r="S630" s="1"/>
    </row>
    <row r="631" spans="3:19" x14ac:dyDescent="0.2">
      <c r="C631" s="1"/>
      <c r="D631" s="1"/>
      <c r="E631" s="1"/>
      <c r="F631" s="1"/>
      <c r="G631" s="1"/>
      <c r="H631" s="1"/>
      <c r="I631" s="1"/>
      <c r="J631" s="1"/>
      <c r="K631" s="1"/>
      <c r="L631" s="1"/>
      <c r="N631" s="1"/>
      <c r="O631" s="1"/>
      <c r="P631" s="1"/>
      <c r="Q631" s="1"/>
      <c r="R631" s="1"/>
      <c r="S631" s="1"/>
    </row>
    <row r="632" spans="3:19" x14ac:dyDescent="0.2">
      <c r="C632" s="1"/>
      <c r="D632" s="1"/>
      <c r="E632" s="1"/>
      <c r="F632" s="1"/>
      <c r="G632" s="1"/>
      <c r="H632" s="1"/>
      <c r="I632" s="1"/>
      <c r="J632" s="1"/>
      <c r="K632" s="1"/>
      <c r="L632" s="1"/>
      <c r="N632" s="1"/>
      <c r="O632" s="1"/>
      <c r="P632" s="1"/>
      <c r="Q632" s="1"/>
      <c r="R632" s="1"/>
      <c r="S632" s="1"/>
    </row>
    <row r="633" spans="3:19" x14ac:dyDescent="0.2">
      <c r="C633" s="1"/>
      <c r="D633" s="1"/>
      <c r="E633" s="1"/>
      <c r="F633" s="1"/>
      <c r="G633" s="1"/>
      <c r="H633" s="1"/>
      <c r="I633" s="1"/>
      <c r="J633" s="1"/>
      <c r="K633" s="1"/>
      <c r="L633" s="1"/>
      <c r="N633" s="1"/>
      <c r="O633" s="1"/>
      <c r="P633" s="1"/>
      <c r="Q633" s="1"/>
      <c r="R633" s="1"/>
      <c r="S633" s="1"/>
    </row>
    <row r="634" spans="3:19" x14ac:dyDescent="0.2">
      <c r="C634" s="1"/>
      <c r="D634" s="1"/>
      <c r="E634" s="1"/>
      <c r="F634" s="1"/>
      <c r="G634" s="1"/>
      <c r="H634" s="1"/>
      <c r="I634" s="1"/>
      <c r="J634" s="1"/>
      <c r="K634" s="1"/>
      <c r="L634" s="1"/>
      <c r="N634" s="1"/>
      <c r="O634" s="1"/>
      <c r="P634" s="1"/>
      <c r="Q634" s="1"/>
      <c r="R634" s="1"/>
      <c r="S634" s="1"/>
    </row>
    <row r="635" spans="3:19" x14ac:dyDescent="0.2">
      <c r="C635" s="1"/>
      <c r="D635" s="1"/>
      <c r="E635" s="1"/>
      <c r="F635" s="1"/>
      <c r="G635" s="1"/>
      <c r="H635" s="1"/>
      <c r="I635" s="1"/>
      <c r="J635" s="1"/>
      <c r="K635" s="1"/>
      <c r="L635" s="1"/>
      <c r="N635" s="1"/>
      <c r="O635" s="1"/>
      <c r="P635" s="1"/>
      <c r="Q635" s="1"/>
      <c r="R635" s="1"/>
      <c r="S635" s="1"/>
    </row>
    <row r="636" spans="3:19" x14ac:dyDescent="0.2">
      <c r="C636" s="1"/>
      <c r="D636" s="1"/>
      <c r="E636" s="1"/>
      <c r="F636" s="1"/>
      <c r="G636" s="1"/>
      <c r="H636" s="1"/>
      <c r="I636" s="1"/>
      <c r="J636" s="1"/>
      <c r="K636" s="1"/>
      <c r="L636" s="1"/>
      <c r="N636" s="1"/>
      <c r="O636" s="1"/>
      <c r="P636" s="1"/>
      <c r="Q636" s="1"/>
      <c r="R636" s="1"/>
      <c r="S636" s="1"/>
    </row>
    <row r="637" spans="3:19" x14ac:dyDescent="0.2">
      <c r="C637" s="1"/>
      <c r="D637" s="1"/>
      <c r="E637" s="1"/>
      <c r="F637" s="1"/>
      <c r="G637" s="1"/>
      <c r="H637" s="1"/>
      <c r="I637" s="1"/>
      <c r="J637" s="1"/>
      <c r="K637" s="1"/>
      <c r="L637" s="1"/>
      <c r="N637" s="1"/>
      <c r="O637" s="1"/>
      <c r="P637" s="1"/>
      <c r="Q637" s="1"/>
      <c r="R637" s="1"/>
      <c r="S637" s="1"/>
    </row>
    <row r="638" spans="3:19" x14ac:dyDescent="0.2">
      <c r="C638" s="1"/>
      <c r="D638" s="1"/>
      <c r="E638" s="1"/>
      <c r="F638" s="1"/>
      <c r="G638" s="1"/>
      <c r="H638" s="1"/>
      <c r="I638" s="1"/>
      <c r="J638" s="1"/>
      <c r="K638" s="1"/>
      <c r="L638" s="1"/>
      <c r="N638" s="1"/>
      <c r="O638" s="1"/>
      <c r="P638" s="1"/>
      <c r="Q638" s="1"/>
      <c r="R638" s="1"/>
      <c r="S638" s="1"/>
    </row>
    <row r="639" spans="3:19" x14ac:dyDescent="0.2">
      <c r="C639" s="1"/>
      <c r="D639" s="1"/>
      <c r="E639" s="1"/>
      <c r="F639" s="1"/>
      <c r="G639" s="1"/>
      <c r="H639" s="1"/>
      <c r="I639" s="1"/>
      <c r="J639" s="1"/>
      <c r="K639" s="1"/>
      <c r="L639" s="1"/>
      <c r="N639" s="1"/>
      <c r="O639" s="1"/>
      <c r="P639" s="1"/>
      <c r="Q639" s="1"/>
      <c r="R639" s="1"/>
      <c r="S639" s="1"/>
    </row>
    <row r="640" spans="3:19" x14ac:dyDescent="0.2">
      <c r="C640" s="1"/>
      <c r="D640" s="1"/>
      <c r="E640" s="1"/>
      <c r="F640" s="1"/>
      <c r="G640" s="1"/>
      <c r="H640" s="1"/>
      <c r="I640" s="1"/>
      <c r="J640" s="1"/>
      <c r="K640" s="1"/>
      <c r="L640" s="1"/>
      <c r="N640" s="1"/>
      <c r="O640" s="1"/>
      <c r="P640" s="1"/>
      <c r="Q640" s="1"/>
      <c r="R640" s="1"/>
      <c r="S640" s="1"/>
    </row>
    <row r="641" spans="3:19" x14ac:dyDescent="0.2">
      <c r="C641" s="1"/>
      <c r="D641" s="1"/>
      <c r="E641" s="1"/>
      <c r="F641" s="1"/>
      <c r="G641" s="1"/>
      <c r="H641" s="1"/>
      <c r="I641" s="1"/>
      <c r="J641" s="1"/>
      <c r="K641" s="1"/>
      <c r="L641" s="1"/>
      <c r="N641" s="1"/>
      <c r="O641" s="1"/>
      <c r="P641" s="1"/>
      <c r="Q641" s="1"/>
      <c r="R641" s="1"/>
      <c r="S641" s="1"/>
    </row>
    <row r="642" spans="3:19" x14ac:dyDescent="0.2">
      <c r="C642" s="1"/>
      <c r="D642" s="1"/>
      <c r="E642" s="1"/>
      <c r="F642" s="1"/>
      <c r="G642" s="1"/>
      <c r="H642" s="1"/>
      <c r="I642" s="1"/>
      <c r="J642" s="1"/>
      <c r="K642" s="1"/>
      <c r="L642" s="1"/>
      <c r="N642" s="1"/>
      <c r="O642" s="1"/>
      <c r="P642" s="1"/>
      <c r="Q642" s="1"/>
      <c r="R642" s="1"/>
      <c r="S642" s="1"/>
    </row>
    <row r="643" spans="3:19" x14ac:dyDescent="0.2">
      <c r="C643" s="1"/>
      <c r="D643" s="1"/>
      <c r="E643" s="1"/>
      <c r="F643" s="1"/>
      <c r="G643" s="1"/>
      <c r="H643" s="1"/>
      <c r="I643" s="1"/>
      <c r="J643" s="1"/>
      <c r="K643" s="1"/>
      <c r="L643" s="1"/>
      <c r="N643" s="1"/>
      <c r="O643" s="1"/>
      <c r="P643" s="1"/>
      <c r="Q643" s="1"/>
      <c r="R643" s="1"/>
      <c r="S643" s="1"/>
    </row>
    <row r="644" spans="3:19" x14ac:dyDescent="0.2">
      <c r="C644" s="1"/>
      <c r="D644" s="1"/>
      <c r="E644" s="1"/>
      <c r="F644" s="1"/>
      <c r="G644" s="1"/>
      <c r="H644" s="1"/>
      <c r="I644" s="1"/>
      <c r="J644" s="1"/>
      <c r="K644" s="1"/>
      <c r="L644" s="1"/>
      <c r="N644" s="1"/>
      <c r="O644" s="1"/>
      <c r="P644" s="1"/>
      <c r="Q644" s="1"/>
      <c r="R644" s="1"/>
      <c r="S644" s="1"/>
    </row>
    <row r="645" spans="3:19" x14ac:dyDescent="0.2">
      <c r="C645" s="1"/>
      <c r="D645" s="1"/>
      <c r="E645" s="1"/>
      <c r="F645" s="1"/>
      <c r="G645" s="1"/>
      <c r="H645" s="1"/>
      <c r="I645" s="1"/>
      <c r="J645" s="1"/>
      <c r="K645" s="1"/>
      <c r="L645" s="1"/>
      <c r="N645" s="1"/>
      <c r="O645" s="1"/>
      <c r="P645" s="1"/>
      <c r="Q645" s="1"/>
      <c r="R645" s="1"/>
      <c r="S645" s="1"/>
    </row>
    <row r="646" spans="3:19" x14ac:dyDescent="0.2">
      <c r="C646" s="1"/>
      <c r="D646" s="1"/>
      <c r="E646" s="1"/>
      <c r="F646" s="1"/>
      <c r="G646" s="1"/>
      <c r="H646" s="1"/>
      <c r="I646" s="1"/>
      <c r="J646" s="1"/>
      <c r="K646" s="1"/>
      <c r="L646" s="1"/>
      <c r="N646" s="1"/>
      <c r="O646" s="1"/>
      <c r="P646" s="1"/>
      <c r="Q646" s="1"/>
      <c r="R646" s="1"/>
      <c r="S646" s="1"/>
    </row>
    <row r="647" spans="3:19" x14ac:dyDescent="0.2"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1"/>
      <c r="O647" s="1"/>
      <c r="P647" s="1"/>
      <c r="Q647" s="1"/>
      <c r="R647" s="1"/>
      <c r="S647" s="1"/>
    </row>
    <row r="648" spans="3:19" x14ac:dyDescent="0.2">
      <c r="C648" s="1"/>
      <c r="D648" s="1"/>
      <c r="E648" s="1"/>
      <c r="F648" s="1"/>
      <c r="G648" s="1"/>
      <c r="H648" s="1"/>
      <c r="I648" s="1"/>
      <c r="J648" s="1"/>
      <c r="K648" s="1"/>
      <c r="L648" s="1"/>
      <c r="N648" s="1"/>
      <c r="O648" s="1"/>
      <c r="P648" s="1"/>
      <c r="Q648" s="1"/>
      <c r="R648" s="1"/>
      <c r="S648" s="1"/>
    </row>
    <row r="649" spans="3:19" x14ac:dyDescent="0.2">
      <c r="C649" s="1"/>
      <c r="D649" s="1"/>
      <c r="E649" s="1"/>
      <c r="F649" s="1"/>
      <c r="G649" s="1"/>
      <c r="H649" s="1"/>
      <c r="I649" s="1"/>
      <c r="J649" s="1"/>
      <c r="K649" s="1"/>
      <c r="L649" s="1"/>
      <c r="N649" s="1"/>
      <c r="O649" s="1"/>
      <c r="P649" s="1"/>
      <c r="Q649" s="1"/>
      <c r="R649" s="1"/>
      <c r="S649" s="1"/>
    </row>
    <row r="650" spans="3:19" x14ac:dyDescent="0.2">
      <c r="C650" s="1"/>
      <c r="D650" s="1"/>
      <c r="E650" s="1"/>
      <c r="F650" s="1"/>
      <c r="G650" s="1"/>
      <c r="H650" s="1"/>
      <c r="I650" s="1"/>
      <c r="J650" s="1"/>
      <c r="K650" s="1"/>
      <c r="L650" s="1"/>
      <c r="N650" s="1"/>
      <c r="O650" s="1"/>
      <c r="P650" s="1"/>
      <c r="Q650" s="1"/>
      <c r="R650" s="1"/>
      <c r="S650" s="1"/>
    </row>
    <row r="651" spans="3:19" x14ac:dyDescent="0.2">
      <c r="C651" s="1"/>
      <c r="D651" s="1"/>
      <c r="E651" s="1"/>
      <c r="F651" s="1"/>
      <c r="G651" s="1"/>
      <c r="H651" s="1"/>
      <c r="I651" s="1"/>
      <c r="J651" s="1"/>
      <c r="K651" s="1"/>
      <c r="L651" s="1"/>
      <c r="N651" s="1"/>
      <c r="O651" s="1"/>
      <c r="P651" s="1"/>
      <c r="Q651" s="1"/>
      <c r="R651" s="1"/>
      <c r="S651" s="1"/>
    </row>
    <row r="652" spans="3:19" x14ac:dyDescent="0.2">
      <c r="C652" s="1"/>
      <c r="D652" s="1"/>
      <c r="E652" s="1"/>
      <c r="F652" s="1"/>
      <c r="G652" s="1"/>
      <c r="H652" s="1"/>
      <c r="I652" s="1"/>
      <c r="J652" s="1"/>
      <c r="K652" s="1"/>
      <c r="L652" s="1"/>
      <c r="N652" s="1"/>
      <c r="O652" s="1"/>
      <c r="P652" s="1"/>
      <c r="Q652" s="1"/>
      <c r="R652" s="1"/>
      <c r="S652" s="1"/>
    </row>
    <row r="653" spans="3:19" x14ac:dyDescent="0.2">
      <c r="C653" s="1"/>
      <c r="D653" s="1"/>
      <c r="E653" s="1"/>
      <c r="F653" s="1"/>
      <c r="G653" s="1"/>
      <c r="H653" s="1"/>
      <c r="I653" s="1"/>
      <c r="J653" s="1"/>
      <c r="K653" s="1"/>
      <c r="L653" s="1"/>
      <c r="N653" s="1"/>
      <c r="O653" s="1"/>
      <c r="P653" s="1"/>
      <c r="Q653" s="1"/>
      <c r="R653" s="1"/>
      <c r="S653" s="1"/>
    </row>
    <row r="654" spans="3:19" x14ac:dyDescent="0.2">
      <c r="C654" s="1"/>
      <c r="D654" s="1"/>
      <c r="E654" s="1"/>
      <c r="F654" s="1"/>
      <c r="G654" s="1"/>
      <c r="H654" s="1"/>
      <c r="I654" s="1"/>
      <c r="J654" s="1"/>
      <c r="K654" s="1"/>
      <c r="L654" s="1"/>
      <c r="N654" s="1"/>
      <c r="O654" s="1"/>
      <c r="P654" s="1"/>
      <c r="Q654" s="1"/>
      <c r="R654" s="1"/>
      <c r="S654" s="1"/>
    </row>
    <row r="655" spans="3:19" x14ac:dyDescent="0.2">
      <c r="C655" s="1"/>
      <c r="D655" s="1"/>
      <c r="E655" s="1"/>
      <c r="F655" s="1"/>
      <c r="G655" s="1"/>
      <c r="H655" s="1"/>
      <c r="I655" s="1"/>
      <c r="J655" s="1"/>
      <c r="K655" s="1"/>
      <c r="L655" s="1"/>
      <c r="N655" s="1"/>
      <c r="O655" s="1"/>
      <c r="P655" s="1"/>
      <c r="Q655" s="1"/>
      <c r="R655" s="1"/>
      <c r="S655" s="1"/>
    </row>
    <row r="656" spans="3:19" x14ac:dyDescent="0.2">
      <c r="C656" s="1"/>
      <c r="D656" s="1"/>
      <c r="E656" s="1"/>
      <c r="F656" s="1"/>
      <c r="G656" s="1"/>
      <c r="H656" s="1"/>
      <c r="I656" s="1"/>
      <c r="J656" s="1"/>
      <c r="K656" s="1"/>
      <c r="L656" s="1"/>
      <c r="N656" s="1"/>
      <c r="O656" s="1"/>
      <c r="P656" s="1"/>
      <c r="Q656" s="1"/>
      <c r="R656" s="1"/>
      <c r="S656" s="1"/>
    </row>
    <row r="657" spans="3:19" x14ac:dyDescent="0.2">
      <c r="C657" s="1"/>
      <c r="D657" s="1"/>
      <c r="E657" s="1"/>
      <c r="F657" s="1"/>
      <c r="G657" s="1"/>
      <c r="H657" s="1"/>
      <c r="I657" s="1"/>
      <c r="J657" s="1"/>
      <c r="K657" s="1"/>
      <c r="L657" s="1"/>
      <c r="N657" s="1"/>
      <c r="O657" s="1"/>
      <c r="P657" s="1"/>
      <c r="Q657" s="1"/>
      <c r="R657" s="1"/>
      <c r="S657" s="1"/>
    </row>
    <row r="658" spans="3:19" x14ac:dyDescent="0.2">
      <c r="C658" s="1"/>
      <c r="D658" s="1"/>
      <c r="E658" s="1"/>
      <c r="F658" s="1"/>
      <c r="G658" s="1"/>
      <c r="H658" s="1"/>
      <c r="I658" s="1"/>
      <c r="J658" s="1"/>
      <c r="K658" s="1"/>
      <c r="L658" s="1"/>
      <c r="N658" s="1"/>
      <c r="O658" s="1"/>
      <c r="P658" s="1"/>
      <c r="Q658" s="1"/>
      <c r="R658" s="1"/>
      <c r="S658" s="1"/>
    </row>
    <row r="659" spans="3:19" x14ac:dyDescent="0.2">
      <c r="C659" s="1"/>
      <c r="D659" s="1"/>
      <c r="E659" s="1"/>
      <c r="F659" s="1"/>
      <c r="G659" s="1"/>
      <c r="H659" s="1"/>
      <c r="I659" s="1"/>
      <c r="J659" s="1"/>
      <c r="K659" s="1"/>
      <c r="L659" s="1"/>
      <c r="N659" s="1"/>
      <c r="O659" s="1"/>
      <c r="P659" s="1"/>
      <c r="Q659" s="1"/>
      <c r="R659" s="1"/>
      <c r="S659" s="1"/>
    </row>
    <row r="660" spans="3:19" x14ac:dyDescent="0.2">
      <c r="C660" s="1"/>
      <c r="D660" s="1"/>
      <c r="E660" s="1"/>
      <c r="F660" s="1"/>
      <c r="G660" s="1"/>
      <c r="H660" s="1"/>
      <c r="I660" s="1"/>
      <c r="J660" s="1"/>
      <c r="K660" s="1"/>
      <c r="L660" s="1"/>
      <c r="N660" s="1"/>
      <c r="O660" s="1"/>
      <c r="P660" s="1"/>
      <c r="Q660" s="1"/>
      <c r="R660" s="1"/>
      <c r="S660" s="1"/>
    </row>
    <row r="661" spans="3:19" x14ac:dyDescent="0.2">
      <c r="C661" s="1"/>
      <c r="D661" s="1"/>
      <c r="E661" s="1"/>
      <c r="F661" s="1"/>
      <c r="G661" s="1"/>
      <c r="H661" s="1"/>
      <c r="I661" s="1"/>
      <c r="J661" s="1"/>
      <c r="K661" s="1"/>
      <c r="L661" s="1"/>
      <c r="N661" s="1"/>
      <c r="O661" s="1"/>
      <c r="P661" s="1"/>
      <c r="Q661" s="1"/>
      <c r="R661" s="1"/>
      <c r="S661" s="1"/>
    </row>
    <row r="662" spans="3:19" x14ac:dyDescent="0.2">
      <c r="C662" s="1"/>
      <c r="D662" s="1"/>
      <c r="E662" s="1"/>
      <c r="F662" s="1"/>
      <c r="G662" s="1"/>
      <c r="H662" s="1"/>
      <c r="I662" s="1"/>
      <c r="J662" s="1"/>
      <c r="K662" s="1"/>
      <c r="L662" s="1"/>
      <c r="N662" s="1"/>
      <c r="O662" s="1"/>
      <c r="P662" s="1"/>
      <c r="Q662" s="1"/>
      <c r="R662" s="1"/>
      <c r="S662" s="1"/>
    </row>
    <row r="663" spans="3:19" x14ac:dyDescent="0.2">
      <c r="C663" s="1"/>
      <c r="D663" s="1"/>
      <c r="E663" s="1"/>
      <c r="F663" s="1"/>
      <c r="G663" s="1"/>
      <c r="H663" s="1"/>
      <c r="I663" s="1"/>
      <c r="J663" s="1"/>
      <c r="K663" s="1"/>
      <c r="L663" s="1"/>
      <c r="N663" s="1"/>
      <c r="O663" s="1"/>
      <c r="P663" s="1"/>
      <c r="Q663" s="1"/>
      <c r="R663" s="1"/>
      <c r="S663" s="1"/>
    </row>
    <row r="664" spans="3:19" x14ac:dyDescent="0.2">
      <c r="C664" s="1"/>
      <c r="D664" s="1"/>
      <c r="E664" s="1"/>
      <c r="F664" s="1"/>
      <c r="G664" s="1"/>
      <c r="H664" s="1"/>
      <c r="I664" s="1"/>
      <c r="J664" s="1"/>
      <c r="K664" s="1"/>
      <c r="L664" s="1"/>
      <c r="N664" s="1"/>
      <c r="O664" s="1"/>
      <c r="P664" s="1"/>
      <c r="Q664" s="1"/>
      <c r="R664" s="1"/>
      <c r="S664" s="1"/>
    </row>
    <row r="665" spans="3:19" x14ac:dyDescent="0.2">
      <c r="C665" s="1"/>
      <c r="D665" s="1"/>
      <c r="E665" s="1"/>
      <c r="F665" s="1"/>
      <c r="G665" s="1"/>
      <c r="H665" s="1"/>
      <c r="I665" s="1"/>
      <c r="J665" s="1"/>
      <c r="K665" s="1"/>
      <c r="L665" s="1"/>
      <c r="N665" s="1"/>
      <c r="O665" s="1"/>
      <c r="P665" s="1"/>
      <c r="Q665" s="1"/>
      <c r="R665" s="1"/>
      <c r="S665" s="1"/>
    </row>
    <row r="666" spans="3:19" x14ac:dyDescent="0.2">
      <c r="C666" s="1"/>
      <c r="D666" s="1"/>
      <c r="E666" s="1"/>
      <c r="F666" s="1"/>
      <c r="G666" s="1"/>
      <c r="H666" s="1"/>
      <c r="I666" s="1"/>
      <c r="J666" s="1"/>
      <c r="K666" s="1"/>
      <c r="L666" s="1"/>
      <c r="N666" s="1"/>
      <c r="O666" s="1"/>
      <c r="P666" s="1"/>
      <c r="Q666" s="1"/>
      <c r="R666" s="1"/>
      <c r="S666" s="1"/>
    </row>
    <row r="667" spans="3:19" x14ac:dyDescent="0.2">
      <c r="C667" s="1"/>
      <c r="D667" s="1"/>
      <c r="E667" s="1"/>
      <c r="F667" s="1"/>
      <c r="G667" s="1"/>
      <c r="H667" s="1"/>
      <c r="I667" s="1"/>
      <c r="J667" s="1"/>
      <c r="K667" s="1"/>
      <c r="L667" s="1"/>
      <c r="N667" s="1"/>
      <c r="O667" s="1"/>
      <c r="P667" s="1"/>
      <c r="Q667" s="1"/>
      <c r="R667" s="1"/>
      <c r="S667" s="1"/>
    </row>
    <row r="668" spans="3:19" x14ac:dyDescent="0.2">
      <c r="C668" s="1"/>
      <c r="D668" s="1"/>
      <c r="E668" s="1"/>
      <c r="F668" s="1"/>
      <c r="G668" s="1"/>
      <c r="H668" s="1"/>
      <c r="I668" s="1"/>
      <c r="J668" s="1"/>
      <c r="K668" s="1"/>
      <c r="L668" s="1"/>
      <c r="N668" s="1"/>
      <c r="O668" s="1"/>
      <c r="P668" s="1"/>
      <c r="Q668" s="1"/>
      <c r="R668" s="1"/>
      <c r="S668" s="1"/>
    </row>
    <row r="669" spans="3:19" x14ac:dyDescent="0.2">
      <c r="C669" s="1"/>
      <c r="D669" s="1"/>
      <c r="E669" s="1"/>
      <c r="F669" s="1"/>
      <c r="G669" s="1"/>
      <c r="H669" s="1"/>
      <c r="I669" s="1"/>
      <c r="J669" s="1"/>
      <c r="K669" s="1"/>
      <c r="L669" s="1"/>
      <c r="N669" s="1"/>
      <c r="O669" s="1"/>
      <c r="P669" s="1"/>
      <c r="Q669" s="1"/>
      <c r="R669" s="1"/>
      <c r="S669" s="1"/>
    </row>
    <row r="670" spans="3:19" x14ac:dyDescent="0.2">
      <c r="C670" s="1"/>
      <c r="D670" s="1"/>
      <c r="E670" s="1"/>
      <c r="F670" s="1"/>
      <c r="G670" s="1"/>
      <c r="H670" s="1"/>
      <c r="I670" s="1"/>
      <c r="J670" s="1"/>
      <c r="K670" s="1"/>
      <c r="L670" s="1"/>
      <c r="N670" s="1"/>
      <c r="O670" s="1"/>
      <c r="P670" s="1"/>
      <c r="Q670" s="1"/>
      <c r="R670" s="1"/>
      <c r="S670" s="1"/>
    </row>
    <row r="671" spans="3:19" x14ac:dyDescent="0.2">
      <c r="C671" s="1"/>
      <c r="D671" s="1"/>
      <c r="E671" s="1"/>
      <c r="F671" s="1"/>
      <c r="G671" s="1"/>
      <c r="H671" s="1"/>
      <c r="I671" s="1"/>
      <c r="J671" s="1"/>
      <c r="K671" s="1"/>
      <c r="L671" s="1"/>
      <c r="N671" s="1"/>
      <c r="O671" s="1"/>
      <c r="P671" s="1"/>
      <c r="Q671" s="1"/>
      <c r="R671" s="1"/>
      <c r="S671" s="1"/>
    </row>
    <row r="672" spans="3:19" x14ac:dyDescent="0.2">
      <c r="C672" s="1"/>
      <c r="D672" s="1"/>
      <c r="E672" s="1"/>
      <c r="F672" s="1"/>
      <c r="G672" s="1"/>
      <c r="H672" s="1"/>
      <c r="I672" s="1"/>
      <c r="J672" s="1"/>
      <c r="K672" s="1"/>
      <c r="L672" s="1"/>
      <c r="N672" s="1"/>
      <c r="O672" s="1"/>
      <c r="P672" s="1"/>
      <c r="Q672" s="1"/>
      <c r="R672" s="1"/>
      <c r="S672" s="1"/>
    </row>
    <row r="673" spans="3:19" x14ac:dyDescent="0.2">
      <c r="C673" s="1"/>
      <c r="D673" s="1"/>
      <c r="E673" s="1"/>
      <c r="F673" s="1"/>
      <c r="G673" s="1"/>
      <c r="H673" s="1"/>
      <c r="I673" s="1"/>
      <c r="J673" s="1"/>
      <c r="K673" s="1"/>
      <c r="L673" s="1"/>
      <c r="N673" s="1"/>
      <c r="O673" s="1"/>
      <c r="P673" s="1"/>
      <c r="Q673" s="1"/>
      <c r="R673" s="1"/>
      <c r="S673" s="1"/>
    </row>
    <row r="674" spans="3:19" x14ac:dyDescent="0.2">
      <c r="C674" s="1"/>
      <c r="D674" s="1"/>
      <c r="E674" s="1"/>
      <c r="F674" s="1"/>
      <c r="G674" s="1"/>
      <c r="H674" s="1"/>
      <c r="I674" s="1"/>
      <c r="J674" s="1"/>
      <c r="K674" s="1"/>
      <c r="L674" s="1"/>
      <c r="N674" s="1"/>
      <c r="O674" s="1"/>
      <c r="P674" s="1"/>
      <c r="Q674" s="1"/>
      <c r="R674" s="1"/>
      <c r="S674" s="1"/>
    </row>
    <row r="675" spans="3:19" x14ac:dyDescent="0.2">
      <c r="C675" s="1"/>
      <c r="D675" s="1"/>
      <c r="E675" s="1"/>
      <c r="F675" s="1"/>
      <c r="G675" s="1"/>
      <c r="H675" s="1"/>
      <c r="I675" s="1"/>
      <c r="J675" s="1"/>
      <c r="K675" s="1"/>
      <c r="L675" s="1"/>
      <c r="N675" s="1"/>
      <c r="O675" s="1"/>
      <c r="P675" s="1"/>
      <c r="Q675" s="1"/>
      <c r="R675" s="1"/>
      <c r="S675" s="1"/>
    </row>
    <row r="676" spans="3:19" x14ac:dyDescent="0.2">
      <c r="C676" s="1"/>
      <c r="D676" s="1"/>
      <c r="E676" s="1"/>
      <c r="F676" s="1"/>
      <c r="G676" s="1"/>
      <c r="H676" s="1"/>
      <c r="I676" s="1"/>
      <c r="J676" s="1"/>
      <c r="K676" s="1"/>
      <c r="L676" s="1"/>
      <c r="N676" s="1"/>
      <c r="O676" s="1"/>
      <c r="P676" s="1"/>
      <c r="Q676" s="1"/>
      <c r="R676" s="1"/>
      <c r="S676" s="1"/>
    </row>
    <row r="677" spans="3:19" x14ac:dyDescent="0.2">
      <c r="C677" s="1"/>
      <c r="D677" s="1"/>
      <c r="E677" s="1"/>
      <c r="F677" s="1"/>
      <c r="G677" s="1"/>
      <c r="H677" s="1"/>
      <c r="I677" s="1"/>
      <c r="J677" s="1"/>
      <c r="K677" s="1"/>
      <c r="L677" s="1"/>
      <c r="N677" s="1"/>
      <c r="O677" s="1"/>
      <c r="P677" s="1"/>
      <c r="Q677" s="1"/>
      <c r="R677" s="1"/>
      <c r="S677" s="1"/>
    </row>
    <row r="678" spans="3:19" x14ac:dyDescent="0.2">
      <c r="C678" s="1"/>
      <c r="D678" s="1"/>
      <c r="E678" s="1"/>
      <c r="F678" s="1"/>
      <c r="G678" s="1"/>
      <c r="H678" s="1"/>
      <c r="I678" s="1"/>
      <c r="J678" s="1"/>
      <c r="K678" s="1"/>
      <c r="L678" s="1"/>
      <c r="N678" s="1"/>
      <c r="O678" s="1"/>
      <c r="P678" s="1"/>
      <c r="Q678" s="1"/>
      <c r="R678" s="1"/>
      <c r="S678" s="1"/>
    </row>
    <row r="679" spans="3:19" x14ac:dyDescent="0.2">
      <c r="C679" s="1"/>
      <c r="D679" s="1"/>
      <c r="E679" s="1"/>
      <c r="F679" s="1"/>
      <c r="G679" s="1"/>
      <c r="H679" s="1"/>
      <c r="I679" s="1"/>
      <c r="J679" s="1"/>
      <c r="K679" s="1"/>
      <c r="L679" s="1"/>
      <c r="N679" s="1"/>
      <c r="O679" s="1"/>
      <c r="P679" s="1"/>
      <c r="Q679" s="1"/>
      <c r="R679" s="1"/>
      <c r="S679" s="1"/>
    </row>
    <row r="680" spans="3:19" x14ac:dyDescent="0.2">
      <c r="C680" s="1"/>
      <c r="D680" s="1"/>
      <c r="E680" s="1"/>
      <c r="F680" s="1"/>
      <c r="G680" s="1"/>
      <c r="H680" s="1"/>
      <c r="I680" s="1"/>
      <c r="J680" s="1"/>
      <c r="K680" s="1"/>
      <c r="L680" s="1"/>
      <c r="N680" s="1"/>
      <c r="O680" s="1"/>
      <c r="P680" s="1"/>
      <c r="Q680" s="1"/>
      <c r="R680" s="1"/>
      <c r="S680" s="1"/>
    </row>
    <row r="681" spans="3:19" x14ac:dyDescent="0.2">
      <c r="C681" s="1"/>
      <c r="D681" s="1"/>
      <c r="E681" s="1"/>
      <c r="F681" s="1"/>
      <c r="G681" s="1"/>
      <c r="H681" s="1"/>
      <c r="I681" s="1"/>
      <c r="J681" s="1"/>
      <c r="K681" s="1"/>
      <c r="L681" s="1"/>
      <c r="N681" s="1"/>
      <c r="O681" s="1"/>
      <c r="P681" s="1"/>
      <c r="Q681" s="1"/>
      <c r="R681" s="1"/>
      <c r="S681" s="1"/>
    </row>
    <row r="682" spans="3:19" x14ac:dyDescent="0.2">
      <c r="C682" s="1"/>
      <c r="D682" s="1"/>
      <c r="E682" s="1"/>
      <c r="F682" s="1"/>
      <c r="G682" s="1"/>
      <c r="H682" s="1"/>
      <c r="I682" s="1"/>
      <c r="J682" s="1"/>
      <c r="K682" s="1"/>
      <c r="L682" s="1"/>
      <c r="N682" s="1"/>
      <c r="O682" s="1"/>
      <c r="P682" s="1"/>
      <c r="Q682" s="1"/>
      <c r="R682" s="1"/>
      <c r="S682" s="1"/>
    </row>
    <row r="683" spans="3:19" x14ac:dyDescent="0.2">
      <c r="C683" s="1"/>
      <c r="D683" s="1"/>
      <c r="E683" s="1"/>
      <c r="F683" s="1"/>
      <c r="G683" s="1"/>
      <c r="H683" s="1"/>
      <c r="I683" s="1"/>
      <c r="J683" s="1"/>
      <c r="K683" s="1"/>
      <c r="L683" s="1"/>
      <c r="N683" s="1"/>
      <c r="O683" s="1"/>
      <c r="P683" s="1"/>
      <c r="Q683" s="1"/>
      <c r="R683" s="1"/>
      <c r="S683" s="1"/>
    </row>
    <row r="684" spans="3:19" x14ac:dyDescent="0.2">
      <c r="C684" s="1"/>
      <c r="D684" s="1"/>
      <c r="E684" s="1"/>
      <c r="F684" s="1"/>
      <c r="G684" s="1"/>
      <c r="H684" s="1"/>
      <c r="I684" s="1"/>
      <c r="J684" s="1"/>
      <c r="K684" s="1"/>
      <c r="L684" s="1"/>
      <c r="N684" s="1"/>
      <c r="O684" s="1"/>
      <c r="P684" s="1"/>
      <c r="Q684" s="1"/>
      <c r="R684" s="1"/>
      <c r="S684" s="1"/>
    </row>
    <row r="685" spans="3:19" x14ac:dyDescent="0.2"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1"/>
      <c r="O685" s="1"/>
      <c r="P685" s="1"/>
      <c r="Q685" s="1"/>
      <c r="R685" s="1"/>
      <c r="S685" s="1"/>
    </row>
    <row r="686" spans="3:19" x14ac:dyDescent="0.2">
      <c r="C686" s="1"/>
      <c r="D686" s="1"/>
      <c r="E686" s="1"/>
      <c r="F686" s="1"/>
      <c r="G686" s="1"/>
      <c r="H686" s="1"/>
      <c r="I686" s="1"/>
      <c r="J686" s="1"/>
      <c r="K686" s="1"/>
      <c r="L686" s="1"/>
      <c r="N686" s="1"/>
      <c r="O686" s="1"/>
      <c r="P686" s="1"/>
      <c r="Q686" s="1"/>
      <c r="R686" s="1"/>
      <c r="S686" s="1"/>
    </row>
    <row r="687" spans="3:19" x14ac:dyDescent="0.2">
      <c r="C687" s="1"/>
      <c r="D687" s="1"/>
      <c r="E687" s="1"/>
      <c r="F687" s="1"/>
      <c r="G687" s="1"/>
      <c r="H687" s="1"/>
      <c r="I687" s="1"/>
      <c r="J687" s="1"/>
      <c r="K687" s="1"/>
      <c r="L687" s="1"/>
      <c r="N687" s="1"/>
      <c r="O687" s="1"/>
      <c r="P687" s="1"/>
      <c r="Q687" s="1"/>
      <c r="R687" s="1"/>
      <c r="S687" s="1"/>
    </row>
    <row r="688" spans="3:19" x14ac:dyDescent="0.2">
      <c r="C688" s="1"/>
      <c r="D688" s="1"/>
      <c r="E688" s="1"/>
      <c r="F688" s="1"/>
      <c r="G688" s="1"/>
      <c r="H688" s="1"/>
      <c r="I688" s="1"/>
      <c r="J688" s="1"/>
      <c r="K688" s="1"/>
      <c r="L688" s="1"/>
      <c r="N688" s="1"/>
      <c r="O688" s="1"/>
      <c r="P688" s="1"/>
      <c r="Q688" s="1"/>
      <c r="R688" s="1"/>
      <c r="S688" s="1"/>
    </row>
    <row r="689" spans="3:19" x14ac:dyDescent="0.2">
      <c r="C689" s="1"/>
      <c r="D689" s="1"/>
      <c r="E689" s="1"/>
      <c r="F689" s="1"/>
      <c r="G689" s="1"/>
      <c r="H689" s="1"/>
      <c r="I689" s="1"/>
      <c r="J689" s="1"/>
      <c r="K689" s="1"/>
      <c r="L689" s="1"/>
      <c r="N689" s="1"/>
      <c r="O689" s="1"/>
      <c r="P689" s="1"/>
      <c r="Q689" s="1"/>
      <c r="R689" s="1"/>
      <c r="S689" s="1"/>
    </row>
    <row r="690" spans="3:19" x14ac:dyDescent="0.2">
      <c r="C690" s="1"/>
      <c r="D690" s="1"/>
      <c r="E690" s="1"/>
      <c r="F690" s="1"/>
      <c r="G690" s="1"/>
      <c r="H690" s="1"/>
      <c r="I690" s="1"/>
      <c r="J690" s="1"/>
      <c r="K690" s="1"/>
      <c r="L690" s="1"/>
      <c r="N690" s="1"/>
      <c r="O690" s="1"/>
      <c r="P690" s="1"/>
      <c r="Q690" s="1"/>
      <c r="R690" s="1"/>
      <c r="S690" s="1"/>
    </row>
    <row r="691" spans="3:19" x14ac:dyDescent="0.2">
      <c r="C691" s="1"/>
      <c r="D691" s="1"/>
      <c r="E691" s="1"/>
      <c r="F691" s="1"/>
      <c r="G691" s="1"/>
      <c r="H691" s="1"/>
      <c r="I691" s="1"/>
      <c r="J691" s="1"/>
      <c r="K691" s="1"/>
      <c r="L691" s="1"/>
      <c r="N691" s="1"/>
      <c r="O691" s="1"/>
      <c r="P691" s="1"/>
      <c r="Q691" s="1"/>
      <c r="R691" s="1"/>
      <c r="S691" s="1"/>
    </row>
    <row r="692" spans="3:19" x14ac:dyDescent="0.2">
      <c r="C692" s="1"/>
      <c r="D692" s="1"/>
      <c r="E692" s="1"/>
      <c r="F692" s="1"/>
      <c r="G692" s="1"/>
      <c r="H692" s="1"/>
      <c r="I692" s="1"/>
      <c r="J692" s="1"/>
      <c r="K692" s="1"/>
      <c r="L692" s="1"/>
      <c r="N692" s="1"/>
      <c r="O692" s="1"/>
      <c r="P692" s="1"/>
      <c r="Q692" s="1"/>
      <c r="R692" s="1"/>
      <c r="S692" s="1"/>
    </row>
    <row r="693" spans="3:19" x14ac:dyDescent="0.2">
      <c r="C693" s="1"/>
      <c r="D693" s="1"/>
      <c r="E693" s="1"/>
      <c r="F693" s="1"/>
      <c r="G693" s="1"/>
      <c r="H693" s="1"/>
      <c r="I693" s="1"/>
      <c r="J693" s="1"/>
      <c r="K693" s="1"/>
      <c r="L693" s="1"/>
      <c r="N693" s="1"/>
      <c r="O693" s="1"/>
      <c r="P693" s="1"/>
      <c r="Q693" s="1"/>
      <c r="R693" s="1"/>
      <c r="S693" s="1"/>
    </row>
    <row r="694" spans="3:19" x14ac:dyDescent="0.2">
      <c r="C694" s="1"/>
      <c r="D694" s="1"/>
      <c r="E694" s="1"/>
      <c r="F694" s="1"/>
      <c r="G694" s="1"/>
      <c r="H694" s="1"/>
      <c r="I694" s="1"/>
      <c r="J694" s="1"/>
      <c r="K694" s="1"/>
      <c r="L694" s="1"/>
      <c r="N694" s="1"/>
      <c r="O694" s="1"/>
      <c r="P694" s="1"/>
      <c r="Q694" s="1"/>
      <c r="R694" s="1"/>
      <c r="S694" s="1"/>
    </row>
    <row r="695" spans="3:19" x14ac:dyDescent="0.2">
      <c r="C695" s="1"/>
      <c r="D695" s="1"/>
      <c r="E695" s="1"/>
      <c r="F695" s="1"/>
      <c r="G695" s="1"/>
      <c r="H695" s="1"/>
      <c r="I695" s="1"/>
      <c r="J695" s="1"/>
      <c r="K695" s="1"/>
      <c r="L695" s="1"/>
      <c r="N695" s="1"/>
      <c r="O695" s="1"/>
      <c r="P695" s="1"/>
      <c r="Q695" s="1"/>
      <c r="R695" s="1"/>
      <c r="S695" s="1"/>
    </row>
    <row r="696" spans="3:19" x14ac:dyDescent="0.2">
      <c r="C696" s="1"/>
      <c r="D696" s="1"/>
      <c r="E696" s="1"/>
      <c r="F696" s="1"/>
      <c r="G696" s="1"/>
      <c r="H696" s="1"/>
      <c r="I696" s="1"/>
      <c r="J696" s="1"/>
      <c r="K696" s="1"/>
      <c r="L696" s="1"/>
      <c r="N696" s="1"/>
      <c r="O696" s="1"/>
      <c r="P696" s="1"/>
      <c r="Q696" s="1"/>
      <c r="R696" s="1"/>
      <c r="S696" s="1"/>
    </row>
    <row r="697" spans="3:19" x14ac:dyDescent="0.2">
      <c r="C697" s="1"/>
      <c r="D697" s="1"/>
      <c r="E697" s="1"/>
      <c r="F697" s="1"/>
      <c r="G697" s="1"/>
      <c r="H697" s="1"/>
      <c r="I697" s="1"/>
      <c r="J697" s="1"/>
      <c r="K697" s="1"/>
      <c r="L697" s="1"/>
      <c r="N697" s="1"/>
      <c r="O697" s="1"/>
      <c r="P697" s="1"/>
      <c r="Q697" s="1"/>
      <c r="R697" s="1"/>
      <c r="S697" s="1"/>
    </row>
    <row r="698" spans="3:19" x14ac:dyDescent="0.2">
      <c r="C698" s="1"/>
      <c r="D698" s="1"/>
      <c r="E698" s="1"/>
      <c r="F698" s="1"/>
      <c r="G698" s="1"/>
      <c r="H698" s="1"/>
      <c r="I698" s="1"/>
      <c r="J698" s="1"/>
      <c r="K698" s="1"/>
      <c r="L698" s="1"/>
      <c r="N698" s="1"/>
      <c r="O698" s="1"/>
      <c r="P698" s="1"/>
      <c r="Q698" s="1"/>
      <c r="R698" s="1"/>
      <c r="S698" s="1"/>
    </row>
    <row r="699" spans="3:19" x14ac:dyDescent="0.2">
      <c r="C699" s="1"/>
      <c r="D699" s="1"/>
      <c r="E699" s="1"/>
      <c r="F699" s="1"/>
      <c r="G699" s="1"/>
      <c r="H699" s="1"/>
      <c r="I699" s="1"/>
      <c r="J699" s="1"/>
      <c r="K699" s="1"/>
      <c r="L699" s="1"/>
      <c r="N699" s="1"/>
      <c r="O699" s="1"/>
      <c r="P699" s="1"/>
      <c r="Q699" s="1"/>
      <c r="R699" s="1"/>
      <c r="S699" s="1"/>
    </row>
    <row r="700" spans="3:19" x14ac:dyDescent="0.2">
      <c r="C700" s="1"/>
      <c r="D700" s="1"/>
      <c r="E700" s="1"/>
      <c r="F700" s="1"/>
      <c r="G700" s="1"/>
      <c r="H700" s="1"/>
      <c r="I700" s="1"/>
      <c r="J700" s="1"/>
      <c r="K700" s="1"/>
      <c r="L700" s="1"/>
      <c r="N700" s="1"/>
      <c r="O700" s="1"/>
      <c r="P700" s="1"/>
      <c r="Q700" s="1"/>
      <c r="R700" s="1"/>
      <c r="S700" s="1"/>
    </row>
    <row r="701" spans="3:19" x14ac:dyDescent="0.2">
      <c r="C701" s="1"/>
      <c r="D701" s="1"/>
      <c r="E701" s="1"/>
      <c r="F701" s="1"/>
      <c r="G701" s="1"/>
      <c r="H701" s="1"/>
      <c r="I701" s="1"/>
      <c r="J701" s="1"/>
      <c r="K701" s="1"/>
      <c r="L701" s="1"/>
      <c r="N701" s="1"/>
      <c r="O701" s="1"/>
      <c r="P701" s="1"/>
      <c r="Q701" s="1"/>
      <c r="R701" s="1"/>
      <c r="S701" s="1"/>
    </row>
    <row r="702" spans="3:19" x14ac:dyDescent="0.2">
      <c r="C702" s="1"/>
      <c r="D702" s="1"/>
      <c r="E702" s="1"/>
      <c r="F702" s="1"/>
      <c r="G702" s="1"/>
      <c r="H702" s="1"/>
      <c r="I702" s="1"/>
      <c r="J702" s="1"/>
      <c r="K702" s="1"/>
      <c r="L702" s="1"/>
      <c r="N702" s="1"/>
      <c r="O702" s="1"/>
      <c r="P702" s="1"/>
      <c r="Q702" s="1"/>
      <c r="R702" s="1"/>
      <c r="S702" s="1"/>
    </row>
    <row r="703" spans="3:19" x14ac:dyDescent="0.2">
      <c r="C703" s="1"/>
      <c r="D703" s="1"/>
      <c r="E703" s="1"/>
      <c r="F703" s="1"/>
      <c r="G703" s="1"/>
      <c r="H703" s="1"/>
      <c r="I703" s="1"/>
      <c r="J703" s="1"/>
      <c r="K703" s="1"/>
      <c r="L703" s="1"/>
      <c r="N703" s="1"/>
      <c r="O703" s="1"/>
      <c r="P703" s="1"/>
      <c r="Q703" s="1"/>
      <c r="R703" s="1"/>
      <c r="S703" s="1"/>
    </row>
    <row r="704" spans="3:19" x14ac:dyDescent="0.2">
      <c r="C704" s="1"/>
      <c r="D704" s="1"/>
      <c r="E704" s="1"/>
      <c r="F704" s="1"/>
      <c r="G704" s="1"/>
      <c r="H704" s="1"/>
      <c r="I704" s="1"/>
      <c r="J704" s="1"/>
      <c r="K704" s="1"/>
      <c r="L704" s="1"/>
      <c r="N704" s="1"/>
      <c r="O704" s="1"/>
      <c r="P704" s="1"/>
      <c r="Q704" s="1"/>
      <c r="R704" s="1"/>
      <c r="S704" s="1"/>
    </row>
    <row r="705" spans="3:19" x14ac:dyDescent="0.2">
      <c r="C705" s="1"/>
      <c r="D705" s="1"/>
      <c r="E705" s="1"/>
      <c r="F705" s="1"/>
      <c r="G705" s="1"/>
      <c r="H705" s="1"/>
      <c r="I705" s="1"/>
      <c r="J705" s="1"/>
      <c r="K705" s="1"/>
      <c r="L705" s="1"/>
      <c r="N705" s="1"/>
      <c r="O705" s="1"/>
      <c r="P705" s="1"/>
      <c r="Q705" s="1"/>
      <c r="R705" s="1"/>
      <c r="S705" s="1"/>
    </row>
    <row r="706" spans="3:19" x14ac:dyDescent="0.2">
      <c r="C706" s="1"/>
      <c r="D706" s="1"/>
      <c r="E706" s="1"/>
      <c r="F706" s="1"/>
      <c r="G706" s="1"/>
      <c r="H706" s="1"/>
      <c r="I706" s="1"/>
      <c r="J706" s="1"/>
      <c r="K706" s="1"/>
      <c r="L706" s="1"/>
      <c r="N706" s="1"/>
      <c r="O706" s="1"/>
      <c r="P706" s="1"/>
      <c r="Q706" s="1"/>
      <c r="R706" s="1"/>
      <c r="S706" s="1"/>
    </row>
    <row r="707" spans="3:19" x14ac:dyDescent="0.2">
      <c r="C707" s="1"/>
      <c r="D707" s="1"/>
      <c r="E707" s="1"/>
      <c r="F707" s="1"/>
      <c r="G707" s="1"/>
      <c r="H707" s="1"/>
      <c r="I707" s="1"/>
      <c r="J707" s="1"/>
      <c r="K707" s="1"/>
      <c r="L707" s="1"/>
      <c r="N707" s="1"/>
      <c r="O707" s="1"/>
      <c r="P707" s="1"/>
      <c r="Q707" s="1"/>
      <c r="R707" s="1"/>
      <c r="S707" s="1"/>
    </row>
    <row r="708" spans="3:19" x14ac:dyDescent="0.2">
      <c r="C708" s="1"/>
      <c r="D708" s="1"/>
      <c r="E708" s="1"/>
      <c r="F708" s="1"/>
      <c r="G708" s="1"/>
      <c r="H708" s="1"/>
      <c r="I708" s="1"/>
      <c r="J708" s="1"/>
      <c r="K708" s="1"/>
      <c r="L708" s="1"/>
      <c r="N708" s="1"/>
      <c r="O708" s="1"/>
      <c r="P708" s="1"/>
      <c r="Q708" s="1"/>
      <c r="R708" s="1"/>
      <c r="S708" s="1"/>
    </row>
    <row r="709" spans="3:19" x14ac:dyDescent="0.2">
      <c r="C709" s="1"/>
      <c r="D709" s="1"/>
      <c r="E709" s="1"/>
      <c r="F709" s="1"/>
      <c r="G709" s="1"/>
      <c r="H709" s="1"/>
      <c r="I709" s="1"/>
      <c r="J709" s="1"/>
      <c r="K709" s="1"/>
      <c r="L709" s="1"/>
      <c r="N709" s="1"/>
      <c r="O709" s="1"/>
      <c r="P709" s="1"/>
      <c r="Q709" s="1"/>
      <c r="R709" s="1"/>
      <c r="S709" s="1"/>
    </row>
    <row r="710" spans="3:19" x14ac:dyDescent="0.2">
      <c r="C710" s="1"/>
      <c r="D710" s="1"/>
      <c r="E710" s="1"/>
      <c r="F710" s="1"/>
      <c r="G710" s="1"/>
      <c r="H710" s="1"/>
      <c r="I710" s="1"/>
      <c r="J710" s="1"/>
      <c r="K710" s="1"/>
      <c r="L710" s="1"/>
      <c r="N710" s="1"/>
      <c r="O710" s="1"/>
      <c r="P710" s="1"/>
      <c r="Q710" s="1"/>
      <c r="R710" s="1"/>
      <c r="S710" s="1"/>
    </row>
    <row r="711" spans="3:19" x14ac:dyDescent="0.2">
      <c r="C711" s="1"/>
      <c r="D711" s="1"/>
      <c r="E711" s="1"/>
      <c r="F711" s="1"/>
      <c r="G711" s="1"/>
      <c r="H711" s="1"/>
      <c r="I711" s="1"/>
      <c r="J711" s="1"/>
      <c r="K711" s="1"/>
      <c r="L711" s="1"/>
      <c r="N711" s="1"/>
      <c r="O711" s="1"/>
      <c r="P711" s="1"/>
      <c r="Q711" s="1"/>
      <c r="R711" s="1"/>
      <c r="S711" s="1"/>
    </row>
    <row r="712" spans="3:19" x14ac:dyDescent="0.2">
      <c r="C712" s="1"/>
      <c r="D712" s="1"/>
      <c r="E712" s="1"/>
      <c r="F712" s="1"/>
      <c r="G712" s="1"/>
      <c r="H712" s="1"/>
      <c r="I712" s="1"/>
      <c r="J712" s="1"/>
      <c r="K712" s="1"/>
      <c r="L712" s="1"/>
      <c r="N712" s="1"/>
      <c r="O712" s="1"/>
      <c r="P712" s="1"/>
      <c r="Q712" s="1"/>
      <c r="R712" s="1"/>
      <c r="S712" s="1"/>
    </row>
    <row r="713" spans="3:19" x14ac:dyDescent="0.2">
      <c r="C713" s="1"/>
      <c r="D713" s="1"/>
      <c r="E713" s="1"/>
      <c r="F713" s="1"/>
      <c r="G713" s="1"/>
      <c r="H713" s="1"/>
      <c r="I713" s="1"/>
      <c r="J713" s="1"/>
      <c r="K713" s="1"/>
      <c r="L713" s="1"/>
      <c r="N713" s="1"/>
      <c r="O713" s="1"/>
      <c r="P713" s="1"/>
      <c r="Q713" s="1"/>
      <c r="R713" s="1"/>
      <c r="S713" s="1"/>
    </row>
    <row r="714" spans="3:19" x14ac:dyDescent="0.2">
      <c r="C714" s="1"/>
      <c r="D714" s="1"/>
      <c r="E714" s="1"/>
      <c r="F714" s="1"/>
      <c r="G714" s="1"/>
      <c r="H714" s="1"/>
      <c r="I714" s="1"/>
      <c r="J714" s="1"/>
      <c r="K714" s="1"/>
      <c r="L714" s="1"/>
      <c r="N714" s="1"/>
      <c r="O714" s="1"/>
      <c r="P714" s="1"/>
      <c r="Q714" s="1"/>
      <c r="R714" s="1"/>
      <c r="S714" s="1"/>
    </row>
    <row r="715" spans="3:19" x14ac:dyDescent="0.2">
      <c r="C715" s="1"/>
      <c r="D715" s="1"/>
      <c r="E715" s="1"/>
      <c r="F715" s="1"/>
      <c r="G715" s="1"/>
      <c r="H715" s="1"/>
      <c r="I715" s="1"/>
      <c r="J715" s="1"/>
      <c r="K715" s="1"/>
      <c r="L715" s="1"/>
      <c r="N715" s="1"/>
      <c r="O715" s="1"/>
      <c r="P715" s="1"/>
      <c r="Q715" s="1"/>
      <c r="R715" s="1"/>
      <c r="S715" s="1"/>
    </row>
    <row r="716" spans="3:19" x14ac:dyDescent="0.2">
      <c r="C716" s="1"/>
      <c r="D716" s="1"/>
      <c r="E716" s="1"/>
      <c r="F716" s="1"/>
      <c r="G716" s="1"/>
      <c r="H716" s="1"/>
      <c r="I716" s="1"/>
      <c r="J716" s="1"/>
      <c r="K716" s="1"/>
      <c r="L716" s="1"/>
      <c r="N716" s="1"/>
      <c r="O716" s="1"/>
      <c r="P716" s="1"/>
      <c r="Q716" s="1"/>
      <c r="R716" s="1"/>
      <c r="S716" s="1"/>
    </row>
    <row r="717" spans="3:19" x14ac:dyDescent="0.2">
      <c r="C717" s="1"/>
      <c r="D717" s="1"/>
      <c r="E717" s="1"/>
      <c r="F717" s="1"/>
      <c r="G717" s="1"/>
      <c r="H717" s="1"/>
      <c r="I717" s="1"/>
      <c r="J717" s="1"/>
      <c r="K717" s="1"/>
      <c r="L717" s="1"/>
      <c r="N717" s="1"/>
      <c r="O717" s="1"/>
      <c r="P717" s="1"/>
      <c r="Q717" s="1"/>
      <c r="R717" s="1"/>
      <c r="S717" s="1"/>
    </row>
    <row r="718" spans="3:19" x14ac:dyDescent="0.2">
      <c r="C718" s="1"/>
      <c r="D718" s="1"/>
      <c r="E718" s="1"/>
      <c r="F718" s="1"/>
      <c r="G718" s="1"/>
      <c r="H718" s="1"/>
      <c r="I718" s="1"/>
      <c r="J718" s="1"/>
      <c r="K718" s="1"/>
      <c r="L718" s="1"/>
      <c r="N718" s="1"/>
      <c r="O718" s="1"/>
      <c r="P718" s="1"/>
      <c r="Q718" s="1"/>
      <c r="R718" s="1"/>
      <c r="S718" s="1"/>
    </row>
    <row r="719" spans="3:19" x14ac:dyDescent="0.2">
      <c r="C719" s="1"/>
      <c r="D719" s="1"/>
      <c r="E719" s="1"/>
      <c r="F719" s="1"/>
      <c r="G719" s="1"/>
      <c r="H719" s="1"/>
      <c r="I719" s="1"/>
      <c r="J719" s="1"/>
      <c r="K719" s="1"/>
      <c r="L719" s="1"/>
      <c r="N719" s="1"/>
      <c r="O719" s="1"/>
      <c r="P719" s="1"/>
      <c r="Q719" s="1"/>
      <c r="R719" s="1"/>
      <c r="S719" s="1"/>
    </row>
    <row r="720" spans="3:19" x14ac:dyDescent="0.2">
      <c r="C720" s="1"/>
      <c r="D720" s="1"/>
      <c r="E720" s="1"/>
      <c r="F720" s="1"/>
      <c r="G720" s="1"/>
      <c r="H720" s="1"/>
      <c r="I720" s="1"/>
      <c r="J720" s="1"/>
      <c r="K720" s="1"/>
      <c r="L720" s="1"/>
      <c r="N720" s="1"/>
      <c r="O720" s="1"/>
      <c r="P720" s="1"/>
      <c r="Q720" s="1"/>
      <c r="R720" s="1"/>
      <c r="S720" s="1"/>
    </row>
    <row r="721" spans="3:19" x14ac:dyDescent="0.2">
      <c r="C721" s="1"/>
      <c r="D721" s="1"/>
      <c r="E721" s="1"/>
      <c r="F721" s="1"/>
      <c r="G721" s="1"/>
      <c r="H721" s="1"/>
      <c r="I721" s="1"/>
      <c r="J721" s="1"/>
      <c r="K721" s="1"/>
      <c r="L721" s="1"/>
      <c r="N721" s="1"/>
      <c r="O721" s="1"/>
      <c r="P721" s="1"/>
      <c r="Q721" s="1"/>
      <c r="R721" s="1"/>
      <c r="S721" s="1"/>
    </row>
    <row r="722" spans="3:19" x14ac:dyDescent="0.2">
      <c r="C722" s="1"/>
      <c r="D722" s="1"/>
      <c r="E722" s="1"/>
      <c r="F722" s="1"/>
      <c r="G722" s="1"/>
      <c r="H722" s="1"/>
      <c r="I722" s="1"/>
      <c r="J722" s="1"/>
      <c r="K722" s="1"/>
      <c r="L722" s="1"/>
      <c r="N722" s="1"/>
      <c r="O722" s="1"/>
      <c r="P722" s="1"/>
      <c r="Q722" s="1"/>
      <c r="R722" s="1"/>
      <c r="S722" s="1"/>
    </row>
    <row r="723" spans="3:19" x14ac:dyDescent="0.2"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1"/>
      <c r="O723" s="1"/>
      <c r="P723" s="1"/>
      <c r="Q723" s="1"/>
      <c r="R723" s="1"/>
      <c r="S723" s="1"/>
    </row>
    <row r="724" spans="3:19" x14ac:dyDescent="0.2">
      <c r="C724" s="1"/>
      <c r="D724" s="1"/>
      <c r="E724" s="1"/>
      <c r="F724" s="1"/>
      <c r="G724" s="1"/>
      <c r="H724" s="1"/>
      <c r="I724" s="1"/>
      <c r="J724" s="1"/>
      <c r="K724" s="1"/>
      <c r="L724" s="1"/>
      <c r="N724" s="1"/>
      <c r="O724" s="1"/>
      <c r="P724" s="1"/>
      <c r="Q724" s="1"/>
      <c r="R724" s="1"/>
      <c r="S724" s="1"/>
    </row>
    <row r="725" spans="3:19" x14ac:dyDescent="0.2">
      <c r="C725" s="1"/>
      <c r="D725" s="1"/>
      <c r="E725" s="1"/>
      <c r="F725" s="1"/>
      <c r="G725" s="1"/>
      <c r="H725" s="1"/>
      <c r="I725" s="1"/>
      <c r="J725" s="1"/>
      <c r="K725" s="1"/>
      <c r="L725" s="1"/>
      <c r="N725" s="1"/>
      <c r="O725" s="1"/>
      <c r="P725" s="1"/>
      <c r="Q725" s="1"/>
      <c r="R725" s="1"/>
      <c r="S725" s="1"/>
    </row>
    <row r="726" spans="3:19" x14ac:dyDescent="0.2">
      <c r="C726" s="1"/>
      <c r="D726" s="1"/>
      <c r="E726" s="1"/>
      <c r="F726" s="1"/>
      <c r="G726" s="1"/>
      <c r="H726" s="1"/>
      <c r="I726" s="1"/>
      <c r="J726" s="1"/>
      <c r="K726" s="1"/>
      <c r="L726" s="1"/>
      <c r="N726" s="1"/>
      <c r="O726" s="1"/>
      <c r="P726" s="1"/>
      <c r="Q726" s="1"/>
      <c r="R726" s="1"/>
      <c r="S726" s="1"/>
    </row>
    <row r="727" spans="3:19" x14ac:dyDescent="0.2">
      <c r="C727" s="1"/>
      <c r="D727" s="1"/>
      <c r="E727" s="1"/>
      <c r="F727" s="1"/>
      <c r="G727" s="1"/>
      <c r="H727" s="1"/>
      <c r="I727" s="1"/>
      <c r="J727" s="1"/>
      <c r="K727" s="1"/>
      <c r="L727" s="1"/>
      <c r="N727" s="1"/>
      <c r="O727" s="1"/>
      <c r="P727" s="1"/>
      <c r="Q727" s="1"/>
      <c r="R727" s="1"/>
      <c r="S727" s="1"/>
    </row>
    <row r="728" spans="3:19" x14ac:dyDescent="0.2">
      <c r="C728" s="1"/>
      <c r="D728" s="1"/>
      <c r="E728" s="1"/>
      <c r="F728" s="1"/>
      <c r="G728" s="1"/>
      <c r="H728" s="1"/>
      <c r="I728" s="1"/>
      <c r="J728" s="1"/>
      <c r="K728" s="1"/>
      <c r="L728" s="1"/>
      <c r="N728" s="1"/>
      <c r="O728" s="1"/>
      <c r="P728" s="1"/>
      <c r="Q728" s="1"/>
      <c r="R728" s="1"/>
      <c r="S728" s="1"/>
    </row>
    <row r="729" spans="3:19" x14ac:dyDescent="0.2">
      <c r="C729" s="1"/>
      <c r="D729" s="1"/>
      <c r="E729" s="1"/>
      <c r="F729" s="1"/>
      <c r="G729" s="1"/>
      <c r="H729" s="1"/>
      <c r="I729" s="1"/>
      <c r="J729" s="1"/>
      <c r="K729" s="1"/>
      <c r="L729" s="1"/>
      <c r="N729" s="1"/>
      <c r="O729" s="1"/>
      <c r="P729" s="1"/>
      <c r="Q729" s="1"/>
      <c r="R729" s="1"/>
      <c r="S729" s="1"/>
    </row>
    <row r="730" spans="3:19" x14ac:dyDescent="0.2">
      <c r="C730" s="1"/>
      <c r="D730" s="1"/>
      <c r="E730" s="1"/>
      <c r="F730" s="1"/>
      <c r="G730" s="1"/>
      <c r="H730" s="1"/>
      <c r="I730" s="1"/>
      <c r="J730" s="1"/>
      <c r="K730" s="1"/>
      <c r="L730" s="1"/>
      <c r="N730" s="1"/>
      <c r="O730" s="1"/>
      <c r="P730" s="1"/>
      <c r="Q730" s="1"/>
      <c r="R730" s="1"/>
      <c r="S730" s="1"/>
    </row>
    <row r="731" spans="3:19" x14ac:dyDescent="0.2">
      <c r="C731" s="1"/>
      <c r="D731" s="1"/>
      <c r="E731" s="1"/>
      <c r="F731" s="1"/>
      <c r="G731" s="1"/>
      <c r="H731" s="1"/>
      <c r="I731" s="1"/>
      <c r="J731" s="1"/>
      <c r="K731" s="1"/>
      <c r="L731" s="1"/>
      <c r="N731" s="1"/>
      <c r="O731" s="1"/>
      <c r="P731" s="1"/>
      <c r="Q731" s="1"/>
      <c r="R731" s="1"/>
      <c r="S731" s="1"/>
    </row>
    <row r="732" spans="3:19" x14ac:dyDescent="0.2">
      <c r="C732" s="1"/>
      <c r="D732" s="1"/>
      <c r="E732" s="1"/>
      <c r="F732" s="1"/>
      <c r="G732" s="1"/>
      <c r="H732" s="1"/>
      <c r="I732" s="1"/>
      <c r="J732" s="1"/>
      <c r="K732" s="1"/>
      <c r="L732" s="1"/>
      <c r="N732" s="1"/>
      <c r="O732" s="1"/>
      <c r="P732" s="1"/>
      <c r="Q732" s="1"/>
      <c r="R732" s="1"/>
      <c r="S732" s="1"/>
    </row>
    <row r="733" spans="3:19" x14ac:dyDescent="0.2">
      <c r="C733" s="1"/>
      <c r="D733" s="1"/>
      <c r="E733" s="1"/>
      <c r="F733" s="1"/>
      <c r="G733" s="1"/>
      <c r="H733" s="1"/>
      <c r="I733" s="1"/>
      <c r="J733" s="1"/>
      <c r="K733" s="1"/>
      <c r="L733" s="1"/>
      <c r="N733" s="1"/>
      <c r="O733" s="1"/>
      <c r="P733" s="1"/>
      <c r="Q733" s="1"/>
      <c r="R733" s="1"/>
      <c r="S733" s="1"/>
    </row>
    <row r="734" spans="3:19" x14ac:dyDescent="0.2">
      <c r="C734" s="1"/>
      <c r="D734" s="1"/>
      <c r="E734" s="1"/>
      <c r="F734" s="1"/>
      <c r="G734" s="1"/>
      <c r="H734" s="1"/>
      <c r="I734" s="1"/>
      <c r="J734" s="1"/>
      <c r="K734" s="1"/>
      <c r="L734" s="1"/>
      <c r="N734" s="1"/>
      <c r="O734" s="1"/>
      <c r="P734" s="1"/>
      <c r="Q734" s="1"/>
      <c r="R734" s="1"/>
      <c r="S734" s="1"/>
    </row>
    <row r="735" spans="3:19" x14ac:dyDescent="0.2">
      <c r="C735" s="1"/>
      <c r="D735" s="1"/>
      <c r="E735" s="1"/>
      <c r="F735" s="1"/>
      <c r="G735" s="1"/>
      <c r="H735" s="1"/>
      <c r="I735" s="1"/>
      <c r="J735" s="1"/>
      <c r="K735" s="1"/>
      <c r="L735" s="1"/>
      <c r="N735" s="1"/>
      <c r="O735" s="1"/>
      <c r="P735" s="1"/>
      <c r="Q735" s="1"/>
      <c r="R735" s="1"/>
      <c r="S735" s="1"/>
    </row>
    <row r="736" spans="3:19" x14ac:dyDescent="0.2">
      <c r="C736" s="1"/>
      <c r="D736" s="1"/>
      <c r="E736" s="1"/>
      <c r="F736" s="1"/>
      <c r="G736" s="1"/>
      <c r="H736" s="1"/>
      <c r="I736" s="1"/>
      <c r="J736" s="1"/>
      <c r="K736" s="1"/>
      <c r="L736" s="1"/>
      <c r="N736" s="1"/>
      <c r="O736" s="1"/>
      <c r="P736" s="1"/>
      <c r="Q736" s="1"/>
      <c r="R736" s="1"/>
      <c r="S736" s="1"/>
    </row>
    <row r="737" spans="3:19" x14ac:dyDescent="0.2">
      <c r="C737" s="1"/>
      <c r="D737" s="1"/>
      <c r="E737" s="1"/>
      <c r="F737" s="1"/>
      <c r="G737" s="1"/>
      <c r="H737" s="1"/>
      <c r="I737" s="1"/>
      <c r="J737" s="1"/>
      <c r="K737" s="1"/>
      <c r="L737" s="1"/>
      <c r="N737" s="1"/>
      <c r="O737" s="1"/>
      <c r="P737" s="1"/>
      <c r="Q737" s="1"/>
      <c r="R737" s="1"/>
      <c r="S737" s="1"/>
    </row>
    <row r="738" spans="3:19" x14ac:dyDescent="0.2">
      <c r="C738" s="1"/>
      <c r="D738" s="1"/>
      <c r="E738" s="1"/>
      <c r="F738" s="1"/>
      <c r="G738" s="1"/>
      <c r="H738" s="1"/>
      <c r="I738" s="1"/>
      <c r="J738" s="1"/>
      <c r="K738" s="1"/>
      <c r="L738" s="1"/>
      <c r="N738" s="1"/>
      <c r="O738" s="1"/>
      <c r="P738" s="1"/>
      <c r="Q738" s="1"/>
      <c r="R738" s="1"/>
      <c r="S738" s="1"/>
    </row>
    <row r="739" spans="3:19" x14ac:dyDescent="0.2">
      <c r="C739" s="1"/>
      <c r="D739" s="1"/>
      <c r="E739" s="1"/>
      <c r="F739" s="1"/>
      <c r="G739" s="1"/>
      <c r="H739" s="1"/>
      <c r="I739" s="1"/>
      <c r="J739" s="1"/>
      <c r="K739" s="1"/>
      <c r="L739" s="1"/>
      <c r="N739" s="1"/>
      <c r="O739" s="1"/>
      <c r="P739" s="1"/>
      <c r="Q739" s="1"/>
      <c r="R739" s="1"/>
      <c r="S739" s="1"/>
    </row>
    <row r="740" spans="3:19" x14ac:dyDescent="0.2">
      <c r="C740" s="1"/>
      <c r="D740" s="1"/>
      <c r="E740" s="1"/>
      <c r="F740" s="1"/>
      <c r="G740" s="1"/>
      <c r="H740" s="1"/>
      <c r="I740" s="1"/>
      <c r="J740" s="1"/>
      <c r="K740" s="1"/>
      <c r="L740" s="1"/>
      <c r="N740" s="1"/>
      <c r="O740" s="1"/>
      <c r="P740" s="1"/>
      <c r="Q740" s="1"/>
      <c r="R740" s="1"/>
      <c r="S740" s="1"/>
    </row>
    <row r="741" spans="3:19" x14ac:dyDescent="0.2">
      <c r="C741" s="1"/>
      <c r="D741" s="1"/>
      <c r="E741" s="1"/>
      <c r="F741" s="1"/>
      <c r="G741" s="1"/>
      <c r="H741" s="1"/>
      <c r="I741" s="1"/>
      <c r="J741" s="1"/>
      <c r="K741" s="1"/>
      <c r="L741" s="1"/>
      <c r="N741" s="1"/>
      <c r="O741" s="1"/>
      <c r="P741" s="1"/>
      <c r="Q741" s="1"/>
      <c r="R741" s="1"/>
      <c r="S741" s="1"/>
    </row>
    <row r="742" spans="3:19" x14ac:dyDescent="0.2">
      <c r="C742" s="1"/>
      <c r="D742" s="1"/>
      <c r="E742" s="1"/>
      <c r="F742" s="1"/>
      <c r="G742" s="1"/>
      <c r="H742" s="1"/>
      <c r="I742" s="1"/>
      <c r="J742" s="1"/>
      <c r="K742" s="1"/>
      <c r="L742" s="1"/>
      <c r="N742" s="1"/>
      <c r="O742" s="1"/>
      <c r="P742" s="1"/>
      <c r="Q742" s="1"/>
      <c r="R742" s="1"/>
      <c r="S742" s="1"/>
    </row>
    <row r="743" spans="3:19" x14ac:dyDescent="0.2">
      <c r="C743" s="1"/>
      <c r="D743" s="1"/>
      <c r="E743" s="1"/>
      <c r="F743" s="1"/>
      <c r="G743" s="1"/>
      <c r="H743" s="1"/>
      <c r="I743" s="1"/>
      <c r="J743" s="1"/>
      <c r="K743" s="1"/>
      <c r="L743" s="1"/>
      <c r="N743" s="1"/>
      <c r="O743" s="1"/>
      <c r="P743" s="1"/>
      <c r="Q743" s="1"/>
      <c r="R743" s="1"/>
      <c r="S743" s="1"/>
    </row>
    <row r="744" spans="3:19" x14ac:dyDescent="0.2">
      <c r="C744" s="1"/>
      <c r="D744" s="1"/>
      <c r="E744" s="1"/>
      <c r="F744" s="1"/>
      <c r="G744" s="1"/>
      <c r="H744" s="1"/>
      <c r="I744" s="1"/>
      <c r="J744" s="1"/>
      <c r="K744" s="1"/>
      <c r="L744" s="1"/>
      <c r="N744" s="1"/>
      <c r="O744" s="1"/>
      <c r="P744" s="1"/>
      <c r="Q744" s="1"/>
      <c r="R744" s="1"/>
      <c r="S744" s="1"/>
    </row>
    <row r="745" spans="3:19" x14ac:dyDescent="0.2">
      <c r="C745" s="1"/>
      <c r="D745" s="1"/>
      <c r="E745" s="1"/>
      <c r="F745" s="1"/>
      <c r="G745" s="1"/>
      <c r="H745" s="1"/>
      <c r="I745" s="1"/>
      <c r="J745" s="1"/>
      <c r="K745" s="1"/>
      <c r="L745" s="1"/>
      <c r="N745" s="1"/>
      <c r="O745" s="1"/>
      <c r="P745" s="1"/>
      <c r="Q745" s="1"/>
      <c r="R745" s="1"/>
      <c r="S745" s="1"/>
    </row>
    <row r="746" spans="3:19" x14ac:dyDescent="0.2">
      <c r="C746" s="1"/>
      <c r="D746" s="1"/>
      <c r="E746" s="1"/>
      <c r="F746" s="1"/>
      <c r="G746" s="1"/>
      <c r="H746" s="1"/>
      <c r="I746" s="1"/>
      <c r="J746" s="1"/>
      <c r="K746" s="1"/>
      <c r="L746" s="1"/>
      <c r="N746" s="1"/>
      <c r="O746" s="1"/>
      <c r="P746" s="1"/>
      <c r="Q746" s="1"/>
      <c r="R746" s="1"/>
      <c r="S746" s="1"/>
    </row>
    <row r="747" spans="3:19" x14ac:dyDescent="0.2">
      <c r="C747" s="1"/>
      <c r="D747" s="1"/>
      <c r="E747" s="1"/>
      <c r="F747" s="1"/>
      <c r="G747" s="1"/>
      <c r="H747" s="1"/>
      <c r="I747" s="1"/>
      <c r="J747" s="1"/>
      <c r="K747" s="1"/>
      <c r="L747" s="1"/>
      <c r="N747" s="1"/>
      <c r="O747" s="1"/>
      <c r="P747" s="1"/>
      <c r="Q747" s="1"/>
      <c r="R747" s="1"/>
      <c r="S747" s="1"/>
    </row>
    <row r="748" spans="3:19" x14ac:dyDescent="0.2">
      <c r="C748" s="1"/>
      <c r="D748" s="1"/>
      <c r="E748" s="1"/>
      <c r="F748" s="1"/>
      <c r="G748" s="1"/>
      <c r="H748" s="1"/>
      <c r="I748" s="1"/>
      <c r="J748" s="1"/>
      <c r="K748" s="1"/>
      <c r="L748" s="1"/>
      <c r="N748" s="1"/>
      <c r="O748" s="1"/>
      <c r="P748" s="1"/>
      <c r="Q748" s="1"/>
      <c r="R748" s="1"/>
      <c r="S748" s="1"/>
    </row>
    <row r="749" spans="3:19" x14ac:dyDescent="0.2">
      <c r="C749" s="1"/>
      <c r="D749" s="1"/>
      <c r="E749" s="1"/>
      <c r="F749" s="1"/>
      <c r="G749" s="1"/>
      <c r="H749" s="1"/>
      <c r="I749" s="1"/>
      <c r="J749" s="1"/>
      <c r="K749" s="1"/>
      <c r="L749" s="1"/>
      <c r="N749" s="1"/>
      <c r="O749" s="1"/>
      <c r="P749" s="1"/>
      <c r="Q749" s="1"/>
      <c r="R749" s="1"/>
      <c r="S749" s="1"/>
    </row>
    <row r="750" spans="3:19" x14ac:dyDescent="0.2">
      <c r="C750" s="1"/>
      <c r="D750" s="1"/>
      <c r="E750" s="1"/>
      <c r="F750" s="1"/>
      <c r="G750" s="1"/>
      <c r="H750" s="1"/>
      <c r="I750" s="1"/>
      <c r="J750" s="1"/>
      <c r="K750" s="1"/>
      <c r="L750" s="1"/>
      <c r="N750" s="1"/>
      <c r="O750" s="1"/>
      <c r="P750" s="1"/>
      <c r="Q750" s="1"/>
      <c r="R750" s="1"/>
      <c r="S750" s="1"/>
    </row>
    <row r="751" spans="3:19" x14ac:dyDescent="0.2">
      <c r="C751" s="1"/>
      <c r="D751" s="1"/>
      <c r="E751" s="1"/>
      <c r="F751" s="1"/>
      <c r="G751" s="1"/>
      <c r="H751" s="1"/>
      <c r="I751" s="1"/>
      <c r="J751" s="1"/>
      <c r="K751" s="1"/>
      <c r="L751" s="1"/>
      <c r="N751" s="1"/>
      <c r="O751" s="1"/>
      <c r="P751" s="1"/>
      <c r="Q751" s="1"/>
      <c r="R751" s="1"/>
      <c r="S751" s="1"/>
    </row>
    <row r="752" spans="3:19" x14ac:dyDescent="0.2">
      <c r="C752" s="1"/>
      <c r="D752" s="1"/>
      <c r="E752" s="1"/>
      <c r="F752" s="1"/>
      <c r="G752" s="1"/>
      <c r="H752" s="1"/>
      <c r="I752" s="1"/>
      <c r="J752" s="1"/>
      <c r="K752" s="1"/>
      <c r="L752" s="1"/>
      <c r="N752" s="1"/>
      <c r="O752" s="1"/>
      <c r="P752" s="1"/>
      <c r="Q752" s="1"/>
      <c r="R752" s="1"/>
      <c r="S752" s="1"/>
    </row>
    <row r="753" spans="3:19" x14ac:dyDescent="0.2">
      <c r="C753" s="1"/>
      <c r="D753" s="1"/>
      <c r="E753" s="1"/>
      <c r="F753" s="1"/>
      <c r="G753" s="1"/>
      <c r="H753" s="1"/>
      <c r="I753" s="1"/>
      <c r="J753" s="1"/>
      <c r="K753" s="1"/>
      <c r="L753" s="1"/>
      <c r="N753" s="1"/>
      <c r="O753" s="1"/>
      <c r="P753" s="1"/>
      <c r="Q753" s="1"/>
      <c r="R753" s="1"/>
      <c r="S753" s="1"/>
    </row>
    <row r="754" spans="3:19" x14ac:dyDescent="0.2">
      <c r="C754" s="1"/>
      <c r="D754" s="1"/>
      <c r="E754" s="1"/>
      <c r="F754" s="1"/>
      <c r="G754" s="1"/>
      <c r="H754" s="1"/>
      <c r="I754" s="1"/>
      <c r="J754" s="1"/>
      <c r="K754" s="1"/>
      <c r="L754" s="1"/>
      <c r="N754" s="1"/>
      <c r="O754" s="1"/>
      <c r="P754" s="1"/>
      <c r="Q754" s="1"/>
      <c r="R754" s="1"/>
      <c r="S754" s="1"/>
    </row>
    <row r="755" spans="3:19" x14ac:dyDescent="0.2">
      <c r="C755" s="1"/>
      <c r="D755" s="1"/>
      <c r="E755" s="1"/>
      <c r="F755" s="1"/>
      <c r="G755" s="1"/>
      <c r="H755" s="1"/>
      <c r="I755" s="1"/>
      <c r="J755" s="1"/>
      <c r="K755" s="1"/>
      <c r="L755" s="1"/>
      <c r="N755" s="1"/>
      <c r="O755" s="1"/>
      <c r="P755" s="1"/>
      <c r="Q755" s="1"/>
      <c r="R755" s="1"/>
      <c r="S755" s="1"/>
    </row>
    <row r="756" spans="3:19" x14ac:dyDescent="0.2">
      <c r="C756" s="1"/>
      <c r="D756" s="1"/>
      <c r="E756" s="1"/>
      <c r="F756" s="1"/>
      <c r="G756" s="1"/>
      <c r="H756" s="1"/>
      <c r="I756" s="1"/>
      <c r="J756" s="1"/>
      <c r="K756" s="1"/>
      <c r="L756" s="1"/>
      <c r="N756" s="1"/>
      <c r="O756" s="1"/>
      <c r="P756" s="1"/>
      <c r="Q756" s="1"/>
      <c r="R756" s="1"/>
      <c r="S756" s="1"/>
    </row>
    <row r="757" spans="3:19" x14ac:dyDescent="0.2">
      <c r="C757" s="1"/>
      <c r="D757" s="1"/>
      <c r="E757" s="1"/>
      <c r="F757" s="1"/>
      <c r="G757" s="1"/>
      <c r="H757" s="1"/>
      <c r="I757" s="1"/>
      <c r="J757" s="1"/>
      <c r="K757" s="1"/>
      <c r="L757" s="1"/>
      <c r="N757" s="1"/>
      <c r="O757" s="1"/>
      <c r="P757" s="1"/>
      <c r="Q757" s="1"/>
      <c r="R757" s="1"/>
      <c r="S757" s="1"/>
    </row>
    <row r="758" spans="3:19" x14ac:dyDescent="0.2">
      <c r="C758" s="1"/>
      <c r="D758" s="1"/>
      <c r="E758" s="1"/>
      <c r="F758" s="1"/>
      <c r="G758" s="1"/>
      <c r="H758" s="1"/>
      <c r="I758" s="1"/>
      <c r="J758" s="1"/>
      <c r="K758" s="1"/>
      <c r="L758" s="1"/>
      <c r="N758" s="1"/>
      <c r="O758" s="1"/>
      <c r="P758" s="1"/>
      <c r="Q758" s="1"/>
      <c r="R758" s="1"/>
      <c r="S758" s="1"/>
    </row>
    <row r="759" spans="3:19" x14ac:dyDescent="0.2">
      <c r="C759" s="1"/>
      <c r="D759" s="1"/>
      <c r="E759" s="1"/>
      <c r="F759" s="1"/>
      <c r="G759" s="1"/>
      <c r="H759" s="1"/>
      <c r="I759" s="1"/>
      <c r="J759" s="1"/>
      <c r="K759" s="1"/>
      <c r="L759" s="1"/>
      <c r="N759" s="1"/>
      <c r="O759" s="1"/>
      <c r="P759" s="1"/>
      <c r="Q759" s="1"/>
      <c r="R759" s="1"/>
      <c r="S759" s="1"/>
    </row>
    <row r="760" spans="3:19" x14ac:dyDescent="0.2">
      <c r="C760" s="1"/>
      <c r="D760" s="1"/>
      <c r="E760" s="1"/>
      <c r="F760" s="1"/>
      <c r="G760" s="1"/>
      <c r="H760" s="1"/>
      <c r="I760" s="1"/>
      <c r="J760" s="1"/>
      <c r="K760" s="1"/>
      <c r="L760" s="1"/>
      <c r="N760" s="1"/>
      <c r="O760" s="1"/>
      <c r="P760" s="1"/>
      <c r="Q760" s="1"/>
      <c r="R760" s="1"/>
      <c r="S760" s="1"/>
    </row>
    <row r="761" spans="3:19" x14ac:dyDescent="0.2"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1"/>
      <c r="O761" s="1"/>
      <c r="P761" s="1"/>
      <c r="Q761" s="1"/>
      <c r="R761" s="1"/>
      <c r="S761" s="1"/>
    </row>
    <row r="762" spans="3:19" x14ac:dyDescent="0.2">
      <c r="C762" s="1"/>
      <c r="D762" s="1"/>
      <c r="E762" s="1"/>
      <c r="F762" s="1"/>
      <c r="G762" s="1"/>
      <c r="H762" s="1"/>
      <c r="I762" s="1"/>
      <c r="J762" s="1"/>
      <c r="K762" s="1"/>
      <c r="L762" s="1"/>
      <c r="N762" s="1"/>
      <c r="O762" s="1"/>
      <c r="P762" s="1"/>
      <c r="Q762" s="1"/>
      <c r="R762" s="1"/>
      <c r="S762" s="1"/>
    </row>
    <row r="763" spans="3:19" x14ac:dyDescent="0.2">
      <c r="C763" s="1"/>
      <c r="D763" s="1"/>
      <c r="E763" s="1"/>
      <c r="F763" s="1"/>
      <c r="G763" s="1"/>
      <c r="H763" s="1"/>
      <c r="I763" s="1"/>
      <c r="J763" s="1"/>
      <c r="K763" s="1"/>
      <c r="L763" s="1"/>
      <c r="N763" s="1"/>
      <c r="O763" s="1"/>
      <c r="P763" s="1"/>
      <c r="Q763" s="1"/>
      <c r="R763" s="1"/>
      <c r="S763" s="1"/>
    </row>
    <row r="764" spans="3:19" x14ac:dyDescent="0.2">
      <c r="C764" s="1"/>
      <c r="D764" s="1"/>
      <c r="E764" s="1"/>
      <c r="F764" s="1"/>
      <c r="G764" s="1"/>
      <c r="H764" s="1"/>
      <c r="I764" s="1"/>
      <c r="J764" s="1"/>
      <c r="K764" s="1"/>
      <c r="L764" s="1"/>
      <c r="N764" s="1"/>
      <c r="O764" s="1"/>
      <c r="P764" s="1"/>
      <c r="Q764" s="1"/>
      <c r="R764" s="1"/>
      <c r="S764" s="1"/>
    </row>
    <row r="765" spans="3:19" x14ac:dyDescent="0.2">
      <c r="C765" s="1"/>
      <c r="D765" s="1"/>
      <c r="E765" s="1"/>
      <c r="F765" s="1"/>
      <c r="G765" s="1"/>
      <c r="H765" s="1"/>
      <c r="I765" s="1"/>
      <c r="J765" s="1"/>
      <c r="K765" s="1"/>
      <c r="L765" s="1"/>
      <c r="N765" s="1"/>
      <c r="O765" s="1"/>
      <c r="P765" s="1"/>
      <c r="Q765" s="1"/>
      <c r="R765" s="1"/>
      <c r="S765" s="1"/>
    </row>
    <row r="766" spans="3:19" x14ac:dyDescent="0.2">
      <c r="C766" s="1"/>
      <c r="D766" s="1"/>
      <c r="E766" s="1"/>
      <c r="F766" s="1"/>
      <c r="G766" s="1"/>
      <c r="H766" s="1"/>
      <c r="I766" s="1"/>
      <c r="J766" s="1"/>
      <c r="K766" s="1"/>
      <c r="L766" s="1"/>
      <c r="N766" s="1"/>
      <c r="O766" s="1"/>
      <c r="P766" s="1"/>
      <c r="Q766" s="1"/>
      <c r="R766" s="1"/>
      <c r="S766" s="1"/>
    </row>
    <row r="767" spans="3:19" x14ac:dyDescent="0.2">
      <c r="C767" s="1"/>
      <c r="D767" s="1"/>
      <c r="E767" s="1"/>
      <c r="F767" s="1"/>
      <c r="G767" s="1"/>
      <c r="H767" s="1"/>
      <c r="I767" s="1"/>
      <c r="J767" s="1"/>
      <c r="K767" s="1"/>
      <c r="L767" s="1"/>
      <c r="N767" s="1"/>
      <c r="O767" s="1"/>
      <c r="P767" s="1"/>
      <c r="Q767" s="1"/>
      <c r="R767" s="1"/>
      <c r="S767" s="1"/>
    </row>
    <row r="768" spans="3:19" x14ac:dyDescent="0.2">
      <c r="C768" s="1"/>
      <c r="D768" s="1"/>
      <c r="E768" s="1"/>
      <c r="F768" s="1"/>
      <c r="G768" s="1"/>
      <c r="H768" s="1"/>
      <c r="I768" s="1"/>
      <c r="J768" s="1"/>
      <c r="K768" s="1"/>
      <c r="L768" s="1"/>
      <c r="N768" s="1"/>
      <c r="O768" s="1"/>
      <c r="P768" s="1"/>
      <c r="Q768" s="1"/>
      <c r="R768" s="1"/>
      <c r="S768" s="1"/>
    </row>
    <row r="769" spans="3:19" x14ac:dyDescent="0.2">
      <c r="C769" s="1"/>
      <c r="D769" s="1"/>
      <c r="E769" s="1"/>
      <c r="F769" s="1"/>
      <c r="G769" s="1"/>
      <c r="H769" s="1"/>
      <c r="I769" s="1"/>
      <c r="J769" s="1"/>
      <c r="K769" s="1"/>
      <c r="L769" s="1"/>
      <c r="N769" s="1"/>
      <c r="O769" s="1"/>
      <c r="P769" s="1"/>
      <c r="Q769" s="1"/>
      <c r="R769" s="1"/>
      <c r="S769" s="1"/>
    </row>
    <row r="770" spans="3:19" x14ac:dyDescent="0.2">
      <c r="C770" s="1"/>
      <c r="D770" s="1"/>
      <c r="E770" s="1"/>
      <c r="F770" s="1"/>
      <c r="G770" s="1"/>
      <c r="H770" s="1"/>
      <c r="I770" s="1"/>
      <c r="J770" s="1"/>
      <c r="K770" s="1"/>
      <c r="L770" s="1"/>
      <c r="N770" s="1"/>
      <c r="O770" s="1"/>
      <c r="P770" s="1"/>
      <c r="Q770" s="1"/>
      <c r="R770" s="1"/>
      <c r="S770" s="1"/>
    </row>
    <row r="771" spans="3:19" x14ac:dyDescent="0.2">
      <c r="C771" s="1"/>
      <c r="D771" s="1"/>
      <c r="E771" s="1"/>
      <c r="F771" s="1"/>
      <c r="G771" s="1"/>
      <c r="H771" s="1"/>
      <c r="I771" s="1"/>
      <c r="J771" s="1"/>
      <c r="K771" s="1"/>
      <c r="L771" s="1"/>
      <c r="N771" s="1"/>
      <c r="O771" s="1"/>
      <c r="P771" s="1"/>
      <c r="Q771" s="1"/>
      <c r="R771" s="1"/>
      <c r="S771" s="1"/>
    </row>
    <row r="772" spans="3:19" x14ac:dyDescent="0.2">
      <c r="C772" s="1"/>
      <c r="D772" s="1"/>
      <c r="E772" s="1"/>
      <c r="F772" s="1"/>
      <c r="G772" s="1"/>
      <c r="H772" s="1"/>
      <c r="I772" s="1"/>
      <c r="J772" s="1"/>
      <c r="K772" s="1"/>
      <c r="L772" s="1"/>
      <c r="N772" s="1"/>
      <c r="O772" s="1"/>
      <c r="P772" s="1"/>
      <c r="Q772" s="1"/>
      <c r="R772" s="1"/>
      <c r="S772" s="1"/>
    </row>
    <row r="773" spans="3:19" x14ac:dyDescent="0.2">
      <c r="C773" s="1"/>
      <c r="D773" s="1"/>
      <c r="E773" s="1"/>
      <c r="F773" s="1"/>
      <c r="G773" s="1"/>
      <c r="H773" s="1"/>
      <c r="I773" s="1"/>
      <c r="J773" s="1"/>
      <c r="K773" s="1"/>
      <c r="L773" s="1"/>
      <c r="N773" s="1"/>
      <c r="O773" s="1"/>
      <c r="P773" s="1"/>
      <c r="Q773" s="1"/>
      <c r="R773" s="1"/>
      <c r="S773" s="1"/>
    </row>
    <row r="774" spans="3:19" x14ac:dyDescent="0.2">
      <c r="C774" s="1"/>
      <c r="D774" s="1"/>
      <c r="E774" s="1"/>
      <c r="F774" s="1"/>
      <c r="G774" s="1"/>
      <c r="H774" s="1"/>
      <c r="I774" s="1"/>
      <c r="J774" s="1"/>
      <c r="K774" s="1"/>
      <c r="L774" s="1"/>
      <c r="N774" s="1"/>
      <c r="O774" s="1"/>
      <c r="P774" s="1"/>
      <c r="Q774" s="1"/>
      <c r="R774" s="1"/>
      <c r="S774" s="1"/>
    </row>
    <row r="775" spans="3:19" x14ac:dyDescent="0.2">
      <c r="C775" s="1"/>
      <c r="D775" s="1"/>
      <c r="E775" s="1"/>
      <c r="F775" s="1"/>
      <c r="G775" s="1"/>
      <c r="H775" s="1"/>
      <c r="I775" s="1"/>
      <c r="J775" s="1"/>
      <c r="K775" s="1"/>
      <c r="L775" s="1"/>
      <c r="N775" s="1"/>
      <c r="O775" s="1"/>
      <c r="P775" s="1"/>
      <c r="Q775" s="1"/>
      <c r="R775" s="1"/>
      <c r="S775" s="1"/>
    </row>
    <row r="776" spans="3:19" x14ac:dyDescent="0.2">
      <c r="C776" s="1"/>
      <c r="D776" s="1"/>
      <c r="E776" s="1"/>
      <c r="F776" s="1"/>
      <c r="G776" s="1"/>
      <c r="H776" s="1"/>
      <c r="I776" s="1"/>
      <c r="J776" s="1"/>
      <c r="K776" s="1"/>
      <c r="L776" s="1"/>
      <c r="N776" s="1"/>
      <c r="O776" s="1"/>
      <c r="P776" s="1"/>
      <c r="Q776" s="1"/>
      <c r="R776" s="1"/>
      <c r="S776" s="1"/>
    </row>
    <row r="777" spans="3:19" x14ac:dyDescent="0.2">
      <c r="C777" s="1"/>
      <c r="D777" s="1"/>
      <c r="E777" s="1"/>
      <c r="F777" s="1"/>
      <c r="G777" s="1"/>
      <c r="H777" s="1"/>
      <c r="I777" s="1"/>
      <c r="J777" s="1"/>
      <c r="K777" s="1"/>
      <c r="L777" s="1"/>
      <c r="N777" s="1"/>
      <c r="O777" s="1"/>
      <c r="P777" s="1"/>
      <c r="Q777" s="1"/>
      <c r="R777" s="1"/>
      <c r="S777" s="1"/>
    </row>
    <row r="778" spans="3:19" x14ac:dyDescent="0.2">
      <c r="C778" s="1"/>
      <c r="D778" s="1"/>
      <c r="E778" s="1"/>
      <c r="F778" s="1"/>
      <c r="G778" s="1"/>
      <c r="H778" s="1"/>
      <c r="I778" s="1"/>
      <c r="J778" s="1"/>
      <c r="K778" s="1"/>
      <c r="L778" s="1"/>
      <c r="N778" s="1"/>
      <c r="O778" s="1"/>
      <c r="P778" s="1"/>
      <c r="Q778" s="1"/>
      <c r="R778" s="1"/>
      <c r="S778" s="1"/>
    </row>
    <row r="779" spans="3:19" x14ac:dyDescent="0.2">
      <c r="C779" s="1"/>
      <c r="D779" s="1"/>
      <c r="E779" s="1"/>
      <c r="F779" s="1"/>
      <c r="G779" s="1"/>
      <c r="H779" s="1"/>
      <c r="I779" s="1"/>
      <c r="J779" s="1"/>
      <c r="K779" s="1"/>
      <c r="L779" s="1"/>
      <c r="N779" s="1"/>
      <c r="O779" s="1"/>
      <c r="P779" s="1"/>
      <c r="Q779" s="1"/>
      <c r="R779" s="1"/>
      <c r="S779" s="1"/>
    </row>
    <row r="780" spans="3:19" x14ac:dyDescent="0.2">
      <c r="C780" s="1"/>
      <c r="D780" s="1"/>
      <c r="E780" s="1"/>
      <c r="F780" s="1"/>
      <c r="G780" s="1"/>
      <c r="H780" s="1"/>
      <c r="I780" s="1"/>
      <c r="J780" s="1"/>
      <c r="K780" s="1"/>
      <c r="L780" s="1"/>
      <c r="N780" s="1"/>
      <c r="O780" s="1"/>
      <c r="P780" s="1"/>
      <c r="Q780" s="1"/>
      <c r="R780" s="1"/>
      <c r="S780" s="1"/>
    </row>
    <row r="781" spans="3:19" x14ac:dyDescent="0.2">
      <c r="C781" s="1"/>
      <c r="D781" s="1"/>
      <c r="E781" s="1"/>
      <c r="F781" s="1"/>
      <c r="G781" s="1"/>
      <c r="H781" s="1"/>
      <c r="I781" s="1"/>
      <c r="J781" s="1"/>
      <c r="K781" s="1"/>
      <c r="L781" s="1"/>
      <c r="N781" s="1"/>
      <c r="O781" s="1"/>
      <c r="P781" s="1"/>
      <c r="Q781" s="1"/>
      <c r="R781" s="1"/>
      <c r="S781" s="1"/>
    </row>
    <row r="782" spans="3:19" x14ac:dyDescent="0.2">
      <c r="C782" s="1"/>
      <c r="D782" s="1"/>
      <c r="E782" s="1"/>
      <c r="F782" s="1"/>
      <c r="G782" s="1"/>
      <c r="H782" s="1"/>
      <c r="I782" s="1"/>
      <c r="J782" s="1"/>
      <c r="K782" s="1"/>
      <c r="L782" s="1"/>
      <c r="N782" s="1"/>
      <c r="O782" s="1"/>
      <c r="P782" s="1"/>
      <c r="Q782" s="1"/>
      <c r="R782" s="1"/>
      <c r="S782" s="1"/>
    </row>
    <row r="783" spans="3:19" x14ac:dyDescent="0.2">
      <c r="C783" s="1"/>
      <c r="D783" s="1"/>
      <c r="E783" s="1"/>
      <c r="F783" s="1"/>
      <c r="G783" s="1"/>
      <c r="H783" s="1"/>
      <c r="I783" s="1"/>
      <c r="J783" s="1"/>
      <c r="K783" s="1"/>
      <c r="L783" s="1"/>
      <c r="N783" s="1"/>
      <c r="O783" s="1"/>
      <c r="P783" s="1"/>
      <c r="Q783" s="1"/>
      <c r="R783" s="1"/>
      <c r="S783" s="1"/>
    </row>
    <row r="784" spans="3:19" x14ac:dyDescent="0.2">
      <c r="C784" s="1"/>
      <c r="D784" s="1"/>
      <c r="E784" s="1"/>
      <c r="F784" s="1"/>
      <c r="G784" s="1"/>
      <c r="H784" s="1"/>
      <c r="I784" s="1"/>
      <c r="J784" s="1"/>
      <c r="K784" s="1"/>
      <c r="L784" s="1"/>
      <c r="N784" s="1"/>
      <c r="O784" s="1"/>
      <c r="P784" s="1"/>
      <c r="Q784" s="1"/>
      <c r="R784" s="1"/>
      <c r="S784" s="1"/>
    </row>
    <row r="785" spans="3:19" x14ac:dyDescent="0.2">
      <c r="C785" s="1"/>
      <c r="D785" s="1"/>
      <c r="E785" s="1"/>
      <c r="F785" s="1"/>
      <c r="G785" s="1"/>
      <c r="H785" s="1"/>
      <c r="I785" s="1"/>
      <c r="J785" s="1"/>
      <c r="K785" s="1"/>
      <c r="L785" s="1"/>
      <c r="N785" s="1"/>
      <c r="O785" s="1"/>
      <c r="P785" s="1"/>
      <c r="Q785" s="1"/>
      <c r="R785" s="1"/>
      <c r="S785" s="1"/>
    </row>
    <row r="786" spans="3:19" x14ac:dyDescent="0.2">
      <c r="C786" s="1"/>
      <c r="D786" s="1"/>
      <c r="E786" s="1"/>
      <c r="F786" s="1"/>
      <c r="G786" s="1"/>
      <c r="H786" s="1"/>
      <c r="I786" s="1"/>
      <c r="J786" s="1"/>
      <c r="K786" s="1"/>
      <c r="L786" s="1"/>
      <c r="N786" s="1"/>
      <c r="O786" s="1"/>
      <c r="P786" s="1"/>
      <c r="Q786" s="1"/>
      <c r="R786" s="1"/>
      <c r="S786" s="1"/>
    </row>
    <row r="787" spans="3:19" x14ac:dyDescent="0.2">
      <c r="C787" s="1"/>
      <c r="D787" s="1"/>
      <c r="E787" s="1"/>
      <c r="F787" s="1"/>
      <c r="G787" s="1"/>
      <c r="H787" s="1"/>
      <c r="I787" s="1"/>
      <c r="J787" s="1"/>
      <c r="K787" s="1"/>
      <c r="L787" s="1"/>
      <c r="N787" s="1"/>
      <c r="O787" s="1"/>
      <c r="P787" s="1"/>
      <c r="Q787" s="1"/>
      <c r="R787" s="1"/>
      <c r="S787" s="1"/>
    </row>
    <row r="788" spans="3:19" x14ac:dyDescent="0.2">
      <c r="C788" s="1"/>
      <c r="D788" s="1"/>
      <c r="E788" s="1"/>
      <c r="F788" s="1"/>
      <c r="G788" s="1"/>
      <c r="H788" s="1"/>
      <c r="I788" s="1"/>
      <c r="J788" s="1"/>
      <c r="K788" s="1"/>
      <c r="L788" s="1"/>
      <c r="N788" s="1"/>
      <c r="O788" s="1"/>
      <c r="P788" s="1"/>
      <c r="Q788" s="1"/>
      <c r="R788" s="1"/>
      <c r="S788" s="1"/>
    </row>
    <row r="789" spans="3:19" x14ac:dyDescent="0.2">
      <c r="C789" s="1"/>
      <c r="D789" s="1"/>
      <c r="E789" s="1"/>
      <c r="F789" s="1"/>
      <c r="G789" s="1"/>
      <c r="H789" s="1"/>
      <c r="I789" s="1"/>
      <c r="J789" s="1"/>
      <c r="K789" s="1"/>
      <c r="L789" s="1"/>
      <c r="N789" s="1"/>
      <c r="O789" s="1"/>
      <c r="P789" s="1"/>
      <c r="Q789" s="1"/>
      <c r="R789" s="1"/>
      <c r="S789" s="1"/>
    </row>
    <row r="790" spans="3:19" x14ac:dyDescent="0.2">
      <c r="C790" s="1"/>
      <c r="D790" s="1"/>
      <c r="E790" s="1"/>
      <c r="F790" s="1"/>
      <c r="G790" s="1"/>
      <c r="H790" s="1"/>
      <c r="I790" s="1"/>
      <c r="J790" s="1"/>
      <c r="K790" s="1"/>
      <c r="L790" s="1"/>
      <c r="N790" s="1"/>
      <c r="O790" s="1"/>
      <c r="P790" s="1"/>
      <c r="Q790" s="1"/>
      <c r="R790" s="1"/>
      <c r="S790" s="1"/>
    </row>
    <row r="791" spans="3:19" x14ac:dyDescent="0.2">
      <c r="C791" s="1"/>
      <c r="D791" s="1"/>
      <c r="E791" s="1"/>
      <c r="F791" s="1"/>
      <c r="G791" s="1"/>
      <c r="H791" s="1"/>
      <c r="I791" s="1"/>
      <c r="J791" s="1"/>
      <c r="K791" s="1"/>
      <c r="L791" s="1"/>
      <c r="N791" s="1"/>
      <c r="O791" s="1"/>
      <c r="P791" s="1"/>
      <c r="Q791" s="1"/>
      <c r="R791" s="1"/>
      <c r="S791" s="1"/>
    </row>
    <row r="792" spans="3:19" x14ac:dyDescent="0.2">
      <c r="C792" s="1"/>
      <c r="D792" s="1"/>
      <c r="E792" s="1"/>
      <c r="F792" s="1"/>
      <c r="G792" s="1"/>
      <c r="H792" s="1"/>
      <c r="I792" s="1"/>
      <c r="J792" s="1"/>
      <c r="K792" s="1"/>
      <c r="L792" s="1"/>
      <c r="N792" s="1"/>
      <c r="O792" s="1"/>
      <c r="P792" s="1"/>
      <c r="Q792" s="1"/>
      <c r="R792" s="1"/>
      <c r="S792" s="1"/>
    </row>
    <row r="793" spans="3:19" x14ac:dyDescent="0.2">
      <c r="C793" s="1"/>
      <c r="D793" s="1"/>
      <c r="E793" s="1"/>
      <c r="F793" s="1"/>
      <c r="G793" s="1"/>
      <c r="H793" s="1"/>
      <c r="I793" s="1"/>
      <c r="J793" s="1"/>
      <c r="K793" s="1"/>
      <c r="L793" s="1"/>
      <c r="N793" s="1"/>
      <c r="O793" s="1"/>
      <c r="P793" s="1"/>
      <c r="Q793" s="1"/>
      <c r="R793" s="1"/>
      <c r="S793" s="1"/>
    </row>
    <row r="794" spans="3:19" x14ac:dyDescent="0.2">
      <c r="C794" s="1"/>
      <c r="D794" s="1"/>
      <c r="E794" s="1"/>
      <c r="F794" s="1"/>
      <c r="G794" s="1"/>
      <c r="H794" s="1"/>
      <c r="I794" s="1"/>
      <c r="J794" s="1"/>
      <c r="K794" s="1"/>
      <c r="L794" s="1"/>
      <c r="N794" s="1"/>
      <c r="O794" s="1"/>
      <c r="P794" s="1"/>
      <c r="Q794" s="1"/>
      <c r="R794" s="1"/>
      <c r="S794" s="1"/>
    </row>
    <row r="795" spans="3:19" x14ac:dyDescent="0.2">
      <c r="C795" s="1"/>
      <c r="D795" s="1"/>
      <c r="E795" s="1"/>
      <c r="F795" s="1"/>
      <c r="G795" s="1"/>
      <c r="H795" s="1"/>
      <c r="I795" s="1"/>
      <c r="J795" s="1"/>
      <c r="K795" s="1"/>
      <c r="L795" s="1"/>
      <c r="N795" s="1"/>
      <c r="O795" s="1"/>
      <c r="P795" s="1"/>
      <c r="Q795" s="1"/>
      <c r="R795" s="1"/>
      <c r="S795" s="1"/>
    </row>
    <row r="796" spans="3:19" x14ac:dyDescent="0.2">
      <c r="C796" s="1"/>
      <c r="D796" s="1"/>
      <c r="E796" s="1"/>
      <c r="F796" s="1"/>
      <c r="G796" s="1"/>
      <c r="H796" s="1"/>
      <c r="I796" s="1"/>
      <c r="J796" s="1"/>
      <c r="K796" s="1"/>
      <c r="L796" s="1"/>
      <c r="N796" s="1"/>
      <c r="O796" s="1"/>
      <c r="P796" s="1"/>
      <c r="Q796" s="1"/>
      <c r="R796" s="1"/>
      <c r="S796" s="1"/>
    </row>
    <row r="797" spans="3:19" x14ac:dyDescent="0.2">
      <c r="C797" s="1"/>
      <c r="D797" s="1"/>
      <c r="E797" s="1"/>
      <c r="F797" s="1"/>
      <c r="G797" s="1"/>
      <c r="H797" s="1"/>
      <c r="I797" s="1"/>
      <c r="J797" s="1"/>
      <c r="K797" s="1"/>
      <c r="L797" s="1"/>
      <c r="N797" s="1"/>
      <c r="O797" s="1"/>
      <c r="P797" s="1"/>
      <c r="Q797" s="1"/>
      <c r="R797" s="1"/>
      <c r="S797" s="1"/>
    </row>
    <row r="798" spans="3:19" x14ac:dyDescent="0.2">
      <c r="C798" s="1"/>
      <c r="D798" s="1"/>
      <c r="E798" s="1"/>
      <c r="F798" s="1"/>
      <c r="G798" s="1"/>
      <c r="H798" s="1"/>
      <c r="I798" s="1"/>
      <c r="J798" s="1"/>
      <c r="K798" s="1"/>
      <c r="L798" s="1"/>
      <c r="N798" s="1"/>
      <c r="O798" s="1"/>
      <c r="P798" s="1"/>
      <c r="Q798" s="1"/>
      <c r="R798" s="1"/>
      <c r="S798" s="1"/>
    </row>
    <row r="799" spans="3:19" x14ac:dyDescent="0.2"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1"/>
      <c r="O799" s="1"/>
      <c r="P799" s="1"/>
      <c r="Q799" s="1"/>
      <c r="R799" s="1"/>
      <c r="S799" s="1"/>
    </row>
    <row r="800" spans="3:19" x14ac:dyDescent="0.2">
      <c r="C800" s="1"/>
      <c r="D800" s="1"/>
      <c r="E800" s="1"/>
      <c r="F800" s="1"/>
      <c r="G800" s="1"/>
      <c r="H800" s="1"/>
      <c r="I800" s="1"/>
      <c r="J800" s="1"/>
      <c r="K800" s="1"/>
      <c r="L800" s="1"/>
      <c r="N800" s="1"/>
      <c r="O800" s="1"/>
      <c r="P800" s="1"/>
      <c r="Q800" s="1"/>
      <c r="R800" s="1"/>
      <c r="S800" s="1"/>
    </row>
    <row r="801" spans="3:19" x14ac:dyDescent="0.2">
      <c r="C801" s="1"/>
      <c r="D801" s="1"/>
      <c r="E801" s="1"/>
      <c r="F801" s="1"/>
      <c r="G801" s="1"/>
      <c r="H801" s="1"/>
      <c r="I801" s="1"/>
      <c r="J801" s="1"/>
      <c r="K801" s="1"/>
      <c r="L801" s="1"/>
      <c r="N801" s="1"/>
      <c r="O801" s="1"/>
      <c r="P801" s="1"/>
      <c r="Q801" s="1"/>
      <c r="R801" s="1"/>
      <c r="S801" s="1"/>
    </row>
    <row r="802" spans="3:19" x14ac:dyDescent="0.2">
      <c r="C802" s="1"/>
      <c r="D802" s="1"/>
      <c r="E802" s="1"/>
      <c r="F802" s="1"/>
      <c r="G802" s="1"/>
      <c r="H802" s="1"/>
      <c r="I802" s="1"/>
      <c r="J802" s="1"/>
      <c r="K802" s="1"/>
      <c r="L802" s="1"/>
      <c r="N802" s="1"/>
      <c r="O802" s="1"/>
      <c r="P802" s="1"/>
      <c r="Q802" s="1"/>
      <c r="R802" s="1"/>
      <c r="S802" s="1"/>
    </row>
    <row r="803" spans="3:19" x14ac:dyDescent="0.2">
      <c r="C803" s="1"/>
      <c r="D803" s="1"/>
      <c r="E803" s="1"/>
      <c r="F803" s="1"/>
      <c r="G803" s="1"/>
      <c r="H803" s="1"/>
      <c r="I803" s="1"/>
      <c r="J803" s="1"/>
      <c r="K803" s="1"/>
      <c r="L803" s="1"/>
      <c r="N803" s="1"/>
      <c r="O803" s="1"/>
      <c r="P803" s="1"/>
      <c r="Q803" s="1"/>
      <c r="R803" s="1"/>
      <c r="S803" s="1"/>
    </row>
    <row r="804" spans="3:19" x14ac:dyDescent="0.2">
      <c r="C804" s="1"/>
      <c r="D804" s="1"/>
      <c r="E804" s="1"/>
      <c r="F804" s="1"/>
      <c r="G804" s="1"/>
      <c r="H804" s="1"/>
      <c r="I804" s="1"/>
      <c r="J804" s="1"/>
      <c r="K804" s="1"/>
      <c r="L804" s="1"/>
      <c r="N804" s="1"/>
      <c r="O804" s="1"/>
      <c r="P804" s="1"/>
      <c r="Q804" s="1"/>
      <c r="R804" s="1"/>
      <c r="S804" s="1"/>
    </row>
    <row r="805" spans="3:19" x14ac:dyDescent="0.2">
      <c r="C805" s="1"/>
      <c r="D805" s="1"/>
      <c r="E805" s="1"/>
      <c r="F805" s="1"/>
      <c r="G805" s="1"/>
      <c r="H805" s="1"/>
      <c r="I805" s="1"/>
      <c r="J805" s="1"/>
      <c r="K805" s="1"/>
      <c r="L805" s="1"/>
      <c r="N805" s="1"/>
      <c r="O805" s="1"/>
      <c r="P805" s="1"/>
      <c r="Q805" s="1"/>
      <c r="R805" s="1"/>
      <c r="S805" s="1"/>
    </row>
    <row r="806" spans="3:19" x14ac:dyDescent="0.2">
      <c r="C806" s="1"/>
      <c r="D806" s="1"/>
      <c r="E806" s="1"/>
      <c r="F806" s="1"/>
      <c r="G806" s="1"/>
      <c r="H806" s="1"/>
      <c r="I806" s="1"/>
      <c r="J806" s="1"/>
      <c r="K806" s="1"/>
      <c r="L806" s="1"/>
      <c r="N806" s="1"/>
      <c r="O806" s="1"/>
      <c r="P806" s="1"/>
      <c r="Q806" s="1"/>
      <c r="R806" s="1"/>
      <c r="S806" s="1"/>
    </row>
    <row r="807" spans="3:19" x14ac:dyDescent="0.2">
      <c r="C807" s="1"/>
      <c r="D807" s="1"/>
      <c r="E807" s="1"/>
      <c r="F807" s="1"/>
      <c r="G807" s="1"/>
      <c r="H807" s="1"/>
      <c r="I807" s="1"/>
      <c r="J807" s="1"/>
      <c r="K807" s="1"/>
      <c r="L807" s="1"/>
      <c r="N807" s="1"/>
      <c r="O807" s="1"/>
      <c r="P807" s="1"/>
      <c r="Q807" s="1"/>
      <c r="R807" s="1"/>
      <c r="S807" s="1"/>
    </row>
    <row r="808" spans="3:19" x14ac:dyDescent="0.2">
      <c r="C808" s="1"/>
      <c r="D808" s="1"/>
      <c r="E808" s="1"/>
      <c r="F808" s="1"/>
      <c r="G808" s="1"/>
      <c r="H808" s="1"/>
      <c r="I808" s="1"/>
      <c r="J808" s="1"/>
      <c r="K808" s="1"/>
      <c r="L808" s="1"/>
      <c r="N808" s="1"/>
      <c r="O808" s="1"/>
      <c r="P808" s="1"/>
      <c r="Q808" s="1"/>
      <c r="R808" s="1"/>
      <c r="S808" s="1"/>
    </row>
    <row r="809" spans="3:19" x14ac:dyDescent="0.2">
      <c r="C809" s="1"/>
      <c r="D809" s="1"/>
      <c r="E809" s="1"/>
      <c r="F809" s="1"/>
      <c r="G809" s="1"/>
      <c r="H809" s="1"/>
      <c r="I809" s="1"/>
      <c r="J809" s="1"/>
      <c r="K809" s="1"/>
      <c r="L809" s="1"/>
      <c r="N809" s="1"/>
      <c r="O809" s="1"/>
      <c r="P809" s="1"/>
      <c r="Q809" s="1"/>
      <c r="R809" s="1"/>
      <c r="S809" s="1"/>
    </row>
    <row r="810" spans="3:19" x14ac:dyDescent="0.2">
      <c r="C810" s="1"/>
      <c r="D810" s="1"/>
      <c r="E810" s="1"/>
      <c r="F810" s="1"/>
      <c r="G810" s="1"/>
      <c r="H810" s="1"/>
      <c r="I810" s="1"/>
      <c r="J810" s="1"/>
      <c r="K810" s="1"/>
      <c r="L810" s="1"/>
      <c r="N810" s="1"/>
      <c r="O810" s="1"/>
      <c r="P810" s="1"/>
      <c r="Q810" s="1"/>
      <c r="R810" s="1"/>
      <c r="S810" s="1"/>
    </row>
    <row r="811" spans="3:19" x14ac:dyDescent="0.2">
      <c r="C811" s="1"/>
      <c r="D811" s="1"/>
      <c r="E811" s="1"/>
      <c r="F811" s="1"/>
      <c r="G811" s="1"/>
      <c r="H811" s="1"/>
      <c r="I811" s="1"/>
      <c r="J811" s="1"/>
      <c r="K811" s="1"/>
      <c r="L811" s="1"/>
      <c r="N811" s="1"/>
      <c r="O811" s="1"/>
      <c r="P811" s="1"/>
      <c r="Q811" s="1"/>
      <c r="R811" s="1"/>
      <c r="S811" s="1"/>
    </row>
    <row r="812" spans="3:19" x14ac:dyDescent="0.2">
      <c r="C812" s="1"/>
      <c r="D812" s="1"/>
      <c r="E812" s="1"/>
      <c r="F812" s="1"/>
      <c r="G812" s="1"/>
      <c r="H812" s="1"/>
      <c r="I812" s="1"/>
      <c r="J812" s="1"/>
      <c r="K812" s="1"/>
      <c r="L812" s="1"/>
      <c r="N812" s="1"/>
      <c r="O812" s="1"/>
      <c r="P812" s="1"/>
      <c r="Q812" s="1"/>
      <c r="R812" s="1"/>
      <c r="S812" s="1"/>
    </row>
    <row r="813" spans="3:19" x14ac:dyDescent="0.2">
      <c r="C813" s="1"/>
      <c r="D813" s="1"/>
      <c r="E813" s="1"/>
      <c r="F813" s="1"/>
      <c r="G813" s="1"/>
      <c r="H813" s="1"/>
      <c r="I813" s="1"/>
      <c r="J813" s="1"/>
      <c r="K813" s="1"/>
      <c r="L813" s="1"/>
      <c r="N813" s="1"/>
      <c r="O813" s="1"/>
      <c r="P813" s="1"/>
      <c r="Q813" s="1"/>
      <c r="R813" s="1"/>
      <c r="S813" s="1"/>
    </row>
    <row r="814" spans="3:19" x14ac:dyDescent="0.2">
      <c r="C814" s="1"/>
      <c r="D814" s="1"/>
      <c r="E814" s="1"/>
      <c r="F814" s="1"/>
      <c r="G814" s="1"/>
      <c r="H814" s="1"/>
      <c r="I814" s="1"/>
      <c r="J814" s="1"/>
      <c r="K814" s="1"/>
      <c r="L814" s="1"/>
      <c r="N814" s="1"/>
      <c r="O814" s="1"/>
      <c r="P814" s="1"/>
      <c r="Q814" s="1"/>
      <c r="R814" s="1"/>
      <c r="S814" s="1"/>
    </row>
    <row r="815" spans="3:19" x14ac:dyDescent="0.2">
      <c r="C815" s="1"/>
      <c r="D815" s="1"/>
      <c r="E815" s="1"/>
      <c r="F815" s="1"/>
      <c r="G815" s="1"/>
      <c r="H815" s="1"/>
      <c r="I815" s="1"/>
      <c r="J815" s="1"/>
      <c r="K815" s="1"/>
      <c r="L815" s="1"/>
      <c r="N815" s="1"/>
      <c r="O815" s="1"/>
      <c r="P815" s="1"/>
      <c r="Q815" s="1"/>
      <c r="R815" s="1"/>
      <c r="S815" s="1"/>
    </row>
    <row r="816" spans="3:19" x14ac:dyDescent="0.2">
      <c r="C816" s="1"/>
      <c r="D816" s="1"/>
      <c r="E816" s="1"/>
      <c r="F816" s="1"/>
      <c r="G816" s="1"/>
      <c r="H816" s="1"/>
      <c r="I816" s="1"/>
      <c r="J816" s="1"/>
      <c r="K816" s="1"/>
      <c r="L816" s="1"/>
      <c r="N816" s="1"/>
      <c r="O816" s="1"/>
      <c r="P816" s="1"/>
      <c r="Q816" s="1"/>
      <c r="R816" s="1"/>
      <c r="S816" s="1"/>
    </row>
    <row r="817" spans="3:19" x14ac:dyDescent="0.2">
      <c r="C817" s="1"/>
      <c r="D817" s="1"/>
      <c r="E817" s="1"/>
      <c r="F817" s="1"/>
      <c r="G817" s="1"/>
      <c r="H817" s="1"/>
      <c r="I817" s="1"/>
      <c r="J817" s="1"/>
      <c r="K817" s="1"/>
      <c r="L817" s="1"/>
      <c r="N817" s="1"/>
      <c r="O817" s="1"/>
      <c r="P817" s="1"/>
      <c r="Q817" s="1"/>
      <c r="R817" s="1"/>
      <c r="S817" s="1"/>
    </row>
    <row r="818" spans="3:19" x14ac:dyDescent="0.2">
      <c r="C818" s="1"/>
      <c r="D818" s="1"/>
      <c r="E818" s="1"/>
      <c r="F818" s="1"/>
      <c r="G818" s="1"/>
      <c r="H818" s="1"/>
      <c r="I818" s="1"/>
      <c r="J818" s="1"/>
      <c r="K818" s="1"/>
      <c r="L818" s="1"/>
      <c r="N818" s="1"/>
      <c r="O818" s="1"/>
      <c r="P818" s="1"/>
      <c r="Q818" s="1"/>
      <c r="R818" s="1"/>
      <c r="S818" s="1"/>
    </row>
    <row r="819" spans="3:19" x14ac:dyDescent="0.2">
      <c r="C819" s="1"/>
      <c r="D819" s="1"/>
      <c r="E819" s="1"/>
      <c r="F819" s="1"/>
      <c r="G819" s="1"/>
      <c r="H819" s="1"/>
      <c r="I819" s="1"/>
      <c r="J819" s="1"/>
      <c r="K819" s="1"/>
      <c r="L819" s="1"/>
      <c r="N819" s="1"/>
      <c r="O819" s="1"/>
      <c r="P819" s="1"/>
      <c r="Q819" s="1"/>
      <c r="R819" s="1"/>
      <c r="S819" s="1"/>
    </row>
    <row r="820" spans="3:19" x14ac:dyDescent="0.2">
      <c r="C820" s="1"/>
      <c r="D820" s="1"/>
      <c r="E820" s="1"/>
      <c r="F820" s="1"/>
      <c r="G820" s="1"/>
      <c r="H820" s="1"/>
      <c r="I820" s="1"/>
      <c r="J820" s="1"/>
      <c r="K820" s="1"/>
      <c r="L820" s="1"/>
      <c r="N820" s="1"/>
      <c r="O820" s="1"/>
      <c r="P820" s="1"/>
      <c r="Q820" s="1"/>
      <c r="R820" s="1"/>
      <c r="S820" s="1"/>
    </row>
    <row r="821" spans="3:19" x14ac:dyDescent="0.2">
      <c r="C821" s="1"/>
      <c r="D821" s="1"/>
      <c r="E821" s="1"/>
      <c r="F821" s="1"/>
      <c r="G821" s="1"/>
      <c r="H821" s="1"/>
      <c r="I821" s="1"/>
      <c r="J821" s="1"/>
      <c r="K821" s="1"/>
      <c r="L821" s="1"/>
      <c r="N821" s="1"/>
      <c r="O821" s="1"/>
      <c r="P821" s="1"/>
      <c r="Q821" s="1"/>
      <c r="R821" s="1"/>
      <c r="S821" s="1"/>
    </row>
    <row r="822" spans="3:19" x14ac:dyDescent="0.2">
      <c r="C822" s="1"/>
      <c r="D822" s="1"/>
      <c r="E822" s="1"/>
      <c r="F822" s="1"/>
      <c r="G822" s="1"/>
      <c r="H822" s="1"/>
      <c r="I822" s="1"/>
      <c r="J822" s="1"/>
      <c r="K822" s="1"/>
      <c r="L822" s="1"/>
      <c r="N822" s="1"/>
      <c r="O822" s="1"/>
      <c r="P822" s="1"/>
      <c r="Q822" s="1"/>
      <c r="R822" s="1"/>
      <c r="S822" s="1"/>
    </row>
    <row r="823" spans="3:19" x14ac:dyDescent="0.2">
      <c r="C823" s="1"/>
      <c r="D823" s="1"/>
      <c r="E823" s="1"/>
      <c r="F823" s="1"/>
      <c r="G823" s="1"/>
      <c r="H823" s="1"/>
      <c r="I823" s="1"/>
      <c r="J823" s="1"/>
      <c r="K823" s="1"/>
      <c r="L823" s="1"/>
      <c r="N823" s="1"/>
      <c r="O823" s="1"/>
      <c r="P823" s="1"/>
      <c r="Q823" s="1"/>
      <c r="R823" s="1"/>
      <c r="S823" s="1"/>
    </row>
    <row r="824" spans="3:19" x14ac:dyDescent="0.2">
      <c r="C824" s="1"/>
      <c r="D824" s="1"/>
      <c r="E824" s="1"/>
      <c r="F824" s="1"/>
      <c r="G824" s="1"/>
      <c r="H824" s="1"/>
      <c r="I824" s="1"/>
      <c r="J824" s="1"/>
      <c r="K824" s="1"/>
      <c r="L824" s="1"/>
      <c r="N824" s="1"/>
      <c r="O824" s="1"/>
      <c r="P824" s="1"/>
      <c r="Q824" s="1"/>
      <c r="R824" s="1"/>
      <c r="S824" s="1"/>
    </row>
    <row r="825" spans="3:19" x14ac:dyDescent="0.2">
      <c r="C825" s="1"/>
      <c r="D825" s="1"/>
      <c r="E825" s="1"/>
      <c r="F825" s="1"/>
      <c r="G825" s="1"/>
      <c r="H825" s="1"/>
      <c r="I825" s="1"/>
      <c r="J825" s="1"/>
      <c r="K825" s="1"/>
      <c r="L825" s="1"/>
      <c r="N825" s="1"/>
      <c r="O825" s="1"/>
      <c r="P825" s="1"/>
      <c r="Q825" s="1"/>
      <c r="R825" s="1"/>
      <c r="S825" s="1"/>
    </row>
    <row r="826" spans="3:19" x14ac:dyDescent="0.2">
      <c r="C826" s="1"/>
      <c r="D826" s="1"/>
      <c r="E826" s="1"/>
      <c r="F826" s="1"/>
      <c r="G826" s="1"/>
      <c r="H826" s="1"/>
      <c r="I826" s="1"/>
      <c r="J826" s="1"/>
      <c r="K826" s="1"/>
      <c r="L826" s="1"/>
      <c r="N826" s="1"/>
      <c r="O826" s="1"/>
      <c r="P826" s="1"/>
      <c r="Q826" s="1"/>
      <c r="R826" s="1"/>
      <c r="S826" s="1"/>
    </row>
    <row r="827" spans="3:19" x14ac:dyDescent="0.2">
      <c r="C827" s="1"/>
      <c r="D827" s="1"/>
      <c r="E827" s="1"/>
      <c r="F827" s="1"/>
      <c r="G827" s="1"/>
      <c r="H827" s="1"/>
      <c r="I827" s="1"/>
      <c r="J827" s="1"/>
      <c r="K827" s="1"/>
      <c r="L827" s="1"/>
      <c r="N827" s="1"/>
      <c r="O827" s="1"/>
      <c r="P827" s="1"/>
      <c r="Q827" s="1"/>
      <c r="R827" s="1"/>
      <c r="S827" s="1"/>
    </row>
    <row r="828" spans="3:19" x14ac:dyDescent="0.2">
      <c r="C828" s="1"/>
      <c r="D828" s="1"/>
      <c r="E828" s="1"/>
      <c r="F828" s="1"/>
      <c r="G828" s="1"/>
      <c r="H828" s="1"/>
      <c r="I828" s="1"/>
      <c r="J828" s="1"/>
      <c r="K828" s="1"/>
      <c r="L828" s="1"/>
      <c r="N828" s="1"/>
      <c r="O828" s="1"/>
      <c r="P828" s="1"/>
      <c r="Q828" s="1"/>
      <c r="R828" s="1"/>
      <c r="S828" s="1"/>
    </row>
    <row r="829" spans="3:19" x14ac:dyDescent="0.2">
      <c r="C829" s="1"/>
      <c r="D829" s="1"/>
      <c r="E829" s="1"/>
      <c r="F829" s="1"/>
      <c r="G829" s="1"/>
      <c r="H829" s="1"/>
      <c r="I829" s="1"/>
      <c r="J829" s="1"/>
      <c r="K829" s="1"/>
      <c r="L829" s="1"/>
      <c r="N829" s="1"/>
      <c r="O829" s="1"/>
      <c r="P829" s="1"/>
      <c r="Q829" s="1"/>
      <c r="R829" s="1"/>
      <c r="S829" s="1"/>
    </row>
    <row r="830" spans="3:19" x14ac:dyDescent="0.2">
      <c r="C830" s="1"/>
      <c r="D830" s="1"/>
      <c r="E830" s="1"/>
      <c r="F830" s="1"/>
      <c r="G830" s="1"/>
      <c r="H830" s="1"/>
      <c r="I830" s="1"/>
      <c r="J830" s="1"/>
      <c r="K830" s="1"/>
      <c r="L830" s="1"/>
      <c r="N830" s="1"/>
      <c r="O830" s="1"/>
      <c r="P830" s="1"/>
      <c r="Q830" s="1"/>
      <c r="R830" s="1"/>
      <c r="S830" s="1"/>
    </row>
    <row r="831" spans="3:19" x14ac:dyDescent="0.2">
      <c r="C831" s="1"/>
      <c r="D831" s="1"/>
      <c r="E831" s="1"/>
      <c r="F831" s="1"/>
      <c r="G831" s="1"/>
      <c r="H831" s="1"/>
      <c r="I831" s="1"/>
      <c r="J831" s="1"/>
      <c r="K831" s="1"/>
      <c r="L831" s="1"/>
      <c r="N831" s="1"/>
      <c r="O831" s="1"/>
      <c r="P831" s="1"/>
      <c r="Q831" s="1"/>
      <c r="R831" s="1"/>
      <c r="S831" s="1"/>
    </row>
    <row r="832" spans="3:19" x14ac:dyDescent="0.2">
      <c r="C832" s="1"/>
      <c r="D832" s="1"/>
      <c r="E832" s="1"/>
      <c r="F832" s="1"/>
      <c r="G832" s="1"/>
      <c r="H832" s="1"/>
      <c r="I832" s="1"/>
      <c r="J832" s="1"/>
      <c r="K832" s="1"/>
      <c r="L832" s="1"/>
      <c r="N832" s="1"/>
      <c r="O832" s="1"/>
      <c r="P832" s="1"/>
      <c r="Q832" s="1"/>
      <c r="R832" s="1"/>
      <c r="S832" s="1"/>
    </row>
    <row r="833" spans="3:19" x14ac:dyDescent="0.2">
      <c r="C833" s="1"/>
      <c r="D833" s="1"/>
      <c r="E833" s="1"/>
      <c r="F833" s="1"/>
      <c r="G833" s="1"/>
      <c r="H833" s="1"/>
      <c r="I833" s="1"/>
      <c r="J833" s="1"/>
      <c r="K833" s="1"/>
      <c r="L833" s="1"/>
      <c r="N833" s="1"/>
      <c r="O833" s="1"/>
      <c r="P833" s="1"/>
      <c r="Q833" s="1"/>
      <c r="R833" s="1"/>
      <c r="S833" s="1"/>
    </row>
    <row r="834" spans="3:19" x14ac:dyDescent="0.2">
      <c r="C834" s="1"/>
      <c r="D834" s="1"/>
      <c r="E834" s="1"/>
      <c r="F834" s="1"/>
      <c r="G834" s="1"/>
      <c r="H834" s="1"/>
      <c r="I834" s="1"/>
      <c r="J834" s="1"/>
      <c r="K834" s="1"/>
      <c r="L834" s="1"/>
      <c r="N834" s="1"/>
      <c r="O834" s="1"/>
      <c r="P834" s="1"/>
      <c r="Q834" s="1"/>
      <c r="R834" s="1"/>
      <c r="S834" s="1"/>
    </row>
    <row r="835" spans="3:19" x14ac:dyDescent="0.2">
      <c r="C835" s="1"/>
      <c r="D835" s="1"/>
      <c r="E835" s="1"/>
      <c r="F835" s="1"/>
      <c r="G835" s="1"/>
      <c r="H835" s="1"/>
      <c r="I835" s="1"/>
      <c r="J835" s="1"/>
      <c r="K835" s="1"/>
      <c r="L835" s="1"/>
      <c r="N835" s="1"/>
      <c r="O835" s="1"/>
      <c r="P835" s="1"/>
      <c r="Q835" s="1"/>
      <c r="R835" s="1"/>
      <c r="S835" s="1"/>
    </row>
    <row r="836" spans="3:19" x14ac:dyDescent="0.2">
      <c r="C836" s="1"/>
      <c r="D836" s="1"/>
      <c r="E836" s="1"/>
      <c r="F836" s="1"/>
      <c r="G836" s="1"/>
      <c r="H836" s="1"/>
      <c r="I836" s="1"/>
      <c r="J836" s="1"/>
      <c r="K836" s="1"/>
      <c r="L836" s="1"/>
      <c r="N836" s="1"/>
      <c r="O836" s="1"/>
      <c r="P836" s="1"/>
      <c r="Q836" s="1"/>
      <c r="R836" s="1"/>
      <c r="S836" s="1"/>
    </row>
    <row r="837" spans="3:19" x14ac:dyDescent="0.2"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1"/>
      <c r="O837" s="1"/>
      <c r="P837" s="1"/>
      <c r="Q837" s="1"/>
      <c r="R837" s="1"/>
      <c r="S837" s="1"/>
    </row>
    <row r="838" spans="3:19" x14ac:dyDescent="0.2">
      <c r="C838" s="1"/>
      <c r="D838" s="1"/>
      <c r="E838" s="1"/>
      <c r="F838" s="1"/>
      <c r="G838" s="1"/>
      <c r="H838" s="1"/>
      <c r="I838" s="1"/>
      <c r="J838" s="1"/>
      <c r="K838" s="1"/>
      <c r="L838" s="1"/>
      <c r="N838" s="1"/>
      <c r="O838" s="1"/>
      <c r="P838" s="1"/>
      <c r="Q838" s="1"/>
      <c r="R838" s="1"/>
      <c r="S838" s="1"/>
    </row>
    <row r="839" spans="3:19" x14ac:dyDescent="0.2">
      <c r="C839" s="1"/>
      <c r="D839" s="1"/>
      <c r="E839" s="1"/>
      <c r="F839" s="1"/>
      <c r="G839" s="1"/>
      <c r="H839" s="1"/>
      <c r="I839" s="1"/>
      <c r="J839" s="1"/>
      <c r="K839" s="1"/>
      <c r="L839" s="1"/>
      <c r="N839" s="1"/>
      <c r="O839" s="1"/>
      <c r="P839" s="1"/>
      <c r="Q839" s="1"/>
      <c r="R839" s="1"/>
      <c r="S839" s="1"/>
    </row>
    <row r="840" spans="3:19" x14ac:dyDescent="0.2">
      <c r="C840" s="1"/>
      <c r="D840" s="1"/>
      <c r="E840" s="1"/>
      <c r="F840" s="1"/>
      <c r="G840" s="1"/>
      <c r="H840" s="1"/>
      <c r="I840" s="1"/>
      <c r="J840" s="1"/>
      <c r="K840" s="1"/>
      <c r="L840" s="1"/>
      <c r="N840" s="1"/>
      <c r="O840" s="1"/>
      <c r="P840" s="1"/>
      <c r="Q840" s="1"/>
      <c r="R840" s="1"/>
      <c r="S840" s="1"/>
    </row>
    <row r="841" spans="3:19" x14ac:dyDescent="0.2">
      <c r="C841" s="1"/>
      <c r="D841" s="1"/>
      <c r="E841" s="1"/>
      <c r="F841" s="1"/>
      <c r="G841" s="1"/>
      <c r="H841" s="1"/>
      <c r="I841" s="1"/>
      <c r="J841" s="1"/>
      <c r="K841" s="1"/>
      <c r="L841" s="1"/>
      <c r="N841" s="1"/>
      <c r="O841" s="1"/>
      <c r="P841" s="1"/>
      <c r="Q841" s="1"/>
      <c r="R841" s="1"/>
      <c r="S841" s="1"/>
    </row>
    <row r="842" spans="3:19" x14ac:dyDescent="0.2">
      <c r="C842" s="1"/>
      <c r="D842" s="1"/>
      <c r="E842" s="1"/>
      <c r="F842" s="1"/>
      <c r="G842" s="1"/>
      <c r="H842" s="1"/>
      <c r="I842" s="1"/>
      <c r="J842" s="1"/>
      <c r="K842" s="1"/>
      <c r="L842" s="1"/>
      <c r="N842" s="1"/>
      <c r="O842" s="1"/>
      <c r="P842" s="1"/>
      <c r="Q842" s="1"/>
      <c r="R842" s="1"/>
      <c r="S842" s="1"/>
    </row>
    <row r="843" spans="3:19" x14ac:dyDescent="0.2">
      <c r="C843" s="1"/>
      <c r="D843" s="1"/>
      <c r="E843" s="1"/>
      <c r="F843" s="1"/>
      <c r="G843" s="1"/>
      <c r="H843" s="1"/>
      <c r="I843" s="1"/>
      <c r="J843" s="1"/>
      <c r="K843" s="1"/>
      <c r="L843" s="1"/>
      <c r="N843" s="1"/>
      <c r="O843" s="1"/>
      <c r="P843" s="1"/>
      <c r="Q843" s="1"/>
      <c r="R843" s="1"/>
      <c r="S843" s="1"/>
    </row>
    <row r="844" spans="3:19" x14ac:dyDescent="0.2">
      <c r="C844" s="1"/>
      <c r="D844" s="1"/>
      <c r="E844" s="1"/>
      <c r="F844" s="1"/>
      <c r="G844" s="1"/>
      <c r="H844" s="1"/>
      <c r="I844" s="1"/>
      <c r="J844" s="1"/>
      <c r="K844" s="1"/>
      <c r="L844" s="1"/>
      <c r="N844" s="1"/>
      <c r="O844" s="1"/>
      <c r="P844" s="1"/>
      <c r="Q844" s="1"/>
      <c r="R844" s="1"/>
      <c r="S844" s="1"/>
    </row>
    <row r="845" spans="3:19" x14ac:dyDescent="0.2">
      <c r="C845" s="1"/>
      <c r="D845" s="1"/>
      <c r="E845" s="1"/>
      <c r="F845" s="1"/>
      <c r="G845" s="1"/>
      <c r="H845" s="1"/>
      <c r="I845" s="1"/>
      <c r="J845" s="1"/>
      <c r="K845" s="1"/>
      <c r="L845" s="1"/>
      <c r="N845" s="1"/>
      <c r="O845" s="1"/>
      <c r="P845" s="1"/>
      <c r="Q845" s="1"/>
      <c r="R845" s="1"/>
      <c r="S845" s="1"/>
    </row>
    <row r="846" spans="3:19" x14ac:dyDescent="0.2">
      <c r="C846" s="1"/>
      <c r="D846" s="1"/>
      <c r="E846" s="1"/>
      <c r="F846" s="1"/>
      <c r="G846" s="1"/>
      <c r="H846" s="1"/>
      <c r="I846" s="1"/>
      <c r="J846" s="1"/>
      <c r="K846" s="1"/>
      <c r="L846" s="1"/>
      <c r="N846" s="1"/>
      <c r="O846" s="1"/>
      <c r="P846" s="1"/>
      <c r="Q846" s="1"/>
      <c r="R846" s="1"/>
      <c r="S846" s="1"/>
    </row>
    <row r="847" spans="3:19" x14ac:dyDescent="0.2">
      <c r="C847" s="1"/>
      <c r="D847" s="1"/>
      <c r="E847" s="1"/>
      <c r="F847" s="1"/>
      <c r="G847" s="1"/>
      <c r="H847" s="1"/>
      <c r="I847" s="1"/>
      <c r="J847" s="1"/>
      <c r="K847" s="1"/>
      <c r="L847" s="1"/>
      <c r="N847" s="1"/>
      <c r="O847" s="1"/>
      <c r="P847" s="1"/>
      <c r="Q847" s="1"/>
      <c r="R847" s="1"/>
      <c r="S847" s="1"/>
    </row>
    <row r="848" spans="3:19" x14ac:dyDescent="0.2">
      <c r="C848" s="1"/>
      <c r="D848" s="1"/>
      <c r="E848" s="1"/>
      <c r="F848" s="1"/>
      <c r="G848" s="1"/>
      <c r="H848" s="1"/>
      <c r="I848" s="1"/>
      <c r="J848" s="1"/>
      <c r="K848" s="1"/>
      <c r="L848" s="1"/>
      <c r="N848" s="1"/>
      <c r="O848" s="1"/>
      <c r="P848" s="1"/>
      <c r="Q848" s="1"/>
      <c r="R848" s="1"/>
      <c r="S848" s="1"/>
    </row>
    <row r="849" spans="3:19" x14ac:dyDescent="0.2">
      <c r="C849" s="1"/>
      <c r="D849" s="1"/>
      <c r="E849" s="1"/>
      <c r="F849" s="1"/>
      <c r="G849" s="1"/>
      <c r="H849" s="1"/>
      <c r="I849" s="1"/>
      <c r="J849" s="1"/>
      <c r="K849" s="1"/>
      <c r="L849" s="1"/>
      <c r="N849" s="1"/>
      <c r="O849" s="1"/>
      <c r="P849" s="1"/>
      <c r="Q849" s="1"/>
      <c r="R849" s="1"/>
      <c r="S849" s="1"/>
    </row>
    <row r="850" spans="3:19" x14ac:dyDescent="0.2">
      <c r="C850" s="1"/>
      <c r="D850" s="1"/>
      <c r="E850" s="1"/>
      <c r="F850" s="1"/>
      <c r="G850" s="1"/>
      <c r="H850" s="1"/>
      <c r="I850" s="1"/>
      <c r="J850" s="1"/>
      <c r="K850" s="1"/>
      <c r="L850" s="1"/>
      <c r="N850" s="1"/>
      <c r="O850" s="1"/>
      <c r="P850" s="1"/>
      <c r="Q850" s="1"/>
      <c r="R850" s="1"/>
      <c r="S850" s="1"/>
    </row>
    <row r="851" spans="3:19" x14ac:dyDescent="0.2">
      <c r="C851" s="1"/>
      <c r="D851" s="1"/>
      <c r="E851" s="1"/>
      <c r="F851" s="1"/>
      <c r="G851" s="1"/>
      <c r="H851" s="1"/>
      <c r="I851" s="1"/>
      <c r="J851" s="1"/>
      <c r="K851" s="1"/>
      <c r="L851" s="1"/>
      <c r="N851" s="1"/>
      <c r="O851" s="1"/>
      <c r="P851" s="1"/>
      <c r="Q851" s="1"/>
      <c r="R851" s="1"/>
      <c r="S851" s="1"/>
    </row>
    <row r="852" spans="3:19" x14ac:dyDescent="0.2">
      <c r="C852" s="1"/>
      <c r="D852" s="1"/>
      <c r="E852" s="1"/>
      <c r="F852" s="1"/>
      <c r="G852" s="1"/>
      <c r="H852" s="1"/>
      <c r="I852" s="1"/>
      <c r="J852" s="1"/>
      <c r="K852" s="1"/>
      <c r="L852" s="1"/>
      <c r="N852" s="1"/>
      <c r="O852" s="1"/>
      <c r="P852" s="1"/>
      <c r="Q852" s="1"/>
      <c r="R852" s="1"/>
      <c r="S852" s="1"/>
    </row>
    <row r="853" spans="3:19" x14ac:dyDescent="0.2">
      <c r="C853" s="1"/>
      <c r="D853" s="1"/>
      <c r="E853" s="1"/>
      <c r="F853" s="1"/>
      <c r="G853" s="1"/>
      <c r="H853" s="1"/>
      <c r="I853" s="1"/>
      <c r="J853" s="1"/>
      <c r="K853" s="1"/>
      <c r="L853" s="1"/>
      <c r="N853" s="1"/>
      <c r="O853" s="1"/>
      <c r="P853" s="1"/>
      <c r="Q853" s="1"/>
      <c r="R853" s="1"/>
      <c r="S853" s="1"/>
    </row>
    <row r="854" spans="3:19" x14ac:dyDescent="0.2">
      <c r="C854" s="2"/>
      <c r="D854" s="2"/>
      <c r="E854" s="2"/>
      <c r="F854" s="2"/>
      <c r="G854" s="2"/>
      <c r="H854" s="2"/>
      <c r="I854" s="2"/>
      <c r="J854" s="2"/>
      <c r="K854" s="2"/>
      <c r="L854" s="2"/>
      <c r="N854" s="2"/>
      <c r="O854" s="2"/>
      <c r="P854" s="2"/>
      <c r="Q854" s="2"/>
      <c r="R854" s="2"/>
    </row>
    <row r="855" spans="3:19" x14ac:dyDescent="0.2">
      <c r="C855" s="2"/>
      <c r="D855" s="2"/>
      <c r="E855" s="2"/>
      <c r="F855" s="2"/>
      <c r="G855" s="2"/>
      <c r="H855" s="2"/>
      <c r="I855" s="2"/>
      <c r="J855" s="2"/>
      <c r="K855" s="2"/>
      <c r="L855" s="2"/>
      <c r="N855" s="2"/>
      <c r="O855" s="2"/>
      <c r="P855" s="2"/>
      <c r="Q855" s="2"/>
      <c r="R855" s="2"/>
    </row>
    <row r="856" spans="3:19" x14ac:dyDescent="0.2">
      <c r="C856" s="2"/>
      <c r="D856" s="2"/>
      <c r="E856" s="2"/>
      <c r="F856" s="2"/>
      <c r="G856" s="2"/>
      <c r="H856" s="2"/>
      <c r="I856" s="2"/>
      <c r="J856" s="2"/>
      <c r="K856" s="2"/>
      <c r="L856" s="2"/>
      <c r="N856" s="2"/>
      <c r="O856" s="2"/>
      <c r="P856" s="2"/>
      <c r="Q856" s="2"/>
      <c r="R856" s="2"/>
    </row>
    <row r="857" spans="3:19" x14ac:dyDescent="0.2">
      <c r="C857" s="2"/>
      <c r="D857" s="2"/>
      <c r="E857" s="2"/>
      <c r="F857" s="2"/>
      <c r="G857" s="2"/>
      <c r="H857" s="2"/>
      <c r="I857" s="2"/>
      <c r="J857" s="2"/>
      <c r="K857" s="2"/>
      <c r="L857" s="2"/>
      <c r="N857" s="2"/>
      <c r="O857" s="2"/>
      <c r="P857" s="2"/>
      <c r="Q857" s="2"/>
      <c r="R857" s="2"/>
    </row>
    <row r="858" spans="3:19" x14ac:dyDescent="0.2">
      <c r="C858" s="2"/>
      <c r="D858" s="2"/>
      <c r="E858" s="2"/>
      <c r="F858" s="2"/>
      <c r="G858" s="2"/>
      <c r="H858" s="2"/>
      <c r="I858" s="2"/>
      <c r="J858" s="2"/>
      <c r="K858" s="2"/>
      <c r="L858" s="2"/>
      <c r="N858" s="2"/>
      <c r="O858" s="2"/>
      <c r="P858" s="2"/>
      <c r="Q858" s="2"/>
      <c r="R858" s="2"/>
    </row>
    <row r="859" spans="3:19" x14ac:dyDescent="0.2">
      <c r="C859" s="2"/>
      <c r="D859" s="2"/>
      <c r="E859" s="2"/>
      <c r="F859" s="2"/>
      <c r="G859" s="2"/>
      <c r="H859" s="2"/>
      <c r="I859" s="2"/>
      <c r="J859" s="2"/>
      <c r="K859" s="2"/>
      <c r="L859" s="2"/>
      <c r="N859" s="2"/>
      <c r="O859" s="2"/>
      <c r="P859" s="2"/>
      <c r="Q859" s="2"/>
      <c r="R859" s="2"/>
    </row>
    <row r="860" spans="3:19" x14ac:dyDescent="0.2">
      <c r="C860" s="2"/>
      <c r="D860" s="2"/>
      <c r="E860" s="2"/>
      <c r="F860" s="2"/>
      <c r="G860" s="2"/>
      <c r="H860" s="2"/>
      <c r="I860" s="2"/>
      <c r="J860" s="2"/>
      <c r="K860" s="2"/>
      <c r="L860" s="2"/>
      <c r="N860" s="2"/>
      <c r="O860" s="2"/>
      <c r="P860" s="2"/>
      <c r="Q860" s="2"/>
      <c r="R860" s="2"/>
    </row>
    <row r="861" spans="3:19" x14ac:dyDescent="0.2">
      <c r="C861" s="2"/>
      <c r="D861" s="2"/>
      <c r="E861" s="2"/>
      <c r="F861" s="2"/>
      <c r="G861" s="2"/>
      <c r="H861" s="2"/>
      <c r="I861" s="2"/>
      <c r="J861" s="2"/>
      <c r="K861" s="2"/>
      <c r="L861" s="2"/>
      <c r="N861" s="2"/>
      <c r="O861" s="2"/>
      <c r="P861" s="2"/>
      <c r="Q861" s="2"/>
      <c r="R861" s="2"/>
    </row>
    <row r="862" spans="3:19" x14ac:dyDescent="0.2">
      <c r="C862" s="2"/>
      <c r="D862" s="2"/>
      <c r="E862" s="2"/>
      <c r="F862" s="2"/>
      <c r="G862" s="2"/>
      <c r="H862" s="2"/>
      <c r="I862" s="2"/>
      <c r="J862" s="2"/>
      <c r="K862" s="2"/>
      <c r="L862" s="2"/>
      <c r="N862" s="2"/>
      <c r="O862" s="2"/>
      <c r="P862" s="2"/>
      <c r="Q862" s="2"/>
      <c r="R862" s="2"/>
    </row>
    <row r="863" spans="3:19" x14ac:dyDescent="0.2">
      <c r="C863" s="2"/>
      <c r="D863" s="2"/>
      <c r="E863" s="2"/>
      <c r="F863" s="2"/>
      <c r="G863" s="2"/>
      <c r="H863" s="2"/>
      <c r="I863" s="2"/>
      <c r="J863" s="2"/>
      <c r="K863" s="2"/>
      <c r="L863" s="2"/>
      <c r="N863" s="2"/>
      <c r="O863" s="2"/>
      <c r="P863" s="2"/>
      <c r="Q863" s="2"/>
      <c r="R863" s="2"/>
    </row>
    <row r="864" spans="3:19" x14ac:dyDescent="0.2">
      <c r="C864" s="2"/>
      <c r="D864" s="2"/>
      <c r="E864" s="2"/>
      <c r="F864" s="2"/>
      <c r="G864" s="2"/>
      <c r="H864" s="2"/>
      <c r="I864" s="2"/>
      <c r="J864" s="2"/>
      <c r="K864" s="2"/>
      <c r="L864" s="2"/>
      <c r="N864" s="2"/>
      <c r="O864" s="2"/>
      <c r="P864" s="2"/>
      <c r="Q864" s="2"/>
      <c r="R864" s="2"/>
    </row>
    <row r="865" spans="3:18" x14ac:dyDescent="0.2">
      <c r="C865" s="2"/>
      <c r="D865" s="2"/>
      <c r="E865" s="2"/>
      <c r="F865" s="2"/>
      <c r="G865" s="2"/>
      <c r="H865" s="2"/>
      <c r="I865" s="2"/>
      <c r="J865" s="2"/>
      <c r="K865" s="2"/>
      <c r="L865" s="2"/>
      <c r="N865" s="2"/>
      <c r="O865" s="2"/>
      <c r="P865" s="2"/>
      <c r="Q865" s="2"/>
      <c r="R865" s="2"/>
    </row>
    <row r="866" spans="3:18" x14ac:dyDescent="0.2">
      <c r="C866" s="2"/>
      <c r="D866" s="2"/>
      <c r="E866" s="2"/>
      <c r="F866" s="2"/>
      <c r="G866" s="2"/>
      <c r="H866" s="2"/>
      <c r="I866" s="2"/>
      <c r="J866" s="2"/>
      <c r="K866" s="2"/>
      <c r="L866" s="2"/>
      <c r="N866" s="2"/>
      <c r="O866" s="2"/>
      <c r="P866" s="2"/>
      <c r="Q866" s="2"/>
      <c r="R866" s="2"/>
    </row>
    <row r="867" spans="3:18" x14ac:dyDescent="0.2">
      <c r="C867" s="2"/>
      <c r="D867" s="2"/>
      <c r="E867" s="2"/>
      <c r="F867" s="2"/>
      <c r="G867" s="2"/>
      <c r="H867" s="2"/>
      <c r="I867" s="2"/>
      <c r="J867" s="2"/>
      <c r="K867" s="2"/>
      <c r="L867" s="2"/>
      <c r="N867" s="2"/>
      <c r="O867" s="2"/>
      <c r="P867" s="2"/>
      <c r="Q867" s="2"/>
      <c r="R867" s="2"/>
    </row>
    <row r="868" spans="3:18" x14ac:dyDescent="0.2">
      <c r="C868" s="2"/>
      <c r="D868" s="2"/>
      <c r="E868" s="2"/>
      <c r="F868" s="2"/>
      <c r="G868" s="2"/>
      <c r="H868" s="2"/>
      <c r="I868" s="2"/>
      <c r="J868" s="2"/>
      <c r="K868" s="2"/>
      <c r="L868" s="2"/>
      <c r="N868" s="2"/>
      <c r="O868" s="2"/>
      <c r="P868" s="2"/>
      <c r="Q868" s="2"/>
      <c r="R868" s="2"/>
    </row>
    <row r="869" spans="3:18" x14ac:dyDescent="0.2">
      <c r="C869" s="2"/>
      <c r="D869" s="2"/>
      <c r="E869" s="2"/>
      <c r="F869" s="2"/>
      <c r="G869" s="2"/>
      <c r="H869" s="2"/>
      <c r="I869" s="2"/>
      <c r="J869" s="2"/>
      <c r="K869" s="2"/>
      <c r="L869" s="2"/>
      <c r="N869" s="2"/>
      <c r="O869" s="2"/>
      <c r="P869" s="2"/>
      <c r="Q869" s="2"/>
      <c r="R869" s="2"/>
    </row>
    <row r="870" spans="3:18" x14ac:dyDescent="0.2">
      <c r="C870" s="2"/>
      <c r="D870" s="2"/>
      <c r="E870" s="2"/>
      <c r="F870" s="2"/>
      <c r="G870" s="2"/>
      <c r="H870" s="2"/>
      <c r="I870" s="2"/>
      <c r="J870" s="2"/>
      <c r="K870" s="2"/>
      <c r="L870" s="2"/>
      <c r="N870" s="2"/>
      <c r="O870" s="2"/>
      <c r="P870" s="2"/>
      <c r="Q870" s="2"/>
      <c r="R870" s="2"/>
    </row>
    <row r="871" spans="3:18" x14ac:dyDescent="0.2">
      <c r="C871" s="2"/>
      <c r="D871" s="2"/>
      <c r="E871" s="2"/>
      <c r="F871" s="2"/>
      <c r="G871" s="2"/>
      <c r="H871" s="2"/>
      <c r="I871" s="2"/>
      <c r="J871" s="2"/>
      <c r="K871" s="2"/>
      <c r="L871" s="2"/>
      <c r="N871" s="2"/>
      <c r="O871" s="2"/>
      <c r="P871" s="2"/>
      <c r="Q871" s="2"/>
      <c r="R871" s="2"/>
    </row>
    <row r="872" spans="3:18" x14ac:dyDescent="0.2">
      <c r="C872" s="2"/>
      <c r="D872" s="2"/>
      <c r="E872" s="2"/>
      <c r="F872" s="2"/>
      <c r="G872" s="2"/>
      <c r="H872" s="2"/>
      <c r="I872" s="2"/>
      <c r="J872" s="2"/>
      <c r="K872" s="2"/>
      <c r="L872" s="2"/>
      <c r="N872" s="2"/>
      <c r="O872" s="2"/>
      <c r="P872" s="2"/>
      <c r="Q872" s="2"/>
      <c r="R872" s="2"/>
    </row>
    <row r="873" spans="3:18" x14ac:dyDescent="0.2">
      <c r="C873" s="2"/>
      <c r="D873" s="2"/>
      <c r="E873" s="2"/>
      <c r="F873" s="2"/>
      <c r="G873" s="2"/>
      <c r="H873" s="2"/>
      <c r="I873" s="2"/>
      <c r="J873" s="2"/>
      <c r="K873" s="2"/>
      <c r="L873" s="2"/>
      <c r="N873" s="2"/>
      <c r="O873" s="2"/>
      <c r="P873" s="2"/>
      <c r="Q873" s="2"/>
      <c r="R873" s="2"/>
    </row>
    <row r="874" spans="3:18" x14ac:dyDescent="0.2">
      <c r="C874" s="2"/>
      <c r="D874" s="2"/>
      <c r="E874" s="2"/>
      <c r="F874" s="2"/>
      <c r="G874" s="2"/>
      <c r="H874" s="2"/>
      <c r="I874" s="2"/>
      <c r="J874" s="2"/>
      <c r="K874" s="2"/>
      <c r="L874" s="2"/>
      <c r="N874" s="2"/>
      <c r="O874" s="2"/>
      <c r="P874" s="2"/>
      <c r="Q874" s="2"/>
      <c r="R874" s="2"/>
    </row>
    <row r="875" spans="3:18" x14ac:dyDescent="0.2">
      <c r="C875" s="2"/>
      <c r="D875" s="2"/>
      <c r="E875" s="2"/>
      <c r="F875" s="2"/>
      <c r="G875" s="2"/>
      <c r="H875" s="2"/>
      <c r="I875" s="2"/>
      <c r="J875" s="2"/>
      <c r="K875" s="2"/>
      <c r="L875" s="2"/>
      <c r="N875" s="2"/>
      <c r="O875" s="2"/>
      <c r="P875" s="2"/>
      <c r="Q875" s="2"/>
      <c r="R875" s="2"/>
    </row>
    <row r="876" spans="3:18" x14ac:dyDescent="0.2">
      <c r="C876" s="2"/>
      <c r="D876" s="2"/>
      <c r="E876" s="2"/>
      <c r="F876" s="2"/>
      <c r="G876" s="2"/>
      <c r="H876" s="2"/>
      <c r="I876" s="2"/>
      <c r="J876" s="2"/>
      <c r="K876" s="2"/>
      <c r="L876" s="2"/>
      <c r="N876" s="2"/>
      <c r="O876" s="2"/>
      <c r="P876" s="2"/>
      <c r="Q876" s="2"/>
      <c r="R876" s="2"/>
    </row>
    <row r="877" spans="3:18" x14ac:dyDescent="0.2">
      <c r="C877" s="2"/>
      <c r="D877" s="2"/>
      <c r="E877" s="2"/>
      <c r="F877" s="2"/>
      <c r="G877" s="2"/>
      <c r="H877" s="2"/>
      <c r="I877" s="2"/>
      <c r="J877" s="2"/>
      <c r="K877" s="2"/>
      <c r="L877" s="2"/>
      <c r="N877" s="2"/>
      <c r="O877" s="2"/>
      <c r="P877" s="2"/>
      <c r="Q877" s="2"/>
      <c r="R877" s="2"/>
    </row>
    <row r="878" spans="3:18" x14ac:dyDescent="0.2">
      <c r="C878" s="2"/>
      <c r="D878" s="2"/>
      <c r="E878" s="2"/>
      <c r="F878" s="2"/>
      <c r="G878" s="2"/>
      <c r="H878" s="2"/>
      <c r="I878" s="2"/>
      <c r="J878" s="2"/>
      <c r="K878" s="2"/>
      <c r="L878" s="2"/>
      <c r="N878" s="2"/>
      <c r="O878" s="2"/>
      <c r="P878" s="2"/>
      <c r="Q878" s="2"/>
      <c r="R878" s="2"/>
    </row>
    <row r="879" spans="3:18" x14ac:dyDescent="0.2">
      <c r="C879" s="2"/>
      <c r="D879" s="2"/>
      <c r="E879" s="2"/>
      <c r="F879" s="2"/>
      <c r="G879" s="2"/>
      <c r="H879" s="2"/>
      <c r="I879" s="2"/>
      <c r="J879" s="2"/>
      <c r="K879" s="2"/>
      <c r="L879" s="2"/>
      <c r="N879" s="2"/>
      <c r="O879" s="2"/>
      <c r="P879" s="2"/>
      <c r="Q879" s="2"/>
      <c r="R879" s="2"/>
    </row>
    <row r="880" spans="3:18" x14ac:dyDescent="0.2">
      <c r="C880" s="2"/>
      <c r="D880" s="2"/>
      <c r="E880" s="2"/>
      <c r="F880" s="2"/>
      <c r="G880" s="2"/>
      <c r="H880" s="2"/>
      <c r="I880" s="2"/>
      <c r="J880" s="2"/>
      <c r="K880" s="2"/>
      <c r="L880" s="2"/>
      <c r="N880" s="2"/>
      <c r="O880" s="2"/>
      <c r="P880" s="2"/>
      <c r="Q880" s="2"/>
      <c r="R880" s="2"/>
    </row>
    <row r="881" spans="3:18" x14ac:dyDescent="0.2">
      <c r="C881" s="2"/>
      <c r="D881" s="2"/>
      <c r="E881" s="2"/>
      <c r="F881" s="2"/>
      <c r="G881" s="2"/>
      <c r="H881" s="2"/>
      <c r="I881" s="2"/>
      <c r="J881" s="2"/>
      <c r="K881" s="2"/>
      <c r="L881" s="2"/>
      <c r="N881" s="2"/>
      <c r="O881" s="2"/>
      <c r="P881" s="2"/>
      <c r="Q881" s="2"/>
      <c r="R881" s="2"/>
    </row>
    <row r="882" spans="3:18" x14ac:dyDescent="0.2">
      <c r="C882" s="2"/>
      <c r="D882" s="2"/>
      <c r="E882" s="2"/>
      <c r="F882" s="2"/>
      <c r="G882" s="2"/>
      <c r="H882" s="2"/>
      <c r="I882" s="2"/>
      <c r="J882" s="2"/>
      <c r="K882" s="2"/>
      <c r="L882" s="2"/>
      <c r="N882" s="2"/>
      <c r="O882" s="2"/>
      <c r="P882" s="2"/>
      <c r="Q882" s="2"/>
      <c r="R882" s="2"/>
    </row>
    <row r="883" spans="3:18" x14ac:dyDescent="0.2">
      <c r="C883" s="2"/>
      <c r="D883" s="2"/>
      <c r="E883" s="2"/>
      <c r="F883" s="2"/>
      <c r="G883" s="2"/>
      <c r="H883" s="2"/>
      <c r="I883" s="2"/>
      <c r="J883" s="2"/>
      <c r="K883" s="2"/>
      <c r="L883" s="2"/>
      <c r="N883" s="2"/>
      <c r="O883" s="2"/>
      <c r="P883" s="2"/>
      <c r="Q883" s="2"/>
      <c r="R883" s="2"/>
    </row>
    <row r="884" spans="3:18" x14ac:dyDescent="0.2">
      <c r="C884" s="2"/>
      <c r="D884" s="2"/>
      <c r="E884" s="2"/>
      <c r="F884" s="2"/>
      <c r="G884" s="2"/>
      <c r="H884" s="2"/>
      <c r="I884" s="2"/>
      <c r="J884" s="2"/>
      <c r="K884" s="2"/>
      <c r="L884" s="2"/>
      <c r="N884" s="2"/>
      <c r="O884" s="2"/>
      <c r="P884" s="2"/>
      <c r="Q884" s="2"/>
      <c r="R884" s="2"/>
    </row>
    <row r="885" spans="3:18" x14ac:dyDescent="0.2">
      <c r="C885" s="2"/>
      <c r="D885" s="2"/>
      <c r="E885" s="2"/>
      <c r="F885" s="2"/>
      <c r="G885" s="2"/>
      <c r="H885" s="2"/>
      <c r="I885" s="2"/>
      <c r="J885" s="2"/>
      <c r="K885" s="2"/>
      <c r="L885" s="2"/>
      <c r="N885" s="2"/>
      <c r="O885" s="2"/>
      <c r="P885" s="2"/>
      <c r="Q885" s="2"/>
      <c r="R885" s="2"/>
    </row>
    <row r="886" spans="3:18" x14ac:dyDescent="0.2">
      <c r="C886" s="2"/>
      <c r="D886" s="2"/>
      <c r="E886" s="2"/>
      <c r="F886" s="2"/>
      <c r="G886" s="2"/>
      <c r="H886" s="2"/>
      <c r="I886" s="2"/>
      <c r="J886" s="2"/>
      <c r="K886" s="2"/>
      <c r="L886" s="2"/>
      <c r="N886" s="2"/>
      <c r="O886" s="2"/>
      <c r="P886" s="2"/>
      <c r="Q886" s="2"/>
      <c r="R886" s="2"/>
    </row>
    <row r="887" spans="3:18" x14ac:dyDescent="0.2">
      <c r="C887" s="2"/>
      <c r="D887" s="2"/>
      <c r="E887" s="2"/>
      <c r="F887" s="2"/>
      <c r="G887" s="2"/>
      <c r="H887" s="2"/>
      <c r="I887" s="2"/>
      <c r="J887" s="2"/>
      <c r="K887" s="2"/>
      <c r="L887" s="2"/>
      <c r="N887" s="2"/>
      <c r="O887" s="2"/>
      <c r="P887" s="2"/>
      <c r="Q887" s="2"/>
      <c r="R887" s="2"/>
    </row>
    <row r="888" spans="3:18" x14ac:dyDescent="0.2">
      <c r="C888" s="2"/>
      <c r="D888" s="2"/>
      <c r="E888" s="2"/>
      <c r="F888" s="2"/>
      <c r="G888" s="2"/>
      <c r="H888" s="2"/>
      <c r="I888" s="2"/>
      <c r="J888" s="2"/>
      <c r="K888" s="2"/>
      <c r="L888" s="2"/>
      <c r="N888" s="2"/>
      <c r="O888" s="2"/>
      <c r="P888" s="2"/>
      <c r="Q888" s="2"/>
      <c r="R888" s="2"/>
    </row>
    <row r="889" spans="3:18" x14ac:dyDescent="0.2">
      <c r="C889" s="2"/>
      <c r="D889" s="2"/>
      <c r="E889" s="2"/>
      <c r="F889" s="2"/>
      <c r="G889" s="2"/>
      <c r="H889" s="2"/>
      <c r="I889" s="2"/>
      <c r="J889" s="2"/>
      <c r="K889" s="2"/>
      <c r="L889" s="2"/>
      <c r="N889" s="2"/>
      <c r="O889" s="2"/>
      <c r="P889" s="2"/>
      <c r="Q889" s="2"/>
      <c r="R889" s="2"/>
    </row>
    <row r="890" spans="3:18" x14ac:dyDescent="0.2">
      <c r="C890" s="2"/>
      <c r="D890" s="2"/>
      <c r="E890" s="2"/>
      <c r="F890" s="2"/>
      <c r="G890" s="2"/>
      <c r="H890" s="2"/>
      <c r="I890" s="2"/>
      <c r="J890" s="2"/>
      <c r="K890" s="2"/>
      <c r="L890" s="2"/>
      <c r="N890" s="2"/>
      <c r="O890" s="2"/>
      <c r="P890" s="2"/>
      <c r="Q890" s="2"/>
      <c r="R890" s="2"/>
    </row>
    <row r="891" spans="3:18" x14ac:dyDescent="0.2">
      <c r="C891" s="2"/>
      <c r="D891" s="2"/>
      <c r="E891" s="2"/>
      <c r="F891" s="2"/>
      <c r="G891" s="2"/>
      <c r="H891" s="2"/>
      <c r="I891" s="2"/>
      <c r="J891" s="2"/>
      <c r="K891" s="2"/>
      <c r="L891" s="2"/>
      <c r="N891" s="2"/>
      <c r="O891" s="2"/>
      <c r="P891" s="2"/>
      <c r="Q891" s="2"/>
      <c r="R891" s="2"/>
    </row>
    <row r="892" spans="3:18" x14ac:dyDescent="0.2">
      <c r="C892" s="2"/>
      <c r="D892" s="2"/>
      <c r="E892" s="2"/>
      <c r="F892" s="2"/>
      <c r="G892" s="2"/>
      <c r="H892" s="2"/>
      <c r="I892" s="2"/>
      <c r="J892" s="2"/>
      <c r="K892" s="2"/>
      <c r="L892" s="2"/>
      <c r="N892" s="2"/>
      <c r="O892" s="2"/>
      <c r="P892" s="2"/>
      <c r="Q892" s="2"/>
      <c r="R892" s="2"/>
    </row>
    <row r="893" spans="3:18" x14ac:dyDescent="0.2">
      <c r="C893" s="2"/>
      <c r="D893" s="2"/>
      <c r="E893" s="2"/>
      <c r="F893" s="2"/>
      <c r="G893" s="2"/>
      <c r="H893" s="2"/>
      <c r="I893" s="2"/>
      <c r="J893" s="2"/>
      <c r="K893" s="2"/>
      <c r="L893" s="2"/>
      <c r="N893" s="2"/>
      <c r="O893" s="2"/>
      <c r="P893" s="2"/>
      <c r="Q893" s="2"/>
      <c r="R893" s="2"/>
    </row>
    <row r="894" spans="3:18" x14ac:dyDescent="0.2">
      <c r="C894" s="2"/>
      <c r="D894" s="2"/>
      <c r="E894" s="2"/>
      <c r="F894" s="2"/>
      <c r="G894" s="2"/>
      <c r="H894" s="2"/>
      <c r="I894" s="2"/>
      <c r="J894" s="2"/>
      <c r="K894" s="2"/>
      <c r="L894" s="2"/>
      <c r="N894" s="2"/>
      <c r="O894" s="2"/>
      <c r="P894" s="2"/>
      <c r="Q894" s="2"/>
      <c r="R894" s="2"/>
    </row>
    <row r="895" spans="3:18" x14ac:dyDescent="0.2">
      <c r="C895" s="2"/>
      <c r="D895" s="2"/>
      <c r="E895" s="2"/>
      <c r="F895" s="2"/>
      <c r="G895" s="2"/>
      <c r="H895" s="2"/>
      <c r="I895" s="2"/>
      <c r="J895" s="2"/>
      <c r="K895" s="2"/>
      <c r="L895" s="2"/>
      <c r="N895" s="2"/>
      <c r="O895" s="2"/>
      <c r="P895" s="2"/>
      <c r="Q895" s="2"/>
      <c r="R895" s="2"/>
    </row>
    <row r="896" spans="3:18" x14ac:dyDescent="0.2">
      <c r="C896" s="2"/>
      <c r="D896" s="2"/>
      <c r="E896" s="2"/>
      <c r="F896" s="2"/>
      <c r="G896" s="2"/>
      <c r="H896" s="2"/>
      <c r="I896" s="2"/>
      <c r="J896" s="2"/>
      <c r="K896" s="2"/>
      <c r="L896" s="2"/>
      <c r="N896" s="2"/>
      <c r="O896" s="2"/>
      <c r="P896" s="2"/>
      <c r="Q896" s="2"/>
      <c r="R896" s="2"/>
    </row>
    <row r="897" spans="3:18" x14ac:dyDescent="0.2">
      <c r="C897" s="2"/>
      <c r="D897" s="2"/>
      <c r="E897" s="2"/>
      <c r="F897" s="2"/>
      <c r="G897" s="2"/>
      <c r="H897" s="2"/>
      <c r="I897" s="2"/>
      <c r="J897" s="2"/>
      <c r="K897" s="2"/>
      <c r="L897" s="2"/>
      <c r="N897" s="2"/>
      <c r="O897" s="2"/>
      <c r="P897" s="2"/>
      <c r="Q897" s="2"/>
      <c r="R897" s="2"/>
    </row>
    <row r="898" spans="3:18" x14ac:dyDescent="0.2">
      <c r="C898" s="2"/>
      <c r="D898" s="2"/>
      <c r="E898" s="2"/>
      <c r="F898" s="2"/>
      <c r="G898" s="2"/>
      <c r="H898" s="2"/>
      <c r="I898" s="2"/>
      <c r="J898" s="2"/>
      <c r="K898" s="2"/>
      <c r="L898" s="2"/>
      <c r="N898" s="2"/>
      <c r="O898" s="2"/>
      <c r="P898" s="2"/>
      <c r="Q898" s="2"/>
      <c r="R898" s="2"/>
    </row>
    <row r="899" spans="3:18" x14ac:dyDescent="0.2">
      <c r="C899" s="2"/>
      <c r="D899" s="2"/>
      <c r="E899" s="2"/>
      <c r="F899" s="2"/>
      <c r="G899" s="2"/>
      <c r="H899" s="2"/>
      <c r="I899" s="2"/>
      <c r="J899" s="2"/>
      <c r="K899" s="2"/>
      <c r="L899" s="2"/>
      <c r="N899" s="2"/>
      <c r="O899" s="2"/>
      <c r="P899" s="2"/>
      <c r="Q899" s="2"/>
      <c r="R899" s="2"/>
    </row>
    <row r="900" spans="3:18" x14ac:dyDescent="0.2">
      <c r="C900" s="2"/>
      <c r="D900" s="2"/>
      <c r="E900" s="2"/>
      <c r="F900" s="2"/>
      <c r="G900" s="2"/>
      <c r="H900" s="2"/>
      <c r="I900" s="2"/>
      <c r="J900" s="2"/>
      <c r="K900" s="2"/>
      <c r="L900" s="2"/>
      <c r="N900" s="2"/>
      <c r="O900" s="2"/>
      <c r="P900" s="2"/>
      <c r="Q900" s="2"/>
      <c r="R900" s="2"/>
    </row>
    <row r="901" spans="3:18" x14ac:dyDescent="0.2">
      <c r="C901" s="2"/>
      <c r="D901" s="2"/>
      <c r="E901" s="2"/>
      <c r="F901" s="2"/>
      <c r="G901" s="2"/>
      <c r="H901" s="2"/>
      <c r="I901" s="2"/>
      <c r="J901" s="2"/>
      <c r="K901" s="2"/>
      <c r="L901" s="2"/>
      <c r="N901" s="2"/>
      <c r="O901" s="2"/>
      <c r="P901" s="2"/>
      <c r="Q901" s="2"/>
      <c r="R901" s="2"/>
    </row>
    <row r="902" spans="3:18" x14ac:dyDescent="0.2">
      <c r="C902" s="2"/>
      <c r="D902" s="2"/>
      <c r="E902" s="2"/>
      <c r="F902" s="2"/>
      <c r="G902" s="2"/>
      <c r="H902" s="2"/>
      <c r="I902" s="2"/>
      <c r="J902" s="2"/>
      <c r="K902" s="2"/>
      <c r="L902" s="2"/>
      <c r="N902" s="2"/>
      <c r="O902" s="2"/>
      <c r="P902" s="2"/>
      <c r="Q902" s="2"/>
      <c r="R902" s="2"/>
    </row>
    <row r="903" spans="3:18" x14ac:dyDescent="0.2">
      <c r="C903" s="2"/>
      <c r="D903" s="2"/>
      <c r="E903" s="2"/>
      <c r="F903" s="2"/>
      <c r="G903" s="2"/>
      <c r="H903" s="2"/>
      <c r="I903" s="2"/>
      <c r="J903" s="2"/>
      <c r="K903" s="2"/>
      <c r="L903" s="2"/>
      <c r="N903" s="2"/>
      <c r="O903" s="2"/>
      <c r="P903" s="2"/>
      <c r="Q903" s="2"/>
      <c r="R903" s="2"/>
    </row>
    <row r="904" spans="3:18" x14ac:dyDescent="0.2">
      <c r="C904" s="2"/>
      <c r="D904" s="2"/>
      <c r="E904" s="2"/>
      <c r="F904" s="2"/>
      <c r="G904" s="2"/>
      <c r="H904" s="2"/>
      <c r="I904" s="2"/>
      <c r="J904" s="2"/>
      <c r="K904" s="2"/>
      <c r="L904" s="2"/>
      <c r="N904" s="2"/>
      <c r="O904" s="2"/>
      <c r="P904" s="2"/>
      <c r="Q904" s="2"/>
      <c r="R904" s="2"/>
    </row>
    <row r="905" spans="3:18" x14ac:dyDescent="0.2">
      <c r="C905" s="2"/>
      <c r="D905" s="2"/>
      <c r="E905" s="2"/>
      <c r="F905" s="2"/>
      <c r="G905" s="2"/>
      <c r="H905" s="2"/>
      <c r="I905" s="2"/>
      <c r="J905" s="2"/>
      <c r="K905" s="2"/>
      <c r="L905" s="2"/>
      <c r="N905" s="2"/>
      <c r="O905" s="2"/>
      <c r="P905" s="2"/>
      <c r="Q905" s="2"/>
      <c r="R905" s="2"/>
    </row>
    <row r="906" spans="3:18" x14ac:dyDescent="0.2">
      <c r="C906" s="2"/>
      <c r="D906" s="2"/>
      <c r="E906" s="2"/>
      <c r="F906" s="2"/>
      <c r="G906" s="2"/>
      <c r="H906" s="2"/>
      <c r="I906" s="2"/>
      <c r="J906" s="2"/>
      <c r="K906" s="2"/>
      <c r="L906" s="2"/>
      <c r="N906" s="2"/>
      <c r="O906" s="2"/>
      <c r="P906" s="2"/>
      <c r="Q906" s="2"/>
      <c r="R906" s="2"/>
    </row>
    <row r="907" spans="3:18" x14ac:dyDescent="0.2">
      <c r="C907" s="2"/>
      <c r="D907" s="2"/>
      <c r="E907" s="2"/>
      <c r="F907" s="2"/>
      <c r="G907" s="2"/>
      <c r="H907" s="2"/>
      <c r="I907" s="2"/>
      <c r="J907" s="2"/>
      <c r="K907" s="2"/>
      <c r="L907" s="2"/>
      <c r="N907" s="2"/>
      <c r="O907" s="2"/>
      <c r="P907" s="2"/>
      <c r="Q907" s="2"/>
      <c r="R907" s="2"/>
    </row>
    <row r="908" spans="3:18" x14ac:dyDescent="0.2">
      <c r="C908" s="2"/>
      <c r="D908" s="2"/>
      <c r="E908" s="2"/>
      <c r="F908" s="2"/>
      <c r="G908" s="2"/>
      <c r="H908" s="2"/>
      <c r="I908" s="2"/>
      <c r="J908" s="2"/>
      <c r="K908" s="2"/>
      <c r="L908" s="2"/>
      <c r="N908" s="2"/>
      <c r="O908" s="2"/>
      <c r="P908" s="2"/>
      <c r="Q908" s="2"/>
      <c r="R908" s="2"/>
    </row>
    <row r="909" spans="3:18" x14ac:dyDescent="0.2">
      <c r="C909" s="2"/>
      <c r="D909" s="2"/>
      <c r="E909" s="2"/>
      <c r="F909" s="2"/>
      <c r="G909" s="2"/>
      <c r="H909" s="2"/>
      <c r="I909" s="2"/>
      <c r="J909" s="2"/>
      <c r="K909" s="2"/>
      <c r="L909" s="2"/>
      <c r="N909" s="2"/>
      <c r="O909" s="2"/>
      <c r="P909" s="2"/>
      <c r="Q909" s="2"/>
      <c r="R909" s="2"/>
    </row>
    <row r="910" spans="3:18" x14ac:dyDescent="0.2">
      <c r="C910" s="2"/>
      <c r="D910" s="2"/>
      <c r="E910" s="2"/>
      <c r="F910" s="2"/>
      <c r="G910" s="2"/>
      <c r="H910" s="2"/>
      <c r="I910" s="2"/>
      <c r="J910" s="2"/>
      <c r="K910" s="2"/>
      <c r="L910" s="2"/>
      <c r="N910" s="2"/>
      <c r="O910" s="2"/>
      <c r="P910" s="2"/>
      <c r="Q910" s="2"/>
      <c r="R910" s="2"/>
    </row>
    <row r="911" spans="3:18" x14ac:dyDescent="0.2">
      <c r="C911" s="2"/>
      <c r="D911" s="2"/>
      <c r="E911" s="2"/>
      <c r="F911" s="2"/>
      <c r="G911" s="2"/>
      <c r="H911" s="2"/>
      <c r="I911" s="2"/>
      <c r="J911" s="2"/>
      <c r="K911" s="2"/>
      <c r="L911" s="2"/>
      <c r="N911" s="2"/>
      <c r="O911" s="2"/>
      <c r="P911" s="2"/>
      <c r="Q911" s="2"/>
      <c r="R911" s="2"/>
    </row>
    <row r="912" spans="3:18" x14ac:dyDescent="0.2">
      <c r="C912" s="2"/>
      <c r="D912" s="2"/>
      <c r="E912" s="2"/>
      <c r="F912" s="2"/>
      <c r="G912" s="2"/>
      <c r="H912" s="2"/>
      <c r="I912" s="2"/>
      <c r="J912" s="2"/>
      <c r="K912" s="2"/>
      <c r="L912" s="2"/>
      <c r="N912" s="2"/>
      <c r="O912" s="2"/>
      <c r="P912" s="2"/>
      <c r="Q912" s="2"/>
      <c r="R912" s="2"/>
    </row>
    <row r="913" spans="3:18" x14ac:dyDescent="0.2">
      <c r="C913" s="2"/>
      <c r="D913" s="2"/>
      <c r="E913" s="2"/>
      <c r="F913" s="2"/>
      <c r="G913" s="2"/>
      <c r="H913" s="2"/>
      <c r="I913" s="2"/>
      <c r="J913" s="2"/>
      <c r="K913" s="2"/>
      <c r="L913" s="2"/>
      <c r="N913" s="2"/>
      <c r="O913" s="2"/>
      <c r="P913" s="2"/>
      <c r="Q913" s="2"/>
      <c r="R913" s="2"/>
    </row>
    <row r="914" spans="3:18" x14ac:dyDescent="0.2">
      <c r="C914" s="2"/>
      <c r="D914" s="2"/>
      <c r="E914" s="2"/>
      <c r="F914" s="2"/>
      <c r="G914" s="2"/>
      <c r="H914" s="2"/>
      <c r="I914" s="2"/>
      <c r="J914" s="2"/>
      <c r="K914" s="2"/>
      <c r="L914" s="2"/>
      <c r="N914" s="2"/>
      <c r="O914" s="2"/>
      <c r="P914" s="2"/>
      <c r="Q914" s="2"/>
      <c r="R914" s="2"/>
    </row>
    <row r="915" spans="3:18" x14ac:dyDescent="0.2">
      <c r="C915" s="2"/>
      <c r="D915" s="2"/>
      <c r="E915" s="2"/>
      <c r="F915" s="2"/>
      <c r="G915" s="2"/>
      <c r="H915" s="2"/>
      <c r="I915" s="2"/>
      <c r="J915" s="2"/>
      <c r="K915" s="2"/>
      <c r="L915" s="2"/>
      <c r="N915" s="2"/>
      <c r="O915" s="2"/>
      <c r="P915" s="2"/>
      <c r="Q915" s="2"/>
      <c r="R915" s="2"/>
    </row>
    <row r="916" spans="3:18" x14ac:dyDescent="0.2">
      <c r="C916" s="2"/>
      <c r="D916" s="2"/>
      <c r="E916" s="2"/>
      <c r="F916" s="2"/>
      <c r="G916" s="2"/>
      <c r="H916" s="2"/>
      <c r="I916" s="2"/>
      <c r="J916" s="2"/>
      <c r="K916" s="2"/>
      <c r="L916" s="2"/>
      <c r="N916" s="2"/>
      <c r="O916" s="2"/>
      <c r="P916" s="2"/>
      <c r="Q916" s="2"/>
      <c r="R916" s="2"/>
    </row>
    <row r="917" spans="3:18" x14ac:dyDescent="0.2">
      <c r="C917" s="2"/>
      <c r="D917" s="2"/>
      <c r="E917" s="2"/>
      <c r="F917" s="2"/>
      <c r="G917" s="2"/>
      <c r="H917" s="2"/>
      <c r="I917" s="2"/>
      <c r="J917" s="2"/>
      <c r="K917" s="2"/>
      <c r="L917" s="2"/>
      <c r="N917" s="2"/>
      <c r="O917" s="2"/>
      <c r="P917" s="2"/>
      <c r="Q917" s="2"/>
      <c r="R917" s="2"/>
    </row>
    <row r="918" spans="3:18" x14ac:dyDescent="0.2">
      <c r="C918" s="2"/>
      <c r="D918" s="2"/>
      <c r="E918" s="2"/>
      <c r="F918" s="2"/>
      <c r="G918" s="2"/>
      <c r="H918" s="2"/>
      <c r="I918" s="2"/>
      <c r="J918" s="2"/>
      <c r="K918" s="2"/>
      <c r="L918" s="2"/>
      <c r="N918" s="2"/>
      <c r="O918" s="2"/>
      <c r="P918" s="2"/>
      <c r="Q918" s="2"/>
      <c r="R918" s="2"/>
    </row>
    <row r="919" spans="3:18" x14ac:dyDescent="0.2">
      <c r="C919" s="2"/>
      <c r="D919" s="2"/>
      <c r="E919" s="2"/>
      <c r="F919" s="2"/>
      <c r="G919" s="2"/>
      <c r="H919" s="2"/>
      <c r="I919" s="2"/>
      <c r="J919" s="2"/>
      <c r="K919" s="2"/>
      <c r="L919" s="2"/>
      <c r="N919" s="2"/>
      <c r="O919" s="2"/>
      <c r="P919" s="2"/>
      <c r="Q919" s="2"/>
      <c r="R919" s="2"/>
    </row>
    <row r="920" spans="3:18" x14ac:dyDescent="0.2">
      <c r="C920" s="2"/>
      <c r="D920" s="2"/>
      <c r="E920" s="2"/>
      <c r="F920" s="2"/>
      <c r="G920" s="2"/>
      <c r="H920" s="2"/>
      <c r="I920" s="2"/>
      <c r="J920" s="2"/>
      <c r="K920" s="2"/>
      <c r="L920" s="2"/>
      <c r="N920" s="2"/>
      <c r="O920" s="2"/>
      <c r="P920" s="2"/>
      <c r="Q920" s="2"/>
      <c r="R920" s="2"/>
    </row>
    <row r="921" spans="3:18" x14ac:dyDescent="0.2">
      <c r="C921" s="2"/>
      <c r="D921" s="2"/>
      <c r="E921" s="2"/>
      <c r="F921" s="2"/>
      <c r="G921" s="2"/>
      <c r="H921" s="2"/>
      <c r="I921" s="2"/>
      <c r="J921" s="2"/>
      <c r="K921" s="2"/>
      <c r="L921" s="2"/>
      <c r="N921" s="2"/>
      <c r="O921" s="2"/>
      <c r="P921" s="2"/>
      <c r="Q921" s="2"/>
      <c r="R921" s="2"/>
    </row>
    <row r="922" spans="3:18" x14ac:dyDescent="0.2">
      <c r="C922" s="2"/>
      <c r="D922" s="2"/>
      <c r="E922" s="2"/>
      <c r="F922" s="2"/>
      <c r="G922" s="2"/>
      <c r="H922" s="2"/>
      <c r="I922" s="2"/>
      <c r="J922" s="2"/>
      <c r="K922" s="2"/>
      <c r="L922" s="2"/>
      <c r="N922" s="2"/>
      <c r="O922" s="2"/>
      <c r="P922" s="2"/>
      <c r="Q922" s="2"/>
      <c r="R922" s="2"/>
    </row>
    <row r="923" spans="3:18" x14ac:dyDescent="0.2">
      <c r="C923" s="2"/>
      <c r="D923" s="2"/>
      <c r="E923" s="2"/>
      <c r="F923" s="2"/>
      <c r="G923" s="2"/>
      <c r="H923" s="2"/>
      <c r="I923" s="2"/>
      <c r="J923" s="2"/>
      <c r="K923" s="2"/>
      <c r="L923" s="2"/>
      <c r="N923" s="2"/>
      <c r="O923" s="2"/>
      <c r="P923" s="2"/>
      <c r="Q923" s="2"/>
      <c r="R923" s="2"/>
    </row>
    <row r="924" spans="3:18" x14ac:dyDescent="0.2">
      <c r="C924" s="2"/>
      <c r="D924" s="2"/>
      <c r="E924" s="2"/>
      <c r="F924" s="2"/>
      <c r="G924" s="2"/>
      <c r="H924" s="2"/>
      <c r="I924" s="2"/>
      <c r="J924" s="2"/>
      <c r="K924" s="2"/>
      <c r="L924" s="2"/>
      <c r="N924" s="2"/>
      <c r="O924" s="2"/>
      <c r="P924" s="2"/>
      <c r="Q924" s="2"/>
      <c r="R924" s="2"/>
    </row>
    <row r="925" spans="3:18" x14ac:dyDescent="0.2">
      <c r="C925" s="2"/>
      <c r="D925" s="2"/>
      <c r="E925" s="2"/>
      <c r="F925" s="2"/>
      <c r="G925" s="2"/>
      <c r="H925" s="2"/>
      <c r="I925" s="2"/>
      <c r="J925" s="2"/>
      <c r="K925" s="2"/>
      <c r="L925" s="2"/>
      <c r="N925" s="2"/>
      <c r="O925" s="2"/>
      <c r="P925" s="2"/>
      <c r="Q925" s="2"/>
      <c r="R925" s="2"/>
    </row>
    <row r="926" spans="3:18" x14ac:dyDescent="0.2">
      <c r="C926" s="2"/>
      <c r="D926" s="2"/>
      <c r="E926" s="2"/>
      <c r="F926" s="2"/>
      <c r="G926" s="2"/>
      <c r="H926" s="2"/>
      <c r="I926" s="2"/>
      <c r="J926" s="2"/>
      <c r="K926" s="2"/>
      <c r="L926" s="2"/>
      <c r="N926" s="2"/>
      <c r="O926" s="2"/>
      <c r="P926" s="2"/>
      <c r="Q926" s="2"/>
      <c r="R926" s="2"/>
    </row>
    <row r="927" spans="3:18" x14ac:dyDescent="0.2">
      <c r="C927" s="2"/>
      <c r="D927" s="2"/>
      <c r="E927" s="2"/>
      <c r="F927" s="2"/>
      <c r="G927" s="2"/>
      <c r="H927" s="2"/>
      <c r="I927" s="2"/>
      <c r="J927" s="2"/>
      <c r="K927" s="2"/>
      <c r="L927" s="2"/>
      <c r="N927" s="2"/>
      <c r="O927" s="2"/>
      <c r="P927" s="2"/>
      <c r="Q927" s="2"/>
      <c r="R927" s="2"/>
    </row>
    <row r="928" spans="3:18" x14ac:dyDescent="0.2">
      <c r="C928" s="2"/>
      <c r="D928" s="2"/>
      <c r="E928" s="2"/>
      <c r="F928" s="2"/>
      <c r="G928" s="2"/>
      <c r="H928" s="2"/>
      <c r="I928" s="2"/>
      <c r="J928" s="2"/>
      <c r="K928" s="2"/>
      <c r="L928" s="2"/>
      <c r="N928" s="2"/>
      <c r="O928" s="2"/>
      <c r="P928" s="2"/>
      <c r="Q928" s="2"/>
      <c r="R928" s="2"/>
    </row>
    <row r="929" spans="3:18" x14ac:dyDescent="0.2">
      <c r="C929" s="2"/>
      <c r="D929" s="2"/>
      <c r="E929" s="2"/>
      <c r="F929" s="2"/>
      <c r="G929" s="2"/>
      <c r="H929" s="2"/>
      <c r="I929" s="2"/>
      <c r="J929" s="2"/>
      <c r="K929" s="2"/>
      <c r="L929" s="2"/>
      <c r="N929" s="2"/>
      <c r="O929" s="2"/>
      <c r="P929" s="2"/>
      <c r="Q929" s="2"/>
      <c r="R929" s="2"/>
    </row>
    <row r="930" spans="3:18" x14ac:dyDescent="0.2">
      <c r="C930" s="2"/>
      <c r="D930" s="2"/>
      <c r="E930" s="2"/>
      <c r="F930" s="2"/>
      <c r="G930" s="2"/>
      <c r="H930" s="2"/>
      <c r="I930" s="2"/>
      <c r="J930" s="2"/>
      <c r="K930" s="2"/>
      <c r="L930" s="2"/>
      <c r="N930" s="2"/>
      <c r="O930" s="2"/>
      <c r="P930" s="2"/>
      <c r="Q930" s="2"/>
      <c r="R930" s="2"/>
    </row>
    <row r="931" spans="3:18" x14ac:dyDescent="0.2">
      <c r="C931" s="2"/>
      <c r="D931" s="2"/>
      <c r="E931" s="2"/>
      <c r="F931" s="2"/>
      <c r="G931" s="2"/>
      <c r="H931" s="2"/>
      <c r="I931" s="2"/>
      <c r="J931" s="2"/>
      <c r="K931" s="2"/>
      <c r="L931" s="2"/>
      <c r="N931" s="2"/>
      <c r="O931" s="2"/>
      <c r="P931" s="2"/>
      <c r="Q931" s="2"/>
      <c r="R931" s="2"/>
    </row>
    <row r="932" spans="3:18" x14ac:dyDescent="0.2">
      <c r="C932" s="2"/>
      <c r="D932" s="2"/>
      <c r="E932" s="2"/>
      <c r="F932" s="2"/>
      <c r="G932" s="2"/>
      <c r="H932" s="2"/>
      <c r="I932" s="2"/>
      <c r="J932" s="2"/>
      <c r="K932" s="2"/>
      <c r="L932" s="2"/>
      <c r="N932" s="2"/>
      <c r="O932" s="2"/>
      <c r="P932" s="2"/>
      <c r="Q932" s="2"/>
      <c r="R932" s="2"/>
    </row>
    <row r="933" spans="3:18" x14ac:dyDescent="0.2">
      <c r="C933" s="2"/>
      <c r="D933" s="2"/>
      <c r="E933" s="2"/>
      <c r="F933" s="2"/>
      <c r="G933" s="2"/>
      <c r="H933" s="2"/>
      <c r="I933" s="2"/>
      <c r="J933" s="2"/>
      <c r="K933" s="2"/>
      <c r="L933" s="2"/>
      <c r="N933" s="2"/>
      <c r="O933" s="2"/>
      <c r="P933" s="2"/>
      <c r="Q933" s="2"/>
      <c r="R933" s="2"/>
    </row>
    <row r="934" spans="3:18" x14ac:dyDescent="0.2">
      <c r="C934" s="2"/>
      <c r="D934" s="2"/>
      <c r="E934" s="2"/>
      <c r="F934" s="2"/>
      <c r="G934" s="2"/>
      <c r="H934" s="2"/>
      <c r="I934" s="2"/>
      <c r="J934" s="2"/>
      <c r="K934" s="2"/>
      <c r="L934" s="2"/>
      <c r="N934" s="2"/>
      <c r="O934" s="2"/>
      <c r="P934" s="2"/>
      <c r="Q934" s="2"/>
      <c r="R934" s="2"/>
    </row>
    <row r="935" spans="3:18" x14ac:dyDescent="0.2">
      <c r="C935" s="2"/>
      <c r="D935" s="2"/>
      <c r="E935" s="2"/>
      <c r="F935" s="2"/>
      <c r="G935" s="2"/>
      <c r="H935" s="2"/>
      <c r="I935" s="2"/>
      <c r="J935" s="2"/>
      <c r="K935" s="2"/>
      <c r="L935" s="2"/>
      <c r="N935" s="2"/>
      <c r="O935" s="2"/>
      <c r="P935" s="2"/>
      <c r="Q935" s="2"/>
      <c r="R935" s="2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7"/>
  <sheetViews>
    <sheetView workbookViewId="0"/>
  </sheetViews>
  <sheetFormatPr defaultColWidth="9.109375" defaultRowHeight="10" x14ac:dyDescent="0.2"/>
  <cols>
    <col min="1" max="1" width="11.44140625" customWidth="1"/>
    <col min="2" max="2" width="11.109375" customWidth="1"/>
    <col min="3" max="3" width="10.44140625" customWidth="1"/>
    <col min="4" max="4" width="10.6640625" style="1" customWidth="1"/>
    <col min="5" max="5" width="10.109375" customWidth="1"/>
    <col min="6" max="6" width="10" customWidth="1"/>
  </cols>
  <sheetData>
    <row r="2" spans="1:4" x14ac:dyDescent="0.2">
      <c r="A2" s="1" t="s">
        <v>1</v>
      </c>
      <c r="B2" s="1" t="s">
        <v>32</v>
      </c>
      <c r="C2" s="1" t="s">
        <v>33</v>
      </c>
      <c r="D2" s="1" t="s">
        <v>34</v>
      </c>
    </row>
    <row r="3" spans="1:4" x14ac:dyDescent="0.2">
      <c r="A3" s="1"/>
      <c r="B3" s="1"/>
      <c r="C3" s="1"/>
      <c r="D3"/>
    </row>
    <row r="4" spans="1:4" x14ac:dyDescent="0.2">
      <c r="A4" s="1" t="s">
        <v>12</v>
      </c>
      <c r="B4" s="1" t="s">
        <v>12</v>
      </c>
      <c r="C4" s="1" t="s">
        <v>12</v>
      </c>
      <c r="D4" s="1" t="s">
        <v>12</v>
      </c>
    </row>
    <row r="5" spans="1:4" x14ac:dyDescent="0.2">
      <c r="A5" s="1" t="s">
        <v>14</v>
      </c>
      <c r="B5" s="1" t="s">
        <v>22</v>
      </c>
      <c r="C5" s="1" t="s">
        <v>17</v>
      </c>
      <c r="D5" s="1" t="s">
        <v>27</v>
      </c>
    </row>
    <row r="6" spans="1:4" x14ac:dyDescent="0.2">
      <c r="A6" s="1" t="s">
        <v>13</v>
      </c>
      <c r="B6" s="1" t="s">
        <v>16</v>
      </c>
      <c r="C6" s="1" t="s">
        <v>27</v>
      </c>
      <c r="D6" s="1" t="s">
        <v>27</v>
      </c>
    </row>
    <row r="7" spans="1:4" x14ac:dyDescent="0.2">
      <c r="A7" s="1" t="s">
        <v>16</v>
      </c>
      <c r="B7" s="1" t="s">
        <v>19</v>
      </c>
      <c r="C7" s="1" t="s">
        <v>22</v>
      </c>
      <c r="D7" s="1" t="s">
        <v>19</v>
      </c>
    </row>
    <row r="8" spans="1:4" x14ac:dyDescent="0.2">
      <c r="A8" s="1" t="s">
        <v>18</v>
      </c>
      <c r="B8" s="1" t="s">
        <v>29</v>
      </c>
      <c r="C8" s="1" t="s">
        <v>28</v>
      </c>
      <c r="D8" s="1" t="s">
        <v>27</v>
      </c>
    </row>
    <row r="9" spans="1:4" x14ac:dyDescent="0.2">
      <c r="A9" s="1" t="s">
        <v>18</v>
      </c>
      <c r="B9" s="1" t="s">
        <v>18</v>
      </c>
      <c r="C9" s="1" t="s">
        <v>22</v>
      </c>
      <c r="D9" s="1" t="s">
        <v>31</v>
      </c>
    </row>
    <row r="10" spans="1:4" x14ac:dyDescent="0.2">
      <c r="A10" s="1" t="s">
        <v>18</v>
      </c>
      <c r="B10" s="1" t="s">
        <v>28</v>
      </c>
      <c r="C10" s="1" t="s">
        <v>29</v>
      </c>
      <c r="D10" s="1" t="s">
        <v>17</v>
      </c>
    </row>
    <row r="11" spans="1:4" x14ac:dyDescent="0.2">
      <c r="A11" s="1" t="s">
        <v>12</v>
      </c>
      <c r="B11" s="1" t="s">
        <v>23</v>
      </c>
      <c r="C11" s="1" t="s">
        <v>23</v>
      </c>
      <c r="D11" s="1" t="s">
        <v>25</v>
      </c>
    </row>
    <row r="12" spans="1:4" x14ac:dyDescent="0.2">
      <c r="A12" s="1" t="s">
        <v>22</v>
      </c>
      <c r="B12" s="1" t="s">
        <v>28</v>
      </c>
      <c r="C12" s="1" t="s">
        <v>12</v>
      </c>
      <c r="D12" s="1" t="s">
        <v>31</v>
      </c>
    </row>
    <row r="13" spans="1:4" x14ac:dyDescent="0.2">
      <c r="A13" s="1" t="s">
        <v>12</v>
      </c>
      <c r="B13" s="1" t="s">
        <v>20</v>
      </c>
      <c r="C13" s="1" t="s">
        <v>27</v>
      </c>
      <c r="D13" s="1" t="s">
        <v>31</v>
      </c>
    </row>
    <row r="14" spans="1:4" x14ac:dyDescent="0.2">
      <c r="A14" s="1" t="s">
        <v>23</v>
      </c>
      <c r="B14" s="1" t="s">
        <v>18</v>
      </c>
      <c r="C14" s="1" t="s">
        <v>23</v>
      </c>
      <c r="D14" s="1" t="s">
        <v>27</v>
      </c>
    </row>
    <row r="15" spans="1:4" x14ac:dyDescent="0.2">
      <c r="A15" s="1" t="s">
        <v>18</v>
      </c>
      <c r="B15" s="1" t="s">
        <v>28</v>
      </c>
      <c r="C15" s="1" t="s">
        <v>23</v>
      </c>
      <c r="D15" s="1" t="s">
        <v>28</v>
      </c>
    </row>
    <row r="16" spans="1:4" x14ac:dyDescent="0.2">
      <c r="A16" s="1" t="s">
        <v>23</v>
      </c>
      <c r="B16" s="1" t="s">
        <v>16</v>
      </c>
      <c r="C16" s="1" t="s">
        <v>23</v>
      </c>
      <c r="D16" s="1" t="s">
        <v>27</v>
      </c>
    </row>
    <row r="17" spans="1:4" x14ac:dyDescent="0.2">
      <c r="A17" s="1" t="s">
        <v>14</v>
      </c>
      <c r="B17" s="1" t="s">
        <v>28</v>
      </c>
      <c r="C17" s="1" t="s">
        <v>30</v>
      </c>
      <c r="D17" s="1" t="s">
        <v>31</v>
      </c>
    </row>
    <row r="18" spans="1:4" x14ac:dyDescent="0.2">
      <c r="A18" s="1" t="s">
        <v>18</v>
      </c>
      <c r="B18" s="1" t="s">
        <v>23</v>
      </c>
      <c r="C18" s="1" t="s">
        <v>16</v>
      </c>
      <c r="D18" s="1" t="s">
        <v>18</v>
      </c>
    </row>
    <row r="19" spans="1:4" x14ac:dyDescent="0.2">
      <c r="A19" s="1" t="s">
        <v>17</v>
      </c>
      <c r="B19" s="1" t="s">
        <v>17</v>
      </c>
      <c r="C19" s="1" t="s">
        <v>27</v>
      </c>
      <c r="D19" s="1" t="s">
        <v>26</v>
      </c>
    </row>
    <row r="20" spans="1:4" x14ac:dyDescent="0.2">
      <c r="A20" s="1" t="s">
        <v>24</v>
      </c>
      <c r="B20" s="1" t="s">
        <v>29</v>
      </c>
      <c r="C20" s="1" t="s">
        <v>20</v>
      </c>
      <c r="D20" s="1" t="s">
        <v>26</v>
      </c>
    </row>
    <row r="21" spans="1:4" x14ac:dyDescent="0.2">
      <c r="A21" s="1" t="s">
        <v>13</v>
      </c>
      <c r="B21" s="1" t="s">
        <v>17</v>
      </c>
      <c r="C21" s="1" t="s">
        <v>28</v>
      </c>
      <c r="D21" s="1" t="s">
        <v>31</v>
      </c>
    </row>
    <row r="22" spans="1:4" x14ac:dyDescent="0.2">
      <c r="A22" s="1" t="s">
        <v>23</v>
      </c>
      <c r="B22" s="1" t="s">
        <v>25</v>
      </c>
      <c r="C22" s="1" t="s">
        <v>15</v>
      </c>
      <c r="D22" s="1" t="s">
        <v>29</v>
      </c>
    </row>
    <row r="23" spans="1:4" x14ac:dyDescent="0.2">
      <c r="A23" s="1" t="s">
        <v>14</v>
      </c>
      <c r="B23" s="1" t="s">
        <v>27</v>
      </c>
      <c r="C23" s="1" t="s">
        <v>20</v>
      </c>
      <c r="D23" s="1" t="s">
        <v>17</v>
      </c>
    </row>
    <row r="24" spans="1:4" x14ac:dyDescent="0.2">
      <c r="A24" s="1" t="s">
        <v>26</v>
      </c>
      <c r="B24" s="1" t="s">
        <v>14</v>
      </c>
      <c r="C24" s="1" t="s">
        <v>14</v>
      </c>
      <c r="D24" s="1" t="s">
        <v>28</v>
      </c>
    </row>
    <row r="25" spans="1:4" x14ac:dyDescent="0.2">
      <c r="A25" s="1" t="s">
        <v>13</v>
      </c>
      <c r="B25" s="1" t="s">
        <v>28</v>
      </c>
      <c r="C25" s="1" t="s">
        <v>16</v>
      </c>
      <c r="D25" s="1" t="s">
        <v>25</v>
      </c>
    </row>
    <row r="26" spans="1:4" x14ac:dyDescent="0.2">
      <c r="A26" s="1" t="s">
        <v>17</v>
      </c>
      <c r="B26" s="1" t="s">
        <v>16</v>
      </c>
      <c r="C26" s="1" t="s">
        <v>29</v>
      </c>
      <c r="D26" s="1" t="s">
        <v>26</v>
      </c>
    </row>
    <row r="27" spans="1:4" x14ac:dyDescent="0.2">
      <c r="A27" s="1" t="s">
        <v>22</v>
      </c>
      <c r="B27" s="1" t="s">
        <v>17</v>
      </c>
      <c r="C27" s="1" t="s">
        <v>12</v>
      </c>
      <c r="D27" s="1" t="s">
        <v>29</v>
      </c>
    </row>
    <row r="28" spans="1:4" x14ac:dyDescent="0.2">
      <c r="A28" s="1" t="s">
        <v>13</v>
      </c>
      <c r="B28" s="1" t="s">
        <v>24</v>
      </c>
      <c r="C28" s="1" t="s">
        <v>28</v>
      </c>
      <c r="D28" s="1" t="s">
        <v>21</v>
      </c>
    </row>
    <row r="29" spans="1:4" x14ac:dyDescent="0.2">
      <c r="A29" s="1" t="s">
        <v>17</v>
      </c>
      <c r="B29" s="1" t="s">
        <v>29</v>
      </c>
      <c r="C29" s="1" t="s">
        <v>22</v>
      </c>
      <c r="D29" s="1" t="s">
        <v>16</v>
      </c>
    </row>
    <row r="30" spans="1:4" x14ac:dyDescent="0.2">
      <c r="A30" s="1" t="s">
        <v>13</v>
      </c>
      <c r="B30" s="1" t="s">
        <v>18</v>
      </c>
      <c r="C30" s="1" t="s">
        <v>27</v>
      </c>
      <c r="D30" s="1" t="s">
        <v>27</v>
      </c>
    </row>
    <row r="31" spans="1:4" x14ac:dyDescent="0.2">
      <c r="A31" s="1" t="s">
        <v>14</v>
      </c>
      <c r="B31" s="1" t="s">
        <v>13</v>
      </c>
      <c r="C31" s="1" t="s">
        <v>25</v>
      </c>
      <c r="D31" s="1" t="s">
        <v>29</v>
      </c>
    </row>
    <row r="32" spans="1:4" x14ac:dyDescent="0.2">
      <c r="A32" s="1" t="s">
        <v>18</v>
      </c>
      <c r="B32" s="1" t="s">
        <v>18</v>
      </c>
      <c r="C32" s="1" t="s">
        <v>27</v>
      </c>
      <c r="D32" s="1" t="s">
        <v>26</v>
      </c>
    </row>
    <row r="33" spans="1:4" x14ac:dyDescent="0.2">
      <c r="A33" s="1" t="s">
        <v>18</v>
      </c>
      <c r="B33" s="1" t="s">
        <v>16</v>
      </c>
      <c r="C33" s="1" t="s">
        <v>27</v>
      </c>
      <c r="D33" s="1" t="s">
        <v>27</v>
      </c>
    </row>
    <row r="34" spans="1:4" x14ac:dyDescent="0.2">
      <c r="A34" s="1" t="s">
        <v>13</v>
      </c>
      <c r="B34" s="1" t="s">
        <v>22</v>
      </c>
      <c r="C34" s="1" t="s">
        <v>23</v>
      </c>
      <c r="D34" s="1" t="s">
        <v>20</v>
      </c>
    </row>
    <row r="35" spans="1:4" x14ac:dyDescent="0.2">
      <c r="A35" s="1" t="s">
        <v>13</v>
      </c>
      <c r="B35" s="1" t="s">
        <v>14</v>
      </c>
      <c r="C35" s="1" t="s">
        <v>13</v>
      </c>
      <c r="D35" s="1" t="s">
        <v>31</v>
      </c>
    </row>
    <row r="36" spans="1:4" x14ac:dyDescent="0.2">
      <c r="A36" s="1" t="s">
        <v>17</v>
      </c>
      <c r="B36" s="1" t="s">
        <v>18</v>
      </c>
      <c r="C36" s="1" t="s">
        <v>29</v>
      </c>
      <c r="D36" s="1" t="s">
        <v>27</v>
      </c>
    </row>
    <row r="37" spans="1:4" x14ac:dyDescent="0.2">
      <c r="A37" s="1" t="s">
        <v>14</v>
      </c>
      <c r="B37" s="1" t="s">
        <v>17</v>
      </c>
      <c r="C37" s="1" t="s">
        <v>27</v>
      </c>
      <c r="D37" s="1" t="s">
        <v>28</v>
      </c>
    </row>
    <row r="38" spans="1:4" x14ac:dyDescent="0.2">
      <c r="A38" s="1" t="s">
        <v>26</v>
      </c>
      <c r="B38" s="1" t="s">
        <v>20</v>
      </c>
      <c r="C38" s="1" t="s">
        <v>13</v>
      </c>
      <c r="D38" s="1" t="s">
        <v>13</v>
      </c>
    </row>
    <row r="39" spans="1:4" x14ac:dyDescent="0.2">
      <c r="A39" s="1" t="s">
        <v>27</v>
      </c>
      <c r="B39" s="1" t="s">
        <v>16</v>
      </c>
      <c r="C39" s="1" t="s">
        <v>20</v>
      </c>
      <c r="D39" s="1" t="s">
        <v>26</v>
      </c>
    </row>
    <row r="40" spans="1:4" x14ac:dyDescent="0.2">
      <c r="A40" s="1" t="s">
        <v>18</v>
      </c>
      <c r="B40" s="1" t="s">
        <v>25</v>
      </c>
      <c r="C40" s="1" t="s">
        <v>17</v>
      </c>
      <c r="D40" s="1" t="s">
        <v>27</v>
      </c>
    </row>
    <row r="41" spans="1:4" x14ac:dyDescent="0.2">
      <c r="A41" s="1" t="s">
        <v>22</v>
      </c>
      <c r="B41" s="1" t="s">
        <v>25</v>
      </c>
      <c r="C41" s="1" t="s">
        <v>28</v>
      </c>
      <c r="D41" s="1" t="s">
        <v>13</v>
      </c>
    </row>
    <row r="42" spans="1:4" x14ac:dyDescent="0.2">
      <c r="A42" s="1" t="s">
        <v>23</v>
      </c>
      <c r="B42" s="1" t="s">
        <v>14</v>
      </c>
      <c r="C42" s="1" t="s">
        <v>29</v>
      </c>
      <c r="D42" s="1" t="s">
        <v>31</v>
      </c>
    </row>
    <row r="43" spans="1:4" x14ac:dyDescent="0.2">
      <c r="A43" s="1" t="s">
        <v>17</v>
      </c>
      <c r="B43" s="1" t="s">
        <v>22</v>
      </c>
      <c r="C43" s="1" t="s">
        <v>28</v>
      </c>
      <c r="D43" s="1" t="s">
        <v>27</v>
      </c>
    </row>
    <row r="44" spans="1:4" x14ac:dyDescent="0.2">
      <c r="A44" s="1" t="s">
        <v>14</v>
      </c>
      <c r="B44" s="1" t="s">
        <v>22</v>
      </c>
      <c r="C44" s="1" t="s">
        <v>16</v>
      </c>
      <c r="D44" s="1" t="s">
        <v>27</v>
      </c>
    </row>
    <row r="45" spans="1:4" x14ac:dyDescent="0.2">
      <c r="A45" s="1" t="s">
        <v>17</v>
      </c>
      <c r="B45" s="1" t="s">
        <v>26</v>
      </c>
      <c r="C45" s="1" t="s">
        <v>24</v>
      </c>
      <c r="D45" s="1" t="s">
        <v>31</v>
      </c>
    </row>
    <row r="46" spans="1:4" x14ac:dyDescent="0.2">
      <c r="A46" s="1" t="s">
        <v>23</v>
      </c>
      <c r="B46" s="1" t="s">
        <v>23</v>
      </c>
      <c r="C46" s="1" t="s">
        <v>15</v>
      </c>
      <c r="D46" s="1" t="s">
        <v>27</v>
      </c>
    </row>
    <row r="47" spans="1:4" x14ac:dyDescent="0.2">
      <c r="A47" s="1" t="s">
        <v>29</v>
      </c>
      <c r="B47" s="1" t="s">
        <v>16</v>
      </c>
      <c r="C47" s="1" t="s">
        <v>18</v>
      </c>
      <c r="D47" s="1" t="s">
        <v>13</v>
      </c>
    </row>
    <row r="48" spans="1:4" x14ac:dyDescent="0.2">
      <c r="A48" s="1" t="s">
        <v>27</v>
      </c>
      <c r="B48" s="1" t="s">
        <v>19</v>
      </c>
      <c r="C48" s="1" t="s">
        <v>27</v>
      </c>
      <c r="D48" s="1" t="s">
        <v>25</v>
      </c>
    </row>
    <row r="49" spans="1:4" x14ac:dyDescent="0.2">
      <c r="A49" s="1" t="s">
        <v>23</v>
      </c>
      <c r="B49" s="1" t="s">
        <v>13</v>
      </c>
      <c r="C49" s="1" t="s">
        <v>27</v>
      </c>
      <c r="D49" s="1" t="s">
        <v>29</v>
      </c>
    </row>
    <row r="50" spans="1:4" x14ac:dyDescent="0.2">
      <c r="A50" s="1" t="s">
        <v>22</v>
      </c>
      <c r="B50" s="1" t="s">
        <v>20</v>
      </c>
      <c r="C50" s="1" t="s">
        <v>22</v>
      </c>
      <c r="D50" s="1" t="s">
        <v>27</v>
      </c>
    </row>
    <row r="51" spans="1:4" x14ac:dyDescent="0.2">
      <c r="A51" s="1" t="s">
        <v>18</v>
      </c>
      <c r="B51" s="1" t="s">
        <v>18</v>
      </c>
      <c r="C51" s="1" t="s">
        <v>27</v>
      </c>
      <c r="D51" s="1" t="s">
        <v>27</v>
      </c>
    </row>
    <row r="52" spans="1:4" x14ac:dyDescent="0.2">
      <c r="A52" s="1" t="s">
        <v>18</v>
      </c>
      <c r="B52" s="1" t="s">
        <v>22</v>
      </c>
      <c r="C52" s="1" t="s">
        <v>23</v>
      </c>
      <c r="D52" s="1" t="s">
        <v>27</v>
      </c>
    </row>
    <row r="53" spans="1:4" x14ac:dyDescent="0.2">
      <c r="A53" s="1" t="s">
        <v>23</v>
      </c>
      <c r="B53" s="1" t="s">
        <v>23</v>
      </c>
      <c r="C53" s="1" t="s">
        <v>23</v>
      </c>
      <c r="D53" s="1" t="s">
        <v>23</v>
      </c>
    </row>
    <row r="54" spans="1:4" x14ac:dyDescent="0.2">
      <c r="A54" s="1" t="s">
        <v>18</v>
      </c>
      <c r="B54" s="1" t="s">
        <v>17</v>
      </c>
      <c r="C54" s="1" t="s">
        <v>31</v>
      </c>
      <c r="D54" s="1" t="s">
        <v>27</v>
      </c>
    </row>
    <row r="55" spans="1:4" x14ac:dyDescent="0.2">
      <c r="A55" s="1" t="s">
        <v>20</v>
      </c>
      <c r="B55" s="1" t="s">
        <v>14</v>
      </c>
      <c r="C55" s="1" t="s">
        <v>27</v>
      </c>
      <c r="D55" s="1" t="s">
        <v>29</v>
      </c>
    </row>
    <row r="56" spans="1:4" x14ac:dyDescent="0.2">
      <c r="A56" s="1" t="s">
        <v>17</v>
      </c>
      <c r="B56" s="1" t="s">
        <v>20</v>
      </c>
      <c r="C56" s="1" t="s">
        <v>20</v>
      </c>
      <c r="D56" s="1" t="s">
        <v>26</v>
      </c>
    </row>
    <row r="57" spans="1:4" x14ac:dyDescent="0.2">
      <c r="A57" s="1" t="s">
        <v>14</v>
      </c>
      <c r="B57" s="1" t="s">
        <v>26</v>
      </c>
      <c r="C57" s="1" t="s">
        <v>24</v>
      </c>
      <c r="D57" s="1" t="s">
        <v>26</v>
      </c>
    </row>
    <row r="58" spans="1:4" x14ac:dyDescent="0.2">
      <c r="A58" s="1" t="s">
        <v>17</v>
      </c>
      <c r="B58" s="1" t="s">
        <v>28</v>
      </c>
      <c r="C58" s="1" t="s">
        <v>22</v>
      </c>
      <c r="D58" s="1" t="s">
        <v>27</v>
      </c>
    </row>
    <row r="59" spans="1:4" x14ac:dyDescent="0.2">
      <c r="A59" s="1" t="s">
        <v>23</v>
      </c>
      <c r="B59" s="1" t="s">
        <v>23</v>
      </c>
      <c r="C59" s="1" t="s">
        <v>18</v>
      </c>
      <c r="D59" s="1" t="s">
        <v>31</v>
      </c>
    </row>
    <row r="60" spans="1:4" x14ac:dyDescent="0.2">
      <c r="A60" s="1" t="s">
        <v>14</v>
      </c>
      <c r="B60" s="1" t="s">
        <v>27</v>
      </c>
      <c r="C60" s="1" t="s">
        <v>24</v>
      </c>
      <c r="D60" s="1" t="s">
        <v>27</v>
      </c>
    </row>
    <row r="61" spans="1:4" x14ac:dyDescent="0.2">
      <c r="A61" s="1" t="s">
        <v>18</v>
      </c>
      <c r="B61" s="1" t="s">
        <v>14</v>
      </c>
      <c r="C61" s="1" t="s">
        <v>31</v>
      </c>
      <c r="D61" s="1" t="s">
        <v>27</v>
      </c>
    </row>
    <row r="62" spans="1:4" x14ac:dyDescent="0.2">
      <c r="A62" s="1" t="s">
        <v>31</v>
      </c>
      <c r="B62" s="1" t="s">
        <v>31</v>
      </c>
      <c r="C62" s="1" t="s">
        <v>23</v>
      </c>
      <c r="D62" s="1" t="s">
        <v>27</v>
      </c>
    </row>
    <row r="63" spans="1:4" x14ac:dyDescent="0.2">
      <c r="A63" s="1" t="s">
        <v>27</v>
      </c>
      <c r="B63" s="1" t="s">
        <v>24</v>
      </c>
      <c r="C63" s="1" t="s">
        <v>13</v>
      </c>
      <c r="D63" s="1" t="s">
        <v>27</v>
      </c>
    </row>
    <row r="64" spans="1:4" x14ac:dyDescent="0.2">
      <c r="A64" s="1" t="s">
        <v>17</v>
      </c>
      <c r="B64" s="1" t="s">
        <v>16</v>
      </c>
      <c r="C64" s="1" t="s">
        <v>30</v>
      </c>
      <c r="D64" s="1" t="s">
        <v>20</v>
      </c>
    </row>
    <row r="65" spans="1:4" x14ac:dyDescent="0.2">
      <c r="A65" s="1" t="s">
        <v>13</v>
      </c>
      <c r="B65" s="1" t="s">
        <v>22</v>
      </c>
      <c r="C65" s="1" t="s">
        <v>31</v>
      </c>
      <c r="D65" s="1" t="s">
        <v>27</v>
      </c>
    </row>
    <row r="66" spans="1:4" x14ac:dyDescent="0.2">
      <c r="A66" s="1" t="s">
        <v>23</v>
      </c>
      <c r="B66" s="1" t="s">
        <v>18</v>
      </c>
      <c r="C66" s="1" t="s">
        <v>22</v>
      </c>
      <c r="D66" s="1" t="s">
        <v>23</v>
      </c>
    </row>
    <row r="67" spans="1:4" x14ac:dyDescent="0.2">
      <c r="A67" s="1" t="s">
        <v>18</v>
      </c>
      <c r="B67" s="1" t="s">
        <v>17</v>
      </c>
      <c r="C67" s="1" t="s">
        <v>22</v>
      </c>
      <c r="D67" s="1" t="s">
        <v>12</v>
      </c>
    </row>
    <row r="68" spans="1:4" x14ac:dyDescent="0.2">
      <c r="A68" s="1" t="s">
        <v>14</v>
      </c>
      <c r="B68" s="1" t="s">
        <v>27</v>
      </c>
      <c r="C68" s="1" t="s">
        <v>18</v>
      </c>
      <c r="D68" s="1" t="s">
        <v>25</v>
      </c>
    </row>
    <row r="69" spans="1:4" x14ac:dyDescent="0.2">
      <c r="A69" s="1" t="s">
        <v>13</v>
      </c>
      <c r="B69" s="1" t="s">
        <v>28</v>
      </c>
      <c r="C69" s="1" t="s">
        <v>25</v>
      </c>
      <c r="D69" s="1" t="s">
        <v>27</v>
      </c>
    </row>
    <row r="70" spans="1:4" x14ac:dyDescent="0.2">
      <c r="A70" s="1" t="s">
        <v>22</v>
      </c>
      <c r="B70" s="1" t="s">
        <v>23</v>
      </c>
      <c r="C70" s="1" t="s">
        <v>20</v>
      </c>
      <c r="D70" s="1" t="s">
        <v>23</v>
      </c>
    </row>
    <row r="71" spans="1:4" x14ac:dyDescent="0.2">
      <c r="A71" s="1" t="s">
        <v>17</v>
      </c>
      <c r="B71" s="1" t="s">
        <v>21</v>
      </c>
      <c r="C71" s="1" t="s">
        <v>22</v>
      </c>
      <c r="D71" s="1" t="s">
        <v>17</v>
      </c>
    </row>
    <row r="72" spans="1:4" x14ac:dyDescent="0.2">
      <c r="A72" s="1" t="s">
        <v>18</v>
      </c>
      <c r="B72" s="1" t="s">
        <v>23</v>
      </c>
      <c r="C72" s="1" t="s">
        <v>27</v>
      </c>
      <c r="D72" s="1" t="s">
        <v>24</v>
      </c>
    </row>
    <row r="73" spans="1:4" x14ac:dyDescent="0.2">
      <c r="A73" s="1" t="s">
        <v>23</v>
      </c>
      <c r="B73" s="1" t="s">
        <v>29</v>
      </c>
      <c r="C73" s="1" t="s">
        <v>25</v>
      </c>
      <c r="D73" s="1" t="s">
        <v>23</v>
      </c>
    </row>
    <row r="74" spans="1:4" x14ac:dyDescent="0.2">
      <c r="A74" s="1" t="s">
        <v>17</v>
      </c>
      <c r="B74" s="1" t="s">
        <v>23</v>
      </c>
      <c r="C74" s="1" t="s">
        <v>18</v>
      </c>
      <c r="D74" s="1" t="s">
        <v>14</v>
      </c>
    </row>
    <row r="75" spans="1:4" x14ac:dyDescent="0.2">
      <c r="A75" s="1" t="s">
        <v>23</v>
      </c>
      <c r="B75" s="1" t="s">
        <v>26</v>
      </c>
      <c r="C75" s="1" t="s">
        <v>23</v>
      </c>
      <c r="D75" s="1" t="s">
        <v>23</v>
      </c>
    </row>
    <row r="76" spans="1:4" x14ac:dyDescent="0.2">
      <c r="A76" s="1" t="s">
        <v>13</v>
      </c>
      <c r="B76" s="1" t="s">
        <v>23</v>
      </c>
      <c r="C76" s="1" t="s">
        <v>23</v>
      </c>
      <c r="D76" s="1" t="s">
        <v>27</v>
      </c>
    </row>
    <row r="77" spans="1:4" x14ac:dyDescent="0.2">
      <c r="A77" s="1" t="s">
        <v>17</v>
      </c>
      <c r="B77" s="1" t="s">
        <v>26</v>
      </c>
      <c r="C77" s="1" t="s">
        <v>16</v>
      </c>
      <c r="D77" s="1" t="s">
        <v>22</v>
      </c>
    </row>
    <row r="78" spans="1:4" x14ac:dyDescent="0.2">
      <c r="A78" s="1" t="s">
        <v>18</v>
      </c>
      <c r="B78" s="1" t="s">
        <v>20</v>
      </c>
      <c r="C78" s="1" t="s">
        <v>27</v>
      </c>
      <c r="D78" s="1" t="s">
        <v>29</v>
      </c>
    </row>
    <row r="79" spans="1:4" x14ac:dyDescent="0.2">
      <c r="A79" s="1" t="s">
        <v>18</v>
      </c>
      <c r="B79" s="1" t="s">
        <v>20</v>
      </c>
      <c r="C79" s="1" t="s">
        <v>30</v>
      </c>
      <c r="D79" s="1" t="s">
        <v>13</v>
      </c>
    </row>
    <row r="80" spans="1:4" x14ac:dyDescent="0.2">
      <c r="A80" s="1" t="s">
        <v>13</v>
      </c>
      <c r="C80" s="1" t="s">
        <v>13</v>
      </c>
      <c r="D80" s="1" t="s">
        <v>13</v>
      </c>
    </row>
    <row r="81" spans="1:4" x14ac:dyDescent="0.2">
      <c r="A81" s="1" t="s">
        <v>28</v>
      </c>
      <c r="C81" s="1" t="s">
        <v>27</v>
      </c>
      <c r="D81" s="1" t="s">
        <v>16</v>
      </c>
    </row>
    <row r="82" spans="1:4" x14ac:dyDescent="0.2">
      <c r="A82" s="1" t="s">
        <v>14</v>
      </c>
      <c r="C82" s="1" t="s">
        <v>28</v>
      </c>
      <c r="D82" s="1" t="s">
        <v>27</v>
      </c>
    </row>
    <row r="83" spans="1:4" x14ac:dyDescent="0.2">
      <c r="A83" s="1" t="s">
        <v>13</v>
      </c>
      <c r="C83" s="1" t="s">
        <v>26</v>
      </c>
      <c r="D83" s="1" t="s">
        <v>24</v>
      </c>
    </row>
    <row r="84" spans="1:4" x14ac:dyDescent="0.2">
      <c r="A84" s="1" t="s">
        <v>17</v>
      </c>
      <c r="C84" s="1" t="s">
        <v>22</v>
      </c>
      <c r="D84" s="1" t="s">
        <v>14</v>
      </c>
    </row>
    <row r="85" spans="1:4" x14ac:dyDescent="0.2">
      <c r="A85" s="1" t="s">
        <v>13</v>
      </c>
      <c r="C85" s="1" t="s">
        <v>27</v>
      </c>
      <c r="D85" s="1" t="s">
        <v>23</v>
      </c>
    </row>
    <row r="86" spans="1:4" x14ac:dyDescent="0.2">
      <c r="A86" s="1" t="s">
        <v>14</v>
      </c>
      <c r="C86" s="1" t="s">
        <v>20</v>
      </c>
      <c r="D86" s="1" t="s">
        <v>18</v>
      </c>
    </row>
    <row r="87" spans="1:4" x14ac:dyDescent="0.2">
      <c r="A87" s="1" t="s">
        <v>29</v>
      </c>
      <c r="C87" s="1" t="s">
        <v>29</v>
      </c>
      <c r="D87" s="1" t="s">
        <v>27</v>
      </c>
    </row>
    <row r="88" spans="1:4" x14ac:dyDescent="0.2">
      <c r="A88" s="1" t="s">
        <v>13</v>
      </c>
      <c r="C88" s="1" t="s">
        <v>25</v>
      </c>
      <c r="D88" s="1" t="s">
        <v>16</v>
      </c>
    </row>
    <row r="89" spans="1:4" x14ac:dyDescent="0.2">
      <c r="A89" s="1" t="s">
        <v>27</v>
      </c>
      <c r="C89" s="1" t="s">
        <v>14</v>
      </c>
      <c r="D89" s="1" t="s">
        <v>26</v>
      </c>
    </row>
    <row r="90" spans="1:4" x14ac:dyDescent="0.2">
      <c r="A90" s="1" t="s">
        <v>23</v>
      </c>
      <c r="C90" s="1" t="s">
        <v>26</v>
      </c>
      <c r="D90" s="1" t="s">
        <v>28</v>
      </c>
    </row>
    <row r="91" spans="1:4" x14ac:dyDescent="0.2">
      <c r="A91" s="1" t="s">
        <v>24</v>
      </c>
      <c r="C91" s="1" t="s">
        <v>19</v>
      </c>
      <c r="D91" s="1" t="s">
        <v>22</v>
      </c>
    </row>
    <row r="92" spans="1:4" x14ac:dyDescent="0.2">
      <c r="A92" s="1" t="s">
        <v>26</v>
      </c>
      <c r="C92" s="1" t="s">
        <v>16</v>
      </c>
      <c r="D92" s="1" t="s">
        <v>17</v>
      </c>
    </row>
    <row r="93" spans="1:4" x14ac:dyDescent="0.2">
      <c r="A93" s="1" t="s">
        <v>26</v>
      </c>
      <c r="C93" s="1" t="s">
        <v>20</v>
      </c>
      <c r="D93" s="1" t="s">
        <v>18</v>
      </c>
    </row>
    <row r="94" spans="1:4" x14ac:dyDescent="0.2">
      <c r="A94" s="1" t="s">
        <v>16</v>
      </c>
      <c r="C94" s="1" t="s">
        <v>27</v>
      </c>
      <c r="D94" s="1" t="s">
        <v>13</v>
      </c>
    </row>
    <row r="95" spans="1:4" x14ac:dyDescent="0.2">
      <c r="A95" s="1" t="s">
        <v>22</v>
      </c>
      <c r="C95" s="1" t="s">
        <v>20</v>
      </c>
      <c r="D95" s="1" t="s">
        <v>22</v>
      </c>
    </row>
    <row r="96" spans="1:4" x14ac:dyDescent="0.2">
      <c r="A96" s="1" t="s">
        <v>23</v>
      </c>
      <c r="C96" s="1" t="s">
        <v>27</v>
      </c>
      <c r="D96" s="1" t="s">
        <v>23</v>
      </c>
    </row>
    <row r="97" spans="1:4" x14ac:dyDescent="0.2">
      <c r="A97" s="1" t="s">
        <v>29</v>
      </c>
      <c r="C97" s="1" t="s">
        <v>20</v>
      </c>
      <c r="D97" s="1" t="s">
        <v>22</v>
      </c>
    </row>
    <row r="98" spans="1:4" x14ac:dyDescent="0.2">
      <c r="A98" s="1" t="s">
        <v>17</v>
      </c>
      <c r="C98" s="1" t="s">
        <v>28</v>
      </c>
      <c r="D98" s="1" t="s">
        <v>14</v>
      </c>
    </row>
    <row r="99" spans="1:4" x14ac:dyDescent="0.2">
      <c r="A99" s="1" t="s">
        <v>17</v>
      </c>
      <c r="C99" s="1" t="s">
        <v>14</v>
      </c>
      <c r="D99" s="1" t="s">
        <v>23</v>
      </c>
    </row>
    <row r="100" spans="1:4" x14ac:dyDescent="0.2">
      <c r="A100" s="1" t="s">
        <v>17</v>
      </c>
      <c r="C100" s="1" t="s">
        <v>19</v>
      </c>
      <c r="D100" s="1" t="s">
        <v>24</v>
      </c>
    </row>
    <row r="101" spans="1:4" x14ac:dyDescent="0.2">
      <c r="A101" s="1" t="s">
        <v>23</v>
      </c>
      <c r="C101" s="1" t="s">
        <v>28</v>
      </c>
      <c r="D101" s="1" t="s">
        <v>14</v>
      </c>
    </row>
    <row r="102" spans="1:4" x14ac:dyDescent="0.2">
      <c r="A102" s="1" t="s">
        <v>14</v>
      </c>
      <c r="C102" s="1" t="s">
        <v>23</v>
      </c>
      <c r="D102" s="1" t="s">
        <v>26</v>
      </c>
    </row>
    <row r="103" spans="1:4" x14ac:dyDescent="0.2">
      <c r="A103" s="1" t="s">
        <v>26</v>
      </c>
      <c r="C103" s="1" t="s">
        <v>28</v>
      </c>
      <c r="D103" s="1" t="s">
        <v>19</v>
      </c>
    </row>
    <row r="104" spans="1:4" x14ac:dyDescent="0.2">
      <c r="A104" s="1" t="s">
        <v>13</v>
      </c>
      <c r="C104" s="1" t="s">
        <v>16</v>
      </c>
      <c r="D104" s="1" t="s">
        <v>13</v>
      </c>
    </row>
    <row r="105" spans="1:4" x14ac:dyDescent="0.2">
      <c r="A105" s="1" t="s">
        <v>22</v>
      </c>
      <c r="C105" s="1" t="s">
        <v>27</v>
      </c>
      <c r="D105" s="1" t="s">
        <v>27</v>
      </c>
    </row>
    <row r="106" spans="1:4" x14ac:dyDescent="0.2">
      <c r="A106" s="1" t="s">
        <v>17</v>
      </c>
      <c r="C106" s="1" t="s">
        <v>27</v>
      </c>
      <c r="D106" s="1" t="s">
        <v>19</v>
      </c>
    </row>
    <row r="107" spans="1:4" x14ac:dyDescent="0.2">
      <c r="A107" s="1" t="s">
        <v>26</v>
      </c>
      <c r="C107" s="1" t="s">
        <v>29</v>
      </c>
      <c r="D107" s="1" t="s">
        <v>16</v>
      </c>
    </row>
    <row r="108" spans="1:4" x14ac:dyDescent="0.2">
      <c r="A108" s="1" t="s">
        <v>23</v>
      </c>
      <c r="C108" s="1" t="s">
        <v>22</v>
      </c>
      <c r="D108" s="1" t="s">
        <v>17</v>
      </c>
    </row>
    <row r="109" spans="1:4" x14ac:dyDescent="0.2">
      <c r="A109" s="1" t="s">
        <v>28</v>
      </c>
      <c r="C109" s="1" t="s">
        <v>13</v>
      </c>
      <c r="D109" s="1" t="s">
        <v>26</v>
      </c>
    </row>
    <row r="110" spans="1:4" x14ac:dyDescent="0.2">
      <c r="A110" s="1" t="s">
        <v>13</v>
      </c>
      <c r="C110" s="1" t="s">
        <v>17</v>
      </c>
      <c r="D110" s="1" t="s">
        <v>29</v>
      </c>
    </row>
    <row r="111" spans="1:4" x14ac:dyDescent="0.2">
      <c r="A111" s="1" t="s">
        <v>23</v>
      </c>
      <c r="C111" s="1" t="s">
        <v>14</v>
      </c>
      <c r="D111" s="1" t="s">
        <v>21</v>
      </c>
    </row>
    <row r="112" spans="1:4" x14ac:dyDescent="0.2">
      <c r="A112" s="1" t="s">
        <v>22</v>
      </c>
      <c r="C112" s="1" t="s">
        <v>23</v>
      </c>
      <c r="D112" s="1" t="s">
        <v>17</v>
      </c>
    </row>
    <row r="113" spans="1:4" x14ac:dyDescent="0.2">
      <c r="A113" s="1" t="s">
        <v>18</v>
      </c>
      <c r="C113" s="1" t="s">
        <v>13</v>
      </c>
      <c r="D113" s="1" t="s">
        <v>23</v>
      </c>
    </row>
    <row r="114" spans="1:4" x14ac:dyDescent="0.2">
      <c r="A114" s="1" t="s">
        <v>23</v>
      </c>
      <c r="C114" s="1" t="s">
        <v>16</v>
      </c>
      <c r="D114" s="1" t="s">
        <v>17</v>
      </c>
    </row>
    <row r="115" spans="1:4" x14ac:dyDescent="0.2">
      <c r="A115" s="1" t="s">
        <v>17</v>
      </c>
      <c r="C115" s="1" t="s">
        <v>31</v>
      </c>
      <c r="D115" s="1" t="s">
        <v>22</v>
      </c>
    </row>
    <row r="116" spans="1:4" x14ac:dyDescent="0.2">
      <c r="A116" s="1" t="s">
        <v>17</v>
      </c>
      <c r="C116" s="1" t="s">
        <v>31</v>
      </c>
      <c r="D116" s="1" t="s">
        <v>22</v>
      </c>
    </row>
    <row r="117" spans="1:4" x14ac:dyDescent="0.2">
      <c r="A117" s="1" t="s">
        <v>13</v>
      </c>
      <c r="C117" s="1" t="s">
        <v>15</v>
      </c>
      <c r="D117" s="1" t="s">
        <v>24</v>
      </c>
    </row>
    <row r="118" spans="1:4" x14ac:dyDescent="0.2">
      <c r="A118" s="1" t="s">
        <v>17</v>
      </c>
      <c r="C118" s="1" t="s">
        <v>22</v>
      </c>
      <c r="D118" s="1" t="s">
        <v>18</v>
      </c>
    </row>
    <row r="119" spans="1:4" x14ac:dyDescent="0.2">
      <c r="A119" s="1" t="s">
        <v>18</v>
      </c>
      <c r="C119" s="1" t="s">
        <v>22</v>
      </c>
      <c r="D119" s="1" t="s">
        <v>29</v>
      </c>
    </row>
    <row r="120" spans="1:4" x14ac:dyDescent="0.2">
      <c r="A120" s="1" t="s">
        <v>13</v>
      </c>
      <c r="C120" s="1" t="s">
        <v>24</v>
      </c>
      <c r="D120" s="1" t="s">
        <v>23</v>
      </c>
    </row>
    <row r="121" spans="1:4" x14ac:dyDescent="0.2">
      <c r="A121" s="1" t="s">
        <v>13</v>
      </c>
      <c r="C121" s="1" t="s">
        <v>19</v>
      </c>
      <c r="D121" s="1" t="s">
        <v>17</v>
      </c>
    </row>
    <row r="122" spans="1:4" x14ac:dyDescent="0.2">
      <c r="A122" s="1" t="s">
        <v>14</v>
      </c>
      <c r="C122" s="1" t="s">
        <v>14</v>
      </c>
      <c r="D122" s="1" t="s">
        <v>13</v>
      </c>
    </row>
    <row r="123" spans="1:4" x14ac:dyDescent="0.2">
      <c r="A123" s="1" t="s">
        <v>17</v>
      </c>
      <c r="C123" s="1" t="s">
        <v>28</v>
      </c>
      <c r="D123" s="1" t="s">
        <v>17</v>
      </c>
    </row>
    <row r="124" spans="1:4" x14ac:dyDescent="0.2">
      <c r="A124" s="1" t="s">
        <v>27</v>
      </c>
      <c r="C124" s="1" t="s">
        <v>25</v>
      </c>
      <c r="D124" s="1" t="s">
        <v>23</v>
      </c>
    </row>
    <row r="125" spans="1:4" x14ac:dyDescent="0.2">
      <c r="A125" s="1" t="s">
        <v>17</v>
      </c>
      <c r="C125" s="1" t="s">
        <v>25</v>
      </c>
      <c r="D125" s="1" t="s">
        <v>23</v>
      </c>
    </row>
    <row r="126" spans="1:4" x14ac:dyDescent="0.2">
      <c r="A126" s="1" t="s">
        <v>26</v>
      </c>
      <c r="C126" s="1" t="s">
        <v>28</v>
      </c>
      <c r="D126" s="1" t="s">
        <v>29</v>
      </c>
    </row>
    <row r="127" spans="1:4" x14ac:dyDescent="0.2">
      <c r="A127" s="1" t="s">
        <v>20</v>
      </c>
      <c r="C127" s="1" t="s">
        <v>19</v>
      </c>
      <c r="D127" s="1" t="s">
        <v>23</v>
      </c>
    </row>
    <row r="128" spans="1:4" x14ac:dyDescent="0.2">
      <c r="A128" s="1" t="s">
        <v>12</v>
      </c>
      <c r="C128" s="1" t="s">
        <v>20</v>
      </c>
      <c r="D128" s="1" t="s">
        <v>26</v>
      </c>
    </row>
    <row r="129" spans="1:4" x14ac:dyDescent="0.2">
      <c r="A129" s="1" t="s">
        <v>18</v>
      </c>
      <c r="C129" s="1" t="s">
        <v>27</v>
      </c>
      <c r="D129" s="1" t="s">
        <v>22</v>
      </c>
    </row>
    <row r="130" spans="1:4" x14ac:dyDescent="0.2">
      <c r="A130" s="1" t="s">
        <v>29</v>
      </c>
      <c r="C130" s="1" t="s">
        <v>20</v>
      </c>
      <c r="D130" s="1" t="s">
        <v>18</v>
      </c>
    </row>
    <row r="131" spans="1:4" x14ac:dyDescent="0.2">
      <c r="A131" s="1" t="s">
        <v>16</v>
      </c>
      <c r="C131" s="1" t="s">
        <v>28</v>
      </c>
      <c r="D131" s="1" t="s">
        <v>21</v>
      </c>
    </row>
    <row r="132" spans="1:4" x14ac:dyDescent="0.2">
      <c r="A132" s="1" t="s">
        <v>17</v>
      </c>
      <c r="C132" s="1" t="s">
        <v>18</v>
      </c>
      <c r="D132" s="1" t="s">
        <v>27</v>
      </c>
    </row>
    <row r="133" spans="1:4" x14ac:dyDescent="0.2">
      <c r="A133" s="1" t="s">
        <v>27</v>
      </c>
      <c r="C133" s="1" t="s">
        <v>23</v>
      </c>
      <c r="D133" s="1" t="s">
        <v>17</v>
      </c>
    </row>
    <row r="134" spans="1:4" x14ac:dyDescent="0.2">
      <c r="A134" s="1" t="s">
        <v>26</v>
      </c>
      <c r="C134" s="1" t="s">
        <v>17</v>
      </c>
      <c r="D134" s="1" t="s">
        <v>25</v>
      </c>
    </row>
    <row r="135" spans="1:4" x14ac:dyDescent="0.2">
      <c r="A135" s="1" t="s">
        <v>13</v>
      </c>
      <c r="C135" s="1" t="s">
        <v>16</v>
      </c>
      <c r="D135" s="1" t="s">
        <v>27</v>
      </c>
    </row>
    <row r="136" spans="1:4" x14ac:dyDescent="0.2">
      <c r="A136" s="1" t="s">
        <v>22</v>
      </c>
      <c r="C136" s="1" t="s">
        <v>18</v>
      </c>
      <c r="D136" s="1" t="s">
        <v>26</v>
      </c>
    </row>
    <row r="137" spans="1:4" x14ac:dyDescent="0.2">
      <c r="A137" s="1" t="s">
        <v>18</v>
      </c>
      <c r="C137" s="1" t="s">
        <v>26</v>
      </c>
      <c r="D137" s="1" t="s">
        <v>19</v>
      </c>
    </row>
    <row r="138" spans="1:4" x14ac:dyDescent="0.2">
      <c r="A138" s="1" t="s">
        <v>14</v>
      </c>
      <c r="C138" s="1" t="s">
        <v>13</v>
      </c>
      <c r="D138" s="1" t="s">
        <v>26</v>
      </c>
    </row>
    <row r="139" spans="1:4" x14ac:dyDescent="0.2">
      <c r="A139" s="1" t="s">
        <v>17</v>
      </c>
      <c r="C139" s="1" t="s">
        <v>14</v>
      </c>
      <c r="D139" s="1" t="s">
        <v>13</v>
      </c>
    </row>
    <row r="140" spans="1:4" x14ac:dyDescent="0.2">
      <c r="A140" s="1" t="s">
        <v>17</v>
      </c>
      <c r="C140" s="1" t="s">
        <v>13</v>
      </c>
      <c r="D140" s="1" t="s">
        <v>23</v>
      </c>
    </row>
    <row r="141" spans="1:4" x14ac:dyDescent="0.2">
      <c r="A141" s="1" t="s">
        <v>18</v>
      </c>
      <c r="C141" s="1" t="s">
        <v>13</v>
      </c>
      <c r="D141" s="1" t="s">
        <v>31</v>
      </c>
    </row>
    <row r="142" spans="1:4" x14ac:dyDescent="0.2">
      <c r="A142" s="1" t="s">
        <v>12</v>
      </c>
      <c r="C142" s="1" t="s">
        <v>25</v>
      </c>
      <c r="D142" s="1" t="s">
        <v>17</v>
      </c>
    </row>
    <row r="143" spans="1:4" x14ac:dyDescent="0.2">
      <c r="A143" s="1" t="s">
        <v>17</v>
      </c>
      <c r="C143" s="1" t="s">
        <v>28</v>
      </c>
      <c r="D143" s="1" t="s">
        <v>22</v>
      </c>
    </row>
    <row r="144" spans="1:4" x14ac:dyDescent="0.2">
      <c r="A144" s="1" t="s">
        <v>16</v>
      </c>
      <c r="C144" s="1" t="s">
        <v>29</v>
      </c>
      <c r="D144" s="1" t="s">
        <v>17</v>
      </c>
    </row>
    <row r="145" spans="1:4" x14ac:dyDescent="0.2">
      <c r="A145" s="1" t="s">
        <v>22</v>
      </c>
      <c r="C145" s="1" t="s">
        <v>27</v>
      </c>
      <c r="D145" s="1" t="s">
        <v>16</v>
      </c>
    </row>
    <row r="146" spans="1:4" x14ac:dyDescent="0.2">
      <c r="A146" s="1" t="s">
        <v>17</v>
      </c>
      <c r="C146" s="1" t="s">
        <v>16</v>
      </c>
      <c r="D146" s="1" t="s">
        <v>26</v>
      </c>
    </row>
    <row r="147" spans="1:4" x14ac:dyDescent="0.2">
      <c r="A147" s="1" t="s">
        <v>16</v>
      </c>
      <c r="C147" s="1" t="s">
        <v>19</v>
      </c>
      <c r="D147" s="1" t="s">
        <v>14</v>
      </c>
    </row>
    <row r="148" spans="1:4" x14ac:dyDescent="0.2">
      <c r="A148" s="1" t="s">
        <v>22</v>
      </c>
      <c r="C148" s="1" t="s">
        <v>25</v>
      </c>
      <c r="D148" s="1" t="s">
        <v>23</v>
      </c>
    </row>
    <row r="149" spans="1:4" x14ac:dyDescent="0.2">
      <c r="A149" s="1" t="s">
        <v>23</v>
      </c>
      <c r="C149" s="1" t="s">
        <v>25</v>
      </c>
      <c r="D149" s="1" t="s">
        <v>26</v>
      </c>
    </row>
    <row r="150" spans="1:4" x14ac:dyDescent="0.2">
      <c r="A150" s="1" t="s">
        <v>18</v>
      </c>
      <c r="C150" s="1" t="s">
        <v>27</v>
      </c>
      <c r="D150" s="1" t="s">
        <v>23</v>
      </c>
    </row>
    <row r="151" spans="1:4" x14ac:dyDescent="0.2">
      <c r="A151" s="1" t="s">
        <v>17</v>
      </c>
      <c r="C151" s="1" t="s">
        <v>28</v>
      </c>
      <c r="D151" s="1" t="s">
        <v>13</v>
      </c>
    </row>
    <row r="152" spans="1:4" x14ac:dyDescent="0.2">
      <c r="A152" s="1" t="s">
        <v>13</v>
      </c>
      <c r="C152" s="1" t="s">
        <v>17</v>
      </c>
      <c r="D152" s="1" t="s">
        <v>13</v>
      </c>
    </row>
    <row r="153" spans="1:4" x14ac:dyDescent="0.2">
      <c r="A153" s="1" t="s">
        <v>18</v>
      </c>
      <c r="C153" s="1" t="s">
        <v>22</v>
      </c>
      <c r="D153" s="1" t="s">
        <v>17</v>
      </c>
    </row>
    <row r="154" spans="1:4" x14ac:dyDescent="0.2">
      <c r="A154" s="1" t="s">
        <v>21</v>
      </c>
      <c r="C154" s="1" t="s">
        <v>23</v>
      </c>
      <c r="D154" s="1" t="s">
        <v>14</v>
      </c>
    </row>
    <row r="155" spans="1:4" x14ac:dyDescent="0.2">
      <c r="A155" s="1" t="s">
        <v>16</v>
      </c>
      <c r="C155" s="1" t="s">
        <v>13</v>
      </c>
      <c r="D155" s="1" t="s">
        <v>13</v>
      </c>
    </row>
    <row r="156" spans="1:4" x14ac:dyDescent="0.2">
      <c r="A156" s="1" t="s">
        <v>13</v>
      </c>
      <c r="C156" s="1" t="s">
        <v>28</v>
      </c>
      <c r="D156" s="1" t="s">
        <v>28</v>
      </c>
    </row>
    <row r="157" spans="1:4" x14ac:dyDescent="0.2">
      <c r="A157" s="1" t="s">
        <v>17</v>
      </c>
      <c r="C157" s="1" t="s">
        <v>20</v>
      </c>
      <c r="D157" s="1" t="s">
        <v>28</v>
      </c>
    </row>
    <row r="158" spans="1:4" x14ac:dyDescent="0.2">
      <c r="A158" s="1" t="s">
        <v>14</v>
      </c>
      <c r="C158" s="1" t="s">
        <v>20</v>
      </c>
      <c r="D158" s="1" t="s">
        <v>24</v>
      </c>
    </row>
    <row r="159" spans="1:4" x14ac:dyDescent="0.2">
      <c r="A159" s="1" t="s">
        <v>13</v>
      </c>
      <c r="C159" s="1" t="s">
        <v>13</v>
      </c>
      <c r="D159" s="1" t="s">
        <v>17</v>
      </c>
    </row>
    <row r="160" spans="1:4" x14ac:dyDescent="0.2">
      <c r="A160" s="1" t="s">
        <v>14</v>
      </c>
      <c r="C160" s="1" t="s">
        <v>27</v>
      </c>
      <c r="D160" s="1" t="s">
        <v>18</v>
      </c>
    </row>
    <row r="161" spans="1:4" x14ac:dyDescent="0.2">
      <c r="A161" s="1" t="s">
        <v>26</v>
      </c>
      <c r="C161" s="1" t="s">
        <v>29</v>
      </c>
      <c r="D161" s="1" t="s">
        <v>22</v>
      </c>
    </row>
    <row r="162" spans="1:4" x14ac:dyDescent="0.2">
      <c r="A162" s="1" t="s">
        <v>31</v>
      </c>
      <c r="C162" s="1" t="s">
        <v>29</v>
      </c>
      <c r="D162" s="1" t="s">
        <v>13</v>
      </c>
    </row>
    <row r="163" spans="1:4" x14ac:dyDescent="0.2">
      <c r="A163" s="1" t="s">
        <v>17</v>
      </c>
      <c r="C163" s="1" t="s">
        <v>15</v>
      </c>
      <c r="D163" s="1" t="s">
        <v>23</v>
      </c>
    </row>
    <row r="164" spans="1:4" x14ac:dyDescent="0.2">
      <c r="A164" s="1" t="s">
        <v>17</v>
      </c>
      <c r="C164" s="1" t="s">
        <v>23</v>
      </c>
      <c r="D164" s="1" t="s">
        <v>26</v>
      </c>
    </row>
    <row r="165" spans="1:4" x14ac:dyDescent="0.2">
      <c r="A165" s="1" t="s">
        <v>29</v>
      </c>
      <c r="C165" s="1" t="s">
        <v>12</v>
      </c>
      <c r="D165" s="1" t="s">
        <v>20</v>
      </c>
    </row>
    <row r="166" spans="1:4" x14ac:dyDescent="0.2">
      <c r="A166" s="1" t="s">
        <v>13</v>
      </c>
      <c r="C166" s="1" t="s">
        <v>24</v>
      </c>
      <c r="D166" s="1" t="s">
        <v>17</v>
      </c>
    </row>
    <row r="167" spans="1:4" x14ac:dyDescent="0.2">
      <c r="A167" s="1" t="s">
        <v>26</v>
      </c>
      <c r="C167" s="1" t="s">
        <v>24</v>
      </c>
      <c r="D167" s="1" t="s">
        <v>26</v>
      </c>
    </row>
    <row r="168" spans="1:4" x14ac:dyDescent="0.2">
      <c r="A168" s="1" t="s">
        <v>18</v>
      </c>
      <c r="C168" s="1" t="s">
        <v>19</v>
      </c>
      <c r="D168" s="1" t="s">
        <v>17</v>
      </c>
    </row>
    <row r="169" spans="1:4" x14ac:dyDescent="0.2">
      <c r="A169" s="1" t="s">
        <v>23</v>
      </c>
      <c r="C169" s="1" t="s">
        <v>31</v>
      </c>
      <c r="D169" s="1" t="s">
        <v>17</v>
      </c>
    </row>
    <row r="170" spans="1:4" x14ac:dyDescent="0.2">
      <c r="A170" s="1" t="s">
        <v>29</v>
      </c>
      <c r="C170" s="1" t="s">
        <v>25</v>
      </c>
      <c r="D170" s="1" t="s">
        <v>20</v>
      </c>
    </row>
    <row r="171" spans="1:4" x14ac:dyDescent="0.2">
      <c r="A171" s="1" t="s">
        <v>16</v>
      </c>
      <c r="C171" s="1" t="s">
        <v>26</v>
      </c>
      <c r="D171" s="1" t="s">
        <v>23</v>
      </c>
    </row>
    <row r="172" spans="1:4" x14ac:dyDescent="0.2">
      <c r="A172" s="1" t="s">
        <v>16</v>
      </c>
      <c r="C172" s="1" t="s">
        <v>14</v>
      </c>
      <c r="D172" s="1" t="s">
        <v>17</v>
      </c>
    </row>
    <row r="173" spans="1:4" x14ac:dyDescent="0.2">
      <c r="A173" s="1" t="s">
        <v>17</v>
      </c>
      <c r="C173" s="1" t="s">
        <v>16</v>
      </c>
      <c r="D173" s="1" t="s">
        <v>17</v>
      </c>
    </row>
    <row r="174" spans="1:4" x14ac:dyDescent="0.2">
      <c r="A174" s="1" t="s">
        <v>27</v>
      </c>
      <c r="C174" s="1" t="s">
        <v>27</v>
      </c>
      <c r="D174" s="1" t="s">
        <v>28</v>
      </c>
    </row>
    <row r="175" spans="1:4" x14ac:dyDescent="0.2">
      <c r="A175" s="1" t="s">
        <v>14</v>
      </c>
      <c r="C175" s="1" t="s">
        <v>29</v>
      </c>
      <c r="D175" s="1" t="s">
        <v>23</v>
      </c>
    </row>
    <row r="176" spans="1:4" x14ac:dyDescent="0.2">
      <c r="A176" s="1" t="s">
        <v>23</v>
      </c>
      <c r="C176" s="1" t="s">
        <v>18</v>
      </c>
      <c r="D176" s="1" t="s">
        <v>26</v>
      </c>
    </row>
    <row r="177" spans="1:4" x14ac:dyDescent="0.2">
      <c r="A177" s="1" t="s">
        <v>17</v>
      </c>
      <c r="C177" s="1" t="s">
        <v>30</v>
      </c>
      <c r="D177" s="1" t="s">
        <v>24</v>
      </c>
    </row>
    <row r="178" spans="1:4" x14ac:dyDescent="0.2">
      <c r="A178" s="1" t="s">
        <v>26</v>
      </c>
      <c r="C178" s="1" t="s">
        <v>18</v>
      </c>
      <c r="D178" s="1" t="s">
        <v>23</v>
      </c>
    </row>
    <row r="179" spans="1:4" x14ac:dyDescent="0.2">
      <c r="A179" s="1" t="s">
        <v>13</v>
      </c>
      <c r="C179" s="1" t="s">
        <v>16</v>
      </c>
      <c r="D179" s="1" t="s">
        <v>22</v>
      </c>
    </row>
    <row r="180" spans="1:4" x14ac:dyDescent="0.2">
      <c r="A180" s="1" t="s">
        <v>17</v>
      </c>
      <c r="C180" s="1" t="s">
        <v>14</v>
      </c>
      <c r="D180" s="1" t="s">
        <v>13</v>
      </c>
    </row>
    <row r="181" spans="1:4" x14ac:dyDescent="0.2">
      <c r="A181" s="1" t="s">
        <v>17</v>
      </c>
      <c r="C181" s="1" t="s">
        <v>20</v>
      </c>
      <c r="D181" s="1" t="s">
        <v>26</v>
      </c>
    </row>
    <row r="182" spans="1:4" x14ac:dyDescent="0.2">
      <c r="A182" s="1" t="s">
        <v>26</v>
      </c>
      <c r="C182" s="1" t="s">
        <v>28</v>
      </c>
      <c r="D182" s="1" t="s">
        <v>31</v>
      </c>
    </row>
    <row r="183" spans="1:4" x14ac:dyDescent="0.2">
      <c r="A183" s="1" t="s">
        <v>13</v>
      </c>
      <c r="C183" s="1" t="s">
        <v>17</v>
      </c>
      <c r="D183" s="1" t="s">
        <v>17</v>
      </c>
    </row>
    <row r="184" spans="1:4" x14ac:dyDescent="0.2">
      <c r="A184" s="1" t="s">
        <v>17</v>
      </c>
      <c r="C184" s="1" t="s">
        <v>26</v>
      </c>
      <c r="D184" s="1" t="s">
        <v>17</v>
      </c>
    </row>
    <row r="185" spans="1:4" x14ac:dyDescent="0.2">
      <c r="A185" s="1" t="s">
        <v>23</v>
      </c>
      <c r="C185" s="1" t="s">
        <v>26</v>
      </c>
      <c r="D185" s="1" t="s">
        <v>17</v>
      </c>
    </row>
    <row r="186" spans="1:4" x14ac:dyDescent="0.2">
      <c r="A186" s="1" t="s">
        <v>27</v>
      </c>
      <c r="C186" s="1" t="s">
        <v>14</v>
      </c>
      <c r="D186" s="1" t="s">
        <v>29</v>
      </c>
    </row>
    <row r="187" spans="1:4" x14ac:dyDescent="0.2">
      <c r="A187" s="1" t="s">
        <v>17</v>
      </c>
      <c r="C187" s="1" t="s">
        <v>20</v>
      </c>
      <c r="D187" s="1" t="s">
        <v>23</v>
      </c>
    </row>
    <row r="188" spans="1:4" x14ac:dyDescent="0.2">
      <c r="A188" s="1" t="s">
        <v>20</v>
      </c>
      <c r="C188" s="1" t="s">
        <v>29</v>
      </c>
      <c r="D188" s="1" t="s">
        <v>27</v>
      </c>
    </row>
    <row r="189" spans="1:4" x14ac:dyDescent="0.2">
      <c r="A189" s="1" t="s">
        <v>18</v>
      </c>
      <c r="C189" s="1" t="s">
        <v>23</v>
      </c>
      <c r="D189" s="1" t="s">
        <v>26</v>
      </c>
    </row>
    <row r="190" spans="1:4" x14ac:dyDescent="0.2">
      <c r="A190" s="1" t="s">
        <v>15</v>
      </c>
      <c r="C190" s="1" t="s">
        <v>14</v>
      </c>
      <c r="D190" s="1" t="s">
        <v>17</v>
      </c>
    </row>
    <row r="191" spans="1:4" x14ac:dyDescent="0.2">
      <c r="A191" s="1" t="s">
        <v>13</v>
      </c>
      <c r="C191" s="1" t="s">
        <v>27</v>
      </c>
      <c r="D191" s="1" t="s">
        <v>14</v>
      </c>
    </row>
    <row r="192" spans="1:4" x14ac:dyDescent="0.2">
      <c r="A192" s="1" t="s">
        <v>17</v>
      </c>
      <c r="C192" s="1" t="s">
        <v>29</v>
      </c>
      <c r="D192" s="1" t="s">
        <v>13</v>
      </c>
    </row>
    <row r="193" spans="1:4" x14ac:dyDescent="0.2">
      <c r="A193" s="1" t="s">
        <v>23</v>
      </c>
      <c r="C193" s="1" t="s">
        <v>28</v>
      </c>
      <c r="D193" s="1" t="s">
        <v>17</v>
      </c>
    </row>
    <row r="194" spans="1:4" x14ac:dyDescent="0.2">
      <c r="A194" s="1" t="s">
        <v>17</v>
      </c>
      <c r="C194" s="1" t="s">
        <v>14</v>
      </c>
      <c r="D194" s="1" t="s">
        <v>20</v>
      </c>
    </row>
    <row r="195" spans="1:4" x14ac:dyDescent="0.2">
      <c r="A195" s="1" t="s">
        <v>17</v>
      </c>
      <c r="C195" s="1" t="s">
        <v>22</v>
      </c>
      <c r="D195" s="1" t="s">
        <v>26</v>
      </c>
    </row>
    <row r="196" spans="1:4" x14ac:dyDescent="0.2">
      <c r="A196" s="1" t="s">
        <v>17</v>
      </c>
      <c r="C196" s="1" t="s">
        <v>14</v>
      </c>
      <c r="D196" s="1" t="s">
        <v>23</v>
      </c>
    </row>
    <row r="197" spans="1:4" x14ac:dyDescent="0.2">
      <c r="A197" s="1" t="s">
        <v>23</v>
      </c>
      <c r="C197" s="1" t="s">
        <v>27</v>
      </c>
      <c r="D197" s="1" t="s">
        <v>12</v>
      </c>
    </row>
    <row r="198" spans="1:4" x14ac:dyDescent="0.2">
      <c r="A198" s="1" t="s">
        <v>18</v>
      </c>
      <c r="C198" s="1" t="s">
        <v>18</v>
      </c>
      <c r="D198" s="1" t="s">
        <v>17</v>
      </c>
    </row>
    <row r="199" spans="1:4" x14ac:dyDescent="0.2">
      <c r="A199" s="1" t="s">
        <v>28</v>
      </c>
      <c r="C199" s="1" t="s">
        <v>14</v>
      </c>
      <c r="D199" s="1" t="s">
        <v>26</v>
      </c>
    </row>
    <row r="200" spans="1:4" x14ac:dyDescent="0.2">
      <c r="A200" s="1" t="s">
        <v>29</v>
      </c>
      <c r="C200" s="1" t="s">
        <v>27</v>
      </c>
      <c r="D200" s="1" t="s">
        <v>26</v>
      </c>
    </row>
    <row r="201" spans="1:4" x14ac:dyDescent="0.2">
      <c r="A201" s="1" t="s">
        <v>28</v>
      </c>
      <c r="C201" s="1" t="s">
        <v>28</v>
      </c>
      <c r="D201" s="1" t="s">
        <v>18</v>
      </c>
    </row>
    <row r="202" spans="1:4" x14ac:dyDescent="0.2">
      <c r="A202" s="1" t="s">
        <v>24</v>
      </c>
      <c r="C202" s="1" t="s">
        <v>31</v>
      </c>
      <c r="D202" s="1" t="s">
        <v>20</v>
      </c>
    </row>
    <row r="203" spans="1:4" x14ac:dyDescent="0.2">
      <c r="A203" s="1" t="s">
        <v>24</v>
      </c>
      <c r="C203" s="1" t="s">
        <v>27</v>
      </c>
      <c r="D203" s="1" t="s">
        <v>13</v>
      </c>
    </row>
    <row r="204" spans="1:4" x14ac:dyDescent="0.2">
      <c r="A204" s="1" t="s">
        <v>23</v>
      </c>
      <c r="C204" s="1" t="s">
        <v>12</v>
      </c>
      <c r="D204" s="1" t="s">
        <v>14</v>
      </c>
    </row>
    <row r="205" spans="1:4" x14ac:dyDescent="0.2">
      <c r="A205" s="1" t="s">
        <v>18</v>
      </c>
      <c r="C205" s="1" t="s">
        <v>27</v>
      </c>
      <c r="D205" s="1" t="s">
        <v>17</v>
      </c>
    </row>
    <row r="206" spans="1:4" x14ac:dyDescent="0.2">
      <c r="A206" s="1" t="s">
        <v>27</v>
      </c>
      <c r="C206" s="1" t="s">
        <v>27</v>
      </c>
      <c r="D206" s="1" t="s">
        <v>13</v>
      </c>
    </row>
    <row r="207" spans="1:4" x14ac:dyDescent="0.2">
      <c r="A207" s="1" t="s">
        <v>23</v>
      </c>
      <c r="C207" s="1" t="s">
        <v>28</v>
      </c>
      <c r="D207" s="1" t="s">
        <v>13</v>
      </c>
    </row>
    <row r="208" spans="1:4" x14ac:dyDescent="0.2">
      <c r="A208" s="1" t="s">
        <v>17</v>
      </c>
      <c r="C208" s="1" t="s">
        <v>23</v>
      </c>
      <c r="D208" s="1" t="s">
        <v>23</v>
      </c>
    </row>
    <row r="209" spans="1:4" x14ac:dyDescent="0.2">
      <c r="A209" s="1" t="s">
        <v>13</v>
      </c>
      <c r="C209" s="1" t="s">
        <v>27</v>
      </c>
      <c r="D209" s="1" t="s">
        <v>13</v>
      </c>
    </row>
    <row r="210" spans="1:4" x14ac:dyDescent="0.2">
      <c r="A210" s="1" t="s">
        <v>22</v>
      </c>
      <c r="C210" s="1" t="s">
        <v>23</v>
      </c>
      <c r="D210" s="1" t="s">
        <v>26</v>
      </c>
    </row>
    <row r="211" spans="1:4" x14ac:dyDescent="0.2">
      <c r="A211" s="1" t="s">
        <v>13</v>
      </c>
      <c r="C211" s="1" t="s">
        <v>28</v>
      </c>
      <c r="D211" s="1" t="s">
        <v>13</v>
      </c>
    </row>
    <row r="212" spans="1:4" x14ac:dyDescent="0.2">
      <c r="A212" s="1" t="s">
        <v>17</v>
      </c>
      <c r="C212" s="1" t="s">
        <v>18</v>
      </c>
      <c r="D212" s="1" t="s">
        <v>17</v>
      </c>
    </row>
    <row r="213" spans="1:4" x14ac:dyDescent="0.2">
      <c r="A213" s="1" t="s">
        <v>18</v>
      </c>
      <c r="C213" s="1" t="s">
        <v>13</v>
      </c>
      <c r="D213" s="1" t="s">
        <v>23</v>
      </c>
    </row>
    <row r="214" spans="1:4" x14ac:dyDescent="0.2">
      <c r="A214" s="1" t="s">
        <v>31</v>
      </c>
      <c r="C214" s="1" t="s">
        <v>14</v>
      </c>
      <c r="D214" s="1" t="s">
        <v>17</v>
      </c>
    </row>
    <row r="215" spans="1:4" x14ac:dyDescent="0.2">
      <c r="A215" s="1" t="s">
        <v>22</v>
      </c>
      <c r="C215" s="1" t="s">
        <v>31</v>
      </c>
      <c r="D215" s="1" t="s">
        <v>18</v>
      </c>
    </row>
    <row r="216" spans="1:4" x14ac:dyDescent="0.2">
      <c r="A216" s="1" t="s">
        <v>18</v>
      </c>
      <c r="C216" s="1" t="s">
        <v>17</v>
      </c>
      <c r="D216" s="1" t="s">
        <v>26</v>
      </c>
    </row>
    <row r="217" spans="1:4" x14ac:dyDescent="0.2">
      <c r="A217" s="1" t="s">
        <v>17</v>
      </c>
      <c r="C217" s="1" t="s">
        <v>27</v>
      </c>
      <c r="D217" s="1" t="s">
        <v>16</v>
      </c>
    </row>
    <row r="218" spans="1:4" x14ac:dyDescent="0.2">
      <c r="A218" s="1" t="s">
        <v>14</v>
      </c>
      <c r="C218" s="1" t="s">
        <v>21</v>
      </c>
      <c r="D218" s="1" t="s">
        <v>14</v>
      </c>
    </row>
    <row r="219" spans="1:4" x14ac:dyDescent="0.2">
      <c r="A219" s="1" t="s">
        <v>18</v>
      </c>
      <c r="C219" s="1" t="s">
        <v>24</v>
      </c>
      <c r="D219" s="1" t="s">
        <v>27</v>
      </c>
    </row>
    <row r="220" spans="1:4" x14ac:dyDescent="0.2">
      <c r="A220" s="1" t="s">
        <v>31</v>
      </c>
      <c r="C220" s="1" t="s">
        <v>23</v>
      </c>
      <c r="D220" s="1" t="s">
        <v>23</v>
      </c>
    </row>
    <row r="221" spans="1:4" x14ac:dyDescent="0.2">
      <c r="A221" s="1" t="s">
        <v>17</v>
      </c>
      <c r="C221" s="1" t="s">
        <v>31</v>
      </c>
      <c r="D221" s="1" t="s">
        <v>12</v>
      </c>
    </row>
    <row r="222" spans="1:4" x14ac:dyDescent="0.2">
      <c r="A222" s="1" t="s">
        <v>17</v>
      </c>
      <c r="C222" s="1" t="s">
        <v>28</v>
      </c>
      <c r="D222" s="1" t="s">
        <v>14</v>
      </c>
    </row>
    <row r="223" spans="1:4" x14ac:dyDescent="0.2">
      <c r="A223" s="1" t="s">
        <v>17</v>
      </c>
      <c r="C223" s="1" t="s">
        <v>15</v>
      </c>
      <c r="D223" s="1" t="s">
        <v>17</v>
      </c>
    </row>
    <row r="224" spans="1:4" x14ac:dyDescent="0.2">
      <c r="A224" s="1" t="s">
        <v>16</v>
      </c>
      <c r="C224" s="1" t="s">
        <v>17</v>
      </c>
      <c r="D224" s="1" t="s">
        <v>16</v>
      </c>
    </row>
    <row r="225" spans="1:4" x14ac:dyDescent="0.2">
      <c r="A225" s="1" t="s">
        <v>18</v>
      </c>
      <c r="C225" s="1" t="s">
        <v>29</v>
      </c>
      <c r="D225" s="1" t="s">
        <v>27</v>
      </c>
    </row>
    <row r="226" spans="1:4" x14ac:dyDescent="0.2">
      <c r="A226" s="1" t="s">
        <v>29</v>
      </c>
      <c r="C226" s="1" t="s">
        <v>29</v>
      </c>
      <c r="D226" s="1" t="s">
        <v>19</v>
      </c>
    </row>
    <row r="227" spans="1:4" x14ac:dyDescent="0.2">
      <c r="A227" s="1" t="s">
        <v>23</v>
      </c>
      <c r="C227" s="1" t="s">
        <v>21</v>
      </c>
      <c r="D227" s="1" t="s">
        <v>23</v>
      </c>
    </row>
    <row r="228" spans="1:4" x14ac:dyDescent="0.2">
      <c r="A228" s="1" t="s">
        <v>27</v>
      </c>
      <c r="C228" s="1" t="s">
        <v>18</v>
      </c>
      <c r="D228" s="1" t="s">
        <v>18</v>
      </c>
    </row>
    <row r="229" spans="1:4" x14ac:dyDescent="0.2">
      <c r="A229" s="1" t="s">
        <v>14</v>
      </c>
      <c r="C229" s="1" t="s">
        <v>28</v>
      </c>
      <c r="D229" s="1" t="s">
        <v>18</v>
      </c>
    </row>
    <row r="230" spans="1:4" x14ac:dyDescent="0.2">
      <c r="A230" s="1" t="s">
        <v>18</v>
      </c>
      <c r="C230" s="1" t="s">
        <v>27</v>
      </c>
      <c r="D230" s="1" t="s">
        <v>29</v>
      </c>
    </row>
    <row r="231" spans="1:4" x14ac:dyDescent="0.2">
      <c r="A231" s="1" t="s">
        <v>23</v>
      </c>
      <c r="C231" s="1" t="s">
        <v>27</v>
      </c>
      <c r="D231" s="1" t="s">
        <v>21</v>
      </c>
    </row>
    <row r="232" spans="1:4" x14ac:dyDescent="0.2">
      <c r="A232" s="1" t="s">
        <v>18</v>
      </c>
      <c r="C232" s="1" t="s">
        <v>27</v>
      </c>
      <c r="D232" s="1" t="s">
        <v>17</v>
      </c>
    </row>
    <row r="233" spans="1:4" x14ac:dyDescent="0.2">
      <c r="A233" s="1" t="s">
        <v>17</v>
      </c>
      <c r="C233" s="1" t="s">
        <v>25</v>
      </c>
      <c r="D233" s="1" t="s">
        <v>17</v>
      </c>
    </row>
    <row r="234" spans="1:4" x14ac:dyDescent="0.2">
      <c r="A234" s="1" t="s">
        <v>13</v>
      </c>
      <c r="C234" s="1" t="s">
        <v>29</v>
      </c>
      <c r="D234" s="1" t="s">
        <v>17</v>
      </c>
    </row>
    <row r="235" spans="1:4" x14ac:dyDescent="0.2">
      <c r="A235" s="1" t="s">
        <v>17</v>
      </c>
      <c r="C235" s="1" t="s">
        <v>29</v>
      </c>
      <c r="D235" s="1" t="s">
        <v>16</v>
      </c>
    </row>
    <row r="236" spans="1:4" x14ac:dyDescent="0.2">
      <c r="A236" s="1" t="s">
        <v>28</v>
      </c>
      <c r="C236" s="1" t="s">
        <v>18</v>
      </c>
      <c r="D236" s="1" t="s">
        <v>13</v>
      </c>
    </row>
    <row r="237" spans="1:4" x14ac:dyDescent="0.2">
      <c r="A237" s="1" t="s">
        <v>26</v>
      </c>
      <c r="C237" s="1" t="s">
        <v>27</v>
      </c>
      <c r="D237" s="1" t="s">
        <v>17</v>
      </c>
    </row>
    <row r="238" spans="1:4" x14ac:dyDescent="0.2">
      <c r="A238" s="1" t="s">
        <v>13</v>
      </c>
      <c r="C238" s="1" t="s">
        <v>19</v>
      </c>
      <c r="D238" s="1" t="s">
        <v>23</v>
      </c>
    </row>
    <row r="239" spans="1:4" x14ac:dyDescent="0.2">
      <c r="A239" s="1" t="s">
        <v>17</v>
      </c>
      <c r="C239" s="1" t="s">
        <v>24</v>
      </c>
      <c r="D239" s="1" t="s">
        <v>22</v>
      </c>
    </row>
    <row r="240" spans="1:4" x14ac:dyDescent="0.2">
      <c r="A240" s="1" t="s">
        <v>19</v>
      </c>
      <c r="C240" s="1" t="s">
        <v>26</v>
      </c>
      <c r="D240" s="1" t="s">
        <v>13</v>
      </c>
    </row>
    <row r="241" spans="1:4" x14ac:dyDescent="0.2">
      <c r="A241" s="1" t="s">
        <v>13</v>
      </c>
      <c r="C241" s="1" t="s">
        <v>24</v>
      </c>
      <c r="D241" s="1" t="s">
        <v>22</v>
      </c>
    </row>
    <row r="242" spans="1:4" x14ac:dyDescent="0.2">
      <c r="A242" s="1" t="s">
        <v>17</v>
      </c>
      <c r="C242" s="1" t="s">
        <v>17</v>
      </c>
      <c r="D242" s="1" t="s">
        <v>16</v>
      </c>
    </row>
    <row r="243" spans="1:4" x14ac:dyDescent="0.2">
      <c r="A243" s="1" t="s">
        <v>26</v>
      </c>
      <c r="C243" s="1" t="s">
        <v>15</v>
      </c>
      <c r="D243" s="1" t="s">
        <v>22</v>
      </c>
    </row>
    <row r="244" spans="1:4" x14ac:dyDescent="0.2">
      <c r="A244" s="1" t="s">
        <v>27</v>
      </c>
      <c r="C244" s="1"/>
      <c r="D244" s="1" t="s">
        <v>31</v>
      </c>
    </row>
    <row r="245" spans="1:4" x14ac:dyDescent="0.2">
      <c r="A245" s="1" t="s">
        <v>29</v>
      </c>
      <c r="C245" s="1"/>
      <c r="D245" s="1" t="s">
        <v>13</v>
      </c>
    </row>
    <row r="246" spans="1:4" x14ac:dyDescent="0.2">
      <c r="A246" s="1" t="s">
        <v>28</v>
      </c>
      <c r="C246" s="1"/>
      <c r="D246" s="1" t="s">
        <v>22</v>
      </c>
    </row>
    <row r="247" spans="1:4" x14ac:dyDescent="0.2">
      <c r="A247" s="1" t="s">
        <v>18</v>
      </c>
      <c r="C247" s="1"/>
      <c r="D247" s="1" t="s">
        <v>16</v>
      </c>
    </row>
    <row r="248" spans="1:4" x14ac:dyDescent="0.2">
      <c r="A248" s="1" t="s">
        <v>23</v>
      </c>
      <c r="C248" s="1"/>
      <c r="D248" s="1" t="s">
        <v>27</v>
      </c>
    </row>
    <row r="249" spans="1:4" x14ac:dyDescent="0.2">
      <c r="A249" s="1" t="s">
        <v>17</v>
      </c>
      <c r="C249" s="1"/>
      <c r="D249" s="1" t="s">
        <v>29</v>
      </c>
    </row>
    <row r="250" spans="1:4" x14ac:dyDescent="0.2">
      <c r="A250" s="1" t="s">
        <v>18</v>
      </c>
      <c r="C250" s="1"/>
      <c r="D250" s="1" t="s">
        <v>17</v>
      </c>
    </row>
    <row r="251" spans="1:4" x14ac:dyDescent="0.2">
      <c r="A251" s="1" t="s">
        <v>27</v>
      </c>
      <c r="C251" s="1"/>
      <c r="D251" s="1" t="s">
        <v>12</v>
      </c>
    </row>
    <row r="252" spans="1:4" x14ac:dyDescent="0.2">
      <c r="A252" s="1" t="s">
        <v>16</v>
      </c>
      <c r="C252" s="1"/>
      <c r="D252" s="1" t="s">
        <v>14</v>
      </c>
    </row>
    <row r="253" spans="1:4" x14ac:dyDescent="0.2">
      <c r="A253" s="1" t="s">
        <v>14</v>
      </c>
      <c r="C253" s="1"/>
      <c r="D253" s="1" t="s">
        <v>29</v>
      </c>
    </row>
    <row r="254" spans="1:4" x14ac:dyDescent="0.2">
      <c r="A254" s="1" t="s">
        <v>14</v>
      </c>
      <c r="C254" s="1"/>
      <c r="D254" s="1" t="s">
        <v>28</v>
      </c>
    </row>
    <row r="255" spans="1:4" x14ac:dyDescent="0.2">
      <c r="A255" s="1" t="s">
        <v>23</v>
      </c>
      <c r="C255" s="1"/>
      <c r="D255" s="1" t="s">
        <v>18</v>
      </c>
    </row>
    <row r="256" spans="1:4" x14ac:dyDescent="0.2">
      <c r="A256" s="1" t="s">
        <v>17</v>
      </c>
      <c r="C256" s="1"/>
      <c r="D256" s="1" t="s">
        <v>25</v>
      </c>
    </row>
    <row r="257" spans="1:4" x14ac:dyDescent="0.2">
      <c r="A257" s="1" t="s">
        <v>14</v>
      </c>
      <c r="C257" s="1"/>
      <c r="D257" s="1" t="s">
        <v>14</v>
      </c>
    </row>
    <row r="258" spans="1:4" x14ac:dyDescent="0.2">
      <c r="A258" s="1" t="s">
        <v>17</v>
      </c>
      <c r="C258" s="1"/>
      <c r="D258" s="1" t="s">
        <v>23</v>
      </c>
    </row>
    <row r="259" spans="1:4" x14ac:dyDescent="0.2">
      <c r="A259" s="1" t="s">
        <v>23</v>
      </c>
      <c r="C259" s="1"/>
      <c r="D259" s="1" t="s">
        <v>27</v>
      </c>
    </row>
    <row r="260" spans="1:4" x14ac:dyDescent="0.2">
      <c r="A260" s="1" t="s">
        <v>31</v>
      </c>
      <c r="C260" s="1"/>
      <c r="D260" s="1" t="s">
        <v>13</v>
      </c>
    </row>
    <row r="261" spans="1:4" x14ac:dyDescent="0.2">
      <c r="A261" s="1" t="s">
        <v>13</v>
      </c>
      <c r="C261" s="1"/>
      <c r="D261" s="1" t="s">
        <v>13</v>
      </c>
    </row>
    <row r="262" spans="1:4" x14ac:dyDescent="0.2">
      <c r="A262" s="1" t="s">
        <v>22</v>
      </c>
      <c r="C262" s="1"/>
      <c r="D262" s="1" t="s">
        <v>23</v>
      </c>
    </row>
    <row r="263" spans="1:4" x14ac:dyDescent="0.2">
      <c r="A263" s="1" t="s">
        <v>18</v>
      </c>
      <c r="C263" s="1"/>
      <c r="D263" s="1" t="s">
        <v>18</v>
      </c>
    </row>
    <row r="264" spans="1:4" x14ac:dyDescent="0.2">
      <c r="A264" s="1" t="s">
        <v>23</v>
      </c>
      <c r="C264" s="1"/>
      <c r="D264" s="1" t="s">
        <v>14</v>
      </c>
    </row>
    <row r="265" spans="1:4" x14ac:dyDescent="0.2">
      <c r="A265" s="1" t="s">
        <v>18</v>
      </c>
      <c r="C265" s="1"/>
      <c r="D265" s="1" t="s">
        <v>16</v>
      </c>
    </row>
    <row r="266" spans="1:4" x14ac:dyDescent="0.2">
      <c r="A266" s="1" t="s">
        <v>31</v>
      </c>
      <c r="C266" s="1"/>
      <c r="D266" s="1" t="s">
        <v>26</v>
      </c>
    </row>
    <row r="267" spans="1:4" x14ac:dyDescent="0.2">
      <c r="A267" s="1" t="s">
        <v>18</v>
      </c>
      <c r="C267" s="1"/>
      <c r="D267" s="1" t="s">
        <v>13</v>
      </c>
    </row>
    <row r="268" spans="1:4" x14ac:dyDescent="0.2">
      <c r="A268" s="1" t="s">
        <v>16</v>
      </c>
      <c r="C268" s="1"/>
      <c r="D268" s="1" t="s">
        <v>22</v>
      </c>
    </row>
    <row r="269" spans="1:4" x14ac:dyDescent="0.2">
      <c r="A269" s="1" t="s">
        <v>27</v>
      </c>
      <c r="C269" s="1"/>
      <c r="D269" s="1" t="s">
        <v>31</v>
      </c>
    </row>
    <row r="270" spans="1:4" x14ac:dyDescent="0.2">
      <c r="A270" s="1" t="s">
        <v>17</v>
      </c>
      <c r="C270" s="1"/>
      <c r="D270" s="1" t="s">
        <v>17</v>
      </c>
    </row>
    <row r="271" spans="1:4" x14ac:dyDescent="0.2">
      <c r="A271" s="1" t="s">
        <v>17</v>
      </c>
      <c r="C271" s="1"/>
      <c r="D271" s="1" t="s">
        <v>18</v>
      </c>
    </row>
    <row r="272" spans="1:4" x14ac:dyDescent="0.2">
      <c r="A272" s="1" t="s">
        <v>23</v>
      </c>
      <c r="C272" s="1"/>
      <c r="D272" s="1" t="s">
        <v>23</v>
      </c>
    </row>
    <row r="273" spans="1:4" x14ac:dyDescent="0.2">
      <c r="A273" s="1" t="s">
        <v>14</v>
      </c>
      <c r="C273" s="1"/>
      <c r="D273" s="1" t="s">
        <v>13</v>
      </c>
    </row>
    <row r="274" spans="1:4" x14ac:dyDescent="0.2">
      <c r="A274" s="1" t="s">
        <v>21</v>
      </c>
      <c r="C274" s="1"/>
      <c r="D274" s="1" t="s">
        <v>13</v>
      </c>
    </row>
    <row r="275" spans="1:4" x14ac:dyDescent="0.2">
      <c r="A275" s="1" t="s">
        <v>13</v>
      </c>
      <c r="C275" s="1"/>
      <c r="D275" s="1" t="s">
        <v>18</v>
      </c>
    </row>
    <row r="276" spans="1:4" x14ac:dyDescent="0.2">
      <c r="A276" s="1" t="s">
        <v>23</v>
      </c>
      <c r="C276" s="1"/>
      <c r="D276" s="1" t="s">
        <v>24</v>
      </c>
    </row>
    <row r="277" spans="1:4" x14ac:dyDescent="0.2">
      <c r="A277" s="1" t="s">
        <v>24</v>
      </c>
      <c r="C277" s="1"/>
      <c r="D277" s="1" t="s">
        <v>12</v>
      </c>
    </row>
    <row r="278" spans="1:4" x14ac:dyDescent="0.2">
      <c r="A278" s="1" t="s">
        <v>14</v>
      </c>
      <c r="C278" s="1"/>
      <c r="D278" s="1" t="s">
        <v>22</v>
      </c>
    </row>
    <row r="279" spans="1:4" x14ac:dyDescent="0.2">
      <c r="A279" s="1" t="s">
        <v>12</v>
      </c>
      <c r="C279" s="1"/>
      <c r="D279" s="1" t="s">
        <v>24</v>
      </c>
    </row>
    <row r="280" spans="1:4" x14ac:dyDescent="0.2">
      <c r="A280" s="1" t="s">
        <v>28</v>
      </c>
      <c r="C280" s="1"/>
      <c r="D280" s="1" t="s">
        <v>13</v>
      </c>
    </row>
    <row r="281" spans="1:4" x14ac:dyDescent="0.2">
      <c r="A281" s="1" t="s">
        <v>27</v>
      </c>
      <c r="C281" s="1"/>
      <c r="D281" s="1" t="s">
        <v>17</v>
      </c>
    </row>
    <row r="282" spans="1:4" x14ac:dyDescent="0.2">
      <c r="A282" s="1" t="s">
        <v>16</v>
      </c>
      <c r="C282" s="1"/>
      <c r="D282" s="1" t="s">
        <v>17</v>
      </c>
    </row>
    <row r="283" spans="1:4" x14ac:dyDescent="0.2">
      <c r="A283" s="1" t="s">
        <v>17</v>
      </c>
      <c r="C283" s="1"/>
      <c r="D283" s="1" t="s">
        <v>30</v>
      </c>
    </row>
    <row r="284" spans="1:4" x14ac:dyDescent="0.2">
      <c r="A284" s="1" t="s">
        <v>26</v>
      </c>
      <c r="C284" s="1"/>
      <c r="D284" s="1" t="s">
        <v>19</v>
      </c>
    </row>
    <row r="285" spans="1:4" x14ac:dyDescent="0.2">
      <c r="A285" s="1" t="s">
        <v>27</v>
      </c>
      <c r="C285" s="1"/>
      <c r="D285" s="1" t="s">
        <v>18</v>
      </c>
    </row>
    <row r="286" spans="1:4" x14ac:dyDescent="0.2">
      <c r="A286" s="1" t="s">
        <v>29</v>
      </c>
      <c r="C286" s="1"/>
      <c r="D286" s="1" t="s">
        <v>27</v>
      </c>
    </row>
    <row r="287" spans="1:4" x14ac:dyDescent="0.2">
      <c r="A287" s="1" t="s">
        <v>28</v>
      </c>
      <c r="C287" s="1"/>
      <c r="D287" s="1" t="s">
        <v>26</v>
      </c>
    </row>
    <row r="288" spans="1:4" x14ac:dyDescent="0.2">
      <c r="A288" s="1" t="s">
        <v>18</v>
      </c>
      <c r="C288" s="1"/>
      <c r="D288" s="1" t="s">
        <v>19</v>
      </c>
    </row>
    <row r="289" spans="1:4" x14ac:dyDescent="0.2">
      <c r="A289" s="1" t="s">
        <v>23</v>
      </c>
      <c r="C289" s="1"/>
      <c r="D289" s="1" t="s">
        <v>28</v>
      </c>
    </row>
    <row r="290" spans="1:4" x14ac:dyDescent="0.2">
      <c r="A290" s="1" t="s">
        <v>17</v>
      </c>
      <c r="C290" s="1"/>
      <c r="D290" s="1" t="s">
        <v>29</v>
      </c>
    </row>
    <row r="291" spans="1:4" x14ac:dyDescent="0.2">
      <c r="A291" s="1" t="s">
        <v>18</v>
      </c>
      <c r="C291" s="1"/>
      <c r="D291" s="1" t="s">
        <v>23</v>
      </c>
    </row>
    <row r="292" spans="1:4" x14ac:dyDescent="0.2">
      <c r="A292" s="1" t="s">
        <v>27</v>
      </c>
      <c r="C292" s="1"/>
      <c r="D292" s="1" t="s">
        <v>28</v>
      </c>
    </row>
    <row r="293" spans="1:4" x14ac:dyDescent="0.2">
      <c r="A293" s="1" t="s">
        <v>16</v>
      </c>
      <c r="C293" s="1"/>
      <c r="D293" s="1" t="s">
        <v>17</v>
      </c>
    </row>
    <row r="294" spans="1:4" x14ac:dyDescent="0.2">
      <c r="A294" s="1" t="s">
        <v>14</v>
      </c>
      <c r="C294" s="1"/>
      <c r="D294" s="1" t="s">
        <v>27</v>
      </c>
    </row>
    <row r="295" spans="1:4" x14ac:dyDescent="0.2">
      <c r="A295" s="1" t="s">
        <v>14</v>
      </c>
      <c r="C295" s="1"/>
      <c r="D295" s="1" t="s">
        <v>13</v>
      </c>
    </row>
    <row r="296" spans="1:4" x14ac:dyDescent="0.2">
      <c r="A296" s="1" t="s">
        <v>23</v>
      </c>
      <c r="C296" s="1"/>
      <c r="D296" s="1" t="s">
        <v>13</v>
      </c>
    </row>
    <row r="297" spans="1:4" x14ac:dyDescent="0.2">
      <c r="A297" s="1" t="s">
        <v>17</v>
      </c>
      <c r="C297" s="1"/>
      <c r="D297" s="1" t="s">
        <v>18</v>
      </c>
    </row>
    <row r="298" spans="1:4" x14ac:dyDescent="0.2">
      <c r="A298" s="1" t="s">
        <v>14</v>
      </c>
      <c r="C298" s="1"/>
      <c r="D298" s="1" t="s">
        <v>24</v>
      </c>
    </row>
    <row r="299" spans="1:4" x14ac:dyDescent="0.2">
      <c r="A299" s="1" t="s">
        <v>17</v>
      </c>
      <c r="C299" s="1"/>
      <c r="D299" s="1" t="s">
        <v>28</v>
      </c>
    </row>
    <row r="300" spans="1:4" x14ac:dyDescent="0.2">
      <c r="A300" s="1" t="s">
        <v>23</v>
      </c>
      <c r="C300" s="1"/>
      <c r="D300" s="1" t="s">
        <v>14</v>
      </c>
    </row>
    <row r="301" spans="1:4" x14ac:dyDescent="0.2">
      <c r="A301" s="1" t="s">
        <v>31</v>
      </c>
      <c r="C301" s="1"/>
      <c r="D301" s="1" t="s">
        <v>13</v>
      </c>
    </row>
    <row r="302" spans="1:4" x14ac:dyDescent="0.2">
      <c r="A302" s="1" t="s">
        <v>31</v>
      </c>
      <c r="C302" s="1"/>
      <c r="D302" s="1" t="s">
        <v>29</v>
      </c>
    </row>
    <row r="303" spans="1:4" x14ac:dyDescent="0.2">
      <c r="A303" s="1"/>
      <c r="C303" s="1"/>
      <c r="D303" s="1" t="s">
        <v>26</v>
      </c>
    </row>
    <row r="304" spans="1:4" x14ac:dyDescent="0.2">
      <c r="A304" s="1"/>
      <c r="C304" s="1"/>
      <c r="D304" s="1" t="s">
        <v>13</v>
      </c>
    </row>
    <row r="305" spans="1:4" x14ac:dyDescent="0.2">
      <c r="A305" s="1"/>
      <c r="C305" s="1"/>
      <c r="D305" s="1" t="s">
        <v>13</v>
      </c>
    </row>
    <row r="306" spans="1:4" x14ac:dyDescent="0.2">
      <c r="A306" s="1"/>
      <c r="C306" s="1"/>
      <c r="D306" s="1" t="s">
        <v>18</v>
      </c>
    </row>
    <row r="307" spans="1:4" x14ac:dyDescent="0.2">
      <c r="A307" s="1"/>
      <c r="C307" s="1"/>
      <c r="D307" s="1" t="s">
        <v>14</v>
      </c>
    </row>
    <row r="308" spans="1:4" x14ac:dyDescent="0.2">
      <c r="A308" s="1"/>
      <c r="C308" s="1"/>
      <c r="D308" s="1" t="s">
        <v>17</v>
      </c>
    </row>
    <row r="309" spans="1:4" x14ac:dyDescent="0.2">
      <c r="A309" s="1"/>
      <c r="C309" s="1"/>
      <c r="D309" s="1" t="s">
        <v>29</v>
      </c>
    </row>
    <row r="310" spans="1:4" x14ac:dyDescent="0.2">
      <c r="A310" s="1"/>
      <c r="C310" s="1"/>
      <c r="D310" s="1" t="s">
        <v>27</v>
      </c>
    </row>
    <row r="311" spans="1:4" x14ac:dyDescent="0.2">
      <c r="A311" s="1"/>
      <c r="C311" s="1"/>
      <c r="D311" s="1" t="s">
        <v>17</v>
      </c>
    </row>
    <row r="312" spans="1:4" x14ac:dyDescent="0.2">
      <c r="A312" s="1"/>
      <c r="C312" s="1"/>
      <c r="D312" s="1" t="s">
        <v>27</v>
      </c>
    </row>
    <row r="313" spans="1:4" x14ac:dyDescent="0.2">
      <c r="A313" s="1"/>
      <c r="C313" s="1"/>
      <c r="D313" s="1" t="s">
        <v>26</v>
      </c>
    </row>
    <row r="314" spans="1:4" x14ac:dyDescent="0.2">
      <c r="A314" s="1"/>
      <c r="C314" s="1"/>
      <c r="D314" s="1" t="s">
        <v>26</v>
      </c>
    </row>
    <row r="315" spans="1:4" x14ac:dyDescent="0.2">
      <c r="A315" s="1"/>
      <c r="C315" s="1"/>
      <c r="D315" s="1" t="s">
        <v>23</v>
      </c>
    </row>
    <row r="316" spans="1:4" x14ac:dyDescent="0.2">
      <c r="A316" s="1"/>
      <c r="C316" s="1"/>
      <c r="D316" s="1" t="s">
        <v>23</v>
      </c>
    </row>
    <row r="317" spans="1:4" x14ac:dyDescent="0.2">
      <c r="A317" s="1"/>
      <c r="C317" s="1"/>
      <c r="D317" s="1" t="s">
        <v>18</v>
      </c>
    </row>
    <row r="318" spans="1:4" x14ac:dyDescent="0.2">
      <c r="A318" s="1"/>
      <c r="C318" s="1"/>
      <c r="D318" s="1" t="s">
        <v>13</v>
      </c>
    </row>
    <row r="319" spans="1:4" x14ac:dyDescent="0.2">
      <c r="A319" s="1"/>
      <c r="C319" s="1"/>
      <c r="D319" s="1" t="s">
        <v>18</v>
      </c>
    </row>
    <row r="320" spans="1:4" x14ac:dyDescent="0.2">
      <c r="A320" s="1"/>
      <c r="C320" s="1"/>
      <c r="D320" s="1" t="s">
        <v>28</v>
      </c>
    </row>
    <row r="321" spans="1:4" x14ac:dyDescent="0.2">
      <c r="A321" s="1"/>
      <c r="C321" s="1"/>
      <c r="D321" s="1" t="s">
        <v>23</v>
      </c>
    </row>
    <row r="322" spans="1:4" x14ac:dyDescent="0.2">
      <c r="A322" s="1"/>
      <c r="C322" s="1"/>
      <c r="D322" s="1" t="s">
        <v>17</v>
      </c>
    </row>
    <row r="323" spans="1:4" x14ac:dyDescent="0.2">
      <c r="A323" s="1"/>
      <c r="C323" s="1"/>
      <c r="D323" s="1" t="s">
        <v>16</v>
      </c>
    </row>
    <row r="324" spans="1:4" x14ac:dyDescent="0.2">
      <c r="A324" s="1"/>
      <c r="C324" s="1"/>
      <c r="D324" s="1" t="s">
        <v>17</v>
      </c>
    </row>
    <row r="325" spans="1:4" x14ac:dyDescent="0.2">
      <c r="A325" s="1"/>
      <c r="C325" s="1"/>
      <c r="D325" s="1" t="s">
        <v>13</v>
      </c>
    </row>
    <row r="326" spans="1:4" x14ac:dyDescent="0.2">
      <c r="A326" s="1"/>
      <c r="C326" s="1"/>
      <c r="D326" s="1" t="s">
        <v>15</v>
      </c>
    </row>
    <row r="327" spans="1:4" x14ac:dyDescent="0.2">
      <c r="A327" s="1"/>
      <c r="C327" s="1"/>
      <c r="D327" s="1" t="s">
        <v>26</v>
      </c>
    </row>
    <row r="328" spans="1:4" x14ac:dyDescent="0.2">
      <c r="A328" s="1"/>
      <c r="C328" s="1"/>
      <c r="D328" s="1" t="s">
        <v>20</v>
      </c>
    </row>
    <row r="329" spans="1:4" x14ac:dyDescent="0.2">
      <c r="A329" s="1"/>
      <c r="C329" s="1"/>
      <c r="D329" s="1" t="s">
        <v>12</v>
      </c>
    </row>
    <row r="330" spans="1:4" x14ac:dyDescent="0.2">
      <c r="A330" s="1"/>
      <c r="D330" s="1" t="s">
        <v>24</v>
      </c>
    </row>
    <row r="331" spans="1:4" x14ac:dyDescent="0.2">
      <c r="A331" s="1"/>
      <c r="D331" s="1" t="s">
        <v>17</v>
      </c>
    </row>
    <row r="332" spans="1:4" x14ac:dyDescent="0.2">
      <c r="A332" s="1"/>
      <c r="D332" s="1" t="s">
        <v>13</v>
      </c>
    </row>
    <row r="333" spans="1:4" x14ac:dyDescent="0.2">
      <c r="A333" s="1"/>
      <c r="D333" s="1" t="s">
        <v>23</v>
      </c>
    </row>
    <row r="334" spans="1:4" x14ac:dyDescent="0.2">
      <c r="A334" s="1"/>
      <c r="D334" s="1" t="s">
        <v>17</v>
      </c>
    </row>
    <row r="335" spans="1:4" x14ac:dyDescent="0.2">
      <c r="D335" s="1" t="s">
        <v>18</v>
      </c>
    </row>
    <row r="336" spans="1:4" x14ac:dyDescent="0.2">
      <c r="D336" s="1" t="s">
        <v>22</v>
      </c>
    </row>
    <row r="337" spans="4:4" x14ac:dyDescent="0.2">
      <c r="D337" s="1" t="s">
        <v>23</v>
      </c>
    </row>
    <row r="338" spans="4:4" x14ac:dyDescent="0.2">
      <c r="D338" s="1" t="s">
        <v>22</v>
      </c>
    </row>
    <row r="339" spans="4:4" x14ac:dyDescent="0.2">
      <c r="D339" s="1" t="s">
        <v>17</v>
      </c>
    </row>
    <row r="340" spans="4:4" x14ac:dyDescent="0.2">
      <c r="D340" s="1" t="s">
        <v>23</v>
      </c>
    </row>
    <row r="341" spans="4:4" x14ac:dyDescent="0.2">
      <c r="D341" s="1" t="s">
        <v>17</v>
      </c>
    </row>
    <row r="342" spans="4:4" x14ac:dyDescent="0.2">
      <c r="D342" s="1" t="s">
        <v>14</v>
      </c>
    </row>
    <row r="343" spans="4:4" x14ac:dyDescent="0.2">
      <c r="D343" s="1" t="s">
        <v>18</v>
      </c>
    </row>
    <row r="344" spans="4:4" x14ac:dyDescent="0.2">
      <c r="D344" s="1" t="s">
        <v>22</v>
      </c>
    </row>
    <row r="345" spans="4:4" x14ac:dyDescent="0.2">
      <c r="D345" s="1" t="s">
        <v>24</v>
      </c>
    </row>
    <row r="346" spans="4:4" x14ac:dyDescent="0.2">
      <c r="D346" s="1" t="s">
        <v>13</v>
      </c>
    </row>
    <row r="347" spans="4:4" x14ac:dyDescent="0.2">
      <c r="D347" s="1" t="s">
        <v>14</v>
      </c>
    </row>
    <row r="348" spans="4:4" x14ac:dyDescent="0.2">
      <c r="D348" s="1" t="s">
        <v>16</v>
      </c>
    </row>
    <row r="349" spans="4:4" x14ac:dyDescent="0.2">
      <c r="D349" s="1" t="s">
        <v>27</v>
      </c>
    </row>
    <row r="350" spans="4:4" x14ac:dyDescent="0.2">
      <c r="D350" s="1" t="s">
        <v>13</v>
      </c>
    </row>
    <row r="351" spans="4:4" x14ac:dyDescent="0.2">
      <c r="D351" s="1" t="s">
        <v>12</v>
      </c>
    </row>
    <row r="352" spans="4:4" x14ac:dyDescent="0.2">
      <c r="D352" s="1" t="s">
        <v>22</v>
      </c>
    </row>
    <row r="353" spans="4:4" x14ac:dyDescent="0.2">
      <c r="D353" s="1" t="s">
        <v>14</v>
      </c>
    </row>
    <row r="354" spans="4:4" x14ac:dyDescent="0.2">
      <c r="D354" s="1" t="s">
        <v>28</v>
      </c>
    </row>
    <row r="355" spans="4:4" x14ac:dyDescent="0.2">
      <c r="D355" s="1" t="s">
        <v>16</v>
      </c>
    </row>
    <row r="356" spans="4:4" x14ac:dyDescent="0.2">
      <c r="D356" s="1" t="s">
        <v>24</v>
      </c>
    </row>
    <row r="357" spans="4:4" x14ac:dyDescent="0.2">
      <c r="D357" s="1" t="s">
        <v>18</v>
      </c>
    </row>
    <row r="358" spans="4:4" x14ac:dyDescent="0.2">
      <c r="D358" s="1" t="s">
        <v>23</v>
      </c>
    </row>
    <row r="359" spans="4:4" x14ac:dyDescent="0.2">
      <c r="D359" s="1" t="s">
        <v>17</v>
      </c>
    </row>
    <row r="360" spans="4:4" x14ac:dyDescent="0.2">
      <c r="D360" s="1" t="s">
        <v>24</v>
      </c>
    </row>
    <row r="361" spans="4:4" x14ac:dyDescent="0.2">
      <c r="D361" s="1" t="s">
        <v>17</v>
      </c>
    </row>
    <row r="362" spans="4:4" x14ac:dyDescent="0.2">
      <c r="D362" s="1" t="s">
        <v>23</v>
      </c>
    </row>
    <row r="363" spans="4:4" x14ac:dyDescent="0.2">
      <c r="D363" s="1" t="s">
        <v>26</v>
      </c>
    </row>
    <row r="364" spans="4:4" x14ac:dyDescent="0.2">
      <c r="D364" s="1" t="s">
        <v>28</v>
      </c>
    </row>
    <row r="365" spans="4:4" x14ac:dyDescent="0.2">
      <c r="D365" s="1" t="s">
        <v>28</v>
      </c>
    </row>
    <row r="366" spans="4:4" x14ac:dyDescent="0.2">
      <c r="D366" s="1" t="s">
        <v>18</v>
      </c>
    </row>
    <row r="367" spans="4:4" x14ac:dyDescent="0.2">
      <c r="D367" s="1" t="s">
        <v>27</v>
      </c>
    </row>
    <row r="368" spans="4:4" x14ac:dyDescent="0.2">
      <c r="D368" s="1" t="s">
        <v>17</v>
      </c>
    </row>
    <row r="369" spans="4:4" x14ac:dyDescent="0.2">
      <c r="D369" s="1" t="s">
        <v>12</v>
      </c>
    </row>
    <row r="370" spans="4:4" x14ac:dyDescent="0.2">
      <c r="D370" s="1" t="s">
        <v>13</v>
      </c>
    </row>
    <row r="371" spans="4:4" x14ac:dyDescent="0.2">
      <c r="D371" s="1" t="s">
        <v>26</v>
      </c>
    </row>
    <row r="372" spans="4:4" x14ac:dyDescent="0.2">
      <c r="D372" s="1" t="s">
        <v>31</v>
      </c>
    </row>
    <row r="373" spans="4:4" x14ac:dyDescent="0.2">
      <c r="D373" s="1" t="s">
        <v>23</v>
      </c>
    </row>
    <row r="374" spans="4:4" x14ac:dyDescent="0.2">
      <c r="D374" s="1" t="s">
        <v>18</v>
      </c>
    </row>
    <row r="375" spans="4:4" x14ac:dyDescent="0.2">
      <c r="D375" s="1" t="s">
        <v>17</v>
      </c>
    </row>
    <row r="376" spans="4:4" x14ac:dyDescent="0.2">
      <c r="D376" s="1" t="s">
        <v>31</v>
      </c>
    </row>
    <row r="377" spans="4:4" x14ac:dyDescent="0.2">
      <c r="D377" s="1" t="s">
        <v>22</v>
      </c>
    </row>
    <row r="378" spans="4:4" x14ac:dyDescent="0.2">
      <c r="D378" s="1" t="s">
        <v>14</v>
      </c>
    </row>
    <row r="379" spans="4:4" x14ac:dyDescent="0.2">
      <c r="D379" s="1" t="s">
        <v>23</v>
      </c>
    </row>
    <row r="380" spans="4:4" x14ac:dyDescent="0.2">
      <c r="D380" s="1" t="s">
        <v>23</v>
      </c>
    </row>
    <row r="381" spans="4:4" x14ac:dyDescent="0.2">
      <c r="D381" s="1" t="s">
        <v>24</v>
      </c>
    </row>
    <row r="382" spans="4:4" x14ac:dyDescent="0.2">
      <c r="D382" s="1" t="s">
        <v>29</v>
      </c>
    </row>
    <row r="383" spans="4:4" x14ac:dyDescent="0.2">
      <c r="D383" s="1" t="s">
        <v>18</v>
      </c>
    </row>
    <row r="384" spans="4:4" x14ac:dyDescent="0.2">
      <c r="D384" s="1" t="s">
        <v>12</v>
      </c>
    </row>
    <row r="385" spans="4:4" x14ac:dyDescent="0.2">
      <c r="D385" s="1" t="s">
        <v>13</v>
      </c>
    </row>
    <row r="386" spans="4:4" x14ac:dyDescent="0.2">
      <c r="D386" s="1" t="s">
        <v>23</v>
      </c>
    </row>
    <row r="387" spans="4:4" x14ac:dyDescent="0.2">
      <c r="D387" s="1" t="s">
        <v>14</v>
      </c>
    </row>
    <row r="388" spans="4:4" x14ac:dyDescent="0.2">
      <c r="D388" s="1" t="s">
        <v>16</v>
      </c>
    </row>
    <row r="389" spans="4:4" x14ac:dyDescent="0.2">
      <c r="D389" s="1" t="s">
        <v>17</v>
      </c>
    </row>
    <row r="390" spans="4:4" x14ac:dyDescent="0.2">
      <c r="D390" s="1" t="s">
        <v>16</v>
      </c>
    </row>
    <row r="391" spans="4:4" x14ac:dyDescent="0.2">
      <c r="D391" s="1" t="s">
        <v>13</v>
      </c>
    </row>
    <row r="392" spans="4:4" x14ac:dyDescent="0.2">
      <c r="D392" s="1" t="s">
        <v>13</v>
      </c>
    </row>
    <row r="393" spans="4:4" x14ac:dyDescent="0.2">
      <c r="D393" s="1" t="s">
        <v>31</v>
      </c>
    </row>
    <row r="394" spans="4:4" x14ac:dyDescent="0.2">
      <c r="D394" s="1" t="s">
        <v>26</v>
      </c>
    </row>
    <row r="395" spans="4:4" x14ac:dyDescent="0.2">
      <c r="D395" s="1" t="s">
        <v>18</v>
      </c>
    </row>
    <row r="396" spans="4:4" x14ac:dyDescent="0.2">
      <c r="D396" s="1" t="s">
        <v>23</v>
      </c>
    </row>
    <row r="397" spans="4:4" x14ac:dyDescent="0.2">
      <c r="D397" s="1" t="s">
        <v>23</v>
      </c>
    </row>
    <row r="398" spans="4:4" x14ac:dyDescent="0.2">
      <c r="D398" s="1" t="s">
        <v>17</v>
      </c>
    </row>
    <row r="399" spans="4:4" x14ac:dyDescent="0.2">
      <c r="D399" s="1" t="s">
        <v>20</v>
      </c>
    </row>
    <row r="400" spans="4:4" x14ac:dyDescent="0.2">
      <c r="D400" s="1" t="s">
        <v>17</v>
      </c>
    </row>
    <row r="401" spans="4:4" x14ac:dyDescent="0.2">
      <c r="D401" s="1" t="s">
        <v>17</v>
      </c>
    </row>
    <row r="402" spans="4:4" x14ac:dyDescent="0.2">
      <c r="D402" s="1" t="s">
        <v>28</v>
      </c>
    </row>
    <row r="403" spans="4:4" x14ac:dyDescent="0.2">
      <c r="D403" s="1" t="s">
        <v>26</v>
      </c>
    </row>
    <row r="404" spans="4:4" x14ac:dyDescent="0.2">
      <c r="D404" s="1" t="s">
        <v>23</v>
      </c>
    </row>
    <row r="405" spans="4:4" x14ac:dyDescent="0.2">
      <c r="D405" s="1" t="s">
        <v>27</v>
      </c>
    </row>
    <row r="406" spans="4:4" x14ac:dyDescent="0.2">
      <c r="D406" s="1" t="s">
        <v>19</v>
      </c>
    </row>
    <row r="407" spans="4:4" x14ac:dyDescent="0.2">
      <c r="D407" s="1" t="s">
        <v>28</v>
      </c>
    </row>
    <row r="408" spans="4:4" x14ac:dyDescent="0.2">
      <c r="D408" s="1" t="s">
        <v>27</v>
      </c>
    </row>
    <row r="409" spans="4:4" x14ac:dyDescent="0.2">
      <c r="D409" s="1" t="s">
        <v>29</v>
      </c>
    </row>
    <row r="410" spans="4:4" x14ac:dyDescent="0.2">
      <c r="D410" s="1" t="s">
        <v>20</v>
      </c>
    </row>
    <row r="411" spans="4:4" x14ac:dyDescent="0.2">
      <c r="D411" s="1" t="s">
        <v>27</v>
      </c>
    </row>
    <row r="412" spans="4:4" x14ac:dyDescent="0.2">
      <c r="D412" s="1" t="s">
        <v>16</v>
      </c>
    </row>
    <row r="413" spans="4:4" x14ac:dyDescent="0.2">
      <c r="D413" s="1" t="s">
        <v>28</v>
      </c>
    </row>
    <row r="414" spans="4:4" x14ac:dyDescent="0.2">
      <c r="D414" s="1" t="s">
        <v>27</v>
      </c>
    </row>
    <row r="415" spans="4:4" x14ac:dyDescent="0.2">
      <c r="D415" s="1" t="s">
        <v>20</v>
      </c>
    </row>
    <row r="416" spans="4:4" x14ac:dyDescent="0.2">
      <c r="D416" s="1" t="s">
        <v>31</v>
      </c>
    </row>
    <row r="417" spans="4:4" x14ac:dyDescent="0.2">
      <c r="D417" s="1" t="s">
        <v>27</v>
      </c>
    </row>
    <row r="418" spans="4:4" x14ac:dyDescent="0.2">
      <c r="D418" s="1" t="s">
        <v>22</v>
      </c>
    </row>
    <row r="419" spans="4:4" x14ac:dyDescent="0.2">
      <c r="D419" s="1" t="s">
        <v>27</v>
      </c>
    </row>
    <row r="420" spans="4:4" x14ac:dyDescent="0.2">
      <c r="D420" s="1" t="s">
        <v>27</v>
      </c>
    </row>
    <row r="421" spans="4:4" x14ac:dyDescent="0.2">
      <c r="D421" s="1" t="s">
        <v>22</v>
      </c>
    </row>
    <row r="422" spans="4:4" x14ac:dyDescent="0.2">
      <c r="D422" s="1" t="s">
        <v>29</v>
      </c>
    </row>
    <row r="423" spans="4:4" x14ac:dyDescent="0.2">
      <c r="D423" s="1" t="s">
        <v>19</v>
      </c>
    </row>
    <row r="424" spans="4:4" x14ac:dyDescent="0.2">
      <c r="D424" s="1" t="s">
        <v>20</v>
      </c>
    </row>
    <row r="425" spans="4:4" x14ac:dyDescent="0.2">
      <c r="D425" s="1" t="s">
        <v>26</v>
      </c>
    </row>
    <row r="426" spans="4:4" x14ac:dyDescent="0.2">
      <c r="D426" s="1" t="s">
        <v>27</v>
      </c>
    </row>
    <row r="427" spans="4:4" x14ac:dyDescent="0.2">
      <c r="D427" s="1" t="s">
        <v>13</v>
      </c>
    </row>
    <row r="428" spans="4:4" x14ac:dyDescent="0.2">
      <c r="D428" s="1" t="s">
        <v>31</v>
      </c>
    </row>
    <row r="429" spans="4:4" x14ac:dyDescent="0.2">
      <c r="D429" s="1" t="s">
        <v>20</v>
      </c>
    </row>
    <row r="430" spans="4:4" x14ac:dyDescent="0.2">
      <c r="D430" s="1" t="s">
        <v>20</v>
      </c>
    </row>
    <row r="431" spans="4:4" x14ac:dyDescent="0.2">
      <c r="D431" s="1" t="s">
        <v>23</v>
      </c>
    </row>
    <row r="432" spans="4:4" x14ac:dyDescent="0.2">
      <c r="D432" s="1" t="s">
        <v>22</v>
      </c>
    </row>
    <row r="433" spans="4:4" x14ac:dyDescent="0.2">
      <c r="D433" s="1" t="s">
        <v>28</v>
      </c>
    </row>
    <row r="434" spans="4:4" x14ac:dyDescent="0.2">
      <c r="D434" s="1" t="s">
        <v>27</v>
      </c>
    </row>
    <row r="435" spans="4:4" x14ac:dyDescent="0.2">
      <c r="D435" s="1" t="s">
        <v>27</v>
      </c>
    </row>
    <row r="436" spans="4:4" x14ac:dyDescent="0.2">
      <c r="D436" s="1" t="s">
        <v>31</v>
      </c>
    </row>
    <row r="437" spans="4:4" x14ac:dyDescent="0.2">
      <c r="D437" s="1" t="s">
        <v>23</v>
      </c>
    </row>
    <row r="438" spans="4:4" x14ac:dyDescent="0.2">
      <c r="D438" s="1" t="s">
        <v>12</v>
      </c>
    </row>
    <row r="439" spans="4:4" x14ac:dyDescent="0.2">
      <c r="D439" s="1" t="s">
        <v>27</v>
      </c>
    </row>
    <row r="440" spans="4:4" x14ac:dyDescent="0.2">
      <c r="D440" s="1" t="s">
        <v>28</v>
      </c>
    </row>
    <row r="441" spans="4:4" x14ac:dyDescent="0.2">
      <c r="D441" s="1" t="s">
        <v>26</v>
      </c>
    </row>
    <row r="442" spans="4:4" x14ac:dyDescent="0.2">
      <c r="D442" s="1" t="s">
        <v>27</v>
      </c>
    </row>
    <row r="443" spans="4:4" x14ac:dyDescent="0.2">
      <c r="D443" s="1" t="s">
        <v>19</v>
      </c>
    </row>
    <row r="444" spans="4:4" x14ac:dyDescent="0.2">
      <c r="D444" s="1" t="s">
        <v>25</v>
      </c>
    </row>
    <row r="445" spans="4:4" x14ac:dyDescent="0.2">
      <c r="D445" s="1" t="s">
        <v>27</v>
      </c>
    </row>
    <row r="446" spans="4:4" x14ac:dyDescent="0.2">
      <c r="D446" s="1" t="s">
        <v>31</v>
      </c>
    </row>
    <row r="447" spans="4:4" x14ac:dyDescent="0.2">
      <c r="D447" s="1" t="s">
        <v>31</v>
      </c>
    </row>
    <row r="448" spans="4:4" x14ac:dyDescent="0.2">
      <c r="D448" s="1" t="s">
        <v>28</v>
      </c>
    </row>
    <row r="449" spans="4:4" x14ac:dyDescent="0.2">
      <c r="D449" s="1" t="s">
        <v>27</v>
      </c>
    </row>
    <row r="450" spans="4:4" x14ac:dyDescent="0.2">
      <c r="D450" s="1" t="s">
        <v>21</v>
      </c>
    </row>
    <row r="451" spans="4:4" x14ac:dyDescent="0.2">
      <c r="D451" s="1" t="s">
        <v>29</v>
      </c>
    </row>
    <row r="452" spans="4:4" x14ac:dyDescent="0.2">
      <c r="D452" s="1" t="s">
        <v>22</v>
      </c>
    </row>
    <row r="453" spans="4:4" x14ac:dyDescent="0.2">
      <c r="D453" s="1" t="s">
        <v>17</v>
      </c>
    </row>
    <row r="454" spans="4:4" x14ac:dyDescent="0.2">
      <c r="D454" s="1" t="s">
        <v>17</v>
      </c>
    </row>
    <row r="455" spans="4:4" x14ac:dyDescent="0.2">
      <c r="D455" s="1" t="s">
        <v>22</v>
      </c>
    </row>
    <row r="456" spans="4:4" x14ac:dyDescent="0.2">
      <c r="D456" s="1" t="s">
        <v>28</v>
      </c>
    </row>
    <row r="457" spans="4:4" x14ac:dyDescent="0.2">
      <c r="D457" s="1" t="s">
        <v>17</v>
      </c>
    </row>
    <row r="458" spans="4:4" x14ac:dyDescent="0.2">
      <c r="D458" s="1" t="s">
        <v>29</v>
      </c>
    </row>
    <row r="459" spans="4:4" x14ac:dyDescent="0.2">
      <c r="D459" s="1" t="s">
        <v>17</v>
      </c>
    </row>
    <row r="460" spans="4:4" x14ac:dyDescent="0.2">
      <c r="D460" s="1" t="s">
        <v>17</v>
      </c>
    </row>
    <row r="461" spans="4:4" x14ac:dyDescent="0.2">
      <c r="D461" s="1" t="s">
        <v>28</v>
      </c>
    </row>
    <row r="462" spans="4:4" x14ac:dyDescent="0.2">
      <c r="D462" s="1" t="s">
        <v>16</v>
      </c>
    </row>
    <row r="463" spans="4:4" x14ac:dyDescent="0.2">
      <c r="D463" s="1" t="s">
        <v>17</v>
      </c>
    </row>
    <row r="464" spans="4:4" x14ac:dyDescent="0.2">
      <c r="D464" s="1" t="s">
        <v>13</v>
      </c>
    </row>
    <row r="465" spans="4:4" x14ac:dyDescent="0.2">
      <c r="D465" s="1" t="s">
        <v>27</v>
      </c>
    </row>
    <row r="466" spans="4:4" x14ac:dyDescent="0.2">
      <c r="D466" s="1" t="s">
        <v>18</v>
      </c>
    </row>
    <row r="467" spans="4:4" x14ac:dyDescent="0.2">
      <c r="D467" s="1" t="s">
        <v>13</v>
      </c>
    </row>
    <row r="468" spans="4:4" x14ac:dyDescent="0.2">
      <c r="D468" s="1" t="s">
        <v>17</v>
      </c>
    </row>
    <row r="469" spans="4:4" x14ac:dyDescent="0.2">
      <c r="D469" s="1" t="s">
        <v>17</v>
      </c>
    </row>
    <row r="470" spans="4:4" x14ac:dyDescent="0.2">
      <c r="D470" s="1" t="s">
        <v>13</v>
      </c>
    </row>
    <row r="471" spans="4:4" x14ac:dyDescent="0.2">
      <c r="D471" s="1" t="s">
        <v>18</v>
      </c>
    </row>
    <row r="472" spans="4:4" x14ac:dyDescent="0.2">
      <c r="D472" s="1" t="s">
        <v>14</v>
      </c>
    </row>
    <row r="473" spans="4:4" x14ac:dyDescent="0.2">
      <c r="D473" s="1" t="s">
        <v>17</v>
      </c>
    </row>
    <row r="474" spans="4:4" x14ac:dyDescent="0.2">
      <c r="D474" s="1" t="s">
        <v>25</v>
      </c>
    </row>
    <row r="475" spans="4:4" x14ac:dyDescent="0.2">
      <c r="D475" s="1" t="s">
        <v>25</v>
      </c>
    </row>
    <row r="476" spans="4:4" x14ac:dyDescent="0.2">
      <c r="D476" s="1" t="s">
        <v>27</v>
      </c>
    </row>
    <row r="477" spans="4:4" x14ac:dyDescent="0.2">
      <c r="D477" s="1" t="s">
        <v>17</v>
      </c>
    </row>
    <row r="478" spans="4:4" x14ac:dyDescent="0.2">
      <c r="D478" s="1" t="s">
        <v>20</v>
      </c>
    </row>
    <row r="479" spans="4:4" x14ac:dyDescent="0.2">
      <c r="D479" s="1" t="s">
        <v>17</v>
      </c>
    </row>
    <row r="480" spans="4:4" x14ac:dyDescent="0.2">
      <c r="D480" s="1" t="s">
        <v>13</v>
      </c>
    </row>
    <row r="481" spans="4:4" x14ac:dyDescent="0.2">
      <c r="D481" s="1" t="s">
        <v>17</v>
      </c>
    </row>
    <row r="482" spans="4:4" x14ac:dyDescent="0.2">
      <c r="D482" s="1" t="s">
        <v>17</v>
      </c>
    </row>
    <row r="483" spans="4:4" x14ac:dyDescent="0.2">
      <c r="D483" s="1" t="s">
        <v>17</v>
      </c>
    </row>
    <row r="484" spans="4:4" x14ac:dyDescent="0.2">
      <c r="D484" s="1" t="s">
        <v>17</v>
      </c>
    </row>
    <row r="485" spans="4:4" x14ac:dyDescent="0.2">
      <c r="D485" s="1" t="s">
        <v>18</v>
      </c>
    </row>
    <row r="486" spans="4:4" x14ac:dyDescent="0.2">
      <c r="D486" s="1" t="s">
        <v>14</v>
      </c>
    </row>
    <row r="487" spans="4:4" x14ac:dyDescent="0.2">
      <c r="D487" s="1" t="s">
        <v>18</v>
      </c>
    </row>
    <row r="488" spans="4:4" x14ac:dyDescent="0.2">
      <c r="D488" s="1" t="s">
        <v>17</v>
      </c>
    </row>
    <row r="489" spans="4:4" x14ac:dyDescent="0.2">
      <c r="D489" s="1" t="s">
        <v>17</v>
      </c>
    </row>
    <row r="490" spans="4:4" x14ac:dyDescent="0.2">
      <c r="D490" s="1" t="s">
        <v>13</v>
      </c>
    </row>
    <row r="491" spans="4:4" x14ac:dyDescent="0.2">
      <c r="D491" s="1" t="s">
        <v>17</v>
      </c>
    </row>
    <row r="492" spans="4:4" x14ac:dyDescent="0.2">
      <c r="D492" s="1" t="s">
        <v>17</v>
      </c>
    </row>
    <row r="493" spans="4:4" x14ac:dyDescent="0.2">
      <c r="D493" s="1" t="s">
        <v>17</v>
      </c>
    </row>
    <row r="494" spans="4:4" x14ac:dyDescent="0.2">
      <c r="D494" s="1" t="s">
        <v>17</v>
      </c>
    </row>
    <row r="495" spans="4:4" x14ac:dyDescent="0.2">
      <c r="D495" s="1" t="s">
        <v>13</v>
      </c>
    </row>
    <row r="496" spans="4:4" x14ac:dyDescent="0.2">
      <c r="D496" s="1" t="s">
        <v>13</v>
      </c>
    </row>
    <row r="497" spans="4:4" x14ac:dyDescent="0.2">
      <c r="D497" s="1" t="s">
        <v>17</v>
      </c>
    </row>
    <row r="498" spans="4:4" x14ac:dyDescent="0.2">
      <c r="D498" s="1" t="s">
        <v>17</v>
      </c>
    </row>
    <row r="499" spans="4:4" x14ac:dyDescent="0.2">
      <c r="D499" s="1" t="s">
        <v>17</v>
      </c>
    </row>
    <row r="500" spans="4:4" x14ac:dyDescent="0.2">
      <c r="D500" s="1" t="s">
        <v>17</v>
      </c>
    </row>
    <row r="501" spans="4:4" x14ac:dyDescent="0.2">
      <c r="D501" s="1" t="s">
        <v>13</v>
      </c>
    </row>
    <row r="502" spans="4:4" x14ac:dyDescent="0.2">
      <c r="D502" s="1" t="s">
        <v>13</v>
      </c>
    </row>
    <row r="503" spans="4:4" x14ac:dyDescent="0.2">
      <c r="D503" s="1" t="s">
        <v>18</v>
      </c>
    </row>
    <row r="504" spans="4:4" x14ac:dyDescent="0.2">
      <c r="D504" s="1" t="s">
        <v>17</v>
      </c>
    </row>
    <row r="505" spans="4:4" x14ac:dyDescent="0.2">
      <c r="D505" s="1" t="s">
        <v>17</v>
      </c>
    </row>
    <row r="506" spans="4:4" x14ac:dyDescent="0.2">
      <c r="D506" s="1" t="s">
        <v>27</v>
      </c>
    </row>
    <row r="507" spans="4:4" x14ac:dyDescent="0.2">
      <c r="D507" s="1" t="s">
        <v>17</v>
      </c>
    </row>
    <row r="508" spans="4:4" x14ac:dyDescent="0.2">
      <c r="D508" s="1" t="s">
        <v>17</v>
      </c>
    </row>
    <row r="509" spans="4:4" x14ac:dyDescent="0.2">
      <c r="D509" s="1" t="s">
        <v>13</v>
      </c>
    </row>
    <row r="510" spans="4:4" x14ac:dyDescent="0.2">
      <c r="D510" s="1" t="s">
        <v>18</v>
      </c>
    </row>
    <row r="511" spans="4:4" x14ac:dyDescent="0.2">
      <c r="D511" s="1" t="s">
        <v>17</v>
      </c>
    </row>
    <row r="512" spans="4:4" x14ac:dyDescent="0.2">
      <c r="D512" s="1" t="s">
        <v>17</v>
      </c>
    </row>
    <row r="513" spans="4:4" x14ac:dyDescent="0.2">
      <c r="D513" s="1" t="s">
        <v>17</v>
      </c>
    </row>
    <row r="514" spans="4:4" x14ac:dyDescent="0.2">
      <c r="D514" s="1" t="s">
        <v>17</v>
      </c>
    </row>
    <row r="515" spans="4:4" x14ac:dyDescent="0.2">
      <c r="D515" s="1" t="s">
        <v>20</v>
      </c>
    </row>
    <row r="516" spans="4:4" x14ac:dyDescent="0.2">
      <c r="D516" s="1" t="s">
        <v>20</v>
      </c>
    </row>
    <row r="517" spans="4:4" x14ac:dyDescent="0.2">
      <c r="D517" s="1" t="s">
        <v>17</v>
      </c>
    </row>
    <row r="518" spans="4:4" x14ac:dyDescent="0.2">
      <c r="D518" s="1" t="s">
        <v>20</v>
      </c>
    </row>
    <row r="519" spans="4:4" x14ac:dyDescent="0.2">
      <c r="D519" s="1" t="s">
        <v>17</v>
      </c>
    </row>
    <row r="520" spans="4:4" x14ac:dyDescent="0.2">
      <c r="D520" s="1" t="s">
        <v>17</v>
      </c>
    </row>
    <row r="521" spans="4:4" x14ac:dyDescent="0.2">
      <c r="D521" s="1" t="s">
        <v>20</v>
      </c>
    </row>
    <row r="522" spans="4:4" x14ac:dyDescent="0.2">
      <c r="D522" s="1" t="s">
        <v>17</v>
      </c>
    </row>
    <row r="523" spans="4:4" x14ac:dyDescent="0.2">
      <c r="D523" s="1" t="s">
        <v>17</v>
      </c>
    </row>
    <row r="524" spans="4:4" x14ac:dyDescent="0.2">
      <c r="D524" s="1" t="s">
        <v>28</v>
      </c>
    </row>
    <row r="525" spans="4:4" x14ac:dyDescent="0.2">
      <c r="D525" s="1" t="s">
        <v>18</v>
      </c>
    </row>
    <row r="526" spans="4:4" x14ac:dyDescent="0.2">
      <c r="D526" s="1" t="s">
        <v>17</v>
      </c>
    </row>
    <row r="527" spans="4:4" x14ac:dyDescent="0.2">
      <c r="D527" s="1" t="s">
        <v>13</v>
      </c>
    </row>
    <row r="528" spans="4:4" x14ac:dyDescent="0.2">
      <c r="D528" s="1" t="s">
        <v>17</v>
      </c>
    </row>
    <row r="529" spans="4:4" x14ac:dyDescent="0.2">
      <c r="D529" s="1" t="s">
        <v>17</v>
      </c>
    </row>
    <row r="530" spans="4:4" x14ac:dyDescent="0.2">
      <c r="D530" s="1" t="s">
        <v>17</v>
      </c>
    </row>
    <row r="531" spans="4:4" x14ac:dyDescent="0.2">
      <c r="D531" s="1" t="s">
        <v>17</v>
      </c>
    </row>
    <row r="532" spans="4:4" x14ac:dyDescent="0.2">
      <c r="D532" s="1" t="s">
        <v>18</v>
      </c>
    </row>
    <row r="533" spans="4:4" x14ac:dyDescent="0.2">
      <c r="D533" s="1" t="s">
        <v>18</v>
      </c>
    </row>
    <row r="534" spans="4:4" x14ac:dyDescent="0.2">
      <c r="D534" s="1" t="s">
        <v>29</v>
      </c>
    </row>
    <row r="535" spans="4:4" x14ac:dyDescent="0.2">
      <c r="D535" s="1" t="s">
        <v>17</v>
      </c>
    </row>
    <row r="536" spans="4:4" x14ac:dyDescent="0.2">
      <c r="D536" s="1" t="s">
        <v>20</v>
      </c>
    </row>
    <row r="537" spans="4:4" x14ac:dyDescent="0.2">
      <c r="D537" s="1" t="s">
        <v>13</v>
      </c>
    </row>
    <row r="538" spans="4:4" x14ac:dyDescent="0.2">
      <c r="D538" s="1" t="s">
        <v>20</v>
      </c>
    </row>
    <row r="539" spans="4:4" x14ac:dyDescent="0.2">
      <c r="D539" s="1" t="s">
        <v>17</v>
      </c>
    </row>
    <row r="540" spans="4:4" x14ac:dyDescent="0.2">
      <c r="D540" s="1" t="s">
        <v>17</v>
      </c>
    </row>
    <row r="541" spans="4:4" x14ac:dyDescent="0.2">
      <c r="D541" s="1" t="s">
        <v>22</v>
      </c>
    </row>
    <row r="542" spans="4:4" x14ac:dyDescent="0.2">
      <c r="D542" s="1" t="s">
        <v>13</v>
      </c>
    </row>
    <row r="543" spans="4:4" x14ac:dyDescent="0.2">
      <c r="D543" s="1" t="s">
        <v>13</v>
      </c>
    </row>
    <row r="544" spans="4:4" x14ac:dyDescent="0.2">
      <c r="D544" s="1" t="s">
        <v>18</v>
      </c>
    </row>
    <row r="545" spans="4:4" x14ac:dyDescent="0.2">
      <c r="D545" s="1" t="s">
        <v>18</v>
      </c>
    </row>
    <row r="546" spans="4:4" x14ac:dyDescent="0.2">
      <c r="D546" s="1" t="s">
        <v>18</v>
      </c>
    </row>
    <row r="547" spans="4:4" x14ac:dyDescent="0.2">
      <c r="D547" s="1" t="s">
        <v>14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Plot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Shaw</dc:creator>
  <cp:keywords/>
  <dc:description/>
  <cp:lastModifiedBy>Carina Negreanu</cp:lastModifiedBy>
  <dcterms:created xsi:type="dcterms:W3CDTF">2020-01-27T11:19:47Z</dcterms:created>
  <dcterms:modified xsi:type="dcterms:W3CDTF">2020-01-27T11:19:48Z</dcterms:modified>
</cp:coreProperties>
</file>