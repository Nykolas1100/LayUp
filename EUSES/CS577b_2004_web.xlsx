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BA51C7A-A146-447E-801C-ACDC6FE8F89E}" xr6:coauthVersionLast="45" xr6:coauthVersionMax="45" xr10:uidLastSave="{00000000-0000-0000-0000-000000000000}"/>
  <bookViews>
    <workbookView xWindow="3420" yWindow="3420" windowWidth="28800" windowHeight="15460" activeTab="1"/>
  </bookViews>
  <sheets>
    <sheet name="Homeworks" sheetId="1" r:id="rId1"/>
    <sheet name="TEAM SCORES" sheetId="2" r:id="rId2"/>
  </sheets>
  <definedNames>
    <definedName name="_xlnm._FilterDatabase" localSheetId="0" hidden="1">Homeworks!$A$1:$W$44</definedName>
    <definedName name="Team19">'TEAM SCORES'!$Q$5</definedName>
    <definedName name="Team22">'TEAM SCORES'!$Q$6</definedName>
    <definedName name="Team23">'TEAM SCORES'!$Q$7</definedName>
    <definedName name="Team24">'TEAM SCORES'!$Q$8</definedName>
    <definedName name="Team35">'TEAM SCORES'!$Q$9</definedName>
    <definedName name="Team36">'TEAM SCORES'!$Q$10</definedName>
    <definedName name="Team37">'TEAM SCORES'!$Q$11</definedName>
    <definedName name="TEam8">'TEAM SCORES'!$Q$3</definedName>
    <definedName name="Team9">'TEAM SCORES'!$Q$4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B6" i="1"/>
  <c r="S6" i="1" s="1"/>
  <c r="V6" i="1"/>
  <c r="B7" i="1"/>
  <c r="S7" i="1"/>
  <c r="S8" i="1"/>
  <c r="S9" i="1"/>
  <c r="S10" i="1"/>
  <c r="V10" i="1"/>
  <c r="W10" i="1" s="1"/>
  <c r="S11" i="1"/>
  <c r="V11" i="1"/>
  <c r="W11" i="1"/>
  <c r="S12" i="1"/>
  <c r="S13" i="1"/>
  <c r="T13" i="1" s="1"/>
  <c r="B14" i="1"/>
  <c r="S14" i="1"/>
  <c r="T14" i="1" s="1"/>
  <c r="B15" i="1"/>
  <c r="S15" i="1"/>
  <c r="V15" i="1"/>
  <c r="W15" i="1"/>
  <c r="S16" i="1"/>
  <c r="W16" i="1" s="1"/>
  <c r="V16" i="1"/>
  <c r="S17" i="1"/>
  <c r="B18" i="1"/>
  <c r="S18" i="1"/>
  <c r="S19" i="1"/>
  <c r="S20" i="1"/>
  <c r="V20" i="1"/>
  <c r="W20" i="1"/>
  <c r="B21" i="1"/>
  <c r="S21" i="1"/>
  <c r="T21" i="1" s="1"/>
  <c r="V21" i="1"/>
  <c r="B22" i="1"/>
  <c r="S22" i="1" s="1"/>
  <c r="S23" i="1"/>
  <c r="B24" i="1"/>
  <c r="S24" i="1"/>
  <c r="B25" i="1"/>
  <c r="S25" i="1"/>
  <c r="S26" i="1"/>
  <c r="S27" i="1"/>
  <c r="S28" i="1"/>
  <c r="V28" i="1"/>
  <c r="W28" i="1" s="1"/>
  <c r="B29" i="1"/>
  <c r="S29" i="1"/>
  <c r="B30" i="1"/>
  <c r="S30" i="1" s="1"/>
  <c r="S31" i="1"/>
  <c r="B32" i="1"/>
  <c r="S32" i="1" s="1"/>
  <c r="B33" i="1"/>
  <c r="S33" i="1"/>
  <c r="S34" i="1"/>
  <c r="S35" i="1"/>
  <c r="S36" i="1"/>
  <c r="B37" i="1"/>
  <c r="S37" i="1"/>
  <c r="S38" i="1"/>
  <c r="B39" i="1"/>
  <c r="S39" i="1" s="1"/>
  <c r="S40" i="1"/>
  <c r="B41" i="1"/>
  <c r="S41" i="1" s="1"/>
  <c r="S42" i="1"/>
  <c r="V42" i="1"/>
  <c r="W42" i="1"/>
  <c r="B43" i="1"/>
  <c r="S43" i="1"/>
  <c r="B44" i="1"/>
  <c r="S44" i="1"/>
  <c r="M3" i="2"/>
  <c r="Q3" i="2"/>
  <c r="V25" i="1" s="1"/>
  <c r="M4" i="2"/>
  <c r="Q4" i="2"/>
  <c r="V26" i="1" s="1"/>
  <c r="W26" i="1" s="1"/>
  <c r="M5" i="2"/>
  <c r="Q5" i="2"/>
  <c r="V5" i="1" s="1"/>
  <c r="W5" i="1" s="1"/>
  <c r="M6" i="2"/>
  <c r="Q6" i="2"/>
  <c r="V34" i="1" s="1"/>
  <c r="M7" i="2"/>
  <c r="Q7" i="2"/>
  <c r="V24" i="1" s="1"/>
  <c r="W24" i="1" s="1"/>
  <c r="M8" i="2"/>
  <c r="Q8" i="2"/>
  <c r="V7" i="1" s="1"/>
  <c r="M9" i="2"/>
  <c r="Q9" i="2" s="1"/>
  <c r="M10" i="2"/>
  <c r="Q10" i="2" s="1"/>
  <c r="M11" i="2"/>
  <c r="Q11" i="2" s="1"/>
  <c r="C38" i="2"/>
  <c r="M38" i="2"/>
  <c r="C39" i="2"/>
  <c r="M39" i="2"/>
  <c r="T39" i="1" l="1"/>
  <c r="T23" i="1"/>
  <c r="T12" i="1"/>
  <c r="W34" i="1"/>
  <c r="T32" i="1"/>
  <c r="T44" i="1"/>
  <c r="T7" i="1"/>
  <c r="W43" i="1"/>
  <c r="T17" i="1"/>
  <c r="T26" i="1"/>
  <c r="T9" i="1"/>
  <c r="T16" i="1"/>
  <c r="T35" i="1"/>
  <c r="T33" i="1"/>
  <c r="W6" i="1"/>
  <c r="T40" i="1"/>
  <c r="T18" i="1"/>
  <c r="T42" i="1"/>
  <c r="T38" i="1"/>
  <c r="T25" i="1"/>
  <c r="T31" i="1"/>
  <c r="T29" i="1"/>
  <c r="T36" i="1"/>
  <c r="T11" i="1"/>
  <c r="T27" i="1"/>
  <c r="T28" i="1"/>
  <c r="T34" i="1"/>
  <c r="T5" i="1"/>
  <c r="T19" i="1"/>
  <c r="T20" i="1"/>
  <c r="T37" i="1"/>
  <c r="T10" i="1"/>
  <c r="T43" i="1"/>
  <c r="T24" i="1"/>
  <c r="T6" i="1"/>
  <c r="T4" i="1"/>
  <c r="W22" i="1"/>
  <c r="T22" i="1"/>
  <c r="T8" i="1"/>
  <c r="T30" i="1"/>
  <c r="V43" i="1"/>
  <c r="V3" i="1"/>
  <c r="V41" i="1"/>
  <c r="V37" i="1"/>
  <c r="W37" i="1" s="1"/>
  <c r="T3" i="1"/>
  <c r="V30" i="1"/>
  <c r="W30" i="1" s="1"/>
  <c r="V17" i="1"/>
  <c r="V31" i="1"/>
  <c r="W31" i="1" s="1"/>
  <c r="V40" i="1"/>
  <c r="W40" i="1" s="1"/>
  <c r="V38" i="1"/>
  <c r="W38" i="1" s="1"/>
  <c r="V12" i="1"/>
  <c r="W12" i="1" s="1"/>
  <c r="V35" i="1"/>
  <c r="W35" i="1" s="1"/>
  <c r="V8" i="1"/>
  <c r="W8" i="1" s="1"/>
  <c r="V36" i="1"/>
  <c r="W36" i="1" s="1"/>
  <c r="V29" i="1"/>
  <c r="W29" i="1" s="1"/>
  <c r="W41" i="1"/>
  <c r="T41" i="1"/>
  <c r="W25" i="1"/>
  <c r="T15" i="1"/>
  <c r="V33" i="1"/>
  <c r="W33" i="1" s="1"/>
  <c r="V23" i="1"/>
  <c r="W23" i="1" s="1"/>
  <c r="V14" i="1"/>
  <c r="W14" i="1" s="1"/>
  <c r="V9" i="1"/>
  <c r="W9" i="1" s="1"/>
  <c r="V4" i="1"/>
  <c r="W4" i="1" s="1"/>
  <c r="V18" i="1"/>
  <c r="W18" i="1" s="1"/>
  <c r="V22" i="1"/>
  <c r="V32" i="1"/>
  <c r="W32" i="1" s="1"/>
  <c r="V44" i="1"/>
  <c r="W44" i="1" s="1"/>
  <c r="V13" i="1"/>
  <c r="W13" i="1" s="1"/>
  <c r="V19" i="1"/>
  <c r="W19" i="1" s="1"/>
  <c r="W17" i="1"/>
  <c r="W3" i="1"/>
  <c r="V27" i="1"/>
  <c r="W27" i="1" s="1"/>
  <c r="V39" i="1"/>
  <c r="W39" i="1" s="1"/>
  <c r="W21" i="1"/>
  <c r="W7" i="1"/>
</calcChain>
</file>

<file path=xl/comments1.xml><?xml version="1.0" encoding="utf-8"?>
<comments xmlns="http://schemas.openxmlformats.org/spreadsheetml/2006/main">
  <authors>
    <author>meghna</author>
  </authors>
  <commentList>
    <comment ref="O2" authorId="0" shapeId="0">
      <text>
        <r>
          <rPr>
            <b/>
            <sz val="8"/>
            <color indexed="81"/>
            <rFont val="Tahoma"/>
          </rPr>
          <t>meghna:</t>
        </r>
        <r>
          <rPr>
            <sz val="8"/>
            <color indexed="81"/>
            <rFont val="Tahoma"/>
          </rPr>
          <t xml:space="preserve">
missing CCD dates on websites
</t>
        </r>
      </text>
    </comment>
  </commentList>
</comments>
</file>

<file path=xl/sharedStrings.xml><?xml version="1.0" encoding="utf-8"?>
<sst xmlns="http://schemas.openxmlformats.org/spreadsheetml/2006/main" count="85" uniqueCount="75">
  <si>
    <t>CS577a ID</t>
  </si>
  <si>
    <t>F03-33</t>
  </si>
  <si>
    <t>F03c-17</t>
  </si>
  <si>
    <t>F03c-29</t>
  </si>
  <si>
    <t>F03c-30</t>
  </si>
  <si>
    <t>F03-9</t>
  </si>
  <si>
    <t>F03-49</t>
  </si>
  <si>
    <t>F03-37</t>
  </si>
  <si>
    <t>F03-201</t>
  </si>
  <si>
    <t>F03-274</t>
  </si>
  <si>
    <t>F03-138</t>
  </si>
  <si>
    <t>F03-19</t>
  </si>
  <si>
    <t>F03-65</t>
  </si>
  <si>
    <t>F03-80</t>
  </si>
  <si>
    <t>F03-176</t>
  </si>
  <si>
    <t>F03-17</t>
  </si>
  <si>
    <t>F03-35</t>
  </si>
  <si>
    <t>F03-39</t>
  </si>
  <si>
    <t>F03-151</t>
  </si>
  <si>
    <t>F03-45</t>
  </si>
  <si>
    <t>F03-131</t>
  </si>
  <si>
    <t>F03-130</t>
  </si>
  <si>
    <t>F03-7</t>
  </si>
  <si>
    <t>F03-129</t>
  </si>
  <si>
    <t>F03-57</t>
  </si>
  <si>
    <t>F03-74</t>
  </si>
  <si>
    <t>F03-14</t>
  </si>
  <si>
    <t>F03-112</t>
  </si>
  <si>
    <t>F03c-23</t>
  </si>
  <si>
    <t>F03c-24</t>
  </si>
  <si>
    <t>F03c-22</t>
  </si>
  <si>
    <t>F03c-43</t>
  </si>
  <si>
    <t>F03c-4</t>
  </si>
  <si>
    <t>F03c-31</t>
  </si>
  <si>
    <t>F03c-32</t>
  </si>
  <si>
    <t>F03c-9</t>
  </si>
  <si>
    <t>F03c-41</t>
  </si>
  <si>
    <t>F03c-42</t>
  </si>
  <si>
    <t>F03c-35</t>
  </si>
  <si>
    <t>F03-183</t>
  </si>
  <si>
    <t>F03c-25</t>
  </si>
  <si>
    <t>TOTAL</t>
  </si>
  <si>
    <t>F03-100</t>
  </si>
  <si>
    <t>HW1</t>
  </si>
  <si>
    <t>HW2</t>
  </si>
  <si>
    <t>MAXIMUM</t>
  </si>
  <si>
    <t>F03-205</t>
  </si>
  <si>
    <t>Quiz2</t>
  </si>
  <si>
    <t>Quiz3</t>
  </si>
  <si>
    <t>Quiz1</t>
  </si>
  <si>
    <t>Instructor quiz</t>
  </si>
  <si>
    <t>Quiz 4</t>
  </si>
  <si>
    <t>HW3</t>
  </si>
  <si>
    <t>Quiz5</t>
  </si>
  <si>
    <t>Team Scores</t>
  </si>
  <si>
    <t>Team #</t>
  </si>
  <si>
    <t>PR1</t>
  </si>
  <si>
    <t>PR2</t>
  </si>
  <si>
    <t>PR3</t>
  </si>
  <si>
    <t>PR4</t>
  </si>
  <si>
    <t>PR5</t>
  </si>
  <si>
    <t>PR6</t>
  </si>
  <si>
    <t>Total</t>
  </si>
  <si>
    <t>TEAM TOTAL</t>
  </si>
  <si>
    <t>IND TOTAL</t>
  </si>
  <si>
    <t>TEAM#</t>
  </si>
  <si>
    <t>IND Assgn Percentile</t>
  </si>
  <si>
    <t>IOC Working Set #0</t>
  </si>
  <si>
    <t>Penalties</t>
  </si>
  <si>
    <t>RLCA PKG</t>
  </si>
  <si>
    <t>RLCA Drafts on Web</t>
  </si>
  <si>
    <t>mean</t>
  </si>
  <si>
    <t>median</t>
  </si>
  <si>
    <t>PR7</t>
  </si>
  <si>
    <t>PR8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</si>
</sst>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color indexed="8"/>
      <name val="Verdana"/>
    </font>
    <font>
      <b/>
      <sz val="10"/>
      <name val="Arial"/>
      <family val="2"/>
    </font>
    <font>
      <b/>
      <u/>
      <sz val="10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b/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2" fillId="0" borderId="0" xfId="0" applyFont="1"/>
    <xf numFmtId="9" fontId="2" fillId="0" borderId="0" xfId="0" applyNumberFormat="1" applyFont="1"/>
    <xf numFmtId="0" fontId="1" fillId="0" borderId="0" xfId="0" applyFont="1" applyBorder="1"/>
    <xf numFmtId="0" fontId="1" fillId="0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6" fillId="0" borderId="0" xfId="0" applyFont="1"/>
    <xf numFmtId="0" fontId="3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RLCA Package</a:t>
            </a:r>
          </a:p>
        </c:rich>
      </c:tx>
      <c:layout>
        <c:manualLayout>
          <c:xMode val="edge"/>
          <c:yMode val="edge"/>
          <c:x val="0.40570731541669236"/>
          <c:y val="3.34517628354521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55926350512485"/>
          <c:y val="0.17078005237046612"/>
          <c:w val="0.85174810663504419"/>
          <c:h val="0.658471542129426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'TEAM SCORES'!$A$3:$A$11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19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35</c:v>
                </c:pt>
                <c:pt idx="7">
                  <c:v>36</c:v>
                </c:pt>
                <c:pt idx="8">
                  <c:v>37</c:v>
                </c:pt>
              </c:numCache>
            </c:numRef>
          </c:cat>
          <c:val>
            <c:numRef>
              <c:f>'TEAM SCORES'!$K$3:$K$11</c:f>
              <c:numCache>
                <c:formatCode>General</c:formatCode>
                <c:ptCount val="9"/>
                <c:pt idx="0">
                  <c:v>97.5</c:v>
                </c:pt>
                <c:pt idx="1">
                  <c:v>87.25</c:v>
                </c:pt>
                <c:pt idx="2">
                  <c:v>74.75</c:v>
                </c:pt>
                <c:pt idx="3">
                  <c:v>101.625</c:v>
                </c:pt>
                <c:pt idx="4">
                  <c:v>76.400000000000006</c:v>
                </c:pt>
                <c:pt idx="5">
                  <c:v>87.4</c:v>
                </c:pt>
                <c:pt idx="6">
                  <c:v>80.25</c:v>
                </c:pt>
                <c:pt idx="7">
                  <c:v>87.6</c:v>
                </c:pt>
                <c:pt idx="8">
                  <c:v>83.25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F-4F36-B70E-F064C47C1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6226079"/>
        <c:axId val="1"/>
      </c:barChart>
      <c:catAx>
        <c:axId val="796226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Team#</a:t>
                </a:r>
              </a:p>
            </c:rich>
          </c:tx>
          <c:layout>
            <c:manualLayout>
              <c:xMode val="edge"/>
              <c:yMode val="edge"/>
              <c:x val="0.51009984102098749"/>
              <c:y val="0.906718834750412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Scores</a:t>
                </a:r>
              </a:p>
            </c:rich>
          </c:tx>
          <c:layout>
            <c:manualLayout>
              <c:xMode val="edge"/>
              <c:yMode val="edge"/>
              <c:x val="2.6098131401073775E-2"/>
              <c:y val="0.436633535957480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22607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IOC Working Set#0</a:t>
            </a:r>
          </a:p>
        </c:rich>
      </c:tx>
      <c:layout>
        <c:manualLayout>
          <c:xMode val="edge"/>
          <c:yMode val="edge"/>
          <c:x val="0.38205194297125139"/>
          <c:y val="3.33929848622065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38014005002538"/>
          <c:y val="0.15114719463946136"/>
          <c:w val="0.84020985067781173"/>
          <c:h val="0.697737631068211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'TEAM SCORES'!$A$3:$A$11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19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35</c:v>
                </c:pt>
                <c:pt idx="7">
                  <c:v>36</c:v>
                </c:pt>
                <c:pt idx="8">
                  <c:v>37</c:v>
                </c:pt>
              </c:numCache>
            </c:numRef>
          </c:cat>
          <c:val>
            <c:numRef>
              <c:f>'TEAM SCORES'!$L$3:$L$11</c:f>
              <c:numCache>
                <c:formatCode>General</c:formatCode>
                <c:ptCount val="9"/>
                <c:pt idx="0">
                  <c:v>37.75</c:v>
                </c:pt>
                <c:pt idx="1">
                  <c:v>21.25</c:v>
                </c:pt>
                <c:pt idx="2">
                  <c:v>23.375</c:v>
                </c:pt>
                <c:pt idx="3">
                  <c:v>34.5</c:v>
                </c:pt>
                <c:pt idx="4">
                  <c:v>21.1</c:v>
                </c:pt>
                <c:pt idx="5">
                  <c:v>31.6</c:v>
                </c:pt>
                <c:pt idx="6">
                  <c:v>33.5</c:v>
                </c:pt>
                <c:pt idx="7">
                  <c:v>26</c:v>
                </c:pt>
                <c:pt idx="8">
                  <c:v>26.75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B-4AB3-8600-9DC4DCFD1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5373631"/>
        <c:axId val="1"/>
      </c:barChart>
      <c:catAx>
        <c:axId val="705373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Team#</a:t>
                </a:r>
              </a:p>
            </c:rich>
          </c:tx>
          <c:layout>
            <c:manualLayout>
              <c:xMode val="edge"/>
              <c:yMode val="edge"/>
              <c:x val="0.50686572513715822"/>
              <c:y val="0.912155744393958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Scores</a:t>
                </a:r>
              </a:p>
            </c:rich>
          </c:tx>
          <c:layout>
            <c:manualLayout>
              <c:xMode val="edge"/>
              <c:yMode val="edge"/>
              <c:x val="3.3486624483535975E-2"/>
              <c:y val="0.4464114818421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53736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12</xdr:row>
      <xdr:rowOff>19050</xdr:rowOff>
    </xdr:from>
    <xdr:to>
      <xdr:col>9</xdr:col>
      <xdr:colOff>203200</xdr:colOff>
      <xdr:row>34</xdr:row>
      <xdr:rowOff>133350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5A4D3D25-633D-4279-A84B-00D1EC49C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12</xdr:row>
      <xdr:rowOff>38100</xdr:rowOff>
    </xdr:from>
    <xdr:to>
      <xdr:col>16</xdr:col>
      <xdr:colOff>552450</xdr:colOff>
      <xdr:row>35</xdr:row>
      <xdr:rowOff>0</xdr:rowOff>
    </xdr:to>
    <xdr:graphicFrame macro="">
      <xdr:nvGraphicFramePr>
        <xdr:cNvPr id="3075" name="Chart 3">
          <a:extLst>
            <a:ext uri="{FF2B5EF4-FFF2-40B4-BE49-F238E27FC236}">
              <a16:creationId xmlns:a16="http://schemas.microsoft.com/office/drawing/2014/main" id="{73EBFBAF-26B2-458A-A254-DEEBE5A1D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workbookViewId="0">
      <selection activeCell="R31" sqref="R31"/>
    </sheetView>
  </sheetViews>
  <sheetFormatPr defaultRowHeight="12.5" x14ac:dyDescent="0.25"/>
  <cols>
    <col min="1" max="1" width="13.453125" customWidth="1"/>
    <col min="2" max="5" width="5.7265625" customWidth="1"/>
    <col min="6" max="6" width="8" customWidth="1"/>
    <col min="7" max="8" width="7.54296875" customWidth="1"/>
    <col min="9" max="18" width="5.7265625" customWidth="1"/>
    <col min="19" max="19" width="11.26953125" customWidth="1"/>
    <col min="20" max="20" width="10.26953125" customWidth="1"/>
    <col min="21" max="21" width="11.26953125" customWidth="1"/>
    <col min="22" max="22" width="8.1796875" customWidth="1"/>
    <col min="23" max="23" width="8.54296875" customWidth="1"/>
  </cols>
  <sheetData>
    <row r="1" spans="1:23" s="8" customFormat="1" ht="27" customHeight="1" x14ac:dyDescent="0.3">
      <c r="A1" s="8" t="s">
        <v>0</v>
      </c>
      <c r="B1" s="8" t="s">
        <v>43</v>
      </c>
      <c r="C1" s="8" t="s">
        <v>49</v>
      </c>
      <c r="D1" s="8" t="s">
        <v>47</v>
      </c>
      <c r="E1" s="8" t="s">
        <v>48</v>
      </c>
      <c r="F1" s="10" t="s">
        <v>50</v>
      </c>
      <c r="G1" s="8" t="s">
        <v>51</v>
      </c>
      <c r="H1" s="8" t="s">
        <v>53</v>
      </c>
      <c r="I1" s="8" t="s">
        <v>44</v>
      </c>
      <c r="J1" s="8" t="s">
        <v>52</v>
      </c>
      <c r="K1" s="8" t="s">
        <v>56</v>
      </c>
      <c r="L1" s="8" t="s">
        <v>57</v>
      </c>
      <c r="M1" s="8" t="s">
        <v>58</v>
      </c>
      <c r="N1" s="8" t="s">
        <v>59</v>
      </c>
      <c r="O1" s="8" t="s">
        <v>60</v>
      </c>
      <c r="P1" s="8" t="s">
        <v>61</v>
      </c>
      <c r="Q1" s="8" t="s">
        <v>73</v>
      </c>
      <c r="R1" s="8" t="s">
        <v>74</v>
      </c>
      <c r="S1" s="8" t="s">
        <v>64</v>
      </c>
      <c r="T1" s="8" t="s">
        <v>66</v>
      </c>
      <c r="U1" s="8" t="s">
        <v>65</v>
      </c>
      <c r="V1" s="8" t="s">
        <v>63</v>
      </c>
      <c r="W1" s="8" t="s">
        <v>41</v>
      </c>
    </row>
    <row r="2" spans="1:23" ht="13" x14ac:dyDescent="0.3">
      <c r="A2" s="3" t="s">
        <v>45</v>
      </c>
      <c r="B2" s="3">
        <v>30</v>
      </c>
      <c r="C2" s="3">
        <v>10</v>
      </c>
      <c r="D2" s="3">
        <v>8</v>
      </c>
      <c r="E2" s="3">
        <v>8</v>
      </c>
      <c r="F2" s="3">
        <v>2</v>
      </c>
      <c r="G2" s="3">
        <v>5</v>
      </c>
      <c r="H2" s="3">
        <v>10</v>
      </c>
      <c r="I2" s="3">
        <v>30</v>
      </c>
      <c r="J2" s="3">
        <v>30</v>
      </c>
      <c r="K2" s="3"/>
      <c r="L2" s="3"/>
      <c r="M2" s="3"/>
      <c r="N2" s="3"/>
      <c r="O2" s="3"/>
      <c r="P2" s="3"/>
      <c r="Q2" s="3"/>
      <c r="R2" s="3"/>
      <c r="S2" s="3">
        <f>SUM(B2:J2)</f>
        <v>133</v>
      </c>
      <c r="T2" s="4">
        <v>1</v>
      </c>
      <c r="U2" s="3"/>
      <c r="V2" s="3"/>
      <c r="W2" s="3"/>
    </row>
    <row r="3" spans="1:23" s="3" customFormat="1" ht="13.5" x14ac:dyDescent="0.3">
      <c r="A3" s="2" t="s">
        <v>42</v>
      </c>
      <c r="B3">
        <v>22</v>
      </c>
      <c r="C3">
        <v>4</v>
      </c>
      <c r="D3">
        <v>2</v>
      </c>
      <c r="E3">
        <v>5</v>
      </c>
      <c r="F3">
        <v>0</v>
      </c>
      <c r="G3">
        <v>0</v>
      </c>
      <c r="H3">
        <v>3</v>
      </c>
      <c r="I3">
        <v>23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f>SUM(B3:R3)</f>
        <v>89</v>
      </c>
      <c r="T3">
        <f>PRODUCT(PERCENTRANK(S$4:S$43,S3),100)</f>
        <v>6.4</v>
      </c>
      <c r="U3">
        <v>37</v>
      </c>
      <c r="V3">
        <f>[0]!Team37</f>
        <v>248</v>
      </c>
      <c r="W3">
        <f>S3+V3</f>
        <v>337</v>
      </c>
    </row>
    <row r="4" spans="1:23" ht="13.5" x14ac:dyDescent="0.3">
      <c r="A4" s="1" t="s">
        <v>27</v>
      </c>
      <c r="B4">
        <v>26.5</v>
      </c>
      <c r="C4">
        <v>4</v>
      </c>
      <c r="D4">
        <v>2</v>
      </c>
      <c r="E4">
        <v>5</v>
      </c>
      <c r="F4">
        <v>2</v>
      </c>
      <c r="G4">
        <v>0</v>
      </c>
      <c r="H4">
        <v>9</v>
      </c>
      <c r="I4">
        <v>26</v>
      </c>
      <c r="J4">
        <v>30</v>
      </c>
      <c r="K4">
        <v>3</v>
      </c>
      <c r="L4">
        <v>3</v>
      </c>
      <c r="M4">
        <v>3</v>
      </c>
      <c r="N4">
        <v>1</v>
      </c>
      <c r="O4">
        <v>3</v>
      </c>
      <c r="P4">
        <v>3</v>
      </c>
      <c r="Q4">
        <v>3</v>
      </c>
      <c r="R4">
        <v>3</v>
      </c>
      <c r="S4">
        <f t="shared" ref="S4:S44" si="0">SUM(B4:R4)</f>
        <v>126.5</v>
      </c>
      <c r="T4">
        <f t="shared" ref="T4:T44" si="1">PRODUCT(PERCENTRANK(S$4:S$43,S4),100)</f>
        <v>58.9</v>
      </c>
      <c r="U4" s="1">
        <v>23</v>
      </c>
      <c r="V4">
        <f>[0]!Team23</f>
        <v>231</v>
      </c>
      <c r="W4">
        <f t="shared" ref="W4:W44" si="2">S4+V4</f>
        <v>357.5</v>
      </c>
    </row>
    <row r="5" spans="1:23" ht="13.5" x14ac:dyDescent="0.3">
      <c r="A5" s="1" t="s">
        <v>23</v>
      </c>
      <c r="B5">
        <v>29</v>
      </c>
      <c r="C5">
        <v>1</v>
      </c>
      <c r="D5">
        <v>2</v>
      </c>
      <c r="E5">
        <v>4</v>
      </c>
      <c r="F5">
        <v>2</v>
      </c>
      <c r="G5">
        <v>5</v>
      </c>
      <c r="H5">
        <v>5</v>
      </c>
      <c r="I5">
        <v>24</v>
      </c>
      <c r="J5">
        <v>30</v>
      </c>
      <c r="K5">
        <v>3</v>
      </c>
      <c r="L5">
        <v>3</v>
      </c>
      <c r="M5">
        <v>3</v>
      </c>
      <c r="N5">
        <v>3</v>
      </c>
      <c r="O5">
        <v>3</v>
      </c>
      <c r="P5">
        <v>1</v>
      </c>
      <c r="Q5">
        <v>3</v>
      </c>
      <c r="R5">
        <v>3</v>
      </c>
      <c r="S5">
        <f t="shared" si="0"/>
        <v>124</v>
      </c>
      <c r="T5">
        <f t="shared" si="1"/>
        <v>56.399999999999991</v>
      </c>
      <c r="U5" s="1">
        <v>19</v>
      </c>
      <c r="V5">
        <f>[0]!Team19</f>
        <v>221.25</v>
      </c>
      <c r="W5">
        <f t="shared" si="2"/>
        <v>345.25</v>
      </c>
    </row>
    <row r="6" spans="1:23" ht="13.5" x14ac:dyDescent="0.3">
      <c r="A6" s="1" t="s">
        <v>21</v>
      </c>
      <c r="B6">
        <f>30-1</f>
        <v>29</v>
      </c>
      <c r="C6">
        <v>6</v>
      </c>
      <c r="D6">
        <v>2</v>
      </c>
      <c r="E6">
        <v>4</v>
      </c>
      <c r="F6">
        <v>2</v>
      </c>
      <c r="G6">
        <v>5</v>
      </c>
      <c r="H6">
        <v>5</v>
      </c>
      <c r="I6">
        <v>30</v>
      </c>
      <c r="J6">
        <v>30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f t="shared" si="0"/>
        <v>137</v>
      </c>
      <c r="T6">
        <f t="shared" si="1"/>
        <v>82</v>
      </c>
      <c r="U6" s="1">
        <v>8</v>
      </c>
      <c r="V6">
        <f>[0]!TEam8</f>
        <v>303.5</v>
      </c>
      <c r="W6">
        <f t="shared" si="2"/>
        <v>440.5</v>
      </c>
    </row>
    <row r="7" spans="1:23" ht="13.5" x14ac:dyDescent="0.3">
      <c r="A7" s="1" t="s">
        <v>20</v>
      </c>
      <c r="B7">
        <f>30-1</f>
        <v>29</v>
      </c>
      <c r="C7">
        <v>5</v>
      </c>
      <c r="D7">
        <v>0</v>
      </c>
      <c r="E7">
        <v>3</v>
      </c>
      <c r="F7">
        <v>2</v>
      </c>
      <c r="G7">
        <v>5</v>
      </c>
      <c r="H7">
        <v>8</v>
      </c>
      <c r="I7">
        <v>26</v>
      </c>
      <c r="J7">
        <v>30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f t="shared" si="0"/>
        <v>132</v>
      </c>
      <c r="T7">
        <f t="shared" si="1"/>
        <v>74.3</v>
      </c>
      <c r="U7" s="1">
        <v>24</v>
      </c>
      <c r="V7">
        <f>[0]!Team24</f>
        <v>269</v>
      </c>
      <c r="W7">
        <f t="shared" si="2"/>
        <v>401</v>
      </c>
    </row>
    <row r="8" spans="1:23" ht="13.5" x14ac:dyDescent="0.3">
      <c r="A8" s="1" t="s">
        <v>10</v>
      </c>
      <c r="B8">
        <v>30</v>
      </c>
      <c r="C8">
        <v>3</v>
      </c>
      <c r="D8">
        <v>2.5</v>
      </c>
      <c r="E8">
        <v>4</v>
      </c>
      <c r="F8">
        <v>2</v>
      </c>
      <c r="G8">
        <v>5</v>
      </c>
      <c r="H8">
        <v>4</v>
      </c>
      <c r="I8">
        <v>29.5</v>
      </c>
      <c r="J8">
        <v>30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1</v>
      </c>
      <c r="R8">
        <v>3</v>
      </c>
      <c r="S8">
        <f t="shared" si="0"/>
        <v>132</v>
      </c>
      <c r="T8">
        <f t="shared" si="1"/>
        <v>74.3</v>
      </c>
      <c r="U8" s="1">
        <v>35</v>
      </c>
      <c r="V8">
        <f>[0]!Team35</f>
        <v>257.5</v>
      </c>
      <c r="W8">
        <f t="shared" si="2"/>
        <v>389.5</v>
      </c>
    </row>
    <row r="9" spans="1:23" ht="13.5" x14ac:dyDescent="0.3">
      <c r="A9" s="1" t="s">
        <v>26</v>
      </c>
      <c r="B9">
        <v>29</v>
      </c>
      <c r="C9">
        <v>2</v>
      </c>
      <c r="D9">
        <v>2</v>
      </c>
      <c r="E9">
        <v>3.5</v>
      </c>
      <c r="F9">
        <v>2</v>
      </c>
      <c r="G9">
        <v>5</v>
      </c>
      <c r="H9">
        <v>7</v>
      </c>
      <c r="I9">
        <v>24</v>
      </c>
      <c r="J9">
        <v>30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f t="shared" si="0"/>
        <v>128.5</v>
      </c>
      <c r="T9">
        <f t="shared" si="1"/>
        <v>64.099999999999994</v>
      </c>
      <c r="U9" s="1">
        <v>19</v>
      </c>
      <c r="V9">
        <f>[0]!Team19</f>
        <v>221.25</v>
      </c>
      <c r="W9">
        <f t="shared" si="2"/>
        <v>349.75</v>
      </c>
    </row>
    <row r="10" spans="1:23" ht="13.5" x14ac:dyDescent="0.3">
      <c r="A10" s="1" t="s">
        <v>18</v>
      </c>
      <c r="B10">
        <v>26.5</v>
      </c>
      <c r="C10">
        <v>4</v>
      </c>
      <c r="D10">
        <v>0</v>
      </c>
      <c r="E10">
        <v>4</v>
      </c>
      <c r="F10">
        <v>0</v>
      </c>
      <c r="G10">
        <v>0</v>
      </c>
      <c r="H10">
        <v>0</v>
      </c>
      <c r="I10">
        <v>19</v>
      </c>
      <c r="J10">
        <v>30</v>
      </c>
      <c r="K10">
        <v>0</v>
      </c>
      <c r="L10">
        <v>0</v>
      </c>
      <c r="M10">
        <v>3</v>
      </c>
      <c r="N10">
        <v>3</v>
      </c>
      <c r="O10">
        <v>3</v>
      </c>
      <c r="P10">
        <v>3</v>
      </c>
      <c r="Q10">
        <v>3</v>
      </c>
      <c r="R10">
        <v>0</v>
      </c>
      <c r="S10">
        <f t="shared" si="0"/>
        <v>98.5</v>
      </c>
      <c r="T10">
        <f t="shared" si="1"/>
        <v>12.8</v>
      </c>
      <c r="U10" s="1">
        <v>9</v>
      </c>
      <c r="V10">
        <f>[0]!Team9</f>
        <v>244</v>
      </c>
      <c r="W10">
        <f t="shared" si="2"/>
        <v>342.5</v>
      </c>
    </row>
    <row r="11" spans="1:23" ht="13.5" x14ac:dyDescent="0.3">
      <c r="A11" s="1" t="s">
        <v>15</v>
      </c>
      <c r="B11">
        <v>30</v>
      </c>
      <c r="C11">
        <v>3</v>
      </c>
      <c r="D11">
        <v>4.5</v>
      </c>
      <c r="E11">
        <v>4</v>
      </c>
      <c r="F11">
        <v>2</v>
      </c>
      <c r="G11">
        <v>5</v>
      </c>
      <c r="H11">
        <v>10</v>
      </c>
      <c r="I11">
        <v>26</v>
      </c>
      <c r="J11">
        <v>30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f t="shared" si="0"/>
        <v>138.5</v>
      </c>
      <c r="T11">
        <f t="shared" si="1"/>
        <v>89.7</v>
      </c>
      <c r="U11" s="1">
        <v>22</v>
      </c>
      <c r="V11">
        <f>[0]!Team22</f>
        <v>306.25</v>
      </c>
      <c r="W11">
        <f t="shared" si="2"/>
        <v>444.75</v>
      </c>
    </row>
    <row r="12" spans="1:23" ht="13.5" x14ac:dyDescent="0.3">
      <c r="A12" s="1" t="s">
        <v>14</v>
      </c>
      <c r="B12">
        <v>30</v>
      </c>
      <c r="C12">
        <v>2</v>
      </c>
      <c r="D12">
        <v>4</v>
      </c>
      <c r="E12">
        <v>8</v>
      </c>
      <c r="F12">
        <v>2</v>
      </c>
      <c r="G12">
        <v>5</v>
      </c>
      <c r="H12">
        <v>7</v>
      </c>
      <c r="I12">
        <v>30</v>
      </c>
      <c r="J12">
        <v>30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1</v>
      </c>
      <c r="R12">
        <v>3</v>
      </c>
      <c r="S12">
        <f t="shared" si="0"/>
        <v>140</v>
      </c>
      <c r="T12">
        <f t="shared" si="1"/>
        <v>94.8</v>
      </c>
      <c r="U12" s="1">
        <v>35</v>
      </c>
      <c r="V12">
        <f>[0]!Team35</f>
        <v>257.5</v>
      </c>
      <c r="W12">
        <f t="shared" si="2"/>
        <v>397.5</v>
      </c>
    </row>
    <row r="13" spans="1:23" ht="13.5" x14ac:dyDescent="0.3">
      <c r="A13" s="2" t="s">
        <v>39</v>
      </c>
      <c r="B13">
        <v>27</v>
      </c>
      <c r="C13">
        <v>6</v>
      </c>
      <c r="D13">
        <v>2</v>
      </c>
      <c r="E13">
        <v>4</v>
      </c>
      <c r="F13">
        <v>2</v>
      </c>
      <c r="G13">
        <v>5</v>
      </c>
      <c r="H13">
        <v>7.5</v>
      </c>
      <c r="I13">
        <v>25</v>
      </c>
      <c r="J13">
        <v>30</v>
      </c>
      <c r="K13">
        <v>3</v>
      </c>
      <c r="L13">
        <v>3</v>
      </c>
      <c r="M13">
        <v>3</v>
      </c>
      <c r="N13">
        <v>3</v>
      </c>
      <c r="O13">
        <v>3</v>
      </c>
      <c r="P13">
        <v>1</v>
      </c>
      <c r="Q13">
        <v>3</v>
      </c>
      <c r="R13">
        <v>3</v>
      </c>
      <c r="S13">
        <f t="shared" si="0"/>
        <v>130.5</v>
      </c>
      <c r="T13">
        <f t="shared" si="1"/>
        <v>69.199999999999989</v>
      </c>
      <c r="U13" s="6">
        <v>19</v>
      </c>
      <c r="V13">
        <f>[0]!Team19</f>
        <v>221.25</v>
      </c>
      <c r="W13">
        <f t="shared" si="2"/>
        <v>351.75</v>
      </c>
    </row>
    <row r="14" spans="1:23" ht="13.5" x14ac:dyDescent="0.3">
      <c r="A14" s="1" t="s">
        <v>11</v>
      </c>
      <c r="B14">
        <f>30-1</f>
        <v>29</v>
      </c>
      <c r="C14">
        <v>4</v>
      </c>
      <c r="D14">
        <v>0</v>
      </c>
      <c r="E14">
        <v>3</v>
      </c>
      <c r="F14">
        <v>2</v>
      </c>
      <c r="G14">
        <v>5</v>
      </c>
      <c r="H14">
        <v>2</v>
      </c>
      <c r="I14">
        <v>19.5</v>
      </c>
      <c r="J14">
        <v>30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f t="shared" si="0"/>
        <v>118.5</v>
      </c>
      <c r="T14">
        <f t="shared" si="1"/>
        <v>43.5</v>
      </c>
      <c r="U14" s="6">
        <v>19</v>
      </c>
      <c r="V14">
        <f>[0]!Team19</f>
        <v>221.25</v>
      </c>
      <c r="W14">
        <f t="shared" si="2"/>
        <v>339.75</v>
      </c>
    </row>
    <row r="15" spans="1:23" ht="13.5" x14ac:dyDescent="0.3">
      <c r="A15" t="s">
        <v>8</v>
      </c>
      <c r="B15">
        <f>22-1</f>
        <v>21</v>
      </c>
      <c r="C15">
        <v>0</v>
      </c>
      <c r="D15">
        <v>0</v>
      </c>
      <c r="E15">
        <v>0</v>
      </c>
      <c r="F15">
        <v>0</v>
      </c>
      <c r="G15">
        <v>0</v>
      </c>
      <c r="H15">
        <v>4</v>
      </c>
      <c r="I15">
        <v>0</v>
      </c>
      <c r="J15">
        <v>30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f t="shared" si="0"/>
        <v>55</v>
      </c>
      <c r="T15">
        <f t="shared" si="1"/>
        <v>2.5</v>
      </c>
      <c r="U15" s="6">
        <v>9</v>
      </c>
      <c r="V15">
        <f>[0]!Team9</f>
        <v>244</v>
      </c>
      <c r="W15">
        <f t="shared" si="2"/>
        <v>299</v>
      </c>
    </row>
    <row r="16" spans="1:23" ht="13.5" x14ac:dyDescent="0.3">
      <c r="A16" s="2" t="s">
        <v>46</v>
      </c>
      <c r="B16">
        <v>26.5</v>
      </c>
      <c r="C16">
        <v>0</v>
      </c>
      <c r="D16">
        <v>2.5</v>
      </c>
      <c r="E16">
        <v>2</v>
      </c>
      <c r="F16">
        <v>2</v>
      </c>
      <c r="G16">
        <v>0</v>
      </c>
      <c r="H16">
        <v>7</v>
      </c>
      <c r="I16">
        <v>20</v>
      </c>
      <c r="J16">
        <v>30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1</v>
      </c>
      <c r="R16">
        <v>0</v>
      </c>
      <c r="S16">
        <f t="shared" si="0"/>
        <v>109</v>
      </c>
      <c r="T16">
        <f t="shared" si="1"/>
        <v>20.5</v>
      </c>
      <c r="U16">
        <v>23</v>
      </c>
      <c r="V16">
        <f>[0]!Team23</f>
        <v>231</v>
      </c>
      <c r="W16">
        <f t="shared" si="2"/>
        <v>340</v>
      </c>
    </row>
    <row r="17" spans="1:23" ht="13.5" x14ac:dyDescent="0.3">
      <c r="A17" t="s">
        <v>9</v>
      </c>
      <c r="B17">
        <v>21.5</v>
      </c>
      <c r="C17">
        <v>4</v>
      </c>
      <c r="D17">
        <v>1</v>
      </c>
      <c r="E17">
        <v>4</v>
      </c>
      <c r="F17">
        <v>0</v>
      </c>
      <c r="G17">
        <v>5</v>
      </c>
      <c r="H17">
        <v>0</v>
      </c>
      <c r="I17">
        <v>20.5</v>
      </c>
      <c r="J17">
        <v>30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f t="shared" si="0"/>
        <v>86</v>
      </c>
      <c r="T17">
        <f t="shared" si="1"/>
        <v>5.0999999999999996</v>
      </c>
      <c r="U17" s="6">
        <v>36</v>
      </c>
      <c r="V17">
        <f>[0]!Team36</f>
        <v>266.2</v>
      </c>
      <c r="W17">
        <f t="shared" si="2"/>
        <v>352.2</v>
      </c>
    </row>
    <row r="18" spans="1:23" ht="13.5" x14ac:dyDescent="0.3">
      <c r="A18" t="s">
        <v>1</v>
      </c>
      <c r="B18">
        <f>30-1</f>
        <v>29</v>
      </c>
      <c r="C18">
        <v>6</v>
      </c>
      <c r="D18">
        <v>2</v>
      </c>
      <c r="E18">
        <v>4</v>
      </c>
      <c r="F18">
        <v>2</v>
      </c>
      <c r="G18">
        <v>5</v>
      </c>
      <c r="H18">
        <v>9</v>
      </c>
      <c r="I18">
        <v>27</v>
      </c>
      <c r="J18">
        <v>30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f t="shared" si="0"/>
        <v>138</v>
      </c>
      <c r="T18">
        <f t="shared" si="1"/>
        <v>87.1</v>
      </c>
      <c r="U18" s="1">
        <v>8</v>
      </c>
      <c r="V18">
        <f>[0]!TEam8</f>
        <v>303.5</v>
      </c>
      <c r="W18">
        <f t="shared" si="2"/>
        <v>441.5</v>
      </c>
    </row>
    <row r="19" spans="1:23" ht="13.5" x14ac:dyDescent="0.3">
      <c r="A19" s="1" t="s">
        <v>16</v>
      </c>
      <c r="B19">
        <v>30</v>
      </c>
      <c r="C19">
        <v>8</v>
      </c>
      <c r="D19">
        <v>2.5</v>
      </c>
      <c r="E19">
        <v>3</v>
      </c>
      <c r="F19">
        <v>2</v>
      </c>
      <c r="G19">
        <v>5</v>
      </c>
      <c r="H19">
        <v>9</v>
      </c>
      <c r="I19">
        <v>29</v>
      </c>
      <c r="J19">
        <v>30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f t="shared" si="0"/>
        <v>142.5</v>
      </c>
      <c r="T19">
        <f t="shared" si="1"/>
        <v>97.399999999999991</v>
      </c>
      <c r="U19" s="1">
        <v>22</v>
      </c>
      <c r="V19">
        <f>[0]!Team22</f>
        <v>306.25</v>
      </c>
      <c r="W19">
        <f t="shared" si="2"/>
        <v>448.75</v>
      </c>
    </row>
    <row r="20" spans="1:23" ht="13.5" x14ac:dyDescent="0.3">
      <c r="A20" t="s">
        <v>7</v>
      </c>
      <c r="B20">
        <v>29</v>
      </c>
      <c r="C20">
        <v>8</v>
      </c>
      <c r="D20">
        <v>3.5</v>
      </c>
      <c r="E20">
        <v>0</v>
      </c>
      <c r="F20">
        <v>0</v>
      </c>
      <c r="G20">
        <v>5</v>
      </c>
      <c r="H20">
        <v>3.5</v>
      </c>
      <c r="I20">
        <v>28.5</v>
      </c>
      <c r="J20">
        <v>30</v>
      </c>
      <c r="K20">
        <v>3</v>
      </c>
      <c r="L20">
        <v>3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f t="shared" si="0"/>
        <v>131.5</v>
      </c>
      <c r="T20">
        <f t="shared" si="1"/>
        <v>71.7</v>
      </c>
      <c r="U20" s="1">
        <v>9</v>
      </c>
      <c r="V20">
        <f>[0]!Team9</f>
        <v>244</v>
      </c>
      <c r="W20">
        <f t="shared" si="2"/>
        <v>375.5</v>
      </c>
    </row>
    <row r="21" spans="1:23" ht="13.5" x14ac:dyDescent="0.3">
      <c r="A21" s="1" t="s">
        <v>17</v>
      </c>
      <c r="B21">
        <f>30-1</f>
        <v>29</v>
      </c>
      <c r="C21">
        <v>5</v>
      </c>
      <c r="D21">
        <v>2.5</v>
      </c>
      <c r="E21">
        <v>4</v>
      </c>
      <c r="F21">
        <v>0</v>
      </c>
      <c r="G21">
        <v>5</v>
      </c>
      <c r="H21">
        <v>8.5</v>
      </c>
      <c r="I21">
        <v>29</v>
      </c>
      <c r="J21">
        <v>30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f t="shared" si="0"/>
        <v>137</v>
      </c>
      <c r="T21">
        <f t="shared" si="1"/>
        <v>82</v>
      </c>
      <c r="U21" s="1">
        <v>22</v>
      </c>
      <c r="V21">
        <f>[0]!Team22</f>
        <v>306.25</v>
      </c>
      <c r="W21">
        <f t="shared" si="2"/>
        <v>443.25</v>
      </c>
    </row>
    <row r="22" spans="1:23" ht="13.5" x14ac:dyDescent="0.3">
      <c r="A22" s="1" t="s">
        <v>19</v>
      </c>
      <c r="B22">
        <f>30-1</f>
        <v>29</v>
      </c>
      <c r="C22">
        <v>4</v>
      </c>
      <c r="D22">
        <v>2.5</v>
      </c>
      <c r="E22">
        <v>0</v>
      </c>
      <c r="F22">
        <v>2</v>
      </c>
      <c r="G22">
        <v>0</v>
      </c>
      <c r="H22">
        <v>4</v>
      </c>
      <c r="I22">
        <v>26</v>
      </c>
      <c r="J22">
        <v>30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f t="shared" si="0"/>
        <v>121.5</v>
      </c>
      <c r="T22">
        <f>PRODUCT(PERCENTRANK(S$4:S$43,S22),100)</f>
        <v>48.699999999999996</v>
      </c>
      <c r="U22" s="1">
        <v>9</v>
      </c>
      <c r="V22">
        <f>[0]!Team9</f>
        <v>244</v>
      </c>
      <c r="W22">
        <f t="shared" si="2"/>
        <v>365.5</v>
      </c>
    </row>
    <row r="23" spans="1:23" ht="13.5" x14ac:dyDescent="0.3">
      <c r="A23" t="s">
        <v>6</v>
      </c>
      <c r="B23">
        <v>30</v>
      </c>
      <c r="C23">
        <v>6</v>
      </c>
      <c r="D23">
        <v>5</v>
      </c>
      <c r="E23">
        <v>6.5</v>
      </c>
      <c r="F23">
        <v>2</v>
      </c>
      <c r="G23">
        <v>5</v>
      </c>
      <c r="H23">
        <v>10</v>
      </c>
      <c r="I23">
        <v>26</v>
      </c>
      <c r="J23">
        <v>30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f t="shared" si="0"/>
        <v>144.5</v>
      </c>
      <c r="T23">
        <f t="shared" si="1"/>
        <v>100</v>
      </c>
      <c r="U23" s="1">
        <v>23</v>
      </c>
      <c r="V23">
        <f>[0]!Team23</f>
        <v>231</v>
      </c>
      <c r="W23">
        <f t="shared" si="2"/>
        <v>375.5</v>
      </c>
    </row>
    <row r="24" spans="1:23" ht="13.5" x14ac:dyDescent="0.3">
      <c r="A24" s="1" t="s">
        <v>24</v>
      </c>
      <c r="B24">
        <f>27.5-1</f>
        <v>26.5</v>
      </c>
      <c r="C24">
        <v>4</v>
      </c>
      <c r="D24">
        <v>4.5</v>
      </c>
      <c r="E24">
        <v>7</v>
      </c>
      <c r="F24">
        <v>2</v>
      </c>
      <c r="G24">
        <v>5</v>
      </c>
      <c r="H24">
        <v>0</v>
      </c>
      <c r="I24">
        <v>29</v>
      </c>
      <c r="J24">
        <v>30</v>
      </c>
      <c r="K24">
        <v>3</v>
      </c>
      <c r="L24">
        <v>3</v>
      </c>
      <c r="M24">
        <v>3</v>
      </c>
      <c r="N24">
        <v>3</v>
      </c>
      <c r="O24">
        <v>3</v>
      </c>
      <c r="P24">
        <v>1</v>
      </c>
      <c r="Q24">
        <v>3</v>
      </c>
      <c r="R24">
        <v>3</v>
      </c>
      <c r="S24">
        <f t="shared" si="0"/>
        <v>130</v>
      </c>
      <c r="T24">
        <f t="shared" si="1"/>
        <v>66.600000000000009</v>
      </c>
      <c r="U24" s="1">
        <v>23</v>
      </c>
      <c r="V24">
        <f>[0]!Team23</f>
        <v>231</v>
      </c>
      <c r="W24">
        <f t="shared" si="2"/>
        <v>361</v>
      </c>
    </row>
    <row r="25" spans="1:23" ht="13.5" x14ac:dyDescent="0.3">
      <c r="A25" s="1" t="s">
        <v>12</v>
      </c>
      <c r="B25">
        <f>29-1</f>
        <v>28</v>
      </c>
      <c r="C25">
        <v>8</v>
      </c>
      <c r="D25">
        <v>5</v>
      </c>
      <c r="E25">
        <v>4</v>
      </c>
      <c r="F25">
        <v>2</v>
      </c>
      <c r="G25">
        <v>0</v>
      </c>
      <c r="H25">
        <v>8.5</v>
      </c>
      <c r="I25">
        <v>29</v>
      </c>
      <c r="J25">
        <v>30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f t="shared" si="0"/>
        <v>138.5</v>
      </c>
      <c r="T25">
        <f t="shared" si="1"/>
        <v>89.7</v>
      </c>
      <c r="U25" s="1">
        <v>8</v>
      </c>
      <c r="V25">
        <f>[0]!TEam8</f>
        <v>303.5</v>
      </c>
      <c r="W25">
        <f t="shared" si="2"/>
        <v>442</v>
      </c>
    </row>
    <row r="26" spans="1:23" ht="13.5" x14ac:dyDescent="0.3">
      <c r="A26" s="1" t="s">
        <v>22</v>
      </c>
      <c r="B26">
        <v>25.75</v>
      </c>
      <c r="C26">
        <v>6</v>
      </c>
      <c r="D26">
        <v>8</v>
      </c>
      <c r="E26">
        <v>5</v>
      </c>
      <c r="F26">
        <v>0</v>
      </c>
      <c r="G26">
        <v>5</v>
      </c>
      <c r="H26">
        <v>7</v>
      </c>
      <c r="I26">
        <v>28.5</v>
      </c>
      <c r="J26">
        <v>30</v>
      </c>
      <c r="K26">
        <v>3</v>
      </c>
      <c r="L26">
        <v>3</v>
      </c>
      <c r="M26">
        <v>3</v>
      </c>
      <c r="N26">
        <v>3</v>
      </c>
      <c r="O26">
        <v>0</v>
      </c>
      <c r="P26">
        <v>0</v>
      </c>
      <c r="Q26">
        <v>0</v>
      </c>
      <c r="R26">
        <v>0</v>
      </c>
      <c r="S26">
        <f t="shared" si="0"/>
        <v>127.25</v>
      </c>
      <c r="T26">
        <f t="shared" si="1"/>
        <v>61.5</v>
      </c>
      <c r="U26" s="1">
        <v>9</v>
      </c>
      <c r="V26">
        <f>[0]!Team9</f>
        <v>244</v>
      </c>
      <c r="W26">
        <f t="shared" si="2"/>
        <v>371.25</v>
      </c>
    </row>
    <row r="27" spans="1:23" ht="13.5" x14ac:dyDescent="0.3">
      <c r="A27" s="1" t="s">
        <v>25</v>
      </c>
      <c r="B27">
        <v>25.5</v>
      </c>
      <c r="C27">
        <v>8</v>
      </c>
      <c r="D27">
        <v>0</v>
      </c>
      <c r="E27">
        <v>2</v>
      </c>
      <c r="F27">
        <v>0</v>
      </c>
      <c r="G27">
        <v>5</v>
      </c>
      <c r="H27">
        <v>0</v>
      </c>
      <c r="I27">
        <v>29</v>
      </c>
      <c r="J27">
        <v>30</v>
      </c>
      <c r="K27">
        <v>3</v>
      </c>
      <c r="L27">
        <v>3</v>
      </c>
      <c r="M27">
        <v>3</v>
      </c>
      <c r="N27">
        <v>1</v>
      </c>
      <c r="O27">
        <v>3</v>
      </c>
      <c r="P27">
        <v>0</v>
      </c>
      <c r="Q27">
        <v>0</v>
      </c>
      <c r="R27">
        <v>3</v>
      </c>
      <c r="S27">
        <f t="shared" si="0"/>
        <v>115.5</v>
      </c>
      <c r="T27">
        <f t="shared" si="1"/>
        <v>35.799999999999997</v>
      </c>
      <c r="U27" s="1">
        <v>22</v>
      </c>
      <c r="V27">
        <f>[0]!Team22</f>
        <v>306.25</v>
      </c>
      <c r="W27">
        <f t="shared" si="2"/>
        <v>421.75</v>
      </c>
    </row>
    <row r="28" spans="1:23" ht="13.5" x14ac:dyDescent="0.3">
      <c r="A28" s="1" t="s">
        <v>13</v>
      </c>
      <c r="B28">
        <v>30</v>
      </c>
      <c r="C28">
        <v>8</v>
      </c>
      <c r="D28">
        <v>2.5</v>
      </c>
      <c r="E28">
        <v>5</v>
      </c>
      <c r="F28">
        <v>2</v>
      </c>
      <c r="G28">
        <v>5</v>
      </c>
      <c r="H28">
        <v>1</v>
      </c>
      <c r="I28">
        <v>29</v>
      </c>
      <c r="J28">
        <v>30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f t="shared" si="0"/>
        <v>136.5</v>
      </c>
      <c r="T28">
        <f t="shared" si="1"/>
        <v>79.400000000000006</v>
      </c>
      <c r="U28" s="1">
        <v>8</v>
      </c>
      <c r="V28">
        <f>[0]!TEam8</f>
        <v>303.5</v>
      </c>
      <c r="W28">
        <f t="shared" si="2"/>
        <v>440</v>
      </c>
    </row>
    <row r="29" spans="1:23" ht="13.5" x14ac:dyDescent="0.3">
      <c r="A29" t="s">
        <v>5</v>
      </c>
      <c r="B29">
        <f>30-1</f>
        <v>29</v>
      </c>
      <c r="C29">
        <v>4</v>
      </c>
      <c r="D29">
        <v>2</v>
      </c>
      <c r="E29">
        <v>0</v>
      </c>
      <c r="F29">
        <v>0</v>
      </c>
      <c r="G29">
        <v>5</v>
      </c>
      <c r="H29">
        <v>9</v>
      </c>
      <c r="I29">
        <v>23</v>
      </c>
      <c r="J29">
        <v>30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0</v>
      </c>
      <c r="R29">
        <v>0</v>
      </c>
      <c r="S29">
        <f t="shared" si="0"/>
        <v>120</v>
      </c>
      <c r="T29">
        <f t="shared" si="1"/>
        <v>46.1</v>
      </c>
      <c r="U29" s="1">
        <v>35</v>
      </c>
      <c r="V29">
        <f>[0]!Team35</f>
        <v>257.5</v>
      </c>
      <c r="W29">
        <f t="shared" si="2"/>
        <v>377.5</v>
      </c>
    </row>
    <row r="30" spans="1:23" ht="13.5" x14ac:dyDescent="0.3">
      <c r="A30" t="s">
        <v>2</v>
      </c>
      <c r="B30">
        <f>26.5-1</f>
        <v>25.5</v>
      </c>
      <c r="C30">
        <v>2.5</v>
      </c>
      <c r="D30">
        <v>0</v>
      </c>
      <c r="E30">
        <v>3</v>
      </c>
      <c r="F30">
        <v>2</v>
      </c>
      <c r="G30">
        <v>0</v>
      </c>
      <c r="H30">
        <v>6</v>
      </c>
      <c r="I30">
        <v>25.5</v>
      </c>
      <c r="J30">
        <v>30</v>
      </c>
      <c r="K30">
        <v>3</v>
      </c>
      <c r="L30">
        <v>3</v>
      </c>
      <c r="M30">
        <v>3</v>
      </c>
      <c r="N30">
        <v>1</v>
      </c>
      <c r="O30">
        <v>3</v>
      </c>
      <c r="P30">
        <v>1</v>
      </c>
      <c r="Q30">
        <v>3</v>
      </c>
      <c r="R30">
        <v>0</v>
      </c>
      <c r="S30">
        <f t="shared" si="0"/>
        <v>111.5</v>
      </c>
      <c r="T30">
        <f t="shared" si="1"/>
        <v>30.7</v>
      </c>
      <c r="U30" s="1">
        <v>36</v>
      </c>
      <c r="V30">
        <f>[0]!Team36</f>
        <v>266.2</v>
      </c>
      <c r="W30">
        <f t="shared" si="2"/>
        <v>377.7</v>
      </c>
    </row>
    <row r="31" spans="1:23" ht="13.5" x14ac:dyDescent="0.3">
      <c r="A31" s="1" t="s">
        <v>30</v>
      </c>
      <c r="B31">
        <v>28</v>
      </c>
      <c r="C31">
        <v>2</v>
      </c>
      <c r="D31">
        <v>1</v>
      </c>
      <c r="E31">
        <v>7</v>
      </c>
      <c r="F31">
        <v>2</v>
      </c>
      <c r="G31">
        <v>5</v>
      </c>
      <c r="H31">
        <v>4</v>
      </c>
      <c r="I31">
        <v>26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f t="shared" si="0"/>
        <v>105</v>
      </c>
      <c r="T31">
        <f t="shared" si="1"/>
        <v>17.899999999999999</v>
      </c>
      <c r="U31" s="1">
        <v>36</v>
      </c>
      <c r="V31">
        <f>[0]!Team36</f>
        <v>266.2</v>
      </c>
      <c r="W31">
        <f t="shared" si="2"/>
        <v>371.2</v>
      </c>
    </row>
    <row r="32" spans="1:23" ht="13.5" x14ac:dyDescent="0.3">
      <c r="A32" s="1" t="s">
        <v>28</v>
      </c>
      <c r="B32">
        <f>30-1</f>
        <v>29</v>
      </c>
      <c r="C32">
        <v>6</v>
      </c>
      <c r="D32">
        <v>5.5</v>
      </c>
      <c r="E32">
        <v>1</v>
      </c>
      <c r="F32">
        <v>0</v>
      </c>
      <c r="G32">
        <v>0</v>
      </c>
      <c r="H32">
        <v>0</v>
      </c>
      <c r="I32">
        <v>20.5</v>
      </c>
      <c r="J32">
        <v>30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f t="shared" si="0"/>
        <v>116</v>
      </c>
      <c r="T32">
        <f t="shared" si="1"/>
        <v>38.4</v>
      </c>
      <c r="U32" s="1">
        <v>24</v>
      </c>
      <c r="V32">
        <f>[0]!Team24</f>
        <v>269</v>
      </c>
      <c r="W32">
        <f t="shared" si="2"/>
        <v>385</v>
      </c>
    </row>
    <row r="33" spans="1:23" ht="13.5" x14ac:dyDescent="0.3">
      <c r="A33" s="1" t="s">
        <v>29</v>
      </c>
      <c r="B33">
        <f>29-1</f>
        <v>28</v>
      </c>
      <c r="C33">
        <v>6</v>
      </c>
      <c r="D33">
        <v>0</v>
      </c>
      <c r="E33">
        <v>0.5</v>
      </c>
      <c r="F33">
        <v>0</v>
      </c>
      <c r="G33">
        <v>0</v>
      </c>
      <c r="H33">
        <v>3.5</v>
      </c>
      <c r="I33">
        <v>25</v>
      </c>
      <c r="J33">
        <v>30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f t="shared" si="0"/>
        <v>117</v>
      </c>
      <c r="T33">
        <f t="shared" si="1"/>
        <v>41</v>
      </c>
      <c r="U33" s="1">
        <v>24</v>
      </c>
      <c r="V33">
        <f>[0]!Team24</f>
        <v>269</v>
      </c>
      <c r="W33">
        <f t="shared" si="2"/>
        <v>386</v>
      </c>
    </row>
    <row r="34" spans="1:23" ht="13.5" x14ac:dyDescent="0.3">
      <c r="A34" s="1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f t="shared" si="0"/>
        <v>0</v>
      </c>
      <c r="T34">
        <f t="shared" si="1"/>
        <v>0</v>
      </c>
      <c r="U34" s="1">
        <v>22</v>
      </c>
      <c r="V34">
        <f>[0]!Team22</f>
        <v>306.25</v>
      </c>
      <c r="W34">
        <f t="shared" si="2"/>
        <v>306.25</v>
      </c>
    </row>
    <row r="35" spans="1:23" ht="13.5" x14ac:dyDescent="0.3">
      <c r="A35" t="s">
        <v>3</v>
      </c>
      <c r="B35">
        <v>29</v>
      </c>
      <c r="C35">
        <v>6</v>
      </c>
      <c r="D35">
        <v>0.5</v>
      </c>
      <c r="E35">
        <v>0</v>
      </c>
      <c r="F35">
        <v>0</v>
      </c>
      <c r="G35">
        <v>5</v>
      </c>
      <c r="H35">
        <v>10</v>
      </c>
      <c r="I35">
        <v>20.5</v>
      </c>
      <c r="J35">
        <v>30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0</v>
      </c>
      <c r="S35">
        <f t="shared" si="0"/>
        <v>122</v>
      </c>
      <c r="T35">
        <f t="shared" si="1"/>
        <v>53.800000000000004</v>
      </c>
      <c r="U35" s="1">
        <v>35</v>
      </c>
      <c r="V35">
        <f>[0]!Team35</f>
        <v>257.5</v>
      </c>
      <c r="W35">
        <f t="shared" si="2"/>
        <v>379.5</v>
      </c>
    </row>
    <row r="36" spans="1:23" ht="13.5" x14ac:dyDescent="0.3">
      <c r="A36" t="s">
        <v>4</v>
      </c>
      <c r="B36">
        <v>26.5</v>
      </c>
      <c r="C36">
        <v>4</v>
      </c>
      <c r="D36">
        <v>4.5</v>
      </c>
      <c r="E36">
        <v>0</v>
      </c>
      <c r="F36">
        <v>0</v>
      </c>
      <c r="G36">
        <v>5</v>
      </c>
      <c r="H36">
        <v>9</v>
      </c>
      <c r="I36">
        <v>18</v>
      </c>
      <c r="J36">
        <v>30</v>
      </c>
      <c r="K36">
        <v>3</v>
      </c>
      <c r="L36">
        <v>3</v>
      </c>
      <c r="M36">
        <v>3</v>
      </c>
      <c r="N36">
        <v>3</v>
      </c>
      <c r="O36">
        <v>3</v>
      </c>
      <c r="P36">
        <v>0</v>
      </c>
      <c r="Q36">
        <v>1</v>
      </c>
      <c r="R36">
        <v>0</v>
      </c>
      <c r="S36">
        <f t="shared" si="0"/>
        <v>113</v>
      </c>
      <c r="T36">
        <f t="shared" si="1"/>
        <v>33.300000000000004</v>
      </c>
      <c r="U36" s="1">
        <v>35</v>
      </c>
      <c r="V36">
        <f>[0]!Team35</f>
        <v>257.5</v>
      </c>
      <c r="W36">
        <f t="shared" si="2"/>
        <v>370.5</v>
      </c>
    </row>
    <row r="37" spans="1:23" ht="13.5" x14ac:dyDescent="0.3">
      <c r="A37" s="1" t="s">
        <v>33</v>
      </c>
      <c r="B37">
        <f>28.75-1</f>
        <v>27.75</v>
      </c>
      <c r="C37">
        <v>4</v>
      </c>
      <c r="D37">
        <v>2</v>
      </c>
      <c r="E37">
        <v>6</v>
      </c>
      <c r="F37">
        <v>2</v>
      </c>
      <c r="G37">
        <v>5</v>
      </c>
      <c r="H37">
        <v>5</v>
      </c>
      <c r="I37">
        <v>26</v>
      </c>
      <c r="J37">
        <v>30</v>
      </c>
      <c r="K37">
        <v>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f t="shared" si="0"/>
        <v>110.75</v>
      </c>
      <c r="T37">
        <f t="shared" si="1"/>
        <v>28.199999999999996</v>
      </c>
      <c r="U37" s="1">
        <v>37</v>
      </c>
      <c r="V37">
        <f>[0]!Team37</f>
        <v>248</v>
      </c>
      <c r="W37">
        <f t="shared" si="2"/>
        <v>358.75</v>
      </c>
    </row>
    <row r="38" spans="1:23" ht="13.5" x14ac:dyDescent="0.3">
      <c r="A38" s="2" t="s">
        <v>34</v>
      </c>
      <c r="B38">
        <v>29.5</v>
      </c>
      <c r="C38">
        <v>2</v>
      </c>
      <c r="D38">
        <v>0</v>
      </c>
      <c r="E38">
        <v>4</v>
      </c>
      <c r="F38">
        <v>2</v>
      </c>
      <c r="G38">
        <v>0</v>
      </c>
      <c r="H38">
        <v>0</v>
      </c>
      <c r="I38">
        <v>24.5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f t="shared" si="0"/>
        <v>92</v>
      </c>
      <c r="T38">
        <f t="shared" si="1"/>
        <v>7.6</v>
      </c>
      <c r="U38" s="1">
        <v>36</v>
      </c>
      <c r="V38">
        <f>[0]!Team36</f>
        <v>266.2</v>
      </c>
      <c r="W38">
        <f t="shared" si="2"/>
        <v>358.2</v>
      </c>
    </row>
    <row r="39" spans="1:23" ht="13.5" x14ac:dyDescent="0.3">
      <c r="A39" s="1" t="s">
        <v>38</v>
      </c>
      <c r="B39">
        <f>29-1</f>
        <v>28</v>
      </c>
      <c r="C39">
        <v>2</v>
      </c>
      <c r="D39">
        <v>0</v>
      </c>
      <c r="E39">
        <v>3</v>
      </c>
      <c r="F39">
        <v>2</v>
      </c>
      <c r="G39">
        <v>0</v>
      </c>
      <c r="H39">
        <v>0</v>
      </c>
      <c r="I39">
        <v>20.5</v>
      </c>
      <c r="J39">
        <v>30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f t="shared" si="0"/>
        <v>109.5</v>
      </c>
      <c r="T39">
        <f t="shared" si="1"/>
        <v>25.6</v>
      </c>
      <c r="U39" s="1">
        <v>24</v>
      </c>
      <c r="V39">
        <f>[0]!Team24</f>
        <v>269</v>
      </c>
      <c r="W39">
        <f t="shared" si="2"/>
        <v>378.5</v>
      </c>
    </row>
    <row r="40" spans="1:23" ht="13.5" x14ac:dyDescent="0.3">
      <c r="A40" s="1" t="s">
        <v>32</v>
      </c>
      <c r="B40">
        <v>28</v>
      </c>
      <c r="C40">
        <v>6</v>
      </c>
      <c r="D40">
        <v>3</v>
      </c>
      <c r="E40">
        <v>6</v>
      </c>
      <c r="F40">
        <v>2</v>
      </c>
      <c r="G40">
        <v>5</v>
      </c>
      <c r="H40">
        <v>5</v>
      </c>
      <c r="I40">
        <v>21</v>
      </c>
      <c r="J40">
        <v>30</v>
      </c>
      <c r="K40">
        <v>0</v>
      </c>
      <c r="L40">
        <v>0</v>
      </c>
      <c r="M40">
        <v>0</v>
      </c>
      <c r="N40">
        <v>3</v>
      </c>
      <c r="O40">
        <v>0</v>
      </c>
      <c r="P40">
        <v>0</v>
      </c>
      <c r="Q40">
        <v>0</v>
      </c>
      <c r="R40">
        <v>0</v>
      </c>
      <c r="S40">
        <f t="shared" si="0"/>
        <v>109</v>
      </c>
      <c r="T40">
        <f t="shared" si="1"/>
        <v>20.5</v>
      </c>
      <c r="U40" s="1">
        <v>36</v>
      </c>
      <c r="V40">
        <f>[0]!Team36</f>
        <v>266.2</v>
      </c>
      <c r="W40">
        <f t="shared" si="2"/>
        <v>375.2</v>
      </c>
    </row>
    <row r="41" spans="1:23" ht="13.5" x14ac:dyDescent="0.3">
      <c r="A41" s="1" t="s">
        <v>36</v>
      </c>
      <c r="B41">
        <f>29.75-1</f>
        <v>28.75</v>
      </c>
      <c r="C41">
        <v>0</v>
      </c>
      <c r="D41">
        <v>2</v>
      </c>
      <c r="E41">
        <v>6</v>
      </c>
      <c r="F41">
        <v>2</v>
      </c>
      <c r="G41">
        <v>0</v>
      </c>
      <c r="H41">
        <v>0</v>
      </c>
      <c r="I41">
        <v>28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f t="shared" si="0"/>
        <v>96.75</v>
      </c>
      <c r="T41">
        <f t="shared" si="1"/>
        <v>10.199999999999999</v>
      </c>
      <c r="U41" s="1">
        <v>37</v>
      </c>
      <c r="V41">
        <f>[0]!Team37</f>
        <v>248</v>
      </c>
      <c r="W41">
        <f t="shared" si="2"/>
        <v>344.75</v>
      </c>
    </row>
    <row r="42" spans="1:23" ht="13.5" x14ac:dyDescent="0.3">
      <c r="A42" s="6" t="s">
        <v>37</v>
      </c>
      <c r="B42">
        <v>29</v>
      </c>
      <c r="C42">
        <v>7</v>
      </c>
      <c r="D42">
        <v>4.5</v>
      </c>
      <c r="E42">
        <v>3.5</v>
      </c>
      <c r="F42">
        <v>0</v>
      </c>
      <c r="G42">
        <v>0</v>
      </c>
      <c r="H42">
        <v>3</v>
      </c>
      <c r="I42">
        <v>25.5</v>
      </c>
      <c r="J42">
        <v>30</v>
      </c>
      <c r="K42">
        <v>3</v>
      </c>
      <c r="L42">
        <v>3</v>
      </c>
      <c r="M42">
        <v>3</v>
      </c>
      <c r="N42">
        <v>1</v>
      </c>
      <c r="O42">
        <v>3</v>
      </c>
      <c r="P42">
        <v>3</v>
      </c>
      <c r="Q42">
        <v>0</v>
      </c>
      <c r="R42">
        <v>3</v>
      </c>
      <c r="S42">
        <f t="shared" si="0"/>
        <v>121.5</v>
      </c>
      <c r="T42">
        <f t="shared" si="1"/>
        <v>48.699999999999996</v>
      </c>
      <c r="U42" s="1">
        <v>19</v>
      </c>
      <c r="V42">
        <f>[0]!Team19</f>
        <v>221.25</v>
      </c>
      <c r="W42">
        <f t="shared" si="2"/>
        <v>342.75</v>
      </c>
    </row>
    <row r="43" spans="1:23" ht="13.5" x14ac:dyDescent="0.3">
      <c r="A43" s="1" t="s">
        <v>31</v>
      </c>
      <c r="B43">
        <f>27.5-1</f>
        <v>26.5</v>
      </c>
      <c r="C43">
        <v>2</v>
      </c>
      <c r="D43">
        <v>2.5</v>
      </c>
      <c r="E43">
        <v>4</v>
      </c>
      <c r="F43">
        <v>2</v>
      </c>
      <c r="G43">
        <v>5</v>
      </c>
      <c r="H43">
        <v>4</v>
      </c>
      <c r="I43">
        <v>22.5</v>
      </c>
      <c r="J43">
        <v>30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f t="shared" si="0"/>
        <v>98.5</v>
      </c>
      <c r="T43">
        <f t="shared" si="1"/>
        <v>12.8</v>
      </c>
      <c r="U43" s="1">
        <v>37</v>
      </c>
      <c r="V43">
        <f>[0]!Team37</f>
        <v>248</v>
      </c>
      <c r="W43">
        <f t="shared" si="2"/>
        <v>346.5</v>
      </c>
    </row>
    <row r="44" spans="1:23" ht="13.5" x14ac:dyDescent="0.3">
      <c r="A44" s="5" t="s">
        <v>35</v>
      </c>
      <c r="B44">
        <f>29.5-1</f>
        <v>28.5</v>
      </c>
      <c r="C44">
        <v>4</v>
      </c>
      <c r="D44">
        <v>0</v>
      </c>
      <c r="E44">
        <v>0</v>
      </c>
      <c r="F44">
        <v>0</v>
      </c>
      <c r="G44">
        <v>5</v>
      </c>
      <c r="H44">
        <v>0</v>
      </c>
      <c r="I44">
        <v>20</v>
      </c>
      <c r="J44">
        <v>0</v>
      </c>
      <c r="K44">
        <v>3</v>
      </c>
      <c r="L44">
        <v>3</v>
      </c>
      <c r="M44">
        <v>3</v>
      </c>
      <c r="N44">
        <v>3</v>
      </c>
      <c r="O44">
        <v>0</v>
      </c>
      <c r="P44">
        <v>3</v>
      </c>
      <c r="Q44">
        <v>3</v>
      </c>
      <c r="R44">
        <v>3</v>
      </c>
      <c r="S44">
        <f t="shared" si="0"/>
        <v>78.5</v>
      </c>
      <c r="T44">
        <f t="shared" si="1"/>
        <v>4.5</v>
      </c>
      <c r="U44" s="1">
        <v>24</v>
      </c>
      <c r="V44">
        <f>[0]!Team24</f>
        <v>269</v>
      </c>
      <c r="W44">
        <f t="shared" si="2"/>
        <v>347.5</v>
      </c>
    </row>
    <row r="45" spans="1:23" ht="13.5" x14ac:dyDescent="0.3">
      <c r="A45" s="2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9"/>
  <sheetViews>
    <sheetView tabSelected="1" workbookViewId="0">
      <selection activeCell="K43" sqref="K43"/>
    </sheetView>
  </sheetViews>
  <sheetFormatPr defaultRowHeight="12.5" x14ac:dyDescent="0.25"/>
  <sheetData>
    <row r="1" spans="1:17" s="9" customFormat="1" ht="18" x14ac:dyDescent="0.4">
      <c r="A1" s="9" t="s">
        <v>54</v>
      </c>
    </row>
    <row r="2" spans="1:17" s="7" customFormat="1" ht="39" x14ac:dyDescent="0.3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7" t="s">
        <v>60</v>
      </c>
      <c r="G2" s="7" t="s">
        <v>61</v>
      </c>
      <c r="H2" s="7" t="s">
        <v>73</v>
      </c>
      <c r="I2" s="7" t="s">
        <v>74</v>
      </c>
      <c r="J2" s="7" t="s">
        <v>70</v>
      </c>
      <c r="K2" s="7" t="s">
        <v>69</v>
      </c>
      <c r="L2" s="7" t="s">
        <v>67</v>
      </c>
      <c r="O2" s="7" t="s">
        <v>68</v>
      </c>
      <c r="Q2" s="7" t="s">
        <v>62</v>
      </c>
    </row>
    <row r="3" spans="1:17" x14ac:dyDescent="0.25">
      <c r="A3">
        <v>8</v>
      </c>
      <c r="B3">
        <v>3</v>
      </c>
      <c r="C3">
        <v>3</v>
      </c>
      <c r="D3">
        <v>3</v>
      </c>
      <c r="E3">
        <v>3</v>
      </c>
      <c r="F3">
        <v>0</v>
      </c>
      <c r="G3">
        <v>0</v>
      </c>
      <c r="H3">
        <v>3</v>
      </c>
      <c r="I3">
        <v>3</v>
      </c>
      <c r="J3">
        <v>15</v>
      </c>
      <c r="K3">
        <v>97.5</v>
      </c>
      <c r="L3">
        <v>37.75</v>
      </c>
      <c r="M3">
        <f>K3+L3</f>
        <v>135.25</v>
      </c>
      <c r="Q3">
        <f>SUM(B3:P3)</f>
        <v>303.5</v>
      </c>
    </row>
    <row r="4" spans="1:17" x14ac:dyDescent="0.25">
      <c r="A4">
        <v>9</v>
      </c>
      <c r="B4">
        <v>3</v>
      </c>
      <c r="C4">
        <v>3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15</v>
      </c>
      <c r="K4">
        <v>87.25</v>
      </c>
      <c r="L4">
        <v>21.25</v>
      </c>
      <c r="M4">
        <f t="shared" ref="M4:M11" si="0">K4+L4</f>
        <v>108.5</v>
      </c>
      <c r="Q4">
        <f t="shared" ref="Q4:Q11" si="1">SUM(B4:P4)</f>
        <v>244</v>
      </c>
    </row>
    <row r="5" spans="1:17" x14ac:dyDescent="0.25">
      <c r="A5">
        <v>19</v>
      </c>
      <c r="B5">
        <v>3</v>
      </c>
      <c r="C5">
        <v>3</v>
      </c>
      <c r="D5">
        <v>3</v>
      </c>
      <c r="E5">
        <v>3</v>
      </c>
      <c r="F5">
        <v>3</v>
      </c>
      <c r="G5">
        <v>0</v>
      </c>
      <c r="H5">
        <v>0</v>
      </c>
      <c r="I5">
        <v>0</v>
      </c>
      <c r="J5">
        <v>12</v>
      </c>
      <c r="K5">
        <v>74.75</v>
      </c>
      <c r="L5">
        <v>23.375</v>
      </c>
      <c r="M5">
        <f t="shared" si="0"/>
        <v>98.125</v>
      </c>
      <c r="O5">
        <v>-2</v>
      </c>
      <c r="Q5">
        <f t="shared" si="1"/>
        <v>221.25</v>
      </c>
    </row>
    <row r="6" spans="1:17" x14ac:dyDescent="0.25">
      <c r="A6">
        <v>22</v>
      </c>
      <c r="B6">
        <v>3</v>
      </c>
      <c r="C6">
        <v>3</v>
      </c>
      <c r="D6">
        <v>3</v>
      </c>
      <c r="E6">
        <v>3</v>
      </c>
      <c r="F6">
        <v>3</v>
      </c>
      <c r="G6">
        <v>0</v>
      </c>
      <c r="H6">
        <v>3</v>
      </c>
      <c r="I6">
        <v>3</v>
      </c>
      <c r="J6">
        <v>15</v>
      </c>
      <c r="K6">
        <v>101.625</v>
      </c>
      <c r="L6">
        <v>34.5</v>
      </c>
      <c r="M6">
        <f t="shared" si="0"/>
        <v>136.125</v>
      </c>
      <c r="O6">
        <v>-2</v>
      </c>
      <c r="Q6">
        <f t="shared" si="1"/>
        <v>306.25</v>
      </c>
    </row>
    <row r="7" spans="1:17" x14ac:dyDescent="0.25">
      <c r="A7">
        <v>23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0</v>
      </c>
      <c r="J7">
        <v>15</v>
      </c>
      <c r="K7">
        <v>76.400000000000006</v>
      </c>
      <c r="L7">
        <v>21.1</v>
      </c>
      <c r="M7">
        <f t="shared" si="0"/>
        <v>97.5</v>
      </c>
      <c r="Q7">
        <f t="shared" si="1"/>
        <v>231</v>
      </c>
    </row>
    <row r="8" spans="1:17" x14ac:dyDescent="0.25">
      <c r="A8">
        <v>24</v>
      </c>
      <c r="B8">
        <v>3</v>
      </c>
      <c r="C8">
        <v>3</v>
      </c>
      <c r="D8">
        <v>3</v>
      </c>
      <c r="E8">
        <v>3</v>
      </c>
      <c r="F8">
        <v>3</v>
      </c>
      <c r="G8">
        <v>0</v>
      </c>
      <c r="H8">
        <v>3</v>
      </c>
      <c r="I8">
        <v>0</v>
      </c>
      <c r="J8">
        <v>15</v>
      </c>
      <c r="K8">
        <v>87.4</v>
      </c>
      <c r="L8">
        <v>31.6</v>
      </c>
      <c r="M8">
        <f t="shared" si="0"/>
        <v>119</v>
      </c>
      <c r="O8">
        <v>-2</v>
      </c>
      <c r="Q8">
        <f t="shared" si="1"/>
        <v>269</v>
      </c>
    </row>
    <row r="9" spans="1:17" x14ac:dyDescent="0.25">
      <c r="A9">
        <v>35</v>
      </c>
      <c r="B9">
        <v>3</v>
      </c>
      <c r="C9">
        <v>3</v>
      </c>
      <c r="D9">
        <v>3</v>
      </c>
      <c r="E9">
        <v>3</v>
      </c>
      <c r="F9">
        <v>3</v>
      </c>
      <c r="G9">
        <v>0</v>
      </c>
      <c r="H9">
        <v>0</v>
      </c>
      <c r="I9">
        <v>0</v>
      </c>
      <c r="J9">
        <v>15</v>
      </c>
      <c r="K9">
        <v>80.25</v>
      </c>
      <c r="L9">
        <v>33.5</v>
      </c>
      <c r="M9">
        <f t="shared" si="0"/>
        <v>113.75</v>
      </c>
      <c r="Q9">
        <f t="shared" si="1"/>
        <v>257.5</v>
      </c>
    </row>
    <row r="10" spans="1:17" x14ac:dyDescent="0.25">
      <c r="A10">
        <v>36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15</v>
      </c>
      <c r="K10">
        <v>87.6</v>
      </c>
      <c r="L10">
        <v>26</v>
      </c>
      <c r="M10">
        <f t="shared" si="0"/>
        <v>113.6</v>
      </c>
      <c r="Q10">
        <f t="shared" si="1"/>
        <v>266.2</v>
      </c>
    </row>
    <row r="11" spans="1:17" x14ac:dyDescent="0.25">
      <c r="A11">
        <v>37</v>
      </c>
      <c r="B11">
        <v>0</v>
      </c>
      <c r="C11">
        <v>3</v>
      </c>
      <c r="D11">
        <v>3</v>
      </c>
      <c r="E11">
        <v>3</v>
      </c>
      <c r="F11">
        <v>3</v>
      </c>
      <c r="G11">
        <v>3</v>
      </c>
      <c r="H11">
        <v>0</v>
      </c>
      <c r="I11">
        <v>0</v>
      </c>
      <c r="J11">
        <v>15</v>
      </c>
      <c r="K11">
        <v>83.25</v>
      </c>
      <c r="L11">
        <v>26.75</v>
      </c>
      <c r="M11">
        <f t="shared" si="0"/>
        <v>110</v>
      </c>
      <c r="O11">
        <v>-2</v>
      </c>
      <c r="Q11">
        <f t="shared" si="1"/>
        <v>248</v>
      </c>
    </row>
    <row r="38" spans="2:13" x14ac:dyDescent="0.25">
      <c r="B38" t="s">
        <v>71</v>
      </c>
      <c r="C38">
        <f>AVERAGE(K3:K11)</f>
        <v>86.224999999999994</v>
      </c>
      <c r="L38" t="s">
        <v>71</v>
      </c>
      <c r="M38">
        <f>AVERAGE(L3:L11)</f>
        <v>28.424999999999997</v>
      </c>
    </row>
    <row r="39" spans="2:13" x14ac:dyDescent="0.25">
      <c r="B39" t="s">
        <v>72</v>
      </c>
      <c r="C39">
        <f>MEDIAN(K3:K11)</f>
        <v>87.25</v>
      </c>
      <c r="L39" t="s">
        <v>72</v>
      </c>
      <c r="M39">
        <f>MEDIAN(L3:L11)</f>
        <v>26.75</v>
      </c>
    </row>
  </sheetData>
  <phoneticPr fontId="1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Homeworks</vt:lpstr>
      <vt:lpstr>TEAM SCORES</vt:lpstr>
      <vt:lpstr>Team19</vt:lpstr>
      <vt:lpstr>Team22</vt:lpstr>
      <vt:lpstr>Team23</vt:lpstr>
      <vt:lpstr>Team24</vt:lpstr>
      <vt:lpstr>Team35</vt:lpstr>
      <vt:lpstr>Team36</vt:lpstr>
      <vt:lpstr>Team37</vt:lpstr>
      <vt:lpstr>TEam8</vt:lpstr>
      <vt:lpstr>Team9</vt:lpstr>
    </vt:vector>
  </TitlesOfParts>
  <Company>USC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Pagey</dc:creator>
  <cp:lastModifiedBy>Carina Negreanu</cp:lastModifiedBy>
  <cp:lastPrinted>2004-01-30T21:29:06Z</cp:lastPrinted>
  <dcterms:created xsi:type="dcterms:W3CDTF">2004-01-30T04:01:11Z</dcterms:created>
  <dcterms:modified xsi:type="dcterms:W3CDTF">2020-01-27T11:21:33Z</dcterms:modified>
</cp:coreProperties>
</file>