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8466FF7-FEA4-49AE-8C38-505DAD5E3C8D}" xr6:coauthVersionLast="45" xr6:coauthVersionMax="45" xr10:uidLastSave="{00000000-0000-0000-0000-000000000000}"/>
  <bookViews>
    <workbookView xWindow="380" yWindow="380" windowWidth="28800" windowHeight="15460" activeTab="1"/>
  </bookViews>
  <sheets>
    <sheet name="chap5" sheetId="1" r:id="rId1"/>
    <sheet name="chap15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9" i="2" l="1"/>
  <c r="F29" i="2"/>
  <c r="E27" i="2"/>
  <c r="F27" i="2" s="1"/>
  <c r="E25" i="2"/>
  <c r="F25" i="2" s="1"/>
  <c r="E23" i="2"/>
  <c r="F23" i="2" s="1"/>
  <c r="E22" i="2"/>
  <c r="F22" i="2" s="1"/>
  <c r="E21" i="2"/>
  <c r="F21" i="2" s="1"/>
  <c r="E20" i="2"/>
  <c r="F20" i="2" s="1"/>
  <c r="D22" i="2"/>
  <c r="D24" i="2" s="1"/>
  <c r="D26" i="2" s="1"/>
  <c r="D28" i="2" s="1"/>
  <c r="C22" i="2"/>
  <c r="C24" i="2" s="1"/>
  <c r="C72" i="1"/>
  <c r="D46" i="1"/>
  <c r="D34" i="1"/>
  <c r="D30" i="1"/>
  <c r="D35" i="1" s="1"/>
  <c r="D27" i="1"/>
  <c r="D14" i="1"/>
  <c r="D22" i="1" s="1"/>
  <c r="C26" i="2" l="1"/>
  <c r="E24" i="2"/>
  <c r="F24" i="2" s="1"/>
  <c r="C28" i="2" l="1"/>
  <c r="E28" i="2" s="1"/>
  <c r="F28" i="2" s="1"/>
  <c r="E26" i="2"/>
  <c r="F26" i="2" s="1"/>
</calcChain>
</file>

<file path=xl/sharedStrings.xml><?xml version="1.0" encoding="utf-8"?>
<sst xmlns="http://schemas.openxmlformats.org/spreadsheetml/2006/main" count="142" uniqueCount="106">
  <si>
    <t>Homework Solutions</t>
  </si>
  <si>
    <t>Chapter 5 &amp; 15</t>
  </si>
  <si>
    <t>Chap 5, SE4</t>
  </si>
  <si>
    <t>Current Assets</t>
  </si>
  <si>
    <t>Cash</t>
  </si>
  <si>
    <t>Accts Rec</t>
  </si>
  <si>
    <t>Mdse Inventory</t>
  </si>
  <si>
    <t>Total Current Assets</t>
  </si>
  <si>
    <t>Investments</t>
  </si>
  <si>
    <t>Property, plant &amp; equipment</t>
  </si>
  <si>
    <t>Equipment</t>
  </si>
  <si>
    <t xml:space="preserve">  Less A/Depr</t>
  </si>
  <si>
    <t xml:space="preserve">  Total Property, plant &amp; equip</t>
  </si>
  <si>
    <t>Intangible Assets</t>
  </si>
  <si>
    <t>Franchise</t>
  </si>
  <si>
    <t>Total Assets</t>
  </si>
  <si>
    <t>Current Liabilities</t>
  </si>
  <si>
    <t>Accts pay</t>
  </si>
  <si>
    <t>Wages pay</t>
  </si>
  <si>
    <t>Total current liab</t>
  </si>
  <si>
    <t>Long Term Liabilties</t>
  </si>
  <si>
    <t>Notes Pay</t>
  </si>
  <si>
    <t>Total Liabilities</t>
  </si>
  <si>
    <t>Stockholder's Equity</t>
  </si>
  <si>
    <t>ASSETS</t>
  </si>
  <si>
    <t>LIABILITIES</t>
  </si>
  <si>
    <t>STOCKHOLDER'S EQUITY</t>
  </si>
  <si>
    <t>Common Stock</t>
  </si>
  <si>
    <t>Retained Earnings</t>
  </si>
  <si>
    <t>Total Liabilities &amp; Stkhldrs Equity</t>
  </si>
  <si>
    <t>(forced to balance)</t>
  </si>
  <si>
    <t>Chap 5, SE7</t>
  </si>
  <si>
    <t>BALANCE SHEET</t>
  </si>
  <si>
    <t>Net Sales</t>
  </si>
  <si>
    <t>Cost of Goods Sold</t>
  </si>
  <si>
    <t>Gross Margin</t>
  </si>
  <si>
    <t>Operating expenses</t>
  </si>
  <si>
    <t xml:space="preserve">  Selling Exp</t>
  </si>
  <si>
    <t xml:space="preserve">  General Exp</t>
  </si>
  <si>
    <t>Total operating exp</t>
  </si>
  <si>
    <t>Income from operations</t>
  </si>
  <si>
    <t>Other Revenues &amp; expenses</t>
  </si>
  <si>
    <t xml:space="preserve">  Interest income</t>
  </si>
  <si>
    <t xml:space="preserve">  Les Interest exp</t>
  </si>
  <si>
    <t>Excess exp over inc</t>
  </si>
  <si>
    <t>Income before inc tax</t>
  </si>
  <si>
    <t>Income tax</t>
  </si>
  <si>
    <t>Net Income</t>
  </si>
  <si>
    <t>Chap 5, E3</t>
  </si>
  <si>
    <t>d</t>
  </si>
  <si>
    <t>b</t>
  </si>
  <si>
    <t>a</t>
  </si>
  <si>
    <t>e</t>
  </si>
  <si>
    <t>f</t>
  </si>
  <si>
    <t>c</t>
  </si>
  <si>
    <t>h</t>
  </si>
  <si>
    <t>g</t>
  </si>
  <si>
    <t>Chap 5, E10</t>
  </si>
  <si>
    <t>Liquidity measures computed</t>
  </si>
  <si>
    <t>Working Capital</t>
  </si>
  <si>
    <t>Current Ratio</t>
  </si>
  <si>
    <t xml:space="preserve">Current Assets/Current Liabilities = </t>
  </si>
  <si>
    <t xml:space="preserve"> =</t>
  </si>
  <si>
    <t>Profitability measures computed</t>
  </si>
  <si>
    <t>Profit Margin</t>
  </si>
  <si>
    <t xml:space="preserve">Net Income/Net Sales = </t>
  </si>
  <si>
    <t>Asset Turnover</t>
  </si>
  <si>
    <t>Net Sales/Avg Total Assets =</t>
  </si>
  <si>
    <t>(440000 + 360000)/2  =</t>
  </si>
  <si>
    <t>2.1 times</t>
  </si>
  <si>
    <t>Return on Assets</t>
  </si>
  <si>
    <t xml:space="preserve">Net Income/Avg Total Assets = </t>
  </si>
  <si>
    <t>Debt to Equity</t>
  </si>
  <si>
    <t>Total Liabilities/Total Stkhdrs Equ =</t>
  </si>
  <si>
    <t>Return on Equity</t>
  </si>
  <si>
    <t>Net Income/Avg Stkhldrs Equity =</t>
  </si>
  <si>
    <t>(340000 + 280000)/2  =</t>
  </si>
  <si>
    <t>Chap 15, SE3</t>
  </si>
  <si>
    <t>Accounts Rec. (net)</t>
  </si>
  <si>
    <t>Unfavorable trend since A/R is increasing at a greater</t>
  </si>
  <si>
    <t>rate than sales.</t>
  </si>
  <si>
    <t>Chap 15, SE4</t>
  </si>
  <si>
    <t>Cost of goods sold</t>
  </si>
  <si>
    <t>Gross margin</t>
  </si>
  <si>
    <t>Operating exp</t>
  </si>
  <si>
    <t>Operating income</t>
  </si>
  <si>
    <t>Interest exp</t>
  </si>
  <si>
    <t>Income b/f inc tax</t>
  </si>
  <si>
    <t>EPS</t>
  </si>
  <si>
    <t>Amount</t>
  </si>
  <si>
    <t>Percent</t>
  </si>
  <si>
    <t>Increase or Decrease</t>
  </si>
  <si>
    <t>SiteWorks, Inc.</t>
  </si>
  <si>
    <t>Comparative Income Statements</t>
  </si>
  <si>
    <t>For the years ended Dec 31, 2001 and 2000</t>
  </si>
  <si>
    <t>Chap 15, SE5</t>
  </si>
  <si>
    <t>Common-Size Balance Sheets</t>
  </si>
  <si>
    <t>December 31, 2001 and 2000</t>
  </si>
  <si>
    <t>Prop, Plant &amp; Equip</t>
  </si>
  <si>
    <t>LIAB &amp; STKHRS EQUITY</t>
  </si>
  <si>
    <t>Long-term Liabilities</t>
  </si>
  <si>
    <t xml:space="preserve">Chap 15, P6 </t>
  </si>
  <si>
    <t>Receiv</t>
  </si>
  <si>
    <t>Turnover</t>
  </si>
  <si>
    <t>Payable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</si>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</sst>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2" formatCode="0.0%"/>
    <numFmt numFmtId="174" formatCode="_(* #,##0_);_(* \(#,##0\);_(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1" xfId="0" applyBorder="1"/>
    <xf numFmtId="171" fontId="0" fillId="0" borderId="0" xfId="1" applyFont="1"/>
    <xf numFmtId="171" fontId="0" fillId="0" borderId="1" xfId="1" applyFont="1" applyBorder="1"/>
    <xf numFmtId="171" fontId="0" fillId="0" borderId="2" xfId="1" applyFont="1" applyBorder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71" fontId="0" fillId="0" borderId="0" xfId="1" applyFont="1" applyAlignment="1">
      <alignment horizontal="centerContinuous"/>
    </xf>
    <xf numFmtId="15" fontId="0" fillId="0" borderId="0" xfId="0" applyNumberFormat="1" applyAlignment="1">
      <alignment horizontal="centerContinuous"/>
    </xf>
    <xf numFmtId="37" fontId="0" fillId="0" borderId="0" xfId="1" applyNumberFormat="1" applyFont="1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/>
    <xf numFmtId="9" fontId="0" fillId="0" borderId="0" xfId="0" applyNumberFormat="1"/>
    <xf numFmtId="172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174" fontId="0" fillId="0" borderId="0" xfId="1" applyNumberFormat="1" applyFont="1"/>
    <xf numFmtId="174" fontId="0" fillId="0" borderId="1" xfId="1" applyNumberFormat="1" applyFont="1" applyBorder="1"/>
    <xf numFmtId="174" fontId="0" fillId="0" borderId="2" xfId="1" applyNumberFormat="1" applyFont="1" applyBorder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1"/>
  <sheetViews>
    <sheetView workbookViewId="0">
      <selection activeCell="A2" sqref="A2:B4"/>
    </sheetView>
  </sheetViews>
  <sheetFormatPr defaultRowHeight="12.5" x14ac:dyDescent="0.25"/>
  <cols>
    <col min="1" max="1" width="7.453125" customWidth="1"/>
    <col min="2" max="2" width="20.54296875" customWidth="1"/>
    <col min="3" max="4" width="11.26953125" style="5" bestFit="1" customWidth="1"/>
    <col min="6" max="6" width="11.26953125" bestFit="1" customWidth="1"/>
  </cols>
  <sheetData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s="1"/>
      <c r="B4" s="3">
        <v>37893</v>
      </c>
    </row>
    <row r="6" spans="1:4" ht="13" x14ac:dyDescent="0.3">
      <c r="A6" s="2" t="s">
        <v>2</v>
      </c>
    </row>
    <row r="7" spans="1:4" ht="13" x14ac:dyDescent="0.3">
      <c r="A7" s="8" t="s">
        <v>32</v>
      </c>
      <c r="B7" s="9"/>
      <c r="C7" s="10"/>
      <c r="D7" s="10"/>
    </row>
    <row r="8" spans="1:4" x14ac:dyDescent="0.25">
      <c r="A8" s="11">
        <v>37772</v>
      </c>
      <c r="B8" s="9"/>
      <c r="C8" s="10"/>
      <c r="D8" s="10"/>
    </row>
    <row r="9" spans="1:4" x14ac:dyDescent="0.25">
      <c r="B9" t="s">
        <v>24</v>
      </c>
    </row>
    <row r="10" spans="1:4" x14ac:dyDescent="0.25">
      <c r="A10" t="s">
        <v>3</v>
      </c>
    </row>
    <row r="11" spans="1:4" x14ac:dyDescent="0.25">
      <c r="B11" t="s">
        <v>4</v>
      </c>
      <c r="C11" s="5">
        <v>100</v>
      </c>
    </row>
    <row r="12" spans="1:4" x14ac:dyDescent="0.25">
      <c r="B12" t="s">
        <v>5</v>
      </c>
      <c r="C12" s="5">
        <v>550</v>
      </c>
    </row>
    <row r="13" spans="1:4" x14ac:dyDescent="0.25">
      <c r="B13" t="s">
        <v>6</v>
      </c>
      <c r="C13" s="6">
        <v>300</v>
      </c>
    </row>
    <row r="14" spans="1:4" x14ac:dyDescent="0.25">
      <c r="B14" t="s">
        <v>7</v>
      </c>
      <c r="D14" s="5">
        <f>SUM(C11:C13)</f>
        <v>950</v>
      </c>
    </row>
    <row r="15" spans="1:4" x14ac:dyDescent="0.25">
      <c r="A15" t="s">
        <v>8</v>
      </c>
      <c r="D15" s="5">
        <v>250</v>
      </c>
    </row>
    <row r="16" spans="1:4" x14ac:dyDescent="0.25">
      <c r="A16" t="s">
        <v>9</v>
      </c>
    </row>
    <row r="17" spans="1:4" x14ac:dyDescent="0.25">
      <c r="B17" t="s">
        <v>10</v>
      </c>
      <c r="C17" s="5">
        <v>2000</v>
      </c>
    </row>
    <row r="18" spans="1:4" x14ac:dyDescent="0.25">
      <c r="B18" t="s">
        <v>11</v>
      </c>
      <c r="C18" s="6">
        <v>350</v>
      </c>
    </row>
    <row r="19" spans="1:4" x14ac:dyDescent="0.25">
      <c r="A19" t="s">
        <v>12</v>
      </c>
      <c r="D19" s="5">
        <v>1650</v>
      </c>
    </row>
    <row r="20" spans="1:4" x14ac:dyDescent="0.25">
      <c r="A20" t="s">
        <v>13</v>
      </c>
    </row>
    <row r="21" spans="1:4" x14ac:dyDescent="0.25">
      <c r="B21" t="s">
        <v>14</v>
      </c>
      <c r="D21" s="6">
        <v>100</v>
      </c>
    </row>
    <row r="22" spans="1:4" ht="13" thickBot="1" x14ac:dyDescent="0.3">
      <c r="A22" t="s">
        <v>15</v>
      </c>
      <c r="D22" s="7">
        <f>SUM(D14:D21)</f>
        <v>2950</v>
      </c>
    </row>
    <row r="23" spans="1:4" ht="13" thickTop="1" x14ac:dyDescent="0.25">
      <c r="B23" t="s">
        <v>25</v>
      </c>
    </row>
    <row r="24" spans="1:4" x14ac:dyDescent="0.25">
      <c r="A24" t="s">
        <v>16</v>
      </c>
    </row>
    <row r="25" spans="1:4" x14ac:dyDescent="0.25">
      <c r="B25" t="s">
        <v>17</v>
      </c>
      <c r="C25" s="5">
        <v>400</v>
      </c>
    </row>
    <row r="26" spans="1:4" x14ac:dyDescent="0.25">
      <c r="B26" t="s">
        <v>18</v>
      </c>
      <c r="C26" s="6">
        <v>50</v>
      </c>
    </row>
    <row r="27" spans="1:4" x14ac:dyDescent="0.25">
      <c r="B27" t="s">
        <v>19</v>
      </c>
      <c r="D27" s="5">
        <f>SUM(C25:C26)</f>
        <v>450</v>
      </c>
    </row>
    <row r="28" spans="1:4" x14ac:dyDescent="0.25">
      <c r="A28" t="s">
        <v>20</v>
      </c>
    </row>
    <row r="29" spans="1:4" x14ac:dyDescent="0.25">
      <c r="B29" t="s">
        <v>21</v>
      </c>
      <c r="D29" s="6">
        <v>200</v>
      </c>
    </row>
    <row r="30" spans="1:4" x14ac:dyDescent="0.25">
      <c r="A30" t="s">
        <v>22</v>
      </c>
      <c r="D30" s="5">
        <f>SUM(D27:D29)</f>
        <v>650</v>
      </c>
    </row>
    <row r="31" spans="1:4" x14ac:dyDescent="0.25">
      <c r="B31" t="s">
        <v>26</v>
      </c>
    </row>
    <row r="32" spans="1:4" x14ac:dyDescent="0.25">
      <c r="A32" t="s">
        <v>27</v>
      </c>
      <c r="C32" s="5">
        <v>500</v>
      </c>
    </row>
    <row r="33" spans="1:5" x14ac:dyDescent="0.25">
      <c r="A33" t="s">
        <v>28</v>
      </c>
      <c r="C33" s="6">
        <v>1800</v>
      </c>
      <c r="E33" t="s">
        <v>30</v>
      </c>
    </row>
    <row r="34" spans="1:5" x14ac:dyDescent="0.25">
      <c r="D34" s="6">
        <f>SUM(C32:C33)</f>
        <v>2300</v>
      </c>
    </row>
    <row r="35" spans="1:5" ht="13" thickBot="1" x14ac:dyDescent="0.3">
      <c r="A35" t="s">
        <v>29</v>
      </c>
      <c r="D35" s="7">
        <f>SUM(D30:D34)</f>
        <v>2950</v>
      </c>
    </row>
    <row r="36" spans="1:5" ht="13" thickTop="1" x14ac:dyDescent="0.25"/>
    <row r="37" spans="1:5" ht="13" x14ac:dyDescent="0.3">
      <c r="A37" s="2" t="s">
        <v>31</v>
      </c>
    </row>
    <row r="40" spans="1:5" x14ac:dyDescent="0.25">
      <c r="B40" t="s">
        <v>33</v>
      </c>
      <c r="D40" s="5">
        <v>800</v>
      </c>
    </row>
    <row r="41" spans="1:5" x14ac:dyDescent="0.25">
      <c r="B41" t="s">
        <v>34</v>
      </c>
      <c r="D41" s="6">
        <v>280</v>
      </c>
    </row>
    <row r="42" spans="1:5" x14ac:dyDescent="0.25">
      <c r="B42" t="s">
        <v>35</v>
      </c>
      <c r="D42" s="5">
        <v>520</v>
      </c>
    </row>
    <row r="43" spans="1:5" x14ac:dyDescent="0.25">
      <c r="B43" t="s">
        <v>36</v>
      </c>
    </row>
    <row r="44" spans="1:5" x14ac:dyDescent="0.25">
      <c r="B44" t="s">
        <v>37</v>
      </c>
      <c r="C44" s="5">
        <v>185</v>
      </c>
    </row>
    <row r="45" spans="1:5" x14ac:dyDescent="0.25">
      <c r="B45" t="s">
        <v>38</v>
      </c>
      <c r="C45" s="6">
        <v>150</v>
      </c>
    </row>
    <row r="46" spans="1:5" x14ac:dyDescent="0.25">
      <c r="B46" t="s">
        <v>39</v>
      </c>
      <c r="D46" s="6">
        <f>SUM(C44:C45)</f>
        <v>335</v>
      </c>
    </row>
    <row r="47" spans="1:5" x14ac:dyDescent="0.25">
      <c r="B47" t="s">
        <v>40</v>
      </c>
      <c r="D47" s="5">
        <v>185</v>
      </c>
    </row>
    <row r="48" spans="1:5" x14ac:dyDescent="0.25">
      <c r="B48" t="s">
        <v>41</v>
      </c>
    </row>
    <row r="49" spans="1:4" x14ac:dyDescent="0.25">
      <c r="B49" t="s">
        <v>42</v>
      </c>
      <c r="C49" s="5">
        <v>30</v>
      </c>
    </row>
    <row r="50" spans="1:4" x14ac:dyDescent="0.25">
      <c r="B50" t="s">
        <v>43</v>
      </c>
      <c r="C50" s="6">
        <v>70</v>
      </c>
    </row>
    <row r="51" spans="1:4" x14ac:dyDescent="0.25">
      <c r="B51" t="s">
        <v>44</v>
      </c>
      <c r="D51" s="6">
        <v>40</v>
      </c>
    </row>
    <row r="52" spans="1:4" x14ac:dyDescent="0.25">
      <c r="B52" t="s">
        <v>45</v>
      </c>
      <c r="D52" s="5">
        <v>145</v>
      </c>
    </row>
    <row r="53" spans="1:4" x14ac:dyDescent="0.25">
      <c r="B53" t="s">
        <v>46</v>
      </c>
      <c r="D53" s="6">
        <v>35</v>
      </c>
    </row>
    <row r="54" spans="1:4" ht="13" thickBot="1" x14ac:dyDescent="0.3">
      <c r="B54" t="s">
        <v>47</v>
      </c>
      <c r="D54" s="7">
        <v>110</v>
      </c>
    </row>
    <row r="55" spans="1:4" ht="13" thickTop="1" x14ac:dyDescent="0.25"/>
    <row r="56" spans="1:4" ht="13" x14ac:dyDescent="0.3">
      <c r="A56" s="2" t="s">
        <v>48</v>
      </c>
    </row>
    <row r="58" spans="1:4" x14ac:dyDescent="0.25">
      <c r="A58">
        <v>1</v>
      </c>
      <c r="B58" t="s">
        <v>49</v>
      </c>
      <c r="C58" s="12">
        <v>9</v>
      </c>
      <c r="D58" s="5" t="s">
        <v>51</v>
      </c>
    </row>
    <row r="59" spans="1:4" x14ac:dyDescent="0.25">
      <c r="A59">
        <v>2</v>
      </c>
      <c r="B59" t="s">
        <v>50</v>
      </c>
      <c r="C59" s="12">
        <v>10</v>
      </c>
      <c r="D59" s="5" t="s">
        <v>55</v>
      </c>
    </row>
    <row r="60" spans="1:4" x14ac:dyDescent="0.25">
      <c r="A60">
        <v>3</v>
      </c>
      <c r="B60" t="s">
        <v>51</v>
      </c>
      <c r="C60" s="12">
        <v>11</v>
      </c>
      <c r="D60" s="5" t="s">
        <v>51</v>
      </c>
    </row>
    <row r="61" spans="1:4" x14ac:dyDescent="0.25">
      <c r="A61">
        <v>4</v>
      </c>
      <c r="B61" t="s">
        <v>52</v>
      </c>
      <c r="C61" s="12">
        <v>12</v>
      </c>
      <c r="D61" s="5" t="s">
        <v>55</v>
      </c>
    </row>
    <row r="62" spans="1:4" x14ac:dyDescent="0.25">
      <c r="A62">
        <v>5</v>
      </c>
      <c r="B62" t="s">
        <v>53</v>
      </c>
      <c r="C62" s="12">
        <v>13</v>
      </c>
      <c r="D62" s="5" t="s">
        <v>52</v>
      </c>
    </row>
    <row r="63" spans="1:4" x14ac:dyDescent="0.25">
      <c r="A63">
        <v>6</v>
      </c>
      <c r="B63" t="s">
        <v>54</v>
      </c>
      <c r="C63" s="12">
        <v>14</v>
      </c>
      <c r="D63" s="5" t="s">
        <v>51</v>
      </c>
    </row>
    <row r="64" spans="1:4" x14ac:dyDescent="0.25">
      <c r="A64">
        <v>7</v>
      </c>
      <c r="B64" t="s">
        <v>50</v>
      </c>
      <c r="C64" s="12">
        <v>15</v>
      </c>
      <c r="D64" s="5" t="s">
        <v>54</v>
      </c>
    </row>
    <row r="65" spans="1:6" x14ac:dyDescent="0.25">
      <c r="A65">
        <v>8</v>
      </c>
      <c r="B65" t="s">
        <v>51</v>
      </c>
      <c r="C65" s="12">
        <v>16</v>
      </c>
      <c r="D65" s="5" t="s">
        <v>56</v>
      </c>
    </row>
    <row r="67" spans="1:6" ht="13" x14ac:dyDescent="0.3">
      <c r="A67" s="2" t="s">
        <v>57</v>
      </c>
    </row>
    <row r="69" spans="1:6" x14ac:dyDescent="0.25">
      <c r="A69">
        <v>1</v>
      </c>
      <c r="B69" t="s">
        <v>58</v>
      </c>
    </row>
    <row r="70" spans="1:6" x14ac:dyDescent="0.25">
      <c r="A70" s="13" t="s">
        <v>51</v>
      </c>
      <c r="B70" t="s">
        <v>3</v>
      </c>
      <c r="C70" s="5">
        <v>100000</v>
      </c>
    </row>
    <row r="71" spans="1:6" x14ac:dyDescent="0.25">
      <c r="B71" t="s">
        <v>16</v>
      </c>
      <c r="C71" s="6">
        <v>-40000</v>
      </c>
    </row>
    <row r="72" spans="1:6" x14ac:dyDescent="0.25">
      <c r="B72" t="s">
        <v>59</v>
      </c>
      <c r="C72" s="5">
        <f>SUM(C70:C71)</f>
        <v>60000</v>
      </c>
    </row>
    <row r="73" spans="1:6" x14ac:dyDescent="0.25">
      <c r="A73" s="13" t="s">
        <v>50</v>
      </c>
      <c r="B73" t="s">
        <v>60</v>
      </c>
    </row>
    <row r="74" spans="1:6" x14ac:dyDescent="0.25">
      <c r="B74" t="s">
        <v>61</v>
      </c>
      <c r="D74" s="6">
        <v>100000</v>
      </c>
      <c r="E74" t="s">
        <v>62</v>
      </c>
      <c r="F74">
        <v>2.5</v>
      </c>
    </row>
    <row r="75" spans="1:6" x14ac:dyDescent="0.25">
      <c r="D75" s="5">
        <v>40000</v>
      </c>
    </row>
    <row r="77" spans="1:6" x14ac:dyDescent="0.25">
      <c r="A77">
        <v>2</v>
      </c>
      <c r="B77" t="s">
        <v>63</v>
      </c>
    </row>
    <row r="78" spans="1:6" x14ac:dyDescent="0.25">
      <c r="A78" s="13" t="s">
        <v>51</v>
      </c>
      <c r="B78" t="s">
        <v>64</v>
      </c>
    </row>
    <row r="79" spans="1:6" x14ac:dyDescent="0.25">
      <c r="B79" t="s">
        <v>65</v>
      </c>
      <c r="C79" s="6">
        <v>50000</v>
      </c>
      <c r="D79" s="5" t="s">
        <v>62</v>
      </c>
      <c r="E79" s="14">
        <v>6.0999999999999999E-2</v>
      </c>
    </row>
    <row r="80" spans="1:6" x14ac:dyDescent="0.25">
      <c r="C80" s="5">
        <v>820000</v>
      </c>
    </row>
    <row r="81" spans="1:8" x14ac:dyDescent="0.25">
      <c r="A81" s="13" t="s">
        <v>50</v>
      </c>
      <c r="B81" t="s">
        <v>66</v>
      </c>
      <c r="D81" s="6">
        <v>820000</v>
      </c>
      <c r="E81" s="4"/>
      <c r="F81" s="6">
        <v>820000</v>
      </c>
    </row>
    <row r="82" spans="1:8" x14ac:dyDescent="0.25">
      <c r="B82" t="s">
        <v>67</v>
      </c>
      <c r="D82" s="5" t="s">
        <v>68</v>
      </c>
      <c r="F82" s="5">
        <v>400000</v>
      </c>
      <c r="G82" t="s">
        <v>62</v>
      </c>
      <c r="H82" t="s">
        <v>69</v>
      </c>
    </row>
    <row r="84" spans="1:8" x14ac:dyDescent="0.25">
      <c r="A84" s="13" t="s">
        <v>54</v>
      </c>
      <c r="B84" t="s">
        <v>70</v>
      </c>
      <c r="D84" s="6">
        <v>50000</v>
      </c>
    </row>
    <row r="85" spans="1:8" x14ac:dyDescent="0.25">
      <c r="B85" t="s">
        <v>71</v>
      </c>
      <c r="D85" s="5">
        <v>400000</v>
      </c>
      <c r="E85" t="s">
        <v>62</v>
      </c>
      <c r="F85" s="14">
        <v>0.125</v>
      </c>
    </row>
    <row r="87" spans="1:8" x14ac:dyDescent="0.25">
      <c r="A87" s="13" t="s">
        <v>49</v>
      </c>
      <c r="B87" t="s">
        <v>72</v>
      </c>
      <c r="D87" s="6">
        <v>100000</v>
      </c>
    </row>
    <row r="88" spans="1:8" x14ac:dyDescent="0.25">
      <c r="B88" t="s">
        <v>73</v>
      </c>
      <c r="D88" s="5">
        <v>340000</v>
      </c>
      <c r="E88" t="s">
        <v>62</v>
      </c>
      <c r="F88" s="14">
        <v>0.29399999999999998</v>
      </c>
    </row>
    <row r="90" spans="1:8" x14ac:dyDescent="0.25">
      <c r="A90" s="13" t="s">
        <v>52</v>
      </c>
      <c r="B90" s="4" t="s">
        <v>74</v>
      </c>
      <c r="D90" s="6">
        <v>50000</v>
      </c>
      <c r="E90" s="4"/>
      <c r="F90" s="6">
        <v>50000</v>
      </c>
    </row>
    <row r="91" spans="1:8" x14ac:dyDescent="0.25">
      <c r="B91" t="s">
        <v>75</v>
      </c>
      <c r="D91" s="5" t="s">
        <v>76</v>
      </c>
      <c r="F91" s="5">
        <v>310000</v>
      </c>
      <c r="G91" t="s">
        <v>62</v>
      </c>
      <c r="H91" s="14">
        <v>0.161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4"/>
  <sheetViews>
    <sheetView tabSelected="1" topLeftCell="A27" workbookViewId="0">
      <selection activeCell="A55" sqref="A55"/>
    </sheetView>
  </sheetViews>
  <sheetFormatPr defaultRowHeight="12.5" x14ac:dyDescent="0.25"/>
  <cols>
    <col min="1" max="1" width="4.453125" customWidth="1"/>
    <col min="2" max="2" width="18.54296875" customWidth="1"/>
    <col min="3" max="3" width="11.26953125" bestFit="1" customWidth="1"/>
    <col min="4" max="5" width="9.26953125" bestFit="1" customWidth="1"/>
  </cols>
  <sheetData>
    <row r="2" spans="1:6" x14ac:dyDescent="0.25">
      <c r="A2" t="s">
        <v>0</v>
      </c>
    </row>
    <row r="3" spans="1:6" x14ac:dyDescent="0.25">
      <c r="A3" t="s">
        <v>1</v>
      </c>
    </row>
    <row r="4" spans="1:6" x14ac:dyDescent="0.25">
      <c r="A4" s="1"/>
      <c r="B4" s="3">
        <v>37893</v>
      </c>
    </row>
    <row r="6" spans="1:6" ht="13" x14ac:dyDescent="0.3">
      <c r="A6" s="2" t="s">
        <v>77</v>
      </c>
    </row>
    <row r="7" spans="1:6" x14ac:dyDescent="0.25">
      <c r="C7">
        <v>2002</v>
      </c>
      <c r="D7">
        <v>2001</v>
      </c>
      <c r="E7">
        <v>2000</v>
      </c>
    </row>
    <row r="8" spans="1:6" x14ac:dyDescent="0.25">
      <c r="B8" t="s">
        <v>33</v>
      </c>
      <c r="C8" s="16">
        <v>1.411</v>
      </c>
      <c r="D8" s="16">
        <v>1.214</v>
      </c>
      <c r="E8" s="15">
        <v>1</v>
      </c>
    </row>
    <row r="9" spans="1:6" x14ac:dyDescent="0.25">
      <c r="B9" t="s">
        <v>78</v>
      </c>
      <c r="C9" s="16">
        <v>2.048</v>
      </c>
      <c r="D9" s="16">
        <v>1.524</v>
      </c>
      <c r="E9" s="15">
        <v>1</v>
      </c>
    </row>
    <row r="11" spans="1:6" x14ac:dyDescent="0.25">
      <c r="B11" t="s">
        <v>79</v>
      </c>
    </row>
    <row r="12" spans="1:6" x14ac:dyDescent="0.25">
      <c r="B12" t="s">
        <v>80</v>
      </c>
    </row>
    <row r="14" spans="1:6" ht="13" x14ac:dyDescent="0.3">
      <c r="A14" s="2" t="s">
        <v>81</v>
      </c>
    </row>
    <row r="15" spans="1:6" x14ac:dyDescent="0.25">
      <c r="B15" s="9" t="s">
        <v>92</v>
      </c>
      <c r="C15" s="9"/>
      <c r="D15" s="9"/>
      <c r="E15" s="9"/>
      <c r="F15" s="9"/>
    </row>
    <row r="16" spans="1:6" x14ac:dyDescent="0.25">
      <c r="B16" s="9" t="s">
        <v>93</v>
      </c>
      <c r="C16" s="9"/>
      <c r="D16" s="9"/>
      <c r="E16" s="9"/>
      <c r="F16" s="9"/>
    </row>
    <row r="17" spans="1:6" x14ac:dyDescent="0.25">
      <c r="B17" s="9" t="s">
        <v>94</v>
      </c>
      <c r="C17" s="9"/>
      <c r="D17" s="9"/>
      <c r="E17" s="9"/>
      <c r="F17" s="9"/>
    </row>
    <row r="18" spans="1:6" x14ac:dyDescent="0.25">
      <c r="E18" s="17" t="s">
        <v>91</v>
      </c>
      <c r="F18" s="18"/>
    </row>
    <row r="19" spans="1:6" x14ac:dyDescent="0.25">
      <c r="C19" s="19">
        <v>2001</v>
      </c>
      <c r="D19" s="19">
        <v>2000</v>
      </c>
      <c r="E19" s="19" t="s">
        <v>89</v>
      </c>
      <c r="F19" s="19" t="s">
        <v>90</v>
      </c>
    </row>
    <row r="20" spans="1:6" x14ac:dyDescent="0.25">
      <c r="B20" t="s">
        <v>33</v>
      </c>
      <c r="C20" s="20">
        <v>180000</v>
      </c>
      <c r="D20" s="20">
        <v>145000</v>
      </c>
      <c r="E20" s="20">
        <f>+C20-D20</f>
        <v>35000</v>
      </c>
      <c r="F20" s="16">
        <f>+E20/D20</f>
        <v>0.2413793103448276</v>
      </c>
    </row>
    <row r="21" spans="1:6" x14ac:dyDescent="0.25">
      <c r="B21" t="s">
        <v>82</v>
      </c>
      <c r="C21" s="21">
        <v>112000</v>
      </c>
      <c r="D21" s="21">
        <v>88000</v>
      </c>
      <c r="E21" s="21">
        <f t="shared" ref="E21:E28" si="0">+C21-D21</f>
        <v>24000</v>
      </c>
      <c r="F21" s="16">
        <f t="shared" ref="F21:F28" si="1">+E21/D21</f>
        <v>0.27272727272727271</v>
      </c>
    </row>
    <row r="22" spans="1:6" x14ac:dyDescent="0.25">
      <c r="B22" t="s">
        <v>83</v>
      </c>
      <c r="C22" s="20">
        <f>+C20-C21</f>
        <v>68000</v>
      </c>
      <c r="D22" s="20">
        <f>+D20-D21</f>
        <v>57000</v>
      </c>
      <c r="E22" s="20">
        <f t="shared" si="0"/>
        <v>11000</v>
      </c>
      <c r="F22" s="16">
        <f t="shared" si="1"/>
        <v>0.19298245614035087</v>
      </c>
    </row>
    <row r="23" spans="1:6" x14ac:dyDescent="0.25">
      <c r="B23" t="s">
        <v>84</v>
      </c>
      <c r="C23" s="21">
        <v>40000</v>
      </c>
      <c r="D23" s="21">
        <v>30000</v>
      </c>
      <c r="E23" s="21">
        <f t="shared" si="0"/>
        <v>10000</v>
      </c>
      <c r="F23" s="16">
        <f t="shared" si="1"/>
        <v>0.33333333333333331</v>
      </c>
    </row>
    <row r="24" spans="1:6" x14ac:dyDescent="0.25">
      <c r="B24" t="s">
        <v>85</v>
      </c>
      <c r="C24" s="20">
        <f>+C22-C23</f>
        <v>28000</v>
      </c>
      <c r="D24" s="20">
        <f>+D22-D23</f>
        <v>27000</v>
      </c>
      <c r="E24" s="20">
        <f t="shared" si="0"/>
        <v>1000</v>
      </c>
      <c r="F24" s="16">
        <f t="shared" si="1"/>
        <v>3.7037037037037035E-2</v>
      </c>
    </row>
    <row r="25" spans="1:6" x14ac:dyDescent="0.25">
      <c r="B25" t="s">
        <v>86</v>
      </c>
      <c r="C25" s="21">
        <v>7000</v>
      </c>
      <c r="D25" s="21">
        <v>5000</v>
      </c>
      <c r="E25" s="21">
        <f t="shared" si="0"/>
        <v>2000</v>
      </c>
      <c r="F25" s="16">
        <f t="shared" si="1"/>
        <v>0.4</v>
      </c>
    </row>
    <row r="26" spans="1:6" x14ac:dyDescent="0.25">
      <c r="B26" t="s">
        <v>87</v>
      </c>
      <c r="C26" s="20">
        <f>+C24-C25</f>
        <v>21000</v>
      </c>
      <c r="D26" s="20">
        <f>+D24-D25</f>
        <v>22000</v>
      </c>
      <c r="E26" s="20">
        <f t="shared" si="0"/>
        <v>-1000</v>
      </c>
      <c r="F26" s="16">
        <f t="shared" si="1"/>
        <v>-4.5454545454545456E-2</v>
      </c>
    </row>
    <row r="27" spans="1:6" x14ac:dyDescent="0.25">
      <c r="B27" t="s">
        <v>46</v>
      </c>
      <c r="C27" s="21">
        <v>7000</v>
      </c>
      <c r="D27" s="20">
        <v>8000</v>
      </c>
      <c r="E27" s="21">
        <f t="shared" si="0"/>
        <v>-1000</v>
      </c>
      <c r="F27" s="16">
        <f t="shared" si="1"/>
        <v>-0.125</v>
      </c>
    </row>
    <row r="28" spans="1:6" ht="13" thickBot="1" x14ac:dyDescent="0.3">
      <c r="B28" t="s">
        <v>47</v>
      </c>
      <c r="C28" s="22">
        <f>+C26-C27</f>
        <v>14000</v>
      </c>
      <c r="D28" s="22">
        <f>+D26-D27</f>
        <v>14000</v>
      </c>
      <c r="E28" s="22">
        <f t="shared" si="0"/>
        <v>0</v>
      </c>
      <c r="F28" s="16">
        <f t="shared" si="1"/>
        <v>0</v>
      </c>
    </row>
    <row r="29" spans="1:6" ht="13.5" thickTop="1" thickBot="1" x14ac:dyDescent="0.3">
      <c r="B29" t="s">
        <v>88</v>
      </c>
      <c r="C29">
        <v>1.4</v>
      </c>
      <c r="D29">
        <v>1.4</v>
      </c>
      <c r="E29" s="22">
        <f>+C29-D29</f>
        <v>0</v>
      </c>
      <c r="F29" s="16">
        <f>+E29/D29</f>
        <v>0</v>
      </c>
    </row>
    <row r="30" spans="1:6" ht="13" thickTop="1" x14ac:dyDescent="0.25"/>
    <row r="31" spans="1:6" ht="13" x14ac:dyDescent="0.3">
      <c r="A31" s="2" t="s">
        <v>95</v>
      </c>
    </row>
    <row r="32" spans="1:6" x14ac:dyDescent="0.25">
      <c r="B32" s="9" t="s">
        <v>92</v>
      </c>
      <c r="C32" s="9"/>
      <c r="D32" s="9"/>
      <c r="E32" s="9"/>
      <c r="F32" s="9"/>
    </row>
    <row r="33" spans="1:6" x14ac:dyDescent="0.25">
      <c r="B33" s="9" t="s">
        <v>96</v>
      </c>
      <c r="C33" s="9"/>
      <c r="D33" s="9"/>
      <c r="E33" s="9"/>
      <c r="F33" s="9"/>
    </row>
    <row r="34" spans="1:6" x14ac:dyDescent="0.25">
      <c r="B34" s="9" t="s">
        <v>97</v>
      </c>
      <c r="C34" s="9"/>
      <c r="D34" s="9"/>
      <c r="E34" s="9"/>
      <c r="F34" s="9"/>
    </row>
    <row r="36" spans="1:6" x14ac:dyDescent="0.25">
      <c r="B36" s="9" t="s">
        <v>24</v>
      </c>
      <c r="D36">
        <v>2001</v>
      </c>
      <c r="E36">
        <v>2000</v>
      </c>
    </row>
    <row r="37" spans="1:6" x14ac:dyDescent="0.25">
      <c r="B37" s="23" t="s">
        <v>3</v>
      </c>
      <c r="D37" s="16">
        <v>0.156</v>
      </c>
      <c r="E37" s="16">
        <v>0.16700000000000001</v>
      </c>
    </row>
    <row r="38" spans="1:6" x14ac:dyDescent="0.25">
      <c r="B38" s="23" t="s">
        <v>98</v>
      </c>
      <c r="D38" s="16">
        <v>0.84399999999999997</v>
      </c>
      <c r="E38" s="16">
        <v>0.83299999999999996</v>
      </c>
    </row>
    <row r="39" spans="1:6" x14ac:dyDescent="0.25">
      <c r="B39" s="23" t="s">
        <v>15</v>
      </c>
      <c r="D39" s="16">
        <v>1</v>
      </c>
      <c r="E39" s="16">
        <v>1</v>
      </c>
    </row>
    <row r="40" spans="1:6" x14ac:dyDescent="0.25">
      <c r="D40" s="16"/>
      <c r="E40" s="16"/>
    </row>
    <row r="41" spans="1:6" x14ac:dyDescent="0.25">
      <c r="B41" s="23" t="s">
        <v>99</v>
      </c>
      <c r="D41" s="16"/>
      <c r="E41" s="16"/>
    </row>
    <row r="42" spans="1:6" x14ac:dyDescent="0.25">
      <c r="B42" s="23" t="s">
        <v>16</v>
      </c>
      <c r="D42" s="16">
        <v>0.11700000000000001</v>
      </c>
      <c r="E42" s="16">
        <v>0.183</v>
      </c>
    </row>
    <row r="43" spans="1:6" x14ac:dyDescent="0.25">
      <c r="B43" s="23" t="s">
        <v>100</v>
      </c>
      <c r="D43" s="16">
        <v>0.58399999999999996</v>
      </c>
      <c r="E43" s="16">
        <v>0.5</v>
      </c>
    </row>
    <row r="44" spans="1:6" x14ac:dyDescent="0.25">
      <c r="B44" s="23" t="s">
        <v>23</v>
      </c>
      <c r="D44" s="16">
        <v>0.29899999999999999</v>
      </c>
      <c r="E44" s="16">
        <v>0.317</v>
      </c>
    </row>
    <row r="45" spans="1:6" x14ac:dyDescent="0.25">
      <c r="B45" s="23" t="s">
        <v>29</v>
      </c>
      <c r="D45" s="16">
        <v>1</v>
      </c>
      <c r="E45" s="16">
        <v>1</v>
      </c>
    </row>
    <row r="46" spans="1:6" x14ac:dyDescent="0.25">
      <c r="D46" s="16"/>
      <c r="E46" s="16"/>
    </row>
    <row r="47" spans="1:6" x14ac:dyDescent="0.25">
      <c r="D47" s="16"/>
      <c r="E47" s="16"/>
    </row>
    <row r="48" spans="1:6" ht="13" x14ac:dyDescent="0.3">
      <c r="A48" s="2" t="s">
        <v>101</v>
      </c>
    </row>
    <row r="49" spans="1:5" ht="13" x14ac:dyDescent="0.3">
      <c r="A49" s="2"/>
      <c r="C49" t="s">
        <v>102</v>
      </c>
      <c r="D49" t="s">
        <v>104</v>
      </c>
      <c r="E49" t="s">
        <v>105</v>
      </c>
    </row>
    <row r="50" spans="1:5" x14ac:dyDescent="0.25">
      <c r="C50" t="s">
        <v>103</v>
      </c>
      <c r="D50" t="s">
        <v>103</v>
      </c>
      <c r="E50" t="s">
        <v>103</v>
      </c>
    </row>
    <row r="51" spans="1:5" x14ac:dyDescent="0.25">
      <c r="B51">
        <v>2001</v>
      </c>
      <c r="C51">
        <v>7</v>
      </c>
      <c r="D51">
        <v>10.4</v>
      </c>
      <c r="E51">
        <v>4.5999999999999996</v>
      </c>
    </row>
    <row r="52" spans="1:5" x14ac:dyDescent="0.25">
      <c r="B52">
        <v>2002</v>
      </c>
      <c r="C52">
        <v>6.9</v>
      </c>
      <c r="D52">
        <v>10.6</v>
      </c>
      <c r="E52">
        <v>4.5999999999999996</v>
      </c>
    </row>
    <row r="53" spans="1:5" x14ac:dyDescent="0.25">
      <c r="B53">
        <v>2003</v>
      </c>
      <c r="C53">
        <v>6.2</v>
      </c>
      <c r="D53">
        <v>8.9</v>
      </c>
      <c r="E53">
        <v>3.8</v>
      </c>
    </row>
    <row r="54" spans="1:5" x14ac:dyDescent="0.25">
      <c r="B54">
        <v>2004</v>
      </c>
      <c r="C54">
        <v>6.5</v>
      </c>
      <c r="D54">
        <v>8.5</v>
      </c>
      <c r="E54">
        <v>3.6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chap5</vt:lpstr>
      <vt:lpstr>chap15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Eveland</dc:creator>
  <cp:lastModifiedBy>Carina Negreanu</cp:lastModifiedBy>
  <dcterms:created xsi:type="dcterms:W3CDTF">2003-09-23T21:46:01Z</dcterms:created>
  <dcterms:modified xsi:type="dcterms:W3CDTF">2020-01-27T11:42:03Z</dcterms:modified>
</cp:coreProperties>
</file>