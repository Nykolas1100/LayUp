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5713D8-42D4-4EC4-BB6C-33BD2B3478E5}" xr6:coauthVersionLast="45" xr6:coauthVersionMax="45" xr10:uidLastSave="{00000000-0000-0000-0000-000000000000}"/>
  <bookViews>
    <workbookView xWindow="2660" yWindow="2660" windowWidth="28800" windowHeight="15460" tabRatio="738" firstSheet="4" activeTab="9"/>
  </bookViews>
  <sheets>
    <sheet name="SYSTEM WIDE 2001 - Actuals Aug" sheetId="62" r:id="rId1"/>
    <sheet name="SYSTEM WIDE 2001 - " sheetId="54" r:id="rId2"/>
    <sheet name="Hewitt Elementary 0370" sheetId="4" r:id="rId3"/>
    <sheet name="Payne Elementary 0370" sheetId="64" r:id="rId4"/>
    <sheet name="Hewitt Middle 0380" sheetId="9" r:id="rId5"/>
    <sheet name="Hewitt Junior 0390" sheetId="8" r:id="rId6"/>
    <sheet name="Hewitt-Trussville High" sheetId="1" r:id="rId7"/>
    <sheet name="Trussville K-5" sheetId="68" r:id="rId8"/>
    <sheet name="Trussville 6-8" sheetId="69" r:id="rId9"/>
    <sheet name="Trussville 9-12" sheetId="70" r:id="rId10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4" l="1"/>
  <c r="C2" i="4"/>
  <c r="D2" i="4"/>
  <c r="E2" i="4"/>
  <c r="F2" i="4"/>
  <c r="G2" i="4"/>
  <c r="H2" i="4"/>
  <c r="I2" i="4"/>
  <c r="J2" i="4"/>
  <c r="J2" i="68" s="1"/>
  <c r="K2" i="4"/>
  <c r="L2" i="4"/>
  <c r="L15" i="4" s="1"/>
  <c r="M2" i="4"/>
  <c r="M15" i="4" s="1"/>
  <c r="M16" i="4" s="1"/>
  <c r="N2" i="4"/>
  <c r="N15" i="4" s="1"/>
  <c r="B3" i="4"/>
  <c r="B3" i="54" s="1"/>
  <c r="C3" i="4"/>
  <c r="C3" i="54" s="1"/>
  <c r="D3" i="4"/>
  <c r="D3" i="54" s="1"/>
  <c r="E3" i="4"/>
  <c r="E3" i="54" s="1"/>
  <c r="F3" i="4"/>
  <c r="F3" i="68" s="1"/>
  <c r="F8" i="68" s="1"/>
  <c r="F9" i="68" s="1"/>
  <c r="G3" i="4"/>
  <c r="G3" i="68" s="1"/>
  <c r="G8" i="68" s="1"/>
  <c r="G9" i="68" s="1"/>
  <c r="H3" i="4"/>
  <c r="I3" i="4"/>
  <c r="J3" i="4"/>
  <c r="K3" i="4"/>
  <c r="L3" i="4"/>
  <c r="M3" i="4"/>
  <c r="N3" i="4"/>
  <c r="B4" i="4"/>
  <c r="C4" i="4"/>
  <c r="C4" i="54" s="1"/>
  <c r="D4" i="4"/>
  <c r="D4" i="54" s="1"/>
  <c r="E4" i="4"/>
  <c r="E4" i="54" s="1"/>
  <c r="F4" i="4"/>
  <c r="F4" i="54" s="1"/>
  <c r="G4" i="4"/>
  <c r="G4" i="68" s="1"/>
  <c r="H4" i="4"/>
  <c r="H4" i="68" s="1"/>
  <c r="H8" i="68" s="1"/>
  <c r="I4" i="4"/>
  <c r="I4" i="68" s="1"/>
  <c r="I8" i="68" s="1"/>
  <c r="I9" i="68" s="1"/>
  <c r="J4" i="4"/>
  <c r="J4" i="68" s="1"/>
  <c r="K4" i="4"/>
  <c r="K4" i="54" s="1"/>
  <c r="L4" i="4"/>
  <c r="L4" i="54" s="1"/>
  <c r="M4" i="4"/>
  <c r="M4" i="68" s="1"/>
  <c r="N4" i="4"/>
  <c r="B5" i="4"/>
  <c r="C5" i="4"/>
  <c r="D5" i="4"/>
  <c r="E5" i="4"/>
  <c r="E5" i="54" s="1"/>
  <c r="F5" i="4"/>
  <c r="F5" i="54" s="1"/>
  <c r="G5" i="4"/>
  <c r="H5" i="4"/>
  <c r="H5" i="54" s="1"/>
  <c r="I5" i="4"/>
  <c r="I5" i="68" s="1"/>
  <c r="J5" i="4"/>
  <c r="J5" i="68" s="1"/>
  <c r="K5" i="4"/>
  <c r="K5" i="68" s="1"/>
  <c r="L5" i="4"/>
  <c r="L5" i="68" s="1"/>
  <c r="M5" i="4"/>
  <c r="M5" i="68" s="1"/>
  <c r="N5" i="4"/>
  <c r="N5" i="68" s="1"/>
  <c r="O5" i="4"/>
  <c r="O5" i="68" s="1"/>
  <c r="B6" i="4"/>
  <c r="C6" i="4"/>
  <c r="C6" i="54" s="1"/>
  <c r="D6" i="4"/>
  <c r="E6" i="4"/>
  <c r="E6" i="54" s="1"/>
  <c r="F6" i="4"/>
  <c r="G6" i="4"/>
  <c r="H6" i="4"/>
  <c r="I6" i="4"/>
  <c r="J6" i="4"/>
  <c r="K6" i="4"/>
  <c r="L6" i="4"/>
  <c r="M6" i="4"/>
  <c r="N6" i="4"/>
  <c r="N6" i="68" s="1"/>
  <c r="O6" i="4"/>
  <c r="H15" i="4"/>
  <c r="I15" i="4"/>
  <c r="I16" i="4" s="1"/>
  <c r="J15" i="4"/>
  <c r="J16" i="4" s="1"/>
  <c r="O20" i="4"/>
  <c r="O2" i="4" s="1"/>
  <c r="O21" i="4"/>
  <c r="O3" i="4" s="1"/>
  <c r="O22" i="4"/>
  <c r="O4" i="4" s="1"/>
  <c r="O23" i="4"/>
  <c r="O24" i="4"/>
  <c r="P8" i="8"/>
  <c r="Q8" i="8"/>
  <c r="Q15" i="8" s="1"/>
  <c r="Q16" i="8" s="1"/>
  <c r="R8" i="8"/>
  <c r="R15" i="8" s="1"/>
  <c r="R16" i="8" s="1"/>
  <c r="S8" i="8"/>
  <c r="S15" i="8" s="1"/>
  <c r="S16" i="8" s="1"/>
  <c r="T8" i="8"/>
  <c r="T15" i="8" s="1"/>
  <c r="T16" i="8" s="1"/>
  <c r="P9" i="8"/>
  <c r="Q9" i="8"/>
  <c r="Q3" i="69" s="1"/>
  <c r="R9" i="8"/>
  <c r="R3" i="69" s="1"/>
  <c r="S9" i="8"/>
  <c r="S3" i="69" s="1"/>
  <c r="T9" i="8"/>
  <c r="T3" i="69" s="1"/>
  <c r="B10" i="8"/>
  <c r="B15" i="8" s="1"/>
  <c r="C10" i="8"/>
  <c r="C4" i="69" s="1"/>
  <c r="D10" i="8"/>
  <c r="D15" i="8" s="1"/>
  <c r="E10" i="8"/>
  <c r="E15" i="8" s="1"/>
  <c r="E16" i="8" s="1"/>
  <c r="F10" i="8"/>
  <c r="F15" i="8" s="1"/>
  <c r="F16" i="8" s="1"/>
  <c r="G10" i="8"/>
  <c r="G15" i="8" s="1"/>
  <c r="G16" i="8" s="1"/>
  <c r="H10" i="8"/>
  <c r="H15" i="8" s="1"/>
  <c r="H16" i="8" s="1"/>
  <c r="I10" i="8"/>
  <c r="I10" i="54" s="1"/>
  <c r="J10" i="8"/>
  <c r="K10" i="8"/>
  <c r="L10" i="8"/>
  <c r="M10" i="8"/>
  <c r="M10" i="54" s="1"/>
  <c r="N10" i="8"/>
  <c r="O10" i="8"/>
  <c r="P10" i="8"/>
  <c r="P4" i="69" s="1"/>
  <c r="R10" i="8"/>
  <c r="R4" i="69" s="1"/>
  <c r="B11" i="8"/>
  <c r="B2" i="70" s="1"/>
  <c r="C11" i="8"/>
  <c r="C2" i="70" s="1"/>
  <c r="D11" i="8"/>
  <c r="D2" i="70" s="1"/>
  <c r="E11" i="8"/>
  <c r="E2" i="70" s="1"/>
  <c r="F11" i="8"/>
  <c r="G11" i="8"/>
  <c r="H11" i="8"/>
  <c r="H2" i="70" s="1"/>
  <c r="I11" i="8"/>
  <c r="I2" i="70" s="1"/>
  <c r="J11" i="8"/>
  <c r="J11" i="54" s="1"/>
  <c r="K11" i="8"/>
  <c r="L11" i="8"/>
  <c r="M11" i="8"/>
  <c r="N11" i="8"/>
  <c r="N11" i="54" s="1"/>
  <c r="J15" i="8"/>
  <c r="K15" i="8"/>
  <c r="K16" i="8" s="1"/>
  <c r="L15" i="8"/>
  <c r="M15" i="8"/>
  <c r="M16" i="8" s="1"/>
  <c r="N15" i="8"/>
  <c r="B5" i="62" s="1"/>
  <c r="P15" i="8"/>
  <c r="L16" i="8"/>
  <c r="Q21" i="8"/>
  <c r="R21" i="8"/>
  <c r="S21" i="8"/>
  <c r="T21" i="8"/>
  <c r="Q22" i="8"/>
  <c r="Q10" i="8" s="1"/>
  <c r="R22" i="8"/>
  <c r="S22" i="8"/>
  <c r="S10" i="8" s="1"/>
  <c r="T22" i="8"/>
  <c r="T10" i="8" s="1"/>
  <c r="O23" i="8"/>
  <c r="O11" i="8" s="1"/>
  <c r="B7" i="9"/>
  <c r="C7" i="9"/>
  <c r="D7" i="9"/>
  <c r="D15" i="9" s="1"/>
  <c r="D16" i="9" s="1"/>
  <c r="E7" i="9"/>
  <c r="F7" i="9"/>
  <c r="F7" i="54" s="1"/>
  <c r="G7" i="9"/>
  <c r="G7" i="54" s="1"/>
  <c r="H7" i="9"/>
  <c r="H7" i="54" s="1"/>
  <c r="I7" i="9"/>
  <c r="I15" i="9" s="1"/>
  <c r="J7" i="9"/>
  <c r="J7" i="68" s="1"/>
  <c r="K7" i="9"/>
  <c r="K15" i="9" s="1"/>
  <c r="L7" i="9"/>
  <c r="M7" i="9"/>
  <c r="N7" i="9"/>
  <c r="N15" i="9" s="1"/>
  <c r="O7" i="9"/>
  <c r="B8" i="9"/>
  <c r="C8" i="9"/>
  <c r="D8" i="9"/>
  <c r="E8" i="9"/>
  <c r="F8" i="9"/>
  <c r="G8" i="9"/>
  <c r="G8" i="54" s="1"/>
  <c r="H8" i="9"/>
  <c r="H8" i="54" s="1"/>
  <c r="I8" i="9"/>
  <c r="I8" i="54" s="1"/>
  <c r="J8" i="9"/>
  <c r="J8" i="54" s="1"/>
  <c r="K8" i="9"/>
  <c r="K8" i="54" s="1"/>
  <c r="L8" i="9"/>
  <c r="L2" i="69" s="1"/>
  <c r="L5" i="69" s="1"/>
  <c r="L6" i="69" s="1"/>
  <c r="M8" i="9"/>
  <c r="M2" i="69" s="1"/>
  <c r="M5" i="69" s="1"/>
  <c r="M6" i="69" s="1"/>
  <c r="N8" i="9"/>
  <c r="N2" i="69" s="1"/>
  <c r="N5" i="69" s="1"/>
  <c r="N6" i="69" s="1"/>
  <c r="O8" i="9"/>
  <c r="O2" i="69" s="1"/>
  <c r="O5" i="69" s="1"/>
  <c r="O6" i="69" s="1"/>
  <c r="B9" i="9"/>
  <c r="B3" i="69" s="1"/>
  <c r="C9" i="9"/>
  <c r="D9" i="9"/>
  <c r="E9" i="9"/>
  <c r="F9" i="9"/>
  <c r="G9" i="9"/>
  <c r="H9" i="9"/>
  <c r="I9" i="9"/>
  <c r="I9" i="54" s="1"/>
  <c r="J9" i="9"/>
  <c r="J9" i="54" s="1"/>
  <c r="K9" i="9"/>
  <c r="K9" i="54" s="1"/>
  <c r="L9" i="9"/>
  <c r="L9" i="54" s="1"/>
  <c r="M9" i="9"/>
  <c r="M3" i="69" s="1"/>
  <c r="N9" i="9"/>
  <c r="N3" i="69" s="1"/>
  <c r="O9" i="9"/>
  <c r="O3" i="69" s="1"/>
  <c r="B15" i="9"/>
  <c r="C15" i="9"/>
  <c r="C16" i="9" s="1"/>
  <c r="E15" i="9"/>
  <c r="E16" i="9" s="1"/>
  <c r="F15" i="9"/>
  <c r="F16" i="9" s="1"/>
  <c r="G15" i="9"/>
  <c r="G16" i="9" s="1"/>
  <c r="O21" i="9"/>
  <c r="O22" i="9"/>
  <c r="P11" i="1"/>
  <c r="Q11" i="1"/>
  <c r="R11" i="1"/>
  <c r="S11" i="1"/>
  <c r="T11" i="1"/>
  <c r="B12" i="1"/>
  <c r="B15" i="1" s="1"/>
  <c r="C12" i="1"/>
  <c r="C3" i="70" s="1"/>
  <c r="D12" i="1"/>
  <c r="D3" i="70" s="1"/>
  <c r="E12" i="1"/>
  <c r="E3" i="70" s="1"/>
  <c r="F12" i="1"/>
  <c r="F3" i="70" s="1"/>
  <c r="G12" i="1"/>
  <c r="G15" i="1" s="1"/>
  <c r="G16" i="1" s="1"/>
  <c r="H12" i="1"/>
  <c r="H3" i="70" s="1"/>
  <c r="I12" i="1"/>
  <c r="I15" i="1" s="1"/>
  <c r="J12" i="1"/>
  <c r="K12" i="1"/>
  <c r="K12" i="54" s="1"/>
  <c r="L12" i="1"/>
  <c r="L12" i="54" s="1"/>
  <c r="M12" i="1"/>
  <c r="M12" i="54" s="1"/>
  <c r="N12" i="1"/>
  <c r="N12" i="54" s="1"/>
  <c r="O12" i="1"/>
  <c r="P12" i="1"/>
  <c r="R12" i="1"/>
  <c r="R15" i="1" s="1"/>
  <c r="T12" i="1"/>
  <c r="B13" i="1"/>
  <c r="B4" i="70" s="1"/>
  <c r="C13" i="1"/>
  <c r="D13" i="1"/>
  <c r="D4" i="70" s="1"/>
  <c r="E13" i="1"/>
  <c r="E4" i="70" s="1"/>
  <c r="F13" i="1"/>
  <c r="F4" i="70" s="1"/>
  <c r="G13" i="1"/>
  <c r="G4" i="70" s="1"/>
  <c r="H13" i="1"/>
  <c r="H4" i="70" s="1"/>
  <c r="I13" i="1"/>
  <c r="I4" i="70" s="1"/>
  <c r="J13" i="1"/>
  <c r="J15" i="1" s="1"/>
  <c r="K13" i="1"/>
  <c r="L13" i="1"/>
  <c r="L13" i="54" s="1"/>
  <c r="M13" i="1"/>
  <c r="M13" i="54" s="1"/>
  <c r="N13" i="1"/>
  <c r="N13" i="54" s="1"/>
  <c r="O13" i="1"/>
  <c r="O13" i="54" s="1"/>
  <c r="B14" i="1"/>
  <c r="C14" i="1"/>
  <c r="C5" i="70" s="1"/>
  <c r="D14" i="1"/>
  <c r="E14" i="1"/>
  <c r="E5" i="70" s="1"/>
  <c r="F14" i="1"/>
  <c r="F5" i="70" s="1"/>
  <c r="G14" i="1"/>
  <c r="G5" i="70" s="1"/>
  <c r="H14" i="1"/>
  <c r="H5" i="70" s="1"/>
  <c r="I14" i="1"/>
  <c r="I5" i="70" s="1"/>
  <c r="J14" i="1"/>
  <c r="J5" i="70" s="1"/>
  <c r="K14" i="1"/>
  <c r="L14" i="1"/>
  <c r="M14" i="1"/>
  <c r="M14" i="54" s="1"/>
  <c r="N14" i="1"/>
  <c r="N14" i="54" s="1"/>
  <c r="O14" i="1"/>
  <c r="O14" i="54" s="1"/>
  <c r="P14" i="1"/>
  <c r="P14" i="54" s="1"/>
  <c r="F15" i="1"/>
  <c r="K15" i="1"/>
  <c r="K16" i="1" s="1"/>
  <c r="O15" i="1"/>
  <c r="Q21" i="1"/>
  <c r="Q12" i="1" s="1"/>
  <c r="R21" i="1"/>
  <c r="S21" i="1"/>
  <c r="S12" i="1" s="1"/>
  <c r="T21" i="1"/>
  <c r="O22" i="1"/>
  <c r="P22" i="1"/>
  <c r="P13" i="1" s="1"/>
  <c r="Q22" i="1"/>
  <c r="Q13" i="1" s="1"/>
  <c r="R22" i="1"/>
  <c r="R13" i="1" s="1"/>
  <c r="S22" i="1"/>
  <c r="S13" i="1" s="1"/>
  <c r="T22" i="1"/>
  <c r="T13" i="1" s="1"/>
  <c r="O23" i="1"/>
  <c r="P23" i="1"/>
  <c r="Q23" i="1"/>
  <c r="Q14" i="1" s="1"/>
  <c r="R23" i="1"/>
  <c r="R14" i="1" s="1"/>
  <c r="S23" i="1"/>
  <c r="S14" i="1" s="1"/>
  <c r="T23" i="1"/>
  <c r="T14" i="1" s="1"/>
  <c r="P2" i="64"/>
  <c r="P2" i="68" s="1"/>
  <c r="P3" i="64"/>
  <c r="Q3" i="64"/>
  <c r="P4" i="64"/>
  <c r="Q4" i="64"/>
  <c r="R4" i="64"/>
  <c r="P5" i="64"/>
  <c r="P5" i="68" s="1"/>
  <c r="Q5" i="64"/>
  <c r="Q5" i="68" s="1"/>
  <c r="R5" i="64"/>
  <c r="R5" i="68" s="1"/>
  <c r="S5" i="64"/>
  <c r="P6" i="64"/>
  <c r="P6" i="68" s="1"/>
  <c r="R6" i="64"/>
  <c r="R6" i="68" s="1"/>
  <c r="P7" i="64"/>
  <c r="Q20" i="64"/>
  <c r="R21" i="64" s="1"/>
  <c r="Q21" i="64"/>
  <c r="Q22" i="64"/>
  <c r="R22" i="64"/>
  <c r="Q23" i="64"/>
  <c r="R23" i="64"/>
  <c r="S23" i="64"/>
  <c r="Q24" i="64"/>
  <c r="Q6" i="64" s="1"/>
  <c r="R24" i="64"/>
  <c r="S24" i="64"/>
  <c r="S6" i="64" s="1"/>
  <c r="T24" i="64"/>
  <c r="T6" i="64" s="1"/>
  <c r="Q25" i="64"/>
  <c r="Q7" i="64" s="1"/>
  <c r="S25" i="64"/>
  <c r="S7" i="64" s="1"/>
  <c r="B2" i="54"/>
  <c r="C2" i="54"/>
  <c r="D2" i="54"/>
  <c r="E2" i="54"/>
  <c r="F2" i="54"/>
  <c r="G2" i="54"/>
  <c r="H2" i="54"/>
  <c r="I2" i="54"/>
  <c r="J2" i="54"/>
  <c r="K2" i="54"/>
  <c r="L2" i="54"/>
  <c r="M2" i="54"/>
  <c r="N2" i="54"/>
  <c r="H3" i="54"/>
  <c r="I3" i="54"/>
  <c r="J3" i="54"/>
  <c r="K3" i="54"/>
  <c r="L3" i="54"/>
  <c r="M3" i="54"/>
  <c r="N3" i="54"/>
  <c r="P3" i="54"/>
  <c r="Q3" i="54"/>
  <c r="B4" i="54"/>
  <c r="N4" i="54"/>
  <c r="P4" i="54"/>
  <c r="Q4" i="54"/>
  <c r="R4" i="54"/>
  <c r="B5" i="54"/>
  <c r="C5" i="54"/>
  <c r="D5" i="54"/>
  <c r="G5" i="54"/>
  <c r="L5" i="54"/>
  <c r="N5" i="54"/>
  <c r="O5" i="54"/>
  <c r="P5" i="54"/>
  <c r="Q5" i="54"/>
  <c r="R5" i="54"/>
  <c r="S5" i="54"/>
  <c r="B6" i="54"/>
  <c r="D6" i="54"/>
  <c r="F6" i="54"/>
  <c r="G6" i="54"/>
  <c r="H6" i="54"/>
  <c r="I6" i="54"/>
  <c r="J6" i="54"/>
  <c r="K6" i="54"/>
  <c r="L6" i="54"/>
  <c r="M6" i="54"/>
  <c r="N6" i="54"/>
  <c r="O6" i="54"/>
  <c r="R6" i="54"/>
  <c r="B7" i="54"/>
  <c r="C7" i="54"/>
  <c r="E7" i="54"/>
  <c r="K7" i="54"/>
  <c r="L7" i="54"/>
  <c r="M7" i="54"/>
  <c r="N7" i="54"/>
  <c r="O7" i="54"/>
  <c r="P7" i="54"/>
  <c r="B8" i="54"/>
  <c r="C8" i="54"/>
  <c r="D8" i="54"/>
  <c r="E8" i="54"/>
  <c r="F8" i="54"/>
  <c r="P8" i="54"/>
  <c r="Q8" i="54"/>
  <c r="R8" i="54"/>
  <c r="S8" i="54"/>
  <c r="T8" i="54"/>
  <c r="C9" i="54"/>
  <c r="D9" i="54"/>
  <c r="E9" i="54"/>
  <c r="F9" i="54"/>
  <c r="G9" i="54"/>
  <c r="H9" i="54"/>
  <c r="P9" i="54"/>
  <c r="Q9" i="54"/>
  <c r="R9" i="54"/>
  <c r="S9" i="54"/>
  <c r="T9" i="54"/>
  <c r="B10" i="54"/>
  <c r="D10" i="54"/>
  <c r="E10" i="54"/>
  <c r="F10" i="54"/>
  <c r="G10" i="54"/>
  <c r="H10" i="54"/>
  <c r="J10" i="54"/>
  <c r="K10" i="54"/>
  <c r="L10" i="54"/>
  <c r="N10" i="54"/>
  <c r="O10" i="54"/>
  <c r="P10" i="54"/>
  <c r="R10" i="54"/>
  <c r="B11" i="54"/>
  <c r="C11" i="54"/>
  <c r="E11" i="54"/>
  <c r="F11" i="54"/>
  <c r="G11" i="54"/>
  <c r="H11" i="54"/>
  <c r="I11" i="54"/>
  <c r="K11" i="54"/>
  <c r="L11" i="54"/>
  <c r="M11" i="54"/>
  <c r="P11" i="54"/>
  <c r="Q11" i="54"/>
  <c r="R11" i="54"/>
  <c r="S11" i="54"/>
  <c r="T11" i="54"/>
  <c r="B12" i="54"/>
  <c r="C12" i="54"/>
  <c r="D12" i="54"/>
  <c r="E12" i="54"/>
  <c r="F12" i="54"/>
  <c r="G12" i="54"/>
  <c r="H12" i="54"/>
  <c r="I12" i="54"/>
  <c r="J12" i="54"/>
  <c r="O12" i="54"/>
  <c r="P12" i="54"/>
  <c r="R12" i="54"/>
  <c r="T12" i="54"/>
  <c r="B13" i="54"/>
  <c r="C13" i="54"/>
  <c r="D13" i="54"/>
  <c r="E13" i="54"/>
  <c r="F13" i="54"/>
  <c r="G13" i="54"/>
  <c r="H13" i="54"/>
  <c r="I13" i="54"/>
  <c r="J13" i="54"/>
  <c r="K13" i="54"/>
  <c r="B14" i="54"/>
  <c r="C14" i="54"/>
  <c r="D14" i="54"/>
  <c r="E14" i="54"/>
  <c r="F14" i="54"/>
  <c r="G14" i="54"/>
  <c r="H14" i="54"/>
  <c r="I14" i="54"/>
  <c r="J14" i="54"/>
  <c r="K14" i="54"/>
  <c r="L14" i="54"/>
  <c r="B2" i="69"/>
  <c r="C2" i="69"/>
  <c r="C5" i="69" s="1"/>
  <c r="D2" i="69"/>
  <c r="D5" i="69" s="1"/>
  <c r="E2" i="69"/>
  <c r="E5" i="69" s="1"/>
  <c r="E6" i="69" s="1"/>
  <c r="F2" i="69"/>
  <c r="F5" i="69" s="1"/>
  <c r="F6" i="69" s="1"/>
  <c r="G2" i="69"/>
  <c r="H2" i="69"/>
  <c r="I2" i="69"/>
  <c r="J2" i="69"/>
  <c r="J5" i="69" s="1"/>
  <c r="K2" i="69"/>
  <c r="K5" i="69" s="1"/>
  <c r="K6" i="69" s="1"/>
  <c r="P2" i="69"/>
  <c r="Q2" i="69"/>
  <c r="R2" i="69"/>
  <c r="R5" i="69" s="1"/>
  <c r="S2" i="69"/>
  <c r="T2" i="69"/>
  <c r="C3" i="69"/>
  <c r="D3" i="69"/>
  <c r="E3" i="69"/>
  <c r="F3" i="69"/>
  <c r="G3" i="69"/>
  <c r="G5" i="69" s="1"/>
  <c r="G6" i="69" s="1"/>
  <c r="H3" i="69"/>
  <c r="I3" i="69"/>
  <c r="J3" i="69"/>
  <c r="K3" i="69"/>
  <c r="L3" i="69"/>
  <c r="P3" i="69"/>
  <c r="B4" i="69"/>
  <c r="D4" i="69"/>
  <c r="E4" i="69"/>
  <c r="F4" i="69"/>
  <c r="G4" i="69"/>
  <c r="H4" i="69"/>
  <c r="J4" i="69"/>
  <c r="K4" i="69"/>
  <c r="L4" i="69"/>
  <c r="M4" i="69"/>
  <c r="N4" i="69"/>
  <c r="O4" i="69"/>
  <c r="H5" i="69"/>
  <c r="F2" i="70"/>
  <c r="G2" i="70"/>
  <c r="G6" i="70" s="1"/>
  <c r="J2" i="70"/>
  <c r="J6" i="70" s="1"/>
  <c r="K2" i="70"/>
  <c r="K6" i="70" s="1"/>
  <c r="L2" i="70"/>
  <c r="L6" i="70" s="1"/>
  <c r="L7" i="70" s="1"/>
  <c r="M2" i="70"/>
  <c r="N2" i="70"/>
  <c r="P2" i="70"/>
  <c r="Q2" i="70"/>
  <c r="R2" i="70"/>
  <c r="S2" i="70"/>
  <c r="B3" i="70"/>
  <c r="G3" i="70"/>
  <c r="I3" i="70"/>
  <c r="J3" i="70"/>
  <c r="K3" i="70"/>
  <c r="L3" i="70"/>
  <c r="M3" i="70"/>
  <c r="O3" i="70"/>
  <c r="P3" i="70"/>
  <c r="R3" i="70"/>
  <c r="T3" i="70"/>
  <c r="C4" i="70"/>
  <c r="J4" i="70"/>
  <c r="K4" i="70"/>
  <c r="L4" i="70"/>
  <c r="N4" i="70"/>
  <c r="B5" i="70"/>
  <c r="D5" i="70"/>
  <c r="K5" i="70"/>
  <c r="L5" i="70"/>
  <c r="M5" i="70"/>
  <c r="N5" i="70"/>
  <c r="O5" i="70"/>
  <c r="B2" i="68"/>
  <c r="B8" i="68" s="1"/>
  <c r="C2" i="68"/>
  <c r="C8" i="68" s="1"/>
  <c r="C9" i="68" s="1"/>
  <c r="D2" i="68"/>
  <c r="D8" i="68" s="1"/>
  <c r="D9" i="68" s="1"/>
  <c r="E2" i="68"/>
  <c r="F2" i="68"/>
  <c r="G2" i="68"/>
  <c r="H2" i="68"/>
  <c r="I2" i="68"/>
  <c r="K2" i="68"/>
  <c r="L2" i="68"/>
  <c r="M2" i="68"/>
  <c r="N2" i="68"/>
  <c r="B3" i="68"/>
  <c r="C3" i="68"/>
  <c r="D3" i="68"/>
  <c r="E3" i="68"/>
  <c r="E8" i="68" s="1"/>
  <c r="H3" i="68"/>
  <c r="I3" i="68"/>
  <c r="J3" i="68"/>
  <c r="K3" i="68"/>
  <c r="L3" i="68"/>
  <c r="M3" i="68"/>
  <c r="N3" i="68"/>
  <c r="P3" i="68"/>
  <c r="Q3" i="68"/>
  <c r="B4" i="68"/>
  <c r="C4" i="68"/>
  <c r="D4" i="68"/>
  <c r="E4" i="68"/>
  <c r="F4" i="68"/>
  <c r="N4" i="68"/>
  <c r="P4" i="68"/>
  <c r="Q4" i="68"/>
  <c r="R4" i="68"/>
  <c r="B5" i="68"/>
  <c r="C5" i="68"/>
  <c r="D5" i="68"/>
  <c r="E5" i="68"/>
  <c r="F5" i="68"/>
  <c r="G5" i="68"/>
  <c r="H5" i="68"/>
  <c r="S5" i="68"/>
  <c r="B6" i="68"/>
  <c r="C6" i="68"/>
  <c r="D6" i="68"/>
  <c r="E6" i="68"/>
  <c r="F6" i="68"/>
  <c r="G6" i="68"/>
  <c r="H6" i="68"/>
  <c r="I6" i="68"/>
  <c r="J6" i="68"/>
  <c r="K6" i="68"/>
  <c r="L6" i="68"/>
  <c r="M6" i="68"/>
  <c r="O6" i="68"/>
  <c r="B7" i="68"/>
  <c r="C7" i="68"/>
  <c r="D7" i="68"/>
  <c r="E7" i="68"/>
  <c r="F7" i="68"/>
  <c r="G7" i="68"/>
  <c r="H7" i="68"/>
  <c r="I7" i="68"/>
  <c r="K7" i="68"/>
  <c r="L7" i="68"/>
  <c r="M7" i="68"/>
  <c r="N7" i="68"/>
  <c r="O7" i="68"/>
  <c r="P7" i="68"/>
  <c r="F6" i="70" l="1"/>
  <c r="E15" i="54"/>
  <c r="Q4" i="70"/>
  <c r="Q6" i="70" s="1"/>
  <c r="Q7" i="70" s="1"/>
  <c r="Q13" i="54"/>
  <c r="P13" i="54"/>
  <c r="P4" i="70"/>
  <c r="P15" i="1"/>
  <c r="P16" i="1" s="1"/>
  <c r="S3" i="70"/>
  <c r="S12" i="54"/>
  <c r="M6" i="70"/>
  <c r="M7" i="70" s="1"/>
  <c r="S7" i="68"/>
  <c r="S7" i="54"/>
  <c r="J16" i="8"/>
  <c r="C15" i="54"/>
  <c r="C16" i="54" s="1"/>
  <c r="O16" i="1"/>
  <c r="O3" i="54"/>
  <c r="O3" i="68"/>
  <c r="Q12" i="54"/>
  <c r="Q3" i="70"/>
  <c r="Q15" i="1"/>
  <c r="T6" i="68"/>
  <c r="T6" i="54"/>
  <c r="O2" i="68"/>
  <c r="O15" i="4"/>
  <c r="O16" i="4" s="1"/>
  <c r="O2" i="54"/>
  <c r="Q7" i="68"/>
  <c r="Q7" i="54"/>
  <c r="B15" i="54"/>
  <c r="J7" i="70"/>
  <c r="J16" i="1"/>
  <c r="D16" i="8"/>
  <c r="R6" i="70"/>
  <c r="H9" i="68"/>
  <c r="R6" i="69"/>
  <c r="Q6" i="68"/>
  <c r="Q6" i="54"/>
  <c r="O11" i="54"/>
  <c r="O2" i="70"/>
  <c r="O15" i="8"/>
  <c r="T14" i="54"/>
  <c r="T5" i="70"/>
  <c r="I6" i="70"/>
  <c r="H6" i="70"/>
  <c r="H7" i="70" s="1"/>
  <c r="B5" i="69"/>
  <c r="C6" i="69" s="1"/>
  <c r="H6" i="69"/>
  <c r="D15" i="54"/>
  <c r="B2" i="62"/>
  <c r="N16" i="4"/>
  <c r="S6" i="68"/>
  <c r="S6" i="54"/>
  <c r="P8" i="68"/>
  <c r="S14" i="54"/>
  <c r="S5" i="70"/>
  <c r="E9" i="68"/>
  <c r="Q14" i="54"/>
  <c r="Q5" i="70"/>
  <c r="Q4" i="69"/>
  <c r="Q10" i="54"/>
  <c r="K16" i="9"/>
  <c r="I16" i="9"/>
  <c r="F16" i="1"/>
  <c r="P5" i="69"/>
  <c r="P6" i="69" s="1"/>
  <c r="T4" i="69"/>
  <c r="T5" i="69" s="1"/>
  <c r="T10" i="54"/>
  <c r="S4" i="69"/>
  <c r="S5" i="69" s="1"/>
  <c r="S6" i="69" s="1"/>
  <c r="S10" i="54"/>
  <c r="P6" i="70"/>
  <c r="E6" i="70"/>
  <c r="E7" i="70" s="1"/>
  <c r="N6" i="70"/>
  <c r="N7" i="70" s="1"/>
  <c r="T15" i="1"/>
  <c r="D6" i="70"/>
  <c r="O4" i="68"/>
  <c r="O4" i="54"/>
  <c r="R14" i="54"/>
  <c r="R5" i="70"/>
  <c r="N8" i="68"/>
  <c r="N9" i="68" s="1"/>
  <c r="R3" i="64"/>
  <c r="S22" i="64"/>
  <c r="T4" i="70"/>
  <c r="T13" i="54"/>
  <c r="S15" i="1"/>
  <c r="S16" i="1" s="1"/>
  <c r="B4" i="62"/>
  <c r="N16" i="9"/>
  <c r="C6" i="70"/>
  <c r="C7" i="70" s="1"/>
  <c r="R16" i="1"/>
  <c r="Q5" i="69"/>
  <c r="Q6" i="69" s="1"/>
  <c r="J8" i="68"/>
  <c r="J9" i="68" s="1"/>
  <c r="M8" i="68"/>
  <c r="S13" i="54"/>
  <c r="S4" i="70"/>
  <c r="B6" i="70"/>
  <c r="K7" i="70"/>
  <c r="D6" i="69"/>
  <c r="R13" i="54"/>
  <c r="R4" i="70"/>
  <c r="H15" i="9"/>
  <c r="H16" i="9" s="1"/>
  <c r="K15" i="4"/>
  <c r="K16" i="4" s="1"/>
  <c r="D7" i="54"/>
  <c r="R25" i="64"/>
  <c r="R7" i="64" s="1"/>
  <c r="R20" i="64"/>
  <c r="Q2" i="64"/>
  <c r="N15" i="1"/>
  <c r="P5" i="70"/>
  <c r="O4" i="70"/>
  <c r="N3" i="70"/>
  <c r="I4" i="69"/>
  <c r="I5" i="69" s="1"/>
  <c r="P2" i="54"/>
  <c r="M15" i="1"/>
  <c r="N16" i="8"/>
  <c r="G15" i="4"/>
  <c r="D11" i="54"/>
  <c r="C10" i="54"/>
  <c r="B9" i="54"/>
  <c r="L15" i="1"/>
  <c r="L16" i="1" s="1"/>
  <c r="F15" i="4"/>
  <c r="I15" i="8"/>
  <c r="I16" i="8" s="1"/>
  <c r="D15" i="4"/>
  <c r="P6" i="54"/>
  <c r="C15" i="4"/>
  <c r="M4" i="54"/>
  <c r="M15" i="54" s="1"/>
  <c r="H15" i="1"/>
  <c r="H16" i="1" s="1"/>
  <c r="B15" i="4"/>
  <c r="O9" i="54"/>
  <c r="N8" i="54"/>
  <c r="N15" i="54" s="1"/>
  <c r="N16" i="54" s="1"/>
  <c r="K5" i="54"/>
  <c r="K15" i="54" s="1"/>
  <c r="K16" i="54" s="1"/>
  <c r="J4" i="54"/>
  <c r="J15" i="54" s="1"/>
  <c r="P15" i="64"/>
  <c r="P16" i="64" s="1"/>
  <c r="E15" i="1"/>
  <c r="M8" i="54"/>
  <c r="M5" i="54"/>
  <c r="O8" i="54"/>
  <c r="J5" i="54"/>
  <c r="I4" i="54"/>
  <c r="D15" i="1"/>
  <c r="O15" i="9"/>
  <c r="O16" i="9" s="1"/>
  <c r="C15" i="8"/>
  <c r="C16" i="8" s="1"/>
  <c r="L4" i="68"/>
  <c r="L8" i="68" s="1"/>
  <c r="L9" i="68" s="1"/>
  <c r="M9" i="54"/>
  <c r="L8" i="54"/>
  <c r="L15" i="54" s="1"/>
  <c r="L16" i="54" s="1"/>
  <c r="I5" i="54"/>
  <c r="H4" i="54"/>
  <c r="H15" i="54" s="1"/>
  <c r="G3" i="54"/>
  <c r="G15" i="54" s="1"/>
  <c r="G16" i="54" s="1"/>
  <c r="C15" i="1"/>
  <c r="C16" i="1" s="1"/>
  <c r="E15" i="4"/>
  <c r="E16" i="4" s="1"/>
  <c r="N9" i="54"/>
  <c r="K4" i="68"/>
  <c r="K8" i="68" s="1"/>
  <c r="J7" i="54"/>
  <c r="G4" i="54"/>
  <c r="F3" i="54"/>
  <c r="F15" i="54" s="1"/>
  <c r="F16" i="54" s="1"/>
  <c r="M15" i="9"/>
  <c r="L15" i="9"/>
  <c r="L16" i="9" s="1"/>
  <c r="T2" i="70"/>
  <c r="M4" i="70"/>
  <c r="I7" i="54"/>
  <c r="J15" i="9"/>
  <c r="J16" i="9" s="1"/>
  <c r="T25" i="64"/>
  <c r="T7" i="64" s="1"/>
  <c r="I6" i="69" l="1"/>
  <c r="J6" i="69"/>
  <c r="T6" i="69"/>
  <c r="Q2" i="68"/>
  <c r="Q8" i="68" s="1"/>
  <c r="Q9" i="68" s="1"/>
  <c r="Q15" i="64"/>
  <c r="Q16" i="64" s="1"/>
  <c r="Q2" i="54"/>
  <c r="Q15" i="54" s="1"/>
  <c r="D16" i="54"/>
  <c r="D16" i="4"/>
  <c r="R7" i="70"/>
  <c r="I16" i="1"/>
  <c r="R7" i="68"/>
  <c r="R7" i="54"/>
  <c r="O8" i="68"/>
  <c r="O9" i="68" s="1"/>
  <c r="M16" i="54"/>
  <c r="C16" i="4"/>
  <c r="T7" i="68"/>
  <c r="T7" i="54"/>
  <c r="R3" i="68"/>
  <c r="R3" i="54"/>
  <c r="I7" i="70"/>
  <c r="T6" i="70"/>
  <c r="L16" i="4"/>
  <c r="S6" i="70"/>
  <c r="S7" i="70" s="1"/>
  <c r="H16" i="54"/>
  <c r="S21" i="64"/>
  <c r="R2" i="64"/>
  <c r="S20" i="64"/>
  <c r="F16" i="4"/>
  <c r="D16" i="1"/>
  <c r="Q16" i="1"/>
  <c r="E16" i="54"/>
  <c r="B6" i="62"/>
  <c r="B7" i="62" s="1"/>
  <c r="N16" i="1"/>
  <c r="S4" i="64"/>
  <c r="T23" i="64"/>
  <c r="T5" i="64" s="1"/>
  <c r="O15" i="54"/>
  <c r="O16" i="54" s="1"/>
  <c r="E16" i="1"/>
  <c r="M16" i="1"/>
  <c r="D7" i="70"/>
  <c r="F7" i="70"/>
  <c r="K9" i="68"/>
  <c r="I15" i="54"/>
  <c r="I16" i="54" s="1"/>
  <c r="P16" i="8"/>
  <c r="O16" i="8"/>
  <c r="M16" i="9"/>
  <c r="G16" i="4"/>
  <c r="O6" i="70"/>
  <c r="O7" i="70" s="1"/>
  <c r="P15" i="54"/>
  <c r="M9" i="68"/>
  <c r="T16" i="1"/>
  <c r="H16" i="4"/>
  <c r="G7" i="70"/>
  <c r="Q16" i="54" l="1"/>
  <c r="S4" i="68"/>
  <c r="S4" i="54"/>
  <c r="T5" i="68"/>
  <c r="T5" i="54"/>
  <c r="P9" i="68"/>
  <c r="S2" i="64"/>
  <c r="T20" i="64"/>
  <c r="T2" i="64" s="1"/>
  <c r="T21" i="64"/>
  <c r="T3" i="64" s="1"/>
  <c r="P16" i="54"/>
  <c r="R15" i="64"/>
  <c r="R16" i="64" s="1"/>
  <c r="R2" i="68"/>
  <c r="R8" i="68" s="1"/>
  <c r="R9" i="68" s="1"/>
  <c r="R2" i="54"/>
  <c r="R15" i="54" s="1"/>
  <c r="R16" i="54" s="1"/>
  <c r="T22" i="64"/>
  <c r="T4" i="64" s="1"/>
  <c r="S3" i="64"/>
  <c r="P7" i="70"/>
  <c r="T7" i="70"/>
  <c r="J16" i="54"/>
  <c r="S3" i="68" l="1"/>
  <c r="S3" i="54"/>
  <c r="T4" i="68"/>
  <c r="T4" i="54"/>
  <c r="T3" i="68"/>
  <c r="T3" i="54"/>
  <c r="T15" i="64"/>
  <c r="T2" i="68"/>
  <c r="T2" i="54"/>
  <c r="S2" i="68"/>
  <c r="S8" i="68" s="1"/>
  <c r="S9" i="68" s="1"/>
  <c r="S15" i="64"/>
  <c r="S16" i="64" s="1"/>
  <c r="S2" i="54"/>
  <c r="S15" i="54" s="1"/>
  <c r="S16" i="54" s="1"/>
  <c r="T15" i="54" l="1"/>
  <c r="T16" i="54" s="1"/>
  <c r="T16" i="64"/>
  <c r="T8" i="68"/>
  <c r="T9" i="68" s="1"/>
</calcChain>
</file>

<file path=xl/sharedStrings.xml><?xml version="1.0" encoding="utf-8"?>
<sst xmlns="http://schemas.openxmlformats.org/spreadsheetml/2006/main" count="287" uniqueCount="42">
  <si>
    <t>Grades</t>
  </si>
  <si>
    <t>FY 94</t>
  </si>
  <si>
    <t>FY 95</t>
  </si>
  <si>
    <t>FY 96</t>
  </si>
  <si>
    <t>FY 97</t>
  </si>
  <si>
    <t>FY 98</t>
  </si>
  <si>
    <t>FY 99</t>
  </si>
  <si>
    <t>FY 00</t>
  </si>
  <si>
    <t>FY 01</t>
  </si>
  <si>
    <t>FY 02</t>
  </si>
  <si>
    <t>FY 03</t>
  </si>
  <si>
    <t>FY 04</t>
  </si>
  <si>
    <t>FY 05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</si>
  <si>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</si>
  <si>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</si>
  <si>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</si>
  <si>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</si>
  <si>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</si>
  <si>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</si>
  <si>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</si>
  <si>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</si>
  <si>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</si>
  <si>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</si>
  <si>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</si>
  <si>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</si>
  <si>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Total</t>
  </si>
  <si>
    <t>Difference</t>
  </si>
  <si>
    <t>FY 06</t>
  </si>
  <si>
    <t>K</t>
  </si>
  <si>
    <t>FY 07</t>
  </si>
  <si>
    <t>School</t>
  </si>
  <si>
    <t>Total Students</t>
  </si>
  <si>
    <t>FY 90</t>
  </si>
  <si>
    <t>FY 91</t>
  </si>
  <si>
    <t>FY 92</t>
  </si>
  <si>
    <t>FY 93</t>
  </si>
  <si>
    <t>Hewitt Elementary</t>
  </si>
  <si>
    <t>Payne Elementary</t>
  </si>
  <si>
    <t>Hewitt Middle</t>
  </si>
  <si>
    <t>Hewitt Junior</t>
  </si>
  <si>
    <t>Hewitt-Trussville High</t>
  </si>
  <si>
    <t>FY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</si>
</sst>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0" xfId="0" applyNumberFormat="1"/>
    <xf numFmtId="1" fontId="0" fillId="0" borderId="0" xfId="0" applyNumberFormat="1" applyBorder="1"/>
    <xf numFmtId="0" fontId="0" fillId="0" borderId="0" xfId="0" applyBorder="1" applyAlignment="1">
      <alignment horizontal="center"/>
    </xf>
    <xf numFmtId="1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6" sqref="B16"/>
    </sheetView>
  </sheetViews>
  <sheetFormatPr defaultRowHeight="18" x14ac:dyDescent="0.4"/>
  <cols>
    <col min="1" max="1" width="36.453125" style="9" bestFit="1" customWidth="1"/>
    <col min="2" max="2" width="20.81640625" style="10" bestFit="1" customWidth="1"/>
  </cols>
  <sheetData>
    <row r="1" spans="1:2" ht="18.5" thickBot="1" x14ac:dyDescent="0.45">
      <c r="A1" s="8" t="s">
        <v>30</v>
      </c>
      <c r="B1" s="14" t="s">
        <v>31</v>
      </c>
    </row>
    <row r="2" spans="1:2" ht="23.5" thickTop="1" x14ac:dyDescent="0.5">
      <c r="A2" s="9" t="s">
        <v>36</v>
      </c>
      <c r="B2" s="15">
        <f>SUM('Hewitt Elementary 0370'!N15)</f>
        <v>984</v>
      </c>
    </row>
    <row r="3" spans="1:2" ht="23" x14ac:dyDescent="0.5">
      <c r="A3" s="9" t="s">
        <v>37</v>
      </c>
      <c r="B3" s="15">
        <v>0</v>
      </c>
    </row>
    <row r="4" spans="1:2" ht="23" x14ac:dyDescent="0.5">
      <c r="A4" s="9" t="s">
        <v>38</v>
      </c>
      <c r="B4" s="15">
        <f>SUM('Hewitt Middle 0380'!N15)</f>
        <v>692.25</v>
      </c>
    </row>
    <row r="5" spans="1:2" ht="23" x14ac:dyDescent="0.5">
      <c r="A5" s="9" t="s">
        <v>39</v>
      </c>
      <c r="B5" s="15">
        <f>SUM('Hewitt Junior 0390'!N15)</f>
        <v>465.75</v>
      </c>
    </row>
    <row r="6" spans="1:2" ht="23.5" thickBot="1" x14ac:dyDescent="0.55000000000000004">
      <c r="A6" s="9" t="s">
        <v>40</v>
      </c>
      <c r="B6" s="15">
        <f>SUM('Hewitt-Trussville High'!N15)</f>
        <v>690</v>
      </c>
    </row>
    <row r="7" spans="1:2" ht="24" thickTop="1" thickBot="1" x14ac:dyDescent="0.55000000000000004">
      <c r="A7" s="9" t="s">
        <v>25</v>
      </c>
      <c r="B7" s="16">
        <f>SUM(B2:B6)</f>
        <v>2832</v>
      </c>
    </row>
    <row r="8" spans="1:2" ht="18.5" thickTop="1" x14ac:dyDescent="0.4">
      <c r="B8" s="11"/>
    </row>
  </sheetData>
  <phoneticPr fontId="0" type="noConversion"/>
  <printOptions horizontalCentered="1"/>
  <pageMargins left="0.75" right="0.75" top="1.67" bottom="1" header="0.5" footer="0.5"/>
  <pageSetup orientation="landscape" r:id="rId1"/>
  <headerFooter alignWithMargins="0">
    <oddHeader>&amp;C&amp;"Arial,Bold"&amp;16System-Wide Data
Student Enrollment Data
Actuals Fiscal Year 2002
75% of Actuals</oddHeader>
    <oddFooter>&amp;C&amp;8&amp;F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workbookViewId="0">
      <selection activeCell="Q33" sqref="Q33"/>
    </sheetView>
  </sheetViews>
  <sheetFormatPr defaultRowHeight="12.5" x14ac:dyDescent="0.25"/>
  <cols>
    <col min="1" max="1" width="6.453125" customWidth="1"/>
    <col min="2" max="20" width="6" bestFit="1" customWidth="1"/>
    <col min="21" max="21" width="8.7265625" customWidth="1"/>
    <col min="22" max="22" width="11.453125" bestFit="1" customWidth="1"/>
  </cols>
  <sheetData>
    <row r="1" spans="1:20" ht="13" thickBot="1" x14ac:dyDescent="0.3">
      <c r="A1" s="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 s="2" t="s">
        <v>11</v>
      </c>
      <c r="Q1" s="2" t="s">
        <v>12</v>
      </c>
      <c r="R1" s="2" t="s">
        <v>27</v>
      </c>
      <c r="S1" s="2" t="s">
        <v>29</v>
      </c>
      <c r="T1" s="2" t="s">
        <v>41</v>
      </c>
    </row>
    <row r="2" spans="1:20" ht="13" thickTop="1" x14ac:dyDescent="0.25">
      <c r="A2" t="s">
        <v>28</v>
      </c>
      <c r="B2" s="13">
        <f>SUM('Hewitt Elementary 0370'!B2)</f>
        <v>191.25</v>
      </c>
      <c r="C2" s="13">
        <f>SUM('Hewitt Elementary 0370'!C2)</f>
        <v>192.75</v>
      </c>
      <c r="D2" s="13">
        <f>SUM('Hewitt Elementary 0370'!D2)</f>
        <v>178.5</v>
      </c>
      <c r="E2" s="13">
        <f>SUM('Hewitt Elementary 0370'!E2)</f>
        <v>202.5</v>
      </c>
      <c r="F2" s="13">
        <f>SUM('Hewitt Elementary 0370'!F2)</f>
        <v>201</v>
      </c>
      <c r="G2" s="13">
        <f>SUM('Hewitt Elementary 0370'!G2)</f>
        <v>180</v>
      </c>
      <c r="H2" s="13">
        <f>SUM('Hewitt Elementary 0370'!H2)</f>
        <v>208.5</v>
      </c>
      <c r="I2" s="13">
        <f>SUM('Hewitt Elementary 0370'!I2)</f>
        <v>195.75</v>
      </c>
      <c r="J2" s="13">
        <f>SUM('Hewitt Elementary 0370'!J2)</f>
        <v>192</v>
      </c>
      <c r="K2" s="13">
        <f>SUM('Hewitt Elementary 0370'!K2)</f>
        <v>189</v>
      </c>
      <c r="L2" s="13">
        <f>SUM('Hewitt Elementary 0370'!L2)</f>
        <v>189</v>
      </c>
      <c r="M2" s="13">
        <f>SUM('Hewitt Elementary 0370'!M2)</f>
        <v>175.5</v>
      </c>
      <c r="N2" s="13">
        <f>SUM('Hewitt Elementary 0370'!N2)</f>
        <v>192.75</v>
      </c>
      <c r="O2" s="18">
        <f>SUM('Hewitt Elementary 0370'!O2)</f>
        <v>196.60499999999999</v>
      </c>
      <c r="P2" s="13">
        <f>SUM('Payne Elementary 0370'!P2)</f>
        <v>200.25</v>
      </c>
      <c r="Q2" s="13">
        <f>SUM('Payne Elementary 0370'!Q2)</f>
        <v>204.25500000000002</v>
      </c>
      <c r="R2" s="13">
        <f>SUM('Payne Elementary 0370'!R2)</f>
        <v>208.34010000000001</v>
      </c>
      <c r="S2" s="13">
        <f>SUM('Payne Elementary 0370'!S2)</f>
        <v>212.50690200000003</v>
      </c>
      <c r="T2" s="13">
        <f>SUM('Payne Elementary 0370'!T2)</f>
        <v>216.75704004000005</v>
      </c>
    </row>
    <row r="3" spans="1:20" x14ac:dyDescent="0.25">
      <c r="A3" t="s">
        <v>13</v>
      </c>
      <c r="B3" s="13">
        <f>SUM('Hewitt Elementary 0370'!B3)</f>
        <v>209.25</v>
      </c>
      <c r="C3" s="13">
        <f>SUM('Hewitt Elementary 0370'!C3)</f>
        <v>207.75</v>
      </c>
      <c r="D3" s="13">
        <f>SUM('Hewitt Elementary 0370'!D3)</f>
        <v>198.75</v>
      </c>
      <c r="E3" s="13">
        <f>SUM('Hewitt Elementary 0370'!E3)</f>
        <v>184.5</v>
      </c>
      <c r="F3" s="13">
        <f>SUM('Hewitt Elementary 0370'!F3)</f>
        <v>216.75</v>
      </c>
      <c r="G3" s="13">
        <f>SUM('Hewitt Elementary 0370'!G3)</f>
        <v>207.75</v>
      </c>
      <c r="H3" s="13">
        <f>SUM('Hewitt Elementary 0370'!H3)</f>
        <v>195</v>
      </c>
      <c r="I3" s="13">
        <f>SUM('Hewitt Elementary 0370'!I3)</f>
        <v>209.25</v>
      </c>
      <c r="J3" s="13">
        <f>SUM('Hewitt Elementary 0370'!J3)</f>
        <v>198</v>
      </c>
      <c r="K3" s="13">
        <f>SUM('Hewitt Elementary 0370'!K3)</f>
        <v>177</v>
      </c>
      <c r="L3" s="13">
        <f>SUM('Hewitt Elementary 0370'!L3)</f>
        <v>195.75</v>
      </c>
      <c r="M3" s="13">
        <f>SUM('Hewitt Elementary 0370'!M3)</f>
        <v>189</v>
      </c>
      <c r="N3" s="13">
        <f>SUM('Hewitt Elementary 0370'!N3)</f>
        <v>187.5</v>
      </c>
      <c r="O3" s="18">
        <f>SUM('Hewitt Elementary 0370'!O3)</f>
        <v>196.60499999999999</v>
      </c>
      <c r="P3" s="13">
        <f>SUM('Payne Elementary 0370'!P3)</f>
        <v>195</v>
      </c>
      <c r="Q3" s="13">
        <f>SUM('Payne Elementary 0370'!Q3)</f>
        <v>204.25500000000002</v>
      </c>
      <c r="R3" s="13">
        <f>SUM('Payne Elementary 0370'!R3)</f>
        <v>208.34010000000001</v>
      </c>
      <c r="S3" s="13">
        <f>SUM('Payne Elementary 0370'!S3)</f>
        <v>212.50690200000003</v>
      </c>
      <c r="T3" s="13">
        <f>SUM('Payne Elementary 0370'!T3)</f>
        <v>216.75704004000005</v>
      </c>
    </row>
    <row r="4" spans="1:20" x14ac:dyDescent="0.25">
      <c r="A4" t="s">
        <v>14</v>
      </c>
      <c r="B4" s="13">
        <f>SUM('Hewitt Elementary 0370'!B4)</f>
        <v>174</v>
      </c>
      <c r="C4" s="13">
        <f>SUM('Hewitt Elementary 0370'!C4)</f>
        <v>207.75</v>
      </c>
      <c r="D4" s="13">
        <f>SUM('Hewitt Elementary 0370'!D4)</f>
        <v>216</v>
      </c>
      <c r="E4" s="13">
        <f>SUM('Hewitt Elementary 0370'!E4)</f>
        <v>189</v>
      </c>
      <c r="F4" s="13">
        <f>SUM('Hewitt Elementary 0370'!F4)</f>
        <v>174.75</v>
      </c>
      <c r="G4" s="13">
        <f>SUM('Hewitt Elementary 0370'!G4)</f>
        <v>209.25</v>
      </c>
      <c r="H4" s="13">
        <f>SUM('Hewitt Elementary 0370'!H4)</f>
        <v>204.75</v>
      </c>
      <c r="I4" s="13">
        <f>SUM('Hewitt Elementary 0370'!I4)</f>
        <v>180</v>
      </c>
      <c r="J4" s="13">
        <f>SUM('Hewitt Elementary 0370'!J4)</f>
        <v>219</v>
      </c>
      <c r="K4" s="13">
        <f>SUM('Hewitt Elementary 0370'!K4)</f>
        <v>202.5</v>
      </c>
      <c r="L4" s="13">
        <f>SUM('Hewitt Elementary 0370'!L4)</f>
        <v>180.75</v>
      </c>
      <c r="M4" s="13">
        <f>SUM('Hewitt Elementary 0370'!M4)</f>
        <v>200.25</v>
      </c>
      <c r="N4" s="13">
        <f>SUM('Hewitt Elementary 0370'!N4)</f>
        <v>195</v>
      </c>
      <c r="O4" s="18">
        <f>SUM('Hewitt Elementary 0370'!O4)</f>
        <v>191.25</v>
      </c>
      <c r="P4" s="13">
        <f>SUM('Payne Elementary 0370'!P4)</f>
        <v>202.5</v>
      </c>
      <c r="Q4" s="13">
        <f>SUM('Payne Elementary 0370'!Q4)</f>
        <v>198.89999999999998</v>
      </c>
      <c r="R4" s="13">
        <f>SUM('Payne Elementary 0370'!R4)</f>
        <v>208.34010000000001</v>
      </c>
      <c r="S4" s="13">
        <f>SUM('Payne Elementary 0370'!S4)</f>
        <v>212.50690200000003</v>
      </c>
      <c r="T4" s="13">
        <f>SUM('Payne Elementary 0370'!T4)</f>
        <v>216.75704004000005</v>
      </c>
    </row>
    <row r="5" spans="1:20" x14ac:dyDescent="0.25">
      <c r="A5" t="s">
        <v>15</v>
      </c>
      <c r="B5" s="13">
        <f>SUM('Hewitt Elementary 0370'!B5)</f>
        <v>180</v>
      </c>
      <c r="C5" s="13">
        <f>SUM('Hewitt Elementary 0370'!C5)</f>
        <v>174.75</v>
      </c>
      <c r="D5" s="13">
        <f>SUM('Hewitt Elementary 0370'!D5)</f>
        <v>216.75</v>
      </c>
      <c r="E5" s="13">
        <f>SUM('Hewitt Elementary 0370'!E5)</f>
        <v>214.5</v>
      </c>
      <c r="F5" s="13">
        <f>SUM('Hewitt Elementary 0370'!F5)</f>
        <v>209.25</v>
      </c>
      <c r="G5" s="13">
        <f>SUM('Hewitt Elementary 0370'!G5)</f>
        <v>187.5</v>
      </c>
      <c r="H5" s="13">
        <f>SUM('Hewitt Elementary 0370'!H5)</f>
        <v>222.75</v>
      </c>
      <c r="I5" s="13">
        <f>SUM('Hewitt Elementary 0370'!I5)</f>
        <v>216.75</v>
      </c>
      <c r="J5" s="13">
        <f>SUM('Hewitt Elementary 0370'!J5)</f>
        <v>205.5</v>
      </c>
      <c r="K5" s="13">
        <f>SUM('Hewitt Elementary 0370'!K5)</f>
        <v>235.5</v>
      </c>
      <c r="L5" s="13">
        <f>SUM('Hewitt Elementary 0370'!L5)</f>
        <v>222</v>
      </c>
      <c r="M5" s="13">
        <f>SUM('Hewitt Elementary 0370'!M5)</f>
        <v>190.5</v>
      </c>
      <c r="N5" s="13">
        <f>SUM('Hewitt Elementary 0370'!N5)</f>
        <v>219</v>
      </c>
      <c r="O5" s="18">
        <f>SUM('Hewitt Elementary 0370'!O5)</f>
        <v>198.89999999999998</v>
      </c>
      <c r="P5" s="13">
        <f>SUM('Payne Elementary 0370'!P5)</f>
        <v>227.25</v>
      </c>
      <c r="Q5" s="13">
        <f>SUM('Payne Elementary 0370'!Q5)</f>
        <v>206.54999999999998</v>
      </c>
      <c r="R5" s="13">
        <f>SUM('Payne Elementary 0370'!R5)</f>
        <v>202.87800000000001</v>
      </c>
      <c r="S5" s="13">
        <f>SUM('Payne Elementary 0370'!S5)</f>
        <v>212.50690200000003</v>
      </c>
      <c r="T5" s="13">
        <f>SUM('Payne Elementary 0370'!T5)</f>
        <v>216.75704004000005</v>
      </c>
    </row>
    <row r="6" spans="1:20" x14ac:dyDescent="0.25">
      <c r="A6" t="s">
        <v>16</v>
      </c>
      <c r="B6" s="13">
        <f>SUM('Hewitt Elementary 0370'!B6)</f>
        <v>204</v>
      </c>
      <c r="C6" s="13">
        <f>SUM('Hewitt Elementary 0370'!C6)</f>
        <v>186</v>
      </c>
      <c r="D6" s="13">
        <f>SUM('Hewitt Elementary 0370'!D6)</f>
        <v>180.75</v>
      </c>
      <c r="E6" s="13">
        <f>SUM('Hewitt Elementary 0370'!E6)</f>
        <v>212.25</v>
      </c>
      <c r="F6" s="13">
        <f>SUM('Hewitt Elementary 0370'!F6)</f>
        <v>219</v>
      </c>
      <c r="G6" s="13">
        <f>SUM('Hewitt Elementary 0370'!G6)</f>
        <v>205.5</v>
      </c>
      <c r="H6" s="13">
        <f>SUM('Hewitt Elementary 0370'!H6)</f>
        <v>192</v>
      </c>
      <c r="I6" s="13">
        <f>SUM('Hewitt Elementary 0370'!I6)</f>
        <v>214.5</v>
      </c>
      <c r="J6" s="13">
        <f>SUM('Hewitt Elementary 0370'!J6)</f>
        <v>225.75</v>
      </c>
      <c r="K6" s="13">
        <f>SUM('Hewitt Elementary 0370'!K6)</f>
        <v>210</v>
      </c>
      <c r="L6" s="13">
        <f>SUM('Hewitt Elementary 0370'!L6)</f>
        <v>232.5</v>
      </c>
      <c r="M6" s="13">
        <f>SUM('Hewitt Elementary 0370'!M6)</f>
        <v>216</v>
      </c>
      <c r="N6" s="13">
        <f>SUM('Hewitt Elementary 0370'!N6)</f>
        <v>189.75</v>
      </c>
      <c r="O6" s="18">
        <f>SUM('Hewitt Elementary 0370'!O6)</f>
        <v>223.38000000000002</v>
      </c>
      <c r="P6" s="13">
        <f>SUM('Payne Elementary 0370'!P6)</f>
        <v>197.25</v>
      </c>
      <c r="Q6" s="13">
        <f>SUM('Payne Elementary 0370'!Q6)</f>
        <v>231.79500000000002</v>
      </c>
      <c r="R6" s="13">
        <f>SUM('Payne Elementary 0370'!R6)</f>
        <v>210.68099999999998</v>
      </c>
      <c r="S6" s="13">
        <f>SUM('Payne Elementary 0370'!S6)</f>
        <v>206.93556000000001</v>
      </c>
      <c r="T6" s="13">
        <f>SUM('Payne Elementary 0370'!T6)</f>
        <v>216.75704004000005</v>
      </c>
    </row>
    <row r="7" spans="1:20" x14ac:dyDescent="0.25">
      <c r="A7" t="s">
        <v>17</v>
      </c>
      <c r="B7" s="13">
        <f>SUM('Hewitt Middle 0380'!B7)</f>
        <v>187.5</v>
      </c>
      <c r="C7" s="13">
        <f>SUM('Hewitt Middle 0380'!C7)</f>
        <v>207</v>
      </c>
      <c r="D7" s="13">
        <f>SUM('Hewitt Middle 0380'!D7)</f>
        <v>205.5</v>
      </c>
      <c r="E7" s="13">
        <f>SUM('Hewitt Middle 0380'!E7)</f>
        <v>182.25</v>
      </c>
      <c r="F7" s="13">
        <f>SUM('Hewitt Middle 0380'!F7)</f>
        <v>222.75</v>
      </c>
      <c r="G7" s="13">
        <f>SUM('Hewitt Middle 0380'!G7)</f>
        <v>228.75</v>
      </c>
      <c r="H7" s="13">
        <f>SUM('Hewitt Middle 0380'!H7)</f>
        <v>228</v>
      </c>
      <c r="I7" s="13">
        <f>SUM('Hewitt Middle 0380'!I7)</f>
        <v>197.25</v>
      </c>
      <c r="J7" s="13">
        <f>SUM('Hewitt Middle 0380'!J7)</f>
        <v>230.25</v>
      </c>
      <c r="K7" s="13">
        <f>SUM('Hewitt Middle 0380'!K7)</f>
        <v>234.75</v>
      </c>
      <c r="L7" s="13">
        <f>SUM('Hewitt Middle 0380'!L7)</f>
        <v>216.75</v>
      </c>
      <c r="M7" s="13">
        <f>SUM('Hewitt Middle 0380'!M7)</f>
        <v>240</v>
      </c>
      <c r="N7" s="13">
        <f>SUM('Hewitt Middle 0380'!N7)</f>
        <v>217.5</v>
      </c>
      <c r="O7" s="18">
        <f>SUM('Hewitt Middle 0380'!O7)</f>
        <v>193.5</v>
      </c>
      <c r="P7" s="13">
        <f>SUM('Payne Elementary 0370'!P7)</f>
        <v>227.25</v>
      </c>
      <c r="Q7" s="13">
        <f>SUM('Payne Elementary 0370'!Q7)</f>
        <v>201.19499999999999</v>
      </c>
      <c r="R7" s="13">
        <f>SUM('Payne Elementary 0370'!R7)</f>
        <v>236.43090000000001</v>
      </c>
      <c r="S7" s="13">
        <f>SUM('Payne Elementary 0370'!S7)</f>
        <v>214.89461999999997</v>
      </c>
      <c r="T7" s="13">
        <f>SUM('Payne Elementary 0370'!T7)</f>
        <v>211.07427120000003</v>
      </c>
    </row>
    <row r="8" spans="1:20" x14ac:dyDescent="0.25">
      <c r="A8" t="s">
        <v>18</v>
      </c>
      <c r="B8" s="13">
        <f>SUM('Hewitt Middle 0380'!B8)</f>
        <v>186</v>
      </c>
      <c r="C8" s="13">
        <f>SUM('Hewitt Middle 0380'!C8)</f>
        <v>183.75</v>
      </c>
      <c r="D8" s="13">
        <f>SUM('Hewitt Middle 0380'!D8)</f>
        <v>219</v>
      </c>
      <c r="E8" s="13">
        <f>SUM('Hewitt Middle 0380'!E8)</f>
        <v>204.75</v>
      </c>
      <c r="F8" s="13">
        <f>SUM('Hewitt Middle 0380'!F8)</f>
        <v>186</v>
      </c>
      <c r="G8" s="13">
        <f>SUM('Hewitt Middle 0380'!G8)</f>
        <v>227.25</v>
      </c>
      <c r="H8" s="13">
        <f>SUM('Hewitt Middle 0380'!H8)</f>
        <v>240.75</v>
      </c>
      <c r="I8" s="13">
        <f>SUM('Hewitt Middle 0380'!I8)</f>
        <v>232.5</v>
      </c>
      <c r="J8" s="13">
        <f>SUM('Hewitt Middle 0380'!J8)</f>
        <v>210.75</v>
      </c>
      <c r="K8" s="13">
        <f>SUM('Hewitt Middle 0380'!K8)</f>
        <v>235.5</v>
      </c>
      <c r="L8" s="13">
        <f>SUM('Hewitt Middle 0380'!L8)</f>
        <v>234</v>
      </c>
      <c r="M8" s="13">
        <f>SUM('Hewitt Middle 0380'!M8)</f>
        <v>231</v>
      </c>
      <c r="N8" s="13">
        <f>SUM('Hewitt Middle 0380'!N8)</f>
        <v>240.75</v>
      </c>
      <c r="O8" s="18">
        <f>SUM('Hewitt Middle 0380'!O8)</f>
        <v>221.85000000000002</v>
      </c>
      <c r="P8" s="13">
        <f>SUM('Hewitt Junior 0390'!P8)</f>
        <v>197.25</v>
      </c>
      <c r="Q8" s="13">
        <f>SUM('Hewitt Junior 0390'!Q8)</f>
        <v>231.75</v>
      </c>
      <c r="R8" s="13">
        <f>SUM('Hewitt Junior 0390'!R8)</f>
        <v>204.75</v>
      </c>
      <c r="S8" s="13">
        <f>SUM('Hewitt Junior 0390'!S8)</f>
        <v>240.75</v>
      </c>
      <c r="T8" s="13">
        <f>SUM('Hewitt Junior 0390'!T8)</f>
        <v>219.75</v>
      </c>
    </row>
    <row r="9" spans="1:20" x14ac:dyDescent="0.25">
      <c r="A9" t="s">
        <v>19</v>
      </c>
      <c r="B9" s="13">
        <f>SUM('Hewitt Middle 0380'!B9)</f>
        <v>400.5</v>
      </c>
      <c r="C9" s="13">
        <f>SUM('Hewitt Middle 0380'!C9)</f>
        <v>435.75</v>
      </c>
      <c r="D9" s="13">
        <f>SUM('Hewitt Middle 0380'!D9)</f>
        <v>415.5</v>
      </c>
      <c r="E9" s="13">
        <f>SUM('Hewitt Middle 0380'!E9)</f>
        <v>470.25</v>
      </c>
      <c r="F9" s="13">
        <f>SUM('Hewitt Middle 0380'!F9)</f>
        <v>474</v>
      </c>
      <c r="G9" s="13">
        <f>SUM('Hewitt Middle 0380'!G9)</f>
        <v>427.5</v>
      </c>
      <c r="H9" s="13">
        <f>SUM('Hewitt Middle 0380'!H9)</f>
        <v>514.5</v>
      </c>
      <c r="I9" s="13">
        <f>SUM('Hewitt Middle 0380'!I9)</f>
        <v>243</v>
      </c>
      <c r="J9" s="13">
        <f>SUM('Hewitt Middle 0380'!J9)</f>
        <v>252</v>
      </c>
      <c r="K9" s="13">
        <f>SUM('Hewitt Middle 0380'!K9)</f>
        <v>212.25</v>
      </c>
      <c r="L9" s="13">
        <f>SUM('Hewitt Middle 0380'!L9)</f>
        <v>243</v>
      </c>
      <c r="M9" s="13">
        <f>SUM('Hewitt Middle 0380'!M9)</f>
        <v>237</v>
      </c>
      <c r="N9" s="13">
        <f>SUM('Hewitt Middle 0380'!N9)</f>
        <v>234</v>
      </c>
      <c r="O9" s="18">
        <f>SUM('Hewitt Middle 0380'!O9)</f>
        <v>245.565</v>
      </c>
      <c r="P9" s="13">
        <f>SUM('Hewitt Junior 0390'!P9)</f>
        <v>225.75</v>
      </c>
      <c r="Q9" s="13">
        <f>SUM('Hewitt Junior 0390'!Q9)</f>
        <v>201.19499999999999</v>
      </c>
      <c r="R9" s="13">
        <f>SUM('Hewitt Junior 0390'!R9)</f>
        <v>236.38499999999999</v>
      </c>
      <c r="S9" s="13">
        <f>SUM('Hewitt Junior 0390'!S9)</f>
        <v>208.84499999999997</v>
      </c>
      <c r="T9" s="13">
        <f>SUM('Hewitt Junior 0390'!T9)</f>
        <v>245.565</v>
      </c>
    </row>
    <row r="10" spans="1:20" x14ac:dyDescent="0.25">
      <c r="A10" t="s">
        <v>20</v>
      </c>
      <c r="B10" s="13">
        <f>SUM('Hewitt Junior 0390'!B10)</f>
        <v>381</v>
      </c>
      <c r="C10" s="13">
        <f>SUM('Hewitt Junior 0390'!C10)</f>
        <v>418.5</v>
      </c>
      <c r="D10" s="13">
        <f>SUM('Hewitt Junior 0390'!D10)</f>
        <v>432</v>
      </c>
      <c r="E10" s="13">
        <f>SUM('Hewitt Junior 0390'!E10)</f>
        <v>426.75</v>
      </c>
      <c r="F10" s="13">
        <f>SUM('Hewitt Junior 0390'!F10)</f>
        <v>502.5</v>
      </c>
      <c r="G10" s="13">
        <f>SUM('Hewitt Junior 0390'!G10)</f>
        <v>502.5</v>
      </c>
      <c r="H10" s="13">
        <f>SUM('Hewitt Junior 0390'!H10)</f>
        <v>447.75</v>
      </c>
      <c r="I10" s="13">
        <f>SUM('Hewitt Junior 0390'!I10)</f>
        <v>234</v>
      </c>
      <c r="J10" s="13">
        <f>SUM('Hewitt Junior 0390'!J10)</f>
        <v>244.5</v>
      </c>
      <c r="K10" s="13">
        <f>SUM('Hewitt Junior 0390'!K10)</f>
        <v>257.25</v>
      </c>
      <c r="L10" s="13">
        <f>SUM('Hewitt Junior 0390'!L10)</f>
        <v>213</v>
      </c>
      <c r="M10" s="13">
        <f>SUM('Hewitt Junior 0390'!M10)</f>
        <v>240.75</v>
      </c>
      <c r="N10" s="13">
        <f>SUM('Hewitt Junior 0390'!N10)</f>
        <v>237.75</v>
      </c>
      <c r="O10" s="18">
        <f>SUM('Hewitt Junior 0390'!O10)</f>
        <v>238.5</v>
      </c>
      <c r="P10" s="13">
        <f>SUM('Hewitt Junior 0390'!P10)</f>
        <v>250.5</v>
      </c>
      <c r="Q10" s="13">
        <f>SUM('Hewitt Junior 0390'!Q10)</f>
        <v>230.26499999999999</v>
      </c>
      <c r="R10" s="13">
        <f>SUM('Hewitt Junior 0390'!R10)</f>
        <v>205.21890000000002</v>
      </c>
      <c r="S10" s="13">
        <f>SUM('Hewitt Junior 0390'!S10)</f>
        <v>241.11270000000002</v>
      </c>
      <c r="T10" s="13">
        <f>SUM('Hewitt Junior 0390'!T10)</f>
        <v>213.02190000000002</v>
      </c>
    </row>
    <row r="11" spans="1:20" x14ac:dyDescent="0.25">
      <c r="A11" t="s">
        <v>21</v>
      </c>
      <c r="B11" s="13">
        <f>SUM('Hewitt Junior 0390'!B11)</f>
        <v>348.75</v>
      </c>
      <c r="C11" s="13">
        <f>SUM('Hewitt Junior 0390'!C11)</f>
        <v>366</v>
      </c>
      <c r="D11" s="13">
        <f>SUM('Hewitt Junior 0390'!D11)</f>
        <v>391.5</v>
      </c>
      <c r="E11" s="13">
        <f>SUM('Hewitt Junior 0390'!E11)</f>
        <v>406.5</v>
      </c>
      <c r="F11" s="13">
        <f>SUM('Hewitt Junior 0390'!F11)</f>
        <v>405</v>
      </c>
      <c r="G11" s="13">
        <f>SUM('Hewitt Junior 0390'!G11)</f>
        <v>490.5</v>
      </c>
      <c r="H11" s="13">
        <f>SUM('Hewitt Junior 0390'!H11)</f>
        <v>486</v>
      </c>
      <c r="I11" s="13">
        <f>SUM('Hewitt Junior 0390'!I11)</f>
        <v>209.25</v>
      </c>
      <c r="J11" s="13">
        <f>SUM('Hewitt Junior 0390'!J11)</f>
        <v>228</v>
      </c>
      <c r="K11" s="13">
        <f>SUM('Hewitt Junior 0390'!K11)</f>
        <v>250.5</v>
      </c>
      <c r="L11" s="13">
        <f>SUM('Hewitt Junior 0390'!L11)</f>
        <v>238.5</v>
      </c>
      <c r="M11" s="13">
        <f>SUM('Hewitt Junior 0390'!M11)</f>
        <v>228.75</v>
      </c>
      <c r="N11" s="13">
        <f>SUM('Hewitt Junior 0390'!N11)</f>
        <v>228</v>
      </c>
      <c r="O11" s="18">
        <f>SUM('Hewitt Junior 0390'!O11)</f>
        <v>242.50500000000002</v>
      </c>
      <c r="P11" s="13">
        <f>SUM('Hewitt-Trussville High'!P11)</f>
        <v>243</v>
      </c>
      <c r="Q11" s="13">
        <f>SUM('Hewitt-Trussville High'!Q11)</f>
        <v>255</v>
      </c>
      <c r="R11" s="13">
        <f>SUM('Hewitt-Trussville High'!R11)</f>
        <v>234.75</v>
      </c>
      <c r="S11" s="13">
        <f>SUM('Hewitt-Trussville High'!S11)</f>
        <v>208.5</v>
      </c>
      <c r="T11" s="13">
        <f>SUM('Hewitt-Trussville High'!T11)</f>
        <v>245.25</v>
      </c>
    </row>
    <row r="12" spans="1:20" x14ac:dyDescent="0.25">
      <c r="A12" t="s">
        <v>22</v>
      </c>
      <c r="B12" s="13">
        <f>SUM('Hewitt-Trussville High'!B12)</f>
        <v>347.25</v>
      </c>
      <c r="C12" s="13">
        <f>SUM('Hewitt-Trussville High'!C12)</f>
        <v>343.5</v>
      </c>
      <c r="D12" s="13">
        <f>SUM('Hewitt-Trussville High'!D12)</f>
        <v>363</v>
      </c>
      <c r="E12" s="13">
        <f>SUM('Hewitt-Trussville High'!E12)</f>
        <v>365.25</v>
      </c>
      <c r="F12" s="13">
        <f>SUM('Hewitt-Trussville High'!F12)</f>
        <v>391.5</v>
      </c>
      <c r="G12" s="13">
        <f>SUM('Hewitt-Trussville High'!G12)</f>
        <v>398.25</v>
      </c>
      <c r="H12" s="13">
        <f>SUM('Hewitt-Trussville High'!H12)</f>
        <v>461.25</v>
      </c>
      <c r="I12" s="13">
        <f>SUM('Hewitt-Trussville High'!I12)</f>
        <v>231</v>
      </c>
      <c r="J12" s="13">
        <f>SUM('Hewitt-Trussville High'!J12)</f>
        <v>205.5</v>
      </c>
      <c r="K12" s="13">
        <f>SUM('Hewitt-Trussville High'!K12)</f>
        <v>220.5</v>
      </c>
      <c r="L12" s="13">
        <f>SUM('Hewitt-Trussville High'!L12)</f>
        <v>242.25</v>
      </c>
      <c r="M12" s="13">
        <f>SUM('Hewitt-Trussville High'!M12)</f>
        <v>233.25</v>
      </c>
      <c r="N12" s="13">
        <f>SUM('Hewitt-Trussville High'!N12)</f>
        <v>232.5</v>
      </c>
      <c r="O12" s="18">
        <f>SUM('Hewitt-Trussville High'!O12)</f>
        <v>232.5</v>
      </c>
      <c r="P12" s="13">
        <f>SUM('Hewitt-Trussville High'!P12)</f>
        <v>247.5</v>
      </c>
      <c r="Q12" s="13">
        <f>SUM('Hewitt-Trussville High'!Q12)</f>
        <v>247.86</v>
      </c>
      <c r="R12" s="13">
        <f>SUM('Hewitt-Trussville High'!R12)</f>
        <v>260.10000000000002</v>
      </c>
      <c r="S12" s="13">
        <f>SUM('Hewitt-Trussville High'!S12)</f>
        <v>239.44499999999999</v>
      </c>
      <c r="T12" s="13">
        <f>SUM('Hewitt-Trussville High'!T12)</f>
        <v>212.67000000000002</v>
      </c>
    </row>
    <row r="13" spans="1:20" x14ac:dyDescent="0.25">
      <c r="A13" t="s">
        <v>23</v>
      </c>
      <c r="B13" s="13">
        <f>SUM('Hewitt-Trussville High'!B13)</f>
        <v>272.25</v>
      </c>
      <c r="C13" s="13">
        <f>SUM('Hewitt-Trussville High'!C13)</f>
        <v>316.5</v>
      </c>
      <c r="D13" s="13">
        <f>SUM('Hewitt-Trussville High'!D13)</f>
        <v>291.75</v>
      </c>
      <c r="E13" s="13">
        <f>SUM('Hewitt-Trussville High'!E13)</f>
        <v>313.5</v>
      </c>
      <c r="F13" s="13">
        <f>SUM('Hewitt-Trussville High'!F13)</f>
        <v>329.25</v>
      </c>
      <c r="G13" s="13">
        <f>SUM('Hewitt-Trussville High'!G13)</f>
        <v>340.5</v>
      </c>
      <c r="H13" s="13">
        <f>SUM('Hewitt-Trussville High'!H13)</f>
        <v>380.25</v>
      </c>
      <c r="I13" s="13">
        <f>SUM('Hewitt-Trussville High'!I13)</f>
        <v>297.75</v>
      </c>
      <c r="J13" s="13">
        <f>SUM('Hewitt-Trussville High'!J13)</f>
        <v>216.75</v>
      </c>
      <c r="K13" s="13">
        <f>SUM('Hewitt-Trussville High'!K13)</f>
        <v>197.25</v>
      </c>
      <c r="L13" s="13">
        <f>SUM('Hewitt-Trussville High'!L13)</f>
        <v>213</v>
      </c>
      <c r="M13" s="13">
        <f>SUM('Hewitt-Trussville High'!M13)</f>
        <v>232.5</v>
      </c>
      <c r="N13" s="13">
        <f>SUM('Hewitt-Trussville High'!N13)</f>
        <v>228.75</v>
      </c>
      <c r="O13" s="18">
        <f>SUM('Hewitt-Trussville High'!O13)</f>
        <v>237.14999999999998</v>
      </c>
      <c r="P13" s="13">
        <f>SUM('Hewitt-Trussville High'!P13)</f>
        <v>237.14999999999998</v>
      </c>
      <c r="Q13" s="13">
        <f>SUM('Hewitt-Trussville High'!Q13)</f>
        <v>252.45000000000002</v>
      </c>
      <c r="R13" s="13">
        <f>SUM('Hewitt-Trussville High'!R13)</f>
        <v>252.81720000000001</v>
      </c>
      <c r="S13" s="13">
        <f>SUM('Hewitt-Trussville High'!S13)</f>
        <v>265.30200000000002</v>
      </c>
      <c r="T13" s="13">
        <f>SUM('Hewitt-Trussville High'!T13)</f>
        <v>244.23390000000001</v>
      </c>
    </row>
    <row r="14" spans="1:20" ht="13" thickBot="1" x14ac:dyDescent="0.3">
      <c r="A14" t="s">
        <v>24</v>
      </c>
      <c r="B14" s="12">
        <f>SUM('Hewitt-Trussville High'!B14)</f>
        <v>271.5</v>
      </c>
      <c r="C14" s="12">
        <f>SUM('Hewitt-Trussville High'!C14)</f>
        <v>241.5</v>
      </c>
      <c r="D14" s="12">
        <f>SUM('Hewitt-Trussville High'!D14)</f>
        <v>269.25</v>
      </c>
      <c r="E14" s="12">
        <f>SUM('Hewitt-Trussville High'!E14)</f>
        <v>254.25</v>
      </c>
      <c r="F14" s="12">
        <f>SUM('Hewitt-Trussville High'!F14)</f>
        <v>285.75</v>
      </c>
      <c r="G14" s="12">
        <f>SUM('Hewitt-Trussville High'!G14)</f>
        <v>306.75</v>
      </c>
      <c r="H14" s="12">
        <f>SUM('Hewitt-Trussville High'!H14)</f>
        <v>296.25</v>
      </c>
      <c r="I14" s="12">
        <f>SUM('Hewitt-Trussville High'!I14)</f>
        <v>317.25</v>
      </c>
      <c r="J14" s="12">
        <f>SUM('Hewitt-Trussville High'!J14)</f>
        <v>285.75</v>
      </c>
      <c r="K14" s="12">
        <f>SUM('Hewitt-Trussville High'!K14)</f>
        <v>212.25</v>
      </c>
      <c r="L14" s="12">
        <f>SUM('Hewitt-Trussville High'!L14)</f>
        <v>184.5</v>
      </c>
      <c r="M14" s="12">
        <f>SUM('Hewitt-Trussville High'!M14)</f>
        <v>211.5</v>
      </c>
      <c r="N14" s="12">
        <f>SUM('Hewitt-Trussville High'!N14)</f>
        <v>228.75</v>
      </c>
      <c r="O14" s="19">
        <f>SUM('Hewitt-Trussville High'!O14)</f>
        <v>233.32500000000002</v>
      </c>
      <c r="P14" s="12">
        <f>SUM('Hewitt-Trussville High'!P14)</f>
        <v>241.893</v>
      </c>
      <c r="Q14" s="12">
        <f>SUM('Hewitt-Trussville High'!Q14)</f>
        <v>241.893</v>
      </c>
      <c r="R14" s="12">
        <f>SUM('Hewitt-Trussville High'!R14)</f>
        <v>257.49900000000002</v>
      </c>
      <c r="S14" s="12">
        <f>SUM('Hewitt-Trussville High'!S14)</f>
        <v>257.87354400000004</v>
      </c>
      <c r="T14" s="12">
        <f>SUM('Hewitt-Trussville High'!T14)</f>
        <v>270.60804000000002</v>
      </c>
    </row>
    <row r="15" spans="1:20" ht="13" thickTop="1" x14ac:dyDescent="0.25">
      <c r="A15" t="s">
        <v>25</v>
      </c>
      <c r="B15" s="11">
        <f>SUM(B2:B14)</f>
        <v>3353.25</v>
      </c>
      <c r="C15" s="11">
        <f>SUM(C2:C14)</f>
        <v>3481.5</v>
      </c>
      <c r="D15" s="11">
        <f>SUM(D2:D14)</f>
        <v>3578.25</v>
      </c>
      <c r="E15" s="11">
        <f>SUM(E2:E14)</f>
        <v>3626.25</v>
      </c>
      <c r="F15" s="11">
        <f t="shared" ref="F15:N15" si="0">SUM(F2:F14)</f>
        <v>3817.5</v>
      </c>
      <c r="G15" s="11">
        <f t="shared" si="0"/>
        <v>3912</v>
      </c>
      <c r="H15" s="11">
        <f t="shared" si="0"/>
        <v>4077.75</v>
      </c>
      <c r="I15" s="11">
        <f t="shared" si="0"/>
        <v>2978.25</v>
      </c>
      <c r="J15" s="11">
        <f t="shared" si="0"/>
        <v>2913.75</v>
      </c>
      <c r="K15" s="13">
        <f t="shared" si="0"/>
        <v>2834.25</v>
      </c>
      <c r="L15" s="13">
        <f t="shared" si="0"/>
        <v>2805</v>
      </c>
      <c r="M15" s="13">
        <f t="shared" si="0"/>
        <v>2826</v>
      </c>
      <c r="N15" s="13">
        <f t="shared" si="0"/>
        <v>2832</v>
      </c>
      <c r="O15" s="18">
        <f t="shared" ref="O15:T15" si="1">SUM(O2:O14)</f>
        <v>2851.6350000000002</v>
      </c>
      <c r="P15" s="11">
        <f t="shared" si="1"/>
        <v>2892.5430000000001</v>
      </c>
      <c r="Q15" s="11">
        <f t="shared" si="1"/>
        <v>2907.3629999999998</v>
      </c>
      <c r="R15" s="11">
        <f t="shared" si="1"/>
        <v>2926.5303000000004</v>
      </c>
      <c r="S15" s="11">
        <f t="shared" si="1"/>
        <v>2933.6860320000005</v>
      </c>
      <c r="T15" s="11">
        <f t="shared" si="1"/>
        <v>2945.9583114000006</v>
      </c>
    </row>
    <row r="16" spans="1:20" x14ac:dyDescent="0.25">
      <c r="A16" t="s">
        <v>26</v>
      </c>
      <c r="B16" s="10"/>
      <c r="C16" s="11">
        <f>SUM(C15-B15)</f>
        <v>128.25</v>
      </c>
      <c r="D16" s="11">
        <f>SUM(D15-C15)</f>
        <v>96.75</v>
      </c>
      <c r="E16" s="11">
        <f>SUM(E15-D15)</f>
        <v>48</v>
      </c>
      <c r="F16" s="11">
        <f>SUM(F15-E15)</f>
        <v>191.25</v>
      </c>
      <c r="G16" s="11">
        <f t="shared" ref="G16:N16" si="2">SUM(G15-F15)</f>
        <v>94.5</v>
      </c>
      <c r="H16" s="11">
        <f t="shared" si="2"/>
        <v>165.75</v>
      </c>
      <c r="I16" s="11">
        <f t="shared" si="2"/>
        <v>-1099.5</v>
      </c>
      <c r="J16" s="11">
        <f t="shared" si="2"/>
        <v>-64.5</v>
      </c>
      <c r="K16" s="13">
        <f t="shared" si="2"/>
        <v>-79.5</v>
      </c>
      <c r="L16" s="13">
        <f t="shared" si="2"/>
        <v>-29.25</v>
      </c>
      <c r="M16" s="13">
        <f t="shared" si="2"/>
        <v>21</v>
      </c>
      <c r="N16" s="13">
        <f t="shared" si="2"/>
        <v>6</v>
      </c>
      <c r="O16" s="18">
        <f t="shared" ref="O16:T16" si="3">SUM(O15-N15)</f>
        <v>19.635000000000218</v>
      </c>
      <c r="P16" s="11">
        <f t="shared" si="3"/>
        <v>40.907999999999902</v>
      </c>
      <c r="Q16" s="11">
        <f t="shared" si="3"/>
        <v>14.819999999999709</v>
      </c>
      <c r="R16" s="11">
        <f t="shared" si="3"/>
        <v>19.167300000000523</v>
      </c>
      <c r="S16" s="11">
        <f t="shared" si="3"/>
        <v>7.155732000000171</v>
      </c>
      <c r="T16" s="11">
        <f t="shared" si="3"/>
        <v>12.272279400000116</v>
      </c>
    </row>
    <row r="19" spans="14:14" x14ac:dyDescent="0.25">
      <c r="N19" s="3"/>
    </row>
  </sheetData>
  <phoneticPr fontId="0" type="noConversion"/>
  <printOptions horizontalCentered="1"/>
  <pageMargins left="0.75" right="0.75" top="1.79" bottom="1" header="0.56000000000000005" footer="0.5"/>
  <pageSetup orientation="landscape" r:id="rId1"/>
  <headerFooter alignWithMargins="0">
    <oddHeader>&amp;C&amp;"Arial,Bold"&amp;16System-Wide Data
Student Enrollment Data
1990-2008
75% of Actuals</oddHeader>
    <oddFooter>&amp;C&amp;8&amp;F 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workbookViewId="0">
      <selection activeCell="R14" sqref="R14"/>
    </sheetView>
  </sheetViews>
  <sheetFormatPr defaultRowHeight="12.5" x14ac:dyDescent="0.25"/>
  <cols>
    <col min="1" max="1" width="9.1796875" style="10" bestFit="1" customWidth="1"/>
    <col min="2" max="14" width="6" style="10" bestFit="1" customWidth="1"/>
    <col min="15" max="15" width="6" bestFit="1" customWidth="1"/>
    <col min="16" max="16" width="8.7265625" customWidth="1"/>
    <col min="17" max="17" width="8.7265625" hidden="1" customWidth="1"/>
    <col min="18" max="19" width="8.81640625" customWidth="1"/>
    <col min="20" max="21" width="8.7265625" customWidth="1"/>
  </cols>
  <sheetData>
    <row r="1" spans="1:23" ht="13" thickBot="1" x14ac:dyDescent="0.3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Q1">
        <v>0.75</v>
      </c>
      <c r="T1" s="5"/>
      <c r="U1" s="5"/>
      <c r="W1" s="7"/>
    </row>
    <row r="2" spans="1:23" ht="13" thickTop="1" x14ac:dyDescent="0.25">
      <c r="A2" s="10" t="s">
        <v>28</v>
      </c>
      <c r="B2" s="11">
        <f>SUM(B20*$Q$1)</f>
        <v>191.25</v>
      </c>
      <c r="C2" s="11">
        <f t="shared" ref="C2:O2" si="0">SUM(C20*$Q$1)</f>
        <v>192.75</v>
      </c>
      <c r="D2" s="11">
        <f t="shared" si="0"/>
        <v>178.5</v>
      </c>
      <c r="E2" s="11">
        <f t="shared" si="0"/>
        <v>202.5</v>
      </c>
      <c r="F2" s="11">
        <f t="shared" si="0"/>
        <v>201</v>
      </c>
      <c r="G2" s="11">
        <f t="shared" si="0"/>
        <v>180</v>
      </c>
      <c r="H2" s="11">
        <f t="shared" si="0"/>
        <v>208.5</v>
      </c>
      <c r="I2" s="11">
        <f t="shared" si="0"/>
        <v>195.75</v>
      </c>
      <c r="J2" s="11">
        <f t="shared" si="0"/>
        <v>192</v>
      </c>
      <c r="K2" s="11">
        <f t="shared" si="0"/>
        <v>189</v>
      </c>
      <c r="L2" s="11">
        <f t="shared" si="0"/>
        <v>189</v>
      </c>
      <c r="M2" s="11">
        <f t="shared" si="0"/>
        <v>175.5</v>
      </c>
      <c r="N2" s="21">
        <f t="shared" si="0"/>
        <v>192.75</v>
      </c>
      <c r="O2" s="11">
        <f t="shared" si="0"/>
        <v>196.60499999999999</v>
      </c>
      <c r="T2" s="3"/>
      <c r="U2" s="3"/>
    </row>
    <row r="3" spans="1:23" x14ac:dyDescent="0.25">
      <c r="A3" s="10" t="s">
        <v>13</v>
      </c>
      <c r="B3" s="11">
        <f t="shared" ref="B3:O6" si="1">SUM(B21*$Q$1)</f>
        <v>209.25</v>
      </c>
      <c r="C3" s="11">
        <f t="shared" si="1"/>
        <v>207.75</v>
      </c>
      <c r="D3" s="11">
        <f t="shared" si="1"/>
        <v>198.75</v>
      </c>
      <c r="E3" s="11">
        <f t="shared" si="1"/>
        <v>184.5</v>
      </c>
      <c r="F3" s="11">
        <f t="shared" si="1"/>
        <v>216.75</v>
      </c>
      <c r="G3" s="11">
        <f t="shared" si="1"/>
        <v>207.75</v>
      </c>
      <c r="H3" s="11">
        <f t="shared" si="1"/>
        <v>195</v>
      </c>
      <c r="I3" s="11">
        <f t="shared" si="1"/>
        <v>209.25</v>
      </c>
      <c r="J3" s="11">
        <f t="shared" si="1"/>
        <v>198</v>
      </c>
      <c r="K3" s="11">
        <f t="shared" si="1"/>
        <v>177</v>
      </c>
      <c r="L3" s="11">
        <f t="shared" si="1"/>
        <v>195.75</v>
      </c>
      <c r="M3" s="11">
        <f t="shared" si="1"/>
        <v>189</v>
      </c>
      <c r="N3" s="22">
        <f t="shared" si="1"/>
        <v>187.5</v>
      </c>
      <c r="O3" s="11">
        <f t="shared" si="1"/>
        <v>196.60499999999999</v>
      </c>
      <c r="T3" s="3"/>
      <c r="U3" s="3"/>
    </row>
    <row r="4" spans="1:23" x14ac:dyDescent="0.25">
      <c r="A4" s="10" t="s">
        <v>14</v>
      </c>
      <c r="B4" s="11">
        <f t="shared" si="1"/>
        <v>174</v>
      </c>
      <c r="C4" s="11">
        <f t="shared" si="1"/>
        <v>207.75</v>
      </c>
      <c r="D4" s="11">
        <f t="shared" si="1"/>
        <v>216</v>
      </c>
      <c r="E4" s="11">
        <f t="shared" si="1"/>
        <v>189</v>
      </c>
      <c r="F4" s="11">
        <f t="shared" si="1"/>
        <v>174.75</v>
      </c>
      <c r="G4" s="11">
        <f t="shared" si="1"/>
        <v>209.25</v>
      </c>
      <c r="H4" s="11">
        <f t="shared" si="1"/>
        <v>204.75</v>
      </c>
      <c r="I4" s="11">
        <f t="shared" si="1"/>
        <v>180</v>
      </c>
      <c r="J4" s="11">
        <f t="shared" si="1"/>
        <v>219</v>
      </c>
      <c r="K4" s="11">
        <f t="shared" si="1"/>
        <v>202.5</v>
      </c>
      <c r="L4" s="11">
        <f t="shared" si="1"/>
        <v>180.75</v>
      </c>
      <c r="M4" s="11">
        <f t="shared" si="1"/>
        <v>200.25</v>
      </c>
      <c r="N4" s="22">
        <f t="shared" si="1"/>
        <v>195</v>
      </c>
      <c r="O4" s="11">
        <f t="shared" si="1"/>
        <v>191.25</v>
      </c>
      <c r="T4" s="3"/>
      <c r="U4" s="3"/>
    </row>
    <row r="5" spans="1:23" x14ac:dyDescent="0.25">
      <c r="A5" s="10" t="s">
        <v>15</v>
      </c>
      <c r="B5" s="11">
        <f t="shared" si="1"/>
        <v>180</v>
      </c>
      <c r="C5" s="11">
        <f t="shared" si="1"/>
        <v>174.75</v>
      </c>
      <c r="D5" s="11">
        <f t="shared" si="1"/>
        <v>216.75</v>
      </c>
      <c r="E5" s="11">
        <f t="shared" si="1"/>
        <v>214.5</v>
      </c>
      <c r="F5" s="11">
        <f t="shared" si="1"/>
        <v>209.25</v>
      </c>
      <c r="G5" s="11">
        <f t="shared" si="1"/>
        <v>187.5</v>
      </c>
      <c r="H5" s="11">
        <f t="shared" si="1"/>
        <v>222.75</v>
      </c>
      <c r="I5" s="11">
        <f t="shared" si="1"/>
        <v>216.75</v>
      </c>
      <c r="J5" s="11">
        <f t="shared" si="1"/>
        <v>205.5</v>
      </c>
      <c r="K5" s="11">
        <f t="shared" si="1"/>
        <v>235.5</v>
      </c>
      <c r="L5" s="11">
        <f t="shared" si="1"/>
        <v>222</v>
      </c>
      <c r="M5" s="11">
        <f t="shared" si="1"/>
        <v>190.5</v>
      </c>
      <c r="N5" s="22">
        <f t="shared" si="1"/>
        <v>219</v>
      </c>
      <c r="O5" s="11">
        <f t="shared" si="1"/>
        <v>198.89999999999998</v>
      </c>
      <c r="T5" s="3"/>
      <c r="U5" s="3"/>
    </row>
    <row r="6" spans="1:23" x14ac:dyDescent="0.25">
      <c r="A6" s="10" t="s">
        <v>16</v>
      </c>
      <c r="B6" s="11">
        <f t="shared" si="1"/>
        <v>204</v>
      </c>
      <c r="C6" s="11">
        <f t="shared" si="1"/>
        <v>186</v>
      </c>
      <c r="D6" s="11">
        <f t="shared" si="1"/>
        <v>180.75</v>
      </c>
      <c r="E6" s="11">
        <f t="shared" si="1"/>
        <v>212.25</v>
      </c>
      <c r="F6" s="11">
        <f t="shared" si="1"/>
        <v>219</v>
      </c>
      <c r="G6" s="11">
        <f t="shared" si="1"/>
        <v>205.5</v>
      </c>
      <c r="H6" s="11">
        <f t="shared" si="1"/>
        <v>192</v>
      </c>
      <c r="I6" s="11">
        <f t="shared" si="1"/>
        <v>214.5</v>
      </c>
      <c r="J6" s="11">
        <f t="shared" si="1"/>
        <v>225.75</v>
      </c>
      <c r="K6" s="11">
        <f t="shared" si="1"/>
        <v>210</v>
      </c>
      <c r="L6" s="11">
        <f t="shared" si="1"/>
        <v>232.5</v>
      </c>
      <c r="M6" s="11">
        <f t="shared" si="1"/>
        <v>216</v>
      </c>
      <c r="N6" s="22">
        <f t="shared" si="1"/>
        <v>189.75</v>
      </c>
      <c r="O6" s="11">
        <f t="shared" si="1"/>
        <v>223.38000000000002</v>
      </c>
      <c r="T6" s="3"/>
      <c r="U6" s="3"/>
    </row>
    <row r="7" spans="1:23" x14ac:dyDescent="0.25">
      <c r="A7" s="10" t="s">
        <v>17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8"/>
      <c r="T7" s="3"/>
      <c r="U7" s="3"/>
    </row>
    <row r="8" spans="1:23" x14ac:dyDescent="0.25">
      <c r="A8" s="10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8"/>
      <c r="T8" s="3"/>
      <c r="U8" s="3"/>
    </row>
    <row r="9" spans="1:23" x14ac:dyDescent="0.25">
      <c r="A9" s="10" t="s">
        <v>19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8"/>
      <c r="T9" s="3"/>
      <c r="U9" s="3"/>
    </row>
    <row r="10" spans="1:23" x14ac:dyDescent="0.25">
      <c r="A10" s="10" t="s">
        <v>20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8"/>
      <c r="T10" s="3"/>
      <c r="U10" s="3"/>
    </row>
    <row r="11" spans="1:23" x14ac:dyDescent="0.25">
      <c r="A11" s="10" t="s">
        <v>21</v>
      </c>
      <c r="B11" s="11"/>
      <c r="O11" s="20"/>
    </row>
    <row r="12" spans="1:23" x14ac:dyDescent="0.25">
      <c r="A12" s="10" t="s">
        <v>22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8"/>
      <c r="T12" s="3"/>
      <c r="U12" s="3"/>
    </row>
    <row r="13" spans="1:23" x14ac:dyDescent="0.25">
      <c r="A13" s="10" t="s">
        <v>23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8"/>
      <c r="T13" s="3"/>
      <c r="U13" s="3"/>
    </row>
    <row r="14" spans="1:23" ht="13" thickBot="1" x14ac:dyDescent="0.3">
      <c r="A14" s="10" t="s">
        <v>24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9"/>
      <c r="T14" s="4"/>
      <c r="U14" s="4"/>
    </row>
    <row r="15" spans="1:23" ht="13" thickTop="1" x14ac:dyDescent="0.25">
      <c r="A15" s="10" t="s">
        <v>25</v>
      </c>
      <c r="B15" s="11">
        <f>SUM(B2:B14)</f>
        <v>958.5</v>
      </c>
      <c r="C15" s="11">
        <f>SUM(C2:C14)</f>
        <v>969</v>
      </c>
      <c r="D15" s="11">
        <f>SUM(D2:D14)</f>
        <v>990.75</v>
      </c>
      <c r="E15" s="11">
        <f>SUM(E2:E14)</f>
        <v>1002.75</v>
      </c>
      <c r="F15" s="11">
        <f t="shared" ref="F15:K15" si="2">SUM(F2:F14)</f>
        <v>1020.75</v>
      </c>
      <c r="G15" s="11">
        <f t="shared" si="2"/>
        <v>990</v>
      </c>
      <c r="H15" s="11">
        <f t="shared" si="2"/>
        <v>1023</v>
      </c>
      <c r="I15" s="11">
        <f t="shared" si="2"/>
        <v>1016.25</v>
      </c>
      <c r="J15" s="11">
        <f t="shared" si="2"/>
        <v>1040.25</v>
      </c>
      <c r="K15" s="11">
        <f t="shared" si="2"/>
        <v>1014</v>
      </c>
      <c r="L15" s="11">
        <f>SUM(L2:L8)</f>
        <v>1020</v>
      </c>
      <c r="M15" s="11">
        <f>SUM(M2:M8)</f>
        <v>971.25</v>
      </c>
      <c r="N15" s="11">
        <f>SUM(N2:N8)</f>
        <v>984</v>
      </c>
      <c r="O15" s="18">
        <f>SUM(O2:O8)</f>
        <v>1006.74</v>
      </c>
      <c r="T15" s="3"/>
      <c r="U15" s="3"/>
    </row>
    <row r="16" spans="1:23" x14ac:dyDescent="0.25">
      <c r="A16" s="10" t="s">
        <v>26</v>
      </c>
      <c r="B16" s="11"/>
      <c r="C16" s="11">
        <f>SUM(C15-B15)</f>
        <v>10.5</v>
      </c>
      <c r="D16" s="11">
        <f>SUM(D15-C15)</f>
        <v>21.75</v>
      </c>
      <c r="E16" s="11">
        <f>SUM(E15-D15)</f>
        <v>12</v>
      </c>
      <c r="F16" s="11">
        <f>SUM(F15-E15)</f>
        <v>18</v>
      </c>
      <c r="G16" s="11">
        <f>SUM(G15-F15)</f>
        <v>-30.75</v>
      </c>
      <c r="H16" s="11">
        <f t="shared" ref="H16:O16" si="3">SUM(H15-G15)</f>
        <v>33</v>
      </c>
      <c r="I16" s="11">
        <f t="shared" si="3"/>
        <v>-6.75</v>
      </c>
      <c r="J16" s="11">
        <f t="shared" si="3"/>
        <v>24</v>
      </c>
      <c r="K16" s="11">
        <f t="shared" si="3"/>
        <v>-26.25</v>
      </c>
      <c r="L16" s="11">
        <f t="shared" si="3"/>
        <v>6</v>
      </c>
      <c r="M16" s="11">
        <f t="shared" si="3"/>
        <v>-48.75</v>
      </c>
      <c r="N16" s="11">
        <f t="shared" si="3"/>
        <v>12.75</v>
      </c>
      <c r="O16" s="18">
        <f t="shared" si="3"/>
        <v>22.740000000000009</v>
      </c>
      <c r="T16" s="3"/>
      <c r="U16" s="3"/>
    </row>
    <row r="20" spans="2:15" hidden="1" x14ac:dyDescent="0.25">
      <c r="B20" s="11">
        <v>255</v>
      </c>
      <c r="C20" s="11">
        <v>257</v>
      </c>
      <c r="D20" s="11">
        <v>238</v>
      </c>
      <c r="E20" s="11">
        <v>270</v>
      </c>
      <c r="F20" s="11">
        <v>268</v>
      </c>
      <c r="G20" s="11">
        <v>240</v>
      </c>
      <c r="H20" s="11">
        <v>278</v>
      </c>
      <c r="I20" s="11">
        <v>261</v>
      </c>
      <c r="J20" s="11">
        <v>256</v>
      </c>
      <c r="K20" s="11">
        <v>252</v>
      </c>
      <c r="L20" s="11">
        <v>252</v>
      </c>
      <c r="M20" s="11">
        <v>234</v>
      </c>
      <c r="N20" s="11">
        <v>257</v>
      </c>
      <c r="O20" s="18">
        <f>SUM(N20)*1.02</f>
        <v>262.14</v>
      </c>
    </row>
    <row r="21" spans="2:15" hidden="1" x14ac:dyDescent="0.25">
      <c r="B21" s="11">
        <v>279</v>
      </c>
      <c r="C21" s="11">
        <v>277</v>
      </c>
      <c r="D21" s="11">
        <v>265</v>
      </c>
      <c r="E21" s="11">
        <v>246</v>
      </c>
      <c r="F21" s="11">
        <v>289</v>
      </c>
      <c r="G21" s="11">
        <v>277</v>
      </c>
      <c r="H21" s="11">
        <v>260</v>
      </c>
      <c r="I21" s="11">
        <v>279</v>
      </c>
      <c r="J21" s="11">
        <v>264</v>
      </c>
      <c r="K21" s="11">
        <v>236</v>
      </c>
      <c r="L21" s="11">
        <v>261</v>
      </c>
      <c r="M21" s="11">
        <v>252</v>
      </c>
      <c r="N21" s="11">
        <v>250</v>
      </c>
      <c r="O21" s="18">
        <f>SUM(N20)*1.02</f>
        <v>262.14</v>
      </c>
    </row>
    <row r="22" spans="2:15" hidden="1" x14ac:dyDescent="0.25">
      <c r="B22" s="11">
        <v>232</v>
      </c>
      <c r="C22" s="11">
        <v>277</v>
      </c>
      <c r="D22" s="11">
        <v>288</v>
      </c>
      <c r="E22" s="11">
        <v>252</v>
      </c>
      <c r="F22" s="11">
        <v>233</v>
      </c>
      <c r="G22" s="11">
        <v>279</v>
      </c>
      <c r="H22" s="11">
        <v>273</v>
      </c>
      <c r="I22" s="11">
        <v>240</v>
      </c>
      <c r="J22" s="11">
        <v>292</v>
      </c>
      <c r="K22" s="11">
        <v>270</v>
      </c>
      <c r="L22" s="11">
        <v>241</v>
      </c>
      <c r="M22" s="11">
        <v>267</v>
      </c>
      <c r="N22" s="11">
        <v>260</v>
      </c>
      <c r="O22" s="18">
        <f>SUM(N21)*1.02</f>
        <v>255</v>
      </c>
    </row>
    <row r="23" spans="2:15" hidden="1" x14ac:dyDescent="0.25">
      <c r="B23" s="11">
        <v>240</v>
      </c>
      <c r="C23" s="11">
        <v>233</v>
      </c>
      <c r="D23" s="11">
        <v>289</v>
      </c>
      <c r="E23" s="11">
        <v>286</v>
      </c>
      <c r="F23" s="11">
        <v>279</v>
      </c>
      <c r="G23" s="11">
        <v>250</v>
      </c>
      <c r="H23" s="11">
        <v>297</v>
      </c>
      <c r="I23" s="11">
        <v>289</v>
      </c>
      <c r="J23" s="11">
        <v>274</v>
      </c>
      <c r="K23" s="11">
        <v>314</v>
      </c>
      <c r="L23" s="11">
        <v>296</v>
      </c>
      <c r="M23" s="11">
        <v>254</v>
      </c>
      <c r="N23" s="11">
        <v>292</v>
      </c>
      <c r="O23" s="18">
        <f>SUM(N22)*1.02</f>
        <v>265.2</v>
      </c>
    </row>
    <row r="24" spans="2:15" hidden="1" x14ac:dyDescent="0.25">
      <c r="B24" s="11">
        <v>272</v>
      </c>
      <c r="C24" s="11">
        <v>248</v>
      </c>
      <c r="D24" s="11">
        <v>241</v>
      </c>
      <c r="E24" s="11">
        <v>283</v>
      </c>
      <c r="F24" s="11">
        <v>292</v>
      </c>
      <c r="G24" s="11">
        <v>274</v>
      </c>
      <c r="H24" s="11">
        <v>256</v>
      </c>
      <c r="I24" s="11">
        <v>286</v>
      </c>
      <c r="J24" s="11">
        <v>301</v>
      </c>
      <c r="K24" s="11">
        <v>280</v>
      </c>
      <c r="L24" s="11">
        <v>310</v>
      </c>
      <c r="M24" s="11">
        <v>288</v>
      </c>
      <c r="N24" s="11">
        <v>253</v>
      </c>
      <c r="O24" s="18">
        <f>SUM(N23)*1.02</f>
        <v>297.84000000000003</v>
      </c>
    </row>
    <row r="34" spans="3:21" x14ac:dyDescent="0.25">
      <c r="L34"/>
      <c r="M34"/>
      <c r="N34"/>
    </row>
    <row r="35" spans="3:21" x14ac:dyDescent="0.25">
      <c r="L35"/>
      <c r="M35"/>
      <c r="N35"/>
    </row>
    <row r="36" spans="3:21" x14ac:dyDescent="0.25">
      <c r="C36" s="11"/>
      <c r="D36" s="11"/>
      <c r="E36" s="11"/>
      <c r="F36" s="11"/>
      <c r="G36" s="11"/>
      <c r="H36" s="11"/>
      <c r="I36" s="11"/>
      <c r="J36" s="11"/>
      <c r="K36" s="11"/>
      <c r="L36"/>
      <c r="M36"/>
      <c r="N36"/>
      <c r="T36" s="3"/>
      <c r="U36" s="3"/>
    </row>
    <row r="37" spans="3:21" x14ac:dyDescent="0.25">
      <c r="L37"/>
      <c r="M37"/>
      <c r="N37"/>
    </row>
    <row r="38" spans="3:21" x14ac:dyDescent="0.25">
      <c r="L38"/>
      <c r="M38"/>
      <c r="N38"/>
    </row>
  </sheetData>
  <phoneticPr fontId="0" type="noConversion"/>
  <printOptions horizontalCentered="1"/>
  <pageMargins left="0.17" right="0.17" top="1.99" bottom="1" header="0.5" footer="0.5"/>
  <pageSetup orientation="landscape" r:id="rId1"/>
  <headerFooter alignWithMargins="0">
    <oddHeader>&amp;C&amp;"Arial,Bold"&amp;16System-Wide Data
Student Enrollment Data
1990-2003
Hewitt Elementary
75% of Actuals</oddHeader>
    <oddFooter>&amp;C&amp;8&amp;F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opLeftCell="C1" workbookViewId="0">
      <selection activeCell="R31" sqref="R31"/>
    </sheetView>
  </sheetViews>
  <sheetFormatPr defaultRowHeight="12.5" x14ac:dyDescent="0.25"/>
  <cols>
    <col min="1" max="1" width="9.1796875" style="10" bestFit="1" customWidth="1"/>
    <col min="2" max="19" width="6" style="10" bestFit="1" customWidth="1"/>
    <col min="20" max="20" width="6" bestFit="1" customWidth="1"/>
    <col min="21" max="21" width="8.7265625" hidden="1" customWidth="1"/>
  </cols>
  <sheetData>
    <row r="1" spans="1:23" ht="13" thickBot="1" x14ac:dyDescent="0.3">
      <c r="A1" s="2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17" t="s">
        <v>11</v>
      </c>
      <c r="Q1" s="2" t="s">
        <v>12</v>
      </c>
      <c r="R1" s="2" t="s">
        <v>27</v>
      </c>
      <c r="S1" s="2" t="s">
        <v>29</v>
      </c>
      <c r="T1" s="2" t="s">
        <v>41</v>
      </c>
      <c r="U1" s="5">
        <v>0.75</v>
      </c>
      <c r="W1" s="7"/>
    </row>
    <row r="2" spans="1:23" ht="13" thickTop="1" x14ac:dyDescent="0.25">
      <c r="A2" s="10" t="s">
        <v>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8">
        <f>SUM(P20*$U$1)</f>
        <v>200.25</v>
      </c>
      <c r="Q2" s="23">
        <f>SUM(Q20*$U$1)</f>
        <v>204.25500000000002</v>
      </c>
      <c r="R2" s="23">
        <f>SUM(R20*$U$1)</f>
        <v>208.34010000000001</v>
      </c>
      <c r="S2" s="23">
        <f>SUM(S20*$U$1)</f>
        <v>212.50690200000003</v>
      </c>
      <c r="T2" s="13">
        <f>SUM(T20*$U$1)</f>
        <v>216.75704004000005</v>
      </c>
      <c r="U2" s="3"/>
    </row>
    <row r="3" spans="1:23" x14ac:dyDescent="0.25">
      <c r="A3" s="10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8">
        <f t="shared" ref="P3:T7" si="0">SUM(P21*$U$1)</f>
        <v>195</v>
      </c>
      <c r="Q3" s="13">
        <f t="shared" si="0"/>
        <v>204.25500000000002</v>
      </c>
      <c r="R3" s="13">
        <f t="shared" si="0"/>
        <v>208.34010000000001</v>
      </c>
      <c r="S3" s="13">
        <f t="shared" si="0"/>
        <v>212.50690200000003</v>
      </c>
      <c r="T3" s="13">
        <f t="shared" si="0"/>
        <v>216.75704004000005</v>
      </c>
      <c r="U3" s="3"/>
    </row>
    <row r="4" spans="1:23" x14ac:dyDescent="0.25">
      <c r="A4" s="10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8">
        <f t="shared" si="0"/>
        <v>202.5</v>
      </c>
      <c r="Q4" s="13">
        <f t="shared" si="0"/>
        <v>198.89999999999998</v>
      </c>
      <c r="R4" s="13">
        <f t="shared" si="0"/>
        <v>208.34010000000001</v>
      </c>
      <c r="S4" s="13">
        <f t="shared" si="0"/>
        <v>212.50690200000003</v>
      </c>
      <c r="T4" s="13">
        <f t="shared" si="0"/>
        <v>216.75704004000005</v>
      </c>
      <c r="U4" s="3"/>
    </row>
    <row r="5" spans="1:23" x14ac:dyDescent="0.25">
      <c r="A5" s="10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8">
        <f t="shared" si="0"/>
        <v>227.25</v>
      </c>
      <c r="Q5" s="13">
        <f t="shared" si="0"/>
        <v>206.54999999999998</v>
      </c>
      <c r="R5" s="13">
        <f t="shared" si="0"/>
        <v>202.87800000000001</v>
      </c>
      <c r="S5" s="13">
        <f t="shared" si="0"/>
        <v>212.50690200000003</v>
      </c>
      <c r="T5" s="13">
        <f t="shared" si="0"/>
        <v>216.75704004000005</v>
      </c>
      <c r="U5" s="3"/>
    </row>
    <row r="6" spans="1:23" x14ac:dyDescent="0.25">
      <c r="A6" s="10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8">
        <f t="shared" si="0"/>
        <v>197.25</v>
      </c>
      <c r="Q6" s="13">
        <f t="shared" si="0"/>
        <v>231.79500000000002</v>
      </c>
      <c r="R6" s="13">
        <f t="shared" si="0"/>
        <v>210.68099999999998</v>
      </c>
      <c r="S6" s="13">
        <f t="shared" si="0"/>
        <v>206.93556000000001</v>
      </c>
      <c r="T6" s="13">
        <f t="shared" si="0"/>
        <v>216.75704004000005</v>
      </c>
      <c r="U6" s="3"/>
    </row>
    <row r="7" spans="1:23" x14ac:dyDescent="0.25">
      <c r="A7" s="10" t="s">
        <v>17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8">
        <f t="shared" si="0"/>
        <v>227.25</v>
      </c>
      <c r="Q7" s="13">
        <f t="shared" si="0"/>
        <v>201.19499999999999</v>
      </c>
      <c r="R7" s="13">
        <f t="shared" si="0"/>
        <v>236.43090000000001</v>
      </c>
      <c r="S7" s="13">
        <f t="shared" si="0"/>
        <v>214.89461999999997</v>
      </c>
      <c r="T7" s="13">
        <f t="shared" si="0"/>
        <v>211.07427120000003</v>
      </c>
      <c r="U7" s="3"/>
    </row>
    <row r="8" spans="1:23" x14ac:dyDescent="0.25">
      <c r="A8" s="10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8"/>
      <c r="Q8" s="11"/>
      <c r="R8" s="11"/>
      <c r="S8" s="11"/>
      <c r="T8" s="11"/>
      <c r="U8" s="3"/>
    </row>
    <row r="9" spans="1:23" x14ac:dyDescent="0.25">
      <c r="A9" s="10" t="s">
        <v>19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8"/>
      <c r="Q9" s="11"/>
      <c r="R9" s="11"/>
      <c r="S9" s="11"/>
      <c r="T9" s="11"/>
      <c r="U9" s="3"/>
    </row>
    <row r="10" spans="1:23" x14ac:dyDescent="0.25">
      <c r="A10" s="10" t="s">
        <v>20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8"/>
      <c r="Q10" s="11"/>
      <c r="R10" s="11"/>
      <c r="S10" s="11"/>
      <c r="T10" s="11"/>
      <c r="U10" s="3"/>
    </row>
    <row r="11" spans="1:23" x14ac:dyDescent="0.25">
      <c r="A11" s="10" t="s">
        <v>21</v>
      </c>
      <c r="B11" s="11"/>
      <c r="P11" s="20"/>
      <c r="T11" s="10"/>
    </row>
    <row r="12" spans="1:23" x14ac:dyDescent="0.25">
      <c r="A12" s="10" t="s">
        <v>22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8"/>
      <c r="Q12" s="11"/>
      <c r="R12" s="11"/>
      <c r="S12" s="11"/>
      <c r="T12" s="11"/>
      <c r="U12" s="3"/>
    </row>
    <row r="13" spans="1:23" x14ac:dyDescent="0.25">
      <c r="A13" s="10" t="s">
        <v>23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8"/>
      <c r="Q13" s="11"/>
      <c r="R13" s="11"/>
      <c r="S13" s="11"/>
      <c r="T13" s="11"/>
      <c r="U13" s="3"/>
    </row>
    <row r="14" spans="1:23" ht="13" thickBot="1" x14ac:dyDescent="0.3">
      <c r="A14" s="10" t="s">
        <v>24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9"/>
      <c r="Q14" s="12"/>
      <c r="R14" s="12"/>
      <c r="S14" s="12"/>
      <c r="T14" s="12"/>
      <c r="U14" s="4"/>
    </row>
    <row r="15" spans="1:23" ht="13" thickTop="1" x14ac:dyDescent="0.25">
      <c r="A15" s="10" t="s">
        <v>25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8">
        <f t="shared" ref="P15:S15" si="1">SUM(P2:P8)</f>
        <v>1249.5</v>
      </c>
      <c r="Q15" s="11">
        <f t="shared" si="1"/>
        <v>1246.95</v>
      </c>
      <c r="R15" s="11">
        <f t="shared" si="1"/>
        <v>1275.0102000000002</v>
      </c>
      <c r="S15" s="11">
        <f t="shared" si="1"/>
        <v>1271.8577880000003</v>
      </c>
      <c r="T15" s="11">
        <f>SUM(T2:T8)</f>
        <v>1294.8594714000003</v>
      </c>
      <c r="U15" s="3"/>
    </row>
    <row r="16" spans="1:23" x14ac:dyDescent="0.25">
      <c r="A16" s="10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8">
        <f>SUM(P15-O15)</f>
        <v>1249.5</v>
      </c>
      <c r="Q16" s="11">
        <f>SUM(Q15-P15)</f>
        <v>-2.5499999999999545</v>
      </c>
      <c r="R16" s="11">
        <f>SUM(R15-Q15)</f>
        <v>28.060200000000123</v>
      </c>
      <c r="S16" s="11">
        <f>SUM(S15-R15)</f>
        <v>-3.152411999999913</v>
      </c>
      <c r="T16" s="11">
        <f>SUM(T15-S15)</f>
        <v>23.001683400000047</v>
      </c>
      <c r="U16" s="3"/>
    </row>
    <row r="20" spans="16:20" hidden="1" x14ac:dyDescent="0.25">
      <c r="P20" s="18">
        <v>267</v>
      </c>
      <c r="Q20" s="11">
        <f>SUM(P20*1.02)</f>
        <v>272.34000000000003</v>
      </c>
      <c r="R20" s="11">
        <f>SUM(Q20*1.02)</f>
        <v>277.78680000000003</v>
      </c>
      <c r="S20" s="11">
        <f>SUM(R20*1.02)</f>
        <v>283.34253600000005</v>
      </c>
      <c r="T20" s="11">
        <f>SUM(S20*1.02)</f>
        <v>289.00938672000007</v>
      </c>
    </row>
    <row r="21" spans="16:20" hidden="1" x14ac:dyDescent="0.25">
      <c r="P21" s="18">
        <v>260</v>
      </c>
      <c r="Q21" s="11">
        <f>SUM(P20*1.02)</f>
        <v>272.34000000000003</v>
      </c>
      <c r="R21" s="11">
        <f>SUM(Q20*1.02)</f>
        <v>277.78680000000003</v>
      </c>
      <c r="S21" s="11">
        <f>SUM(R20*1.02)</f>
        <v>283.34253600000005</v>
      </c>
      <c r="T21" s="11">
        <f>SUM(S20*1.02)</f>
        <v>289.00938672000007</v>
      </c>
    </row>
    <row r="22" spans="16:20" hidden="1" x14ac:dyDescent="0.25">
      <c r="P22" s="18">
        <v>270</v>
      </c>
      <c r="Q22" s="11">
        <f t="shared" ref="Q22:T25" si="2">SUM(P21*1.02)</f>
        <v>265.2</v>
      </c>
      <c r="R22" s="11">
        <f t="shared" si="2"/>
        <v>277.78680000000003</v>
      </c>
      <c r="S22" s="11">
        <f t="shared" si="2"/>
        <v>283.34253600000005</v>
      </c>
      <c r="T22" s="11">
        <f t="shared" si="2"/>
        <v>289.00938672000007</v>
      </c>
    </row>
    <row r="23" spans="16:20" hidden="1" x14ac:dyDescent="0.25">
      <c r="P23" s="18">
        <v>303</v>
      </c>
      <c r="Q23" s="11">
        <f t="shared" si="2"/>
        <v>275.39999999999998</v>
      </c>
      <c r="R23" s="11">
        <f t="shared" si="2"/>
        <v>270.50400000000002</v>
      </c>
      <c r="S23" s="11">
        <f t="shared" si="2"/>
        <v>283.34253600000005</v>
      </c>
      <c r="T23" s="11">
        <f t="shared" si="2"/>
        <v>289.00938672000007</v>
      </c>
    </row>
    <row r="24" spans="16:20" hidden="1" x14ac:dyDescent="0.25">
      <c r="P24" s="18">
        <v>263</v>
      </c>
      <c r="Q24" s="11">
        <f t="shared" si="2"/>
        <v>309.06</v>
      </c>
      <c r="R24" s="11">
        <f t="shared" si="2"/>
        <v>280.90799999999996</v>
      </c>
      <c r="S24" s="11">
        <f t="shared" si="2"/>
        <v>275.91408000000001</v>
      </c>
      <c r="T24" s="11">
        <f t="shared" si="2"/>
        <v>289.00938672000007</v>
      </c>
    </row>
    <row r="25" spans="16:20" hidden="1" x14ac:dyDescent="0.25">
      <c r="P25" s="18">
        <v>303</v>
      </c>
      <c r="Q25" s="11">
        <f t="shared" si="2"/>
        <v>268.26</v>
      </c>
      <c r="R25" s="11">
        <f t="shared" si="2"/>
        <v>315.24119999999999</v>
      </c>
      <c r="S25" s="11">
        <f t="shared" si="2"/>
        <v>286.52615999999995</v>
      </c>
      <c r="T25" s="11">
        <f t="shared" si="2"/>
        <v>281.43236160000004</v>
      </c>
    </row>
    <row r="34" spans="3:21" x14ac:dyDescent="0.25">
      <c r="L34"/>
      <c r="M34"/>
      <c r="N34"/>
      <c r="O34"/>
      <c r="P34"/>
      <c r="Q34"/>
      <c r="R34"/>
      <c r="S34"/>
    </row>
    <row r="35" spans="3:21" x14ac:dyDescent="0.25">
      <c r="L35"/>
      <c r="M35"/>
      <c r="N35"/>
      <c r="O35"/>
      <c r="P35"/>
      <c r="Q35"/>
      <c r="R35"/>
      <c r="S35"/>
    </row>
    <row r="36" spans="3:21" x14ac:dyDescent="0.25">
      <c r="C36" s="11"/>
      <c r="D36" s="11"/>
      <c r="E36" s="11"/>
      <c r="F36" s="11"/>
      <c r="G36" s="11"/>
      <c r="H36" s="11"/>
      <c r="I36" s="11"/>
      <c r="J36" s="11"/>
      <c r="K36" s="11"/>
      <c r="L36"/>
      <c r="M36"/>
      <c r="N36"/>
      <c r="O36"/>
      <c r="P36"/>
      <c r="Q36"/>
      <c r="R36"/>
      <c r="S36"/>
      <c r="U36" s="3"/>
    </row>
    <row r="37" spans="3:21" x14ac:dyDescent="0.25">
      <c r="L37"/>
      <c r="M37"/>
      <c r="N37"/>
      <c r="O37"/>
      <c r="P37"/>
      <c r="Q37"/>
      <c r="R37"/>
      <c r="S37"/>
    </row>
    <row r="38" spans="3:21" x14ac:dyDescent="0.25">
      <c r="L38"/>
      <c r="M38"/>
      <c r="N38"/>
      <c r="O38"/>
      <c r="P38"/>
      <c r="Q38"/>
      <c r="R38"/>
      <c r="S38"/>
    </row>
    <row r="39" spans="3:21" x14ac:dyDescent="0.25">
      <c r="L39"/>
      <c r="M39"/>
      <c r="N39"/>
      <c r="O39"/>
      <c r="P39"/>
      <c r="Q39"/>
      <c r="R39"/>
      <c r="S39"/>
    </row>
    <row r="40" spans="3:21" x14ac:dyDescent="0.25">
      <c r="L40"/>
      <c r="M40"/>
      <c r="N40"/>
      <c r="O40"/>
      <c r="P40"/>
      <c r="Q40"/>
      <c r="R40"/>
      <c r="S40"/>
    </row>
    <row r="41" spans="3:21" x14ac:dyDescent="0.25">
      <c r="L41"/>
      <c r="M41"/>
      <c r="N41"/>
      <c r="O41"/>
      <c r="P41"/>
      <c r="Q41"/>
      <c r="R41"/>
      <c r="S41"/>
    </row>
  </sheetData>
  <phoneticPr fontId="0" type="noConversion"/>
  <printOptions horizontalCentered="1"/>
  <pageMargins left="0.17" right="0.17" top="1.99" bottom="1" header="0.5" footer="0.5"/>
  <pageSetup orientation="landscape" r:id="rId1"/>
  <headerFooter alignWithMargins="0">
    <oddHeader>&amp;C&amp;"Arial,Bold"&amp;16System-Wide Data
Student Enrollment Data
2004-2008
Payne Elementary
75% of Actuals</oddHeader>
    <oddFooter>&amp;C&amp;8&amp;F 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workbookViewId="0">
      <selection activeCell="L32" sqref="L32"/>
    </sheetView>
  </sheetViews>
  <sheetFormatPr defaultRowHeight="12.5" x14ac:dyDescent="0.25"/>
  <cols>
    <col min="1" max="1" width="7" bestFit="1" customWidth="1"/>
    <col min="2" max="14" width="6" style="10" bestFit="1" customWidth="1"/>
    <col min="15" max="15" width="6" bestFit="1" customWidth="1"/>
    <col min="16" max="16" width="8.7265625" hidden="1" customWidth="1"/>
    <col min="17" max="21" width="8.7265625" customWidth="1"/>
  </cols>
  <sheetData>
    <row r="1" spans="1:21" ht="13" thickBot="1" x14ac:dyDescent="0.3">
      <c r="A1" s="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>
        <v>0.75</v>
      </c>
      <c r="T1" s="5"/>
      <c r="U1" s="5"/>
    </row>
    <row r="2" spans="1:21" ht="13" thickTop="1" x14ac:dyDescent="0.25">
      <c r="A2" t="s">
        <v>28</v>
      </c>
      <c r="B2" s="11"/>
      <c r="C2" s="11"/>
      <c r="D2" s="11"/>
      <c r="E2" s="11"/>
      <c r="F2" s="11"/>
      <c r="G2" s="11"/>
      <c r="H2" s="11"/>
      <c r="I2" s="11"/>
      <c r="J2" s="11"/>
      <c r="K2" s="13"/>
      <c r="L2" s="13"/>
      <c r="M2" s="13"/>
      <c r="N2" s="13"/>
      <c r="O2" s="18"/>
      <c r="T2" s="3"/>
      <c r="U2" s="3"/>
    </row>
    <row r="3" spans="1:21" x14ac:dyDescent="0.25">
      <c r="A3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3"/>
      <c r="L3" s="13"/>
      <c r="M3" s="13"/>
      <c r="N3" s="13"/>
      <c r="O3" s="18"/>
      <c r="T3" s="3"/>
      <c r="U3" s="3"/>
    </row>
    <row r="4" spans="1:21" x14ac:dyDescent="0.25">
      <c r="A4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3"/>
      <c r="L4" s="13"/>
      <c r="M4" s="13"/>
      <c r="N4" s="13"/>
      <c r="O4" s="18"/>
      <c r="T4" s="3"/>
      <c r="U4" s="3"/>
    </row>
    <row r="5" spans="1:21" x14ac:dyDescent="0.25">
      <c r="A5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3"/>
      <c r="L5" s="13"/>
      <c r="M5" s="13"/>
      <c r="N5" s="13"/>
      <c r="O5" s="18"/>
      <c r="T5" s="3"/>
      <c r="U5" s="3"/>
    </row>
    <row r="6" spans="1:21" x14ac:dyDescent="0.25">
      <c r="A6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3"/>
      <c r="L6" s="13"/>
      <c r="M6" s="13"/>
      <c r="N6" s="13"/>
      <c r="O6" s="18"/>
      <c r="T6" s="3"/>
      <c r="U6" s="3"/>
    </row>
    <row r="7" spans="1:21" x14ac:dyDescent="0.25">
      <c r="A7" t="s">
        <v>17</v>
      </c>
      <c r="B7" s="11">
        <f>SUM(B20*$P$1)</f>
        <v>187.5</v>
      </c>
      <c r="C7" s="11">
        <f t="shared" ref="C7:O7" si="0">SUM(C20*$P$1)</f>
        <v>207</v>
      </c>
      <c r="D7" s="11">
        <f t="shared" si="0"/>
        <v>205.5</v>
      </c>
      <c r="E7" s="11">
        <f t="shared" si="0"/>
        <v>182.25</v>
      </c>
      <c r="F7" s="11">
        <f t="shared" si="0"/>
        <v>222.75</v>
      </c>
      <c r="G7" s="11">
        <f t="shared" si="0"/>
        <v>228.75</v>
      </c>
      <c r="H7" s="11">
        <f t="shared" si="0"/>
        <v>228</v>
      </c>
      <c r="I7" s="11">
        <f t="shared" si="0"/>
        <v>197.25</v>
      </c>
      <c r="J7" s="11">
        <f t="shared" si="0"/>
        <v>230.25</v>
      </c>
      <c r="K7" s="11">
        <f t="shared" si="0"/>
        <v>234.75</v>
      </c>
      <c r="L7" s="11">
        <f t="shared" si="0"/>
        <v>216.75</v>
      </c>
      <c r="M7" s="11">
        <f t="shared" si="0"/>
        <v>240</v>
      </c>
      <c r="N7" s="22">
        <f t="shared" si="0"/>
        <v>217.5</v>
      </c>
      <c r="O7" s="11">
        <f t="shared" si="0"/>
        <v>193.5</v>
      </c>
      <c r="T7" s="3"/>
    </row>
    <row r="8" spans="1:21" x14ac:dyDescent="0.25">
      <c r="A8" t="s">
        <v>18</v>
      </c>
      <c r="B8" s="11">
        <f t="shared" ref="B8:O9" si="1">SUM(B21*$P$1)</f>
        <v>186</v>
      </c>
      <c r="C8" s="11">
        <f t="shared" si="1"/>
        <v>183.75</v>
      </c>
      <c r="D8" s="11">
        <f t="shared" si="1"/>
        <v>219</v>
      </c>
      <c r="E8" s="11">
        <f t="shared" si="1"/>
        <v>204.75</v>
      </c>
      <c r="F8" s="11">
        <f t="shared" si="1"/>
        <v>186</v>
      </c>
      <c r="G8" s="11">
        <f t="shared" si="1"/>
        <v>227.25</v>
      </c>
      <c r="H8" s="11">
        <f t="shared" si="1"/>
        <v>240.75</v>
      </c>
      <c r="I8" s="11">
        <f t="shared" si="1"/>
        <v>232.5</v>
      </c>
      <c r="J8" s="11">
        <f t="shared" si="1"/>
        <v>210.75</v>
      </c>
      <c r="K8" s="11">
        <f t="shared" si="1"/>
        <v>235.5</v>
      </c>
      <c r="L8" s="11">
        <f t="shared" si="1"/>
        <v>234</v>
      </c>
      <c r="M8" s="11">
        <f t="shared" si="1"/>
        <v>231</v>
      </c>
      <c r="N8" s="22">
        <f t="shared" si="1"/>
        <v>240.75</v>
      </c>
      <c r="O8" s="11">
        <f t="shared" si="1"/>
        <v>221.85000000000002</v>
      </c>
      <c r="T8" s="3"/>
    </row>
    <row r="9" spans="1:21" x14ac:dyDescent="0.25">
      <c r="A9" t="s">
        <v>19</v>
      </c>
      <c r="B9" s="11">
        <f t="shared" si="1"/>
        <v>400.5</v>
      </c>
      <c r="C9" s="11">
        <f t="shared" si="1"/>
        <v>435.75</v>
      </c>
      <c r="D9" s="11">
        <f t="shared" si="1"/>
        <v>415.5</v>
      </c>
      <c r="E9" s="11">
        <f t="shared" si="1"/>
        <v>470.25</v>
      </c>
      <c r="F9" s="11">
        <f t="shared" si="1"/>
        <v>474</v>
      </c>
      <c r="G9" s="11">
        <f t="shared" si="1"/>
        <v>427.5</v>
      </c>
      <c r="H9" s="11">
        <f t="shared" si="1"/>
        <v>514.5</v>
      </c>
      <c r="I9" s="11">
        <f t="shared" si="1"/>
        <v>243</v>
      </c>
      <c r="J9" s="11">
        <f t="shared" si="1"/>
        <v>252</v>
      </c>
      <c r="K9" s="11">
        <f t="shared" si="1"/>
        <v>212.25</v>
      </c>
      <c r="L9" s="11">
        <f t="shared" si="1"/>
        <v>243</v>
      </c>
      <c r="M9" s="11">
        <f t="shared" si="1"/>
        <v>237</v>
      </c>
      <c r="N9" s="22">
        <f t="shared" si="1"/>
        <v>234</v>
      </c>
      <c r="O9" s="11">
        <f t="shared" si="1"/>
        <v>245.565</v>
      </c>
      <c r="T9" s="3"/>
    </row>
    <row r="10" spans="1:21" x14ac:dyDescent="0.25">
      <c r="A10" t="s">
        <v>20</v>
      </c>
      <c r="B10" s="11"/>
      <c r="C10" s="11"/>
      <c r="D10" s="11"/>
      <c r="E10" s="11"/>
      <c r="F10" s="11"/>
      <c r="G10" s="11"/>
      <c r="H10" s="11"/>
      <c r="I10" s="11"/>
      <c r="J10" s="11"/>
      <c r="K10" s="13"/>
      <c r="L10" s="13"/>
      <c r="M10" s="13"/>
      <c r="N10" s="13"/>
      <c r="O10" s="18"/>
      <c r="T10" s="3"/>
    </row>
    <row r="11" spans="1:21" x14ac:dyDescent="0.25">
      <c r="A11" t="s">
        <v>21</v>
      </c>
      <c r="B11" s="11"/>
      <c r="C11" s="11"/>
      <c r="D11" s="11"/>
      <c r="E11" s="11"/>
      <c r="F11" s="11"/>
      <c r="G11" s="11"/>
      <c r="H11" s="11"/>
      <c r="I11" s="11"/>
      <c r="J11" s="11"/>
      <c r="K11" s="13"/>
      <c r="L11" s="13"/>
      <c r="M11" s="13"/>
      <c r="N11" s="13"/>
      <c r="O11" s="18"/>
      <c r="T11" s="3"/>
    </row>
    <row r="12" spans="1:21" x14ac:dyDescent="0.25">
      <c r="A12" t="s">
        <v>22</v>
      </c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3"/>
      <c r="M12" s="13"/>
      <c r="N12" s="13"/>
      <c r="O12" s="18"/>
      <c r="T12" s="3"/>
    </row>
    <row r="13" spans="1:21" x14ac:dyDescent="0.25">
      <c r="A13" t="s">
        <v>23</v>
      </c>
      <c r="B13" s="11"/>
      <c r="C13" s="11"/>
      <c r="D13" s="11"/>
      <c r="E13" s="11"/>
      <c r="F13" s="11"/>
      <c r="G13" s="11"/>
      <c r="H13" s="11"/>
      <c r="I13" s="11"/>
      <c r="J13" s="11"/>
      <c r="K13" s="13"/>
      <c r="L13" s="5"/>
      <c r="M13" s="5"/>
      <c r="N13" s="5"/>
      <c r="O13" s="20"/>
    </row>
    <row r="14" spans="1:21" ht="13" thickBot="1" x14ac:dyDescent="0.3">
      <c r="A14" t="s">
        <v>24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9"/>
      <c r="T14" s="4"/>
    </row>
    <row r="15" spans="1:21" ht="13" thickTop="1" x14ac:dyDescent="0.25">
      <c r="A15" t="s">
        <v>25</v>
      </c>
      <c r="B15" s="11">
        <f t="shared" ref="B15:J15" si="2">SUM(B2:B14)</f>
        <v>774</v>
      </c>
      <c r="C15" s="11">
        <f t="shared" si="2"/>
        <v>826.5</v>
      </c>
      <c r="D15" s="11">
        <f t="shared" si="2"/>
        <v>840</v>
      </c>
      <c r="E15" s="11">
        <f t="shared" si="2"/>
        <v>857.25</v>
      </c>
      <c r="F15" s="11">
        <f t="shared" si="2"/>
        <v>882.75</v>
      </c>
      <c r="G15" s="11">
        <f t="shared" si="2"/>
        <v>883.5</v>
      </c>
      <c r="H15" s="11">
        <f t="shared" si="2"/>
        <v>983.25</v>
      </c>
      <c r="I15" s="11">
        <f t="shared" si="2"/>
        <v>672.75</v>
      </c>
      <c r="J15" s="11">
        <f t="shared" si="2"/>
        <v>693</v>
      </c>
      <c r="K15" s="13">
        <f>SUM(K7:K11)</f>
        <v>682.5</v>
      </c>
      <c r="L15" s="13">
        <f>SUM(L7:L11)</f>
        <v>693.75</v>
      </c>
      <c r="M15" s="13">
        <f>SUM(M7:M11)</f>
        <v>708</v>
      </c>
      <c r="N15" s="13">
        <f>SUM(N7:N11)</f>
        <v>692.25</v>
      </c>
      <c r="O15" s="18">
        <f>SUM(O7:O11)</f>
        <v>660.91499999999996</v>
      </c>
      <c r="T15" s="3"/>
    </row>
    <row r="16" spans="1:21" x14ac:dyDescent="0.25">
      <c r="A16" t="s">
        <v>26</v>
      </c>
      <c r="B16" s="11"/>
      <c r="C16" s="11">
        <f>SUM(C15-B15)</f>
        <v>52.5</v>
      </c>
      <c r="D16" s="11">
        <f>SUM(D15-C15)</f>
        <v>13.5</v>
      </c>
      <c r="E16" s="11">
        <f>SUM(E15-D15)</f>
        <v>17.25</v>
      </c>
      <c r="F16" s="11">
        <f>SUM(F15-E15)</f>
        <v>25.5</v>
      </c>
      <c r="G16" s="11">
        <f>SUM(G15-F15)</f>
        <v>0.75</v>
      </c>
      <c r="H16" s="11">
        <f t="shared" ref="H16:O16" si="3">SUM(H15-G15)</f>
        <v>99.75</v>
      </c>
      <c r="I16" s="11">
        <f t="shared" si="3"/>
        <v>-310.5</v>
      </c>
      <c r="J16" s="11">
        <f t="shared" si="3"/>
        <v>20.25</v>
      </c>
      <c r="K16" s="13">
        <f t="shared" si="3"/>
        <v>-10.5</v>
      </c>
      <c r="L16" s="13">
        <f t="shared" si="3"/>
        <v>11.25</v>
      </c>
      <c r="M16" s="13">
        <f t="shared" si="3"/>
        <v>14.25</v>
      </c>
      <c r="N16" s="13">
        <f t="shared" si="3"/>
        <v>-15.75</v>
      </c>
      <c r="O16" s="18">
        <f t="shared" si="3"/>
        <v>-31.335000000000036</v>
      </c>
      <c r="T16" s="3"/>
    </row>
    <row r="20" spans="2:15" hidden="1" x14ac:dyDescent="0.25">
      <c r="B20" s="11">
        <v>250</v>
      </c>
      <c r="C20" s="11">
        <v>276</v>
      </c>
      <c r="D20" s="11">
        <v>274</v>
      </c>
      <c r="E20" s="11">
        <v>243</v>
      </c>
      <c r="F20" s="11">
        <v>297</v>
      </c>
      <c r="G20" s="11">
        <v>305</v>
      </c>
      <c r="H20" s="11">
        <v>304</v>
      </c>
      <c r="I20" s="11">
        <v>263</v>
      </c>
      <c r="J20" s="11">
        <v>307</v>
      </c>
      <c r="K20" s="13">
        <v>313</v>
      </c>
      <c r="L20" s="13">
        <v>289</v>
      </c>
      <c r="M20" s="13">
        <v>320</v>
      </c>
      <c r="N20" s="13">
        <v>290</v>
      </c>
      <c r="O20" s="18">
        <v>258</v>
      </c>
    </row>
    <row r="21" spans="2:15" hidden="1" x14ac:dyDescent="0.25">
      <c r="B21" s="11">
        <v>248</v>
      </c>
      <c r="C21" s="11">
        <v>245</v>
      </c>
      <c r="D21" s="11">
        <v>292</v>
      </c>
      <c r="E21" s="11">
        <v>273</v>
      </c>
      <c r="F21" s="11">
        <v>248</v>
      </c>
      <c r="G21" s="11">
        <v>303</v>
      </c>
      <c r="H21" s="11">
        <v>321</v>
      </c>
      <c r="I21" s="11">
        <v>310</v>
      </c>
      <c r="J21" s="11">
        <v>281</v>
      </c>
      <c r="K21" s="13">
        <v>314</v>
      </c>
      <c r="L21" s="13">
        <v>312</v>
      </c>
      <c r="M21" s="13">
        <v>308</v>
      </c>
      <c r="N21" s="13">
        <v>321</v>
      </c>
      <c r="O21" s="18">
        <f>SUM(N20*1.02)</f>
        <v>295.8</v>
      </c>
    </row>
    <row r="22" spans="2:15" hidden="1" x14ac:dyDescent="0.25">
      <c r="B22" s="11">
        <v>534</v>
      </c>
      <c r="C22" s="11">
        <v>581</v>
      </c>
      <c r="D22" s="11">
        <v>554</v>
      </c>
      <c r="E22" s="11">
        <v>627</v>
      </c>
      <c r="F22" s="11">
        <v>632</v>
      </c>
      <c r="G22" s="11">
        <v>570</v>
      </c>
      <c r="H22" s="11">
        <v>686</v>
      </c>
      <c r="I22" s="11">
        <v>324</v>
      </c>
      <c r="J22" s="11">
        <v>336</v>
      </c>
      <c r="K22" s="13">
        <v>283</v>
      </c>
      <c r="L22" s="13">
        <v>324</v>
      </c>
      <c r="M22" s="13">
        <v>316</v>
      </c>
      <c r="N22" s="13">
        <v>312</v>
      </c>
      <c r="O22" s="18">
        <f>SUM(N21*1.02)</f>
        <v>327.42</v>
      </c>
    </row>
    <row r="33" spans="12:21" x14ac:dyDescent="0.25">
      <c r="M33"/>
      <c r="N33"/>
    </row>
    <row r="34" spans="12:21" x14ac:dyDescent="0.25">
      <c r="M34"/>
      <c r="N34"/>
    </row>
    <row r="35" spans="12:21" x14ac:dyDescent="0.25">
      <c r="L35" s="11"/>
      <c r="M35"/>
      <c r="N35"/>
      <c r="T35" s="3"/>
      <c r="U35" s="3"/>
    </row>
    <row r="36" spans="12:21" x14ac:dyDescent="0.25">
      <c r="M36"/>
      <c r="N36"/>
    </row>
  </sheetData>
  <phoneticPr fontId="0" type="noConversion"/>
  <printOptions horizontalCentered="1"/>
  <pageMargins left="0.75" right="0.75" top="2.0099999999999998" bottom="1" header="0.5" footer="0.5"/>
  <pageSetup orientation="landscape" r:id="rId1"/>
  <headerFooter alignWithMargins="0">
    <oddHeader>&amp;C&amp;"Arial,Bold"&amp;16System-Wide Data
Student Enrollment Data
1990-2003
Hewitt Middle
75% of Actuals</oddHeader>
    <oddFooter>&amp;C&amp;8&amp;F 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selection activeCell="L32" sqref="L32"/>
    </sheetView>
  </sheetViews>
  <sheetFormatPr defaultRowHeight="12.5" x14ac:dyDescent="0.25"/>
  <cols>
    <col min="1" max="1" width="7" bestFit="1" customWidth="1"/>
    <col min="2" max="19" width="6" style="10" bestFit="1" customWidth="1"/>
    <col min="20" max="20" width="6" bestFit="1" customWidth="1"/>
    <col min="21" max="21" width="8.7265625" hidden="1" customWidth="1"/>
  </cols>
  <sheetData>
    <row r="1" spans="1:21" ht="13" thickBot="1" x14ac:dyDescent="0.3">
      <c r="A1" s="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 s="2" t="s">
        <v>11</v>
      </c>
      <c r="Q1" s="2" t="s">
        <v>12</v>
      </c>
      <c r="R1" s="2" t="s">
        <v>27</v>
      </c>
      <c r="S1" s="2" t="s">
        <v>29</v>
      </c>
      <c r="T1" s="2" t="s">
        <v>41</v>
      </c>
      <c r="U1" s="5">
        <v>0.75</v>
      </c>
    </row>
    <row r="2" spans="1:21" ht="13" thickTop="1" x14ac:dyDescent="0.25">
      <c r="A2" t="s">
        <v>28</v>
      </c>
      <c r="B2" s="11"/>
      <c r="C2" s="11"/>
      <c r="D2" s="11"/>
      <c r="E2" s="11"/>
      <c r="F2" s="11"/>
      <c r="G2" s="11"/>
      <c r="H2" s="11"/>
      <c r="I2" s="11"/>
      <c r="J2" s="11"/>
      <c r="K2" s="13"/>
      <c r="L2" s="13"/>
      <c r="M2" s="13"/>
      <c r="N2" s="13"/>
      <c r="O2" s="18"/>
      <c r="P2" s="11"/>
      <c r="Q2" s="11"/>
      <c r="R2" s="11"/>
      <c r="S2" s="11"/>
      <c r="T2" s="11"/>
      <c r="U2" s="3"/>
    </row>
    <row r="3" spans="1:21" x14ac:dyDescent="0.25">
      <c r="A3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3"/>
      <c r="L3" s="13"/>
      <c r="M3" s="13"/>
      <c r="N3" s="13"/>
      <c r="O3" s="18"/>
      <c r="P3" s="11"/>
      <c r="Q3" s="11"/>
      <c r="R3" s="11"/>
      <c r="S3" s="11"/>
      <c r="T3" s="11"/>
      <c r="U3" s="3"/>
    </row>
    <row r="4" spans="1:21" x14ac:dyDescent="0.25">
      <c r="A4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3"/>
      <c r="L4" s="13"/>
      <c r="M4" s="13"/>
      <c r="N4" s="13"/>
      <c r="O4" s="18"/>
      <c r="P4" s="11"/>
      <c r="Q4" s="11"/>
      <c r="R4" s="11"/>
      <c r="S4" s="11"/>
      <c r="T4" s="11"/>
      <c r="U4" s="3"/>
    </row>
    <row r="5" spans="1:21" x14ac:dyDescent="0.25">
      <c r="A5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3"/>
      <c r="L5" s="13"/>
      <c r="M5" s="13"/>
      <c r="N5" s="13"/>
      <c r="O5" s="18"/>
      <c r="P5" s="11"/>
      <c r="Q5" s="11"/>
      <c r="R5" s="11"/>
      <c r="S5" s="11"/>
      <c r="T5" s="11"/>
      <c r="U5" s="3"/>
    </row>
    <row r="6" spans="1:21" x14ac:dyDescent="0.25">
      <c r="A6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3"/>
      <c r="L6" s="13"/>
      <c r="M6" s="13"/>
      <c r="N6" s="13"/>
      <c r="O6" s="18"/>
      <c r="P6" s="11"/>
      <c r="Q6" s="11"/>
      <c r="R6" s="11"/>
      <c r="S6" s="11"/>
      <c r="T6" s="11"/>
      <c r="U6" s="3"/>
    </row>
    <row r="7" spans="1:21" x14ac:dyDescent="0.25">
      <c r="A7" t="s">
        <v>17</v>
      </c>
      <c r="B7" s="11"/>
      <c r="C7" s="11"/>
      <c r="D7" s="11"/>
      <c r="E7" s="11"/>
      <c r="F7" s="11"/>
      <c r="G7" s="11"/>
      <c r="H7" s="11"/>
      <c r="I7" s="11"/>
      <c r="J7" s="11"/>
      <c r="K7" s="13"/>
      <c r="L7" s="13"/>
      <c r="M7" s="13"/>
      <c r="N7" s="13"/>
      <c r="O7" s="18"/>
      <c r="P7" s="11"/>
      <c r="Q7" s="11"/>
      <c r="R7" s="11"/>
      <c r="S7" s="11"/>
      <c r="T7" s="11"/>
      <c r="U7" s="3"/>
    </row>
    <row r="8" spans="1:21" x14ac:dyDescent="0.25">
      <c r="A8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3"/>
      <c r="L8" s="13"/>
      <c r="M8" s="13"/>
      <c r="N8" s="13"/>
      <c r="O8" s="18"/>
      <c r="P8" s="11">
        <f>SUM(P20*$U$1)</f>
        <v>197.25</v>
      </c>
      <c r="Q8" s="11">
        <f>SUM(Q20*$U$1)</f>
        <v>231.75</v>
      </c>
      <c r="R8" s="11">
        <f>SUM(R20*$U$1)</f>
        <v>204.75</v>
      </c>
      <c r="S8" s="11">
        <f>SUM(S20*$U$1)</f>
        <v>240.75</v>
      </c>
      <c r="T8" s="11">
        <f>SUM(T20*$U$1)</f>
        <v>219.75</v>
      </c>
      <c r="U8" s="3"/>
    </row>
    <row r="9" spans="1:21" x14ac:dyDescent="0.25">
      <c r="A9" t="s">
        <v>19</v>
      </c>
      <c r="B9" s="11"/>
      <c r="C9" s="11"/>
      <c r="D9" s="11"/>
      <c r="E9" s="11"/>
      <c r="F9" s="11"/>
      <c r="G9" s="11"/>
      <c r="H9" s="11"/>
      <c r="I9" s="11"/>
      <c r="J9" s="11"/>
      <c r="K9" s="13"/>
      <c r="L9" s="13"/>
      <c r="M9" s="13"/>
      <c r="N9" s="13"/>
      <c r="O9" s="18"/>
      <c r="P9" s="11">
        <f t="shared" ref="P9:T10" si="0">SUM(P21*$U$1)</f>
        <v>225.75</v>
      </c>
      <c r="Q9" s="11">
        <f t="shared" si="0"/>
        <v>201.19499999999999</v>
      </c>
      <c r="R9" s="11">
        <f t="shared" si="0"/>
        <v>236.38499999999999</v>
      </c>
      <c r="S9" s="11">
        <f t="shared" si="0"/>
        <v>208.84499999999997</v>
      </c>
      <c r="T9" s="11">
        <f t="shared" si="0"/>
        <v>245.565</v>
      </c>
      <c r="U9" s="3"/>
    </row>
    <row r="10" spans="1:21" x14ac:dyDescent="0.25">
      <c r="A10" t="s">
        <v>20</v>
      </c>
      <c r="B10" s="11">
        <f>SUM(B22*$U$1)</f>
        <v>381</v>
      </c>
      <c r="C10" s="11">
        <f t="shared" ref="C10:O10" si="1">SUM(C22*$U$1)</f>
        <v>418.5</v>
      </c>
      <c r="D10" s="11">
        <f t="shared" si="1"/>
        <v>432</v>
      </c>
      <c r="E10" s="11">
        <f t="shared" si="1"/>
        <v>426.75</v>
      </c>
      <c r="F10" s="11">
        <f t="shared" si="1"/>
        <v>502.5</v>
      </c>
      <c r="G10" s="11">
        <f t="shared" si="1"/>
        <v>502.5</v>
      </c>
      <c r="H10" s="11">
        <f t="shared" si="1"/>
        <v>447.75</v>
      </c>
      <c r="I10" s="11">
        <f t="shared" si="1"/>
        <v>234</v>
      </c>
      <c r="J10" s="11">
        <f t="shared" si="1"/>
        <v>244.5</v>
      </c>
      <c r="K10" s="11">
        <f t="shared" si="1"/>
        <v>257.25</v>
      </c>
      <c r="L10" s="11">
        <f t="shared" si="1"/>
        <v>213</v>
      </c>
      <c r="M10" s="11">
        <f t="shared" si="1"/>
        <v>240.75</v>
      </c>
      <c r="N10" s="22">
        <f t="shared" si="1"/>
        <v>237.75</v>
      </c>
      <c r="O10" s="11">
        <f t="shared" si="1"/>
        <v>238.5</v>
      </c>
      <c r="P10" s="11">
        <f t="shared" si="0"/>
        <v>250.5</v>
      </c>
      <c r="Q10" s="11">
        <f t="shared" si="0"/>
        <v>230.26499999999999</v>
      </c>
      <c r="R10" s="11">
        <f t="shared" si="0"/>
        <v>205.21890000000002</v>
      </c>
      <c r="S10" s="11">
        <f t="shared" si="0"/>
        <v>241.11270000000002</v>
      </c>
      <c r="T10" s="11">
        <f t="shared" si="0"/>
        <v>213.02190000000002</v>
      </c>
      <c r="U10" s="3"/>
    </row>
    <row r="11" spans="1:21" x14ac:dyDescent="0.25">
      <c r="A11" t="s">
        <v>21</v>
      </c>
      <c r="B11" s="11">
        <f>SUM(B23*$U$1)</f>
        <v>348.75</v>
      </c>
      <c r="C11" s="11">
        <f t="shared" ref="C11:O11" si="2">SUM(C23*$U$1)</f>
        <v>366</v>
      </c>
      <c r="D11" s="11">
        <f t="shared" si="2"/>
        <v>391.5</v>
      </c>
      <c r="E11" s="11">
        <f t="shared" si="2"/>
        <v>406.5</v>
      </c>
      <c r="F11" s="11">
        <f t="shared" si="2"/>
        <v>405</v>
      </c>
      <c r="G11" s="11">
        <f t="shared" si="2"/>
        <v>490.5</v>
      </c>
      <c r="H11" s="11">
        <f t="shared" si="2"/>
        <v>486</v>
      </c>
      <c r="I11" s="11">
        <f t="shared" si="2"/>
        <v>209.25</v>
      </c>
      <c r="J11" s="11">
        <f t="shared" si="2"/>
        <v>228</v>
      </c>
      <c r="K11" s="11">
        <f t="shared" si="2"/>
        <v>250.5</v>
      </c>
      <c r="L11" s="11">
        <f t="shared" si="2"/>
        <v>238.5</v>
      </c>
      <c r="M11" s="11">
        <f t="shared" si="2"/>
        <v>228.75</v>
      </c>
      <c r="N11" s="22">
        <f t="shared" si="2"/>
        <v>228</v>
      </c>
      <c r="O11" s="11">
        <f t="shared" si="2"/>
        <v>242.50500000000002</v>
      </c>
      <c r="P11" s="11"/>
      <c r="Q11" s="11"/>
      <c r="R11" s="11"/>
      <c r="S11" s="11"/>
      <c r="T11" s="11"/>
      <c r="U11" s="3"/>
    </row>
    <row r="12" spans="1:21" x14ac:dyDescent="0.25">
      <c r="A12" t="s">
        <v>22</v>
      </c>
      <c r="B12" s="11"/>
      <c r="C12" s="11"/>
      <c r="D12" s="11"/>
      <c r="E12" s="11"/>
      <c r="F12" s="11"/>
      <c r="G12" s="11"/>
      <c r="H12" s="11"/>
      <c r="I12" s="11"/>
      <c r="K12" s="13"/>
      <c r="L12" s="13"/>
      <c r="M12" s="13"/>
      <c r="N12" s="13"/>
      <c r="O12" s="18"/>
      <c r="P12" s="11"/>
      <c r="Q12" s="11"/>
      <c r="R12" s="11"/>
      <c r="S12" s="11"/>
      <c r="T12" s="11"/>
      <c r="U12" s="3"/>
    </row>
    <row r="13" spans="1:21" x14ac:dyDescent="0.25">
      <c r="A13" t="s">
        <v>23</v>
      </c>
      <c r="B13" s="11"/>
      <c r="C13" s="11"/>
      <c r="D13" s="11"/>
      <c r="E13" s="11"/>
      <c r="F13" s="11"/>
      <c r="G13" s="11"/>
      <c r="H13" s="11"/>
      <c r="I13" s="11"/>
      <c r="K13" s="13"/>
      <c r="L13" s="5"/>
      <c r="M13" s="5"/>
      <c r="N13" s="5"/>
      <c r="O13" s="20"/>
      <c r="T13" s="10"/>
    </row>
    <row r="14" spans="1:21" ht="13" thickBot="1" x14ac:dyDescent="0.3">
      <c r="A14" t="s">
        <v>24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9"/>
      <c r="P14" s="12"/>
      <c r="Q14" s="12"/>
      <c r="R14" s="12"/>
      <c r="S14" s="12"/>
      <c r="T14" s="12"/>
      <c r="U14" s="4"/>
    </row>
    <row r="15" spans="1:21" ht="13" thickTop="1" x14ac:dyDescent="0.25">
      <c r="A15" t="s">
        <v>25</v>
      </c>
      <c r="B15" s="11">
        <f t="shared" ref="B15:J15" si="3">SUM(B2:B14)</f>
        <v>729.75</v>
      </c>
      <c r="C15" s="11">
        <f t="shared" si="3"/>
        <v>784.5</v>
      </c>
      <c r="D15" s="11">
        <f t="shared" si="3"/>
        <v>823.5</v>
      </c>
      <c r="E15" s="11">
        <f t="shared" si="3"/>
        <v>833.25</v>
      </c>
      <c r="F15" s="11">
        <f t="shared" si="3"/>
        <v>907.5</v>
      </c>
      <c r="G15" s="11">
        <f t="shared" si="3"/>
        <v>993</v>
      </c>
      <c r="H15" s="11">
        <f t="shared" si="3"/>
        <v>933.75</v>
      </c>
      <c r="I15" s="11">
        <f t="shared" si="3"/>
        <v>443.25</v>
      </c>
      <c r="J15" s="11">
        <f t="shared" si="3"/>
        <v>472.5</v>
      </c>
      <c r="K15" s="13">
        <f>SUM(K7:K11)</f>
        <v>507.75</v>
      </c>
      <c r="L15" s="13">
        <f t="shared" ref="L15:Q15" si="4">SUM(L7:L11)</f>
        <v>451.5</v>
      </c>
      <c r="M15" s="13">
        <f t="shared" si="4"/>
        <v>469.5</v>
      </c>
      <c r="N15" s="13">
        <f t="shared" si="4"/>
        <v>465.75</v>
      </c>
      <c r="O15" s="18">
        <f t="shared" si="4"/>
        <v>481.005</v>
      </c>
      <c r="P15" s="11">
        <f t="shared" si="4"/>
        <v>673.5</v>
      </c>
      <c r="Q15" s="11">
        <f t="shared" si="4"/>
        <v>663.21</v>
      </c>
      <c r="R15" s="11">
        <f>SUM(R7:R11)</f>
        <v>646.35390000000007</v>
      </c>
      <c r="S15" s="11">
        <f>SUM(S7:S11)</f>
        <v>690.70769999999993</v>
      </c>
      <c r="T15" s="11">
        <f>SUM(T7:T11)</f>
        <v>678.33690000000001</v>
      </c>
      <c r="U15" s="3"/>
    </row>
    <row r="16" spans="1:21" x14ac:dyDescent="0.25">
      <c r="A16" t="s">
        <v>26</v>
      </c>
      <c r="B16" s="11"/>
      <c r="C16" s="11">
        <f>SUM(C15-B15)</f>
        <v>54.75</v>
      </c>
      <c r="D16" s="11">
        <f>SUM(D15-C15)</f>
        <v>39</v>
      </c>
      <c r="E16" s="11">
        <f>SUM(E15-D15)</f>
        <v>9.75</v>
      </c>
      <c r="F16" s="11">
        <f>SUM(F15-E15)</f>
        <v>74.25</v>
      </c>
      <c r="G16" s="11">
        <f>SUM(G15-F15)</f>
        <v>85.5</v>
      </c>
      <c r="H16" s="11">
        <f t="shared" ref="H16:T16" si="5">SUM(H15-G15)</f>
        <v>-59.25</v>
      </c>
      <c r="I16" s="11">
        <f t="shared" si="5"/>
        <v>-490.5</v>
      </c>
      <c r="J16" s="11">
        <f t="shared" si="5"/>
        <v>29.25</v>
      </c>
      <c r="K16" s="13">
        <f t="shared" si="5"/>
        <v>35.25</v>
      </c>
      <c r="L16" s="13">
        <f t="shared" si="5"/>
        <v>-56.25</v>
      </c>
      <c r="M16" s="13">
        <f t="shared" si="5"/>
        <v>18</v>
      </c>
      <c r="N16" s="13">
        <f t="shared" si="5"/>
        <v>-3.75</v>
      </c>
      <c r="O16" s="18">
        <f t="shared" si="5"/>
        <v>15.254999999999995</v>
      </c>
      <c r="P16" s="11">
        <f t="shared" si="5"/>
        <v>192.495</v>
      </c>
      <c r="Q16" s="11">
        <f t="shared" si="5"/>
        <v>-10.289999999999964</v>
      </c>
      <c r="R16" s="11">
        <f t="shared" si="5"/>
        <v>-16.856099999999969</v>
      </c>
      <c r="S16" s="11">
        <f t="shared" si="5"/>
        <v>44.353799999999865</v>
      </c>
      <c r="T16" s="11">
        <f t="shared" si="5"/>
        <v>-12.370799999999917</v>
      </c>
      <c r="U16" s="3"/>
    </row>
    <row r="20" spans="2:20" hidden="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3"/>
      <c r="L20" s="13"/>
      <c r="M20" s="13"/>
      <c r="N20" s="13"/>
      <c r="O20" s="18"/>
      <c r="P20" s="11">
        <v>263</v>
      </c>
      <c r="Q20" s="11">
        <v>309</v>
      </c>
      <c r="R20" s="11">
        <v>273</v>
      </c>
      <c r="S20" s="11">
        <v>321</v>
      </c>
      <c r="T20" s="11">
        <v>293</v>
      </c>
    </row>
    <row r="21" spans="2:20" hidden="1" x14ac:dyDescent="0.25">
      <c r="B21" s="11"/>
      <c r="C21" s="11"/>
      <c r="D21" s="11"/>
      <c r="E21" s="11"/>
      <c r="F21" s="11"/>
      <c r="G21" s="11"/>
      <c r="H21" s="11"/>
      <c r="I21" s="11"/>
      <c r="J21" s="11"/>
      <c r="K21" s="13"/>
      <c r="L21" s="13"/>
      <c r="M21" s="13"/>
      <c r="N21" s="13"/>
      <c r="O21" s="18"/>
      <c r="P21" s="11">
        <v>301</v>
      </c>
      <c r="Q21" s="11">
        <f>SUM(P20*1.02)</f>
        <v>268.26</v>
      </c>
      <c r="R21" s="11">
        <f t="shared" ref="R21:T22" si="6">SUM(Q20*1.02)</f>
        <v>315.18</v>
      </c>
      <c r="S21" s="11">
        <f t="shared" si="6"/>
        <v>278.45999999999998</v>
      </c>
      <c r="T21" s="11">
        <f t="shared" si="6"/>
        <v>327.42</v>
      </c>
    </row>
    <row r="22" spans="2:20" hidden="1" x14ac:dyDescent="0.25">
      <c r="B22" s="11">
        <v>508</v>
      </c>
      <c r="C22" s="11">
        <v>558</v>
      </c>
      <c r="D22" s="11">
        <v>576</v>
      </c>
      <c r="E22" s="11">
        <v>569</v>
      </c>
      <c r="F22" s="11">
        <v>670</v>
      </c>
      <c r="G22" s="11">
        <v>670</v>
      </c>
      <c r="H22" s="11">
        <v>597</v>
      </c>
      <c r="I22" s="11">
        <v>312</v>
      </c>
      <c r="J22" s="11">
        <v>326</v>
      </c>
      <c r="K22" s="13">
        <v>343</v>
      </c>
      <c r="L22" s="13">
        <v>284</v>
      </c>
      <c r="M22" s="13">
        <v>321</v>
      </c>
      <c r="N22" s="13">
        <v>317</v>
      </c>
      <c r="O22" s="18">
        <v>318</v>
      </c>
      <c r="P22" s="11">
        <v>334</v>
      </c>
      <c r="Q22" s="11">
        <f>SUM(P21*1.02)</f>
        <v>307.02</v>
      </c>
      <c r="R22" s="11">
        <f t="shared" si="6"/>
        <v>273.62520000000001</v>
      </c>
      <c r="S22" s="11">
        <f t="shared" si="6"/>
        <v>321.48360000000002</v>
      </c>
      <c r="T22" s="11">
        <f t="shared" si="6"/>
        <v>284.0292</v>
      </c>
    </row>
    <row r="23" spans="2:20" hidden="1" x14ac:dyDescent="0.25">
      <c r="B23" s="11">
        <v>465</v>
      </c>
      <c r="C23" s="11">
        <v>488</v>
      </c>
      <c r="D23" s="11">
        <v>522</v>
      </c>
      <c r="E23" s="11">
        <v>542</v>
      </c>
      <c r="F23" s="11">
        <v>540</v>
      </c>
      <c r="G23" s="11">
        <v>654</v>
      </c>
      <c r="H23" s="11">
        <v>648</v>
      </c>
      <c r="I23" s="11">
        <v>279</v>
      </c>
      <c r="J23" s="11">
        <v>304</v>
      </c>
      <c r="K23" s="13">
        <v>334</v>
      </c>
      <c r="L23" s="13">
        <v>318</v>
      </c>
      <c r="M23" s="13">
        <v>305</v>
      </c>
      <c r="N23" s="13">
        <v>304</v>
      </c>
      <c r="O23" s="18">
        <f>SUM(N22*1.02)</f>
        <v>323.34000000000003</v>
      </c>
      <c r="P23" s="11"/>
      <c r="Q23" s="11"/>
      <c r="R23" s="11"/>
      <c r="S23" s="11"/>
      <c r="T23" s="11"/>
    </row>
    <row r="35" spans="12:21" x14ac:dyDescent="0.25">
      <c r="L35" s="11"/>
      <c r="M35"/>
      <c r="N35"/>
      <c r="O35"/>
      <c r="P35"/>
      <c r="Q35"/>
      <c r="R35"/>
      <c r="S35"/>
      <c r="T35" s="3"/>
      <c r="U35" s="3"/>
    </row>
    <row r="36" spans="12:21" x14ac:dyDescent="0.25">
      <c r="M36"/>
      <c r="N36"/>
      <c r="O36"/>
      <c r="P36"/>
      <c r="Q36"/>
      <c r="R36"/>
      <c r="S36"/>
    </row>
    <row r="37" spans="12:21" x14ac:dyDescent="0.25">
      <c r="M37"/>
      <c r="N37"/>
      <c r="O37"/>
      <c r="P37"/>
      <c r="Q37"/>
      <c r="R37"/>
      <c r="S37"/>
    </row>
    <row r="38" spans="12:21" x14ac:dyDescent="0.25">
      <c r="M38"/>
      <c r="N38"/>
      <c r="O38"/>
      <c r="P38"/>
      <c r="Q38"/>
      <c r="R38"/>
      <c r="S38"/>
    </row>
    <row r="39" spans="12:21" x14ac:dyDescent="0.25">
      <c r="M39"/>
      <c r="N39"/>
      <c r="O39"/>
      <c r="P39"/>
      <c r="Q39"/>
      <c r="R39"/>
      <c r="S39"/>
    </row>
  </sheetData>
  <phoneticPr fontId="0" type="noConversion"/>
  <printOptions horizontalCentered="1"/>
  <pageMargins left="0.75" right="0.75" top="2.0099999999999998" bottom="1" header="0.5" footer="0.5"/>
  <pageSetup orientation="landscape" r:id="rId1"/>
  <headerFooter alignWithMargins="0">
    <oddHeader>&amp;C&amp;"Arial,Bold"&amp;16System-Wide Data
Student Enrollment Data
1990-2008
Hewitt Junior
75% of Actuals</oddHeader>
    <oddFooter>&amp;C&amp;8&amp;F 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workbookViewId="0">
      <selection activeCell="N28" sqref="N28"/>
    </sheetView>
  </sheetViews>
  <sheetFormatPr defaultRowHeight="12.5" x14ac:dyDescent="0.25"/>
  <cols>
    <col min="1" max="1" width="7" bestFit="1" customWidth="1"/>
    <col min="2" max="19" width="6" style="10" bestFit="1" customWidth="1"/>
    <col min="20" max="20" width="6" bestFit="1" customWidth="1"/>
    <col min="21" max="21" width="8.7265625" hidden="1" customWidth="1"/>
    <col min="22" max="24" width="8.7265625" customWidth="1"/>
  </cols>
  <sheetData>
    <row r="1" spans="1:25" ht="13" thickBot="1" x14ac:dyDescent="0.3">
      <c r="A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 s="2" t="s">
        <v>11</v>
      </c>
      <c r="Q1" s="2" t="s">
        <v>12</v>
      </c>
      <c r="R1" s="2" t="s">
        <v>27</v>
      </c>
      <c r="S1" s="2" t="s">
        <v>29</v>
      </c>
      <c r="T1" s="2" t="s">
        <v>41</v>
      </c>
      <c r="U1">
        <v>0.75</v>
      </c>
      <c r="X1" s="5"/>
    </row>
    <row r="2" spans="1:25" ht="13" thickTop="1" x14ac:dyDescent="0.25">
      <c r="A2" t="s">
        <v>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8"/>
      <c r="P2" s="11"/>
      <c r="Q2" s="11"/>
      <c r="R2" s="11"/>
      <c r="S2" s="11"/>
      <c r="T2" s="11"/>
      <c r="X2" s="3"/>
    </row>
    <row r="3" spans="1:25" x14ac:dyDescent="0.25">
      <c r="A3" t="s">
        <v>13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8"/>
      <c r="P3" s="11"/>
      <c r="Q3" s="11"/>
      <c r="R3" s="11"/>
      <c r="S3" s="11"/>
      <c r="T3" s="11"/>
      <c r="X3" s="3"/>
    </row>
    <row r="4" spans="1:25" x14ac:dyDescent="0.25">
      <c r="A4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8"/>
      <c r="P4" s="11"/>
      <c r="Q4" s="11"/>
      <c r="R4" s="11"/>
      <c r="S4" s="11"/>
      <c r="T4" s="11"/>
      <c r="X4" s="3"/>
    </row>
    <row r="5" spans="1:25" x14ac:dyDescent="0.25">
      <c r="A5" t="s">
        <v>15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8"/>
      <c r="P5" s="11"/>
      <c r="Q5" s="11"/>
      <c r="R5" s="11"/>
      <c r="S5" s="11"/>
      <c r="T5" s="11"/>
      <c r="X5" s="3"/>
    </row>
    <row r="6" spans="1:25" x14ac:dyDescent="0.25">
      <c r="A6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8"/>
      <c r="P6" s="11"/>
      <c r="Q6" s="11"/>
      <c r="R6" s="11"/>
      <c r="S6" s="11"/>
      <c r="T6" s="11"/>
      <c r="X6" s="3"/>
    </row>
    <row r="7" spans="1:25" x14ac:dyDescent="0.25">
      <c r="A7" t="s">
        <v>17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8"/>
      <c r="P7" s="11"/>
      <c r="Q7" s="11"/>
      <c r="R7" s="11"/>
      <c r="S7" s="11"/>
      <c r="T7" s="11"/>
      <c r="X7" s="3"/>
    </row>
    <row r="8" spans="1:25" x14ac:dyDescent="0.25">
      <c r="A8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O8" s="20"/>
      <c r="T8" s="10"/>
    </row>
    <row r="9" spans="1:25" x14ac:dyDescent="0.25">
      <c r="A9" t="s">
        <v>19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8"/>
      <c r="P9" s="11"/>
      <c r="Q9" s="11"/>
      <c r="R9" s="11"/>
      <c r="S9" s="11"/>
      <c r="T9" s="11"/>
      <c r="X9" s="3"/>
    </row>
    <row r="10" spans="1:25" x14ac:dyDescent="0.25">
      <c r="A10" t="s">
        <v>20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8"/>
      <c r="P10" s="11"/>
      <c r="Q10" s="11"/>
      <c r="R10" s="11"/>
      <c r="S10" s="11"/>
      <c r="T10" s="11"/>
      <c r="X10" s="3"/>
    </row>
    <row r="11" spans="1:25" x14ac:dyDescent="0.25">
      <c r="A11" t="s">
        <v>21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8"/>
      <c r="P11" s="11">
        <f>SUM(P20*$U$1)</f>
        <v>243</v>
      </c>
      <c r="Q11" s="11">
        <f>SUM(Q20*$U$1)</f>
        <v>255</v>
      </c>
      <c r="R11" s="11">
        <f>SUM(R20*$U$1)</f>
        <v>234.75</v>
      </c>
      <c r="S11" s="11">
        <f>SUM(S20*$U$1)</f>
        <v>208.5</v>
      </c>
      <c r="T11" s="11">
        <f>SUM(T20*$U$1)</f>
        <v>245.25</v>
      </c>
      <c r="X11" s="3"/>
    </row>
    <row r="12" spans="1:25" x14ac:dyDescent="0.25">
      <c r="A12" t="s">
        <v>22</v>
      </c>
      <c r="B12" s="11">
        <f>SUM(B21*$U$1)</f>
        <v>347.25</v>
      </c>
      <c r="C12" s="11">
        <f t="shared" ref="C12:T14" si="0">SUM(C21*$U$1)</f>
        <v>343.5</v>
      </c>
      <c r="D12" s="11">
        <f t="shared" si="0"/>
        <v>363</v>
      </c>
      <c r="E12" s="11">
        <f t="shared" si="0"/>
        <v>365.25</v>
      </c>
      <c r="F12" s="11">
        <f t="shared" si="0"/>
        <v>391.5</v>
      </c>
      <c r="G12" s="11">
        <f t="shared" si="0"/>
        <v>398.25</v>
      </c>
      <c r="H12" s="11">
        <f t="shared" si="0"/>
        <v>461.25</v>
      </c>
      <c r="I12" s="11">
        <f t="shared" si="0"/>
        <v>231</v>
      </c>
      <c r="J12" s="11">
        <f t="shared" si="0"/>
        <v>205.5</v>
      </c>
      <c r="K12" s="11">
        <f t="shared" si="0"/>
        <v>220.5</v>
      </c>
      <c r="L12" s="11">
        <f t="shared" si="0"/>
        <v>242.25</v>
      </c>
      <c r="M12" s="11">
        <f t="shared" si="0"/>
        <v>233.25</v>
      </c>
      <c r="N12" s="22">
        <f t="shared" si="0"/>
        <v>232.5</v>
      </c>
      <c r="O12" s="11">
        <f t="shared" si="0"/>
        <v>232.5</v>
      </c>
      <c r="P12" s="11">
        <f t="shared" si="0"/>
        <v>247.5</v>
      </c>
      <c r="Q12" s="11">
        <f t="shared" si="0"/>
        <v>247.86</v>
      </c>
      <c r="R12" s="11">
        <f t="shared" si="0"/>
        <v>260.10000000000002</v>
      </c>
      <c r="S12" s="11">
        <f t="shared" si="0"/>
        <v>239.44499999999999</v>
      </c>
      <c r="T12" s="11">
        <f t="shared" si="0"/>
        <v>212.67000000000002</v>
      </c>
      <c r="X12" s="3"/>
    </row>
    <row r="13" spans="1:25" x14ac:dyDescent="0.25">
      <c r="A13" t="s">
        <v>23</v>
      </c>
      <c r="B13" s="11">
        <f t="shared" ref="B13:Q14" si="1">SUM(B22*$U$1)</f>
        <v>272.25</v>
      </c>
      <c r="C13" s="11">
        <f t="shared" si="1"/>
        <v>316.5</v>
      </c>
      <c r="D13" s="11">
        <f t="shared" si="1"/>
        <v>291.75</v>
      </c>
      <c r="E13" s="11">
        <f t="shared" si="1"/>
        <v>313.5</v>
      </c>
      <c r="F13" s="11">
        <f t="shared" si="1"/>
        <v>329.25</v>
      </c>
      <c r="G13" s="11">
        <f t="shared" si="1"/>
        <v>340.5</v>
      </c>
      <c r="H13" s="11">
        <f t="shared" si="1"/>
        <v>380.25</v>
      </c>
      <c r="I13" s="11">
        <f t="shared" si="1"/>
        <v>297.75</v>
      </c>
      <c r="J13" s="11">
        <f t="shared" si="1"/>
        <v>216.75</v>
      </c>
      <c r="K13" s="11">
        <f t="shared" si="1"/>
        <v>197.25</v>
      </c>
      <c r="L13" s="11">
        <f t="shared" si="1"/>
        <v>213</v>
      </c>
      <c r="M13" s="11">
        <f t="shared" si="1"/>
        <v>232.5</v>
      </c>
      <c r="N13" s="22">
        <f t="shared" si="1"/>
        <v>228.75</v>
      </c>
      <c r="O13" s="11">
        <f t="shared" si="1"/>
        <v>237.14999999999998</v>
      </c>
      <c r="P13" s="11">
        <f t="shared" si="1"/>
        <v>237.14999999999998</v>
      </c>
      <c r="Q13" s="11">
        <f t="shared" si="1"/>
        <v>252.45000000000002</v>
      </c>
      <c r="R13" s="11">
        <f t="shared" si="0"/>
        <v>252.81720000000001</v>
      </c>
      <c r="S13" s="11">
        <f t="shared" si="0"/>
        <v>265.30200000000002</v>
      </c>
      <c r="T13" s="11">
        <f t="shared" si="0"/>
        <v>244.23390000000001</v>
      </c>
      <c r="X13" s="3"/>
    </row>
    <row r="14" spans="1:25" ht="13" thickBot="1" x14ac:dyDescent="0.3">
      <c r="A14" t="s">
        <v>24</v>
      </c>
      <c r="B14" s="12">
        <f t="shared" si="1"/>
        <v>271.5</v>
      </c>
      <c r="C14" s="12">
        <f t="shared" si="0"/>
        <v>241.5</v>
      </c>
      <c r="D14" s="12">
        <f t="shared" si="0"/>
        <v>269.25</v>
      </c>
      <c r="E14" s="12">
        <f t="shared" si="0"/>
        <v>254.25</v>
      </c>
      <c r="F14" s="12">
        <f t="shared" si="0"/>
        <v>285.75</v>
      </c>
      <c r="G14" s="12">
        <f t="shared" si="0"/>
        <v>306.75</v>
      </c>
      <c r="H14" s="12">
        <f t="shared" si="0"/>
        <v>296.25</v>
      </c>
      <c r="I14" s="12">
        <f t="shared" si="0"/>
        <v>317.25</v>
      </c>
      <c r="J14" s="12">
        <f t="shared" si="0"/>
        <v>285.75</v>
      </c>
      <c r="K14" s="12">
        <f t="shared" si="0"/>
        <v>212.25</v>
      </c>
      <c r="L14" s="12">
        <f t="shared" si="0"/>
        <v>184.5</v>
      </c>
      <c r="M14" s="12">
        <f t="shared" si="0"/>
        <v>211.5</v>
      </c>
      <c r="N14" s="24">
        <f t="shared" si="0"/>
        <v>228.75</v>
      </c>
      <c r="O14" s="12">
        <f t="shared" si="0"/>
        <v>233.32500000000002</v>
      </c>
      <c r="P14" s="12">
        <f t="shared" si="0"/>
        <v>241.893</v>
      </c>
      <c r="Q14" s="12">
        <f t="shared" si="0"/>
        <v>241.893</v>
      </c>
      <c r="R14" s="12">
        <f t="shared" si="0"/>
        <v>257.49900000000002</v>
      </c>
      <c r="S14" s="12">
        <f t="shared" si="0"/>
        <v>257.87354400000004</v>
      </c>
      <c r="T14" s="12">
        <f t="shared" si="0"/>
        <v>270.60804000000002</v>
      </c>
      <c r="X14" s="4"/>
      <c r="Y14" s="6"/>
    </row>
    <row r="15" spans="1:25" ht="13" thickTop="1" x14ac:dyDescent="0.25">
      <c r="A15" t="s">
        <v>25</v>
      </c>
      <c r="B15" s="11">
        <f>SUM(B2:B14)</f>
        <v>891</v>
      </c>
      <c r="C15" s="11">
        <f>SUM(C2:C14)</f>
        <v>901.5</v>
      </c>
      <c r="D15" s="11">
        <f>SUM(D2:D14)</f>
        <v>924</v>
      </c>
      <c r="E15" s="11">
        <f>SUM(E2:E14)</f>
        <v>933</v>
      </c>
      <c r="F15" s="11">
        <f>SUM(F2:F14)</f>
        <v>1006.5</v>
      </c>
      <c r="G15" s="11">
        <f t="shared" ref="G15:O15" si="2">SUM(G2:G14)</f>
        <v>1045.5</v>
      </c>
      <c r="H15" s="11">
        <f t="shared" si="2"/>
        <v>1137.75</v>
      </c>
      <c r="I15" s="11">
        <f t="shared" si="2"/>
        <v>846</v>
      </c>
      <c r="J15" s="11">
        <f t="shared" si="2"/>
        <v>708</v>
      </c>
      <c r="K15" s="11">
        <f t="shared" si="2"/>
        <v>630</v>
      </c>
      <c r="L15" s="11">
        <f>SUM(L2:L14)</f>
        <v>639.75</v>
      </c>
      <c r="M15" s="11">
        <f>SUM(M2:M14)</f>
        <v>677.25</v>
      </c>
      <c r="N15" s="11">
        <f t="shared" si="2"/>
        <v>690</v>
      </c>
      <c r="O15" s="18">
        <f t="shared" si="2"/>
        <v>702.97500000000002</v>
      </c>
      <c r="P15" s="11">
        <f>SUM(P2:P14)</f>
        <v>969.54300000000001</v>
      </c>
      <c r="Q15" s="11">
        <f>SUM(Q2:Q14)</f>
        <v>997.20300000000009</v>
      </c>
      <c r="R15" s="11">
        <f>SUM(R2:R14)</f>
        <v>1005.1662000000001</v>
      </c>
      <c r="S15" s="11">
        <f>SUM(S2:S14)</f>
        <v>971.12054400000011</v>
      </c>
      <c r="T15" s="11">
        <f>SUM(T2:T14)</f>
        <v>972.7619400000001</v>
      </c>
      <c r="X15" s="3"/>
    </row>
    <row r="16" spans="1:25" x14ac:dyDescent="0.25">
      <c r="A16" t="s">
        <v>26</v>
      </c>
      <c r="B16" s="11"/>
      <c r="C16" s="11">
        <f>SUM(C15-B15)</f>
        <v>10.5</v>
      </c>
      <c r="D16" s="11">
        <f>SUM(D15-C15)</f>
        <v>22.5</v>
      </c>
      <c r="E16" s="11">
        <f>SUM(E15-D15)</f>
        <v>9</v>
      </c>
      <c r="F16" s="11">
        <f>SUM(F15-E15)</f>
        <v>73.5</v>
      </c>
      <c r="G16" s="11">
        <f>SUM(G15-F15)</f>
        <v>39</v>
      </c>
      <c r="H16" s="11">
        <f t="shared" ref="H16:T16" si="3">SUM(H15-G15)</f>
        <v>92.25</v>
      </c>
      <c r="I16" s="11">
        <f t="shared" si="3"/>
        <v>-291.75</v>
      </c>
      <c r="J16" s="11">
        <f t="shared" si="3"/>
        <v>-138</v>
      </c>
      <c r="K16" s="11">
        <f t="shared" si="3"/>
        <v>-78</v>
      </c>
      <c r="L16" s="11">
        <f t="shared" si="3"/>
        <v>9.75</v>
      </c>
      <c r="M16" s="11">
        <f t="shared" si="3"/>
        <v>37.5</v>
      </c>
      <c r="N16" s="11">
        <f t="shared" si="3"/>
        <v>12.75</v>
      </c>
      <c r="O16" s="18">
        <f t="shared" si="3"/>
        <v>12.975000000000023</v>
      </c>
      <c r="P16" s="11">
        <f t="shared" si="3"/>
        <v>266.56799999999998</v>
      </c>
      <c r="Q16" s="11">
        <f t="shared" si="3"/>
        <v>27.660000000000082</v>
      </c>
      <c r="R16" s="11">
        <f t="shared" si="3"/>
        <v>7.9632000000000289</v>
      </c>
      <c r="S16" s="11">
        <f t="shared" si="3"/>
        <v>-34.045656000000008</v>
      </c>
      <c r="T16" s="11">
        <f t="shared" si="3"/>
        <v>1.6413959999999861</v>
      </c>
      <c r="X16" s="3"/>
    </row>
    <row r="20" spans="2:20" hidden="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8"/>
      <c r="P20" s="11">
        <v>324</v>
      </c>
      <c r="Q20" s="11">
        <v>340</v>
      </c>
      <c r="R20" s="11">
        <v>313</v>
      </c>
      <c r="S20" s="11">
        <v>278</v>
      </c>
      <c r="T20" s="11">
        <v>327</v>
      </c>
    </row>
    <row r="21" spans="2:20" hidden="1" x14ac:dyDescent="0.25">
      <c r="B21" s="11">
        <v>463</v>
      </c>
      <c r="C21" s="11">
        <v>458</v>
      </c>
      <c r="D21" s="11">
        <v>484</v>
      </c>
      <c r="E21" s="11">
        <v>487</v>
      </c>
      <c r="F21" s="11">
        <v>522</v>
      </c>
      <c r="G21" s="11">
        <v>531</v>
      </c>
      <c r="H21" s="11">
        <v>615</v>
      </c>
      <c r="I21" s="11">
        <v>308</v>
      </c>
      <c r="J21" s="11">
        <v>274</v>
      </c>
      <c r="K21" s="11">
        <v>294</v>
      </c>
      <c r="L21" s="11">
        <v>323</v>
      </c>
      <c r="M21" s="11">
        <v>311</v>
      </c>
      <c r="N21" s="11">
        <v>310</v>
      </c>
      <c r="O21" s="18">
        <v>310</v>
      </c>
      <c r="P21" s="11">
        <v>330</v>
      </c>
      <c r="Q21" s="11">
        <f>SUM(P20*1.02)</f>
        <v>330.48</v>
      </c>
      <c r="R21" s="11">
        <f>SUM(Q20*1.02)</f>
        <v>346.8</v>
      </c>
      <c r="S21" s="11">
        <f>SUM(R20*1.02)</f>
        <v>319.26</v>
      </c>
      <c r="T21" s="11">
        <f>SUM(S20*1.02)</f>
        <v>283.56</v>
      </c>
    </row>
    <row r="22" spans="2:20" hidden="1" x14ac:dyDescent="0.25">
      <c r="B22" s="11">
        <v>363</v>
      </c>
      <c r="C22" s="11">
        <v>422</v>
      </c>
      <c r="D22" s="11">
        <v>389</v>
      </c>
      <c r="E22" s="11">
        <v>418</v>
      </c>
      <c r="F22" s="11">
        <v>439</v>
      </c>
      <c r="G22" s="11">
        <v>454</v>
      </c>
      <c r="H22" s="11">
        <v>507</v>
      </c>
      <c r="I22" s="11">
        <v>397</v>
      </c>
      <c r="J22" s="11">
        <v>289</v>
      </c>
      <c r="K22" s="11">
        <v>263</v>
      </c>
      <c r="L22" s="11">
        <v>284</v>
      </c>
      <c r="M22" s="11">
        <v>310</v>
      </c>
      <c r="N22" s="13">
        <v>305</v>
      </c>
      <c r="O22" s="18">
        <f>SUM(N21*1.02)</f>
        <v>316.2</v>
      </c>
      <c r="P22" s="13">
        <f t="shared" ref="P22:T23" si="4">SUM(O21*1.02)</f>
        <v>316.2</v>
      </c>
      <c r="Q22" s="13">
        <f t="shared" si="4"/>
        <v>336.6</v>
      </c>
      <c r="R22" s="13">
        <f t="shared" si="4"/>
        <v>337.08960000000002</v>
      </c>
      <c r="S22" s="13">
        <f t="shared" si="4"/>
        <v>353.73599999999999</v>
      </c>
      <c r="T22" s="13">
        <f t="shared" si="4"/>
        <v>325.64519999999999</v>
      </c>
    </row>
    <row r="23" spans="2:20" ht="13" hidden="1" thickBot="1" x14ac:dyDescent="0.3">
      <c r="B23" s="12">
        <v>362</v>
      </c>
      <c r="C23" s="12">
        <v>322</v>
      </c>
      <c r="D23" s="12">
        <v>359</v>
      </c>
      <c r="E23" s="12">
        <v>339</v>
      </c>
      <c r="F23" s="12">
        <v>381</v>
      </c>
      <c r="G23" s="12">
        <v>409</v>
      </c>
      <c r="H23" s="12">
        <v>395</v>
      </c>
      <c r="I23" s="12">
        <v>423</v>
      </c>
      <c r="J23" s="12">
        <v>381</v>
      </c>
      <c r="K23" s="12">
        <v>283</v>
      </c>
      <c r="L23" s="12">
        <v>246</v>
      </c>
      <c r="M23" s="12">
        <v>282</v>
      </c>
      <c r="N23" s="12">
        <v>305</v>
      </c>
      <c r="O23" s="19">
        <f>SUM(N22*1.02)</f>
        <v>311.10000000000002</v>
      </c>
      <c r="P23" s="12">
        <f t="shared" si="4"/>
        <v>322.524</v>
      </c>
      <c r="Q23" s="12">
        <f t="shared" si="4"/>
        <v>322.524</v>
      </c>
      <c r="R23" s="12">
        <f t="shared" si="4"/>
        <v>343.33200000000005</v>
      </c>
      <c r="S23" s="12">
        <f t="shared" si="4"/>
        <v>343.83139200000005</v>
      </c>
      <c r="T23" s="12">
        <f t="shared" si="4"/>
        <v>360.81072</v>
      </c>
    </row>
    <row r="35" spans="12:25" x14ac:dyDescent="0.25">
      <c r="L35" s="11"/>
      <c r="M35" s="11"/>
      <c r="N35" s="11"/>
      <c r="O35" s="11"/>
      <c r="P35" s="11"/>
      <c r="Q35" s="11"/>
      <c r="R35" s="11"/>
      <c r="S35" s="11"/>
      <c r="X35" s="3"/>
      <c r="Y35" s="3"/>
    </row>
  </sheetData>
  <phoneticPr fontId="0" type="noConversion"/>
  <printOptions horizontalCentered="1"/>
  <pageMargins left="0.75" right="0.75" top="1.99" bottom="1" header="0.5" footer="0.5"/>
  <pageSetup orientation="landscape" r:id="rId1"/>
  <headerFooter alignWithMargins="0">
    <oddHeader>&amp;C&amp;"Arial,Bold"&amp;16System-Wide Data
Student Enrollment Data
1990-2008
Hewitt-Trussville High School
75% of Actuals</oddHeader>
    <oddFooter>&amp;C&amp;8&amp;F 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P26" sqref="P26"/>
    </sheetView>
  </sheetViews>
  <sheetFormatPr defaultRowHeight="12.5" x14ac:dyDescent="0.25"/>
  <cols>
    <col min="1" max="1" width="6.453125" customWidth="1"/>
    <col min="2" max="20" width="6" bestFit="1" customWidth="1"/>
    <col min="21" max="21" width="8.7265625" customWidth="1"/>
    <col min="22" max="22" width="11.453125" bestFit="1" customWidth="1"/>
  </cols>
  <sheetData>
    <row r="1" spans="1:20" ht="13" thickBot="1" x14ac:dyDescent="0.3">
      <c r="A1" s="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 s="2" t="s">
        <v>11</v>
      </c>
      <c r="Q1" s="2" t="s">
        <v>12</v>
      </c>
      <c r="R1" s="2" t="s">
        <v>27</v>
      </c>
      <c r="S1" s="2" t="s">
        <v>29</v>
      </c>
      <c r="T1" s="2" t="s">
        <v>41</v>
      </c>
    </row>
    <row r="2" spans="1:20" ht="13" thickTop="1" x14ac:dyDescent="0.25">
      <c r="A2" t="s">
        <v>28</v>
      </c>
      <c r="B2" s="13">
        <f>SUM('Hewitt Elementary 0370'!B2)</f>
        <v>191.25</v>
      </c>
      <c r="C2" s="13">
        <f>SUM('Hewitt Elementary 0370'!C2)</f>
        <v>192.75</v>
      </c>
      <c r="D2" s="13">
        <f>SUM('Hewitt Elementary 0370'!D2)</f>
        <v>178.5</v>
      </c>
      <c r="E2" s="13">
        <f>SUM('Hewitt Elementary 0370'!E2)</f>
        <v>202.5</v>
      </c>
      <c r="F2" s="13">
        <f>SUM('Hewitt Elementary 0370'!F2)</f>
        <v>201</v>
      </c>
      <c r="G2" s="13">
        <f>SUM('Hewitt Elementary 0370'!G2)</f>
        <v>180</v>
      </c>
      <c r="H2" s="13">
        <f>SUM('Hewitt Elementary 0370'!H2)</f>
        <v>208.5</v>
      </c>
      <c r="I2" s="13">
        <f>SUM('Hewitt Elementary 0370'!I2)</f>
        <v>195.75</v>
      </c>
      <c r="J2" s="13">
        <f>SUM('Hewitt Elementary 0370'!J2)</f>
        <v>192</v>
      </c>
      <c r="K2" s="13">
        <f>SUM('Hewitt Elementary 0370'!K2)</f>
        <v>189</v>
      </c>
      <c r="L2" s="13">
        <f>SUM('Hewitt Elementary 0370'!L2)</f>
        <v>189</v>
      </c>
      <c r="M2" s="13">
        <f>SUM('Hewitt Elementary 0370'!M2)</f>
        <v>175.5</v>
      </c>
      <c r="N2" s="13">
        <f>SUM('Hewitt Elementary 0370'!N2)</f>
        <v>192.75</v>
      </c>
      <c r="O2" s="18">
        <f>SUM('Hewitt Elementary 0370'!O2)</f>
        <v>196.60499999999999</v>
      </c>
      <c r="P2" s="13">
        <f>SUM('Payne Elementary 0370'!P2)</f>
        <v>200.25</v>
      </c>
      <c r="Q2" s="13">
        <f>SUM('Payne Elementary 0370'!Q2)</f>
        <v>204.25500000000002</v>
      </c>
      <c r="R2" s="13">
        <f>SUM('Payne Elementary 0370'!R2)</f>
        <v>208.34010000000001</v>
      </c>
      <c r="S2" s="13">
        <f>SUM('Payne Elementary 0370'!S2)</f>
        <v>212.50690200000003</v>
      </c>
      <c r="T2" s="13">
        <f>SUM('Payne Elementary 0370'!T2)</f>
        <v>216.75704004000005</v>
      </c>
    </row>
    <row r="3" spans="1:20" x14ac:dyDescent="0.25">
      <c r="A3" t="s">
        <v>13</v>
      </c>
      <c r="B3" s="13">
        <f>SUM('Hewitt Elementary 0370'!B3)</f>
        <v>209.25</v>
      </c>
      <c r="C3" s="13">
        <f>SUM('Hewitt Elementary 0370'!C3)</f>
        <v>207.75</v>
      </c>
      <c r="D3" s="13">
        <f>SUM('Hewitt Elementary 0370'!D3)</f>
        <v>198.75</v>
      </c>
      <c r="E3" s="13">
        <f>SUM('Hewitt Elementary 0370'!E3)</f>
        <v>184.5</v>
      </c>
      <c r="F3" s="13">
        <f>SUM('Hewitt Elementary 0370'!F3)</f>
        <v>216.75</v>
      </c>
      <c r="G3" s="13">
        <f>SUM('Hewitt Elementary 0370'!G3)</f>
        <v>207.75</v>
      </c>
      <c r="H3" s="13">
        <f>SUM('Hewitt Elementary 0370'!H3)</f>
        <v>195</v>
      </c>
      <c r="I3" s="13">
        <f>SUM('Hewitt Elementary 0370'!I3)</f>
        <v>209.25</v>
      </c>
      <c r="J3" s="13">
        <f>SUM('Hewitt Elementary 0370'!J3)</f>
        <v>198</v>
      </c>
      <c r="K3" s="13">
        <f>SUM('Hewitt Elementary 0370'!K3)</f>
        <v>177</v>
      </c>
      <c r="L3" s="13">
        <f>SUM('Hewitt Elementary 0370'!L3)</f>
        <v>195.75</v>
      </c>
      <c r="M3" s="13">
        <f>SUM('Hewitt Elementary 0370'!M3)</f>
        <v>189</v>
      </c>
      <c r="N3" s="13">
        <f>SUM('Hewitt Elementary 0370'!N3)</f>
        <v>187.5</v>
      </c>
      <c r="O3" s="18">
        <f>SUM('Hewitt Elementary 0370'!O3)</f>
        <v>196.60499999999999</v>
      </c>
      <c r="P3" s="13">
        <f>SUM('Payne Elementary 0370'!P3)</f>
        <v>195</v>
      </c>
      <c r="Q3" s="13">
        <f>SUM('Payne Elementary 0370'!Q3)</f>
        <v>204.25500000000002</v>
      </c>
      <c r="R3" s="13">
        <f>SUM('Payne Elementary 0370'!R3)</f>
        <v>208.34010000000001</v>
      </c>
      <c r="S3" s="13">
        <f>SUM('Payne Elementary 0370'!S3)</f>
        <v>212.50690200000003</v>
      </c>
      <c r="T3" s="13">
        <f>SUM('Payne Elementary 0370'!T3)</f>
        <v>216.75704004000005</v>
      </c>
    </row>
    <row r="4" spans="1:20" x14ac:dyDescent="0.25">
      <c r="A4" t="s">
        <v>14</v>
      </c>
      <c r="B4" s="13">
        <f>SUM('Hewitt Elementary 0370'!B4)</f>
        <v>174</v>
      </c>
      <c r="C4" s="13">
        <f>SUM('Hewitt Elementary 0370'!C4)</f>
        <v>207.75</v>
      </c>
      <c r="D4" s="13">
        <f>SUM('Hewitt Elementary 0370'!D4)</f>
        <v>216</v>
      </c>
      <c r="E4" s="13">
        <f>SUM('Hewitt Elementary 0370'!E4)</f>
        <v>189</v>
      </c>
      <c r="F4" s="13">
        <f>SUM('Hewitt Elementary 0370'!F4)</f>
        <v>174.75</v>
      </c>
      <c r="G4" s="13">
        <f>SUM('Hewitt Elementary 0370'!G4)</f>
        <v>209.25</v>
      </c>
      <c r="H4" s="13">
        <f>SUM('Hewitt Elementary 0370'!H4)</f>
        <v>204.75</v>
      </c>
      <c r="I4" s="13">
        <f>SUM('Hewitt Elementary 0370'!I4)</f>
        <v>180</v>
      </c>
      <c r="J4" s="13">
        <f>SUM('Hewitt Elementary 0370'!J4)</f>
        <v>219</v>
      </c>
      <c r="K4" s="13">
        <f>SUM('Hewitt Elementary 0370'!K4)</f>
        <v>202.5</v>
      </c>
      <c r="L4" s="13">
        <f>SUM('Hewitt Elementary 0370'!L4)</f>
        <v>180.75</v>
      </c>
      <c r="M4" s="13">
        <f>SUM('Hewitt Elementary 0370'!M4)</f>
        <v>200.25</v>
      </c>
      <c r="N4" s="13">
        <f>SUM('Hewitt Elementary 0370'!N4)</f>
        <v>195</v>
      </c>
      <c r="O4" s="18">
        <f>SUM('Hewitt Elementary 0370'!O4)</f>
        <v>191.25</v>
      </c>
      <c r="P4" s="13">
        <f>SUM('Payne Elementary 0370'!P4)</f>
        <v>202.5</v>
      </c>
      <c r="Q4" s="13">
        <f>SUM('Payne Elementary 0370'!Q4)</f>
        <v>198.89999999999998</v>
      </c>
      <c r="R4" s="13">
        <f>SUM('Payne Elementary 0370'!R4)</f>
        <v>208.34010000000001</v>
      </c>
      <c r="S4" s="13">
        <f>SUM('Payne Elementary 0370'!S4)</f>
        <v>212.50690200000003</v>
      </c>
      <c r="T4" s="13">
        <f>SUM('Payne Elementary 0370'!T4)</f>
        <v>216.75704004000005</v>
      </c>
    </row>
    <row r="5" spans="1:20" x14ac:dyDescent="0.25">
      <c r="A5" t="s">
        <v>15</v>
      </c>
      <c r="B5" s="13">
        <f>SUM('Hewitt Elementary 0370'!B5)</f>
        <v>180</v>
      </c>
      <c r="C5" s="13">
        <f>SUM('Hewitt Elementary 0370'!C5)</f>
        <v>174.75</v>
      </c>
      <c r="D5" s="13">
        <f>SUM('Hewitt Elementary 0370'!D5)</f>
        <v>216.75</v>
      </c>
      <c r="E5" s="13">
        <f>SUM('Hewitt Elementary 0370'!E5)</f>
        <v>214.5</v>
      </c>
      <c r="F5" s="13">
        <f>SUM('Hewitt Elementary 0370'!F5)</f>
        <v>209.25</v>
      </c>
      <c r="G5" s="13">
        <f>SUM('Hewitt Elementary 0370'!G5)</f>
        <v>187.5</v>
      </c>
      <c r="H5" s="13">
        <f>SUM('Hewitt Elementary 0370'!H5)</f>
        <v>222.75</v>
      </c>
      <c r="I5" s="13">
        <f>SUM('Hewitt Elementary 0370'!I5)</f>
        <v>216.75</v>
      </c>
      <c r="J5" s="13">
        <f>SUM('Hewitt Elementary 0370'!J5)</f>
        <v>205.5</v>
      </c>
      <c r="K5" s="13">
        <f>SUM('Hewitt Elementary 0370'!K5)</f>
        <v>235.5</v>
      </c>
      <c r="L5" s="13">
        <f>SUM('Hewitt Elementary 0370'!L5)</f>
        <v>222</v>
      </c>
      <c r="M5" s="13">
        <f>SUM('Hewitt Elementary 0370'!M5)</f>
        <v>190.5</v>
      </c>
      <c r="N5" s="13">
        <f>SUM('Hewitt Elementary 0370'!N5)</f>
        <v>219</v>
      </c>
      <c r="O5" s="18">
        <f>SUM('Hewitt Elementary 0370'!O5)</f>
        <v>198.89999999999998</v>
      </c>
      <c r="P5" s="13">
        <f>SUM('Payne Elementary 0370'!P5)</f>
        <v>227.25</v>
      </c>
      <c r="Q5" s="13">
        <f>SUM('Payne Elementary 0370'!Q5)</f>
        <v>206.54999999999998</v>
      </c>
      <c r="R5" s="13">
        <f>SUM('Payne Elementary 0370'!R5)</f>
        <v>202.87800000000001</v>
      </c>
      <c r="S5" s="13">
        <f>SUM('Payne Elementary 0370'!S5)</f>
        <v>212.50690200000003</v>
      </c>
      <c r="T5" s="13">
        <f>SUM('Payne Elementary 0370'!T5)</f>
        <v>216.75704004000005</v>
      </c>
    </row>
    <row r="6" spans="1:20" x14ac:dyDescent="0.25">
      <c r="A6" t="s">
        <v>16</v>
      </c>
      <c r="B6" s="13">
        <f>SUM('Hewitt Elementary 0370'!B6)</f>
        <v>204</v>
      </c>
      <c r="C6" s="13">
        <f>SUM('Hewitt Elementary 0370'!C6)</f>
        <v>186</v>
      </c>
      <c r="D6" s="13">
        <f>SUM('Hewitt Elementary 0370'!D6)</f>
        <v>180.75</v>
      </c>
      <c r="E6" s="13">
        <f>SUM('Hewitt Elementary 0370'!E6)</f>
        <v>212.25</v>
      </c>
      <c r="F6" s="13">
        <f>SUM('Hewitt Elementary 0370'!F6)</f>
        <v>219</v>
      </c>
      <c r="G6" s="13">
        <f>SUM('Hewitt Elementary 0370'!G6)</f>
        <v>205.5</v>
      </c>
      <c r="H6" s="13">
        <f>SUM('Hewitt Elementary 0370'!H6)</f>
        <v>192</v>
      </c>
      <c r="I6" s="13">
        <f>SUM('Hewitt Elementary 0370'!I6)</f>
        <v>214.5</v>
      </c>
      <c r="J6" s="13">
        <f>SUM('Hewitt Elementary 0370'!J6)</f>
        <v>225.75</v>
      </c>
      <c r="K6" s="13">
        <f>SUM('Hewitt Elementary 0370'!K6)</f>
        <v>210</v>
      </c>
      <c r="L6" s="13">
        <f>SUM('Hewitt Elementary 0370'!L6)</f>
        <v>232.5</v>
      </c>
      <c r="M6" s="13">
        <f>SUM('Hewitt Elementary 0370'!M6)</f>
        <v>216</v>
      </c>
      <c r="N6" s="13">
        <f>SUM('Hewitt Elementary 0370'!N6)</f>
        <v>189.75</v>
      </c>
      <c r="O6" s="18">
        <f>SUM('Hewitt Elementary 0370'!O6)</f>
        <v>223.38000000000002</v>
      </c>
      <c r="P6" s="13">
        <f>SUM('Payne Elementary 0370'!P6)</f>
        <v>197.25</v>
      </c>
      <c r="Q6" s="13">
        <f>SUM('Payne Elementary 0370'!Q6)</f>
        <v>231.79500000000002</v>
      </c>
      <c r="R6" s="13">
        <f>SUM('Payne Elementary 0370'!R6)</f>
        <v>210.68099999999998</v>
      </c>
      <c r="S6" s="13">
        <f>SUM('Payne Elementary 0370'!S6)</f>
        <v>206.93556000000001</v>
      </c>
      <c r="T6" s="13">
        <f>SUM('Payne Elementary 0370'!T6)</f>
        <v>216.75704004000005</v>
      </c>
    </row>
    <row r="7" spans="1:20" ht="13" thickBot="1" x14ac:dyDescent="0.3">
      <c r="A7" t="s">
        <v>17</v>
      </c>
      <c r="B7" s="12">
        <f>SUM('Hewitt Middle 0380'!B7)</f>
        <v>187.5</v>
      </c>
      <c r="C7" s="12">
        <f>SUM('Hewitt Middle 0380'!C7)</f>
        <v>207</v>
      </c>
      <c r="D7" s="12">
        <f>SUM('Hewitt Middle 0380'!D7)</f>
        <v>205.5</v>
      </c>
      <c r="E7" s="12">
        <f>SUM('Hewitt Middle 0380'!E7)</f>
        <v>182.25</v>
      </c>
      <c r="F7" s="12">
        <f>SUM('Hewitt Middle 0380'!F7)</f>
        <v>222.75</v>
      </c>
      <c r="G7" s="12">
        <f>SUM('Hewitt Middle 0380'!G7)</f>
        <v>228.75</v>
      </c>
      <c r="H7" s="12">
        <f>SUM('Hewitt Middle 0380'!H7)</f>
        <v>228</v>
      </c>
      <c r="I7" s="12">
        <f>SUM('Hewitt Middle 0380'!I7)</f>
        <v>197.25</v>
      </c>
      <c r="J7" s="12">
        <f>SUM('Hewitt Middle 0380'!J7)</f>
        <v>230.25</v>
      </c>
      <c r="K7" s="12">
        <f>SUM('Hewitt Middle 0380'!K7)</f>
        <v>234.75</v>
      </c>
      <c r="L7" s="12">
        <f>SUM('Hewitt Middle 0380'!L7)</f>
        <v>216.75</v>
      </c>
      <c r="M7" s="12">
        <f>SUM('Hewitt Middle 0380'!M7)</f>
        <v>240</v>
      </c>
      <c r="N7" s="12">
        <f>SUM('Hewitt Middle 0380'!N7)</f>
        <v>217.5</v>
      </c>
      <c r="O7" s="19">
        <f>SUM('Hewitt Middle 0380'!O7)</f>
        <v>193.5</v>
      </c>
      <c r="P7" s="12">
        <f>SUM('Payne Elementary 0370'!P7)</f>
        <v>227.25</v>
      </c>
      <c r="Q7" s="12">
        <f>SUM('Payne Elementary 0370'!Q7)</f>
        <v>201.19499999999999</v>
      </c>
      <c r="R7" s="12">
        <f>SUM('Payne Elementary 0370'!R7)</f>
        <v>236.43090000000001</v>
      </c>
      <c r="S7" s="12">
        <f>SUM('Payne Elementary 0370'!S7)</f>
        <v>214.89461999999997</v>
      </c>
      <c r="T7" s="12">
        <f>SUM('Payne Elementary 0370'!T7)</f>
        <v>211.07427120000003</v>
      </c>
    </row>
    <row r="8" spans="1:20" ht="13" thickTop="1" x14ac:dyDescent="0.25">
      <c r="A8" t="s">
        <v>25</v>
      </c>
      <c r="B8" s="11">
        <f t="shared" ref="B8:T8" si="0">SUM(B2:B7)</f>
        <v>1146</v>
      </c>
      <c r="C8" s="11">
        <f t="shared" si="0"/>
        <v>1176</v>
      </c>
      <c r="D8" s="11">
        <f t="shared" si="0"/>
        <v>1196.25</v>
      </c>
      <c r="E8" s="11">
        <f t="shared" si="0"/>
        <v>1185</v>
      </c>
      <c r="F8" s="11">
        <f t="shared" si="0"/>
        <v>1243.5</v>
      </c>
      <c r="G8" s="11">
        <f t="shared" si="0"/>
        <v>1218.75</v>
      </c>
      <c r="H8" s="11">
        <f t="shared" si="0"/>
        <v>1251</v>
      </c>
      <c r="I8" s="11">
        <f t="shared" si="0"/>
        <v>1213.5</v>
      </c>
      <c r="J8" s="11">
        <f t="shared" si="0"/>
        <v>1270.5</v>
      </c>
      <c r="K8" s="13">
        <f t="shared" si="0"/>
        <v>1248.75</v>
      </c>
      <c r="L8" s="13">
        <f t="shared" si="0"/>
        <v>1236.75</v>
      </c>
      <c r="M8" s="13">
        <f t="shared" si="0"/>
        <v>1211.25</v>
      </c>
      <c r="N8" s="13">
        <f t="shared" si="0"/>
        <v>1201.5</v>
      </c>
      <c r="O8" s="18">
        <f t="shared" si="0"/>
        <v>1200.24</v>
      </c>
      <c r="P8" s="11">
        <f t="shared" si="0"/>
        <v>1249.5</v>
      </c>
      <c r="Q8" s="11">
        <f t="shared" si="0"/>
        <v>1246.95</v>
      </c>
      <c r="R8" s="11">
        <f t="shared" si="0"/>
        <v>1275.0102000000002</v>
      </c>
      <c r="S8" s="11">
        <f t="shared" si="0"/>
        <v>1271.8577880000003</v>
      </c>
      <c r="T8" s="11">
        <f t="shared" si="0"/>
        <v>1294.8594714000003</v>
      </c>
    </row>
    <row r="9" spans="1:20" x14ac:dyDescent="0.25">
      <c r="A9" t="s">
        <v>26</v>
      </c>
      <c r="B9" s="10"/>
      <c r="C9" s="11">
        <f t="shared" ref="C9:T9" si="1">SUM(C8-B8)</f>
        <v>30</v>
      </c>
      <c r="D9" s="11">
        <f t="shared" si="1"/>
        <v>20.25</v>
      </c>
      <c r="E9" s="11">
        <f t="shared" si="1"/>
        <v>-11.25</v>
      </c>
      <c r="F9" s="11">
        <f t="shared" si="1"/>
        <v>58.5</v>
      </c>
      <c r="G9" s="11">
        <f t="shared" si="1"/>
        <v>-24.75</v>
      </c>
      <c r="H9" s="11">
        <f t="shared" si="1"/>
        <v>32.25</v>
      </c>
      <c r="I9" s="11">
        <f t="shared" si="1"/>
        <v>-37.5</v>
      </c>
      <c r="J9" s="11">
        <f t="shared" si="1"/>
        <v>57</v>
      </c>
      <c r="K9" s="13">
        <f t="shared" si="1"/>
        <v>-21.75</v>
      </c>
      <c r="L9" s="13">
        <f t="shared" si="1"/>
        <v>-12</v>
      </c>
      <c r="M9" s="13">
        <f t="shared" si="1"/>
        <v>-25.5</v>
      </c>
      <c r="N9" s="13">
        <f t="shared" si="1"/>
        <v>-9.75</v>
      </c>
      <c r="O9" s="18">
        <f t="shared" si="1"/>
        <v>-1.2599999999999909</v>
      </c>
      <c r="P9" s="11">
        <f t="shared" si="1"/>
        <v>49.259999999999991</v>
      </c>
      <c r="Q9" s="11">
        <f t="shared" si="1"/>
        <v>-2.5499999999999545</v>
      </c>
      <c r="R9" s="11">
        <f t="shared" si="1"/>
        <v>28.060200000000123</v>
      </c>
      <c r="S9" s="11">
        <f t="shared" si="1"/>
        <v>-3.152411999999913</v>
      </c>
      <c r="T9" s="11">
        <f t="shared" si="1"/>
        <v>23.001683400000047</v>
      </c>
    </row>
    <row r="12" spans="1:20" x14ac:dyDescent="0.25">
      <c r="N12" s="3"/>
    </row>
  </sheetData>
  <phoneticPr fontId="0" type="noConversion"/>
  <printOptions horizontalCentered="1"/>
  <pageMargins left="0.75" right="0.75" top="1.72" bottom="1" header="0.5" footer="0.5"/>
  <pageSetup orientation="landscape" r:id="rId1"/>
  <headerFooter alignWithMargins="0">
    <oddHeader>&amp;C&amp;"Arial,Bold"&amp;16Kindergarten - 5th Grade
Student Enrollment Data
1990-2008
75% of Actuals</oddHeader>
    <oddFooter>&amp;C&amp;8&amp;F &amp;D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P27" sqref="P27"/>
    </sheetView>
  </sheetViews>
  <sheetFormatPr defaultRowHeight="12.5" x14ac:dyDescent="0.25"/>
  <cols>
    <col min="1" max="1" width="6.453125" customWidth="1"/>
    <col min="2" max="20" width="6" bestFit="1" customWidth="1"/>
    <col min="21" max="21" width="8.7265625" customWidth="1"/>
    <col min="22" max="22" width="11.453125" bestFit="1" customWidth="1"/>
  </cols>
  <sheetData>
    <row r="1" spans="1:20" ht="13" thickBot="1" x14ac:dyDescent="0.3">
      <c r="A1" s="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 s="2" t="s">
        <v>11</v>
      </c>
      <c r="Q1" s="2" t="s">
        <v>12</v>
      </c>
      <c r="R1" s="2" t="s">
        <v>27</v>
      </c>
      <c r="S1" s="2" t="s">
        <v>29</v>
      </c>
      <c r="T1" s="2" t="s">
        <v>41</v>
      </c>
    </row>
    <row r="2" spans="1:20" ht="13" thickTop="1" x14ac:dyDescent="0.25">
      <c r="A2" t="s">
        <v>18</v>
      </c>
      <c r="B2" s="13">
        <f>SUM('Hewitt Middle 0380'!B8)</f>
        <v>186</v>
      </c>
      <c r="C2" s="13">
        <f>SUM('Hewitt Middle 0380'!C8)</f>
        <v>183.75</v>
      </c>
      <c r="D2" s="13">
        <f>SUM('Hewitt Middle 0380'!D8)</f>
        <v>219</v>
      </c>
      <c r="E2" s="13">
        <f>SUM('Hewitt Middle 0380'!E8)</f>
        <v>204.75</v>
      </c>
      <c r="F2" s="13">
        <f>SUM('Hewitt Middle 0380'!F8)</f>
        <v>186</v>
      </c>
      <c r="G2" s="13">
        <f>SUM('Hewitt Middle 0380'!G8)</f>
        <v>227.25</v>
      </c>
      <c r="H2" s="13">
        <f>SUM('Hewitt Middle 0380'!H8)</f>
        <v>240.75</v>
      </c>
      <c r="I2" s="13">
        <f>SUM('Hewitt Middle 0380'!I8)</f>
        <v>232.5</v>
      </c>
      <c r="J2" s="13">
        <f>SUM('Hewitt Middle 0380'!J8)</f>
        <v>210.75</v>
      </c>
      <c r="K2" s="13">
        <f>SUM('Hewitt Middle 0380'!K8)</f>
        <v>235.5</v>
      </c>
      <c r="L2" s="13">
        <f>SUM('Hewitt Middle 0380'!L8)</f>
        <v>234</v>
      </c>
      <c r="M2" s="13">
        <f>SUM('Hewitt Middle 0380'!M8)</f>
        <v>231</v>
      </c>
      <c r="N2" s="13">
        <f>SUM('Hewitt Middle 0380'!N8)</f>
        <v>240.75</v>
      </c>
      <c r="O2" s="18">
        <f>SUM('Hewitt Middle 0380'!O8)</f>
        <v>221.85000000000002</v>
      </c>
      <c r="P2" s="13">
        <f>SUM('Hewitt Junior 0390'!P8)</f>
        <v>197.25</v>
      </c>
      <c r="Q2" s="13">
        <f>SUM('Hewitt Junior 0390'!Q8)</f>
        <v>231.75</v>
      </c>
      <c r="R2" s="13">
        <f>SUM('Hewitt Junior 0390'!R8)</f>
        <v>204.75</v>
      </c>
      <c r="S2" s="13">
        <f>SUM('Hewitt Junior 0390'!S8)</f>
        <v>240.75</v>
      </c>
      <c r="T2" s="13">
        <f>SUM('Hewitt Junior 0390'!T8)</f>
        <v>219.75</v>
      </c>
    </row>
    <row r="3" spans="1:20" x14ac:dyDescent="0.25">
      <c r="A3" t="s">
        <v>19</v>
      </c>
      <c r="B3" s="13">
        <f>SUM('Hewitt Middle 0380'!B9)</f>
        <v>400.5</v>
      </c>
      <c r="C3" s="13">
        <f>SUM('Hewitt Middle 0380'!C9)</f>
        <v>435.75</v>
      </c>
      <c r="D3" s="13">
        <f>SUM('Hewitt Middle 0380'!D9)</f>
        <v>415.5</v>
      </c>
      <c r="E3" s="13">
        <f>SUM('Hewitt Middle 0380'!E9)</f>
        <v>470.25</v>
      </c>
      <c r="F3" s="13">
        <f>SUM('Hewitt Middle 0380'!F9)</f>
        <v>474</v>
      </c>
      <c r="G3" s="13">
        <f>SUM('Hewitt Middle 0380'!G9)</f>
        <v>427.5</v>
      </c>
      <c r="H3" s="13">
        <f>SUM('Hewitt Middle 0380'!H9)</f>
        <v>514.5</v>
      </c>
      <c r="I3" s="13">
        <f>SUM('Hewitt Middle 0380'!I9)</f>
        <v>243</v>
      </c>
      <c r="J3" s="13">
        <f>SUM('Hewitt Middle 0380'!J9)</f>
        <v>252</v>
      </c>
      <c r="K3" s="13">
        <f>SUM('Hewitt Middle 0380'!K9)</f>
        <v>212.25</v>
      </c>
      <c r="L3" s="13">
        <f>SUM('Hewitt Middle 0380'!L9)</f>
        <v>243</v>
      </c>
      <c r="M3" s="13">
        <f>SUM('Hewitt Middle 0380'!M9)</f>
        <v>237</v>
      </c>
      <c r="N3" s="13">
        <f>SUM('Hewitt Middle 0380'!N9)</f>
        <v>234</v>
      </c>
      <c r="O3" s="18">
        <f>SUM('Hewitt Middle 0380'!O9)</f>
        <v>245.565</v>
      </c>
      <c r="P3" s="13">
        <f>SUM('Hewitt Junior 0390'!P9)</f>
        <v>225.75</v>
      </c>
      <c r="Q3" s="13">
        <f>SUM('Hewitt Junior 0390'!Q9)</f>
        <v>201.19499999999999</v>
      </c>
      <c r="R3" s="13">
        <f>SUM('Hewitt Junior 0390'!R9)</f>
        <v>236.38499999999999</v>
      </c>
      <c r="S3" s="13">
        <f>SUM('Hewitt Junior 0390'!S9)</f>
        <v>208.84499999999997</v>
      </c>
      <c r="T3" s="13">
        <f>SUM('Hewitt Junior 0390'!T9)</f>
        <v>245.565</v>
      </c>
    </row>
    <row r="4" spans="1:20" ht="13" thickBot="1" x14ac:dyDescent="0.3">
      <c r="A4" t="s">
        <v>20</v>
      </c>
      <c r="B4" s="12">
        <f>SUM('Hewitt Junior 0390'!B10)</f>
        <v>381</v>
      </c>
      <c r="C4" s="12">
        <f>SUM('Hewitt Junior 0390'!C10)</f>
        <v>418.5</v>
      </c>
      <c r="D4" s="12">
        <f>SUM('Hewitt Junior 0390'!D10)</f>
        <v>432</v>
      </c>
      <c r="E4" s="12">
        <f>SUM('Hewitt Junior 0390'!E10)</f>
        <v>426.75</v>
      </c>
      <c r="F4" s="12">
        <f>SUM('Hewitt Junior 0390'!F10)</f>
        <v>502.5</v>
      </c>
      <c r="G4" s="12">
        <f>SUM('Hewitt Junior 0390'!G10)</f>
        <v>502.5</v>
      </c>
      <c r="H4" s="12">
        <f>SUM('Hewitt Junior 0390'!H10)</f>
        <v>447.75</v>
      </c>
      <c r="I4" s="12">
        <f>SUM('Hewitt Junior 0390'!I10)</f>
        <v>234</v>
      </c>
      <c r="J4" s="12">
        <f>SUM('Hewitt Junior 0390'!J10)</f>
        <v>244.5</v>
      </c>
      <c r="K4" s="12">
        <f>SUM('Hewitt Junior 0390'!K10)</f>
        <v>257.25</v>
      </c>
      <c r="L4" s="12">
        <f>SUM('Hewitt Junior 0390'!L10)</f>
        <v>213</v>
      </c>
      <c r="M4" s="12">
        <f>SUM('Hewitt Junior 0390'!M10)</f>
        <v>240.75</v>
      </c>
      <c r="N4" s="12">
        <f>SUM('Hewitt Junior 0390'!N10)</f>
        <v>237.75</v>
      </c>
      <c r="O4" s="19">
        <f>SUM('Hewitt Junior 0390'!O10)</f>
        <v>238.5</v>
      </c>
      <c r="P4" s="12">
        <f>SUM('Hewitt Junior 0390'!P10)</f>
        <v>250.5</v>
      </c>
      <c r="Q4" s="12">
        <f>SUM('Hewitt Junior 0390'!Q10)</f>
        <v>230.26499999999999</v>
      </c>
      <c r="R4" s="12">
        <f>SUM('Hewitt Junior 0390'!R10)</f>
        <v>205.21890000000002</v>
      </c>
      <c r="S4" s="12">
        <f>SUM('Hewitt Junior 0390'!S10)</f>
        <v>241.11270000000002</v>
      </c>
      <c r="T4" s="12">
        <f>SUM('Hewitt Junior 0390'!T10)</f>
        <v>213.02190000000002</v>
      </c>
    </row>
    <row r="5" spans="1:20" ht="13" thickTop="1" x14ac:dyDescent="0.25">
      <c r="A5" t="s">
        <v>25</v>
      </c>
      <c r="B5" s="11">
        <f t="shared" ref="B5:T5" si="0">SUM(B2:B4)</f>
        <v>967.5</v>
      </c>
      <c r="C5" s="11">
        <f t="shared" si="0"/>
        <v>1038</v>
      </c>
      <c r="D5" s="11">
        <f t="shared" si="0"/>
        <v>1066.5</v>
      </c>
      <c r="E5" s="11">
        <f t="shared" si="0"/>
        <v>1101.75</v>
      </c>
      <c r="F5" s="11">
        <f t="shared" si="0"/>
        <v>1162.5</v>
      </c>
      <c r="G5" s="11">
        <f t="shared" si="0"/>
        <v>1157.25</v>
      </c>
      <c r="H5" s="11">
        <f t="shared" si="0"/>
        <v>1203</v>
      </c>
      <c r="I5" s="11">
        <f t="shared" si="0"/>
        <v>709.5</v>
      </c>
      <c r="J5" s="11">
        <f t="shared" si="0"/>
        <v>707.25</v>
      </c>
      <c r="K5" s="13">
        <f t="shared" si="0"/>
        <v>705</v>
      </c>
      <c r="L5" s="13">
        <f t="shared" si="0"/>
        <v>690</v>
      </c>
      <c r="M5" s="13">
        <f t="shared" si="0"/>
        <v>708.75</v>
      </c>
      <c r="N5" s="13">
        <f t="shared" si="0"/>
        <v>712.5</v>
      </c>
      <c r="O5" s="18">
        <f t="shared" si="0"/>
        <v>705.91499999999996</v>
      </c>
      <c r="P5" s="11">
        <f t="shared" si="0"/>
        <v>673.5</v>
      </c>
      <c r="Q5" s="11">
        <f t="shared" si="0"/>
        <v>663.21</v>
      </c>
      <c r="R5" s="11">
        <f t="shared" si="0"/>
        <v>646.35390000000007</v>
      </c>
      <c r="S5" s="11">
        <f t="shared" si="0"/>
        <v>690.70769999999993</v>
      </c>
      <c r="T5" s="11">
        <f t="shared" si="0"/>
        <v>678.33690000000001</v>
      </c>
    </row>
    <row r="6" spans="1:20" x14ac:dyDescent="0.25">
      <c r="A6" t="s">
        <v>26</v>
      </c>
      <c r="B6" s="10"/>
      <c r="C6" s="11">
        <f t="shared" ref="C6:T6" si="1">SUM(C5-B5)</f>
        <v>70.5</v>
      </c>
      <c r="D6" s="11">
        <f t="shared" si="1"/>
        <v>28.5</v>
      </c>
      <c r="E6" s="11">
        <f t="shared" si="1"/>
        <v>35.25</v>
      </c>
      <c r="F6" s="11">
        <f t="shared" si="1"/>
        <v>60.75</v>
      </c>
      <c r="G6" s="11">
        <f t="shared" si="1"/>
        <v>-5.25</v>
      </c>
      <c r="H6" s="11">
        <f t="shared" si="1"/>
        <v>45.75</v>
      </c>
      <c r="I6" s="11">
        <f t="shared" si="1"/>
        <v>-493.5</v>
      </c>
      <c r="J6" s="11">
        <f t="shared" si="1"/>
        <v>-2.25</v>
      </c>
      <c r="K6" s="13">
        <f t="shared" si="1"/>
        <v>-2.25</v>
      </c>
      <c r="L6" s="13">
        <f t="shared" si="1"/>
        <v>-15</v>
      </c>
      <c r="M6" s="13">
        <f t="shared" si="1"/>
        <v>18.75</v>
      </c>
      <c r="N6" s="13">
        <f t="shared" si="1"/>
        <v>3.75</v>
      </c>
      <c r="O6" s="18">
        <f t="shared" si="1"/>
        <v>-6.5850000000000364</v>
      </c>
      <c r="P6" s="11">
        <f t="shared" si="1"/>
        <v>-32.414999999999964</v>
      </c>
      <c r="Q6" s="11">
        <f t="shared" si="1"/>
        <v>-10.289999999999964</v>
      </c>
      <c r="R6" s="11">
        <f t="shared" si="1"/>
        <v>-16.856099999999969</v>
      </c>
      <c r="S6" s="11">
        <f t="shared" si="1"/>
        <v>44.353799999999865</v>
      </c>
      <c r="T6" s="11">
        <f t="shared" si="1"/>
        <v>-12.370799999999917</v>
      </c>
    </row>
    <row r="9" spans="1:20" x14ac:dyDescent="0.25">
      <c r="N9" s="3"/>
    </row>
  </sheetData>
  <phoneticPr fontId="0" type="noConversion"/>
  <printOptions horizontalCentered="1"/>
  <pageMargins left="0.75" right="0.75" top="1.74" bottom="1" header="0.5" footer="0.5"/>
  <pageSetup orientation="landscape" r:id="rId1"/>
  <headerFooter alignWithMargins="0">
    <oddHeader>&amp;C&amp;"Arial,Bold"&amp;16 6th Grade - 8th Grade
Student Enrollment Data
1990-2008
75% of Actuals</oddHeader>
    <oddFooter>&amp;C&amp;8&amp;F &amp;D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workbookViewId="0">
      <selection activeCell="N27" sqref="N27"/>
    </sheetView>
  </sheetViews>
  <sheetFormatPr defaultRowHeight="12.5" x14ac:dyDescent="0.25"/>
  <cols>
    <col min="1" max="1" width="6.453125" customWidth="1"/>
    <col min="2" max="20" width="6" bestFit="1" customWidth="1"/>
    <col min="21" max="21" width="8.7265625" customWidth="1"/>
    <col min="22" max="22" width="11.453125" bestFit="1" customWidth="1"/>
  </cols>
  <sheetData>
    <row r="1" spans="1:20" ht="13" thickBot="1" x14ac:dyDescent="0.3">
      <c r="A1" s="1" t="s">
        <v>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17" t="s">
        <v>10</v>
      </c>
      <c r="P1" s="2" t="s">
        <v>11</v>
      </c>
      <c r="Q1" s="2" t="s">
        <v>12</v>
      </c>
      <c r="R1" s="2" t="s">
        <v>27</v>
      </c>
      <c r="S1" s="2" t="s">
        <v>29</v>
      </c>
      <c r="T1" s="2" t="s">
        <v>41</v>
      </c>
    </row>
    <row r="2" spans="1:20" ht="13" thickTop="1" x14ac:dyDescent="0.25">
      <c r="A2" t="s">
        <v>21</v>
      </c>
      <c r="B2" s="13">
        <f>SUM('Hewitt Junior 0390'!B11)</f>
        <v>348.75</v>
      </c>
      <c r="C2" s="13">
        <f>SUM('Hewitt Junior 0390'!C11)</f>
        <v>366</v>
      </c>
      <c r="D2" s="13">
        <f>SUM('Hewitt Junior 0390'!D11)</f>
        <v>391.5</v>
      </c>
      <c r="E2" s="13">
        <f>SUM('Hewitt Junior 0390'!E11)</f>
        <v>406.5</v>
      </c>
      <c r="F2" s="13">
        <f>SUM('Hewitt Junior 0390'!F11)</f>
        <v>405</v>
      </c>
      <c r="G2" s="13">
        <f>SUM('Hewitt Junior 0390'!G11)</f>
        <v>490.5</v>
      </c>
      <c r="H2" s="13">
        <f>SUM('Hewitt Junior 0390'!H11)</f>
        <v>486</v>
      </c>
      <c r="I2" s="13">
        <f>SUM('Hewitt Junior 0390'!I11)</f>
        <v>209.25</v>
      </c>
      <c r="J2" s="13">
        <f>SUM('Hewitt Junior 0390'!J11)</f>
        <v>228</v>
      </c>
      <c r="K2" s="13">
        <f>SUM('Hewitt Junior 0390'!K11)</f>
        <v>250.5</v>
      </c>
      <c r="L2" s="13">
        <f>SUM('Hewitt Junior 0390'!L11)</f>
        <v>238.5</v>
      </c>
      <c r="M2" s="13">
        <f>SUM('Hewitt Junior 0390'!M11)</f>
        <v>228.75</v>
      </c>
      <c r="N2" s="13">
        <f>SUM('Hewitt Junior 0390'!N11)</f>
        <v>228</v>
      </c>
      <c r="O2" s="18">
        <f>SUM('Hewitt Junior 0390'!O11)</f>
        <v>242.50500000000002</v>
      </c>
      <c r="P2" s="13">
        <f>SUM('Hewitt-Trussville High'!P11)</f>
        <v>243</v>
      </c>
      <c r="Q2" s="13">
        <f>SUM('Hewitt-Trussville High'!Q11)</f>
        <v>255</v>
      </c>
      <c r="R2" s="13">
        <f>SUM('Hewitt-Trussville High'!R11)</f>
        <v>234.75</v>
      </c>
      <c r="S2" s="13">
        <f>SUM('Hewitt-Trussville High'!S11)</f>
        <v>208.5</v>
      </c>
      <c r="T2" s="13">
        <f>SUM('Hewitt-Trussville High'!T11)</f>
        <v>245.25</v>
      </c>
    </row>
    <row r="3" spans="1:20" x14ac:dyDescent="0.25">
      <c r="A3" t="s">
        <v>22</v>
      </c>
      <c r="B3" s="13">
        <f>SUM('Hewitt-Trussville High'!B12)</f>
        <v>347.25</v>
      </c>
      <c r="C3" s="13">
        <f>SUM('Hewitt-Trussville High'!C12)</f>
        <v>343.5</v>
      </c>
      <c r="D3" s="13">
        <f>SUM('Hewitt-Trussville High'!D12)</f>
        <v>363</v>
      </c>
      <c r="E3" s="13">
        <f>SUM('Hewitt-Trussville High'!E12)</f>
        <v>365.25</v>
      </c>
      <c r="F3" s="13">
        <f>SUM('Hewitt-Trussville High'!F12)</f>
        <v>391.5</v>
      </c>
      <c r="G3" s="13">
        <f>SUM('Hewitt-Trussville High'!G12)</f>
        <v>398.25</v>
      </c>
      <c r="H3" s="13">
        <f>SUM('Hewitt-Trussville High'!H12)</f>
        <v>461.25</v>
      </c>
      <c r="I3" s="13">
        <f>SUM('Hewitt-Trussville High'!I12)</f>
        <v>231</v>
      </c>
      <c r="J3" s="13">
        <f>SUM('Hewitt-Trussville High'!J12)</f>
        <v>205.5</v>
      </c>
      <c r="K3" s="13">
        <f>SUM('Hewitt-Trussville High'!K12)</f>
        <v>220.5</v>
      </c>
      <c r="L3" s="13">
        <f>SUM('Hewitt-Trussville High'!L12)</f>
        <v>242.25</v>
      </c>
      <c r="M3" s="13">
        <f>SUM('Hewitt-Trussville High'!M12)</f>
        <v>233.25</v>
      </c>
      <c r="N3" s="13">
        <f>SUM('Hewitt-Trussville High'!N12)</f>
        <v>232.5</v>
      </c>
      <c r="O3" s="18">
        <f>SUM('Hewitt-Trussville High'!O12)</f>
        <v>232.5</v>
      </c>
      <c r="P3" s="13">
        <f>SUM('Hewitt-Trussville High'!P12)</f>
        <v>247.5</v>
      </c>
      <c r="Q3" s="13">
        <f>SUM('Hewitt-Trussville High'!Q12)</f>
        <v>247.86</v>
      </c>
      <c r="R3" s="13">
        <f>SUM('Hewitt-Trussville High'!R12)</f>
        <v>260.10000000000002</v>
      </c>
      <c r="S3" s="13">
        <f>SUM('Hewitt-Trussville High'!S12)</f>
        <v>239.44499999999999</v>
      </c>
      <c r="T3" s="13">
        <f>SUM('Hewitt-Trussville High'!T12)</f>
        <v>212.67000000000002</v>
      </c>
    </row>
    <row r="4" spans="1:20" x14ac:dyDescent="0.25">
      <c r="A4" t="s">
        <v>23</v>
      </c>
      <c r="B4" s="13">
        <f>SUM('Hewitt-Trussville High'!B13)</f>
        <v>272.25</v>
      </c>
      <c r="C4" s="13">
        <f>SUM('Hewitt-Trussville High'!C13)</f>
        <v>316.5</v>
      </c>
      <c r="D4" s="13">
        <f>SUM('Hewitt-Trussville High'!D13)</f>
        <v>291.75</v>
      </c>
      <c r="E4" s="13">
        <f>SUM('Hewitt-Trussville High'!E13)</f>
        <v>313.5</v>
      </c>
      <c r="F4" s="13">
        <f>SUM('Hewitt-Trussville High'!F13)</f>
        <v>329.25</v>
      </c>
      <c r="G4" s="13">
        <f>SUM('Hewitt-Trussville High'!G13)</f>
        <v>340.5</v>
      </c>
      <c r="H4" s="13">
        <f>SUM('Hewitt-Trussville High'!H13)</f>
        <v>380.25</v>
      </c>
      <c r="I4" s="13">
        <f>SUM('Hewitt-Trussville High'!I13)</f>
        <v>297.75</v>
      </c>
      <c r="J4" s="13">
        <f>SUM('Hewitt-Trussville High'!J13)</f>
        <v>216.75</v>
      </c>
      <c r="K4" s="13">
        <f>SUM('Hewitt-Trussville High'!K13)</f>
        <v>197.25</v>
      </c>
      <c r="L4" s="13">
        <f>SUM('Hewitt-Trussville High'!L13)</f>
        <v>213</v>
      </c>
      <c r="M4" s="13">
        <f>SUM('Hewitt-Trussville High'!M13)</f>
        <v>232.5</v>
      </c>
      <c r="N4" s="13">
        <f>SUM('Hewitt-Trussville High'!N13)</f>
        <v>228.75</v>
      </c>
      <c r="O4" s="18">
        <f>SUM('Hewitt-Trussville High'!O13)</f>
        <v>237.14999999999998</v>
      </c>
      <c r="P4" s="13">
        <f>SUM('Hewitt-Trussville High'!P13)</f>
        <v>237.14999999999998</v>
      </c>
      <c r="Q4" s="13">
        <f>SUM('Hewitt-Trussville High'!Q13)</f>
        <v>252.45000000000002</v>
      </c>
      <c r="R4" s="13">
        <f>SUM('Hewitt-Trussville High'!R13)</f>
        <v>252.81720000000001</v>
      </c>
      <c r="S4" s="13">
        <f>SUM('Hewitt-Trussville High'!S13)</f>
        <v>265.30200000000002</v>
      </c>
      <c r="T4" s="13">
        <f>SUM('Hewitt-Trussville High'!T13)</f>
        <v>244.23390000000001</v>
      </c>
    </row>
    <row r="5" spans="1:20" ht="13" thickBot="1" x14ac:dyDescent="0.3">
      <c r="A5" t="s">
        <v>24</v>
      </c>
      <c r="B5" s="12">
        <f>SUM('Hewitt-Trussville High'!B14)</f>
        <v>271.5</v>
      </c>
      <c r="C5" s="12">
        <f>SUM('Hewitt-Trussville High'!C14)</f>
        <v>241.5</v>
      </c>
      <c r="D5" s="12">
        <f>SUM('Hewitt-Trussville High'!D14)</f>
        <v>269.25</v>
      </c>
      <c r="E5" s="12">
        <f>SUM('Hewitt-Trussville High'!E14)</f>
        <v>254.25</v>
      </c>
      <c r="F5" s="12">
        <f>SUM('Hewitt-Trussville High'!F14)</f>
        <v>285.75</v>
      </c>
      <c r="G5" s="12">
        <f>SUM('Hewitt-Trussville High'!G14)</f>
        <v>306.75</v>
      </c>
      <c r="H5" s="12">
        <f>SUM('Hewitt-Trussville High'!H14)</f>
        <v>296.25</v>
      </c>
      <c r="I5" s="12">
        <f>SUM('Hewitt-Trussville High'!I14)</f>
        <v>317.25</v>
      </c>
      <c r="J5" s="12">
        <f>SUM('Hewitt-Trussville High'!J14)</f>
        <v>285.75</v>
      </c>
      <c r="K5" s="12">
        <f>SUM('Hewitt-Trussville High'!K14)</f>
        <v>212.25</v>
      </c>
      <c r="L5" s="12">
        <f>SUM('Hewitt-Trussville High'!L14)</f>
        <v>184.5</v>
      </c>
      <c r="M5" s="12">
        <f>SUM('Hewitt-Trussville High'!M14)</f>
        <v>211.5</v>
      </c>
      <c r="N5" s="12">
        <f>SUM('Hewitt-Trussville High'!N14)</f>
        <v>228.75</v>
      </c>
      <c r="O5" s="19">
        <f>SUM('Hewitt-Trussville High'!O14)</f>
        <v>233.32500000000002</v>
      </c>
      <c r="P5" s="12">
        <f>SUM('Hewitt-Trussville High'!P14)</f>
        <v>241.893</v>
      </c>
      <c r="Q5" s="12">
        <f>SUM('Hewitt-Trussville High'!Q14)</f>
        <v>241.893</v>
      </c>
      <c r="R5" s="12">
        <f>SUM('Hewitt-Trussville High'!R14)</f>
        <v>257.49900000000002</v>
      </c>
      <c r="S5" s="12">
        <f>SUM('Hewitt-Trussville High'!S14)</f>
        <v>257.87354400000004</v>
      </c>
      <c r="T5" s="12">
        <f>SUM('Hewitt-Trussville High'!T14)</f>
        <v>270.60804000000002</v>
      </c>
    </row>
    <row r="6" spans="1:20" ht="13" thickTop="1" x14ac:dyDescent="0.25">
      <c r="A6" t="s">
        <v>25</v>
      </c>
      <c r="B6" s="11">
        <f t="shared" ref="B6:T6" si="0">SUM(B2:B5)</f>
        <v>1239.75</v>
      </c>
      <c r="C6" s="11">
        <f t="shared" si="0"/>
        <v>1267.5</v>
      </c>
      <c r="D6" s="11">
        <f t="shared" si="0"/>
        <v>1315.5</v>
      </c>
      <c r="E6" s="11">
        <f t="shared" si="0"/>
        <v>1339.5</v>
      </c>
      <c r="F6" s="11">
        <f t="shared" si="0"/>
        <v>1411.5</v>
      </c>
      <c r="G6" s="11">
        <f t="shared" si="0"/>
        <v>1536</v>
      </c>
      <c r="H6" s="11">
        <f t="shared" si="0"/>
        <v>1623.75</v>
      </c>
      <c r="I6" s="11">
        <f t="shared" si="0"/>
        <v>1055.25</v>
      </c>
      <c r="J6" s="11">
        <f t="shared" si="0"/>
        <v>936</v>
      </c>
      <c r="K6" s="13">
        <f t="shared" si="0"/>
        <v>880.5</v>
      </c>
      <c r="L6" s="13">
        <f t="shared" si="0"/>
        <v>878.25</v>
      </c>
      <c r="M6" s="13">
        <f t="shared" si="0"/>
        <v>906</v>
      </c>
      <c r="N6" s="13">
        <f t="shared" si="0"/>
        <v>918</v>
      </c>
      <c r="O6" s="18">
        <f t="shared" si="0"/>
        <v>945.48</v>
      </c>
      <c r="P6" s="11">
        <f t="shared" si="0"/>
        <v>969.54300000000001</v>
      </c>
      <c r="Q6" s="11">
        <f t="shared" si="0"/>
        <v>997.20300000000009</v>
      </c>
      <c r="R6" s="11">
        <f t="shared" si="0"/>
        <v>1005.1662000000001</v>
      </c>
      <c r="S6" s="11">
        <f t="shared" si="0"/>
        <v>971.12054400000011</v>
      </c>
      <c r="T6" s="11">
        <f t="shared" si="0"/>
        <v>972.7619400000001</v>
      </c>
    </row>
    <row r="7" spans="1:20" x14ac:dyDescent="0.25">
      <c r="A7" t="s">
        <v>26</v>
      </c>
      <c r="B7" s="10"/>
      <c r="C7" s="11">
        <f t="shared" ref="C7:T7" si="1">SUM(C6-B6)</f>
        <v>27.75</v>
      </c>
      <c r="D7" s="11">
        <f t="shared" si="1"/>
        <v>48</v>
      </c>
      <c r="E7" s="11">
        <f t="shared" si="1"/>
        <v>24</v>
      </c>
      <c r="F7" s="11">
        <f t="shared" si="1"/>
        <v>72</v>
      </c>
      <c r="G7" s="11">
        <f t="shared" si="1"/>
        <v>124.5</v>
      </c>
      <c r="H7" s="11">
        <f t="shared" si="1"/>
        <v>87.75</v>
      </c>
      <c r="I7" s="11">
        <f t="shared" si="1"/>
        <v>-568.5</v>
      </c>
      <c r="J7" s="11">
        <f t="shared" si="1"/>
        <v>-119.25</v>
      </c>
      <c r="K7" s="13">
        <f t="shared" si="1"/>
        <v>-55.5</v>
      </c>
      <c r="L7" s="13">
        <f t="shared" si="1"/>
        <v>-2.25</v>
      </c>
      <c r="M7" s="13">
        <f t="shared" si="1"/>
        <v>27.75</v>
      </c>
      <c r="N7" s="13">
        <f t="shared" si="1"/>
        <v>12</v>
      </c>
      <c r="O7" s="18">
        <f t="shared" si="1"/>
        <v>27.480000000000018</v>
      </c>
      <c r="P7" s="11">
        <f t="shared" si="1"/>
        <v>24.062999999999988</v>
      </c>
      <c r="Q7" s="11">
        <f t="shared" si="1"/>
        <v>27.660000000000082</v>
      </c>
      <c r="R7" s="11">
        <f t="shared" si="1"/>
        <v>7.9632000000000289</v>
      </c>
      <c r="S7" s="11">
        <f t="shared" si="1"/>
        <v>-34.045656000000008</v>
      </c>
      <c r="T7" s="11">
        <f t="shared" si="1"/>
        <v>1.6413959999999861</v>
      </c>
    </row>
    <row r="10" spans="1:20" x14ac:dyDescent="0.25">
      <c r="N10" s="3"/>
    </row>
  </sheetData>
  <phoneticPr fontId="0" type="noConversion"/>
  <printOptions horizontalCentered="1"/>
  <pageMargins left="0.75" right="0.75" top="1.72" bottom="1" header="0.5" footer="0.5"/>
  <pageSetup orientation="landscape" r:id="rId1"/>
  <headerFooter alignWithMargins="0">
    <oddHeader>&amp;C&amp;"Arial,Bold"&amp;16 9th Grade - 12th Grade
Student Enrollment Data
1990-2008
75% of Actuals</oddHeader>
    <oddFooter>&amp;C&amp;8&amp;F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SYSTEM WIDE 2001 - Actuals Aug</vt:lpstr>
      <vt:lpstr>SYSTEM WIDE 2001 - </vt:lpstr>
      <vt:lpstr>Hewitt Elementary 0370</vt:lpstr>
      <vt:lpstr>Payne Elementary 0370</vt:lpstr>
      <vt:lpstr>Hewitt Middle 0380</vt:lpstr>
      <vt:lpstr>Hewitt Junior 0390</vt:lpstr>
      <vt:lpstr>Hewitt-Trussville High</vt:lpstr>
      <vt:lpstr>Trussville K-5</vt:lpstr>
      <vt:lpstr>Trussville 6-8</vt:lpstr>
      <vt:lpstr>Trussville 9-12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Weaver</dc:creator>
  <cp:lastModifiedBy>Carina Negreanu</cp:lastModifiedBy>
  <cp:lastPrinted>2002-04-19T02:41:49Z</cp:lastPrinted>
  <dcterms:created xsi:type="dcterms:W3CDTF">1998-09-03T08:12:09Z</dcterms:created>
  <dcterms:modified xsi:type="dcterms:W3CDTF">2020-01-27T12:42:58Z</dcterms:modified>
</cp:coreProperties>
</file>