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093B6B-18E1-424B-9D09-5A2B17F77E92}" xr6:coauthVersionLast="45" xr6:coauthVersionMax="45" xr10:uidLastSave="{00000000-0000-0000-0000-000000000000}"/>
  <bookViews>
    <workbookView xWindow="3040" yWindow="3040" windowWidth="28800" windowHeight="15460" tabRatio="596"/>
  </bookViews>
  <sheets>
    <sheet name="Elementary K-5" sheetId="1" r:id="rId1"/>
  </sheets>
  <definedNames>
    <definedName name="_xlnm.Print_Area" localSheetId="0">'Elementary K-5'!$A$1:$K$50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G9" i="1" s="1"/>
  <c r="H9" i="1" s="1"/>
  <c r="H13" i="1" s="1"/>
  <c r="H15" i="1" s="1"/>
  <c r="E10" i="1"/>
  <c r="G10" i="1"/>
  <c r="H10" i="1"/>
  <c r="E11" i="1"/>
  <c r="G11" i="1"/>
  <c r="H11" i="1"/>
  <c r="E12" i="1"/>
  <c r="G12" i="1"/>
  <c r="H12" i="1"/>
  <c r="H17" i="1"/>
  <c r="H23" i="1" s="1"/>
  <c r="H18" i="1"/>
  <c r="H19" i="1"/>
  <c r="H20" i="1"/>
  <c r="H21" i="1"/>
  <c r="H22" i="1"/>
  <c r="H27" i="1"/>
  <c r="H28" i="1"/>
  <c r="H29" i="1"/>
  <c r="H30" i="1"/>
  <c r="H31" i="1"/>
  <c r="H32" i="1"/>
  <c r="H33" i="1"/>
  <c r="H34" i="1"/>
  <c r="H39" i="1"/>
  <c r="H41" i="1"/>
  <c r="H42" i="1"/>
  <c r="H44" i="1" l="1"/>
  <c r="H45" i="1" s="1"/>
  <c r="H47" i="1" s="1"/>
  <c r="H48" i="1" s="1"/>
  <c r="G50" i="1" s="1"/>
</calcChain>
</file>

<file path=xl/sharedStrings.xml><?xml version="1.0" encoding="utf-8"?>
<sst xmlns="http://schemas.openxmlformats.org/spreadsheetml/2006/main" count="75" uniqueCount="66">
  <si>
    <t xml:space="preserve">Pre-K through Grade 5 </t>
  </si>
  <si>
    <t>Room Designations</t>
  </si>
  <si>
    <t>SF/Room</t>
  </si>
  <si>
    <t># of grades</t>
  </si>
  <si>
    <t># of rooms</t>
  </si>
  <si>
    <t>Description</t>
  </si>
  <si>
    <t>Includes 50 sf toilet room.</t>
  </si>
  <si>
    <t>General Classroom - grades 1,2,3</t>
  </si>
  <si>
    <t xml:space="preserve">For art, health, language arts, mathematics, music, reading, science, social studies, world languages. </t>
  </si>
  <si>
    <t>General Classroom - grades 4,5</t>
  </si>
  <si>
    <t xml:space="preserve">Special Education </t>
  </si>
  <si>
    <t>Special education =6% of 500 / 30 students… self contained students = 1/2 of 30 = 15 … the other 1/2 are in resource centers utilizing small group instruction rooms.</t>
  </si>
  <si>
    <t>Cafetorium with Stage (cafeteria + auditorium)</t>
  </si>
  <si>
    <t>Seating for 250: 250 x 16sf =4000 sf + 1,000 sf stage + 1200 sf satellite kitchen.  For lunch, large group presentations, instrumental music, before/after-care, after-hours community programs.</t>
  </si>
  <si>
    <t>Computer Room</t>
  </si>
  <si>
    <t>Gymnasium</t>
  </si>
  <si>
    <t xml:space="preserve">Gymnasium = 4000 sf minimum for full-size basketball court + 250 sf storage room. </t>
  </si>
  <si>
    <t>Media Center</t>
  </si>
  <si>
    <t>Media center 75 students; 75x50sf = 3,750sf + 250 sf workroom/AV storage room.</t>
  </si>
  <si>
    <t>For basic skills, ESL, special education (resource center), speech, group reading, one-to-one tutoring.</t>
  </si>
  <si>
    <t>Nurse</t>
  </si>
  <si>
    <t>Reception/Main Office</t>
  </si>
  <si>
    <t>Principal</t>
  </si>
  <si>
    <t>Assistant Principal</t>
  </si>
  <si>
    <t>Conference Room</t>
  </si>
  <si>
    <t>Teacher Work Room</t>
  </si>
  <si>
    <t xml:space="preserve">Guidance/Counseling = reception </t>
  </si>
  <si>
    <t>Guidance/Counseling = 1 @ 125</t>
  </si>
  <si>
    <t>Facilitator</t>
  </si>
  <si>
    <t>Parent Liaison</t>
  </si>
  <si>
    <t>Social Worker</t>
  </si>
  <si>
    <t>Security Office</t>
  </si>
  <si>
    <t>Supervisor Office</t>
  </si>
  <si>
    <t>Technology Coordinator</t>
  </si>
  <si>
    <t>Student Activities</t>
  </si>
  <si>
    <t xml:space="preserve"> </t>
  </si>
  <si>
    <t>Small Group Instruction</t>
  </si>
  <si>
    <t>ELEMENTARY SCHOOL MODEL</t>
  </si>
  <si>
    <t>Includes storage.</t>
  </si>
  <si>
    <t>Total Net SF</t>
  </si>
  <si>
    <t>Net SF per student</t>
  </si>
  <si>
    <t># of students per grade</t>
  </si>
  <si>
    <t>*Grossing Factor @ 40%</t>
  </si>
  <si>
    <t># of students per class</t>
  </si>
  <si>
    <t>total # of students per grade group</t>
  </si>
  <si>
    <t>Net SF</t>
  </si>
  <si>
    <t>Instructional Spaces</t>
  </si>
  <si>
    <t>Specialized Spaces</t>
  </si>
  <si>
    <t xml:space="preserve">*Grossing factor = 40% of Total net Sf for circulation,  toilet rooms, storage, mechanical, receiving, communications, electrical, etc. </t>
  </si>
  <si>
    <t>Utilization Factor</t>
  </si>
  <si>
    <t>GSF per student</t>
  </si>
  <si>
    <t>Enrollment</t>
  </si>
  <si>
    <t>FTE</t>
  </si>
  <si>
    <t># of students per room</t>
  </si>
  <si>
    <t>Area Cost Allowance per SF</t>
  </si>
  <si>
    <t>Administrative Spaces</t>
  </si>
  <si>
    <t>Kindergarten Classroom</t>
  </si>
  <si>
    <t>Subtotal Net SF of Instructional Spaces</t>
  </si>
  <si>
    <t>Subtotal Net SF for Instructional Spaces w/Utilization factor</t>
  </si>
  <si>
    <t>Subtotal Net SF for Specialized Spaces</t>
  </si>
  <si>
    <t>Subtotal Net SF for Administrative Spaces</t>
  </si>
  <si>
    <t>Students</t>
  </si>
  <si>
    <t>Art/Music Room</t>
  </si>
  <si>
    <t>Total GSF for population of 460 FTE</t>
  </si>
  <si>
    <t>Eligible Cost of new elementary school for 460 FTE</t>
  </si>
  <si>
    <t>Full Time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</si>
</sst>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(* #,##0.00_);_(* \(#,##0.00\);_(* &quot;-&quot;??_);_(@_)"/>
    <numFmt numFmtId="174" formatCode="_(* #,##0_);_(* \(#,##0\);_(* &quot;-&quot;??_);_(@_)"/>
    <numFmt numFmtId="175" formatCode="&quot;$&quot;#,##0"/>
    <numFmt numFmtId="176" formatCode="#,##0.0"/>
    <numFmt numFmtId="178" formatCode="&quot;$&quot;#,##0.00"/>
  </numFmts>
  <fonts count="11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i/>
      <u/>
      <sz val="11"/>
      <name val="Times New Roman"/>
      <family val="1"/>
    </font>
    <font>
      <sz val="14"/>
      <name val="Times New Roman"/>
      <family val="1"/>
    </font>
    <font>
      <b/>
      <sz val="11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91">
    <xf numFmtId="0" fontId="0" fillId="0" borderId="0" xfId="0"/>
    <xf numFmtId="0" fontId="4" fillId="0" borderId="0" xfId="0" applyFont="1" applyBorder="1" applyAlignment="1">
      <alignment horizontal="centerContinuous"/>
    </xf>
    <xf numFmtId="0" fontId="4" fillId="0" borderId="0" xfId="0" applyFont="1" applyBorder="1" applyAlignment="1">
      <alignment wrapText="1"/>
    </xf>
    <xf numFmtId="0" fontId="4" fillId="0" borderId="0" xfId="0" applyFont="1" applyBorder="1"/>
    <xf numFmtId="2" fontId="4" fillId="0" borderId="0" xfId="0" applyNumberFormat="1" applyFont="1" applyBorder="1"/>
    <xf numFmtId="0" fontId="4" fillId="0" borderId="0" xfId="0" quotePrefix="1" applyFont="1" applyBorder="1"/>
    <xf numFmtId="0" fontId="3" fillId="0" borderId="0" xfId="0" applyFont="1" applyBorder="1"/>
    <xf numFmtId="176" fontId="4" fillId="0" borderId="0" xfId="0" applyNumberFormat="1" applyFont="1" applyBorder="1"/>
    <xf numFmtId="174" fontId="4" fillId="0" borderId="0" xfId="1" applyNumberFormat="1" applyFont="1" applyBorder="1"/>
    <xf numFmtId="0" fontId="0" fillId="0" borderId="0" xfId="0" applyBorder="1"/>
    <xf numFmtId="0" fontId="7" fillId="0" borderId="0" xfId="0" applyFont="1" applyBorder="1"/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Continuous"/>
    </xf>
    <xf numFmtId="2" fontId="4" fillId="0" borderId="2" xfId="0" applyNumberFormat="1" applyFont="1" applyBorder="1" applyAlignment="1">
      <alignment horizontal="centerContinuous"/>
    </xf>
    <xf numFmtId="0" fontId="4" fillId="0" borderId="3" xfId="0" applyFont="1" applyBorder="1" applyAlignment="1">
      <alignment wrapText="1"/>
    </xf>
    <xf numFmtId="0" fontId="5" fillId="0" borderId="4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0" fontId="6" fillId="0" borderId="4" xfId="0" applyFont="1" applyBorder="1" applyAlignment="1">
      <alignment horizontal="left"/>
    </xf>
    <xf numFmtId="0" fontId="4" fillId="0" borderId="4" xfId="0" applyFont="1" applyBorder="1"/>
    <xf numFmtId="0" fontId="0" fillId="0" borderId="4" xfId="0" applyBorder="1"/>
    <xf numFmtId="0" fontId="8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7" fillId="0" borderId="7" xfId="0" applyFont="1" applyBorder="1"/>
    <xf numFmtId="0" fontId="4" fillId="0" borderId="8" xfId="0" applyFont="1" applyBorder="1" applyAlignment="1">
      <alignment wrapText="1"/>
    </xf>
    <xf numFmtId="0" fontId="9" fillId="0" borderId="0" xfId="0" applyFont="1" applyBorder="1"/>
    <xf numFmtId="178" fontId="10" fillId="0" borderId="0" xfId="0" applyNumberFormat="1" applyFont="1" applyBorder="1"/>
    <xf numFmtId="0" fontId="2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0" borderId="0" xfId="0" applyFont="1" applyBorder="1"/>
    <xf numFmtId="0" fontId="3" fillId="0" borderId="0" xfId="0" applyFont="1" applyBorder="1" applyAlignment="1">
      <alignment horizontal="center" vertical="top" wrapText="1"/>
    </xf>
    <xf numFmtId="2" fontId="3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4" xfId="0" applyFont="1" applyBorder="1" applyAlignment="1"/>
    <xf numFmtId="174" fontId="7" fillId="0" borderId="0" xfId="1" applyNumberFormat="1" applyFont="1" applyBorder="1"/>
    <xf numFmtId="3" fontId="7" fillId="0" borderId="0" xfId="0" applyNumberFormat="1" applyFont="1" applyBorder="1"/>
    <xf numFmtId="1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2" fontId="7" fillId="0" borderId="0" xfId="1" applyNumberFormat="1" applyFont="1" applyBorder="1"/>
    <xf numFmtId="174" fontId="7" fillId="0" borderId="7" xfId="1" applyNumberFormat="1" applyFont="1" applyBorder="1"/>
    <xf numFmtId="0" fontId="0" fillId="0" borderId="9" xfId="0" applyBorder="1"/>
    <xf numFmtId="0" fontId="0" fillId="0" borderId="10" xfId="0" applyBorder="1"/>
    <xf numFmtId="0" fontId="4" fillId="0" borderId="10" xfId="0" applyFont="1" applyBorder="1"/>
    <xf numFmtId="2" fontId="4" fillId="0" borderId="10" xfId="0" applyNumberFormat="1" applyFont="1" applyBorder="1"/>
    <xf numFmtId="37" fontId="7" fillId="0" borderId="10" xfId="1" applyNumberFormat="1" applyFont="1" applyBorder="1"/>
    <xf numFmtId="0" fontId="7" fillId="0" borderId="10" xfId="0" applyFont="1" applyBorder="1"/>
    <xf numFmtId="0" fontId="4" fillId="0" borderId="11" xfId="0" applyFont="1" applyBorder="1" applyAlignment="1">
      <alignment wrapText="1"/>
    </xf>
    <xf numFmtId="0" fontId="3" fillId="0" borderId="0" xfId="0" applyFont="1" applyBorder="1" applyAlignment="1">
      <alignment horizontal="right" vertical="top" wrapText="1"/>
    </xf>
    <xf numFmtId="9" fontId="7" fillId="0" borderId="0" xfId="0" applyNumberFormat="1" applyFont="1" applyBorder="1" applyAlignment="1">
      <alignment horizontal="center"/>
    </xf>
    <xf numFmtId="0" fontId="8" fillId="0" borderId="4" xfId="0" applyFont="1" applyBorder="1" applyAlignment="1">
      <alignment vertical="top"/>
    </xf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176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74" fontId="4" fillId="0" borderId="13" xfId="1" applyNumberFormat="1" applyFont="1" applyBorder="1"/>
    <xf numFmtId="0" fontId="4" fillId="0" borderId="13" xfId="0" applyFont="1" applyBorder="1"/>
    <xf numFmtId="0" fontId="4" fillId="0" borderId="14" xfId="0" applyFont="1" applyBorder="1" applyAlignment="1">
      <alignment wrapText="1"/>
    </xf>
    <xf numFmtId="0" fontId="4" fillId="0" borderId="15" xfId="0" applyFont="1" applyBorder="1"/>
    <xf numFmtId="0" fontId="4" fillId="0" borderId="16" xfId="0" applyFont="1" applyBorder="1" applyAlignment="1">
      <alignment horizontal="center"/>
    </xf>
    <xf numFmtId="176" fontId="4" fillId="0" borderId="16" xfId="0" applyNumberFormat="1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174" fontId="4" fillId="0" borderId="16" xfId="1" applyNumberFormat="1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2" xfId="0" applyFont="1" applyBorder="1" applyAlignment="1">
      <alignment vertical="top"/>
    </xf>
    <xf numFmtId="0" fontId="3" fillId="0" borderId="13" xfId="0" applyFont="1" applyBorder="1" applyAlignment="1">
      <alignment horizontal="center" vertical="top" wrapText="1"/>
    </xf>
    <xf numFmtId="2" fontId="3" fillId="0" borderId="13" xfId="0" applyNumberFormat="1" applyFont="1" applyBorder="1" applyAlignment="1">
      <alignment horizontal="center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13" xfId="0" applyFont="1" applyBorder="1" applyAlignment="1">
      <alignment vertical="top"/>
    </xf>
    <xf numFmtId="0" fontId="3" fillId="0" borderId="14" xfId="0" applyFont="1" applyBorder="1" applyAlignment="1">
      <alignment vertical="top" wrapText="1"/>
    </xf>
    <xf numFmtId="0" fontId="0" fillId="0" borderId="12" xfId="0" applyBorder="1"/>
    <xf numFmtId="2" fontId="4" fillId="0" borderId="13" xfId="0" applyNumberFormat="1" applyFont="1" applyBorder="1"/>
    <xf numFmtId="174" fontId="7" fillId="0" borderId="13" xfId="1" applyNumberFormat="1" applyFont="1" applyBorder="1"/>
    <xf numFmtId="0" fontId="7" fillId="0" borderId="13" xfId="0" applyFont="1" applyBorder="1"/>
    <xf numFmtId="0" fontId="8" fillId="0" borderId="18" xfId="0" applyFont="1" applyBorder="1" applyAlignment="1">
      <alignment vertical="top"/>
    </xf>
    <xf numFmtId="0" fontId="3" fillId="0" borderId="19" xfId="0" applyFont="1" applyBorder="1" applyAlignment="1">
      <alignment horizontal="center" vertical="top" wrapText="1"/>
    </xf>
    <xf numFmtId="2" fontId="3" fillId="0" borderId="19" xfId="0" applyNumberFormat="1" applyFont="1" applyBorder="1" applyAlignment="1">
      <alignment horizontal="center" vertical="top" wrapText="1"/>
    </xf>
    <xf numFmtId="0" fontId="3" fillId="0" borderId="19" xfId="0" applyFont="1" applyBorder="1" applyAlignment="1">
      <alignment horizontal="right" vertical="top" wrapText="1"/>
    </xf>
    <xf numFmtId="0" fontId="7" fillId="0" borderId="19" xfId="0" applyFont="1" applyBorder="1"/>
    <xf numFmtId="0" fontId="4" fillId="0" borderId="19" xfId="0" applyFont="1" applyBorder="1"/>
    <xf numFmtId="0" fontId="4" fillId="0" borderId="20" xfId="0" applyFont="1" applyBorder="1" applyAlignment="1">
      <alignment wrapText="1"/>
    </xf>
    <xf numFmtId="37" fontId="7" fillId="0" borderId="0" xfId="1" applyNumberFormat="1" applyFont="1" applyBorder="1"/>
    <xf numFmtId="175" fontId="10" fillId="0" borderId="7" xfId="0" applyNumberFormat="1" applyFont="1" applyBorder="1" applyAlignment="1"/>
    <xf numFmtId="0" fontId="0" fillId="0" borderId="7" xfId="0" applyBorder="1" applyAlignment="1"/>
    <xf numFmtId="0" fontId="4" fillId="0" borderId="4" xfId="0" applyFont="1" applyBorder="1" applyAlignment="1">
      <alignment wrapText="1"/>
    </xf>
    <xf numFmtId="0" fontId="0" fillId="0" borderId="4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4"/>
  <sheetViews>
    <sheetView tabSelected="1" zoomScale="75" zoomScaleNormal="75" zoomScaleSheetLayoutView="100" workbookViewId="0">
      <selection activeCell="H2" sqref="H2"/>
    </sheetView>
  </sheetViews>
  <sheetFormatPr defaultColWidth="9.08984375" defaultRowHeight="15.5" x14ac:dyDescent="0.35"/>
  <cols>
    <col min="1" max="1" width="40.6328125" style="3" customWidth="1"/>
    <col min="2" max="6" width="10.6328125" style="3" customWidth="1"/>
    <col min="7" max="7" width="10.6328125" style="4" customWidth="1"/>
    <col min="8" max="8" width="10.6328125" style="3" customWidth="1"/>
    <col min="9" max="10" width="5.6328125" style="3" customWidth="1"/>
    <col min="11" max="11" width="45.6328125" style="2" customWidth="1"/>
    <col min="12" max="27" width="15.90625" style="3" customWidth="1"/>
    <col min="28" max="30" width="12.90625" style="29" customWidth="1"/>
    <col min="31" max="16384" width="9.08984375" style="9"/>
  </cols>
  <sheetData>
    <row r="1" spans="1:30" s="28" customFormat="1" x14ac:dyDescent="0.35">
      <c r="A1" s="11" t="s">
        <v>37</v>
      </c>
      <c r="B1" s="12"/>
      <c r="C1" s="12"/>
      <c r="D1" s="12"/>
      <c r="E1" s="12"/>
      <c r="F1" s="12"/>
      <c r="G1" s="13"/>
      <c r="H1" s="12"/>
      <c r="I1" s="12"/>
      <c r="J1" s="12"/>
      <c r="K1" s="1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7"/>
      <c r="AC1" s="27"/>
      <c r="AD1" s="27"/>
    </row>
    <row r="2" spans="1:30" x14ac:dyDescent="0.35">
      <c r="A2" s="15" t="s">
        <v>0</v>
      </c>
      <c r="K2" s="16"/>
    </row>
    <row r="3" spans="1:30" x14ac:dyDescent="0.35">
      <c r="A3" s="15" t="s">
        <v>51</v>
      </c>
      <c r="B3" s="40">
        <v>500</v>
      </c>
      <c r="C3" s="40" t="s">
        <v>61</v>
      </c>
      <c r="K3" s="16"/>
    </row>
    <row r="4" spans="1:30" x14ac:dyDescent="0.35">
      <c r="A4" s="15" t="s">
        <v>65</v>
      </c>
      <c r="B4" s="40">
        <v>460</v>
      </c>
      <c r="C4" s="40" t="s">
        <v>52</v>
      </c>
      <c r="K4" s="16"/>
    </row>
    <row r="5" spans="1:30" x14ac:dyDescent="0.35">
      <c r="A5" s="15" t="s">
        <v>49</v>
      </c>
      <c r="B5" s="51">
        <v>0.9</v>
      </c>
      <c r="C5" s="40">
        <v>1.1100000000000001</v>
      </c>
      <c r="K5" s="16"/>
    </row>
    <row r="6" spans="1:30" ht="15.75" customHeight="1" x14ac:dyDescent="0.35">
      <c r="A6" s="17"/>
      <c r="E6" s="5"/>
      <c r="K6" s="16"/>
    </row>
    <row r="7" spans="1:30" ht="56" x14ac:dyDescent="0.35">
      <c r="A7" s="69" t="s">
        <v>1</v>
      </c>
      <c r="B7" s="70" t="s">
        <v>2</v>
      </c>
      <c r="C7" s="70" t="s">
        <v>41</v>
      </c>
      <c r="D7" s="70" t="s">
        <v>3</v>
      </c>
      <c r="E7" s="70" t="s">
        <v>44</v>
      </c>
      <c r="F7" s="70" t="s">
        <v>53</v>
      </c>
      <c r="G7" s="71" t="s">
        <v>4</v>
      </c>
      <c r="H7" s="72" t="s">
        <v>45</v>
      </c>
      <c r="I7" s="73"/>
      <c r="J7" s="73"/>
      <c r="K7" s="74" t="s">
        <v>5</v>
      </c>
    </row>
    <row r="8" spans="1:30" x14ac:dyDescent="0.35">
      <c r="A8" s="20" t="s">
        <v>46</v>
      </c>
      <c r="K8" s="16"/>
    </row>
    <row r="9" spans="1:30" x14ac:dyDescent="0.35">
      <c r="A9" s="53" t="s">
        <v>56</v>
      </c>
      <c r="B9" s="54">
        <v>950</v>
      </c>
      <c r="C9" s="55">
        <v>40.4</v>
      </c>
      <c r="D9" s="54">
        <v>1</v>
      </c>
      <c r="E9" s="54">
        <f>C9*D9</f>
        <v>40.4</v>
      </c>
      <c r="F9" s="54">
        <v>21</v>
      </c>
      <c r="G9" s="56">
        <f>E9/F9</f>
        <v>1.9238095238095236</v>
      </c>
      <c r="H9" s="57">
        <f>B9*G9</f>
        <v>1827.6190476190475</v>
      </c>
      <c r="I9" s="58"/>
      <c r="J9" s="58"/>
      <c r="K9" s="59" t="s">
        <v>6</v>
      </c>
    </row>
    <row r="10" spans="1:30" ht="28.5" x14ac:dyDescent="0.35">
      <c r="A10" s="60" t="s">
        <v>7</v>
      </c>
      <c r="B10" s="61">
        <v>850</v>
      </c>
      <c r="C10" s="62">
        <v>80.8</v>
      </c>
      <c r="D10" s="61">
        <v>3</v>
      </c>
      <c r="E10" s="61">
        <f>C10*D10</f>
        <v>242.39999999999998</v>
      </c>
      <c r="F10" s="61">
        <v>21</v>
      </c>
      <c r="G10" s="63">
        <f>E10/F10</f>
        <v>11.542857142857141</v>
      </c>
      <c r="H10" s="64">
        <f>B10*G10</f>
        <v>9811.4285714285706</v>
      </c>
      <c r="I10" s="65"/>
      <c r="J10" s="65"/>
      <c r="K10" s="66" t="s">
        <v>8</v>
      </c>
    </row>
    <row r="11" spans="1:30" ht="30.75" customHeight="1" x14ac:dyDescent="0.35">
      <c r="A11" s="60" t="s">
        <v>9</v>
      </c>
      <c r="B11" s="61">
        <v>800</v>
      </c>
      <c r="C11" s="62">
        <v>80.8</v>
      </c>
      <c r="D11" s="61">
        <v>2</v>
      </c>
      <c r="E11" s="61">
        <f>C11*D11</f>
        <v>161.6</v>
      </c>
      <c r="F11" s="61">
        <v>23</v>
      </c>
      <c r="G11" s="63">
        <f>E11/F11</f>
        <v>7.0260869565217385</v>
      </c>
      <c r="H11" s="64">
        <f>B11*G11</f>
        <v>5620.869565217391</v>
      </c>
      <c r="I11" s="65"/>
      <c r="J11" s="65"/>
      <c r="K11" s="66" t="s">
        <v>8</v>
      </c>
    </row>
    <row r="12" spans="1:30" ht="60.75" customHeight="1" x14ac:dyDescent="0.35">
      <c r="A12" s="60" t="s">
        <v>10</v>
      </c>
      <c r="B12" s="61">
        <v>600</v>
      </c>
      <c r="C12" s="61">
        <v>15</v>
      </c>
      <c r="D12" s="61">
        <v>1</v>
      </c>
      <c r="E12" s="61">
        <f>C12*D12</f>
        <v>15</v>
      </c>
      <c r="F12" s="61">
        <v>12</v>
      </c>
      <c r="G12" s="63">
        <f>E12/F12</f>
        <v>1.25</v>
      </c>
      <c r="H12" s="64">
        <f>B12*G12</f>
        <v>750</v>
      </c>
      <c r="I12" s="65"/>
      <c r="J12" s="65"/>
      <c r="K12" s="66" t="s">
        <v>11</v>
      </c>
      <c r="L12" s="9"/>
    </row>
    <row r="13" spans="1:30" x14ac:dyDescent="0.35">
      <c r="A13" s="18"/>
      <c r="C13" s="7"/>
      <c r="H13" s="37">
        <f>SUM(H9:H12)</f>
        <v>18009.91718426501</v>
      </c>
      <c r="I13" s="10" t="s">
        <v>57</v>
      </c>
      <c r="K13" s="16"/>
    </row>
    <row r="14" spans="1:30" x14ac:dyDescent="0.35">
      <c r="A14" s="18"/>
      <c r="H14" s="41">
        <v>1.1100000000000001</v>
      </c>
      <c r="I14" s="10" t="s">
        <v>49</v>
      </c>
      <c r="K14" s="16"/>
    </row>
    <row r="15" spans="1:30" x14ac:dyDescent="0.35">
      <c r="A15" s="75"/>
      <c r="B15" s="58"/>
      <c r="C15" s="58"/>
      <c r="D15" s="58"/>
      <c r="E15" s="58"/>
      <c r="F15" s="58"/>
      <c r="G15" s="76"/>
      <c r="H15" s="77">
        <f>H13*H14</f>
        <v>19991.008074534162</v>
      </c>
      <c r="I15" s="78" t="s">
        <v>58</v>
      </c>
      <c r="J15" s="58"/>
      <c r="K15" s="59"/>
    </row>
    <row r="16" spans="1:30" x14ac:dyDescent="0.35">
      <c r="A16" s="20" t="s">
        <v>47</v>
      </c>
      <c r="H16" s="8"/>
      <c r="I16" s="10"/>
      <c r="K16" s="16"/>
    </row>
    <row r="17" spans="1:13" ht="61.5" customHeight="1" x14ac:dyDescent="0.35">
      <c r="A17" s="67" t="s">
        <v>12</v>
      </c>
      <c r="B17" s="54">
        <v>6200</v>
      </c>
      <c r="C17" s="54"/>
      <c r="D17" s="54"/>
      <c r="E17" s="54"/>
      <c r="F17" s="54"/>
      <c r="G17" s="56">
        <v>1</v>
      </c>
      <c r="H17" s="57">
        <f t="shared" ref="H17:H22" si="0">B17*G17</f>
        <v>6200</v>
      </c>
      <c r="I17" s="58"/>
      <c r="J17" s="58"/>
      <c r="K17" s="59" t="s">
        <v>13</v>
      </c>
      <c r="L17" s="2"/>
      <c r="M17" s="2"/>
    </row>
    <row r="18" spans="1:13" x14ac:dyDescent="0.35">
      <c r="A18" s="60" t="s">
        <v>14</v>
      </c>
      <c r="B18" s="61">
        <v>850</v>
      </c>
      <c r="C18" s="61"/>
      <c r="D18" s="61"/>
      <c r="E18" s="61"/>
      <c r="F18" s="61"/>
      <c r="G18" s="63">
        <v>1</v>
      </c>
      <c r="H18" s="64">
        <f t="shared" si="0"/>
        <v>850</v>
      </c>
      <c r="I18" s="65"/>
      <c r="J18" s="65"/>
      <c r="K18" s="66"/>
      <c r="L18" s="9"/>
    </row>
    <row r="19" spans="1:13" ht="30.75" customHeight="1" x14ac:dyDescent="0.35">
      <c r="A19" s="60" t="s">
        <v>15</v>
      </c>
      <c r="B19" s="61">
        <v>4250</v>
      </c>
      <c r="C19" s="61"/>
      <c r="D19" s="61"/>
      <c r="E19" s="61"/>
      <c r="F19" s="61"/>
      <c r="G19" s="63">
        <v>1</v>
      </c>
      <c r="H19" s="64">
        <f t="shared" si="0"/>
        <v>4250</v>
      </c>
      <c r="I19" s="65"/>
      <c r="J19" s="65"/>
      <c r="K19" s="66" t="s">
        <v>16</v>
      </c>
      <c r="L19" s="2"/>
    </row>
    <row r="20" spans="1:13" ht="30" customHeight="1" x14ac:dyDescent="0.35">
      <c r="A20" s="60" t="s">
        <v>17</v>
      </c>
      <c r="B20" s="61">
        <v>4000</v>
      </c>
      <c r="C20" s="61"/>
      <c r="D20" s="61"/>
      <c r="E20" s="61"/>
      <c r="F20" s="61"/>
      <c r="G20" s="63">
        <v>1</v>
      </c>
      <c r="H20" s="64">
        <f t="shared" si="0"/>
        <v>4000</v>
      </c>
      <c r="I20" s="65"/>
      <c r="J20" s="65"/>
      <c r="K20" s="66" t="s">
        <v>18</v>
      </c>
      <c r="L20" s="2"/>
      <c r="M20" s="9"/>
    </row>
    <row r="21" spans="1:13" x14ac:dyDescent="0.35">
      <c r="A21" s="68" t="s">
        <v>62</v>
      </c>
      <c r="B21" s="61">
        <v>1250</v>
      </c>
      <c r="C21" s="61"/>
      <c r="D21" s="61"/>
      <c r="E21" s="61"/>
      <c r="F21" s="61"/>
      <c r="G21" s="63">
        <v>1</v>
      </c>
      <c r="H21" s="64">
        <f t="shared" si="0"/>
        <v>1250</v>
      </c>
      <c r="I21" s="65"/>
      <c r="J21" s="65"/>
      <c r="K21" s="66" t="s">
        <v>38</v>
      </c>
      <c r="L21" s="2"/>
      <c r="M21" s="9"/>
    </row>
    <row r="22" spans="1:13" ht="28.5" x14ac:dyDescent="0.35">
      <c r="A22" s="60" t="s">
        <v>36</v>
      </c>
      <c r="B22" s="61">
        <v>400</v>
      </c>
      <c r="C22" s="61"/>
      <c r="D22" s="61"/>
      <c r="E22" s="61"/>
      <c r="F22" s="61"/>
      <c r="G22" s="63">
        <v>4</v>
      </c>
      <c r="H22" s="64">
        <f t="shared" si="0"/>
        <v>1600</v>
      </c>
      <c r="I22" s="65"/>
      <c r="J22" s="65"/>
      <c r="K22" s="66" t="s">
        <v>19</v>
      </c>
      <c r="L22" s="2"/>
      <c r="M22" s="9"/>
    </row>
    <row r="23" spans="1:13" ht="16" thickBot="1" x14ac:dyDescent="0.4">
      <c r="A23" s="21"/>
      <c r="B23" s="34"/>
      <c r="C23" s="34"/>
      <c r="D23" s="34"/>
      <c r="E23" s="34"/>
      <c r="F23" s="34"/>
      <c r="G23" s="35"/>
      <c r="H23" s="42">
        <f>SUM(H17:H22)</f>
        <v>18150</v>
      </c>
      <c r="I23" s="23" t="s">
        <v>59</v>
      </c>
      <c r="J23" s="22"/>
      <c r="K23" s="24"/>
      <c r="L23" s="9"/>
      <c r="M23" s="9"/>
    </row>
    <row r="24" spans="1:13" ht="16" thickBot="1" x14ac:dyDescent="0.4">
      <c r="B24" s="32"/>
      <c r="C24" s="32"/>
      <c r="D24" s="32"/>
      <c r="E24" s="32"/>
      <c r="F24" s="32"/>
      <c r="G24" s="33"/>
      <c r="H24" s="8"/>
      <c r="I24" s="10"/>
      <c r="L24" s="9"/>
      <c r="M24" s="9"/>
    </row>
    <row r="25" spans="1:13" ht="56" x14ac:dyDescent="0.35">
      <c r="A25" s="79" t="s">
        <v>55</v>
      </c>
      <c r="B25" s="80" t="s">
        <v>2</v>
      </c>
      <c r="C25" s="80" t="s">
        <v>41</v>
      </c>
      <c r="D25" s="80" t="s">
        <v>3</v>
      </c>
      <c r="E25" s="80" t="s">
        <v>44</v>
      </c>
      <c r="F25" s="80" t="s">
        <v>43</v>
      </c>
      <c r="G25" s="81" t="s">
        <v>4</v>
      </c>
      <c r="H25" s="82" t="s">
        <v>45</v>
      </c>
      <c r="I25" s="83"/>
      <c r="J25" s="84"/>
      <c r="K25" s="85"/>
      <c r="L25" s="9"/>
      <c r="M25" s="9"/>
    </row>
    <row r="26" spans="1:13" x14ac:dyDescent="0.35">
      <c r="A26" s="52" t="s">
        <v>55</v>
      </c>
      <c r="B26" s="30"/>
      <c r="C26" s="30"/>
      <c r="D26" s="30"/>
      <c r="E26" s="30"/>
      <c r="F26" s="30"/>
      <c r="G26" s="31"/>
      <c r="H26" s="50"/>
      <c r="I26" s="10"/>
      <c r="K26" s="16"/>
      <c r="L26" s="9"/>
      <c r="M26" s="9"/>
    </row>
    <row r="27" spans="1:13" x14ac:dyDescent="0.35">
      <c r="A27" s="18" t="s">
        <v>20</v>
      </c>
      <c r="B27" s="32">
        <v>400</v>
      </c>
      <c r="C27" s="32"/>
      <c r="D27" s="32"/>
      <c r="E27" s="32"/>
      <c r="F27" s="32"/>
      <c r="G27" s="33">
        <v>1</v>
      </c>
      <c r="H27" s="8">
        <f t="shared" ref="H27:H33" si="1">B27*G27</f>
        <v>400</v>
      </c>
      <c r="K27" s="16"/>
      <c r="L27" s="9"/>
      <c r="M27" s="9"/>
    </row>
    <row r="28" spans="1:13" x14ac:dyDescent="0.35">
      <c r="A28" s="18" t="s">
        <v>21</v>
      </c>
      <c r="B28" s="32">
        <v>800</v>
      </c>
      <c r="C28" s="32"/>
      <c r="D28" s="32"/>
      <c r="E28" s="32"/>
      <c r="F28" s="32"/>
      <c r="G28" s="33">
        <v>1</v>
      </c>
      <c r="H28" s="8">
        <f t="shared" si="1"/>
        <v>800</v>
      </c>
      <c r="K28" s="16"/>
      <c r="L28" s="9"/>
      <c r="M28" s="9"/>
    </row>
    <row r="29" spans="1:13" x14ac:dyDescent="0.35">
      <c r="A29" s="18" t="s">
        <v>22</v>
      </c>
      <c r="B29" s="32">
        <v>200</v>
      </c>
      <c r="C29" s="32"/>
      <c r="D29" s="32"/>
      <c r="E29" s="32"/>
      <c r="F29" s="32"/>
      <c r="G29" s="33">
        <v>1</v>
      </c>
      <c r="H29" s="8">
        <f t="shared" si="1"/>
        <v>200</v>
      </c>
      <c r="K29" s="16"/>
      <c r="L29" s="9"/>
      <c r="M29" s="9"/>
    </row>
    <row r="30" spans="1:13" x14ac:dyDescent="0.35">
      <c r="A30" s="18" t="s">
        <v>23</v>
      </c>
      <c r="B30" s="32">
        <v>0</v>
      </c>
      <c r="C30" s="32"/>
      <c r="D30" s="32"/>
      <c r="E30" s="32"/>
      <c r="F30" s="32"/>
      <c r="G30" s="33">
        <v>0</v>
      </c>
      <c r="H30" s="8">
        <f t="shared" si="1"/>
        <v>0</v>
      </c>
      <c r="K30" s="16"/>
      <c r="L30" s="9"/>
      <c r="M30" s="9"/>
    </row>
    <row r="31" spans="1:13" x14ac:dyDescent="0.35">
      <c r="A31" s="18" t="s">
        <v>24</v>
      </c>
      <c r="B31" s="32">
        <v>300</v>
      </c>
      <c r="C31" s="32"/>
      <c r="D31" s="32"/>
      <c r="E31" s="32"/>
      <c r="F31" s="32"/>
      <c r="G31" s="33">
        <v>1</v>
      </c>
      <c r="H31" s="8">
        <f t="shared" si="1"/>
        <v>300</v>
      </c>
      <c r="K31" s="16"/>
      <c r="L31" s="9"/>
      <c r="M31" s="9"/>
    </row>
    <row r="32" spans="1:13" x14ac:dyDescent="0.35">
      <c r="A32" s="18" t="s">
        <v>25</v>
      </c>
      <c r="B32" s="32">
        <v>360</v>
      </c>
      <c r="C32" s="32"/>
      <c r="D32" s="32"/>
      <c r="E32" s="32"/>
      <c r="F32" s="32"/>
      <c r="G32" s="33">
        <v>1</v>
      </c>
      <c r="H32" s="8">
        <f t="shared" si="1"/>
        <v>360</v>
      </c>
      <c r="K32" s="16"/>
      <c r="L32" s="9"/>
      <c r="M32" s="9"/>
    </row>
    <row r="33" spans="1:13" x14ac:dyDescent="0.35">
      <c r="A33" s="18" t="s">
        <v>26</v>
      </c>
      <c r="B33" s="32">
        <v>100</v>
      </c>
      <c r="C33" s="32"/>
      <c r="D33" s="32"/>
      <c r="E33" s="32"/>
      <c r="F33" s="32"/>
      <c r="G33" s="33">
        <v>1</v>
      </c>
      <c r="H33" s="8">
        <f t="shared" si="1"/>
        <v>100</v>
      </c>
      <c r="K33" s="16"/>
      <c r="L33" s="9"/>
      <c r="M33" s="9"/>
    </row>
    <row r="34" spans="1:13" x14ac:dyDescent="0.35">
      <c r="A34" s="18" t="s">
        <v>27</v>
      </c>
      <c r="B34" s="32">
        <v>125</v>
      </c>
      <c r="C34" s="32"/>
      <c r="D34" s="32"/>
      <c r="E34" s="32"/>
      <c r="F34" s="32"/>
      <c r="G34" s="33">
        <v>1</v>
      </c>
      <c r="H34" s="8">
        <f>B34*G34</f>
        <v>125</v>
      </c>
      <c r="K34" s="16"/>
      <c r="L34" s="9"/>
      <c r="M34" s="9"/>
    </row>
    <row r="35" spans="1:13" x14ac:dyDescent="0.35">
      <c r="A35" s="18" t="s">
        <v>28</v>
      </c>
      <c r="B35" s="32">
        <v>125</v>
      </c>
      <c r="C35" s="32"/>
      <c r="D35" s="32"/>
      <c r="E35" s="32"/>
      <c r="F35" s="32"/>
      <c r="G35" s="33">
        <v>1</v>
      </c>
      <c r="H35" s="8">
        <v>125</v>
      </c>
      <c r="K35" s="16"/>
      <c r="L35" s="9"/>
      <c r="M35" s="9"/>
    </row>
    <row r="36" spans="1:13" x14ac:dyDescent="0.35">
      <c r="A36" s="18" t="s">
        <v>29</v>
      </c>
      <c r="B36" s="32">
        <v>125</v>
      </c>
      <c r="C36" s="32"/>
      <c r="D36" s="32"/>
      <c r="E36" s="32"/>
      <c r="F36" s="32"/>
      <c r="G36" s="33">
        <v>1</v>
      </c>
      <c r="H36" s="8">
        <v>125</v>
      </c>
      <c r="K36" s="16"/>
      <c r="L36" s="9"/>
      <c r="M36" s="9"/>
    </row>
    <row r="37" spans="1:13" x14ac:dyDescent="0.35">
      <c r="A37" s="18" t="s">
        <v>30</v>
      </c>
      <c r="B37" s="32">
        <v>125</v>
      </c>
      <c r="C37" s="32"/>
      <c r="D37" s="32"/>
      <c r="E37" s="32"/>
      <c r="F37" s="32"/>
      <c r="G37" s="33">
        <v>1</v>
      </c>
      <c r="H37" s="8">
        <v>125</v>
      </c>
      <c r="K37" s="16"/>
      <c r="L37" s="9"/>
      <c r="M37" s="9"/>
    </row>
    <row r="38" spans="1:13" x14ac:dyDescent="0.35">
      <c r="A38" s="18" t="s">
        <v>31</v>
      </c>
      <c r="B38" s="32">
        <v>100</v>
      </c>
      <c r="C38" s="32"/>
      <c r="D38" s="32"/>
      <c r="E38" s="32"/>
      <c r="F38" s="32"/>
      <c r="G38" s="33">
        <v>1</v>
      </c>
      <c r="H38" s="8">
        <v>100</v>
      </c>
      <c r="K38" s="16"/>
      <c r="L38" s="9"/>
      <c r="M38" s="9"/>
    </row>
    <row r="39" spans="1:13" x14ac:dyDescent="0.35">
      <c r="A39" s="18" t="s">
        <v>32</v>
      </c>
      <c r="B39" s="32">
        <v>0</v>
      </c>
      <c r="C39" s="32"/>
      <c r="D39" s="32"/>
      <c r="E39" s="32"/>
      <c r="F39" s="32"/>
      <c r="G39" s="33">
        <v>0</v>
      </c>
      <c r="H39" s="8">
        <f>B39*G39</f>
        <v>0</v>
      </c>
      <c r="K39" s="16"/>
      <c r="L39" s="9"/>
      <c r="M39" s="9"/>
    </row>
    <row r="40" spans="1:13" x14ac:dyDescent="0.35">
      <c r="A40" s="18" t="s">
        <v>33</v>
      </c>
      <c r="B40" s="32">
        <v>125</v>
      </c>
      <c r="C40" s="32"/>
      <c r="D40" s="32"/>
      <c r="E40" s="32"/>
      <c r="F40" s="32"/>
      <c r="G40" s="33">
        <v>1</v>
      </c>
      <c r="H40" s="8">
        <v>125</v>
      </c>
      <c r="K40" s="16"/>
      <c r="L40" s="9"/>
      <c r="M40" s="9"/>
    </row>
    <row r="41" spans="1:13" x14ac:dyDescent="0.35">
      <c r="A41" s="18" t="s">
        <v>34</v>
      </c>
      <c r="B41" s="32">
        <v>0</v>
      </c>
      <c r="C41" s="32"/>
      <c r="D41" s="32"/>
      <c r="E41" s="32"/>
      <c r="F41" s="32"/>
      <c r="G41" s="33">
        <v>0</v>
      </c>
      <c r="H41" s="8">
        <f>B41*G41</f>
        <v>0</v>
      </c>
      <c r="K41" s="16"/>
      <c r="L41" s="9"/>
      <c r="M41" s="9"/>
    </row>
    <row r="42" spans="1:13" x14ac:dyDescent="0.35">
      <c r="A42" s="43"/>
      <c r="B42" s="44"/>
      <c r="C42" s="45"/>
      <c r="D42" s="45"/>
      <c r="E42" s="45"/>
      <c r="F42" s="45"/>
      <c r="G42" s="46"/>
      <c r="H42" s="47">
        <f>SUM(H27:H41)</f>
        <v>2885</v>
      </c>
      <c r="I42" s="48" t="s">
        <v>60</v>
      </c>
      <c r="J42" s="45"/>
      <c r="K42" s="49"/>
      <c r="L42" s="9"/>
      <c r="M42" s="9"/>
    </row>
    <row r="43" spans="1:13" x14ac:dyDescent="0.35">
      <c r="A43" s="19"/>
      <c r="B43" s="9"/>
      <c r="H43" s="86"/>
      <c r="I43" s="10"/>
      <c r="K43" s="16"/>
      <c r="L43" s="9"/>
      <c r="M43" s="9"/>
    </row>
    <row r="44" spans="1:13" x14ac:dyDescent="0.35">
      <c r="A44" s="19"/>
      <c r="B44" s="9"/>
      <c r="H44" s="37">
        <f>SUM(H42,H23,H15)</f>
        <v>41026.008074534162</v>
      </c>
      <c r="I44" s="10" t="s">
        <v>39</v>
      </c>
      <c r="K44" s="16"/>
      <c r="L44" s="9"/>
      <c r="M44" s="9"/>
    </row>
    <row r="45" spans="1:13" x14ac:dyDescent="0.35">
      <c r="A45" s="19"/>
      <c r="B45" s="9"/>
      <c r="H45" s="37">
        <f>H44/B4</f>
        <v>89.186974075074261</v>
      </c>
      <c r="I45" s="10" t="s">
        <v>40</v>
      </c>
      <c r="K45" s="16"/>
      <c r="L45" s="9"/>
      <c r="M45" s="9"/>
    </row>
    <row r="46" spans="1:13" x14ac:dyDescent="0.35">
      <c r="A46" s="36"/>
      <c r="H46" s="10">
        <v>1.4</v>
      </c>
      <c r="I46" s="10" t="s">
        <v>42</v>
      </c>
      <c r="J46" s="5"/>
      <c r="K46" s="16"/>
      <c r="L46" s="9"/>
      <c r="M46" s="9"/>
    </row>
    <row r="47" spans="1:13" ht="18" x14ac:dyDescent="0.4">
      <c r="A47" s="89" t="s">
        <v>48</v>
      </c>
      <c r="H47" s="39">
        <f>H45*H46</f>
        <v>124.86176370510395</v>
      </c>
      <c r="I47" s="10" t="s">
        <v>50</v>
      </c>
      <c r="J47" s="25"/>
      <c r="K47" s="16"/>
      <c r="L47" s="9"/>
      <c r="M47" s="9"/>
    </row>
    <row r="48" spans="1:13" x14ac:dyDescent="0.35">
      <c r="A48" s="90"/>
      <c r="H48" s="38">
        <f>H47*B4</f>
        <v>57436.411304347821</v>
      </c>
      <c r="I48" s="10" t="s">
        <v>63</v>
      </c>
      <c r="K48" s="16"/>
      <c r="L48" s="9"/>
      <c r="M48" s="9"/>
    </row>
    <row r="49" spans="1:11" x14ac:dyDescent="0.35">
      <c r="A49" s="90"/>
      <c r="H49" s="26">
        <v>143</v>
      </c>
      <c r="I49" s="10" t="s">
        <v>54</v>
      </c>
      <c r="K49" s="16"/>
    </row>
    <row r="50" spans="1:11" ht="16" thickBot="1" x14ac:dyDescent="0.4">
      <c r="A50" s="21"/>
      <c r="B50" s="22"/>
      <c r="C50" s="22"/>
      <c r="D50" s="22"/>
      <c r="E50" s="22"/>
      <c r="F50" s="22"/>
      <c r="G50" s="87">
        <f>(H48*H49)</f>
        <v>8213406.8165217387</v>
      </c>
      <c r="H50" s="88"/>
      <c r="I50" s="23" t="s">
        <v>64</v>
      </c>
      <c r="J50" s="22"/>
      <c r="K50" s="24"/>
    </row>
    <row r="51" spans="1:11" x14ac:dyDescent="0.35">
      <c r="K51" s="9"/>
    </row>
    <row r="52" spans="1:11" x14ac:dyDescent="0.35">
      <c r="K52" s="9"/>
    </row>
    <row r="53" spans="1:11" x14ac:dyDescent="0.35">
      <c r="K53" s="9"/>
    </row>
    <row r="54" spans="1:11" x14ac:dyDescent="0.35">
      <c r="K54" s="9"/>
    </row>
    <row r="55" spans="1:11" x14ac:dyDescent="0.35">
      <c r="K55" s="9"/>
    </row>
    <row r="56" spans="1:11" x14ac:dyDescent="0.35">
      <c r="K56" s="9"/>
    </row>
    <row r="57" spans="1:11" ht="4.5" customHeight="1" x14ac:dyDescent="0.35">
      <c r="J57" s="6"/>
      <c r="K57" s="2" t="s">
        <v>35</v>
      </c>
    </row>
    <row r="58" spans="1:11" x14ac:dyDescent="0.35">
      <c r="J58" s="6"/>
    </row>
    <row r="64" spans="1:11" x14ac:dyDescent="0.35">
      <c r="K64" s="3"/>
    </row>
    <row r="65" spans="11:11" x14ac:dyDescent="0.35">
      <c r="K65" s="3"/>
    </row>
    <row r="66" spans="11:11" x14ac:dyDescent="0.35">
      <c r="K66" s="3"/>
    </row>
    <row r="67" spans="11:11" x14ac:dyDescent="0.35">
      <c r="K67" s="3"/>
    </row>
    <row r="68" spans="11:11" x14ac:dyDescent="0.35">
      <c r="K68" s="3"/>
    </row>
    <row r="69" spans="11:11" x14ac:dyDescent="0.35">
      <c r="K69" s="3"/>
    </row>
    <row r="70" spans="11:11" x14ac:dyDescent="0.35">
      <c r="K70" s="3"/>
    </row>
    <row r="71" spans="11:11" x14ac:dyDescent="0.35">
      <c r="K71" s="3"/>
    </row>
    <row r="72" spans="11:11" x14ac:dyDescent="0.35">
      <c r="K72" s="3"/>
    </row>
    <row r="73" spans="11:11" x14ac:dyDescent="0.35">
      <c r="K73" s="3"/>
    </row>
    <row r="74" spans="11:11" x14ac:dyDescent="0.35">
      <c r="K74" s="3"/>
    </row>
  </sheetData>
  <mergeCells count="2">
    <mergeCell ref="G50:H50"/>
    <mergeCell ref="A47:A49"/>
  </mergeCells>
  <phoneticPr fontId="0" type="noConversion"/>
  <pageMargins left="0.5" right="0.5" top="0.5" bottom="0.5" header="0.5" footer="0.5"/>
  <pageSetup scale="74" fitToHeight="2" orientation="landscape" r:id="rId1"/>
  <headerFooter alignWithMargins="0"/>
  <rowBreaks count="1" manualBreakCount="1">
    <brk id="2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Elementary K-5</vt:lpstr>
      <vt:lpstr>'Elementary K-5'!Print_Area</vt:lpstr>
    </vt:vector>
  </TitlesOfParts>
  <Company>NJDOE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PETRICEK</dc:creator>
  <cp:lastModifiedBy>Carina Negreanu</cp:lastModifiedBy>
  <cp:lastPrinted>2003-07-29T13:16:41Z</cp:lastPrinted>
  <dcterms:created xsi:type="dcterms:W3CDTF">1997-10-27T19:31:08Z</dcterms:created>
  <dcterms:modified xsi:type="dcterms:W3CDTF">2020-01-27T12:42:10Z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-1914438606</vt:i4>
  </property>
  <property fmtid="{D5CDD505-2E9C-101B-9397-08002B2CF9AE}" pid="3" name="_EmailSubject">
    <vt:lpwstr>FES models</vt:lpwstr>
  </property>
  <property fmtid="{D5CDD505-2E9C-101B-9397-08002B2CF9AE}" pid="4" name="_AuthorEmail">
    <vt:lpwstr>hany.salib@doe.state.nj.us</vt:lpwstr>
  </property>
  <property fmtid="{D5CDD505-2E9C-101B-9397-08002B2CF9AE}" pid="5" name="_AuthorEmailDisplayName">
    <vt:lpwstr>Salib, Hany</vt:lpwstr>
  </property>
  <property fmtid="{D5CDD505-2E9C-101B-9397-08002B2CF9AE}" pid="6" name="_ReviewingToolsShownOnce">
    <vt:lpwstr/>
  </property>
</Properties>
</file>