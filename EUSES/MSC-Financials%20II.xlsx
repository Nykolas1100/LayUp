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5C95B80-7953-4E2C-A72E-BED752024F8F}" xr6:coauthVersionLast="45" xr6:coauthVersionMax="45" xr10:uidLastSave="{00000000-0000-0000-0000-000000000000}"/>
  <bookViews>
    <workbookView xWindow="2280" yWindow="2280" windowWidth="28800" windowHeight="15460" tabRatio="830"/>
  </bookViews>
  <sheets>
    <sheet name="Instructions" sheetId="10" r:id="rId1"/>
    <sheet name="Assessment Report" sheetId="11" state="hidden" r:id="rId2"/>
    <sheet name="Financial Summary" sheetId="6" r:id="rId3"/>
    <sheet name="ProfitLoss" sheetId="2" r:id="rId4"/>
    <sheet name="BS" sheetId="3" r:id="rId5"/>
    <sheet name="CFS" sheetId="1" r:id="rId6"/>
    <sheet name="Notes 2" sheetId="9" r:id="rId7"/>
    <sheet name="Notes" sheetId="4" r:id="rId8"/>
  </sheets>
  <definedNames>
    <definedName name="_xlnm.Print_Area" localSheetId="1">'Assessment Report'!$A$1:$D$130</definedName>
    <definedName name="_xlnm.Print_Area" localSheetId="2">'Financial Summary'!$A$1:$D$97</definedName>
    <definedName name="_xlnm.Print_Area" localSheetId="0">Instructions!$A$1:$O$45</definedName>
    <definedName name="_xlnm.Print_Area" localSheetId="7">Notes!$A$1:$H$97</definedName>
    <definedName name="_xlnm.Print_Area" localSheetId="6">'Notes 2'!$A$1:$G$80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 i="11" l="1"/>
  <c r="B6" i="11"/>
  <c r="C6" i="11"/>
  <c r="D6" i="11"/>
  <c r="C9" i="11"/>
  <c r="D9" i="11"/>
  <c r="B20" i="11"/>
  <c r="C20" i="11"/>
  <c r="C44" i="11" s="1"/>
  <c r="D20" i="11"/>
  <c r="D44" i="11" s="1"/>
  <c r="A21" i="11"/>
  <c r="B21" i="11"/>
  <c r="B39" i="11" s="1"/>
  <c r="C21" i="11"/>
  <c r="D21" i="11"/>
  <c r="A22" i="11"/>
  <c r="B22" i="11"/>
  <c r="C22" i="11"/>
  <c r="D22" i="11"/>
  <c r="A23" i="11"/>
  <c r="B23" i="11"/>
  <c r="C23" i="11"/>
  <c r="C39" i="11" s="1"/>
  <c r="D23" i="11"/>
  <c r="A24" i="11"/>
  <c r="B24" i="11"/>
  <c r="C24" i="11"/>
  <c r="D24" i="11"/>
  <c r="D39" i="11" s="1"/>
  <c r="A25" i="11"/>
  <c r="B25" i="11"/>
  <c r="C25" i="11"/>
  <c r="D25" i="11"/>
  <c r="A26" i="11"/>
  <c r="B26" i="11"/>
  <c r="C26" i="11"/>
  <c r="D26" i="11"/>
  <c r="A27" i="11"/>
  <c r="B27" i="11"/>
  <c r="C27" i="11"/>
  <c r="D27" i="11"/>
  <c r="A28" i="11"/>
  <c r="B28" i="11"/>
  <c r="C28" i="11"/>
  <c r="D28" i="11"/>
  <c r="A29" i="11"/>
  <c r="B29" i="11"/>
  <c r="C29" i="11"/>
  <c r="D29" i="11"/>
  <c r="A30" i="11"/>
  <c r="B30" i="11"/>
  <c r="C30" i="11"/>
  <c r="D30" i="11"/>
  <c r="A31" i="11"/>
  <c r="B31" i="11"/>
  <c r="C31" i="11"/>
  <c r="D31" i="11"/>
  <c r="A32" i="11"/>
  <c r="B32" i="11"/>
  <c r="C32" i="11"/>
  <c r="D32" i="11"/>
  <c r="A33" i="11"/>
  <c r="B33" i="11"/>
  <c r="C33" i="11"/>
  <c r="D33" i="11"/>
  <c r="A34" i="11"/>
  <c r="B34" i="11"/>
  <c r="C34" i="11"/>
  <c r="D34" i="11"/>
  <c r="A35" i="11"/>
  <c r="B35" i="11"/>
  <c r="C35" i="11"/>
  <c r="D35" i="11"/>
  <c r="A36" i="11"/>
  <c r="B36" i="11"/>
  <c r="C36" i="11"/>
  <c r="D36" i="11"/>
  <c r="A37" i="11"/>
  <c r="B37" i="11"/>
  <c r="C37" i="11"/>
  <c r="D37" i="11"/>
  <c r="A38" i="11"/>
  <c r="B38" i="11"/>
  <c r="C38" i="11"/>
  <c r="D38" i="11"/>
  <c r="B44" i="11"/>
  <c r="A46" i="11"/>
  <c r="B46" i="11"/>
  <c r="B57" i="11" s="1"/>
  <c r="C46" i="11"/>
  <c r="C57" i="11" s="1"/>
  <c r="D46" i="11"/>
  <c r="D57" i="11" s="1"/>
  <c r="A47" i="11"/>
  <c r="B47" i="11"/>
  <c r="C47" i="11"/>
  <c r="D47" i="11"/>
  <c r="A48" i="11"/>
  <c r="B48" i="11"/>
  <c r="C48" i="11"/>
  <c r="D48" i="11"/>
  <c r="A49" i="11"/>
  <c r="B49" i="11"/>
  <c r="C49" i="11"/>
  <c r="D49" i="11"/>
  <c r="A50" i="11"/>
  <c r="B50" i="11"/>
  <c r="C50" i="11"/>
  <c r="D50" i="11"/>
  <c r="A51" i="11"/>
  <c r="B51" i="11"/>
  <c r="C51" i="11"/>
  <c r="D51" i="11"/>
  <c r="A52" i="11"/>
  <c r="B52" i="11"/>
  <c r="C52" i="11"/>
  <c r="D52" i="11"/>
  <c r="A53" i="11"/>
  <c r="B53" i="11"/>
  <c r="C53" i="11"/>
  <c r="D53" i="11"/>
  <c r="A54" i="11"/>
  <c r="B54" i="11"/>
  <c r="C54" i="11"/>
  <c r="D54" i="11"/>
  <c r="A55" i="11"/>
  <c r="B55" i="11"/>
  <c r="C55" i="11"/>
  <c r="D55" i="11"/>
  <c r="A56" i="11"/>
  <c r="B56" i="11"/>
  <c r="C56" i="11"/>
  <c r="D56" i="11"/>
  <c r="A60" i="11"/>
  <c r="B60" i="11"/>
  <c r="B66" i="11" s="1"/>
  <c r="C60" i="11"/>
  <c r="C66" i="11" s="1"/>
  <c r="D60" i="11"/>
  <c r="A61" i="11"/>
  <c r="B61" i="11"/>
  <c r="C61" i="11"/>
  <c r="D61" i="11"/>
  <c r="D66" i="11" s="1"/>
  <c r="A62" i="11"/>
  <c r="B62" i="11"/>
  <c r="C62" i="11"/>
  <c r="D62" i="11"/>
  <c r="A63" i="11"/>
  <c r="B63" i="11"/>
  <c r="C63" i="11"/>
  <c r="D63" i="11"/>
  <c r="A64" i="11"/>
  <c r="B64" i="11"/>
  <c r="C64" i="11"/>
  <c r="D64" i="11"/>
  <c r="A65" i="11"/>
  <c r="B65" i="11"/>
  <c r="C65" i="11"/>
  <c r="D65" i="11"/>
  <c r="A69" i="11"/>
  <c r="B69" i="11"/>
  <c r="C69" i="11"/>
  <c r="D69" i="11"/>
  <c r="D73" i="11" s="1"/>
  <c r="A70" i="11"/>
  <c r="B70" i="11"/>
  <c r="C70" i="11"/>
  <c r="D70" i="11"/>
  <c r="A71" i="11"/>
  <c r="B71" i="11"/>
  <c r="C71" i="11"/>
  <c r="D71" i="11"/>
  <c r="A72" i="11"/>
  <c r="B72" i="11"/>
  <c r="C72" i="11"/>
  <c r="D72" i="11"/>
  <c r="B73" i="11"/>
  <c r="C73" i="11"/>
  <c r="A76" i="11"/>
  <c r="B76" i="11"/>
  <c r="B80" i="11" s="1"/>
  <c r="C76" i="11"/>
  <c r="D76" i="11"/>
  <c r="A77" i="11"/>
  <c r="B77" i="11"/>
  <c r="C77" i="11"/>
  <c r="D77" i="11"/>
  <c r="A78" i="11"/>
  <c r="B78" i="11"/>
  <c r="C78" i="11"/>
  <c r="C80" i="11" s="1"/>
  <c r="D78" i="11"/>
  <c r="A79" i="11"/>
  <c r="B79" i="11"/>
  <c r="C79" i="11"/>
  <c r="D79" i="11"/>
  <c r="D80" i="11" s="1"/>
  <c r="B82" i="11"/>
  <c r="C82" i="11"/>
  <c r="D82" i="11"/>
  <c r="B84" i="11"/>
  <c r="C84" i="11"/>
  <c r="D84" i="11"/>
  <c r="B86" i="11"/>
  <c r="C86" i="11"/>
  <c r="D86" i="11"/>
  <c r="B93" i="11"/>
  <c r="C93" i="11"/>
  <c r="D93" i="11"/>
  <c r="B95" i="11"/>
  <c r="B99" i="11" s="1"/>
  <c r="C95" i="11"/>
  <c r="D95" i="11"/>
  <c r="A2" i="3"/>
  <c r="B2" i="3"/>
  <c r="B5" i="3"/>
  <c r="C5" i="3" s="1"/>
  <c r="D5" i="3" s="1"/>
  <c r="B13" i="3"/>
  <c r="C13" i="3" s="1"/>
  <c r="D13" i="3" s="1"/>
  <c r="A16" i="3"/>
  <c r="A17" i="3"/>
  <c r="A18" i="3"/>
  <c r="A19" i="3"/>
  <c r="A20" i="3"/>
  <c r="A21" i="3"/>
  <c r="A22" i="3"/>
  <c r="B34" i="3"/>
  <c r="C34" i="3"/>
  <c r="D34" i="3"/>
  <c r="B44" i="3"/>
  <c r="C44" i="3"/>
  <c r="D44" i="3"/>
  <c r="B45" i="3"/>
  <c r="C45" i="3"/>
  <c r="D45" i="3"/>
  <c r="B51" i="3"/>
  <c r="C51" i="3"/>
  <c r="D51" i="3"/>
  <c r="A2" i="1"/>
  <c r="B2" i="1"/>
  <c r="B5" i="1"/>
  <c r="C5" i="1"/>
  <c r="D5" i="1"/>
  <c r="B10" i="1"/>
  <c r="C10" i="1"/>
  <c r="D10" i="1"/>
  <c r="B16" i="1"/>
  <c r="G57" i="4" s="1"/>
  <c r="C16" i="1"/>
  <c r="H57" i="4" s="1"/>
  <c r="A2" i="6"/>
  <c r="B2" i="6"/>
  <c r="B6" i="6"/>
  <c r="B25" i="6" s="1"/>
  <c r="B49" i="6" s="1"/>
  <c r="C6" i="6"/>
  <c r="C25" i="6" s="1"/>
  <c r="C49" i="6" s="1"/>
  <c r="D6" i="6"/>
  <c r="D25" i="6" s="1"/>
  <c r="D49" i="6" s="1"/>
  <c r="C9" i="6"/>
  <c r="C7" i="6" s="1"/>
  <c r="C7" i="11" s="1"/>
  <c r="D9" i="6"/>
  <c r="D7" i="6" s="1"/>
  <c r="D7" i="11" s="1"/>
  <c r="B13" i="6"/>
  <c r="C13" i="6"/>
  <c r="D13" i="6"/>
  <c r="B19" i="6"/>
  <c r="B44" i="6"/>
  <c r="B9" i="6" s="1"/>
  <c r="C44" i="6"/>
  <c r="D44" i="6"/>
  <c r="D8" i="2" s="1"/>
  <c r="B62" i="6"/>
  <c r="B86" i="6" s="1"/>
  <c r="C62" i="6"/>
  <c r="C23" i="2" s="1"/>
  <c r="C28" i="2" s="1"/>
  <c r="D62" i="6"/>
  <c r="D23" i="2" s="1"/>
  <c r="D28" i="2" s="1"/>
  <c r="B70" i="6"/>
  <c r="B9" i="3" s="1"/>
  <c r="B10" i="3" s="1"/>
  <c r="C70" i="6"/>
  <c r="C9" i="3" s="1"/>
  <c r="D70" i="6"/>
  <c r="D9" i="3" s="1"/>
  <c r="B76" i="6"/>
  <c r="C76" i="6"/>
  <c r="D76" i="6"/>
  <c r="B82" i="6"/>
  <c r="C82" i="6"/>
  <c r="D82" i="6"/>
  <c r="D93" i="6"/>
  <c r="D92" i="11" s="1"/>
  <c r="B110" i="6"/>
  <c r="B109" i="11" s="1"/>
  <c r="A2" i="4"/>
  <c r="C2" i="4"/>
  <c r="G4" i="4"/>
  <c r="H4" i="4"/>
  <c r="I4" i="4" s="1"/>
  <c r="C4" i="9"/>
  <c r="D5" i="9"/>
  <c r="C110" i="6" s="1"/>
  <c r="C109" i="11" s="1"/>
  <c r="C6" i="9"/>
  <c r="D6" i="9"/>
  <c r="E6" i="9"/>
  <c r="D18" i="9"/>
  <c r="E18" i="9"/>
  <c r="F18" i="9" s="1"/>
  <c r="F82" i="9" s="1"/>
  <c r="G82" i="9" s="1"/>
  <c r="H82" i="9" s="1"/>
  <c r="D29" i="9"/>
  <c r="E29" i="9"/>
  <c r="F29" i="9"/>
  <c r="D16" i="1" s="1"/>
  <c r="B32" i="9"/>
  <c r="D32" i="9"/>
  <c r="D40" i="9" s="1"/>
  <c r="E32" i="9"/>
  <c r="B33" i="9"/>
  <c r="D33" i="9"/>
  <c r="D44" i="9" s="1"/>
  <c r="D55" i="9" s="1"/>
  <c r="B34" i="9"/>
  <c r="D34" i="9"/>
  <c r="E34" i="9" s="1"/>
  <c r="B35" i="9"/>
  <c r="D35" i="9"/>
  <c r="E35" i="9"/>
  <c r="F35" i="9"/>
  <c r="B36" i="9"/>
  <c r="D36" i="9"/>
  <c r="D47" i="9" s="1"/>
  <c r="D58" i="9" s="1"/>
  <c r="E36" i="9"/>
  <c r="E47" i="9" s="1"/>
  <c r="F36" i="9"/>
  <c r="F47" i="9" s="1"/>
  <c r="B37" i="9"/>
  <c r="D37" i="9"/>
  <c r="D48" i="9" s="1"/>
  <c r="D59" i="9" s="1"/>
  <c r="E37" i="9"/>
  <c r="E48" i="9" s="1"/>
  <c r="B38" i="9"/>
  <c r="D38" i="9"/>
  <c r="D49" i="9" s="1"/>
  <c r="D60" i="9" s="1"/>
  <c r="E38" i="9"/>
  <c r="F38" i="9" s="1"/>
  <c r="B43" i="9"/>
  <c r="B44" i="9"/>
  <c r="B45" i="9"/>
  <c r="D45" i="9"/>
  <c r="D56" i="9" s="1"/>
  <c r="B46" i="9"/>
  <c r="D46" i="9"/>
  <c r="E46" i="9"/>
  <c r="F46" i="9"/>
  <c r="B47" i="9"/>
  <c r="B48" i="9"/>
  <c r="B49" i="9"/>
  <c r="B54" i="9"/>
  <c r="B55" i="9"/>
  <c r="B56" i="9"/>
  <c r="B57" i="9"/>
  <c r="D57" i="9"/>
  <c r="E57" i="9" s="1"/>
  <c r="F57" i="9" s="1"/>
  <c r="B58" i="9"/>
  <c r="B59" i="9"/>
  <c r="B60" i="9"/>
  <c r="B65" i="9"/>
  <c r="B66" i="9"/>
  <c r="B67" i="9"/>
  <c r="B68" i="9"/>
  <c r="D68" i="9"/>
  <c r="B19" i="3" s="1"/>
  <c r="B69" i="9"/>
  <c r="B70" i="9"/>
  <c r="B71" i="9"/>
  <c r="D82" i="9"/>
  <c r="E82" i="9"/>
  <c r="D85" i="9"/>
  <c r="D86" i="9" s="1"/>
  <c r="E93" i="9"/>
  <c r="E95" i="9" s="1"/>
  <c r="D94" i="9"/>
  <c r="D95" i="9" s="1"/>
  <c r="F101" i="9"/>
  <c r="F103" i="9" s="1"/>
  <c r="D102" i="9"/>
  <c r="D103" i="9" s="1"/>
  <c r="E103" i="9"/>
  <c r="B2" i="2"/>
  <c r="B2" i="11" s="1"/>
  <c r="B5" i="2"/>
  <c r="C5" i="2" s="1"/>
  <c r="D5" i="2" s="1"/>
  <c r="B8" i="2"/>
  <c r="B9" i="1" s="1"/>
  <c r="B12" i="1" s="1"/>
  <c r="C8" i="2"/>
  <c r="C9" i="1" s="1"/>
  <c r="B23" i="2"/>
  <c r="B28" i="2"/>
  <c r="B11" i="1" s="1"/>
  <c r="B41" i="2"/>
  <c r="C41" i="2"/>
  <c r="D41" i="2"/>
  <c r="B48" i="2"/>
  <c r="B26" i="1" s="1"/>
  <c r="B27" i="1" s="1"/>
  <c r="C48" i="2"/>
  <c r="C26" i="1" s="1"/>
  <c r="C27" i="1" s="1"/>
  <c r="D48" i="2"/>
  <c r="D26" i="1" s="1"/>
  <c r="D27" i="1" s="1"/>
  <c r="B11" i="6" l="1"/>
  <c r="B11" i="11" s="1"/>
  <c r="B87" i="11"/>
  <c r="B85" i="11"/>
  <c r="D88" i="11"/>
  <c r="D58" i="11"/>
  <c r="E56" i="9"/>
  <c r="D67" i="9"/>
  <c r="B18" i="3" s="1"/>
  <c r="F57" i="4"/>
  <c r="D85" i="11"/>
  <c r="E58" i="9"/>
  <c r="F58" i="9" s="1"/>
  <c r="F69" i="9" s="1"/>
  <c r="D20" i="3" s="1"/>
  <c r="C87" i="11"/>
  <c r="B88" i="11"/>
  <c r="B58" i="11" s="1"/>
  <c r="C11" i="1"/>
  <c r="C12" i="1" s="1"/>
  <c r="H56" i="4"/>
  <c r="C33" i="3"/>
  <c r="C37" i="3" s="1"/>
  <c r="C17" i="6" s="1"/>
  <c r="E40" i="9"/>
  <c r="I57" i="4"/>
  <c r="D70" i="9"/>
  <c r="B21" i="3" s="1"/>
  <c r="E59" i="9"/>
  <c r="B81" i="11"/>
  <c r="C67" i="11"/>
  <c r="B67" i="11"/>
  <c r="B74" i="11"/>
  <c r="D9" i="1"/>
  <c r="D12" i="1" s="1"/>
  <c r="D12" i="2"/>
  <c r="D26" i="3"/>
  <c r="F68" i="9"/>
  <c r="D19" i="3" s="1"/>
  <c r="C88" i="11"/>
  <c r="B7" i="6"/>
  <c r="B7" i="11" s="1"/>
  <c r="G52" i="4"/>
  <c r="B8" i="6"/>
  <c r="B9" i="11"/>
  <c r="F49" i="9"/>
  <c r="B11" i="3"/>
  <c r="B44" i="2"/>
  <c r="D11" i="1"/>
  <c r="I56" i="4"/>
  <c r="D33" i="3"/>
  <c r="D37" i="3" s="1"/>
  <c r="D17" i="6" s="1"/>
  <c r="B17" i="1"/>
  <c r="B18" i="1" s="1"/>
  <c r="B29" i="1" s="1"/>
  <c r="B32" i="1" s="1"/>
  <c r="B20" i="6"/>
  <c r="G53" i="4" s="1"/>
  <c r="D87" i="9"/>
  <c r="B42" i="2" s="1"/>
  <c r="D88" i="9"/>
  <c r="E68" i="9"/>
  <c r="C19" i="3" s="1"/>
  <c r="F34" i="9"/>
  <c r="E45" i="9"/>
  <c r="E33" i="9"/>
  <c r="D19" i="6"/>
  <c r="C19" i="6"/>
  <c r="F37" i="9"/>
  <c r="F32" i="9"/>
  <c r="B33" i="3"/>
  <c r="B37" i="3" s="1"/>
  <c r="B17" i="6" s="1"/>
  <c r="D71" i="9"/>
  <c r="B22" i="3" s="1"/>
  <c r="D66" i="9"/>
  <c r="B17" i="3" s="1"/>
  <c r="E49" i="9"/>
  <c r="E60" i="9" s="1"/>
  <c r="G56" i="4"/>
  <c r="C93" i="6"/>
  <c r="D104" i="9"/>
  <c r="E100" i="9" s="1"/>
  <c r="E102" i="9" s="1"/>
  <c r="E104" i="9" s="1"/>
  <c r="F100" i="9" s="1"/>
  <c r="F102" i="9" s="1"/>
  <c r="F104" i="9" s="1"/>
  <c r="D96" i="9"/>
  <c r="E92" i="9" s="1"/>
  <c r="E94" i="9" s="1"/>
  <c r="E96" i="9" s="1"/>
  <c r="C26" i="3"/>
  <c r="D14" i="11"/>
  <c r="C86" i="6"/>
  <c r="B26" i="3"/>
  <c r="C14" i="11"/>
  <c r="D86" i="6"/>
  <c r="B14" i="11"/>
  <c r="E43" i="9"/>
  <c r="D43" i="9"/>
  <c r="D8" i="6"/>
  <c r="C8" i="6"/>
  <c r="D69" i="9"/>
  <c r="B20" i="3" s="1"/>
  <c r="E5" i="9"/>
  <c r="D110" i="6" s="1"/>
  <c r="D109" i="11" s="1"/>
  <c r="C12" i="2"/>
  <c r="I52" i="4"/>
  <c r="B12" i="2"/>
  <c r="H52" i="4"/>
  <c r="B27" i="3" l="1"/>
  <c r="C31" i="1"/>
  <c r="B12" i="6"/>
  <c r="E71" i="9"/>
  <c r="C22" i="3" s="1"/>
  <c r="F60" i="9"/>
  <c r="F71" i="9" s="1"/>
  <c r="D22" i="3" s="1"/>
  <c r="C11" i="6"/>
  <c r="C11" i="11" s="1"/>
  <c r="C14" i="6"/>
  <c r="D11" i="6"/>
  <c r="D11" i="11" s="1"/>
  <c r="F56" i="4"/>
  <c r="D83" i="11"/>
  <c r="D15" i="11"/>
  <c r="D87" i="11"/>
  <c r="D51" i="9"/>
  <c r="B45" i="2" s="1"/>
  <c r="D54" i="9"/>
  <c r="G103" i="9"/>
  <c r="G100" i="9"/>
  <c r="G102" i="9" s="1"/>
  <c r="C8" i="3"/>
  <c r="C10" i="3" s="1"/>
  <c r="E69" i="9"/>
  <c r="C20" i="3" s="1"/>
  <c r="D81" i="11"/>
  <c r="C92" i="11"/>
  <c r="B93" i="6"/>
  <c r="B92" i="11" s="1"/>
  <c r="H7" i="4"/>
  <c r="C113" i="6" s="1"/>
  <c r="C112" i="11" s="1"/>
  <c r="I58" i="4"/>
  <c r="D8" i="11"/>
  <c r="E84" i="9"/>
  <c r="E86" i="9" s="1"/>
  <c r="B49" i="3"/>
  <c r="E87" i="9"/>
  <c r="C42" i="2" s="1"/>
  <c r="C43" i="2" s="1"/>
  <c r="G7" i="4"/>
  <c r="B113" i="6" s="1"/>
  <c r="B112" i="11" s="1"/>
  <c r="B43" i="2"/>
  <c r="D106" i="11"/>
  <c r="D107" i="6"/>
  <c r="F40" i="9"/>
  <c r="F43" i="9"/>
  <c r="F48" i="9"/>
  <c r="D74" i="11"/>
  <c r="B8" i="11"/>
  <c r="G58" i="4"/>
  <c r="F52" i="4"/>
  <c r="D20" i="6"/>
  <c r="I53" i="4" s="1"/>
  <c r="D17" i="1"/>
  <c r="D18" i="1" s="1"/>
  <c r="D29" i="1" s="1"/>
  <c r="F33" i="9"/>
  <c r="E44" i="9"/>
  <c r="E55" i="9" s="1"/>
  <c r="E66" i="9" s="1"/>
  <c r="C17" i="3" s="1"/>
  <c r="C83" i="11"/>
  <c r="C15" i="11"/>
  <c r="B14" i="6"/>
  <c r="B30" i="3"/>
  <c r="C58" i="11"/>
  <c r="D67" i="11"/>
  <c r="D14" i="6"/>
  <c r="I7" i="4"/>
  <c r="D113" i="6" s="1"/>
  <c r="D112" i="11" s="1"/>
  <c r="C8" i="11"/>
  <c r="H58" i="4"/>
  <c r="E67" i="9"/>
  <c r="C18" i="3" s="1"/>
  <c r="B83" i="11"/>
  <c r="B15" i="11"/>
  <c r="C20" i="6"/>
  <c r="H53" i="4" s="1"/>
  <c r="F53" i="4" s="1"/>
  <c r="C17" i="1"/>
  <c r="C18" i="1" s="1"/>
  <c r="C29" i="1" s="1"/>
  <c r="C32" i="1" s="1"/>
  <c r="F45" i="9"/>
  <c r="F56" i="9" s="1"/>
  <c r="F67" i="9" s="1"/>
  <c r="D18" i="3" s="1"/>
  <c r="C74" i="11"/>
  <c r="F95" i="9"/>
  <c r="F92" i="9"/>
  <c r="F94" i="9" s="1"/>
  <c r="F96" i="9" s="1"/>
  <c r="E70" i="9"/>
  <c r="C21" i="3" s="1"/>
  <c r="F59" i="9"/>
  <c r="F70" i="9" s="1"/>
  <c r="D21" i="3" s="1"/>
  <c r="C85" i="11"/>
  <c r="C81" i="11"/>
  <c r="D103" i="6" l="1"/>
  <c r="F54" i="4"/>
  <c r="D102" i="11"/>
  <c r="C27" i="3"/>
  <c r="C30" i="3" s="1"/>
  <c r="D31" i="1"/>
  <c r="D32" i="1" s="1"/>
  <c r="C12" i="6"/>
  <c r="B15" i="6"/>
  <c r="B39" i="3"/>
  <c r="G22" i="4"/>
  <c r="B119" i="6" s="1"/>
  <c r="B118" i="11" s="1"/>
  <c r="G25" i="4"/>
  <c r="B120" i="6" s="1"/>
  <c r="B119" i="11" s="1"/>
  <c r="B18" i="6"/>
  <c r="B13" i="11" s="1"/>
  <c r="E88" i="9"/>
  <c r="D65" i="9"/>
  <c r="D62" i="9"/>
  <c r="E54" i="9"/>
  <c r="B47" i="2"/>
  <c r="D105" i="11"/>
  <c r="D106" i="6"/>
  <c r="F44" i="9"/>
  <c r="G95" i="9"/>
  <c r="G92" i="9"/>
  <c r="G94" i="9" s="1"/>
  <c r="G96" i="9" s="1"/>
  <c r="E51" i="9"/>
  <c r="C45" i="2" s="1"/>
  <c r="D102" i="6"/>
  <c r="D101" i="11"/>
  <c r="F58" i="4"/>
  <c r="C44" i="2"/>
  <c r="C47" i="2" s="1"/>
  <c r="C11" i="3"/>
  <c r="F55" i="9"/>
  <c r="F66" i="9" s="1"/>
  <c r="D17" i="3" s="1"/>
  <c r="F51" i="9"/>
  <c r="D45" i="2" s="1"/>
  <c r="G104" i="9"/>
  <c r="H34" i="4" l="1"/>
  <c r="C124" i="6" s="1"/>
  <c r="C123" i="11" s="1"/>
  <c r="C50" i="2"/>
  <c r="D27" i="3"/>
  <c r="D30" i="3" s="1"/>
  <c r="D12" i="6"/>
  <c r="F84" i="9"/>
  <c r="F86" i="9" s="1"/>
  <c r="C49" i="3"/>
  <c r="F87" i="9"/>
  <c r="D42" i="2" s="1"/>
  <c r="D43" i="2" s="1"/>
  <c r="D73" i="9"/>
  <c r="B16" i="3"/>
  <c r="B23" i="3" s="1"/>
  <c r="E65" i="9"/>
  <c r="E62" i="9"/>
  <c r="F54" i="9"/>
  <c r="H103" i="9"/>
  <c r="H100" i="9"/>
  <c r="H102" i="9" s="1"/>
  <c r="H104" i="9" s="1"/>
  <c r="D8" i="3"/>
  <c r="D10" i="3" s="1"/>
  <c r="D107" i="11"/>
  <c r="D108" i="6"/>
  <c r="H95" i="9"/>
  <c r="H92" i="9"/>
  <c r="H94" i="9" s="1"/>
  <c r="C15" i="6"/>
  <c r="C39" i="3"/>
  <c r="H22" i="4"/>
  <c r="C119" i="6" s="1"/>
  <c r="C118" i="11" s="1"/>
  <c r="H25" i="4"/>
  <c r="C120" i="6" s="1"/>
  <c r="C119" i="11" s="1"/>
  <c r="D103" i="11"/>
  <c r="D104" i="6"/>
  <c r="G34" i="4"/>
  <c r="B124" i="6" s="1"/>
  <c r="B123" i="11" s="1"/>
  <c r="B50" i="2"/>
  <c r="F62" i="9" l="1"/>
  <c r="F65" i="9"/>
  <c r="G10" i="4"/>
  <c r="B114" i="6" s="1"/>
  <c r="B113" i="11" s="1"/>
  <c r="B10" i="6"/>
  <c r="B10" i="11" s="1"/>
  <c r="B52" i="2"/>
  <c r="B54" i="2" s="1"/>
  <c r="E73" i="9"/>
  <c r="C16" i="3"/>
  <c r="C23" i="3" s="1"/>
  <c r="B16" i="6"/>
  <c r="B12" i="11" s="1"/>
  <c r="B40" i="3"/>
  <c r="C18" i="6"/>
  <c r="C13" i="11" s="1"/>
  <c r="D44" i="2"/>
  <c r="D47" i="2" s="1"/>
  <c r="D11" i="3"/>
  <c r="F88" i="9"/>
  <c r="D49" i="3" s="1"/>
  <c r="I25" i="4"/>
  <c r="D120" i="6" s="1"/>
  <c r="D119" i="11" s="1"/>
  <c r="D15" i="6"/>
  <c r="D39" i="3"/>
  <c r="I22" i="4"/>
  <c r="D119" i="6" s="1"/>
  <c r="D118" i="11" s="1"/>
  <c r="H10" i="4"/>
  <c r="C114" i="6" s="1"/>
  <c r="C113" i="11" s="1"/>
  <c r="C10" i="6"/>
  <c r="C10" i="11" s="1"/>
  <c r="C52" i="2"/>
  <c r="C54" i="2" s="1"/>
  <c r="H96" i="9"/>
  <c r="I34" i="4" l="1"/>
  <c r="D124" i="6" s="1"/>
  <c r="D123" i="11" s="1"/>
  <c r="D50" i="2"/>
  <c r="G16" i="4"/>
  <c r="B116" i="6" s="1"/>
  <c r="B115" i="11" s="1"/>
  <c r="G13" i="4"/>
  <c r="B115" i="6" s="1"/>
  <c r="B114" i="11" s="1"/>
  <c r="C16" i="6"/>
  <c r="C12" i="11" s="1"/>
  <c r="C40" i="3"/>
  <c r="B57" i="2"/>
  <c r="B59" i="2" s="1"/>
  <c r="G40" i="4"/>
  <c r="B127" i="6" s="1"/>
  <c r="B126" i="11" s="1"/>
  <c r="G46" i="4"/>
  <c r="B129" i="6" s="1"/>
  <c r="B128" i="11" s="1"/>
  <c r="F73" i="9"/>
  <c r="D16" i="3"/>
  <c r="D23" i="3" s="1"/>
  <c r="D16" i="6" s="1"/>
  <c r="D12" i="11" s="1"/>
  <c r="D18" i="6"/>
  <c r="D13" i="11" s="1"/>
  <c r="C57" i="2"/>
  <c r="H40" i="4"/>
  <c r="C127" i="6" s="1"/>
  <c r="C126" i="11" s="1"/>
  <c r="H46" i="4"/>
  <c r="C129" i="6" s="1"/>
  <c r="C128" i="11" s="1"/>
  <c r="C58" i="2" l="1"/>
  <c r="C59" i="2" s="1"/>
  <c r="B46" i="3"/>
  <c r="B47" i="3" s="1"/>
  <c r="I10" i="4"/>
  <c r="D114" i="6" s="1"/>
  <c r="D113" i="11" s="1"/>
  <c r="D10" i="6"/>
  <c r="D10" i="11" s="1"/>
  <c r="D52" i="2"/>
  <c r="D54" i="2" s="1"/>
  <c r="F55" i="4"/>
  <c r="H16" i="4"/>
  <c r="C116" i="6" s="1"/>
  <c r="C115" i="11" s="1"/>
  <c r="H13" i="4"/>
  <c r="C115" i="6" s="1"/>
  <c r="C114" i="11" s="1"/>
  <c r="D40" i="3"/>
  <c r="D58" i="2" l="1"/>
  <c r="C46" i="3"/>
  <c r="C47" i="3" s="1"/>
  <c r="I16" i="4"/>
  <c r="D116" i="6" s="1"/>
  <c r="D115" i="11" s="1"/>
  <c r="I13" i="4"/>
  <c r="D115" i="6" s="1"/>
  <c r="D114" i="11" s="1"/>
  <c r="D104" i="11"/>
  <c r="D105" i="6"/>
  <c r="D57" i="2"/>
  <c r="D59" i="2" s="1"/>
  <c r="D46" i="3" s="1"/>
  <c r="D47" i="3" s="1"/>
  <c r="I43" i="4" s="1"/>
  <c r="D128" i="6" s="1"/>
  <c r="D127" i="11" s="1"/>
  <c r="I40" i="4"/>
  <c r="D127" i="6" s="1"/>
  <c r="D126" i="11" s="1"/>
  <c r="I46" i="4"/>
  <c r="D129" i="6" s="1"/>
  <c r="D128" i="11" s="1"/>
  <c r="B53" i="3"/>
  <c r="G31" i="4"/>
  <c r="B123" i="6" s="1"/>
  <c r="B122" i="11" s="1"/>
  <c r="G43" i="4"/>
  <c r="B128" i="6" s="1"/>
  <c r="B127" i="11" s="1"/>
  <c r="B21" i="6" l="1"/>
  <c r="B16" i="11"/>
  <c r="G49" i="4"/>
  <c r="B130" i="6" s="1"/>
  <c r="B129" i="11" s="1"/>
  <c r="B55" i="3"/>
  <c r="D53" i="3"/>
  <c r="I31" i="4"/>
  <c r="D123" i="6" s="1"/>
  <c r="D122" i="11" s="1"/>
  <c r="C53" i="3"/>
  <c r="H31" i="4"/>
  <c r="C123" i="6" s="1"/>
  <c r="C122" i="11" s="1"/>
  <c r="H43" i="4"/>
  <c r="C128" i="6" s="1"/>
  <c r="C127" i="11" s="1"/>
  <c r="C21" i="6" l="1"/>
  <c r="C16" i="11"/>
  <c r="H49" i="4"/>
  <c r="C130" i="6" s="1"/>
  <c r="C129" i="11" s="1"/>
  <c r="C55" i="3"/>
  <c r="D21" i="6"/>
  <c r="D16" i="11"/>
  <c r="I49" i="4"/>
  <c r="D130" i="6" s="1"/>
  <c r="D129" i="11" s="1"/>
  <c r="D55" i="3"/>
</calcChain>
</file>

<file path=xl/comments1.xml><?xml version="1.0" encoding="utf-8"?>
<comments xmlns="http://schemas.openxmlformats.org/spreadsheetml/2006/main">
  <authors>
    <author>Multimedia Development Corp.</author>
  </authors>
  <commentList>
    <comment ref="A4" authorId="0" shapeId="0">
      <text>
        <r>
          <rPr>
            <sz val="8"/>
            <color indexed="81"/>
            <rFont val="Tahoma"/>
            <family val="2"/>
          </rPr>
          <t>The projected figures for sales, net profit (loss) before tax, net operating cash flow ant the R&amp;D are on annual basis, whereby those for assets, paid-up capital, liabilities and the networth are cumulative figures over the projected three years period.</t>
        </r>
      </text>
    </comment>
    <comment ref="A9" authorId="0" shapeId="0">
      <text>
        <r>
          <rPr>
            <sz val="8"/>
            <color indexed="81"/>
            <rFont val="Tahoma"/>
            <family val="2"/>
          </rPr>
          <t>Sales are defined as proceeds which is derived from the provision of goods and/or services falling within the company's qualified MSC activities. It is further classified as Local (sold domestically in Malaysia) and/or Export (sold overseas).</t>
        </r>
      </text>
    </comment>
    <comment ref="A11" authorId="0" shapeId="0">
      <text>
        <r>
          <rPr>
            <sz val="8"/>
            <color indexed="81"/>
            <rFont val="Tahoma"/>
            <family val="2"/>
          </rPr>
          <t>Net Operating Cash Flow is defined as the net amount of cash flowing in and out of the business from operating activities before any financing and investing activities being accounted for during the prescribed period to support the qualified MSC activities.</t>
        </r>
      </text>
    </comment>
    <comment ref="A12" authorId="0" shapeId="0">
      <text>
        <r>
          <rPr>
            <sz val="8"/>
            <color indexed="81"/>
            <rFont val="Tahoma"/>
            <family val="2"/>
          </rPr>
          <t xml:space="preserve">Liquid Assets are ddefined as cash or bank balance at the year end and part of the Current Assets.
</t>
        </r>
      </text>
    </comment>
    <comment ref="A13" authorId="0" shapeId="0">
      <text>
        <r>
          <rPr>
            <sz val="8"/>
            <color indexed="81"/>
            <rFont val="Tahoma"/>
            <family val="2"/>
          </rPr>
          <t xml:space="preserve">Stocks is defined as the goods and material purchased to resell at a profit for the company's qualified MSC activities. </t>
        </r>
      </text>
    </comment>
    <comment ref="A14" authorId="0" shapeId="0">
      <text>
        <r>
          <rPr>
            <sz val="8"/>
            <color indexed="81"/>
            <rFont val="Tahoma"/>
            <family val="2"/>
          </rPr>
          <t>Trade Debtors is defined as receivables arise as a result of the process selling products or services on terms that allow delivery prior to the collection of cash.</t>
        </r>
      </text>
    </comment>
    <comment ref="A15" authorId="0" shapeId="0">
      <text>
        <r>
          <rPr>
            <sz val="8"/>
            <color indexed="81"/>
            <rFont val="Tahoma"/>
            <family val="2"/>
          </rPr>
          <t xml:space="preserve">Current Assets are those assets which not fixed assets or investments. It consists of cash and bank, stocks, trade and non-trade debtors, prepayments and other current assets. </t>
        </r>
      </text>
    </comment>
    <comment ref="A16" authorId="0" shapeId="0">
      <text>
        <r>
          <rPr>
            <sz val="8"/>
            <color indexed="81"/>
            <rFont val="Tahoma"/>
            <family val="2"/>
          </rPr>
          <t xml:space="preserve">Fixed Assets represent the acquisition of physical assets which life exceeds one year for the qualified MSC activities which include land and building, machinery and equipment, furniture &amp; fixtures, leasehold improvements and other related assets.
</t>
        </r>
      </text>
    </comment>
    <comment ref="A17" authorId="0" shapeId="0">
      <text>
        <r>
          <rPr>
            <sz val="8"/>
            <color indexed="81"/>
            <rFont val="Tahoma"/>
            <family val="2"/>
          </rPr>
          <t>Current Liabilities is defined as short term financial resources acquired for the use and support of operations, expansions or development of the qualified MSC activities.</t>
        </r>
      </text>
    </comment>
    <comment ref="A18" authorId="0" shapeId="0">
      <text>
        <r>
          <rPr>
            <sz val="8"/>
            <color indexed="81"/>
            <rFont val="Tahoma"/>
            <family val="2"/>
          </rPr>
          <t>Long Term Liability is defined as long term financial resources acquired (more than a year) for the use and suppor of operations, expansions and development of the qualified MSC activities.</t>
        </r>
      </text>
    </comment>
    <comment ref="A20" authorId="0" shapeId="0">
      <text>
        <r>
          <rPr>
            <sz val="8"/>
            <color indexed="81"/>
            <rFont val="Tahoma"/>
            <family val="2"/>
          </rPr>
          <t xml:space="preserve">Research and Development refers to expenses towards the development of MSC activities.
 </t>
        </r>
      </text>
    </comment>
    <comment ref="A23" authorId="0" shapeId="0">
      <text>
        <r>
          <rPr>
            <sz val="8"/>
            <color indexed="81"/>
            <rFont val="Tahoma"/>
            <family val="2"/>
          </rPr>
          <t xml:space="preserve">Please adjust the items according to the nature of your company business. This table has been automatically linked to the P&amp;L.
</t>
        </r>
      </text>
    </comment>
    <comment ref="A47" authorId="0" shapeId="0">
      <text>
        <r>
          <rPr>
            <sz val="8"/>
            <color indexed="81"/>
            <rFont val="Tahoma"/>
            <family val="2"/>
          </rPr>
          <t>This is the planned R&amp;D expenses that the company intended to spend each year to undertake the R&amp;D activities. The projection assumed that the software and hardware acquired and prototyping costs in this table to be capitalised in the Balance Sheet and subsequently amortised at percentage prescribed in "Notes" tab. Meanwhile, the other R&amp;D expenses will be expensed-off in the P&amp;L during the year they incurred.</t>
        </r>
      </text>
    </comment>
    <comment ref="A50" authorId="0" shapeId="0">
      <text>
        <r>
          <rPr>
            <sz val="8"/>
            <color indexed="81"/>
            <rFont val="Tahoma"/>
            <family val="2"/>
          </rPr>
          <t xml:space="preserve">Please insert the annual salary for R&amp;D staff only inclusive of annual increment. Please note that you may change the staff designation to suit your company needs. However, the staff designation have to tally back to the Knowledge Worker table.
</t>
        </r>
      </text>
    </comment>
  </commentList>
</comments>
</file>

<file path=xl/comments2.xml><?xml version="1.0" encoding="utf-8"?>
<comments xmlns="http://schemas.openxmlformats.org/spreadsheetml/2006/main">
  <authors>
    <author>Multimedia Development Corp.</author>
  </authors>
  <commentList>
    <comment ref="A8" authorId="0" shapeId="0">
      <text>
        <r>
          <rPr>
            <sz val="8"/>
            <color indexed="81"/>
            <rFont val="Tahoma"/>
            <family val="2"/>
          </rPr>
          <t>Sales are defined as proceeds which is derived from the provision of goods and/or services falling within the company's qualified MSC activities. It is further classified as Local (sold domestically in Malaysia) and/or Export (sold overseas).</t>
        </r>
      </text>
    </comment>
    <comment ref="A10" authorId="0" shapeId="0">
      <text>
        <r>
          <rPr>
            <sz val="8"/>
            <color indexed="81"/>
            <rFont val="Tahoma"/>
            <family val="2"/>
          </rPr>
          <t>This is the direct costs incurred in generating the sales. Please advise the component of it.</t>
        </r>
      </text>
    </comment>
    <comment ref="A19" authorId="0" shapeId="0">
      <text>
        <r>
          <rPr>
            <sz val="8"/>
            <color indexed="81"/>
            <rFont val="Tahoma"/>
            <family val="2"/>
          </rPr>
          <t xml:space="preserve">Please provide us with the assumptions used to derived the rental figures. </t>
        </r>
      </text>
    </comment>
    <comment ref="A20" authorId="0" shapeId="0">
      <text>
        <r>
          <rPr>
            <sz val="8"/>
            <color indexed="81"/>
            <rFont val="Tahoma"/>
            <family val="2"/>
          </rPr>
          <t>Please insert the annual salary for non-R&amp;D staff only. For R&amp;D staff salary, please refer to Table F3 in "Financial Summary" tab.</t>
        </r>
      </text>
    </comment>
    <comment ref="A23" authorId="0" shapeId="0">
      <text>
        <r>
          <rPr>
            <sz val="8"/>
            <color indexed="81"/>
            <rFont val="Tahoma"/>
            <family val="2"/>
          </rPr>
          <t xml:space="preserve">Automatically calculated. This is for the R&amp;D expenses which are not capitalised in the Balance Sheet.
</t>
        </r>
      </text>
    </comment>
    <comment ref="A24" authorId="0" shapeId="0">
      <text>
        <r>
          <rPr>
            <sz val="8"/>
            <color indexed="81"/>
            <rFont val="Tahoma"/>
            <family val="2"/>
          </rPr>
          <t xml:space="preserve">Please change the discription of the item.
</t>
        </r>
      </text>
    </comment>
    <comment ref="A25" authorId="0" shapeId="0">
      <text>
        <r>
          <rPr>
            <sz val="8"/>
            <color indexed="81"/>
            <rFont val="Tahoma"/>
            <family val="2"/>
          </rPr>
          <t xml:space="preserve">Please change the discription of the item.
</t>
        </r>
      </text>
    </comment>
    <comment ref="A26" authorId="0" shapeId="0">
      <text>
        <r>
          <rPr>
            <sz val="8"/>
            <color indexed="81"/>
            <rFont val="Tahoma"/>
            <family val="2"/>
          </rPr>
          <t xml:space="preserve">Please change the discription of the item.
</t>
        </r>
      </text>
    </comment>
    <comment ref="A33" authorId="0" shapeId="0">
      <text>
        <r>
          <rPr>
            <sz val="8"/>
            <color indexed="81"/>
            <rFont val="Tahoma"/>
            <family val="2"/>
          </rPr>
          <t>Please insert the annual salary for non-R&amp;D staff only. For R&amp;D staff salary, please refer to Table F3 in "Financial Summary" tab.</t>
        </r>
      </text>
    </comment>
    <comment ref="A37" authorId="0" shapeId="0">
      <text>
        <r>
          <rPr>
            <sz val="8"/>
            <color indexed="81"/>
            <rFont val="Tahoma"/>
            <family val="2"/>
          </rPr>
          <t xml:space="preserve">Please change the discription of the item.
</t>
        </r>
      </text>
    </comment>
    <comment ref="A38" authorId="0" shapeId="0">
      <text>
        <r>
          <rPr>
            <sz val="8"/>
            <color indexed="81"/>
            <rFont val="Tahoma"/>
            <family val="2"/>
          </rPr>
          <t xml:space="preserve">Please change the discription of the item.
</t>
        </r>
      </text>
    </comment>
    <comment ref="A39" authorId="0" shapeId="0">
      <text>
        <r>
          <rPr>
            <sz val="8"/>
            <color indexed="81"/>
            <rFont val="Tahoma"/>
            <family val="2"/>
          </rPr>
          <t xml:space="preserve">Please change the discription of the item.
</t>
        </r>
      </text>
    </comment>
    <comment ref="A44" authorId="0" shapeId="0">
      <text>
        <r>
          <rPr>
            <sz val="8"/>
            <color indexed="81"/>
            <rFont val="Tahoma"/>
            <family val="2"/>
          </rPr>
          <t xml:space="preserve">Please insert the amortisation rate for the capitalised R&amp;D expenses in "Notes2".
</t>
        </r>
      </text>
    </comment>
    <comment ref="A45" authorId="0" shapeId="0">
      <text>
        <r>
          <rPr>
            <sz val="8"/>
            <color indexed="81"/>
            <rFont val="Tahoma"/>
            <family val="2"/>
          </rPr>
          <t>Please insert the depreciation rate for each class of fixed assets in "Notes2".</t>
        </r>
      </text>
    </comment>
    <comment ref="A48" authorId="0" shapeId="0">
      <text>
        <r>
          <rPr>
            <sz val="8"/>
            <color indexed="81"/>
            <rFont val="Tahoma"/>
            <family val="2"/>
          </rPr>
          <t>Please insert the interest rate in "Notes2".</t>
        </r>
      </text>
    </comment>
    <comment ref="A50" authorId="0" shapeId="0">
      <text>
        <r>
          <rPr>
            <sz val="8"/>
            <color indexed="81"/>
            <rFont val="Tahoma"/>
            <family val="2"/>
          </rPr>
          <t>Profit / (Loss) before Tax is defined as profit or loss on qualified MSC activities before corporate taxation.</t>
        </r>
      </text>
    </comment>
    <comment ref="A51" authorId="0" shapeId="0">
      <text>
        <r>
          <rPr>
            <sz val="8"/>
            <color indexed="81"/>
            <rFont val="Tahoma"/>
            <family val="2"/>
          </rPr>
          <t xml:space="preserve">For the MSC status application, the tax rate is assumed at 0% as the company will be exempted from corporate tax.
</t>
        </r>
      </text>
    </comment>
    <comment ref="A55" authorId="0" shapeId="0">
      <text>
        <r>
          <rPr>
            <sz val="8"/>
            <color indexed="81"/>
            <rFont val="Tahoma"/>
            <family val="2"/>
          </rPr>
          <t>Please insert the double entry in the Cash Flow under "Dividend Paid".</t>
        </r>
      </text>
    </comment>
  </commentList>
</comments>
</file>

<file path=xl/comments3.xml><?xml version="1.0" encoding="utf-8"?>
<comments xmlns="http://schemas.openxmlformats.org/spreadsheetml/2006/main">
  <authors>
    <author>Multimedia Development Corp.</author>
  </authors>
  <commentList>
    <comment ref="A11" authorId="0" shapeId="0">
      <text>
        <r>
          <rPr>
            <sz val="8"/>
            <color indexed="81"/>
            <rFont val="Tahoma"/>
            <family val="2"/>
          </rPr>
          <t>This is the net amount after amortisation of software, hardware and prototyping as listed in Table F3 in "Financial Summary" tab. Please insert the amortisation rate in "Notes" tab.</t>
        </r>
      </text>
    </comment>
    <comment ref="A15" authorId="0" shapeId="0">
      <text>
        <r>
          <rPr>
            <sz val="8"/>
            <color indexed="81"/>
            <rFont val="Tahoma"/>
            <family val="2"/>
          </rPr>
          <t>For non-R&amp;D assets only. Please change the items (in "Notes2" tab) to be more reflective of your business proposal.</t>
        </r>
      </text>
    </comment>
    <comment ref="A26" authorId="0" shapeId="0">
      <text>
        <r>
          <rPr>
            <sz val="8"/>
            <color indexed="81"/>
            <rFont val="Tahoma"/>
            <family val="2"/>
          </rPr>
          <t>Please insert the credit term period in "Notes2".</t>
        </r>
      </text>
    </comment>
    <comment ref="A28" authorId="0" shapeId="0">
      <text>
        <r>
          <rPr>
            <sz val="8"/>
            <color indexed="81"/>
            <rFont val="Tahoma"/>
            <family val="2"/>
          </rPr>
          <t>Please ensure correct double entry is made for this transaction. If you need assistance to use this section, please call our Financial Analyst.</t>
        </r>
      </text>
    </comment>
    <comment ref="A29" authorId="0" shapeId="0">
      <text>
        <r>
          <rPr>
            <sz val="8"/>
            <color indexed="81"/>
            <rFont val="Tahoma"/>
            <family val="2"/>
          </rPr>
          <t>Please ensure correct double entry is made for this transaction. If you need assistance to use this section, please call our Financial Analyst.</t>
        </r>
      </text>
    </comment>
    <comment ref="A33" authorId="0" shapeId="0">
      <text>
        <r>
          <rPr>
            <sz val="8"/>
            <color indexed="81"/>
            <rFont val="Tahoma"/>
            <family val="2"/>
          </rPr>
          <t xml:space="preserve">Please insert the credit term period in "Notes2".
</t>
        </r>
      </text>
    </comment>
    <comment ref="A34" authorId="0" shapeId="0">
      <text>
        <r>
          <rPr>
            <sz val="8"/>
            <color indexed="81"/>
            <rFont val="Tahoma"/>
            <family val="2"/>
          </rPr>
          <t xml:space="preserve">Please insert the credit term period in "Notes2".
</t>
        </r>
      </text>
    </comment>
    <comment ref="A35" authorId="0" shapeId="0">
      <text>
        <r>
          <rPr>
            <sz val="8"/>
            <color indexed="81"/>
            <rFont val="Tahoma"/>
            <family val="2"/>
          </rPr>
          <t>Please ensure correct double entry is made for this transaction. If you need assistance to use this section, please call our Financial Analyst.</t>
        </r>
      </text>
    </comment>
    <comment ref="A36" authorId="0" shapeId="0">
      <text>
        <r>
          <rPr>
            <sz val="8"/>
            <color indexed="81"/>
            <rFont val="Tahoma"/>
            <family val="2"/>
          </rPr>
          <t>Please ensure correct double entry is made for this transaction. If you need assistance to use this section, please call our Financial Analyst.</t>
        </r>
      </text>
    </comment>
    <comment ref="A49" authorId="0" shapeId="0">
      <text>
        <r>
          <rPr>
            <sz val="8"/>
            <color indexed="81"/>
            <rFont val="Tahoma"/>
            <family val="2"/>
          </rPr>
          <t>Please ensure correct double entry is made for this transaction. If you need assistance to use this section, please call our Financial Analyst.</t>
        </r>
      </text>
    </comment>
  </commentList>
</comments>
</file>

<file path=xl/comments4.xml><?xml version="1.0" encoding="utf-8"?>
<comments xmlns="http://schemas.openxmlformats.org/spreadsheetml/2006/main">
  <authors>
    <author>Multimedia Development Corp.</author>
    <author>Mohd. Zaffri Basir</author>
  </authors>
  <commentList>
    <comment ref="A12" authorId="0" shapeId="0">
      <text>
        <r>
          <rPr>
            <sz val="8"/>
            <color indexed="81"/>
            <rFont val="Tahoma"/>
            <family val="2"/>
          </rPr>
          <t>Net Operating Cash Flow is defined as the net amount of cash flowing in and out of the business from operating activities before any financing and investing activities being accounted for during the prescribed period to support the qualified MSC activities.</t>
        </r>
      </text>
    </comment>
    <comment ref="A15" authorId="1" shapeId="0">
      <text>
        <r>
          <rPr>
            <sz val="8"/>
            <color indexed="81"/>
            <rFont val="Tahoma"/>
            <family val="2"/>
          </rPr>
          <t>For investment in other companies, subsidiaries or associated company. For investment acquired, please show as negative figure. For disposal of investment, please show a positive figure as it is an inflow into the company. Please do not include fixed deposits.</t>
        </r>
      </text>
    </comment>
    <comment ref="A20" authorId="0" shapeId="0">
      <text>
        <r>
          <rPr>
            <sz val="8"/>
            <color indexed="81"/>
            <rFont val="Tahoma"/>
            <family val="2"/>
          </rPr>
          <t>Please insert the intended share capital for the business. The amount can be increased as and when required. Minimum requirement of paid-up capital during incorporation of the company is RM2.</t>
        </r>
      </text>
    </comment>
    <comment ref="A23" authorId="0" shapeId="0">
      <text>
        <r>
          <rPr>
            <sz val="8"/>
            <color indexed="81"/>
            <rFont val="Tahoma"/>
            <family val="2"/>
          </rPr>
          <t>This is the drawdown of loans (inflows).</t>
        </r>
      </text>
    </comment>
    <comment ref="A24" authorId="0" shapeId="0">
      <text>
        <r>
          <rPr>
            <sz val="8"/>
            <color indexed="81"/>
            <rFont val="Tahoma"/>
            <family val="2"/>
          </rPr>
          <t>Please insert the repayment made on the loan by showing it as negative figures to indicate outflow of cash.</t>
        </r>
      </text>
    </comment>
    <comment ref="A32" authorId="0" shapeId="0">
      <text>
        <r>
          <rPr>
            <sz val="8"/>
            <color indexed="81"/>
            <rFont val="Tahoma"/>
            <family val="2"/>
          </rPr>
          <t>It is advisable to have a positive cash flow balance each year. In the event negative figures occur, please incorporate some form of financing in the Cash Flow to cover for the shortfall.</t>
        </r>
      </text>
    </comment>
  </commentList>
</comments>
</file>

<file path=xl/comments5.xml><?xml version="1.0" encoding="utf-8"?>
<comments xmlns="http://schemas.openxmlformats.org/spreadsheetml/2006/main">
  <authors>
    <author>Mohd. Zaffri Basir</author>
  </authors>
  <commentList>
    <comment ref="B20" authorId="0" shapeId="0">
      <text>
        <r>
          <rPr>
            <sz val="8"/>
            <color indexed="81"/>
            <rFont val="Tahoma"/>
            <family val="2"/>
          </rPr>
          <t xml:space="preserve">You may want to change the fixed asset description in the yellow box below to suit the nature of your business.
</t>
        </r>
      </text>
    </comment>
  </commentList>
</comments>
</file>

<file path=xl/sharedStrings.xml><?xml version="1.0" encoding="utf-8"?>
<sst xmlns="http://schemas.openxmlformats.org/spreadsheetml/2006/main" count="504" uniqueCount="385">
  <si>
    <t>PROJECTIONS</t>
  </si>
  <si>
    <t>RM</t>
  </si>
  <si>
    <t>Cash flows from operating activities</t>
  </si>
  <si>
    <t>Cash flows from investing activities</t>
  </si>
  <si>
    <t>Net cash from/( used in)  investing activities</t>
  </si>
  <si>
    <t>Cash flows from financing activities</t>
  </si>
  <si>
    <t>CASH FLOW STATEMENT</t>
  </si>
  <si>
    <t>SALES</t>
  </si>
  <si>
    <t>GROSS PROFIT</t>
  </si>
  <si>
    <t>Advertisement</t>
  </si>
  <si>
    <t>LESS : TAXATION</t>
  </si>
  <si>
    <t>BALANCE SHEET</t>
  </si>
  <si>
    <t>Land &amp; Buildings</t>
  </si>
  <si>
    <t>Fixtures &amp; Fittings</t>
  </si>
  <si>
    <t>Motor Vehicles</t>
  </si>
  <si>
    <t>CURRENT ASSETS</t>
  </si>
  <si>
    <t>NET CURRENT ASSETS</t>
  </si>
  <si>
    <t>Financed By :</t>
  </si>
  <si>
    <t>NET ASSETS</t>
  </si>
  <si>
    <t>SHAREHOLDERS' NETWORTH</t>
  </si>
  <si>
    <t>Research &amp; Development (net)</t>
  </si>
  <si>
    <t>Office Equipment</t>
  </si>
  <si>
    <t>Net increase( decrease) in cash and cash equivalents</t>
  </si>
  <si>
    <t>PROFIT AND LOSS ACCOUNT</t>
  </si>
  <si>
    <t xml:space="preserve">Cash and cash equivalents carried forward </t>
  </si>
  <si>
    <t xml:space="preserve">Cash and cash equivalents brought forward </t>
  </si>
  <si>
    <t>Net cash from/(used in) operating activities</t>
  </si>
  <si>
    <t>Net cash from/( used in)  financing activities</t>
  </si>
  <si>
    <t>F1 : FINANCIAL PROJECTIONS</t>
  </si>
  <si>
    <t>Year</t>
  </si>
  <si>
    <t>Total Sales</t>
  </si>
  <si>
    <t>Net profit (loss) before tax</t>
  </si>
  <si>
    <t>Net operating cash flow</t>
  </si>
  <si>
    <t>Liquid Assets</t>
  </si>
  <si>
    <t>Trade Debtors</t>
  </si>
  <si>
    <t>Current Assets</t>
  </si>
  <si>
    <t>Current Liablities</t>
  </si>
  <si>
    <t>Long-Term Liabilities</t>
  </si>
  <si>
    <t>Paid-up-Capital</t>
  </si>
  <si>
    <t>F2 : Breakdown of Sales</t>
  </si>
  <si>
    <t>Item *</t>
  </si>
  <si>
    <t>Content Edition/Enhancement</t>
  </si>
  <si>
    <t>Interractive Services</t>
  </si>
  <si>
    <t>E-Commerce</t>
  </si>
  <si>
    <t>Software Integration</t>
  </si>
  <si>
    <t>Website Development Income</t>
  </si>
  <si>
    <t>Hosting Fees</t>
  </si>
  <si>
    <t>i-directory listing</t>
  </si>
  <si>
    <t>Sale of Portals</t>
  </si>
  <si>
    <t>Fulfillment charges</t>
  </si>
  <si>
    <t>Licensing</t>
  </si>
  <si>
    <t>Subscription</t>
  </si>
  <si>
    <t>Transaction Fee</t>
  </si>
  <si>
    <t>Others :-</t>
  </si>
  <si>
    <t>Total</t>
  </si>
  <si>
    <t>F3 : Breakdown of Research &amp; Development</t>
  </si>
  <si>
    <t>R&amp;D staff salaries **</t>
  </si>
  <si>
    <t>--R&amp;D Electronic Engineers</t>
  </si>
  <si>
    <t>--R&amp;D Embedded Software Engineers</t>
  </si>
  <si>
    <t>--R&amp;D Software Engineer</t>
  </si>
  <si>
    <t>--R&amp;D Quality &amp; Security Engineer</t>
  </si>
  <si>
    <t>--Chief Designer</t>
  </si>
  <si>
    <t>--Web Designer</t>
  </si>
  <si>
    <t>--Web Engineer</t>
  </si>
  <si>
    <t>--Linguists</t>
  </si>
  <si>
    <t>--Language Translators</t>
  </si>
  <si>
    <t>--Content Developers</t>
  </si>
  <si>
    <t xml:space="preserve">                                                    Sub-total</t>
  </si>
  <si>
    <t>Technology acquisitions - Hardware</t>
  </si>
  <si>
    <t>--Computer Servers</t>
  </si>
  <si>
    <t>--Personal Computers</t>
  </si>
  <si>
    <t>--ISDN Lines Connection</t>
  </si>
  <si>
    <t>--Workstations Hardware &amp; Accessories</t>
  </si>
  <si>
    <t>--Furniture &amp; Fittings</t>
  </si>
  <si>
    <t>Technology acquisitions - Software</t>
  </si>
  <si>
    <t>--Software Licencing for Windows NT</t>
  </si>
  <si>
    <t>--Software for Hardware Development</t>
  </si>
  <si>
    <t>--Design Tools</t>
  </si>
  <si>
    <t>Prototypes</t>
  </si>
  <si>
    <t>--Content &amp; Design Fee</t>
  </si>
  <si>
    <t>--Mould Making</t>
  </si>
  <si>
    <t>--Prototyping Costs</t>
  </si>
  <si>
    <t>Consumables / Incidental Costs</t>
  </si>
  <si>
    <t>Patenting &amp; Copyrights</t>
  </si>
  <si>
    <t>Grand Total</t>
  </si>
  <si>
    <t xml:space="preserve">*  Please adjust the items according to the nature of your business  </t>
  </si>
  <si>
    <t xml:space="preserve">** For R&amp;D staff salaries, please indicate (PT) for part-time or (FT) full-time .    </t>
  </si>
  <si>
    <t>Glossary of financial terms used in MSC status application</t>
  </si>
  <si>
    <t xml:space="preserve">    within the company's qualified MSC activities.</t>
  </si>
  <si>
    <t xml:space="preserve">    Sales are further classified as Local ( all forms of revenue in Malaysia) and/or Export (all forms of</t>
  </si>
  <si>
    <t xml:space="preserve">     revenue from overseas )</t>
  </si>
  <si>
    <t xml:space="preserve">    the prescribed period to support the qualified MSC activities. </t>
  </si>
  <si>
    <t xml:space="preserve">    { Formula  : Net  operating cash flow = Total cash inflow - Total cash outflow } </t>
  </si>
  <si>
    <t xml:space="preserve">    company's qualified MSC activities. It is a component of Current Assets.</t>
  </si>
  <si>
    <t xml:space="preserve">     or services on terms that allow delivery prior to the collection of cash. It is a component of </t>
  </si>
  <si>
    <t xml:space="preserve">     Current Assets.</t>
  </si>
  <si>
    <t xml:space="preserve">    continuing basis for the company's qualified MSC activities. They are the sums of the following </t>
  </si>
  <si>
    <t xml:space="preserve">    categories; Liquid Assets, Trade Debtors, Stocks, Prepayments and Other Current Assets.</t>
  </si>
  <si>
    <t xml:space="preserve">    the qualified MSC activities. They include assets such as ; Land, Building, Machinery &amp; Equipment,</t>
  </si>
  <si>
    <t xml:space="preserve">    Funiture &amp; Fixtures, Leasehold Improvements and other related assets.</t>
  </si>
  <si>
    <t xml:space="preserve">     operations, expansions or development of the qualified MSC activities.</t>
  </si>
  <si>
    <t xml:space="preserve">      operations, expansions or development of the qualified MSC activities.</t>
  </si>
  <si>
    <t xml:space="preserve">       MSC activities.</t>
  </si>
  <si>
    <t>activity on either a full time or part time basis.</t>
  </si>
  <si>
    <t>associated with the project.</t>
  </si>
  <si>
    <t>attributable to research and development.</t>
  </si>
  <si>
    <t>(a) Utilities, publications, office stationery, equipment maintenance directly attributable to the project's</t>
  </si>
  <si>
    <t>research and development activities.</t>
  </si>
  <si>
    <t xml:space="preserve">(b) Local travel essential to the project e.g. costs for travel to related research projects, for consultation </t>
  </si>
  <si>
    <t>with other experts in the field being studied.</t>
  </si>
  <si>
    <t xml:space="preserve">(c ) Training, Seminar &amp; Workshop (Local/Overseas) costs incurred that are directly related to the </t>
  </si>
  <si>
    <t>R&amp;D activity.</t>
  </si>
  <si>
    <t xml:space="preserve">     Share Capital, Share Premium Account, Capital Reserves, Reserves and Retained Earnings.</t>
  </si>
  <si>
    <t>Past Perfomance</t>
  </si>
  <si>
    <t>Sales</t>
  </si>
  <si>
    <t>Profit/Loss before tax</t>
  </si>
  <si>
    <t>Co. name:</t>
  </si>
  <si>
    <t>Notes to the Accounts</t>
  </si>
  <si>
    <t>Please show all the relevant workings in this spreadsheet.</t>
  </si>
  <si>
    <t>Please fill in the above with the past years audited financial figures wherever applicable.</t>
  </si>
  <si>
    <t xml:space="preserve">1. </t>
  </si>
  <si>
    <t>2.</t>
  </si>
  <si>
    <t>Name of the Company</t>
  </si>
  <si>
    <t>Projection Start (year)</t>
  </si>
  <si>
    <t>3.</t>
  </si>
  <si>
    <t>4.</t>
  </si>
  <si>
    <t>5.</t>
  </si>
  <si>
    <t>Interest Rate (%)</t>
  </si>
  <si>
    <t xml:space="preserve">6. </t>
  </si>
  <si>
    <t>Depreciation Rate (%)</t>
  </si>
  <si>
    <t>7.</t>
  </si>
  <si>
    <t>Amortisation Rate (%)</t>
  </si>
  <si>
    <t>R&amp;D (Gross)</t>
  </si>
  <si>
    <t>Addition</t>
  </si>
  <si>
    <t>Amortisation</t>
  </si>
  <si>
    <t>Trade Debtors Credit Period (month)</t>
  </si>
  <si>
    <t>Trade Creditors Credit Period (month)</t>
  </si>
  <si>
    <t>Other Creditors Credit Period (month)</t>
  </si>
  <si>
    <t>Assumptions:-</t>
  </si>
  <si>
    <t>F4 : PAST PERFORMANCE</t>
  </si>
  <si>
    <t>Assets</t>
  </si>
  <si>
    <t>Liabilities</t>
  </si>
  <si>
    <t>Data Centre Management</t>
  </si>
  <si>
    <t>Call Centre Management</t>
  </si>
  <si>
    <t>System Intergration and Testing</t>
  </si>
  <si>
    <t>Instructions to complete the Financial Templates</t>
  </si>
  <si>
    <t>Please fill-in all the "yellow" coloured cells in the following sheets:-</t>
  </si>
  <si>
    <t>a. Financial Summary</t>
  </si>
  <si>
    <t>b. P&amp;L</t>
  </si>
  <si>
    <t>c. BS</t>
  </si>
  <si>
    <t>d. CFS</t>
  </si>
  <si>
    <t>e. Notes 2</t>
  </si>
  <si>
    <t>Please put "0" to item/s which is/are not applicable to your company.</t>
  </si>
  <si>
    <t>Table F3: R&amp;D expenses - Please note that the underlying assumption used on the treatment of these expenses is such that the Hardware and Software acquisition for the purpose of Research and Development works will be capitalised in the Balance Sheet and subsequently amortised every year. The other R&amp;D expenses as stipulated in Table F3 will be written-off completely in the Profit and Loss during the year they incurred.</t>
  </si>
  <si>
    <t>F4 : PAST FINANCIAL PERFORMANCE</t>
  </si>
  <si>
    <t xml:space="preserve">Table F4: Past Financial Performance - For the company that has been in operation for more than 1 year, please provide us with the audited Sales and the Profit before Tax figures. </t>
  </si>
  <si>
    <t>3 Year Ruling - Threshold is set at                                               RM</t>
  </si>
  <si>
    <t>No. of Audited Financial Statement (max. of 3 years)</t>
  </si>
  <si>
    <t>8.</t>
  </si>
  <si>
    <t>Fixed Assets Calculation</t>
  </si>
  <si>
    <r>
      <t xml:space="preserve">Sales </t>
    </r>
    <r>
      <rPr>
        <i/>
        <sz val="10"/>
        <rFont val="Times New Roman"/>
        <family val="1"/>
      </rPr>
      <t>(must total to 100%)</t>
    </r>
  </si>
  <si>
    <r>
      <t xml:space="preserve">-expexted </t>
    </r>
    <r>
      <rPr>
        <i/>
        <sz val="10"/>
        <rFont val="Times New Roman"/>
        <family val="1"/>
      </rPr>
      <t>Local Sales (%)</t>
    </r>
  </si>
  <si>
    <r>
      <t xml:space="preserve">-expected </t>
    </r>
    <r>
      <rPr>
        <i/>
        <sz val="10"/>
        <rFont val="Times New Roman"/>
        <family val="1"/>
      </rPr>
      <t>Export Sales (%)</t>
    </r>
  </si>
  <si>
    <t>Others</t>
  </si>
  <si>
    <t>Gross Accumulated:</t>
  </si>
  <si>
    <t>Depreciation:</t>
  </si>
  <si>
    <t>Accumulated Depreciation:</t>
  </si>
  <si>
    <t>Net Book Value:</t>
  </si>
  <si>
    <t>refer to FA section below</t>
  </si>
  <si>
    <t>Annual Acquisition:</t>
  </si>
  <si>
    <t>FIXED ASSETS (net)</t>
  </si>
  <si>
    <t>%</t>
  </si>
  <si>
    <t>less:</t>
  </si>
  <si>
    <t>General &amp; Administrative Expenses</t>
  </si>
  <si>
    <t>Sales &amp; Marketing Expenses</t>
  </si>
  <si>
    <t xml:space="preserve">Return on capital employed </t>
  </si>
  <si>
    <t xml:space="preserve">EBIT / total assets less current liabilities at the end of the year. </t>
  </si>
  <si>
    <t xml:space="preserve">= EBIT / total assets less current liabilities at the end of the year. </t>
  </si>
  <si>
    <t xml:space="preserve">Net profit margin </t>
  </si>
  <si>
    <t>= EBIT/sales.</t>
  </si>
  <si>
    <t xml:space="preserve">Asset turnover </t>
  </si>
  <si>
    <t>= sales /total assets less current liabilities.</t>
  </si>
  <si>
    <t xml:space="preserve">Current ratio </t>
  </si>
  <si>
    <t>= current assets/current liabilities including overdraft.</t>
  </si>
  <si>
    <t xml:space="preserve">Gearing </t>
  </si>
  <si>
    <t>= total debt including overdraft/shareholders’ funds.</t>
  </si>
  <si>
    <t xml:space="preserve">Interest cover </t>
  </si>
  <si>
    <t>= EBIT/interest.</t>
  </si>
  <si>
    <t>Return on shareholders’ funds</t>
  </si>
  <si>
    <t>= equity earnings / book value of shareholders’ funds at the end of the year.</t>
  </si>
  <si>
    <t xml:space="preserve">Dividend cover </t>
  </si>
  <si>
    <t>= equity earnings/equity dividend.</t>
  </si>
  <si>
    <t>Gross profit percentage</t>
  </si>
  <si>
    <t>Gross profit</t>
  </si>
  <si>
    <t>x 100%</t>
  </si>
  <si>
    <t>Net profit percentage</t>
  </si>
  <si>
    <t>Net profit</t>
  </si>
  <si>
    <t>Return on capital employed</t>
  </si>
  <si>
    <t>Operating profit</t>
  </si>
  <si>
    <t>Capital employed</t>
  </si>
  <si>
    <t>Current ratio</t>
  </si>
  <si>
    <t>Current assets</t>
  </si>
  <si>
    <t>:1</t>
  </si>
  <si>
    <t>Current liabilities</t>
  </si>
  <si>
    <t>Quick ratio/Acid test ratio</t>
  </si>
  <si>
    <t>Gearing ratio</t>
  </si>
  <si>
    <t>Prior charge capital</t>
  </si>
  <si>
    <t>Total capital</t>
  </si>
  <si>
    <t>Interest cover</t>
  </si>
  <si>
    <t>Interest payable</t>
  </si>
  <si>
    <t>Earnings per share</t>
  </si>
  <si>
    <t>Ordinary shares</t>
  </si>
  <si>
    <t>Profitability Ratios</t>
  </si>
  <si>
    <t>Liquidity Ratios</t>
  </si>
  <si>
    <t>Financing Ratios</t>
  </si>
  <si>
    <t>Investment Ratios</t>
  </si>
  <si>
    <t xml:space="preserve">equity earnings </t>
  </si>
  <si>
    <t>equity dividend</t>
  </si>
  <si>
    <t xml:space="preserve"> equity earnings</t>
  </si>
  <si>
    <t>sales</t>
  </si>
  <si>
    <t>Total assets less current liabilities</t>
  </si>
  <si>
    <t>PBIT</t>
  </si>
  <si>
    <t>Current assets – Stock</t>
  </si>
  <si>
    <t>PAT, pref dividends &amp; extraordinary items</t>
  </si>
  <si>
    <t>BV of shareholders’ funds at the year end</t>
  </si>
  <si>
    <t>PBDIT</t>
  </si>
  <si>
    <t>Minority Interest</t>
  </si>
  <si>
    <t>Distributable Profit</t>
  </si>
  <si>
    <t>less: Dividend</t>
  </si>
  <si>
    <t>Other Income</t>
  </si>
  <si>
    <t>less: Amortisation of R&amp;D</t>
  </si>
  <si>
    <t xml:space="preserve">         Depreciation</t>
  </si>
  <si>
    <t>less: Financial Charges</t>
  </si>
  <si>
    <t xml:space="preserve">       Professional fees</t>
  </si>
  <si>
    <t xml:space="preserve">       Directors' remuneration </t>
  </si>
  <si>
    <t xml:space="preserve">       Insurance</t>
  </si>
  <si>
    <t xml:space="preserve">       Medical fee</t>
  </si>
  <si>
    <t xml:space="preserve">       Rental of premises</t>
  </si>
  <si>
    <t xml:space="preserve">       Salaries,allowances &amp; bonus</t>
  </si>
  <si>
    <t xml:space="preserve">       Utilities</t>
  </si>
  <si>
    <t xml:space="preserve">       Upkeep of office</t>
  </si>
  <si>
    <t xml:space="preserve">       R &amp; D expenses</t>
  </si>
  <si>
    <t xml:space="preserve">       Others:-</t>
  </si>
  <si>
    <t xml:space="preserve">       Advertisement</t>
  </si>
  <si>
    <t xml:space="preserve">       Entertainment</t>
  </si>
  <si>
    <t xml:space="preserve">       Printing and stationery</t>
  </si>
  <si>
    <t xml:space="preserve">       Tender fee</t>
  </si>
  <si>
    <t xml:space="preserve">       Travelling expenses</t>
  </si>
  <si>
    <t xml:space="preserve">       Upkeep of motor vehicle</t>
  </si>
  <si>
    <t xml:space="preserve">        Trade debtors</t>
  </si>
  <si>
    <t xml:space="preserve">        Cash and bank balances</t>
  </si>
  <si>
    <t xml:space="preserve">        Prepayments &amp; Deposits</t>
  </si>
  <si>
    <t xml:space="preserve">       Other creditors</t>
  </si>
  <si>
    <t xml:space="preserve">       Trade Creditors</t>
  </si>
  <si>
    <t xml:space="preserve">       Accruals</t>
  </si>
  <si>
    <t xml:space="preserve">       Share Premium Reserves</t>
  </si>
  <si>
    <t xml:space="preserve">       Retained Profit C/fwd</t>
  </si>
  <si>
    <t xml:space="preserve">       Share Capital ( Paid-up capital)</t>
  </si>
  <si>
    <t xml:space="preserve">       Long-term loans</t>
  </si>
  <si>
    <t xml:space="preserve">Long term liabilities </t>
  </si>
  <si>
    <t xml:space="preserve">       Cash receipts from customers</t>
  </si>
  <si>
    <t xml:space="preserve">       Cash paid to suppliers </t>
  </si>
  <si>
    <t xml:space="preserve">       Cash paid to operating expenses &amp; employees</t>
  </si>
  <si>
    <t xml:space="preserve">       Purchase of fixed assets</t>
  </si>
  <si>
    <t xml:space="preserve">       Research &amp; development </t>
  </si>
  <si>
    <t xml:space="preserve">        Issuance of share capital</t>
  </si>
  <si>
    <t xml:space="preserve">       Share Premium </t>
  </si>
  <si>
    <t xml:space="preserve">       Long term loan/borrowings (+)</t>
  </si>
  <si>
    <t xml:space="preserve">       Repayment of loan (-)</t>
  </si>
  <si>
    <t xml:space="preserve">       Interest income/(expense)</t>
  </si>
  <si>
    <t>F2 : Breakdown of Sales (RM)</t>
  </si>
  <si>
    <t>F1 : FINANCIAL PROJECTIONS (RM)</t>
  </si>
  <si>
    <t>F3 : Breakdown of Research &amp; Development (RM)</t>
  </si>
  <si>
    <r>
      <t xml:space="preserve">Less : </t>
    </r>
    <r>
      <rPr>
        <b/>
        <sz val="10"/>
        <rFont val="Times New Roman"/>
        <family val="1"/>
      </rPr>
      <t>Current Liabilities</t>
    </r>
  </si>
  <si>
    <t>Total R&amp;D</t>
  </si>
  <si>
    <t>Percentage of R&amp;D over Sales</t>
  </si>
  <si>
    <t>Tax Loss</t>
  </si>
  <si>
    <t>OpEx</t>
  </si>
  <si>
    <t>CapEx</t>
  </si>
  <si>
    <t>Total Export</t>
  </si>
  <si>
    <t>ROI</t>
  </si>
  <si>
    <t>Networth</t>
  </si>
  <si>
    <t xml:space="preserve">       Total G&amp;A</t>
  </si>
  <si>
    <t xml:space="preserve">       Total S&amp;M</t>
  </si>
  <si>
    <t>Table F2</t>
  </si>
  <si>
    <t>Table F3</t>
  </si>
  <si>
    <t>Table F4</t>
  </si>
  <si>
    <t>PROFIT / (LOSS) BEFORE TAXATION</t>
  </si>
  <si>
    <t>PROFIT / (LOSS) AFTER TAXATION</t>
  </si>
  <si>
    <t>Retained Profit / (Loss) For The Year</t>
  </si>
  <si>
    <t>Retained Profit / (Loss) B/fwd</t>
  </si>
  <si>
    <t>Retained Profit / (Loss) C/fwd</t>
  </si>
  <si>
    <r>
      <t>*</t>
    </r>
    <r>
      <rPr>
        <b/>
        <sz val="10"/>
        <rFont val="Times New Roman"/>
        <family val="1"/>
      </rPr>
      <t>Please do not fill-in the auto-linked "light green" coloured cells.</t>
    </r>
  </si>
  <si>
    <r>
      <t xml:space="preserve">1. </t>
    </r>
    <r>
      <rPr>
        <b/>
        <i/>
        <sz val="10"/>
        <rFont val="Times New Roman"/>
        <family val="1"/>
      </rPr>
      <t>Sales</t>
    </r>
    <r>
      <rPr>
        <sz val="10"/>
        <rFont val="Times New Roman"/>
        <family val="1"/>
      </rPr>
      <t xml:space="preserve"> are defined as proceeds which is derived from the provision of goods and/or services falling </t>
    </r>
  </si>
  <si>
    <r>
      <t>2.</t>
    </r>
    <r>
      <rPr>
        <b/>
        <i/>
        <sz val="10"/>
        <rFont val="Times New Roman"/>
        <family val="1"/>
      </rPr>
      <t xml:space="preserve"> Net profit (loss) before tax</t>
    </r>
    <r>
      <rPr>
        <sz val="10"/>
        <rFont val="Times New Roman"/>
        <family val="1"/>
      </rPr>
      <t xml:space="preserve"> is defined as profit or loss on qualified MSC activities before taxation.</t>
    </r>
  </si>
  <si>
    <r>
      <t xml:space="preserve">3. </t>
    </r>
    <r>
      <rPr>
        <b/>
        <i/>
        <sz val="10"/>
        <rFont val="Times New Roman"/>
        <family val="1"/>
      </rPr>
      <t>Net Operating cash flow</t>
    </r>
    <r>
      <rPr>
        <sz val="10"/>
        <rFont val="Times New Roman"/>
        <family val="1"/>
      </rPr>
      <t xml:space="preserve"> is defined as the net amounts of cash flowing in and out of business during </t>
    </r>
  </si>
  <si>
    <r>
      <t>4.</t>
    </r>
    <r>
      <rPr>
        <b/>
        <i/>
        <sz val="10"/>
        <rFont val="Times New Roman"/>
        <family val="1"/>
      </rPr>
      <t xml:space="preserve"> Liquid Assets</t>
    </r>
    <r>
      <rPr>
        <sz val="10"/>
        <rFont val="Times New Roman"/>
        <family val="1"/>
      </rPr>
      <t xml:space="preserve"> is defined as cash or bank balance and is a component of Current Assets.</t>
    </r>
  </si>
  <si>
    <r>
      <t xml:space="preserve">5. </t>
    </r>
    <r>
      <rPr>
        <b/>
        <i/>
        <sz val="10"/>
        <rFont val="Times New Roman"/>
        <family val="1"/>
      </rPr>
      <t>Stocks</t>
    </r>
    <r>
      <rPr>
        <sz val="10"/>
        <rFont val="Times New Roman"/>
        <family val="1"/>
      </rPr>
      <t xml:space="preserve"> is defined as the goods and materials a company purchases to re-sell at a profit for the </t>
    </r>
  </si>
  <si>
    <r>
      <t xml:space="preserve">6. </t>
    </r>
    <r>
      <rPr>
        <b/>
        <i/>
        <sz val="10"/>
        <rFont val="Times New Roman"/>
        <family val="1"/>
      </rPr>
      <t>Trade Debtors</t>
    </r>
    <r>
      <rPr>
        <sz val="10"/>
        <rFont val="Times New Roman"/>
        <family val="1"/>
      </rPr>
      <t xml:space="preserve"> is defined as receivables that arise as a result of the process of selling inventory</t>
    </r>
  </si>
  <si>
    <r>
      <t xml:space="preserve">7. </t>
    </r>
    <r>
      <rPr>
        <b/>
        <i/>
        <sz val="10"/>
        <rFont val="Times New Roman"/>
        <family val="1"/>
      </rPr>
      <t>Current Assets</t>
    </r>
    <r>
      <rPr>
        <sz val="10"/>
        <rFont val="Times New Roman"/>
        <family val="1"/>
      </rPr>
      <t xml:space="preserve"> are those which matures in less than one year and are intended for use on a </t>
    </r>
  </si>
  <si>
    <r>
      <t xml:space="preserve">8. </t>
    </r>
    <r>
      <rPr>
        <b/>
        <i/>
        <sz val="10"/>
        <rFont val="Times New Roman"/>
        <family val="1"/>
      </rPr>
      <t>Fixed Assets</t>
    </r>
    <r>
      <rPr>
        <sz val="10"/>
        <rFont val="Times New Roman"/>
        <family val="1"/>
      </rPr>
      <t xml:space="preserve"> represent the use of cash to purchase physical assets whose life exceeds one year for</t>
    </r>
  </si>
  <si>
    <r>
      <t>9.</t>
    </r>
    <r>
      <rPr>
        <b/>
        <i/>
        <sz val="10"/>
        <rFont val="Times New Roman"/>
        <family val="1"/>
      </rPr>
      <t xml:space="preserve"> Current Liabilities</t>
    </r>
    <r>
      <rPr>
        <sz val="10"/>
        <rFont val="Times New Roman"/>
        <family val="1"/>
      </rPr>
      <t xml:space="preserve"> is defined as short term financial resources acquired for the use and support of </t>
    </r>
  </si>
  <si>
    <r>
      <t>10.</t>
    </r>
    <r>
      <rPr>
        <b/>
        <i/>
        <sz val="10"/>
        <rFont val="Times New Roman"/>
        <family val="1"/>
      </rPr>
      <t xml:space="preserve"> Long-term Liabilities</t>
    </r>
    <r>
      <rPr>
        <sz val="10"/>
        <rFont val="Times New Roman"/>
        <family val="1"/>
      </rPr>
      <t xml:space="preserve"> is defined as long term financial resources acquired for the use and support of </t>
    </r>
  </si>
  <si>
    <r>
      <t>11.</t>
    </r>
    <r>
      <rPr>
        <b/>
        <i/>
        <sz val="10"/>
        <rFont val="Times New Roman"/>
        <family val="1"/>
      </rPr>
      <t xml:space="preserve"> Paid-up-capital</t>
    </r>
    <r>
      <rPr>
        <sz val="10"/>
        <rFont val="Times New Roman"/>
        <family val="1"/>
      </rPr>
      <t xml:space="preserve"> is defined as cash injection by shareholders into the company to support the qualified </t>
    </r>
  </si>
  <si>
    <r>
      <t xml:space="preserve">12. </t>
    </r>
    <r>
      <rPr>
        <b/>
        <i/>
        <sz val="10"/>
        <rFont val="Times New Roman"/>
        <family val="1"/>
      </rPr>
      <t xml:space="preserve">Research &amp; Development </t>
    </r>
    <r>
      <rPr>
        <sz val="10"/>
        <rFont val="Times New Roman"/>
        <family val="1"/>
      </rPr>
      <t>refers  to contribution towards the development of the MSC activities.</t>
    </r>
  </si>
  <si>
    <r>
      <t xml:space="preserve">* </t>
    </r>
    <r>
      <rPr>
        <b/>
        <i/>
        <sz val="10"/>
        <rFont val="Times New Roman"/>
        <family val="1"/>
      </rPr>
      <t>R&amp;D staff salaries</t>
    </r>
    <r>
      <rPr>
        <sz val="10"/>
        <rFont val="Times New Roman"/>
        <family val="1"/>
      </rPr>
      <t xml:space="preserve"> relates to foreign and local employees or contract staff actually performing the R&amp;D</t>
    </r>
  </si>
  <si>
    <r>
      <t xml:space="preserve">* </t>
    </r>
    <r>
      <rPr>
        <b/>
        <i/>
        <sz val="10"/>
        <rFont val="Times New Roman"/>
        <family val="1"/>
      </rPr>
      <t>Technology Acquisition - Hardware</t>
    </r>
    <r>
      <rPr>
        <sz val="10"/>
        <rFont val="Times New Roman"/>
        <family val="1"/>
      </rPr>
      <t xml:space="preserve"> relates to costs of capital expenditure which are directly</t>
    </r>
  </si>
  <si>
    <r>
      <t xml:space="preserve">* </t>
    </r>
    <r>
      <rPr>
        <b/>
        <i/>
        <sz val="10"/>
        <rFont val="Times New Roman"/>
        <family val="1"/>
      </rPr>
      <t>Technology Acquisition - Software</t>
    </r>
    <r>
      <rPr>
        <sz val="10"/>
        <rFont val="Times New Roman"/>
        <family val="1"/>
      </rPr>
      <t xml:space="preserve"> relates to direct costs of items or materials which are directly </t>
    </r>
  </si>
  <si>
    <r>
      <t xml:space="preserve">* </t>
    </r>
    <r>
      <rPr>
        <b/>
        <i/>
        <sz val="10"/>
        <rFont val="Times New Roman"/>
        <family val="1"/>
      </rPr>
      <t>Prototypes</t>
    </r>
    <r>
      <rPr>
        <sz val="10"/>
        <rFont val="Times New Roman"/>
        <family val="1"/>
      </rPr>
      <t xml:space="preserve"> includes directs costs of constructing, assembling, or re-working prototype units.</t>
    </r>
  </si>
  <si>
    <r>
      <t xml:space="preserve">* </t>
    </r>
    <r>
      <rPr>
        <b/>
        <i/>
        <sz val="10"/>
        <rFont val="Times New Roman"/>
        <family val="1"/>
      </rPr>
      <t>Consumables / Incidental Costs</t>
    </r>
    <r>
      <rPr>
        <sz val="10"/>
        <rFont val="Times New Roman"/>
        <family val="1"/>
      </rPr>
      <t>. These costs includes:-</t>
    </r>
  </si>
  <si>
    <r>
      <t xml:space="preserve">13. </t>
    </r>
    <r>
      <rPr>
        <b/>
        <i/>
        <sz val="10"/>
        <rFont val="Times New Roman"/>
        <family val="1"/>
      </rPr>
      <t>Networth</t>
    </r>
    <r>
      <rPr>
        <sz val="10"/>
        <rFont val="Times New Roman"/>
        <family val="1"/>
      </rPr>
      <t xml:space="preserve"> comprises of shareholder's investments into the company which refers to the sum of    </t>
    </r>
  </si>
  <si>
    <r>
      <t xml:space="preserve">R&amp;D Investment </t>
    </r>
    <r>
      <rPr>
        <i/>
        <sz val="10"/>
        <rFont val="Times New Roman"/>
        <family val="1"/>
      </rPr>
      <t>( at cost)</t>
    </r>
  </si>
  <si>
    <r>
      <t xml:space="preserve">Networth </t>
    </r>
    <r>
      <rPr>
        <i/>
        <sz val="10"/>
        <rFont val="Times New Roman"/>
        <family val="1"/>
      </rPr>
      <t>( cumulative )</t>
    </r>
  </si>
  <si>
    <r>
      <t xml:space="preserve">Sales  </t>
    </r>
    <r>
      <rPr>
        <i/>
        <sz val="10"/>
        <rFont val="Times New Roman"/>
        <family val="1"/>
      </rPr>
      <t>(Local)</t>
    </r>
  </si>
  <si>
    <r>
      <t>Sales  (</t>
    </r>
    <r>
      <rPr>
        <i/>
        <sz val="10"/>
        <rFont val="Times New Roman"/>
        <family val="1"/>
      </rPr>
      <t>Exports)</t>
    </r>
  </si>
  <si>
    <r>
      <t>Others:-</t>
    </r>
    <r>
      <rPr>
        <b/>
        <i/>
        <sz val="10"/>
        <rFont val="Times New Roman"/>
        <family val="1"/>
      </rPr>
      <t>(please specify)</t>
    </r>
  </si>
  <si>
    <t>Rental of Premises</t>
  </si>
  <si>
    <t>Back to :-</t>
  </si>
  <si>
    <t>P&amp;L</t>
  </si>
  <si>
    <t>Cash Flow</t>
  </si>
  <si>
    <t>B Sheet</t>
  </si>
  <si>
    <t>Intro</t>
  </si>
  <si>
    <t>Back to</t>
  </si>
  <si>
    <t>ProfitLoss</t>
  </si>
  <si>
    <t>Back to P&amp;L</t>
  </si>
  <si>
    <t>Back to Balance Sheet</t>
  </si>
  <si>
    <t xml:space="preserve">        Stocks (non-tradeable)</t>
  </si>
  <si>
    <t xml:space="preserve">       Short Term Loans</t>
  </si>
  <si>
    <t>Throughout this template, additional information / instruction can be found in the cell marked with the red triangle on the top righthand corner.</t>
  </si>
  <si>
    <t>The coloured item contains hyperlink to different relevant section of the financial projection.</t>
  </si>
  <si>
    <t>Balance Sheet</t>
  </si>
  <si>
    <t xml:space="preserve">Back to </t>
  </si>
  <si>
    <t>RATIO ANALYSIS</t>
  </si>
  <si>
    <t xml:space="preserve">       Dividend Paid (-)</t>
  </si>
  <si>
    <t>Asset turnover (times)</t>
  </si>
  <si>
    <t>Current ratio ( xx : 1)</t>
  </si>
  <si>
    <t>Quick ratio/Acid test ratio ( xx : 1)</t>
  </si>
  <si>
    <t>Gearing ratio ( xx : 1)</t>
  </si>
  <si>
    <t>Interest cover ( times)</t>
  </si>
  <si>
    <t>Earnings per share (RM)</t>
  </si>
  <si>
    <t>Dividend cover ( times )</t>
  </si>
  <si>
    <t>Profitibility:</t>
  </si>
  <si>
    <t>Liquidity:</t>
  </si>
  <si>
    <t>Financing:</t>
  </si>
  <si>
    <t>Investment:</t>
  </si>
  <si>
    <t xml:space="preserve">Gross profit </t>
  </si>
  <si>
    <t xml:space="preserve">Net profit </t>
  </si>
  <si>
    <r>
      <t xml:space="preserve">Stocks </t>
    </r>
    <r>
      <rPr>
        <i/>
        <sz val="10"/>
        <rFont val="Times New Roman"/>
        <family val="1"/>
      </rPr>
      <t>( Inventory)</t>
    </r>
  </si>
  <si>
    <r>
      <t xml:space="preserve">Fixed Assets </t>
    </r>
    <r>
      <rPr>
        <i/>
        <sz val="10"/>
        <rFont val="Times New Roman"/>
        <family val="1"/>
      </rPr>
      <t>(net)</t>
    </r>
  </si>
  <si>
    <r>
      <t>--Others:-</t>
    </r>
    <r>
      <rPr>
        <i/>
        <sz val="10"/>
        <rFont val="Times New Roman"/>
        <family val="1"/>
      </rPr>
      <t>(please specify)</t>
    </r>
  </si>
  <si>
    <t>Cost of Sales</t>
  </si>
  <si>
    <t>less: COST OF SALES</t>
  </si>
  <si>
    <t xml:space="preserve">       Grant</t>
  </si>
  <si>
    <t>Grant</t>
  </si>
  <si>
    <t>Brought fwd</t>
  </si>
  <si>
    <t>P&amp;L (Other Income)</t>
  </si>
  <si>
    <t>No.of years to amortised</t>
  </si>
  <si>
    <t>carried fwd</t>
  </si>
  <si>
    <t xml:space="preserve">       Grants</t>
  </si>
  <si>
    <t>First Drawdown</t>
  </si>
  <si>
    <t>Second Drawdown</t>
  </si>
  <si>
    <t>Third Drawdown</t>
  </si>
  <si>
    <t>9.</t>
  </si>
  <si>
    <t>Period covered in 1st. Year (months)</t>
  </si>
  <si>
    <r>
      <t xml:space="preserve">Table F2: Breakdown of Revenue - The table is to show the source of revenue generation for the company. The revenue stream/s should be the same as the company's proposed MSC activities described in the business plan. Further working calculation of the revenue streams are necessary and kindly provide the workings in </t>
    </r>
    <r>
      <rPr>
        <b/>
        <sz val="10"/>
        <rFont val="Times New Roman"/>
        <family val="1"/>
      </rPr>
      <t>"Notes"</t>
    </r>
    <r>
      <rPr>
        <sz val="10"/>
        <rFont val="Times New Roman"/>
        <family val="1"/>
      </rPr>
      <t xml:space="preserve"> tab. </t>
    </r>
  </si>
  <si>
    <t>Dear Esteemed Clients,</t>
  </si>
  <si>
    <t>Please proceed with the instructions below. Thank you.</t>
  </si>
  <si>
    <t>Should you need any assistance in preparing this financial projection, our contact are as follow</t>
  </si>
  <si>
    <t>Mohd. Zaffri Basir</t>
  </si>
  <si>
    <t>Yong Chi Kin</t>
  </si>
  <si>
    <t>zaffri@mdc.com.my</t>
  </si>
  <si>
    <t>chikin@mdc.com.my</t>
  </si>
  <si>
    <t>Kindly key-in the applying company's name below in the yellow-coloured cell below.</t>
  </si>
  <si>
    <t>the financial projection for the application.</t>
  </si>
  <si>
    <t xml:space="preserve">Thank you for your interest in obtaining the MSC status for your company. We will assist you in preparing </t>
  </si>
  <si>
    <t>Back To Instructions</t>
  </si>
  <si>
    <t>Please state all the assumptions and important calculations used in the projections in "Notes" tab.</t>
  </si>
  <si>
    <r>
      <t xml:space="preserve">Please </t>
    </r>
    <r>
      <rPr>
        <b/>
        <sz val="10"/>
        <rFont val="Times New Roman"/>
        <family val="1"/>
      </rPr>
      <t>do not add or remove any row</t>
    </r>
    <r>
      <rPr>
        <sz val="10"/>
        <rFont val="Times New Roman"/>
        <family val="1"/>
      </rPr>
      <t xml:space="preserve"> to/from the financial templates (5 sheets mentioned above in note 1) as this will affect the other tabs, which will result in failure to process the application accordingly. </t>
    </r>
    <r>
      <rPr>
        <b/>
        <sz val="10"/>
        <rFont val="Times New Roman"/>
        <family val="1"/>
      </rPr>
      <t>However,</t>
    </r>
    <r>
      <rPr>
        <sz val="10"/>
        <rFont val="Times New Roman"/>
        <family val="1"/>
      </rPr>
      <t xml:space="preserve"> you are </t>
    </r>
    <r>
      <rPr>
        <b/>
        <sz val="10"/>
        <rFont val="Times New Roman"/>
        <family val="1"/>
      </rPr>
      <t>allowed to change</t>
    </r>
    <r>
      <rPr>
        <sz val="10"/>
        <rFont val="Times New Roman"/>
        <family val="1"/>
      </rPr>
      <t xml:space="preserve"> the description/s of the expenses to be more reflective on your business actvities.</t>
    </r>
  </si>
  <si>
    <t>For easy printing of all the pages, press "Ctrl" + "Shift" simultaneously and and without releasing it, click on the sheet/tab you want to print. Then, click on "Print".</t>
  </si>
  <si>
    <t xml:space="preserve">       Debenture</t>
  </si>
  <si>
    <t xml:space="preserve">       Salaries and commissions</t>
  </si>
  <si>
    <t xml:space="preserve">        Investment</t>
  </si>
  <si>
    <t>Investment</t>
  </si>
  <si>
    <t>03-8315 3171</t>
  </si>
  <si>
    <t>03-8315 3178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</si>
</sst>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9" formatCode="_(* #,##0_);_(* \(#,##0\);_(* &quot;-&quot;_);_(@_)"/>
    <numFmt numFmtId="171" formatCode="_(* #,##0.00_);_(* \(#,##0.00\);_(* &quot;-&quot;??_);_(@_)"/>
    <numFmt numFmtId="179" formatCode="_(* #,##0_);_(* \(#,##0\);_(* &quot;-&quot;??_);_(@_)"/>
    <numFmt numFmtId="184" formatCode="#,##0.0_);[Red]\(#,##0.0\)"/>
  </numFmts>
  <fonts count="15" x14ac:knownFonts="1">
    <font>
      <sz val="10"/>
      <name val="Arial"/>
    </font>
    <font>
      <sz val="10"/>
      <name val="Arial"/>
      <family val="2"/>
    </font>
    <font>
      <b/>
      <sz val="10"/>
      <name val="Times New Roman"/>
      <family val="1"/>
    </font>
    <font>
      <sz val="10"/>
      <name val="Times New Roman"/>
      <family val="1"/>
    </font>
    <font>
      <i/>
      <sz val="10"/>
      <name val="Times New Roman"/>
      <family val="1"/>
    </font>
    <font>
      <b/>
      <u/>
      <sz val="10"/>
      <name val="Times New Roman"/>
      <family val="1"/>
    </font>
    <font>
      <u/>
      <sz val="8"/>
      <color indexed="12"/>
      <name val="Arial"/>
      <family val="2"/>
    </font>
    <font>
      <sz val="8"/>
      <color indexed="81"/>
      <name val="Tahoma"/>
      <family val="2"/>
    </font>
    <font>
      <b/>
      <i/>
      <sz val="10"/>
      <name val="Times New Roman"/>
      <family val="1"/>
    </font>
    <font>
      <b/>
      <sz val="10"/>
      <color indexed="12"/>
      <name val="Times New Roman"/>
      <family val="1"/>
    </font>
    <font>
      <sz val="10"/>
      <color indexed="63"/>
      <name val="Times New Roman"/>
      <family val="1"/>
    </font>
    <font>
      <sz val="10"/>
      <color indexed="9"/>
      <name val="Times New Roman"/>
      <family val="1"/>
    </font>
    <font>
      <u/>
      <sz val="10"/>
      <name val="Times New Roman"/>
      <family val="1"/>
    </font>
    <font>
      <b/>
      <sz val="10"/>
      <color indexed="10"/>
      <name val="Times New Roman"/>
      <family val="1"/>
    </font>
    <font>
      <sz val="10"/>
      <color indexed="12"/>
      <name val="Times New Roman"/>
      <family val="1"/>
    </font>
  </fonts>
  <fills count="9">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indexed="40"/>
        <bgColor indexed="64"/>
      </patternFill>
    </fill>
    <fill>
      <patternFill patternType="solid">
        <fgColor indexed="47"/>
        <bgColor indexed="64"/>
      </patternFill>
    </fill>
    <fill>
      <patternFill patternType="solid">
        <fgColor indexed="9"/>
        <bgColor indexed="64"/>
      </patternFill>
    </fill>
    <fill>
      <patternFill patternType="solid">
        <fgColor indexed="22"/>
        <bgColor indexed="64"/>
      </patternFill>
    </fill>
    <fill>
      <patternFill patternType="solid">
        <fgColor indexed="55"/>
        <bgColor indexed="64"/>
      </patternFill>
    </fill>
  </fills>
  <borders count="32">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double">
        <color indexed="64"/>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30"/>
      </left>
      <right style="thin">
        <color indexed="8"/>
      </right>
      <top style="thin">
        <color indexed="30"/>
      </top>
      <bottom style="thin">
        <color indexed="30"/>
      </bottom>
      <diagonal/>
    </border>
    <border>
      <left/>
      <right style="thin">
        <color indexed="30"/>
      </right>
      <top style="thin">
        <color indexed="30"/>
      </top>
      <bottom style="thin">
        <color indexed="30"/>
      </bottom>
      <diagonal/>
    </border>
    <border>
      <left style="thin">
        <color indexed="30"/>
      </left>
      <right style="thin">
        <color indexed="8"/>
      </right>
      <top style="thin">
        <color indexed="30"/>
      </top>
      <bottom style="thin">
        <color indexed="8"/>
      </bottom>
      <diagonal/>
    </border>
    <border>
      <left style="thin">
        <color indexed="8"/>
      </left>
      <right style="thin">
        <color indexed="30"/>
      </right>
      <top style="thin">
        <color indexed="30"/>
      </top>
      <bottom style="thin">
        <color indexed="8"/>
      </bottom>
      <diagonal/>
    </border>
    <border>
      <left style="thin">
        <color indexed="30"/>
      </left>
      <right style="thin">
        <color indexed="8"/>
      </right>
      <top style="thin">
        <color indexed="8"/>
      </top>
      <bottom style="thin">
        <color indexed="8"/>
      </bottom>
      <diagonal/>
    </border>
    <border>
      <left style="thin">
        <color indexed="8"/>
      </left>
      <right style="thin">
        <color indexed="30"/>
      </right>
      <top style="thin">
        <color indexed="8"/>
      </top>
      <bottom style="thin">
        <color indexed="8"/>
      </bottom>
      <diagonal/>
    </border>
    <border>
      <left style="thin">
        <color indexed="30"/>
      </left>
      <right style="thin">
        <color indexed="8"/>
      </right>
      <top style="thin">
        <color indexed="8"/>
      </top>
      <bottom style="thin">
        <color indexed="30"/>
      </bottom>
      <diagonal/>
    </border>
    <border>
      <left style="thin">
        <color indexed="8"/>
      </left>
      <right style="thin">
        <color indexed="30"/>
      </right>
      <top style="thin">
        <color indexed="8"/>
      </top>
      <bottom style="thin">
        <color indexed="30"/>
      </bottom>
      <diagonal/>
    </border>
    <border>
      <left style="thin">
        <color indexed="30"/>
      </left>
      <right/>
      <top style="thin">
        <color indexed="30"/>
      </top>
      <bottom/>
      <diagonal/>
    </border>
    <border>
      <left/>
      <right/>
      <top style="thin">
        <color indexed="30"/>
      </top>
      <bottom/>
      <diagonal/>
    </border>
    <border>
      <left style="thin">
        <color indexed="30"/>
      </left>
      <right/>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0" fontId="6" fillId="0" borderId="0" applyNumberFormat="0" applyFill="0" applyBorder="0" applyAlignment="0" applyProtection="0">
      <alignment vertical="top"/>
      <protection locked="0"/>
    </xf>
    <xf numFmtId="9" fontId="1" fillId="0" borderId="0" applyFont="0" applyFill="0" applyBorder="0" applyAlignment="0" applyProtection="0"/>
  </cellStyleXfs>
  <cellXfs count="198">
    <xf numFmtId="0" fontId="0" fillId="0" borderId="0" xfId="0"/>
    <xf numFmtId="179" fontId="3" fillId="0" borderId="0" xfId="1" applyNumberFormat="1" applyFont="1"/>
    <xf numFmtId="179" fontId="3" fillId="0" borderId="0" xfId="1" applyNumberFormat="1" applyFont="1" applyAlignment="1">
      <alignment horizontal="center"/>
    </xf>
    <xf numFmtId="0" fontId="3" fillId="0" borderId="0" xfId="0" applyFont="1"/>
    <xf numFmtId="0" fontId="3" fillId="0" borderId="0" xfId="0" applyFont="1" applyAlignment="1">
      <alignment horizontal="left"/>
    </xf>
    <xf numFmtId="0" fontId="2" fillId="0" borderId="0" xfId="0" applyFont="1"/>
    <xf numFmtId="37" fontId="3" fillId="0" borderId="0" xfId="1" applyNumberFormat="1" applyFont="1" applyAlignment="1">
      <alignment horizontal="right"/>
    </xf>
    <xf numFmtId="37" fontId="3" fillId="0" borderId="0" xfId="0" applyNumberFormat="1" applyFont="1" applyAlignment="1">
      <alignment horizontal="right"/>
    </xf>
    <xf numFmtId="37" fontId="3" fillId="2" borderId="0" xfId="0" applyNumberFormat="1" applyFont="1" applyFill="1" applyAlignment="1">
      <alignment horizontal="right"/>
    </xf>
    <xf numFmtId="37" fontId="3" fillId="2" borderId="0" xfId="1" applyNumberFormat="1" applyFont="1" applyFill="1" applyAlignment="1">
      <alignment horizontal="right"/>
    </xf>
    <xf numFmtId="37" fontId="3" fillId="3" borderId="0" xfId="0" applyNumberFormat="1" applyFont="1" applyFill="1" applyAlignment="1">
      <alignment horizontal="right"/>
    </xf>
    <xf numFmtId="37" fontId="3" fillId="3" borderId="0" xfId="1" applyNumberFormat="1" applyFont="1" applyFill="1" applyAlignment="1">
      <alignment horizontal="right"/>
    </xf>
    <xf numFmtId="0" fontId="3" fillId="0" borderId="0" xfId="0" quotePrefix="1" applyFont="1" applyAlignment="1">
      <alignment horizontal="left"/>
    </xf>
    <xf numFmtId="0" fontId="2" fillId="3" borderId="0" xfId="0" applyFont="1" applyFill="1" applyAlignment="1">
      <alignment horizontal="center"/>
    </xf>
    <xf numFmtId="9" fontId="3" fillId="2" borderId="0" xfId="0" applyNumberFormat="1" applyFont="1" applyFill="1" applyAlignment="1">
      <alignment horizontal="center"/>
    </xf>
    <xf numFmtId="0" fontId="3" fillId="0" borderId="0" xfId="0" quotePrefix="1" applyFont="1"/>
    <xf numFmtId="9" fontId="2" fillId="3" borderId="0" xfId="0" applyNumberFormat="1" applyFont="1" applyFill="1" applyAlignment="1">
      <alignment horizontal="center"/>
    </xf>
    <xf numFmtId="37" fontId="3" fillId="0" borderId="0" xfId="0" applyNumberFormat="1" applyFont="1"/>
    <xf numFmtId="0" fontId="2" fillId="0" borderId="0" xfId="0" applyFont="1" applyAlignment="1">
      <alignment horizontal="center"/>
    </xf>
    <xf numFmtId="37" fontId="3" fillId="3" borderId="0" xfId="0" applyNumberFormat="1" applyFont="1" applyFill="1"/>
    <xf numFmtId="9" fontId="2" fillId="3" borderId="0" xfId="3" applyFont="1" applyFill="1" applyAlignment="1">
      <alignment horizontal="center"/>
    </xf>
    <xf numFmtId="37" fontId="2" fillId="0" borderId="1" xfId="0" applyNumberFormat="1" applyFont="1" applyBorder="1"/>
    <xf numFmtId="37" fontId="2" fillId="0" borderId="0" xfId="0" applyNumberFormat="1" applyFont="1" applyBorder="1"/>
    <xf numFmtId="0" fontId="5" fillId="0" borderId="0" xfId="0" applyFont="1"/>
    <xf numFmtId="9" fontId="2" fillId="2" borderId="0" xfId="0" applyNumberFormat="1" applyFont="1" applyFill="1" applyAlignment="1">
      <alignment horizontal="center"/>
    </xf>
    <xf numFmtId="0" fontId="2" fillId="2" borderId="0" xfId="0" applyFont="1" applyFill="1" applyAlignment="1">
      <alignment horizontal="center"/>
    </xf>
    <xf numFmtId="0" fontId="3" fillId="3" borderId="0" xfId="0" applyFont="1" applyFill="1" applyAlignment="1">
      <alignment horizontal="right"/>
    </xf>
    <xf numFmtId="0" fontId="3" fillId="0" borderId="2" xfId="0" applyFont="1" applyBorder="1" applyAlignment="1">
      <alignment horizontal="center" vertical="top"/>
    </xf>
    <xf numFmtId="0" fontId="3" fillId="0" borderId="2" xfId="0" applyFont="1" applyBorder="1"/>
    <xf numFmtId="0" fontId="3" fillId="0" borderId="2" xfId="0" applyFont="1" applyBorder="1" applyAlignment="1">
      <alignment vertical="top"/>
    </xf>
    <xf numFmtId="0" fontId="2" fillId="0" borderId="0" xfId="0" applyFont="1" applyFill="1"/>
    <xf numFmtId="0" fontId="2" fillId="4" borderId="3" xfId="0" applyFont="1" applyFill="1" applyBorder="1" applyAlignment="1">
      <alignment horizontal="centerContinuous"/>
    </xf>
    <xf numFmtId="0" fontId="2" fillId="4" borderId="4" xfId="0" applyFont="1" applyFill="1" applyBorder="1" applyAlignment="1">
      <alignment horizontal="centerContinuous"/>
    </xf>
    <xf numFmtId="0" fontId="2" fillId="4" borderId="5" xfId="0" applyFont="1" applyFill="1" applyBorder="1" applyAlignment="1">
      <alignment horizontal="centerContinuous"/>
    </xf>
    <xf numFmtId="0" fontId="3" fillId="0" borderId="0" xfId="0" applyFont="1" applyAlignment="1">
      <alignment horizontal="center"/>
    </xf>
    <xf numFmtId="37" fontId="2" fillId="2" borderId="6" xfId="1" applyNumberFormat="1" applyFont="1" applyFill="1" applyBorder="1" applyAlignment="1">
      <alignment horizontal="right"/>
    </xf>
    <xf numFmtId="37" fontId="3" fillId="0" borderId="0" xfId="1" applyNumberFormat="1" applyFont="1" applyFill="1" applyAlignment="1">
      <alignment horizontal="right"/>
    </xf>
    <xf numFmtId="37" fontId="2" fillId="2" borderId="7" xfId="1" applyNumberFormat="1" applyFont="1" applyFill="1" applyBorder="1" applyAlignment="1">
      <alignment horizontal="right"/>
    </xf>
    <xf numFmtId="37" fontId="9" fillId="2" borderId="0" xfId="0" applyNumberFormat="1" applyFont="1" applyFill="1" applyBorder="1" applyAlignment="1">
      <alignment horizontal="right"/>
    </xf>
    <xf numFmtId="37" fontId="9" fillId="2" borderId="8" xfId="0" applyNumberFormat="1" applyFont="1" applyFill="1" applyBorder="1" applyAlignment="1">
      <alignment horizontal="right"/>
    </xf>
    <xf numFmtId="37" fontId="3" fillId="3" borderId="0" xfId="0" applyNumberFormat="1" applyFont="1" applyFill="1" applyBorder="1"/>
    <xf numFmtId="37" fontId="2" fillId="2" borderId="0" xfId="0" applyNumberFormat="1" applyFont="1" applyFill="1" applyBorder="1"/>
    <xf numFmtId="37" fontId="3" fillId="0" borderId="0" xfId="0" applyNumberFormat="1" applyFont="1" applyBorder="1"/>
    <xf numFmtId="37" fontId="2" fillId="3" borderId="0" xfId="0" applyNumberFormat="1" applyFont="1" applyFill="1" applyBorder="1"/>
    <xf numFmtId="37" fontId="2" fillId="2" borderId="9" xfId="0" applyNumberFormat="1" applyFont="1" applyFill="1" applyBorder="1"/>
    <xf numFmtId="37" fontId="3" fillId="2" borderId="0" xfId="1" applyNumberFormat="1" applyFont="1" applyFill="1" applyBorder="1" applyAlignment="1">
      <alignment horizontal="right"/>
    </xf>
    <xf numFmtId="37" fontId="3" fillId="3" borderId="0" xfId="1" applyNumberFormat="1" applyFont="1" applyFill="1" applyBorder="1" applyAlignment="1">
      <alignment horizontal="right"/>
    </xf>
    <xf numFmtId="37" fontId="3" fillId="0" borderId="0" xfId="1" applyNumberFormat="1" applyFont="1" applyBorder="1" applyAlignment="1">
      <alignment horizontal="right"/>
    </xf>
    <xf numFmtId="37" fontId="2" fillId="2" borderId="0" xfId="1" applyNumberFormat="1" applyFont="1" applyFill="1" applyAlignment="1">
      <alignment horizontal="right"/>
    </xf>
    <xf numFmtId="37" fontId="9" fillId="2" borderId="9" xfId="1" applyNumberFormat="1" applyFont="1" applyFill="1" applyBorder="1" applyAlignment="1">
      <alignment horizontal="right"/>
    </xf>
    <xf numFmtId="37" fontId="9" fillId="0" borderId="0" xfId="1" applyNumberFormat="1" applyFont="1" applyBorder="1" applyAlignment="1">
      <alignment horizontal="right"/>
    </xf>
    <xf numFmtId="37" fontId="3" fillId="2" borderId="7" xfId="1" applyNumberFormat="1" applyFont="1" applyFill="1" applyBorder="1" applyAlignment="1">
      <alignment horizontal="right"/>
    </xf>
    <xf numFmtId="179" fontId="2" fillId="0" borderId="0" xfId="1" applyNumberFormat="1" applyFont="1"/>
    <xf numFmtId="37" fontId="10" fillId="2" borderId="0" xfId="1" applyNumberFormat="1" applyFont="1" applyFill="1" applyAlignment="1">
      <alignment horizontal="right"/>
    </xf>
    <xf numFmtId="179" fontId="8" fillId="0" borderId="0" xfId="1" applyNumberFormat="1" applyFont="1"/>
    <xf numFmtId="37" fontId="2" fillId="0" borderId="0" xfId="1" applyNumberFormat="1" applyFont="1" applyBorder="1" applyAlignment="1">
      <alignment horizontal="right"/>
    </xf>
    <xf numFmtId="37" fontId="9" fillId="2" borderId="8" xfId="1" applyNumberFormat="1" applyFont="1" applyFill="1" applyBorder="1" applyAlignment="1">
      <alignment horizontal="right"/>
    </xf>
    <xf numFmtId="0" fontId="3" fillId="0" borderId="2" xfId="0" applyFont="1" applyBorder="1" applyAlignment="1">
      <alignment horizontal="center"/>
    </xf>
    <xf numFmtId="0" fontId="8" fillId="0" borderId="0" xfId="0" applyFont="1"/>
    <xf numFmtId="0" fontId="3" fillId="0" borderId="0" xfId="0" applyFont="1" applyAlignment="1"/>
    <xf numFmtId="0" fontId="3" fillId="5" borderId="0" xfId="0" applyFont="1" applyFill="1" applyAlignment="1"/>
    <xf numFmtId="184" fontId="3" fillId="0" borderId="0" xfId="0" applyNumberFormat="1" applyFont="1" applyAlignment="1">
      <alignment horizontal="center"/>
    </xf>
    <xf numFmtId="40" fontId="3" fillId="0" borderId="0" xfId="0" applyNumberFormat="1" applyFont="1" applyAlignment="1">
      <alignment horizontal="center"/>
    </xf>
    <xf numFmtId="0" fontId="3" fillId="0" borderId="0" xfId="0" applyFont="1" applyBorder="1" applyAlignment="1"/>
    <xf numFmtId="0" fontId="3" fillId="0" borderId="0" xfId="0" applyFont="1" applyBorder="1" applyAlignment="1">
      <alignment horizontal="center"/>
    </xf>
    <xf numFmtId="0" fontId="3" fillId="0" borderId="3" xfId="0" applyFont="1" applyBorder="1" applyAlignment="1"/>
    <xf numFmtId="0" fontId="3" fillId="0" borderId="4" xfId="0" applyFont="1" applyBorder="1" applyAlignment="1"/>
    <xf numFmtId="38" fontId="3" fillId="0" borderId="10" xfId="0" applyNumberFormat="1" applyFont="1" applyBorder="1" applyAlignment="1"/>
    <xf numFmtId="38" fontId="11" fillId="0" borderId="0" xfId="0" applyNumberFormat="1" applyFont="1" applyAlignment="1"/>
    <xf numFmtId="0" fontId="3" fillId="0" borderId="11" xfId="0" applyFont="1" applyBorder="1" applyAlignment="1"/>
    <xf numFmtId="0" fontId="3" fillId="0" borderId="12" xfId="0" applyFont="1" applyBorder="1" applyAlignment="1"/>
    <xf numFmtId="0" fontId="3" fillId="6" borderId="13" xfId="0" applyFont="1" applyFill="1" applyBorder="1" applyAlignment="1">
      <alignment vertical="top"/>
    </xf>
    <xf numFmtId="0" fontId="3" fillId="6" borderId="14" xfId="0" applyFont="1" applyFill="1" applyBorder="1" applyAlignment="1"/>
    <xf numFmtId="0" fontId="3" fillId="6" borderId="15" xfId="0" applyFont="1" applyFill="1" applyBorder="1" applyAlignment="1">
      <alignment vertical="top"/>
    </xf>
    <xf numFmtId="0" fontId="3" fillId="6" borderId="16" xfId="0" applyFont="1" applyFill="1" applyBorder="1" applyAlignment="1">
      <alignment vertical="top"/>
    </xf>
    <xf numFmtId="0" fontId="3" fillId="6" borderId="17" xfId="0" applyFont="1" applyFill="1" applyBorder="1" applyAlignment="1">
      <alignment vertical="top"/>
    </xf>
    <xf numFmtId="0" fontId="3" fillId="6" borderId="18" xfId="0" applyFont="1" applyFill="1" applyBorder="1" applyAlignment="1">
      <alignment vertical="top"/>
    </xf>
    <xf numFmtId="0" fontId="3" fillId="6" borderId="19" xfId="0" applyFont="1" applyFill="1" applyBorder="1" applyAlignment="1">
      <alignment vertical="top"/>
    </xf>
    <xf numFmtId="0" fontId="3" fillId="6" borderId="20" xfId="0" applyFont="1" applyFill="1" applyBorder="1" applyAlignment="1">
      <alignment vertical="top"/>
    </xf>
    <xf numFmtId="0" fontId="3" fillId="5" borderId="21" xfId="0" applyFont="1" applyFill="1" applyBorder="1" applyAlignment="1"/>
    <xf numFmtId="0" fontId="12" fillId="5" borderId="22" xfId="0" applyFont="1" applyFill="1" applyBorder="1" applyAlignment="1">
      <alignment horizontal="center"/>
    </xf>
    <xf numFmtId="0" fontId="3" fillId="5" borderId="22" xfId="0" applyFont="1" applyFill="1" applyBorder="1" applyAlignment="1"/>
    <xf numFmtId="0" fontId="3" fillId="5" borderId="23" xfId="0" applyFont="1" applyFill="1" applyBorder="1" applyAlignment="1"/>
    <xf numFmtId="0" fontId="3" fillId="5" borderId="0" xfId="0" applyFont="1" applyFill="1" applyAlignment="1">
      <alignment horizontal="center"/>
    </xf>
    <xf numFmtId="0" fontId="12" fillId="5" borderId="0" xfId="0" applyFont="1" applyFill="1" applyAlignment="1">
      <alignment horizontal="center"/>
    </xf>
    <xf numFmtId="0" fontId="3" fillId="5" borderId="0" xfId="0" applyFont="1" applyFill="1" applyBorder="1" applyAlignment="1">
      <alignment vertical="top"/>
    </xf>
    <xf numFmtId="0" fontId="12" fillId="5" borderId="0" xfId="0" applyFont="1" applyFill="1" applyBorder="1" applyAlignment="1">
      <alignment horizontal="center" vertical="top"/>
    </xf>
    <xf numFmtId="0" fontId="3" fillId="5" borderId="0" xfId="0" applyFont="1" applyFill="1" applyBorder="1" applyAlignment="1"/>
    <xf numFmtId="0" fontId="3" fillId="5" borderId="0" xfId="0" applyFont="1" applyFill="1" applyBorder="1" applyAlignment="1">
      <alignment horizontal="center" vertical="top"/>
    </xf>
    <xf numFmtId="0" fontId="12" fillId="5" borderId="23" xfId="0" applyFont="1" applyFill="1" applyBorder="1" applyAlignment="1">
      <alignment horizontal="left"/>
    </xf>
    <xf numFmtId="0" fontId="3" fillId="5" borderId="23" xfId="0" applyFont="1" applyFill="1" applyBorder="1" applyAlignment="1">
      <alignment horizontal="right"/>
    </xf>
    <xf numFmtId="0" fontId="12" fillId="5" borderId="0" xfId="0" applyFont="1" applyFill="1" applyBorder="1" applyAlignment="1">
      <alignment horizontal="right" vertical="top"/>
    </xf>
    <xf numFmtId="0" fontId="3" fillId="5" borderId="0" xfId="0" applyFont="1" applyFill="1" applyBorder="1" applyAlignment="1">
      <alignment horizontal="left"/>
    </xf>
    <xf numFmtId="0" fontId="3" fillId="5" borderId="0" xfId="0" applyFont="1" applyFill="1" applyBorder="1" applyAlignment="1">
      <alignment horizontal="center"/>
    </xf>
    <xf numFmtId="0" fontId="5" fillId="0" borderId="0" xfId="0" applyFont="1" applyAlignment="1">
      <alignment horizontal="right"/>
    </xf>
    <xf numFmtId="0" fontId="2" fillId="7" borderId="10" xfId="0" applyFont="1" applyFill="1" applyBorder="1" applyAlignment="1">
      <alignment horizontal="center"/>
    </xf>
    <xf numFmtId="0" fontId="3" fillId="6" borderId="10" xfId="0" applyFont="1" applyFill="1" applyBorder="1"/>
    <xf numFmtId="0" fontId="3" fillId="0" borderId="10" xfId="0" applyFont="1" applyBorder="1"/>
    <xf numFmtId="0" fontId="3" fillId="0" borderId="0" xfId="0" applyFont="1" applyBorder="1"/>
    <xf numFmtId="0" fontId="8" fillId="0" borderId="10" xfId="0" applyFont="1" applyBorder="1" applyAlignment="1">
      <alignment horizontal="center"/>
    </xf>
    <xf numFmtId="0" fontId="4" fillId="0" borderId="0" xfId="0" applyFont="1" applyBorder="1" applyAlignment="1">
      <alignment horizontal="right"/>
    </xf>
    <xf numFmtId="0" fontId="4" fillId="0" borderId="0" xfId="0" applyFont="1" applyBorder="1"/>
    <xf numFmtId="0" fontId="2" fillId="6" borderId="10" xfId="0" applyFont="1" applyFill="1" applyBorder="1"/>
    <xf numFmtId="37" fontId="3" fillId="8" borderId="5" xfId="0" applyNumberFormat="1" applyFont="1" applyFill="1" applyBorder="1"/>
    <xf numFmtId="37" fontId="3" fillId="8" borderId="10" xfId="0" applyNumberFormat="1" applyFont="1" applyFill="1" applyBorder="1"/>
    <xf numFmtId="0" fontId="3" fillId="6" borderId="24" xfId="0" quotePrefix="1" applyFont="1" applyFill="1" applyBorder="1"/>
    <xf numFmtId="0" fontId="8" fillId="6" borderId="24" xfId="0" applyFont="1" applyFill="1" applyBorder="1"/>
    <xf numFmtId="0" fontId="2" fillId="6" borderId="24" xfId="0" applyFont="1" applyFill="1" applyBorder="1"/>
    <xf numFmtId="0" fontId="13" fillId="7" borderId="3" xfId="0" applyFont="1" applyFill="1" applyBorder="1"/>
    <xf numFmtId="0" fontId="3" fillId="0" borderId="25" xfId="0" applyFont="1" applyBorder="1"/>
    <xf numFmtId="0" fontId="3" fillId="0" borderId="11" xfId="0" applyFont="1" applyBorder="1" applyAlignment="1">
      <alignment horizontal="right"/>
    </xf>
    <xf numFmtId="169" fontId="2" fillId="0" borderId="11" xfId="0" applyNumberFormat="1" applyFont="1" applyBorder="1"/>
    <xf numFmtId="0" fontId="3" fillId="0" borderId="26" xfId="0" applyFont="1" applyBorder="1" applyAlignment="1">
      <alignment horizontal="center"/>
    </xf>
    <xf numFmtId="37" fontId="8" fillId="0" borderId="0" xfId="0" applyNumberFormat="1" applyFont="1"/>
    <xf numFmtId="37" fontId="3" fillId="0" borderId="10" xfId="0" applyNumberFormat="1" applyFont="1" applyFill="1" applyBorder="1"/>
    <xf numFmtId="0" fontId="4" fillId="6" borderId="24" xfId="0" applyFont="1" applyFill="1" applyBorder="1" applyAlignment="1">
      <alignment horizontal="right"/>
    </xf>
    <xf numFmtId="37" fontId="3" fillId="0" borderId="10" xfId="0" applyNumberFormat="1" applyFont="1" applyBorder="1"/>
    <xf numFmtId="37" fontId="3" fillId="6" borderId="10" xfId="0" applyNumberFormat="1" applyFont="1" applyFill="1" applyBorder="1"/>
    <xf numFmtId="37" fontId="3" fillId="6" borderId="24" xfId="0" quotePrefix="1" applyNumberFormat="1" applyFont="1" applyFill="1" applyBorder="1"/>
    <xf numFmtId="37" fontId="3" fillId="0" borderId="5" xfId="0" applyNumberFormat="1" applyFont="1" applyBorder="1"/>
    <xf numFmtId="37" fontId="2" fillId="0" borderId="10" xfId="0" applyNumberFormat="1" applyFont="1" applyBorder="1" applyAlignment="1">
      <alignment horizontal="right"/>
    </xf>
    <xf numFmtId="37" fontId="2" fillId="0" borderId="10" xfId="0" applyNumberFormat="1" applyFont="1" applyBorder="1"/>
    <xf numFmtId="0" fontId="2" fillId="0" borderId="10" xfId="0" applyFont="1" applyFill="1" applyBorder="1" applyAlignment="1">
      <alignment horizontal="center"/>
    </xf>
    <xf numFmtId="37" fontId="3" fillId="0" borderId="24" xfId="1" applyNumberFormat="1" applyFont="1" applyFill="1" applyBorder="1" applyAlignment="1">
      <alignment horizontal="right"/>
    </xf>
    <xf numFmtId="37" fontId="3" fillId="0" borderId="24" xfId="1" quotePrefix="1" applyNumberFormat="1" applyFont="1" applyFill="1" applyBorder="1" applyAlignment="1">
      <alignment horizontal="right"/>
    </xf>
    <xf numFmtId="0" fontId="14" fillId="0" borderId="0" xfId="2" applyFont="1" applyAlignment="1" applyProtection="1"/>
    <xf numFmtId="0" fontId="3" fillId="3" borderId="0" xfId="0" applyFont="1" applyFill="1"/>
    <xf numFmtId="0" fontId="3" fillId="0" borderId="2" xfId="0" applyFont="1" applyBorder="1" applyAlignment="1">
      <alignment horizontal="left" vertical="top" wrapText="1"/>
    </xf>
    <xf numFmtId="0" fontId="2" fillId="0" borderId="0" xfId="0" applyFont="1" applyFill="1" applyBorder="1" applyAlignment="1">
      <alignment horizontal="center"/>
    </xf>
    <xf numFmtId="37" fontId="3" fillId="0" borderId="0" xfId="1" applyNumberFormat="1" applyFont="1" applyFill="1" applyBorder="1" applyAlignment="1">
      <alignment horizontal="right"/>
    </xf>
    <xf numFmtId="37" fontId="3" fillId="0" borderId="0" xfId="1" quotePrefix="1" applyNumberFormat="1" applyFont="1" applyFill="1" applyBorder="1" applyAlignment="1">
      <alignment horizontal="right"/>
    </xf>
    <xf numFmtId="37" fontId="3" fillId="2" borderId="10" xfId="0" applyNumberFormat="1" applyFont="1" applyFill="1" applyBorder="1"/>
    <xf numFmtId="0" fontId="8" fillId="6" borderId="24" xfId="0" applyFont="1" applyFill="1" applyBorder="1" applyAlignment="1">
      <alignment horizontal="left"/>
    </xf>
    <xf numFmtId="37" fontId="2" fillId="2" borderId="24" xfId="0" applyNumberFormat="1" applyFont="1" applyFill="1" applyBorder="1"/>
    <xf numFmtId="37" fontId="3" fillId="3" borderId="10" xfId="0" applyNumberFormat="1" applyFont="1" applyFill="1" applyBorder="1"/>
    <xf numFmtId="0" fontId="3" fillId="6" borderId="24" xfId="0" applyFont="1" applyFill="1" applyBorder="1"/>
    <xf numFmtId="37" fontId="3" fillId="3" borderId="24" xfId="0" applyNumberFormat="1" applyFont="1" applyFill="1" applyBorder="1"/>
    <xf numFmtId="0" fontId="3" fillId="6" borderId="27" xfId="0" applyFont="1" applyFill="1" applyBorder="1"/>
    <xf numFmtId="0" fontId="3" fillId="6" borderId="11" xfId="0" applyFont="1" applyFill="1" applyBorder="1"/>
    <xf numFmtId="0" fontId="3" fillId="6" borderId="26" xfId="0" applyFont="1" applyFill="1" applyBorder="1"/>
    <xf numFmtId="37" fontId="3" fillId="3" borderId="28" xfId="0" applyNumberFormat="1" applyFont="1" applyFill="1" applyBorder="1"/>
    <xf numFmtId="37" fontId="3" fillId="3" borderId="5" xfId="0" applyNumberFormat="1" applyFont="1" applyFill="1" applyBorder="1"/>
    <xf numFmtId="37" fontId="3" fillId="2" borderId="5" xfId="0" applyNumberFormat="1" applyFont="1" applyFill="1" applyBorder="1"/>
    <xf numFmtId="0" fontId="3" fillId="6" borderId="29" xfId="0" quotePrefix="1" applyFont="1" applyFill="1" applyBorder="1"/>
    <xf numFmtId="37" fontId="2" fillId="2" borderId="10" xfId="0" applyNumberFormat="1" applyFont="1" applyFill="1" applyBorder="1" applyAlignment="1">
      <alignment horizontal="right"/>
    </xf>
    <xf numFmtId="37" fontId="2" fillId="2" borderId="10" xfId="0" applyNumberFormat="1" applyFont="1" applyFill="1" applyBorder="1"/>
    <xf numFmtId="0" fontId="4" fillId="0" borderId="0" xfId="0" applyFont="1" applyAlignment="1">
      <alignment horizontal="right"/>
    </xf>
    <xf numFmtId="0" fontId="2" fillId="3" borderId="10" xfId="0" applyFont="1" applyFill="1" applyBorder="1" applyAlignment="1">
      <alignment horizontal="center"/>
    </xf>
    <xf numFmtId="169" fontId="3" fillId="3" borderId="24" xfId="1" applyNumberFormat="1" applyFont="1" applyFill="1" applyBorder="1" applyAlignment="1">
      <alignment horizontal="center"/>
    </xf>
    <xf numFmtId="169" fontId="3" fillId="0" borderId="0" xfId="1" applyNumberFormat="1" applyFont="1" applyFill="1" applyBorder="1" applyAlignment="1">
      <alignment horizontal="center"/>
    </xf>
    <xf numFmtId="169" fontId="3" fillId="0" borderId="24" xfId="1" applyNumberFormat="1" applyFont="1" applyBorder="1" applyAlignment="1">
      <alignment horizontal="center"/>
    </xf>
    <xf numFmtId="169" fontId="3" fillId="3" borderId="24" xfId="1" quotePrefix="1" applyNumberFormat="1" applyFont="1" applyFill="1" applyBorder="1" applyAlignment="1">
      <alignment horizontal="center"/>
    </xf>
    <xf numFmtId="169" fontId="3" fillId="0" borderId="0" xfId="1" quotePrefix="1" applyNumberFormat="1" applyFont="1" applyFill="1" applyBorder="1" applyAlignment="1">
      <alignment horizontal="center"/>
    </xf>
    <xf numFmtId="0" fontId="3" fillId="0" borderId="0" xfId="0" applyFont="1" applyFill="1" applyBorder="1" applyAlignment="1">
      <alignment horizontal="center"/>
    </xf>
    <xf numFmtId="9" fontId="3" fillId="0" borderId="0" xfId="0" applyNumberFormat="1" applyFont="1" applyAlignment="1">
      <alignment horizontal="center"/>
    </xf>
    <xf numFmtId="38" fontId="3" fillId="0" borderId="0" xfId="0" applyNumberFormat="1" applyFont="1" applyAlignment="1">
      <alignment horizontal="center"/>
    </xf>
    <xf numFmtId="38" fontId="3" fillId="2" borderId="10" xfId="0" applyNumberFormat="1" applyFont="1" applyFill="1" applyBorder="1" applyAlignment="1"/>
    <xf numFmtId="184" fontId="3" fillId="2" borderId="0" xfId="0" applyNumberFormat="1" applyFont="1" applyFill="1" applyAlignment="1">
      <alignment horizontal="center"/>
    </xf>
    <xf numFmtId="38" fontId="3" fillId="2" borderId="0" xfId="0" applyNumberFormat="1" applyFont="1" applyFill="1" applyAlignment="1">
      <alignment horizontal="center"/>
    </xf>
    <xf numFmtId="40" fontId="3" fillId="2" borderId="0" xfId="0" applyNumberFormat="1" applyFont="1" applyFill="1" applyAlignment="1">
      <alignment horizontal="center"/>
    </xf>
    <xf numFmtId="0" fontId="3" fillId="0" borderId="21" xfId="0" applyFont="1" applyFill="1" applyBorder="1" applyAlignment="1"/>
    <xf numFmtId="0" fontId="3" fillId="0" borderId="23" xfId="0" applyFont="1" applyFill="1" applyBorder="1" applyAlignment="1"/>
    <xf numFmtId="0" fontId="3" fillId="0" borderId="0" xfId="0" applyFont="1" applyFill="1" applyBorder="1" applyAlignment="1">
      <alignment vertical="top"/>
    </xf>
    <xf numFmtId="0" fontId="3" fillId="0" borderId="0" xfId="0" applyFont="1" applyFill="1" applyAlignment="1"/>
    <xf numFmtId="0" fontId="5" fillId="0" borderId="0" xfId="0" applyFont="1" applyFill="1" applyAlignment="1"/>
    <xf numFmtId="37" fontId="3" fillId="6" borderId="10" xfId="0" quotePrefix="1" applyNumberFormat="1" applyFont="1" applyFill="1" applyBorder="1"/>
    <xf numFmtId="9" fontId="2" fillId="0" borderId="5" xfId="3" applyFont="1" applyBorder="1" applyAlignment="1">
      <alignment horizontal="center"/>
    </xf>
    <xf numFmtId="9" fontId="2" fillId="0" borderId="10" xfId="3" applyFont="1" applyBorder="1" applyAlignment="1">
      <alignment horizontal="center"/>
    </xf>
    <xf numFmtId="9" fontId="2" fillId="6" borderId="10" xfId="3" quotePrefix="1" applyFont="1" applyFill="1" applyBorder="1" applyAlignment="1">
      <alignment horizontal="center"/>
    </xf>
    <xf numFmtId="9" fontId="2" fillId="6" borderId="24" xfId="3" quotePrefix="1" applyFont="1" applyFill="1" applyBorder="1" applyAlignment="1">
      <alignment horizontal="center"/>
    </xf>
    <xf numFmtId="0" fontId="3" fillId="3" borderId="0" xfId="0" applyFont="1" applyFill="1" applyAlignment="1">
      <alignment horizontal="center"/>
    </xf>
    <xf numFmtId="37" fontId="2" fillId="3" borderId="0" xfId="0" applyNumberFormat="1" applyFont="1" applyFill="1" applyAlignment="1">
      <alignment horizontal="center"/>
    </xf>
    <xf numFmtId="9" fontId="3" fillId="2" borderId="0" xfId="3" applyFont="1" applyFill="1" applyAlignment="1">
      <alignment horizontal="center"/>
    </xf>
    <xf numFmtId="0" fontId="3" fillId="2" borderId="0" xfId="0" applyFont="1" applyFill="1" applyAlignment="1"/>
    <xf numFmtId="38" fontId="3" fillId="2" borderId="26" xfId="0" applyNumberFormat="1" applyFont="1" applyFill="1" applyBorder="1" applyAlignment="1"/>
    <xf numFmtId="38" fontId="3" fillId="2" borderId="26" xfId="3" applyNumberFormat="1" applyFont="1" applyFill="1" applyBorder="1" applyAlignment="1">
      <alignment horizontal="center"/>
    </xf>
    <xf numFmtId="38" fontId="3" fillId="2" borderId="26" xfId="0" applyNumberFormat="1" applyFont="1" applyFill="1" applyBorder="1" applyAlignment="1">
      <alignment horizontal="center"/>
    </xf>
    <xf numFmtId="0" fontId="14" fillId="0" borderId="2" xfId="2" applyFont="1" applyBorder="1" applyAlignment="1" applyProtection="1">
      <alignment vertical="top"/>
    </xf>
    <xf numFmtId="37" fontId="4" fillId="0" borderId="0" xfId="0" applyNumberFormat="1" applyFont="1" applyAlignment="1">
      <alignment horizontal="right"/>
    </xf>
    <xf numFmtId="1" fontId="2" fillId="0" borderId="0" xfId="1" applyNumberFormat="1" applyFont="1" applyAlignment="1">
      <alignment horizontal="center"/>
    </xf>
    <xf numFmtId="0" fontId="2" fillId="0" borderId="0" xfId="0" applyFont="1" applyAlignment="1"/>
    <xf numFmtId="0" fontId="9" fillId="3" borderId="0" xfId="2" applyFont="1" applyFill="1" applyAlignment="1" applyProtection="1">
      <alignment horizontal="center"/>
    </xf>
    <xf numFmtId="37" fontId="14" fillId="0" borderId="0" xfId="2" applyNumberFormat="1" applyFont="1" applyAlignment="1" applyProtection="1"/>
    <xf numFmtId="0" fontId="2" fillId="0" borderId="0" xfId="0" applyFont="1" applyAlignment="1">
      <alignment horizontal="right"/>
    </xf>
    <xf numFmtId="0" fontId="2" fillId="0" borderId="0" xfId="0" applyFont="1" applyFill="1" applyAlignment="1"/>
    <xf numFmtId="0" fontId="3" fillId="0" borderId="2" xfId="0" applyFont="1" applyBorder="1" applyAlignment="1">
      <alignment horizontal="left" vertical="top"/>
    </xf>
    <xf numFmtId="0" fontId="3" fillId="0" borderId="30" xfId="0" applyFont="1" applyBorder="1" applyAlignment="1">
      <alignment horizontal="left" vertical="top"/>
    </xf>
    <xf numFmtId="0" fontId="3" fillId="0" borderId="0" xfId="0" applyFont="1" applyBorder="1" applyAlignment="1">
      <alignment horizontal="left" vertical="top"/>
    </xf>
    <xf numFmtId="0" fontId="9" fillId="0" borderId="0" xfId="2" applyFont="1" applyAlignment="1" applyProtection="1"/>
    <xf numFmtId="37" fontId="3" fillId="0" borderId="0" xfId="0" applyNumberFormat="1" applyFont="1" applyFill="1" applyAlignment="1">
      <alignment horizontal="right"/>
    </xf>
    <xf numFmtId="0" fontId="3" fillId="0" borderId="2" xfId="0" applyFont="1" applyBorder="1" applyAlignment="1">
      <alignment horizontal="left" vertical="top" wrapText="1"/>
    </xf>
    <xf numFmtId="0" fontId="14" fillId="0" borderId="2" xfId="2" applyFont="1" applyBorder="1" applyAlignment="1" applyProtection="1">
      <alignment horizontal="left" vertical="top" wrapText="1"/>
    </xf>
    <xf numFmtId="0" fontId="3" fillId="0" borderId="31" xfId="0" applyFont="1" applyBorder="1" applyAlignment="1">
      <alignment horizontal="left" vertical="top" wrapText="1"/>
    </xf>
    <xf numFmtId="0" fontId="3" fillId="0" borderId="6" xfId="0" applyFont="1" applyBorder="1" applyAlignment="1">
      <alignment horizontal="left" vertical="top" wrapText="1"/>
    </xf>
    <xf numFmtId="0" fontId="3" fillId="0" borderId="30" xfId="0" applyFont="1" applyBorder="1" applyAlignment="1">
      <alignment horizontal="left" vertical="top" wrapText="1"/>
    </xf>
    <xf numFmtId="0" fontId="2" fillId="0" borderId="2" xfId="0" applyFont="1" applyBorder="1" applyAlignment="1">
      <alignment horizontal="left" vertical="top" wrapText="1"/>
    </xf>
    <xf numFmtId="0" fontId="3" fillId="0" borderId="31" xfId="0" applyFont="1" applyBorder="1" applyAlignment="1">
      <alignment horizontal="left" vertical="top"/>
    </xf>
    <xf numFmtId="0" fontId="0" fillId="0" borderId="6" xfId="0" applyBorder="1" applyAlignment="1">
      <alignment horizontal="left" vertical="top"/>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2374900</xdr:colOff>
      <xdr:row>12</xdr:row>
      <xdr:rowOff>88900</xdr:rowOff>
    </xdr:from>
    <xdr:to>
      <xdr:col>1</xdr:col>
      <xdr:colOff>2616200</xdr:colOff>
      <xdr:row>12</xdr:row>
      <xdr:rowOff>88900</xdr:rowOff>
    </xdr:to>
    <xdr:sp macro="" textlink="">
      <xdr:nvSpPr>
        <xdr:cNvPr id="1026" name="Line 2">
          <a:extLst>
            <a:ext uri="{FF2B5EF4-FFF2-40B4-BE49-F238E27FC236}">
              <a16:creationId xmlns:a16="http://schemas.microsoft.com/office/drawing/2014/main" id="{D7A62552-D1DA-4E8B-82F8-EF81DCD70B6F}"/>
            </a:ext>
          </a:extLst>
        </xdr:cNvPr>
        <xdr:cNvSpPr>
          <a:spLocks noChangeShapeType="1"/>
        </xdr:cNvSpPr>
      </xdr:nvSpPr>
      <xdr:spPr bwMode="auto">
        <a:xfrm>
          <a:off x="3016250" y="2070100"/>
          <a:ext cx="241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2374900</xdr:colOff>
      <xdr:row>12</xdr:row>
      <xdr:rowOff>88900</xdr:rowOff>
    </xdr:from>
    <xdr:to>
      <xdr:col>1</xdr:col>
      <xdr:colOff>2374900</xdr:colOff>
      <xdr:row>41</xdr:row>
      <xdr:rowOff>95250</xdr:rowOff>
    </xdr:to>
    <xdr:sp macro="" textlink="">
      <xdr:nvSpPr>
        <xdr:cNvPr id="1027" name="Line 3">
          <a:extLst>
            <a:ext uri="{FF2B5EF4-FFF2-40B4-BE49-F238E27FC236}">
              <a16:creationId xmlns:a16="http://schemas.microsoft.com/office/drawing/2014/main" id="{41676D91-F9F7-456F-AF1C-52169272C6DD}"/>
            </a:ext>
          </a:extLst>
        </xdr:cNvPr>
        <xdr:cNvSpPr>
          <a:spLocks noChangeShapeType="1"/>
        </xdr:cNvSpPr>
      </xdr:nvSpPr>
      <xdr:spPr bwMode="auto">
        <a:xfrm>
          <a:off x="3016250" y="2070100"/>
          <a:ext cx="0" cy="2654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2165350</xdr:colOff>
      <xdr:row>41</xdr:row>
      <xdr:rowOff>95250</xdr:rowOff>
    </xdr:from>
    <xdr:to>
      <xdr:col>1</xdr:col>
      <xdr:colOff>2374900</xdr:colOff>
      <xdr:row>41</xdr:row>
      <xdr:rowOff>95250</xdr:rowOff>
    </xdr:to>
    <xdr:sp macro="" textlink="">
      <xdr:nvSpPr>
        <xdr:cNvPr id="1028" name="Line 4">
          <a:extLst>
            <a:ext uri="{FF2B5EF4-FFF2-40B4-BE49-F238E27FC236}">
              <a16:creationId xmlns:a16="http://schemas.microsoft.com/office/drawing/2014/main" id="{566FCC8C-FF9F-42C0-9B33-DDCDA7CCDB60}"/>
            </a:ext>
          </a:extLst>
        </xdr:cNvPr>
        <xdr:cNvSpPr>
          <a:spLocks noChangeShapeType="1"/>
        </xdr:cNvSpPr>
      </xdr:nvSpPr>
      <xdr:spPr bwMode="auto">
        <a:xfrm flipH="1">
          <a:off x="2806700" y="4724400"/>
          <a:ext cx="209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hikin@mdc.com.my" TargetMode="External"/><Relationship Id="rId1" Type="http://schemas.openxmlformats.org/officeDocument/2006/relationships/hyperlink" Target="mailto:zaffri@mdc.com.m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11"/>
  <sheetViews>
    <sheetView tabSelected="1" zoomScaleNormal="100" workbookViewId="0">
      <selection activeCell="B14" sqref="B14"/>
    </sheetView>
  </sheetViews>
  <sheetFormatPr defaultColWidth="9.1796875" defaultRowHeight="13" x14ac:dyDescent="0.3"/>
  <cols>
    <col min="1" max="1" width="5.81640625" style="3" customWidth="1"/>
    <col min="2" max="2" width="7.81640625" style="3" customWidth="1"/>
    <col min="3" max="12" width="9.1796875" style="3"/>
    <col min="13" max="13" width="2.453125" style="3" customWidth="1"/>
    <col min="14" max="14" width="7.26953125" style="3" hidden="1" customWidth="1"/>
    <col min="15" max="15" width="9.1796875" style="3" hidden="1" customWidth="1"/>
    <col min="16" max="16384" width="9.1796875" style="3"/>
  </cols>
  <sheetData>
    <row r="2" spans="1:6" x14ac:dyDescent="0.3">
      <c r="A2" s="5" t="s">
        <v>365</v>
      </c>
    </row>
    <row r="4" spans="1:6" x14ac:dyDescent="0.3">
      <c r="B4" s="3" t="s">
        <v>374</v>
      </c>
    </row>
    <row r="5" spans="1:6" x14ac:dyDescent="0.3">
      <c r="B5" s="3" t="s">
        <v>373</v>
      </c>
    </row>
    <row r="7" spans="1:6" x14ac:dyDescent="0.3">
      <c r="B7" s="3" t="s">
        <v>367</v>
      </c>
    </row>
    <row r="9" spans="1:6" x14ac:dyDescent="0.3">
      <c r="B9" s="3" t="s">
        <v>368</v>
      </c>
      <c r="D9" s="3" t="s">
        <v>383</v>
      </c>
      <c r="F9" s="125" t="s">
        <v>370</v>
      </c>
    </row>
    <row r="10" spans="1:6" x14ac:dyDescent="0.3">
      <c r="B10" s="3" t="s">
        <v>369</v>
      </c>
      <c r="D10" s="3" t="s">
        <v>384</v>
      </c>
      <c r="F10" s="125" t="s">
        <v>371</v>
      </c>
    </row>
    <row r="12" spans="1:6" x14ac:dyDescent="0.3">
      <c r="B12" s="5" t="s">
        <v>372</v>
      </c>
    </row>
    <row r="14" spans="1:6" x14ac:dyDescent="0.3">
      <c r="B14" s="126"/>
    </row>
    <row r="16" spans="1:6" x14ac:dyDescent="0.3">
      <c r="A16" s="3" t="s">
        <v>366</v>
      </c>
    </row>
    <row r="19" spans="1:15" x14ac:dyDescent="0.3">
      <c r="A19" s="5" t="s">
        <v>145</v>
      </c>
    </row>
    <row r="21" spans="1:15" x14ac:dyDescent="0.3">
      <c r="A21" s="27">
        <v>1</v>
      </c>
      <c r="B21" s="28"/>
      <c r="C21" s="190" t="s">
        <v>146</v>
      </c>
      <c r="D21" s="190"/>
      <c r="E21" s="190"/>
      <c r="F21" s="190"/>
      <c r="G21" s="190"/>
      <c r="H21" s="190"/>
      <c r="I21" s="190"/>
      <c r="J21" s="190"/>
      <c r="K21" s="190"/>
      <c r="L21" s="190"/>
      <c r="M21" s="190"/>
      <c r="N21" s="190"/>
      <c r="O21" s="190"/>
    </row>
    <row r="22" spans="1:15" x14ac:dyDescent="0.3">
      <c r="A22" s="27"/>
      <c r="B22" s="28"/>
      <c r="C22" s="191" t="s">
        <v>147</v>
      </c>
      <c r="D22" s="191"/>
      <c r="E22" s="191"/>
      <c r="F22" s="191"/>
      <c r="G22" s="191"/>
      <c r="H22" s="191"/>
      <c r="I22" s="191"/>
      <c r="J22" s="191"/>
      <c r="K22" s="191"/>
      <c r="L22" s="191"/>
      <c r="M22" s="191"/>
      <c r="N22" s="191"/>
      <c r="O22" s="191"/>
    </row>
    <row r="23" spans="1:15" x14ac:dyDescent="0.3">
      <c r="A23" s="27"/>
      <c r="B23" s="28"/>
      <c r="C23" s="191" t="s">
        <v>148</v>
      </c>
      <c r="D23" s="191"/>
      <c r="E23" s="191"/>
      <c r="F23" s="191"/>
      <c r="G23" s="191"/>
      <c r="H23" s="191"/>
      <c r="I23" s="191"/>
      <c r="J23" s="191"/>
      <c r="K23" s="191"/>
      <c r="L23" s="191"/>
      <c r="M23" s="191"/>
      <c r="N23" s="191"/>
      <c r="O23" s="191"/>
    </row>
    <row r="24" spans="1:15" x14ac:dyDescent="0.3">
      <c r="A24" s="27"/>
      <c r="B24" s="28"/>
      <c r="C24" s="191" t="s">
        <v>149</v>
      </c>
      <c r="D24" s="191"/>
      <c r="E24" s="191"/>
      <c r="F24" s="191"/>
      <c r="G24" s="191"/>
      <c r="H24" s="191"/>
      <c r="I24" s="191"/>
      <c r="J24" s="191"/>
      <c r="K24" s="191"/>
      <c r="L24" s="191"/>
      <c r="M24" s="191"/>
      <c r="N24" s="191"/>
      <c r="O24" s="191"/>
    </row>
    <row r="25" spans="1:15" x14ac:dyDescent="0.3">
      <c r="A25" s="27"/>
      <c r="B25" s="28"/>
      <c r="C25" s="191" t="s">
        <v>150</v>
      </c>
      <c r="D25" s="191"/>
      <c r="E25" s="191"/>
      <c r="F25" s="191"/>
      <c r="G25" s="191"/>
      <c r="H25" s="191"/>
      <c r="I25" s="191"/>
      <c r="J25" s="191"/>
      <c r="K25" s="191"/>
      <c r="L25" s="191"/>
      <c r="M25" s="191"/>
      <c r="N25" s="191"/>
      <c r="O25" s="191"/>
    </row>
    <row r="26" spans="1:15" x14ac:dyDescent="0.3">
      <c r="A26" s="27"/>
      <c r="B26" s="28"/>
      <c r="C26" s="191" t="s">
        <v>151</v>
      </c>
      <c r="D26" s="191"/>
      <c r="E26" s="191"/>
      <c r="F26" s="191"/>
      <c r="G26" s="191"/>
      <c r="H26" s="191"/>
      <c r="I26" s="191"/>
      <c r="J26" s="191"/>
      <c r="K26" s="191"/>
      <c r="L26" s="191"/>
      <c r="M26" s="191"/>
      <c r="N26" s="191"/>
      <c r="O26" s="191"/>
    </row>
    <row r="27" spans="1:15" x14ac:dyDescent="0.3">
      <c r="A27" s="27"/>
      <c r="B27" s="28"/>
      <c r="C27" s="190"/>
      <c r="D27" s="190"/>
      <c r="E27" s="190"/>
      <c r="F27" s="190"/>
      <c r="G27" s="190"/>
      <c r="H27" s="190"/>
      <c r="I27" s="190"/>
      <c r="J27" s="190"/>
      <c r="K27" s="190"/>
      <c r="L27" s="190"/>
      <c r="M27" s="190"/>
      <c r="N27" s="190"/>
      <c r="O27" s="190"/>
    </row>
    <row r="28" spans="1:15" x14ac:dyDescent="0.3">
      <c r="A28" s="27"/>
      <c r="B28" s="28"/>
      <c r="C28" s="190" t="s">
        <v>292</v>
      </c>
      <c r="D28" s="190"/>
      <c r="E28" s="190"/>
      <c r="F28" s="190"/>
      <c r="G28" s="190"/>
      <c r="H28" s="190"/>
      <c r="I28" s="190"/>
      <c r="J28" s="190"/>
      <c r="K28" s="190"/>
      <c r="L28" s="190"/>
      <c r="M28" s="190"/>
      <c r="N28" s="190"/>
      <c r="O28" s="190"/>
    </row>
    <row r="29" spans="1:15" x14ac:dyDescent="0.3">
      <c r="A29" s="27"/>
      <c r="B29" s="28"/>
      <c r="C29" s="190"/>
      <c r="D29" s="190"/>
      <c r="E29" s="190"/>
      <c r="F29" s="190"/>
      <c r="G29" s="190"/>
      <c r="H29" s="190"/>
      <c r="I29" s="190"/>
      <c r="J29" s="190"/>
      <c r="K29" s="190"/>
      <c r="L29" s="190"/>
      <c r="M29" s="190"/>
      <c r="N29" s="190"/>
      <c r="O29" s="190"/>
    </row>
    <row r="30" spans="1:15" x14ac:dyDescent="0.3">
      <c r="A30" s="27"/>
      <c r="B30" s="28"/>
      <c r="C30" s="190"/>
      <c r="D30" s="190"/>
      <c r="E30" s="190"/>
      <c r="F30" s="190"/>
      <c r="G30" s="190"/>
      <c r="H30" s="190"/>
      <c r="I30" s="190"/>
      <c r="J30" s="190"/>
      <c r="K30" s="190"/>
      <c r="L30" s="190"/>
      <c r="M30" s="190"/>
      <c r="N30" s="190"/>
      <c r="O30" s="190"/>
    </row>
    <row r="31" spans="1:15" ht="46.5" customHeight="1" x14ac:dyDescent="0.3">
      <c r="A31" s="27">
        <v>2</v>
      </c>
      <c r="B31" s="28"/>
      <c r="C31" s="192" t="s">
        <v>377</v>
      </c>
      <c r="D31" s="193"/>
      <c r="E31" s="193"/>
      <c r="F31" s="193"/>
      <c r="G31" s="193"/>
      <c r="H31" s="193"/>
      <c r="I31" s="193"/>
      <c r="J31" s="193"/>
      <c r="K31" s="193"/>
      <c r="L31" s="193"/>
      <c r="M31" s="193"/>
      <c r="N31" s="193"/>
      <c r="O31" s="194"/>
    </row>
    <row r="32" spans="1:15" x14ac:dyDescent="0.3">
      <c r="A32" s="27"/>
      <c r="B32" s="28"/>
      <c r="C32" s="190"/>
      <c r="D32" s="190"/>
      <c r="E32" s="190"/>
      <c r="F32" s="190"/>
      <c r="G32" s="190"/>
      <c r="H32" s="190"/>
      <c r="I32" s="190"/>
      <c r="J32" s="190"/>
      <c r="K32" s="190"/>
      <c r="L32" s="190"/>
      <c r="M32" s="190"/>
      <c r="N32" s="190"/>
      <c r="O32" s="190"/>
    </row>
    <row r="33" spans="1:15" x14ac:dyDescent="0.3">
      <c r="A33" s="27">
        <v>3</v>
      </c>
      <c r="B33" s="28"/>
      <c r="C33" s="190" t="s">
        <v>152</v>
      </c>
      <c r="D33" s="190"/>
      <c r="E33" s="190"/>
      <c r="F33" s="190"/>
      <c r="G33" s="190"/>
      <c r="H33" s="190"/>
      <c r="I33" s="190"/>
      <c r="J33" s="190"/>
      <c r="K33" s="190"/>
      <c r="L33" s="190"/>
      <c r="M33" s="190"/>
      <c r="N33" s="190"/>
      <c r="O33" s="190"/>
    </row>
    <row r="34" spans="1:15" x14ac:dyDescent="0.3">
      <c r="A34" s="27"/>
      <c r="B34" s="28"/>
      <c r="C34" s="190"/>
      <c r="D34" s="190"/>
      <c r="E34" s="190"/>
      <c r="F34" s="190"/>
      <c r="G34" s="190"/>
      <c r="H34" s="190"/>
      <c r="I34" s="190"/>
      <c r="J34" s="190"/>
      <c r="K34" s="190"/>
      <c r="L34" s="190"/>
      <c r="M34" s="190"/>
      <c r="N34" s="190"/>
      <c r="O34" s="190"/>
    </row>
    <row r="35" spans="1:15" x14ac:dyDescent="0.3">
      <c r="A35" s="27">
        <v>4</v>
      </c>
      <c r="B35" s="28"/>
      <c r="C35" s="195" t="s">
        <v>376</v>
      </c>
      <c r="D35" s="195"/>
      <c r="E35" s="195"/>
      <c r="F35" s="195"/>
      <c r="G35" s="195"/>
      <c r="H35" s="195"/>
      <c r="I35" s="195"/>
      <c r="J35" s="195"/>
      <c r="K35" s="195"/>
      <c r="L35" s="195"/>
      <c r="M35" s="195"/>
      <c r="N35" s="195"/>
      <c r="O35" s="195"/>
    </row>
    <row r="36" spans="1:15" x14ac:dyDescent="0.3">
      <c r="A36" s="27"/>
      <c r="B36" s="28"/>
      <c r="C36" s="190"/>
      <c r="D36" s="190"/>
      <c r="E36" s="190"/>
      <c r="F36" s="190"/>
      <c r="G36" s="190"/>
      <c r="H36" s="190"/>
      <c r="I36" s="190"/>
      <c r="J36" s="190"/>
      <c r="K36" s="190"/>
      <c r="L36" s="190"/>
      <c r="M36" s="190"/>
      <c r="N36" s="190"/>
      <c r="O36" s="190"/>
    </row>
    <row r="37" spans="1:15" ht="45.75" customHeight="1" x14ac:dyDescent="0.3">
      <c r="A37" s="27">
        <v>5</v>
      </c>
      <c r="B37" s="177" t="s">
        <v>284</v>
      </c>
      <c r="C37" s="190" t="s">
        <v>364</v>
      </c>
      <c r="D37" s="190"/>
      <c r="E37" s="190"/>
      <c r="F37" s="190"/>
      <c r="G37" s="190"/>
      <c r="H37" s="190"/>
      <c r="I37" s="190"/>
      <c r="J37" s="190"/>
      <c r="K37" s="190"/>
      <c r="L37" s="190"/>
      <c r="M37" s="190"/>
      <c r="N37" s="190"/>
      <c r="O37" s="190"/>
    </row>
    <row r="38" spans="1:15" x14ac:dyDescent="0.3">
      <c r="A38" s="27"/>
      <c r="B38" s="29"/>
      <c r="C38" s="190"/>
      <c r="D38" s="190"/>
      <c r="E38" s="190"/>
      <c r="F38" s="190"/>
      <c r="G38" s="190"/>
      <c r="H38" s="190"/>
      <c r="I38" s="190"/>
      <c r="J38" s="190"/>
      <c r="K38" s="190"/>
      <c r="L38" s="190"/>
      <c r="M38" s="190"/>
      <c r="N38" s="190"/>
      <c r="O38" s="190"/>
    </row>
    <row r="39" spans="1:15" ht="58.5" customHeight="1" x14ac:dyDescent="0.3">
      <c r="A39" s="27">
        <v>6</v>
      </c>
      <c r="B39" s="177" t="s">
        <v>285</v>
      </c>
      <c r="C39" s="190" t="s">
        <v>153</v>
      </c>
      <c r="D39" s="190"/>
      <c r="E39" s="190"/>
      <c r="F39" s="190"/>
      <c r="G39" s="190"/>
      <c r="H39" s="190"/>
      <c r="I39" s="190"/>
      <c r="J39" s="190"/>
      <c r="K39" s="190"/>
      <c r="L39" s="190"/>
      <c r="M39" s="190"/>
      <c r="N39" s="190"/>
      <c r="O39" s="190"/>
    </row>
    <row r="40" spans="1:15" x14ac:dyDescent="0.3">
      <c r="A40" s="27"/>
      <c r="B40" s="29"/>
      <c r="C40" s="190"/>
      <c r="D40" s="190"/>
      <c r="E40" s="190"/>
      <c r="F40" s="190"/>
      <c r="G40" s="190"/>
      <c r="H40" s="190"/>
      <c r="I40" s="190"/>
      <c r="J40" s="190"/>
      <c r="K40" s="190"/>
      <c r="L40" s="190"/>
      <c r="M40" s="190"/>
      <c r="N40" s="190"/>
      <c r="O40" s="190"/>
    </row>
    <row r="41" spans="1:15" ht="31.5" customHeight="1" x14ac:dyDescent="0.3">
      <c r="A41" s="27">
        <v>7</v>
      </c>
      <c r="B41" s="177" t="s">
        <v>286</v>
      </c>
      <c r="C41" s="190" t="s">
        <v>155</v>
      </c>
      <c r="D41" s="190"/>
      <c r="E41" s="190"/>
      <c r="F41" s="190"/>
      <c r="G41" s="190"/>
      <c r="H41" s="190"/>
      <c r="I41" s="190"/>
      <c r="J41" s="190"/>
      <c r="K41" s="190"/>
      <c r="L41" s="190"/>
      <c r="M41" s="190"/>
      <c r="N41" s="190"/>
      <c r="O41" s="190"/>
    </row>
    <row r="42" spans="1:15" ht="29.25" customHeight="1" x14ac:dyDescent="0.3">
      <c r="A42" s="27">
        <v>8</v>
      </c>
      <c r="B42" s="28"/>
      <c r="C42" s="190" t="s">
        <v>328</v>
      </c>
      <c r="D42" s="190"/>
      <c r="E42" s="190"/>
      <c r="F42" s="190"/>
      <c r="G42" s="190"/>
      <c r="H42" s="190"/>
      <c r="I42" s="190"/>
      <c r="J42" s="190"/>
      <c r="K42" s="190"/>
      <c r="L42" s="190"/>
      <c r="M42" s="190"/>
      <c r="N42" s="190"/>
      <c r="O42" s="190"/>
    </row>
    <row r="43" spans="1:15" x14ac:dyDescent="0.3">
      <c r="A43" s="27">
        <v>9</v>
      </c>
      <c r="B43" s="28"/>
      <c r="C43" s="190" t="s">
        <v>329</v>
      </c>
      <c r="D43" s="190"/>
      <c r="E43" s="190"/>
      <c r="F43" s="190"/>
      <c r="G43" s="190"/>
      <c r="H43" s="190"/>
      <c r="I43" s="190"/>
      <c r="J43" s="190"/>
      <c r="K43" s="190"/>
      <c r="L43" s="190"/>
      <c r="M43" s="190"/>
      <c r="N43" s="190"/>
      <c r="O43" s="190"/>
    </row>
    <row r="44" spans="1:15" ht="30.75" customHeight="1" x14ac:dyDescent="0.3">
      <c r="A44" s="27">
        <v>10</v>
      </c>
      <c r="B44" s="28"/>
      <c r="C44" s="190" t="s">
        <v>378</v>
      </c>
      <c r="D44" s="190"/>
      <c r="E44" s="190"/>
      <c r="F44" s="190"/>
      <c r="G44" s="190"/>
      <c r="H44" s="190"/>
      <c r="I44" s="190"/>
      <c r="J44" s="190"/>
      <c r="K44" s="190"/>
      <c r="L44" s="190"/>
      <c r="M44" s="190"/>
      <c r="N44" s="190"/>
      <c r="O44" s="190"/>
    </row>
    <row r="45" spans="1:15" x14ac:dyDescent="0.3">
      <c r="A45" s="27"/>
      <c r="B45" s="28"/>
      <c r="C45" s="190"/>
      <c r="D45" s="190"/>
      <c r="E45" s="190"/>
      <c r="F45" s="190"/>
      <c r="G45" s="190"/>
      <c r="H45" s="190"/>
      <c r="I45" s="190"/>
      <c r="J45" s="190"/>
      <c r="K45" s="190"/>
      <c r="L45" s="190"/>
      <c r="M45" s="190"/>
      <c r="N45" s="190"/>
      <c r="O45" s="190"/>
    </row>
    <row r="47" spans="1:15" x14ac:dyDescent="0.3">
      <c r="A47" s="5" t="s">
        <v>87</v>
      </c>
    </row>
    <row r="49" spans="1:1" ht="13.5" x14ac:dyDescent="0.35">
      <c r="A49" s="3" t="s">
        <v>293</v>
      </c>
    </row>
    <row r="50" spans="1:1" x14ac:dyDescent="0.3">
      <c r="A50" s="3" t="s">
        <v>88</v>
      </c>
    </row>
    <row r="51" spans="1:1" x14ac:dyDescent="0.3">
      <c r="A51" s="3" t="s">
        <v>89</v>
      </c>
    </row>
    <row r="52" spans="1:1" x14ac:dyDescent="0.3">
      <c r="A52" s="3" t="s">
        <v>90</v>
      </c>
    </row>
    <row r="54" spans="1:1" ht="13.5" x14ac:dyDescent="0.35">
      <c r="A54" s="3" t="s">
        <v>294</v>
      </c>
    </row>
    <row r="56" spans="1:1" ht="13.5" x14ac:dyDescent="0.35">
      <c r="A56" s="3" t="s">
        <v>295</v>
      </c>
    </row>
    <row r="57" spans="1:1" x14ac:dyDescent="0.3">
      <c r="A57" s="3" t="s">
        <v>91</v>
      </c>
    </row>
    <row r="58" spans="1:1" x14ac:dyDescent="0.3">
      <c r="A58" s="3" t="s">
        <v>92</v>
      </c>
    </row>
    <row r="60" spans="1:1" ht="13.5" x14ac:dyDescent="0.35">
      <c r="A60" s="3" t="s">
        <v>296</v>
      </c>
    </row>
    <row r="62" spans="1:1" ht="13.5" x14ac:dyDescent="0.35">
      <c r="A62" s="3" t="s">
        <v>297</v>
      </c>
    </row>
    <row r="63" spans="1:1" x14ac:dyDescent="0.3">
      <c r="A63" s="3" t="s">
        <v>93</v>
      </c>
    </row>
    <row r="65" spans="1:1" ht="13.5" x14ac:dyDescent="0.35">
      <c r="A65" s="3" t="s">
        <v>298</v>
      </c>
    </row>
    <row r="66" spans="1:1" x14ac:dyDescent="0.3">
      <c r="A66" s="3" t="s">
        <v>94</v>
      </c>
    </row>
    <row r="67" spans="1:1" x14ac:dyDescent="0.3">
      <c r="A67" s="3" t="s">
        <v>95</v>
      </c>
    </row>
    <row r="69" spans="1:1" ht="13.5" x14ac:dyDescent="0.35">
      <c r="A69" s="3" t="s">
        <v>299</v>
      </c>
    </row>
    <row r="70" spans="1:1" x14ac:dyDescent="0.3">
      <c r="A70" s="3" t="s">
        <v>96</v>
      </c>
    </row>
    <row r="71" spans="1:1" x14ac:dyDescent="0.3">
      <c r="A71" s="3" t="s">
        <v>97</v>
      </c>
    </row>
    <row r="73" spans="1:1" ht="13.5" x14ac:dyDescent="0.35">
      <c r="A73" s="3" t="s">
        <v>300</v>
      </c>
    </row>
    <row r="74" spans="1:1" x14ac:dyDescent="0.3">
      <c r="A74" s="3" t="s">
        <v>98</v>
      </c>
    </row>
    <row r="75" spans="1:1" x14ac:dyDescent="0.3">
      <c r="A75" s="3" t="s">
        <v>99</v>
      </c>
    </row>
    <row r="77" spans="1:1" ht="13.5" x14ac:dyDescent="0.35">
      <c r="A77" s="3" t="s">
        <v>301</v>
      </c>
    </row>
    <row r="78" spans="1:1" x14ac:dyDescent="0.3">
      <c r="A78" s="3" t="s">
        <v>100</v>
      </c>
    </row>
    <row r="80" spans="1:1" ht="13.5" x14ac:dyDescent="0.35">
      <c r="A80" s="3" t="s">
        <v>302</v>
      </c>
    </row>
    <row r="81" spans="1:1" x14ac:dyDescent="0.3">
      <c r="A81" s="3" t="s">
        <v>101</v>
      </c>
    </row>
    <row r="83" spans="1:1" ht="13.5" x14ac:dyDescent="0.35">
      <c r="A83" s="3" t="s">
        <v>303</v>
      </c>
    </row>
    <row r="84" spans="1:1" x14ac:dyDescent="0.3">
      <c r="A84" s="3" t="s">
        <v>102</v>
      </c>
    </row>
    <row r="86" spans="1:1" ht="13.5" x14ac:dyDescent="0.35">
      <c r="A86" s="3" t="s">
        <v>304</v>
      </c>
    </row>
    <row r="88" spans="1:1" ht="13.5" x14ac:dyDescent="0.35">
      <c r="A88" s="3" t="s">
        <v>305</v>
      </c>
    </row>
    <row r="89" spans="1:1" x14ac:dyDescent="0.3">
      <c r="A89" s="3" t="s">
        <v>103</v>
      </c>
    </row>
    <row r="91" spans="1:1" ht="13.5" x14ac:dyDescent="0.35">
      <c r="A91" s="3" t="s">
        <v>306</v>
      </c>
    </row>
    <row r="92" spans="1:1" x14ac:dyDescent="0.3">
      <c r="A92" s="3" t="s">
        <v>104</v>
      </c>
    </row>
    <row r="94" spans="1:1" ht="13.5" x14ac:dyDescent="0.35">
      <c r="A94" s="3" t="s">
        <v>307</v>
      </c>
    </row>
    <row r="95" spans="1:1" x14ac:dyDescent="0.3">
      <c r="A95" s="3" t="s">
        <v>105</v>
      </c>
    </row>
    <row r="97" spans="1:1" ht="13.5" x14ac:dyDescent="0.35">
      <c r="A97" s="3" t="s">
        <v>308</v>
      </c>
    </row>
    <row r="99" spans="1:1" ht="13.5" x14ac:dyDescent="0.35">
      <c r="A99" s="3" t="s">
        <v>309</v>
      </c>
    </row>
    <row r="101" spans="1:1" x14ac:dyDescent="0.3">
      <c r="A101" s="3" t="s">
        <v>106</v>
      </c>
    </row>
    <row r="102" spans="1:1" x14ac:dyDescent="0.3">
      <c r="A102" s="3" t="s">
        <v>107</v>
      </c>
    </row>
    <row r="104" spans="1:1" x14ac:dyDescent="0.3">
      <c r="A104" s="3" t="s">
        <v>108</v>
      </c>
    </row>
    <row r="105" spans="1:1" x14ac:dyDescent="0.3">
      <c r="A105" s="3" t="s">
        <v>109</v>
      </c>
    </row>
    <row r="107" spans="1:1" x14ac:dyDescent="0.3">
      <c r="A107" s="3" t="s">
        <v>110</v>
      </c>
    </row>
    <row r="108" spans="1:1" x14ac:dyDescent="0.3">
      <c r="A108" s="3" t="s">
        <v>111</v>
      </c>
    </row>
    <row r="110" spans="1:1" ht="13.5" x14ac:dyDescent="0.35">
      <c r="A110" s="3" t="s">
        <v>310</v>
      </c>
    </row>
    <row r="111" spans="1:1" x14ac:dyDescent="0.3">
      <c r="A111" s="3" t="s">
        <v>112</v>
      </c>
    </row>
  </sheetData>
  <mergeCells count="25">
    <mergeCell ref="C44:O44"/>
    <mergeCell ref="C34:O34"/>
    <mergeCell ref="C35:O35"/>
    <mergeCell ref="C42:O42"/>
    <mergeCell ref="C36:O36"/>
    <mergeCell ref="C37:O37"/>
    <mergeCell ref="C40:O40"/>
    <mergeCell ref="C41:O41"/>
    <mergeCell ref="C38:O38"/>
    <mergeCell ref="C39:O39"/>
    <mergeCell ref="C30:O30"/>
    <mergeCell ref="C31:O31"/>
    <mergeCell ref="C32:O32"/>
    <mergeCell ref="C33:O33"/>
    <mergeCell ref="C43:O43"/>
    <mergeCell ref="C45:O45"/>
    <mergeCell ref="C21:O21"/>
    <mergeCell ref="C22:O22"/>
    <mergeCell ref="C23:O23"/>
    <mergeCell ref="C24:O24"/>
    <mergeCell ref="C25:O25"/>
    <mergeCell ref="C26:O26"/>
    <mergeCell ref="C29:O29"/>
    <mergeCell ref="C27:O27"/>
    <mergeCell ref="C28:O28"/>
  </mergeCells>
  <phoneticPr fontId="0" type="noConversion"/>
  <hyperlinks>
    <hyperlink ref="C22:O22" location="'Financial Summary'!A1" display="a. Financial Summary"/>
    <hyperlink ref="C23:O23" location="ProfitLoss!A1" display="b. P&amp;L"/>
    <hyperlink ref="C24:O24" location="BS!A1" display="c. BS"/>
    <hyperlink ref="C25:O25" location="CFS!A1" display="d. CFS"/>
    <hyperlink ref="C26:O26" location="'Notes 2'!A1" display="e. Notes 2"/>
    <hyperlink ref="B37" location="'Financial Summary'!A27" display="Table F2"/>
    <hyperlink ref="B39" location="'Financial Summary'!A51" display="Table F3"/>
    <hyperlink ref="B41" location="'Financial Summary'!A95" display="Table F4"/>
    <hyperlink ref="F9" r:id="rId1"/>
    <hyperlink ref="F10" r:id="rId2"/>
  </hyperlinks>
  <printOptions horizontalCentered="1"/>
  <pageMargins left="0.25" right="0.25" top="1" bottom="0.5" header="0.5" footer="0.5"/>
  <pageSetup paperSize="9" scale="90" orientation="portrait" r:id="rId3"/>
  <headerFooter alignWithMargins="0">
    <oddFooter>&amp;L&amp;A / &amp;F&amp;CPrinted on &amp;D at &amp;T&amp;R&amp;P of &amp;N</oddFooter>
  </headerFooter>
  <rowBreaks count="1" manualBreakCount="1">
    <brk id="6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29"/>
  <sheetViews>
    <sheetView zoomScaleNormal="100" zoomScaleSheetLayoutView="100" workbookViewId="0">
      <selection activeCell="B17" sqref="B17"/>
    </sheetView>
  </sheetViews>
  <sheetFormatPr defaultColWidth="9.1796875" defaultRowHeight="13" x14ac:dyDescent="0.3"/>
  <cols>
    <col min="1" max="1" width="38.453125" style="3" customWidth="1"/>
    <col min="2" max="2" width="15.1796875" style="3" bestFit="1" customWidth="1"/>
    <col min="3" max="3" width="14.81640625" style="3" customWidth="1"/>
    <col min="4" max="4" width="16.26953125" style="3" customWidth="1"/>
    <col min="5" max="5" width="15.7265625" style="3" customWidth="1"/>
    <col min="6" max="6" width="16.453125" style="3" customWidth="1"/>
    <col min="7" max="16384" width="9.1796875" style="3"/>
  </cols>
  <sheetData>
    <row r="2" spans="1:4" x14ac:dyDescent="0.3">
      <c r="A2" s="94" t="str">
        <f>ProfitLoss!A2</f>
        <v>Co. name:</v>
      </c>
      <c r="B2" s="5">
        <f>ProfitLoss!B2</f>
        <v>0</v>
      </c>
    </row>
    <row r="4" spans="1:4" ht="13.5" x14ac:dyDescent="0.35">
      <c r="A4" s="5" t="s">
        <v>28</v>
      </c>
      <c r="B4" s="58"/>
    </row>
    <row r="5" spans="1:4" ht="13.5" thickBot="1" x14ac:dyDescent="0.35"/>
    <row r="6" spans="1:4" ht="21" customHeight="1" thickBot="1" x14ac:dyDescent="0.35">
      <c r="A6" s="95" t="s">
        <v>29</v>
      </c>
      <c r="B6" s="95">
        <f>'Notes 2'!C5</f>
        <v>2002</v>
      </c>
      <c r="C6" s="95">
        <f>B6+1</f>
        <v>2003</v>
      </c>
      <c r="D6" s="95">
        <f>C6+1</f>
        <v>2004</v>
      </c>
    </row>
    <row r="7" spans="1:4" ht="18" customHeight="1" thickBot="1" x14ac:dyDescent="0.35">
      <c r="A7" s="96" t="s">
        <v>313</v>
      </c>
      <c r="B7" s="114">
        <f>'Financial Summary'!B7</f>
        <v>10</v>
      </c>
      <c r="C7" s="114">
        <f>'Financial Summary'!C7</f>
        <v>40</v>
      </c>
      <c r="D7" s="114">
        <f>'Financial Summary'!D7</f>
        <v>90</v>
      </c>
    </row>
    <row r="8" spans="1:4" ht="18" customHeight="1" thickBot="1" x14ac:dyDescent="0.35">
      <c r="A8" s="96" t="s">
        <v>314</v>
      </c>
      <c r="B8" s="114">
        <f>'Financial Summary'!B8</f>
        <v>90</v>
      </c>
      <c r="C8" s="114">
        <f>'Financial Summary'!C8</f>
        <v>160</v>
      </c>
      <c r="D8" s="114">
        <f>'Financial Summary'!D8</f>
        <v>210</v>
      </c>
    </row>
    <row r="9" spans="1:4" ht="18" customHeight="1" thickBot="1" x14ac:dyDescent="0.35">
      <c r="A9" s="115" t="s">
        <v>30</v>
      </c>
      <c r="B9" s="114">
        <f>'Financial Summary'!B9</f>
        <v>100</v>
      </c>
      <c r="C9" s="114">
        <f>'Financial Summary'!C9</f>
        <v>200</v>
      </c>
      <c r="D9" s="114">
        <f>'Financial Summary'!D9</f>
        <v>300</v>
      </c>
    </row>
    <row r="10" spans="1:4" ht="18" customHeight="1" thickBot="1" x14ac:dyDescent="0.35">
      <c r="A10" s="96" t="s">
        <v>31</v>
      </c>
      <c r="B10" s="114">
        <f>'Financial Summary'!B10</f>
        <v>3264.5</v>
      </c>
      <c r="C10" s="114">
        <f>'Financial Summary'!C10</f>
        <v>5788.5111111111109</v>
      </c>
      <c r="D10" s="114">
        <f>'Financial Summary'!D10</f>
        <v>25815.385185185187</v>
      </c>
    </row>
    <row r="11" spans="1:4" ht="18" customHeight="1" thickBot="1" x14ac:dyDescent="0.35">
      <c r="A11" s="96" t="s">
        <v>32</v>
      </c>
      <c r="B11" s="114">
        <f>'Financial Summary'!B11</f>
        <v>45</v>
      </c>
      <c r="C11" s="114">
        <f>'Financial Summary'!C11</f>
        <v>151.66666666666669</v>
      </c>
      <c r="D11" s="114">
        <f>'Financial Summary'!D11</f>
        <v>236.33333333333331</v>
      </c>
    </row>
    <row r="12" spans="1:4" ht="18" customHeight="1" thickBot="1" x14ac:dyDescent="0.35">
      <c r="A12" s="97" t="s">
        <v>140</v>
      </c>
      <c r="B12" s="116">
        <f>'Financial Summary'!B15+'Financial Summary'!B16</f>
        <v>9878.5</v>
      </c>
      <c r="C12" s="116">
        <f>'Financial Summary'!C15+'Financial Summary'!C16</f>
        <v>14829.900000000001</v>
      </c>
      <c r="D12" s="116">
        <f>'Financial Summary'!D15+'Financial Summary'!D16</f>
        <v>34719.1</v>
      </c>
    </row>
    <row r="13" spans="1:4" ht="18" customHeight="1" thickBot="1" x14ac:dyDescent="0.35">
      <c r="A13" s="96" t="s">
        <v>141</v>
      </c>
      <c r="B13" s="116">
        <f>'Financial Summary'!B17+'Financial Summary'!B18</f>
        <v>6687.6666666666661</v>
      </c>
      <c r="C13" s="116">
        <f>'Financial Summary'!C17+'Financial Summary'!C18</f>
        <v>5855.3333333333321</v>
      </c>
      <c r="D13" s="116">
        <f>'Financial Summary'!D17+'Financial Summary'!D18</f>
        <v>23</v>
      </c>
    </row>
    <row r="14" spans="1:4" ht="18" customHeight="1" thickBot="1" x14ac:dyDescent="0.35">
      <c r="A14" s="96" t="s">
        <v>38</v>
      </c>
      <c r="B14" s="116">
        <f>BS!B44</f>
        <v>50</v>
      </c>
      <c r="C14" s="116">
        <f>BS!C44</f>
        <v>50</v>
      </c>
      <c r="D14" s="116">
        <f>BS!D44</f>
        <v>50</v>
      </c>
    </row>
    <row r="15" spans="1:4" ht="18" customHeight="1" thickBot="1" x14ac:dyDescent="0.35">
      <c r="A15" s="96" t="s">
        <v>311</v>
      </c>
      <c r="B15" s="116">
        <f>B88</f>
        <v>70</v>
      </c>
      <c r="C15" s="116">
        <f>C88</f>
        <v>140</v>
      </c>
      <c r="D15" s="116">
        <f>D88</f>
        <v>210</v>
      </c>
    </row>
    <row r="16" spans="1:4" ht="18" customHeight="1" thickBot="1" x14ac:dyDescent="0.35">
      <c r="A16" s="97" t="s">
        <v>312</v>
      </c>
      <c r="B16" s="116">
        <f>BS!B53</f>
        <v>9999.1666666666661</v>
      </c>
      <c r="C16" s="116">
        <f>BS!C53</f>
        <v>14952.344444444443</v>
      </c>
      <c r="D16" s="116">
        <f>BS!D53</f>
        <v>34932.396296296298</v>
      </c>
    </row>
    <row r="17" spans="1:4" ht="21" customHeight="1" x14ac:dyDescent="0.3">
      <c r="A17" s="98"/>
      <c r="B17" s="98"/>
      <c r="C17" s="98"/>
      <c r="D17" s="98"/>
    </row>
    <row r="18" spans="1:4" x14ac:dyDescent="0.3">
      <c r="A18" s="5" t="s">
        <v>39</v>
      </c>
    </row>
    <row r="19" spans="1:4" ht="13.5" thickBot="1" x14ac:dyDescent="0.35"/>
    <row r="20" spans="1:4" ht="21" customHeight="1" thickBot="1" x14ac:dyDescent="0.35">
      <c r="A20" s="95" t="s">
        <v>40</v>
      </c>
      <c r="B20" s="95">
        <f>B6</f>
        <v>2002</v>
      </c>
      <c r="C20" s="95">
        <f>C6</f>
        <v>2003</v>
      </c>
      <c r="D20" s="95">
        <f>D6</f>
        <v>2004</v>
      </c>
    </row>
    <row r="21" spans="1:4" ht="15.75" customHeight="1" thickBot="1" x14ac:dyDescent="0.35">
      <c r="A21" s="96" t="str">
        <f>'Financial Summary'!A26</f>
        <v>Content Edition/Enhancement</v>
      </c>
      <c r="B21" s="117">
        <f>'Financial Summary'!B26</f>
        <v>0</v>
      </c>
      <c r="C21" s="117">
        <f>'Financial Summary'!C26</f>
        <v>0</v>
      </c>
      <c r="D21" s="117">
        <f>'Financial Summary'!D26</f>
        <v>0</v>
      </c>
    </row>
    <row r="22" spans="1:4" ht="13.5" thickBot="1" x14ac:dyDescent="0.35">
      <c r="A22" s="96" t="str">
        <f>'Financial Summary'!A27</f>
        <v>Interractive Services</v>
      </c>
      <c r="B22" s="117">
        <f>'Financial Summary'!B27</f>
        <v>0</v>
      </c>
      <c r="C22" s="117">
        <f>'Financial Summary'!C27</f>
        <v>0</v>
      </c>
      <c r="D22" s="117">
        <f>'Financial Summary'!D27</f>
        <v>0</v>
      </c>
    </row>
    <row r="23" spans="1:4" ht="13.5" thickBot="1" x14ac:dyDescent="0.35">
      <c r="A23" s="96" t="str">
        <f>'Financial Summary'!A28</f>
        <v>E-Commerce</v>
      </c>
      <c r="B23" s="117">
        <f>'Financial Summary'!B28</f>
        <v>100</v>
      </c>
      <c r="C23" s="117">
        <f>'Financial Summary'!C28</f>
        <v>200</v>
      </c>
      <c r="D23" s="117">
        <f>'Financial Summary'!D28</f>
        <v>300</v>
      </c>
    </row>
    <row r="24" spans="1:4" ht="13.5" thickBot="1" x14ac:dyDescent="0.35">
      <c r="A24" s="96" t="str">
        <f>'Financial Summary'!A29</f>
        <v>Software Integration</v>
      </c>
      <c r="B24" s="117">
        <f>'Financial Summary'!B29</f>
        <v>0</v>
      </c>
      <c r="C24" s="117">
        <f>'Financial Summary'!C29</f>
        <v>0</v>
      </c>
      <c r="D24" s="117">
        <f>'Financial Summary'!D29</f>
        <v>0</v>
      </c>
    </row>
    <row r="25" spans="1:4" ht="13.5" thickBot="1" x14ac:dyDescent="0.35">
      <c r="A25" s="96" t="str">
        <f>'Financial Summary'!A30</f>
        <v>Website Development Income</v>
      </c>
      <c r="B25" s="117">
        <f>'Financial Summary'!B30</f>
        <v>0</v>
      </c>
      <c r="C25" s="117">
        <f>'Financial Summary'!C30</f>
        <v>0</v>
      </c>
      <c r="D25" s="117">
        <f>'Financial Summary'!D30</f>
        <v>0</v>
      </c>
    </row>
    <row r="26" spans="1:4" ht="13.5" thickBot="1" x14ac:dyDescent="0.35">
      <c r="A26" s="96" t="str">
        <f>'Financial Summary'!A31</f>
        <v>Hosting Fees</v>
      </c>
      <c r="B26" s="117">
        <f>'Financial Summary'!B31</f>
        <v>0</v>
      </c>
      <c r="C26" s="117">
        <f>'Financial Summary'!C31</f>
        <v>0</v>
      </c>
      <c r="D26" s="117">
        <f>'Financial Summary'!D31</f>
        <v>0</v>
      </c>
    </row>
    <row r="27" spans="1:4" ht="13.5" thickBot="1" x14ac:dyDescent="0.35">
      <c r="A27" s="96" t="str">
        <f>'Financial Summary'!A32</f>
        <v>i-directory listing</v>
      </c>
      <c r="B27" s="117">
        <f>'Financial Summary'!B32</f>
        <v>0</v>
      </c>
      <c r="C27" s="117">
        <f>'Financial Summary'!C32</f>
        <v>0</v>
      </c>
      <c r="D27" s="117">
        <f>'Financial Summary'!D32</f>
        <v>0</v>
      </c>
    </row>
    <row r="28" spans="1:4" ht="13.5" thickBot="1" x14ac:dyDescent="0.35">
      <c r="A28" s="96" t="str">
        <f>'Financial Summary'!A33</f>
        <v>Sale of Portals</v>
      </c>
      <c r="B28" s="117">
        <f>'Financial Summary'!B33</f>
        <v>0</v>
      </c>
      <c r="C28" s="117">
        <f>'Financial Summary'!C33</f>
        <v>0</v>
      </c>
      <c r="D28" s="117">
        <f>'Financial Summary'!D33</f>
        <v>0</v>
      </c>
    </row>
    <row r="29" spans="1:4" ht="13.5" thickBot="1" x14ac:dyDescent="0.35">
      <c r="A29" s="96" t="str">
        <f>'Financial Summary'!A34</f>
        <v>Fulfillment charges</v>
      </c>
      <c r="B29" s="117">
        <f>'Financial Summary'!B34</f>
        <v>0</v>
      </c>
      <c r="C29" s="117">
        <f>'Financial Summary'!C34</f>
        <v>0</v>
      </c>
      <c r="D29" s="117">
        <f>'Financial Summary'!D34</f>
        <v>0</v>
      </c>
    </row>
    <row r="30" spans="1:4" ht="13.5" thickBot="1" x14ac:dyDescent="0.35">
      <c r="A30" s="96" t="str">
        <f>'Financial Summary'!A35</f>
        <v>Licensing</v>
      </c>
      <c r="B30" s="117">
        <f>'Financial Summary'!B35</f>
        <v>0</v>
      </c>
      <c r="C30" s="117">
        <f>'Financial Summary'!C35</f>
        <v>0</v>
      </c>
      <c r="D30" s="117">
        <f>'Financial Summary'!D35</f>
        <v>0</v>
      </c>
    </row>
    <row r="31" spans="1:4" ht="13.5" thickBot="1" x14ac:dyDescent="0.35">
      <c r="A31" s="96" t="str">
        <f>'Financial Summary'!A36</f>
        <v>Subscription</v>
      </c>
      <c r="B31" s="117">
        <f>'Financial Summary'!B36</f>
        <v>0</v>
      </c>
      <c r="C31" s="117">
        <f>'Financial Summary'!C36</f>
        <v>0</v>
      </c>
      <c r="D31" s="117">
        <f>'Financial Summary'!D36</f>
        <v>0</v>
      </c>
    </row>
    <row r="32" spans="1:4" ht="13.5" thickBot="1" x14ac:dyDescent="0.35">
      <c r="A32" s="96" t="str">
        <f>'Financial Summary'!A37</f>
        <v>Transaction Fee</v>
      </c>
      <c r="B32" s="117">
        <f>'Financial Summary'!B37</f>
        <v>0</v>
      </c>
      <c r="C32" s="117">
        <f>'Financial Summary'!C37</f>
        <v>0</v>
      </c>
      <c r="D32" s="117">
        <f>'Financial Summary'!D37</f>
        <v>0</v>
      </c>
    </row>
    <row r="33" spans="1:4" ht="13.5" thickBot="1" x14ac:dyDescent="0.35">
      <c r="A33" s="96" t="str">
        <f>'Financial Summary'!A38</f>
        <v>Advertisement</v>
      </c>
      <c r="B33" s="117">
        <f>'Financial Summary'!B38</f>
        <v>0</v>
      </c>
      <c r="C33" s="117">
        <f>'Financial Summary'!C38</f>
        <v>0</v>
      </c>
      <c r="D33" s="117">
        <f>'Financial Summary'!D38</f>
        <v>0</v>
      </c>
    </row>
    <row r="34" spans="1:4" ht="13.5" thickBot="1" x14ac:dyDescent="0.35">
      <c r="A34" s="96" t="str">
        <f>'Financial Summary'!A39</f>
        <v>Data Centre Management</v>
      </c>
      <c r="B34" s="117">
        <f>'Financial Summary'!B39</f>
        <v>0</v>
      </c>
      <c r="C34" s="117">
        <f>'Financial Summary'!C39</f>
        <v>0</v>
      </c>
      <c r="D34" s="117">
        <f>'Financial Summary'!D39</f>
        <v>0</v>
      </c>
    </row>
    <row r="35" spans="1:4" ht="13.5" thickBot="1" x14ac:dyDescent="0.35">
      <c r="A35" s="96" t="str">
        <f>'Financial Summary'!A40</f>
        <v>Call Centre Management</v>
      </c>
      <c r="B35" s="117">
        <f>'Financial Summary'!B40</f>
        <v>0</v>
      </c>
      <c r="C35" s="117">
        <f>'Financial Summary'!C40</f>
        <v>0</v>
      </c>
      <c r="D35" s="117">
        <f>'Financial Summary'!D40</f>
        <v>0</v>
      </c>
    </row>
    <row r="36" spans="1:4" ht="13.5" thickBot="1" x14ac:dyDescent="0.35">
      <c r="A36" s="96" t="str">
        <f>'Financial Summary'!A41</f>
        <v>System Intergration and Testing</v>
      </c>
      <c r="B36" s="117">
        <f>'Financial Summary'!B41</f>
        <v>0</v>
      </c>
      <c r="C36" s="117">
        <f>'Financial Summary'!C41</f>
        <v>0</v>
      </c>
      <c r="D36" s="117">
        <f>'Financial Summary'!D41</f>
        <v>0</v>
      </c>
    </row>
    <row r="37" spans="1:4" ht="13.5" thickBot="1" x14ac:dyDescent="0.35">
      <c r="A37" s="96" t="str">
        <f>'Financial Summary'!A42</f>
        <v>Others :-</v>
      </c>
      <c r="B37" s="117">
        <f>'Financial Summary'!B42</f>
        <v>0</v>
      </c>
      <c r="C37" s="117">
        <f>'Financial Summary'!C42</f>
        <v>0</v>
      </c>
      <c r="D37" s="117">
        <f>'Financial Summary'!D42</f>
        <v>0</v>
      </c>
    </row>
    <row r="38" spans="1:4" ht="13.5" thickBot="1" x14ac:dyDescent="0.35">
      <c r="A38" s="96" t="str">
        <f>'Financial Summary'!A43</f>
        <v>Others :-</v>
      </c>
      <c r="B38" s="117">
        <f>'Financial Summary'!B43</f>
        <v>0</v>
      </c>
      <c r="C38" s="117">
        <f>'Financial Summary'!C43</f>
        <v>0</v>
      </c>
      <c r="D38" s="117">
        <f>'Financial Summary'!D43</f>
        <v>0</v>
      </c>
    </row>
    <row r="39" spans="1:4" ht="14" thickBot="1" x14ac:dyDescent="0.4">
      <c r="A39" s="99" t="s">
        <v>54</v>
      </c>
      <c r="B39" s="116">
        <f>SUM(B21:B38)</f>
        <v>100</v>
      </c>
      <c r="C39" s="116">
        <f>SUM(C21:C38)</f>
        <v>200</v>
      </c>
      <c r="D39" s="116">
        <f>SUM(D21:D38)</f>
        <v>300</v>
      </c>
    </row>
    <row r="40" spans="1:4" x14ac:dyDescent="0.3">
      <c r="A40" s="100"/>
      <c r="B40" s="101"/>
      <c r="C40" s="101"/>
      <c r="D40" s="98"/>
    </row>
    <row r="42" spans="1:4" x14ac:dyDescent="0.3">
      <c r="A42" s="5" t="s">
        <v>55</v>
      </c>
    </row>
    <row r="43" spans="1:4" ht="13.5" thickBot="1" x14ac:dyDescent="0.35"/>
    <row r="44" spans="1:4" ht="21" customHeight="1" thickBot="1" x14ac:dyDescent="0.35">
      <c r="A44" s="95" t="s">
        <v>40</v>
      </c>
      <c r="B44" s="95">
        <f>B20</f>
        <v>2002</v>
      </c>
      <c r="C44" s="95">
        <f>C20</f>
        <v>2003</v>
      </c>
      <c r="D44" s="95">
        <f>D20</f>
        <v>2004</v>
      </c>
    </row>
    <row r="45" spans="1:4" ht="13.5" thickBot="1" x14ac:dyDescent="0.35">
      <c r="A45" s="102" t="s">
        <v>56</v>
      </c>
      <c r="B45" s="103"/>
      <c r="C45" s="104"/>
      <c r="D45" s="104"/>
    </row>
    <row r="46" spans="1:4" x14ac:dyDescent="0.3">
      <c r="A46" s="105" t="str">
        <f>'Financial Summary'!A51</f>
        <v>--R&amp;D Electronic Engineers</v>
      </c>
      <c r="B46" s="118">
        <f>'Financial Summary'!B51</f>
        <v>0</v>
      </c>
      <c r="C46" s="118">
        <f>'Financial Summary'!C51</f>
        <v>0</v>
      </c>
      <c r="D46" s="118">
        <f>'Financial Summary'!D51</f>
        <v>0</v>
      </c>
    </row>
    <row r="47" spans="1:4" x14ac:dyDescent="0.3">
      <c r="A47" s="105" t="str">
        <f>'Financial Summary'!A52</f>
        <v>--R&amp;D Embedded Software Engineers</v>
      </c>
      <c r="B47" s="118">
        <f>'Financial Summary'!B52</f>
        <v>0</v>
      </c>
      <c r="C47" s="118">
        <f>'Financial Summary'!C52</f>
        <v>0</v>
      </c>
      <c r="D47" s="118">
        <f>'Financial Summary'!D52</f>
        <v>0</v>
      </c>
    </row>
    <row r="48" spans="1:4" x14ac:dyDescent="0.3">
      <c r="A48" s="105" t="str">
        <f>'Financial Summary'!A53</f>
        <v>--R&amp;D Software Engineer</v>
      </c>
      <c r="B48" s="118">
        <f>'Financial Summary'!B53</f>
        <v>0</v>
      </c>
      <c r="C48" s="118">
        <f>'Financial Summary'!C53</f>
        <v>0</v>
      </c>
      <c r="D48" s="118">
        <f>'Financial Summary'!D53</f>
        <v>0</v>
      </c>
    </row>
    <row r="49" spans="1:4" x14ac:dyDescent="0.3">
      <c r="A49" s="105" t="str">
        <f>'Financial Summary'!A54</f>
        <v>--R&amp;D Quality &amp; Security Engineer</v>
      </c>
      <c r="B49" s="118">
        <f>'Financial Summary'!B54</f>
        <v>0</v>
      </c>
      <c r="C49" s="118">
        <f>'Financial Summary'!C54</f>
        <v>0</v>
      </c>
      <c r="D49" s="118">
        <f>'Financial Summary'!D54</f>
        <v>0</v>
      </c>
    </row>
    <row r="50" spans="1:4" x14ac:dyDescent="0.3">
      <c r="A50" s="105" t="str">
        <f>'Financial Summary'!A55</f>
        <v>--Chief Designer</v>
      </c>
      <c r="B50" s="118">
        <f>'Financial Summary'!B55</f>
        <v>0</v>
      </c>
      <c r="C50" s="118">
        <f>'Financial Summary'!C55</f>
        <v>0</v>
      </c>
      <c r="D50" s="118">
        <f>'Financial Summary'!D55</f>
        <v>0</v>
      </c>
    </row>
    <row r="51" spans="1:4" x14ac:dyDescent="0.3">
      <c r="A51" s="105" t="str">
        <f>'Financial Summary'!A56</f>
        <v>--Web Designer</v>
      </c>
      <c r="B51" s="118">
        <f>'Financial Summary'!B56</f>
        <v>10</v>
      </c>
      <c r="C51" s="118">
        <f>'Financial Summary'!C56</f>
        <v>20</v>
      </c>
      <c r="D51" s="118">
        <f>'Financial Summary'!D56</f>
        <v>30</v>
      </c>
    </row>
    <row r="52" spans="1:4" x14ac:dyDescent="0.3">
      <c r="A52" s="105" t="str">
        <f>'Financial Summary'!A57</f>
        <v>--Web Engineer</v>
      </c>
      <c r="B52" s="118">
        <f>'Financial Summary'!B57</f>
        <v>0</v>
      </c>
      <c r="C52" s="118">
        <f>'Financial Summary'!C57</f>
        <v>0</v>
      </c>
      <c r="D52" s="118">
        <f>'Financial Summary'!D57</f>
        <v>0</v>
      </c>
    </row>
    <row r="53" spans="1:4" x14ac:dyDescent="0.3">
      <c r="A53" s="105" t="str">
        <f>'Financial Summary'!A58</f>
        <v>--Linguists</v>
      </c>
      <c r="B53" s="118">
        <f>'Financial Summary'!B58</f>
        <v>0</v>
      </c>
      <c r="C53" s="118">
        <f>'Financial Summary'!C58</f>
        <v>0</v>
      </c>
      <c r="D53" s="118">
        <f>'Financial Summary'!D58</f>
        <v>0</v>
      </c>
    </row>
    <row r="54" spans="1:4" x14ac:dyDescent="0.3">
      <c r="A54" s="105" t="str">
        <f>'Financial Summary'!A59</f>
        <v>--Language Translators</v>
      </c>
      <c r="B54" s="118">
        <f>'Financial Summary'!B59</f>
        <v>0</v>
      </c>
      <c r="C54" s="118">
        <f>'Financial Summary'!C59</f>
        <v>0</v>
      </c>
      <c r="D54" s="118">
        <f>'Financial Summary'!D59</f>
        <v>0</v>
      </c>
    </row>
    <row r="55" spans="1:4" x14ac:dyDescent="0.3">
      <c r="A55" s="105" t="str">
        <f>'Financial Summary'!A60</f>
        <v>--Content Developers</v>
      </c>
      <c r="B55" s="118">
        <f>'Financial Summary'!B60</f>
        <v>0</v>
      </c>
      <c r="C55" s="118">
        <f>'Financial Summary'!C60</f>
        <v>0</v>
      </c>
      <c r="D55" s="118">
        <f>'Financial Summary'!D60</f>
        <v>0</v>
      </c>
    </row>
    <row r="56" spans="1:4" ht="13.5" thickBot="1" x14ac:dyDescent="0.35">
      <c r="A56" s="105" t="str">
        <f>'Financial Summary'!A61</f>
        <v>--Others:-(please specify)</v>
      </c>
      <c r="B56" s="118">
        <f>'Financial Summary'!B61</f>
        <v>0</v>
      </c>
      <c r="C56" s="118">
        <f>'Financial Summary'!C61</f>
        <v>0</v>
      </c>
      <c r="D56" s="118">
        <f>'Financial Summary'!D61</f>
        <v>0</v>
      </c>
    </row>
    <row r="57" spans="1:4" ht="14" thickBot="1" x14ac:dyDescent="0.4">
      <c r="A57" s="106" t="s">
        <v>67</v>
      </c>
      <c r="B57" s="119">
        <f>SUM(B46:B56)</f>
        <v>10</v>
      </c>
      <c r="C57" s="119">
        <f>SUM(C46:C56)</f>
        <v>20</v>
      </c>
      <c r="D57" s="119">
        <f>SUM(D46:D56)</f>
        <v>30</v>
      </c>
    </row>
    <row r="58" spans="1:4" ht="14" thickBot="1" x14ac:dyDescent="0.4">
      <c r="A58" s="106"/>
      <c r="B58" s="166">
        <f>B57/B88</f>
        <v>0.14285714285714285</v>
      </c>
      <c r="C58" s="166">
        <f>C57/C88</f>
        <v>0.14285714285714285</v>
      </c>
      <c r="D58" s="166">
        <f>D57/D88</f>
        <v>0.14285714285714285</v>
      </c>
    </row>
    <row r="59" spans="1:4" ht="13.5" thickBot="1" x14ac:dyDescent="0.35">
      <c r="A59" s="102" t="s">
        <v>68</v>
      </c>
      <c r="B59" s="103"/>
      <c r="C59" s="104"/>
      <c r="D59" s="104"/>
    </row>
    <row r="60" spans="1:4" x14ac:dyDescent="0.3">
      <c r="A60" s="105" t="str">
        <f>'Financial Summary'!A64</f>
        <v>--Computer Servers</v>
      </c>
      <c r="B60" s="118">
        <f>'Financial Summary'!B64</f>
        <v>0</v>
      </c>
      <c r="C60" s="118">
        <f>'Financial Summary'!C64</f>
        <v>0</v>
      </c>
      <c r="D60" s="118">
        <f>'Financial Summary'!D64</f>
        <v>0</v>
      </c>
    </row>
    <row r="61" spans="1:4" x14ac:dyDescent="0.3">
      <c r="A61" s="105" t="str">
        <f>'Financial Summary'!A65</f>
        <v>--Personal Computers</v>
      </c>
      <c r="B61" s="118">
        <f>'Financial Summary'!B65</f>
        <v>0</v>
      </c>
      <c r="C61" s="118">
        <f>'Financial Summary'!C65</f>
        <v>0</v>
      </c>
      <c r="D61" s="118">
        <f>'Financial Summary'!D65</f>
        <v>0</v>
      </c>
    </row>
    <row r="62" spans="1:4" x14ac:dyDescent="0.3">
      <c r="A62" s="105" t="str">
        <f>'Financial Summary'!A66</f>
        <v>--ISDN Lines Connection</v>
      </c>
      <c r="B62" s="118">
        <f>'Financial Summary'!B66</f>
        <v>10</v>
      </c>
      <c r="C62" s="118">
        <f>'Financial Summary'!C66</f>
        <v>20</v>
      </c>
      <c r="D62" s="118">
        <f>'Financial Summary'!D66</f>
        <v>30</v>
      </c>
    </row>
    <row r="63" spans="1:4" x14ac:dyDescent="0.3">
      <c r="A63" s="105" t="str">
        <f>'Financial Summary'!A67</f>
        <v>--Workstations Hardware &amp; Accessories</v>
      </c>
      <c r="B63" s="118">
        <f>'Financial Summary'!B67</f>
        <v>0</v>
      </c>
      <c r="C63" s="118">
        <f>'Financial Summary'!C67</f>
        <v>0</v>
      </c>
      <c r="D63" s="118">
        <f>'Financial Summary'!D67</f>
        <v>0</v>
      </c>
    </row>
    <row r="64" spans="1:4" x14ac:dyDescent="0.3">
      <c r="A64" s="105" t="str">
        <f>'Financial Summary'!A68</f>
        <v>--Furniture &amp; Fittings</v>
      </c>
      <c r="B64" s="118">
        <f>'Financial Summary'!B68</f>
        <v>0</v>
      </c>
      <c r="C64" s="118">
        <f>'Financial Summary'!C68</f>
        <v>0</v>
      </c>
      <c r="D64" s="118">
        <f>'Financial Summary'!D68</f>
        <v>0</v>
      </c>
    </row>
    <row r="65" spans="1:4" ht="13.5" thickBot="1" x14ac:dyDescent="0.35">
      <c r="A65" s="105" t="str">
        <f>'Financial Summary'!A69</f>
        <v>--Others:-(please specify)</v>
      </c>
      <c r="B65" s="118">
        <f>'Financial Summary'!B69</f>
        <v>0</v>
      </c>
      <c r="C65" s="118">
        <f>'Financial Summary'!C69</f>
        <v>0</v>
      </c>
      <c r="D65" s="118">
        <f>'Financial Summary'!D69</f>
        <v>0</v>
      </c>
    </row>
    <row r="66" spans="1:4" ht="14" thickBot="1" x14ac:dyDescent="0.4">
      <c r="A66" s="106" t="s">
        <v>67</v>
      </c>
      <c r="B66" s="119">
        <f>SUM(B60:B65)</f>
        <v>10</v>
      </c>
      <c r="C66" s="119">
        <f>SUM(C60:C65)</f>
        <v>20</v>
      </c>
      <c r="D66" s="119">
        <f>SUM(D60:D65)</f>
        <v>30</v>
      </c>
    </row>
    <row r="67" spans="1:4" ht="14" thickBot="1" x14ac:dyDescent="0.4">
      <c r="A67" s="106"/>
      <c r="B67" s="166">
        <f>B66/B88</f>
        <v>0.14285714285714285</v>
      </c>
      <c r="C67" s="166">
        <f>C66/C88</f>
        <v>0.14285714285714285</v>
      </c>
      <c r="D67" s="166">
        <f>D66/D88</f>
        <v>0.14285714285714285</v>
      </c>
    </row>
    <row r="68" spans="1:4" ht="13.5" thickBot="1" x14ac:dyDescent="0.35">
      <c r="A68" s="102" t="s">
        <v>74</v>
      </c>
      <c r="B68" s="104"/>
      <c r="C68" s="104"/>
      <c r="D68" s="104"/>
    </row>
    <row r="69" spans="1:4" x14ac:dyDescent="0.3">
      <c r="A69" s="105" t="str">
        <f>'Financial Summary'!A72</f>
        <v>--Software Licencing for Windows NT</v>
      </c>
      <c r="B69" s="118">
        <f>'Financial Summary'!B72</f>
        <v>0</v>
      </c>
      <c r="C69" s="118">
        <f>'Financial Summary'!C72</f>
        <v>0</v>
      </c>
      <c r="D69" s="118">
        <f>'Financial Summary'!D72</f>
        <v>0</v>
      </c>
    </row>
    <row r="70" spans="1:4" x14ac:dyDescent="0.3">
      <c r="A70" s="105" t="str">
        <f>'Financial Summary'!A73</f>
        <v>--Software for Hardware Development</v>
      </c>
      <c r="B70" s="118">
        <f>'Financial Summary'!B73</f>
        <v>10</v>
      </c>
      <c r="C70" s="118">
        <f>'Financial Summary'!C73</f>
        <v>20</v>
      </c>
      <c r="D70" s="118">
        <f>'Financial Summary'!D73</f>
        <v>30</v>
      </c>
    </row>
    <row r="71" spans="1:4" x14ac:dyDescent="0.3">
      <c r="A71" s="105" t="str">
        <f>'Financial Summary'!A74</f>
        <v>--Design Tools</v>
      </c>
      <c r="B71" s="118">
        <f>'Financial Summary'!B74</f>
        <v>0</v>
      </c>
      <c r="C71" s="118">
        <f>'Financial Summary'!C74</f>
        <v>0</v>
      </c>
      <c r="D71" s="118">
        <f>'Financial Summary'!D74</f>
        <v>0</v>
      </c>
    </row>
    <row r="72" spans="1:4" ht="13.5" thickBot="1" x14ac:dyDescent="0.35">
      <c r="A72" s="105" t="str">
        <f>'Financial Summary'!A75</f>
        <v>--Others:-(please specify)</v>
      </c>
      <c r="B72" s="118">
        <f>'Financial Summary'!B75</f>
        <v>0</v>
      </c>
      <c r="C72" s="118">
        <f>'Financial Summary'!C75</f>
        <v>0</v>
      </c>
      <c r="D72" s="118">
        <f>'Financial Summary'!D75</f>
        <v>0</v>
      </c>
    </row>
    <row r="73" spans="1:4" ht="14" thickBot="1" x14ac:dyDescent="0.4">
      <c r="A73" s="106" t="s">
        <v>67</v>
      </c>
      <c r="B73" s="119">
        <f>SUM(B69:B72)</f>
        <v>10</v>
      </c>
      <c r="C73" s="119">
        <f>SUM(C69:C72)</f>
        <v>20</v>
      </c>
      <c r="D73" s="119">
        <f>SUM(D69:D72)</f>
        <v>30</v>
      </c>
    </row>
    <row r="74" spans="1:4" ht="14" thickBot="1" x14ac:dyDescent="0.4">
      <c r="A74" s="106"/>
      <c r="B74" s="166">
        <f>B73/B88</f>
        <v>0.14285714285714285</v>
      </c>
      <c r="C74" s="166">
        <f>C73/C88</f>
        <v>0.14285714285714285</v>
      </c>
      <c r="D74" s="166">
        <f>D73/D88</f>
        <v>0.14285714285714285</v>
      </c>
    </row>
    <row r="75" spans="1:4" ht="13.5" thickBot="1" x14ac:dyDescent="0.35">
      <c r="A75" s="102" t="s">
        <v>78</v>
      </c>
      <c r="B75" s="103"/>
      <c r="C75" s="104"/>
      <c r="D75" s="104"/>
    </row>
    <row r="76" spans="1:4" x14ac:dyDescent="0.3">
      <c r="A76" s="105" t="str">
        <f>'Financial Summary'!A78</f>
        <v>--Content &amp; Design Fee</v>
      </c>
      <c r="B76" s="118">
        <f>'Financial Summary'!B78</f>
        <v>0</v>
      </c>
      <c r="C76" s="118">
        <f>'Financial Summary'!C78</f>
        <v>0</v>
      </c>
      <c r="D76" s="118">
        <f>'Financial Summary'!D78</f>
        <v>0</v>
      </c>
    </row>
    <row r="77" spans="1:4" x14ac:dyDescent="0.3">
      <c r="A77" s="105" t="str">
        <f>'Financial Summary'!A79</f>
        <v>--Mould Making</v>
      </c>
      <c r="B77" s="118">
        <f>'Financial Summary'!B79</f>
        <v>0</v>
      </c>
      <c r="C77" s="118">
        <f>'Financial Summary'!C79</f>
        <v>0</v>
      </c>
      <c r="D77" s="118">
        <f>'Financial Summary'!D79</f>
        <v>0</v>
      </c>
    </row>
    <row r="78" spans="1:4" x14ac:dyDescent="0.3">
      <c r="A78" s="105" t="str">
        <f>'Financial Summary'!A80</f>
        <v>--Prototyping Costs</v>
      </c>
      <c r="B78" s="118">
        <f>'Financial Summary'!B80</f>
        <v>10</v>
      </c>
      <c r="C78" s="118">
        <f>'Financial Summary'!C80</f>
        <v>20</v>
      </c>
      <c r="D78" s="118">
        <f>'Financial Summary'!D80</f>
        <v>30</v>
      </c>
    </row>
    <row r="79" spans="1:4" ht="13.5" thickBot="1" x14ac:dyDescent="0.35">
      <c r="A79" s="105" t="str">
        <f>'Financial Summary'!A81</f>
        <v>--Others:-(please specify)</v>
      </c>
      <c r="B79" s="118">
        <f>'Financial Summary'!B81</f>
        <v>0</v>
      </c>
      <c r="C79" s="118">
        <f>'Financial Summary'!C81</f>
        <v>0</v>
      </c>
      <c r="D79" s="118">
        <f>'Financial Summary'!D81</f>
        <v>0</v>
      </c>
    </row>
    <row r="80" spans="1:4" ht="14" thickBot="1" x14ac:dyDescent="0.4">
      <c r="A80" s="106" t="s">
        <v>67</v>
      </c>
      <c r="B80" s="119">
        <f>SUM(B76:B79)</f>
        <v>10</v>
      </c>
      <c r="C80" s="119">
        <f>SUM(C76:C79)</f>
        <v>20</v>
      </c>
      <c r="D80" s="119">
        <f>SUM(D76:D79)</f>
        <v>30</v>
      </c>
    </row>
    <row r="81" spans="1:6" ht="14" thickBot="1" x14ac:dyDescent="0.4">
      <c r="A81" s="106"/>
      <c r="B81" s="167">
        <f>B80/B88</f>
        <v>0.14285714285714285</v>
      </c>
      <c r="C81" s="167">
        <f>C80/C88</f>
        <v>0.14285714285714285</v>
      </c>
      <c r="D81" s="167">
        <f>D80/D88</f>
        <v>0.14285714285714285</v>
      </c>
    </row>
    <row r="82" spans="1:6" ht="13.5" thickBot="1" x14ac:dyDescent="0.35">
      <c r="A82" s="102" t="s">
        <v>82</v>
      </c>
      <c r="B82" s="118">
        <f>'Financial Summary'!B83</f>
        <v>10</v>
      </c>
      <c r="C82" s="118">
        <f>'Financial Summary'!C83</f>
        <v>20</v>
      </c>
      <c r="D82" s="118">
        <f>'Financial Summary'!D83</f>
        <v>30</v>
      </c>
    </row>
    <row r="83" spans="1:6" ht="13.5" thickBot="1" x14ac:dyDescent="0.35">
      <c r="A83" s="102"/>
      <c r="B83" s="168">
        <f>B82/B88</f>
        <v>0.14285714285714285</v>
      </c>
      <c r="C83" s="168">
        <f>C82/C88</f>
        <v>0.14285714285714285</v>
      </c>
      <c r="D83" s="168">
        <f>D82/D88</f>
        <v>0.14285714285714285</v>
      </c>
    </row>
    <row r="84" spans="1:6" ht="13.5" thickBot="1" x14ac:dyDescent="0.35">
      <c r="A84" s="102" t="s">
        <v>83</v>
      </c>
      <c r="B84" s="165">
        <f>'Financial Summary'!B84</f>
        <v>10</v>
      </c>
      <c r="C84" s="165">
        <f>'Financial Summary'!C84</f>
        <v>20</v>
      </c>
      <c r="D84" s="165">
        <f>'Financial Summary'!D84</f>
        <v>30</v>
      </c>
    </row>
    <row r="85" spans="1:6" ht="13.5" thickBot="1" x14ac:dyDescent="0.35">
      <c r="A85" s="107"/>
      <c r="B85" s="168">
        <f>B84/B88</f>
        <v>0.14285714285714285</v>
      </c>
      <c r="C85" s="168">
        <f>C84/C88</f>
        <v>0.14285714285714285</v>
      </c>
      <c r="D85" s="168">
        <f>D84/D88</f>
        <v>0.14285714285714285</v>
      </c>
    </row>
    <row r="86" spans="1:6" ht="14" thickBot="1" x14ac:dyDescent="0.4">
      <c r="A86" s="107" t="s">
        <v>315</v>
      </c>
      <c r="B86" s="165">
        <f>'Financial Summary'!B85</f>
        <v>10</v>
      </c>
      <c r="C86" s="165">
        <f>'Financial Summary'!C85</f>
        <v>20</v>
      </c>
      <c r="D86" s="165">
        <f>'Financial Summary'!D85</f>
        <v>30</v>
      </c>
    </row>
    <row r="87" spans="1:6" ht="13.5" thickBot="1" x14ac:dyDescent="0.35">
      <c r="A87" s="107"/>
      <c r="B87" s="169">
        <f>B86/B88</f>
        <v>0.14285714285714285</v>
      </c>
      <c r="C87" s="169">
        <f>C86/C88</f>
        <v>0.14285714285714285</v>
      </c>
      <c r="D87" s="169">
        <f>D86/D88</f>
        <v>0.14285714285714285</v>
      </c>
    </row>
    <row r="88" spans="1:6" ht="14" thickBot="1" x14ac:dyDescent="0.4">
      <c r="A88" s="99" t="s">
        <v>84</v>
      </c>
      <c r="B88" s="120">
        <f>B57+B66+B73+B80+B82+B84+B86</f>
        <v>70</v>
      </c>
      <c r="C88" s="121">
        <f>C57+C66+C73+C80+C82+C84+C86</f>
        <v>140</v>
      </c>
      <c r="D88" s="121">
        <f>D57+D66+D73+D80+D82+D84+D86</f>
        <v>210</v>
      </c>
    </row>
    <row r="89" spans="1:6" x14ac:dyDescent="0.3">
      <c r="B89" s="101"/>
      <c r="C89" s="101"/>
      <c r="D89" s="98"/>
    </row>
    <row r="90" spans="1:6" x14ac:dyDescent="0.3">
      <c r="A90" s="5" t="s">
        <v>139</v>
      </c>
      <c r="B90" s="98"/>
      <c r="C90" s="98"/>
      <c r="D90" s="98"/>
    </row>
    <row r="91" spans="1:6" ht="13.5" thickBot="1" x14ac:dyDescent="0.35"/>
    <row r="92" spans="1:6" ht="13.5" thickBot="1" x14ac:dyDescent="0.35">
      <c r="A92" s="108" t="s">
        <v>113</v>
      </c>
      <c r="B92" s="122">
        <f>'Financial Summary'!B93</f>
        <v>1999</v>
      </c>
      <c r="C92" s="122">
        <f>'Financial Summary'!C93</f>
        <v>2000</v>
      </c>
      <c r="D92" s="122">
        <f>'Financial Summary'!D93</f>
        <v>2001</v>
      </c>
      <c r="E92" s="128"/>
      <c r="F92" s="128"/>
    </row>
    <row r="93" spans="1:6" x14ac:dyDescent="0.3">
      <c r="A93" s="109" t="s">
        <v>114</v>
      </c>
      <c r="B93" s="123">
        <f>'Financial Summary'!B94</f>
        <v>0</v>
      </c>
      <c r="C93" s="123">
        <f>'Financial Summary'!C94</f>
        <v>0</v>
      </c>
      <c r="D93" s="123">
        <f>'Financial Summary'!D94</f>
        <v>0</v>
      </c>
      <c r="E93" s="129"/>
      <c r="F93" s="129"/>
    </row>
    <row r="94" spans="1:6" x14ac:dyDescent="0.3">
      <c r="A94" s="109"/>
      <c r="B94" s="123"/>
      <c r="C94" s="123"/>
      <c r="D94" s="123"/>
      <c r="E94" s="129"/>
      <c r="F94" s="129"/>
    </row>
    <row r="95" spans="1:6" x14ac:dyDescent="0.3">
      <c r="A95" s="109" t="s">
        <v>115</v>
      </c>
      <c r="B95" s="124">
        <f>'Financial Summary'!B96</f>
        <v>0</v>
      </c>
      <c r="C95" s="124">
        <f>'Financial Summary'!C96</f>
        <v>0</v>
      </c>
      <c r="D95" s="124">
        <f>'Financial Summary'!D96</f>
        <v>0</v>
      </c>
      <c r="E95" s="130"/>
      <c r="F95" s="130"/>
    </row>
    <row r="96" spans="1:6" ht="13.5" thickBot="1" x14ac:dyDescent="0.35">
      <c r="A96" s="110"/>
      <c r="B96" s="111"/>
      <c r="C96" s="112"/>
      <c r="D96" s="112"/>
      <c r="E96" s="64"/>
      <c r="F96" s="64"/>
    </row>
    <row r="99" spans="1:4" ht="13.5" x14ac:dyDescent="0.35">
      <c r="A99" s="58" t="s">
        <v>156</v>
      </c>
      <c r="B99" s="113" t="e">
        <f>SUM(B95:D95)/'Financial Summary'!B92</f>
        <v>#DIV/0!</v>
      </c>
    </row>
    <row r="100" spans="1:4" ht="13.5" thickBot="1" x14ac:dyDescent="0.35"/>
    <row r="101" spans="1:4" ht="13.5" thickBot="1" x14ac:dyDescent="0.35">
      <c r="A101" s="65" t="s">
        <v>30</v>
      </c>
      <c r="B101" s="66"/>
      <c r="C101" s="66"/>
      <c r="D101" s="67">
        <f>Notes!F52</f>
        <v>600</v>
      </c>
    </row>
    <row r="102" spans="1:4" ht="13.5" thickBot="1" x14ac:dyDescent="0.35">
      <c r="A102" s="69" t="s">
        <v>274</v>
      </c>
      <c r="B102" s="70"/>
      <c r="C102" s="70"/>
      <c r="D102" s="67">
        <f>Notes!F53</f>
        <v>420</v>
      </c>
    </row>
    <row r="103" spans="1:4" ht="13.5" thickBot="1" x14ac:dyDescent="0.35">
      <c r="A103" s="69" t="s">
        <v>275</v>
      </c>
      <c r="B103" s="70"/>
      <c r="C103" s="70"/>
      <c r="D103" s="67">
        <f>Notes!F54</f>
        <v>0.7</v>
      </c>
    </row>
    <row r="104" spans="1:4" ht="13.5" thickBot="1" x14ac:dyDescent="0.35">
      <c r="A104" s="69" t="s">
        <v>276</v>
      </c>
      <c r="B104" s="70"/>
      <c r="C104" s="70"/>
      <c r="D104" s="67">
        <f>Notes!F55</f>
        <v>124529.98677248677</v>
      </c>
    </row>
    <row r="105" spans="1:4" ht="13.5" thickBot="1" x14ac:dyDescent="0.35">
      <c r="A105" s="69" t="s">
        <v>277</v>
      </c>
      <c r="B105" s="70"/>
      <c r="C105" s="70"/>
      <c r="D105" s="67">
        <f>Notes!F56</f>
        <v>120</v>
      </c>
    </row>
    <row r="106" spans="1:4" ht="13.5" thickBot="1" x14ac:dyDescent="0.35">
      <c r="A106" s="69" t="s">
        <v>278</v>
      </c>
      <c r="B106" s="70"/>
      <c r="C106" s="70"/>
      <c r="D106" s="67">
        <f>Notes!F57</f>
        <v>206.66666666666666</v>
      </c>
    </row>
    <row r="107" spans="1:4" ht="13.5" thickBot="1" x14ac:dyDescent="0.35">
      <c r="A107" s="69" t="s">
        <v>279</v>
      </c>
      <c r="B107" s="70"/>
      <c r="C107" s="70"/>
      <c r="D107" s="67">
        <f>Notes!F58</f>
        <v>460</v>
      </c>
    </row>
    <row r="109" spans="1:4" x14ac:dyDescent="0.3">
      <c r="A109" s="23" t="s">
        <v>332</v>
      </c>
      <c r="B109" s="18">
        <f>'Financial Summary'!B110</f>
        <v>2002</v>
      </c>
      <c r="C109" s="18">
        <f>'Financial Summary'!C110</f>
        <v>2003</v>
      </c>
      <c r="D109" s="18">
        <f>'Financial Summary'!D110</f>
        <v>2004</v>
      </c>
    </row>
    <row r="111" spans="1:4" x14ac:dyDescent="0.3">
      <c r="A111" s="23" t="s">
        <v>341</v>
      </c>
    </row>
    <row r="112" spans="1:4" x14ac:dyDescent="0.3">
      <c r="A112" s="160" t="s">
        <v>345</v>
      </c>
      <c r="B112" s="154">
        <f>'Financial Summary'!B113</f>
        <v>1</v>
      </c>
      <c r="C112" s="154">
        <f>'Financial Summary'!C113</f>
        <v>1</v>
      </c>
      <c r="D112" s="154">
        <f>'Financial Summary'!D113</f>
        <v>1</v>
      </c>
    </row>
    <row r="113" spans="1:4" x14ac:dyDescent="0.3">
      <c r="A113" s="161" t="s">
        <v>346</v>
      </c>
      <c r="B113" s="154">
        <f>'Financial Summary'!B114</f>
        <v>32.645000000000003</v>
      </c>
      <c r="C113" s="154">
        <f>'Financial Summary'!C114</f>
        <v>28.942555555555554</v>
      </c>
      <c r="D113" s="154">
        <f>'Financial Summary'!D114</f>
        <v>86.05128395061729</v>
      </c>
    </row>
    <row r="114" spans="1:4" x14ac:dyDescent="0.3">
      <c r="A114" s="161" t="s">
        <v>197</v>
      </c>
      <c r="B114" s="154">
        <f>'Financial Summary'!B115</f>
        <v>0.33576131344278687</v>
      </c>
      <c r="C114" s="154">
        <f>'Financial Summary'!C115</f>
        <v>0.39574618918920923</v>
      </c>
      <c r="D114" s="154">
        <f>'Financial Summary'!D115</f>
        <v>0.74330238077844968</v>
      </c>
    </row>
    <row r="115" spans="1:4" x14ac:dyDescent="0.3">
      <c r="A115" s="162" t="s">
        <v>334</v>
      </c>
      <c r="B115" s="61">
        <f>'Financial Summary'!B116</f>
        <v>1.0000833402783564E-2</v>
      </c>
      <c r="C115" s="61">
        <f>'Financial Summary'!C116</f>
        <v>1.3375828836949388E-2</v>
      </c>
      <c r="D115" s="61">
        <f>'Financial Summary'!D116</f>
        <v>8.5880166208868822E-3</v>
      </c>
    </row>
    <row r="116" spans="1:4" x14ac:dyDescent="0.3">
      <c r="A116" s="163"/>
      <c r="B116" s="34"/>
      <c r="C116" s="34"/>
      <c r="D116" s="34"/>
    </row>
    <row r="117" spans="1:4" x14ac:dyDescent="0.3">
      <c r="A117" s="164" t="s">
        <v>342</v>
      </c>
      <c r="B117" s="34"/>
      <c r="C117" s="34"/>
      <c r="D117" s="34"/>
    </row>
    <row r="118" spans="1:4" x14ac:dyDescent="0.3">
      <c r="A118" s="161" t="s">
        <v>335</v>
      </c>
      <c r="B118" s="155">
        <f>'Financial Summary'!B119</f>
        <v>9461.8333333333339</v>
      </c>
      <c r="C118" s="155">
        <f>'Financial Summary'!C119</f>
        <v>7256.6166666666677</v>
      </c>
      <c r="D118" s="155">
        <f>'Financial Summary'!D119</f>
        <v>11500.811111111112</v>
      </c>
    </row>
    <row r="119" spans="1:4" x14ac:dyDescent="0.3">
      <c r="A119" s="161" t="s">
        <v>336</v>
      </c>
      <c r="B119" s="155">
        <f>'Financial Summary'!B120</f>
        <v>9461.8333333333339</v>
      </c>
      <c r="C119" s="155">
        <f>'Financial Summary'!C120</f>
        <v>7256.6166666666677</v>
      </c>
      <c r="D119" s="155">
        <f>'Financial Summary'!D120</f>
        <v>11500.811111111112</v>
      </c>
    </row>
    <row r="120" spans="1:4" x14ac:dyDescent="0.3">
      <c r="A120" s="163"/>
      <c r="B120" s="34"/>
      <c r="C120" s="34"/>
      <c r="D120" s="34"/>
    </row>
    <row r="121" spans="1:4" x14ac:dyDescent="0.3">
      <c r="A121" s="164" t="s">
        <v>343</v>
      </c>
      <c r="B121" s="34"/>
      <c r="C121" s="34"/>
      <c r="D121" s="34"/>
    </row>
    <row r="122" spans="1:4" x14ac:dyDescent="0.3">
      <c r="A122" s="161" t="s">
        <v>337</v>
      </c>
      <c r="B122" s="61">
        <f>'Financial Summary'!B123</f>
        <v>2.0186163522012577</v>
      </c>
      <c r="C122" s="61">
        <f>'Financial Summary'!C123</f>
        <v>0.64329334933832849</v>
      </c>
      <c r="D122" s="61">
        <f>'Financial Summary'!D123</f>
        <v>5.7286242486087136E-4</v>
      </c>
    </row>
    <row r="123" spans="1:4" x14ac:dyDescent="0.3">
      <c r="A123" s="161" t="s">
        <v>338</v>
      </c>
      <c r="B123" s="61">
        <f>'Financial Summary'!B124</f>
        <v>2799.1428571428569</v>
      </c>
      <c r="C123" s="61">
        <f>'Financial Summary'!C124</f>
        <v>3618.8194444444443</v>
      </c>
      <c r="D123" s="61">
        <f>'Financial Summary'!D124</f>
        <v>14342.880658436216</v>
      </c>
    </row>
    <row r="124" spans="1:4" x14ac:dyDescent="0.3">
      <c r="A124" s="163"/>
      <c r="B124" s="34"/>
      <c r="C124" s="34"/>
      <c r="D124" s="34"/>
    </row>
    <row r="125" spans="1:4" x14ac:dyDescent="0.3">
      <c r="A125" s="164" t="s">
        <v>344</v>
      </c>
      <c r="B125" s="34"/>
      <c r="C125" s="34"/>
      <c r="D125" s="34"/>
    </row>
    <row r="126" spans="1:4" x14ac:dyDescent="0.3">
      <c r="A126" s="161" t="s">
        <v>339</v>
      </c>
      <c r="B126" s="62">
        <f>'Financial Summary'!B127</f>
        <v>65.290000000000006</v>
      </c>
      <c r="C126" s="62">
        <f>'Financial Summary'!C127</f>
        <v>115.77022222222222</v>
      </c>
      <c r="D126" s="62">
        <f>'Financial Summary'!D127</f>
        <v>516.30770370370374</v>
      </c>
    </row>
    <row r="127" spans="1:4" x14ac:dyDescent="0.3">
      <c r="A127" s="162" t="s">
        <v>188</v>
      </c>
      <c r="B127" s="154">
        <f>'Financial Summary'!B128</f>
        <v>0.9855094339622642</v>
      </c>
      <c r="C127" s="154">
        <f>'Financial Summary'!C128</f>
        <v>0.63616925404592195</v>
      </c>
      <c r="D127" s="154">
        <f>'Financial Summary'!D128</f>
        <v>0.73943320779513</v>
      </c>
    </row>
    <row r="128" spans="1:4" x14ac:dyDescent="0.3">
      <c r="A128" s="162" t="s">
        <v>340</v>
      </c>
      <c r="B128" s="34">
        <f>'Financial Summary'!B129</f>
        <v>1632.25</v>
      </c>
      <c r="C128" s="34">
        <f>'Financial Summary'!C129</f>
        <v>2894.2555555555555</v>
      </c>
      <c r="D128" s="34">
        <f>'Financial Summary'!D129</f>
        <v>12907.692592592593</v>
      </c>
    </row>
    <row r="129" spans="1:4" x14ac:dyDescent="0.3">
      <c r="A129" s="163" t="s">
        <v>280</v>
      </c>
      <c r="B129" s="154">
        <f>'Financial Summary'!B130</f>
        <v>0.33576131344278692</v>
      </c>
      <c r="C129" s="154">
        <f>'Financial Summary'!C130</f>
        <v>0.39574618918920934</v>
      </c>
      <c r="D129" s="154">
        <f>'Financial Summary'!D130</f>
        <v>0.74330238077844968</v>
      </c>
    </row>
  </sheetData>
  <phoneticPr fontId="0" type="noConversion"/>
  <pageMargins left="1" right="0.75" top="0.75" bottom="0.5" header="0.5" footer="0.5"/>
  <pageSetup paperSize="9" scale="59" orientation="portrait" r:id="rId1"/>
  <headerFooter alignWithMargins="0">
    <oddFooter>&amp;L&amp;A / &amp;F&amp;CPrinted on &amp;D at &amp;T&amp;R&amp;P of &amp;N</oddFooter>
  </headerFooter>
  <rowBreaks count="1" manualBreakCount="1">
    <brk id="89" max="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30"/>
  <sheetViews>
    <sheetView zoomScaleNormal="100" workbookViewId="0"/>
  </sheetViews>
  <sheetFormatPr defaultColWidth="9.1796875" defaultRowHeight="13" x14ac:dyDescent="0.3"/>
  <cols>
    <col min="1" max="1" width="53.81640625" style="3" customWidth="1"/>
    <col min="2" max="2" width="15.1796875" style="3" bestFit="1" customWidth="1"/>
    <col min="3" max="3" width="14.81640625" style="3" customWidth="1"/>
    <col min="4" max="4" width="16.26953125" style="3" customWidth="1"/>
    <col min="5" max="5" width="15.7265625" style="3" customWidth="1"/>
    <col min="6" max="6" width="16.453125" style="3" customWidth="1"/>
    <col min="7" max="16384" width="9.1796875" style="3"/>
  </cols>
  <sheetData>
    <row r="1" spans="1:4" x14ac:dyDescent="0.3">
      <c r="A1" s="125" t="s">
        <v>375</v>
      </c>
    </row>
    <row r="2" spans="1:4" x14ac:dyDescent="0.3">
      <c r="A2" s="183" t="str">
        <f>ProfitLoss!A2</f>
        <v>Co. name:</v>
      </c>
      <c r="B2" s="5">
        <f>ProfitLoss!B2</f>
        <v>0</v>
      </c>
    </row>
    <row r="4" spans="1:4" ht="13.5" x14ac:dyDescent="0.35">
      <c r="A4" s="5" t="s">
        <v>271</v>
      </c>
      <c r="B4" s="58"/>
    </row>
    <row r="5" spans="1:4" ht="13.5" thickBot="1" x14ac:dyDescent="0.35"/>
    <row r="6" spans="1:4" ht="21" customHeight="1" thickBot="1" x14ac:dyDescent="0.35">
      <c r="A6" s="95" t="s">
        <v>29</v>
      </c>
      <c r="B6" s="95">
        <f>'Notes 2'!C5</f>
        <v>2002</v>
      </c>
      <c r="C6" s="95">
        <f>B6+1</f>
        <v>2003</v>
      </c>
      <c r="D6" s="95">
        <f>C6+1</f>
        <v>2004</v>
      </c>
    </row>
    <row r="7" spans="1:4" ht="18" customHeight="1" thickBot="1" x14ac:dyDescent="0.35">
      <c r="A7" s="96" t="s">
        <v>313</v>
      </c>
      <c r="B7" s="131">
        <f>'Notes 2'!$C$7*B9</f>
        <v>10</v>
      </c>
      <c r="C7" s="131">
        <f>'Notes 2'!$D$7*C9</f>
        <v>40</v>
      </c>
      <c r="D7" s="131">
        <f>'Notes 2'!$E$7*D9</f>
        <v>90</v>
      </c>
    </row>
    <row r="8" spans="1:4" ht="18" customHeight="1" thickBot="1" x14ac:dyDescent="0.35">
      <c r="A8" s="96" t="s">
        <v>314</v>
      </c>
      <c r="B8" s="131">
        <f>B9*'Notes 2'!$C$8</f>
        <v>90</v>
      </c>
      <c r="C8" s="131">
        <f>C9*'Notes 2'!$D$8</f>
        <v>160</v>
      </c>
      <c r="D8" s="131">
        <f>D9*'Notes 2'!$E$8</f>
        <v>210</v>
      </c>
    </row>
    <row r="9" spans="1:4" ht="18" customHeight="1" thickBot="1" x14ac:dyDescent="0.4">
      <c r="A9" s="132" t="s">
        <v>30</v>
      </c>
      <c r="B9" s="133">
        <f>B44</f>
        <v>100</v>
      </c>
      <c r="C9" s="133">
        <f>C44</f>
        <v>200</v>
      </c>
      <c r="D9" s="133">
        <f>D44</f>
        <v>300</v>
      </c>
    </row>
    <row r="10" spans="1:4" ht="18" customHeight="1" thickBot="1" x14ac:dyDescent="0.35">
      <c r="A10" s="96" t="s">
        <v>31</v>
      </c>
      <c r="B10" s="131">
        <f>ProfitLoss!B50</f>
        <v>3264.5</v>
      </c>
      <c r="C10" s="131">
        <f>ProfitLoss!C50</f>
        <v>5788.5111111111109</v>
      </c>
      <c r="D10" s="131">
        <f>ProfitLoss!D50</f>
        <v>25815.385185185187</v>
      </c>
    </row>
    <row r="11" spans="1:4" ht="18" customHeight="1" thickBot="1" x14ac:dyDescent="0.35">
      <c r="A11" s="96" t="s">
        <v>32</v>
      </c>
      <c r="B11" s="131">
        <f>CFS!B12</f>
        <v>45</v>
      </c>
      <c r="C11" s="131">
        <f>CFS!C12</f>
        <v>151.66666666666669</v>
      </c>
      <c r="D11" s="131">
        <f>CFS!D12</f>
        <v>236.33333333333331</v>
      </c>
    </row>
    <row r="12" spans="1:4" ht="18" customHeight="1" thickBot="1" x14ac:dyDescent="0.35">
      <c r="A12" s="96" t="s">
        <v>33</v>
      </c>
      <c r="B12" s="131">
        <f>CFS!B32</f>
        <v>9441.8333333333339</v>
      </c>
      <c r="C12" s="131">
        <f>CFS!C32</f>
        <v>14479.900000000001</v>
      </c>
      <c r="D12" s="131">
        <f>CFS!D32</f>
        <v>34452.433333333334</v>
      </c>
    </row>
    <row r="13" spans="1:4" ht="18" customHeight="1" thickBot="1" x14ac:dyDescent="0.35">
      <c r="A13" s="96" t="s">
        <v>347</v>
      </c>
      <c r="B13" s="131">
        <f>BS!B29</f>
        <v>0</v>
      </c>
      <c r="C13" s="131">
        <f>BS!C29</f>
        <v>0</v>
      </c>
      <c r="D13" s="131">
        <f>BS!D29</f>
        <v>0</v>
      </c>
    </row>
    <row r="14" spans="1:4" ht="18" customHeight="1" thickBot="1" x14ac:dyDescent="0.35">
      <c r="A14" s="96" t="s">
        <v>34</v>
      </c>
      <c r="B14" s="131">
        <f>BS!B26</f>
        <v>20</v>
      </c>
      <c r="C14" s="131">
        <f>BS!C26</f>
        <v>33.333333333333329</v>
      </c>
      <c r="D14" s="131">
        <f>BS!D26</f>
        <v>50</v>
      </c>
    </row>
    <row r="15" spans="1:4" ht="18" customHeight="1" thickBot="1" x14ac:dyDescent="0.35">
      <c r="A15" s="97" t="s">
        <v>35</v>
      </c>
      <c r="B15" s="131">
        <f>BS!B30</f>
        <v>9461.8333333333339</v>
      </c>
      <c r="C15" s="131">
        <f>BS!C30</f>
        <v>14513.233333333335</v>
      </c>
      <c r="D15" s="131">
        <f>BS!D30</f>
        <v>34502.433333333334</v>
      </c>
    </row>
    <row r="16" spans="1:4" ht="18" customHeight="1" thickBot="1" x14ac:dyDescent="0.35">
      <c r="A16" s="97" t="s">
        <v>348</v>
      </c>
      <c r="B16" s="131">
        <f>BS!B23</f>
        <v>416.66666666666663</v>
      </c>
      <c r="C16" s="131">
        <f>BS!C23</f>
        <v>316.66666666666663</v>
      </c>
      <c r="D16" s="131">
        <f>BS!D23</f>
        <v>216.66666666666663</v>
      </c>
    </row>
    <row r="17" spans="1:4" ht="18" customHeight="1" thickBot="1" x14ac:dyDescent="0.35">
      <c r="A17" s="97" t="s">
        <v>36</v>
      </c>
      <c r="B17" s="131">
        <f>BS!B37</f>
        <v>1</v>
      </c>
      <c r="C17" s="131">
        <f>BS!C37</f>
        <v>2</v>
      </c>
      <c r="D17" s="131">
        <f>BS!D37</f>
        <v>3</v>
      </c>
    </row>
    <row r="18" spans="1:4" ht="18" customHeight="1" thickBot="1" x14ac:dyDescent="0.35">
      <c r="A18" s="96" t="s">
        <v>37</v>
      </c>
      <c r="B18" s="131">
        <f>BS!B49+BS!B51</f>
        <v>6686.6666666666661</v>
      </c>
      <c r="C18" s="131">
        <f>BS!C49+BS!C51</f>
        <v>5853.3333333333321</v>
      </c>
      <c r="D18" s="131">
        <f>BS!D49+BS!D51</f>
        <v>20</v>
      </c>
    </row>
    <row r="19" spans="1:4" ht="18" customHeight="1" thickBot="1" x14ac:dyDescent="0.35">
      <c r="A19" s="96" t="s">
        <v>38</v>
      </c>
      <c r="B19" s="131">
        <f>BS!B44</f>
        <v>50</v>
      </c>
      <c r="C19" s="131">
        <f>BS!C44</f>
        <v>50</v>
      </c>
      <c r="D19" s="131">
        <f>BS!D44</f>
        <v>50</v>
      </c>
    </row>
    <row r="20" spans="1:4" ht="18" customHeight="1" thickBot="1" x14ac:dyDescent="0.35">
      <c r="A20" s="96" t="s">
        <v>311</v>
      </c>
      <c r="B20" s="131">
        <f>B86</f>
        <v>70</v>
      </c>
      <c r="C20" s="131">
        <f>C86</f>
        <v>140</v>
      </c>
      <c r="D20" s="131">
        <f>D86</f>
        <v>210</v>
      </c>
    </row>
    <row r="21" spans="1:4" ht="18" customHeight="1" thickBot="1" x14ac:dyDescent="0.35">
      <c r="A21" s="97" t="s">
        <v>312</v>
      </c>
      <c r="B21" s="131">
        <f>BS!B53</f>
        <v>9999.1666666666661</v>
      </c>
      <c r="C21" s="131">
        <f>BS!C53</f>
        <v>14952.344444444443</v>
      </c>
      <c r="D21" s="131">
        <f>BS!D53</f>
        <v>34932.396296296298</v>
      </c>
    </row>
    <row r="22" spans="1:4" ht="21" customHeight="1" x14ac:dyDescent="0.3">
      <c r="A22" s="98"/>
      <c r="B22" s="98"/>
      <c r="C22" s="98"/>
      <c r="D22" s="98"/>
    </row>
    <row r="23" spans="1:4" x14ac:dyDescent="0.3">
      <c r="A23" s="5" t="s">
        <v>270</v>
      </c>
      <c r="B23" s="3" t="s">
        <v>322</v>
      </c>
      <c r="C23" s="125" t="s">
        <v>321</v>
      </c>
      <c r="D23" s="125" t="s">
        <v>323</v>
      </c>
    </row>
    <row r="24" spans="1:4" ht="13.5" thickBot="1" x14ac:dyDescent="0.35"/>
    <row r="25" spans="1:4" ht="21" customHeight="1" thickBot="1" x14ac:dyDescent="0.35">
      <c r="A25" s="95" t="s">
        <v>40</v>
      </c>
      <c r="B25" s="95">
        <f>B6</f>
        <v>2002</v>
      </c>
      <c r="C25" s="95">
        <f>C6</f>
        <v>2003</v>
      </c>
      <c r="D25" s="95">
        <f>D6</f>
        <v>2004</v>
      </c>
    </row>
    <row r="26" spans="1:4" ht="15.75" customHeight="1" thickBot="1" x14ac:dyDescent="0.35">
      <c r="A26" s="96" t="s">
        <v>41</v>
      </c>
      <c r="B26" s="134"/>
      <c r="C26" s="134"/>
      <c r="D26" s="134"/>
    </row>
    <row r="27" spans="1:4" ht="13.5" thickBot="1" x14ac:dyDescent="0.35">
      <c r="A27" s="135" t="s">
        <v>42</v>
      </c>
      <c r="B27" s="136"/>
      <c r="C27" s="136"/>
      <c r="D27" s="136"/>
    </row>
    <row r="28" spans="1:4" ht="13.5" thickBot="1" x14ac:dyDescent="0.35">
      <c r="A28" s="96" t="s">
        <v>43</v>
      </c>
      <c r="B28" s="134">
        <v>100</v>
      </c>
      <c r="C28" s="134">
        <v>200</v>
      </c>
      <c r="D28" s="134">
        <v>300</v>
      </c>
    </row>
    <row r="29" spans="1:4" ht="13.5" thickBot="1" x14ac:dyDescent="0.35">
      <c r="A29" s="96" t="s">
        <v>44</v>
      </c>
      <c r="B29" s="134"/>
      <c r="C29" s="134"/>
      <c r="D29" s="134"/>
    </row>
    <row r="30" spans="1:4" ht="13.5" thickBot="1" x14ac:dyDescent="0.35">
      <c r="A30" s="137" t="s">
        <v>45</v>
      </c>
      <c r="B30" s="134"/>
      <c r="C30" s="134"/>
      <c r="D30" s="134"/>
    </row>
    <row r="31" spans="1:4" ht="13.5" thickBot="1" x14ac:dyDescent="0.35">
      <c r="A31" s="138" t="s">
        <v>46</v>
      </c>
      <c r="B31" s="134"/>
      <c r="C31" s="134"/>
      <c r="D31" s="134"/>
    </row>
    <row r="32" spans="1:4" ht="13.5" thickBot="1" x14ac:dyDescent="0.35">
      <c r="A32" s="138" t="s">
        <v>47</v>
      </c>
      <c r="B32" s="134"/>
      <c r="C32" s="134"/>
      <c r="D32" s="134"/>
    </row>
    <row r="33" spans="1:4" ht="13.5" thickBot="1" x14ac:dyDescent="0.35">
      <c r="A33" s="138" t="s">
        <v>48</v>
      </c>
      <c r="B33" s="134"/>
      <c r="C33" s="134"/>
      <c r="D33" s="134"/>
    </row>
    <row r="34" spans="1:4" ht="13.5" thickBot="1" x14ac:dyDescent="0.35">
      <c r="A34" s="138" t="s">
        <v>49</v>
      </c>
      <c r="B34" s="134"/>
      <c r="C34" s="134"/>
      <c r="D34" s="134"/>
    </row>
    <row r="35" spans="1:4" ht="13.5" thickBot="1" x14ac:dyDescent="0.35">
      <c r="A35" s="139" t="s">
        <v>50</v>
      </c>
      <c r="B35" s="134"/>
      <c r="C35" s="134"/>
      <c r="D35" s="134"/>
    </row>
    <row r="36" spans="1:4" ht="13.5" thickBot="1" x14ac:dyDescent="0.35">
      <c r="A36" s="96" t="s">
        <v>51</v>
      </c>
      <c r="B36" s="134"/>
      <c r="C36" s="134"/>
      <c r="D36" s="134"/>
    </row>
    <row r="37" spans="1:4" ht="13.5" thickBot="1" x14ac:dyDescent="0.35">
      <c r="A37" s="97" t="s">
        <v>52</v>
      </c>
      <c r="B37" s="134"/>
      <c r="C37" s="134"/>
      <c r="D37" s="134"/>
    </row>
    <row r="38" spans="1:4" ht="13.5" thickBot="1" x14ac:dyDescent="0.35">
      <c r="A38" s="96" t="s">
        <v>9</v>
      </c>
      <c r="B38" s="134"/>
      <c r="C38" s="134"/>
      <c r="D38" s="134"/>
    </row>
    <row r="39" spans="1:4" ht="13.5" thickBot="1" x14ac:dyDescent="0.35">
      <c r="A39" s="96" t="s">
        <v>142</v>
      </c>
      <c r="B39" s="134"/>
      <c r="C39" s="134"/>
      <c r="D39" s="134"/>
    </row>
    <row r="40" spans="1:4" ht="13.5" thickBot="1" x14ac:dyDescent="0.35">
      <c r="A40" s="96" t="s">
        <v>143</v>
      </c>
      <c r="B40" s="134"/>
      <c r="C40" s="134"/>
      <c r="D40" s="134"/>
    </row>
    <row r="41" spans="1:4" ht="13.5" thickBot="1" x14ac:dyDescent="0.35">
      <c r="A41" s="96" t="s">
        <v>144</v>
      </c>
      <c r="B41" s="134"/>
      <c r="C41" s="134"/>
      <c r="D41" s="134"/>
    </row>
    <row r="42" spans="1:4" ht="13.5" thickBot="1" x14ac:dyDescent="0.35">
      <c r="A42" s="96" t="s">
        <v>53</v>
      </c>
      <c r="B42" s="134"/>
      <c r="C42" s="134"/>
      <c r="D42" s="134"/>
    </row>
    <row r="43" spans="1:4" ht="13.5" thickBot="1" x14ac:dyDescent="0.35">
      <c r="A43" s="96" t="s">
        <v>53</v>
      </c>
      <c r="B43" s="134"/>
      <c r="C43" s="134"/>
      <c r="D43" s="134"/>
    </row>
    <row r="44" spans="1:4" ht="14" thickBot="1" x14ac:dyDescent="0.4">
      <c r="A44" s="99" t="s">
        <v>54</v>
      </c>
      <c r="B44" s="131">
        <f>SUM(B26:B43)</f>
        <v>100</v>
      </c>
      <c r="C44" s="131">
        <f>SUM(C26:C43)</f>
        <v>200</v>
      </c>
      <c r="D44" s="131">
        <f>SUM(D26:D43)</f>
        <v>300</v>
      </c>
    </row>
    <row r="45" spans="1:4" x14ac:dyDescent="0.3">
      <c r="A45" s="100"/>
      <c r="B45" s="101"/>
      <c r="C45" s="101"/>
      <c r="D45" s="98"/>
    </row>
    <row r="47" spans="1:4" x14ac:dyDescent="0.3">
      <c r="A47" s="5" t="s">
        <v>272</v>
      </c>
      <c r="B47" s="3" t="s">
        <v>331</v>
      </c>
      <c r="C47" s="125" t="s">
        <v>321</v>
      </c>
      <c r="D47" s="125" t="s">
        <v>330</v>
      </c>
    </row>
    <row r="48" spans="1:4" ht="13.5" thickBot="1" x14ac:dyDescent="0.35"/>
    <row r="49" spans="1:4" ht="21" customHeight="1" thickBot="1" x14ac:dyDescent="0.35">
      <c r="A49" s="95" t="s">
        <v>40</v>
      </c>
      <c r="B49" s="95">
        <f>B25</f>
        <v>2002</v>
      </c>
      <c r="C49" s="95">
        <f>C25</f>
        <v>2003</v>
      </c>
      <c r="D49" s="95">
        <f>D25</f>
        <v>2004</v>
      </c>
    </row>
    <row r="50" spans="1:4" ht="13.5" thickBot="1" x14ac:dyDescent="0.35">
      <c r="A50" s="102" t="s">
        <v>56</v>
      </c>
      <c r="B50" s="103"/>
      <c r="C50" s="104"/>
      <c r="D50" s="104"/>
    </row>
    <row r="51" spans="1:4" ht="13.5" thickBot="1" x14ac:dyDescent="0.35">
      <c r="A51" s="105" t="s">
        <v>57</v>
      </c>
      <c r="B51" s="140"/>
      <c r="C51" s="136"/>
      <c r="D51" s="136"/>
    </row>
    <row r="52" spans="1:4" ht="13.5" thickBot="1" x14ac:dyDescent="0.35">
      <c r="A52" s="105" t="s">
        <v>58</v>
      </c>
      <c r="B52" s="141"/>
      <c r="C52" s="134"/>
      <c r="D52" s="134"/>
    </row>
    <row r="53" spans="1:4" ht="13.5" thickBot="1" x14ac:dyDescent="0.35">
      <c r="A53" s="105" t="s">
        <v>59</v>
      </c>
      <c r="B53" s="141"/>
      <c r="C53" s="134"/>
      <c r="D53" s="134"/>
    </row>
    <row r="54" spans="1:4" ht="13.5" thickBot="1" x14ac:dyDescent="0.35">
      <c r="A54" s="105" t="s">
        <v>60</v>
      </c>
      <c r="B54" s="141"/>
      <c r="C54" s="134"/>
      <c r="D54" s="134"/>
    </row>
    <row r="55" spans="1:4" ht="13.5" thickBot="1" x14ac:dyDescent="0.35">
      <c r="A55" s="105" t="s">
        <v>61</v>
      </c>
      <c r="B55" s="141"/>
      <c r="C55" s="134"/>
      <c r="D55" s="134"/>
    </row>
    <row r="56" spans="1:4" ht="13.5" thickBot="1" x14ac:dyDescent="0.35">
      <c r="A56" s="105" t="s">
        <v>62</v>
      </c>
      <c r="B56" s="141">
        <v>10</v>
      </c>
      <c r="C56" s="134">
        <v>20</v>
      </c>
      <c r="D56" s="134">
        <v>30</v>
      </c>
    </row>
    <row r="57" spans="1:4" ht="13.5" thickBot="1" x14ac:dyDescent="0.35">
      <c r="A57" s="105" t="s">
        <v>63</v>
      </c>
      <c r="B57" s="141"/>
      <c r="C57" s="134"/>
      <c r="D57" s="134"/>
    </row>
    <row r="58" spans="1:4" ht="13.5" thickBot="1" x14ac:dyDescent="0.35">
      <c r="A58" s="105" t="s">
        <v>64</v>
      </c>
      <c r="B58" s="141"/>
      <c r="C58" s="134"/>
      <c r="D58" s="134"/>
    </row>
    <row r="59" spans="1:4" ht="13.5" thickBot="1" x14ac:dyDescent="0.35">
      <c r="A59" s="105" t="s">
        <v>65</v>
      </c>
      <c r="B59" s="141"/>
      <c r="C59" s="134"/>
      <c r="D59" s="134"/>
    </row>
    <row r="60" spans="1:4" ht="13.5" thickBot="1" x14ac:dyDescent="0.35">
      <c r="A60" s="105" t="s">
        <v>66</v>
      </c>
      <c r="B60" s="141"/>
      <c r="C60" s="134"/>
      <c r="D60" s="134"/>
    </row>
    <row r="61" spans="1:4" ht="13.5" thickBot="1" x14ac:dyDescent="0.35">
      <c r="A61" s="105" t="s">
        <v>349</v>
      </c>
      <c r="B61" s="141"/>
      <c r="C61" s="134"/>
      <c r="D61" s="134"/>
    </row>
    <row r="62" spans="1:4" ht="14" thickBot="1" x14ac:dyDescent="0.4">
      <c r="A62" s="106" t="s">
        <v>67</v>
      </c>
      <c r="B62" s="142">
        <f>SUM(B51:B61)</f>
        <v>10</v>
      </c>
      <c r="C62" s="142">
        <f>SUM(C51:C61)</f>
        <v>20</v>
      </c>
      <c r="D62" s="142">
        <f>SUM(D51:D61)</f>
        <v>30</v>
      </c>
    </row>
    <row r="63" spans="1:4" ht="13.5" thickBot="1" x14ac:dyDescent="0.35">
      <c r="A63" s="102" t="s">
        <v>68</v>
      </c>
      <c r="B63" s="103"/>
      <c r="C63" s="104"/>
      <c r="D63" s="104"/>
    </row>
    <row r="64" spans="1:4" ht="13.5" thickBot="1" x14ac:dyDescent="0.35">
      <c r="A64" s="105" t="s">
        <v>69</v>
      </c>
      <c r="B64" s="141"/>
      <c r="C64" s="141"/>
      <c r="D64" s="141"/>
    </row>
    <row r="65" spans="1:4" ht="13.5" thickBot="1" x14ac:dyDescent="0.35">
      <c r="A65" s="105" t="s">
        <v>70</v>
      </c>
      <c r="B65" s="141"/>
      <c r="C65" s="134"/>
      <c r="D65" s="134"/>
    </row>
    <row r="66" spans="1:4" ht="13.5" thickBot="1" x14ac:dyDescent="0.35">
      <c r="A66" s="105" t="s">
        <v>71</v>
      </c>
      <c r="B66" s="141">
        <v>10</v>
      </c>
      <c r="C66" s="134">
        <v>20</v>
      </c>
      <c r="D66" s="134">
        <v>30</v>
      </c>
    </row>
    <row r="67" spans="1:4" ht="13.5" thickBot="1" x14ac:dyDescent="0.35">
      <c r="A67" s="105" t="s">
        <v>72</v>
      </c>
      <c r="B67" s="141"/>
      <c r="C67" s="134"/>
      <c r="D67" s="134"/>
    </row>
    <row r="68" spans="1:4" ht="13.5" thickBot="1" x14ac:dyDescent="0.35">
      <c r="A68" s="105" t="s">
        <v>73</v>
      </c>
      <c r="B68" s="141"/>
      <c r="C68" s="134"/>
      <c r="D68" s="134"/>
    </row>
    <row r="69" spans="1:4" ht="13.5" thickBot="1" x14ac:dyDescent="0.35">
      <c r="A69" s="105" t="s">
        <v>349</v>
      </c>
      <c r="B69" s="141"/>
      <c r="C69" s="134"/>
      <c r="D69" s="134"/>
    </row>
    <row r="70" spans="1:4" ht="14" thickBot="1" x14ac:dyDescent="0.4">
      <c r="A70" s="106" t="s">
        <v>67</v>
      </c>
      <c r="B70" s="142">
        <f>SUM(B64:B69)</f>
        <v>10</v>
      </c>
      <c r="C70" s="142">
        <f>SUM(C64:C69)</f>
        <v>20</v>
      </c>
      <c r="D70" s="142">
        <f>SUM(D64:D69)</f>
        <v>30</v>
      </c>
    </row>
    <row r="71" spans="1:4" ht="13.5" thickBot="1" x14ac:dyDescent="0.35">
      <c r="A71" s="102" t="s">
        <v>74</v>
      </c>
      <c r="B71" s="104"/>
      <c r="C71" s="104"/>
      <c r="D71" s="104"/>
    </row>
    <row r="72" spans="1:4" ht="13.5" thickBot="1" x14ac:dyDescent="0.35">
      <c r="A72" s="143" t="s">
        <v>75</v>
      </c>
      <c r="B72" s="141"/>
      <c r="C72" s="134"/>
      <c r="D72" s="134"/>
    </row>
    <row r="73" spans="1:4" ht="13.5" thickBot="1" x14ac:dyDescent="0.35">
      <c r="A73" s="105" t="s">
        <v>76</v>
      </c>
      <c r="B73" s="141">
        <v>10</v>
      </c>
      <c r="C73" s="134">
        <v>20</v>
      </c>
      <c r="D73" s="134">
        <v>30</v>
      </c>
    </row>
    <row r="74" spans="1:4" ht="13.5" thickBot="1" x14ac:dyDescent="0.35">
      <c r="A74" s="105" t="s">
        <v>77</v>
      </c>
      <c r="B74" s="141"/>
      <c r="C74" s="134"/>
      <c r="D74" s="134"/>
    </row>
    <row r="75" spans="1:4" ht="13.5" thickBot="1" x14ac:dyDescent="0.35">
      <c r="A75" s="105" t="s">
        <v>349</v>
      </c>
      <c r="B75" s="141"/>
      <c r="C75" s="134"/>
      <c r="D75" s="134"/>
    </row>
    <row r="76" spans="1:4" ht="14" thickBot="1" x14ac:dyDescent="0.4">
      <c r="A76" s="106" t="s">
        <v>67</v>
      </c>
      <c r="B76" s="142">
        <f>SUM(B72:B75)</f>
        <v>10</v>
      </c>
      <c r="C76" s="142">
        <f>SUM(C72:C75)</f>
        <v>20</v>
      </c>
      <c r="D76" s="142">
        <f>SUM(D72:D75)</f>
        <v>30</v>
      </c>
    </row>
    <row r="77" spans="1:4" ht="13.5" thickBot="1" x14ac:dyDescent="0.35">
      <c r="A77" s="102" t="s">
        <v>78</v>
      </c>
      <c r="B77" s="103"/>
      <c r="C77" s="104"/>
      <c r="D77" s="104"/>
    </row>
    <row r="78" spans="1:4" ht="13.5" thickBot="1" x14ac:dyDescent="0.35">
      <c r="A78" s="105" t="s">
        <v>79</v>
      </c>
      <c r="B78" s="141"/>
      <c r="C78" s="134"/>
      <c r="D78" s="134"/>
    </row>
    <row r="79" spans="1:4" ht="13.5" thickBot="1" x14ac:dyDescent="0.35">
      <c r="A79" s="105" t="s">
        <v>80</v>
      </c>
      <c r="B79" s="141"/>
      <c r="C79" s="134"/>
      <c r="D79" s="134"/>
    </row>
    <row r="80" spans="1:4" ht="13.5" thickBot="1" x14ac:dyDescent="0.35">
      <c r="A80" s="105" t="s">
        <v>81</v>
      </c>
      <c r="B80" s="141">
        <v>10</v>
      </c>
      <c r="C80" s="134">
        <v>20</v>
      </c>
      <c r="D80" s="134">
        <v>30</v>
      </c>
    </row>
    <row r="81" spans="1:6" ht="13.5" thickBot="1" x14ac:dyDescent="0.35">
      <c r="A81" s="105" t="s">
        <v>349</v>
      </c>
      <c r="B81" s="141"/>
      <c r="C81" s="134"/>
      <c r="D81" s="134"/>
    </row>
    <row r="82" spans="1:6" ht="14" thickBot="1" x14ac:dyDescent="0.4">
      <c r="A82" s="106" t="s">
        <v>67</v>
      </c>
      <c r="B82" s="142">
        <f>SUM(B78:B81)</f>
        <v>10</v>
      </c>
      <c r="C82" s="142">
        <f>SUM(C78:C81)</f>
        <v>20</v>
      </c>
      <c r="D82" s="142">
        <f>SUM(D78:D81)</f>
        <v>30</v>
      </c>
    </row>
    <row r="83" spans="1:6" ht="13.5" thickBot="1" x14ac:dyDescent="0.35">
      <c r="A83" s="102" t="s">
        <v>82</v>
      </c>
      <c r="B83" s="141">
        <v>10</v>
      </c>
      <c r="C83" s="134">
        <v>20</v>
      </c>
      <c r="D83" s="134">
        <v>30</v>
      </c>
    </row>
    <row r="84" spans="1:6" ht="13.5" thickBot="1" x14ac:dyDescent="0.35">
      <c r="A84" s="102" t="s">
        <v>83</v>
      </c>
      <c r="B84" s="141">
        <v>10</v>
      </c>
      <c r="C84" s="134">
        <v>20</v>
      </c>
      <c r="D84" s="134">
        <v>30</v>
      </c>
    </row>
    <row r="85" spans="1:6" ht="14" thickBot="1" x14ac:dyDescent="0.4">
      <c r="A85" s="107" t="s">
        <v>315</v>
      </c>
      <c r="B85" s="141">
        <v>10</v>
      </c>
      <c r="C85" s="134">
        <v>20</v>
      </c>
      <c r="D85" s="134">
        <v>30</v>
      </c>
    </row>
    <row r="86" spans="1:6" ht="14" thickBot="1" x14ac:dyDescent="0.4">
      <c r="A86" s="99" t="s">
        <v>84</v>
      </c>
      <c r="B86" s="144">
        <f>B62+B70+B76+B82+B83+B84+B85</f>
        <v>70</v>
      </c>
      <c r="C86" s="145">
        <f>C62+C70+C76+C82+C83+C84+C85</f>
        <v>140</v>
      </c>
      <c r="D86" s="145">
        <f>D62+D70+D76+D82+D83+D84+D85</f>
        <v>210</v>
      </c>
    </row>
    <row r="87" spans="1:6" x14ac:dyDescent="0.3">
      <c r="A87" s="3" t="s">
        <v>85</v>
      </c>
      <c r="B87" s="101"/>
      <c r="C87" s="101"/>
      <c r="D87" s="98"/>
    </row>
    <row r="88" spans="1:6" x14ac:dyDescent="0.3">
      <c r="A88" s="3" t="s">
        <v>86</v>
      </c>
      <c r="B88" s="101"/>
      <c r="C88" s="101"/>
      <c r="D88" s="98"/>
    </row>
    <row r="89" spans="1:6" x14ac:dyDescent="0.3">
      <c r="B89" s="101"/>
      <c r="C89" s="101"/>
      <c r="D89" s="98"/>
    </row>
    <row r="90" spans="1:6" x14ac:dyDescent="0.3">
      <c r="B90" s="101"/>
      <c r="C90" s="101"/>
      <c r="D90" s="98"/>
    </row>
    <row r="91" spans="1:6" ht="13.5" thickBot="1" x14ac:dyDescent="0.35">
      <c r="A91" s="5" t="s">
        <v>154</v>
      </c>
      <c r="B91" s="125" t="s">
        <v>375</v>
      </c>
      <c r="C91" s="98"/>
      <c r="D91" s="98"/>
    </row>
    <row r="92" spans="1:6" ht="13.5" thickBot="1" x14ac:dyDescent="0.35">
      <c r="A92" s="146" t="s">
        <v>157</v>
      </c>
      <c r="B92" s="147">
        <v>0</v>
      </c>
    </row>
    <row r="93" spans="1:6" ht="13.5" thickBot="1" x14ac:dyDescent="0.35">
      <c r="A93" s="108" t="s">
        <v>113</v>
      </c>
      <c r="B93" s="147">
        <f>C93-1</f>
        <v>1999</v>
      </c>
      <c r="C93" s="147">
        <f>D93-1</f>
        <v>2000</v>
      </c>
      <c r="D93" s="147">
        <f>'Notes 2'!C5-1</f>
        <v>2001</v>
      </c>
      <c r="E93" s="128"/>
      <c r="F93" s="128"/>
    </row>
    <row r="94" spans="1:6" x14ac:dyDescent="0.3">
      <c r="A94" s="109" t="s">
        <v>114</v>
      </c>
      <c r="B94" s="148"/>
      <c r="C94" s="148"/>
      <c r="D94" s="148"/>
      <c r="E94" s="149"/>
      <c r="F94" s="149"/>
    </row>
    <row r="95" spans="1:6" x14ac:dyDescent="0.3">
      <c r="A95" s="109"/>
      <c r="B95" s="150"/>
      <c r="C95" s="150"/>
      <c r="D95" s="150"/>
      <c r="E95" s="149"/>
      <c r="F95" s="149"/>
    </row>
    <row r="96" spans="1:6" x14ac:dyDescent="0.3">
      <c r="A96" s="109" t="s">
        <v>115</v>
      </c>
      <c r="B96" s="151"/>
      <c r="C96" s="151"/>
      <c r="D96" s="151"/>
      <c r="E96" s="152"/>
      <c r="F96" s="152"/>
    </row>
    <row r="97" spans="1:6" ht="13.5" thickBot="1" x14ac:dyDescent="0.35">
      <c r="A97" s="110"/>
      <c r="B97" s="111"/>
      <c r="C97" s="112"/>
      <c r="D97" s="112"/>
      <c r="E97" s="153"/>
      <c r="F97" s="153"/>
    </row>
    <row r="99" spans="1:6" ht="13.5" x14ac:dyDescent="0.35">
      <c r="A99" s="58" t="s">
        <v>119</v>
      </c>
    </row>
    <row r="101" spans="1:6" ht="13.5" thickBot="1" x14ac:dyDescent="0.35"/>
    <row r="102" spans="1:6" ht="13.5" thickBot="1" x14ac:dyDescent="0.35">
      <c r="A102" s="65" t="s">
        <v>30</v>
      </c>
      <c r="B102" s="66"/>
      <c r="C102" s="66"/>
      <c r="D102" s="156">
        <f>Notes!F52</f>
        <v>600</v>
      </c>
    </row>
    <row r="103" spans="1:6" ht="13.5" thickBot="1" x14ac:dyDescent="0.35">
      <c r="A103" s="69" t="s">
        <v>274</v>
      </c>
      <c r="B103" s="70"/>
      <c r="C103" s="70"/>
      <c r="D103" s="156">
        <f>Notes!F53</f>
        <v>420</v>
      </c>
    </row>
    <row r="104" spans="1:6" ht="13.5" thickBot="1" x14ac:dyDescent="0.35">
      <c r="A104" s="69" t="s">
        <v>275</v>
      </c>
      <c r="B104" s="70"/>
      <c r="C104" s="70"/>
      <c r="D104" s="156">
        <f>Notes!F54</f>
        <v>0.7</v>
      </c>
    </row>
    <row r="105" spans="1:6" ht="13.5" thickBot="1" x14ac:dyDescent="0.35">
      <c r="A105" s="69" t="s">
        <v>276</v>
      </c>
      <c r="B105" s="70"/>
      <c r="C105" s="70"/>
      <c r="D105" s="156">
        <f>Notes!F55</f>
        <v>124529.98677248677</v>
      </c>
    </row>
    <row r="106" spans="1:6" ht="13.5" thickBot="1" x14ac:dyDescent="0.35">
      <c r="A106" s="69" t="s">
        <v>277</v>
      </c>
      <c r="B106" s="70"/>
      <c r="C106" s="70"/>
      <c r="D106" s="156">
        <f>Notes!F56</f>
        <v>120</v>
      </c>
    </row>
    <row r="107" spans="1:6" ht="13.5" thickBot="1" x14ac:dyDescent="0.35">
      <c r="A107" s="69" t="s">
        <v>278</v>
      </c>
      <c r="B107" s="70"/>
      <c r="C107" s="70"/>
      <c r="D107" s="156">
        <f>Notes!F57</f>
        <v>206.66666666666666</v>
      </c>
    </row>
    <row r="108" spans="1:6" ht="13.5" thickBot="1" x14ac:dyDescent="0.35">
      <c r="A108" s="69" t="s">
        <v>279</v>
      </c>
      <c r="B108" s="70"/>
      <c r="C108" s="70"/>
      <c r="D108" s="156">
        <f>Notes!F58</f>
        <v>460</v>
      </c>
    </row>
    <row r="110" spans="1:6" x14ac:dyDescent="0.3">
      <c r="A110" s="5" t="s">
        <v>332</v>
      </c>
      <c r="B110" s="18">
        <f>'Notes 2'!C5</f>
        <v>2002</v>
      </c>
      <c r="C110" s="18">
        <f>'Notes 2'!D5</f>
        <v>2003</v>
      </c>
      <c r="D110" s="18">
        <f>'Notes 2'!E5</f>
        <v>2004</v>
      </c>
    </row>
    <row r="111" spans="1:6" x14ac:dyDescent="0.3">
      <c r="A111" s="5"/>
      <c r="B111" s="18"/>
      <c r="C111" s="18"/>
      <c r="D111" s="18"/>
    </row>
    <row r="112" spans="1:6" x14ac:dyDescent="0.3">
      <c r="A112" s="5" t="s">
        <v>341</v>
      </c>
    </row>
    <row r="113" spans="1:4" x14ac:dyDescent="0.3">
      <c r="A113" s="160" t="s">
        <v>345</v>
      </c>
      <c r="B113" s="14">
        <f>Notes!G7</f>
        <v>1</v>
      </c>
      <c r="C113" s="14">
        <f>Notes!H7</f>
        <v>1</v>
      </c>
      <c r="D113" s="14">
        <f>Notes!I7</f>
        <v>1</v>
      </c>
    </row>
    <row r="114" spans="1:4" x14ac:dyDescent="0.3">
      <c r="A114" s="161" t="s">
        <v>346</v>
      </c>
      <c r="B114" s="14">
        <f>Notes!G10</f>
        <v>32.645000000000003</v>
      </c>
      <c r="C114" s="14">
        <f>Notes!H10</f>
        <v>28.942555555555554</v>
      </c>
      <c r="D114" s="14">
        <f>Notes!I10</f>
        <v>86.05128395061729</v>
      </c>
    </row>
    <row r="115" spans="1:4" x14ac:dyDescent="0.3">
      <c r="A115" s="161" t="s">
        <v>197</v>
      </c>
      <c r="B115" s="14">
        <f>Notes!G13</f>
        <v>0.33576131344278687</v>
      </c>
      <c r="C115" s="14">
        <f>Notes!H13</f>
        <v>0.39574618918920923</v>
      </c>
      <c r="D115" s="14">
        <f>Notes!I13</f>
        <v>0.74330238077844968</v>
      </c>
    </row>
    <row r="116" spans="1:4" x14ac:dyDescent="0.3">
      <c r="A116" s="162" t="s">
        <v>334</v>
      </c>
      <c r="B116" s="157">
        <f>Notes!G16</f>
        <v>1.0000833402783564E-2</v>
      </c>
      <c r="C116" s="157">
        <f>Notes!H16</f>
        <v>1.3375828836949388E-2</v>
      </c>
      <c r="D116" s="157">
        <f>Notes!I16</f>
        <v>8.5880166208868822E-3</v>
      </c>
    </row>
    <row r="117" spans="1:4" x14ac:dyDescent="0.3">
      <c r="A117" s="163"/>
      <c r="B117" s="34"/>
      <c r="C117" s="34"/>
      <c r="D117" s="34"/>
    </row>
    <row r="118" spans="1:4" x14ac:dyDescent="0.3">
      <c r="A118" s="184" t="s">
        <v>342</v>
      </c>
      <c r="B118" s="34"/>
      <c r="C118" s="34"/>
      <c r="D118" s="34"/>
    </row>
    <row r="119" spans="1:4" x14ac:dyDescent="0.3">
      <c r="A119" s="161" t="s">
        <v>335</v>
      </c>
      <c r="B119" s="158">
        <f>Notes!G22</f>
        <v>9461.8333333333339</v>
      </c>
      <c r="C119" s="158">
        <f>Notes!H22</f>
        <v>7256.6166666666677</v>
      </c>
      <c r="D119" s="158">
        <f>Notes!I22</f>
        <v>11500.811111111112</v>
      </c>
    </row>
    <row r="120" spans="1:4" x14ac:dyDescent="0.3">
      <c r="A120" s="161" t="s">
        <v>336</v>
      </c>
      <c r="B120" s="158">
        <f>Notes!G25</f>
        <v>9461.8333333333339</v>
      </c>
      <c r="C120" s="158">
        <f>Notes!H25</f>
        <v>7256.6166666666677</v>
      </c>
      <c r="D120" s="158">
        <f>Notes!I25</f>
        <v>11500.811111111112</v>
      </c>
    </row>
    <row r="121" spans="1:4" x14ac:dyDescent="0.3">
      <c r="A121" s="163"/>
      <c r="B121" s="34"/>
      <c r="C121" s="34"/>
      <c r="D121" s="34"/>
    </row>
    <row r="122" spans="1:4" x14ac:dyDescent="0.3">
      <c r="A122" s="184" t="s">
        <v>343</v>
      </c>
      <c r="B122" s="34"/>
      <c r="C122" s="34"/>
      <c r="D122" s="34"/>
    </row>
    <row r="123" spans="1:4" x14ac:dyDescent="0.3">
      <c r="A123" s="161" t="s">
        <v>337</v>
      </c>
      <c r="B123" s="157">
        <f>Notes!G31</f>
        <v>2.0186163522012577</v>
      </c>
      <c r="C123" s="157">
        <f>Notes!H31</f>
        <v>0.64329334933832849</v>
      </c>
      <c r="D123" s="157">
        <f>Notes!I31</f>
        <v>5.7286242486087136E-4</v>
      </c>
    </row>
    <row r="124" spans="1:4" x14ac:dyDescent="0.3">
      <c r="A124" s="161" t="s">
        <v>338</v>
      </c>
      <c r="B124" s="157">
        <f>Notes!G34</f>
        <v>2799.1428571428569</v>
      </c>
      <c r="C124" s="157">
        <f>Notes!H34</f>
        <v>3618.8194444444443</v>
      </c>
      <c r="D124" s="157">
        <f>Notes!I34</f>
        <v>14342.880658436216</v>
      </c>
    </row>
    <row r="125" spans="1:4" x14ac:dyDescent="0.3">
      <c r="A125" s="163"/>
      <c r="B125" s="34"/>
      <c r="C125" s="34"/>
      <c r="D125" s="34"/>
    </row>
    <row r="126" spans="1:4" x14ac:dyDescent="0.3">
      <c r="A126" s="184" t="s">
        <v>344</v>
      </c>
      <c r="B126" s="34"/>
      <c r="C126" s="34"/>
      <c r="D126" s="34"/>
    </row>
    <row r="127" spans="1:4" x14ac:dyDescent="0.3">
      <c r="A127" s="161" t="s">
        <v>339</v>
      </c>
      <c r="B127" s="159">
        <f>Notes!G40</f>
        <v>65.290000000000006</v>
      </c>
      <c r="C127" s="159">
        <f>Notes!H40</f>
        <v>115.77022222222222</v>
      </c>
      <c r="D127" s="159">
        <f>Notes!I40</f>
        <v>516.30770370370374</v>
      </c>
    </row>
    <row r="128" spans="1:4" x14ac:dyDescent="0.3">
      <c r="A128" s="162" t="s">
        <v>188</v>
      </c>
      <c r="B128" s="14">
        <f>Notes!G43</f>
        <v>0.9855094339622642</v>
      </c>
      <c r="C128" s="14">
        <f>Notes!H43</f>
        <v>0.63616925404592195</v>
      </c>
      <c r="D128" s="14">
        <f>Notes!I43</f>
        <v>0.73943320779513</v>
      </c>
    </row>
    <row r="129" spans="1:4" x14ac:dyDescent="0.3">
      <c r="A129" s="162" t="s">
        <v>340</v>
      </c>
      <c r="B129" s="157">
        <f>Notes!G46</f>
        <v>1632.25</v>
      </c>
      <c r="C129" s="157">
        <f>Notes!H46</f>
        <v>2894.2555555555555</v>
      </c>
      <c r="D129" s="157">
        <f>Notes!I46</f>
        <v>12907.692592592593</v>
      </c>
    </row>
    <row r="130" spans="1:4" x14ac:dyDescent="0.3">
      <c r="A130" s="163" t="s">
        <v>280</v>
      </c>
      <c r="B130" s="14">
        <f>Notes!G49</f>
        <v>0.33576131344278692</v>
      </c>
      <c r="C130" s="14">
        <f>Notes!H49</f>
        <v>0.39574618918920934</v>
      </c>
      <c r="D130" s="14">
        <f>Notes!I49</f>
        <v>0.74330238077844968</v>
      </c>
    </row>
  </sheetData>
  <phoneticPr fontId="0" type="noConversion"/>
  <hyperlinks>
    <hyperlink ref="C47" location="Instructions!B22" display="Intro"/>
    <hyperlink ref="C23" location="Instructions!B20" display="Intro"/>
    <hyperlink ref="D23" location="ProfitLoss!A7" display="ProfitLoss"/>
    <hyperlink ref="D47" location="BS!A10" display="Balance Sheet"/>
    <hyperlink ref="A1" location="Instructions!C6" display="Back To Instructions"/>
    <hyperlink ref="B91" location="Instructions!C6" display="Back To Instructions"/>
  </hyperlinks>
  <pageMargins left="0.75" right="0.25" top="0.5" bottom="0.5" header="0.5" footer="0.5"/>
  <pageSetup paperSize="9" scale="51" orientation="portrait" r:id="rId1"/>
  <headerFooter alignWithMargins="0">
    <oddFooter>&amp;L&amp;A / &amp;F&amp;CPrinted on &amp;D at &amp;T&amp;R&amp;P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2"/>
  <sheetViews>
    <sheetView zoomScaleNormal="100" workbookViewId="0">
      <selection activeCell="D1" sqref="D1"/>
    </sheetView>
  </sheetViews>
  <sheetFormatPr defaultColWidth="9.1796875" defaultRowHeight="13" x14ac:dyDescent="0.3"/>
  <cols>
    <col min="1" max="1" width="33.1796875" style="3" customWidth="1"/>
    <col min="2" max="4" width="9" style="3" bestFit="1" customWidth="1"/>
    <col min="5" max="16384" width="9.1796875" style="3"/>
  </cols>
  <sheetData>
    <row r="1" spans="1:4" x14ac:dyDescent="0.3">
      <c r="A1" s="5" t="s">
        <v>23</v>
      </c>
      <c r="D1" s="125" t="s">
        <v>375</v>
      </c>
    </row>
    <row r="2" spans="1:4" ht="14.25" customHeight="1" x14ac:dyDescent="0.3">
      <c r="A2" s="5" t="s">
        <v>116</v>
      </c>
      <c r="B2" s="30">
        <f>'Notes 2'!C4</f>
        <v>0</v>
      </c>
    </row>
    <row r="3" spans="1:4" ht="14.25" customHeight="1" thickBot="1" x14ac:dyDescent="0.35">
      <c r="A3" s="5"/>
      <c r="B3" s="30"/>
    </row>
    <row r="4" spans="1:4" ht="13.5" thickBot="1" x14ac:dyDescent="0.35">
      <c r="B4" s="31" t="s">
        <v>0</v>
      </c>
      <c r="C4" s="32"/>
      <c r="D4" s="33"/>
    </row>
    <row r="5" spans="1:4" x14ac:dyDescent="0.3">
      <c r="A5" s="5"/>
      <c r="B5" s="18">
        <f>'Notes 2'!C5</f>
        <v>2002</v>
      </c>
      <c r="C5" s="18">
        <f>B5+1</f>
        <v>2003</v>
      </c>
      <c r="D5" s="18">
        <f>C5+1</f>
        <v>2004</v>
      </c>
    </row>
    <row r="6" spans="1:4" x14ac:dyDescent="0.3">
      <c r="B6" s="34" t="s">
        <v>1</v>
      </c>
      <c r="C6" s="34" t="s">
        <v>1</v>
      </c>
      <c r="D6" s="34" t="s">
        <v>1</v>
      </c>
    </row>
    <row r="7" spans="1:4" x14ac:dyDescent="0.3">
      <c r="B7" s="34"/>
      <c r="C7" s="34"/>
      <c r="D7" s="34"/>
    </row>
    <row r="8" spans="1:4" x14ac:dyDescent="0.3">
      <c r="A8" s="125" t="s">
        <v>7</v>
      </c>
      <c r="B8" s="9">
        <f>'Financial Summary'!B44</f>
        <v>100</v>
      </c>
      <c r="C8" s="9">
        <f>'Financial Summary'!C44</f>
        <v>200</v>
      </c>
      <c r="D8" s="9">
        <f>'Financial Summary'!D44</f>
        <v>300</v>
      </c>
    </row>
    <row r="9" spans="1:4" x14ac:dyDescent="0.3">
      <c r="B9" s="6"/>
      <c r="C9" s="6"/>
      <c r="D9" s="7"/>
    </row>
    <row r="10" spans="1:4" x14ac:dyDescent="0.3">
      <c r="A10" s="125" t="s">
        <v>351</v>
      </c>
      <c r="B10" s="11"/>
      <c r="C10" s="11"/>
      <c r="D10" s="11"/>
    </row>
    <row r="11" spans="1:4" x14ac:dyDescent="0.3">
      <c r="B11" s="6"/>
      <c r="C11" s="6"/>
      <c r="D11" s="6"/>
    </row>
    <row r="12" spans="1:4" x14ac:dyDescent="0.3">
      <c r="A12" s="5" t="s">
        <v>8</v>
      </c>
      <c r="B12" s="35">
        <f>B8-B10</f>
        <v>100</v>
      </c>
      <c r="C12" s="35">
        <f>C8-C10</f>
        <v>200</v>
      </c>
      <c r="D12" s="35">
        <f>D8-D10</f>
        <v>300</v>
      </c>
    </row>
    <row r="13" spans="1:4" x14ac:dyDescent="0.3">
      <c r="A13" s="3" t="s">
        <v>172</v>
      </c>
      <c r="B13" s="6"/>
      <c r="C13" s="6"/>
      <c r="D13" s="6"/>
    </row>
    <row r="14" spans="1:4" x14ac:dyDescent="0.3">
      <c r="A14" s="5" t="s">
        <v>173</v>
      </c>
      <c r="B14" s="6"/>
      <c r="C14" s="6"/>
      <c r="D14" s="6"/>
    </row>
    <row r="15" spans="1:4" x14ac:dyDescent="0.3">
      <c r="A15" s="3" t="s">
        <v>233</v>
      </c>
      <c r="B15" s="11"/>
      <c r="C15" s="11"/>
      <c r="D15" s="11"/>
    </row>
    <row r="16" spans="1:4" x14ac:dyDescent="0.3">
      <c r="A16" s="3" t="s">
        <v>234</v>
      </c>
      <c r="B16" s="11"/>
      <c r="C16" s="11"/>
      <c r="D16" s="11"/>
    </row>
    <row r="17" spans="1:4" x14ac:dyDescent="0.3">
      <c r="A17" s="3" t="s">
        <v>235</v>
      </c>
      <c r="B17" s="11">
        <v>12</v>
      </c>
      <c r="C17" s="11">
        <v>24</v>
      </c>
      <c r="D17" s="11">
        <v>36</v>
      </c>
    </row>
    <row r="18" spans="1:4" x14ac:dyDescent="0.3">
      <c r="A18" s="3" t="s">
        <v>236</v>
      </c>
      <c r="B18" s="11"/>
      <c r="C18" s="11"/>
      <c r="D18" s="11"/>
    </row>
    <row r="19" spans="1:4" x14ac:dyDescent="0.3">
      <c r="A19" s="125" t="s">
        <v>237</v>
      </c>
      <c r="B19" s="11"/>
      <c r="C19" s="11"/>
      <c r="D19" s="11"/>
    </row>
    <row r="20" spans="1:4" x14ac:dyDescent="0.3">
      <c r="A20" s="3" t="s">
        <v>238</v>
      </c>
      <c r="B20" s="11">
        <v>12</v>
      </c>
      <c r="C20" s="11">
        <v>12</v>
      </c>
      <c r="D20" s="11">
        <v>12</v>
      </c>
    </row>
    <row r="21" spans="1:4" x14ac:dyDescent="0.3">
      <c r="A21" s="3" t="s">
        <v>239</v>
      </c>
      <c r="B21" s="11"/>
      <c r="C21" s="11"/>
      <c r="D21" s="11"/>
    </row>
    <row r="22" spans="1:4" x14ac:dyDescent="0.3">
      <c r="A22" s="3" t="s">
        <v>240</v>
      </c>
      <c r="B22" s="11"/>
      <c r="C22" s="11"/>
      <c r="D22" s="11"/>
    </row>
    <row r="23" spans="1:4" x14ac:dyDescent="0.3">
      <c r="A23" s="3" t="s">
        <v>241</v>
      </c>
      <c r="B23" s="9">
        <f>'Financial Summary'!B62+'Financial Summary'!B83+'Financial Summary'!B84+'Financial Summary'!B85</f>
        <v>40</v>
      </c>
      <c r="C23" s="9">
        <f>'Financial Summary'!C62+'Financial Summary'!C83+'Financial Summary'!C84+'Financial Summary'!C85</f>
        <v>80</v>
      </c>
      <c r="D23" s="9">
        <f>'Financial Summary'!D62+'Financial Summary'!D83+'Financial Summary'!D84+'Financial Summary'!D85</f>
        <v>120</v>
      </c>
    </row>
    <row r="24" spans="1:4" x14ac:dyDescent="0.3">
      <c r="A24" s="3" t="s">
        <v>242</v>
      </c>
      <c r="B24" s="11"/>
      <c r="C24" s="11"/>
      <c r="D24" s="11"/>
    </row>
    <row r="25" spans="1:4" x14ac:dyDescent="0.3">
      <c r="A25" s="3" t="s">
        <v>242</v>
      </c>
      <c r="B25" s="11"/>
      <c r="C25" s="11"/>
      <c r="D25" s="11"/>
    </row>
    <row r="26" spans="1:4" x14ac:dyDescent="0.3">
      <c r="A26" s="3" t="s">
        <v>242</v>
      </c>
      <c r="B26" s="11"/>
      <c r="C26" s="11"/>
      <c r="D26" s="11"/>
    </row>
    <row r="27" spans="1:4" x14ac:dyDescent="0.3">
      <c r="B27" s="36"/>
      <c r="C27" s="36"/>
      <c r="D27" s="36"/>
    </row>
    <row r="28" spans="1:4" x14ac:dyDescent="0.3">
      <c r="A28" s="3" t="s">
        <v>282</v>
      </c>
      <c r="B28" s="37">
        <f>SUM(B15:B27)</f>
        <v>64</v>
      </c>
      <c r="C28" s="37">
        <f>SUM(C15:C27)</f>
        <v>116</v>
      </c>
      <c r="D28" s="37">
        <f>SUM(D15:D27)</f>
        <v>168</v>
      </c>
    </row>
    <row r="29" spans="1:4" x14ac:dyDescent="0.3">
      <c r="A29" s="5" t="s">
        <v>174</v>
      </c>
      <c r="B29" s="6"/>
      <c r="C29" s="6"/>
      <c r="D29" s="6"/>
    </row>
    <row r="30" spans="1:4" x14ac:dyDescent="0.3">
      <c r="A30" s="3" t="s">
        <v>243</v>
      </c>
      <c r="B30" s="11"/>
      <c r="C30" s="11"/>
      <c r="D30" s="11"/>
    </row>
    <row r="31" spans="1:4" x14ac:dyDescent="0.3">
      <c r="A31" s="3" t="s">
        <v>244</v>
      </c>
      <c r="B31" s="11"/>
      <c r="C31" s="11"/>
      <c r="D31" s="11"/>
    </row>
    <row r="32" spans="1:4" x14ac:dyDescent="0.3">
      <c r="A32" s="3" t="s">
        <v>245</v>
      </c>
      <c r="B32" s="11"/>
      <c r="C32" s="11"/>
      <c r="D32" s="11"/>
    </row>
    <row r="33" spans="1:4" x14ac:dyDescent="0.3">
      <c r="A33" s="3" t="s">
        <v>380</v>
      </c>
      <c r="B33" s="11">
        <v>12</v>
      </c>
      <c r="C33" s="11"/>
      <c r="D33" s="11"/>
    </row>
    <row r="34" spans="1:4" x14ac:dyDescent="0.3">
      <c r="A34" s="3" t="s">
        <v>246</v>
      </c>
      <c r="B34" s="11"/>
      <c r="C34" s="11"/>
      <c r="D34" s="11"/>
    </row>
    <row r="35" spans="1:4" x14ac:dyDescent="0.3">
      <c r="A35" s="3" t="s">
        <v>247</v>
      </c>
      <c r="B35" s="11"/>
      <c r="C35" s="11"/>
      <c r="D35" s="11"/>
    </row>
    <row r="36" spans="1:4" x14ac:dyDescent="0.3">
      <c r="A36" s="3" t="s">
        <v>248</v>
      </c>
      <c r="B36" s="11"/>
      <c r="C36" s="11"/>
      <c r="D36" s="11"/>
    </row>
    <row r="37" spans="1:4" x14ac:dyDescent="0.3">
      <c r="A37" s="3" t="s">
        <v>242</v>
      </c>
      <c r="B37" s="11"/>
      <c r="C37" s="11"/>
      <c r="D37" s="11"/>
    </row>
    <row r="38" spans="1:4" x14ac:dyDescent="0.3">
      <c r="A38" s="3" t="s">
        <v>242</v>
      </c>
      <c r="B38" s="11"/>
      <c r="C38" s="11"/>
      <c r="D38" s="11"/>
    </row>
    <row r="39" spans="1:4" x14ac:dyDescent="0.3">
      <c r="A39" s="3" t="s">
        <v>242</v>
      </c>
      <c r="B39" s="11"/>
      <c r="C39" s="11"/>
      <c r="D39" s="11"/>
    </row>
    <row r="40" spans="1:4" x14ac:dyDescent="0.3">
      <c r="B40" s="36"/>
      <c r="C40" s="36"/>
      <c r="D40" s="36"/>
    </row>
    <row r="41" spans="1:4" x14ac:dyDescent="0.3">
      <c r="A41" s="3" t="s">
        <v>283</v>
      </c>
      <c r="B41" s="37">
        <f>SUM(B30:B40)</f>
        <v>12</v>
      </c>
      <c r="C41" s="37">
        <f>SUM(C30:C40)</f>
        <v>0</v>
      </c>
      <c r="D41" s="37">
        <f>SUM(D30:D40)</f>
        <v>0</v>
      </c>
    </row>
    <row r="42" spans="1:4" x14ac:dyDescent="0.3">
      <c r="A42" s="5" t="s">
        <v>229</v>
      </c>
      <c r="B42" s="11">
        <f>'Notes 2'!D87+'Notes 2'!D95+'Notes 2'!D103</f>
        <v>3333.3333333333335</v>
      </c>
      <c r="C42" s="11">
        <f>'Notes 2'!E87+'Notes 2'!E95+'Notes 2'!E103</f>
        <v>5833.3333333333339</v>
      </c>
      <c r="D42" s="11">
        <f>'Notes 2'!F87+'Notes 2'!F95+'Notes 2'!F103</f>
        <v>25833.333333333336</v>
      </c>
    </row>
    <row r="43" spans="1:4" x14ac:dyDescent="0.3">
      <c r="A43" s="5" t="s">
        <v>225</v>
      </c>
      <c r="B43" s="37">
        <f>B12-B28-B41+B42</f>
        <v>3357.3333333333335</v>
      </c>
      <c r="C43" s="37">
        <f>C12-C28-C41+C42</f>
        <v>5917.3333333333339</v>
      </c>
      <c r="D43" s="37">
        <f>D12-D28-D41+D42</f>
        <v>25965.333333333336</v>
      </c>
    </row>
    <row r="44" spans="1:4" x14ac:dyDescent="0.3">
      <c r="A44" s="125" t="s">
        <v>230</v>
      </c>
      <c r="B44" s="9">
        <f>BS!B10</f>
        <v>8.3333333333333357</v>
      </c>
      <c r="C44" s="9">
        <f>BS!C10</f>
        <v>27.222222222222221</v>
      </c>
      <c r="D44" s="9">
        <f>BS!D10</f>
        <v>48.148148148148145</v>
      </c>
    </row>
    <row r="45" spans="1:4" x14ac:dyDescent="0.3">
      <c r="A45" s="125" t="s">
        <v>231</v>
      </c>
      <c r="B45" s="9">
        <f>'Notes 2'!D51</f>
        <v>83.333333333333343</v>
      </c>
      <c r="C45" s="9">
        <f>'Notes 2'!E51</f>
        <v>100</v>
      </c>
      <c r="D45" s="9">
        <f>'Notes 2'!F51</f>
        <v>100</v>
      </c>
    </row>
    <row r="46" spans="1:4" x14ac:dyDescent="0.3">
      <c r="B46" s="36"/>
      <c r="C46" s="36"/>
      <c r="D46" s="36"/>
    </row>
    <row r="47" spans="1:4" x14ac:dyDescent="0.3">
      <c r="A47" s="5" t="s">
        <v>221</v>
      </c>
      <c r="B47" s="37">
        <f>B43-B44-B45</f>
        <v>3265.6666666666665</v>
      </c>
      <c r="C47" s="37">
        <f>C43-C44-C45</f>
        <v>5790.1111111111113</v>
      </c>
      <c r="D47" s="37">
        <f>D43-D44-D45</f>
        <v>25817.185185185186</v>
      </c>
    </row>
    <row r="48" spans="1:4" x14ac:dyDescent="0.3">
      <c r="A48" s="3" t="s">
        <v>232</v>
      </c>
      <c r="B48" s="9">
        <f>CFS!B23*'Notes 2'!$C$12*('Notes 2'!$C$15/12)</f>
        <v>1.1666666666666667</v>
      </c>
      <c r="C48" s="9">
        <f>(SUM(CFS!B23:C23)+CFS!B24)*'Notes 2'!$D$12</f>
        <v>1.6</v>
      </c>
      <c r="D48" s="9">
        <f>(SUM(CFS!B23:D23)+SUM(CFS!B24:C24))*'Notes 2'!$E$12</f>
        <v>1.7999999999999998</v>
      </c>
    </row>
    <row r="49" spans="1:4" x14ac:dyDescent="0.3">
      <c r="B49" s="36"/>
      <c r="C49" s="36"/>
      <c r="D49" s="36"/>
    </row>
    <row r="50" spans="1:4" x14ac:dyDescent="0.3">
      <c r="A50" s="5" t="s">
        <v>287</v>
      </c>
      <c r="B50" s="38">
        <f>B47-B48</f>
        <v>3264.5</v>
      </c>
      <c r="C50" s="38">
        <f>C47-C48</f>
        <v>5788.5111111111109</v>
      </c>
      <c r="D50" s="38">
        <f>D47-D48</f>
        <v>25815.385185185187</v>
      </c>
    </row>
    <row r="51" spans="1:4" x14ac:dyDescent="0.3">
      <c r="A51" s="5" t="s">
        <v>10</v>
      </c>
      <c r="B51" s="11"/>
      <c r="C51" s="11"/>
      <c r="D51" s="11"/>
    </row>
    <row r="52" spans="1:4" ht="13.5" thickBot="1" x14ac:dyDescent="0.35">
      <c r="A52" s="5" t="s">
        <v>288</v>
      </c>
      <c r="B52" s="39">
        <f>B50-B51</f>
        <v>3264.5</v>
      </c>
      <c r="C52" s="39">
        <f>C50-C51</f>
        <v>5788.5111111111109</v>
      </c>
      <c r="D52" s="39">
        <f>D50-D51</f>
        <v>25815.385185185187</v>
      </c>
    </row>
    <row r="53" spans="1:4" ht="13.5" thickTop="1" x14ac:dyDescent="0.3">
      <c r="A53" s="5" t="s">
        <v>226</v>
      </c>
      <c r="B53" s="40">
        <v>0</v>
      </c>
      <c r="C53" s="40">
        <v>0</v>
      </c>
      <c r="D53" s="40">
        <v>0</v>
      </c>
    </row>
    <row r="54" spans="1:4" x14ac:dyDescent="0.3">
      <c r="A54" s="5" t="s">
        <v>227</v>
      </c>
      <c r="B54" s="41">
        <f>B52-B53</f>
        <v>3264.5</v>
      </c>
      <c r="C54" s="41">
        <f>C52-C53</f>
        <v>5788.5111111111109</v>
      </c>
      <c r="D54" s="41">
        <f>D52-D53</f>
        <v>25815.385185185187</v>
      </c>
    </row>
    <row r="55" spans="1:4" x14ac:dyDescent="0.3">
      <c r="A55" s="5" t="s">
        <v>228</v>
      </c>
      <c r="B55" s="40">
        <v>2</v>
      </c>
      <c r="C55" s="40">
        <v>2</v>
      </c>
      <c r="D55" s="40">
        <v>2</v>
      </c>
    </row>
    <row r="56" spans="1:4" x14ac:dyDescent="0.3">
      <c r="A56" s="5"/>
      <c r="B56" s="42"/>
      <c r="C56" s="42"/>
      <c r="D56" s="42"/>
    </row>
    <row r="57" spans="1:4" x14ac:dyDescent="0.3">
      <c r="A57" s="5" t="s">
        <v>289</v>
      </c>
      <c r="B57" s="41">
        <f>B54-B55</f>
        <v>3262.5</v>
      </c>
      <c r="C57" s="41">
        <f>C54-C55</f>
        <v>5786.5111111111109</v>
      </c>
      <c r="D57" s="41">
        <f>D54-D55</f>
        <v>25813.385185185187</v>
      </c>
    </row>
    <row r="58" spans="1:4" x14ac:dyDescent="0.3">
      <c r="A58" s="5" t="s">
        <v>290</v>
      </c>
      <c r="B58" s="43">
        <v>0</v>
      </c>
      <c r="C58" s="41">
        <f>B59</f>
        <v>3262.5</v>
      </c>
      <c r="D58" s="41">
        <f>C59</f>
        <v>9049.0111111111109</v>
      </c>
    </row>
    <row r="59" spans="1:4" ht="13.5" thickBot="1" x14ac:dyDescent="0.35">
      <c r="A59" s="5" t="s">
        <v>291</v>
      </c>
      <c r="B59" s="44">
        <f>B57+B58</f>
        <v>3262.5</v>
      </c>
      <c r="C59" s="44">
        <f>C57+C58</f>
        <v>9049.0111111111109</v>
      </c>
      <c r="D59" s="44">
        <f>D57+D58</f>
        <v>34862.396296296298</v>
      </c>
    </row>
    <row r="60" spans="1:4" ht="13.5" thickTop="1" x14ac:dyDescent="0.3">
      <c r="A60" s="5"/>
      <c r="B60" s="42"/>
      <c r="C60" s="42"/>
      <c r="D60" s="42"/>
    </row>
    <row r="61" spans="1:4" x14ac:dyDescent="0.3">
      <c r="B61" s="17"/>
      <c r="C61" s="17"/>
      <c r="D61" s="17"/>
    </row>
    <row r="62" spans="1:4" x14ac:dyDescent="0.3">
      <c r="B62" s="17"/>
      <c r="C62" s="17"/>
      <c r="D62" s="17"/>
    </row>
  </sheetData>
  <phoneticPr fontId="0" type="noConversion"/>
  <hyperlinks>
    <hyperlink ref="D1" location="Instructions!C6" display="Back To Instructions"/>
    <hyperlink ref="A19" location="'Notes 2'!A66" display="       Rental of premises"/>
    <hyperlink ref="A8" location="'Financial Summary'!A27" display="SALES"/>
    <hyperlink ref="A44" location="'Notes 2'!C14" display="less: Amortisation of R&amp;D"/>
    <hyperlink ref="A45" location="'Notes 2'!C37" display="         Depreciation"/>
    <hyperlink ref="A10" location="'Notes 2'!A68" display="less: COST OF SALES"/>
  </hyperlinks>
  <pageMargins left="1" right="0.25" top="1" bottom="0.5" header="0.5" footer="0.5"/>
  <pageSetup paperSize="9" scale="90" orientation="portrait" r:id="rId1"/>
  <headerFooter alignWithMargins="0">
    <oddFooter>&amp;L&amp;A / &amp;F&amp;CPrinted on &amp;D at &amp;T&amp;R&amp;P 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5"/>
  <sheetViews>
    <sheetView workbookViewId="0">
      <selection activeCell="A2" sqref="A2"/>
    </sheetView>
  </sheetViews>
  <sheetFormatPr defaultColWidth="9.1796875" defaultRowHeight="13" outlineLevelRow="1" x14ac:dyDescent="0.3"/>
  <cols>
    <col min="1" max="1" width="31.54296875" style="3" customWidth="1"/>
    <col min="2" max="4" width="9" style="3" bestFit="1" customWidth="1"/>
    <col min="5" max="16384" width="9.1796875" style="3"/>
  </cols>
  <sheetData>
    <row r="1" spans="1:4" x14ac:dyDescent="0.3">
      <c r="A1" s="5" t="s">
        <v>11</v>
      </c>
      <c r="D1" s="125" t="s">
        <v>375</v>
      </c>
    </row>
    <row r="2" spans="1:4" ht="13.5" customHeight="1" x14ac:dyDescent="0.3">
      <c r="A2" s="3" t="str">
        <f>ProfitLoss!A2</f>
        <v>Co. name:</v>
      </c>
      <c r="B2" s="5">
        <f>ProfitLoss!B2</f>
        <v>0</v>
      </c>
    </row>
    <row r="3" spans="1:4" ht="13.5" customHeight="1" thickBot="1" x14ac:dyDescent="0.35">
      <c r="B3" s="5"/>
    </row>
    <row r="4" spans="1:4" ht="13.5" thickBot="1" x14ac:dyDescent="0.35">
      <c r="B4" s="31" t="s">
        <v>0</v>
      </c>
      <c r="C4" s="32"/>
      <c r="D4" s="33"/>
    </row>
    <row r="5" spans="1:4" x14ac:dyDescent="0.3">
      <c r="B5" s="18">
        <f>'Notes 2'!C5</f>
        <v>2002</v>
      </c>
      <c r="C5" s="18">
        <f>B5+1</f>
        <v>2003</v>
      </c>
      <c r="D5" s="18">
        <f>C5+1</f>
        <v>2004</v>
      </c>
    </row>
    <row r="6" spans="1:4" x14ac:dyDescent="0.3">
      <c r="B6" s="18" t="s">
        <v>1</v>
      </c>
      <c r="C6" s="18" t="s">
        <v>1</v>
      </c>
      <c r="D6" s="18" t="s">
        <v>1</v>
      </c>
    </row>
    <row r="7" spans="1:4" ht="15" customHeight="1" x14ac:dyDescent="0.3">
      <c r="B7" s="18"/>
      <c r="C7" s="18"/>
      <c r="D7" s="18"/>
    </row>
    <row r="8" spans="1:4" hidden="1" outlineLevel="1" x14ac:dyDescent="0.3">
      <c r="A8" s="3" t="s">
        <v>132</v>
      </c>
      <c r="B8" s="26">
        <v>0</v>
      </c>
      <c r="C8" s="8">
        <f>B11</f>
        <v>21.666666666666664</v>
      </c>
      <c r="D8" s="8">
        <f>C11</f>
        <v>54.444444444444436</v>
      </c>
    </row>
    <row r="9" spans="1:4" hidden="1" outlineLevel="1" x14ac:dyDescent="0.3">
      <c r="A9" s="3" t="s">
        <v>133</v>
      </c>
      <c r="B9" s="8">
        <f>'Financial Summary'!B70+'Financial Summary'!B76+'Financial Summary'!B82</f>
        <v>30</v>
      </c>
      <c r="C9" s="8">
        <f>'Financial Summary'!C70+'Financial Summary'!C76+'Financial Summary'!C82</f>
        <v>60</v>
      </c>
      <c r="D9" s="8">
        <f>'Financial Summary'!D70+'Financial Summary'!D76+'Financial Summary'!D82</f>
        <v>90</v>
      </c>
    </row>
    <row r="10" spans="1:4" hidden="1" outlineLevel="1" x14ac:dyDescent="0.3">
      <c r="A10" s="3" t="s">
        <v>134</v>
      </c>
      <c r="B10" s="8">
        <f>SUM(B8:B9)*'Notes 2'!$C$14*('Notes 2'!$C$15/12)</f>
        <v>8.3333333333333357</v>
      </c>
      <c r="C10" s="8">
        <f>SUM(C8:C9)*'Notes 2'!$C$14</f>
        <v>27.222222222222221</v>
      </c>
      <c r="D10" s="8">
        <f>SUM(D8:D9)*'Notes 2'!$C$14</f>
        <v>48.148148148148145</v>
      </c>
    </row>
    <row r="11" spans="1:4" collapsed="1" x14ac:dyDescent="0.3">
      <c r="A11" s="188" t="s">
        <v>20</v>
      </c>
      <c r="B11" s="8">
        <f>SUM(B8:B9)-B10</f>
        <v>21.666666666666664</v>
      </c>
      <c r="C11" s="8">
        <f>SUM(C8:C9)-C10</f>
        <v>54.444444444444436</v>
      </c>
      <c r="D11" s="8">
        <f>SUM(D8:D9)-D10</f>
        <v>96.296296296296276</v>
      </c>
    </row>
    <row r="12" spans="1:4" x14ac:dyDescent="0.3">
      <c r="B12" s="7"/>
      <c r="C12" s="7"/>
      <c r="D12" s="7"/>
    </row>
    <row r="13" spans="1:4" x14ac:dyDescent="0.3">
      <c r="A13" s="5" t="s">
        <v>382</v>
      </c>
      <c r="B13" s="8">
        <f>-CFS!B15</f>
        <v>100</v>
      </c>
      <c r="C13" s="8">
        <f>B13-CFS!C15</f>
        <v>70</v>
      </c>
      <c r="D13" s="8">
        <f>C13-CFS!D15</f>
        <v>120</v>
      </c>
    </row>
    <row r="14" spans="1:4" x14ac:dyDescent="0.3">
      <c r="A14" s="5"/>
      <c r="B14" s="189"/>
      <c r="C14" s="189"/>
      <c r="D14" s="189"/>
    </row>
    <row r="15" spans="1:4" x14ac:dyDescent="0.3">
      <c r="A15" s="5" t="s">
        <v>170</v>
      </c>
      <c r="B15" s="7"/>
      <c r="C15" s="7"/>
      <c r="D15" s="7"/>
    </row>
    <row r="16" spans="1:4" x14ac:dyDescent="0.3">
      <c r="A16" s="125" t="str">
        <f>'Notes 2'!B21</f>
        <v>Land &amp; Buildings</v>
      </c>
      <c r="B16" s="45">
        <f>'Notes 2'!D65</f>
        <v>83.333333333333329</v>
      </c>
      <c r="C16" s="45">
        <f>'Notes 2'!E65</f>
        <v>63.333333333333329</v>
      </c>
      <c r="D16" s="45">
        <f>'Notes 2'!F65</f>
        <v>43.333333333333329</v>
      </c>
    </row>
    <row r="17" spans="1:4" x14ac:dyDescent="0.3">
      <c r="A17" s="125" t="str">
        <f>'Notes 2'!B22</f>
        <v>Fixtures &amp; Fittings</v>
      </c>
      <c r="B17" s="45">
        <f>'Notes 2'!D66</f>
        <v>83.333333333333329</v>
      </c>
      <c r="C17" s="45">
        <f>'Notes 2'!E66</f>
        <v>63.333333333333329</v>
      </c>
      <c r="D17" s="45">
        <f>'Notes 2'!F66</f>
        <v>43.333333333333329</v>
      </c>
    </row>
    <row r="18" spans="1:4" x14ac:dyDescent="0.3">
      <c r="A18" s="125" t="str">
        <f>'Notes 2'!B23</f>
        <v>Office Equipment</v>
      </c>
      <c r="B18" s="45">
        <f>'Notes 2'!D67</f>
        <v>83.333333333333329</v>
      </c>
      <c r="C18" s="45">
        <f>'Notes 2'!E67</f>
        <v>63.333333333333329</v>
      </c>
      <c r="D18" s="45">
        <f>'Notes 2'!F67</f>
        <v>43.333333333333329</v>
      </c>
    </row>
    <row r="19" spans="1:4" x14ac:dyDescent="0.3">
      <c r="A19" s="125" t="str">
        <f>'Notes 2'!B24</f>
        <v>Motor Vehicles</v>
      </c>
      <c r="B19" s="45">
        <f>'Notes 2'!D68</f>
        <v>0</v>
      </c>
      <c r="C19" s="45">
        <f>'Notes 2'!E68</f>
        <v>0</v>
      </c>
      <c r="D19" s="45">
        <f>'Notes 2'!F68</f>
        <v>0</v>
      </c>
    </row>
    <row r="20" spans="1:4" x14ac:dyDescent="0.3">
      <c r="A20" s="125" t="str">
        <f>'Notes 2'!B25</f>
        <v>Others</v>
      </c>
      <c r="B20" s="45">
        <f>'Notes 2'!D69</f>
        <v>0</v>
      </c>
      <c r="C20" s="45">
        <f>'Notes 2'!E69</f>
        <v>0</v>
      </c>
      <c r="D20" s="45">
        <f>'Notes 2'!F69</f>
        <v>0</v>
      </c>
    </row>
    <row r="21" spans="1:4" hidden="1" outlineLevel="1" x14ac:dyDescent="0.3">
      <c r="A21" s="125" t="str">
        <f>'Notes 2'!B26</f>
        <v>Others</v>
      </c>
      <c r="B21" s="45">
        <f>'Notes 2'!D70</f>
        <v>83.333333333333329</v>
      </c>
      <c r="C21" s="45">
        <f>'Notes 2'!E70</f>
        <v>63.333333333333329</v>
      </c>
      <c r="D21" s="45">
        <f>'Notes 2'!F70</f>
        <v>43.333333333333329</v>
      </c>
    </row>
    <row r="22" spans="1:4" hidden="1" outlineLevel="1" x14ac:dyDescent="0.3">
      <c r="A22" s="125" t="str">
        <f>'Notes 2'!B27</f>
        <v>Others</v>
      </c>
      <c r="B22" s="45">
        <f>'Notes 2'!D71</f>
        <v>83.333333333333329</v>
      </c>
      <c r="C22" s="45">
        <f>'Notes 2'!E71</f>
        <v>63.333333333333329</v>
      </c>
      <c r="D22" s="45">
        <f>'Notes 2'!F71</f>
        <v>43.333333333333329</v>
      </c>
    </row>
    <row r="23" spans="1:4" collapsed="1" x14ac:dyDescent="0.3">
      <c r="A23" s="5"/>
      <c r="B23" s="35">
        <f>SUM(B15:B22)</f>
        <v>416.66666666666663</v>
      </c>
      <c r="C23" s="35">
        <f>SUM(C15:C22)</f>
        <v>316.66666666666663</v>
      </c>
      <c r="D23" s="35">
        <f>SUM(D15:D22)</f>
        <v>216.66666666666663</v>
      </c>
    </row>
    <row r="24" spans="1:4" x14ac:dyDescent="0.3">
      <c r="B24" s="6"/>
      <c r="C24" s="6"/>
      <c r="D24" s="6"/>
    </row>
    <row r="25" spans="1:4" x14ac:dyDescent="0.3">
      <c r="A25" s="5" t="s">
        <v>15</v>
      </c>
      <c r="B25" s="6"/>
      <c r="C25" s="6"/>
      <c r="D25" s="6"/>
    </row>
    <row r="26" spans="1:4" x14ac:dyDescent="0.3">
      <c r="A26" s="4" t="s">
        <v>249</v>
      </c>
      <c r="B26" s="9">
        <f>ProfitLoss!B8-CFS!B9</f>
        <v>20</v>
      </c>
      <c r="C26" s="9">
        <f>ProfitLoss!C8*('Notes 2'!$C$9/12)</f>
        <v>33.333333333333329</v>
      </c>
      <c r="D26" s="9">
        <f>ProfitLoss!D8*('Notes 2'!$C$9/12)</f>
        <v>50</v>
      </c>
    </row>
    <row r="27" spans="1:4" x14ac:dyDescent="0.3">
      <c r="A27" s="4" t="s">
        <v>250</v>
      </c>
      <c r="B27" s="9">
        <f>CFS!B32</f>
        <v>9441.8333333333339</v>
      </c>
      <c r="C27" s="9">
        <f>CFS!C32</f>
        <v>14479.900000000001</v>
      </c>
      <c r="D27" s="9">
        <f>CFS!D32</f>
        <v>34452.433333333334</v>
      </c>
    </row>
    <row r="28" spans="1:4" x14ac:dyDescent="0.3">
      <c r="A28" s="4" t="s">
        <v>251</v>
      </c>
      <c r="B28" s="10">
        <v>0</v>
      </c>
      <c r="C28" s="10">
        <v>0</v>
      </c>
      <c r="D28" s="10">
        <v>0</v>
      </c>
    </row>
    <row r="29" spans="1:4" x14ac:dyDescent="0.3">
      <c r="A29" s="4" t="s">
        <v>326</v>
      </c>
      <c r="B29" s="46">
        <v>0</v>
      </c>
      <c r="C29" s="46">
        <v>0</v>
      </c>
      <c r="D29" s="11">
        <v>0</v>
      </c>
    </row>
    <row r="30" spans="1:4" x14ac:dyDescent="0.3">
      <c r="B30" s="35">
        <f>SUM(B25:B29)</f>
        <v>9461.8333333333339</v>
      </c>
      <c r="C30" s="35">
        <f>SUM(C25:C29)</f>
        <v>14513.233333333335</v>
      </c>
      <c r="D30" s="35">
        <f>SUM(D25:D29)</f>
        <v>34502.433333333334</v>
      </c>
    </row>
    <row r="31" spans="1:4" x14ac:dyDescent="0.3">
      <c r="B31" s="47"/>
      <c r="C31" s="47"/>
      <c r="D31" s="6"/>
    </row>
    <row r="32" spans="1:4" x14ac:dyDescent="0.3">
      <c r="A32" s="3" t="s">
        <v>273</v>
      </c>
      <c r="B32" s="6"/>
      <c r="C32" s="6"/>
      <c r="D32" s="6"/>
    </row>
    <row r="33" spans="1:4" x14ac:dyDescent="0.3">
      <c r="A33" s="3" t="s">
        <v>252</v>
      </c>
      <c r="B33" s="9">
        <f>(ProfitLoss!B28+ProfitLoss!B41-ProfitLoss!B23-ProfitLoss!B20-ProfitLoss!B33)*('Notes 2'!$C$11/12)</f>
        <v>1</v>
      </c>
      <c r="C33" s="9">
        <f>(ProfitLoss!C28+ProfitLoss!C41-ProfitLoss!C23-ProfitLoss!C20-ProfitLoss!C33)*('Notes 2'!$C$11/12)</f>
        <v>2</v>
      </c>
      <c r="D33" s="9">
        <f>(ProfitLoss!D28+ProfitLoss!D41-ProfitLoss!D23-ProfitLoss!D20-ProfitLoss!D33)*('Notes 2'!$C$11/12)</f>
        <v>3</v>
      </c>
    </row>
    <row r="34" spans="1:4" x14ac:dyDescent="0.3">
      <c r="A34" s="3" t="s">
        <v>253</v>
      </c>
      <c r="B34" s="9">
        <f>ProfitLoss!B10*('Notes 2'!$C$10/12)</f>
        <v>0</v>
      </c>
      <c r="C34" s="9">
        <f>ProfitLoss!C10*('Notes 2'!$C$10/12)</f>
        <v>0</v>
      </c>
      <c r="D34" s="9">
        <f>ProfitLoss!D10*('Notes 2'!$C$10/12)</f>
        <v>0</v>
      </c>
    </row>
    <row r="35" spans="1:4" x14ac:dyDescent="0.3">
      <c r="A35" s="4" t="s">
        <v>254</v>
      </c>
      <c r="B35" s="11">
        <v>0</v>
      </c>
      <c r="C35" s="11">
        <v>0</v>
      </c>
      <c r="D35" s="11">
        <v>0</v>
      </c>
    </row>
    <row r="36" spans="1:4" x14ac:dyDescent="0.3">
      <c r="A36" s="4" t="s">
        <v>327</v>
      </c>
      <c r="B36" s="11">
        <v>0</v>
      </c>
      <c r="C36" s="11">
        <v>0</v>
      </c>
      <c r="D36" s="11">
        <v>0</v>
      </c>
    </row>
    <row r="37" spans="1:4" x14ac:dyDescent="0.3">
      <c r="B37" s="35">
        <f>SUM(B32:B36)</f>
        <v>1</v>
      </c>
      <c r="C37" s="35">
        <f>SUM(C32:C36)</f>
        <v>2</v>
      </c>
      <c r="D37" s="35">
        <f>SUM(D32:D36)</f>
        <v>3</v>
      </c>
    </row>
    <row r="38" spans="1:4" x14ac:dyDescent="0.3">
      <c r="B38" s="6"/>
      <c r="C38" s="6"/>
      <c r="D38" s="6"/>
    </row>
    <row r="39" spans="1:4" x14ac:dyDescent="0.3">
      <c r="A39" s="5" t="s">
        <v>16</v>
      </c>
      <c r="B39" s="48">
        <f>B30-B37</f>
        <v>9460.8333333333339</v>
      </c>
      <c r="C39" s="48">
        <f>C30-C37</f>
        <v>14511.233333333335</v>
      </c>
      <c r="D39" s="48">
        <f>D30-D37</f>
        <v>34499.433333333334</v>
      </c>
    </row>
    <row r="40" spans="1:4" ht="13.5" thickBot="1" x14ac:dyDescent="0.35">
      <c r="A40" s="5" t="s">
        <v>18</v>
      </c>
      <c r="B40" s="49">
        <f>B11+B23+B39+B13</f>
        <v>9999.1666666666679</v>
      </c>
      <c r="C40" s="49">
        <f>C11+C23+C39+C13</f>
        <v>14952.344444444447</v>
      </c>
      <c r="D40" s="49">
        <f>D11+D23+D39+D13</f>
        <v>34932.396296296298</v>
      </c>
    </row>
    <row r="41" spans="1:4" ht="13.5" thickTop="1" x14ac:dyDescent="0.3">
      <c r="B41" s="50"/>
      <c r="C41" s="50"/>
      <c r="D41" s="50"/>
    </row>
    <row r="42" spans="1:4" x14ac:dyDescent="0.3">
      <c r="B42" s="6"/>
      <c r="C42" s="6"/>
      <c r="D42" s="6"/>
    </row>
    <row r="43" spans="1:4" x14ac:dyDescent="0.3">
      <c r="A43" s="5" t="s">
        <v>17</v>
      </c>
      <c r="B43" s="6"/>
      <c r="C43" s="6"/>
      <c r="D43" s="6"/>
    </row>
    <row r="44" spans="1:4" x14ac:dyDescent="0.3">
      <c r="A44" s="3" t="s">
        <v>257</v>
      </c>
      <c r="B44" s="9">
        <f>CFS!B20</f>
        <v>50</v>
      </c>
      <c r="C44" s="9">
        <f>B44+CFS!C20</f>
        <v>50</v>
      </c>
      <c r="D44" s="9">
        <f>C44+CFS!D20</f>
        <v>50</v>
      </c>
    </row>
    <row r="45" spans="1:4" x14ac:dyDescent="0.3">
      <c r="A45" s="3" t="s">
        <v>255</v>
      </c>
      <c r="B45" s="9">
        <f>CFS!B21</f>
        <v>0</v>
      </c>
      <c r="C45" s="9">
        <f>B45+CFS!C21</f>
        <v>0</v>
      </c>
      <c r="D45" s="9">
        <f>C45+CFS!D21</f>
        <v>0</v>
      </c>
    </row>
    <row r="46" spans="1:4" x14ac:dyDescent="0.3">
      <c r="A46" s="3" t="s">
        <v>256</v>
      </c>
      <c r="B46" s="45">
        <f>ProfitLoss!B59</f>
        <v>3262.5</v>
      </c>
      <c r="C46" s="45">
        <f>ProfitLoss!C59</f>
        <v>9049.0111111111109</v>
      </c>
      <c r="D46" s="45">
        <f>ProfitLoss!D59</f>
        <v>34862.396296296298</v>
      </c>
    </row>
    <row r="47" spans="1:4" x14ac:dyDescent="0.3">
      <c r="B47" s="51">
        <f>SUM(B44:B46)</f>
        <v>3312.5</v>
      </c>
      <c r="C47" s="51">
        <f>SUM(C44:C46)</f>
        <v>9099.0111111111109</v>
      </c>
      <c r="D47" s="51">
        <f>SUM(D44:D46)</f>
        <v>34912.396296296298</v>
      </c>
    </row>
    <row r="48" spans="1:4" x14ac:dyDescent="0.3">
      <c r="A48" s="5" t="s">
        <v>259</v>
      </c>
      <c r="B48" s="36"/>
      <c r="C48" s="36"/>
      <c r="D48" s="36"/>
    </row>
    <row r="49" spans="1:4" x14ac:dyDescent="0.3">
      <c r="A49" s="4" t="s">
        <v>358</v>
      </c>
      <c r="B49" s="9">
        <f>'Notes 2'!D88+'Notes 2'!D96+'Notes 2'!D104</f>
        <v>6666.6666666666661</v>
      </c>
      <c r="C49" s="9">
        <f>'Notes 2'!E88+'Notes 2'!E96+'Notes 2'!E104</f>
        <v>5833.3333333333321</v>
      </c>
      <c r="D49" s="9">
        <f>'Notes 2'!F88+'Notes 2'!F96+'Notes 2'!F104</f>
        <v>0</v>
      </c>
    </row>
    <row r="50" spans="1:4" x14ac:dyDescent="0.3">
      <c r="A50" s="4" t="s">
        <v>379</v>
      </c>
      <c r="B50" s="11"/>
      <c r="C50" s="11"/>
      <c r="D50" s="11"/>
    </row>
    <row r="51" spans="1:4" x14ac:dyDescent="0.3">
      <c r="A51" s="3" t="s">
        <v>258</v>
      </c>
      <c r="B51" s="9">
        <f>CFS!B23+CFS!B24</f>
        <v>20</v>
      </c>
      <c r="C51" s="9">
        <f>SUM(CFS!B23:C23)+SUM(CFS!B24:C24)</f>
        <v>20</v>
      </c>
      <c r="D51" s="9">
        <f>SUM(CFS!B23:D23)+SUM(CFS!B24:D24)</f>
        <v>20</v>
      </c>
    </row>
    <row r="53" spans="1:4" ht="13.5" thickBot="1" x14ac:dyDescent="0.35">
      <c r="A53" s="5" t="s">
        <v>19</v>
      </c>
      <c r="B53" s="49">
        <f>SUM(B47:B51)</f>
        <v>9999.1666666666661</v>
      </c>
      <c r="C53" s="49">
        <f>SUM(C47:C51)</f>
        <v>14952.344444444443</v>
      </c>
      <c r="D53" s="49">
        <f>SUM(D47:D51)</f>
        <v>34932.396296296298</v>
      </c>
    </row>
    <row r="54" spans="1:4" ht="13.5" thickTop="1" x14ac:dyDescent="0.3">
      <c r="B54" s="6"/>
      <c r="C54" s="6"/>
      <c r="D54" s="6"/>
    </row>
    <row r="55" spans="1:4" x14ac:dyDescent="0.3">
      <c r="B55" s="178">
        <f>B40-B53</f>
        <v>0</v>
      </c>
      <c r="C55" s="178">
        <f>C40-C53</f>
        <v>0</v>
      </c>
      <c r="D55" s="178">
        <f>D40-D53</f>
        <v>0</v>
      </c>
    </row>
  </sheetData>
  <phoneticPr fontId="0" type="noConversion"/>
  <hyperlinks>
    <hyperlink ref="A11" location="'Financial Summary'!A51" display="Research &amp; Development (net)"/>
    <hyperlink ref="A16" location="'Notes 2'!B20" display="'Notes 2'!B20"/>
    <hyperlink ref="A17" location="'Notes 2'!B21" display="'Notes 2'!B21"/>
    <hyperlink ref="A18" location="'Notes 2'!B22" display="'Notes 2'!B22"/>
    <hyperlink ref="A19" location="'Notes 2'!B23" display="'Notes 2'!B23"/>
    <hyperlink ref="A22" location="'Notes 2'!B24" display="'Notes 2'!B24"/>
    <hyperlink ref="D1" location="Instructions!C6" display="Back To Instructions"/>
    <hyperlink ref="A20" location="'Notes 2'!B23" display="'Notes 2'!B23"/>
    <hyperlink ref="A21" location="'Notes 2'!B23" display="'Notes 2'!B23"/>
  </hyperlinks>
  <pageMargins left="1" right="0.25" top="1" bottom="0.5" header="0.5" footer="0.5"/>
  <pageSetup paperSize="9" scale="90" orientation="portrait" r:id="rId1"/>
  <headerFooter alignWithMargins="0">
    <oddFooter>&amp;L&amp;A / &amp;F&amp;CPrinted on &amp;D at &amp;T&amp;R&amp;P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33"/>
  <sheetViews>
    <sheetView workbookViewId="0"/>
  </sheetViews>
  <sheetFormatPr defaultColWidth="9.1796875" defaultRowHeight="13" x14ac:dyDescent="0.3"/>
  <cols>
    <col min="1" max="1" width="43.1796875" style="1" customWidth="1"/>
    <col min="2" max="4" width="9" style="1" bestFit="1" customWidth="1"/>
    <col min="5" max="16384" width="9.1796875" style="1"/>
  </cols>
  <sheetData>
    <row r="1" spans="1:4" x14ac:dyDescent="0.3">
      <c r="A1" s="52" t="s">
        <v>6</v>
      </c>
      <c r="D1" s="125" t="s">
        <v>375</v>
      </c>
    </row>
    <row r="2" spans="1:4" x14ac:dyDescent="0.3">
      <c r="A2" s="52" t="str">
        <f>ProfitLoss!A2</f>
        <v>Co. name:</v>
      </c>
      <c r="B2" s="1">
        <f>ProfitLoss!B2</f>
        <v>0</v>
      </c>
    </row>
    <row r="3" spans="1:4" ht="13.5" thickBot="1" x14ac:dyDescent="0.35">
      <c r="A3" s="52"/>
    </row>
    <row r="4" spans="1:4" ht="13.5" thickBot="1" x14ac:dyDescent="0.35">
      <c r="B4" s="31" t="s">
        <v>0</v>
      </c>
      <c r="C4" s="32"/>
      <c r="D4" s="33"/>
    </row>
    <row r="5" spans="1:4" x14ac:dyDescent="0.3">
      <c r="B5" s="179">
        <f>'Notes 2'!C5</f>
        <v>2002</v>
      </c>
      <c r="C5" s="179">
        <f>B5+1</f>
        <v>2003</v>
      </c>
      <c r="D5" s="179">
        <f>C5+1</f>
        <v>2004</v>
      </c>
    </row>
    <row r="6" spans="1:4" x14ac:dyDescent="0.3">
      <c r="B6" s="2" t="s">
        <v>1</v>
      </c>
      <c r="C6" s="2" t="s">
        <v>1</v>
      </c>
      <c r="D6" s="2" t="s">
        <v>1</v>
      </c>
    </row>
    <row r="7" spans="1:4" x14ac:dyDescent="0.3">
      <c r="A7" s="52" t="s">
        <v>2</v>
      </c>
      <c r="B7" s="6"/>
      <c r="C7" s="6"/>
      <c r="D7" s="6"/>
    </row>
    <row r="8" spans="1:4" x14ac:dyDescent="0.3">
      <c r="B8" s="6"/>
      <c r="C8" s="6"/>
      <c r="D8" s="6"/>
    </row>
    <row r="9" spans="1:4" x14ac:dyDescent="0.3">
      <c r="A9" s="1" t="s">
        <v>260</v>
      </c>
      <c r="B9" s="53">
        <f>ProfitLoss!B8*(('Notes 2'!$C$15-'Notes 2'!$C$9)/'Notes 2'!$C$15)</f>
        <v>80</v>
      </c>
      <c r="C9" s="9">
        <f>ProfitLoss!C8*((12-'Notes 2'!$C$9)/12)+ProfitLoss!B8*('Notes 2'!$C$9/'Notes 2'!$C$15)</f>
        <v>186.66666666666669</v>
      </c>
      <c r="D9" s="9">
        <f>ProfitLoss!D8*((12-'Notes 2'!$C$9)/12)+ProfitLoss!C8*('Notes 2'!$C$9/12)</f>
        <v>283.33333333333331</v>
      </c>
    </row>
    <row r="10" spans="1:4" x14ac:dyDescent="0.3">
      <c r="A10" s="1" t="s">
        <v>261</v>
      </c>
      <c r="B10" s="9">
        <f>-ProfitLoss!B10*((12-'Notes 2'!$C$10)/12)</f>
        <v>0</v>
      </c>
      <c r="C10" s="9">
        <f>-ProfitLoss!C10*((12-'Notes 2'!$C$10)/12)-ProfitLoss!B10*('Notes 2'!$C$10/12)</f>
        <v>0</v>
      </c>
      <c r="D10" s="9">
        <f>-ProfitLoss!D10*((12-'Notes 2'!$C$10)/12)-ProfitLoss!C10*('Notes 2'!$C$10/12)</f>
        <v>0</v>
      </c>
    </row>
    <row r="11" spans="1:4" x14ac:dyDescent="0.3">
      <c r="A11" s="1" t="s">
        <v>262</v>
      </c>
      <c r="B11" s="45">
        <f>-(ProfitLoss!B28+ProfitLoss!B41-ProfitLoss!B23-ProfitLoss!B20-ProfitLoss!B33)*((12-'Notes 2'!$C$11)/12)-ProfitLoss!B20-ProfitLoss!B33</f>
        <v>-35</v>
      </c>
      <c r="C11" s="45">
        <f>-(ProfitLoss!C28+ProfitLoss!C41-ProfitLoss!C23-ProfitLoss!C20-ProfitLoss!C33)*((12-'Notes 2'!$C$11)/12)-(ProfitLoss!B28+ProfitLoss!B41-ProfitLoss!B23-ProfitLoss!B20-ProfitLoss!B33)*('Notes 2'!$C$11/12)-ProfitLoss!C20-ProfitLoss!C33</f>
        <v>-35</v>
      </c>
      <c r="D11" s="45">
        <f>-(ProfitLoss!D28+ProfitLoss!D41-ProfitLoss!D23-ProfitLoss!D20-ProfitLoss!D33)*((12-'Notes 2'!$C$11)/12)-(ProfitLoss!C28+ProfitLoss!C41-ProfitLoss!C23-ProfitLoss!C20-ProfitLoss!C33)*('Notes 2'!$C$11/12)-ProfitLoss!D20-ProfitLoss!D33</f>
        <v>-47</v>
      </c>
    </row>
    <row r="12" spans="1:4" ht="13.5" x14ac:dyDescent="0.35">
      <c r="A12" s="54" t="s">
        <v>26</v>
      </c>
      <c r="B12" s="35">
        <f>SUM(B7:B11)</f>
        <v>45</v>
      </c>
      <c r="C12" s="35">
        <f>SUM(C7:C11)</f>
        <v>151.66666666666669</v>
      </c>
      <c r="D12" s="35">
        <f>SUM(D7:D11)</f>
        <v>236.33333333333331</v>
      </c>
    </row>
    <row r="13" spans="1:4" x14ac:dyDescent="0.3">
      <c r="B13" s="6"/>
      <c r="C13" s="6"/>
      <c r="D13" s="6"/>
    </row>
    <row r="14" spans="1:4" x14ac:dyDescent="0.3">
      <c r="A14" s="52" t="s">
        <v>3</v>
      </c>
      <c r="B14" s="6"/>
      <c r="C14" s="6"/>
      <c r="D14" s="6"/>
    </row>
    <row r="15" spans="1:4" x14ac:dyDescent="0.3">
      <c r="A15" s="1" t="s">
        <v>381</v>
      </c>
      <c r="B15" s="11">
        <v>-100</v>
      </c>
      <c r="C15" s="11">
        <v>30</v>
      </c>
      <c r="D15" s="11">
        <v>-50</v>
      </c>
    </row>
    <row r="16" spans="1:4" x14ac:dyDescent="0.3">
      <c r="A16" s="1" t="s">
        <v>263</v>
      </c>
      <c r="B16" s="9">
        <f>-'Notes 2'!D29</f>
        <v>-500</v>
      </c>
      <c r="C16" s="9">
        <f>-'Notes 2'!E29</f>
        <v>0</v>
      </c>
      <c r="D16" s="9">
        <f>-'Notes 2'!F29</f>
        <v>0</v>
      </c>
    </row>
    <row r="17" spans="1:4" x14ac:dyDescent="0.3">
      <c r="A17" s="1" t="s">
        <v>264</v>
      </c>
      <c r="B17" s="9">
        <f>-'Financial Summary'!B86</f>
        <v>-70</v>
      </c>
      <c r="C17" s="9">
        <f>-'Financial Summary'!C86</f>
        <v>-140</v>
      </c>
      <c r="D17" s="9">
        <f>-'Financial Summary'!D86</f>
        <v>-210</v>
      </c>
    </row>
    <row r="18" spans="1:4" ht="13.5" x14ac:dyDescent="0.35">
      <c r="A18" s="54" t="s">
        <v>4</v>
      </c>
      <c r="B18" s="35">
        <f>SUM(B13:B17)</f>
        <v>-670</v>
      </c>
      <c r="C18" s="35">
        <f>SUM(C13:C17)</f>
        <v>-110</v>
      </c>
      <c r="D18" s="35">
        <f>SUM(D13:D17)</f>
        <v>-260</v>
      </c>
    </row>
    <row r="19" spans="1:4" x14ac:dyDescent="0.3">
      <c r="A19" s="52" t="s">
        <v>5</v>
      </c>
      <c r="B19" s="6"/>
      <c r="C19" s="6"/>
      <c r="D19" s="6"/>
    </row>
    <row r="20" spans="1:4" x14ac:dyDescent="0.3">
      <c r="A20" s="1" t="s">
        <v>265</v>
      </c>
      <c r="B20" s="11">
        <v>50</v>
      </c>
      <c r="C20" s="11"/>
      <c r="D20" s="11"/>
    </row>
    <row r="21" spans="1:4" x14ac:dyDescent="0.3">
      <c r="A21" s="1" t="s">
        <v>266</v>
      </c>
      <c r="B21" s="11"/>
      <c r="C21" s="11"/>
      <c r="D21" s="11"/>
    </row>
    <row r="22" spans="1:4" x14ac:dyDescent="0.3">
      <c r="A22" s="1" t="s">
        <v>333</v>
      </c>
      <c r="B22" s="11">
        <v>-2</v>
      </c>
      <c r="C22" s="11">
        <v>-2</v>
      </c>
      <c r="D22" s="11">
        <v>-2</v>
      </c>
    </row>
    <row r="23" spans="1:4" x14ac:dyDescent="0.3">
      <c r="A23" s="1" t="s">
        <v>267</v>
      </c>
      <c r="B23" s="11">
        <v>20</v>
      </c>
      <c r="C23" s="11"/>
      <c r="D23" s="11"/>
    </row>
    <row r="24" spans="1:4" x14ac:dyDescent="0.3">
      <c r="A24" s="1" t="s">
        <v>268</v>
      </c>
      <c r="B24" s="11"/>
      <c r="C24" s="11"/>
      <c r="D24" s="11"/>
    </row>
    <row r="25" spans="1:4" x14ac:dyDescent="0.3">
      <c r="A25" s="1" t="s">
        <v>352</v>
      </c>
      <c r="B25" s="11">
        <v>10000</v>
      </c>
      <c r="C25" s="11">
        <v>5000</v>
      </c>
      <c r="D25" s="11">
        <v>20000</v>
      </c>
    </row>
    <row r="26" spans="1:4" x14ac:dyDescent="0.3">
      <c r="A26" s="1" t="s">
        <v>269</v>
      </c>
      <c r="B26" s="9">
        <f>-ProfitLoss!B48</f>
        <v>-1.1666666666666667</v>
      </c>
      <c r="C26" s="9">
        <f>-ProfitLoss!C48</f>
        <v>-1.6</v>
      </c>
      <c r="D26" s="9">
        <f>-ProfitLoss!D48</f>
        <v>-1.7999999999999998</v>
      </c>
    </row>
    <row r="27" spans="1:4" ht="13.5" x14ac:dyDescent="0.35">
      <c r="A27" s="54" t="s">
        <v>27</v>
      </c>
      <c r="B27" s="35">
        <f>SUM(B19:B26)</f>
        <v>10066.833333333334</v>
      </c>
      <c r="C27" s="35">
        <f>SUM(C19:C26)</f>
        <v>4996.3999999999996</v>
      </c>
      <c r="D27" s="35">
        <f>SUM(D19:D26)</f>
        <v>19996.2</v>
      </c>
    </row>
    <row r="28" spans="1:4" x14ac:dyDescent="0.3">
      <c r="B28" s="55"/>
      <c r="C28" s="55"/>
      <c r="D28" s="55"/>
    </row>
    <row r="29" spans="1:4" x14ac:dyDescent="0.3">
      <c r="A29" s="52" t="s">
        <v>22</v>
      </c>
      <c r="B29" s="9">
        <f>SUM(B12+B18+B27)</f>
        <v>9441.8333333333339</v>
      </c>
      <c r="C29" s="9">
        <f>SUM(C12+C18+C27)</f>
        <v>5038.0666666666666</v>
      </c>
      <c r="D29" s="9">
        <f>SUM(D12+D18+D27)</f>
        <v>19972.533333333333</v>
      </c>
    </row>
    <row r="30" spans="1:4" x14ac:dyDescent="0.3">
      <c r="A30" s="52"/>
      <c r="B30" s="36"/>
      <c r="C30" s="36"/>
      <c r="D30" s="36"/>
    </row>
    <row r="31" spans="1:4" x14ac:dyDescent="0.3">
      <c r="A31" s="52" t="s">
        <v>25</v>
      </c>
      <c r="B31" s="11">
        <v>0</v>
      </c>
      <c r="C31" s="9">
        <f>B32</f>
        <v>9441.8333333333339</v>
      </c>
      <c r="D31" s="9">
        <f>C32</f>
        <v>14479.900000000001</v>
      </c>
    </row>
    <row r="32" spans="1:4" ht="13.5" thickBot="1" x14ac:dyDescent="0.35">
      <c r="A32" s="52" t="s">
        <v>24</v>
      </c>
      <c r="B32" s="56">
        <f>B29+B31</f>
        <v>9441.8333333333339</v>
      </c>
      <c r="C32" s="56">
        <f>C29+C31</f>
        <v>14479.900000000001</v>
      </c>
      <c r="D32" s="56">
        <f>D29+D31</f>
        <v>34452.433333333334</v>
      </c>
    </row>
    <row r="33" spans="1:4" ht="13.5" thickTop="1" x14ac:dyDescent="0.3">
      <c r="A33" s="52"/>
      <c r="B33" s="2"/>
      <c r="C33" s="2"/>
      <c r="D33" s="2"/>
    </row>
  </sheetData>
  <phoneticPr fontId="0" type="noConversion"/>
  <hyperlinks>
    <hyperlink ref="D1" location="Instructions!C6" display="Back To Instructions"/>
  </hyperlinks>
  <pageMargins left="1" right="0.25" top="1" bottom="0.5" header="0.5" footer="0.5"/>
  <pageSetup paperSize="9" scale="90" orientation="portrait" r:id="rId1"/>
  <headerFooter alignWithMargins="0">
    <oddFooter>&amp;L&amp;A / &amp;F&amp;CPrinted on &amp;D at &amp;T&amp;R&amp;P of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4"/>
  <sheetViews>
    <sheetView zoomScaleNormal="100" workbookViewId="0"/>
  </sheetViews>
  <sheetFormatPr defaultColWidth="9.1796875" defaultRowHeight="13" outlineLevelRow="1" x14ac:dyDescent="0.3"/>
  <cols>
    <col min="1" max="1" width="9.1796875" style="3"/>
    <col min="2" max="2" width="37.7265625" style="3" customWidth="1"/>
    <col min="3" max="3" width="21" style="3" customWidth="1"/>
    <col min="4" max="6" width="9.453125" style="3" bestFit="1" customWidth="1"/>
    <col min="7" max="16384" width="9.1796875" style="3"/>
  </cols>
  <sheetData>
    <row r="1" spans="1:5" x14ac:dyDescent="0.3">
      <c r="A1" s="125" t="s">
        <v>375</v>
      </c>
    </row>
    <row r="2" spans="1:5" x14ac:dyDescent="0.3">
      <c r="A2" s="4"/>
      <c r="B2" s="5" t="s">
        <v>138</v>
      </c>
    </row>
    <row r="3" spans="1:5" x14ac:dyDescent="0.3">
      <c r="A3" s="4"/>
    </row>
    <row r="4" spans="1:5" x14ac:dyDescent="0.3">
      <c r="A4" s="12" t="s">
        <v>120</v>
      </c>
      <c r="B4" s="3" t="s">
        <v>122</v>
      </c>
      <c r="C4" s="181">
        <f>Instructions!B14</f>
        <v>0</v>
      </c>
    </row>
    <row r="5" spans="1:5" x14ac:dyDescent="0.3">
      <c r="A5" s="12" t="s">
        <v>121</v>
      </c>
      <c r="B5" s="3" t="s">
        <v>123</v>
      </c>
      <c r="C5" s="13">
        <v>2002</v>
      </c>
      <c r="D5" s="25">
        <f>C5+1</f>
        <v>2003</v>
      </c>
      <c r="E5" s="25">
        <f>D5+1</f>
        <v>2004</v>
      </c>
    </row>
    <row r="6" spans="1:5" x14ac:dyDescent="0.3">
      <c r="A6" s="12"/>
      <c r="B6" s="3" t="s">
        <v>160</v>
      </c>
      <c r="C6" s="14">
        <f>SUM(C7:C8)</f>
        <v>1</v>
      </c>
      <c r="D6" s="14">
        <f>SUM(D7:D8)</f>
        <v>1</v>
      </c>
      <c r="E6" s="14">
        <f>SUM(E7:E8)</f>
        <v>1</v>
      </c>
    </row>
    <row r="7" spans="1:5" x14ac:dyDescent="0.3">
      <c r="A7" s="12"/>
      <c r="B7" s="15" t="s">
        <v>161</v>
      </c>
      <c r="C7" s="16">
        <v>0.1</v>
      </c>
      <c r="D7" s="16">
        <v>0.2</v>
      </c>
      <c r="E7" s="16">
        <v>0.3</v>
      </c>
    </row>
    <row r="8" spans="1:5" x14ac:dyDescent="0.3">
      <c r="A8" s="12"/>
      <c r="B8" s="15" t="s">
        <v>162</v>
      </c>
      <c r="C8" s="16">
        <v>0.9</v>
      </c>
      <c r="D8" s="16">
        <v>0.8</v>
      </c>
      <c r="E8" s="16">
        <v>0.7</v>
      </c>
    </row>
    <row r="9" spans="1:5" x14ac:dyDescent="0.3">
      <c r="A9" s="12" t="s">
        <v>124</v>
      </c>
      <c r="B9" s="3" t="s">
        <v>135</v>
      </c>
      <c r="C9" s="13">
        <v>2</v>
      </c>
    </row>
    <row r="10" spans="1:5" x14ac:dyDescent="0.3">
      <c r="A10" s="12" t="s">
        <v>125</v>
      </c>
      <c r="B10" s="3" t="s">
        <v>136</v>
      </c>
      <c r="C10" s="13">
        <v>0</v>
      </c>
    </row>
    <row r="11" spans="1:5" x14ac:dyDescent="0.3">
      <c r="A11" s="12"/>
      <c r="B11" s="3" t="s">
        <v>137</v>
      </c>
      <c r="C11" s="13">
        <v>1</v>
      </c>
    </row>
    <row r="12" spans="1:5" x14ac:dyDescent="0.3">
      <c r="A12" s="12" t="s">
        <v>126</v>
      </c>
      <c r="B12" s="3" t="s">
        <v>127</v>
      </c>
      <c r="C12" s="16">
        <v>7.0000000000000007E-2</v>
      </c>
      <c r="D12" s="20">
        <v>0.08</v>
      </c>
      <c r="E12" s="20">
        <v>0.09</v>
      </c>
    </row>
    <row r="13" spans="1:5" x14ac:dyDescent="0.3">
      <c r="A13" s="12" t="s">
        <v>128</v>
      </c>
      <c r="B13" s="3" t="s">
        <v>129</v>
      </c>
      <c r="C13" s="24" t="s">
        <v>168</v>
      </c>
    </row>
    <row r="14" spans="1:5" x14ac:dyDescent="0.3">
      <c r="A14" s="12" t="s">
        <v>130</v>
      </c>
      <c r="B14" s="3" t="s">
        <v>131</v>
      </c>
      <c r="C14" s="16">
        <v>0.33333333333333337</v>
      </c>
      <c r="D14" s="125" t="s">
        <v>324</v>
      </c>
    </row>
    <row r="15" spans="1:5" x14ac:dyDescent="0.3">
      <c r="A15" s="12" t="s">
        <v>158</v>
      </c>
      <c r="B15" s="3" t="s">
        <v>363</v>
      </c>
      <c r="C15" s="171">
        <v>10</v>
      </c>
      <c r="D15" s="125"/>
    </row>
    <row r="18" spans="1:6" x14ac:dyDescent="0.3">
      <c r="A18" s="15" t="s">
        <v>362</v>
      </c>
      <c r="B18" s="5" t="s">
        <v>159</v>
      </c>
      <c r="D18" s="18">
        <f>C5</f>
        <v>2002</v>
      </c>
      <c r="E18" s="18">
        <f>D18+1</f>
        <v>2003</v>
      </c>
      <c r="F18" s="18">
        <f>E18+1</f>
        <v>2004</v>
      </c>
    </row>
    <row r="19" spans="1:6" x14ac:dyDescent="0.3">
      <c r="A19" s="15"/>
      <c r="B19" s="5"/>
      <c r="D19" s="18"/>
      <c r="E19" s="18"/>
      <c r="F19" s="18"/>
    </row>
    <row r="20" spans="1:6" x14ac:dyDescent="0.3">
      <c r="B20" s="5" t="s">
        <v>169</v>
      </c>
      <c r="C20" s="125" t="s">
        <v>325</v>
      </c>
    </row>
    <row r="21" spans="1:6" x14ac:dyDescent="0.3">
      <c r="B21" s="126" t="s">
        <v>12</v>
      </c>
      <c r="D21" s="19">
        <v>100</v>
      </c>
      <c r="E21" s="19">
        <v>0</v>
      </c>
      <c r="F21" s="19">
        <v>0</v>
      </c>
    </row>
    <row r="22" spans="1:6" x14ac:dyDescent="0.3">
      <c r="B22" s="126" t="s">
        <v>13</v>
      </c>
      <c r="D22" s="19">
        <v>100</v>
      </c>
      <c r="E22" s="19">
        <v>0</v>
      </c>
      <c r="F22" s="19">
        <v>0</v>
      </c>
    </row>
    <row r="23" spans="1:6" x14ac:dyDescent="0.3">
      <c r="B23" s="126" t="s">
        <v>21</v>
      </c>
      <c r="D23" s="19">
        <v>100</v>
      </c>
      <c r="E23" s="19">
        <v>0</v>
      </c>
      <c r="F23" s="19">
        <v>0</v>
      </c>
    </row>
    <row r="24" spans="1:6" x14ac:dyDescent="0.3">
      <c r="B24" s="126" t="s">
        <v>14</v>
      </c>
      <c r="D24" s="19">
        <v>0</v>
      </c>
      <c r="E24" s="19">
        <v>0</v>
      </c>
      <c r="F24" s="19">
        <v>0</v>
      </c>
    </row>
    <row r="25" spans="1:6" x14ac:dyDescent="0.3">
      <c r="B25" s="126" t="s">
        <v>163</v>
      </c>
      <c r="D25" s="19">
        <v>0</v>
      </c>
      <c r="E25" s="19">
        <v>0</v>
      </c>
      <c r="F25" s="19">
        <v>0</v>
      </c>
    </row>
    <row r="26" spans="1:6" hidden="1" outlineLevel="1" x14ac:dyDescent="0.3">
      <c r="B26" s="126" t="s">
        <v>163</v>
      </c>
      <c r="D26" s="19">
        <v>100</v>
      </c>
      <c r="E26" s="19">
        <v>0</v>
      </c>
      <c r="F26" s="19">
        <v>0</v>
      </c>
    </row>
    <row r="27" spans="1:6" hidden="1" outlineLevel="1" x14ac:dyDescent="0.3">
      <c r="B27" s="126" t="s">
        <v>163</v>
      </c>
      <c r="D27" s="19">
        <v>100</v>
      </c>
      <c r="E27" s="19">
        <v>0</v>
      </c>
      <c r="F27" s="19">
        <v>0</v>
      </c>
    </row>
    <row r="28" spans="1:6" collapsed="1" x14ac:dyDescent="0.3">
      <c r="D28" s="17"/>
      <c r="E28" s="17"/>
      <c r="F28" s="17"/>
    </row>
    <row r="29" spans="1:6" ht="13.5" thickBot="1" x14ac:dyDescent="0.35">
      <c r="D29" s="21">
        <f>SUM(D21:D28)</f>
        <v>500</v>
      </c>
      <c r="E29" s="21">
        <f>SUM(E21:E28)</f>
        <v>0</v>
      </c>
      <c r="F29" s="21">
        <f>SUM(F21:F28)</f>
        <v>0</v>
      </c>
    </row>
    <row r="30" spans="1:6" hidden="1" outlineLevel="1" x14ac:dyDescent="0.3">
      <c r="D30" s="22"/>
      <c r="E30" s="22"/>
      <c r="F30" s="22"/>
    </row>
    <row r="31" spans="1:6" hidden="1" outlineLevel="1" x14ac:dyDescent="0.3">
      <c r="B31" s="5" t="s">
        <v>164</v>
      </c>
      <c r="D31" s="17"/>
      <c r="E31" s="17"/>
      <c r="F31" s="17"/>
    </row>
    <row r="32" spans="1:6" hidden="1" outlineLevel="1" x14ac:dyDescent="0.3">
      <c r="B32" s="3" t="str">
        <f>B21</f>
        <v>Land &amp; Buildings</v>
      </c>
      <c r="D32" s="17">
        <f t="shared" ref="D32:D38" si="0">D21</f>
        <v>100</v>
      </c>
      <c r="E32" s="17">
        <f t="shared" ref="E32:F38" si="1">D32+E21</f>
        <v>100</v>
      </c>
      <c r="F32" s="17">
        <f t="shared" si="1"/>
        <v>100</v>
      </c>
    </row>
    <row r="33" spans="2:6" hidden="1" outlineLevel="1" x14ac:dyDescent="0.3">
      <c r="B33" s="3" t="str">
        <f t="shared" ref="B33:B38" si="2">B22</f>
        <v>Fixtures &amp; Fittings</v>
      </c>
      <c r="D33" s="17">
        <f t="shared" si="0"/>
        <v>100</v>
      </c>
      <c r="E33" s="17">
        <f t="shared" si="1"/>
        <v>100</v>
      </c>
      <c r="F33" s="17">
        <f t="shared" si="1"/>
        <v>100</v>
      </c>
    </row>
    <row r="34" spans="2:6" hidden="1" outlineLevel="1" x14ac:dyDescent="0.3">
      <c r="B34" s="3" t="str">
        <f t="shared" si="2"/>
        <v>Office Equipment</v>
      </c>
      <c r="D34" s="17">
        <f t="shared" si="0"/>
        <v>100</v>
      </c>
      <c r="E34" s="17">
        <f t="shared" si="1"/>
        <v>100</v>
      </c>
      <c r="F34" s="17">
        <f t="shared" si="1"/>
        <v>100</v>
      </c>
    </row>
    <row r="35" spans="2:6" hidden="1" outlineLevel="1" x14ac:dyDescent="0.3">
      <c r="B35" s="3" t="str">
        <f t="shared" si="2"/>
        <v>Motor Vehicles</v>
      </c>
      <c r="D35" s="17">
        <f t="shared" si="0"/>
        <v>0</v>
      </c>
      <c r="E35" s="17">
        <f t="shared" si="1"/>
        <v>0</v>
      </c>
      <c r="F35" s="17">
        <f t="shared" si="1"/>
        <v>0</v>
      </c>
    </row>
    <row r="36" spans="2:6" hidden="1" outlineLevel="1" x14ac:dyDescent="0.3">
      <c r="B36" s="3" t="str">
        <f t="shared" si="2"/>
        <v>Others</v>
      </c>
      <c r="D36" s="17">
        <f t="shared" si="0"/>
        <v>0</v>
      </c>
      <c r="E36" s="17">
        <f t="shared" si="1"/>
        <v>0</v>
      </c>
      <c r="F36" s="17">
        <f t="shared" si="1"/>
        <v>0</v>
      </c>
    </row>
    <row r="37" spans="2:6" hidden="1" outlineLevel="1" x14ac:dyDescent="0.3">
      <c r="B37" s="3" t="str">
        <f t="shared" si="2"/>
        <v>Others</v>
      </c>
      <c r="D37" s="17">
        <f t="shared" si="0"/>
        <v>100</v>
      </c>
      <c r="E37" s="17">
        <f t="shared" si="1"/>
        <v>100</v>
      </c>
      <c r="F37" s="17">
        <f t="shared" si="1"/>
        <v>100</v>
      </c>
    </row>
    <row r="38" spans="2:6" hidden="1" outlineLevel="1" x14ac:dyDescent="0.3">
      <c r="B38" s="3" t="str">
        <f t="shared" si="2"/>
        <v>Others</v>
      </c>
      <c r="D38" s="17">
        <f t="shared" si="0"/>
        <v>100</v>
      </c>
      <c r="E38" s="17">
        <f t="shared" si="1"/>
        <v>100</v>
      </c>
      <c r="F38" s="17">
        <f t="shared" si="1"/>
        <v>100</v>
      </c>
    </row>
    <row r="39" spans="2:6" hidden="1" outlineLevel="1" x14ac:dyDescent="0.3">
      <c r="D39" s="17"/>
      <c r="E39" s="17"/>
      <c r="F39" s="17"/>
    </row>
    <row r="40" spans="2:6" ht="13.5" hidden="1" outlineLevel="1" thickBot="1" x14ac:dyDescent="0.35">
      <c r="D40" s="21">
        <f>SUM(D32:D39)</f>
        <v>500</v>
      </c>
      <c r="E40" s="21">
        <f>SUM(E32:E39)</f>
        <v>500</v>
      </c>
      <c r="F40" s="21">
        <f>SUM(F32:F39)</f>
        <v>500</v>
      </c>
    </row>
    <row r="41" spans="2:6" collapsed="1" x14ac:dyDescent="0.3">
      <c r="D41" s="17"/>
      <c r="E41" s="17"/>
      <c r="F41" s="17"/>
    </row>
    <row r="42" spans="2:6" x14ac:dyDescent="0.3">
      <c r="B42" s="5" t="s">
        <v>165</v>
      </c>
      <c r="C42" s="18" t="s">
        <v>171</v>
      </c>
      <c r="D42" s="17"/>
      <c r="E42" s="17"/>
      <c r="F42" s="182" t="s">
        <v>324</v>
      </c>
    </row>
    <row r="43" spans="2:6" x14ac:dyDescent="0.3">
      <c r="B43" s="3" t="str">
        <f t="shared" ref="B43:B49" si="3">B21</f>
        <v>Land &amp; Buildings</v>
      </c>
      <c r="C43" s="20">
        <v>0.2</v>
      </c>
      <c r="D43" s="17">
        <f t="shared" ref="D43:D49" si="4">D32*$C43*($C$15/12)</f>
        <v>16.666666666666668</v>
      </c>
      <c r="E43" s="17">
        <f t="shared" ref="E43:F49" si="5">E32*$C43</f>
        <v>20</v>
      </c>
      <c r="F43" s="17">
        <f t="shared" si="5"/>
        <v>20</v>
      </c>
    </row>
    <row r="44" spans="2:6" x14ac:dyDescent="0.3">
      <c r="B44" s="3" t="str">
        <f t="shared" si="3"/>
        <v>Fixtures &amp; Fittings</v>
      </c>
      <c r="C44" s="20">
        <v>0.2</v>
      </c>
      <c r="D44" s="17">
        <f t="shared" si="4"/>
        <v>16.666666666666668</v>
      </c>
      <c r="E44" s="17">
        <f t="shared" si="5"/>
        <v>20</v>
      </c>
      <c r="F44" s="17">
        <f t="shared" si="5"/>
        <v>20</v>
      </c>
    </row>
    <row r="45" spans="2:6" x14ac:dyDescent="0.3">
      <c r="B45" s="3" t="str">
        <f t="shared" si="3"/>
        <v>Office Equipment</v>
      </c>
      <c r="C45" s="20">
        <v>0.2</v>
      </c>
      <c r="D45" s="17">
        <f t="shared" si="4"/>
        <v>16.666666666666668</v>
      </c>
      <c r="E45" s="17">
        <f t="shared" si="5"/>
        <v>20</v>
      </c>
      <c r="F45" s="17">
        <f t="shared" si="5"/>
        <v>20</v>
      </c>
    </row>
    <row r="46" spans="2:6" x14ac:dyDescent="0.3">
      <c r="B46" s="3" t="str">
        <f t="shared" si="3"/>
        <v>Motor Vehicles</v>
      </c>
      <c r="C46" s="20">
        <v>0.2</v>
      </c>
      <c r="D46" s="17">
        <f t="shared" si="4"/>
        <v>0</v>
      </c>
      <c r="E46" s="17">
        <f t="shared" si="5"/>
        <v>0</v>
      </c>
      <c r="F46" s="17">
        <f t="shared" si="5"/>
        <v>0</v>
      </c>
    </row>
    <row r="47" spans="2:6" x14ac:dyDescent="0.3">
      <c r="B47" s="3" t="str">
        <f t="shared" si="3"/>
        <v>Others</v>
      </c>
      <c r="C47" s="20">
        <v>0.2</v>
      </c>
      <c r="D47" s="17">
        <f t="shared" si="4"/>
        <v>0</v>
      </c>
      <c r="E47" s="17">
        <f t="shared" si="5"/>
        <v>0</v>
      </c>
      <c r="F47" s="17">
        <f t="shared" si="5"/>
        <v>0</v>
      </c>
    </row>
    <row r="48" spans="2:6" hidden="1" outlineLevel="1" x14ac:dyDescent="0.3">
      <c r="B48" s="3" t="str">
        <f t="shared" si="3"/>
        <v>Others</v>
      </c>
      <c r="C48" s="20">
        <v>0.2</v>
      </c>
      <c r="D48" s="17">
        <f t="shared" si="4"/>
        <v>16.666666666666668</v>
      </c>
      <c r="E48" s="17">
        <f t="shared" si="5"/>
        <v>20</v>
      </c>
      <c r="F48" s="17">
        <f t="shared" si="5"/>
        <v>20</v>
      </c>
    </row>
    <row r="49" spans="2:6" hidden="1" outlineLevel="1" x14ac:dyDescent="0.3">
      <c r="B49" s="3" t="str">
        <f t="shared" si="3"/>
        <v>Others</v>
      </c>
      <c r="C49" s="20">
        <v>0.2</v>
      </c>
      <c r="D49" s="17">
        <f t="shared" si="4"/>
        <v>16.666666666666668</v>
      </c>
      <c r="E49" s="17">
        <f t="shared" si="5"/>
        <v>20</v>
      </c>
      <c r="F49" s="17">
        <f t="shared" si="5"/>
        <v>20</v>
      </c>
    </row>
    <row r="50" spans="2:6" collapsed="1" x14ac:dyDescent="0.3">
      <c r="D50" s="17"/>
      <c r="E50" s="17"/>
      <c r="F50" s="17"/>
    </row>
    <row r="51" spans="2:6" ht="13.5" thickBot="1" x14ac:dyDescent="0.35">
      <c r="D51" s="21">
        <f>SUM(D43:D50)</f>
        <v>83.333333333333343</v>
      </c>
      <c r="E51" s="21">
        <f>SUM(E43:E50)</f>
        <v>100</v>
      </c>
      <c r="F51" s="21">
        <f>SUM(F43:F50)</f>
        <v>100</v>
      </c>
    </row>
    <row r="52" spans="2:6" hidden="1" outlineLevel="1" x14ac:dyDescent="0.3">
      <c r="D52" s="17"/>
      <c r="E52" s="17"/>
      <c r="F52" s="17"/>
    </row>
    <row r="53" spans="2:6" hidden="1" outlineLevel="1" x14ac:dyDescent="0.3">
      <c r="B53" s="5" t="s">
        <v>166</v>
      </c>
      <c r="D53" s="17"/>
      <c r="E53" s="17"/>
      <c r="F53" s="17"/>
    </row>
    <row r="54" spans="2:6" hidden="1" outlineLevel="1" x14ac:dyDescent="0.3">
      <c r="B54" s="3" t="str">
        <f t="shared" ref="B54:B60" si="6">B21</f>
        <v>Land &amp; Buildings</v>
      </c>
      <c r="D54" s="17">
        <f t="shared" ref="D54:D60" si="7">D43</f>
        <v>16.666666666666668</v>
      </c>
      <c r="E54" s="17">
        <f t="shared" ref="E54:F60" si="8">D54+E43</f>
        <v>36.666666666666671</v>
      </c>
      <c r="F54" s="17">
        <f t="shared" si="8"/>
        <v>56.666666666666671</v>
      </c>
    </row>
    <row r="55" spans="2:6" hidden="1" outlineLevel="1" x14ac:dyDescent="0.3">
      <c r="B55" s="3" t="str">
        <f t="shared" si="6"/>
        <v>Fixtures &amp; Fittings</v>
      </c>
      <c r="D55" s="17">
        <f t="shared" si="7"/>
        <v>16.666666666666668</v>
      </c>
      <c r="E55" s="17">
        <f t="shared" si="8"/>
        <v>36.666666666666671</v>
      </c>
      <c r="F55" s="17">
        <f t="shared" si="8"/>
        <v>56.666666666666671</v>
      </c>
    </row>
    <row r="56" spans="2:6" hidden="1" outlineLevel="1" x14ac:dyDescent="0.3">
      <c r="B56" s="3" t="str">
        <f t="shared" si="6"/>
        <v>Office Equipment</v>
      </c>
      <c r="D56" s="17">
        <f t="shared" si="7"/>
        <v>16.666666666666668</v>
      </c>
      <c r="E56" s="17">
        <f t="shared" si="8"/>
        <v>36.666666666666671</v>
      </c>
      <c r="F56" s="17">
        <f t="shared" si="8"/>
        <v>56.666666666666671</v>
      </c>
    </row>
    <row r="57" spans="2:6" hidden="1" outlineLevel="1" x14ac:dyDescent="0.3">
      <c r="B57" s="3" t="str">
        <f t="shared" si="6"/>
        <v>Motor Vehicles</v>
      </c>
      <c r="D57" s="17">
        <f t="shared" si="7"/>
        <v>0</v>
      </c>
      <c r="E57" s="17">
        <f t="shared" si="8"/>
        <v>0</v>
      </c>
      <c r="F57" s="17">
        <f t="shared" si="8"/>
        <v>0</v>
      </c>
    </row>
    <row r="58" spans="2:6" hidden="1" outlineLevel="1" x14ac:dyDescent="0.3">
      <c r="B58" s="3" t="str">
        <f t="shared" si="6"/>
        <v>Others</v>
      </c>
      <c r="D58" s="17">
        <f t="shared" si="7"/>
        <v>0</v>
      </c>
      <c r="E58" s="17">
        <f t="shared" si="8"/>
        <v>0</v>
      </c>
      <c r="F58" s="17">
        <f t="shared" si="8"/>
        <v>0</v>
      </c>
    </row>
    <row r="59" spans="2:6" hidden="1" outlineLevel="1" x14ac:dyDescent="0.3">
      <c r="B59" s="3" t="str">
        <f t="shared" si="6"/>
        <v>Others</v>
      </c>
      <c r="D59" s="17">
        <f t="shared" si="7"/>
        <v>16.666666666666668</v>
      </c>
      <c r="E59" s="17">
        <f t="shared" si="8"/>
        <v>36.666666666666671</v>
      </c>
      <c r="F59" s="17">
        <f t="shared" si="8"/>
        <v>56.666666666666671</v>
      </c>
    </row>
    <row r="60" spans="2:6" hidden="1" outlineLevel="1" x14ac:dyDescent="0.3">
      <c r="B60" s="3" t="str">
        <f t="shared" si="6"/>
        <v>Others</v>
      </c>
      <c r="D60" s="17">
        <f t="shared" si="7"/>
        <v>16.666666666666668</v>
      </c>
      <c r="E60" s="17">
        <f t="shared" si="8"/>
        <v>36.666666666666671</v>
      </c>
      <c r="F60" s="17">
        <f t="shared" si="8"/>
        <v>56.666666666666671</v>
      </c>
    </row>
    <row r="61" spans="2:6" hidden="1" outlineLevel="1" x14ac:dyDescent="0.3">
      <c r="D61" s="17"/>
      <c r="E61" s="17"/>
      <c r="F61" s="17"/>
    </row>
    <row r="62" spans="2:6" ht="13.5" hidden="1" outlineLevel="1" thickBot="1" x14ac:dyDescent="0.35">
      <c r="D62" s="21">
        <f>SUM(D54:D61)</f>
        <v>83.333333333333343</v>
      </c>
      <c r="E62" s="21">
        <f>SUM(E54:E61)</f>
        <v>183.33333333333337</v>
      </c>
      <c r="F62" s="21">
        <f>SUM(F54:F61)</f>
        <v>283.33333333333337</v>
      </c>
    </row>
    <row r="63" spans="2:6" collapsed="1" x14ac:dyDescent="0.3">
      <c r="D63" s="17"/>
      <c r="E63" s="17"/>
      <c r="F63" s="17"/>
    </row>
    <row r="64" spans="2:6" x14ac:dyDescent="0.3">
      <c r="B64" s="5" t="s">
        <v>167</v>
      </c>
      <c r="D64" s="17"/>
      <c r="E64" s="17"/>
      <c r="F64" s="17"/>
    </row>
    <row r="65" spans="1:6" x14ac:dyDescent="0.3">
      <c r="B65" s="3" t="str">
        <f t="shared" ref="B65:B71" si="9">B21</f>
        <v>Land &amp; Buildings</v>
      </c>
      <c r="D65" s="17">
        <f t="shared" ref="D65:F68" si="10">D32-D54</f>
        <v>83.333333333333329</v>
      </c>
      <c r="E65" s="17">
        <f t="shared" si="10"/>
        <v>63.333333333333329</v>
      </c>
      <c r="F65" s="17">
        <f t="shared" si="10"/>
        <v>43.333333333333329</v>
      </c>
    </row>
    <row r="66" spans="1:6" x14ac:dyDescent="0.3">
      <c r="B66" s="3" t="str">
        <f t="shared" si="9"/>
        <v>Fixtures &amp; Fittings</v>
      </c>
      <c r="D66" s="17">
        <f t="shared" si="10"/>
        <v>83.333333333333329</v>
      </c>
      <c r="E66" s="17">
        <f t="shared" si="10"/>
        <v>63.333333333333329</v>
      </c>
      <c r="F66" s="17">
        <f t="shared" si="10"/>
        <v>43.333333333333329</v>
      </c>
    </row>
    <row r="67" spans="1:6" x14ac:dyDescent="0.3">
      <c r="B67" s="3" t="str">
        <f t="shared" si="9"/>
        <v>Office Equipment</v>
      </c>
      <c r="D67" s="17">
        <f t="shared" si="10"/>
        <v>83.333333333333329</v>
      </c>
      <c r="E67" s="17">
        <f t="shared" si="10"/>
        <v>63.333333333333329</v>
      </c>
      <c r="F67" s="17">
        <f t="shared" si="10"/>
        <v>43.333333333333329</v>
      </c>
    </row>
    <row r="68" spans="1:6" x14ac:dyDescent="0.3">
      <c r="B68" s="3" t="str">
        <f t="shared" si="9"/>
        <v>Motor Vehicles</v>
      </c>
      <c r="D68" s="17">
        <f t="shared" si="10"/>
        <v>0</v>
      </c>
      <c r="E68" s="17">
        <f t="shared" si="10"/>
        <v>0</v>
      </c>
      <c r="F68" s="17">
        <f t="shared" si="10"/>
        <v>0</v>
      </c>
    </row>
    <row r="69" spans="1:6" x14ac:dyDescent="0.3">
      <c r="B69" s="3" t="str">
        <f t="shared" si="9"/>
        <v>Others</v>
      </c>
      <c r="D69" s="17">
        <f>D36-D58</f>
        <v>0</v>
      </c>
      <c r="E69" s="17">
        <f>E36-E58</f>
        <v>0</v>
      </c>
      <c r="F69" s="17">
        <f>F36-F58</f>
        <v>0</v>
      </c>
    </row>
    <row r="70" spans="1:6" hidden="1" outlineLevel="1" x14ac:dyDescent="0.3">
      <c r="B70" s="3" t="str">
        <f t="shared" si="9"/>
        <v>Others</v>
      </c>
      <c r="D70" s="17">
        <f t="shared" ref="D70:F71" si="11">D37-D59</f>
        <v>83.333333333333329</v>
      </c>
      <c r="E70" s="17">
        <f t="shared" si="11"/>
        <v>63.333333333333329</v>
      </c>
      <c r="F70" s="17">
        <f t="shared" si="11"/>
        <v>43.333333333333329</v>
      </c>
    </row>
    <row r="71" spans="1:6" hidden="1" outlineLevel="1" x14ac:dyDescent="0.3">
      <c r="B71" s="3" t="str">
        <f t="shared" si="9"/>
        <v>Others</v>
      </c>
      <c r="D71" s="17">
        <f t="shared" si="11"/>
        <v>83.333333333333329</v>
      </c>
      <c r="E71" s="17">
        <f t="shared" si="11"/>
        <v>63.333333333333329</v>
      </c>
      <c r="F71" s="17">
        <f t="shared" si="11"/>
        <v>43.333333333333329</v>
      </c>
    </row>
    <row r="72" spans="1:6" collapsed="1" x14ac:dyDescent="0.3">
      <c r="D72" s="17"/>
      <c r="E72" s="17"/>
      <c r="F72" s="17"/>
    </row>
    <row r="73" spans="1:6" ht="13.5" thickBot="1" x14ac:dyDescent="0.35">
      <c r="D73" s="21">
        <f>SUM(D65:D72)</f>
        <v>416.66666666666663</v>
      </c>
      <c r="E73" s="21">
        <f>SUM(E65:E72)</f>
        <v>316.66666666666663</v>
      </c>
      <c r="F73" s="21">
        <f>SUM(F65:F72)</f>
        <v>216.66666666666663</v>
      </c>
    </row>
    <row r="75" spans="1:6" x14ac:dyDescent="0.3">
      <c r="A75" s="3" t="s">
        <v>138</v>
      </c>
      <c r="C75" s="3" t="s">
        <v>317</v>
      </c>
      <c r="D75" s="125" t="s">
        <v>318</v>
      </c>
      <c r="E75" s="125" t="s">
        <v>319</v>
      </c>
      <c r="F75" s="125" t="s">
        <v>320</v>
      </c>
    </row>
    <row r="77" spans="1:6" x14ac:dyDescent="0.3">
      <c r="A77" s="125" t="s">
        <v>316</v>
      </c>
    </row>
    <row r="79" spans="1:6" x14ac:dyDescent="0.3">
      <c r="A79" s="125" t="s">
        <v>350</v>
      </c>
    </row>
    <row r="80" spans="1:6" x14ac:dyDescent="0.3">
      <c r="A80" s="125"/>
    </row>
    <row r="81" spans="1:8" x14ac:dyDescent="0.3">
      <c r="A81" s="125"/>
    </row>
    <row r="82" spans="1:8" x14ac:dyDescent="0.3">
      <c r="A82" s="5" t="s">
        <v>353</v>
      </c>
      <c r="C82" s="5" t="s">
        <v>359</v>
      </c>
      <c r="D82" s="18">
        <f>D18</f>
        <v>2002</v>
      </c>
      <c r="E82" s="18">
        <f>E18</f>
        <v>2003</v>
      </c>
      <c r="F82" s="18">
        <f>F18</f>
        <v>2004</v>
      </c>
      <c r="G82" s="18">
        <f>F82+1</f>
        <v>2005</v>
      </c>
      <c r="H82" s="18">
        <f>G82+1</f>
        <v>2006</v>
      </c>
    </row>
    <row r="83" spans="1:8" x14ac:dyDescent="0.3">
      <c r="C83" s="3" t="s">
        <v>356</v>
      </c>
      <c r="D83" s="170">
        <v>3</v>
      </c>
    </row>
    <row r="84" spans="1:8" x14ac:dyDescent="0.3">
      <c r="C84" s="3" t="s">
        <v>354</v>
      </c>
      <c r="D84" s="17">
        <v>0</v>
      </c>
      <c r="E84" s="17">
        <f>D88</f>
        <v>6666.6666666666661</v>
      </c>
      <c r="F84" s="17">
        <f>E88</f>
        <v>3333.3333333333326</v>
      </c>
    </row>
    <row r="85" spans="1:8" x14ac:dyDescent="0.3">
      <c r="C85" s="3" t="s">
        <v>133</v>
      </c>
      <c r="D85" s="17">
        <f>CFS!B25</f>
        <v>10000</v>
      </c>
      <c r="E85" s="17"/>
      <c r="F85" s="17"/>
    </row>
    <row r="86" spans="1:8" x14ac:dyDescent="0.3">
      <c r="D86" s="17">
        <f>SUM(D84:D85)</f>
        <v>10000</v>
      </c>
      <c r="E86" s="17">
        <f>SUM(E84:E85)</f>
        <v>6666.6666666666661</v>
      </c>
      <c r="F86" s="17">
        <f>SUM(F84:F85)</f>
        <v>3333.3333333333326</v>
      </c>
    </row>
    <row r="87" spans="1:8" x14ac:dyDescent="0.3">
      <c r="C87" s="3" t="s">
        <v>355</v>
      </c>
      <c r="D87" s="17">
        <f>D86/$D$83</f>
        <v>3333.3333333333335</v>
      </c>
      <c r="E87" s="17">
        <f>IF(D88&gt;0,(D85/$D$83),0)</f>
        <v>3333.3333333333335</v>
      </c>
      <c r="F87" s="17">
        <f>IF(E88&gt;0,(D85/$D$83),0)</f>
        <v>3333.3333333333335</v>
      </c>
    </row>
    <row r="88" spans="1:8" x14ac:dyDescent="0.3">
      <c r="C88" s="3" t="s">
        <v>357</v>
      </c>
      <c r="D88" s="17">
        <f>D86-D87</f>
        <v>6666.6666666666661</v>
      </c>
      <c r="E88" s="17">
        <f>E86-E87</f>
        <v>3333.3333333333326</v>
      </c>
      <c r="F88" s="17">
        <f>F86-F87</f>
        <v>0</v>
      </c>
    </row>
    <row r="89" spans="1:8" x14ac:dyDescent="0.3">
      <c r="D89" s="17"/>
      <c r="E89" s="17"/>
      <c r="F89" s="17"/>
    </row>
    <row r="90" spans="1:8" x14ac:dyDescent="0.3">
      <c r="C90" s="5" t="s">
        <v>360</v>
      </c>
    </row>
    <row r="91" spans="1:8" x14ac:dyDescent="0.3">
      <c r="C91" s="3" t="s">
        <v>356</v>
      </c>
      <c r="D91" s="170">
        <v>2</v>
      </c>
    </row>
    <row r="92" spans="1:8" x14ac:dyDescent="0.3">
      <c r="C92" s="3" t="s">
        <v>354</v>
      </c>
      <c r="D92" s="17">
        <v>0</v>
      </c>
      <c r="E92" s="17">
        <f>D96</f>
        <v>0</v>
      </c>
      <c r="F92" s="17">
        <f>E96</f>
        <v>2500</v>
      </c>
      <c r="G92" s="17">
        <f>F96</f>
        <v>0</v>
      </c>
      <c r="H92" s="17">
        <f>G96</f>
        <v>0</v>
      </c>
    </row>
    <row r="93" spans="1:8" x14ac:dyDescent="0.3">
      <c r="C93" s="3" t="s">
        <v>133</v>
      </c>
      <c r="D93" s="17"/>
      <c r="E93" s="17">
        <f>CFS!C25</f>
        <v>5000</v>
      </c>
      <c r="F93" s="17"/>
      <c r="G93" s="17"/>
      <c r="H93" s="17"/>
    </row>
    <row r="94" spans="1:8" x14ac:dyDescent="0.3">
      <c r="D94" s="17">
        <f>SUM(D92:D93)</f>
        <v>0</v>
      </c>
      <c r="E94" s="17">
        <f>SUM(E92:E93)</f>
        <v>5000</v>
      </c>
      <c r="F94" s="17">
        <f>SUM(F92:F93)</f>
        <v>2500</v>
      </c>
      <c r="G94" s="17">
        <f>SUM(G92:G93)</f>
        <v>0</v>
      </c>
      <c r="H94" s="17">
        <f>SUM(H92:H93)</f>
        <v>0</v>
      </c>
    </row>
    <row r="95" spans="1:8" x14ac:dyDescent="0.3">
      <c r="C95" s="3" t="s">
        <v>355</v>
      </c>
      <c r="D95" s="17">
        <f>D94/$D$91</f>
        <v>0</v>
      </c>
      <c r="E95" s="17">
        <f>(E93/$D$91)</f>
        <v>2500</v>
      </c>
      <c r="F95" s="17">
        <f>IF(E96&gt;0,(E93/$D$91),0)</f>
        <v>2500</v>
      </c>
      <c r="G95" s="17">
        <f>IF(F96&gt;0,(E93/$D$91),0)</f>
        <v>0</v>
      </c>
      <c r="H95" s="17">
        <f>IF(G96&gt;0,(E93/$D$91),0)</f>
        <v>0</v>
      </c>
    </row>
    <row r="96" spans="1:8" x14ac:dyDescent="0.3">
      <c r="C96" s="3" t="s">
        <v>357</v>
      </c>
      <c r="D96" s="17">
        <f>D94-D95</f>
        <v>0</v>
      </c>
      <c r="E96" s="17">
        <f>E94-E95</f>
        <v>2500</v>
      </c>
      <c r="F96" s="17">
        <f>F94-F95</f>
        <v>0</v>
      </c>
      <c r="G96" s="17">
        <f>G94-G95</f>
        <v>0</v>
      </c>
      <c r="H96" s="17">
        <f>H94-H95</f>
        <v>0</v>
      </c>
    </row>
    <row r="98" spans="3:8" x14ac:dyDescent="0.3">
      <c r="C98" s="5" t="s">
        <v>361</v>
      </c>
    </row>
    <row r="99" spans="3:8" x14ac:dyDescent="0.3">
      <c r="C99" s="3" t="s">
        <v>356</v>
      </c>
      <c r="D99" s="170">
        <v>1</v>
      </c>
    </row>
    <row r="100" spans="3:8" x14ac:dyDescent="0.3">
      <c r="C100" s="3" t="s">
        <v>354</v>
      </c>
      <c r="D100" s="17">
        <v>0</v>
      </c>
      <c r="E100" s="17">
        <f>D104</f>
        <v>0</v>
      </c>
      <c r="F100" s="17">
        <f>E104</f>
        <v>0</v>
      </c>
      <c r="G100" s="17">
        <f>F104</f>
        <v>0</v>
      </c>
      <c r="H100" s="17">
        <f>G104</f>
        <v>0</v>
      </c>
    </row>
    <row r="101" spans="3:8" x14ac:dyDescent="0.3">
      <c r="C101" s="3" t="s">
        <v>133</v>
      </c>
      <c r="D101" s="17"/>
      <c r="E101" s="17"/>
      <c r="F101" s="17">
        <f>CFS!D25</f>
        <v>20000</v>
      </c>
      <c r="G101" s="17"/>
      <c r="H101" s="17"/>
    </row>
    <row r="102" spans="3:8" x14ac:dyDescent="0.3">
      <c r="D102" s="17">
        <f>SUM(D100:D101)</f>
        <v>0</v>
      </c>
      <c r="E102" s="17">
        <f>SUM(E100:E101)</f>
        <v>0</v>
      </c>
      <c r="F102" s="17">
        <f>SUM(F100:F101)</f>
        <v>20000</v>
      </c>
      <c r="G102" s="17">
        <f>SUM(G100:G101)</f>
        <v>0</v>
      </c>
      <c r="H102" s="17">
        <f>SUM(H100:H101)</f>
        <v>0</v>
      </c>
    </row>
    <row r="103" spans="3:8" x14ac:dyDescent="0.3">
      <c r="C103" s="3" t="s">
        <v>355</v>
      </c>
      <c r="D103" s="17">
        <f>D102/$D$83</f>
        <v>0</v>
      </c>
      <c r="E103" s="17">
        <f>(E101/$D$83)</f>
        <v>0</v>
      </c>
      <c r="F103" s="17">
        <f>(F101/$D$99)</f>
        <v>20000</v>
      </c>
      <c r="G103" s="17">
        <f>IF(F104&gt;0,(F101/$D$99),0)</f>
        <v>0</v>
      </c>
      <c r="H103" s="17">
        <f>IF(G104&gt;0,(F101/$D$99),0)</f>
        <v>0</v>
      </c>
    </row>
    <row r="104" spans="3:8" x14ac:dyDescent="0.3">
      <c r="C104" s="3" t="s">
        <v>357</v>
      </c>
      <c r="D104" s="17">
        <f>D102-D103</f>
        <v>0</v>
      </c>
      <c r="E104" s="17">
        <f>E102-E103</f>
        <v>0</v>
      </c>
      <c r="F104" s="17">
        <f>F102-F103</f>
        <v>0</v>
      </c>
      <c r="G104" s="17">
        <f>G102-G103</f>
        <v>0</v>
      </c>
      <c r="H104" s="17">
        <f>H102-H103</f>
        <v>0</v>
      </c>
    </row>
  </sheetData>
  <phoneticPr fontId="0" type="noConversion"/>
  <hyperlinks>
    <hyperlink ref="D75" location="ProfitLoss!A1" display="P&amp;L"/>
    <hyperlink ref="E75" location="CFS!A1" display="Cash Flow"/>
    <hyperlink ref="F75" location="BS!A1" display="B Sheet"/>
    <hyperlink ref="A77" location="ProfitLoss!A18" display="Rental of Premises"/>
    <hyperlink ref="D14" location="ProfitLoss!A40" display="Back to P&amp;L"/>
    <hyperlink ref="F42" location="ProfitLoss!A41" display="Back to P&amp;L"/>
    <hyperlink ref="C20" location="BS!A12" display="Back to Balance Sheet"/>
    <hyperlink ref="A79" location="ProfitLoss!A7" display="Cost of Sales"/>
    <hyperlink ref="C4" location="Instructions!B14" display="Instructions!B14"/>
    <hyperlink ref="A1" location="Instructions!C6" display="Back To Instructions"/>
  </hyperlinks>
  <printOptions horizontalCentered="1"/>
  <pageMargins left="0.25" right="0.25" top="1" bottom="0.5" header="0.5" footer="0.5"/>
  <pageSetup paperSize="9" scale="90" orientation="portrait" r:id="rId1"/>
  <headerFooter alignWithMargins="0">
    <oddFooter>&amp;L&amp;A / &amp;F&amp;CPrinted on &amp;D at &amp;T&amp;R&amp;P of &amp;N</oddFooter>
  </headerFooter>
  <rowBreaks count="1" manualBreakCount="1">
    <brk id="80" max="16383"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97"/>
  <sheetViews>
    <sheetView zoomScaleNormal="100" workbookViewId="0">
      <selection activeCell="A2" sqref="A2"/>
    </sheetView>
  </sheetViews>
  <sheetFormatPr defaultColWidth="9.1796875" defaultRowHeight="13" outlineLevelRow="1" x14ac:dyDescent="0.3"/>
  <cols>
    <col min="1" max="1" width="6.1796875" style="3" customWidth="1"/>
    <col min="2" max="2" width="32.54296875" style="3" customWidth="1"/>
    <col min="3" max="3" width="18.7265625" style="3" customWidth="1"/>
    <col min="4" max="5" width="9.1796875" style="3"/>
    <col min="6" max="6" width="9.26953125" style="3" bestFit="1" customWidth="1"/>
    <col min="7" max="8" width="10.453125" style="3" bestFit="1" customWidth="1"/>
    <col min="9" max="9" width="10.54296875" style="3" bestFit="1" customWidth="1"/>
    <col min="10" max="11" width="9.1796875" style="3"/>
    <col min="12" max="12" width="8.54296875" style="3" customWidth="1"/>
    <col min="13" max="15" width="9.1796875" style="3" hidden="1" customWidth="1"/>
    <col min="16" max="16384" width="9.1796875" style="3"/>
  </cols>
  <sheetData>
    <row r="2" spans="1:9" x14ac:dyDescent="0.3">
      <c r="A2" s="5" t="str">
        <f>ProfitLoss!A2</f>
        <v>Co. name:</v>
      </c>
      <c r="C2" s="5">
        <f>ProfitLoss!B2</f>
        <v>0</v>
      </c>
    </row>
    <row r="4" spans="1:9" hidden="1" outlineLevel="1" x14ac:dyDescent="0.3">
      <c r="A4" s="59"/>
      <c r="B4" s="59"/>
      <c r="C4" s="59"/>
      <c r="D4" s="59"/>
      <c r="E4" s="59"/>
      <c r="F4" s="59"/>
      <c r="G4" s="18">
        <f>'Notes 2'!C5</f>
        <v>2002</v>
      </c>
      <c r="H4" s="18">
        <f>G4+1</f>
        <v>2003</v>
      </c>
      <c r="I4" s="18">
        <f>H4+1</f>
        <v>2004</v>
      </c>
    </row>
    <row r="5" spans="1:9" hidden="1" outlineLevel="1" x14ac:dyDescent="0.3">
      <c r="A5" s="180" t="s">
        <v>212</v>
      </c>
      <c r="B5" s="59"/>
      <c r="C5" s="59"/>
      <c r="D5" s="59"/>
      <c r="E5" s="59"/>
      <c r="F5" s="59"/>
      <c r="G5" s="59"/>
      <c r="H5" s="59"/>
      <c r="I5" s="59"/>
    </row>
    <row r="6" spans="1:9" hidden="1" outlineLevel="1" x14ac:dyDescent="0.3">
      <c r="A6" s="59"/>
      <c r="B6" s="59"/>
      <c r="C6" s="59"/>
      <c r="D6" s="59"/>
      <c r="E6" s="59"/>
      <c r="F6" s="59"/>
      <c r="G6" s="59"/>
      <c r="H6" s="59"/>
      <c r="I6" s="59"/>
    </row>
    <row r="7" spans="1:9" hidden="1" outlineLevel="1" x14ac:dyDescent="0.3">
      <c r="A7" s="59"/>
      <c r="B7" s="79" t="s">
        <v>192</v>
      </c>
      <c r="C7" s="80" t="s">
        <v>193</v>
      </c>
      <c r="D7" s="81" t="s">
        <v>194</v>
      </c>
      <c r="E7" s="59"/>
      <c r="F7" s="59"/>
      <c r="G7" s="172">
        <f>ProfitLoss!B12/ProfitLoss!B8</f>
        <v>1</v>
      </c>
      <c r="H7" s="172">
        <f>ProfitLoss!C12/ProfitLoss!C8</f>
        <v>1</v>
      </c>
      <c r="I7" s="172">
        <f>ProfitLoss!D12/ProfitLoss!D8</f>
        <v>1</v>
      </c>
    </row>
    <row r="8" spans="1:9" hidden="1" outlineLevel="1" x14ac:dyDescent="0.3">
      <c r="A8" s="59"/>
      <c r="B8" s="82"/>
      <c r="C8" s="83" t="s">
        <v>114</v>
      </c>
      <c r="D8" s="60"/>
      <c r="E8" s="59"/>
      <c r="F8" s="59"/>
      <c r="G8" s="173"/>
      <c r="H8" s="173"/>
      <c r="I8" s="173"/>
    </row>
    <row r="9" spans="1:9" hidden="1" outlineLevel="1" x14ac:dyDescent="0.3">
      <c r="A9" s="59"/>
      <c r="B9" s="59"/>
      <c r="C9" s="59"/>
      <c r="D9" s="59"/>
      <c r="E9" s="59"/>
      <c r="F9" s="59"/>
      <c r="G9" s="173"/>
      <c r="H9" s="173"/>
      <c r="I9" s="173"/>
    </row>
    <row r="10" spans="1:9" hidden="1" outlineLevel="1" x14ac:dyDescent="0.3">
      <c r="A10" s="59"/>
      <c r="B10" s="82" t="s">
        <v>195</v>
      </c>
      <c r="C10" s="84" t="s">
        <v>196</v>
      </c>
      <c r="D10" s="60" t="s">
        <v>194</v>
      </c>
      <c r="E10" s="59"/>
      <c r="F10" s="59"/>
      <c r="G10" s="172">
        <f>ProfitLoss!B50/ProfitLoss!B8</f>
        <v>32.645000000000003</v>
      </c>
      <c r="H10" s="172">
        <f>ProfitLoss!C50/ProfitLoss!C8</f>
        <v>28.942555555555554</v>
      </c>
      <c r="I10" s="172">
        <f>ProfitLoss!D50/ProfitLoss!D8</f>
        <v>86.05128395061729</v>
      </c>
    </row>
    <row r="11" spans="1:9" hidden="1" outlineLevel="1" x14ac:dyDescent="0.3">
      <c r="A11" s="59"/>
      <c r="B11" s="82"/>
      <c r="C11" s="83" t="s">
        <v>114</v>
      </c>
      <c r="D11" s="60"/>
      <c r="E11" s="59"/>
      <c r="F11" s="59"/>
      <c r="G11" s="173"/>
      <c r="H11" s="173"/>
      <c r="I11" s="173"/>
    </row>
    <row r="12" spans="1:9" hidden="1" outlineLevel="1" x14ac:dyDescent="0.3">
      <c r="A12" s="59"/>
      <c r="B12" s="59"/>
      <c r="C12" s="59"/>
      <c r="D12" s="59"/>
      <c r="E12" s="59"/>
      <c r="F12" s="59"/>
      <c r="G12" s="173"/>
      <c r="H12" s="173"/>
      <c r="I12" s="173"/>
    </row>
    <row r="13" spans="1:9" hidden="1" outlineLevel="1" x14ac:dyDescent="0.3">
      <c r="A13" s="59"/>
      <c r="B13" s="82" t="s">
        <v>197</v>
      </c>
      <c r="C13" s="84" t="s">
        <v>198</v>
      </c>
      <c r="D13" s="60" t="s">
        <v>194</v>
      </c>
      <c r="E13" s="59"/>
      <c r="F13" s="59"/>
      <c r="G13" s="172">
        <f>ProfitLoss!B43/BS!B40</f>
        <v>0.33576131344278687</v>
      </c>
      <c r="H13" s="172">
        <f>ProfitLoss!C43/BS!C40</f>
        <v>0.39574618918920923</v>
      </c>
      <c r="I13" s="172">
        <f>ProfitLoss!D43/BS!D40</f>
        <v>0.74330238077844968</v>
      </c>
    </row>
    <row r="14" spans="1:9" hidden="1" outlineLevel="1" x14ac:dyDescent="0.3">
      <c r="A14" s="59"/>
      <c r="B14" s="82"/>
      <c r="C14" s="83" t="s">
        <v>199</v>
      </c>
      <c r="D14" s="60"/>
      <c r="E14" s="59"/>
      <c r="F14" s="59"/>
      <c r="G14" s="173"/>
      <c r="H14" s="173"/>
      <c r="I14" s="173"/>
    </row>
    <row r="15" spans="1:9" hidden="1" outlineLevel="1" x14ac:dyDescent="0.3">
      <c r="A15" s="59"/>
      <c r="B15" s="59"/>
      <c r="C15" s="59"/>
      <c r="D15" s="59"/>
      <c r="E15" s="59"/>
      <c r="F15" s="59"/>
      <c r="G15" s="173"/>
      <c r="H15" s="173"/>
      <c r="I15" s="173"/>
    </row>
    <row r="16" spans="1:9" hidden="1" outlineLevel="1" x14ac:dyDescent="0.3">
      <c r="A16" s="59"/>
      <c r="B16" s="85" t="s">
        <v>180</v>
      </c>
      <c r="C16" s="86" t="s">
        <v>219</v>
      </c>
      <c r="D16" s="60"/>
      <c r="E16" s="59"/>
      <c r="F16" s="59"/>
      <c r="G16" s="157">
        <f>ProfitLoss!B8/BS!B40</f>
        <v>1.0000833402783564E-2</v>
      </c>
      <c r="H16" s="157">
        <f>ProfitLoss!C8/BS!C40</f>
        <v>1.3375828836949388E-2</v>
      </c>
      <c r="I16" s="157">
        <f>ProfitLoss!D8/BS!D40</f>
        <v>8.5880166208868822E-3</v>
      </c>
    </row>
    <row r="17" spans="1:9" hidden="1" outlineLevel="1" x14ac:dyDescent="0.3">
      <c r="A17" s="59"/>
      <c r="B17" s="87"/>
      <c r="C17" s="88" t="s">
        <v>220</v>
      </c>
      <c r="D17" s="60"/>
      <c r="E17" s="59"/>
      <c r="F17" s="59"/>
      <c r="G17" s="173"/>
      <c r="H17" s="173"/>
      <c r="I17" s="173"/>
    </row>
    <row r="18" spans="1:9" hidden="1" outlineLevel="1" x14ac:dyDescent="0.3">
      <c r="A18" s="59"/>
      <c r="B18" s="59"/>
      <c r="C18" s="59"/>
      <c r="D18" s="59"/>
      <c r="E18" s="59"/>
      <c r="F18" s="59"/>
      <c r="G18" s="173"/>
      <c r="H18" s="173"/>
      <c r="I18" s="173"/>
    </row>
    <row r="19" spans="1:9" hidden="1" outlineLevel="1" x14ac:dyDescent="0.3">
      <c r="A19" s="59"/>
      <c r="B19" s="59"/>
      <c r="C19" s="59"/>
      <c r="D19" s="59"/>
      <c r="E19" s="59"/>
      <c r="F19" s="59"/>
      <c r="G19" s="173"/>
      <c r="H19" s="173"/>
      <c r="I19" s="173"/>
    </row>
    <row r="20" spans="1:9" hidden="1" outlineLevel="1" x14ac:dyDescent="0.3">
      <c r="A20" s="180" t="s">
        <v>213</v>
      </c>
      <c r="B20" s="59"/>
      <c r="C20" s="59"/>
      <c r="D20" s="59"/>
      <c r="E20" s="59"/>
      <c r="F20" s="59"/>
      <c r="G20" s="173"/>
      <c r="H20" s="173"/>
      <c r="I20" s="173"/>
    </row>
    <row r="21" spans="1:9" hidden="1" outlineLevel="1" x14ac:dyDescent="0.3">
      <c r="A21" s="59"/>
      <c r="B21" s="59"/>
      <c r="C21" s="59"/>
      <c r="D21" s="59"/>
      <c r="E21" s="59"/>
      <c r="F21" s="59"/>
      <c r="G21" s="173"/>
      <c r="H21" s="173"/>
      <c r="I21" s="173"/>
    </row>
    <row r="22" spans="1:9" hidden="1" outlineLevel="1" x14ac:dyDescent="0.3">
      <c r="A22" s="59"/>
      <c r="B22" s="82" t="s">
        <v>200</v>
      </c>
      <c r="C22" s="84" t="s">
        <v>201</v>
      </c>
      <c r="D22" s="60" t="s">
        <v>202</v>
      </c>
      <c r="E22" s="59"/>
      <c r="F22" s="59"/>
      <c r="G22" s="157">
        <f>BS!B30/BS!B37</f>
        <v>9461.8333333333339</v>
      </c>
      <c r="H22" s="157">
        <f>BS!C30/BS!C37</f>
        <v>7256.6166666666677</v>
      </c>
      <c r="I22" s="157">
        <f>BS!D30/BS!D37</f>
        <v>11500.811111111112</v>
      </c>
    </row>
    <row r="23" spans="1:9" hidden="1" outlineLevel="1" x14ac:dyDescent="0.3">
      <c r="A23" s="59"/>
      <c r="B23" s="82"/>
      <c r="C23" s="83" t="s">
        <v>203</v>
      </c>
      <c r="D23" s="60"/>
      <c r="E23" s="59"/>
      <c r="F23" s="59"/>
      <c r="G23" s="173"/>
      <c r="H23" s="173"/>
      <c r="I23" s="173"/>
    </row>
    <row r="24" spans="1:9" hidden="1" outlineLevel="1" x14ac:dyDescent="0.3">
      <c r="A24" s="59"/>
      <c r="B24" s="59"/>
      <c r="C24" s="59"/>
      <c r="D24" s="59"/>
      <c r="E24" s="59"/>
      <c r="F24" s="59"/>
      <c r="G24" s="173"/>
      <c r="H24" s="173"/>
      <c r="I24" s="173"/>
    </row>
    <row r="25" spans="1:9" hidden="1" outlineLevel="1" x14ac:dyDescent="0.3">
      <c r="A25" s="59"/>
      <c r="B25" s="82" t="s">
        <v>204</v>
      </c>
      <c r="C25" s="84" t="s">
        <v>222</v>
      </c>
      <c r="D25" s="60" t="s">
        <v>202</v>
      </c>
      <c r="E25" s="59"/>
      <c r="F25" s="59"/>
      <c r="G25" s="157">
        <f>(BS!B30-BS!B29)/BS!B37</f>
        <v>9461.8333333333339</v>
      </c>
      <c r="H25" s="157">
        <f>(BS!C30-BS!C29)/BS!C37</f>
        <v>7256.6166666666677</v>
      </c>
      <c r="I25" s="157">
        <f>(BS!D30-BS!D29)/BS!D37</f>
        <v>11500.811111111112</v>
      </c>
    </row>
    <row r="26" spans="1:9" hidden="1" outlineLevel="1" x14ac:dyDescent="0.3">
      <c r="A26" s="59"/>
      <c r="B26" s="82"/>
      <c r="C26" s="83" t="s">
        <v>203</v>
      </c>
      <c r="D26" s="60"/>
      <c r="E26" s="59"/>
      <c r="F26" s="59"/>
      <c r="G26" s="173"/>
      <c r="H26" s="173"/>
      <c r="I26" s="173"/>
    </row>
    <row r="27" spans="1:9" hidden="1" outlineLevel="1" x14ac:dyDescent="0.3">
      <c r="A27" s="59"/>
      <c r="B27" s="59"/>
      <c r="C27" s="59"/>
      <c r="D27" s="59"/>
      <c r="E27" s="59"/>
      <c r="F27" s="59"/>
      <c r="G27" s="173"/>
      <c r="H27" s="173"/>
      <c r="I27" s="173"/>
    </row>
    <row r="28" spans="1:9" hidden="1" outlineLevel="1" x14ac:dyDescent="0.3">
      <c r="A28" s="59"/>
      <c r="B28" s="59"/>
      <c r="C28" s="59"/>
      <c r="D28" s="59"/>
      <c r="E28" s="59"/>
      <c r="F28" s="59"/>
      <c r="G28" s="173"/>
      <c r="H28" s="173"/>
      <c r="I28" s="173"/>
    </row>
    <row r="29" spans="1:9" hidden="1" outlineLevel="1" x14ac:dyDescent="0.3">
      <c r="A29" s="180" t="s">
        <v>214</v>
      </c>
      <c r="B29" s="59"/>
      <c r="C29" s="59"/>
      <c r="D29" s="59"/>
      <c r="E29" s="59"/>
      <c r="F29" s="59"/>
      <c r="G29" s="173"/>
      <c r="H29" s="173"/>
      <c r="I29" s="173"/>
    </row>
    <row r="30" spans="1:9" hidden="1" outlineLevel="1" x14ac:dyDescent="0.3">
      <c r="A30" s="59"/>
      <c r="B30" s="59"/>
      <c r="C30" s="59"/>
      <c r="D30" s="59"/>
      <c r="E30" s="59"/>
      <c r="F30" s="59"/>
      <c r="G30" s="173"/>
      <c r="H30" s="173"/>
      <c r="I30" s="173"/>
    </row>
    <row r="31" spans="1:9" hidden="1" outlineLevel="1" x14ac:dyDescent="0.3">
      <c r="A31" s="59"/>
      <c r="B31" s="82" t="s">
        <v>205</v>
      </c>
      <c r="C31" s="84" t="s">
        <v>206</v>
      </c>
      <c r="D31" s="60" t="s">
        <v>202</v>
      </c>
      <c r="E31" s="59"/>
      <c r="F31" s="59"/>
      <c r="G31" s="157">
        <f>(BS!B36+BS!B49+BS!B51)/BS!B47</f>
        <v>2.0186163522012577</v>
      </c>
      <c r="H31" s="157">
        <f>(BS!C36+BS!C49+BS!C51)/BS!C47</f>
        <v>0.64329334933832849</v>
      </c>
      <c r="I31" s="157">
        <f>(BS!D36+BS!D49+BS!D51)/BS!D47</f>
        <v>5.7286242486087136E-4</v>
      </c>
    </row>
    <row r="32" spans="1:9" hidden="1" outlineLevel="1" x14ac:dyDescent="0.3">
      <c r="A32" s="59"/>
      <c r="B32" s="82"/>
      <c r="C32" s="83" t="s">
        <v>207</v>
      </c>
      <c r="D32" s="60"/>
      <c r="E32" s="59"/>
      <c r="F32" s="59"/>
      <c r="G32" s="173"/>
      <c r="H32" s="173"/>
      <c r="I32" s="173"/>
    </row>
    <row r="33" spans="1:9" hidden="1" outlineLevel="1" x14ac:dyDescent="0.3">
      <c r="A33" s="59"/>
      <c r="B33" s="59"/>
      <c r="C33" s="59"/>
      <c r="D33" s="59"/>
      <c r="E33" s="59"/>
      <c r="F33" s="59"/>
      <c r="G33" s="173"/>
      <c r="H33" s="173"/>
      <c r="I33" s="173"/>
    </row>
    <row r="34" spans="1:9" hidden="1" outlineLevel="1" x14ac:dyDescent="0.3">
      <c r="A34" s="59"/>
      <c r="B34" s="82" t="s">
        <v>208</v>
      </c>
      <c r="C34" s="84" t="s">
        <v>221</v>
      </c>
      <c r="D34" s="60"/>
      <c r="E34" s="59"/>
      <c r="F34" s="59"/>
      <c r="G34" s="157">
        <f>ProfitLoss!B47/ProfitLoss!B48</f>
        <v>2799.1428571428569</v>
      </c>
      <c r="H34" s="157">
        <f>ProfitLoss!C47/ProfitLoss!C48</f>
        <v>3618.8194444444443</v>
      </c>
      <c r="I34" s="157">
        <f>ProfitLoss!D47/ProfitLoss!D48</f>
        <v>14342.880658436216</v>
      </c>
    </row>
    <row r="35" spans="1:9" hidden="1" outlineLevel="1" x14ac:dyDescent="0.3">
      <c r="A35" s="59"/>
      <c r="B35" s="82"/>
      <c r="C35" s="83" t="s">
        <v>209</v>
      </c>
      <c r="D35" s="60"/>
      <c r="E35" s="59"/>
      <c r="F35" s="59"/>
      <c r="G35" s="173"/>
      <c r="H35" s="173"/>
      <c r="I35" s="173"/>
    </row>
    <row r="36" spans="1:9" hidden="1" outlineLevel="1" x14ac:dyDescent="0.3">
      <c r="A36" s="59"/>
      <c r="B36" s="59"/>
      <c r="C36" s="59"/>
      <c r="D36" s="59"/>
      <c r="E36" s="59"/>
      <c r="F36" s="59"/>
      <c r="G36" s="173"/>
      <c r="H36" s="173"/>
      <c r="I36" s="173"/>
    </row>
    <row r="37" spans="1:9" hidden="1" outlineLevel="1" x14ac:dyDescent="0.3">
      <c r="A37" s="59"/>
      <c r="B37" s="59"/>
      <c r="C37" s="59"/>
      <c r="D37" s="59"/>
      <c r="E37" s="59"/>
      <c r="F37" s="59"/>
      <c r="G37" s="173"/>
      <c r="H37" s="173"/>
      <c r="I37" s="173"/>
    </row>
    <row r="38" spans="1:9" hidden="1" outlineLevel="1" x14ac:dyDescent="0.3">
      <c r="A38" s="180" t="s">
        <v>215</v>
      </c>
      <c r="B38" s="59"/>
      <c r="C38" s="59"/>
      <c r="D38" s="59"/>
      <c r="E38" s="59"/>
      <c r="F38" s="59"/>
      <c r="G38" s="173"/>
      <c r="H38" s="173"/>
      <c r="I38" s="173"/>
    </row>
    <row r="39" spans="1:9" hidden="1" outlineLevel="1" x14ac:dyDescent="0.3">
      <c r="A39" s="59"/>
      <c r="B39" s="59"/>
      <c r="C39" s="59"/>
      <c r="D39" s="59"/>
      <c r="E39" s="59"/>
      <c r="F39" s="59"/>
      <c r="G39" s="173"/>
      <c r="H39" s="173"/>
      <c r="I39" s="173"/>
    </row>
    <row r="40" spans="1:9" hidden="1" outlineLevel="1" x14ac:dyDescent="0.3">
      <c r="A40" s="59"/>
      <c r="B40" s="82" t="s">
        <v>210</v>
      </c>
      <c r="C40" s="89" t="s">
        <v>223</v>
      </c>
      <c r="D40" s="60"/>
      <c r="E40" s="59"/>
      <c r="F40" s="59"/>
      <c r="G40" s="159">
        <f>ProfitLoss!B54/BS!B44</f>
        <v>65.290000000000006</v>
      </c>
      <c r="H40" s="159">
        <f>ProfitLoss!C54/BS!C44</f>
        <v>115.77022222222222</v>
      </c>
      <c r="I40" s="159">
        <f>ProfitLoss!D54/BS!D44</f>
        <v>516.30770370370374</v>
      </c>
    </row>
    <row r="41" spans="1:9" hidden="1" outlineLevel="1" x14ac:dyDescent="0.3">
      <c r="A41" s="59"/>
      <c r="B41" s="60"/>
      <c r="C41" s="90" t="s">
        <v>211</v>
      </c>
      <c r="D41" s="60"/>
      <c r="E41" s="59"/>
      <c r="F41" s="59"/>
      <c r="G41" s="173"/>
      <c r="H41" s="173"/>
      <c r="I41" s="173"/>
    </row>
    <row r="42" spans="1:9" hidden="1" outlineLevel="1" x14ac:dyDescent="0.3">
      <c r="A42" s="59"/>
      <c r="B42" s="59"/>
      <c r="C42" s="59"/>
      <c r="D42" s="59"/>
      <c r="E42" s="59"/>
      <c r="F42" s="59"/>
      <c r="G42" s="173"/>
      <c r="H42" s="173"/>
      <c r="I42" s="173"/>
    </row>
    <row r="43" spans="1:9" hidden="1" outlineLevel="1" x14ac:dyDescent="0.3">
      <c r="A43" s="59"/>
      <c r="B43" s="85" t="s">
        <v>188</v>
      </c>
      <c r="C43" s="91" t="s">
        <v>216</v>
      </c>
      <c r="D43" s="60"/>
      <c r="E43" s="59"/>
      <c r="F43" s="59"/>
      <c r="G43" s="172">
        <f>ProfitLoss!B54/BS!B47</f>
        <v>0.9855094339622642</v>
      </c>
      <c r="H43" s="172">
        <f>ProfitLoss!C54/BS!C47</f>
        <v>0.63616925404592195</v>
      </c>
      <c r="I43" s="172">
        <f>ProfitLoss!D54/BS!D47</f>
        <v>0.73943320779513</v>
      </c>
    </row>
    <row r="44" spans="1:9" hidden="1" outlineLevel="1" x14ac:dyDescent="0.3">
      <c r="A44" s="59"/>
      <c r="B44" s="87"/>
      <c r="C44" s="92" t="s">
        <v>224</v>
      </c>
      <c r="D44" s="60"/>
      <c r="E44" s="59"/>
      <c r="F44" s="59"/>
      <c r="G44" s="173"/>
      <c r="H44" s="173"/>
      <c r="I44" s="173"/>
    </row>
    <row r="45" spans="1:9" hidden="1" outlineLevel="1" x14ac:dyDescent="0.3">
      <c r="A45" s="59"/>
      <c r="B45" s="63"/>
      <c r="C45" s="64"/>
      <c r="D45" s="59"/>
      <c r="E45" s="59"/>
      <c r="F45" s="59"/>
      <c r="G45" s="173"/>
      <c r="H45" s="173"/>
      <c r="I45" s="173"/>
    </row>
    <row r="46" spans="1:9" hidden="1" outlineLevel="1" x14ac:dyDescent="0.3">
      <c r="A46" s="59"/>
      <c r="B46" s="85" t="s">
        <v>190</v>
      </c>
      <c r="C46" s="86" t="s">
        <v>218</v>
      </c>
      <c r="D46" s="60"/>
      <c r="E46" s="59"/>
      <c r="F46" s="59"/>
      <c r="G46" s="159">
        <f>ProfitLoss!B54/ProfitLoss!B55</f>
        <v>1632.25</v>
      </c>
      <c r="H46" s="159">
        <f>ProfitLoss!C54/ProfitLoss!C55</f>
        <v>2894.2555555555555</v>
      </c>
      <c r="I46" s="159">
        <f>ProfitLoss!D54/ProfitLoss!D55</f>
        <v>12907.692592592593</v>
      </c>
    </row>
    <row r="47" spans="1:9" hidden="1" outlineLevel="1" x14ac:dyDescent="0.3">
      <c r="A47" s="59"/>
      <c r="B47" s="87"/>
      <c r="C47" s="93" t="s">
        <v>217</v>
      </c>
      <c r="D47" s="60"/>
      <c r="E47" s="59"/>
      <c r="F47" s="59"/>
      <c r="G47" s="173"/>
      <c r="H47" s="173"/>
      <c r="I47" s="173"/>
    </row>
    <row r="48" spans="1:9" hidden="1" outlineLevel="1" x14ac:dyDescent="0.3">
      <c r="A48" s="59"/>
      <c r="B48" s="59"/>
      <c r="C48" s="59"/>
      <c r="D48" s="59"/>
      <c r="E48" s="59"/>
      <c r="F48" s="59"/>
      <c r="G48" s="173"/>
      <c r="H48" s="173"/>
      <c r="I48" s="173"/>
    </row>
    <row r="49" spans="1:9" hidden="1" outlineLevel="1" x14ac:dyDescent="0.3">
      <c r="A49" s="59"/>
      <c r="B49" s="60" t="s">
        <v>280</v>
      </c>
      <c r="C49" s="84" t="s">
        <v>225</v>
      </c>
      <c r="D49" s="60"/>
      <c r="E49" s="59"/>
      <c r="F49" s="59"/>
      <c r="G49" s="172">
        <f>ProfitLoss!B43/BS!B53</f>
        <v>0.33576131344278692</v>
      </c>
      <c r="H49" s="172">
        <f>ProfitLoss!C43/BS!C53</f>
        <v>0.39574618918920934</v>
      </c>
      <c r="I49" s="172">
        <f>ProfitLoss!D43/BS!D53</f>
        <v>0.74330238077844968</v>
      </c>
    </row>
    <row r="50" spans="1:9" hidden="1" outlineLevel="1" x14ac:dyDescent="0.3">
      <c r="A50" s="59"/>
      <c r="B50" s="60"/>
      <c r="C50" s="83" t="s">
        <v>281</v>
      </c>
      <c r="D50" s="60"/>
      <c r="E50" s="59"/>
      <c r="F50" s="59"/>
      <c r="G50" s="173"/>
      <c r="H50" s="173"/>
      <c r="I50" s="173"/>
    </row>
    <row r="51" spans="1:9" ht="13.5" hidden="1" outlineLevel="1" thickBot="1" x14ac:dyDescent="0.35">
      <c r="A51" s="59"/>
      <c r="B51" s="59"/>
      <c r="C51" s="59"/>
      <c r="D51" s="59"/>
      <c r="E51" s="59"/>
      <c r="F51" s="59"/>
      <c r="G51" s="59"/>
      <c r="H51" s="59"/>
      <c r="I51" s="59"/>
    </row>
    <row r="52" spans="1:9" ht="13.5" hidden="1" outlineLevel="1" thickBot="1" x14ac:dyDescent="0.35">
      <c r="A52" s="59"/>
      <c r="B52" s="59"/>
      <c r="C52" s="65" t="s">
        <v>30</v>
      </c>
      <c r="D52" s="66"/>
      <c r="E52" s="66"/>
      <c r="F52" s="156">
        <f>SUM(G52:I52)</f>
        <v>600</v>
      </c>
      <c r="G52" s="68">
        <f>'Financial Summary'!B9</f>
        <v>100</v>
      </c>
      <c r="H52" s="68">
        <f>'Financial Summary'!C9</f>
        <v>200</v>
      </c>
      <c r="I52" s="68">
        <f>'Financial Summary'!D9</f>
        <v>300</v>
      </c>
    </row>
    <row r="53" spans="1:9" ht="13.5" hidden="1" outlineLevel="1" thickBot="1" x14ac:dyDescent="0.35">
      <c r="A53" s="59"/>
      <c r="B53" s="59"/>
      <c r="C53" s="69" t="s">
        <v>274</v>
      </c>
      <c r="D53" s="70"/>
      <c r="E53" s="70"/>
      <c r="F53" s="174">
        <f>SUM(G53:I53)</f>
        <v>420</v>
      </c>
      <c r="G53" s="68">
        <f>'Financial Summary'!B20</f>
        <v>70</v>
      </c>
      <c r="H53" s="68">
        <f>'Financial Summary'!C20</f>
        <v>140</v>
      </c>
      <c r="I53" s="68">
        <f>'Financial Summary'!D20</f>
        <v>210</v>
      </c>
    </row>
    <row r="54" spans="1:9" ht="13.5" hidden="1" outlineLevel="1" thickBot="1" x14ac:dyDescent="0.35">
      <c r="A54" s="59"/>
      <c r="B54" s="59"/>
      <c r="C54" s="69" t="s">
        <v>275</v>
      </c>
      <c r="D54" s="70"/>
      <c r="E54" s="70"/>
      <c r="F54" s="175">
        <f>F53/F52</f>
        <v>0.7</v>
      </c>
      <c r="G54" s="68"/>
      <c r="H54" s="68"/>
      <c r="I54" s="68"/>
    </row>
    <row r="55" spans="1:9" ht="13.5" hidden="1" outlineLevel="1" thickBot="1" x14ac:dyDescent="0.35">
      <c r="A55" s="59"/>
      <c r="B55" s="59"/>
      <c r="C55" s="69" t="s">
        <v>276</v>
      </c>
      <c r="D55" s="70"/>
      <c r="E55" s="70"/>
      <c r="F55" s="176">
        <f>SUM(ProfitLoss!B50:D50)/0.28</f>
        <v>124529.98677248677</v>
      </c>
      <c r="G55" s="68"/>
      <c r="H55" s="68"/>
      <c r="I55" s="68"/>
    </row>
    <row r="56" spans="1:9" ht="13.5" hidden="1" outlineLevel="1" thickBot="1" x14ac:dyDescent="0.35">
      <c r="A56" s="59"/>
      <c r="B56" s="59"/>
      <c r="C56" s="69" t="s">
        <v>277</v>
      </c>
      <c r="D56" s="70"/>
      <c r="E56" s="70"/>
      <c r="F56" s="174">
        <f>SUM(G56:I56)/3</f>
        <v>120</v>
      </c>
      <c r="G56" s="68">
        <f>ProfitLoss!B28+ProfitLoss!B41</f>
        <v>76</v>
      </c>
      <c r="H56" s="68">
        <f>ProfitLoss!C28+ProfitLoss!C41</f>
        <v>116</v>
      </c>
      <c r="I56" s="68">
        <f>ProfitLoss!D28+ProfitLoss!D41</f>
        <v>168</v>
      </c>
    </row>
    <row r="57" spans="1:9" ht="13.5" hidden="1" outlineLevel="1" thickBot="1" x14ac:dyDescent="0.35">
      <c r="A57" s="59"/>
      <c r="B57" s="59"/>
      <c r="C57" s="69" t="s">
        <v>278</v>
      </c>
      <c r="D57" s="70"/>
      <c r="E57" s="70"/>
      <c r="F57" s="174">
        <f>SUM(G57:I57)/3</f>
        <v>206.66666666666666</v>
      </c>
      <c r="G57" s="68">
        <f>-CFS!B16+'Financial Summary'!B70+'Financial Summary'!B76+'Financial Summary'!B81</f>
        <v>520</v>
      </c>
      <c r="H57" s="68">
        <f>-CFS!C16+'Financial Summary'!C70+'Financial Summary'!C76+'Financial Summary'!C81</f>
        <v>40</v>
      </c>
      <c r="I57" s="68">
        <f>-CFS!D16+'Financial Summary'!D70+'Financial Summary'!D76+'Financial Summary'!D81</f>
        <v>60</v>
      </c>
    </row>
    <row r="58" spans="1:9" ht="13.5" hidden="1" outlineLevel="1" thickBot="1" x14ac:dyDescent="0.35">
      <c r="A58" s="59"/>
      <c r="B58" s="59"/>
      <c r="C58" s="69" t="s">
        <v>279</v>
      </c>
      <c r="D58" s="70"/>
      <c r="E58" s="70"/>
      <c r="F58" s="174">
        <f>SUM(G58:I58)</f>
        <v>460</v>
      </c>
      <c r="G58" s="68">
        <f>'Financial Summary'!B8</f>
        <v>90</v>
      </c>
      <c r="H58" s="68">
        <f>'Financial Summary'!C8</f>
        <v>160</v>
      </c>
      <c r="I58" s="68">
        <f>'Financial Summary'!D8</f>
        <v>210</v>
      </c>
    </row>
    <row r="59" spans="1:9" hidden="1" outlineLevel="1" x14ac:dyDescent="0.3">
      <c r="A59" s="59"/>
      <c r="B59" s="59"/>
      <c r="C59" s="59"/>
      <c r="D59" s="59"/>
      <c r="E59" s="59"/>
      <c r="F59" s="59"/>
      <c r="G59" s="59"/>
      <c r="H59" s="59"/>
      <c r="I59" s="59"/>
    </row>
    <row r="60" spans="1:9" hidden="1" outlineLevel="1" x14ac:dyDescent="0.3">
      <c r="A60" s="59"/>
      <c r="B60" s="59"/>
      <c r="C60" s="59"/>
      <c r="D60" s="59"/>
      <c r="E60" s="59"/>
      <c r="F60" s="59"/>
      <c r="G60" s="59"/>
      <c r="H60" s="59"/>
      <c r="I60" s="59"/>
    </row>
    <row r="61" spans="1:9" hidden="1" outlineLevel="1" x14ac:dyDescent="0.3">
      <c r="A61" s="59"/>
      <c r="B61" s="71" t="s">
        <v>175</v>
      </c>
      <c r="C61" s="71" t="s">
        <v>176</v>
      </c>
      <c r="D61" s="72"/>
      <c r="E61" s="59"/>
      <c r="F61" s="59"/>
      <c r="G61" s="59"/>
      <c r="H61" s="59"/>
      <c r="I61" s="59"/>
    </row>
    <row r="62" spans="1:9" hidden="1" outlineLevel="1" x14ac:dyDescent="0.3">
      <c r="A62" s="59"/>
      <c r="B62" s="73" t="s">
        <v>175</v>
      </c>
      <c r="C62" s="74" t="s">
        <v>177</v>
      </c>
      <c r="D62" s="59"/>
      <c r="E62" s="59"/>
      <c r="F62" s="59"/>
      <c r="G62" s="59"/>
      <c r="H62" s="59"/>
      <c r="I62" s="59"/>
    </row>
    <row r="63" spans="1:9" hidden="1" outlineLevel="1" x14ac:dyDescent="0.3">
      <c r="A63" s="59"/>
      <c r="B63" s="75" t="s">
        <v>178</v>
      </c>
      <c r="C63" s="76" t="s">
        <v>179</v>
      </c>
      <c r="D63" s="59"/>
      <c r="E63" s="59"/>
      <c r="F63" s="59"/>
      <c r="G63" s="59"/>
      <c r="H63" s="59"/>
      <c r="I63" s="59"/>
    </row>
    <row r="64" spans="1:9" hidden="1" outlineLevel="1" x14ac:dyDescent="0.3">
      <c r="A64" s="59"/>
      <c r="B64" s="75" t="s">
        <v>180</v>
      </c>
      <c r="C64" s="76" t="s">
        <v>181</v>
      </c>
      <c r="D64" s="59"/>
      <c r="E64" s="59"/>
      <c r="F64" s="59"/>
      <c r="G64" s="59"/>
      <c r="H64" s="59"/>
      <c r="I64" s="59"/>
    </row>
    <row r="65" spans="1:15" hidden="1" outlineLevel="1" x14ac:dyDescent="0.3">
      <c r="A65" s="59"/>
      <c r="B65" s="75" t="s">
        <v>182</v>
      </c>
      <c r="C65" s="76" t="s">
        <v>183</v>
      </c>
      <c r="D65" s="59"/>
      <c r="E65" s="59"/>
      <c r="F65" s="59"/>
      <c r="G65" s="59"/>
      <c r="H65" s="59"/>
      <c r="I65" s="59"/>
    </row>
    <row r="66" spans="1:15" hidden="1" outlineLevel="1" x14ac:dyDescent="0.3">
      <c r="A66" s="59"/>
      <c r="B66" s="75" t="s">
        <v>184</v>
      </c>
      <c r="C66" s="76" t="s">
        <v>185</v>
      </c>
      <c r="D66" s="59"/>
      <c r="E66" s="59"/>
      <c r="F66" s="59"/>
      <c r="G66" s="59"/>
      <c r="H66" s="59"/>
      <c r="I66" s="59"/>
    </row>
    <row r="67" spans="1:15" hidden="1" outlineLevel="1" x14ac:dyDescent="0.3">
      <c r="A67" s="59"/>
      <c r="B67" s="75" t="s">
        <v>186</v>
      </c>
      <c r="C67" s="76" t="s">
        <v>187</v>
      </c>
      <c r="D67" s="59"/>
      <c r="E67" s="59"/>
      <c r="F67" s="59"/>
      <c r="G67" s="59"/>
      <c r="H67" s="59"/>
      <c r="I67" s="59"/>
    </row>
    <row r="68" spans="1:15" hidden="1" outlineLevel="1" x14ac:dyDescent="0.3">
      <c r="A68" s="59"/>
      <c r="B68" s="75" t="s">
        <v>188</v>
      </c>
      <c r="C68" s="76" t="s">
        <v>189</v>
      </c>
      <c r="D68" s="59"/>
      <c r="E68" s="59"/>
      <c r="F68" s="59"/>
      <c r="G68" s="59"/>
      <c r="H68" s="59"/>
      <c r="I68" s="59"/>
    </row>
    <row r="69" spans="1:15" hidden="1" outlineLevel="1" x14ac:dyDescent="0.3">
      <c r="A69" s="59"/>
      <c r="B69" s="77" t="s">
        <v>190</v>
      </c>
      <c r="C69" s="78" t="s">
        <v>191</v>
      </c>
      <c r="D69" s="59"/>
      <c r="E69" s="59"/>
      <c r="F69" s="59"/>
      <c r="G69" s="59"/>
      <c r="H69" s="59"/>
      <c r="I69" s="59"/>
    </row>
    <row r="70" spans="1:15" hidden="1" outlineLevel="1" x14ac:dyDescent="0.3">
      <c r="A70" s="59"/>
      <c r="B70" s="59"/>
      <c r="C70" s="59"/>
      <c r="D70" s="59"/>
      <c r="E70" s="59"/>
      <c r="F70" s="59"/>
      <c r="G70" s="59"/>
      <c r="H70" s="59"/>
      <c r="I70" s="59"/>
    </row>
    <row r="71" spans="1:15" collapsed="1" x14ac:dyDescent="0.3"/>
    <row r="72" spans="1:15" x14ac:dyDescent="0.3">
      <c r="A72" s="5" t="s">
        <v>117</v>
      </c>
    </row>
    <row r="74" spans="1:15" x14ac:dyDescent="0.3">
      <c r="A74" s="57">
        <v>1</v>
      </c>
      <c r="B74" s="127"/>
      <c r="C74" s="196"/>
      <c r="D74" s="197"/>
      <c r="E74" s="197"/>
      <c r="F74" s="197"/>
      <c r="G74" s="197"/>
      <c r="H74" s="197"/>
      <c r="I74" s="187"/>
      <c r="J74" s="187"/>
      <c r="K74" s="187"/>
      <c r="L74" s="187"/>
      <c r="M74" s="186"/>
      <c r="N74" s="185"/>
      <c r="O74" s="185"/>
    </row>
    <row r="75" spans="1:15" x14ac:dyDescent="0.3">
      <c r="A75" s="57">
        <v>2</v>
      </c>
      <c r="B75" s="127"/>
      <c r="C75" s="196"/>
      <c r="D75" s="197"/>
      <c r="E75" s="197"/>
      <c r="F75" s="197"/>
      <c r="G75" s="197"/>
      <c r="H75" s="197"/>
      <c r="I75" s="187"/>
      <c r="J75" s="187"/>
      <c r="K75" s="187"/>
      <c r="L75" s="187"/>
      <c r="M75" s="186"/>
      <c r="N75" s="185"/>
      <c r="O75" s="185"/>
    </row>
    <row r="76" spans="1:15" x14ac:dyDescent="0.3">
      <c r="A76" s="57">
        <v>3</v>
      </c>
      <c r="B76" s="127"/>
      <c r="C76" s="196"/>
      <c r="D76" s="197"/>
      <c r="E76" s="197"/>
      <c r="F76" s="197"/>
      <c r="G76" s="197"/>
      <c r="H76" s="197"/>
      <c r="I76" s="187"/>
      <c r="J76" s="187"/>
      <c r="K76" s="187"/>
      <c r="L76" s="187"/>
      <c r="M76" s="186"/>
      <c r="N76" s="185"/>
      <c r="O76" s="185"/>
    </row>
    <row r="77" spans="1:15" x14ac:dyDescent="0.3">
      <c r="A77" s="57">
        <v>4</v>
      </c>
      <c r="B77" s="127"/>
      <c r="C77" s="196"/>
      <c r="D77" s="197"/>
      <c r="E77" s="197"/>
      <c r="F77" s="197"/>
      <c r="G77" s="197"/>
      <c r="H77" s="197"/>
      <c r="I77" s="187"/>
      <c r="J77" s="187"/>
      <c r="K77" s="187"/>
      <c r="L77" s="187"/>
      <c r="M77" s="186"/>
      <c r="N77" s="185"/>
      <c r="O77" s="185"/>
    </row>
    <row r="78" spans="1:15" x14ac:dyDescent="0.3">
      <c r="A78" s="57">
        <v>5</v>
      </c>
      <c r="B78" s="127"/>
      <c r="C78" s="196"/>
      <c r="D78" s="197"/>
      <c r="E78" s="197"/>
      <c r="F78" s="197"/>
      <c r="G78" s="197"/>
      <c r="H78" s="197"/>
      <c r="I78" s="187"/>
      <c r="J78" s="187"/>
      <c r="K78" s="187"/>
      <c r="L78" s="187"/>
      <c r="M78" s="186"/>
      <c r="N78" s="185"/>
      <c r="O78" s="185"/>
    </row>
    <row r="79" spans="1:15" x14ac:dyDescent="0.3">
      <c r="A79" s="57">
        <v>6</v>
      </c>
      <c r="B79" s="127"/>
      <c r="C79" s="196"/>
      <c r="D79" s="197"/>
      <c r="E79" s="197"/>
      <c r="F79" s="197"/>
      <c r="G79" s="197"/>
      <c r="H79" s="197"/>
      <c r="I79" s="187"/>
      <c r="J79" s="187"/>
      <c r="K79" s="187"/>
      <c r="L79" s="187"/>
      <c r="M79" s="186"/>
      <c r="N79" s="185"/>
      <c r="O79" s="185"/>
    </row>
    <row r="80" spans="1:15" x14ac:dyDescent="0.3">
      <c r="A80" s="57">
        <v>7</v>
      </c>
      <c r="B80" s="127"/>
      <c r="C80" s="196"/>
      <c r="D80" s="197"/>
      <c r="E80" s="197"/>
      <c r="F80" s="197"/>
      <c r="G80" s="197"/>
      <c r="H80" s="197"/>
      <c r="I80" s="187"/>
      <c r="J80" s="187"/>
      <c r="K80" s="187"/>
      <c r="L80" s="187"/>
      <c r="M80" s="186"/>
      <c r="N80" s="185"/>
      <c r="O80" s="185"/>
    </row>
    <row r="81" spans="1:15" x14ac:dyDescent="0.3">
      <c r="A81" s="57"/>
      <c r="B81" s="127"/>
      <c r="C81" s="196"/>
      <c r="D81" s="197"/>
      <c r="E81" s="197"/>
      <c r="F81" s="197"/>
      <c r="G81" s="197"/>
      <c r="H81" s="197"/>
      <c r="I81" s="187"/>
      <c r="J81" s="187"/>
      <c r="K81" s="187"/>
      <c r="L81" s="187"/>
      <c r="M81" s="186"/>
      <c r="N81" s="185"/>
      <c r="O81" s="185"/>
    </row>
    <row r="82" spans="1:15" x14ac:dyDescent="0.3">
      <c r="A82" s="57"/>
      <c r="B82" s="127"/>
      <c r="C82" s="196"/>
      <c r="D82" s="197"/>
      <c r="E82" s="197"/>
      <c r="F82" s="197"/>
      <c r="G82" s="197"/>
      <c r="H82" s="197"/>
      <c r="I82" s="187"/>
      <c r="J82" s="187"/>
      <c r="K82" s="187"/>
      <c r="L82" s="187"/>
      <c r="M82" s="186"/>
      <c r="N82" s="185"/>
      <c r="O82" s="185"/>
    </row>
    <row r="83" spans="1:15" x14ac:dyDescent="0.3">
      <c r="A83" s="57"/>
      <c r="B83" s="127"/>
      <c r="C83" s="196"/>
      <c r="D83" s="197"/>
      <c r="E83" s="197"/>
      <c r="F83" s="197"/>
      <c r="G83" s="197"/>
      <c r="H83" s="197"/>
      <c r="I83" s="187"/>
      <c r="J83" s="187"/>
      <c r="K83" s="187"/>
      <c r="L83" s="187"/>
      <c r="M83" s="186"/>
      <c r="N83" s="185"/>
      <c r="O83" s="185"/>
    </row>
    <row r="84" spans="1:15" x14ac:dyDescent="0.3">
      <c r="A84" s="57"/>
      <c r="B84" s="127"/>
      <c r="C84" s="196"/>
      <c r="D84" s="197"/>
      <c r="E84" s="197"/>
      <c r="F84" s="197"/>
      <c r="G84" s="197"/>
      <c r="H84" s="197"/>
      <c r="I84" s="187"/>
      <c r="J84" s="187"/>
      <c r="K84" s="187"/>
      <c r="L84" s="187"/>
      <c r="M84" s="186"/>
      <c r="N84" s="185"/>
      <c r="O84" s="185"/>
    </row>
    <row r="85" spans="1:15" x14ac:dyDescent="0.3">
      <c r="A85" s="57"/>
      <c r="B85" s="127"/>
      <c r="C85" s="196"/>
      <c r="D85" s="197"/>
      <c r="E85" s="197"/>
      <c r="F85" s="197"/>
      <c r="G85" s="197"/>
      <c r="H85" s="197"/>
      <c r="I85" s="187"/>
      <c r="J85" s="187"/>
      <c r="K85" s="187"/>
      <c r="L85" s="187"/>
      <c r="M85" s="186"/>
      <c r="N85" s="185"/>
      <c r="O85" s="185"/>
    </row>
    <row r="86" spans="1:15" x14ac:dyDescent="0.3">
      <c r="A86" s="57"/>
      <c r="B86" s="127"/>
      <c r="C86" s="196"/>
      <c r="D86" s="197"/>
      <c r="E86" s="197"/>
      <c r="F86" s="197"/>
      <c r="G86" s="197"/>
      <c r="H86" s="197"/>
      <c r="I86" s="187"/>
      <c r="J86" s="187"/>
      <c r="K86" s="187"/>
      <c r="L86" s="187"/>
      <c r="M86" s="186"/>
      <c r="N86" s="185"/>
      <c r="O86" s="185"/>
    </row>
    <row r="87" spans="1:15" x14ac:dyDescent="0.3">
      <c r="A87" s="57"/>
      <c r="B87" s="127"/>
      <c r="C87" s="196"/>
      <c r="D87" s="197"/>
      <c r="E87" s="197"/>
      <c r="F87" s="197"/>
      <c r="G87" s="197"/>
      <c r="H87" s="197"/>
      <c r="I87" s="187"/>
      <c r="J87" s="187"/>
      <c r="K87" s="187"/>
      <c r="L87" s="187"/>
      <c r="M87" s="186"/>
      <c r="N87" s="185"/>
      <c r="O87" s="185"/>
    </row>
    <row r="88" spans="1:15" x14ac:dyDescent="0.3">
      <c r="A88" s="57"/>
      <c r="B88" s="127"/>
      <c r="C88" s="196"/>
      <c r="D88" s="197"/>
      <c r="E88" s="197"/>
      <c r="F88" s="197"/>
      <c r="G88" s="197"/>
      <c r="H88" s="197"/>
      <c r="I88" s="187"/>
      <c r="J88" s="187"/>
      <c r="K88" s="187"/>
      <c r="L88" s="187"/>
      <c r="M88" s="186"/>
      <c r="N88" s="185"/>
      <c r="O88" s="185"/>
    </row>
    <row r="89" spans="1:15" x14ac:dyDescent="0.3">
      <c r="A89" s="57"/>
      <c r="B89" s="127"/>
      <c r="C89" s="196"/>
      <c r="D89" s="197"/>
      <c r="E89" s="197"/>
      <c r="F89" s="197"/>
      <c r="G89" s="197"/>
      <c r="H89" s="197"/>
      <c r="I89" s="187"/>
      <c r="J89" s="187"/>
      <c r="K89" s="187"/>
      <c r="L89" s="187"/>
      <c r="M89" s="186"/>
      <c r="N89" s="185"/>
      <c r="O89" s="185"/>
    </row>
    <row r="90" spans="1:15" x14ac:dyDescent="0.3">
      <c r="A90" s="57"/>
      <c r="B90" s="127"/>
      <c r="C90" s="196"/>
      <c r="D90" s="197"/>
      <c r="E90" s="197"/>
      <c r="F90" s="197"/>
      <c r="G90" s="197"/>
      <c r="H90" s="197"/>
      <c r="I90" s="187"/>
      <c r="J90" s="187"/>
      <c r="K90" s="187"/>
      <c r="L90" s="187"/>
      <c r="M90" s="186"/>
      <c r="N90" s="185"/>
      <c r="O90" s="185"/>
    </row>
    <row r="91" spans="1:15" x14ac:dyDescent="0.3">
      <c r="A91" s="57"/>
      <c r="B91" s="127"/>
      <c r="C91" s="196"/>
      <c r="D91" s="197"/>
      <c r="E91" s="197"/>
      <c r="F91" s="197"/>
      <c r="G91" s="197"/>
      <c r="H91" s="197"/>
      <c r="I91" s="187"/>
      <c r="J91" s="187"/>
      <c r="K91" s="187"/>
      <c r="L91" s="187"/>
      <c r="M91" s="186"/>
      <c r="N91" s="185"/>
      <c r="O91" s="185"/>
    </row>
    <row r="92" spans="1:15" x14ac:dyDescent="0.3">
      <c r="A92" s="57"/>
      <c r="B92" s="127"/>
      <c r="C92" s="196"/>
      <c r="D92" s="197"/>
      <c r="E92" s="197"/>
      <c r="F92" s="197"/>
      <c r="G92" s="197"/>
      <c r="H92" s="197"/>
      <c r="I92" s="187"/>
      <c r="J92" s="187"/>
      <c r="K92" s="187"/>
      <c r="L92" s="187"/>
      <c r="M92" s="186"/>
      <c r="N92" s="185"/>
      <c r="O92" s="185"/>
    </row>
    <row r="93" spans="1:15" x14ac:dyDescent="0.3">
      <c r="A93" s="57"/>
      <c r="B93" s="127"/>
      <c r="C93" s="196"/>
      <c r="D93" s="197"/>
      <c r="E93" s="197"/>
      <c r="F93" s="197"/>
      <c r="G93" s="197"/>
      <c r="H93" s="197"/>
      <c r="I93" s="187"/>
      <c r="J93" s="187"/>
      <c r="K93" s="187"/>
      <c r="L93" s="187"/>
      <c r="M93" s="186"/>
      <c r="N93" s="185"/>
      <c r="O93" s="185"/>
    </row>
    <row r="94" spans="1:15" x14ac:dyDescent="0.3">
      <c r="A94" s="57"/>
      <c r="B94" s="127"/>
      <c r="C94" s="196"/>
      <c r="D94" s="197"/>
      <c r="E94" s="197"/>
      <c r="F94" s="197"/>
      <c r="G94" s="197"/>
      <c r="H94" s="197"/>
      <c r="I94" s="187"/>
      <c r="J94" s="187"/>
      <c r="K94" s="187"/>
      <c r="L94" s="187"/>
      <c r="M94" s="186"/>
      <c r="N94" s="185"/>
      <c r="O94" s="185"/>
    </row>
    <row r="95" spans="1:15" x14ac:dyDescent="0.3">
      <c r="A95" s="57"/>
      <c r="B95" s="127"/>
      <c r="C95" s="196"/>
      <c r="D95" s="197"/>
      <c r="E95" s="197"/>
      <c r="F95" s="197"/>
      <c r="G95" s="197"/>
      <c r="H95" s="197"/>
      <c r="I95" s="187"/>
      <c r="J95" s="187"/>
      <c r="K95" s="187"/>
      <c r="L95" s="187"/>
      <c r="M95" s="186"/>
      <c r="N95" s="185"/>
      <c r="O95" s="185"/>
    </row>
    <row r="97" spans="1:1" ht="13.5" x14ac:dyDescent="0.35">
      <c r="A97" s="58" t="s">
        <v>118</v>
      </c>
    </row>
  </sheetData>
  <mergeCells count="22">
    <mergeCell ref="C88:H88"/>
    <mergeCell ref="C89:H89"/>
    <mergeCell ref="C90:H90"/>
    <mergeCell ref="C91:H91"/>
    <mergeCell ref="C92:H92"/>
    <mergeCell ref="C93:H93"/>
    <mergeCell ref="C82:H82"/>
    <mergeCell ref="C83:H83"/>
    <mergeCell ref="C84:H84"/>
    <mergeCell ref="C85:H85"/>
    <mergeCell ref="C86:H86"/>
    <mergeCell ref="C87:H87"/>
    <mergeCell ref="C94:H94"/>
    <mergeCell ref="C95:H95"/>
    <mergeCell ref="C74:H74"/>
    <mergeCell ref="C75:H75"/>
    <mergeCell ref="C76:H76"/>
    <mergeCell ref="C77:H77"/>
    <mergeCell ref="C78:H78"/>
    <mergeCell ref="C79:H79"/>
    <mergeCell ref="C80:H80"/>
    <mergeCell ref="C81:H81"/>
  </mergeCells>
  <phoneticPr fontId="0" type="noConversion"/>
  <printOptions horizontalCentered="1"/>
  <pageMargins left="0.25" right="0.25" top="1" bottom="0.5" header="0.5" footer="0.5"/>
  <pageSetup paperSize="9" scale="90" orientation="portrait" r:id="rId1"/>
  <headerFooter alignWithMargins="0">
    <oddFooter>&amp;L&amp;A / &amp;F&amp;CPrinted on &amp;D at &amp;T&amp;R&amp;P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Instructions</vt:lpstr>
      <vt:lpstr>Assessment Report</vt:lpstr>
      <vt:lpstr>Financial Summary</vt:lpstr>
      <vt:lpstr>ProfitLoss</vt:lpstr>
      <vt:lpstr>BS</vt:lpstr>
      <vt:lpstr>CFS</vt:lpstr>
      <vt:lpstr>Notes 2</vt:lpstr>
      <vt:lpstr>Notes</vt:lpstr>
      <vt:lpstr>'Assessment Report'!Print_Area</vt:lpstr>
      <vt:lpstr>'Financial Summary'!Print_Area</vt:lpstr>
      <vt:lpstr>Instructions!Print_Area</vt:lpstr>
      <vt:lpstr>Notes!Print_Area</vt:lpstr>
      <vt:lpstr>'Notes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MSC Financials</dc:title>
  <dc:subject>Financial Projection</dc:subject>
  <dc:creator>Mohd Zaffri Basir</dc:creator>
  <cp:keywords>Finance</cp:keywords>
  <dc:description>Given to Anil for CRM PhaseII. Updated comments and notes for the user, but no change in the format and items.</dc:description>
  <cp:lastModifiedBy>Carina Negreanu</cp:lastModifiedBy>
  <cp:revision>1</cp:revision>
  <cp:lastPrinted>2002-11-13T07:49:05Z</cp:lastPrinted>
  <dcterms:created xsi:type="dcterms:W3CDTF">2000-08-18T01:29:04Z</dcterms:created>
  <dcterms:modified xsi:type="dcterms:W3CDTF">2020-01-27T11:52:38Z</dcterms:modified>
  <cp:category>Finance</cp:category>
</cp:coreProperties>
</file>