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ml.chartshapes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1202DE-9307-4A93-ACC6-B8CE6D1ABC6D}" xr6:coauthVersionLast="45" xr6:coauthVersionMax="45" xr10:uidLastSave="{00000000-0000-0000-0000-000000000000}"/>
  <bookViews>
    <workbookView xWindow="1900" yWindow="1900" windowWidth="28800" windowHeight="15460" activeTab="4"/>
  </bookViews>
  <sheets>
    <sheet name="Raw Data" sheetId="1" r:id="rId1"/>
    <sheet name="charts 2000" sheetId="2" r:id="rId2"/>
    <sheet name="charts 2001 not printed" sheetId="3" r:id="rId3"/>
    <sheet name="Age Data" sheetId="57300" r:id="rId4"/>
    <sheet name="Age Charts" sheetId="54052" r:id="rId5"/>
  </sheets>
  <definedNames>
    <definedName name="_xlnm.Print_Area" localSheetId="4">'Age Charts'!$H$1:$U$50</definedName>
    <definedName name="_xlnm.Print_Area" localSheetId="3">'Age Data'!$A$1:$K$36</definedName>
    <definedName name="_xlnm.Print_Area" localSheetId="1">'charts 2000'!$AD$1:$BE$53</definedName>
    <definedName name="_xlnm.Print_Area" localSheetId="2">'charts 2001 not printed'!$O$1:$AB$53</definedName>
    <definedName name="_xlnm.Print_Area" localSheetId="0">'Raw Data'!$A$1:$Q$49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8" i="54052" l="1"/>
  <c r="B18" i="54052"/>
  <c r="C18" i="54052"/>
  <c r="B23" i="54052"/>
  <c r="D23" i="54052"/>
  <c r="E23" i="54052"/>
  <c r="B24" i="54052"/>
  <c r="C24" i="54052"/>
  <c r="D24" i="54052"/>
  <c r="E24" i="54052"/>
  <c r="C25" i="54052"/>
  <c r="A29" i="54052"/>
  <c r="B29" i="54052"/>
  <c r="C29" i="54052"/>
  <c r="B43" i="54052" s="1"/>
  <c r="D29" i="54052"/>
  <c r="C43" i="54052" s="1"/>
  <c r="E29" i="54052"/>
  <c r="D43" i="54052" s="1"/>
  <c r="A30" i="54052"/>
  <c r="B30" i="54052"/>
  <c r="C30" i="54052"/>
  <c r="D30" i="54052"/>
  <c r="E30" i="54052"/>
  <c r="A31" i="54052"/>
  <c r="B31" i="54052"/>
  <c r="C31" i="54052"/>
  <c r="D31" i="54052"/>
  <c r="E31" i="54052"/>
  <c r="A32" i="54052"/>
  <c r="B32" i="54052"/>
  <c r="C32" i="54052"/>
  <c r="D32" i="54052"/>
  <c r="E32" i="54052"/>
  <c r="A33" i="54052"/>
  <c r="B44" i="54052" s="1"/>
  <c r="M36" i="57300" s="1"/>
  <c r="B33" i="54052"/>
  <c r="C33" i="54052"/>
  <c r="D33" i="54052"/>
  <c r="E33" i="54052"/>
  <c r="A34" i="54052"/>
  <c r="B34" i="54052"/>
  <c r="C34" i="54052"/>
  <c r="D34" i="54052"/>
  <c r="E34" i="54052"/>
  <c r="A35" i="54052"/>
  <c r="B35" i="54052"/>
  <c r="C35" i="54052"/>
  <c r="D35" i="54052"/>
  <c r="E35" i="54052"/>
  <c r="A36" i="54052"/>
  <c r="B36" i="54052"/>
  <c r="C36" i="54052"/>
  <c r="D36" i="54052"/>
  <c r="E36" i="54052"/>
  <c r="A37" i="54052"/>
  <c r="B37" i="54052"/>
  <c r="C37" i="54052"/>
  <c r="D37" i="54052"/>
  <c r="E37" i="54052"/>
  <c r="A38" i="54052"/>
  <c r="B38" i="54052"/>
  <c r="C38" i="54052"/>
  <c r="D38" i="54052"/>
  <c r="E38" i="54052"/>
  <c r="A39" i="54052"/>
  <c r="B39" i="54052"/>
  <c r="C39" i="54052"/>
  <c r="D39" i="54052"/>
  <c r="E39" i="54052"/>
  <c r="A40" i="54052"/>
  <c r="B40" i="54052"/>
  <c r="C40" i="54052"/>
  <c r="D40" i="54052"/>
  <c r="E40" i="54052"/>
  <c r="D41" i="54052"/>
  <c r="E41" i="54052"/>
  <c r="D45" i="54052"/>
  <c r="R36" i="57300" s="1"/>
  <c r="C46" i="54052"/>
  <c r="B47" i="54052"/>
  <c r="C47" i="54052"/>
  <c r="K3" i="57300"/>
  <c r="G1" i="54052" s="1"/>
  <c r="M3" i="57300"/>
  <c r="N3" i="57300"/>
  <c r="O3" i="57300"/>
  <c r="P3" i="57300"/>
  <c r="Q3" i="57300"/>
  <c r="R3" i="57300"/>
  <c r="S3" i="57300"/>
  <c r="T3" i="57300"/>
  <c r="L4" i="57300"/>
  <c r="N4" i="57300"/>
  <c r="O4" i="57300"/>
  <c r="P4" i="57300"/>
  <c r="R4" i="57300"/>
  <c r="S4" i="57300"/>
  <c r="T4" i="57300"/>
  <c r="L5" i="57300"/>
  <c r="N5" i="57300"/>
  <c r="O5" i="57300"/>
  <c r="P5" i="57300"/>
  <c r="R5" i="57300"/>
  <c r="S5" i="57300"/>
  <c r="T5" i="57300"/>
  <c r="L6" i="57300"/>
  <c r="M6" i="57300"/>
  <c r="N6" i="57300"/>
  <c r="O6" i="57300"/>
  <c r="Q6" i="57300"/>
  <c r="R6" i="57300"/>
  <c r="S6" i="57300"/>
  <c r="L7" i="57300"/>
  <c r="N7" i="57300"/>
  <c r="O7" i="57300"/>
  <c r="P7" i="57300"/>
  <c r="R7" i="57300"/>
  <c r="S7" i="57300"/>
  <c r="T7" i="57300"/>
  <c r="L8" i="57300"/>
  <c r="M8" i="57300"/>
  <c r="O8" i="57300"/>
  <c r="P8" i="57300"/>
  <c r="Q8" i="57300"/>
  <c r="S8" i="57300"/>
  <c r="T8" i="57300"/>
  <c r="L9" i="57300"/>
  <c r="N9" i="57300"/>
  <c r="O9" i="57300"/>
  <c r="P9" i="57300"/>
  <c r="R9" i="57300"/>
  <c r="S9" i="57300"/>
  <c r="T9" i="57300"/>
  <c r="L10" i="57300"/>
  <c r="M10" i="57300"/>
  <c r="N10" i="57300"/>
  <c r="P10" i="57300"/>
  <c r="Q10" i="57300"/>
  <c r="R10" i="57300"/>
  <c r="T10" i="57300"/>
  <c r="L11" i="57300"/>
  <c r="M11" i="57300"/>
  <c r="N11" i="57300"/>
  <c r="P11" i="57300"/>
  <c r="Q11" i="57300"/>
  <c r="R11" i="57300"/>
  <c r="T11" i="57300"/>
  <c r="L12" i="57300"/>
  <c r="N12" i="57300"/>
  <c r="O12" i="57300"/>
  <c r="P12" i="57300"/>
  <c r="R12" i="57300"/>
  <c r="S12" i="57300"/>
  <c r="T12" i="57300"/>
  <c r="L13" i="57300"/>
  <c r="M13" i="57300"/>
  <c r="N13" i="57300"/>
  <c r="O13" i="57300"/>
  <c r="Q13" i="57300"/>
  <c r="R13" i="57300"/>
  <c r="S13" i="57300"/>
  <c r="L14" i="57300"/>
  <c r="N14" i="57300"/>
  <c r="O14" i="57300"/>
  <c r="P14" i="57300"/>
  <c r="R14" i="57300"/>
  <c r="S14" i="57300"/>
  <c r="T14" i="57300"/>
  <c r="L15" i="57300"/>
  <c r="M15" i="57300"/>
  <c r="N15" i="57300"/>
  <c r="P15" i="57300"/>
  <c r="Q15" i="57300"/>
  <c r="R15" i="57300"/>
  <c r="T15" i="57300"/>
  <c r="L16" i="57300"/>
  <c r="M16" i="57300"/>
  <c r="N16" i="57300"/>
  <c r="O16" i="57300"/>
  <c r="Q16" i="57300"/>
  <c r="R16" i="57300"/>
  <c r="S16" i="57300"/>
  <c r="L17" i="57300"/>
  <c r="N17" i="57300"/>
  <c r="O17" i="57300"/>
  <c r="P17" i="57300"/>
  <c r="R17" i="57300"/>
  <c r="S17" i="57300"/>
  <c r="T17" i="57300"/>
  <c r="L18" i="57300"/>
  <c r="N18" i="57300"/>
  <c r="O18" i="57300"/>
  <c r="P18" i="57300"/>
  <c r="R18" i="57300"/>
  <c r="S18" i="57300"/>
  <c r="T18" i="57300"/>
  <c r="M19" i="57300"/>
  <c r="N19" i="57300"/>
  <c r="O19" i="57300"/>
  <c r="Q19" i="57300"/>
  <c r="R19" i="57300"/>
  <c r="S19" i="57300"/>
  <c r="E20" i="57300"/>
  <c r="F20" i="57300"/>
  <c r="G20" i="57300"/>
  <c r="L20" i="57300"/>
  <c r="M21" i="57300"/>
  <c r="N21" i="57300"/>
  <c r="O21" i="57300"/>
  <c r="P21" i="57300"/>
  <c r="Q21" i="57300"/>
  <c r="R21" i="57300"/>
  <c r="S21" i="57300"/>
  <c r="T21" i="57300"/>
  <c r="U21" i="57300"/>
  <c r="V21" i="57300"/>
  <c r="N24" i="57300"/>
  <c r="O24" i="57300"/>
  <c r="Q24" i="57300"/>
  <c r="R24" i="57300"/>
  <c r="N25" i="57300"/>
  <c r="N35" i="57300" s="1"/>
  <c r="O25" i="57300"/>
  <c r="Q25" i="57300"/>
  <c r="Q35" i="57300" s="1"/>
  <c r="R25" i="57300"/>
  <c r="K26" i="57300"/>
  <c r="M26" i="57300" s="1"/>
  <c r="N26" i="57300"/>
  <c r="O26" i="57300"/>
  <c r="Q26" i="57300"/>
  <c r="R26" i="57300"/>
  <c r="N27" i="57300"/>
  <c r="O27" i="57300"/>
  <c r="Q27" i="57300"/>
  <c r="R27" i="57300"/>
  <c r="K28" i="57300"/>
  <c r="F34" i="54052" s="1"/>
  <c r="M28" i="57300"/>
  <c r="O28" i="57300"/>
  <c r="P28" i="57300"/>
  <c r="R28" i="57300"/>
  <c r="M29" i="57300"/>
  <c r="N29" i="57300"/>
  <c r="P29" i="57300"/>
  <c r="Q29" i="57300"/>
  <c r="N30" i="57300"/>
  <c r="O30" i="57300"/>
  <c r="Q30" i="57300"/>
  <c r="R30" i="57300"/>
  <c r="N31" i="57300"/>
  <c r="O31" i="57300"/>
  <c r="Q31" i="57300"/>
  <c r="R31" i="57300"/>
  <c r="N32" i="57300"/>
  <c r="O32" i="57300"/>
  <c r="Q32" i="57300"/>
  <c r="R32" i="57300"/>
  <c r="K33" i="57300"/>
  <c r="F39" i="54052" s="1"/>
  <c r="M33" i="57300"/>
  <c r="N33" i="57300"/>
  <c r="O33" i="57300"/>
  <c r="Q33" i="57300"/>
  <c r="R33" i="57300"/>
  <c r="K34" i="57300"/>
  <c r="P34" i="57300" s="1"/>
  <c r="M34" i="57300"/>
  <c r="N34" i="57300"/>
  <c r="O34" i="57300"/>
  <c r="Q34" i="57300"/>
  <c r="R34" i="57300"/>
  <c r="E35" i="57300"/>
  <c r="A41" i="54052" s="1"/>
  <c r="F35" i="57300"/>
  <c r="B41" i="54052" s="1"/>
  <c r="G35" i="57300"/>
  <c r="C41" i="54052" s="1"/>
  <c r="B36" i="57300"/>
  <c r="C36" i="57300"/>
  <c r="N36" i="57300"/>
  <c r="O36" i="57300"/>
  <c r="P36" i="57300"/>
  <c r="Q36" i="57300"/>
  <c r="A1" i="2"/>
  <c r="B1" i="2"/>
  <c r="H1" i="2"/>
  <c r="I1" i="2"/>
  <c r="J1" i="2"/>
  <c r="K1" i="2"/>
  <c r="L1" i="2"/>
  <c r="M1" i="2"/>
  <c r="N1" i="2"/>
  <c r="O1" i="2"/>
  <c r="A2" i="2"/>
  <c r="B2" i="2"/>
  <c r="H2" i="2"/>
  <c r="I2" i="2"/>
  <c r="J2" i="2"/>
  <c r="K2" i="2"/>
  <c r="L2" i="2"/>
  <c r="M2" i="2"/>
  <c r="N2" i="2"/>
  <c r="O2" i="2"/>
  <c r="Q2" i="2"/>
  <c r="A3" i="2"/>
  <c r="B3" i="2"/>
  <c r="H3" i="2"/>
  <c r="I3" i="2"/>
  <c r="J3" i="2"/>
  <c r="J22" i="2" s="1"/>
  <c r="K3" i="2"/>
  <c r="J23" i="2" s="1"/>
  <c r="L3" i="2"/>
  <c r="L18" i="2" s="1"/>
  <c r="J24" i="2" s="1"/>
  <c r="M3" i="2"/>
  <c r="M18" i="2" s="1"/>
  <c r="N3" i="2"/>
  <c r="O3" i="2"/>
  <c r="Q3" i="2"/>
  <c r="A4" i="2"/>
  <c r="B4" i="2"/>
  <c r="C4" i="2"/>
  <c r="H4" i="2"/>
  <c r="I4" i="2"/>
  <c r="J4" i="2"/>
  <c r="K4" i="2"/>
  <c r="L4" i="2"/>
  <c r="M4" i="2"/>
  <c r="N4" i="2"/>
  <c r="O4" i="2"/>
  <c r="O18" i="2" s="1"/>
  <c r="Q4" i="2"/>
  <c r="A5" i="2"/>
  <c r="B5" i="2"/>
  <c r="H5" i="2"/>
  <c r="I5" i="2"/>
  <c r="J5" i="2"/>
  <c r="K5" i="2"/>
  <c r="L5" i="2"/>
  <c r="M5" i="2"/>
  <c r="N5" i="2"/>
  <c r="O5" i="2"/>
  <c r="Q5" i="2"/>
  <c r="J31" i="2" s="1"/>
  <c r="A6" i="2"/>
  <c r="B6" i="2"/>
  <c r="C6" i="2" s="1"/>
  <c r="L6" i="2" s="1"/>
  <c r="H6" i="2"/>
  <c r="I6" i="2"/>
  <c r="J6" i="2"/>
  <c r="K6" i="2"/>
  <c r="M6" i="2"/>
  <c r="N6" i="2"/>
  <c r="O6" i="2"/>
  <c r="Q6" i="2"/>
  <c r="S6" i="2" s="1"/>
  <c r="U3" i="2" s="1"/>
  <c r="U4" i="2" s="1"/>
  <c r="R6" i="2"/>
  <c r="A7" i="2"/>
  <c r="B7" i="2"/>
  <c r="H7" i="2"/>
  <c r="I7" i="2"/>
  <c r="J7" i="2"/>
  <c r="K7" i="2"/>
  <c r="L7" i="2"/>
  <c r="M7" i="2"/>
  <c r="N7" i="2"/>
  <c r="O7" i="2"/>
  <c r="Q7" i="2"/>
  <c r="A8" i="2"/>
  <c r="B8" i="2"/>
  <c r="C8" i="2"/>
  <c r="L8" i="2" s="1"/>
  <c r="H8" i="2"/>
  <c r="I8" i="2"/>
  <c r="J8" i="2"/>
  <c r="K8" i="2"/>
  <c r="M8" i="2"/>
  <c r="N8" i="2"/>
  <c r="N18" i="2" s="1"/>
  <c r="O8" i="2"/>
  <c r="Q8" i="2"/>
  <c r="S8" i="2" s="1"/>
  <c r="R8" i="2"/>
  <c r="A9" i="2"/>
  <c r="B9" i="2"/>
  <c r="C9" i="2"/>
  <c r="H9" i="2"/>
  <c r="I9" i="2"/>
  <c r="J9" i="2"/>
  <c r="K9" i="2"/>
  <c r="L9" i="2"/>
  <c r="M9" i="2"/>
  <c r="N9" i="2"/>
  <c r="O9" i="2"/>
  <c r="Q9" i="2"/>
  <c r="J35" i="2" s="1"/>
  <c r="K35" i="2" s="1"/>
  <c r="A10" i="2"/>
  <c r="B10" i="2"/>
  <c r="H10" i="2"/>
  <c r="I10" i="2"/>
  <c r="J10" i="2"/>
  <c r="K10" i="2"/>
  <c r="L10" i="2"/>
  <c r="M10" i="2"/>
  <c r="N10" i="2"/>
  <c r="O10" i="2"/>
  <c r="Q10" i="2"/>
  <c r="A11" i="2"/>
  <c r="B11" i="2"/>
  <c r="C11" i="2"/>
  <c r="H11" i="2"/>
  <c r="I11" i="2"/>
  <c r="J11" i="2"/>
  <c r="K11" i="2"/>
  <c r="L11" i="2"/>
  <c r="M11" i="2"/>
  <c r="N11" i="2"/>
  <c r="O11" i="2"/>
  <c r="Q11" i="2"/>
  <c r="A12" i="2"/>
  <c r="B12" i="2"/>
  <c r="H12" i="2"/>
  <c r="I12" i="2"/>
  <c r="J12" i="2"/>
  <c r="K12" i="2"/>
  <c r="L12" i="2"/>
  <c r="M12" i="2"/>
  <c r="N12" i="2"/>
  <c r="O12" i="2"/>
  <c r="Q12" i="2"/>
  <c r="A13" i="2"/>
  <c r="B13" i="2"/>
  <c r="C13" i="2"/>
  <c r="L13" i="2" s="1"/>
  <c r="H13" i="2"/>
  <c r="I13" i="2"/>
  <c r="J13" i="2"/>
  <c r="K13" i="2"/>
  <c r="M13" i="2"/>
  <c r="N13" i="2"/>
  <c r="O13" i="2"/>
  <c r="Q13" i="2"/>
  <c r="A14" i="2"/>
  <c r="B14" i="2"/>
  <c r="C14" i="2"/>
  <c r="H14" i="2"/>
  <c r="I14" i="2"/>
  <c r="J14" i="2"/>
  <c r="K14" i="2"/>
  <c r="L14" i="2"/>
  <c r="M14" i="2"/>
  <c r="N14" i="2"/>
  <c r="O14" i="2"/>
  <c r="Q14" i="2"/>
  <c r="A15" i="2"/>
  <c r="B15" i="2"/>
  <c r="C15" i="2"/>
  <c r="H15" i="2"/>
  <c r="I15" i="2"/>
  <c r="J15" i="2"/>
  <c r="K15" i="2"/>
  <c r="L15" i="2"/>
  <c r="M15" i="2"/>
  <c r="N15" i="2"/>
  <c r="O15" i="2"/>
  <c r="Q15" i="2"/>
  <c r="J41" i="2" s="1"/>
  <c r="K41" i="2" s="1"/>
  <c r="R15" i="2"/>
  <c r="S15" i="2"/>
  <c r="A16" i="2"/>
  <c r="B16" i="2"/>
  <c r="H16" i="2"/>
  <c r="I16" i="2"/>
  <c r="J16" i="2"/>
  <c r="K16" i="2"/>
  <c r="L16" i="2"/>
  <c r="M16" i="2"/>
  <c r="N16" i="2"/>
  <c r="O16" i="2"/>
  <c r="Q16" i="2"/>
  <c r="J42" i="2" s="1"/>
  <c r="A17" i="2"/>
  <c r="B17" i="2"/>
  <c r="C17" i="2"/>
  <c r="H17" i="2"/>
  <c r="I17" i="2"/>
  <c r="J17" i="2"/>
  <c r="L22" i="2" s="1"/>
  <c r="K17" i="2"/>
  <c r="L23" i="2" s="1"/>
  <c r="L17" i="2"/>
  <c r="M17" i="2"/>
  <c r="N17" i="2"/>
  <c r="O17" i="2"/>
  <c r="Q17" i="2"/>
  <c r="D18" i="2"/>
  <c r="E18" i="2"/>
  <c r="F18" i="2"/>
  <c r="C19" i="2"/>
  <c r="D19" i="2"/>
  <c r="E19" i="2"/>
  <c r="F19" i="2"/>
  <c r="A21" i="2"/>
  <c r="B21" i="2"/>
  <c r="C21" i="2"/>
  <c r="J21" i="2"/>
  <c r="K21" i="2"/>
  <c r="L21" i="2"/>
  <c r="M21" i="2"/>
  <c r="A22" i="2"/>
  <c r="B22" i="2"/>
  <c r="C22" i="2"/>
  <c r="K22" i="2"/>
  <c r="M22" i="2"/>
  <c r="A23" i="2"/>
  <c r="B23" i="2"/>
  <c r="C23" i="2"/>
  <c r="K23" i="2"/>
  <c r="M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J28" i="2"/>
  <c r="A29" i="2"/>
  <c r="B29" i="2"/>
  <c r="C29" i="2"/>
  <c r="J29" i="2"/>
  <c r="A30" i="2"/>
  <c r="B30" i="2"/>
  <c r="C30" i="2"/>
  <c r="J30" i="2"/>
  <c r="K30" i="2"/>
  <c r="A31" i="2"/>
  <c r="B31" i="2"/>
  <c r="C31" i="2"/>
  <c r="A32" i="2"/>
  <c r="B32" i="2"/>
  <c r="C32" i="2"/>
  <c r="A33" i="2"/>
  <c r="B33" i="2"/>
  <c r="C33" i="2"/>
  <c r="J33" i="2"/>
  <c r="A34" i="2"/>
  <c r="B34" i="2"/>
  <c r="C34" i="2"/>
  <c r="A35" i="2"/>
  <c r="B35" i="2"/>
  <c r="C35" i="2"/>
  <c r="A36" i="2"/>
  <c r="B36" i="2"/>
  <c r="C36" i="2"/>
  <c r="J36" i="2"/>
  <c r="A37" i="2"/>
  <c r="B37" i="2"/>
  <c r="C37" i="2"/>
  <c r="J38" i="2"/>
  <c r="J39" i="2"/>
  <c r="K39" i="2" s="1"/>
  <c r="J40" i="2"/>
  <c r="K40" i="2"/>
  <c r="J43" i="2"/>
  <c r="K43" i="2"/>
  <c r="K153" i="2"/>
  <c r="K154" i="2"/>
  <c r="C13" i="3"/>
  <c r="F16" i="3"/>
  <c r="B31" i="3" s="1"/>
  <c r="B32" i="3" s="1"/>
  <c r="F17" i="3"/>
  <c r="F18" i="3"/>
  <c r="F19" i="3"/>
  <c r="F21" i="3"/>
  <c r="F22" i="3"/>
  <c r="F23" i="3"/>
  <c r="F24" i="3"/>
  <c r="F25" i="3"/>
  <c r="F26" i="3"/>
  <c r="B30" i="3"/>
  <c r="C32" i="3"/>
  <c r="D32" i="3"/>
  <c r="B36" i="3"/>
  <c r="C36" i="3"/>
  <c r="B37" i="3"/>
  <c r="J5" i="1"/>
  <c r="I5" i="1" s="1"/>
  <c r="K4" i="57300" s="1"/>
  <c r="H6" i="1"/>
  <c r="H22" i="1" s="1"/>
  <c r="I6" i="1"/>
  <c r="K5" i="57300" s="1"/>
  <c r="J6" i="1"/>
  <c r="R3" i="2" s="1"/>
  <c r="S3" i="2" s="1"/>
  <c r="J7" i="1"/>
  <c r="R4" i="2" s="1"/>
  <c r="S4" i="2" s="1"/>
  <c r="H8" i="1"/>
  <c r="J8" i="1"/>
  <c r="R5" i="2" s="1"/>
  <c r="S5" i="2" s="1"/>
  <c r="H9" i="1"/>
  <c r="J9" i="1"/>
  <c r="I9" i="1" s="1"/>
  <c r="K8" i="57300" s="1"/>
  <c r="H10" i="1"/>
  <c r="J10" i="1"/>
  <c r="I10" i="1" s="1"/>
  <c r="K9" i="57300" s="1"/>
  <c r="J11" i="1"/>
  <c r="I11" i="1" s="1"/>
  <c r="K10" i="57300" s="1"/>
  <c r="J12" i="1"/>
  <c r="I12" i="1" s="1"/>
  <c r="K11" i="57300" s="1"/>
  <c r="H13" i="1"/>
  <c r="J13" i="1"/>
  <c r="R10" i="2" s="1"/>
  <c r="S10" i="2" s="1"/>
  <c r="I14" i="1"/>
  <c r="K13" i="57300" s="1"/>
  <c r="J14" i="1"/>
  <c r="R11" i="2" s="1"/>
  <c r="J15" i="1"/>
  <c r="R12" i="2" s="1"/>
  <c r="I16" i="1"/>
  <c r="K15" i="57300" s="1"/>
  <c r="J16" i="1"/>
  <c r="R13" i="2" s="1"/>
  <c r="S13" i="2" s="1"/>
  <c r="H17" i="1"/>
  <c r="J17" i="1"/>
  <c r="I17" i="1" s="1"/>
  <c r="K16" i="57300" s="1"/>
  <c r="H18" i="1"/>
  <c r="J18" i="1"/>
  <c r="I18" i="1" s="1"/>
  <c r="K17" i="57300" s="1"/>
  <c r="H19" i="1"/>
  <c r="J19" i="1"/>
  <c r="I19" i="1" s="1"/>
  <c r="K18" i="57300" s="1"/>
  <c r="J20" i="1"/>
  <c r="R17" i="2" s="1"/>
  <c r="S17" i="2" s="1"/>
  <c r="D22" i="1"/>
  <c r="E22" i="1"/>
  <c r="F22" i="1"/>
  <c r="G22" i="1"/>
  <c r="K22" i="1"/>
  <c r="I26" i="1"/>
  <c r="K24" i="57300" s="1"/>
  <c r="J26" i="1"/>
  <c r="H27" i="1"/>
  <c r="H38" i="1" s="1"/>
  <c r="I27" i="1"/>
  <c r="K25" i="57300" s="1"/>
  <c r="J27" i="1"/>
  <c r="H28" i="1"/>
  <c r="I28" i="1"/>
  <c r="J28" i="1"/>
  <c r="H29" i="1"/>
  <c r="I29" i="1"/>
  <c r="K27" i="57300" s="1"/>
  <c r="J29" i="1"/>
  <c r="H30" i="1"/>
  <c r="H31" i="1"/>
  <c r="J31" i="1"/>
  <c r="I31" i="1" s="1"/>
  <c r="K29" i="57300" s="1"/>
  <c r="H32" i="1"/>
  <c r="I32" i="1"/>
  <c r="K30" i="57300" s="1"/>
  <c r="J32" i="1"/>
  <c r="H33" i="1"/>
  <c r="I33" i="1"/>
  <c r="K31" i="57300" s="1"/>
  <c r="J33" i="1"/>
  <c r="H34" i="1"/>
  <c r="I34" i="1"/>
  <c r="K32" i="57300" s="1"/>
  <c r="J34" i="1"/>
  <c r="H35" i="1"/>
  <c r="I35" i="1"/>
  <c r="J35" i="1"/>
  <c r="I36" i="1"/>
  <c r="J36" i="1"/>
  <c r="D38" i="1"/>
  <c r="E38" i="1"/>
  <c r="F38" i="1"/>
  <c r="G38" i="1"/>
  <c r="K38" i="1"/>
  <c r="B43" i="1"/>
  <c r="C43" i="1"/>
  <c r="D43" i="1"/>
  <c r="F43" i="1"/>
  <c r="G43" i="1"/>
  <c r="H43" i="1"/>
  <c r="I43" i="1"/>
  <c r="K43" i="1"/>
  <c r="N43" i="1"/>
  <c r="B44" i="1"/>
  <c r="C44" i="1"/>
  <c r="F44" i="1"/>
  <c r="I44" i="1"/>
  <c r="K44" i="1"/>
  <c r="B45" i="1"/>
  <c r="C45" i="1"/>
  <c r="D45" i="1"/>
  <c r="F45" i="1"/>
  <c r="G45" i="1"/>
  <c r="H45" i="1"/>
  <c r="I45" i="1"/>
  <c r="K45" i="1"/>
  <c r="N45" i="1"/>
  <c r="B46" i="1"/>
  <c r="C46" i="1"/>
  <c r="D46" i="1"/>
  <c r="F46" i="1"/>
  <c r="G46" i="1"/>
  <c r="H46" i="1"/>
  <c r="I46" i="1"/>
  <c r="K46" i="1"/>
  <c r="N46" i="1"/>
  <c r="P13" i="57300" l="1"/>
  <c r="G11" i="54052"/>
  <c r="T13" i="57300"/>
  <c r="M32" i="57300"/>
  <c r="P32" i="57300"/>
  <c r="F38" i="54052"/>
  <c r="F37" i="54052"/>
  <c r="P31" i="57300"/>
  <c r="M31" i="57300"/>
  <c r="O29" i="57300"/>
  <c r="R29" i="57300"/>
  <c r="R35" i="57300" s="1"/>
  <c r="R37" i="57300" s="1"/>
  <c r="D47" i="54052" s="1"/>
  <c r="F35" i="54052"/>
  <c r="M25" i="57300"/>
  <c r="F31" i="54052"/>
  <c r="P25" i="57300"/>
  <c r="O35" i="57300"/>
  <c r="O37" i="57300" s="1"/>
  <c r="D46" i="54052" s="1"/>
  <c r="S10" i="57300"/>
  <c r="S20" i="57300" s="1"/>
  <c r="S22" i="57300" s="1"/>
  <c r="D26" i="54052" s="1"/>
  <c r="G8" i="54052"/>
  <c r="O10" i="57300"/>
  <c r="S11" i="2"/>
  <c r="M9" i="57300"/>
  <c r="G7" i="54052"/>
  <c r="Q9" i="57300"/>
  <c r="S36" i="57300"/>
  <c r="U26" i="57300"/>
  <c r="G6" i="54052"/>
  <c r="R8" i="57300"/>
  <c r="R20" i="57300" s="1"/>
  <c r="R22" i="57300" s="1"/>
  <c r="C26" i="54052" s="1"/>
  <c r="N8" i="57300"/>
  <c r="F36" i="54052"/>
  <c r="M30" i="57300"/>
  <c r="P30" i="57300"/>
  <c r="M18" i="57300"/>
  <c r="G16" i="54052"/>
  <c r="Q18" i="57300"/>
  <c r="N20" i="57300"/>
  <c r="V3" i="2"/>
  <c r="M17" i="57300"/>
  <c r="Q17" i="57300"/>
  <c r="G15" i="54052"/>
  <c r="M24" i="57300"/>
  <c r="F30" i="54052"/>
  <c r="P24" i="57300"/>
  <c r="T2" i="2"/>
  <c r="S12" i="2"/>
  <c r="C18" i="2"/>
  <c r="T16" i="57300"/>
  <c r="P16" i="57300"/>
  <c r="G14" i="54052"/>
  <c r="G2" i="54052"/>
  <c r="M4" i="57300"/>
  <c r="Q4" i="57300"/>
  <c r="G3" i="54052"/>
  <c r="M5" i="57300"/>
  <c r="Q5" i="57300"/>
  <c r="F33" i="54052"/>
  <c r="M27" i="57300"/>
  <c r="P27" i="57300"/>
  <c r="O11" i="57300"/>
  <c r="G9" i="54052"/>
  <c r="S11" i="57300"/>
  <c r="O15" i="57300"/>
  <c r="S15" i="57300"/>
  <c r="G13" i="54052"/>
  <c r="I8" i="1"/>
  <c r="K7" i="57300" s="1"/>
  <c r="F32" i="54052"/>
  <c r="J37" i="2"/>
  <c r="I15" i="1"/>
  <c r="K14" i="57300" s="1"/>
  <c r="I7" i="1"/>
  <c r="K6" i="57300" s="1"/>
  <c r="J32" i="2"/>
  <c r="K32" i="2" s="1"/>
  <c r="R9" i="2"/>
  <c r="S9" i="2" s="1"/>
  <c r="W3" i="2" s="1"/>
  <c r="P33" i="57300"/>
  <c r="I13" i="1"/>
  <c r="K12" i="57300" s="1"/>
  <c r="K18" i="2"/>
  <c r="J18" i="2"/>
  <c r="R16" i="2"/>
  <c r="S16" i="2" s="1"/>
  <c r="R2" i="2"/>
  <c r="S2" i="2" s="1"/>
  <c r="F40" i="54052"/>
  <c r="I20" i="1"/>
  <c r="K19" i="57300" s="1"/>
  <c r="G17" i="54052" s="1"/>
  <c r="R7" i="2"/>
  <c r="S7" i="2" s="1"/>
  <c r="P26" i="57300"/>
  <c r="J34" i="2"/>
  <c r="K23" i="57300"/>
  <c r="F29" i="54052" s="1"/>
  <c r="R14" i="2"/>
  <c r="S14" i="2" s="1"/>
  <c r="G5" i="54052" l="1"/>
  <c r="M7" i="57300"/>
  <c r="M20" i="57300" s="1"/>
  <c r="Q7" i="57300"/>
  <c r="Q20" i="57300" s="1"/>
  <c r="G10" i="54052"/>
  <c r="M12" i="57300"/>
  <c r="Q12" i="57300"/>
  <c r="P35" i="57300"/>
  <c r="V25" i="57300" s="1"/>
  <c r="V27" i="57300" s="1"/>
  <c r="K19" i="2"/>
  <c r="T6" i="57300"/>
  <c r="T20" i="57300" s="1"/>
  <c r="T22" i="57300" s="1"/>
  <c r="E26" i="54052" s="1"/>
  <c r="P6" i="57300"/>
  <c r="P20" i="57300" s="1"/>
  <c r="P22" i="57300" s="1"/>
  <c r="E25" i="54052" s="1"/>
  <c r="G4" i="54052"/>
  <c r="G12" i="54052"/>
  <c r="M14" i="57300"/>
  <c r="Q14" i="57300"/>
  <c r="K37" i="2"/>
  <c r="V2" i="2"/>
  <c r="V4" i="2" s="1"/>
  <c r="K34" i="2"/>
  <c r="K44" i="2" s="1"/>
  <c r="W2" i="2"/>
  <c r="W4" i="2" s="1"/>
  <c r="M35" i="57300"/>
  <c r="O20" i="57300"/>
  <c r="O22" i="57300" s="1"/>
  <c r="D25" i="54052" s="1"/>
  <c r="T3" i="2"/>
  <c r="T4" i="2" s="1"/>
  <c r="U20" i="57300" l="1"/>
  <c r="U22" i="57300" s="1"/>
  <c r="M22" i="57300"/>
  <c r="B25" i="54052" s="1"/>
  <c r="V20" i="57300"/>
  <c r="Q22" i="57300"/>
  <c r="B26" i="54052" s="1"/>
  <c r="M37" i="57300"/>
  <c r="B46" i="54052" s="1"/>
  <c r="S35" i="57300"/>
  <c r="S37" i="57300" s="1"/>
  <c r="V22" i="57300" s="1"/>
  <c r="U25" i="57300"/>
  <c r="U27" i="57300" s="1"/>
</calcChain>
</file>

<file path=xl/sharedStrings.xml><?xml version="1.0" encoding="utf-8"?>
<sst xmlns="http://schemas.openxmlformats.org/spreadsheetml/2006/main" count="488" uniqueCount="143">
  <si>
    <t>Total</t>
  </si>
  <si>
    <t>Central Bayside</t>
  </si>
  <si>
    <t xml:space="preserve">Peer skills </t>
  </si>
  <si>
    <t>Kingston council</t>
  </si>
  <si>
    <t>culture</t>
  </si>
  <si>
    <t>Clarinda prim</t>
  </si>
  <si>
    <t>bullying</t>
  </si>
  <si>
    <t>Bayside Youth Found</t>
  </si>
  <si>
    <t>Body image</t>
  </si>
  <si>
    <t>body image</t>
  </si>
  <si>
    <t>health, D/A</t>
  </si>
  <si>
    <t>Chelsea prim</t>
  </si>
  <si>
    <t>anger mgt</t>
  </si>
  <si>
    <t>Kibreda</t>
  </si>
  <si>
    <t>school ret</t>
  </si>
  <si>
    <t>Brighton Beach prim</t>
  </si>
  <si>
    <t>conflict res</t>
  </si>
  <si>
    <t>Chelt sec</t>
  </si>
  <si>
    <t>tutoring</t>
  </si>
  <si>
    <t>St Finbars</t>
  </si>
  <si>
    <t>Edithvale prim</t>
  </si>
  <si>
    <t>Anglicare</t>
  </si>
  <si>
    <t>St Brigids</t>
  </si>
  <si>
    <t>peerskills</t>
  </si>
  <si>
    <t>CBCHS</t>
  </si>
  <si>
    <t>Aspendale prim</t>
  </si>
  <si>
    <t>poor outcome</t>
  </si>
  <si>
    <t>Mentone Park pri</t>
  </si>
  <si>
    <t>Ok outcome.  Teachers trained</t>
  </si>
  <si>
    <t>St Agnes</t>
  </si>
  <si>
    <t>dads</t>
  </si>
  <si>
    <t>Bayside Youthschool ret</t>
  </si>
  <si>
    <t>Noah's Ark</t>
  </si>
  <si>
    <t>Gardenvale pri</t>
  </si>
  <si>
    <t>life skills</t>
  </si>
  <si>
    <t>will run for other schools</t>
  </si>
  <si>
    <t>St Josephs</t>
  </si>
  <si>
    <t>not much change seen</t>
  </si>
  <si>
    <t>St Patricks</t>
  </si>
  <si>
    <t>drama &amp; discussion</t>
  </si>
  <si>
    <t>Primary</t>
  </si>
  <si>
    <t>Secondary</t>
  </si>
  <si>
    <t>Total particips</t>
  </si>
  <si>
    <t>Home  work</t>
  </si>
  <si>
    <t>BCC/ Jugglers</t>
  </si>
  <si>
    <t>Conflict /anger</t>
  </si>
  <si>
    <t>REFS and SFL</t>
  </si>
  <si>
    <t xml:space="preserve"> SFL/LG/ school</t>
  </si>
  <si>
    <t>Bayside Youth school ret</t>
  </si>
  <si>
    <t>particpants</t>
  </si>
  <si>
    <t>$$ per participant</t>
  </si>
  <si>
    <t>Moordialloc pri</t>
  </si>
  <si>
    <t>2001 - 11 projects</t>
  </si>
  <si>
    <t>hours</t>
  </si>
  <si>
    <t>orgns</t>
  </si>
  <si>
    <t>Program</t>
  </si>
  <si>
    <t>program</t>
  </si>
  <si>
    <t>Knock out violence</t>
  </si>
  <si>
    <t>SFL (NOV)</t>
  </si>
  <si>
    <t>BCC</t>
  </si>
  <si>
    <t>REFS</t>
  </si>
  <si>
    <t>sibling camps</t>
  </si>
  <si>
    <t>SFL dads</t>
  </si>
  <si>
    <t>REFS/SFL</t>
  </si>
  <si>
    <t>Culture</t>
  </si>
  <si>
    <t>School Retention</t>
  </si>
  <si>
    <t>primary</t>
  </si>
  <si>
    <t>secondary</t>
  </si>
  <si>
    <t>Organisations</t>
  </si>
  <si>
    <t>programs</t>
  </si>
  <si>
    <t>children</t>
  </si>
  <si>
    <t>$$ per child</t>
  </si>
  <si>
    <t>$$ per partic</t>
  </si>
  <si>
    <t>Peer Skills</t>
  </si>
  <si>
    <t>School retention</t>
  </si>
  <si>
    <t>Sibling camps</t>
  </si>
  <si>
    <t>Bayside Youth</t>
  </si>
  <si>
    <t>organisations</t>
  </si>
  <si>
    <t>Children</t>
  </si>
  <si>
    <t>Dollars</t>
  </si>
  <si>
    <t>Dollars per Child</t>
  </si>
  <si>
    <t>Health</t>
  </si>
  <si>
    <t>Kilb/SFL</t>
  </si>
  <si>
    <t>REFS = peer</t>
  </si>
  <si>
    <t>homework</t>
  </si>
  <si>
    <t>did not get full alloc</t>
  </si>
  <si>
    <t>Kingst/SFL</t>
  </si>
  <si>
    <t>Schools Med</t>
  </si>
  <si>
    <t>Totals</t>
  </si>
  <si>
    <t>envisage training other teachers</t>
  </si>
  <si>
    <t>SFL follows with counselling</t>
  </si>
  <si>
    <t>Kingston</t>
  </si>
  <si>
    <t>JPET/BBCH</t>
  </si>
  <si>
    <t>SFL, LegalAid, BodyShop, etc</t>
  </si>
  <si>
    <t>Teacher prof devel - 1 day. Peer plus conf. Res.</t>
  </si>
  <si>
    <t>Peer skills</t>
  </si>
  <si>
    <t>Group work</t>
  </si>
  <si>
    <t>Life skills</t>
  </si>
  <si>
    <t>health</t>
  </si>
  <si>
    <t>siblings</t>
  </si>
  <si>
    <t># programs</t>
  </si>
  <si>
    <t>SFL</t>
  </si>
  <si>
    <t>N/A</t>
  </si>
  <si>
    <t>School Focused Youth Service Data</t>
  </si>
  <si>
    <t>Summary Information</t>
  </si>
  <si>
    <t>Service Providers</t>
  </si>
  <si>
    <t>Bentleigh/SFL dads</t>
  </si>
  <si>
    <t>Dads involved SFL</t>
  </si>
  <si>
    <t>Kids Help Line</t>
  </si>
  <si>
    <t>BCC devel peer skills for 2ndry</t>
  </si>
  <si>
    <t>Kings/Comm health</t>
  </si>
  <si>
    <t>B'ton prim, sec</t>
  </si>
  <si>
    <t>Angli h/w</t>
  </si>
  <si>
    <t>2000 - 16 projects</t>
  </si>
  <si>
    <t>Kids involved</t>
  </si>
  <si>
    <t xml:space="preserve">Parents </t>
  </si>
  <si>
    <t>Schools</t>
  </si>
  <si>
    <t>Comm. Orgns</t>
  </si>
  <si>
    <t>Program Type</t>
  </si>
  <si>
    <t>Issue Addressed</t>
  </si>
  <si>
    <t>Outing</t>
  </si>
  <si>
    <t>Other</t>
  </si>
  <si>
    <t>Bullying</t>
  </si>
  <si>
    <t>Auspice</t>
  </si>
  <si>
    <t>25/1/200225/1/2002</t>
  </si>
  <si>
    <t>issue</t>
  </si>
  <si>
    <t>parents</t>
  </si>
  <si>
    <t>schools</t>
  </si>
  <si>
    <t>Mordi Chels Sec</t>
  </si>
  <si>
    <t>Anger mgt</t>
  </si>
  <si>
    <t>budget $</t>
  </si>
  <si>
    <t>Sustained</t>
  </si>
  <si>
    <t>Y</t>
  </si>
  <si>
    <t>Gordon Homes</t>
  </si>
  <si>
    <t>group work</t>
  </si>
  <si>
    <t>outings</t>
  </si>
  <si>
    <t>y</t>
  </si>
  <si>
    <t>materials</t>
  </si>
  <si>
    <t>counselling</t>
  </si>
  <si>
    <t>n</t>
  </si>
  <si>
    <t>Bayside council</t>
  </si>
  <si>
    <t>BBCH</t>
  </si>
  <si>
    <t>School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</si>
</sst>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2" formatCode="&quot;$&quot;#,##0.00"/>
    <numFmt numFmtId="176" formatCode="_(&quot;$&quot;* #,##0_);_(&quot;$&quot;* \(#,##0\);_(&quot;$&quot;* &quot;-&quot;??_);_(@_)"/>
  </numFmts>
  <fonts count="10">
    <font>
      <sz val="9"/>
      <name val="Geneva"/>
    </font>
    <font>
      <b/>
      <sz val="9"/>
      <name val="Geneva"/>
    </font>
    <font>
      <sz val="9"/>
      <name val="Geneva"/>
    </font>
    <font>
      <b/>
      <u/>
      <sz val="14"/>
      <name val="Geneva"/>
    </font>
    <font>
      <u/>
      <sz val="9"/>
      <name val="Geneva"/>
    </font>
    <font>
      <b/>
      <u/>
      <sz val="12"/>
      <name val="Geneva"/>
    </font>
    <font>
      <b/>
      <u/>
      <sz val="9"/>
      <name val="Geneva"/>
    </font>
    <font>
      <sz val="8"/>
      <name val="Geneva"/>
    </font>
    <font>
      <u/>
      <sz val="10"/>
      <name val="Geneva"/>
    </font>
    <font>
      <u/>
      <sz val="12"/>
      <name val="Geneva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2" fillId="0" borderId="0" applyFont="0" applyFill="0" applyBorder="0" applyAlignment="0" applyProtection="0"/>
  </cellStyleXfs>
  <cellXfs count="115">
    <xf numFmtId="0" fontId="0" fillId="0" borderId="0" xfId="0"/>
    <xf numFmtId="0" fontId="1" fillId="0" borderId="0" xfId="0" applyFont="1"/>
    <xf numFmtId="172" fontId="0" fillId="0" borderId="0" xfId="0" applyNumberFormat="1"/>
    <xf numFmtId="172" fontId="0" fillId="0" borderId="0" xfId="0" applyNumberForma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70" fontId="0" fillId="0" borderId="0" xfId="1" applyFont="1"/>
    <xf numFmtId="176" fontId="4" fillId="0" borderId="0" xfId="1" applyNumberFormat="1" applyFont="1"/>
    <xf numFmtId="176" fontId="0" fillId="0" borderId="0" xfId="1" applyNumberFormat="1" applyFont="1"/>
    <xf numFmtId="0" fontId="1" fillId="0" borderId="0" xfId="0" applyFont="1" applyAlignment="1">
      <alignment textRotation="90"/>
    </xf>
    <xf numFmtId="0" fontId="1" fillId="0" borderId="2" xfId="0" applyFont="1" applyBorder="1" applyAlignment="1">
      <alignment wrapText="1"/>
    </xf>
    <xf numFmtId="176" fontId="1" fillId="0" borderId="2" xfId="1" applyNumberFormat="1" applyFont="1" applyBorder="1" applyAlignment="1">
      <alignment wrapText="1"/>
    </xf>
    <xf numFmtId="0" fontId="1" fillId="0" borderId="2" xfId="0" applyFont="1" applyBorder="1" applyAlignment="1">
      <alignment textRotation="90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1" fillId="0" borderId="2" xfId="0" applyFont="1" applyBorder="1" applyAlignment="1">
      <alignment horizontal="right" wrapText="1"/>
    </xf>
    <xf numFmtId="176" fontId="1" fillId="0" borderId="2" xfId="1" applyNumberFormat="1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horizontal="right" textRotation="90" wrapText="1"/>
    </xf>
    <xf numFmtId="0" fontId="1" fillId="0" borderId="2" xfId="0" applyFont="1" applyBorder="1" applyAlignment="1">
      <alignment textRotation="90" wrapText="1"/>
    </xf>
    <xf numFmtId="0" fontId="1" fillId="0" borderId="2" xfId="0" applyFont="1" applyBorder="1" applyAlignment="1">
      <alignment horizontal="right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176" fontId="1" fillId="0" borderId="4" xfId="1" applyNumberFormat="1" applyFont="1" applyBorder="1"/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right" wrapText="1"/>
    </xf>
    <xf numFmtId="0" fontId="0" fillId="0" borderId="2" xfId="0" applyBorder="1"/>
    <xf numFmtId="170" fontId="0" fillId="0" borderId="2" xfId="1" applyFont="1" applyBorder="1" applyAlignment="1">
      <alignment horizontal="right" wrapText="1"/>
    </xf>
    <xf numFmtId="170" fontId="0" fillId="0" borderId="0" xfId="0" applyNumberFormat="1"/>
    <xf numFmtId="170" fontId="0" fillId="0" borderId="2" xfId="0" applyNumberFormat="1" applyBorder="1" applyAlignment="1">
      <alignment horizontal="right" wrapText="1"/>
    </xf>
    <xf numFmtId="0" fontId="5" fillId="0" borderId="0" xfId="0" applyFont="1" applyAlignment="1"/>
    <xf numFmtId="0" fontId="0" fillId="0" borderId="0" xfId="0" applyBorder="1"/>
    <xf numFmtId="0" fontId="0" fillId="0" borderId="4" xfId="0" applyBorder="1" applyAlignment="1">
      <alignment horizontal="right"/>
    </xf>
    <xf numFmtId="0" fontId="8" fillId="0" borderId="0" xfId="0" applyFont="1"/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1" fillId="0" borderId="3" xfId="0" applyFont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" fillId="0" borderId="0" xfId="0" applyFont="1" applyAlignment="1">
      <alignment horizontal="left" vertical="top"/>
    </xf>
    <xf numFmtId="170" fontId="2" fillId="0" borderId="0" xfId="0" applyNumberFormat="1" applyFont="1" applyAlignment="1">
      <alignment wrapText="1"/>
    </xf>
    <xf numFmtId="170" fontId="2" fillId="0" borderId="0" xfId="0" applyNumberFormat="1" applyFont="1" applyAlignment="1">
      <alignment horizontal="right" wrapText="1"/>
    </xf>
    <xf numFmtId="170" fontId="0" fillId="0" borderId="5" xfId="0" applyNumberFormat="1" applyBorder="1"/>
    <xf numFmtId="170" fontId="0" fillId="0" borderId="7" xfId="0" applyNumberFormat="1" applyBorder="1"/>
    <xf numFmtId="170" fontId="1" fillId="0" borderId="2" xfId="0" applyNumberFormat="1" applyFont="1" applyBorder="1" applyAlignment="1">
      <alignment horizontal="right" wrapText="1"/>
    </xf>
    <xf numFmtId="170" fontId="2" fillId="0" borderId="0" xfId="0" applyNumberFormat="1" applyFont="1" applyBorder="1" applyAlignment="1">
      <alignment horizontal="right" wrapText="1"/>
    </xf>
    <xf numFmtId="176" fontId="0" fillId="0" borderId="8" xfId="1" applyNumberFormat="1" applyFont="1" applyBorder="1"/>
    <xf numFmtId="0" fontId="0" fillId="0" borderId="8" xfId="0" quotePrefix="1" applyBorder="1"/>
    <xf numFmtId="0" fontId="0" fillId="0" borderId="2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170" fontId="0" fillId="0" borderId="3" xfId="0" applyNumberFormat="1" applyBorder="1"/>
    <xf numFmtId="170" fontId="0" fillId="0" borderId="6" xfId="0" applyNumberFormat="1" applyBorder="1"/>
    <xf numFmtId="1" fontId="0" fillId="0" borderId="8" xfId="1" applyNumberFormat="1" applyFont="1" applyBorder="1"/>
    <xf numFmtId="1" fontId="0" fillId="0" borderId="0" xfId="1" applyNumberFormat="1" applyFont="1" applyBorder="1"/>
    <xf numFmtId="0" fontId="0" fillId="0" borderId="0" xfId="0" quotePrefix="1" applyBorder="1"/>
    <xf numFmtId="0" fontId="0" fillId="0" borderId="10" xfId="0" quotePrefix="1" applyBorder="1"/>
    <xf numFmtId="170" fontId="0" fillId="0" borderId="9" xfId="1" applyFont="1" applyBorder="1"/>
    <xf numFmtId="170" fontId="0" fillId="0" borderId="2" xfId="1" applyFont="1" applyBorder="1"/>
    <xf numFmtId="170" fontId="0" fillId="0" borderId="7" xfId="1" applyFont="1" applyBorder="1"/>
    <xf numFmtId="0" fontId="0" fillId="0" borderId="8" xfId="0" applyBorder="1"/>
    <xf numFmtId="0" fontId="0" fillId="0" borderId="10" xfId="0" applyBorder="1"/>
    <xf numFmtId="170" fontId="0" fillId="0" borderId="9" xfId="0" applyNumberFormat="1" applyBorder="1"/>
    <xf numFmtId="170" fontId="0" fillId="0" borderId="2" xfId="0" applyNumberFormat="1" applyBorder="1"/>
    <xf numFmtId="0" fontId="1" fillId="0" borderId="8" xfId="0" applyFont="1" applyBorder="1"/>
    <xf numFmtId="0" fontId="1" fillId="0" borderId="11" xfId="0" applyFont="1" applyBorder="1" applyAlignment="1">
      <alignment wrapText="1"/>
    </xf>
    <xf numFmtId="176" fontId="0" fillId="0" borderId="0" xfId="0" applyNumberFormat="1"/>
    <xf numFmtId="176" fontId="0" fillId="0" borderId="5" xfId="1" applyNumberFormat="1" applyFont="1" applyBorder="1"/>
    <xf numFmtId="1" fontId="0" fillId="0" borderId="0" xfId="0" applyNumberFormat="1" applyFill="1" applyBorder="1"/>
    <xf numFmtId="176" fontId="0" fillId="0" borderId="5" xfId="0" applyNumberFormat="1" applyBorder="1"/>
    <xf numFmtId="176" fontId="0" fillId="0" borderId="3" xfId="0" applyNumberFormat="1" applyBorder="1"/>
    <xf numFmtId="176" fontId="0" fillId="0" borderId="6" xfId="0" applyNumberFormat="1" applyBorder="1"/>
    <xf numFmtId="1" fontId="0" fillId="0" borderId="8" xfId="0" applyNumberFormat="1" applyFill="1" applyBorder="1"/>
    <xf numFmtId="1" fontId="0" fillId="0" borderId="10" xfId="0" applyNumberFormat="1" applyFill="1" applyBorder="1"/>
    <xf numFmtId="0" fontId="1" fillId="0" borderId="2" xfId="0" applyFont="1" applyBorder="1"/>
    <xf numFmtId="172" fontId="1" fillId="0" borderId="2" xfId="0" applyNumberFormat="1" applyFont="1" applyBorder="1" applyAlignment="1">
      <alignment horizontal="right"/>
    </xf>
    <xf numFmtId="176" fontId="1" fillId="0" borderId="2" xfId="1" applyNumberFormat="1" applyFont="1" applyBorder="1"/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12" xfId="0" applyBorder="1"/>
    <xf numFmtId="172" fontId="0" fillId="0" borderId="12" xfId="0" applyNumberFormat="1" applyBorder="1"/>
    <xf numFmtId="176" fontId="0" fillId="0" borderId="12" xfId="1" applyNumberFormat="1" applyFont="1" applyBorder="1"/>
    <xf numFmtId="172" fontId="0" fillId="0" borderId="12" xfId="0" applyNumberFormat="1" applyBorder="1" applyAlignment="1">
      <alignment horizontal="right"/>
    </xf>
    <xf numFmtId="0" fontId="0" fillId="0" borderId="12" xfId="0" applyBorder="1" applyAlignment="1">
      <alignment horizontal="center"/>
    </xf>
    <xf numFmtId="170" fontId="0" fillId="0" borderId="12" xfId="1" applyFont="1" applyBorder="1"/>
    <xf numFmtId="170" fontId="0" fillId="0" borderId="12" xfId="1" applyFont="1" applyBorder="1" applyAlignment="1">
      <alignment horizontal="right"/>
    </xf>
    <xf numFmtId="0" fontId="1" fillId="0" borderId="2" xfId="0" applyFont="1" applyBorder="1" applyAlignment="1">
      <alignment horizontal="right" textRotation="90"/>
    </xf>
    <xf numFmtId="37" fontId="0" fillId="0" borderId="0" xfId="1" applyNumberFormat="1" applyFont="1"/>
    <xf numFmtId="1" fontId="0" fillId="0" borderId="0" xfId="0" applyNumberFormat="1"/>
    <xf numFmtId="39" fontId="0" fillId="0" borderId="0" xfId="0" applyNumberFormat="1"/>
    <xf numFmtId="0" fontId="2" fillId="0" borderId="2" xfId="0" applyFont="1" applyBorder="1"/>
    <xf numFmtId="37" fontId="0" fillId="0" borderId="12" xfId="1" applyNumberFormat="1" applyFont="1" applyBorder="1"/>
    <xf numFmtId="0" fontId="0" fillId="0" borderId="0" xfId="0" applyAlignment="1">
      <alignment textRotation="90"/>
    </xf>
    <xf numFmtId="0" fontId="0" fillId="0" borderId="11" xfId="0" applyBorder="1" applyAlignment="1">
      <alignment horizontal="right"/>
    </xf>
    <xf numFmtId="0" fontId="0" fillId="0" borderId="13" xfId="0" applyBorder="1" applyAlignment="1">
      <alignment horizontal="right"/>
    </xf>
    <xf numFmtId="1" fontId="0" fillId="0" borderId="1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Program Types
2000</a:t>
            </a:r>
          </a:p>
        </c:rich>
      </c:tx>
      <c:layout>
        <c:manualLayout>
          <c:xMode val="edge"/>
          <c:yMode val="edge"/>
          <c:x val="0.32228485670902712"/>
          <c:y val="3.38994132571037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159405331397886E-2"/>
          <c:y val="0.27289027671968552"/>
          <c:w val="0.83177929930050387"/>
          <c:h val="0.5949347026621715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F9D-49DA-8546-B2B258A2F02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9D-49DA-8546-B2B258A2F02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F9D-49DA-8546-B2B258A2F02A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9D-49DA-8546-B2B258A2F02A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7727524265118308"/>
                  <c:y val="0.2474657167768576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9D-49DA-8546-B2B258A2F02A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4361253105006573"/>
                  <c:y val="0.8779948033589882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9D-49DA-8546-B2B258A2F02A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4.265534868207712E-2"/>
                  <c:y val="0.7695166809362561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9D-49DA-8546-B2B258A2F02A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13507527082657755"/>
                  <c:y val="0.2067864208683331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9D-49DA-8546-B2B258A2F02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'charts 2000'!$C$1:$F$1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School Retention</c:v>
                </c:pt>
                <c:pt idx="3">
                  <c:v>Health</c:v>
                </c:pt>
              </c:strCache>
            </c:strRef>
          </c:cat>
          <c:val>
            <c:numRef>
              <c:f>'charts 2000'!$C$18:$F$18</c:f>
              <c:numCache>
                <c:formatCode>General</c:formatCode>
                <c:ptCount val="4"/>
                <c:pt idx="0">
                  <c:v>8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9D-49DA-8546-B2B258A2F02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Cooperation Levels by Auspice 2000</a:t>
            </a:r>
          </a:p>
        </c:rich>
      </c:tx>
      <c:layout>
        <c:manualLayout>
          <c:xMode val="edge"/>
          <c:yMode val="edge"/>
          <c:x val="0.22539582706177655"/>
          <c:y val="3.28957952300996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153373733524381E-2"/>
          <c:y val="0.14474149901243846"/>
          <c:w val="0.8445866623234386"/>
          <c:h val="0.5477149905811592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2000'!$B$21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2000'!$A$22:$A$36</c:f>
              <c:strCache>
                <c:ptCount val="15"/>
                <c:pt idx="0">
                  <c:v>B'ton prim, sec</c:v>
                </c:pt>
                <c:pt idx="1">
                  <c:v>Mordi Chels Sec</c:v>
                </c:pt>
                <c:pt idx="2">
                  <c:v>Gordon Homes</c:v>
                </c:pt>
                <c:pt idx="3">
                  <c:v>Bayside council</c:v>
                </c:pt>
                <c:pt idx="4">
                  <c:v>Kingston council</c:v>
                </c:pt>
                <c:pt idx="5">
                  <c:v>Clarinda prim</c:v>
                </c:pt>
                <c:pt idx="6">
                  <c:v>Bayside Youth Found</c:v>
                </c:pt>
                <c:pt idx="7">
                  <c:v>CBCHS</c:v>
                </c:pt>
                <c:pt idx="8">
                  <c:v>Chelsea prim</c:v>
                </c:pt>
                <c:pt idx="9">
                  <c:v>Kibreda</c:v>
                </c:pt>
                <c:pt idx="10">
                  <c:v>Brighton Beach prim</c:v>
                </c:pt>
                <c:pt idx="11">
                  <c:v>CBCHS</c:v>
                </c:pt>
                <c:pt idx="12">
                  <c:v>Chelt sec</c:v>
                </c:pt>
                <c:pt idx="13">
                  <c:v>St Finbars</c:v>
                </c:pt>
                <c:pt idx="14">
                  <c:v>Edithvale prim</c:v>
                </c:pt>
              </c:strCache>
            </c:strRef>
          </c:cat>
          <c:val>
            <c:numRef>
              <c:f>'charts 2000'!$B$22:$B$36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4-4F2D-97B7-73F1A6148813}"/>
            </c:ext>
          </c:extLst>
        </c:ser>
        <c:ser>
          <c:idx val="1"/>
          <c:order val="1"/>
          <c:tx>
            <c:strRef>
              <c:f>'charts 2000'!$C$21</c:f>
              <c:strCache>
                <c:ptCount val="1"/>
                <c:pt idx="0">
                  <c:v>orgns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2000'!$A$22:$A$36</c:f>
              <c:strCache>
                <c:ptCount val="15"/>
                <c:pt idx="0">
                  <c:v>B'ton prim, sec</c:v>
                </c:pt>
                <c:pt idx="1">
                  <c:v>Mordi Chels Sec</c:v>
                </c:pt>
                <c:pt idx="2">
                  <c:v>Gordon Homes</c:v>
                </c:pt>
                <c:pt idx="3">
                  <c:v>Bayside council</c:v>
                </c:pt>
                <c:pt idx="4">
                  <c:v>Kingston council</c:v>
                </c:pt>
                <c:pt idx="5">
                  <c:v>Clarinda prim</c:v>
                </c:pt>
                <c:pt idx="6">
                  <c:v>Bayside Youth Found</c:v>
                </c:pt>
                <c:pt idx="7">
                  <c:v>CBCHS</c:v>
                </c:pt>
                <c:pt idx="8">
                  <c:v>Chelsea prim</c:v>
                </c:pt>
                <c:pt idx="9">
                  <c:v>Kibreda</c:v>
                </c:pt>
                <c:pt idx="10">
                  <c:v>Brighton Beach prim</c:v>
                </c:pt>
                <c:pt idx="11">
                  <c:v>CBCHS</c:v>
                </c:pt>
                <c:pt idx="12">
                  <c:v>Chelt sec</c:v>
                </c:pt>
                <c:pt idx="13">
                  <c:v>St Finbars</c:v>
                </c:pt>
                <c:pt idx="14">
                  <c:v>Edithvale prim</c:v>
                </c:pt>
              </c:strCache>
            </c:strRef>
          </c:cat>
          <c:val>
            <c:numRef>
              <c:f>'charts 2000'!$C$22:$C$36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4-4F2D-97B7-73F1A61488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2919631"/>
        <c:axId val="1"/>
      </c:barChart>
      <c:catAx>
        <c:axId val="702919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Auspicing organisation</a:t>
                </a:r>
              </a:p>
            </c:rich>
          </c:tx>
          <c:layout>
            <c:manualLayout>
              <c:xMode val="edge"/>
              <c:yMode val="edge"/>
              <c:x val="5.9587402556561621E-2"/>
              <c:y val="0.916147897158275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Number of schools &amp; orgs.</a:t>
                </a:r>
              </a:p>
            </c:rich>
          </c:tx>
          <c:layout>
            <c:manualLayout>
              <c:xMode val="edge"/>
              <c:yMode val="edge"/>
              <c:x val="2.7202944645386827E-2"/>
              <c:y val="0.238494515418222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029196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87286669063612"/>
          <c:y val="0.22369140756467765"/>
          <c:w val="0.12565169669535819"/>
          <c:h val="9.375301640578401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Levels of Collaboration by Program 2000</a:t>
            </a:r>
          </a:p>
        </c:rich>
      </c:tx>
      <c:layout>
        <c:manualLayout>
          <c:xMode val="edge"/>
          <c:yMode val="edge"/>
          <c:x val="0.28248081265142144"/>
          <c:y val="4.934369284514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27998025259909"/>
          <c:y val="0.1990195611421029"/>
          <c:w val="0.83357061233298924"/>
          <c:h val="0.6118617912798535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2000'!$I$22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"/>
              <c:layout>
                <c:manualLayout>
                  <c:xMode val="edge"/>
                  <c:yMode val="edge"/>
                  <c:x val="0.47794744640575326"/>
                  <c:y val="0.75331371076928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83-41F1-BB17-469B4E70231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2000'!$J$21:$M$21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School Retention</c:v>
                </c:pt>
                <c:pt idx="3">
                  <c:v>Health</c:v>
                </c:pt>
              </c:strCache>
            </c:strRef>
          </c:cat>
          <c:val>
            <c:numRef>
              <c:f>'charts 2000'!$J$22:$M$22</c:f>
              <c:numCache>
                <c:formatCode>General</c:formatCode>
                <c:ptCount val="4"/>
                <c:pt idx="0">
                  <c:v>12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3-41F1-BB17-469B4E70231A}"/>
            </c:ext>
          </c:extLst>
        </c:ser>
        <c:ser>
          <c:idx val="1"/>
          <c:order val="1"/>
          <c:tx>
            <c:strRef>
              <c:f>'charts 2000'!$I$23</c:f>
              <c:strCache>
                <c:ptCount val="1"/>
                <c:pt idx="0">
                  <c:v>Organisations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"/>
              <c:layout>
                <c:manualLayout>
                  <c:xMode val="edge"/>
                  <c:yMode val="edge"/>
                  <c:x val="0.39723864279106141"/>
                  <c:y val="0.7204179155391824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83-41F1-BB17-469B4E70231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2000'!$J$21:$M$21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School Retention</c:v>
                </c:pt>
                <c:pt idx="3">
                  <c:v>Health</c:v>
                </c:pt>
              </c:strCache>
            </c:strRef>
          </c:cat>
          <c:val>
            <c:numRef>
              <c:f>'charts 2000'!$J$23:$M$23</c:f>
              <c:numCache>
                <c:formatCode>General</c:formatCode>
                <c:ptCount val="4"/>
                <c:pt idx="0">
                  <c:v>13</c:v>
                </c:pt>
                <c:pt idx="1">
                  <c:v>1</c:v>
                </c:pt>
                <c:pt idx="2">
                  <c:v>6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83-41F1-BB17-469B4E7023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2924431"/>
        <c:axId val="1"/>
      </c:barChart>
      <c:catAx>
        <c:axId val="702924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Number of Schools, Organisations</a:t>
                </a:r>
              </a:p>
            </c:rich>
          </c:tx>
          <c:layout>
            <c:manualLayout>
              <c:xMode val="edge"/>
              <c:yMode val="edge"/>
              <c:x val="2.9004726299029882E-2"/>
              <c:y val="0.281259049217352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029244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233461484390175"/>
          <c:y val="0.22533619732618262"/>
          <c:w val="0.18537803330249533"/>
          <c:h val="9.375301640578401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Percentage of Children
per Program Type
2000</a:t>
            </a:r>
          </a:p>
        </c:rich>
      </c:tx>
      <c:layout>
        <c:manualLayout>
          <c:xMode val="edge"/>
          <c:yMode val="edge"/>
          <c:x val="0.22038596819073181"/>
          <c:y val="3.24242179627059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81475401347501"/>
          <c:y val="0.35666639758976537"/>
          <c:w val="0.71329221962806744"/>
          <c:h val="0.51366787404076253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B15-4D4C-A9DB-853A5DA0DF1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15-4D4C-A9DB-853A5DA0DF1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B15-4D4C-A9DB-853A5DA0DF1D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15-4D4C-A9DB-853A5DA0DF1D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9907377006737503"/>
                  <c:y val="0.3174160284770160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15-4D4C-A9DB-853A5DA0DF1D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70144351166082375"/>
                  <c:y val="0.8413231292428436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15-4D4C-A9DB-853A5DA0DF1D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7.8201472583808052E-2"/>
                  <c:y val="0.8123119868551593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15-4D4C-A9DB-853A5DA0DF1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15166346198071864"/>
                  <c:y val="0.2815787349392884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15-4D4C-A9DB-853A5DA0DF1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'charts 2000'!$T$1:$W$1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School Retention</c:v>
                </c:pt>
                <c:pt idx="3">
                  <c:v>Health</c:v>
                </c:pt>
              </c:strCache>
            </c:strRef>
          </c:cat>
          <c:val>
            <c:numRef>
              <c:f>'charts 2000'!$T$2:$W$2</c:f>
              <c:numCache>
                <c:formatCode>General</c:formatCode>
                <c:ptCount val="4"/>
                <c:pt idx="0">
                  <c:v>577</c:v>
                </c:pt>
                <c:pt idx="1">
                  <c:v>19</c:v>
                </c:pt>
                <c:pt idx="2">
                  <c:v>739</c:v>
                </c:pt>
                <c:pt idx="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15-4D4C-A9DB-853A5DA0DF1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 Average Cost per Child by Program Type 2000</a:t>
            </a:r>
          </a:p>
        </c:rich>
      </c:tx>
      <c:layout>
        <c:manualLayout>
          <c:xMode val="edge"/>
          <c:yMode val="edge"/>
          <c:x val="0.13179781190892276"/>
          <c:y val="3.75829643549172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58238638307329"/>
          <c:y val="0.28432329555459113"/>
          <c:w val="0.76361206487437727"/>
          <c:h val="0.550672129895960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4864948019930791"/>
                  <c:y val="0.6699571906746112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34-46CE-9E23-9358FD12416C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42256824230592765"/>
                  <c:y val="0.284323295554591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34-46CE-9E23-9358FD12416C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62773803197858058"/>
                  <c:y val="0.7336848258851230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34-46CE-9E23-9358FD12416C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81932041836165392"/>
                  <c:y val="0.6242040166773207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34-46CE-9E23-9358FD12416C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2000'!$T$1:$W$1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School Retention</c:v>
                </c:pt>
                <c:pt idx="3">
                  <c:v>Health</c:v>
                </c:pt>
              </c:strCache>
            </c:strRef>
          </c:cat>
          <c:val>
            <c:numRef>
              <c:f>'charts 2000'!$T$4:$W$4</c:f>
              <c:numCache>
                <c:formatCode>"$"#,##0.00</c:formatCode>
                <c:ptCount val="4"/>
                <c:pt idx="0">
                  <c:v>29.884599785522244</c:v>
                </c:pt>
                <c:pt idx="1">
                  <c:v>180.28631578947369</c:v>
                </c:pt>
                <c:pt idx="2">
                  <c:v>11.611604343377667</c:v>
                </c:pt>
                <c:pt idx="3">
                  <c:v>47.253846153846155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34-46CE-9E23-9358FD1241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0033311"/>
        <c:axId val="1"/>
      </c:barChart>
      <c:catAx>
        <c:axId val="770033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Dollars Per Child</a:t>
                </a:r>
              </a:p>
            </c:rich>
          </c:tx>
          <c:layout>
            <c:manualLayout>
              <c:xMode val="edge"/>
              <c:yMode val="edge"/>
              <c:x val="3.6685988881865098E-2"/>
              <c:y val="0.43465515297426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70033311"/>
        <c:crosses val="autoZero"/>
        <c:crossBetween val="between"/>
      </c:valAx>
      <c:spPr>
        <a:solidFill>
          <a:srgbClr val="FFFF99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Cooperation Levels by Program Type 2001</a:t>
            </a:r>
          </a:p>
        </c:rich>
      </c:tx>
      <c:layout>
        <c:manualLayout>
          <c:xMode val="edge"/>
          <c:yMode val="edge"/>
          <c:x val="0.33501662570151913"/>
          <c:y val="3.35580968663355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31452606172577"/>
          <c:y val="0.15772305527177702"/>
          <c:w val="0.79927187480100259"/>
          <c:h val="0.711431653566313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2001 not printed'!$A$36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2001 not printed'!$B$35:$D$35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printed'!$B$36:$D$36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8-44A3-943B-8D71D096E8E1}"/>
            </c:ext>
          </c:extLst>
        </c:ser>
        <c:ser>
          <c:idx val="1"/>
          <c:order val="1"/>
          <c:tx>
            <c:strRef>
              <c:f>'charts 2001 not printed'!$A$37</c:f>
              <c:strCache>
                <c:ptCount val="1"/>
                <c:pt idx="0">
                  <c:v>organisations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"/>
              <c:layout>
                <c:manualLayout>
                  <c:xMode val="edge"/>
                  <c:yMode val="edge"/>
                  <c:x val="0.5357756523391336"/>
                  <c:y val="0.5050493578383498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38-44A3-943B-8D71D096E8E1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80680033829991316"/>
                  <c:y val="0.6141131726539402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38-44A3-943B-8D71D096E8E1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2001 not printed'!$B$35:$D$35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printed'!$B$37:$D$37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38-44A3-943B-8D71D096E8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70030911"/>
        <c:axId val="1"/>
      </c:barChart>
      <c:catAx>
        <c:axId val="770030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Schools, Organisations</a:t>
                </a:r>
              </a:p>
            </c:rich>
          </c:tx>
          <c:layout>
            <c:manualLayout>
              <c:xMode val="edge"/>
              <c:yMode val="edge"/>
              <c:x val="5.8972964074799246E-2"/>
              <c:y val="0.327191444446771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700309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7843694549962665"/>
          <c:y val="0.3087344911702869"/>
          <c:w val="0.17942838005736791"/>
          <c:h val="9.564057606905626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Average Cost per Child 2001</a:t>
            </a:r>
          </a:p>
        </c:rich>
      </c:tx>
      <c:layout>
        <c:manualLayout>
          <c:xMode val="edge"/>
          <c:yMode val="edge"/>
          <c:x val="0.27568425942976132"/>
          <c:y val="3.32789736816514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78794942914887"/>
          <c:y val="0.17637856051275294"/>
          <c:w val="0.81353884400351129"/>
          <c:h val="0.688874755210186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3108827628671166"/>
                  <c:y val="0.7937035223073881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8E-43CA-84E9-343457468770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6297493377170037"/>
                  <c:y val="0.2712236355054596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8E-43CA-84E9-343457468770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2001 not printed'!$B$29:$D$29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printed'!$B$32:$D$32</c:f>
              <c:numCache>
                <c:formatCode>General</c:formatCode>
                <c:ptCount val="3"/>
                <c:pt idx="0" formatCode="&quot;$&quot;#,##0.00">
                  <c:v>25.048625792811841</c:v>
                </c:pt>
                <c:pt idx="1">
                  <c:v>0</c:v>
                </c:pt>
                <c:pt idx="2" formatCode="_(&quot;$&quot;* #,##0.00_);_(&quot;$&quot;* \(#,##0.00\);_(&quot;$&quot;* &quot;-&quot;??_);_(@_)">
                  <c:v>842.35842105263157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8E-43CA-84E9-3434574687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0031311"/>
        <c:axId val="1"/>
      </c:barChart>
      <c:catAx>
        <c:axId val="770031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70031311"/>
        <c:crosses val="autoZero"/>
        <c:crossBetween val="between"/>
      </c:valAx>
      <c:spPr>
        <a:solidFill>
          <a:srgbClr val="FFFF99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Collaboration Levels by Auspice 2001</a:t>
            </a:r>
          </a:p>
        </c:rich>
      </c:tx>
      <c:layout>
        <c:manualLayout>
          <c:xMode val="edge"/>
          <c:yMode val="edge"/>
          <c:x val="0.21632817884664762"/>
          <c:y val="3.3058876792175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03950868286535"/>
          <c:y val="0.18347676619657208"/>
          <c:w val="0.85235893222212056"/>
          <c:h val="0.580183287702673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2001 not printed'!$B$15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2001 not printed'!$A$16:$A$26</c:f>
              <c:strCache>
                <c:ptCount val="11"/>
                <c:pt idx="0">
                  <c:v>St Brigids</c:v>
                </c:pt>
                <c:pt idx="1">
                  <c:v>Aspendale prim</c:v>
                </c:pt>
                <c:pt idx="2">
                  <c:v>Mentone Park pri</c:v>
                </c:pt>
                <c:pt idx="3">
                  <c:v>St Agnes</c:v>
                </c:pt>
                <c:pt idx="4">
                  <c:v>Bayside Youth</c:v>
                </c:pt>
                <c:pt idx="5">
                  <c:v>Noah's Ark</c:v>
                </c:pt>
                <c:pt idx="6">
                  <c:v>Gardenvale pri</c:v>
                </c:pt>
                <c:pt idx="7">
                  <c:v>Bayside council</c:v>
                </c:pt>
                <c:pt idx="8">
                  <c:v>St Josephs</c:v>
                </c:pt>
                <c:pt idx="9">
                  <c:v>St Patricks</c:v>
                </c:pt>
                <c:pt idx="10">
                  <c:v>Moordialloc pri</c:v>
                </c:pt>
              </c:strCache>
            </c:strRef>
          </c:cat>
          <c:val>
            <c:numRef>
              <c:f>'charts 2001 not printed'!$B$16:$B$26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B-4CC2-8032-8862F380D2CB}"/>
            </c:ext>
          </c:extLst>
        </c:ser>
        <c:ser>
          <c:idx val="1"/>
          <c:order val="1"/>
          <c:tx>
            <c:strRef>
              <c:f>'charts 2001 not printed'!$C$15</c:f>
              <c:strCache>
                <c:ptCount val="1"/>
                <c:pt idx="0">
                  <c:v>orgns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2001 not printed'!$A$16:$A$26</c:f>
              <c:strCache>
                <c:ptCount val="11"/>
                <c:pt idx="0">
                  <c:v>St Brigids</c:v>
                </c:pt>
                <c:pt idx="1">
                  <c:v>Aspendale prim</c:v>
                </c:pt>
                <c:pt idx="2">
                  <c:v>Mentone Park pri</c:v>
                </c:pt>
                <c:pt idx="3">
                  <c:v>St Agnes</c:v>
                </c:pt>
                <c:pt idx="4">
                  <c:v>Bayside Youth</c:v>
                </c:pt>
                <c:pt idx="5">
                  <c:v>Noah's Ark</c:v>
                </c:pt>
                <c:pt idx="6">
                  <c:v>Gardenvale pri</c:v>
                </c:pt>
                <c:pt idx="7">
                  <c:v>Bayside council</c:v>
                </c:pt>
                <c:pt idx="8">
                  <c:v>St Josephs</c:v>
                </c:pt>
                <c:pt idx="9">
                  <c:v>St Patricks</c:v>
                </c:pt>
                <c:pt idx="10">
                  <c:v>Moordialloc pri</c:v>
                </c:pt>
              </c:strCache>
            </c:strRef>
          </c:cat>
          <c:val>
            <c:numRef>
              <c:f>'charts 2001 not printed'!$C$16:$C$26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B-4CC2-8032-8862F380D2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88771743"/>
        <c:axId val="1"/>
      </c:barChart>
      <c:catAx>
        <c:axId val="78877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Auspicing
Agency</a:t>
                </a:r>
              </a:p>
            </c:rich>
          </c:tx>
          <c:layout>
            <c:manualLayout>
              <c:xMode val="edge"/>
              <c:yMode val="edge"/>
              <c:x val="1.0363026531575933E-2"/>
              <c:y val="0.892589673388729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Number of Schools, Organisations</a:t>
                </a:r>
              </a:p>
            </c:rich>
          </c:tx>
          <c:layout>
            <c:manualLayout>
              <c:xMode val="edge"/>
              <c:yMode val="edge"/>
              <c:x val="2.0726053063151867E-2"/>
              <c:y val="0.30910049800683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887717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1012318704653312"/>
          <c:y val="0.34050643095940408"/>
          <c:w val="0.12565169669535819"/>
          <c:h val="9.42177988576991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Percentage of Children
per Program Types
2001</a:t>
            </a:r>
          </a:p>
        </c:rich>
      </c:tx>
      <c:layout>
        <c:manualLayout>
          <c:xMode val="edge"/>
          <c:yMode val="edge"/>
          <c:x val="0.21000732218522938"/>
          <c:y val="1.36523023000867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50514296343492"/>
          <c:y val="0.3617860109522979"/>
          <c:w val="0.72002510463507219"/>
          <c:h val="0.49148288280312163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78E-4FD8-947D-412C3B6BE1B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78E-4FD8-947D-412C3B6BE1B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78E-4FD8-947D-412C3B6BE1BA}"/>
              </c:ext>
            </c:extLst>
          </c:dPt>
          <c:dLbls>
            <c:dLbl>
              <c:idx val="1"/>
              <c:layout>
                <c:manualLayout>
                  <c:xMode val="edge"/>
                  <c:yMode val="edge"/>
                  <c:x val="0.17750618898989626"/>
                  <c:y val="0.25256759255160416"/>
                </c:manualLayout>
              </c:layout>
              <c:tx>
                <c:rich>
                  <a:bodyPr/>
                  <a:lstStyle/>
                  <a:p>
                    <a:pPr>
                      <a:defRPr sz="825" b="0" i="0" u="none" strike="noStrike" baseline="0">
                        <a:solidFill>
                          <a:srgbClr val="000000"/>
                        </a:solidFill>
                        <a:latin typeface="Geneva"/>
                        <a:ea typeface="Geneva"/>
                        <a:cs typeface="Geneva"/>
                      </a:defRPr>
                    </a:pPr>
                    <a:r>
                      <a:rPr lang="en-GB"/>
                      <a:t>School retent'n
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8E-4FD8-947D-412C3B6BE1BA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65752292541327773"/>
                  <c:y val="0.1996649211387681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8E-4FD8-947D-412C3B6BE1B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'charts 2001 not printed'!$B$29:$D$29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printed'!$B$30:$D$30</c:f>
              <c:numCache>
                <c:formatCode>General</c:formatCode>
                <c:ptCount val="3"/>
                <c:pt idx="0">
                  <c:v>473</c:v>
                </c:pt>
                <c:pt idx="1">
                  <c:v>0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8E-4FD8-947D-412C3B6BE1B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Program Type
2001</a:t>
            </a:r>
          </a:p>
        </c:rich>
      </c:tx>
      <c:layout>
        <c:manualLayout>
          <c:xMode val="edge"/>
          <c:yMode val="edge"/>
          <c:x val="0.32413153857337318"/>
          <c:y val="3.38420659523699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39797859464726"/>
          <c:y val="0.32996014303560689"/>
          <c:w val="0.71359191437858904"/>
          <c:h val="0.48055733652365307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3F4-4D1E-A9E7-D191FA4937D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F4-4D1E-A9E7-D191FA4937D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3F4-4D1E-A9E7-D191FA4937DA}"/>
              </c:ext>
            </c:extLst>
          </c:dPt>
          <c:dLbls>
            <c:dLbl>
              <c:idx val="1"/>
              <c:layout>
                <c:manualLayout>
                  <c:xMode val="edge"/>
                  <c:yMode val="edge"/>
                  <c:x val="6.5328837231842657E-2"/>
                  <c:y val="0.3181154199522773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F4-4D1E-A9E7-D191FA4937DA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29649241512913205"/>
                  <c:y val="0.2064366023094566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F4-4D1E-A9E7-D191FA4937D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'charts 2001 not printed'!$C$1:$E$1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printed'!$C$13:$E$13</c:f>
              <c:numCache>
                <c:formatCode>General</c:formatCode>
                <c:ptCount val="3"/>
                <c:pt idx="0">
                  <c:v>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F4-4D1E-A9E7-D191FA4937D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Collaboration Levels by Auspice 2001</a:t>
            </a:r>
          </a:p>
        </c:rich>
      </c:tx>
      <c:layout>
        <c:manualLayout>
          <c:xMode val="edge"/>
          <c:yMode val="edge"/>
          <c:x val="0.21807169496349663"/>
          <c:y val="3.00271049699244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64979142616055"/>
          <c:y val="0.1188028935766576"/>
          <c:w val="0.82067217749576249"/>
          <c:h val="0.682790256490021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2001 not printed'!$B$15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2001 not printed'!$A$16:$A$26</c:f>
              <c:strCache>
                <c:ptCount val="11"/>
                <c:pt idx="0">
                  <c:v>St Brigids</c:v>
                </c:pt>
                <c:pt idx="1">
                  <c:v>Aspendale prim</c:v>
                </c:pt>
                <c:pt idx="2">
                  <c:v>Mentone Park pri</c:v>
                </c:pt>
                <c:pt idx="3">
                  <c:v>St Agnes</c:v>
                </c:pt>
                <c:pt idx="4">
                  <c:v>Bayside Youth</c:v>
                </c:pt>
                <c:pt idx="5">
                  <c:v>Noah's Ark</c:v>
                </c:pt>
                <c:pt idx="6">
                  <c:v>Gardenvale pri</c:v>
                </c:pt>
                <c:pt idx="7">
                  <c:v>Bayside council</c:v>
                </c:pt>
                <c:pt idx="8">
                  <c:v>St Josephs</c:v>
                </c:pt>
                <c:pt idx="9">
                  <c:v>St Patricks</c:v>
                </c:pt>
                <c:pt idx="10">
                  <c:v>Moordialloc pri</c:v>
                </c:pt>
              </c:strCache>
            </c:strRef>
          </c:cat>
          <c:val>
            <c:numRef>
              <c:f>'charts 2001 not printed'!$B$16:$B$26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3-47EA-A735-1C706892BDDE}"/>
            </c:ext>
          </c:extLst>
        </c:ser>
        <c:ser>
          <c:idx val="1"/>
          <c:order val="1"/>
          <c:tx>
            <c:strRef>
              <c:f>'charts 2001 not printed'!$C$15</c:f>
              <c:strCache>
                <c:ptCount val="1"/>
                <c:pt idx="0">
                  <c:v>orgns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2001 not printed'!$A$16:$A$26</c:f>
              <c:strCache>
                <c:ptCount val="11"/>
                <c:pt idx="0">
                  <c:v>St Brigids</c:v>
                </c:pt>
                <c:pt idx="1">
                  <c:v>Aspendale prim</c:v>
                </c:pt>
                <c:pt idx="2">
                  <c:v>Mentone Park pri</c:v>
                </c:pt>
                <c:pt idx="3">
                  <c:v>St Agnes</c:v>
                </c:pt>
                <c:pt idx="4">
                  <c:v>Bayside Youth</c:v>
                </c:pt>
                <c:pt idx="5">
                  <c:v>Noah's Ark</c:v>
                </c:pt>
                <c:pt idx="6">
                  <c:v>Gardenvale pri</c:v>
                </c:pt>
                <c:pt idx="7">
                  <c:v>Bayside council</c:v>
                </c:pt>
                <c:pt idx="8">
                  <c:v>St Josephs</c:v>
                </c:pt>
                <c:pt idx="9">
                  <c:v>St Patricks</c:v>
                </c:pt>
                <c:pt idx="10">
                  <c:v>Moordialloc pri</c:v>
                </c:pt>
              </c:strCache>
            </c:strRef>
          </c:cat>
          <c:val>
            <c:numRef>
              <c:f>'charts 2001 not printed'!$C$16:$C$26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3-47EA-A735-1C706892BD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96227279"/>
        <c:axId val="1"/>
      </c:barChart>
      <c:catAx>
        <c:axId val="79622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Auspicing Agency</a:t>
                </a:r>
              </a:p>
            </c:rich>
          </c:tx>
          <c:layout>
            <c:manualLayout>
              <c:xMode val="edge"/>
              <c:yMode val="edge"/>
              <c:x val="0.33807564544636753"/>
              <c:y val="0.933451306673738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Number of Schools, Organisations</a:t>
                </a:r>
              </a:p>
            </c:rich>
          </c:tx>
          <c:layout>
            <c:manualLayout>
              <c:xMode val="edge"/>
              <c:yMode val="edge"/>
              <c:x val="5.8066427653002059E-2"/>
              <c:y val="0.204967629577310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962272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131143430093385"/>
          <c:y val="0.30810420751748563"/>
          <c:w val="0.12516541071869333"/>
          <c:h val="7.441499927329102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Cooperation Levels by Program Type 2001</a:t>
            </a:r>
          </a:p>
        </c:rich>
      </c:tx>
      <c:layout>
        <c:manualLayout>
          <c:xMode val="edge"/>
          <c:yMode val="edge"/>
          <c:x val="0.28702201924443549"/>
          <c:y val="3.26097140010822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20126262724347"/>
          <c:y val="0.15683719590996711"/>
          <c:w val="0.74807548907146992"/>
          <c:h val="0.7034381163090603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2001 not printed'!$A$36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2001 not printed'!$B$35:$D$35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printed'!$B$36:$D$36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D-439C-94C8-D4E55E855DA9}"/>
            </c:ext>
          </c:extLst>
        </c:ser>
        <c:ser>
          <c:idx val="1"/>
          <c:order val="1"/>
          <c:tx>
            <c:strRef>
              <c:f>'charts 2001 not printed'!$A$37</c:f>
              <c:strCache>
                <c:ptCount val="1"/>
                <c:pt idx="0">
                  <c:v>organisations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"/>
              <c:layout>
                <c:manualLayout>
                  <c:xMode val="edge"/>
                  <c:yMode val="edge"/>
                  <c:x val="0.56235535897212929"/>
                  <c:y val="0.4969099276355393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CD-439C-94C8-D4E55E855DA9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81690882400339337"/>
                  <c:y val="0.6025032872580914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CD-439C-94C8-D4E55E855DA9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2001 not printed'!$B$35:$D$35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printed'!$B$37:$D$37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CD-439C-94C8-D4E55E855D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96226079"/>
        <c:axId val="1"/>
      </c:barChart>
      <c:catAx>
        <c:axId val="796226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Schools, Organisations</a:t>
                </a:r>
              </a:p>
            </c:rich>
          </c:tx>
          <c:layout>
            <c:manualLayout>
              <c:xMode val="edge"/>
              <c:yMode val="edge"/>
              <c:x val="8.441824095424573E-2"/>
              <c:y val="0.293487426009740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9622607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9352517101677382"/>
          <c:y val="0.34007273172557223"/>
          <c:w val="0.18572013009934063"/>
          <c:h val="8.85120808600804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Program Types 2001</a:t>
            </a:r>
          </a:p>
        </c:rich>
      </c:tx>
      <c:layout>
        <c:manualLayout>
          <c:xMode val="edge"/>
          <c:yMode val="edge"/>
          <c:x val="0.29231784833269636"/>
          <c:y val="3.66145073168885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359820694391363"/>
          <c:y val="0.38902914024194063"/>
          <c:w val="0.52053090536436286"/>
          <c:h val="0.4645465615830232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5FC-4E00-9830-7FC72788D8A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5FC-4E00-9830-7FC72788D8A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5FC-4E00-9830-7FC72788D8A9}"/>
              </c:ext>
            </c:extLst>
          </c:dPt>
          <c:dLbls>
            <c:dLbl>
              <c:idx val="1"/>
              <c:layout>
                <c:manualLayout>
                  <c:xMode val="edge"/>
                  <c:yMode val="edge"/>
                  <c:x val="0.11282443268981263"/>
                  <c:y val="0.3386841926812189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FC-4E00-9830-7FC72788D8A9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28462527337657278"/>
                  <c:y val="0.2265522640232477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FC-4E00-9830-7FC72788D8A9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'charts 2001 not printed'!$C$1:$E$1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printed'!$C$13:$E$13</c:f>
              <c:numCache>
                <c:formatCode>General</c:formatCode>
                <c:ptCount val="3"/>
                <c:pt idx="0">
                  <c:v>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FC-4E00-9830-7FC72788D8A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Average Cost per Child 2001</a:t>
            </a:r>
          </a:p>
        </c:rich>
      </c:tx>
      <c:layout>
        <c:manualLayout>
          <c:xMode val="edge"/>
          <c:yMode val="edge"/>
          <c:x val="0.28609198138538916"/>
          <c:y val="3.41123703092764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60247759842906"/>
          <c:y val="0.18492495483449892"/>
          <c:w val="0.81832616297172123"/>
          <c:h val="0.673270466630457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2938906615585256"/>
                  <c:y val="0.7414952072490101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33-4D7F-9213-F54ECFF3F2F6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75389103202906593"/>
                  <c:y val="0.2836712899402992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33-4D7F-9213-F54ECFF3F2F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'charts 2001 not printed'!$B$29:$D$29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printed'!$B$32:$D$32</c:f>
              <c:numCache>
                <c:formatCode>General</c:formatCode>
                <c:ptCount val="3"/>
                <c:pt idx="0" formatCode="&quot;$&quot;#,##0.00">
                  <c:v>25.048625792811841</c:v>
                </c:pt>
                <c:pt idx="1">
                  <c:v>0</c:v>
                </c:pt>
                <c:pt idx="2" formatCode="_(&quot;$&quot;* #,##0.00_);_(&quot;$&quot;* \(#,##0.00\);_(&quot;$&quot;* &quot;-&quot;??_);_(@_)">
                  <c:v>842.35842105263157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33-4D7F-9213-F54ECFF3F2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1259199"/>
        <c:axId val="1"/>
      </c:barChart>
      <c:catAx>
        <c:axId val="881259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8125919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Percentage of Children per Program Type</a:t>
            </a:r>
          </a:p>
        </c:rich>
      </c:tx>
      <c:layout>
        <c:manualLayout>
          <c:xMode val="edge"/>
          <c:yMode val="edge"/>
          <c:x val="0.13577438931103064"/>
          <c:y val="2.04087917414260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3943597327757663"/>
          <c:y val="0.44445813125772349"/>
          <c:w val="0.37860166250191241"/>
          <c:h val="0.32880831138964239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383-4933-937B-93665C049C9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83-4933-937B-93665C049C9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383-4933-937B-93665C049C90}"/>
              </c:ext>
            </c:extLst>
          </c:dPt>
          <c:dLbls>
            <c:dLbl>
              <c:idx val="1"/>
              <c:layout>
                <c:manualLayout>
                  <c:xMode val="edge"/>
                  <c:yMode val="edge"/>
                  <c:x val="0.29243714620837369"/>
                  <c:y val="0.31066716317504139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Geneva"/>
                        <a:ea typeface="Geneva"/>
                        <a:cs typeface="Geneva"/>
                      </a:defRPr>
                    </a:pPr>
                    <a:r>
                      <a:rPr lang="en-GB"/>
                      <a:t>School retent'n
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83-4933-937B-93665C049C90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57704115457188021"/>
                  <c:y val="0.2743848667458395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83-4933-937B-93665C049C9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'charts 2001 not printed'!$B$29:$D$29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printed'!$B$30:$D$30</c:f>
              <c:numCache>
                <c:formatCode>General</c:formatCode>
                <c:ptCount val="3"/>
                <c:pt idx="0">
                  <c:v>473</c:v>
                </c:pt>
                <c:pt idx="1">
                  <c:v>0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3-4933-937B-93665C049C9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Children by Program Type - 2000</a:t>
            </a:r>
          </a:p>
        </c:rich>
      </c:tx>
      <c:layout>
        <c:manualLayout>
          <c:xMode val="edge"/>
          <c:yMode val="edge"/>
          <c:x val="0.25323824155601515"/>
          <c:y val="3.34458879460685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75178951615207"/>
          <c:y val="0.1856246781006802"/>
          <c:w val="0.75454659728935125"/>
          <c:h val="0.678951525305190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Charts'!$A$23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 Charts'!$B$22:$E$22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Health</c:v>
                </c:pt>
                <c:pt idx="3">
                  <c:v>School Retention</c:v>
                </c:pt>
              </c:strCache>
            </c:strRef>
          </c:cat>
          <c:val>
            <c:numRef>
              <c:f>'Age Charts'!$B$23:$E$23</c:f>
              <c:numCache>
                <c:formatCode>General</c:formatCode>
                <c:ptCount val="4"/>
                <c:pt idx="0">
                  <c:v>511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5-435A-8936-5E4A5E725454}"/>
            </c:ext>
          </c:extLst>
        </c:ser>
        <c:ser>
          <c:idx val="1"/>
          <c:order val="1"/>
          <c:tx>
            <c:strRef>
              <c:f>'Age Charts'!$A$24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7.2152611603033545E-3"/>
                  <c:y val="-3.4808496154136725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65-435A-8936-5E4A5E725454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 Charts'!$B$22:$E$22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Health</c:v>
                </c:pt>
                <c:pt idx="3">
                  <c:v>School Retention</c:v>
                </c:pt>
              </c:strCache>
            </c:strRef>
          </c:cat>
          <c:val>
            <c:numRef>
              <c:f>'Age Charts'!$B$24:$E$24</c:f>
              <c:numCache>
                <c:formatCode>General</c:formatCode>
                <c:ptCount val="4"/>
                <c:pt idx="0">
                  <c:v>155</c:v>
                </c:pt>
                <c:pt idx="1">
                  <c:v>19</c:v>
                </c:pt>
                <c:pt idx="2">
                  <c:v>129</c:v>
                </c:pt>
                <c:pt idx="3">
                  <c:v>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65-435A-8936-5E4A5E7254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02925231"/>
        <c:axId val="1"/>
      </c:barChart>
      <c:catAx>
        <c:axId val="70292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Program Type</a:t>
                </a:r>
              </a:p>
            </c:rich>
          </c:tx>
          <c:layout>
            <c:manualLayout>
              <c:xMode val="edge"/>
              <c:yMode val="edge"/>
              <c:x val="0.42507847689759687"/>
              <c:y val="0.928123390503400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Number of Primary &amp; Secondary Age Children</a:t>
                </a:r>
              </a:p>
            </c:rich>
          </c:tx>
          <c:layout>
            <c:manualLayout>
              <c:xMode val="edge"/>
              <c:yMode val="edge"/>
              <c:x val="1.5504382136082561E-2"/>
              <c:y val="0.23244892122517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029252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72429204398899"/>
          <c:y val="0.35619870662562958"/>
          <c:w val="0.15762788505017269"/>
          <c:h val="9.532078064629524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Cost per participant - 2000</a:t>
            </a:r>
          </a:p>
        </c:rich>
      </c:tx>
      <c:layout>
        <c:manualLayout>
          <c:xMode val="edge"/>
          <c:yMode val="edge"/>
          <c:x val="0.34065637556427875"/>
          <c:y val="3.35580968663355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64584094328962"/>
          <c:y val="0.18792534245147899"/>
          <c:w val="0.76002501972484915"/>
          <c:h val="0.713109558409630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Charts'!$A$25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-1.2094935044913657E-2"/>
                  <c:y val="8.4536919010892442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9E-44A3-84D6-52D956DFE315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 Charts'!$B$22:$E$22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Health</c:v>
                </c:pt>
                <c:pt idx="3">
                  <c:v>School Retention</c:v>
                </c:pt>
              </c:strCache>
            </c:strRef>
          </c:cat>
          <c:val>
            <c:numRef>
              <c:f>'Age Charts'!$B$25:$E$25</c:f>
              <c:numCache>
                <c:formatCode>_("$"* #,##0.00_);_("$"* \(#,##0.00\);_("$"* "-"??_);_(@_)</c:formatCode>
                <c:ptCount val="4"/>
                <c:pt idx="0">
                  <c:v>22.178501127683631</c:v>
                </c:pt>
                <c:pt idx="1">
                  <c:v>0</c:v>
                </c:pt>
                <c:pt idx="2">
                  <c:v>92.10526315789474</c:v>
                </c:pt>
                <c:pt idx="3">
                  <c:v>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9E-44A3-84D6-52D956DFE315}"/>
            </c:ext>
          </c:extLst>
        </c:ser>
        <c:ser>
          <c:idx val="1"/>
          <c:order val="1"/>
          <c:tx>
            <c:strRef>
              <c:f>'Age Charts'!$A$26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1.7475825305941495E-2"/>
                  <c:y val="9.7618557026034614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9E-44A3-84D6-52D956DFE315}"/>
                </c:ext>
              </c:extLst>
            </c:dLbl>
            <c:dLbl>
              <c:idx val="2"/>
              <c:layout>
                <c:manualLayout>
                  <c:x val="9.0884287280088571E-3"/>
                  <c:y val="1.601978924569691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9E-44A3-84D6-52D956DFE315}"/>
                </c:ext>
              </c:extLst>
            </c:dLbl>
            <c:dLbl>
              <c:idx val="3"/>
              <c:layout>
                <c:manualLayout>
                  <c:x val="1.0764146507270644E-2"/>
                  <c:y val="1.7450643825233092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9E-44A3-84D6-52D956DFE315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 Charts'!$B$22:$E$22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Health</c:v>
                </c:pt>
                <c:pt idx="3">
                  <c:v>School Retention</c:v>
                </c:pt>
              </c:strCache>
            </c:strRef>
          </c:cat>
          <c:val>
            <c:numRef>
              <c:f>'Age Charts'!$B$26:$E$26</c:f>
              <c:numCache>
                <c:formatCode>_("$"* #,##0.00_);_("$"* \(#,##0.00\);_("$"* "-"??_);_(@_)</c:formatCode>
                <c:ptCount val="4"/>
                <c:pt idx="0">
                  <c:v>38.130322580645164</c:v>
                </c:pt>
                <c:pt idx="1">
                  <c:v>180.28631578947369</c:v>
                </c:pt>
                <c:pt idx="2">
                  <c:v>46.906160750713994</c:v>
                </c:pt>
                <c:pt idx="3">
                  <c:v>8.0649731808521405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9E-44A3-84D6-52D956DFE3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02922431"/>
        <c:axId val="1"/>
      </c:barChart>
      <c:catAx>
        <c:axId val="702922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Dollar per Participant</a:t>
                </a:r>
              </a:p>
            </c:rich>
          </c:tx>
          <c:layout>
            <c:manualLayout>
              <c:xMode val="edge"/>
              <c:yMode val="edge"/>
              <c:x val="4.3872412004490442E-2"/>
              <c:y val="0.40437506723934319"/>
            </c:manualLayout>
          </c:layout>
          <c:overlay val="0"/>
          <c:spPr>
            <a:noFill/>
            <a:ln w="25400">
              <a:noFill/>
            </a:ln>
          </c:sp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02922431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45678923087028289"/>
          <c:y val="0.22148343931781453"/>
          <c:w val="0.13290760107242694"/>
          <c:h val="8.557314700915560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Children by Program Type - 2001</a:t>
            </a:r>
          </a:p>
        </c:rich>
      </c:tx>
      <c:layout>
        <c:manualLayout>
          <c:xMode val="edge"/>
          <c:yMode val="edge"/>
          <c:x val="0.25420191661425345"/>
          <c:y val="3.2627536822601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710293354856219"/>
          <c:y val="0.19087109041222086"/>
          <c:w val="0.73163698842782598"/>
          <c:h val="0.68354689643350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Charts'!$A$44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-7.5252032404327096E-5"/>
                  <c:y val="1.288813652490503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E9-45D9-9EDA-BF7B5071D0F2}"/>
                </c:ext>
              </c:extLst>
            </c:dLbl>
            <c:dLbl>
              <c:idx val="2"/>
              <c:layout>
                <c:manualLayout>
                  <c:x val="-2.6436249403194445E-4"/>
                  <c:y val="6.6821800848685386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E9-45D9-9EDA-BF7B5071D0F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 Charts'!$B$43:$D$43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'Age Charts'!$B$44:$D$44</c:f>
              <c:numCache>
                <c:formatCode>General</c:formatCode>
                <c:ptCount val="3"/>
                <c:pt idx="0">
                  <c:v>473</c:v>
                </c:pt>
                <c:pt idx="1">
                  <c:v>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9-45D9-9EDA-BF7B5071D0F2}"/>
            </c:ext>
          </c:extLst>
        </c:ser>
        <c:ser>
          <c:idx val="1"/>
          <c:order val="1"/>
          <c:tx>
            <c:strRef>
              <c:f>'Age Charts'!$A$45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 Charts'!$B$43:$D$43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'Age Charts'!$B$45:$D$45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E9-45D9-9EDA-BF7B5071D0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02925631"/>
        <c:axId val="1"/>
      </c:barChart>
      <c:catAx>
        <c:axId val="702925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Program Type</a:t>
                </a:r>
              </a:p>
            </c:rich>
          </c:tx>
          <c:layout>
            <c:manualLayout>
              <c:xMode val="edge"/>
              <c:yMode val="edge"/>
              <c:x val="0.44388558028072683"/>
              <c:y val="0.936410306808673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Number of Primary &amp; Secondary Age Children</a:t>
                </a:r>
              </a:p>
            </c:rich>
          </c:tx>
          <c:layout>
            <c:manualLayout>
              <c:xMode val="edge"/>
              <c:yMode val="edge"/>
              <c:x val="4.9033872240312852E-2"/>
              <c:y val="0.246337903010644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029256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1743638864119612"/>
          <c:y val="0.36705978925427091"/>
          <c:w val="0.15742453719258337"/>
          <c:h val="9.29884799444152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Cost per participant - 2001</a:t>
            </a:r>
          </a:p>
        </c:rich>
      </c:tx>
      <c:layout>
        <c:manualLayout>
          <c:xMode val="edge"/>
          <c:yMode val="edge"/>
          <c:x val="0.34106580314065754"/>
          <c:y val="3.26808385694932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790795191900378"/>
          <c:y val="0.12255314463559962"/>
          <c:w val="0.79024303067307067"/>
          <c:h val="0.710808238886477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Charts'!$A$46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6.279663000998692E-4"/>
                  <c:y val="1.5245263533969378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53-4A59-B9BB-6F9C008EA9B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 Charts'!$B$43:$D$43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'Age Charts'!$B$46:$D$46</c:f>
              <c:numCache>
                <c:formatCode>_("$"* #,##0.00_);_("$"* \(#,##0.00\);_("$"* "-"??_);_(@_)</c:formatCode>
                <c:ptCount val="3"/>
                <c:pt idx="0">
                  <c:v>24.532376223019813</c:v>
                </c:pt>
                <c:pt idx="1">
                  <c:v>0</c:v>
                </c:pt>
                <c:pt idx="2">
                  <c:v>400.12025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3-4A59-B9BB-6F9C008EA9B7}"/>
            </c:ext>
          </c:extLst>
        </c:ser>
        <c:ser>
          <c:idx val="1"/>
          <c:order val="1"/>
          <c:tx>
            <c:strRef>
              <c:f>'Age Charts'!$A$47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7.5940279053429149E-3"/>
                  <c:y val="9.1754854455191603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53-4A59-B9BB-6F9C008EA9B7}"/>
                </c:ext>
              </c:extLst>
            </c:dLbl>
            <c:dLbl>
              <c:idx val="2"/>
              <c:layout>
                <c:manualLayout>
                  <c:x val="9.5029132177016917E-3"/>
                  <c:y val="1.5356925544450478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53-4A59-B9BB-6F9C008EA9B7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53-4A59-B9BB-6F9C008EA9B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 Charts'!$B$43:$D$43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'Age Charts'!$B$47:$D$47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400.12025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53-4A59-B9BB-6F9C008EA9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02918031"/>
        <c:axId val="1"/>
      </c:barChart>
      <c:catAx>
        <c:axId val="702918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Dollar per Participant</a:t>
                </a:r>
              </a:p>
            </c:rich>
          </c:tx>
          <c:layout>
            <c:manualLayout>
              <c:xMode val="edge"/>
              <c:yMode val="edge"/>
              <c:x val="4.2472345296761131E-2"/>
              <c:y val="0.34151476305120426"/>
            </c:manualLayout>
          </c:layout>
          <c:overlay val="0"/>
          <c:spPr>
            <a:noFill/>
            <a:ln w="25400">
              <a:noFill/>
            </a:ln>
          </c:sp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02918031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42601049373417982"/>
          <c:y val="0.22876586998645262"/>
          <c:w val="0.13256519895655747"/>
          <c:h val="8.333613835220773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12700</xdr:colOff>
      <xdr:row>0</xdr:row>
      <xdr:rowOff>31750</xdr:rowOff>
    </xdr:from>
    <xdr:to>
      <xdr:col>32</xdr:col>
      <xdr:colOff>558800</xdr:colOff>
      <xdr:row>25</xdr:row>
      <xdr:rowOff>114300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FC81ADF1-2060-41A8-9D15-782346DA5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31750</xdr:colOff>
      <xdr:row>0</xdr:row>
      <xdr:rowOff>25400</xdr:rowOff>
    </xdr:from>
    <xdr:to>
      <xdr:col>49</xdr:col>
      <xdr:colOff>666750</xdr:colOff>
      <xdr:row>26</xdr:row>
      <xdr:rowOff>76200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6EC62AEA-4A72-4FD4-A810-9A4BBEE85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25400</xdr:colOff>
      <xdr:row>0</xdr:row>
      <xdr:rowOff>25400</xdr:rowOff>
    </xdr:from>
    <xdr:to>
      <xdr:col>42</xdr:col>
      <xdr:colOff>793750</xdr:colOff>
      <xdr:row>26</xdr:row>
      <xdr:rowOff>76200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FB46CA56-F931-4DD9-9173-06DA232F8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12700</xdr:colOff>
      <xdr:row>27</xdr:row>
      <xdr:rowOff>0</xdr:rowOff>
    </xdr:from>
    <xdr:to>
      <xdr:col>32</xdr:col>
      <xdr:colOff>558800</xdr:colOff>
      <xdr:row>52</xdr:row>
      <xdr:rowOff>69850</xdr:rowOff>
    </xdr:to>
    <xdr:graphicFrame macro="">
      <xdr:nvGraphicFramePr>
        <xdr:cNvPr id="2" name="Chart -1023">
          <a:extLst>
            <a:ext uri="{FF2B5EF4-FFF2-40B4-BE49-F238E27FC236}">
              <a16:creationId xmlns:a16="http://schemas.microsoft.com/office/drawing/2014/main" id="{2BE13203-CAF6-405A-B8D7-E3E5B428E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12700</xdr:colOff>
      <xdr:row>0</xdr:row>
      <xdr:rowOff>12700</xdr:rowOff>
    </xdr:from>
    <xdr:to>
      <xdr:col>56</xdr:col>
      <xdr:colOff>666750</xdr:colOff>
      <xdr:row>26</xdr:row>
      <xdr:rowOff>88900</xdr:rowOff>
    </xdr:to>
    <xdr:graphicFrame macro="">
      <xdr:nvGraphicFramePr>
        <xdr:cNvPr id="4" name="Chart -1020">
          <a:extLst>
            <a:ext uri="{FF2B5EF4-FFF2-40B4-BE49-F238E27FC236}">
              <a16:creationId xmlns:a16="http://schemas.microsoft.com/office/drawing/2014/main" id="{05D3374E-1F3C-4F7F-AC63-B293EB868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12700</xdr:colOff>
      <xdr:row>26</xdr:row>
      <xdr:rowOff>114300</xdr:rowOff>
    </xdr:from>
    <xdr:to>
      <xdr:col>42</xdr:col>
      <xdr:colOff>806450</xdr:colOff>
      <xdr:row>52</xdr:row>
      <xdr:rowOff>101600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5FD73408-E34B-496A-9833-62FA4B73B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12700</xdr:colOff>
      <xdr:row>26</xdr:row>
      <xdr:rowOff>101600</xdr:rowOff>
    </xdr:from>
    <xdr:to>
      <xdr:col>56</xdr:col>
      <xdr:colOff>692150</xdr:colOff>
      <xdr:row>52</xdr:row>
      <xdr:rowOff>120650</xdr:rowOff>
    </xdr:to>
    <xdr:graphicFrame macro="">
      <xdr:nvGraphicFramePr>
        <xdr:cNvPr id="1030" name="Chart 6">
          <a:extLst>
            <a:ext uri="{FF2B5EF4-FFF2-40B4-BE49-F238E27FC236}">
              <a16:creationId xmlns:a16="http://schemas.microsoft.com/office/drawing/2014/main" id="{6A74A80F-CF31-4EAA-83BB-3F1F86D75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31750</xdr:colOff>
      <xdr:row>26</xdr:row>
      <xdr:rowOff>76200</xdr:rowOff>
    </xdr:from>
    <xdr:to>
      <xdr:col>49</xdr:col>
      <xdr:colOff>666750</xdr:colOff>
      <xdr:row>52</xdr:row>
      <xdr:rowOff>120650</xdr:rowOff>
    </xdr:to>
    <xdr:graphicFrame macro="">
      <xdr:nvGraphicFramePr>
        <xdr:cNvPr id="1031" name="Chart 7">
          <a:extLst>
            <a:ext uri="{FF2B5EF4-FFF2-40B4-BE49-F238E27FC236}">
              <a16:creationId xmlns:a16="http://schemas.microsoft.com/office/drawing/2014/main" id="{EEDA9396-ECED-4BDA-AF34-E21AC700F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577850</xdr:colOff>
      <xdr:row>27</xdr:row>
      <xdr:rowOff>0</xdr:rowOff>
    </xdr:from>
    <xdr:to>
      <xdr:col>35</xdr:col>
      <xdr:colOff>984250</xdr:colOff>
      <xdr:row>52</xdr:row>
      <xdr:rowOff>69850</xdr:rowOff>
    </xdr:to>
    <xdr:graphicFrame macro="">
      <xdr:nvGraphicFramePr>
        <xdr:cNvPr id="1032" name="Chart 8">
          <a:extLst>
            <a:ext uri="{FF2B5EF4-FFF2-40B4-BE49-F238E27FC236}">
              <a16:creationId xmlns:a16="http://schemas.microsoft.com/office/drawing/2014/main" id="{63A36A5D-A526-48E5-97AA-C770632AE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577850</xdr:colOff>
      <xdr:row>0</xdr:row>
      <xdr:rowOff>25400</xdr:rowOff>
    </xdr:from>
    <xdr:to>
      <xdr:col>35</xdr:col>
      <xdr:colOff>971550</xdr:colOff>
      <xdr:row>25</xdr:row>
      <xdr:rowOff>114300</xdr:rowOff>
    </xdr:to>
    <xdr:graphicFrame macro="">
      <xdr:nvGraphicFramePr>
        <xdr:cNvPr id="1033" name="Chart 9">
          <a:extLst>
            <a:ext uri="{FF2B5EF4-FFF2-40B4-BE49-F238E27FC236}">
              <a16:creationId xmlns:a16="http://schemas.microsoft.com/office/drawing/2014/main" id="{906C6797-9863-4BFA-AEAF-520C33DA0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50</xdr:col>
      <xdr:colOff>50800</xdr:colOff>
      <xdr:row>51</xdr:row>
      <xdr:rowOff>57150</xdr:rowOff>
    </xdr:from>
    <xdr:to>
      <xdr:col>56</xdr:col>
      <xdr:colOff>654050</xdr:colOff>
      <xdr:row>52</xdr:row>
      <xdr:rowOff>88900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1761F8F0-C1B8-419D-B6F0-8F73E2A39215}"/>
            </a:ext>
          </a:extLst>
        </xdr:cNvPr>
        <xdr:cNvSpPr txBox="1">
          <a:spLocks noChangeArrowheads="1"/>
        </xdr:cNvSpPr>
      </xdr:nvSpPr>
      <xdr:spPr bwMode="auto">
        <a:xfrm>
          <a:off x="35509200" y="7518400"/>
          <a:ext cx="4622800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Geneva"/>
            </a:rPr>
            <a:t>'Sibling Camps' here total cost ÷ children, 21 parents have not been included in calculation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0.52208</cdr:x>
      <cdr:y>0.60554</cdr:y>
    </cdr:from>
    <cdr:to>
      <cdr:x>0.52208</cdr:x>
      <cdr:y>0.60554</cdr:y>
    </cdr:to>
    <cdr:sp macro="" textlink="">
      <cdr:nvSpPr>
        <cdr:cNvPr id="18433" name="Text Box 1">
          <a:extLst xmlns:a="http://schemas.openxmlformats.org/drawingml/2006/main">
            <a:ext uri="{FF2B5EF4-FFF2-40B4-BE49-F238E27FC236}">
              <a16:creationId xmlns:a16="http://schemas.microsoft.com/office/drawing/2014/main" id="{5B0E4A2A-39FD-4E5F-8033-6528621CE5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29404" y="225713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475" b="0" i="0" u="none" strike="noStrike" baseline="0">
              <a:solidFill>
                <a:srgbClr val="000000"/>
              </a:solidFill>
              <a:latin typeface="Geneva"/>
            </a:rPr>
            <a:t>charts 2001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</xdr:colOff>
      <xdr:row>19</xdr:row>
      <xdr:rowOff>69850</xdr:rowOff>
    </xdr:from>
    <xdr:to>
      <xdr:col>27</xdr:col>
      <xdr:colOff>679450</xdr:colOff>
      <xdr:row>52</xdr:row>
      <xdr:rowOff>114300</xdr:rowOff>
    </xdr:to>
    <xdr:graphicFrame macro="">
      <xdr:nvGraphicFramePr>
        <xdr:cNvPr id="2" name="Chart -1022">
          <a:extLst>
            <a:ext uri="{FF2B5EF4-FFF2-40B4-BE49-F238E27FC236}">
              <a16:creationId xmlns:a16="http://schemas.microsoft.com/office/drawing/2014/main" id="{22A39E2D-5791-4CAA-8627-705F5EF97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44450</xdr:colOff>
      <xdr:row>0</xdr:row>
      <xdr:rowOff>76200</xdr:rowOff>
    </xdr:from>
    <xdr:to>
      <xdr:col>20</xdr:col>
      <xdr:colOff>666750</xdr:colOff>
      <xdr:row>28</xdr:row>
      <xdr:rowOff>76200</xdr:rowOff>
    </xdr:to>
    <xdr:graphicFrame macro="">
      <xdr:nvGraphicFramePr>
        <xdr:cNvPr id="3" name="Chart -1021">
          <a:extLst>
            <a:ext uri="{FF2B5EF4-FFF2-40B4-BE49-F238E27FC236}">
              <a16:creationId xmlns:a16="http://schemas.microsoft.com/office/drawing/2014/main" id="{7F3776CD-3DD7-48D9-A9B1-382DDBCBE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336550</xdr:colOff>
      <xdr:row>0</xdr:row>
      <xdr:rowOff>57150</xdr:rowOff>
    </xdr:from>
    <xdr:to>
      <xdr:col>27</xdr:col>
      <xdr:colOff>679450</xdr:colOff>
      <xdr:row>19</xdr:row>
      <xdr:rowOff>57150</xdr:rowOff>
    </xdr:to>
    <xdr:graphicFrame macro="">
      <xdr:nvGraphicFramePr>
        <xdr:cNvPr id="4" name="Chart -1020">
          <a:extLst>
            <a:ext uri="{FF2B5EF4-FFF2-40B4-BE49-F238E27FC236}">
              <a16:creationId xmlns:a16="http://schemas.microsoft.com/office/drawing/2014/main" id="{9111E919-1761-442F-8144-E1C408223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31750</xdr:colOff>
      <xdr:row>28</xdr:row>
      <xdr:rowOff>88900</xdr:rowOff>
    </xdr:from>
    <xdr:to>
      <xdr:col>20</xdr:col>
      <xdr:colOff>692150</xdr:colOff>
      <xdr:row>52</xdr:row>
      <xdr:rowOff>120650</xdr:rowOff>
    </xdr:to>
    <xdr:graphicFrame macro="">
      <xdr:nvGraphicFramePr>
        <xdr:cNvPr id="5" name="Chart -1019">
          <a:extLst>
            <a:ext uri="{FF2B5EF4-FFF2-40B4-BE49-F238E27FC236}">
              <a16:creationId xmlns:a16="http://schemas.microsoft.com/office/drawing/2014/main" id="{457FD88A-6090-4BF5-9C2F-932EC03AF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31750</xdr:colOff>
      <xdr:row>0</xdr:row>
      <xdr:rowOff>31750</xdr:rowOff>
    </xdr:from>
    <xdr:to>
      <xdr:col>24</xdr:col>
      <xdr:colOff>330200</xdr:colOff>
      <xdr:row>19</xdr:row>
      <xdr:rowOff>57150</xdr:rowOff>
    </xdr:to>
    <xdr:graphicFrame macro="">
      <xdr:nvGraphicFramePr>
        <xdr:cNvPr id="6" name="Chart -1018">
          <a:extLst>
            <a:ext uri="{FF2B5EF4-FFF2-40B4-BE49-F238E27FC236}">
              <a16:creationId xmlns:a16="http://schemas.microsoft.com/office/drawing/2014/main" id="{E112A967-B351-4B47-9BA7-83840721E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0.53115</cdr:x>
      <cdr:y>0.58385</cdr:y>
    </cdr:from>
    <cdr:to>
      <cdr:x>0.53115</cdr:x>
      <cdr:y>0.58385</cdr:y>
    </cdr:to>
    <cdr:sp macro="" textlink="">
      <cdr:nvSpPr>
        <cdr:cNvPr id="2" name="Text Box -1023">
          <a:extLst xmlns:a="http://schemas.openxmlformats.org/drawingml/2006/main">
            <a:ext uri="{FF2B5EF4-FFF2-40B4-BE49-F238E27FC236}">
              <a16:creationId xmlns:a16="http://schemas.microsoft.com/office/drawing/2014/main" id="{90C3F6A2-D9B4-403B-A452-CB2BB23DBF1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95146" y="1638694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450" b="0" i="0" u="none" strike="noStrike" baseline="0">
              <a:solidFill>
                <a:srgbClr val="000000"/>
              </a:solidFill>
              <a:latin typeface="Geneva"/>
            </a:rPr>
            <a:t>charts 2001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</xdr:colOff>
      <xdr:row>0</xdr:row>
      <xdr:rowOff>12700</xdr:rowOff>
    </xdr:from>
    <xdr:to>
      <xdr:col>13</xdr:col>
      <xdr:colOff>679450</xdr:colOff>
      <xdr:row>25</xdr:row>
      <xdr:rowOff>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13BC395A-1411-4D9A-9235-9156451EF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25400</xdr:colOff>
      <xdr:row>0</xdr:row>
      <xdr:rowOff>25400</xdr:rowOff>
    </xdr:from>
    <xdr:to>
      <xdr:col>20</xdr:col>
      <xdr:colOff>679450</xdr:colOff>
      <xdr:row>25</xdr:row>
      <xdr:rowOff>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F9B35663-163A-4B0C-93F9-00995AA10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25400</xdr:colOff>
      <xdr:row>25</xdr:row>
      <xdr:rowOff>25400</xdr:rowOff>
    </xdr:from>
    <xdr:to>
      <xdr:col>13</xdr:col>
      <xdr:colOff>679450</xdr:colOff>
      <xdr:row>49</xdr:row>
      <xdr:rowOff>120650</xdr:rowOff>
    </xdr:to>
    <xdr:graphicFrame macro="">
      <xdr:nvGraphicFramePr>
        <xdr:cNvPr id="4099" name="Chart 3">
          <a:extLst>
            <a:ext uri="{FF2B5EF4-FFF2-40B4-BE49-F238E27FC236}">
              <a16:creationId xmlns:a16="http://schemas.microsoft.com/office/drawing/2014/main" id="{C00A696C-F91F-40F1-B9FB-27BCDB1FD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25400</xdr:colOff>
      <xdr:row>25</xdr:row>
      <xdr:rowOff>25400</xdr:rowOff>
    </xdr:from>
    <xdr:to>
      <xdr:col>20</xdr:col>
      <xdr:colOff>692150</xdr:colOff>
      <xdr:row>49</xdr:row>
      <xdr:rowOff>114300</xdr:rowOff>
    </xdr:to>
    <xdr:graphicFrame macro="">
      <xdr:nvGraphicFramePr>
        <xdr:cNvPr id="4100" name="Chart 4">
          <a:extLst>
            <a:ext uri="{FF2B5EF4-FFF2-40B4-BE49-F238E27FC236}">
              <a16:creationId xmlns:a16="http://schemas.microsoft.com/office/drawing/2014/main" id="{0725D098-2AE7-4255-9D56-58C261DE9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0.89053</cdr:y>
    </cdr:from>
    <cdr:to>
      <cdr:x>1</cdr:x>
      <cdr:y>0.98671</cdr:y>
    </cdr:to>
    <cdr:sp macro="" textlink="">
      <cdr:nvSpPr>
        <cdr:cNvPr id="20481" name="Text Box 1">
          <a:extLst xmlns:a="http://schemas.openxmlformats.org/drawingml/2006/main">
            <a:ext uri="{FF2B5EF4-FFF2-40B4-BE49-F238E27FC236}">
              <a16:creationId xmlns:a16="http://schemas.microsoft.com/office/drawing/2014/main" id="{6078BA14-D0AB-45C9-812C-2B63DF318B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3058" y="3466446"/>
          <a:ext cx="5493134" cy="3743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Geneva"/>
            </a:rPr>
            <a:t>Cost per participant has included 21 adults in calculations for 'Sibling Camps' so the unit cost is lower than for children only as shown in previous chart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tabSelected="1" zoomScaleNormal="100" workbookViewId="0">
      <selection activeCell="A17" sqref="A17"/>
    </sheetView>
  </sheetViews>
  <sheetFormatPr defaultRowHeight="11.5"/>
  <cols>
    <col min="1" max="1" width="13.5" customWidth="1"/>
    <col min="2" max="2" width="8.5" style="11" customWidth="1"/>
    <col min="3" max="3" width="8.796875" customWidth="1"/>
    <col min="4" max="5" width="8.19921875" customWidth="1"/>
    <col min="6" max="6" width="7.796875" customWidth="1"/>
    <col min="7" max="7" width="5.796875" customWidth="1"/>
    <col min="8" max="8" width="7.296875" customWidth="1"/>
    <col min="9" max="9" width="7.796875" customWidth="1"/>
    <col min="10" max="10" width="7.69921875" customWidth="1"/>
    <col min="11" max="11" width="11.69921875" style="18" customWidth="1"/>
    <col min="12" max="14" width="2.796875" customWidth="1"/>
    <col min="15" max="15" width="4.296875" customWidth="1"/>
    <col min="16" max="17" width="2.796875" customWidth="1"/>
    <col min="18" max="18" width="23.69921875" style="23" customWidth="1"/>
    <col min="19" max="256" width="11.19921875" customWidth="1"/>
  </cols>
  <sheetData>
    <row r="1" spans="1:18" s="5" customFormat="1" ht="18">
      <c r="A1" s="4" t="s">
        <v>103</v>
      </c>
      <c r="B1" s="25"/>
      <c r="K1" s="17"/>
      <c r="R1" s="31"/>
    </row>
    <row r="3" spans="1:18" ht="15.5">
      <c r="B3" s="26" t="s">
        <v>113</v>
      </c>
      <c r="C3" s="1"/>
    </row>
    <row r="4" spans="1:18" s="14" customFormat="1" ht="64" customHeight="1">
      <c r="A4" s="20" t="s">
        <v>123</v>
      </c>
      <c r="B4" s="28" t="s">
        <v>125</v>
      </c>
      <c r="C4" s="28" t="s">
        <v>55</v>
      </c>
      <c r="D4" s="32" t="s">
        <v>70</v>
      </c>
      <c r="E4" s="20" t="s">
        <v>126</v>
      </c>
      <c r="F4" s="20" t="s">
        <v>127</v>
      </c>
      <c r="G4" s="20" t="s">
        <v>54</v>
      </c>
      <c r="H4" s="20" t="s">
        <v>53</v>
      </c>
      <c r="I4" s="20" t="s">
        <v>71</v>
      </c>
      <c r="J4" s="20" t="s">
        <v>72</v>
      </c>
      <c r="K4" s="21" t="s">
        <v>130</v>
      </c>
      <c r="L4" s="22" t="s">
        <v>131</v>
      </c>
      <c r="M4" s="22" t="s">
        <v>134</v>
      </c>
      <c r="N4" s="22" t="s">
        <v>135</v>
      </c>
      <c r="O4" s="22" t="s">
        <v>137</v>
      </c>
      <c r="P4" s="22" t="s">
        <v>138</v>
      </c>
      <c r="Q4" s="22" t="s">
        <v>18</v>
      </c>
    </row>
    <row r="5" spans="1:18" ht="34.5">
      <c r="A5" s="96" t="s">
        <v>111</v>
      </c>
      <c r="B5" s="97" t="s">
        <v>122</v>
      </c>
      <c r="C5" s="97" t="s">
        <v>106</v>
      </c>
      <c r="D5" s="98">
        <v>141</v>
      </c>
      <c r="E5" s="98">
        <v>200</v>
      </c>
      <c r="F5" s="98">
        <v>2</v>
      </c>
      <c r="G5" s="98">
        <v>2</v>
      </c>
      <c r="H5" s="98">
        <v>22</v>
      </c>
      <c r="I5" s="99">
        <f>J5</f>
        <v>10.263929618768328</v>
      </c>
      <c r="J5" s="99">
        <f>K5/(D5+E5)</f>
        <v>10.263929618768328</v>
      </c>
      <c r="K5" s="100">
        <v>3500</v>
      </c>
      <c r="L5" s="98"/>
      <c r="M5" s="98" t="s">
        <v>136</v>
      </c>
      <c r="N5" s="98" t="s">
        <v>136</v>
      </c>
      <c r="O5" s="98"/>
      <c r="P5" s="98" t="s">
        <v>136</v>
      </c>
      <c r="Q5" s="98"/>
      <c r="R5" s="23" t="s">
        <v>107</v>
      </c>
    </row>
    <row r="6" spans="1:18" ht="34.5">
      <c r="A6" s="96" t="s">
        <v>128</v>
      </c>
      <c r="B6" s="97" t="s">
        <v>129</v>
      </c>
      <c r="C6" s="97" t="s">
        <v>110</v>
      </c>
      <c r="D6" s="98">
        <v>7</v>
      </c>
      <c r="E6" s="98">
        <v>0</v>
      </c>
      <c r="F6" s="98">
        <v>1</v>
      </c>
      <c r="G6" s="98">
        <v>2</v>
      </c>
      <c r="H6" s="98">
        <f>1.5*11</f>
        <v>16.5</v>
      </c>
      <c r="I6" s="99">
        <f t="shared" ref="I6:I20" si="0">J6</f>
        <v>290.02857142857141</v>
      </c>
      <c r="J6" s="99">
        <f t="shared" ref="J6:J20" si="1">K6/(D6+E6)</f>
        <v>290.02857142857141</v>
      </c>
      <c r="K6" s="100">
        <v>2030.2</v>
      </c>
      <c r="L6" s="98" t="s">
        <v>132</v>
      </c>
      <c r="M6" s="98" t="s">
        <v>136</v>
      </c>
      <c r="N6" s="98"/>
      <c r="O6" s="98"/>
      <c r="P6" s="98"/>
      <c r="Q6" s="98"/>
    </row>
    <row r="7" spans="1:18" ht="23">
      <c r="A7" s="96" t="s">
        <v>133</v>
      </c>
      <c r="B7" s="97" t="s">
        <v>14</v>
      </c>
      <c r="C7" s="97" t="s">
        <v>84</v>
      </c>
      <c r="D7" s="98">
        <v>4</v>
      </c>
      <c r="E7" s="98">
        <v>0</v>
      </c>
      <c r="F7" s="98">
        <v>3</v>
      </c>
      <c r="G7" s="98">
        <v>1</v>
      </c>
      <c r="H7" s="98">
        <v>100</v>
      </c>
      <c r="I7" s="99">
        <f t="shared" si="0"/>
        <v>875</v>
      </c>
      <c r="J7" s="99">
        <f t="shared" si="1"/>
        <v>875</v>
      </c>
      <c r="K7" s="100">
        <v>3500</v>
      </c>
      <c r="L7" s="98" t="s">
        <v>139</v>
      </c>
      <c r="M7" s="98" t="s">
        <v>136</v>
      </c>
      <c r="N7" s="98"/>
      <c r="O7" s="98" t="s">
        <v>136</v>
      </c>
      <c r="P7" s="98" t="s">
        <v>136</v>
      </c>
      <c r="Q7" s="98" t="s">
        <v>136</v>
      </c>
    </row>
    <row r="8" spans="1:18" ht="23">
      <c r="A8" s="96" t="s">
        <v>140</v>
      </c>
      <c r="B8" s="97" t="s">
        <v>2</v>
      </c>
      <c r="C8" s="97" t="s">
        <v>108</v>
      </c>
      <c r="D8" s="98">
        <v>148</v>
      </c>
      <c r="E8" s="98">
        <v>0</v>
      </c>
      <c r="F8" s="98">
        <v>4</v>
      </c>
      <c r="G8" s="98">
        <v>2</v>
      </c>
      <c r="H8" s="98">
        <f>(14*6)+(4*6)</f>
        <v>108</v>
      </c>
      <c r="I8" s="99">
        <f t="shared" si="0"/>
        <v>26.216216216216218</v>
      </c>
      <c r="J8" s="99">
        <f t="shared" si="1"/>
        <v>26.216216216216218</v>
      </c>
      <c r="K8" s="100">
        <v>3880</v>
      </c>
      <c r="L8" s="98" t="s">
        <v>136</v>
      </c>
      <c r="M8" s="98" t="s">
        <v>136</v>
      </c>
      <c r="N8" s="98"/>
      <c r="O8" s="98"/>
      <c r="P8" s="98"/>
      <c r="Q8" s="98"/>
      <c r="R8" s="23" t="s">
        <v>109</v>
      </c>
    </row>
    <row r="9" spans="1:18" ht="23">
      <c r="A9" s="96" t="s">
        <v>3</v>
      </c>
      <c r="B9" s="97" t="s">
        <v>4</v>
      </c>
      <c r="C9" s="97" t="s">
        <v>91</v>
      </c>
      <c r="D9" s="98">
        <v>19</v>
      </c>
      <c r="E9" s="98">
        <v>0</v>
      </c>
      <c r="F9" s="98">
        <v>1</v>
      </c>
      <c r="G9" s="98">
        <v>1</v>
      </c>
      <c r="H9" s="98">
        <f>3*14</f>
        <v>42</v>
      </c>
      <c r="I9" s="99">
        <f t="shared" si="0"/>
        <v>180.28631578947369</v>
      </c>
      <c r="J9" s="99">
        <f t="shared" si="1"/>
        <v>180.28631578947369</v>
      </c>
      <c r="K9" s="100">
        <v>3425.44</v>
      </c>
      <c r="L9" s="98" t="s">
        <v>139</v>
      </c>
      <c r="M9" s="98" t="s">
        <v>136</v>
      </c>
      <c r="N9" s="98" t="s">
        <v>136</v>
      </c>
      <c r="O9" s="98"/>
      <c r="P9" s="98"/>
      <c r="Q9" s="98"/>
    </row>
    <row r="10" spans="1:18" ht="23">
      <c r="A10" s="96" t="s">
        <v>5</v>
      </c>
      <c r="B10" s="97" t="s">
        <v>6</v>
      </c>
      <c r="C10" s="97" t="s">
        <v>60</v>
      </c>
      <c r="D10" s="98">
        <v>66</v>
      </c>
      <c r="E10" s="98">
        <v>0</v>
      </c>
      <c r="F10" s="98">
        <v>1</v>
      </c>
      <c r="G10" s="98">
        <v>1</v>
      </c>
      <c r="H10" s="98">
        <f>(1 *5)+(4*3)</f>
        <v>17</v>
      </c>
      <c r="I10" s="99">
        <f t="shared" si="0"/>
        <v>45.454545454545453</v>
      </c>
      <c r="J10" s="99">
        <f t="shared" si="1"/>
        <v>45.454545454545453</v>
      </c>
      <c r="K10" s="100">
        <v>3000</v>
      </c>
      <c r="L10" s="98" t="s">
        <v>136</v>
      </c>
      <c r="M10" s="98" t="s">
        <v>136</v>
      </c>
      <c r="N10" s="98"/>
      <c r="O10" s="98"/>
      <c r="P10" s="98"/>
      <c r="Q10" s="98"/>
      <c r="R10" s="23" t="s">
        <v>94</v>
      </c>
    </row>
    <row r="11" spans="1:18" ht="23">
      <c r="A11" s="96" t="s">
        <v>7</v>
      </c>
      <c r="B11" s="97" t="s">
        <v>9</v>
      </c>
      <c r="C11" s="97" t="s">
        <v>92</v>
      </c>
      <c r="D11" s="98">
        <v>38</v>
      </c>
      <c r="E11" s="98">
        <v>0</v>
      </c>
      <c r="F11" s="98">
        <v>2</v>
      </c>
      <c r="G11" s="98">
        <v>6</v>
      </c>
      <c r="H11" s="98">
        <v>6</v>
      </c>
      <c r="I11" s="99">
        <f t="shared" si="0"/>
        <v>92.10526315789474</v>
      </c>
      <c r="J11" s="99">
        <f t="shared" si="1"/>
        <v>92.10526315789474</v>
      </c>
      <c r="K11" s="100">
        <v>3500</v>
      </c>
      <c r="L11" s="98" t="s">
        <v>136</v>
      </c>
      <c r="M11" s="98" t="s">
        <v>136</v>
      </c>
      <c r="N11" s="98" t="s">
        <v>136</v>
      </c>
      <c r="O11" s="98" t="s">
        <v>136</v>
      </c>
      <c r="P11" s="98"/>
      <c r="Q11" s="98"/>
      <c r="R11" s="23" t="s">
        <v>93</v>
      </c>
    </row>
    <row r="12" spans="1:18" ht="23">
      <c r="A12" s="96" t="s">
        <v>24</v>
      </c>
      <c r="B12" s="97" t="s">
        <v>10</v>
      </c>
      <c r="C12" s="97" t="s">
        <v>91</v>
      </c>
      <c r="D12" s="98">
        <v>60</v>
      </c>
      <c r="E12" s="98">
        <v>0</v>
      </c>
      <c r="F12" s="98">
        <v>3</v>
      </c>
      <c r="G12" s="98">
        <v>3</v>
      </c>
      <c r="H12" s="98">
        <v>6</v>
      </c>
      <c r="I12" s="99">
        <f t="shared" si="0"/>
        <v>27.5</v>
      </c>
      <c r="J12" s="99">
        <f t="shared" si="1"/>
        <v>27.5</v>
      </c>
      <c r="K12" s="100">
        <v>1650</v>
      </c>
      <c r="L12" s="98" t="s">
        <v>136</v>
      </c>
      <c r="M12" s="98" t="s">
        <v>136</v>
      </c>
      <c r="N12" s="98"/>
      <c r="O12" s="98"/>
      <c r="P12" s="98"/>
      <c r="Q12" s="98"/>
    </row>
    <row r="13" spans="1:18" ht="23">
      <c r="A13" s="96" t="s">
        <v>11</v>
      </c>
      <c r="B13" s="97" t="s">
        <v>12</v>
      </c>
      <c r="C13" s="97" t="s">
        <v>63</v>
      </c>
      <c r="D13" s="98">
        <v>92</v>
      </c>
      <c r="E13" s="98">
        <v>0</v>
      </c>
      <c r="F13" s="98">
        <v>1</v>
      </c>
      <c r="G13" s="98">
        <v>2</v>
      </c>
      <c r="H13" s="98">
        <f>3*(1*5)+(5*6)</f>
        <v>45</v>
      </c>
      <c r="I13" s="99">
        <f t="shared" si="0"/>
        <v>32.608695652173914</v>
      </c>
      <c r="J13" s="99">
        <f t="shared" si="1"/>
        <v>32.608695652173914</v>
      </c>
      <c r="K13" s="100">
        <v>3000</v>
      </c>
      <c r="L13" s="98"/>
      <c r="M13" s="98" t="s">
        <v>136</v>
      </c>
      <c r="N13" s="98"/>
      <c r="O13" s="98"/>
      <c r="P13" s="98"/>
      <c r="Q13" s="98"/>
      <c r="R13" s="23" t="s">
        <v>90</v>
      </c>
    </row>
    <row r="14" spans="1:18" ht="23">
      <c r="A14" s="96" t="s">
        <v>13</v>
      </c>
      <c r="B14" s="97" t="s">
        <v>14</v>
      </c>
      <c r="C14" s="97" t="s">
        <v>82</v>
      </c>
      <c r="D14" s="98">
        <v>30</v>
      </c>
      <c r="E14" s="98">
        <v>11</v>
      </c>
      <c r="F14" s="98">
        <v>1</v>
      </c>
      <c r="G14" s="98">
        <v>4</v>
      </c>
      <c r="H14" s="98">
        <v>10</v>
      </c>
      <c r="I14" s="99">
        <f t="shared" si="0"/>
        <v>85.365853658536579</v>
      </c>
      <c r="J14" s="99">
        <f t="shared" si="1"/>
        <v>85.365853658536579</v>
      </c>
      <c r="K14" s="100">
        <v>3500</v>
      </c>
      <c r="L14" s="98" t="s">
        <v>136</v>
      </c>
      <c r="M14" s="98" t="s">
        <v>136</v>
      </c>
      <c r="N14" s="98"/>
      <c r="O14" s="98"/>
      <c r="P14" s="98" t="s">
        <v>136</v>
      </c>
      <c r="Q14" s="98"/>
    </row>
    <row r="15" spans="1:18" ht="23">
      <c r="A15" s="96" t="s">
        <v>15</v>
      </c>
      <c r="B15" s="97" t="s">
        <v>16</v>
      </c>
      <c r="C15" s="97" t="s">
        <v>87</v>
      </c>
      <c r="D15" s="98">
        <v>56</v>
      </c>
      <c r="E15" s="98">
        <v>54</v>
      </c>
      <c r="F15" s="98">
        <v>1</v>
      </c>
      <c r="G15" s="98">
        <v>2</v>
      </c>
      <c r="H15" s="98"/>
      <c r="I15" s="99">
        <f t="shared" si="0"/>
        <v>18.5</v>
      </c>
      <c r="J15" s="99">
        <f t="shared" si="1"/>
        <v>18.5</v>
      </c>
      <c r="K15" s="100">
        <v>2035</v>
      </c>
      <c r="L15" s="98" t="s">
        <v>136</v>
      </c>
      <c r="M15" s="98" t="s">
        <v>136</v>
      </c>
      <c r="N15" s="98" t="s">
        <v>136</v>
      </c>
      <c r="O15" s="98"/>
      <c r="P15" s="98"/>
      <c r="Q15" s="98"/>
      <c r="R15" s="23" t="s">
        <v>89</v>
      </c>
    </row>
    <row r="16" spans="1:18" ht="23">
      <c r="A16" s="96" t="s">
        <v>24</v>
      </c>
      <c r="B16" s="97" t="s">
        <v>10</v>
      </c>
      <c r="C16" s="97" t="s">
        <v>86</v>
      </c>
      <c r="D16" s="98">
        <v>32</v>
      </c>
      <c r="E16" s="98">
        <v>0</v>
      </c>
      <c r="F16" s="98">
        <v>1</v>
      </c>
      <c r="G16" s="98">
        <v>3</v>
      </c>
      <c r="H16" s="98">
        <v>6</v>
      </c>
      <c r="I16" s="99">
        <f t="shared" si="0"/>
        <v>31.03125</v>
      </c>
      <c r="J16" s="99">
        <f t="shared" si="1"/>
        <v>31.03125</v>
      </c>
      <c r="K16" s="100">
        <v>993</v>
      </c>
      <c r="L16" s="98" t="s">
        <v>136</v>
      </c>
      <c r="M16" s="98" t="s">
        <v>136</v>
      </c>
      <c r="N16" s="98"/>
      <c r="O16" s="98"/>
      <c r="P16" s="98"/>
      <c r="Q16" s="98"/>
    </row>
    <row r="17" spans="1:18" ht="23">
      <c r="A17" s="96" t="s">
        <v>17</v>
      </c>
      <c r="B17" s="97" t="s">
        <v>14</v>
      </c>
      <c r="C17" s="97" t="s">
        <v>112</v>
      </c>
      <c r="D17" s="98">
        <v>691</v>
      </c>
      <c r="E17" s="98">
        <v>0</v>
      </c>
      <c r="F17" s="98">
        <v>1</v>
      </c>
      <c r="G17" s="98">
        <v>1</v>
      </c>
      <c r="H17" s="98">
        <f>2*(2*16)</f>
        <v>64</v>
      </c>
      <c r="I17" s="99">
        <f t="shared" si="0"/>
        <v>2.199710564399421</v>
      </c>
      <c r="J17" s="99">
        <f t="shared" si="1"/>
        <v>2.199710564399421</v>
      </c>
      <c r="K17" s="100">
        <v>1520</v>
      </c>
      <c r="L17" s="98" t="s">
        <v>136</v>
      </c>
      <c r="M17" s="98"/>
      <c r="N17" s="98"/>
      <c r="O17" s="98"/>
      <c r="P17" s="98"/>
      <c r="Q17" s="98" t="s">
        <v>136</v>
      </c>
      <c r="R17" s="23" t="s">
        <v>85</v>
      </c>
    </row>
    <row r="18" spans="1:18">
      <c r="A18" s="96" t="s">
        <v>19</v>
      </c>
      <c r="B18" s="97" t="s">
        <v>122</v>
      </c>
      <c r="C18" s="97" t="s">
        <v>60</v>
      </c>
      <c r="D18" s="98">
        <v>89</v>
      </c>
      <c r="E18" s="98">
        <v>0</v>
      </c>
      <c r="F18" s="98">
        <v>1</v>
      </c>
      <c r="G18" s="98">
        <v>1</v>
      </c>
      <c r="H18" s="98">
        <f>3*(1*5)</f>
        <v>15</v>
      </c>
      <c r="I18" s="99">
        <f t="shared" si="0"/>
        <v>16.853932584269664</v>
      </c>
      <c r="J18" s="99">
        <f t="shared" si="1"/>
        <v>16.853932584269664</v>
      </c>
      <c r="K18" s="100">
        <v>1500</v>
      </c>
      <c r="L18" s="98" t="s">
        <v>136</v>
      </c>
      <c r="M18" s="98" t="s">
        <v>136</v>
      </c>
      <c r="N18" s="98"/>
      <c r="O18" s="98"/>
      <c r="P18" s="98"/>
      <c r="Q18" s="98"/>
    </row>
    <row r="19" spans="1:18" ht="23">
      <c r="A19" s="96" t="s">
        <v>20</v>
      </c>
      <c r="B19" s="97" t="s">
        <v>16</v>
      </c>
      <c r="C19" s="97" t="s">
        <v>60</v>
      </c>
      <c r="D19" s="98">
        <v>67</v>
      </c>
      <c r="E19" s="98">
        <v>0</v>
      </c>
      <c r="F19" s="98">
        <v>1</v>
      </c>
      <c r="G19" s="98">
        <v>1</v>
      </c>
      <c r="H19" s="98">
        <f>3*(45/60*6)</f>
        <v>13.5</v>
      </c>
      <c r="I19" s="99">
        <f t="shared" si="0"/>
        <v>20.149253731343283</v>
      </c>
      <c r="J19" s="99">
        <f t="shared" si="1"/>
        <v>20.149253731343283</v>
      </c>
      <c r="K19" s="100">
        <v>1350</v>
      </c>
      <c r="L19" s="98" t="s">
        <v>136</v>
      </c>
      <c r="M19" s="98" t="s">
        <v>136</v>
      </c>
      <c r="N19" s="98"/>
      <c r="O19" s="98"/>
      <c r="P19" s="98"/>
      <c r="Q19" s="98"/>
    </row>
    <row r="20" spans="1:18" ht="23">
      <c r="A20" s="96" t="s">
        <v>21</v>
      </c>
      <c r="B20" s="97" t="s">
        <v>14</v>
      </c>
      <c r="C20" s="97" t="s">
        <v>84</v>
      </c>
      <c r="D20" s="98">
        <v>14</v>
      </c>
      <c r="E20" s="98"/>
      <c r="F20" s="98"/>
      <c r="G20" s="98"/>
      <c r="H20" s="98">
        <v>30</v>
      </c>
      <c r="I20" s="99">
        <f t="shared" si="0"/>
        <v>71.428571428571431</v>
      </c>
      <c r="J20" s="99">
        <f t="shared" si="1"/>
        <v>71.428571428571431</v>
      </c>
      <c r="K20" s="100">
        <v>1000</v>
      </c>
      <c r="L20" s="98"/>
      <c r="M20" s="98"/>
      <c r="N20" s="98"/>
      <c r="O20" s="98"/>
      <c r="P20" s="98"/>
      <c r="Q20" s="98" t="s">
        <v>136</v>
      </c>
    </row>
    <row r="21" spans="1:18">
      <c r="A21" s="96"/>
      <c r="B21" s="97"/>
      <c r="C21" s="97"/>
      <c r="D21" s="98"/>
      <c r="E21" s="98"/>
      <c r="F21" s="98"/>
      <c r="G21" s="98"/>
      <c r="H21" s="98"/>
      <c r="I21" s="101"/>
      <c r="J21" s="101"/>
      <c r="K21" s="100"/>
      <c r="L21" s="98"/>
      <c r="M21" s="98"/>
      <c r="N21" s="98"/>
      <c r="O21" s="98"/>
      <c r="P21" s="98"/>
      <c r="Q21" s="98"/>
    </row>
    <row r="22" spans="1:18" s="1" customFormat="1">
      <c r="A22" s="20" t="s">
        <v>88</v>
      </c>
      <c r="B22" s="28"/>
      <c r="C22" s="28"/>
      <c r="D22" s="93">
        <f>SUM(D5:D19)</f>
        <v>1540</v>
      </c>
      <c r="E22" s="93">
        <f>SUM(E5:E15)</f>
        <v>265</v>
      </c>
      <c r="F22" s="93">
        <f>SUM(F5:F19)</f>
        <v>24</v>
      </c>
      <c r="G22" s="93">
        <f>SUM(G5:G19)</f>
        <v>32</v>
      </c>
      <c r="H22" s="93">
        <f>SUM(H5:H20)</f>
        <v>501</v>
      </c>
      <c r="I22" s="94"/>
      <c r="J22" s="94"/>
      <c r="K22" s="95">
        <f>SUM(K5:K20)</f>
        <v>39383.64</v>
      </c>
      <c r="R22" s="14"/>
    </row>
    <row r="23" spans="1:18">
      <c r="A23" s="23"/>
      <c r="B23" s="30"/>
      <c r="C23" s="30"/>
    </row>
    <row r="24" spans="1:18" ht="15.5">
      <c r="A24" s="23"/>
      <c r="B24" s="26" t="s">
        <v>52</v>
      </c>
      <c r="C24" s="27"/>
    </row>
    <row r="25" spans="1:18" s="14" customFormat="1" ht="63" customHeight="1">
      <c r="A25" s="20" t="s">
        <v>123</v>
      </c>
      <c r="B25" s="28" t="s">
        <v>125</v>
      </c>
      <c r="C25" s="28" t="s">
        <v>56</v>
      </c>
      <c r="D25" s="20" t="s">
        <v>70</v>
      </c>
      <c r="E25" s="20" t="s">
        <v>126</v>
      </c>
      <c r="F25" s="20" t="s">
        <v>127</v>
      </c>
      <c r="G25" s="20" t="s">
        <v>54</v>
      </c>
      <c r="H25" s="20" t="s">
        <v>53</v>
      </c>
      <c r="I25" s="20" t="s">
        <v>71</v>
      </c>
      <c r="J25" s="20" t="s">
        <v>72</v>
      </c>
      <c r="K25" s="21" t="s">
        <v>130</v>
      </c>
      <c r="L25" s="22" t="s">
        <v>131</v>
      </c>
      <c r="M25" s="22" t="s">
        <v>134</v>
      </c>
      <c r="N25" s="22" t="s">
        <v>135</v>
      </c>
      <c r="O25" s="22" t="s">
        <v>137</v>
      </c>
      <c r="P25" s="22" t="s">
        <v>138</v>
      </c>
      <c r="Q25" s="22" t="s">
        <v>18</v>
      </c>
    </row>
    <row r="26" spans="1:18" ht="23">
      <c r="A26" s="96" t="s">
        <v>22</v>
      </c>
      <c r="B26" s="97" t="s">
        <v>23</v>
      </c>
      <c r="C26" s="97" t="s">
        <v>63</v>
      </c>
      <c r="D26" s="98">
        <v>42</v>
      </c>
      <c r="E26" s="98"/>
      <c r="F26" s="98">
        <v>1</v>
      </c>
      <c r="G26" s="98">
        <v>2</v>
      </c>
      <c r="H26" s="98">
        <v>10</v>
      </c>
      <c r="I26" s="99">
        <f>K26/D26</f>
        <v>35.714285714285715</v>
      </c>
      <c r="J26" s="99">
        <f>K26/(D26+E26)</f>
        <v>35.714285714285715</v>
      </c>
      <c r="K26" s="100">
        <v>1500</v>
      </c>
      <c r="L26" s="98"/>
      <c r="M26" s="98" t="s">
        <v>136</v>
      </c>
      <c r="N26" s="98"/>
      <c r="O26" s="98"/>
      <c r="P26" s="98" t="s">
        <v>136</v>
      </c>
      <c r="Q26" s="98"/>
      <c r="R26" s="23" t="s">
        <v>83</v>
      </c>
    </row>
    <row r="27" spans="1:18">
      <c r="A27" s="96" t="s">
        <v>25</v>
      </c>
      <c r="B27" s="97" t="s">
        <v>23</v>
      </c>
      <c r="C27" s="97" t="s">
        <v>60</v>
      </c>
      <c r="D27" s="98">
        <v>90</v>
      </c>
      <c r="E27" s="98">
        <v>0</v>
      </c>
      <c r="F27" s="98">
        <v>1</v>
      </c>
      <c r="G27" s="98">
        <v>1</v>
      </c>
      <c r="H27" s="98">
        <f>(3*40/60)*5</f>
        <v>10</v>
      </c>
      <c r="I27" s="99">
        <f>K27/D27</f>
        <v>16.666666666666668</v>
      </c>
      <c r="J27" s="99">
        <f>K27/(D27+E27)</f>
        <v>16.666666666666668</v>
      </c>
      <c r="K27" s="100">
        <v>1500</v>
      </c>
      <c r="L27" s="98" t="s">
        <v>139</v>
      </c>
      <c r="M27" s="98" t="s">
        <v>136</v>
      </c>
      <c r="N27" s="98"/>
      <c r="O27" s="98"/>
      <c r="P27" s="98"/>
      <c r="Q27" s="98"/>
      <c r="R27" s="23" t="s">
        <v>26</v>
      </c>
    </row>
    <row r="28" spans="1:18" ht="23">
      <c r="A28" s="96" t="s">
        <v>27</v>
      </c>
      <c r="B28" s="97" t="s">
        <v>23</v>
      </c>
      <c r="C28" s="97" t="s">
        <v>60</v>
      </c>
      <c r="D28" s="98">
        <v>30</v>
      </c>
      <c r="E28" s="98">
        <v>0</v>
      </c>
      <c r="F28" s="98">
        <v>1</v>
      </c>
      <c r="G28" s="98">
        <v>1</v>
      </c>
      <c r="H28" s="98">
        <f>(3*4)</f>
        <v>12</v>
      </c>
      <c r="I28" s="99">
        <f t="shared" ref="I28:I36" si="2">K28/D28</f>
        <v>47.666666666666664</v>
      </c>
      <c r="J28" s="99">
        <f>K28/(D28+E28)</f>
        <v>47.666666666666664</v>
      </c>
      <c r="K28" s="100">
        <v>1430</v>
      </c>
      <c r="L28" s="98" t="s">
        <v>136</v>
      </c>
      <c r="M28" s="98" t="s">
        <v>136</v>
      </c>
      <c r="N28" s="98"/>
      <c r="O28" s="98"/>
      <c r="P28" s="98"/>
      <c r="Q28" s="98"/>
      <c r="R28" s="23" t="s">
        <v>28</v>
      </c>
    </row>
    <row r="29" spans="1:18">
      <c r="A29" s="96" t="s">
        <v>29</v>
      </c>
      <c r="B29" s="97" t="s">
        <v>30</v>
      </c>
      <c r="C29" s="97" t="s">
        <v>62</v>
      </c>
      <c r="D29" s="98">
        <v>102</v>
      </c>
      <c r="E29" s="98">
        <v>70</v>
      </c>
      <c r="F29" s="98">
        <v>1</v>
      </c>
      <c r="G29" s="98">
        <v>1</v>
      </c>
      <c r="H29" s="98">
        <f>(4*2)</f>
        <v>8</v>
      </c>
      <c r="I29" s="99">
        <f>J29</f>
        <v>3.4883720930232558</v>
      </c>
      <c r="J29" s="99">
        <f>K29/(D29+E29)</f>
        <v>3.4883720930232558</v>
      </c>
      <c r="K29" s="100">
        <v>600</v>
      </c>
      <c r="L29" s="98" t="s">
        <v>136</v>
      </c>
      <c r="M29" s="98" t="s">
        <v>136</v>
      </c>
      <c r="N29" s="98"/>
      <c r="O29" s="98"/>
      <c r="P29" s="98"/>
      <c r="Q29" s="98"/>
    </row>
    <row r="30" spans="1:18" ht="23">
      <c r="A30" s="96" t="s">
        <v>31</v>
      </c>
      <c r="B30" s="97"/>
      <c r="C30" s="97" t="s">
        <v>84</v>
      </c>
      <c r="D30" s="98">
        <v>0</v>
      </c>
      <c r="E30" s="98"/>
      <c r="F30" s="98">
        <v>8</v>
      </c>
      <c r="G30" s="98">
        <v>3</v>
      </c>
      <c r="H30" s="98">
        <f>(2.5*16)</f>
        <v>40</v>
      </c>
      <c r="I30" s="101" t="s">
        <v>102</v>
      </c>
      <c r="J30" s="101" t="s">
        <v>102</v>
      </c>
      <c r="K30" s="100">
        <v>1500</v>
      </c>
      <c r="L30" s="98"/>
      <c r="M30" s="98" t="s">
        <v>136</v>
      </c>
      <c r="N30" s="98"/>
      <c r="O30" s="98"/>
      <c r="P30" s="98"/>
      <c r="Q30" s="98" t="s">
        <v>136</v>
      </c>
    </row>
    <row r="31" spans="1:18" ht="23">
      <c r="A31" s="96" t="s">
        <v>32</v>
      </c>
      <c r="B31" s="97" t="s">
        <v>61</v>
      </c>
      <c r="C31" s="97"/>
      <c r="D31" s="98">
        <v>19</v>
      </c>
      <c r="E31" s="98">
        <v>21</v>
      </c>
      <c r="F31" s="98">
        <v>4</v>
      </c>
      <c r="G31" s="98">
        <v>3</v>
      </c>
      <c r="H31" s="98">
        <f>(19*3)</f>
        <v>57</v>
      </c>
      <c r="I31" s="99">
        <f>J31</f>
        <v>400.12025</v>
      </c>
      <c r="J31" s="99">
        <f t="shared" ref="J31:J36" si="3">K31/(D31+E31)</f>
        <v>400.12025</v>
      </c>
      <c r="K31" s="100">
        <v>16004.81</v>
      </c>
      <c r="L31" s="98"/>
      <c r="M31" s="98" t="s">
        <v>136</v>
      </c>
      <c r="N31" s="98" t="s">
        <v>136</v>
      </c>
      <c r="O31" s="98"/>
      <c r="P31" s="98"/>
      <c r="Q31" s="98"/>
    </row>
    <row r="32" spans="1:18" ht="23">
      <c r="A32" s="96" t="s">
        <v>33</v>
      </c>
      <c r="B32" s="97" t="s">
        <v>34</v>
      </c>
      <c r="C32" s="97" t="s">
        <v>44</v>
      </c>
      <c r="D32" s="98">
        <v>54</v>
      </c>
      <c r="E32" s="98">
        <v>0</v>
      </c>
      <c r="F32" s="98">
        <v>1</v>
      </c>
      <c r="G32" s="98">
        <v>1</v>
      </c>
      <c r="H32" s="98">
        <f>(1*8)</f>
        <v>8</v>
      </c>
      <c r="I32" s="99">
        <f t="shared" si="2"/>
        <v>26.703703703703702</v>
      </c>
      <c r="J32" s="99">
        <f t="shared" si="3"/>
        <v>26.703703703703702</v>
      </c>
      <c r="K32" s="100">
        <v>1442</v>
      </c>
      <c r="L32" s="98"/>
      <c r="M32" s="98" t="s">
        <v>136</v>
      </c>
      <c r="N32" s="98"/>
      <c r="O32" s="98"/>
      <c r="P32" s="98"/>
      <c r="Q32" s="98"/>
      <c r="R32" s="23" t="s">
        <v>37</v>
      </c>
    </row>
    <row r="33" spans="1:18" ht="23">
      <c r="A33" s="96" t="s">
        <v>140</v>
      </c>
      <c r="B33" s="97" t="s">
        <v>34</v>
      </c>
      <c r="C33" s="97" t="s">
        <v>44</v>
      </c>
      <c r="D33" s="98">
        <v>8</v>
      </c>
      <c r="E33" s="98">
        <v>0</v>
      </c>
      <c r="F33" s="98">
        <v>1</v>
      </c>
      <c r="G33" s="98">
        <v>2</v>
      </c>
      <c r="H33" s="98">
        <f>(1*8)</f>
        <v>8</v>
      </c>
      <c r="I33" s="99">
        <f t="shared" si="2"/>
        <v>118.25</v>
      </c>
      <c r="J33" s="99">
        <f t="shared" si="3"/>
        <v>118.25</v>
      </c>
      <c r="K33" s="100">
        <v>946</v>
      </c>
      <c r="L33" s="98" t="s">
        <v>139</v>
      </c>
      <c r="M33" s="98"/>
      <c r="N33" s="98"/>
      <c r="O33" s="98"/>
      <c r="P33" s="98"/>
      <c r="Q33" s="98"/>
      <c r="R33" s="23" t="s">
        <v>35</v>
      </c>
    </row>
    <row r="34" spans="1:18">
      <c r="A34" s="96" t="s">
        <v>36</v>
      </c>
      <c r="B34" s="97" t="s">
        <v>23</v>
      </c>
      <c r="C34" s="97" t="s">
        <v>60</v>
      </c>
      <c r="D34" s="98">
        <v>23</v>
      </c>
      <c r="E34" s="98">
        <v>0</v>
      </c>
      <c r="F34" s="98">
        <v>1</v>
      </c>
      <c r="G34" s="98">
        <v>1</v>
      </c>
      <c r="H34" s="98">
        <f>(3*4)</f>
        <v>12</v>
      </c>
      <c r="I34" s="99">
        <f t="shared" si="2"/>
        <v>62.173913043478258</v>
      </c>
      <c r="J34" s="99">
        <f t="shared" si="3"/>
        <v>62.173913043478258</v>
      </c>
      <c r="K34" s="100">
        <v>1430</v>
      </c>
      <c r="L34" s="98" t="s">
        <v>136</v>
      </c>
      <c r="M34" s="98" t="s">
        <v>136</v>
      </c>
      <c r="N34" s="98"/>
      <c r="O34" s="98"/>
      <c r="P34" s="98"/>
      <c r="Q34" s="98"/>
    </row>
    <row r="35" spans="1:18" ht="23">
      <c r="A35" s="96" t="s">
        <v>38</v>
      </c>
      <c r="B35" s="97" t="s">
        <v>6</v>
      </c>
      <c r="C35" s="97" t="s">
        <v>58</v>
      </c>
      <c r="D35" s="98">
        <v>50</v>
      </c>
      <c r="E35" s="98">
        <v>0</v>
      </c>
      <c r="F35" s="98">
        <v>1</v>
      </c>
      <c r="G35" s="98">
        <v>1</v>
      </c>
      <c r="H35" s="98">
        <f>(4*7)+(2*4)</f>
        <v>36</v>
      </c>
      <c r="I35" s="99">
        <f t="shared" si="2"/>
        <v>30</v>
      </c>
      <c r="J35" s="99">
        <f t="shared" si="3"/>
        <v>30</v>
      </c>
      <c r="K35" s="100">
        <v>1500</v>
      </c>
      <c r="L35" s="98" t="s">
        <v>136</v>
      </c>
      <c r="M35" s="98" t="s">
        <v>136</v>
      </c>
      <c r="N35" s="98"/>
      <c r="O35" s="98"/>
      <c r="P35" s="98"/>
      <c r="Q35" s="98"/>
      <c r="R35" s="23" t="s">
        <v>39</v>
      </c>
    </row>
    <row r="36" spans="1:18" ht="23">
      <c r="A36" s="96" t="s">
        <v>51</v>
      </c>
      <c r="B36" s="97" t="s">
        <v>6</v>
      </c>
      <c r="C36" s="97" t="s">
        <v>58</v>
      </c>
      <c r="D36" s="98">
        <v>74</v>
      </c>
      <c r="E36" s="98">
        <v>0</v>
      </c>
      <c r="F36" s="98">
        <v>1</v>
      </c>
      <c r="G36" s="98">
        <v>1</v>
      </c>
      <c r="H36" s="98">
        <v>0</v>
      </c>
      <c r="I36" s="99">
        <f t="shared" si="2"/>
        <v>20.27027027027027</v>
      </c>
      <c r="J36" s="99">
        <f t="shared" si="3"/>
        <v>20.27027027027027</v>
      </c>
      <c r="K36" s="100">
        <v>1500</v>
      </c>
      <c r="L36" s="98" t="s">
        <v>136</v>
      </c>
      <c r="M36" s="98" t="s">
        <v>136</v>
      </c>
      <c r="N36" s="98"/>
      <c r="O36" s="98"/>
      <c r="P36" s="98"/>
      <c r="Q36" s="98"/>
      <c r="R36" s="23" t="s">
        <v>57</v>
      </c>
    </row>
    <row r="37" spans="1:18">
      <c r="A37" s="23"/>
      <c r="B37" s="30"/>
      <c r="C37" s="30"/>
    </row>
    <row r="38" spans="1:18" s="1" customFormat="1">
      <c r="A38" s="39" t="s">
        <v>88</v>
      </c>
      <c r="B38" s="40"/>
      <c r="C38" s="40"/>
      <c r="D38" s="38">
        <f>SUM(D26:D37)</f>
        <v>492</v>
      </c>
      <c r="E38" s="38">
        <f>SUM(E27:E36)</f>
        <v>91</v>
      </c>
      <c r="F38" s="38">
        <f>SUM(F26:F36)</f>
        <v>21</v>
      </c>
      <c r="G38" s="38">
        <f>SUM(G26:G36)</f>
        <v>17</v>
      </c>
      <c r="H38" s="38">
        <f>SUM(H26:H35)</f>
        <v>201</v>
      </c>
      <c r="I38" s="38"/>
      <c r="J38" s="38"/>
      <c r="K38" s="41">
        <f>SUM(K26:K37)</f>
        <v>29352.809999999998</v>
      </c>
      <c r="R38" s="14"/>
    </row>
    <row r="39" spans="1:18">
      <c r="A39" s="23"/>
      <c r="C39" s="30"/>
    </row>
    <row r="40" spans="1:18" ht="15.5">
      <c r="A40" s="23"/>
      <c r="B40" s="26" t="s">
        <v>104</v>
      </c>
    </row>
    <row r="41" spans="1:18">
      <c r="A41" s="23"/>
      <c r="B41" s="13" t="s">
        <v>118</v>
      </c>
      <c r="C41" s="1"/>
      <c r="F41" s="1" t="s">
        <v>119</v>
      </c>
    </row>
    <row r="42" spans="1:18" s="1" customFormat="1" ht="57">
      <c r="A42" s="20"/>
      <c r="B42" s="28" t="s">
        <v>96</v>
      </c>
      <c r="C42" s="32" t="s">
        <v>120</v>
      </c>
      <c r="D42" s="32" t="s">
        <v>43</v>
      </c>
      <c r="E42" s="32" t="s">
        <v>121</v>
      </c>
      <c r="F42" s="35" t="s">
        <v>122</v>
      </c>
      <c r="G42" s="35" t="s">
        <v>95</v>
      </c>
      <c r="H42" s="35" t="s">
        <v>97</v>
      </c>
      <c r="I42" s="35" t="s">
        <v>45</v>
      </c>
      <c r="J42" s="32"/>
      <c r="K42" s="33" t="s">
        <v>14</v>
      </c>
      <c r="L42" s="22" t="s">
        <v>4</v>
      </c>
      <c r="M42" s="22" t="s">
        <v>8</v>
      </c>
      <c r="N42" s="22" t="s">
        <v>98</v>
      </c>
      <c r="O42" s="22" t="s">
        <v>30</v>
      </c>
      <c r="P42" s="22" t="s">
        <v>99</v>
      </c>
      <c r="Q42" s="19"/>
      <c r="R42" s="14"/>
    </row>
    <row r="43" spans="1:18">
      <c r="A43" s="96" t="s">
        <v>114</v>
      </c>
      <c r="B43" s="102">
        <f>SUM(D5+D6+D7+D8+D9+D10+D11+D12+D13+D14+D15+D16+D18+D19+D26+D27+D28+D29+D30+D31+D32+D34+D35+D36)</f>
        <v>1333</v>
      </c>
      <c r="C43" s="98">
        <f>SUM(D5+D9+D11+D15+D31)</f>
        <v>273</v>
      </c>
      <c r="D43" s="98">
        <f>SUM(D7+D14+D17)</f>
        <v>725</v>
      </c>
      <c r="E43" s="98"/>
      <c r="F43" s="98">
        <f>SUM(D5+D10+D18+D35+D36)</f>
        <v>420</v>
      </c>
      <c r="G43" s="98">
        <f>SUM(D8+D26+D27+D28+D34)</f>
        <v>333</v>
      </c>
      <c r="H43" s="98">
        <f>SUM(D32+D33)</f>
        <v>62</v>
      </c>
      <c r="I43" s="98">
        <f>SUM(D6+D13+D15+D19)</f>
        <v>222</v>
      </c>
      <c r="J43" s="98"/>
      <c r="K43" s="110">
        <f>SUM(D7+D14+D17)</f>
        <v>725</v>
      </c>
      <c r="L43" s="98">
        <v>19</v>
      </c>
      <c r="M43" s="98">
        <v>38</v>
      </c>
      <c r="N43" s="98">
        <f>SUM(D12+D16)</f>
        <v>92</v>
      </c>
      <c r="O43" s="98">
        <v>102</v>
      </c>
      <c r="P43" s="98">
        <v>19</v>
      </c>
    </row>
    <row r="44" spans="1:18">
      <c r="A44" s="96" t="s">
        <v>115</v>
      </c>
      <c r="B44" s="102">
        <f>SUM(E5+E14+E15+E29+E31)</f>
        <v>356</v>
      </c>
      <c r="C44" s="98">
        <f>SUM(E5+E15+E31)</f>
        <v>275</v>
      </c>
      <c r="D44" s="98">
        <v>11</v>
      </c>
      <c r="E44" s="98"/>
      <c r="F44" s="98">
        <f>SUM(E5)</f>
        <v>200</v>
      </c>
      <c r="G44" s="98">
        <v>0</v>
      </c>
      <c r="H44" s="98">
        <v>0</v>
      </c>
      <c r="I44" s="98">
        <f>SUM(E15)</f>
        <v>54</v>
      </c>
      <c r="J44" s="98"/>
      <c r="K44" s="110">
        <f>SUM(E14)</f>
        <v>11</v>
      </c>
      <c r="L44" s="98">
        <v>0</v>
      </c>
      <c r="M44" s="98">
        <v>0</v>
      </c>
      <c r="N44" s="98">
        <v>0</v>
      </c>
      <c r="O44" s="98">
        <v>70</v>
      </c>
      <c r="P44" s="98">
        <v>21</v>
      </c>
    </row>
    <row r="45" spans="1:18">
      <c r="A45" s="96" t="s">
        <v>116</v>
      </c>
      <c r="B45" s="102">
        <f>SUM(F5+F6+F8+F9+F10+F11+F12+F13+F14+F15+F16+F18+F19+F26+F27+F28+F29+F30+F31+F32+F34+F35+F36)</f>
        <v>40</v>
      </c>
      <c r="C45" s="98">
        <f>SUM(F5+F9+F11+F15+F31)</f>
        <v>10</v>
      </c>
      <c r="D45" s="98">
        <f>SUM(F14+F30)</f>
        <v>9</v>
      </c>
      <c r="E45" s="98"/>
      <c r="F45" s="98">
        <f>SUM(F5+F10+F18+F35+F36)</f>
        <v>6</v>
      </c>
      <c r="G45" s="98">
        <f>SUM(F8+F26+F27+F28+F34)</f>
        <v>8</v>
      </c>
      <c r="H45" s="98">
        <f>SUM(F32+F33)</f>
        <v>2</v>
      </c>
      <c r="I45" s="98">
        <f>SUM(F6+F13+F15+F19)</f>
        <v>4</v>
      </c>
      <c r="J45" s="98"/>
      <c r="K45" s="110">
        <f>SUM(F14+F17)</f>
        <v>2</v>
      </c>
      <c r="L45" s="98">
        <v>1</v>
      </c>
      <c r="M45" s="98">
        <v>2</v>
      </c>
      <c r="N45" s="98">
        <f>SUM(F12+F16)</f>
        <v>4</v>
      </c>
      <c r="O45" s="98">
        <v>1</v>
      </c>
      <c r="P45" s="98">
        <v>4</v>
      </c>
    </row>
    <row r="46" spans="1:18">
      <c r="A46" s="96" t="s">
        <v>117</v>
      </c>
      <c r="B46" s="102">
        <f>SUM(G5+G6+G7+G8+G9+G10+G11+G12+G13+G14+G15+G16+G18+G19+G26+G27+G28+G29+G30+G31+G32+G34+G35+G36)</f>
        <v>46</v>
      </c>
      <c r="C46" s="98">
        <f>SUM(G5+G9+G11+G15+G31)</f>
        <v>14</v>
      </c>
      <c r="D46" s="98">
        <f>SUM(G7+G14+G30)</f>
        <v>8</v>
      </c>
      <c r="E46" s="98"/>
      <c r="F46" s="98">
        <f>SUM(G5+G10+G18+G35+G36)</f>
        <v>6</v>
      </c>
      <c r="G46" s="98">
        <f>SUM(G8+G27+G28+G26+G34)</f>
        <v>7</v>
      </c>
      <c r="H46" s="98">
        <f>SUM(G32+G33)</f>
        <v>3</v>
      </c>
      <c r="I46" s="98">
        <f>SUM(G6+G13+G15+G19)</f>
        <v>7</v>
      </c>
      <c r="J46" s="98"/>
      <c r="K46" s="110">
        <f>SUM(G7+G14+G17+G30)</f>
        <v>9</v>
      </c>
      <c r="L46" s="98">
        <v>1</v>
      </c>
      <c r="M46" s="98">
        <v>6</v>
      </c>
      <c r="N46" s="98">
        <f>SUM(G12+G16)</f>
        <v>6</v>
      </c>
      <c r="O46" s="98">
        <v>1</v>
      </c>
      <c r="P46" s="98">
        <v>3</v>
      </c>
    </row>
    <row r="47" spans="1:18">
      <c r="A47" s="96" t="s">
        <v>100</v>
      </c>
      <c r="B47" s="102">
        <v>24</v>
      </c>
      <c r="C47" s="98">
        <v>5</v>
      </c>
      <c r="D47" s="98">
        <v>5</v>
      </c>
      <c r="E47" s="98"/>
      <c r="F47" s="98">
        <v>5</v>
      </c>
      <c r="G47" s="98">
        <v>5</v>
      </c>
      <c r="H47" s="98">
        <v>2</v>
      </c>
      <c r="I47" s="98">
        <v>4</v>
      </c>
      <c r="J47" s="98"/>
      <c r="K47" s="110">
        <v>5</v>
      </c>
      <c r="L47" s="98">
        <v>1</v>
      </c>
      <c r="M47" s="98">
        <v>1</v>
      </c>
      <c r="N47" s="98">
        <v>2</v>
      </c>
      <c r="O47" s="98">
        <v>1</v>
      </c>
      <c r="P47" s="98">
        <v>1</v>
      </c>
    </row>
    <row r="48" spans="1:18" ht="33" customHeight="1">
      <c r="A48" s="34" t="s">
        <v>105</v>
      </c>
      <c r="B48" s="42" t="s">
        <v>60</v>
      </c>
      <c r="C48" s="43" t="s">
        <v>101</v>
      </c>
      <c r="D48" s="43" t="s">
        <v>59</v>
      </c>
      <c r="E48" s="43" t="s">
        <v>91</v>
      </c>
      <c r="F48" s="43" t="s">
        <v>46</v>
      </c>
      <c r="G48" s="43"/>
      <c r="H48" s="43" t="s">
        <v>47</v>
      </c>
      <c r="I48" s="24" t="s">
        <v>1</v>
      </c>
      <c r="J48" s="7" t="s">
        <v>141</v>
      </c>
      <c r="K48" s="7" t="s">
        <v>21</v>
      </c>
      <c r="M48" s="18" t="s">
        <v>142</v>
      </c>
      <c r="O48" s="18"/>
      <c r="Q48" s="111" t="s">
        <v>0</v>
      </c>
    </row>
    <row r="49" spans="1:18" s="7" customFormat="1">
      <c r="A49" s="24"/>
      <c r="B49" s="102">
        <v>6</v>
      </c>
      <c r="C49" s="98">
        <v>3</v>
      </c>
      <c r="D49" s="98">
        <v>2</v>
      </c>
      <c r="E49" s="98">
        <v>4</v>
      </c>
      <c r="F49" s="98">
        <v>2</v>
      </c>
      <c r="G49" s="98"/>
      <c r="H49" s="98">
        <v>3</v>
      </c>
      <c r="I49" s="98">
        <v>2</v>
      </c>
      <c r="J49" s="98">
        <v>2</v>
      </c>
      <c r="K49" s="114">
        <v>2</v>
      </c>
      <c r="L49" s="112"/>
      <c r="M49" s="50"/>
      <c r="N49" s="50"/>
      <c r="O49" s="113">
        <v>1</v>
      </c>
      <c r="P49" s="50"/>
      <c r="Q49" s="113">
        <v>27</v>
      </c>
      <c r="R49" s="24"/>
    </row>
    <row r="50" spans="1:18">
      <c r="A50" s="23"/>
    </row>
    <row r="54" spans="1:18">
      <c r="K54"/>
    </row>
  </sheetData>
  <printOptions horizontalCentered="1" verticalCentered="1"/>
  <pageMargins left="0.51" right="0.56999999999999995" top="0.71" bottom="0.74" header="0.5" footer="0.5"/>
  <pageSetup paperSize="0" scale="93" orientation="landscape" horizontalDpi="4294967292" verticalDpi="4294967292"/>
  <headerFooter alignWithMargins="0">
    <oddHeader>&amp;L&amp;C&amp;"Geneva,Bold"&amp;12Appendix A&amp;R&amp;10Page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4"/>
  <sheetViews>
    <sheetView tabSelected="1" topLeftCell="AK21" workbookViewId="0">
      <selection activeCell="A17" sqref="A17"/>
    </sheetView>
  </sheetViews>
  <sheetFormatPr defaultRowHeight="11.5"/>
  <cols>
    <col min="1" max="1" width="16.296875" style="11" bestFit="1" customWidth="1"/>
    <col min="2" max="2" width="10.796875" style="11" customWidth="1"/>
    <col min="3" max="3" width="11" customWidth="1"/>
    <col min="4" max="4" width="6.296875" customWidth="1"/>
    <col min="5" max="5" width="13.5" customWidth="1"/>
    <col min="6" max="12" width="11.19921875" customWidth="1"/>
    <col min="13" max="13" width="7.296875" customWidth="1"/>
    <col min="14" max="15" width="8.19921875" customWidth="1"/>
    <col min="16" max="35" width="11.19921875" customWidth="1"/>
    <col min="36" max="36" width="15.796875" customWidth="1"/>
    <col min="37" max="42" width="11.19921875" customWidth="1"/>
    <col min="43" max="43" width="13" customWidth="1"/>
    <col min="44" max="50" width="11.19921875" customWidth="1"/>
    <col min="51" max="51" width="7.296875" customWidth="1"/>
    <col min="52" max="256" width="11.19921875" customWidth="1"/>
  </cols>
  <sheetData>
    <row r="1" spans="1:23">
      <c r="A1" s="10" t="str">
        <f>'Raw Data'!A4</f>
        <v>Auspice</v>
      </c>
      <c r="B1" s="10" t="str">
        <f>'Raw Data'!B4</f>
        <v>issue</v>
      </c>
      <c r="C1" t="s">
        <v>95</v>
      </c>
      <c r="D1" t="s">
        <v>64</v>
      </c>
      <c r="E1" t="s">
        <v>65</v>
      </c>
      <c r="F1" t="s">
        <v>81</v>
      </c>
      <c r="H1" t="str">
        <f>'Raw Data'!A4</f>
        <v>Auspice</v>
      </c>
      <c r="I1" t="str">
        <f>'Raw Data'!B4</f>
        <v>issue</v>
      </c>
      <c r="J1" t="str">
        <f>'Raw Data'!F4</f>
        <v>schools</v>
      </c>
      <c r="K1" t="str">
        <f>'Raw Data'!G4</f>
        <v>orgns</v>
      </c>
      <c r="L1" t="str">
        <f>C1</f>
        <v>Peer skills</v>
      </c>
      <c r="M1" t="str">
        <f t="shared" ref="M1:O16" si="0">D1</f>
        <v>Culture</v>
      </c>
      <c r="N1" t="str">
        <f t="shared" si="0"/>
        <v>School Retention</v>
      </c>
      <c r="O1" t="str">
        <f t="shared" si="0"/>
        <v>Health</v>
      </c>
      <c r="P1" s="1" t="s">
        <v>125</v>
      </c>
      <c r="Q1" s="8" t="s">
        <v>70</v>
      </c>
      <c r="R1" s="1" t="s">
        <v>71</v>
      </c>
      <c r="T1" t="s">
        <v>73</v>
      </c>
      <c r="U1" t="s">
        <v>64</v>
      </c>
      <c r="V1" t="s">
        <v>65</v>
      </c>
      <c r="W1" s="7" t="s">
        <v>81</v>
      </c>
    </row>
    <row r="2" spans="1:23">
      <c r="A2" s="11" t="str">
        <f>'Raw Data'!A5</f>
        <v>B'ton prim, sec</v>
      </c>
      <c r="B2" s="11" t="str">
        <f>'Raw Data'!B5</f>
        <v>Bullying</v>
      </c>
      <c r="C2">
        <v>1</v>
      </c>
      <c r="H2" t="str">
        <f>'Raw Data'!A5</f>
        <v>B'ton prim, sec</v>
      </c>
      <c r="I2" t="str">
        <f>'Raw Data'!B5</f>
        <v>Bullying</v>
      </c>
      <c r="J2">
        <f>'Raw Data'!F5</f>
        <v>2</v>
      </c>
      <c r="K2">
        <f>'Raw Data'!G5</f>
        <v>2</v>
      </c>
      <c r="L2">
        <f>C2</f>
        <v>1</v>
      </c>
      <c r="M2">
        <f t="shared" si="0"/>
        <v>0</v>
      </c>
      <c r="N2">
        <f t="shared" si="0"/>
        <v>0</v>
      </c>
      <c r="O2">
        <f t="shared" si="0"/>
        <v>0</v>
      </c>
      <c r="P2" t="s">
        <v>122</v>
      </c>
      <c r="Q2">
        <f>'Raw Data'!D5</f>
        <v>141</v>
      </c>
      <c r="R2" s="2">
        <f>'Raw Data'!J5</f>
        <v>10.263929618768328</v>
      </c>
      <c r="S2">
        <f>Q2*R2</f>
        <v>1447.2140762463343</v>
      </c>
      <c r="T2">
        <f>SUM(J28+J29+J31+J33+J36+J38+J42)</f>
        <v>577</v>
      </c>
      <c r="U2">
        <v>19</v>
      </c>
      <c r="V2">
        <f>SUM(J30+J37+J40+J43)</f>
        <v>739</v>
      </c>
      <c r="W2">
        <f>SUM(J34+J35+J39)</f>
        <v>130</v>
      </c>
    </row>
    <row r="3" spans="1:23">
      <c r="A3" s="11" t="str">
        <f>'Raw Data'!A6</f>
        <v>Mordi Chels Sec</v>
      </c>
      <c r="B3" s="11" t="str">
        <f>'Raw Data'!B6</f>
        <v>Anger mgt</v>
      </c>
      <c r="C3">
        <v>1</v>
      </c>
      <c r="H3" t="str">
        <f>'Raw Data'!A6</f>
        <v>Mordi Chels Sec</v>
      </c>
      <c r="I3" t="str">
        <f>'Raw Data'!B6</f>
        <v>Anger mgt</v>
      </c>
      <c r="J3">
        <f>'Raw Data'!F6</f>
        <v>1</v>
      </c>
      <c r="K3">
        <f>'Raw Data'!G6</f>
        <v>2</v>
      </c>
      <c r="L3">
        <f t="shared" ref="L3:L17" si="1">C3</f>
        <v>1</v>
      </c>
      <c r="M3">
        <f t="shared" si="0"/>
        <v>0</v>
      </c>
      <c r="N3">
        <f t="shared" si="0"/>
        <v>0</v>
      </c>
      <c r="O3">
        <f t="shared" si="0"/>
        <v>0</v>
      </c>
      <c r="P3" t="s">
        <v>129</v>
      </c>
      <c r="Q3">
        <f>'Raw Data'!D6</f>
        <v>7</v>
      </c>
      <c r="R3" s="2">
        <f>'Raw Data'!J6</f>
        <v>290.02857142857141</v>
      </c>
      <c r="S3">
        <f t="shared" ref="S3:S17" si="2">Q3*R3</f>
        <v>2030.1999999999998</v>
      </c>
      <c r="T3" s="2">
        <f>SUM(S2+S3+S5+S7+S10+S12+S15+S16)</f>
        <v>17243.414076246336</v>
      </c>
      <c r="U3" s="2">
        <f>SUM(S6)</f>
        <v>3425.44</v>
      </c>
      <c r="V3" s="2">
        <f>SUM(S4+S11+S14+S17)</f>
        <v>8580.9756097560967</v>
      </c>
      <c r="W3" s="2">
        <f>SUM(S9+S13+S8)</f>
        <v>6143</v>
      </c>
    </row>
    <row r="4" spans="1:23">
      <c r="A4" s="11" t="str">
        <f>'Raw Data'!A7</f>
        <v>Gordon Homes</v>
      </c>
      <c r="B4" s="11" t="str">
        <f>'Raw Data'!B7</f>
        <v>school ret</v>
      </c>
      <c r="C4">
        <f t="shared" ref="C4:C17" si="3">IF(B4="bullying",1,0)</f>
        <v>0</v>
      </c>
      <c r="E4">
        <v>1</v>
      </c>
      <c r="H4" t="str">
        <f>'Raw Data'!A7</f>
        <v>Gordon Homes</v>
      </c>
      <c r="I4" t="str">
        <f>'Raw Data'!B7</f>
        <v>school ret</v>
      </c>
      <c r="J4">
        <f>'Raw Data'!F7</f>
        <v>3</v>
      </c>
      <c r="K4">
        <f>'Raw Data'!G7</f>
        <v>1</v>
      </c>
      <c r="L4">
        <f t="shared" si="1"/>
        <v>0</v>
      </c>
      <c r="M4">
        <f t="shared" si="0"/>
        <v>0</v>
      </c>
      <c r="N4">
        <f t="shared" si="0"/>
        <v>1</v>
      </c>
      <c r="O4">
        <f t="shared" si="0"/>
        <v>0</v>
      </c>
      <c r="P4" t="s">
        <v>14</v>
      </c>
      <c r="Q4">
        <f>'Raw Data'!D7</f>
        <v>4</v>
      </c>
      <c r="R4" s="2">
        <f>'Raw Data'!J7</f>
        <v>875</v>
      </c>
      <c r="S4">
        <f t="shared" si="2"/>
        <v>3500</v>
      </c>
      <c r="T4" s="2">
        <f>T3/T2</f>
        <v>29.884599785522244</v>
      </c>
      <c r="U4" s="2">
        <f>U3/U2</f>
        <v>180.28631578947369</v>
      </c>
      <c r="V4" s="2">
        <f>V3/V2</f>
        <v>11.611604343377667</v>
      </c>
      <c r="W4" s="2">
        <f>W3/W2</f>
        <v>47.253846153846155</v>
      </c>
    </row>
    <row r="5" spans="1:23">
      <c r="A5" s="11" t="str">
        <f>'Raw Data'!A8</f>
        <v>Bayside council</v>
      </c>
      <c r="B5" s="11" t="str">
        <f>'Raw Data'!B8</f>
        <v xml:space="preserve">Peer skills </v>
      </c>
      <c r="C5">
        <v>1</v>
      </c>
      <c r="H5" t="str">
        <f>'Raw Data'!A8</f>
        <v>Bayside council</v>
      </c>
      <c r="I5" t="str">
        <f>'Raw Data'!B8</f>
        <v xml:space="preserve">Peer skills </v>
      </c>
      <c r="J5">
        <f>'Raw Data'!F8</f>
        <v>4</v>
      </c>
      <c r="K5">
        <f>'Raw Data'!G8</f>
        <v>2</v>
      </c>
      <c r="L5">
        <f t="shared" si="1"/>
        <v>1</v>
      </c>
      <c r="M5">
        <f t="shared" si="0"/>
        <v>0</v>
      </c>
      <c r="N5">
        <f t="shared" si="0"/>
        <v>0</v>
      </c>
      <c r="O5">
        <f t="shared" si="0"/>
        <v>0</v>
      </c>
      <c r="P5" t="s">
        <v>2</v>
      </c>
      <c r="Q5">
        <f>'Raw Data'!D8</f>
        <v>148</v>
      </c>
      <c r="R5" s="2">
        <f>'Raw Data'!J8</f>
        <v>26.216216216216218</v>
      </c>
      <c r="S5">
        <f t="shared" si="2"/>
        <v>3880</v>
      </c>
    </row>
    <row r="6" spans="1:23">
      <c r="A6" s="11" t="str">
        <f>'Raw Data'!A9</f>
        <v>Kingston council</v>
      </c>
      <c r="B6" s="11" t="str">
        <f>'Raw Data'!B9</f>
        <v>culture</v>
      </c>
      <c r="C6">
        <f t="shared" si="3"/>
        <v>0</v>
      </c>
      <c r="D6">
        <v>1</v>
      </c>
      <c r="H6" t="str">
        <f>'Raw Data'!A9</f>
        <v>Kingston council</v>
      </c>
      <c r="I6" t="str">
        <f>'Raw Data'!B9</f>
        <v>culture</v>
      </c>
      <c r="J6">
        <f>'Raw Data'!F9</f>
        <v>1</v>
      </c>
      <c r="K6">
        <f>'Raw Data'!G9</f>
        <v>1</v>
      </c>
      <c r="L6">
        <f t="shared" si="1"/>
        <v>0</v>
      </c>
      <c r="M6">
        <f t="shared" si="0"/>
        <v>1</v>
      </c>
      <c r="N6">
        <f t="shared" si="0"/>
        <v>0</v>
      </c>
      <c r="O6">
        <f t="shared" si="0"/>
        <v>0</v>
      </c>
      <c r="P6" t="s">
        <v>4</v>
      </c>
      <c r="Q6">
        <f>'Raw Data'!D9</f>
        <v>19</v>
      </c>
      <c r="R6" s="2">
        <f>'Raw Data'!J9</f>
        <v>180.28631578947369</v>
      </c>
      <c r="S6">
        <f t="shared" si="2"/>
        <v>3425.44</v>
      </c>
    </row>
    <row r="7" spans="1:23">
      <c r="A7" s="11" t="str">
        <f>'Raw Data'!A10</f>
        <v>Clarinda prim</v>
      </c>
      <c r="B7" s="11" t="str">
        <f>'Raw Data'!B10</f>
        <v>bullying</v>
      </c>
      <c r="C7">
        <v>1</v>
      </c>
      <c r="H7" t="str">
        <f>'Raw Data'!A10</f>
        <v>Clarinda prim</v>
      </c>
      <c r="I7" t="str">
        <f>'Raw Data'!B10</f>
        <v>bullying</v>
      </c>
      <c r="J7">
        <f>'Raw Data'!F10</f>
        <v>1</v>
      </c>
      <c r="K7">
        <f>'Raw Data'!G10</f>
        <v>1</v>
      </c>
      <c r="L7">
        <f t="shared" si="1"/>
        <v>1</v>
      </c>
      <c r="M7">
        <f t="shared" si="0"/>
        <v>0</v>
      </c>
      <c r="N7">
        <f t="shared" si="0"/>
        <v>0</v>
      </c>
      <c r="O7">
        <f t="shared" si="0"/>
        <v>0</v>
      </c>
      <c r="P7" t="s">
        <v>6</v>
      </c>
      <c r="Q7">
        <f>'Raw Data'!D10</f>
        <v>66</v>
      </c>
      <c r="R7" s="2">
        <f>'Raw Data'!J10</f>
        <v>45.454545454545453</v>
      </c>
      <c r="S7">
        <f t="shared" si="2"/>
        <v>3000</v>
      </c>
    </row>
    <row r="8" spans="1:23">
      <c r="A8" s="11" t="str">
        <f>'Raw Data'!A11</f>
        <v>Bayside Youth Found</v>
      </c>
      <c r="B8" s="11" t="str">
        <f>'Raw Data'!B11</f>
        <v>body image</v>
      </c>
      <c r="C8">
        <f t="shared" si="3"/>
        <v>0</v>
      </c>
      <c r="F8">
        <v>1</v>
      </c>
      <c r="H8" t="str">
        <f>'Raw Data'!A11</f>
        <v>Bayside Youth Found</v>
      </c>
      <c r="I8" t="str">
        <f>'Raw Data'!B11</f>
        <v>body image</v>
      </c>
      <c r="J8">
        <f>'Raw Data'!F11</f>
        <v>2</v>
      </c>
      <c r="K8">
        <f>'Raw Data'!G11</f>
        <v>6</v>
      </c>
      <c r="L8">
        <f t="shared" si="1"/>
        <v>0</v>
      </c>
      <c r="M8">
        <f t="shared" si="0"/>
        <v>0</v>
      </c>
      <c r="N8">
        <f t="shared" si="0"/>
        <v>0</v>
      </c>
      <c r="O8">
        <f t="shared" si="0"/>
        <v>1</v>
      </c>
      <c r="P8" t="s">
        <v>9</v>
      </c>
      <c r="Q8">
        <f>'Raw Data'!D11</f>
        <v>38</v>
      </c>
      <c r="R8" s="2">
        <f>'Raw Data'!J11</f>
        <v>92.10526315789474</v>
      </c>
      <c r="S8">
        <f t="shared" si="2"/>
        <v>3500</v>
      </c>
    </row>
    <row r="9" spans="1:23">
      <c r="A9" s="11" t="str">
        <f>'Raw Data'!A12</f>
        <v>CBCHS</v>
      </c>
      <c r="B9" s="11" t="str">
        <f>'Raw Data'!B12</f>
        <v>health, D/A</v>
      </c>
      <c r="C9">
        <f t="shared" si="3"/>
        <v>0</v>
      </c>
      <c r="F9">
        <v>1</v>
      </c>
      <c r="H9" t="str">
        <f>'Raw Data'!A12</f>
        <v>CBCHS</v>
      </c>
      <c r="I9" t="str">
        <f>'Raw Data'!B12</f>
        <v>health, D/A</v>
      </c>
      <c r="J9">
        <f>'Raw Data'!F12</f>
        <v>3</v>
      </c>
      <c r="K9">
        <f>'Raw Data'!G12</f>
        <v>3</v>
      </c>
      <c r="L9">
        <f t="shared" si="1"/>
        <v>0</v>
      </c>
      <c r="M9">
        <f t="shared" si="0"/>
        <v>0</v>
      </c>
      <c r="N9">
        <f t="shared" si="0"/>
        <v>0</v>
      </c>
      <c r="O9">
        <f t="shared" si="0"/>
        <v>1</v>
      </c>
      <c r="P9" t="s">
        <v>10</v>
      </c>
      <c r="Q9">
        <f>'Raw Data'!D12</f>
        <v>60</v>
      </c>
      <c r="R9" s="2">
        <f>'Raw Data'!J12</f>
        <v>27.5</v>
      </c>
      <c r="S9">
        <f t="shared" si="2"/>
        <v>1650</v>
      </c>
    </row>
    <row r="10" spans="1:23">
      <c r="A10" s="11" t="str">
        <f>'Raw Data'!A13</f>
        <v>Chelsea prim</v>
      </c>
      <c r="B10" s="11" t="str">
        <f>'Raw Data'!B13</f>
        <v>anger mgt</v>
      </c>
      <c r="C10">
        <v>1</v>
      </c>
      <c r="H10" t="str">
        <f>'Raw Data'!A13</f>
        <v>Chelsea prim</v>
      </c>
      <c r="I10" t="str">
        <f>'Raw Data'!B13</f>
        <v>anger mgt</v>
      </c>
      <c r="J10">
        <f>'Raw Data'!F13</f>
        <v>1</v>
      </c>
      <c r="K10">
        <f>'Raw Data'!G13</f>
        <v>2</v>
      </c>
      <c r="L10">
        <f t="shared" si="1"/>
        <v>1</v>
      </c>
      <c r="M10">
        <f t="shared" si="0"/>
        <v>0</v>
      </c>
      <c r="N10">
        <f t="shared" si="0"/>
        <v>0</v>
      </c>
      <c r="O10">
        <f t="shared" si="0"/>
        <v>0</v>
      </c>
      <c r="P10" t="s">
        <v>12</v>
      </c>
      <c r="Q10">
        <f>'Raw Data'!D13</f>
        <v>92</v>
      </c>
      <c r="R10" s="2">
        <f>'Raw Data'!J13</f>
        <v>32.608695652173914</v>
      </c>
      <c r="S10">
        <f t="shared" si="2"/>
        <v>3000</v>
      </c>
    </row>
    <row r="11" spans="1:23">
      <c r="A11" s="11" t="str">
        <f>'Raw Data'!A14</f>
        <v>Kibreda</v>
      </c>
      <c r="B11" s="11" t="str">
        <f>'Raw Data'!B14</f>
        <v>school ret</v>
      </c>
      <c r="C11">
        <f t="shared" si="3"/>
        <v>0</v>
      </c>
      <c r="E11">
        <v>1</v>
      </c>
      <c r="H11" t="str">
        <f>'Raw Data'!A14</f>
        <v>Kibreda</v>
      </c>
      <c r="I11" t="str">
        <f>'Raw Data'!B14</f>
        <v>school ret</v>
      </c>
      <c r="J11">
        <f>'Raw Data'!F14</f>
        <v>1</v>
      </c>
      <c r="K11">
        <f>'Raw Data'!G14</f>
        <v>4</v>
      </c>
      <c r="L11">
        <f t="shared" si="1"/>
        <v>0</v>
      </c>
      <c r="M11">
        <f t="shared" si="0"/>
        <v>0</v>
      </c>
      <c r="N11">
        <f t="shared" si="0"/>
        <v>1</v>
      </c>
      <c r="O11">
        <f t="shared" si="0"/>
        <v>0</v>
      </c>
      <c r="P11" t="s">
        <v>14</v>
      </c>
      <c r="Q11">
        <f>'Raw Data'!D14</f>
        <v>30</v>
      </c>
      <c r="R11" s="2">
        <f>'Raw Data'!J14</f>
        <v>85.365853658536579</v>
      </c>
      <c r="S11">
        <f t="shared" si="2"/>
        <v>2560.9756097560976</v>
      </c>
    </row>
    <row r="12" spans="1:23">
      <c r="A12" s="11" t="str">
        <f>'Raw Data'!A15</f>
        <v>Brighton Beach prim</v>
      </c>
      <c r="B12" s="11" t="str">
        <f>'Raw Data'!B15</f>
        <v>conflict res</v>
      </c>
      <c r="C12">
        <v>1</v>
      </c>
      <c r="H12" t="str">
        <f>'Raw Data'!A15</f>
        <v>Brighton Beach prim</v>
      </c>
      <c r="I12" t="str">
        <f>'Raw Data'!B15</f>
        <v>conflict res</v>
      </c>
      <c r="J12">
        <f>'Raw Data'!F15</f>
        <v>1</v>
      </c>
      <c r="K12">
        <f>'Raw Data'!G15</f>
        <v>2</v>
      </c>
      <c r="L12">
        <f t="shared" si="1"/>
        <v>1</v>
      </c>
      <c r="M12">
        <f t="shared" si="0"/>
        <v>0</v>
      </c>
      <c r="N12">
        <f t="shared" si="0"/>
        <v>0</v>
      </c>
      <c r="O12">
        <f t="shared" si="0"/>
        <v>0</v>
      </c>
      <c r="P12" t="s">
        <v>16</v>
      </c>
      <c r="Q12">
        <f>'Raw Data'!D15</f>
        <v>56</v>
      </c>
      <c r="R12" s="2">
        <f>'Raw Data'!J15</f>
        <v>18.5</v>
      </c>
      <c r="S12">
        <f t="shared" si="2"/>
        <v>1036</v>
      </c>
    </row>
    <row r="13" spans="1:23">
      <c r="A13" s="11" t="str">
        <f>'Raw Data'!A16</f>
        <v>CBCHS</v>
      </c>
      <c r="B13" s="11" t="str">
        <f>'Raw Data'!B16</f>
        <v>health, D/A</v>
      </c>
      <c r="C13">
        <f t="shared" si="3"/>
        <v>0</v>
      </c>
      <c r="F13">
        <v>1</v>
      </c>
      <c r="H13" t="str">
        <f>'Raw Data'!A16</f>
        <v>CBCHS</v>
      </c>
      <c r="I13" t="str">
        <f>'Raw Data'!B16</f>
        <v>health, D/A</v>
      </c>
      <c r="J13">
        <f>'Raw Data'!F16</f>
        <v>1</v>
      </c>
      <c r="K13">
        <f>'Raw Data'!G16</f>
        <v>3</v>
      </c>
      <c r="L13">
        <f t="shared" si="1"/>
        <v>0</v>
      </c>
      <c r="M13">
        <f t="shared" si="0"/>
        <v>0</v>
      </c>
      <c r="N13">
        <f t="shared" si="0"/>
        <v>0</v>
      </c>
      <c r="O13">
        <f t="shared" si="0"/>
        <v>1</v>
      </c>
      <c r="P13" t="s">
        <v>10</v>
      </c>
      <c r="Q13">
        <f>'Raw Data'!D16</f>
        <v>32</v>
      </c>
      <c r="R13" s="2">
        <f>'Raw Data'!J16</f>
        <v>31.03125</v>
      </c>
      <c r="S13">
        <f t="shared" si="2"/>
        <v>993</v>
      </c>
    </row>
    <row r="14" spans="1:23">
      <c r="A14" s="11" t="str">
        <f>'Raw Data'!A17</f>
        <v>Chelt sec</v>
      </c>
      <c r="B14" s="11" t="str">
        <f>'Raw Data'!B17</f>
        <v>school ret</v>
      </c>
      <c r="C14">
        <f t="shared" si="3"/>
        <v>0</v>
      </c>
      <c r="E14">
        <v>1</v>
      </c>
      <c r="H14" t="str">
        <f>'Raw Data'!A17</f>
        <v>Chelt sec</v>
      </c>
      <c r="I14" t="str">
        <f>'Raw Data'!B17</f>
        <v>school ret</v>
      </c>
      <c r="J14">
        <f>'Raw Data'!F17</f>
        <v>1</v>
      </c>
      <c r="K14">
        <f>'Raw Data'!G17</f>
        <v>1</v>
      </c>
      <c r="L14">
        <f t="shared" si="1"/>
        <v>0</v>
      </c>
      <c r="M14">
        <f t="shared" si="0"/>
        <v>0</v>
      </c>
      <c r="N14">
        <f t="shared" si="0"/>
        <v>1</v>
      </c>
      <c r="O14">
        <f t="shared" si="0"/>
        <v>0</v>
      </c>
      <c r="P14" t="s">
        <v>14</v>
      </c>
      <c r="Q14">
        <f>'Raw Data'!D17</f>
        <v>691</v>
      </c>
      <c r="R14" s="2">
        <f>'Raw Data'!J17</f>
        <v>2.199710564399421</v>
      </c>
      <c r="S14">
        <f t="shared" si="2"/>
        <v>1520</v>
      </c>
    </row>
    <row r="15" spans="1:23">
      <c r="A15" s="11" t="str">
        <f>'Raw Data'!A18</f>
        <v>St Finbars</v>
      </c>
      <c r="B15" s="11" t="str">
        <f>'Raw Data'!B18</f>
        <v>Bullying</v>
      </c>
      <c r="C15">
        <f t="shared" si="3"/>
        <v>1</v>
      </c>
      <c r="H15" t="str">
        <f>'Raw Data'!A18</f>
        <v>St Finbars</v>
      </c>
      <c r="I15" t="str">
        <f>'Raw Data'!B18</f>
        <v>Bullying</v>
      </c>
      <c r="J15">
        <f>'Raw Data'!F18</f>
        <v>1</v>
      </c>
      <c r="K15">
        <f>'Raw Data'!G18</f>
        <v>1</v>
      </c>
      <c r="L15">
        <f t="shared" si="1"/>
        <v>1</v>
      </c>
      <c r="M15">
        <f t="shared" si="0"/>
        <v>0</v>
      </c>
      <c r="N15">
        <f t="shared" si="0"/>
        <v>0</v>
      </c>
      <c r="O15">
        <f t="shared" si="0"/>
        <v>0</v>
      </c>
      <c r="P15" t="s">
        <v>122</v>
      </c>
      <c r="Q15">
        <f>'Raw Data'!D18</f>
        <v>89</v>
      </c>
      <c r="R15" s="2">
        <f>'Raw Data'!J18</f>
        <v>16.853932584269664</v>
      </c>
      <c r="S15">
        <f t="shared" si="2"/>
        <v>1500</v>
      </c>
    </row>
    <row r="16" spans="1:23">
      <c r="A16" s="11" t="str">
        <f>'Raw Data'!A19</f>
        <v>Edithvale prim</v>
      </c>
      <c r="B16" s="11" t="str">
        <f>'Raw Data'!B19</f>
        <v>conflict res</v>
      </c>
      <c r="C16">
        <v>1</v>
      </c>
      <c r="H16" t="str">
        <f>'Raw Data'!A19</f>
        <v>Edithvale prim</v>
      </c>
      <c r="I16" t="str">
        <f>'Raw Data'!B19</f>
        <v>conflict res</v>
      </c>
      <c r="J16">
        <f>'Raw Data'!F19</f>
        <v>1</v>
      </c>
      <c r="K16">
        <f>'Raw Data'!G19</f>
        <v>1</v>
      </c>
      <c r="L16">
        <f t="shared" si="1"/>
        <v>1</v>
      </c>
      <c r="M16">
        <f t="shared" si="0"/>
        <v>0</v>
      </c>
      <c r="N16">
        <f t="shared" si="0"/>
        <v>0</v>
      </c>
      <c r="O16">
        <f t="shared" si="0"/>
        <v>0</v>
      </c>
      <c r="P16" t="s">
        <v>16</v>
      </c>
      <c r="Q16">
        <f>'Raw Data'!D19</f>
        <v>67</v>
      </c>
      <c r="R16" s="2">
        <f>'Raw Data'!J19</f>
        <v>20.149253731343283</v>
      </c>
      <c r="S16">
        <f t="shared" si="2"/>
        <v>1350</v>
      </c>
    </row>
    <row r="17" spans="1:19">
      <c r="A17" s="11" t="str">
        <f>'Raw Data'!A20</f>
        <v>Anglicare</v>
      </c>
      <c r="B17" s="11" t="str">
        <f>'Raw Data'!B20</f>
        <v>school ret</v>
      </c>
      <c r="C17">
        <f t="shared" si="3"/>
        <v>0</v>
      </c>
      <c r="E17">
        <v>1</v>
      </c>
      <c r="H17" t="str">
        <f>'Raw Data'!A20</f>
        <v>Anglicare</v>
      </c>
      <c r="I17" t="str">
        <f>'Raw Data'!B20</f>
        <v>school ret</v>
      </c>
      <c r="J17">
        <f>'Raw Data'!F20</f>
        <v>0</v>
      </c>
      <c r="K17">
        <f>'Raw Data'!G20</f>
        <v>0</v>
      </c>
      <c r="L17">
        <f t="shared" si="1"/>
        <v>0</v>
      </c>
      <c r="M17">
        <f>D17</f>
        <v>0</v>
      </c>
      <c r="N17">
        <f>E17</f>
        <v>1</v>
      </c>
      <c r="O17">
        <f>F17</f>
        <v>0</v>
      </c>
      <c r="P17" t="s">
        <v>14</v>
      </c>
      <c r="Q17">
        <f>'Raw Data'!D20</f>
        <v>14</v>
      </c>
      <c r="R17" s="2">
        <f>'Raw Data'!J20</f>
        <v>71.428571428571431</v>
      </c>
      <c r="S17">
        <f t="shared" si="2"/>
        <v>1000</v>
      </c>
    </row>
    <row r="18" spans="1:19" ht="12" thickBot="1">
      <c r="C18" s="12">
        <f>SUM(C2:C17)</f>
        <v>8</v>
      </c>
      <c r="D18" s="12">
        <f>SUM(D2:D17)</f>
        <v>1</v>
      </c>
      <c r="E18" s="12">
        <f>SUM(E2:E17)</f>
        <v>4</v>
      </c>
      <c r="F18" s="12">
        <f>SUM(F2:F17)</f>
        <v>3</v>
      </c>
      <c r="J18">
        <f t="shared" ref="J18:O18" si="4">SUM(J2:J17)</f>
        <v>24</v>
      </c>
      <c r="K18">
        <f t="shared" si="4"/>
        <v>32</v>
      </c>
      <c r="L18" s="12">
        <f t="shared" si="4"/>
        <v>8</v>
      </c>
      <c r="M18" s="12">
        <f t="shared" si="4"/>
        <v>1</v>
      </c>
      <c r="N18" s="12">
        <f t="shared" si="4"/>
        <v>4</v>
      </c>
      <c r="O18" s="12">
        <f t="shared" si="4"/>
        <v>3</v>
      </c>
    </row>
    <row r="19" spans="1:19" ht="12" thickTop="1">
      <c r="C19" t="str">
        <f>C1</f>
        <v>Peer skills</v>
      </c>
      <c r="D19" t="str">
        <f>D1</f>
        <v>Culture</v>
      </c>
      <c r="E19" t="str">
        <f>E1</f>
        <v>School Retention</v>
      </c>
      <c r="F19" t="str">
        <f>F1</f>
        <v>Health</v>
      </c>
      <c r="K19">
        <f>J18+K18</f>
        <v>56</v>
      </c>
    </row>
    <row r="21" spans="1:19">
      <c r="A21" s="13" t="str">
        <f>'Raw Data'!A4</f>
        <v>Auspice</v>
      </c>
      <c r="B21" s="9" t="str">
        <f>'Raw Data'!F4</f>
        <v>schools</v>
      </c>
      <c r="C21" s="9" t="str">
        <f>'Raw Data'!G4</f>
        <v>orgns</v>
      </c>
      <c r="J21" t="str">
        <f>C1</f>
        <v>Peer skills</v>
      </c>
      <c r="K21" t="str">
        <f>D1</f>
        <v>Culture</v>
      </c>
      <c r="L21" t="str">
        <f>E1</f>
        <v>School Retention</v>
      </c>
      <c r="M21" t="str">
        <f>F1</f>
        <v>Health</v>
      </c>
    </row>
    <row r="22" spans="1:19">
      <c r="A22" s="11" t="str">
        <f>'Raw Data'!A5</f>
        <v>B'ton prim, sec</v>
      </c>
      <c r="B22">
        <f>'Raw Data'!F5</f>
        <v>2</v>
      </c>
      <c r="C22">
        <f>'Raw Data'!G5</f>
        <v>2</v>
      </c>
      <c r="I22" t="s">
        <v>116</v>
      </c>
      <c r="J22">
        <f>SUM(J2+J3+J5+J7+J10+J12+J15+J16)</f>
        <v>12</v>
      </c>
      <c r="K22">
        <f>SUM(J6)</f>
        <v>1</v>
      </c>
      <c r="L22">
        <f>SUM(J4+J11+J14+J17)</f>
        <v>5</v>
      </c>
      <c r="M22">
        <f>SUM(J8+J9+J13)</f>
        <v>6</v>
      </c>
    </row>
    <row r="23" spans="1:19">
      <c r="A23" s="11" t="str">
        <f>'Raw Data'!A6</f>
        <v>Mordi Chels Sec</v>
      </c>
      <c r="B23">
        <f>'Raw Data'!F6</f>
        <v>1</v>
      </c>
      <c r="C23">
        <f>'Raw Data'!G6</f>
        <v>2</v>
      </c>
      <c r="I23" t="s">
        <v>68</v>
      </c>
      <c r="J23">
        <f>SUM(K2+K3+K5+K7+K10+K12+K15+K16)</f>
        <v>13</v>
      </c>
      <c r="K23">
        <f>SUM(K6)</f>
        <v>1</v>
      </c>
      <c r="L23">
        <f>SUM(K4+K11+K14+K17)</f>
        <v>6</v>
      </c>
      <c r="M23">
        <f>SUM(K8+K9+K13)</f>
        <v>12</v>
      </c>
    </row>
    <row r="24" spans="1:19">
      <c r="A24" s="11" t="str">
        <f>'Raw Data'!A7</f>
        <v>Gordon Homes</v>
      </c>
      <c r="B24">
        <f>'Raw Data'!F7</f>
        <v>3</v>
      </c>
      <c r="C24">
        <f>'Raw Data'!G7</f>
        <v>1</v>
      </c>
      <c r="I24" t="s">
        <v>69</v>
      </c>
      <c r="J24">
        <f>SUM(L18)</f>
        <v>8</v>
      </c>
      <c r="K24">
        <v>1</v>
      </c>
      <c r="L24">
        <v>4</v>
      </c>
      <c r="M24">
        <v>3</v>
      </c>
    </row>
    <row r="25" spans="1:19">
      <c r="A25" s="11" t="str">
        <f>'Raw Data'!A8</f>
        <v>Bayside council</v>
      </c>
      <c r="B25">
        <f>'Raw Data'!F8</f>
        <v>4</v>
      </c>
      <c r="C25">
        <f>'Raw Data'!G8</f>
        <v>2</v>
      </c>
    </row>
    <row r="26" spans="1:19">
      <c r="A26" s="11" t="str">
        <f>'Raw Data'!A9</f>
        <v>Kingston council</v>
      </c>
      <c r="B26">
        <f>'Raw Data'!F9</f>
        <v>1</v>
      </c>
      <c r="C26">
        <f>'Raw Data'!G9</f>
        <v>1</v>
      </c>
    </row>
    <row r="27" spans="1:19">
      <c r="A27" s="11" t="str">
        <f>'Raw Data'!A10</f>
        <v>Clarinda prim</v>
      </c>
      <c r="B27">
        <f>'Raw Data'!F10</f>
        <v>1</v>
      </c>
      <c r="C27">
        <f>'Raw Data'!G10</f>
        <v>1</v>
      </c>
      <c r="H27" s="1" t="s">
        <v>125</v>
      </c>
      <c r="I27" s="1" t="s">
        <v>55</v>
      </c>
      <c r="J27" s="8" t="s">
        <v>70</v>
      </c>
      <c r="K27" t="s">
        <v>95</v>
      </c>
      <c r="L27" t="s">
        <v>64</v>
      </c>
      <c r="M27" t="s">
        <v>65</v>
      </c>
      <c r="N27" t="s">
        <v>81</v>
      </c>
    </row>
    <row r="28" spans="1:19">
      <c r="A28" s="11" t="str">
        <f>'Raw Data'!A11</f>
        <v>Bayside Youth Found</v>
      </c>
      <c r="B28">
        <f>'Raw Data'!F11</f>
        <v>2</v>
      </c>
      <c r="C28">
        <f>'Raw Data'!G11</f>
        <v>6</v>
      </c>
      <c r="H28" t="s">
        <v>122</v>
      </c>
      <c r="I28" t="s">
        <v>106</v>
      </c>
      <c r="J28">
        <f>Q2</f>
        <v>141</v>
      </c>
      <c r="K28">
        <v>1</v>
      </c>
    </row>
    <row r="29" spans="1:19">
      <c r="A29" s="11" t="str">
        <f>'Raw Data'!A12</f>
        <v>CBCHS</v>
      </c>
      <c r="B29">
        <f>'Raw Data'!F12</f>
        <v>3</v>
      </c>
      <c r="C29">
        <f>'Raw Data'!G12</f>
        <v>3</v>
      </c>
      <c r="H29" t="s">
        <v>129</v>
      </c>
      <c r="I29" t="s">
        <v>110</v>
      </c>
      <c r="J29">
        <f t="shared" ref="J29:J43" si="5">Q3</f>
        <v>7</v>
      </c>
      <c r="K29">
        <v>1</v>
      </c>
    </row>
    <row r="30" spans="1:19">
      <c r="A30" s="11" t="str">
        <f>'Raw Data'!A13</f>
        <v>Chelsea prim</v>
      </c>
      <c r="B30">
        <f>'Raw Data'!F13</f>
        <v>1</v>
      </c>
      <c r="C30">
        <f>'Raw Data'!G13</f>
        <v>2</v>
      </c>
      <c r="H30" t="s">
        <v>14</v>
      </c>
      <c r="I30" t="s">
        <v>84</v>
      </c>
      <c r="J30">
        <f t="shared" si="5"/>
        <v>4</v>
      </c>
      <c r="K30">
        <f>IF(J30="bullying",1,0)</f>
        <v>0</v>
      </c>
      <c r="M30">
        <v>1</v>
      </c>
    </row>
    <row r="31" spans="1:19">
      <c r="A31" s="11" t="str">
        <f>'Raw Data'!A14</f>
        <v>Kibreda</v>
      </c>
      <c r="B31">
        <f>'Raw Data'!F14</f>
        <v>1</v>
      </c>
      <c r="C31">
        <f>'Raw Data'!G14</f>
        <v>4</v>
      </c>
      <c r="H31" t="s">
        <v>2</v>
      </c>
      <c r="I31" t="s">
        <v>108</v>
      </c>
      <c r="J31">
        <f t="shared" si="5"/>
        <v>148</v>
      </c>
      <c r="K31">
        <v>1</v>
      </c>
    </row>
    <row r="32" spans="1:19">
      <c r="A32" s="11" t="str">
        <f>'Raw Data'!A15</f>
        <v>Brighton Beach prim</v>
      </c>
      <c r="B32">
        <f>'Raw Data'!F15</f>
        <v>1</v>
      </c>
      <c r="C32">
        <f>'Raw Data'!G15</f>
        <v>2</v>
      </c>
      <c r="H32" t="s">
        <v>4</v>
      </c>
      <c r="I32" t="s">
        <v>91</v>
      </c>
      <c r="J32">
        <f t="shared" si="5"/>
        <v>19</v>
      </c>
      <c r="K32">
        <f>IF(J32="bullying",1,0)</f>
        <v>0</v>
      </c>
      <c r="L32">
        <v>1</v>
      </c>
    </row>
    <row r="33" spans="1:14">
      <c r="A33" s="11" t="str">
        <f>'Raw Data'!A16</f>
        <v>CBCHS</v>
      </c>
      <c r="B33">
        <f>'Raw Data'!F16</f>
        <v>1</v>
      </c>
      <c r="C33">
        <f>'Raw Data'!G16</f>
        <v>3</v>
      </c>
      <c r="H33" t="s">
        <v>6</v>
      </c>
      <c r="I33" t="s">
        <v>60</v>
      </c>
      <c r="J33">
        <f t="shared" si="5"/>
        <v>66</v>
      </c>
      <c r="K33">
        <v>1</v>
      </c>
    </row>
    <row r="34" spans="1:14">
      <c r="A34" s="11" t="str">
        <f>'Raw Data'!A17</f>
        <v>Chelt sec</v>
      </c>
      <c r="B34">
        <f>'Raw Data'!F17</f>
        <v>1</v>
      </c>
      <c r="C34">
        <f>'Raw Data'!G17</f>
        <v>1</v>
      </c>
      <c r="H34" t="s">
        <v>9</v>
      </c>
      <c r="I34" t="s">
        <v>92</v>
      </c>
      <c r="J34">
        <f t="shared" si="5"/>
        <v>38</v>
      </c>
      <c r="K34">
        <f>IF(J34="bullying",1,0)</f>
        <v>0</v>
      </c>
      <c r="N34">
        <v>1</v>
      </c>
    </row>
    <row r="35" spans="1:14">
      <c r="A35" s="11" t="str">
        <f>'Raw Data'!A18</f>
        <v>St Finbars</v>
      </c>
      <c r="B35">
        <f>'Raw Data'!F18</f>
        <v>1</v>
      </c>
      <c r="C35">
        <f>'Raw Data'!G18</f>
        <v>1</v>
      </c>
      <c r="H35" t="s">
        <v>10</v>
      </c>
      <c r="I35" t="s">
        <v>91</v>
      </c>
      <c r="J35">
        <f t="shared" si="5"/>
        <v>60</v>
      </c>
      <c r="K35">
        <f>IF(J35="bullying",1,0)</f>
        <v>0</v>
      </c>
      <c r="N35">
        <v>1</v>
      </c>
    </row>
    <row r="36" spans="1:14">
      <c r="A36" s="11" t="str">
        <f>'Raw Data'!A19</f>
        <v>Edithvale prim</v>
      </c>
      <c r="B36">
        <f>'Raw Data'!F19</f>
        <v>1</v>
      </c>
      <c r="C36">
        <f>'Raw Data'!G19</f>
        <v>1</v>
      </c>
      <c r="H36" t="s">
        <v>12</v>
      </c>
      <c r="I36" t="s">
        <v>63</v>
      </c>
      <c r="J36">
        <f t="shared" si="5"/>
        <v>92</v>
      </c>
      <c r="K36">
        <v>1</v>
      </c>
    </row>
    <row r="37" spans="1:14">
      <c r="A37" s="11" t="str">
        <f>'Raw Data'!A20</f>
        <v>Anglicare</v>
      </c>
      <c r="B37">
        <f>'Raw Data'!F20</f>
        <v>0</v>
      </c>
      <c r="C37">
        <f>'Raw Data'!G20</f>
        <v>0</v>
      </c>
      <c r="H37" t="s">
        <v>14</v>
      </c>
      <c r="I37" t="s">
        <v>82</v>
      </c>
      <c r="J37">
        <f t="shared" si="5"/>
        <v>30</v>
      </c>
      <c r="K37">
        <f>IF(J37="bullying",1,0)</f>
        <v>0</v>
      </c>
      <c r="M37">
        <v>1</v>
      </c>
    </row>
    <row r="38" spans="1:14">
      <c r="H38" t="s">
        <v>16</v>
      </c>
      <c r="I38" t="s">
        <v>87</v>
      </c>
      <c r="J38">
        <f t="shared" si="5"/>
        <v>56</v>
      </c>
      <c r="K38">
        <v>1</v>
      </c>
    </row>
    <row r="39" spans="1:14">
      <c r="H39" t="s">
        <v>10</v>
      </c>
      <c r="I39" t="s">
        <v>86</v>
      </c>
      <c r="J39">
        <f t="shared" si="5"/>
        <v>32</v>
      </c>
      <c r="K39">
        <f>IF(J39="bullying",1,0)</f>
        <v>0</v>
      </c>
      <c r="N39">
        <v>1</v>
      </c>
    </row>
    <row r="40" spans="1:14">
      <c r="A40"/>
      <c r="H40" t="s">
        <v>14</v>
      </c>
      <c r="I40" t="s">
        <v>112</v>
      </c>
      <c r="J40">
        <f t="shared" si="5"/>
        <v>691</v>
      </c>
      <c r="K40">
        <f>IF(J40="bullying",1,0)</f>
        <v>0</v>
      </c>
      <c r="M40">
        <v>1</v>
      </c>
    </row>
    <row r="41" spans="1:14">
      <c r="A41"/>
      <c r="H41" t="s">
        <v>122</v>
      </c>
      <c r="I41" t="s">
        <v>60</v>
      </c>
      <c r="J41">
        <f t="shared" si="5"/>
        <v>89</v>
      </c>
      <c r="K41">
        <f>IF(J41="bullying",1,0)</f>
        <v>0</v>
      </c>
    </row>
    <row r="42" spans="1:14">
      <c r="A42"/>
      <c r="H42" t="s">
        <v>16</v>
      </c>
      <c r="I42" t="s">
        <v>60</v>
      </c>
      <c r="J42">
        <f t="shared" si="5"/>
        <v>67</v>
      </c>
      <c r="K42">
        <v>1</v>
      </c>
    </row>
    <row r="43" spans="1:14">
      <c r="A43"/>
      <c r="H43" t="s">
        <v>14</v>
      </c>
      <c r="I43" t="s">
        <v>84</v>
      </c>
      <c r="J43">
        <f t="shared" si="5"/>
        <v>14</v>
      </c>
      <c r="K43">
        <f>IF(J43="bullying",1,0)</f>
        <v>0</v>
      </c>
      <c r="M43">
        <v>1</v>
      </c>
    </row>
    <row r="44" spans="1:14">
      <c r="A44"/>
      <c r="H44" s="11"/>
      <c r="I44" s="11"/>
      <c r="K44">
        <f>SUM(K28:K43)</f>
        <v>7</v>
      </c>
    </row>
    <row r="45" spans="1:14">
      <c r="A45"/>
    </row>
    <row r="46" spans="1:14">
      <c r="A46"/>
    </row>
    <row r="152" spans="11:11">
      <c r="K152">
        <v>107</v>
      </c>
    </row>
    <row r="153" spans="11:11">
      <c r="K153">
        <f>159-107</f>
        <v>52</v>
      </c>
    </row>
    <row r="154" spans="11:11">
      <c r="K154">
        <f>K152+(K153/2)</f>
        <v>133</v>
      </c>
    </row>
  </sheetData>
  <printOptions horizontalCentered="1" verticalCentered="1"/>
  <pageMargins left="0.75" right="0.75" top="1" bottom="1" header="0.5" footer="0.5"/>
  <pageSetup paperSize="0" orientation="landscape" horizontalDpi="4294967292" verticalDpi="4294967292"/>
  <headerFooter alignWithMargins="0">
    <oddHeader>&amp;L&amp;C&amp;"Geneva,Bold"&amp;12Appendix A&amp;R&amp;10Page &amp;P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workbookViewId="0">
      <selection activeCell="A17" sqref="A17"/>
    </sheetView>
  </sheetViews>
  <sheetFormatPr defaultRowHeight="11.5"/>
  <cols>
    <col min="1" max="2" width="11.19921875" customWidth="1"/>
    <col min="3" max="3" width="8.796875" customWidth="1"/>
    <col min="4" max="5" width="11.19921875" customWidth="1"/>
    <col min="6" max="6" width="11" customWidth="1"/>
    <col min="7" max="256" width="11.19921875" customWidth="1"/>
  </cols>
  <sheetData>
    <row r="1" spans="1:29">
      <c r="A1" s="1" t="s">
        <v>123</v>
      </c>
      <c r="B1" s="1" t="s">
        <v>125</v>
      </c>
      <c r="C1" t="s">
        <v>95</v>
      </c>
      <c r="D1" t="s">
        <v>74</v>
      </c>
      <c r="E1" t="s">
        <v>75</v>
      </c>
    </row>
    <row r="2" spans="1:29">
      <c r="A2" t="s">
        <v>22</v>
      </c>
      <c r="B2" t="s">
        <v>23</v>
      </c>
      <c r="C2">
        <v>1</v>
      </c>
    </row>
    <row r="3" spans="1:29">
      <c r="A3" t="s">
        <v>25</v>
      </c>
      <c r="B3" t="s">
        <v>23</v>
      </c>
      <c r="C3">
        <v>1</v>
      </c>
    </row>
    <row r="4" spans="1:29">
      <c r="A4" t="s">
        <v>27</v>
      </c>
      <c r="B4" t="s">
        <v>23</v>
      </c>
      <c r="C4">
        <v>1</v>
      </c>
    </row>
    <row r="5" spans="1:29">
      <c r="A5" t="s">
        <v>29</v>
      </c>
      <c r="B5" t="s">
        <v>30</v>
      </c>
      <c r="C5">
        <v>1</v>
      </c>
    </row>
    <row r="6" spans="1:29">
      <c r="A6" t="s">
        <v>31</v>
      </c>
      <c r="D6">
        <v>1</v>
      </c>
    </row>
    <row r="7" spans="1:29">
      <c r="A7" t="s">
        <v>32</v>
      </c>
      <c r="B7" t="s">
        <v>61</v>
      </c>
      <c r="E7">
        <v>1</v>
      </c>
      <c r="AC7" t="s">
        <v>124</v>
      </c>
    </row>
    <row r="8" spans="1:29">
      <c r="A8" t="s">
        <v>33</v>
      </c>
      <c r="B8" t="s">
        <v>34</v>
      </c>
      <c r="C8">
        <v>1</v>
      </c>
    </row>
    <row r="9" spans="1:29">
      <c r="A9" t="s">
        <v>140</v>
      </c>
      <c r="B9" t="s">
        <v>34</v>
      </c>
      <c r="C9">
        <v>1</v>
      </c>
    </row>
    <row r="10" spans="1:29">
      <c r="A10" t="s">
        <v>36</v>
      </c>
      <c r="B10" t="s">
        <v>23</v>
      </c>
      <c r="C10">
        <v>1</v>
      </c>
    </row>
    <row r="11" spans="1:29">
      <c r="A11" t="s">
        <v>38</v>
      </c>
      <c r="B11" t="s">
        <v>6</v>
      </c>
      <c r="C11">
        <v>1</v>
      </c>
    </row>
    <row r="12" spans="1:29">
      <c r="A12" t="s">
        <v>51</v>
      </c>
      <c r="B12" t="s">
        <v>6</v>
      </c>
      <c r="C12">
        <v>1</v>
      </c>
    </row>
    <row r="13" spans="1:29">
      <c r="C13">
        <f>SUM(C2:C12)</f>
        <v>9</v>
      </c>
      <c r="D13">
        <v>1</v>
      </c>
      <c r="E13">
        <v>1</v>
      </c>
    </row>
    <row r="15" spans="1:29">
      <c r="A15" s="1" t="s">
        <v>123</v>
      </c>
      <c r="B15" s="1" t="s">
        <v>127</v>
      </c>
      <c r="C15" s="8" t="s">
        <v>54</v>
      </c>
      <c r="D15" s="1" t="s">
        <v>70</v>
      </c>
      <c r="E15" s="1" t="s">
        <v>71</v>
      </c>
    </row>
    <row r="16" spans="1:29">
      <c r="A16" t="s">
        <v>22</v>
      </c>
      <c r="B16">
        <v>1</v>
      </c>
      <c r="C16">
        <v>2</v>
      </c>
      <c r="D16">
        <v>42</v>
      </c>
      <c r="E16" s="2">
        <v>35.714285714285715</v>
      </c>
      <c r="F16" s="2">
        <f>E16*D16</f>
        <v>1500</v>
      </c>
    </row>
    <row r="17" spans="1:6">
      <c r="A17" t="s">
        <v>25</v>
      </c>
      <c r="B17">
        <v>1</v>
      </c>
      <c r="C17">
        <v>1</v>
      </c>
      <c r="D17">
        <v>90</v>
      </c>
      <c r="E17" s="2">
        <v>16.666666666666668</v>
      </c>
      <c r="F17" s="2">
        <f t="shared" ref="F17:F26" si="0">E17*D17</f>
        <v>1500</v>
      </c>
    </row>
    <row r="18" spans="1:6">
      <c r="A18" t="s">
        <v>27</v>
      </c>
      <c r="B18">
        <v>1</v>
      </c>
      <c r="C18">
        <v>1</v>
      </c>
      <c r="D18">
        <v>30</v>
      </c>
      <c r="E18" s="2">
        <v>47.666666666666664</v>
      </c>
      <c r="F18" s="2">
        <f t="shared" si="0"/>
        <v>1430</v>
      </c>
    </row>
    <row r="19" spans="1:6">
      <c r="A19" t="s">
        <v>29</v>
      </c>
      <c r="B19">
        <v>1</v>
      </c>
      <c r="C19">
        <v>1</v>
      </c>
      <c r="D19">
        <v>102</v>
      </c>
      <c r="E19" s="2">
        <v>5.882352941176471</v>
      </c>
      <c r="F19" s="2">
        <f t="shared" si="0"/>
        <v>600</v>
      </c>
    </row>
    <row r="20" spans="1:6">
      <c r="A20" t="s">
        <v>76</v>
      </c>
      <c r="B20">
        <v>8</v>
      </c>
      <c r="C20">
        <v>3</v>
      </c>
      <c r="D20">
        <v>0</v>
      </c>
      <c r="E20" s="3" t="s">
        <v>102</v>
      </c>
      <c r="F20" s="3" t="s">
        <v>102</v>
      </c>
    </row>
    <row r="21" spans="1:6">
      <c r="A21" t="s">
        <v>32</v>
      </c>
      <c r="B21">
        <v>4</v>
      </c>
      <c r="C21">
        <v>3</v>
      </c>
      <c r="D21">
        <v>19</v>
      </c>
      <c r="E21" s="2">
        <v>842.35842105263157</v>
      </c>
      <c r="F21" s="2">
        <f t="shared" si="0"/>
        <v>16004.81</v>
      </c>
    </row>
    <row r="22" spans="1:6">
      <c r="A22" t="s">
        <v>33</v>
      </c>
      <c r="B22">
        <v>1</v>
      </c>
      <c r="C22">
        <v>1</v>
      </c>
      <c r="D22">
        <v>54</v>
      </c>
      <c r="E22" s="2">
        <v>26.703703703703702</v>
      </c>
      <c r="F22" s="2">
        <f t="shared" si="0"/>
        <v>1442</v>
      </c>
    </row>
    <row r="23" spans="1:6">
      <c r="A23" t="s">
        <v>140</v>
      </c>
      <c r="B23">
        <v>1</v>
      </c>
      <c r="C23">
        <v>2</v>
      </c>
      <c r="D23">
        <v>8</v>
      </c>
      <c r="E23" s="2">
        <v>118.25</v>
      </c>
      <c r="F23" s="2">
        <f t="shared" si="0"/>
        <v>946</v>
      </c>
    </row>
    <row r="24" spans="1:6">
      <c r="A24" t="s">
        <v>36</v>
      </c>
      <c r="B24">
        <v>1</v>
      </c>
      <c r="C24">
        <v>1</v>
      </c>
      <c r="D24">
        <v>23</v>
      </c>
      <c r="E24" s="2">
        <v>62.173913043478258</v>
      </c>
      <c r="F24" s="2">
        <f t="shared" si="0"/>
        <v>1430</v>
      </c>
    </row>
    <row r="25" spans="1:6">
      <c r="A25" t="s">
        <v>38</v>
      </c>
      <c r="B25">
        <v>1</v>
      </c>
      <c r="C25">
        <v>1</v>
      </c>
      <c r="D25">
        <v>50</v>
      </c>
      <c r="E25" s="2">
        <v>30</v>
      </c>
      <c r="F25" s="2">
        <f t="shared" si="0"/>
        <v>1500</v>
      </c>
    </row>
    <row r="26" spans="1:6">
      <c r="A26" t="s">
        <v>51</v>
      </c>
      <c r="B26">
        <v>1</v>
      </c>
      <c r="C26">
        <v>1</v>
      </c>
      <c r="D26">
        <v>74</v>
      </c>
      <c r="E26" s="2">
        <v>20.27027027027027</v>
      </c>
      <c r="F26" s="2">
        <f t="shared" si="0"/>
        <v>1500</v>
      </c>
    </row>
    <row r="29" spans="1:6">
      <c r="B29" t="s">
        <v>95</v>
      </c>
      <c r="C29" t="s">
        <v>74</v>
      </c>
      <c r="D29" t="s">
        <v>75</v>
      </c>
    </row>
    <row r="30" spans="1:6">
      <c r="A30" t="s">
        <v>78</v>
      </c>
      <c r="B30">
        <f>SUM(D16+D17+D18+D19+D22+D23+D24+D25+D26)</f>
        <v>473</v>
      </c>
      <c r="C30">
        <v>0</v>
      </c>
      <c r="D30">
        <v>19</v>
      </c>
    </row>
    <row r="31" spans="1:6">
      <c r="A31" t="s">
        <v>79</v>
      </c>
      <c r="B31" s="2">
        <f>SUM(F16+F17+F18+F19+F22+F23+F24+F25+F26)</f>
        <v>11848</v>
      </c>
      <c r="C31">
        <v>0</v>
      </c>
      <c r="D31" s="2">
        <v>842.35842105263157</v>
      </c>
    </row>
    <row r="32" spans="1:6">
      <c r="A32" t="s">
        <v>80</v>
      </c>
      <c r="B32" s="2">
        <f>B31/B30</f>
        <v>25.048625792811841</v>
      </c>
      <c r="C32">
        <f>C31/D13</f>
        <v>0</v>
      </c>
      <c r="D32" s="16">
        <f>D31/E13</f>
        <v>842.35842105263157</v>
      </c>
    </row>
    <row r="35" spans="1:4">
      <c r="B35" t="s">
        <v>95</v>
      </c>
      <c r="C35" t="s">
        <v>74</v>
      </c>
      <c r="D35" t="s">
        <v>75</v>
      </c>
    </row>
    <row r="36" spans="1:4">
      <c r="A36" s="7" t="s">
        <v>127</v>
      </c>
      <c r="B36">
        <f>SUM(B16+B17+B18+B19+B22+B23+B24+B25+B26)</f>
        <v>9</v>
      </c>
      <c r="C36">
        <f>SUM(B20)</f>
        <v>8</v>
      </c>
      <c r="D36">
        <v>4</v>
      </c>
    </row>
    <row r="37" spans="1:4">
      <c r="A37" t="s">
        <v>77</v>
      </c>
      <c r="B37">
        <f>SUM(C16+C17+C18+C19+C22+C23+C24+C25+C26)</f>
        <v>11</v>
      </c>
      <c r="C37">
        <v>3</v>
      </c>
      <c r="D37">
        <v>3</v>
      </c>
    </row>
  </sheetData>
  <printOptions horizontalCentered="1" verticalCentered="1"/>
  <pageMargins left="0.75" right="0.75" top="1" bottom="1" header="0.5" footer="0.5"/>
  <pageSetup paperSize="0" orientation="landscape" horizontalDpi="4294967292" verticalDpi="4294967292"/>
  <headerFooter alignWithMargins="0">
    <oddHeader>&amp;L&amp;C&amp;"Geneva,Bold"&amp;12Appendix A&amp;R&amp;10Page &amp;P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tabSelected="1" topLeftCell="A8" workbookViewId="0">
      <selection activeCell="A17" sqref="A17"/>
    </sheetView>
  </sheetViews>
  <sheetFormatPr defaultRowHeight="11.5"/>
  <cols>
    <col min="1" max="1" width="17" customWidth="1"/>
    <col min="2" max="2" width="9.5" customWidth="1"/>
    <col min="3" max="3" width="9.296875" customWidth="1"/>
    <col min="4" max="4" width="6" customWidth="1"/>
    <col min="5" max="5" width="6.5" customWidth="1"/>
    <col min="6" max="10" width="4.796875" customWidth="1"/>
    <col min="11" max="11" width="9" bestFit="1" customWidth="1"/>
    <col min="12" max="13" width="11.69921875" bestFit="1" customWidth="1"/>
    <col min="14" max="20" width="11.19921875" customWidth="1"/>
    <col min="21" max="21" width="11.69921875" bestFit="1" customWidth="1"/>
    <col min="22" max="256" width="11.19921875" customWidth="1"/>
  </cols>
  <sheetData>
    <row r="1" spans="1:20" ht="18">
      <c r="A1" s="4" t="s">
        <v>103</v>
      </c>
      <c r="B1" s="5"/>
      <c r="C1" s="5"/>
      <c r="D1" s="5"/>
    </row>
    <row r="2" spans="1:20" ht="15.5">
      <c r="B2" s="6" t="s">
        <v>113</v>
      </c>
      <c r="C2" s="1"/>
      <c r="M2" s="1" t="s">
        <v>40</v>
      </c>
      <c r="Q2" s="83" t="s">
        <v>41</v>
      </c>
    </row>
    <row r="3" spans="1:20" ht="59" customHeight="1">
      <c r="A3" s="29" t="s">
        <v>123</v>
      </c>
      <c r="B3" s="29" t="s">
        <v>125</v>
      </c>
      <c r="C3" s="37" t="s">
        <v>55</v>
      </c>
      <c r="D3" s="105" t="s">
        <v>78</v>
      </c>
      <c r="E3" s="22" t="s">
        <v>40</v>
      </c>
      <c r="F3" s="22" t="s">
        <v>41</v>
      </c>
      <c r="G3" s="36" t="s">
        <v>95</v>
      </c>
      <c r="H3" s="22" t="s">
        <v>64</v>
      </c>
      <c r="I3" s="22" t="s">
        <v>81</v>
      </c>
      <c r="J3" s="36" t="s">
        <v>65</v>
      </c>
      <c r="K3" s="45" t="str">
        <f>'Raw Data'!I4</f>
        <v>$$ per child</v>
      </c>
      <c r="M3" s="68" t="str">
        <f>G3</f>
        <v>Peer skills</v>
      </c>
      <c r="N3" s="68" t="str">
        <f>H3</f>
        <v>Culture</v>
      </c>
      <c r="O3" s="68" t="str">
        <f>I3</f>
        <v>Health</v>
      </c>
      <c r="P3" s="68" t="str">
        <f>J3</f>
        <v>School Retention</v>
      </c>
      <c r="Q3" s="69" t="str">
        <f>M3</f>
        <v>Peer skills</v>
      </c>
      <c r="R3" s="68" t="str">
        <f>N3</f>
        <v>Culture</v>
      </c>
      <c r="S3" s="68" t="str">
        <f>O3</f>
        <v>Health</v>
      </c>
      <c r="T3" s="68" t="str">
        <f>P3</f>
        <v>School Retention</v>
      </c>
    </row>
    <row r="4" spans="1:20" ht="23">
      <c r="A4" s="97" t="s">
        <v>111</v>
      </c>
      <c r="B4" s="97" t="s">
        <v>122</v>
      </c>
      <c r="C4" s="96" t="s">
        <v>106</v>
      </c>
      <c r="D4" s="98">
        <v>141</v>
      </c>
      <c r="E4" s="98">
        <v>141</v>
      </c>
      <c r="F4" s="98"/>
      <c r="G4" s="98">
        <v>1</v>
      </c>
      <c r="H4" s="98"/>
      <c r="I4" s="98"/>
      <c r="J4" s="98"/>
      <c r="K4" s="103">
        <f>'Raw Data'!I5</f>
        <v>10.263929618768328</v>
      </c>
      <c r="L4" s="16">
        <f>'Raw Data'!K5</f>
        <v>3500</v>
      </c>
      <c r="M4" s="18">
        <f>IF(G4=1,$K4*$E4,0)</f>
        <v>1447.2140762463343</v>
      </c>
      <c r="N4" s="18">
        <f t="shared" ref="N4:P19" si="0">IF(H4=1,$K4*$E4,0)</f>
        <v>0</v>
      </c>
      <c r="O4" s="18">
        <f t="shared" si="0"/>
        <v>0</v>
      </c>
      <c r="P4" s="18">
        <f t="shared" si="0"/>
        <v>0</v>
      </c>
      <c r="Q4" s="66">
        <f>IF(G4=1,$K4*$F4,0)</f>
        <v>0</v>
      </c>
      <c r="R4" s="18">
        <f t="shared" ref="R4:T19" si="1">IF(H4=1,$K4*$F4,0)</f>
        <v>0</v>
      </c>
      <c r="S4" s="18">
        <f t="shared" si="1"/>
        <v>0</v>
      </c>
      <c r="T4" s="18">
        <f t="shared" si="1"/>
        <v>0</v>
      </c>
    </row>
    <row r="5" spans="1:20" ht="23">
      <c r="A5" s="97" t="s">
        <v>128</v>
      </c>
      <c r="B5" s="97" t="s">
        <v>129</v>
      </c>
      <c r="C5" s="96" t="s">
        <v>110</v>
      </c>
      <c r="D5" s="98">
        <v>7</v>
      </c>
      <c r="E5" s="98"/>
      <c r="F5" s="98">
        <v>7</v>
      </c>
      <c r="G5" s="98">
        <v>1</v>
      </c>
      <c r="H5" s="98"/>
      <c r="I5" s="98"/>
      <c r="J5" s="98"/>
      <c r="K5" s="103">
        <f>'Raw Data'!I6</f>
        <v>290.02857142857141</v>
      </c>
      <c r="L5" s="16">
        <f>'Raw Data'!K6</f>
        <v>2030.2</v>
      </c>
      <c r="M5" s="18">
        <f t="shared" ref="M5:M19" si="2">IF(G5=1,$K5*$E5,0)</f>
        <v>0</v>
      </c>
      <c r="N5" s="18">
        <f t="shared" si="0"/>
        <v>0</v>
      </c>
      <c r="O5" s="18">
        <f t="shared" si="0"/>
        <v>0</v>
      </c>
      <c r="P5" s="18">
        <f t="shared" si="0"/>
        <v>0</v>
      </c>
      <c r="Q5" s="66">
        <f>IF(G5=1,$K5*$F5,0)</f>
        <v>2030.1999999999998</v>
      </c>
      <c r="R5" s="18">
        <f t="shared" si="1"/>
        <v>0</v>
      </c>
      <c r="S5" s="18">
        <f t="shared" si="1"/>
        <v>0</v>
      </c>
      <c r="T5" s="18">
        <f t="shared" si="1"/>
        <v>0</v>
      </c>
    </row>
    <row r="6" spans="1:20">
      <c r="A6" s="97" t="s">
        <v>133</v>
      </c>
      <c r="B6" s="97" t="s">
        <v>14</v>
      </c>
      <c r="C6" s="96" t="s">
        <v>84</v>
      </c>
      <c r="D6" s="98">
        <v>4</v>
      </c>
      <c r="E6" s="98">
        <v>2</v>
      </c>
      <c r="F6" s="98">
        <v>2</v>
      </c>
      <c r="G6" s="98"/>
      <c r="H6" s="98"/>
      <c r="I6" s="98"/>
      <c r="J6" s="98">
        <v>1</v>
      </c>
      <c r="K6" s="103">
        <f>'Raw Data'!I7</f>
        <v>875</v>
      </c>
      <c r="L6" s="16">
        <f>'Raw Data'!K7</f>
        <v>3500</v>
      </c>
      <c r="M6" s="18">
        <f t="shared" si="2"/>
        <v>0</v>
      </c>
      <c r="N6" s="18">
        <f t="shared" si="0"/>
        <v>0</v>
      </c>
      <c r="O6" s="18">
        <f t="shared" si="0"/>
        <v>0</v>
      </c>
      <c r="P6" s="18">
        <f t="shared" si="0"/>
        <v>1750</v>
      </c>
      <c r="Q6" s="66">
        <f t="shared" ref="Q6:Q19" si="3">IF(G6=1,$K6*$F6,0)</f>
        <v>0</v>
      </c>
      <c r="R6" s="18">
        <f t="shared" si="1"/>
        <v>0</v>
      </c>
      <c r="S6" s="18">
        <f t="shared" si="1"/>
        <v>0</v>
      </c>
      <c r="T6" s="18">
        <f t="shared" si="1"/>
        <v>1750</v>
      </c>
    </row>
    <row r="7" spans="1:20" ht="23">
      <c r="A7" s="97" t="s">
        <v>140</v>
      </c>
      <c r="B7" s="97" t="s">
        <v>2</v>
      </c>
      <c r="C7" s="96" t="s">
        <v>108</v>
      </c>
      <c r="D7" s="98">
        <v>148</v>
      </c>
      <c r="E7" s="98"/>
      <c r="F7" s="98">
        <v>148</v>
      </c>
      <c r="G7" s="98">
        <v>1</v>
      </c>
      <c r="H7" s="98"/>
      <c r="I7" s="98"/>
      <c r="J7" s="98"/>
      <c r="K7" s="103">
        <f>'Raw Data'!I8</f>
        <v>26.216216216216218</v>
      </c>
      <c r="L7" s="16">
        <f>'Raw Data'!K8</f>
        <v>3880</v>
      </c>
      <c r="M7" s="18">
        <f t="shared" si="2"/>
        <v>0</v>
      </c>
      <c r="N7" s="18">
        <f t="shared" si="0"/>
        <v>0</v>
      </c>
      <c r="O7" s="18">
        <f t="shared" si="0"/>
        <v>0</v>
      </c>
      <c r="P7" s="18">
        <f t="shared" si="0"/>
        <v>0</v>
      </c>
      <c r="Q7" s="66">
        <f t="shared" si="3"/>
        <v>3880</v>
      </c>
      <c r="R7" s="18">
        <f t="shared" si="1"/>
        <v>0</v>
      </c>
      <c r="S7" s="18">
        <f t="shared" si="1"/>
        <v>0</v>
      </c>
      <c r="T7" s="18">
        <f t="shared" si="1"/>
        <v>0</v>
      </c>
    </row>
    <row r="8" spans="1:20">
      <c r="A8" s="97" t="s">
        <v>3</v>
      </c>
      <c r="B8" s="97" t="s">
        <v>4</v>
      </c>
      <c r="C8" s="96" t="s">
        <v>91</v>
      </c>
      <c r="D8" s="98">
        <v>19</v>
      </c>
      <c r="E8" s="98"/>
      <c r="F8" s="98">
        <v>19</v>
      </c>
      <c r="G8" s="98"/>
      <c r="H8" s="98">
        <v>1</v>
      </c>
      <c r="I8" s="98"/>
      <c r="J8" s="98"/>
      <c r="K8" s="103">
        <f>'Raw Data'!I9</f>
        <v>180.28631578947369</v>
      </c>
      <c r="L8" s="16">
        <f>'Raw Data'!K9</f>
        <v>3425.44</v>
      </c>
      <c r="M8" s="18">
        <f t="shared" si="2"/>
        <v>0</v>
      </c>
      <c r="N8" s="18">
        <f t="shared" si="0"/>
        <v>0</v>
      </c>
      <c r="O8" s="18">
        <f t="shared" si="0"/>
        <v>0</v>
      </c>
      <c r="P8" s="18">
        <f t="shared" si="0"/>
        <v>0</v>
      </c>
      <c r="Q8" s="66">
        <f t="shared" si="3"/>
        <v>0</v>
      </c>
      <c r="R8" s="18">
        <f t="shared" si="1"/>
        <v>3425.44</v>
      </c>
      <c r="S8" s="18">
        <f t="shared" si="1"/>
        <v>0</v>
      </c>
      <c r="T8" s="18">
        <f t="shared" si="1"/>
        <v>0</v>
      </c>
    </row>
    <row r="9" spans="1:20">
      <c r="A9" s="97" t="s">
        <v>5</v>
      </c>
      <c r="B9" s="97" t="s">
        <v>6</v>
      </c>
      <c r="C9" s="96" t="s">
        <v>60</v>
      </c>
      <c r="D9" s="98">
        <v>66</v>
      </c>
      <c r="E9" s="98">
        <v>66</v>
      </c>
      <c r="F9" s="98"/>
      <c r="G9" s="98">
        <v>1</v>
      </c>
      <c r="H9" s="98"/>
      <c r="I9" s="98"/>
      <c r="J9" s="98"/>
      <c r="K9" s="103">
        <f>'Raw Data'!I10</f>
        <v>45.454545454545453</v>
      </c>
      <c r="L9" s="16">
        <f>'Raw Data'!K10</f>
        <v>3000</v>
      </c>
      <c r="M9" s="18">
        <f t="shared" si="2"/>
        <v>3000</v>
      </c>
      <c r="N9" s="18">
        <f t="shared" si="0"/>
        <v>0</v>
      </c>
      <c r="O9" s="18">
        <f t="shared" si="0"/>
        <v>0</v>
      </c>
      <c r="P9" s="18">
        <f t="shared" si="0"/>
        <v>0</v>
      </c>
      <c r="Q9" s="66">
        <f t="shared" si="3"/>
        <v>0</v>
      </c>
      <c r="R9" s="18">
        <f t="shared" si="1"/>
        <v>0</v>
      </c>
      <c r="S9" s="18">
        <f t="shared" si="1"/>
        <v>0</v>
      </c>
      <c r="T9" s="18">
        <f t="shared" si="1"/>
        <v>0</v>
      </c>
    </row>
    <row r="10" spans="1:20" ht="23">
      <c r="A10" s="97" t="s">
        <v>7</v>
      </c>
      <c r="B10" s="97" t="s">
        <v>9</v>
      </c>
      <c r="C10" s="96" t="s">
        <v>92</v>
      </c>
      <c r="D10" s="98">
        <v>38</v>
      </c>
      <c r="E10" s="98">
        <v>1</v>
      </c>
      <c r="F10" s="98">
        <v>37</v>
      </c>
      <c r="G10" s="98"/>
      <c r="H10" s="98"/>
      <c r="I10" s="98">
        <v>1</v>
      </c>
      <c r="J10" s="98"/>
      <c r="K10" s="103">
        <f>'Raw Data'!I11</f>
        <v>92.10526315789474</v>
      </c>
      <c r="L10" s="16">
        <f>'Raw Data'!K11</f>
        <v>3500</v>
      </c>
      <c r="M10" s="18">
        <f t="shared" si="2"/>
        <v>0</v>
      </c>
      <c r="N10" s="18">
        <f t="shared" si="0"/>
        <v>0</v>
      </c>
      <c r="O10" s="18">
        <f t="shared" si="0"/>
        <v>92.10526315789474</v>
      </c>
      <c r="P10" s="18">
        <f t="shared" si="0"/>
        <v>0</v>
      </c>
      <c r="Q10" s="66">
        <f t="shared" si="3"/>
        <v>0</v>
      </c>
      <c r="R10" s="18">
        <f t="shared" si="1"/>
        <v>0</v>
      </c>
      <c r="S10" s="18">
        <f t="shared" si="1"/>
        <v>3407.8947368421054</v>
      </c>
      <c r="T10" s="18">
        <f t="shared" si="1"/>
        <v>0</v>
      </c>
    </row>
    <row r="11" spans="1:20" ht="23">
      <c r="A11" s="97" t="s">
        <v>24</v>
      </c>
      <c r="B11" s="97" t="s">
        <v>10</v>
      </c>
      <c r="C11" s="96" t="s">
        <v>91</v>
      </c>
      <c r="D11" s="98">
        <v>60</v>
      </c>
      <c r="E11" s="98"/>
      <c r="F11" s="98">
        <v>60</v>
      </c>
      <c r="G11" s="98"/>
      <c r="H11" s="98"/>
      <c r="I11" s="98">
        <v>1</v>
      </c>
      <c r="J11" s="98"/>
      <c r="K11" s="103">
        <f>'Raw Data'!I12</f>
        <v>27.5</v>
      </c>
      <c r="L11" s="16">
        <f>'Raw Data'!K12</f>
        <v>1650</v>
      </c>
      <c r="M11" s="18">
        <f t="shared" si="2"/>
        <v>0</v>
      </c>
      <c r="N11" s="18">
        <f t="shared" si="0"/>
        <v>0</v>
      </c>
      <c r="O11" s="18">
        <f t="shared" si="0"/>
        <v>0</v>
      </c>
      <c r="P11" s="18">
        <f t="shared" si="0"/>
        <v>0</v>
      </c>
      <c r="Q11" s="66">
        <f t="shared" si="3"/>
        <v>0</v>
      </c>
      <c r="R11" s="18">
        <f t="shared" si="1"/>
        <v>0</v>
      </c>
      <c r="S11" s="18">
        <f t="shared" si="1"/>
        <v>1650</v>
      </c>
      <c r="T11" s="18">
        <f t="shared" si="1"/>
        <v>0</v>
      </c>
    </row>
    <row r="12" spans="1:20" ht="23">
      <c r="A12" s="97" t="s">
        <v>11</v>
      </c>
      <c r="B12" s="97" t="s">
        <v>12</v>
      </c>
      <c r="C12" s="96" t="s">
        <v>63</v>
      </c>
      <c r="D12" s="98">
        <v>92</v>
      </c>
      <c r="E12" s="98">
        <v>92</v>
      </c>
      <c r="F12" s="98"/>
      <c r="G12" s="98">
        <v>1</v>
      </c>
      <c r="H12" s="98"/>
      <c r="I12" s="98"/>
      <c r="J12" s="98"/>
      <c r="K12" s="103">
        <f>'Raw Data'!I13</f>
        <v>32.608695652173914</v>
      </c>
      <c r="L12" s="16">
        <f>'Raw Data'!K13</f>
        <v>3000</v>
      </c>
      <c r="M12" s="18">
        <f t="shared" si="2"/>
        <v>3000</v>
      </c>
      <c r="N12" s="18">
        <f t="shared" si="0"/>
        <v>0</v>
      </c>
      <c r="O12" s="18">
        <f t="shared" si="0"/>
        <v>0</v>
      </c>
      <c r="P12" s="18">
        <f t="shared" si="0"/>
        <v>0</v>
      </c>
      <c r="Q12" s="66">
        <f t="shared" si="3"/>
        <v>0</v>
      </c>
      <c r="R12" s="18">
        <f t="shared" si="1"/>
        <v>0</v>
      </c>
      <c r="S12" s="18">
        <f t="shared" si="1"/>
        <v>0</v>
      </c>
      <c r="T12" s="18">
        <f t="shared" si="1"/>
        <v>0</v>
      </c>
    </row>
    <row r="13" spans="1:20">
      <c r="A13" s="97" t="s">
        <v>13</v>
      </c>
      <c r="B13" s="97" t="s">
        <v>14</v>
      </c>
      <c r="C13" s="96" t="s">
        <v>84</v>
      </c>
      <c r="D13" s="98">
        <v>30</v>
      </c>
      <c r="E13" s="98"/>
      <c r="F13" s="98">
        <v>30</v>
      </c>
      <c r="G13" s="98"/>
      <c r="H13" s="98"/>
      <c r="I13" s="98"/>
      <c r="J13" s="98">
        <v>1</v>
      </c>
      <c r="K13" s="103">
        <f>'Raw Data'!I14</f>
        <v>85.365853658536579</v>
      </c>
      <c r="L13" s="16">
        <f>'Raw Data'!K14</f>
        <v>3500</v>
      </c>
      <c r="M13" s="18">
        <f t="shared" si="2"/>
        <v>0</v>
      </c>
      <c r="N13" s="18">
        <f t="shared" si="0"/>
        <v>0</v>
      </c>
      <c r="O13" s="18">
        <f t="shared" si="0"/>
        <v>0</v>
      </c>
      <c r="P13" s="18">
        <f t="shared" si="0"/>
        <v>0</v>
      </c>
      <c r="Q13" s="66">
        <f t="shared" si="3"/>
        <v>0</v>
      </c>
      <c r="R13" s="18">
        <f t="shared" si="1"/>
        <v>0</v>
      </c>
      <c r="S13" s="18">
        <f t="shared" si="1"/>
        <v>0</v>
      </c>
      <c r="T13" s="18">
        <f t="shared" si="1"/>
        <v>2560.9756097560976</v>
      </c>
    </row>
    <row r="14" spans="1:20" ht="23">
      <c r="A14" s="97" t="s">
        <v>15</v>
      </c>
      <c r="B14" s="97" t="s">
        <v>16</v>
      </c>
      <c r="C14" s="96" t="s">
        <v>87</v>
      </c>
      <c r="D14" s="98">
        <v>56</v>
      </c>
      <c r="E14" s="98">
        <v>56</v>
      </c>
      <c r="F14" s="98"/>
      <c r="G14" s="98">
        <v>1</v>
      </c>
      <c r="H14" s="98"/>
      <c r="I14" s="98"/>
      <c r="J14" s="98"/>
      <c r="K14" s="103">
        <f>'Raw Data'!I15</f>
        <v>18.5</v>
      </c>
      <c r="L14" s="16">
        <f>'Raw Data'!K15</f>
        <v>2035</v>
      </c>
      <c r="M14" s="18">
        <f t="shared" si="2"/>
        <v>1036</v>
      </c>
      <c r="N14" s="18">
        <f t="shared" si="0"/>
        <v>0</v>
      </c>
      <c r="O14" s="18">
        <f t="shared" si="0"/>
        <v>0</v>
      </c>
      <c r="P14" s="18">
        <f t="shared" si="0"/>
        <v>0</v>
      </c>
      <c r="Q14" s="66">
        <f t="shared" si="3"/>
        <v>0</v>
      </c>
      <c r="R14" s="18">
        <f t="shared" si="1"/>
        <v>0</v>
      </c>
      <c r="S14" s="18">
        <f t="shared" si="1"/>
        <v>0</v>
      </c>
      <c r="T14" s="18">
        <f t="shared" si="1"/>
        <v>0</v>
      </c>
    </row>
    <row r="15" spans="1:20" ht="23">
      <c r="A15" s="97" t="s">
        <v>24</v>
      </c>
      <c r="B15" s="97" t="s">
        <v>10</v>
      </c>
      <c r="C15" s="96" t="s">
        <v>86</v>
      </c>
      <c r="D15" s="98">
        <v>32</v>
      </c>
      <c r="E15" s="98"/>
      <c r="F15" s="98">
        <v>32</v>
      </c>
      <c r="G15" s="98"/>
      <c r="H15" s="98"/>
      <c r="I15" s="98">
        <v>1</v>
      </c>
      <c r="J15" s="98"/>
      <c r="K15" s="103">
        <f>'Raw Data'!I16</f>
        <v>31.03125</v>
      </c>
      <c r="L15" s="16">
        <f>'Raw Data'!K16</f>
        <v>993</v>
      </c>
      <c r="M15" s="18">
        <f t="shared" si="2"/>
        <v>0</v>
      </c>
      <c r="N15" s="18">
        <f t="shared" si="0"/>
        <v>0</v>
      </c>
      <c r="O15" s="18">
        <f t="shared" si="0"/>
        <v>0</v>
      </c>
      <c r="P15" s="18">
        <f t="shared" si="0"/>
        <v>0</v>
      </c>
      <c r="Q15" s="66">
        <f t="shared" si="3"/>
        <v>0</v>
      </c>
      <c r="R15" s="18">
        <f t="shared" si="1"/>
        <v>0</v>
      </c>
      <c r="S15" s="18">
        <f t="shared" si="1"/>
        <v>993</v>
      </c>
      <c r="T15" s="18">
        <f t="shared" si="1"/>
        <v>0</v>
      </c>
    </row>
    <row r="16" spans="1:20">
      <c r="A16" s="97" t="s">
        <v>17</v>
      </c>
      <c r="B16" s="97" t="s">
        <v>14</v>
      </c>
      <c r="C16" s="96" t="s">
        <v>112</v>
      </c>
      <c r="D16" s="98">
        <v>691</v>
      </c>
      <c r="E16" s="98"/>
      <c r="F16" s="98">
        <v>691</v>
      </c>
      <c r="G16" s="98"/>
      <c r="H16" s="98"/>
      <c r="I16" s="98"/>
      <c r="J16" s="98">
        <v>1</v>
      </c>
      <c r="K16" s="103">
        <f>'Raw Data'!I17</f>
        <v>2.199710564399421</v>
      </c>
      <c r="L16" s="16">
        <f>'Raw Data'!K17</f>
        <v>1520</v>
      </c>
      <c r="M16" s="18">
        <f t="shared" si="2"/>
        <v>0</v>
      </c>
      <c r="N16" s="18">
        <f t="shared" si="0"/>
        <v>0</v>
      </c>
      <c r="O16" s="18">
        <f t="shared" si="0"/>
        <v>0</v>
      </c>
      <c r="P16" s="18">
        <f t="shared" si="0"/>
        <v>0</v>
      </c>
      <c r="Q16" s="66">
        <f t="shared" si="3"/>
        <v>0</v>
      </c>
      <c r="R16" s="18">
        <f t="shared" si="1"/>
        <v>0</v>
      </c>
      <c r="S16" s="18">
        <f t="shared" si="1"/>
        <v>0</v>
      </c>
      <c r="T16" s="18">
        <f t="shared" si="1"/>
        <v>1520</v>
      </c>
    </row>
    <row r="17" spans="1:22">
      <c r="A17" s="97" t="s">
        <v>19</v>
      </c>
      <c r="B17" s="97" t="s">
        <v>122</v>
      </c>
      <c r="C17" s="96" t="s">
        <v>60</v>
      </c>
      <c r="D17" s="98">
        <v>89</v>
      </c>
      <c r="E17" s="98">
        <v>89</v>
      </c>
      <c r="F17" s="98"/>
      <c r="G17" s="98">
        <v>1</v>
      </c>
      <c r="H17" s="98"/>
      <c r="I17" s="98"/>
      <c r="J17" s="98"/>
      <c r="K17" s="103">
        <f>'Raw Data'!I18</f>
        <v>16.853932584269664</v>
      </c>
      <c r="L17" s="16">
        <f>'Raw Data'!K18</f>
        <v>1500</v>
      </c>
      <c r="M17" s="18">
        <f t="shared" si="2"/>
        <v>1500</v>
      </c>
      <c r="N17" s="18">
        <f t="shared" si="0"/>
        <v>0</v>
      </c>
      <c r="O17" s="18">
        <f t="shared" si="0"/>
        <v>0</v>
      </c>
      <c r="P17" s="18">
        <f t="shared" si="0"/>
        <v>0</v>
      </c>
      <c r="Q17" s="66">
        <f t="shared" si="3"/>
        <v>0</v>
      </c>
      <c r="R17" s="18">
        <f t="shared" si="1"/>
        <v>0</v>
      </c>
      <c r="S17" s="18">
        <f t="shared" si="1"/>
        <v>0</v>
      </c>
      <c r="T17" s="18">
        <f t="shared" si="1"/>
        <v>0</v>
      </c>
    </row>
    <row r="18" spans="1:22">
      <c r="A18" s="97" t="s">
        <v>20</v>
      </c>
      <c r="B18" s="97" t="s">
        <v>16</v>
      </c>
      <c r="C18" s="96" t="s">
        <v>60</v>
      </c>
      <c r="D18" s="98">
        <v>67</v>
      </c>
      <c r="E18" s="98">
        <v>67</v>
      </c>
      <c r="F18" s="98"/>
      <c r="G18" s="98">
        <v>1</v>
      </c>
      <c r="H18" s="98"/>
      <c r="I18" s="98"/>
      <c r="J18" s="98"/>
      <c r="K18" s="103">
        <f>'Raw Data'!I19</f>
        <v>20.149253731343283</v>
      </c>
      <c r="L18" s="16">
        <f>'Raw Data'!K19</f>
        <v>1350</v>
      </c>
      <c r="M18" s="18">
        <f t="shared" si="2"/>
        <v>1350</v>
      </c>
      <c r="N18" s="18">
        <f t="shared" si="0"/>
        <v>0</v>
      </c>
      <c r="O18" s="18">
        <f t="shared" si="0"/>
        <v>0</v>
      </c>
      <c r="P18" s="18">
        <f t="shared" si="0"/>
        <v>0</v>
      </c>
      <c r="Q18" s="66">
        <f t="shared" si="3"/>
        <v>0</v>
      </c>
      <c r="R18" s="18">
        <f t="shared" si="1"/>
        <v>0</v>
      </c>
      <c r="S18" s="18">
        <f t="shared" si="1"/>
        <v>0</v>
      </c>
      <c r="T18" s="18">
        <f t="shared" si="1"/>
        <v>0</v>
      </c>
      <c r="U18">
        <v>2000</v>
      </c>
    </row>
    <row r="19" spans="1:22">
      <c r="A19" s="97" t="s">
        <v>21</v>
      </c>
      <c r="B19" s="97" t="s">
        <v>14</v>
      </c>
      <c r="C19" s="96" t="s">
        <v>84</v>
      </c>
      <c r="D19" s="98">
        <v>14</v>
      </c>
      <c r="E19" s="98">
        <v>0</v>
      </c>
      <c r="F19" s="98">
        <v>14</v>
      </c>
      <c r="G19" s="98"/>
      <c r="H19" s="98"/>
      <c r="I19" s="98"/>
      <c r="J19" s="98">
        <v>1</v>
      </c>
      <c r="K19" s="104">
        <f>'Raw Data'!I20</f>
        <v>71.428571428571431</v>
      </c>
      <c r="L19" s="16">
        <v>0</v>
      </c>
      <c r="M19" s="18">
        <f t="shared" si="2"/>
        <v>0</v>
      </c>
      <c r="N19" s="18">
        <f t="shared" si="0"/>
        <v>0</v>
      </c>
      <c r="O19" s="18">
        <f t="shared" si="0"/>
        <v>0</v>
      </c>
      <c r="P19" s="18">
        <v>0</v>
      </c>
      <c r="Q19" s="66">
        <f t="shared" si="3"/>
        <v>0</v>
      </c>
      <c r="R19" s="18">
        <f t="shared" si="1"/>
        <v>0</v>
      </c>
      <c r="S19" s="18">
        <f t="shared" si="1"/>
        <v>0</v>
      </c>
      <c r="T19" s="18">
        <v>0</v>
      </c>
      <c r="U19" t="s">
        <v>66</v>
      </c>
      <c r="V19" t="s">
        <v>67</v>
      </c>
    </row>
    <row r="20" spans="1:22">
      <c r="A20" s="23"/>
      <c r="B20" s="23"/>
      <c r="C20" s="23"/>
      <c r="E20" s="109">
        <f>SUM(E4:E19)</f>
        <v>514</v>
      </c>
      <c r="F20" s="109">
        <f>SUM(F5:F16)</f>
        <v>1026</v>
      </c>
      <c r="G20" s="44">
        <f>SUM(G4:G18)</f>
        <v>8</v>
      </c>
      <c r="H20" s="44">
        <v>1</v>
      </c>
      <c r="I20" s="44">
        <v>3</v>
      </c>
      <c r="J20" s="44">
        <v>4</v>
      </c>
      <c r="L20" s="46">
        <f t="shared" ref="L20:T20" si="4">SUM(L4:L19)</f>
        <v>38383.64</v>
      </c>
      <c r="M20" s="62">
        <f t="shared" si="4"/>
        <v>11333.214076246335</v>
      </c>
      <c r="N20" s="70">
        <f t="shared" si="4"/>
        <v>0</v>
      </c>
      <c r="O20" s="70">
        <f t="shared" si="4"/>
        <v>92.10526315789474</v>
      </c>
      <c r="P20" s="70">
        <f t="shared" si="4"/>
        <v>1750</v>
      </c>
      <c r="Q20" s="62">
        <f t="shared" si="4"/>
        <v>5910.2</v>
      </c>
      <c r="R20" s="70">
        <f t="shared" si="4"/>
        <v>3425.44</v>
      </c>
      <c r="S20" s="70">
        <f t="shared" si="4"/>
        <v>6050.894736842105</v>
      </c>
      <c r="T20" s="71">
        <f t="shared" si="4"/>
        <v>5830.9756097560976</v>
      </c>
      <c r="U20" s="46">
        <f>SUM(M20:P20)</f>
        <v>13175.31933940423</v>
      </c>
      <c r="V20" s="85">
        <f>SUM(Q20:T20)</f>
        <v>21217.510346598203</v>
      </c>
    </row>
    <row r="21" spans="1:22">
      <c r="A21" s="23"/>
      <c r="B21" s="23"/>
      <c r="C21" s="23"/>
      <c r="L21" s="46"/>
      <c r="M21" s="72">
        <f>'Age Charts'!B23</f>
        <v>511</v>
      </c>
      <c r="N21" s="73">
        <f>'Age Charts'!C23</f>
        <v>0</v>
      </c>
      <c r="O21" s="73">
        <f>'Age Charts'!D23</f>
        <v>1</v>
      </c>
      <c r="P21" s="73">
        <f>'Age Charts'!E23</f>
        <v>2</v>
      </c>
      <c r="Q21" s="67">
        <f>'Age Charts'!B24</f>
        <v>155</v>
      </c>
      <c r="R21" s="74">
        <f>'Age Charts'!C24</f>
        <v>19</v>
      </c>
      <c r="S21" s="74">
        <f>'Age Charts'!D24</f>
        <v>129</v>
      </c>
      <c r="T21" s="75">
        <f>'Age Charts'!E24</f>
        <v>723</v>
      </c>
      <c r="U21" s="108">
        <f>SUM(M21:P21)</f>
        <v>514</v>
      </c>
      <c r="V21" s="107">
        <f>SUM(Q21:T21)</f>
        <v>1026</v>
      </c>
    </row>
    <row r="22" spans="1:22" ht="15.5">
      <c r="A22" s="23"/>
      <c r="B22" s="48" t="s">
        <v>52</v>
      </c>
      <c r="C22" s="14"/>
      <c r="L22" s="46"/>
      <c r="M22" s="76">
        <f>M20/M21</f>
        <v>22.178501127683631</v>
      </c>
      <c r="N22" s="77">
        <v>0</v>
      </c>
      <c r="O22" s="77">
        <f t="shared" ref="O22:T22" si="5">O20/O21</f>
        <v>92.10526315789474</v>
      </c>
      <c r="P22" s="77">
        <f t="shared" si="5"/>
        <v>875</v>
      </c>
      <c r="Q22" s="76">
        <f t="shared" si="5"/>
        <v>38.130322580645164</v>
      </c>
      <c r="R22" s="77">
        <f t="shared" si="5"/>
        <v>180.28631578947369</v>
      </c>
      <c r="S22" s="77">
        <f t="shared" si="5"/>
        <v>46.906160750713994</v>
      </c>
      <c r="T22" s="78">
        <f t="shared" si="5"/>
        <v>8.0649731808521405</v>
      </c>
      <c r="U22" s="16">
        <f>U20/U21</f>
        <v>25.632917002731965</v>
      </c>
      <c r="V22" s="46">
        <f>S37</f>
        <v>39.036785982699946</v>
      </c>
    </row>
    <row r="23" spans="1:22" ht="59" customHeight="1">
      <c r="A23" s="28" t="s">
        <v>123</v>
      </c>
      <c r="B23" s="28" t="s">
        <v>125</v>
      </c>
      <c r="C23" s="20" t="s">
        <v>56</v>
      </c>
      <c r="D23" s="105" t="s">
        <v>78</v>
      </c>
      <c r="E23" s="22" t="s">
        <v>40</v>
      </c>
      <c r="F23" s="22" t="s">
        <v>41</v>
      </c>
      <c r="G23" s="36" t="s">
        <v>95</v>
      </c>
      <c r="H23" s="36" t="s">
        <v>65</v>
      </c>
      <c r="I23" s="36" t="s">
        <v>75</v>
      </c>
      <c r="J23" s="22"/>
      <c r="K23" s="47" t="str">
        <f>K3</f>
        <v>$$ per child</v>
      </c>
      <c r="L23" s="46"/>
      <c r="M23" s="36" t="s">
        <v>95</v>
      </c>
      <c r="N23" s="36" t="s">
        <v>65</v>
      </c>
      <c r="O23" s="36" t="s">
        <v>75</v>
      </c>
      <c r="P23" s="84" t="s">
        <v>95</v>
      </c>
      <c r="Q23" s="20" t="s">
        <v>65</v>
      </c>
      <c r="R23" s="20" t="s">
        <v>75</v>
      </c>
      <c r="U23">
        <v>2001</v>
      </c>
    </row>
    <row r="24" spans="1:22" ht="23">
      <c r="A24" s="97" t="s">
        <v>22</v>
      </c>
      <c r="B24" s="97" t="s">
        <v>23</v>
      </c>
      <c r="C24" s="96" t="s">
        <v>63</v>
      </c>
      <c r="D24" s="98">
        <v>42</v>
      </c>
      <c r="E24" s="98">
        <v>42</v>
      </c>
      <c r="F24" s="98"/>
      <c r="G24" s="98">
        <v>1</v>
      </c>
      <c r="H24" s="98"/>
      <c r="I24" s="98"/>
      <c r="J24" s="98"/>
      <c r="K24" s="103">
        <f>'Raw Data'!I26</f>
        <v>35.714285714285715</v>
      </c>
      <c r="M24" s="18">
        <f>IF(G24=1,$K24*$E24,0)</f>
        <v>1500</v>
      </c>
      <c r="N24" s="18">
        <f>IF(H24=1,$K24*$E24,0)</f>
        <v>0</v>
      </c>
      <c r="O24" s="18">
        <f>IF(I24=1,$K24*$E24,0)</f>
        <v>0</v>
      </c>
      <c r="P24" s="86">
        <f>IF(G24=1,$K24*$F24,0)</f>
        <v>0</v>
      </c>
      <c r="Q24" s="18">
        <f>IF(H24=1,$K24*$F24,0)</f>
        <v>0</v>
      </c>
      <c r="R24" s="18">
        <f>IF(I24=1,$K24*$F24,0)</f>
        <v>0</v>
      </c>
      <c r="U24" t="s">
        <v>66</v>
      </c>
      <c r="V24" t="s">
        <v>67</v>
      </c>
    </row>
    <row r="25" spans="1:22">
      <c r="A25" s="97" t="s">
        <v>25</v>
      </c>
      <c r="B25" s="97" t="s">
        <v>23</v>
      </c>
      <c r="C25" s="96" t="s">
        <v>60</v>
      </c>
      <c r="D25" s="98">
        <v>90</v>
      </c>
      <c r="E25" s="98">
        <v>90</v>
      </c>
      <c r="F25" s="98"/>
      <c r="G25" s="98">
        <v>1</v>
      </c>
      <c r="H25" s="98"/>
      <c r="I25" s="98"/>
      <c r="J25" s="98"/>
      <c r="K25" s="103">
        <f>'Raw Data'!I27</f>
        <v>16.666666666666668</v>
      </c>
      <c r="M25" s="18">
        <f t="shared" ref="M25:M34" si="6">IF(G25=1,$K25*$E25,0)</f>
        <v>1500</v>
      </c>
      <c r="N25" s="18">
        <f t="shared" ref="N25:N34" si="7">IF(H25=1,$K25*$E25,0)</f>
        <v>0</v>
      </c>
      <c r="O25" s="18">
        <f t="shared" ref="O25:O34" si="8">IF(I25=1,$K25*$E25,0)</f>
        <v>0</v>
      </c>
      <c r="P25" s="66">
        <f t="shared" ref="P25:P34" si="9">IF(G25=1,$K25*$F25,0)</f>
        <v>0</v>
      </c>
      <c r="Q25" s="18">
        <f t="shared" ref="Q25:Q34" si="10">IF(H25=1,$K25*$F25,0)</f>
        <v>0</v>
      </c>
      <c r="R25" s="18">
        <f t="shared" ref="R25:R34" si="11">IF(I25=1,$K25*$F25,0)</f>
        <v>0</v>
      </c>
      <c r="U25" s="85">
        <f>SUM(M35:O35)</f>
        <v>17605.617703488373</v>
      </c>
      <c r="V25" s="85">
        <f>SUM(P35:R35)</f>
        <v>1600.481</v>
      </c>
    </row>
    <row r="26" spans="1:22">
      <c r="A26" s="97" t="s">
        <v>27</v>
      </c>
      <c r="B26" s="97" t="s">
        <v>23</v>
      </c>
      <c r="C26" s="96" t="s">
        <v>60</v>
      </c>
      <c r="D26" s="98">
        <v>30</v>
      </c>
      <c r="E26" s="98">
        <v>30</v>
      </c>
      <c r="F26" s="98"/>
      <c r="G26" s="98">
        <v>1</v>
      </c>
      <c r="H26" s="98"/>
      <c r="I26" s="98"/>
      <c r="J26" s="98"/>
      <c r="K26" s="103">
        <f>'Raw Data'!I28</f>
        <v>47.666666666666664</v>
      </c>
      <c r="M26" s="18">
        <f t="shared" si="6"/>
        <v>1430</v>
      </c>
      <c r="N26" s="18">
        <f t="shared" si="7"/>
        <v>0</v>
      </c>
      <c r="O26" s="18">
        <f t="shared" si="8"/>
        <v>0</v>
      </c>
      <c r="P26" s="66">
        <f t="shared" si="9"/>
        <v>0</v>
      </c>
      <c r="Q26" s="18">
        <f t="shared" si="10"/>
        <v>0</v>
      </c>
      <c r="R26" s="18">
        <f t="shared" si="11"/>
        <v>0</v>
      </c>
      <c r="U26" s="107">
        <f>SUM(M36:O36)</f>
        <v>488</v>
      </c>
      <c r="V26" s="107">
        <v>4</v>
      </c>
    </row>
    <row r="27" spans="1:22">
      <c r="A27" s="97" t="s">
        <v>29</v>
      </c>
      <c r="B27" s="97" t="s">
        <v>30</v>
      </c>
      <c r="C27" s="96" t="s">
        <v>62</v>
      </c>
      <c r="D27" s="98">
        <v>102</v>
      </c>
      <c r="E27" s="98">
        <v>102</v>
      </c>
      <c r="F27" s="98"/>
      <c r="G27" s="98">
        <v>1</v>
      </c>
      <c r="H27" s="98"/>
      <c r="I27" s="98"/>
      <c r="J27" s="98"/>
      <c r="K27" s="103">
        <f>'Raw Data'!I29</f>
        <v>3.4883720930232558</v>
      </c>
      <c r="M27" s="18">
        <f t="shared" si="6"/>
        <v>355.81395348837208</v>
      </c>
      <c r="N27" s="18">
        <f t="shared" si="7"/>
        <v>0</v>
      </c>
      <c r="O27" s="18">
        <f t="shared" si="8"/>
        <v>0</v>
      </c>
      <c r="P27" s="66">
        <f t="shared" si="9"/>
        <v>0</v>
      </c>
      <c r="Q27" s="18">
        <f t="shared" si="10"/>
        <v>0</v>
      </c>
      <c r="R27" s="18">
        <f t="shared" si="11"/>
        <v>0</v>
      </c>
      <c r="U27" s="16">
        <f>U25/U26</f>
        <v>36.077085457967975</v>
      </c>
      <c r="V27" s="16">
        <f>V25/V26</f>
        <v>400.12025</v>
      </c>
    </row>
    <row r="28" spans="1:22" ht="23">
      <c r="A28" s="97" t="s">
        <v>48</v>
      </c>
      <c r="B28" s="97"/>
      <c r="C28" s="96" t="s">
        <v>84</v>
      </c>
      <c r="D28" s="98">
        <v>0</v>
      </c>
      <c r="E28" s="98">
        <v>0</v>
      </c>
      <c r="F28" s="98">
        <v>0</v>
      </c>
      <c r="G28" s="98"/>
      <c r="H28" s="98">
        <v>1</v>
      </c>
      <c r="I28" s="98"/>
      <c r="J28" s="98"/>
      <c r="K28" s="104" t="str">
        <f>'Raw Data'!I30</f>
        <v>N/A</v>
      </c>
      <c r="M28" s="18">
        <f t="shared" si="6"/>
        <v>0</v>
      </c>
      <c r="N28" s="18">
        <v>0</v>
      </c>
      <c r="O28" s="18">
        <f t="shared" si="8"/>
        <v>0</v>
      </c>
      <c r="P28" s="66">
        <f t="shared" si="9"/>
        <v>0</v>
      </c>
      <c r="Q28" s="18">
        <v>0</v>
      </c>
      <c r="R28" s="18">
        <f t="shared" si="11"/>
        <v>0</v>
      </c>
    </row>
    <row r="29" spans="1:22" ht="23">
      <c r="A29" s="97" t="s">
        <v>32</v>
      </c>
      <c r="B29" s="97" t="s">
        <v>61</v>
      </c>
      <c r="C29" s="96"/>
      <c r="D29" s="98">
        <v>19</v>
      </c>
      <c r="E29" s="98">
        <v>15</v>
      </c>
      <c r="F29" s="98">
        <v>4</v>
      </c>
      <c r="G29" s="98"/>
      <c r="H29" s="98"/>
      <c r="I29" s="98">
        <v>1</v>
      </c>
      <c r="J29" s="98"/>
      <c r="K29" s="103">
        <f>'Raw Data'!I31</f>
        <v>400.12025</v>
      </c>
      <c r="M29" s="18">
        <f t="shared" si="6"/>
        <v>0</v>
      </c>
      <c r="N29" s="18">
        <f t="shared" si="7"/>
        <v>0</v>
      </c>
      <c r="O29" s="18">
        <f t="shared" si="8"/>
        <v>6001.80375</v>
      </c>
      <c r="P29" s="66">
        <f t="shared" si="9"/>
        <v>0</v>
      </c>
      <c r="Q29" s="18">
        <f t="shared" si="10"/>
        <v>0</v>
      </c>
      <c r="R29" s="18">
        <f t="shared" si="11"/>
        <v>1600.481</v>
      </c>
    </row>
    <row r="30" spans="1:22" ht="23">
      <c r="A30" s="97" t="s">
        <v>33</v>
      </c>
      <c r="B30" s="97" t="s">
        <v>34</v>
      </c>
      <c r="C30" s="96" t="s">
        <v>44</v>
      </c>
      <c r="D30" s="98">
        <v>54</v>
      </c>
      <c r="E30" s="98">
        <v>54</v>
      </c>
      <c r="F30" s="98"/>
      <c r="G30" s="98">
        <v>1</v>
      </c>
      <c r="H30" s="98"/>
      <c r="I30" s="98"/>
      <c r="J30" s="98"/>
      <c r="K30" s="103">
        <f>'Raw Data'!I32</f>
        <v>26.703703703703702</v>
      </c>
      <c r="M30" s="18">
        <f t="shared" si="6"/>
        <v>1442</v>
      </c>
      <c r="N30" s="18">
        <f t="shared" si="7"/>
        <v>0</v>
      </c>
      <c r="O30" s="18">
        <f t="shared" si="8"/>
        <v>0</v>
      </c>
      <c r="P30" s="66">
        <f t="shared" si="9"/>
        <v>0</v>
      </c>
      <c r="Q30" s="18">
        <f t="shared" si="10"/>
        <v>0</v>
      </c>
      <c r="R30" s="18">
        <f t="shared" si="11"/>
        <v>0</v>
      </c>
    </row>
    <row r="31" spans="1:22" ht="23">
      <c r="A31" s="97" t="s">
        <v>140</v>
      </c>
      <c r="B31" s="97" t="s">
        <v>34</v>
      </c>
      <c r="C31" s="96" t="s">
        <v>44</v>
      </c>
      <c r="D31" s="98">
        <v>8</v>
      </c>
      <c r="E31" s="98">
        <v>8</v>
      </c>
      <c r="F31" s="98"/>
      <c r="G31" s="98">
        <v>1</v>
      </c>
      <c r="H31" s="98"/>
      <c r="I31" s="98"/>
      <c r="J31" s="98"/>
      <c r="K31" s="103">
        <f>'Raw Data'!I33</f>
        <v>118.25</v>
      </c>
      <c r="M31" s="18">
        <f t="shared" si="6"/>
        <v>946</v>
      </c>
      <c r="N31" s="18">
        <f t="shared" si="7"/>
        <v>0</v>
      </c>
      <c r="O31" s="18">
        <f t="shared" si="8"/>
        <v>0</v>
      </c>
      <c r="P31" s="66">
        <f t="shared" si="9"/>
        <v>0</v>
      </c>
      <c r="Q31" s="18">
        <f t="shared" si="10"/>
        <v>0</v>
      </c>
      <c r="R31" s="18">
        <f t="shared" si="11"/>
        <v>0</v>
      </c>
    </row>
    <row r="32" spans="1:22">
      <c r="A32" s="97" t="s">
        <v>36</v>
      </c>
      <c r="B32" s="97" t="s">
        <v>23</v>
      </c>
      <c r="C32" s="96" t="s">
        <v>60</v>
      </c>
      <c r="D32" s="98">
        <v>23</v>
      </c>
      <c r="E32" s="98">
        <v>23</v>
      </c>
      <c r="F32" s="98"/>
      <c r="G32" s="98">
        <v>1</v>
      </c>
      <c r="H32" s="98"/>
      <c r="I32" s="98"/>
      <c r="J32" s="98"/>
      <c r="K32" s="103">
        <f>'Raw Data'!I34</f>
        <v>62.173913043478258</v>
      </c>
      <c r="M32" s="18">
        <f t="shared" si="6"/>
        <v>1430</v>
      </c>
      <c r="N32" s="18">
        <f t="shared" si="7"/>
        <v>0</v>
      </c>
      <c r="O32" s="18">
        <f t="shared" si="8"/>
        <v>0</v>
      </c>
      <c r="P32" s="66">
        <f t="shared" si="9"/>
        <v>0</v>
      </c>
      <c r="Q32" s="18">
        <f t="shared" si="10"/>
        <v>0</v>
      </c>
      <c r="R32" s="18">
        <f t="shared" si="11"/>
        <v>0</v>
      </c>
    </row>
    <row r="33" spans="1:19" ht="23">
      <c r="A33" s="97" t="s">
        <v>38</v>
      </c>
      <c r="B33" s="97" t="s">
        <v>6</v>
      </c>
      <c r="C33" s="96" t="s">
        <v>58</v>
      </c>
      <c r="D33" s="98">
        <v>50</v>
      </c>
      <c r="E33" s="98">
        <v>50</v>
      </c>
      <c r="F33" s="98"/>
      <c r="G33" s="98">
        <v>1</v>
      </c>
      <c r="H33" s="98"/>
      <c r="I33" s="98"/>
      <c r="J33" s="98"/>
      <c r="K33" s="103">
        <f>'Raw Data'!I35</f>
        <v>30</v>
      </c>
      <c r="M33" s="18">
        <f t="shared" si="6"/>
        <v>1500</v>
      </c>
      <c r="N33" s="18">
        <f t="shared" si="7"/>
        <v>0</v>
      </c>
      <c r="O33" s="18">
        <f t="shared" si="8"/>
        <v>0</v>
      </c>
      <c r="P33" s="66">
        <f t="shared" si="9"/>
        <v>0</v>
      </c>
      <c r="Q33" s="18">
        <f t="shared" si="10"/>
        <v>0</v>
      </c>
      <c r="R33" s="18">
        <f t="shared" si="11"/>
        <v>0</v>
      </c>
    </row>
    <row r="34" spans="1:19" ht="23">
      <c r="A34" s="97" t="s">
        <v>51</v>
      </c>
      <c r="B34" s="97" t="s">
        <v>6</v>
      </c>
      <c r="C34" s="96" t="s">
        <v>58</v>
      </c>
      <c r="D34" s="98">
        <v>74</v>
      </c>
      <c r="E34" s="98">
        <v>74</v>
      </c>
      <c r="F34" s="98"/>
      <c r="G34" s="98">
        <v>1</v>
      </c>
      <c r="H34" s="98"/>
      <c r="I34" s="98"/>
      <c r="J34" s="98"/>
      <c r="K34" s="103">
        <f>'Raw Data'!I36</f>
        <v>20.27027027027027</v>
      </c>
      <c r="M34" s="18">
        <f t="shared" si="6"/>
        <v>1500</v>
      </c>
      <c r="N34" s="18">
        <f t="shared" si="7"/>
        <v>0</v>
      </c>
      <c r="O34" s="18">
        <f t="shared" si="8"/>
        <v>0</v>
      </c>
      <c r="P34" s="66">
        <f t="shared" si="9"/>
        <v>0</v>
      </c>
      <c r="Q34" s="18">
        <f t="shared" si="10"/>
        <v>0</v>
      </c>
      <c r="R34" s="18">
        <f t="shared" si="11"/>
        <v>0</v>
      </c>
    </row>
    <row r="35" spans="1:19">
      <c r="A35" s="23"/>
      <c r="B35" s="23"/>
      <c r="E35" s="93">
        <f>SUM(E24:E34)</f>
        <v>488</v>
      </c>
      <c r="F35" s="93">
        <f>SUM(F28:F34)</f>
        <v>4</v>
      </c>
      <c r="G35" s="44">
        <f>SUM(G24:G34)</f>
        <v>9</v>
      </c>
      <c r="H35" s="44">
        <v>1</v>
      </c>
      <c r="I35" s="44">
        <v>1</v>
      </c>
      <c r="J35" s="44"/>
      <c r="L35" s="85"/>
      <c r="M35" s="88">
        <f t="shared" ref="M35:R35" si="12">SUM(M24:M34)</f>
        <v>11603.813953488372</v>
      </c>
      <c r="N35" s="89">
        <f t="shared" si="12"/>
        <v>0</v>
      </c>
      <c r="O35" s="90">
        <f t="shared" si="12"/>
        <v>6001.80375</v>
      </c>
      <c r="P35" s="88">
        <f t="shared" si="12"/>
        <v>0</v>
      </c>
      <c r="Q35" s="89">
        <f t="shared" si="12"/>
        <v>0</v>
      </c>
      <c r="R35" s="90">
        <f t="shared" si="12"/>
        <v>1600.481</v>
      </c>
      <c r="S35" s="85">
        <f>SUM(M35:R35)</f>
        <v>19206.098703488373</v>
      </c>
    </row>
    <row r="36" spans="1:19">
      <c r="A36" s="50" t="s">
        <v>42</v>
      </c>
      <c r="B36" s="38">
        <f>SUM(E20+E35)</f>
        <v>1002</v>
      </c>
      <c r="C36" s="38">
        <f>SUM(F35+F20)</f>
        <v>1030</v>
      </c>
      <c r="M36" s="91">
        <f>'Age Charts'!B44</f>
        <v>473</v>
      </c>
      <c r="N36" s="87">
        <f>'Age Charts'!C44</f>
        <v>0</v>
      </c>
      <c r="O36" s="92">
        <f>'Age Charts'!D44</f>
        <v>15</v>
      </c>
      <c r="P36" s="91">
        <f>'Age Charts'!B45</f>
        <v>0</v>
      </c>
      <c r="Q36" s="87">
        <f>'Age Charts'!C45</f>
        <v>0</v>
      </c>
      <c r="R36" s="92">
        <f>'Age Charts'!D45</f>
        <v>4</v>
      </c>
      <c r="S36" s="106">
        <f>SUM(M36:R36)</f>
        <v>492</v>
      </c>
    </row>
    <row r="37" spans="1:19">
      <c r="M37" s="76">
        <f>M35/M36</f>
        <v>24.532376223019813</v>
      </c>
      <c r="N37" s="77">
        <v>0</v>
      </c>
      <c r="O37" s="78">
        <f>O35/O36</f>
        <v>400.12025</v>
      </c>
      <c r="P37" s="76">
        <v>0</v>
      </c>
      <c r="Q37" s="77">
        <v>0</v>
      </c>
      <c r="R37" s="78">
        <f>R35/R36</f>
        <v>400.12025</v>
      </c>
      <c r="S37" s="46">
        <f>S35/S36</f>
        <v>39.036785982699946</v>
      </c>
    </row>
  </sheetData>
  <phoneticPr fontId="7"/>
  <printOptions horizontalCentered="1" verticalCentered="1"/>
  <pageMargins left="0.75" right="0.42" top="1" bottom="0.56999999999999995" header="0.5" footer="0.56999999999999995"/>
  <pageSetup paperSize="0" orientation="landscape" horizontalDpi="4294967292" verticalDpi="4294967292"/>
  <headerFooter alignWithMargins="0">
    <oddHeader>&amp;L&amp;C&amp;"Geneva,Bold"&amp;12Appendix A&amp;R&amp;10Page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zoomScale="92" workbookViewId="0">
      <selection activeCell="A17" sqref="A17"/>
    </sheetView>
  </sheetViews>
  <sheetFormatPr defaultRowHeight="11.5"/>
  <cols>
    <col min="1" max="256" width="11.19921875" customWidth="1"/>
  </cols>
  <sheetData>
    <row r="1" spans="1:7" ht="23">
      <c r="A1" s="20" t="s">
        <v>40</v>
      </c>
      <c r="B1" s="20" t="s">
        <v>41</v>
      </c>
      <c r="C1" s="20" t="s">
        <v>95</v>
      </c>
      <c r="D1" s="20" t="s">
        <v>64</v>
      </c>
      <c r="E1" s="20" t="s">
        <v>81</v>
      </c>
      <c r="F1" s="20" t="s">
        <v>65</v>
      </c>
      <c r="G1" s="64" t="str">
        <f>'Age Data'!K3</f>
        <v>$$ per child</v>
      </c>
    </row>
    <row r="2" spans="1:7">
      <c r="A2">
        <v>141</v>
      </c>
      <c r="C2">
        <v>1</v>
      </c>
      <c r="G2" s="65">
        <f>'Age Data'!K4</f>
        <v>10.263929618768328</v>
      </c>
    </row>
    <row r="3" spans="1:7">
      <c r="B3">
        <v>7</v>
      </c>
      <c r="C3">
        <v>1</v>
      </c>
      <c r="G3" s="65">
        <f>'Age Data'!K5</f>
        <v>290.02857142857141</v>
      </c>
    </row>
    <row r="4" spans="1:7">
      <c r="A4">
        <v>2</v>
      </c>
      <c r="B4">
        <v>2</v>
      </c>
      <c r="F4">
        <v>1</v>
      </c>
      <c r="G4" s="65">
        <f>'Age Data'!K6</f>
        <v>875</v>
      </c>
    </row>
    <row r="5" spans="1:7">
      <c r="B5">
        <v>148</v>
      </c>
      <c r="C5">
        <v>1</v>
      </c>
      <c r="G5" s="65">
        <f>'Age Data'!K7</f>
        <v>26.216216216216218</v>
      </c>
    </row>
    <row r="6" spans="1:7">
      <c r="B6">
        <v>19</v>
      </c>
      <c r="D6">
        <v>1</v>
      </c>
      <c r="G6" s="65">
        <f>'Age Data'!K8</f>
        <v>180.28631578947369</v>
      </c>
    </row>
    <row r="7" spans="1:7">
      <c r="A7">
        <v>66</v>
      </c>
      <c r="C7">
        <v>1</v>
      </c>
      <c r="G7" s="65">
        <f>'Age Data'!K9</f>
        <v>45.454545454545453</v>
      </c>
    </row>
    <row r="8" spans="1:7">
      <c r="A8">
        <v>1</v>
      </c>
      <c r="B8">
        <v>37</v>
      </c>
      <c r="E8">
        <v>1</v>
      </c>
      <c r="G8" s="65">
        <f>'Age Data'!K10</f>
        <v>92.10526315789474</v>
      </c>
    </row>
    <row r="9" spans="1:7">
      <c r="B9">
        <v>60</v>
      </c>
      <c r="E9">
        <v>1</v>
      </c>
      <c r="G9" s="65">
        <f>'Age Data'!K11</f>
        <v>27.5</v>
      </c>
    </row>
    <row r="10" spans="1:7">
      <c r="A10">
        <v>92</v>
      </c>
      <c r="C10">
        <v>1</v>
      </c>
      <c r="G10" s="65">
        <f>'Age Data'!K12</f>
        <v>32.608695652173914</v>
      </c>
    </row>
    <row r="11" spans="1:7">
      <c r="B11">
        <v>30</v>
      </c>
      <c r="F11">
        <v>1</v>
      </c>
      <c r="G11" s="65">
        <f>'Age Data'!K13</f>
        <v>85.365853658536579</v>
      </c>
    </row>
    <row r="12" spans="1:7">
      <c r="A12">
        <v>56</v>
      </c>
      <c r="C12">
        <v>1</v>
      </c>
      <c r="G12" s="65">
        <f>'Age Data'!K14</f>
        <v>18.5</v>
      </c>
    </row>
    <row r="13" spans="1:7">
      <c r="B13">
        <v>32</v>
      </c>
      <c r="E13">
        <v>1</v>
      </c>
      <c r="G13" s="65">
        <f>'Age Data'!K15</f>
        <v>31.03125</v>
      </c>
    </row>
    <row r="14" spans="1:7">
      <c r="B14">
        <v>691</v>
      </c>
      <c r="F14">
        <v>1</v>
      </c>
      <c r="G14" s="65">
        <f>'Age Data'!K16</f>
        <v>2.199710564399421</v>
      </c>
    </row>
    <row r="15" spans="1:7">
      <c r="A15">
        <v>89</v>
      </c>
      <c r="C15">
        <v>1</v>
      </c>
      <c r="G15" s="65">
        <f>'Age Data'!K17</f>
        <v>16.853932584269664</v>
      </c>
    </row>
    <row r="16" spans="1:7">
      <c r="A16">
        <v>67</v>
      </c>
      <c r="C16">
        <v>1</v>
      </c>
      <c r="G16" s="65">
        <f>'Age Data'!K18</f>
        <v>20.149253731343283</v>
      </c>
    </row>
    <row r="17" spans="1:7">
      <c r="A17">
        <v>0</v>
      </c>
      <c r="B17">
        <v>14</v>
      </c>
      <c r="F17">
        <v>1</v>
      </c>
      <c r="G17" s="65">
        <f>'Age Data'!K19</f>
        <v>71.428571428571431</v>
      </c>
    </row>
    <row r="18" spans="1:7">
      <c r="A18" s="54">
        <f>SUM(A2:A17)</f>
        <v>514</v>
      </c>
      <c r="B18" s="54">
        <f>SUM(B3:B14)</f>
        <v>1026</v>
      </c>
      <c r="C18" s="55">
        <f>SUM(C2:C16)</f>
        <v>8</v>
      </c>
      <c r="D18" s="55">
        <v>1</v>
      </c>
      <c r="E18" s="55">
        <v>3</v>
      </c>
      <c r="F18" s="55">
        <v>4</v>
      </c>
    </row>
    <row r="21" spans="1:7" ht="12.5">
      <c r="A21" s="51">
        <v>2000</v>
      </c>
    </row>
    <row r="22" spans="1:7">
      <c r="B22" t="s">
        <v>95</v>
      </c>
      <c r="C22" t="s">
        <v>64</v>
      </c>
      <c r="D22" t="s">
        <v>81</v>
      </c>
      <c r="E22" t="s">
        <v>65</v>
      </c>
    </row>
    <row r="23" spans="1:7">
      <c r="A23" t="s">
        <v>40</v>
      </c>
      <c r="B23" s="56">
        <f>SUM(A2+A7+A10+A12+A15+A16)</f>
        <v>511</v>
      </c>
      <c r="C23" s="55">
        <v>0</v>
      </c>
      <c r="D23" s="55">
        <f>SUM(A8)</f>
        <v>1</v>
      </c>
      <c r="E23" s="57">
        <f>SUM(A4)</f>
        <v>2</v>
      </c>
      <c r="F23" t="s">
        <v>49</v>
      </c>
    </row>
    <row r="24" spans="1:7">
      <c r="A24" t="s">
        <v>41</v>
      </c>
      <c r="B24" s="79">
        <f>SUM(B3+B5)</f>
        <v>155</v>
      </c>
      <c r="C24" s="49">
        <f>B6</f>
        <v>19</v>
      </c>
      <c r="D24" s="49">
        <f>SUM(B8+B9+B13)</f>
        <v>129</v>
      </c>
      <c r="E24" s="80">
        <f>SUM(B4+B11+B14)</f>
        <v>723</v>
      </c>
    </row>
    <row r="25" spans="1:7">
      <c r="A25" t="s">
        <v>40</v>
      </c>
      <c r="B25" s="62">
        <f>'Age Data'!M22</f>
        <v>22.178501127683631</v>
      </c>
      <c r="C25" s="70">
        <f>'Age Data'!N22</f>
        <v>0</v>
      </c>
      <c r="D25" s="70">
        <f>'Age Data'!O22</f>
        <v>92.10526315789474</v>
      </c>
      <c r="E25" s="71">
        <f>'Age Data'!P22</f>
        <v>875</v>
      </c>
      <c r="F25" t="s">
        <v>50</v>
      </c>
    </row>
    <row r="26" spans="1:7">
      <c r="A26" t="s">
        <v>41</v>
      </c>
      <c r="B26" s="81">
        <f>'Age Data'!Q22</f>
        <v>38.130322580645164</v>
      </c>
      <c r="C26" s="82">
        <f>'Age Data'!R22</f>
        <v>180.28631578947369</v>
      </c>
      <c r="D26" s="82">
        <f>'Age Data'!S22</f>
        <v>46.906160750713994</v>
      </c>
      <c r="E26" s="63">
        <f>'Age Data'!T22</f>
        <v>8.0649731808521405</v>
      </c>
    </row>
    <row r="29" spans="1:7" ht="23">
      <c r="A29" s="20" t="str">
        <f>'Age Data'!E23</f>
        <v>Primary</v>
      </c>
      <c r="B29" s="20" t="str">
        <f>'Age Data'!F23</f>
        <v>Secondary</v>
      </c>
      <c r="C29" s="20" t="str">
        <f>'Age Data'!G23</f>
        <v>Peer skills</v>
      </c>
      <c r="D29" s="20" t="str">
        <f>'Age Data'!H23</f>
        <v>School Retention</v>
      </c>
      <c r="E29" s="20" t="str">
        <f>'Age Data'!I23</f>
        <v>Sibling camps</v>
      </c>
      <c r="F29" s="64" t="str">
        <f>'Age Data'!K23</f>
        <v>$$ per child</v>
      </c>
    </row>
    <row r="30" spans="1:7">
      <c r="A30" s="52">
        <f>'Age Data'!E24</f>
        <v>42</v>
      </c>
      <c r="B30" s="52">
        <f>'Age Data'!F24</f>
        <v>0</v>
      </c>
      <c r="C30" s="52">
        <f>'Age Data'!G24</f>
        <v>1</v>
      </c>
      <c r="D30" s="52">
        <f>'Age Data'!H24</f>
        <v>0</v>
      </c>
      <c r="E30" s="52">
        <f>'Age Data'!I24</f>
        <v>0</v>
      </c>
      <c r="F30" s="60">
        <f>'Age Data'!K24</f>
        <v>35.714285714285715</v>
      </c>
    </row>
    <row r="31" spans="1:7">
      <c r="A31" s="52">
        <f>'Age Data'!E25</f>
        <v>90</v>
      </c>
      <c r="B31" s="52">
        <f>'Age Data'!F25</f>
        <v>0</v>
      </c>
      <c r="C31" s="52">
        <f>'Age Data'!G25</f>
        <v>1</v>
      </c>
      <c r="D31" s="52">
        <f>'Age Data'!H25</f>
        <v>0</v>
      </c>
      <c r="E31" s="52">
        <f>'Age Data'!I25</f>
        <v>0</v>
      </c>
      <c r="F31" s="60">
        <f>'Age Data'!K25</f>
        <v>16.666666666666668</v>
      </c>
    </row>
    <row r="32" spans="1:7">
      <c r="A32" s="52">
        <f>'Age Data'!E26</f>
        <v>30</v>
      </c>
      <c r="B32" s="52">
        <f>'Age Data'!F26</f>
        <v>0</v>
      </c>
      <c r="C32" s="52">
        <f>'Age Data'!G26</f>
        <v>1</v>
      </c>
      <c r="D32" s="52">
        <f>'Age Data'!H26</f>
        <v>0</v>
      </c>
      <c r="E32" s="52">
        <f>'Age Data'!I26</f>
        <v>0</v>
      </c>
      <c r="F32" s="60">
        <f>'Age Data'!K26</f>
        <v>47.666666666666664</v>
      </c>
    </row>
    <row r="33" spans="1:6">
      <c r="A33" s="52">
        <f>'Age Data'!E27</f>
        <v>102</v>
      </c>
      <c r="B33" s="52">
        <f>'Age Data'!F27</f>
        <v>0</v>
      </c>
      <c r="C33" s="52">
        <f>'Age Data'!G27</f>
        <v>1</v>
      </c>
      <c r="D33" s="52">
        <f>'Age Data'!H27</f>
        <v>0</v>
      </c>
      <c r="E33" s="52">
        <f>'Age Data'!I27</f>
        <v>0</v>
      </c>
      <c r="F33" s="60">
        <f>'Age Data'!K27</f>
        <v>3.4883720930232558</v>
      </c>
    </row>
    <row r="34" spans="1:6">
      <c r="A34" s="52">
        <f>'Age Data'!E28</f>
        <v>0</v>
      </c>
      <c r="B34" s="52">
        <f>'Age Data'!F28</f>
        <v>0</v>
      </c>
      <c r="C34" s="52">
        <f>'Age Data'!G28</f>
        <v>0</v>
      </c>
      <c r="D34" s="52">
        <f>'Age Data'!H28</f>
        <v>1</v>
      </c>
      <c r="E34" s="52">
        <f>'Age Data'!I28</f>
        <v>0</v>
      </c>
      <c r="F34" s="61" t="str">
        <f>'Age Data'!K28</f>
        <v>N/A</v>
      </c>
    </row>
    <row r="35" spans="1:6">
      <c r="A35" s="52">
        <f>'Age Data'!E29</f>
        <v>15</v>
      </c>
      <c r="B35" s="52">
        <f>'Age Data'!F29</f>
        <v>4</v>
      </c>
      <c r="C35" s="52">
        <f>'Age Data'!G29</f>
        <v>0</v>
      </c>
      <c r="D35" s="52">
        <f>'Age Data'!H29</f>
        <v>0</v>
      </c>
      <c r="E35" s="52">
        <f>'Age Data'!I29</f>
        <v>1</v>
      </c>
      <c r="F35" s="60">
        <f>'Age Data'!K29</f>
        <v>400.12025</v>
      </c>
    </row>
    <row r="36" spans="1:6">
      <c r="A36" s="52">
        <f>'Age Data'!E30</f>
        <v>54</v>
      </c>
      <c r="B36" s="52">
        <f>'Age Data'!F30</f>
        <v>0</v>
      </c>
      <c r="C36" s="52">
        <f>'Age Data'!G30</f>
        <v>1</v>
      </c>
      <c r="D36" s="52">
        <f>'Age Data'!H30</f>
        <v>0</v>
      </c>
      <c r="E36" s="52">
        <f>'Age Data'!I30</f>
        <v>0</v>
      </c>
      <c r="F36" s="60">
        <f>'Age Data'!K30</f>
        <v>26.703703703703702</v>
      </c>
    </row>
    <row r="37" spans="1:6">
      <c r="A37" s="52">
        <f>'Age Data'!E31</f>
        <v>8</v>
      </c>
      <c r="B37" s="52">
        <f>'Age Data'!F31</f>
        <v>0</v>
      </c>
      <c r="C37" s="52">
        <f>'Age Data'!G31</f>
        <v>1</v>
      </c>
      <c r="D37" s="52">
        <f>'Age Data'!H31</f>
        <v>0</v>
      </c>
      <c r="E37" s="52">
        <f>'Age Data'!I31</f>
        <v>0</v>
      </c>
      <c r="F37" s="60">
        <f>'Age Data'!K31</f>
        <v>118.25</v>
      </c>
    </row>
    <row r="38" spans="1:6">
      <c r="A38" s="52">
        <f>'Age Data'!E32</f>
        <v>23</v>
      </c>
      <c r="B38" s="52">
        <f>'Age Data'!F32</f>
        <v>0</v>
      </c>
      <c r="C38" s="52">
        <f>'Age Data'!G32</f>
        <v>1</v>
      </c>
      <c r="D38" s="52">
        <f>'Age Data'!H32</f>
        <v>0</v>
      </c>
      <c r="E38" s="52">
        <f>'Age Data'!I32</f>
        <v>0</v>
      </c>
      <c r="F38" s="60">
        <f>'Age Data'!K32</f>
        <v>62.173913043478258</v>
      </c>
    </row>
    <row r="39" spans="1:6">
      <c r="A39" s="52">
        <f>'Age Data'!E33</f>
        <v>50</v>
      </c>
      <c r="B39" s="52">
        <f>'Age Data'!F33</f>
        <v>0</v>
      </c>
      <c r="C39" s="52">
        <f>'Age Data'!G33</f>
        <v>1</v>
      </c>
      <c r="D39" s="52">
        <f>'Age Data'!H33</f>
        <v>0</v>
      </c>
      <c r="E39" s="52">
        <f>'Age Data'!I33</f>
        <v>0</v>
      </c>
      <c r="F39" s="60">
        <f>'Age Data'!K33</f>
        <v>30</v>
      </c>
    </row>
    <row r="40" spans="1:6">
      <c r="A40" s="52">
        <f>'Age Data'!E34</f>
        <v>74</v>
      </c>
      <c r="B40" s="52">
        <f>'Age Data'!F34</f>
        <v>0</v>
      </c>
      <c r="C40" s="52">
        <f>'Age Data'!G34</f>
        <v>1</v>
      </c>
      <c r="D40" s="52">
        <f>'Age Data'!H34</f>
        <v>0</v>
      </c>
      <c r="E40" s="52">
        <f>'Age Data'!I34</f>
        <v>0</v>
      </c>
      <c r="F40" s="60">
        <f>'Age Data'!K34</f>
        <v>20.27027027027027</v>
      </c>
    </row>
    <row r="41" spans="1:6">
      <c r="A41" s="53">
        <f>'Age Data'!E35</f>
        <v>488</v>
      </c>
      <c r="B41" s="53">
        <f>'Age Data'!F35</f>
        <v>4</v>
      </c>
      <c r="C41" s="53">
        <f>'Age Data'!G35</f>
        <v>9</v>
      </c>
      <c r="D41" s="53">
        <f>'Age Data'!H35</f>
        <v>1</v>
      </c>
      <c r="E41" s="53">
        <f>'Age Data'!I35</f>
        <v>1</v>
      </c>
    </row>
    <row r="43" spans="1:6" ht="23">
      <c r="A43" s="59">
        <v>2001</v>
      </c>
      <c r="B43" s="15" t="str">
        <f>C29</f>
        <v>Peer skills</v>
      </c>
      <c r="C43" s="15" t="str">
        <f>D29</f>
        <v>School Retention</v>
      </c>
      <c r="D43" s="15" t="str">
        <f>E29</f>
        <v>Sibling camps</v>
      </c>
    </row>
    <row r="44" spans="1:6">
      <c r="A44" t="s">
        <v>40</v>
      </c>
      <c r="B44" s="56">
        <f>A30+A31+A32+A33+A36+A37+A38+A39+A40</f>
        <v>473</v>
      </c>
      <c r="C44" s="55">
        <v>0</v>
      </c>
      <c r="D44" s="57">
        <v>15</v>
      </c>
      <c r="E44" t="s">
        <v>49</v>
      </c>
    </row>
    <row r="45" spans="1:6">
      <c r="A45" s="58" t="s">
        <v>41</v>
      </c>
      <c r="B45" s="79">
        <v>0</v>
      </c>
      <c r="C45" s="49">
        <v>0</v>
      </c>
      <c r="D45" s="80">
        <f>B35</f>
        <v>4</v>
      </c>
    </row>
    <row r="46" spans="1:6">
      <c r="A46" t="s">
        <v>40</v>
      </c>
      <c r="B46" s="62">
        <f>'Age Data'!M37</f>
        <v>24.532376223019813</v>
      </c>
      <c r="C46" s="70">
        <f>'Age Data'!N37</f>
        <v>0</v>
      </c>
      <c r="D46" s="71">
        <f>'Age Data'!O37</f>
        <v>400.12025</v>
      </c>
      <c r="E46" t="s">
        <v>50</v>
      </c>
    </row>
    <row r="47" spans="1:6">
      <c r="A47" t="s">
        <v>41</v>
      </c>
      <c r="B47" s="81">
        <f>'Age Data'!P37</f>
        <v>0</v>
      </c>
      <c r="C47" s="82">
        <f>'Age Data'!Q37</f>
        <v>0</v>
      </c>
      <c r="D47" s="63">
        <f>'Age Data'!R37</f>
        <v>400.12025</v>
      </c>
    </row>
  </sheetData>
  <phoneticPr fontId="7"/>
  <printOptions horizontalCentered="1" verticalCentered="1"/>
  <pageMargins left="0.75" right="0.75" top="1" bottom="1" header="0.5" footer="0.5"/>
  <pageSetup paperSize="0" orientation="landscape" horizontalDpi="4294967292" verticalDpi="4294967292"/>
  <headerFooter alignWithMargins="0">
    <oddHeader>&amp;L&amp;C&amp;"Geneva,Bold"&amp;12Appendix A&amp;R&amp;10Page &amp;P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Raw Data</vt:lpstr>
      <vt:lpstr>charts 2000</vt:lpstr>
      <vt:lpstr>charts 2001 not printed</vt:lpstr>
      <vt:lpstr>Age Data</vt:lpstr>
      <vt:lpstr>Age Charts</vt:lpstr>
      <vt:lpstr>'Age Charts'!Print_Area</vt:lpstr>
      <vt:lpstr>'Age Data'!Print_Area</vt:lpstr>
      <vt:lpstr>'charts 2000'!Print_Area</vt:lpstr>
      <vt:lpstr>'charts 2001 not printed'!Print_Area</vt:lpstr>
      <vt:lpstr>'Raw Data'!Print_Area</vt:lpstr>
    </vt:vector>
  </TitlesOfParts>
  <Company>lewcol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 Coleman</dc:creator>
  <cp:lastModifiedBy>Carina Negreanu</cp:lastModifiedBy>
  <cp:lastPrinted>2002-03-12T06:18:11Z</cp:lastPrinted>
  <dcterms:created xsi:type="dcterms:W3CDTF">2002-01-10T02:20:11Z</dcterms:created>
  <dcterms:modified xsi:type="dcterms:W3CDTF">2020-01-27T11:34:13Z</dcterms:modified>
</cp:coreProperties>
</file>