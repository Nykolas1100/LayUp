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20E62C-ABEC-4250-9D3F-CCD296240466}" xr6:coauthVersionLast="45" xr6:coauthVersionMax="45" xr10:uidLastSave="{00000000-0000-0000-0000-000000000000}"/>
  <bookViews>
    <workbookView xWindow="1520" yWindow="1520" windowWidth="28800" windowHeight="15460" activeTab="3"/>
  </bookViews>
  <sheets>
    <sheet name="Reading" sheetId="1" r:id="rId1"/>
    <sheet name="Vocabulary" sheetId="2" r:id="rId2"/>
    <sheet name="Writing" sheetId="3" r:id="rId3"/>
    <sheet name="Quarter Score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D2" i="4" s="1"/>
  <c r="G2" i="4" s="1"/>
  <c r="J2" i="4" s="1"/>
  <c r="D2" i="2"/>
  <c r="E2" i="4" s="1"/>
  <c r="D2" i="3"/>
  <c r="F2" i="4" s="1"/>
  <c r="H9" i="4"/>
  <c r="I9" i="4"/>
  <c r="D9" i="4"/>
  <c r="D10" i="4"/>
  <c r="D11" i="4"/>
  <c r="F9" i="4"/>
  <c r="G9" i="4"/>
  <c r="J9" i="4"/>
  <c r="E9" i="4"/>
  <c r="E2" i="1"/>
  <c r="D7" i="1"/>
  <c r="E7" i="1"/>
  <c r="D4" i="1"/>
  <c r="E4" i="1"/>
  <c r="D6" i="1"/>
  <c r="E6" i="1"/>
  <c r="D5" i="1"/>
  <c r="E5" i="1"/>
  <c r="D3" i="1"/>
  <c r="E3" i="1"/>
  <c r="E2" i="2"/>
  <c r="E3" i="2"/>
  <c r="D3" i="2"/>
  <c r="E5" i="2"/>
  <c r="D5" i="2"/>
  <c r="E6" i="2"/>
  <c r="D6" i="2"/>
  <c r="E4" i="2"/>
  <c r="D4" i="2"/>
  <c r="E7" i="2"/>
  <c r="D7" i="2"/>
  <c r="E2" i="3"/>
  <c r="E3" i="3"/>
  <c r="D3" i="3"/>
  <c r="E5" i="3"/>
  <c r="D5" i="3"/>
  <c r="E6" i="3"/>
  <c r="D6" i="3"/>
  <c r="E4" i="3"/>
  <c r="D4" i="3"/>
  <c r="E7" i="3"/>
  <c r="D7" i="3"/>
</calcChain>
</file>

<file path=xl/sharedStrings.xml><?xml version="1.0" encoding="utf-8"?>
<sst xmlns="http://schemas.openxmlformats.org/spreadsheetml/2006/main" count="92" uniqueCount="39">
  <si>
    <t>First Name</t>
  </si>
  <si>
    <t>Last Name</t>
  </si>
  <si>
    <t>Avg.</t>
  </si>
  <si>
    <t>Total Pts.</t>
  </si>
  <si>
    <t>No Inserts</t>
  </si>
  <si>
    <t>Test 4</t>
  </si>
  <si>
    <t>Test 3</t>
  </si>
  <si>
    <t>Test 2</t>
  </si>
  <si>
    <t>Test 1</t>
  </si>
  <si>
    <t>Whoopie</t>
  </si>
  <si>
    <t>Goldberg</t>
  </si>
  <si>
    <t>Eddie</t>
  </si>
  <si>
    <t>Murphy</t>
  </si>
  <si>
    <t>Vocab 3</t>
  </si>
  <si>
    <t>Vocab 2</t>
  </si>
  <si>
    <t>Vocab 1</t>
  </si>
  <si>
    <t>Paper1</t>
  </si>
  <si>
    <t>Paper2</t>
  </si>
  <si>
    <t>Paper3</t>
  </si>
  <si>
    <t>Reading</t>
  </si>
  <si>
    <t>Vocabulary</t>
  </si>
  <si>
    <t>Writing</t>
  </si>
  <si>
    <t>Quarter2 Score</t>
  </si>
  <si>
    <t>Quarter1 Score</t>
  </si>
  <si>
    <t>Final Exam</t>
  </si>
  <si>
    <t>Semester</t>
  </si>
  <si>
    <t>Class</t>
  </si>
  <si>
    <t>Average:</t>
  </si>
  <si>
    <t>High:</t>
  </si>
  <si>
    <t>Low:</t>
  </si>
  <si>
    <t>ID #</t>
  </si>
  <si>
    <t>Meg</t>
  </si>
  <si>
    <t>Ryan</t>
  </si>
  <si>
    <t>Alec</t>
  </si>
  <si>
    <t>Baldwin</t>
  </si>
  <si>
    <t>Dennis</t>
  </si>
  <si>
    <t>Miller</t>
  </si>
  <si>
    <t>Julia</t>
  </si>
  <si>
    <t>Roberts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</si>
</sst>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 x14ac:knownFonts="1">
    <font>
      <sz val="10"/>
      <name val="Arial"/>
    </font>
    <font>
      <b/>
      <sz val="10"/>
      <name val="Arial"/>
    </font>
    <font>
      <b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2" fontId="2" fillId="0" borderId="0" xfId="0" applyNumberFormat="1" applyFont="1" applyAlignment="1">
      <alignment horizontal="center"/>
    </xf>
    <xf numFmtId="172" fontId="0" fillId="0" borderId="0" xfId="0" applyNumberFormat="1"/>
    <xf numFmtId="172" fontId="3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F2" sqref="F2"/>
    </sheetView>
  </sheetViews>
  <sheetFormatPr defaultRowHeight="12.5" x14ac:dyDescent="0.25"/>
  <cols>
    <col min="1" max="1" width="9.453125" bestFit="1" customWidth="1"/>
    <col min="2" max="2" width="9.26953125" bestFit="1" customWidth="1"/>
    <col min="3" max="3" width="4" style="3" customWidth="1"/>
    <col min="4" max="4" width="4.453125" style="3" bestFit="1" customWidth="1"/>
    <col min="5" max="5" width="8.26953125" style="3" bestFit="1" customWidth="1"/>
    <col min="6" max="6" width="9.1796875" style="2" customWidth="1"/>
    <col min="7" max="10" width="5.81640625" style="3" bestFit="1" customWidth="1"/>
  </cols>
  <sheetData>
    <row r="1" spans="1:10" s="1" customFormat="1" ht="10.5" x14ac:dyDescent="0.25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s="1" customFormat="1" x14ac:dyDescent="0.25">
      <c r="A2" s="10" t="s">
        <v>31</v>
      </c>
      <c r="B2" s="10" t="s">
        <v>32</v>
      </c>
      <c r="C2" s="11">
        <v>123</v>
      </c>
      <c r="D2" s="6">
        <f t="shared" ref="D2:D7" si="0">AVERAGE(F2:J2)</f>
        <v>83</v>
      </c>
      <c r="E2" s="6">
        <f t="shared" ref="E2:E7" si="1">SUM(F2:J2)</f>
        <v>332</v>
      </c>
      <c r="F2" s="2"/>
      <c r="G2" s="6">
        <v>80</v>
      </c>
      <c r="H2" s="6">
        <v>81</v>
      </c>
      <c r="I2" s="2">
        <v>86.5</v>
      </c>
      <c r="J2" s="2">
        <v>84.5</v>
      </c>
    </row>
    <row r="3" spans="1:10" x14ac:dyDescent="0.25">
      <c r="A3" t="s">
        <v>9</v>
      </c>
      <c r="B3" t="s">
        <v>10</v>
      </c>
      <c r="C3" s="3">
        <v>345</v>
      </c>
      <c r="D3" s="6">
        <f t="shared" si="0"/>
        <v>95</v>
      </c>
      <c r="E3" s="6">
        <f t="shared" si="1"/>
        <v>380</v>
      </c>
      <c r="G3" s="6">
        <v>90</v>
      </c>
      <c r="H3" s="6">
        <v>90</v>
      </c>
      <c r="I3" s="6">
        <v>100</v>
      </c>
      <c r="J3" s="6">
        <v>100</v>
      </c>
    </row>
    <row r="4" spans="1:10" x14ac:dyDescent="0.25">
      <c r="A4" t="s">
        <v>33</v>
      </c>
      <c r="B4" t="s">
        <v>34</v>
      </c>
      <c r="C4" s="3">
        <v>567</v>
      </c>
      <c r="D4" s="6">
        <f t="shared" si="0"/>
        <v>81.5</v>
      </c>
      <c r="E4" s="6">
        <f t="shared" si="1"/>
        <v>326</v>
      </c>
      <c r="G4" s="6">
        <v>81</v>
      </c>
      <c r="H4" s="6">
        <v>85</v>
      </c>
      <c r="I4" s="6">
        <v>75</v>
      </c>
      <c r="J4" s="6">
        <v>85</v>
      </c>
    </row>
    <row r="5" spans="1:10" x14ac:dyDescent="0.25">
      <c r="A5" t="s">
        <v>35</v>
      </c>
      <c r="B5" t="s">
        <v>36</v>
      </c>
      <c r="C5" s="3">
        <v>789</v>
      </c>
      <c r="D5" s="6">
        <f t="shared" si="0"/>
        <v>73.25</v>
      </c>
      <c r="E5" s="6">
        <f t="shared" si="1"/>
        <v>293</v>
      </c>
      <c r="G5" s="6">
        <v>60</v>
      </c>
      <c r="H5" s="6">
        <v>75</v>
      </c>
      <c r="I5" s="6">
        <v>80</v>
      </c>
      <c r="J5" s="6">
        <v>78</v>
      </c>
    </row>
    <row r="6" spans="1:10" x14ac:dyDescent="0.25">
      <c r="A6" t="s">
        <v>11</v>
      </c>
      <c r="B6" t="s">
        <v>12</v>
      </c>
      <c r="C6" s="3">
        <v>912</v>
      </c>
      <c r="D6" s="6">
        <f t="shared" si="0"/>
        <v>92</v>
      </c>
      <c r="E6" s="6">
        <f t="shared" si="1"/>
        <v>368</v>
      </c>
      <c r="G6" s="6">
        <v>85</v>
      </c>
      <c r="H6" s="6">
        <v>93</v>
      </c>
      <c r="I6" s="6">
        <v>90</v>
      </c>
      <c r="J6" s="6">
        <v>100</v>
      </c>
    </row>
    <row r="7" spans="1:10" x14ac:dyDescent="0.25">
      <c r="A7" t="s">
        <v>37</v>
      </c>
      <c r="B7" t="s">
        <v>38</v>
      </c>
      <c r="C7" s="3">
        <v>234</v>
      </c>
      <c r="D7" s="6">
        <f t="shared" si="0"/>
        <v>91.75</v>
      </c>
      <c r="E7" s="6">
        <f t="shared" si="1"/>
        <v>367</v>
      </c>
      <c r="G7" s="6">
        <v>92</v>
      </c>
      <c r="H7" s="6">
        <v>85</v>
      </c>
      <c r="I7" s="6">
        <v>100</v>
      </c>
      <c r="J7" s="6">
        <v>90</v>
      </c>
    </row>
  </sheetData>
  <phoneticPr fontId="5" type="noConversion"/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C17" sqref="C17"/>
    </sheetView>
  </sheetViews>
  <sheetFormatPr defaultRowHeight="12.5" x14ac:dyDescent="0.25"/>
  <cols>
    <col min="1" max="1" width="9.453125" bestFit="1" customWidth="1"/>
    <col min="2" max="2" width="9.26953125" bestFit="1" customWidth="1"/>
    <col min="3" max="3" width="4" style="3" customWidth="1"/>
    <col min="4" max="4" width="4.453125" bestFit="1" customWidth="1"/>
    <col min="5" max="5" width="8.26953125" bestFit="1" customWidth="1"/>
    <col min="7" max="9" width="7.1796875" bestFit="1" customWidth="1"/>
  </cols>
  <sheetData>
    <row r="1" spans="1:10" x14ac:dyDescent="0.25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13</v>
      </c>
      <c r="H1" s="2" t="s">
        <v>14</v>
      </c>
      <c r="I1" s="2" t="s">
        <v>15</v>
      </c>
      <c r="J1" s="2"/>
    </row>
    <row r="2" spans="1:10" s="1" customFormat="1" x14ac:dyDescent="0.25">
      <c r="A2" s="10" t="s">
        <v>31</v>
      </c>
      <c r="B2" s="10" t="s">
        <v>32</v>
      </c>
      <c r="C2" s="11">
        <v>123</v>
      </c>
      <c r="D2" s="6">
        <f t="shared" ref="D2:D7" si="0">AVERAGE(F2:J2)</f>
        <v>72.666666666666671</v>
      </c>
      <c r="E2" s="6">
        <f t="shared" ref="E2:E7" si="1">SUM(F2:J2)</f>
        <v>218</v>
      </c>
      <c r="F2" s="2"/>
      <c r="G2" s="6">
        <v>75</v>
      </c>
      <c r="H2" s="6">
        <v>73</v>
      </c>
      <c r="I2" s="6">
        <v>70</v>
      </c>
      <c r="J2" s="2"/>
    </row>
    <row r="3" spans="1:10" x14ac:dyDescent="0.25">
      <c r="A3" t="s">
        <v>9</v>
      </c>
      <c r="B3" t="s">
        <v>10</v>
      </c>
      <c r="C3" s="3">
        <v>345</v>
      </c>
      <c r="D3" s="6">
        <f t="shared" si="0"/>
        <v>90.666666666666671</v>
      </c>
      <c r="E3" s="6">
        <f t="shared" si="1"/>
        <v>272</v>
      </c>
      <c r="F3" s="2"/>
      <c r="G3" s="6">
        <v>88</v>
      </c>
      <c r="H3" s="6">
        <v>89</v>
      </c>
      <c r="I3" s="6">
        <v>95</v>
      </c>
      <c r="J3" s="6"/>
    </row>
    <row r="4" spans="1:10" x14ac:dyDescent="0.25">
      <c r="A4" t="s">
        <v>33</v>
      </c>
      <c r="B4" t="s">
        <v>34</v>
      </c>
      <c r="C4" s="3">
        <v>567</v>
      </c>
      <c r="D4" s="6">
        <f t="shared" si="0"/>
        <v>83.333333333333329</v>
      </c>
      <c r="E4" s="6">
        <f t="shared" si="1"/>
        <v>250</v>
      </c>
      <c r="F4" s="2"/>
      <c r="G4" s="6">
        <v>78</v>
      </c>
      <c r="H4" s="6">
        <v>87</v>
      </c>
      <c r="I4" s="6">
        <v>85</v>
      </c>
      <c r="J4" s="6"/>
    </row>
    <row r="5" spans="1:10" x14ac:dyDescent="0.25">
      <c r="A5" t="s">
        <v>35</v>
      </c>
      <c r="B5" t="s">
        <v>36</v>
      </c>
      <c r="C5" s="3">
        <v>789</v>
      </c>
      <c r="D5" s="6">
        <f t="shared" si="0"/>
        <v>72</v>
      </c>
      <c r="E5" s="6">
        <f t="shared" si="1"/>
        <v>216</v>
      </c>
      <c r="F5" s="2"/>
      <c r="G5" s="6">
        <v>67</v>
      </c>
      <c r="H5" s="6">
        <v>79</v>
      </c>
      <c r="I5" s="6">
        <v>70</v>
      </c>
      <c r="J5" s="6"/>
    </row>
    <row r="6" spans="1:10" x14ac:dyDescent="0.25">
      <c r="A6" t="s">
        <v>11</v>
      </c>
      <c r="B6" t="s">
        <v>12</v>
      </c>
      <c r="C6" s="3">
        <v>912</v>
      </c>
      <c r="D6" s="6">
        <f t="shared" si="0"/>
        <v>78.333333333333329</v>
      </c>
      <c r="E6" s="6">
        <f t="shared" si="1"/>
        <v>235</v>
      </c>
      <c r="F6" s="2"/>
      <c r="G6" s="6">
        <v>76</v>
      </c>
      <c r="H6" s="6">
        <v>79</v>
      </c>
      <c r="I6" s="6">
        <v>80</v>
      </c>
      <c r="J6" s="6"/>
    </row>
    <row r="7" spans="1:10" x14ac:dyDescent="0.25">
      <c r="A7" t="s">
        <v>37</v>
      </c>
      <c r="B7" t="s">
        <v>38</v>
      </c>
      <c r="C7" s="3">
        <v>234</v>
      </c>
      <c r="D7" s="6">
        <f t="shared" si="0"/>
        <v>85</v>
      </c>
      <c r="E7" s="6">
        <f t="shared" si="1"/>
        <v>255</v>
      </c>
      <c r="F7" s="2"/>
      <c r="G7" s="6">
        <v>87</v>
      </c>
      <c r="H7" s="6">
        <v>78</v>
      </c>
      <c r="I7" s="6">
        <v>90</v>
      </c>
      <c r="J7" s="6"/>
    </row>
  </sheetData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2.5" x14ac:dyDescent="0.25"/>
  <cols>
    <col min="1" max="1" width="9.453125" bestFit="1" customWidth="1"/>
    <col min="2" max="2" width="9.26953125" bestFit="1" customWidth="1"/>
    <col min="3" max="3" width="4" style="3" customWidth="1"/>
    <col min="4" max="4" width="4.453125" bestFit="1" customWidth="1"/>
    <col min="5" max="5" width="8.26953125" bestFit="1" customWidth="1"/>
    <col min="7" max="9" width="6.453125" customWidth="1"/>
  </cols>
  <sheetData>
    <row r="1" spans="1:10" x14ac:dyDescent="0.25">
      <c r="A1" s="2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16</v>
      </c>
      <c r="H1" s="2" t="s">
        <v>17</v>
      </c>
      <c r="I1" s="2" t="s">
        <v>18</v>
      </c>
    </row>
    <row r="2" spans="1:10" s="1" customFormat="1" x14ac:dyDescent="0.25">
      <c r="A2" s="10" t="s">
        <v>31</v>
      </c>
      <c r="B2" s="10" t="s">
        <v>32</v>
      </c>
      <c r="C2" s="11">
        <v>123</v>
      </c>
      <c r="D2" s="6">
        <f t="shared" ref="D2:D7" si="0">AVERAGE(F2:J2)</f>
        <v>83.666666666666671</v>
      </c>
      <c r="E2" s="6">
        <f t="shared" ref="E2:E7" si="1">SUM(F2:J2)</f>
        <v>251</v>
      </c>
      <c r="F2" s="2"/>
      <c r="G2" s="6">
        <v>86</v>
      </c>
      <c r="H2" s="6">
        <v>80</v>
      </c>
      <c r="I2" s="6">
        <v>85</v>
      </c>
      <c r="J2" s="2"/>
    </row>
    <row r="3" spans="1:10" x14ac:dyDescent="0.25">
      <c r="A3" t="s">
        <v>9</v>
      </c>
      <c r="B3" t="s">
        <v>10</v>
      </c>
      <c r="C3" s="3">
        <v>345</v>
      </c>
      <c r="D3" s="6">
        <f t="shared" si="0"/>
        <v>89.333333333333329</v>
      </c>
      <c r="E3" s="6">
        <f t="shared" si="1"/>
        <v>268</v>
      </c>
      <c r="F3" s="2"/>
      <c r="G3" s="6">
        <v>50</v>
      </c>
      <c r="H3" s="6">
        <v>98</v>
      </c>
      <c r="I3" s="6">
        <v>120</v>
      </c>
    </row>
    <row r="4" spans="1:10" x14ac:dyDescent="0.25">
      <c r="A4" t="s">
        <v>33</v>
      </c>
      <c r="B4" t="s">
        <v>34</v>
      </c>
      <c r="C4" s="3">
        <v>567</v>
      </c>
      <c r="D4" s="6">
        <f t="shared" si="0"/>
        <v>86</v>
      </c>
      <c r="E4" s="6">
        <f t="shared" si="1"/>
        <v>258</v>
      </c>
      <c r="F4" s="2"/>
      <c r="G4" s="6">
        <v>50</v>
      </c>
      <c r="H4" s="6">
        <v>78</v>
      </c>
      <c r="I4" s="6">
        <v>130</v>
      </c>
    </row>
    <row r="5" spans="1:10" x14ac:dyDescent="0.25">
      <c r="A5" t="s">
        <v>35</v>
      </c>
      <c r="B5" t="s">
        <v>36</v>
      </c>
      <c r="C5" s="3">
        <v>789</v>
      </c>
      <c r="D5" s="6">
        <f t="shared" si="0"/>
        <v>76</v>
      </c>
      <c r="E5" s="6">
        <f t="shared" si="1"/>
        <v>228</v>
      </c>
      <c r="F5" s="2"/>
      <c r="G5" s="6">
        <v>50</v>
      </c>
      <c r="H5" s="6">
        <v>88</v>
      </c>
      <c r="I5" s="6">
        <v>90</v>
      </c>
    </row>
    <row r="6" spans="1:10" x14ac:dyDescent="0.25">
      <c r="A6" t="s">
        <v>11</v>
      </c>
      <c r="B6" t="s">
        <v>12</v>
      </c>
      <c r="C6" s="3">
        <v>912</v>
      </c>
      <c r="D6" s="6">
        <f t="shared" si="0"/>
        <v>85.666666666666671</v>
      </c>
      <c r="E6" s="6">
        <f t="shared" si="1"/>
        <v>257</v>
      </c>
      <c r="F6" s="2"/>
      <c r="G6" s="6">
        <v>50</v>
      </c>
      <c r="H6" s="6">
        <v>92</v>
      </c>
      <c r="I6" s="6">
        <v>115</v>
      </c>
    </row>
    <row r="7" spans="1:10" x14ac:dyDescent="0.25">
      <c r="A7" t="s">
        <v>37</v>
      </c>
      <c r="B7" t="s">
        <v>38</v>
      </c>
      <c r="C7" s="3">
        <v>234</v>
      </c>
      <c r="D7" s="6">
        <f t="shared" si="0"/>
        <v>79</v>
      </c>
      <c r="E7" s="6">
        <f t="shared" si="1"/>
        <v>237</v>
      </c>
      <c r="F7" s="2"/>
      <c r="G7" s="6">
        <v>50</v>
      </c>
      <c r="H7" s="6">
        <v>77</v>
      </c>
      <c r="I7" s="6">
        <v>110</v>
      </c>
    </row>
  </sheetData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2" sqref="B2"/>
    </sheetView>
  </sheetViews>
  <sheetFormatPr defaultRowHeight="12.5" x14ac:dyDescent="0.25"/>
  <cols>
    <col min="1" max="1" width="9.453125" bestFit="1" customWidth="1"/>
    <col min="2" max="2" width="9.26953125" bestFit="1" customWidth="1"/>
    <col min="3" max="3" width="4" customWidth="1"/>
    <col min="4" max="4" width="7.26953125" style="2" bestFit="1" customWidth="1"/>
    <col min="5" max="5" width="9.7265625" style="2" bestFit="1" customWidth="1"/>
    <col min="6" max="6" width="6.54296875" style="2" bestFit="1" customWidth="1"/>
    <col min="7" max="8" width="12.81640625" bestFit="1" customWidth="1"/>
    <col min="10" max="10" width="8.81640625" bestFit="1" customWidth="1"/>
  </cols>
  <sheetData>
    <row r="1" spans="1:10" s="2" customFormat="1" ht="10.5" x14ac:dyDescent="0.25">
      <c r="A1" s="2" t="s">
        <v>0</v>
      </c>
      <c r="B1" s="2" t="s">
        <v>1</v>
      </c>
      <c r="C1" s="2" t="s">
        <v>30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s="1" customFormat="1" ht="13" x14ac:dyDescent="0.3">
      <c r="A2" s="10" t="s">
        <v>31</v>
      </c>
      <c r="B2" s="10" t="s">
        <v>32</v>
      </c>
      <c r="C2" s="11">
        <v>123</v>
      </c>
      <c r="D2" s="6">
        <f>Reading!D2</f>
        <v>83</v>
      </c>
      <c r="E2" s="6">
        <f>Vocabulary!D2</f>
        <v>72.666666666666671</v>
      </c>
      <c r="F2" s="6">
        <f>Writing!D2</f>
        <v>83.666666666666671</v>
      </c>
      <c r="G2" s="9">
        <f>D2*0.3+E2*0.2+F2*0.5</f>
        <v>81.26666666666668</v>
      </c>
      <c r="H2" s="9">
        <v>76</v>
      </c>
      <c r="I2" s="9">
        <v>85</v>
      </c>
      <c r="J2" s="9">
        <f>H2*0.4+G2*0.4+I2*0.2</f>
        <v>79.90666666666668</v>
      </c>
    </row>
    <row r="3" spans="1:10" ht="13" x14ac:dyDescent="0.3">
      <c r="A3" t="s">
        <v>9</v>
      </c>
      <c r="B3" t="s">
        <v>10</v>
      </c>
      <c r="C3" s="3">
        <v>345</v>
      </c>
      <c r="D3" s="6"/>
      <c r="E3" s="6"/>
      <c r="F3" s="6"/>
      <c r="G3" s="9"/>
      <c r="H3" s="9">
        <v>92</v>
      </c>
      <c r="I3" s="9">
        <v>95</v>
      </c>
      <c r="J3" s="9"/>
    </row>
    <row r="4" spans="1:10" ht="13" x14ac:dyDescent="0.3">
      <c r="A4" t="s">
        <v>33</v>
      </c>
      <c r="B4" t="s">
        <v>34</v>
      </c>
      <c r="C4" s="3">
        <v>567</v>
      </c>
      <c r="D4" s="6"/>
      <c r="E4" s="6"/>
      <c r="F4" s="6"/>
      <c r="G4" s="9"/>
      <c r="H4" s="9">
        <v>90</v>
      </c>
      <c r="I4" s="9">
        <v>85</v>
      </c>
      <c r="J4" s="9"/>
    </row>
    <row r="5" spans="1:10" ht="13" x14ac:dyDescent="0.3">
      <c r="A5" t="s">
        <v>35</v>
      </c>
      <c r="B5" t="s">
        <v>36</v>
      </c>
      <c r="C5" s="3">
        <v>789</v>
      </c>
      <c r="D5" s="6"/>
      <c r="E5" s="6"/>
      <c r="F5" s="6"/>
      <c r="G5" s="9"/>
      <c r="H5" s="9">
        <v>70</v>
      </c>
      <c r="I5" s="9">
        <v>79</v>
      </c>
      <c r="J5" s="9"/>
    </row>
    <row r="6" spans="1:10" ht="13" x14ac:dyDescent="0.3">
      <c r="A6" t="s">
        <v>11</v>
      </c>
      <c r="B6" t="s">
        <v>12</v>
      </c>
      <c r="C6" s="3">
        <v>912</v>
      </c>
      <c r="D6" s="6"/>
      <c r="E6" s="6"/>
      <c r="F6" s="6"/>
      <c r="G6" s="9"/>
      <c r="H6" s="9">
        <v>75</v>
      </c>
      <c r="I6" s="9">
        <v>91</v>
      </c>
      <c r="J6" s="9"/>
    </row>
    <row r="7" spans="1:10" ht="13" x14ac:dyDescent="0.3">
      <c r="A7" t="s">
        <v>37</v>
      </c>
      <c r="B7" t="s">
        <v>38</v>
      </c>
      <c r="C7" s="3">
        <v>234</v>
      </c>
      <c r="D7" s="6"/>
      <c r="E7" s="6"/>
      <c r="F7" s="6"/>
      <c r="G7" s="9"/>
      <c r="H7" s="9">
        <v>78</v>
      </c>
      <c r="I7" s="9">
        <v>88</v>
      </c>
      <c r="J7" s="9"/>
    </row>
    <row r="8" spans="1:10" ht="13" x14ac:dyDescent="0.3">
      <c r="D8" s="6"/>
      <c r="E8" s="6"/>
      <c r="F8" s="6"/>
      <c r="G8" s="7"/>
      <c r="H8" s="5"/>
    </row>
    <row r="9" spans="1:10" s="4" customFormat="1" ht="10.5" x14ac:dyDescent="0.25">
      <c r="A9" s="4" t="s">
        <v>26</v>
      </c>
      <c r="B9" s="4" t="s">
        <v>27</v>
      </c>
      <c r="D9" s="8" t="e">
        <f t="shared" ref="D9:J9" si="0">AVERAGE(D3:D7)</f>
        <v>#DIV/0!</v>
      </c>
      <c r="E9" s="8" t="e">
        <f t="shared" si="0"/>
        <v>#DIV/0!</v>
      </c>
      <c r="F9" s="8" t="e">
        <f t="shared" si="0"/>
        <v>#DIV/0!</v>
      </c>
      <c r="G9" s="8" t="e">
        <f t="shared" si="0"/>
        <v>#DIV/0!</v>
      </c>
      <c r="H9" s="8">
        <f t="shared" si="0"/>
        <v>81</v>
      </c>
      <c r="I9" s="8">
        <f t="shared" si="0"/>
        <v>87.6</v>
      </c>
      <c r="J9" s="8" t="e">
        <f t="shared" si="0"/>
        <v>#DIV/0!</v>
      </c>
    </row>
    <row r="10" spans="1:10" s="4" customFormat="1" ht="10.5" x14ac:dyDescent="0.25">
      <c r="A10" s="4" t="s">
        <v>26</v>
      </c>
      <c r="B10" s="4" t="s">
        <v>28</v>
      </c>
      <c r="D10" s="8">
        <f>MAX(D3:D7)</f>
        <v>0</v>
      </c>
      <c r="E10" s="8"/>
      <c r="F10" s="8"/>
      <c r="G10" s="8"/>
      <c r="H10" s="8"/>
      <c r="I10" s="8"/>
      <c r="J10" s="8"/>
    </row>
    <row r="11" spans="1:10" s="4" customFormat="1" ht="10.5" x14ac:dyDescent="0.25">
      <c r="A11" s="4" t="s">
        <v>26</v>
      </c>
      <c r="B11" s="4" t="s">
        <v>29</v>
      </c>
      <c r="D11" s="8">
        <f>MIN(D3:D7)</f>
        <v>0</v>
      </c>
      <c r="E11" s="8"/>
      <c r="F11" s="8"/>
      <c r="G11" s="8"/>
      <c r="H11" s="8"/>
      <c r="I11" s="8"/>
      <c r="J11" s="8"/>
    </row>
  </sheetData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Reading</vt:lpstr>
      <vt:lpstr>Vocabulary</vt:lpstr>
      <vt:lpstr>Writing</vt:lpstr>
      <vt:lpstr>Quarter Score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Grades Tutorial</dc:title>
  <dc:subject>How to use spreadsheets for grades</dc:subject>
  <dc:creator>Liz O'Connell</dc:creator>
  <cp:lastModifiedBy>Carina Negreanu</cp:lastModifiedBy>
  <dcterms:created xsi:type="dcterms:W3CDTF">1998-04-23T20:26:26Z</dcterms:created>
  <dcterms:modified xsi:type="dcterms:W3CDTF">2020-01-27T12:51:44Z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256932383</vt:i4>
  </property>
  <property fmtid="{D5CDD505-2E9C-101B-9397-08002B2CF9AE}" pid="3" name="_EmailSubject">
    <vt:lpwstr>Files</vt:lpwstr>
  </property>
  <property fmtid="{D5CDD505-2E9C-101B-9397-08002B2CF9AE}" pid="4" name="_AuthorEmail">
    <vt:lpwstr>jhunsinger@njpsa.org</vt:lpwstr>
  </property>
  <property fmtid="{D5CDD505-2E9C-101B-9397-08002B2CF9AE}" pid="5" name="_AuthorEmailDisplayName">
    <vt:lpwstr>Hunsinger, Jennifer</vt:lpwstr>
  </property>
  <property fmtid="{D5CDD505-2E9C-101B-9397-08002B2CF9AE}" pid="6" name="_ReviewingToolsShownOnce">
    <vt:lpwstr/>
  </property>
</Properties>
</file>