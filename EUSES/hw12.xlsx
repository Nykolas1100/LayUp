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5519C63-BABD-43CF-B3DB-B1AF5A64F057}" xr6:coauthVersionLast="45" xr6:coauthVersionMax="45" xr10:uidLastSave="{00000000-0000-0000-0000-000000000000}"/>
  <bookViews>
    <workbookView xWindow="380" yWindow="380" windowWidth="28800" windowHeight="15460"/>
  </bookViews>
  <sheets>
    <sheet name="Prob1" sheetId="2" r:id="rId1"/>
    <sheet name="Prob2" sheetId="1" r:id="rId2"/>
    <sheet name="Prob3" sheetId="3" r:id="rId3"/>
    <sheet name="Prob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2" l="1"/>
  <c r="B8" i="2"/>
  <c r="E9" i="2"/>
  <c r="F9" i="2"/>
  <c r="E10" i="2"/>
  <c r="G10" i="2"/>
  <c r="I10" i="2"/>
  <c r="C37" i="2"/>
  <c r="C38" i="2"/>
  <c r="C39" i="2"/>
  <c r="C40" i="2"/>
  <c r="E12" i="1"/>
  <c r="E20" i="1"/>
  <c r="G20" i="1"/>
  <c r="D21" i="1"/>
  <c r="F21" i="1"/>
  <c r="H21" i="1"/>
  <c r="A26" i="1" a="1"/>
  <c r="C26" i="1" s="1"/>
  <c r="C40" i="1"/>
  <c r="B46" i="1" a="1"/>
  <c r="B49" i="1" s="1"/>
  <c r="C46" i="1" a="1"/>
  <c r="C56" i="1" s="1"/>
  <c r="B6" i="3"/>
  <c r="C8" i="3"/>
  <c r="H8" i="3"/>
  <c r="J8" i="3"/>
  <c r="A11" i="3"/>
  <c r="C11" i="3"/>
  <c r="E11" i="3"/>
  <c r="G11" i="3"/>
  <c r="F12" i="3"/>
  <c r="H13" i="3"/>
  <c r="I13" i="3"/>
  <c r="J13" i="3"/>
  <c r="B40" i="3"/>
  <c r="C40" i="3"/>
  <c r="D40" i="3"/>
  <c r="E40" i="3"/>
  <c r="B41" i="3"/>
  <c r="C41" i="3"/>
  <c r="D41" i="3"/>
  <c r="E41" i="3"/>
  <c r="C42" i="3"/>
  <c r="D42" i="3"/>
  <c r="E42" i="3"/>
  <c r="B10" i="5"/>
  <c r="D10" i="5"/>
  <c r="B13" i="5"/>
  <c r="E13" i="5"/>
  <c r="C15" i="5"/>
  <c r="E15" i="5"/>
  <c r="G15" i="5"/>
  <c r="D16" i="5"/>
  <c r="D17" i="5"/>
  <c r="G17" i="5"/>
  <c r="E19" i="5"/>
  <c r="G19" i="5"/>
  <c r="D20" i="5"/>
  <c r="A22" i="5"/>
  <c r="C22" i="5"/>
  <c r="E23" i="5"/>
  <c r="F23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B26" i="1" l="1"/>
  <c r="C32" i="1"/>
  <c r="A33" i="1"/>
  <c r="A26" i="1"/>
  <c r="A32" i="1"/>
  <c r="B31" i="1"/>
  <c r="C31" i="1"/>
  <c r="C28" i="1"/>
  <c r="B56" i="1"/>
  <c r="C55" i="1"/>
  <c r="B54" i="1"/>
  <c r="A30" i="1"/>
  <c r="C53" i="1"/>
  <c r="A36" i="1"/>
  <c r="C35" i="1"/>
  <c r="B28" i="1"/>
  <c r="B48" i="1"/>
  <c r="C47" i="1"/>
  <c r="C46" i="1"/>
  <c r="A31" i="1"/>
  <c r="B55" i="1"/>
  <c r="C54" i="1"/>
  <c r="C36" i="1"/>
  <c r="C51" i="1"/>
  <c r="B51" i="1"/>
  <c r="C34" i="1"/>
  <c r="A28" i="1"/>
  <c r="C48" i="1"/>
  <c r="C29" i="1"/>
  <c r="B53" i="1"/>
  <c r="C52" i="1"/>
  <c r="B35" i="1"/>
  <c r="A35" i="1"/>
  <c r="C50" i="1"/>
  <c r="B34" i="1"/>
  <c r="C27" i="1"/>
  <c r="C30" i="1"/>
  <c r="A29" i="1"/>
  <c r="B50" i="1"/>
  <c r="A34" i="1"/>
  <c r="B27" i="1"/>
  <c r="B46" i="1"/>
  <c r="B30" i="1"/>
  <c r="B36" i="1"/>
  <c r="B29" i="1"/>
  <c r="B52" i="1"/>
  <c r="C49" i="1"/>
  <c r="C33" i="1"/>
  <c r="A27" i="1"/>
  <c r="B32" i="1"/>
  <c r="B47" i="1"/>
  <c r="B33" i="1"/>
</calcChain>
</file>

<file path=xl/sharedStrings.xml><?xml version="1.0" encoding="utf-8"?>
<sst xmlns="http://schemas.openxmlformats.org/spreadsheetml/2006/main" count="317" uniqueCount="138">
  <si>
    <t>Student:</t>
  </si>
  <si>
    <t>ClassAv: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</si>
  <si>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</si>
  <si>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</si>
  <si>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</si>
  <si>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</si>
  <si>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</si>
  <si>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</si>
  <si>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</si>
  <si>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</si>
  <si>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</si>
  <si>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</si>
  <si>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</si>
  <si>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</si>
  <si>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</si>
  <si>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</si>
  <si>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</si>
  <si>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</si>
  <si>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</si>
  <si>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</si>
  <si>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</si>
  <si>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</si>
  <si>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</si>
  <si>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</si>
  <si>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</si>
  <si>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</si>
  <si>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The output under SUMMARY OUTPUT is the output from Tools | Data Analysis… | Regression…</t>
  </si>
  <si>
    <t>ACT</t>
  </si>
  <si>
    <t>GPA</t>
  </si>
  <si>
    <t>Some values from the regression line:</t>
  </si>
  <si>
    <t>Lower 90.0%</t>
  </si>
  <si>
    <t>Upper 90.0%</t>
  </si>
  <si>
    <t>CORRELATION TABLE:</t>
  </si>
  <si>
    <t>CO2</t>
  </si>
  <si>
    <t>Air Qual</t>
  </si>
  <si>
    <t>Mean</t>
  </si>
  <si>
    <t>StdDev</t>
  </si>
  <si>
    <t>Corr</t>
  </si>
  <si>
    <t>Recovery</t>
  </si>
  <si>
    <t>Sex</t>
  </si>
  <si>
    <t>Antibody</t>
  </si>
  <si>
    <t>Sex*Anti</t>
  </si>
  <si>
    <t>t-Test: Two-Sample Assuming Equal Variances</t>
  </si>
  <si>
    <t>Variable 1</t>
  </si>
  <si>
    <t>Variable 2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</si>
  <si>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</si>
  <si>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</si>
  <si>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</si>
  <si>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</si>
  <si>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</si>
  <si>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</si>
  <si>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</si>
  <si>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Y(88)=</t>
  </si>
  <si>
    <t>Classical t-test for Recovery and Antibody:</t>
  </si>
  <si>
    <t>t-Test: Two-Sample Assuming Unequal Variances</t>
  </si>
  <si>
    <t>Simple Regression for Recovery on Antibody:</t>
  </si>
  <si>
    <t>Multiple Regression for Recovery on Sex and Antibody:</t>
  </si>
  <si>
    <t>Multiple Regression for Recovery on Sex, Antibody, and Sex*Antibody</t>
  </si>
  <si>
    <t>Answers to Homework 12 - Math320 - Spring 2001</t>
  </si>
  <si>
    <t>Problem 1: Regression of college GPA on ACT test for 12 students</t>
  </si>
  <si>
    <t>Answers:</t>
  </si>
  <si>
    <t xml:space="preserve">(a) Beta1 = </t>
  </si>
  <si>
    <t>from the Coefficient table. This is the slope of the estimated regression line.</t>
  </si>
  <si>
    <t>(b) P-value =</t>
  </si>
  <si>
    <t>from the Coefficient table. This means that the slope is significantly different from zero.</t>
  </si>
  <si>
    <t>from the coefficient table.</t>
  </si>
  <si>
    <t>), also from the coefficient table.</t>
  </si>
  <si>
    <t>(d) The estimated Y(28) =</t>
  </si>
  <si>
    <t>beta0 + beta1*28 =</t>
  </si>
  <si>
    <t>+</t>
  </si>
  <si>
    <t>* 28 =</t>
  </si>
  <si>
    <t xml:space="preserve"> </t>
  </si>
  <si>
    <t>(e) A confidence interval for the expected value of Y at X=28 is given by formulas (12.12)-(12.14) on page 535 of the book.</t>
  </si>
  <si>
    <t>In these formulas, sigmahat is either `Standard Error' is the Summary Output or else the square root of MS-Residual in the ANOVA table.</t>
  </si>
  <si>
    <t>Data and output of Tools | Data Analysis | Regression… :</t>
  </si>
  <si>
    <t>Problem 2: Fill in an Exam score for an excused absence by doing a simple regression</t>
  </si>
  <si>
    <t>of his other exam scores on class average exam scores.</t>
  </si>
  <si>
    <t>Excel's CORREL function gives:</t>
  </si>
  <si>
    <t>The data except for Exam 8 copied from the homework set and imported into Excel is:</t>
  </si>
  <si>
    <t>The data were copied to the cells below using the Excel TRANSPOSE Arrray function.</t>
  </si>
  <si>
    <t>and beta1hat =</t>
  </si>
  <si>
    <t>(I) From the Coefficient table, beta0hat =</t>
  </si>
  <si>
    <t>The regression line at X=88 is</t>
  </si>
  <si>
    <t>* 88 =</t>
  </si>
  <si>
    <t>This is larger than the average value 73 of the student's other exam scores.</t>
  </si>
  <si>
    <t>(ii) A confidence interval for the expected value of Y at X=88 is given by formulas (12.12)-(12.14) on page 535 of the book.</t>
  </si>
  <si>
    <t>Exam:</t>
  </si>
  <si>
    <t>(I) R^2 =</t>
  </si>
  <si>
    <t>from Tools | Data Analysis… | Regression… SUMMARY OUTPUT. This number is larger than 0.50.</t>
  </si>
  <si>
    <t>(ii) The P-value for ``Significant fit better than no fit at all'' (`no fit' means beta0 only) is in the ANOVA table.</t>
  </si>
  <si>
    <t>The P-value is</t>
  </si>
  <si>
    <t>The F-statistic has two degrees of freedom:</t>
  </si>
  <si>
    <t>and</t>
  </si>
  <si>
    <t>(iii) The regression function is</t>
  </si>
  <si>
    <t>* CO2 +</t>
  </si>
  <si>
    <t>Only the coefficients for NOx and SOx are significantly different from zero (alpha=0.05)</t>
  </si>
  <si>
    <t>(Iv) The P-values for H0:betai=0 for CO2, NOx, and SOx respectively are</t>
  </si>
  <si>
    <t>CORRELATION TABLE below. These agree with the Coefficients and (betai) T-Statistics by sign and the betai P-values by magnitude.</t>
  </si>
  <si>
    <t>Introduce a dummy variable for Sex by coding Females=0, Males=1</t>
  </si>
  <si>
    <t>Using Tools | Data Analysis… | T-Test: (Option):</t>
  </si>
  <si>
    <t>Problem 4: Analyze regressions of Recovery time on Sex and Antibody.</t>
  </si>
  <si>
    <t>(I) Ignore Antibody and compare Recovery times between the sexes by a two-sample t-test. The results are</t>
  </si>
  <si>
    <t>The P-values are</t>
  </si>
  <si>
    <t>respectively. (See output below.)</t>
  </si>
  <si>
    <t>The Pvalue is</t>
  </si>
  <si>
    <t>The model R^2 is</t>
  </si>
  <si>
    <t>The regression function is</t>
  </si>
  <si>
    <t>* Sex +</t>
  </si>
  <si>
    <t>* Antibody.</t>
  </si>
  <si>
    <t>Its value at Sex=0, Antibody=100 is</t>
  </si>
  <si>
    <t>(iv) The P-value for the (Sex,Antibody) model is</t>
  </si>
  <si>
    <t>The improvement in Model R^2 is</t>
  </si>
  <si>
    <t>This is a significantly better fit than no fit at all. (That is, a fit by beta0 only.)</t>
  </si>
  <si>
    <t>(v) The P-values for the two coefficients in the regression of Recovery time on Sex and Antibody are</t>
  </si>
  <si>
    <t>Both Sex and Antibody have coefficients that are significantly different from zero.</t>
  </si>
  <si>
    <t>)</t>
  </si>
  <si>
    <t>This is part of the Coefficient table for the regression of Recovery time on Sex and Antibody below.</t>
  </si>
  <si>
    <t>The data:</t>
  </si>
  <si>
    <t>(Display the links behind cells with numbers to see where the numbers are found in the Excel output.)</t>
  </si>
  <si>
    <t xml:space="preserve">(ii) Ignore Sex and do a simple regression of Recovery time on Antibody: </t>
  </si>
  <si>
    <t>(iii) Ignore any Sex*Antibody interaction and do a regression of Recovery time on Sex and Antibody:</t>
  </si>
  <si>
    <t>The degrees of freedom from the model ANOVA table are</t>
  </si>
  <si>
    <t>The degrees of freedom are from the model ANOVA table below.</t>
  </si>
  <si>
    <t>Not assigned but in case you are interested:</t>
  </si>
  <si>
    <t>The fact that no slopes are significant means that the 3 covariates are almost linearly dependent for these data.</t>
  </si>
  <si>
    <t>(c ) A 95% Confidence interval for Beta1 is (</t>
  </si>
  <si>
    <t>from Tools | Data Analysis | T-Test output for either Equal Variances (Classical t-test) or Unequal Variances (Satterthwaite t-test).</t>
  </si>
  <si>
    <t>The sample means are significantly different using either test.</t>
  </si>
  <si>
    <t>(vi) A 95% Confidence Interval for the Antibody coefficient is (</t>
  </si>
  <si>
    <t>(Not used.)</t>
  </si>
  <si>
    <t>Excel's Regression Data Analysis function needs data in columns.</t>
  </si>
  <si>
    <t>Problem 3: Analyze a regression of Air Quality on three covariates CO2, NOx, and SOx</t>
  </si>
  <si>
    <t>* NOx +</t>
  </si>
  <si>
    <t>NOx</t>
  </si>
  <si>
    <t>* SOx</t>
  </si>
  <si>
    <t>Its value at CO2=90, NOx=20, SOx=12 is</t>
  </si>
  <si>
    <t>SOx</t>
  </si>
  <si>
    <t>(v) The correlation coefficients between Air Quality and the three pollution covariates are the first column of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</si>
</sst>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000"/>
    <numFmt numFmtId="173" formatCode="0.00000000"/>
    <numFmt numFmtId="174" formatCode="0.000"/>
  </numFmts>
  <fonts count="6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72" fontId="0" fillId="0" borderId="0" xfId="0" applyNumberFormat="1" applyFill="1" applyBorder="1" applyAlignment="1"/>
    <xf numFmtId="172" fontId="0" fillId="0" borderId="1" xfId="0" applyNumberFormat="1" applyFill="1" applyBorder="1" applyAlignment="1"/>
    <xf numFmtId="0" fontId="2" fillId="0" borderId="0" xfId="0" applyFont="1"/>
    <xf numFmtId="172" fontId="0" fillId="0" borderId="0" xfId="0" applyNumberFormat="1"/>
    <xf numFmtId="172" fontId="1" fillId="0" borderId="2" xfId="0" applyNumberFormat="1" applyFont="1" applyFill="1" applyBorder="1" applyAlignment="1">
      <alignment horizontal="centerContinuous"/>
    </xf>
    <xf numFmtId="172" fontId="1" fillId="0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0" fillId="0" borderId="1" xfId="0" applyNumberFormat="1" applyFill="1" applyBorder="1" applyAlignment="1"/>
    <xf numFmtId="1" fontId="0" fillId="0" borderId="0" xfId="0" applyNumberFormat="1" applyFill="1" applyBorder="1" applyAlignment="1"/>
    <xf numFmtId="173" fontId="0" fillId="0" borderId="0" xfId="0" applyNumberFormat="1" applyFill="1" applyBorder="1" applyAlignment="1"/>
    <xf numFmtId="172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4" fontId="0" fillId="0" borderId="0" xfId="0" applyNumberFormat="1"/>
    <xf numFmtId="172" fontId="2" fillId="0" borderId="0" xfId="0" applyNumberFormat="1" applyFont="1" applyFill="1" applyBorder="1" applyAlignment="1"/>
    <xf numFmtId="172" fontId="2" fillId="0" borderId="1" xfId="0" applyNumberFormat="1" applyFont="1" applyFill="1" applyBorder="1" applyAlignment="1"/>
    <xf numFmtId="0" fontId="5" fillId="0" borderId="0" xfId="0" applyFont="1"/>
    <xf numFmtId="174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1" fontId="2" fillId="0" borderId="0" xfId="0" applyNumberFormat="1" applyFont="1" applyFill="1" applyBorder="1" applyAlignment="1"/>
    <xf numFmtId="1" fontId="2" fillId="0" borderId="1" xfId="0" applyNumberFormat="1" applyFont="1" applyFill="1" applyBorder="1" applyAlignment="1"/>
    <xf numFmtId="1" fontId="2" fillId="0" borderId="0" xfId="0" applyNumberFormat="1" applyFont="1"/>
    <xf numFmtId="172" fontId="5" fillId="0" borderId="1" xfId="0" applyNumberFormat="1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ACT vs. GPA</a:t>
            </a:r>
          </a:p>
        </c:rich>
      </c:tx>
      <c:layout>
        <c:manualLayout>
          <c:xMode val="edge"/>
          <c:yMode val="edge"/>
          <c:x val="0.41709074032991028"/>
          <c:y val="4.74593749521528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87253560662775"/>
          <c:y val="0.24407678546821482"/>
          <c:w val="0.62399402096600742"/>
          <c:h val="0.50849330305878093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Prob1!$C$16</c:f>
              <c:strCache>
                <c:ptCount val="1"/>
                <c:pt idx="0">
                  <c:v>GPA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Prob1!$B$17:$B$28</c:f>
              <c:numCache>
                <c:formatCode>General</c:formatCode>
                <c:ptCount val="12"/>
                <c:pt idx="0">
                  <c:v>24</c:v>
                </c:pt>
                <c:pt idx="1">
                  <c:v>20</c:v>
                </c:pt>
                <c:pt idx="2">
                  <c:v>23</c:v>
                </c:pt>
                <c:pt idx="3">
                  <c:v>27</c:v>
                </c:pt>
                <c:pt idx="4">
                  <c:v>31</c:v>
                </c:pt>
                <c:pt idx="5">
                  <c:v>29</c:v>
                </c:pt>
                <c:pt idx="6">
                  <c:v>28</c:v>
                </c:pt>
                <c:pt idx="7">
                  <c:v>26</c:v>
                </c:pt>
                <c:pt idx="8">
                  <c:v>31</c:v>
                </c:pt>
                <c:pt idx="9">
                  <c:v>26</c:v>
                </c:pt>
                <c:pt idx="10">
                  <c:v>20</c:v>
                </c:pt>
                <c:pt idx="11">
                  <c:v>18</c:v>
                </c:pt>
              </c:numCache>
            </c:numRef>
          </c:xVal>
          <c:yVal>
            <c:numRef>
              <c:f>Prob1!$C$17:$C$28</c:f>
              <c:numCache>
                <c:formatCode>General</c:formatCode>
                <c:ptCount val="12"/>
                <c:pt idx="0">
                  <c:v>2.66</c:v>
                </c:pt>
                <c:pt idx="1">
                  <c:v>2.25</c:v>
                </c:pt>
                <c:pt idx="2">
                  <c:v>2.82</c:v>
                </c:pt>
                <c:pt idx="3">
                  <c:v>2.91</c:v>
                </c:pt>
                <c:pt idx="4">
                  <c:v>3.45</c:v>
                </c:pt>
                <c:pt idx="5">
                  <c:v>3.47</c:v>
                </c:pt>
                <c:pt idx="6">
                  <c:v>3.75</c:v>
                </c:pt>
                <c:pt idx="7">
                  <c:v>3.33</c:v>
                </c:pt>
                <c:pt idx="8">
                  <c:v>4</c:v>
                </c:pt>
                <c:pt idx="9">
                  <c:v>3.49</c:v>
                </c:pt>
                <c:pt idx="10">
                  <c:v>2.61</c:v>
                </c:pt>
                <c:pt idx="11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45-4B42-A54B-F77CD034B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731583"/>
        <c:axId val="1"/>
      </c:scatterChart>
      <c:valAx>
        <c:axId val="79173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ACT</a:t>
                </a:r>
              </a:p>
            </c:rich>
          </c:tx>
          <c:layout>
            <c:manualLayout>
              <c:xMode val="edge"/>
              <c:yMode val="edge"/>
              <c:x val="0.41052238221447862"/>
              <c:y val="0.85426874913875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GPA</a:t>
                </a:r>
              </a:p>
            </c:rich>
          </c:tx>
          <c:layout>
            <c:manualLayout>
              <c:xMode val="edge"/>
              <c:yMode val="edge"/>
              <c:x val="3.6125969634874119E-2"/>
              <c:y val="0.450864062045452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173158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491879479408311"/>
          <c:y val="0.42713437456937592"/>
          <c:w val="0.19705074346294973"/>
          <c:h val="0.145768080210183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Scores</a:t>
            </a:r>
          </a:p>
        </c:rich>
      </c:tx>
      <c:layout>
        <c:manualLayout>
          <c:xMode val="edge"/>
          <c:yMode val="edge"/>
          <c:x val="0.42333393841777289"/>
          <c:y val="3.6952670531174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117880415381635E-2"/>
          <c:y val="0.18938243647226777"/>
          <c:w val="0.65021051020454346"/>
          <c:h val="0.61202860567257267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Prob2!$C$46</c:f>
              <c:strCache>
                <c:ptCount val="1"/>
                <c:pt idx="0">
                  <c:v>Student: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Prob2!$B$47:$B$56</c:f>
              <c:numCache>
                <c:formatCode>General</c:formatCode>
                <c:ptCount val="10"/>
                <c:pt idx="0">
                  <c:v>32</c:v>
                </c:pt>
                <c:pt idx="1">
                  <c:v>43</c:v>
                </c:pt>
                <c:pt idx="2">
                  <c:v>100</c:v>
                </c:pt>
                <c:pt idx="3">
                  <c:v>54</c:v>
                </c:pt>
                <c:pt idx="4">
                  <c:v>99</c:v>
                </c:pt>
                <c:pt idx="5">
                  <c:v>43</c:v>
                </c:pt>
                <c:pt idx="6">
                  <c:v>57</c:v>
                </c:pt>
                <c:pt idx="7">
                  <c:v>71</c:v>
                </c:pt>
                <c:pt idx="8">
                  <c:v>65</c:v>
                </c:pt>
                <c:pt idx="9">
                  <c:v>65</c:v>
                </c:pt>
              </c:numCache>
            </c:numRef>
          </c:xVal>
          <c:yVal>
            <c:numRef>
              <c:f>Prob2!$C$47:$C$56</c:f>
              <c:numCache>
                <c:formatCode>General</c:formatCode>
                <c:ptCount val="10"/>
                <c:pt idx="0">
                  <c:v>35</c:v>
                </c:pt>
                <c:pt idx="1">
                  <c:v>69</c:v>
                </c:pt>
                <c:pt idx="2">
                  <c:v>92</c:v>
                </c:pt>
                <c:pt idx="3">
                  <c:v>72</c:v>
                </c:pt>
                <c:pt idx="4">
                  <c:v>94</c:v>
                </c:pt>
                <c:pt idx="5">
                  <c:v>64</c:v>
                </c:pt>
                <c:pt idx="6">
                  <c:v>59</c:v>
                </c:pt>
                <c:pt idx="7">
                  <c:v>87</c:v>
                </c:pt>
                <c:pt idx="8">
                  <c:v>75</c:v>
                </c:pt>
                <c:pt idx="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66-4081-B41D-85984CB1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734079"/>
        <c:axId val="1"/>
      </c:scatterChart>
      <c:valAx>
        <c:axId val="79173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Class Average</a:t>
                </a:r>
              </a:p>
            </c:rich>
          </c:tx>
          <c:layout>
            <c:manualLayout>
              <c:xMode val="edge"/>
              <c:yMode val="edge"/>
              <c:x val="0.33207632295046857"/>
              <c:y val="0.884554550839982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173407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88733082761585"/>
          <c:y val="0.43650342064949521"/>
          <c:w val="0.21420190297186714"/>
          <c:h val="0.117786637318117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23686732133615"/>
          <c:y val="3.492764818060013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35025387019028"/>
          <c:y val="0.16544675453968488"/>
          <c:w val="0.74127454719298091"/>
          <c:h val="0.65627212634075005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Prob3!$B$50</c:f>
              <c:strCache>
                <c:ptCount val="1"/>
                <c:pt idx="0">
                  <c:v>Air Qual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Prob3!$A$51:$A$70</c:f>
              <c:numCache>
                <c:formatCode>General</c:formatCode>
                <c:ptCount val="20"/>
                <c:pt idx="0">
                  <c:v>22</c:v>
                </c:pt>
                <c:pt idx="1">
                  <c:v>16</c:v>
                </c:pt>
                <c:pt idx="2">
                  <c:v>18</c:v>
                </c:pt>
                <c:pt idx="3">
                  <c:v>18</c:v>
                </c:pt>
                <c:pt idx="4">
                  <c:v>26</c:v>
                </c:pt>
                <c:pt idx="5">
                  <c:v>24</c:v>
                </c:pt>
                <c:pt idx="6">
                  <c:v>16</c:v>
                </c:pt>
                <c:pt idx="7">
                  <c:v>22</c:v>
                </c:pt>
                <c:pt idx="8">
                  <c:v>10</c:v>
                </c:pt>
                <c:pt idx="9">
                  <c:v>21</c:v>
                </c:pt>
                <c:pt idx="10">
                  <c:v>22</c:v>
                </c:pt>
                <c:pt idx="11">
                  <c:v>26</c:v>
                </c:pt>
                <c:pt idx="12">
                  <c:v>36</c:v>
                </c:pt>
                <c:pt idx="13">
                  <c:v>25</c:v>
                </c:pt>
                <c:pt idx="14">
                  <c:v>20</c:v>
                </c:pt>
                <c:pt idx="15">
                  <c:v>17</c:v>
                </c:pt>
                <c:pt idx="16">
                  <c:v>22</c:v>
                </c:pt>
                <c:pt idx="17">
                  <c:v>18</c:v>
                </c:pt>
                <c:pt idx="18">
                  <c:v>29</c:v>
                </c:pt>
                <c:pt idx="19">
                  <c:v>23</c:v>
                </c:pt>
              </c:numCache>
            </c:numRef>
          </c:xVal>
          <c:yVal>
            <c:numRef>
              <c:f>Prob3!$B$51:$B$70</c:f>
              <c:numCache>
                <c:formatCode>General</c:formatCode>
                <c:ptCount val="20"/>
                <c:pt idx="0">
                  <c:v>197</c:v>
                </c:pt>
                <c:pt idx="1">
                  <c:v>191</c:v>
                </c:pt>
                <c:pt idx="2">
                  <c:v>224</c:v>
                </c:pt>
                <c:pt idx="3">
                  <c:v>183</c:v>
                </c:pt>
                <c:pt idx="4">
                  <c:v>236</c:v>
                </c:pt>
                <c:pt idx="5">
                  <c:v>200</c:v>
                </c:pt>
                <c:pt idx="6">
                  <c:v>226</c:v>
                </c:pt>
                <c:pt idx="7">
                  <c:v>164</c:v>
                </c:pt>
                <c:pt idx="8">
                  <c:v>100</c:v>
                </c:pt>
                <c:pt idx="9">
                  <c:v>285</c:v>
                </c:pt>
                <c:pt idx="10">
                  <c:v>207</c:v>
                </c:pt>
                <c:pt idx="11">
                  <c:v>336</c:v>
                </c:pt>
                <c:pt idx="12">
                  <c:v>299</c:v>
                </c:pt>
                <c:pt idx="13">
                  <c:v>192</c:v>
                </c:pt>
                <c:pt idx="14">
                  <c:v>264</c:v>
                </c:pt>
                <c:pt idx="15">
                  <c:v>244</c:v>
                </c:pt>
                <c:pt idx="16">
                  <c:v>227</c:v>
                </c:pt>
                <c:pt idx="17">
                  <c:v>216</c:v>
                </c:pt>
                <c:pt idx="18">
                  <c:v>263</c:v>
                </c:pt>
                <c:pt idx="19">
                  <c:v>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2-47CB-B280-89053AAC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732831"/>
        <c:axId val="1"/>
      </c:scatterChart>
      <c:valAx>
        <c:axId val="79173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NOx level</a:t>
                </a:r>
              </a:p>
            </c:rich>
          </c:tx>
          <c:layout>
            <c:manualLayout>
              <c:xMode val="edge"/>
              <c:yMode val="edge"/>
              <c:x val="0.4326752721813108"/>
              <c:y val="0.902603960877614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Air Quality Index</a:t>
                </a:r>
              </a:p>
            </c:rich>
          </c:tx>
          <c:layout>
            <c:manualLayout>
              <c:xMode val="edge"/>
              <c:yMode val="edge"/>
              <c:x val="2.333052938232558E-2"/>
              <c:y val="0.347438184533338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173283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443915931179706"/>
          <c:y val="0.466927507256444"/>
          <c:w val="0.10392690361217759"/>
          <c:h val="5.331062090723179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12</xdr:row>
      <xdr:rowOff>88900</xdr:rowOff>
    </xdr:from>
    <xdr:to>
      <xdr:col>11</xdr:col>
      <xdr:colOff>317500</xdr:colOff>
      <xdr:row>24</xdr:row>
      <xdr:rowOff>6350</xdr:rowOff>
    </xdr:to>
    <xdr:graphicFrame macro="">
      <xdr:nvGraphicFramePr>
        <xdr:cNvPr id="4099" name="Chart 3">
          <a:extLst>
            <a:ext uri="{FF2B5EF4-FFF2-40B4-BE49-F238E27FC236}">
              <a16:creationId xmlns:a16="http://schemas.microsoft.com/office/drawing/2014/main" id="{2A6DF178-1CBB-4C48-8FAC-9252D2D48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45</xdr:row>
      <xdr:rowOff>6350</xdr:rowOff>
    </xdr:from>
    <xdr:to>
      <xdr:col>9</xdr:col>
      <xdr:colOff>241300</xdr:colOff>
      <xdr:row>62</xdr:row>
      <xdr:rowOff>50800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F04FC8C7-6C21-4895-B2A7-1ADC7844C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49</xdr:row>
      <xdr:rowOff>25400</xdr:rowOff>
    </xdr:from>
    <xdr:to>
      <xdr:col>11</xdr:col>
      <xdr:colOff>57150</xdr:colOff>
      <xdr:row>70</xdr:row>
      <xdr:rowOff>139700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3CF5FC7A-FB01-405D-9A13-C44155244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G1" sqref="G1"/>
    </sheetView>
  </sheetViews>
  <sheetFormatPr defaultRowHeight="12.5" x14ac:dyDescent="0.25"/>
  <cols>
    <col min="1" max="1" width="14.6328125" customWidth="1"/>
    <col min="5" max="5" width="17.54296875" bestFit="1" customWidth="1"/>
    <col min="6" max="6" width="11.54296875" bestFit="1" customWidth="1"/>
    <col min="7" max="7" width="13.90625" bestFit="1" customWidth="1"/>
    <col min="8" max="8" width="7.1796875" customWidth="1"/>
    <col min="9" max="9" width="7.90625" customWidth="1"/>
    <col min="10" max="10" width="13.36328125" bestFit="1" customWidth="1"/>
    <col min="11" max="11" width="10.90625" bestFit="1" customWidth="1"/>
    <col min="12" max="13" width="12.453125" bestFit="1" customWidth="1"/>
  </cols>
  <sheetData>
    <row r="1" spans="1:14" s="7" customFormat="1" ht="13" x14ac:dyDescent="0.3">
      <c r="A1" s="7" t="s">
        <v>58</v>
      </c>
    </row>
    <row r="2" spans="1:14" s="7" customFormat="1" ht="13" x14ac:dyDescent="0.3"/>
    <row r="3" spans="1:14" s="7" customFormat="1" ht="13" x14ac:dyDescent="0.3">
      <c r="A3" s="7" t="s">
        <v>59</v>
      </c>
    </row>
    <row r="4" spans="1:14" s="7" customFormat="1" ht="13" x14ac:dyDescent="0.3"/>
    <row r="5" spans="1:14" s="7" customFormat="1" ht="13" x14ac:dyDescent="0.3">
      <c r="A5" s="7" t="s">
        <v>60</v>
      </c>
      <c r="B5" s="7" t="s">
        <v>118</v>
      </c>
    </row>
    <row r="6" spans="1:14" s="7" customFormat="1" ht="13" x14ac:dyDescent="0.3"/>
    <row r="7" spans="1:14" s="7" customFormat="1" ht="13" x14ac:dyDescent="0.3">
      <c r="A7" s="23" t="s">
        <v>61</v>
      </c>
      <c r="B7" s="15">
        <f>F33</f>
        <v>0.1364121212121209</v>
      </c>
      <c r="C7" s="7" t="s">
        <v>62</v>
      </c>
    </row>
    <row r="8" spans="1:14" s="7" customFormat="1" ht="13" x14ac:dyDescent="0.3">
      <c r="A8" s="23" t="s">
        <v>63</v>
      </c>
      <c r="B8" s="15">
        <f>I33</f>
        <v>3.7173716588146004E-5</v>
      </c>
      <c r="C8" s="7" t="s">
        <v>64</v>
      </c>
    </row>
    <row r="9" spans="1:14" s="7" customFormat="1" ht="13" x14ac:dyDescent="0.3">
      <c r="A9" s="23" t="s">
        <v>125</v>
      </c>
      <c r="E9" s="15">
        <f>J33</f>
        <v>9.2988915954864887E-2</v>
      </c>
      <c r="F9" s="15">
        <f>K33</f>
        <v>0.17983532646937692</v>
      </c>
      <c r="G9" s="7" t="s">
        <v>66</v>
      </c>
    </row>
    <row r="10" spans="1:14" s="7" customFormat="1" ht="13" x14ac:dyDescent="0.3">
      <c r="A10" s="23" t="s">
        <v>67</v>
      </c>
      <c r="C10" s="22" t="s">
        <v>68</v>
      </c>
      <c r="E10" s="22">
        <f>F32</f>
        <v>-0.39940606060605227</v>
      </c>
      <c r="F10" s="15" t="s">
        <v>69</v>
      </c>
      <c r="G10" s="15">
        <f>F33</f>
        <v>0.1364121212121209</v>
      </c>
      <c r="H10" s="7" t="s">
        <v>70</v>
      </c>
      <c r="I10" s="7">
        <f xml:space="preserve"> E10 + 28*G10</f>
        <v>3.4201333333333332</v>
      </c>
      <c r="J10" s="7" t="s">
        <v>65</v>
      </c>
    </row>
    <row r="11" spans="1:14" s="7" customFormat="1" ht="13" x14ac:dyDescent="0.3">
      <c r="A11" s="23" t="s">
        <v>72</v>
      </c>
      <c r="E11" s="15"/>
      <c r="F11" s="15"/>
      <c r="K11" s="22" t="s">
        <v>71</v>
      </c>
    </row>
    <row r="12" spans="1:14" s="7" customFormat="1" ht="13" x14ac:dyDescent="0.3">
      <c r="A12" s="24" t="s">
        <v>73</v>
      </c>
      <c r="E12" s="15"/>
      <c r="F12" s="15"/>
    </row>
    <row r="13" spans="1:14" s="7" customFormat="1" ht="13" x14ac:dyDescent="0.3">
      <c r="E13" s="15"/>
      <c r="F13" s="15"/>
    </row>
    <row r="14" spans="1:14" s="7" customFormat="1" ht="13" x14ac:dyDescent="0.3">
      <c r="A14" s="7" t="s">
        <v>74</v>
      </c>
      <c r="E14" s="15"/>
      <c r="F14" s="15"/>
    </row>
    <row r="15" spans="1:14" s="7" customFormat="1" ht="13" x14ac:dyDescent="0.3">
      <c r="E15" s="15"/>
      <c r="F15" s="15"/>
    </row>
    <row r="16" spans="1:14" ht="13" x14ac:dyDescent="0.3">
      <c r="B16" s="17" t="s">
        <v>27</v>
      </c>
      <c r="C16" s="17" t="s">
        <v>28</v>
      </c>
      <c r="D16" s="16"/>
      <c r="E16" s="15" t="s">
        <v>2</v>
      </c>
      <c r="F16" s="8"/>
      <c r="G16" s="8"/>
      <c r="H16" s="8"/>
      <c r="I16" s="8"/>
      <c r="J16" s="8"/>
      <c r="K16" s="8"/>
      <c r="L16" s="8"/>
      <c r="M16" s="8"/>
      <c r="N16" s="8"/>
    </row>
    <row r="17" spans="2:14" ht="13" thickBot="1" x14ac:dyDescent="0.3">
      <c r="B17">
        <v>24</v>
      </c>
      <c r="C17">
        <v>2.66</v>
      </c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2:14" ht="13" x14ac:dyDescent="0.3">
      <c r="B18">
        <v>20</v>
      </c>
      <c r="C18">
        <v>2.25</v>
      </c>
      <c r="E18" s="9" t="s">
        <v>3</v>
      </c>
      <c r="F18" s="9"/>
      <c r="G18" s="8"/>
      <c r="H18" s="8"/>
      <c r="I18" s="8"/>
      <c r="J18" s="8"/>
      <c r="K18" s="8"/>
      <c r="L18" s="8"/>
      <c r="M18" s="8"/>
      <c r="N18" s="8"/>
    </row>
    <row r="19" spans="2:14" x14ac:dyDescent="0.25">
      <c r="B19">
        <v>23</v>
      </c>
      <c r="C19">
        <v>2.82</v>
      </c>
      <c r="E19" s="5" t="s">
        <v>4</v>
      </c>
      <c r="F19" s="5">
        <v>0.91131361707539982</v>
      </c>
      <c r="G19" s="8"/>
      <c r="H19" s="8"/>
      <c r="I19" s="8"/>
      <c r="J19" s="8"/>
      <c r="K19" s="8"/>
      <c r="L19" s="8"/>
      <c r="M19" s="8"/>
      <c r="N19" s="8"/>
    </row>
    <row r="20" spans="2:14" x14ac:dyDescent="0.25">
      <c r="B20">
        <v>27</v>
      </c>
      <c r="C20">
        <v>2.91</v>
      </c>
      <c r="E20" s="5" t="s">
        <v>5</v>
      </c>
      <c r="F20" s="5">
        <v>0.83049250866704838</v>
      </c>
      <c r="G20" s="8"/>
      <c r="H20" s="8"/>
      <c r="I20" s="8"/>
      <c r="J20" s="8"/>
      <c r="K20" s="8"/>
      <c r="L20" s="8"/>
      <c r="M20" s="8"/>
      <c r="N20" s="8"/>
    </row>
    <row r="21" spans="2:14" x14ac:dyDescent="0.25">
      <c r="B21">
        <v>31</v>
      </c>
      <c r="C21">
        <v>3.45</v>
      </c>
      <c r="E21" s="5" t="s">
        <v>6</v>
      </c>
      <c r="F21" s="5">
        <v>0.81354175953375329</v>
      </c>
      <c r="G21" s="8"/>
      <c r="H21" s="8"/>
      <c r="I21" s="8"/>
      <c r="J21" s="8"/>
      <c r="K21" s="8"/>
      <c r="L21" s="8"/>
      <c r="M21" s="8"/>
      <c r="N21" s="8"/>
    </row>
    <row r="22" spans="2:14" ht="13" x14ac:dyDescent="0.3">
      <c r="B22">
        <v>29</v>
      </c>
      <c r="C22">
        <v>3.47</v>
      </c>
      <c r="E22" s="5" t="s">
        <v>7</v>
      </c>
      <c r="F22" s="19">
        <v>0.27988300586083631</v>
      </c>
      <c r="G22" s="8"/>
      <c r="H22" s="8"/>
      <c r="I22" s="8"/>
      <c r="J22" s="8"/>
      <c r="K22" s="8"/>
      <c r="L22" s="8"/>
      <c r="M22" s="8"/>
      <c r="N22" s="8"/>
    </row>
    <row r="23" spans="2:14" ht="13" thickBot="1" x14ac:dyDescent="0.3">
      <c r="B23">
        <v>28</v>
      </c>
      <c r="C23">
        <v>3.75</v>
      </c>
      <c r="E23" s="6" t="s">
        <v>8</v>
      </c>
      <c r="F23" s="12">
        <v>12</v>
      </c>
      <c r="G23" s="8"/>
      <c r="H23" s="8"/>
      <c r="I23" s="8"/>
      <c r="J23" s="8"/>
      <c r="K23" s="8"/>
      <c r="L23" s="8"/>
      <c r="M23" s="8"/>
      <c r="N23" s="8"/>
    </row>
    <row r="24" spans="2:14" x14ac:dyDescent="0.25">
      <c r="B24">
        <v>26</v>
      </c>
      <c r="C24">
        <v>3.33</v>
      </c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4" ht="13.5" thickBot="1" x14ac:dyDescent="0.35">
      <c r="B25">
        <v>31</v>
      </c>
      <c r="C25">
        <v>4</v>
      </c>
      <c r="E25" s="15" t="s">
        <v>9</v>
      </c>
      <c r="F25" s="8"/>
      <c r="G25" s="8"/>
      <c r="H25" s="8"/>
      <c r="I25" s="8"/>
      <c r="J25" s="8"/>
      <c r="K25" s="8"/>
      <c r="L25" s="8"/>
      <c r="M25" s="8"/>
      <c r="N25" s="8"/>
    </row>
    <row r="26" spans="2:14" ht="13" x14ac:dyDescent="0.3">
      <c r="B26">
        <v>26</v>
      </c>
      <c r="C26">
        <v>3.49</v>
      </c>
      <c r="E26" s="10"/>
      <c r="F26" s="10" t="s">
        <v>14</v>
      </c>
      <c r="G26" s="10" t="s">
        <v>15</v>
      </c>
      <c r="H26" s="10" t="s">
        <v>16</v>
      </c>
      <c r="I26" s="10" t="s">
        <v>17</v>
      </c>
      <c r="J26" s="10" t="s">
        <v>18</v>
      </c>
      <c r="K26" s="8"/>
      <c r="L26" s="8"/>
      <c r="M26" s="8"/>
      <c r="N26" s="8"/>
    </row>
    <row r="27" spans="2:14" x14ac:dyDescent="0.25">
      <c r="B27">
        <v>20</v>
      </c>
      <c r="C27">
        <v>2.61</v>
      </c>
      <c r="E27" s="5" t="s">
        <v>10</v>
      </c>
      <c r="F27" s="13">
        <v>1</v>
      </c>
      <c r="G27" s="5">
        <v>3.8379550303030303</v>
      </c>
      <c r="H27" s="5">
        <v>3.8379550303030303</v>
      </c>
      <c r="I27" s="5">
        <v>48.994442790482353</v>
      </c>
      <c r="J27" s="14">
        <v>3.7173716588145455E-5</v>
      </c>
      <c r="K27" s="8"/>
      <c r="L27" s="8"/>
      <c r="M27" s="8"/>
      <c r="N27" s="8"/>
    </row>
    <row r="28" spans="2:14" ht="13" x14ac:dyDescent="0.3">
      <c r="B28">
        <v>18</v>
      </c>
      <c r="C28">
        <v>1.8</v>
      </c>
      <c r="E28" s="5" t="s">
        <v>11</v>
      </c>
      <c r="F28" s="13">
        <v>10</v>
      </c>
      <c r="G28" s="5">
        <v>0.78334496969696943</v>
      </c>
      <c r="H28" s="19">
        <v>7.8334496969696937E-2</v>
      </c>
      <c r="I28" s="5"/>
      <c r="J28" s="5"/>
      <c r="K28" s="8"/>
      <c r="L28" s="8"/>
      <c r="M28" s="8"/>
      <c r="N28" s="8"/>
    </row>
    <row r="29" spans="2:14" ht="13" thickBot="1" x14ac:dyDescent="0.3">
      <c r="E29" s="6" t="s">
        <v>12</v>
      </c>
      <c r="F29" s="12">
        <v>11</v>
      </c>
      <c r="G29" s="6">
        <v>4.6212999999999997</v>
      </c>
      <c r="H29" s="6"/>
      <c r="I29" s="6"/>
      <c r="J29" s="6"/>
      <c r="K29" s="8"/>
      <c r="L29" s="8"/>
      <c r="M29" s="8"/>
      <c r="N29" s="8"/>
    </row>
    <row r="30" spans="2:14" ht="13" thickBot="1" x14ac:dyDescent="0.3"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3" x14ac:dyDescent="0.3">
      <c r="E31" s="10"/>
      <c r="F31" s="10" t="s">
        <v>19</v>
      </c>
      <c r="G31" s="10" t="s">
        <v>7</v>
      </c>
      <c r="H31" s="10" t="s">
        <v>20</v>
      </c>
      <c r="I31" s="10" t="s">
        <v>21</v>
      </c>
      <c r="J31" s="10" t="s">
        <v>22</v>
      </c>
      <c r="K31" s="10" t="s">
        <v>23</v>
      </c>
      <c r="L31" s="10" t="s">
        <v>30</v>
      </c>
      <c r="M31" s="10" t="s">
        <v>31</v>
      </c>
      <c r="N31" s="8"/>
    </row>
    <row r="32" spans="2:14" ht="13" x14ac:dyDescent="0.3">
      <c r="E32" s="5" t="s">
        <v>13</v>
      </c>
      <c r="F32" s="19">
        <v>-0.39940606060605227</v>
      </c>
      <c r="G32" s="5">
        <v>0.49867466477579953</v>
      </c>
      <c r="H32" s="5">
        <v>-0.80093513630900481</v>
      </c>
      <c r="I32" s="5">
        <v>0.44178325485993541</v>
      </c>
      <c r="J32" s="5">
        <v>-1.5105226479695597</v>
      </c>
      <c r="K32" s="5">
        <v>0.71171052675745505</v>
      </c>
      <c r="L32" s="5">
        <v>-1.3032346941924797</v>
      </c>
      <c r="M32" s="5">
        <v>0.50442257298037529</v>
      </c>
      <c r="N32" s="8"/>
    </row>
    <row r="33" spans="1:14" ht="13.5" thickBot="1" x14ac:dyDescent="0.35">
      <c r="E33" s="6" t="s">
        <v>27</v>
      </c>
      <c r="F33" s="20">
        <v>0.1364121212121209</v>
      </c>
      <c r="G33" s="6">
        <v>1.9488551040835685E-2</v>
      </c>
      <c r="H33" s="20">
        <v>6.99960304520779</v>
      </c>
      <c r="I33" s="20">
        <v>3.7173716588146004E-5</v>
      </c>
      <c r="J33" s="20">
        <v>9.2988915954864887E-2</v>
      </c>
      <c r="K33" s="20">
        <v>0.17983532646937692</v>
      </c>
      <c r="L33" s="6">
        <v>0.10108987265606656</v>
      </c>
      <c r="M33" s="6">
        <v>0.17173436976817524</v>
      </c>
      <c r="N33" s="8"/>
    </row>
    <row r="34" spans="1:14" x14ac:dyDescent="0.25">
      <c r="E34" s="8"/>
      <c r="F34" s="8"/>
      <c r="G34" s="8"/>
      <c r="H34" s="8"/>
      <c r="I34" s="8"/>
      <c r="J34" s="8"/>
      <c r="K34" s="8"/>
      <c r="L34" s="8"/>
      <c r="M34" s="8"/>
    </row>
    <row r="35" spans="1:14" ht="13" x14ac:dyDescent="0.3">
      <c r="A35" s="7" t="s">
        <v>29</v>
      </c>
      <c r="E35" s="8"/>
      <c r="F35" s="8"/>
      <c r="G35" s="8"/>
      <c r="H35" s="8"/>
      <c r="I35" s="8"/>
      <c r="J35" s="8"/>
      <c r="K35" s="8"/>
      <c r="L35" s="8"/>
      <c r="M35" s="8"/>
    </row>
    <row r="36" spans="1:14" ht="13" x14ac:dyDescent="0.3">
      <c r="A36" s="7"/>
      <c r="B36" s="11" t="s">
        <v>27</v>
      </c>
      <c r="C36" s="11" t="s">
        <v>28</v>
      </c>
      <c r="E36" s="8"/>
      <c r="F36" s="8"/>
      <c r="G36" s="8"/>
      <c r="H36" s="8"/>
      <c r="I36" s="8"/>
      <c r="J36" s="8"/>
      <c r="K36" s="8"/>
      <c r="L36" s="8"/>
      <c r="M36" s="8"/>
    </row>
    <row r="37" spans="1:14" ht="13" x14ac:dyDescent="0.3">
      <c r="B37" s="7">
        <v>28</v>
      </c>
      <c r="C37" s="22">
        <f>$F$33*B37 +$F$32</f>
        <v>3.4201333333333332</v>
      </c>
    </row>
    <row r="38" spans="1:14" x14ac:dyDescent="0.25">
      <c r="B38">
        <v>21</v>
      </c>
      <c r="C38" s="18">
        <f>$F$33*B38 +$F$32</f>
        <v>2.465248484848487</v>
      </c>
    </row>
    <row r="39" spans="1:14" x14ac:dyDescent="0.25">
      <c r="B39">
        <v>39</v>
      </c>
      <c r="C39" s="18">
        <f>$F$33*B39 +$F$32</f>
        <v>4.920666666666663</v>
      </c>
    </row>
    <row r="40" spans="1:14" x14ac:dyDescent="0.25">
      <c r="B40">
        <v>12</v>
      </c>
      <c r="C40" s="18">
        <f>$F$33*B40 +$F$32</f>
        <v>1.2375393939393986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activeCell="H1" sqref="H1"/>
    </sheetView>
  </sheetViews>
  <sheetFormatPr defaultRowHeight="12.5" x14ac:dyDescent="0.25"/>
  <cols>
    <col min="1" max="1" width="11.6328125" customWidth="1"/>
    <col min="5" max="5" width="16.08984375" bestFit="1" customWidth="1"/>
    <col min="6" max="6" width="15" customWidth="1"/>
    <col min="7" max="7" width="13.90625" bestFit="1" customWidth="1"/>
    <col min="8" max="9" width="12" bestFit="1" customWidth="1"/>
    <col min="10" max="10" width="13.36328125" bestFit="1" customWidth="1"/>
    <col min="11" max="11" width="12" bestFit="1" customWidth="1"/>
    <col min="12" max="13" width="12.54296875" bestFit="1" customWidth="1"/>
    <col min="14" max="14" width="12.36328125" bestFit="1" customWidth="1"/>
    <col min="15" max="15" width="9" bestFit="1" customWidth="1"/>
  </cols>
  <sheetData>
    <row r="1" spans="1:11" ht="13" x14ac:dyDescent="0.3">
      <c r="A1" s="7" t="s">
        <v>58</v>
      </c>
    </row>
    <row r="2" spans="1:11" ht="13" x14ac:dyDescent="0.3">
      <c r="A2" s="7"/>
    </row>
    <row r="3" spans="1:11" ht="13" x14ac:dyDescent="0.3">
      <c r="A3" s="7" t="s">
        <v>75</v>
      </c>
    </row>
    <row r="4" spans="1:11" ht="13" x14ac:dyDescent="0.3">
      <c r="A4" s="25" t="s">
        <v>76</v>
      </c>
    </row>
    <row r="6" spans="1:11" ht="13" x14ac:dyDescent="0.3">
      <c r="A6" s="7" t="s">
        <v>78</v>
      </c>
    </row>
    <row r="7" spans="1:11" ht="13" x14ac:dyDescent="0.3">
      <c r="A7" s="7"/>
    </row>
    <row r="8" spans="1:11" ht="13" x14ac:dyDescent="0.3">
      <c r="A8" s="7" t="s">
        <v>86</v>
      </c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9</v>
      </c>
      <c r="J8" s="21">
        <v>10</v>
      </c>
      <c r="K8" s="21">
        <v>11</v>
      </c>
    </row>
    <row r="9" spans="1:11" ht="13" x14ac:dyDescent="0.3">
      <c r="A9" s="7" t="s">
        <v>0</v>
      </c>
      <c r="B9">
        <v>35</v>
      </c>
      <c r="C9">
        <v>69</v>
      </c>
      <c r="D9">
        <v>92</v>
      </c>
      <c r="E9">
        <v>72</v>
      </c>
      <c r="F9">
        <v>94</v>
      </c>
      <c r="G9">
        <v>64</v>
      </c>
      <c r="H9">
        <v>59</v>
      </c>
      <c r="I9">
        <v>87</v>
      </c>
      <c r="J9">
        <v>75</v>
      </c>
      <c r="K9">
        <v>80</v>
      </c>
    </row>
    <row r="10" spans="1:11" ht="13" x14ac:dyDescent="0.3">
      <c r="A10" s="7" t="s">
        <v>1</v>
      </c>
      <c r="B10">
        <v>32</v>
      </c>
      <c r="C10">
        <v>43</v>
      </c>
      <c r="D10">
        <v>100</v>
      </c>
      <c r="E10">
        <v>54</v>
      </c>
      <c r="F10">
        <v>99</v>
      </c>
      <c r="G10">
        <v>43</v>
      </c>
      <c r="H10">
        <v>57</v>
      </c>
      <c r="I10">
        <v>71</v>
      </c>
      <c r="J10">
        <v>65</v>
      </c>
      <c r="K10">
        <v>65</v>
      </c>
    </row>
    <row r="12" spans="1:11" ht="13" x14ac:dyDescent="0.3">
      <c r="A12" s="7" t="s">
        <v>77</v>
      </c>
      <c r="E12" s="7">
        <f>CORREL(B9:K9,B10:K10)</f>
        <v>0.86971610524010767</v>
      </c>
    </row>
    <row r="14" spans="1:11" ht="13" x14ac:dyDescent="0.3">
      <c r="A14" s="7" t="s">
        <v>79</v>
      </c>
    </row>
    <row r="15" spans="1:11" ht="13" x14ac:dyDescent="0.3">
      <c r="A15" s="23" t="s">
        <v>130</v>
      </c>
    </row>
    <row r="16" spans="1:11" ht="13" x14ac:dyDescent="0.3">
      <c r="A16" s="23"/>
    </row>
    <row r="17" spans="1:8" ht="13" x14ac:dyDescent="0.3">
      <c r="A17" s="7" t="s">
        <v>26</v>
      </c>
    </row>
    <row r="18" spans="1:8" ht="13" x14ac:dyDescent="0.3">
      <c r="A18" s="7"/>
    </row>
    <row r="19" spans="1:8" ht="13" x14ac:dyDescent="0.3">
      <c r="A19" s="7" t="s">
        <v>60</v>
      </c>
    </row>
    <row r="20" spans="1:8" ht="13" x14ac:dyDescent="0.3">
      <c r="A20" s="7" t="s">
        <v>81</v>
      </c>
      <c r="E20" s="15">
        <f>F42</f>
        <v>30.179223818501008</v>
      </c>
      <c r="F20" s="7" t="s">
        <v>80</v>
      </c>
      <c r="G20" s="15">
        <f>F43</f>
        <v>0.67600598062796502</v>
      </c>
    </row>
    <row r="21" spans="1:8" ht="13" x14ac:dyDescent="0.3">
      <c r="A21" s="25" t="s">
        <v>82</v>
      </c>
      <c r="D21" s="15">
        <f>E20</f>
        <v>30.179223818501008</v>
      </c>
      <c r="E21" s="15" t="s">
        <v>69</v>
      </c>
      <c r="F21" s="15">
        <f>G20</f>
        <v>0.67600598062796502</v>
      </c>
      <c r="G21" s="15" t="s">
        <v>83</v>
      </c>
      <c r="H21" s="7">
        <f>D21 +F21*88</f>
        <v>89.66775011376194</v>
      </c>
    </row>
    <row r="22" spans="1:8" ht="13" x14ac:dyDescent="0.3">
      <c r="A22" s="25" t="s">
        <v>84</v>
      </c>
      <c r="E22" s="15"/>
      <c r="F22" s="7"/>
      <c r="G22" s="15"/>
    </row>
    <row r="23" spans="1:8" ht="13" x14ac:dyDescent="0.3">
      <c r="A23" s="26" t="s">
        <v>85</v>
      </c>
      <c r="E23" s="15"/>
      <c r="F23" s="7"/>
      <c r="G23" s="15"/>
    </row>
    <row r="24" spans="1:8" ht="13" x14ac:dyDescent="0.3">
      <c r="A24" s="25" t="s">
        <v>73</v>
      </c>
    </row>
    <row r="25" spans="1:8" ht="13" x14ac:dyDescent="0.3">
      <c r="A25" s="24"/>
    </row>
    <row r="26" spans="1:8" ht="13" x14ac:dyDescent="0.3">
      <c r="A26" s="7" t="str">
        <f t="array" ref="A26:C36">TRANSPOSE(A8:K10)</f>
        <v>Exam:</v>
      </c>
      <c r="B26" s="16" t="str">
        <v>Student:</v>
      </c>
      <c r="C26" s="16" t="str">
        <v>ClassAv:</v>
      </c>
      <c r="E26" s="7" t="s">
        <v>2</v>
      </c>
    </row>
    <row r="27" spans="1:8" ht="13" thickBot="1" x14ac:dyDescent="0.3">
      <c r="A27">
        <v>1</v>
      </c>
      <c r="B27">
        <v>35</v>
      </c>
      <c r="C27">
        <v>32</v>
      </c>
    </row>
    <row r="28" spans="1:8" ht="13" x14ac:dyDescent="0.3">
      <c r="A28">
        <v>2</v>
      </c>
      <c r="B28">
        <v>69</v>
      </c>
      <c r="C28">
        <v>43</v>
      </c>
      <c r="E28" s="4" t="s">
        <v>3</v>
      </c>
      <c r="F28" s="4"/>
    </row>
    <row r="29" spans="1:8" x14ac:dyDescent="0.25">
      <c r="A29">
        <v>3</v>
      </c>
      <c r="B29">
        <v>92</v>
      </c>
      <c r="C29">
        <v>100</v>
      </c>
      <c r="E29" s="1" t="s">
        <v>4</v>
      </c>
      <c r="F29" s="5">
        <v>0.86971610524010778</v>
      </c>
    </row>
    <row r="30" spans="1:8" x14ac:dyDescent="0.25">
      <c r="A30">
        <v>4</v>
      </c>
      <c r="B30">
        <v>72</v>
      </c>
      <c r="C30">
        <v>54</v>
      </c>
      <c r="E30" s="1" t="s">
        <v>5</v>
      </c>
      <c r="F30" s="5">
        <v>0.75640610371402217</v>
      </c>
    </row>
    <row r="31" spans="1:8" x14ac:dyDescent="0.25">
      <c r="A31">
        <v>5</v>
      </c>
      <c r="B31">
        <v>94</v>
      </c>
      <c r="C31">
        <v>99</v>
      </c>
      <c r="E31" s="1" t="s">
        <v>6</v>
      </c>
      <c r="F31" s="5">
        <v>0.72595686667827497</v>
      </c>
    </row>
    <row r="32" spans="1:8" ht="13" x14ac:dyDescent="0.3">
      <c r="A32">
        <v>6</v>
      </c>
      <c r="B32">
        <v>64</v>
      </c>
      <c r="C32">
        <v>43</v>
      </c>
      <c r="E32" s="1" t="s">
        <v>7</v>
      </c>
      <c r="F32" s="19">
        <v>9.2138763709617262</v>
      </c>
    </row>
    <row r="33" spans="1:13" ht="13" thickBot="1" x14ac:dyDescent="0.3">
      <c r="A33">
        <v>7</v>
      </c>
      <c r="B33">
        <v>59</v>
      </c>
      <c r="C33">
        <v>57</v>
      </c>
      <c r="E33" s="2" t="s">
        <v>8</v>
      </c>
      <c r="F33" s="2">
        <v>10</v>
      </c>
    </row>
    <row r="34" spans="1:13" x14ac:dyDescent="0.25">
      <c r="A34">
        <v>9</v>
      </c>
      <c r="B34">
        <v>87</v>
      </c>
      <c r="C34">
        <v>71</v>
      </c>
    </row>
    <row r="35" spans="1:13" ht="13" thickBot="1" x14ac:dyDescent="0.3">
      <c r="A35">
        <v>10</v>
      </c>
      <c r="B35">
        <v>75</v>
      </c>
      <c r="C35">
        <v>65</v>
      </c>
      <c r="E35" t="s">
        <v>9</v>
      </c>
    </row>
    <row r="36" spans="1:13" ht="13" x14ac:dyDescent="0.3">
      <c r="A36">
        <v>11</v>
      </c>
      <c r="B36">
        <v>80</v>
      </c>
      <c r="C36">
        <v>65</v>
      </c>
      <c r="E36" s="3"/>
      <c r="F36" s="3" t="s">
        <v>14</v>
      </c>
      <c r="G36" s="3" t="s">
        <v>15</v>
      </c>
      <c r="H36" s="3" t="s">
        <v>16</v>
      </c>
      <c r="I36" s="3" t="s">
        <v>17</v>
      </c>
      <c r="J36" s="3" t="s">
        <v>18</v>
      </c>
    </row>
    <row r="37" spans="1:13" x14ac:dyDescent="0.25">
      <c r="E37" s="1" t="s">
        <v>10</v>
      </c>
      <c r="F37" s="1">
        <v>1</v>
      </c>
      <c r="G37" s="5">
        <v>2108.9358577650651</v>
      </c>
      <c r="H37" s="5">
        <v>2108.9358577650651</v>
      </c>
      <c r="I37" s="5">
        <v>24.841545383419813</v>
      </c>
      <c r="J37" s="1">
        <v>1.0739266692069837E-3</v>
      </c>
    </row>
    <row r="38" spans="1:13" ht="13" x14ac:dyDescent="0.3">
      <c r="E38" s="1" t="s">
        <v>11</v>
      </c>
      <c r="F38" s="1">
        <v>8</v>
      </c>
      <c r="G38" s="5">
        <v>679.16414223493473</v>
      </c>
      <c r="H38" s="19">
        <v>84.895517779366841</v>
      </c>
      <c r="I38" s="5"/>
      <c r="J38" s="1"/>
    </row>
    <row r="39" spans="1:13" ht="13" thickBot="1" x14ac:dyDescent="0.3">
      <c r="E39" s="2" t="s">
        <v>12</v>
      </c>
      <c r="F39" s="2">
        <v>9</v>
      </c>
      <c r="G39" s="6">
        <v>2788.1</v>
      </c>
      <c r="H39" s="6"/>
      <c r="I39" s="6"/>
      <c r="J39" s="2"/>
    </row>
    <row r="40" spans="1:13" ht="13.5" thickBot="1" x14ac:dyDescent="0.35">
      <c r="B40" s="7" t="s">
        <v>52</v>
      </c>
      <c r="C40" s="7">
        <f>F42+F43*88</f>
        <v>89.66775011376194</v>
      </c>
    </row>
    <row r="41" spans="1:13" ht="13" x14ac:dyDescent="0.3">
      <c r="E41" s="3"/>
      <c r="F41" s="3" t="s">
        <v>19</v>
      </c>
      <c r="G41" s="3" t="s">
        <v>7</v>
      </c>
      <c r="H41" s="3" t="s">
        <v>20</v>
      </c>
      <c r="I41" s="3" t="s">
        <v>21</v>
      </c>
      <c r="J41" s="3" t="s">
        <v>22</v>
      </c>
      <c r="K41" s="3" t="s">
        <v>23</v>
      </c>
      <c r="L41" s="3" t="s">
        <v>24</v>
      </c>
      <c r="M41" s="3" t="s">
        <v>25</v>
      </c>
    </row>
    <row r="42" spans="1:13" ht="13" x14ac:dyDescent="0.3">
      <c r="E42" s="1" t="s">
        <v>13</v>
      </c>
      <c r="F42" s="19">
        <v>30.179223818501008</v>
      </c>
      <c r="G42" s="5">
        <v>9.0150714681051074</v>
      </c>
      <c r="H42" s="5">
        <v>3.3476411058163724</v>
      </c>
      <c r="I42" s="5">
        <v>1.0115671152247492E-2</v>
      </c>
      <c r="J42" s="5">
        <v>9.390418290190734</v>
      </c>
      <c r="K42" s="5">
        <v>50.968029346811278</v>
      </c>
      <c r="L42" s="5">
        <v>9.390418290190734</v>
      </c>
      <c r="M42" s="5">
        <v>50.968029346811278</v>
      </c>
    </row>
    <row r="43" spans="1:13" ht="13.5" thickBot="1" x14ac:dyDescent="0.35">
      <c r="E43" s="2" t="s">
        <v>1</v>
      </c>
      <c r="F43" s="20">
        <v>0.67600598062796502</v>
      </c>
      <c r="G43" s="6">
        <v>0.13563170878537623</v>
      </c>
      <c r="H43" s="6">
        <v>4.9841293505907061</v>
      </c>
      <c r="I43" s="6">
        <v>1.0739266692069949E-3</v>
      </c>
      <c r="J43" s="6">
        <v>0.36323849704369354</v>
      </c>
      <c r="K43" s="6">
        <v>0.98877346421223655</v>
      </c>
      <c r="L43" s="6">
        <v>0.36323849704369354</v>
      </c>
      <c r="M43" s="6">
        <v>0.98877346421223655</v>
      </c>
    </row>
    <row r="46" spans="1:13" ht="13" x14ac:dyDescent="0.3">
      <c r="B46" s="16" t="str">
        <f t="array" ref="B46:B56">TRANSPOSE(A10:K10)</f>
        <v>ClassAv:</v>
      </c>
      <c r="C46" s="16" t="str">
        <f t="array" ref="C46:C56">TRANSPOSE(A9:K9)</f>
        <v>Student:</v>
      </c>
    </row>
    <row r="47" spans="1:13" x14ac:dyDescent="0.25">
      <c r="B47">
        <v>32</v>
      </c>
      <c r="C47">
        <v>35</v>
      </c>
    </row>
    <row r="48" spans="1:13" x14ac:dyDescent="0.25">
      <c r="B48">
        <v>43</v>
      </c>
      <c r="C48">
        <v>69</v>
      </c>
    </row>
    <row r="49" spans="2:3" x14ac:dyDescent="0.25">
      <c r="B49">
        <v>100</v>
      </c>
      <c r="C49">
        <v>92</v>
      </c>
    </row>
    <row r="50" spans="2:3" x14ac:dyDescent="0.25">
      <c r="B50">
        <v>54</v>
      </c>
      <c r="C50">
        <v>72</v>
      </c>
    </row>
    <row r="51" spans="2:3" x14ac:dyDescent="0.25">
      <c r="B51">
        <v>99</v>
      </c>
      <c r="C51">
        <v>94</v>
      </c>
    </row>
    <row r="52" spans="2:3" x14ac:dyDescent="0.25">
      <c r="B52">
        <v>43</v>
      </c>
      <c r="C52">
        <v>64</v>
      </c>
    </row>
    <row r="53" spans="2:3" x14ac:dyDescent="0.25">
      <c r="B53">
        <v>57</v>
      </c>
      <c r="C53">
        <v>59</v>
      </c>
    </row>
    <row r="54" spans="2:3" x14ac:dyDescent="0.25">
      <c r="B54">
        <v>71</v>
      </c>
      <c r="C54">
        <v>87</v>
      </c>
    </row>
    <row r="55" spans="2:3" x14ac:dyDescent="0.25">
      <c r="B55">
        <v>65</v>
      </c>
      <c r="C55">
        <v>75</v>
      </c>
    </row>
    <row r="56" spans="2:3" x14ac:dyDescent="0.25">
      <c r="B56">
        <v>65</v>
      </c>
      <c r="C56">
        <v>80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workbookViewId="0">
      <selection activeCell="I1" sqref="I1"/>
    </sheetView>
  </sheetViews>
  <sheetFormatPr defaultRowHeight="12.5" x14ac:dyDescent="0.25"/>
  <cols>
    <col min="1" max="1" width="12.08984375" customWidth="1"/>
    <col min="2" max="2" width="9.6328125" customWidth="1"/>
    <col min="7" max="7" width="17.54296875" bestFit="1" customWidth="1"/>
    <col min="8" max="8" width="11.54296875" bestFit="1" customWidth="1"/>
    <col min="9" max="9" width="13.90625" bestFit="1" customWidth="1"/>
    <col min="10" max="10" width="9.54296875" customWidth="1"/>
    <col min="11" max="11" width="7.90625" customWidth="1"/>
    <col min="12" max="12" width="13.36328125" bestFit="1" customWidth="1"/>
    <col min="13" max="13" width="10.90625" bestFit="1" customWidth="1"/>
    <col min="14" max="15" width="12.453125" bestFit="1" customWidth="1"/>
  </cols>
  <sheetData>
    <row r="1" spans="1:10" ht="13" x14ac:dyDescent="0.3">
      <c r="A1" s="7" t="s">
        <v>58</v>
      </c>
    </row>
    <row r="2" spans="1:10" ht="13" x14ac:dyDescent="0.3">
      <c r="A2" s="7"/>
    </row>
    <row r="3" spans="1:10" ht="13" x14ac:dyDescent="0.3">
      <c r="A3" s="7" t="s">
        <v>131</v>
      </c>
    </row>
    <row r="4" spans="1:10" ht="13" x14ac:dyDescent="0.3">
      <c r="A4" s="7"/>
    </row>
    <row r="5" spans="1:10" ht="13" x14ac:dyDescent="0.3">
      <c r="A5" s="7" t="s">
        <v>60</v>
      </c>
      <c r="B5" s="7" t="s">
        <v>118</v>
      </c>
    </row>
    <row r="6" spans="1:10" ht="13" x14ac:dyDescent="0.3">
      <c r="A6" s="7" t="s">
        <v>87</v>
      </c>
      <c r="B6" s="15">
        <f>H22</f>
        <v>0.54637103437205381</v>
      </c>
      <c r="C6" s="23" t="s">
        <v>88</v>
      </c>
      <c r="D6" s="7"/>
      <c r="E6" s="7"/>
      <c r="F6" s="7"/>
      <c r="G6" s="7"/>
      <c r="H6" s="7"/>
      <c r="I6" s="7"/>
      <c r="J6" s="7"/>
    </row>
    <row r="7" spans="1:10" ht="13" x14ac:dyDescent="0.3">
      <c r="A7" s="7" t="s">
        <v>89</v>
      </c>
    </row>
    <row r="8" spans="1:10" ht="13" x14ac:dyDescent="0.3">
      <c r="A8" s="25" t="s">
        <v>90</v>
      </c>
      <c r="B8" s="7"/>
      <c r="C8" s="15">
        <f>L29</f>
        <v>4.6212880740033524E-3</v>
      </c>
      <c r="D8" s="23" t="s">
        <v>91</v>
      </c>
      <c r="E8" s="7"/>
      <c r="F8" s="7"/>
      <c r="G8" s="7"/>
      <c r="H8" s="7">
        <f>H29</f>
        <v>3</v>
      </c>
      <c r="I8" s="7" t="s">
        <v>92</v>
      </c>
      <c r="J8" s="7">
        <f>H30</f>
        <v>16</v>
      </c>
    </row>
    <row r="9" spans="1:10" ht="13" x14ac:dyDescent="0.3">
      <c r="A9" s="25" t="s">
        <v>122</v>
      </c>
      <c r="B9" s="7"/>
      <c r="C9" s="15"/>
      <c r="D9" s="7"/>
      <c r="E9" s="7"/>
      <c r="F9" s="7"/>
      <c r="G9" s="7"/>
      <c r="H9" s="7"/>
      <c r="I9" s="7"/>
      <c r="J9" s="7"/>
    </row>
    <row r="10" spans="1:10" ht="13" x14ac:dyDescent="0.3">
      <c r="A10" s="7" t="s">
        <v>93</v>
      </c>
    </row>
    <row r="11" spans="1:10" ht="13" x14ac:dyDescent="0.3">
      <c r="A11" s="15">
        <f>H34</f>
        <v>40.788364223419634</v>
      </c>
      <c r="B11" s="7" t="s">
        <v>69</v>
      </c>
      <c r="C11" s="15">
        <f>H35</f>
        <v>-0.17857807911671023</v>
      </c>
      <c r="D11" s="7" t="s">
        <v>94</v>
      </c>
      <c r="E11" s="15">
        <f>H36</f>
        <v>5.9649006797880739</v>
      </c>
      <c r="F11" s="7" t="s">
        <v>132</v>
      </c>
      <c r="G11" s="15">
        <f>H37</f>
        <v>2.681185237996027</v>
      </c>
      <c r="H11" s="7" t="s">
        <v>134</v>
      </c>
    </row>
    <row r="12" spans="1:10" ht="13" x14ac:dyDescent="0.3">
      <c r="A12" s="25" t="s">
        <v>135</v>
      </c>
      <c r="F12" s="7">
        <f>H34 +H35*90 +H36*20 + H37*12</f>
        <v>176.1885735546295</v>
      </c>
    </row>
    <row r="13" spans="1:10" ht="13" x14ac:dyDescent="0.3">
      <c r="A13" s="7" t="s">
        <v>96</v>
      </c>
      <c r="F13" s="7"/>
      <c r="H13" s="15">
        <f>K35</f>
        <v>0.76660612826088148</v>
      </c>
      <c r="I13" s="15">
        <f>K36</f>
        <v>1.8781059051364987E-3</v>
      </c>
      <c r="J13" s="15">
        <f>K37</f>
        <v>3.1381589466984057E-2</v>
      </c>
    </row>
    <row r="14" spans="1:10" ht="13" x14ac:dyDescent="0.3">
      <c r="A14" s="25" t="s">
        <v>95</v>
      </c>
      <c r="F14" s="7"/>
    </row>
    <row r="15" spans="1:10" ht="13" x14ac:dyDescent="0.3">
      <c r="A15" s="7" t="s">
        <v>137</v>
      </c>
      <c r="F15" s="7"/>
    </row>
    <row r="16" spans="1:10" ht="13" x14ac:dyDescent="0.3">
      <c r="A16" s="25" t="s">
        <v>97</v>
      </c>
    </row>
    <row r="17" spans="1:15" ht="13" x14ac:dyDescent="0.3">
      <c r="A17" s="7"/>
    </row>
    <row r="18" spans="1:15" ht="13" x14ac:dyDescent="0.3">
      <c r="B18" s="16" t="s">
        <v>34</v>
      </c>
      <c r="C18" s="16" t="s">
        <v>33</v>
      </c>
      <c r="D18" s="16" t="s">
        <v>133</v>
      </c>
      <c r="E18" s="16" t="s">
        <v>136</v>
      </c>
      <c r="G18" s="15" t="s">
        <v>2</v>
      </c>
      <c r="H18" s="8"/>
      <c r="I18" s="8"/>
      <c r="J18" s="8"/>
      <c r="K18" s="8"/>
      <c r="L18" s="8"/>
      <c r="M18" s="8"/>
      <c r="N18" s="8"/>
      <c r="O18" s="8"/>
    </row>
    <row r="19" spans="1:15" ht="13" thickBot="1" x14ac:dyDescent="0.3">
      <c r="B19">
        <v>197</v>
      </c>
      <c r="C19">
        <v>61</v>
      </c>
      <c r="D19">
        <v>22</v>
      </c>
      <c r="E19">
        <v>17</v>
      </c>
      <c r="G19" s="8"/>
      <c r="H19" s="8"/>
      <c r="I19" s="8"/>
      <c r="J19" s="8"/>
      <c r="K19" s="8"/>
      <c r="L19" s="8"/>
      <c r="M19" s="8"/>
      <c r="N19" s="8"/>
      <c r="O19" s="8"/>
    </row>
    <row r="20" spans="1:15" ht="13" x14ac:dyDescent="0.3">
      <c r="B20">
        <v>191</v>
      </c>
      <c r="C20">
        <v>33</v>
      </c>
      <c r="D20">
        <v>16</v>
      </c>
      <c r="E20">
        <v>27</v>
      </c>
      <c r="G20" s="9" t="s">
        <v>3</v>
      </c>
      <c r="H20" s="9"/>
      <c r="I20" s="8"/>
      <c r="J20" s="8"/>
      <c r="K20" s="8"/>
      <c r="L20" s="8"/>
      <c r="M20" s="8"/>
      <c r="N20" s="8"/>
      <c r="O20" s="8"/>
    </row>
    <row r="21" spans="1:15" x14ac:dyDescent="0.25">
      <c r="B21">
        <v>224</v>
      </c>
      <c r="C21">
        <v>65</v>
      </c>
      <c r="D21">
        <v>18</v>
      </c>
      <c r="E21">
        <v>18</v>
      </c>
      <c r="G21" s="5" t="s">
        <v>4</v>
      </c>
      <c r="H21" s="5">
        <v>0.73916915139368056</v>
      </c>
      <c r="I21" s="8"/>
      <c r="J21" s="8"/>
      <c r="K21" s="8"/>
      <c r="L21" s="8"/>
      <c r="M21" s="8"/>
      <c r="N21" s="8"/>
      <c r="O21" s="8"/>
    </row>
    <row r="22" spans="1:15" ht="13" x14ac:dyDescent="0.3">
      <c r="B22">
        <v>183</v>
      </c>
      <c r="C22">
        <v>55</v>
      </c>
      <c r="D22">
        <v>18</v>
      </c>
      <c r="E22">
        <v>32</v>
      </c>
      <c r="G22" s="5" t="s">
        <v>5</v>
      </c>
      <c r="H22" s="19">
        <v>0.54637103437205381</v>
      </c>
      <c r="I22" s="8"/>
      <c r="J22" s="8"/>
      <c r="K22" s="8"/>
      <c r="L22" s="8"/>
      <c r="M22" s="8"/>
      <c r="N22" s="8"/>
      <c r="O22" s="8"/>
    </row>
    <row r="23" spans="1:15" x14ac:dyDescent="0.25">
      <c r="B23">
        <v>236</v>
      </c>
      <c r="C23">
        <v>50</v>
      </c>
      <c r="D23">
        <v>26</v>
      </c>
      <c r="E23">
        <v>23</v>
      </c>
      <c r="G23" s="5" t="s">
        <v>6</v>
      </c>
      <c r="H23" s="5">
        <v>0.46131560331681387</v>
      </c>
      <c r="I23" s="8"/>
      <c r="J23" s="8"/>
      <c r="K23" s="8"/>
      <c r="L23" s="8"/>
      <c r="M23" s="8"/>
      <c r="N23" s="8"/>
      <c r="O23" s="8"/>
    </row>
    <row r="24" spans="1:15" x14ac:dyDescent="0.25">
      <c r="B24">
        <v>200</v>
      </c>
      <c r="C24">
        <v>60</v>
      </c>
      <c r="D24">
        <v>24</v>
      </c>
      <c r="E24">
        <v>26</v>
      </c>
      <c r="G24" s="5" t="s">
        <v>7</v>
      </c>
      <c r="H24" s="5">
        <v>38.248926107408046</v>
      </c>
      <c r="I24" s="8"/>
      <c r="J24" s="8"/>
      <c r="K24" s="8"/>
      <c r="L24" s="8"/>
      <c r="M24" s="8"/>
      <c r="N24" s="8"/>
      <c r="O24" s="8"/>
    </row>
    <row r="25" spans="1:15" ht="13" thickBot="1" x14ac:dyDescent="0.3">
      <c r="B25">
        <v>226</v>
      </c>
      <c r="C25">
        <v>59</v>
      </c>
      <c r="D25">
        <v>16</v>
      </c>
      <c r="E25">
        <v>25</v>
      </c>
      <c r="G25" s="6" t="s">
        <v>8</v>
      </c>
      <c r="H25">
        <v>20</v>
      </c>
      <c r="I25" s="8"/>
      <c r="J25" s="8"/>
      <c r="K25" s="8"/>
      <c r="L25" s="8"/>
      <c r="M25" s="8"/>
      <c r="N25" s="8"/>
      <c r="O25" s="8"/>
    </row>
    <row r="26" spans="1:15" x14ac:dyDescent="0.25">
      <c r="B26">
        <v>164</v>
      </c>
      <c r="C26">
        <v>54</v>
      </c>
      <c r="D26">
        <v>22</v>
      </c>
      <c r="E26">
        <v>24</v>
      </c>
      <c r="G26" s="8"/>
      <c r="H26" s="8"/>
      <c r="I26" s="8"/>
      <c r="J26" s="8"/>
      <c r="K26" s="8"/>
      <c r="L26" s="8"/>
      <c r="M26" s="8"/>
      <c r="N26" s="8"/>
      <c r="O26" s="8"/>
    </row>
    <row r="27" spans="1:15" ht="13.5" thickBot="1" x14ac:dyDescent="0.35">
      <c r="B27">
        <v>100</v>
      </c>
      <c r="C27">
        <v>83</v>
      </c>
      <c r="D27">
        <v>10</v>
      </c>
      <c r="E27">
        <v>17</v>
      </c>
      <c r="G27" s="15" t="s">
        <v>9</v>
      </c>
      <c r="H27" s="8"/>
      <c r="I27" s="8"/>
      <c r="J27" s="8"/>
      <c r="K27" s="8"/>
      <c r="L27" s="8"/>
      <c r="M27" s="8"/>
      <c r="N27" s="8"/>
      <c r="O27" s="8"/>
    </row>
    <row r="28" spans="1:15" ht="13" x14ac:dyDescent="0.3">
      <c r="B28">
        <v>285</v>
      </c>
      <c r="C28">
        <v>50</v>
      </c>
      <c r="D28">
        <v>21</v>
      </c>
      <c r="E28">
        <v>29</v>
      </c>
      <c r="G28" s="10"/>
      <c r="H28" s="10" t="s">
        <v>14</v>
      </c>
      <c r="I28" s="10" t="s">
        <v>15</v>
      </c>
      <c r="J28" s="10" t="s">
        <v>16</v>
      </c>
      <c r="K28" s="10" t="s">
        <v>17</v>
      </c>
      <c r="L28" s="10" t="s">
        <v>18</v>
      </c>
      <c r="M28" s="8"/>
      <c r="N28" s="8"/>
      <c r="O28" s="8"/>
    </row>
    <row r="29" spans="1:15" ht="13" x14ac:dyDescent="0.3">
      <c r="B29">
        <v>207</v>
      </c>
      <c r="C29">
        <v>73</v>
      </c>
      <c r="D29">
        <v>22</v>
      </c>
      <c r="E29">
        <v>21</v>
      </c>
      <c r="G29" s="5" t="s">
        <v>10</v>
      </c>
      <c r="H29" s="7">
        <v>3</v>
      </c>
      <c r="I29" s="5">
        <v>28193.26442608063</v>
      </c>
      <c r="J29" s="5">
        <v>9397.754808693544</v>
      </c>
      <c r="K29" s="19">
        <v>6.423705430605704</v>
      </c>
      <c r="L29" s="19">
        <v>4.6212880740033524E-3</v>
      </c>
      <c r="M29" s="8"/>
      <c r="N29" s="8"/>
      <c r="O29" s="8"/>
    </row>
    <row r="30" spans="1:15" ht="13" x14ac:dyDescent="0.3">
      <c r="B30">
        <v>336</v>
      </c>
      <c r="C30">
        <v>61</v>
      </c>
      <c r="D30">
        <v>26</v>
      </c>
      <c r="E30">
        <v>35</v>
      </c>
      <c r="G30" s="5" t="s">
        <v>11</v>
      </c>
      <c r="H30" s="7">
        <v>16</v>
      </c>
      <c r="I30" s="5">
        <v>23407.685573919374</v>
      </c>
      <c r="J30" s="5">
        <v>1462.9803483699609</v>
      </c>
      <c r="K30" s="5"/>
      <c r="L30" s="5"/>
      <c r="M30" s="8"/>
      <c r="N30" s="8"/>
      <c r="O30" s="8"/>
    </row>
    <row r="31" spans="1:15" ht="13" thickBot="1" x14ac:dyDescent="0.3">
      <c r="B31">
        <v>299</v>
      </c>
      <c r="C31">
        <v>42</v>
      </c>
      <c r="D31">
        <v>36</v>
      </c>
      <c r="E31">
        <v>21</v>
      </c>
      <c r="G31" s="6" t="s">
        <v>12</v>
      </c>
      <c r="H31">
        <v>19</v>
      </c>
      <c r="I31" s="6">
        <v>51600.95</v>
      </c>
      <c r="J31" s="6"/>
      <c r="K31" s="6"/>
      <c r="L31" s="6"/>
      <c r="M31" s="8"/>
      <c r="N31" s="8"/>
      <c r="O31" s="8"/>
    </row>
    <row r="32" spans="1:15" ht="13" thickBot="1" x14ac:dyDescent="0.3">
      <c r="B32">
        <v>192</v>
      </c>
      <c r="C32">
        <v>44</v>
      </c>
      <c r="D32">
        <v>25</v>
      </c>
      <c r="E32">
        <v>4</v>
      </c>
      <c r="G32" s="8"/>
      <c r="H32" s="8"/>
      <c r="I32" s="8"/>
      <c r="J32" s="8"/>
      <c r="K32" s="8"/>
      <c r="L32" s="8"/>
      <c r="M32" s="8"/>
      <c r="N32" s="8"/>
      <c r="O32" s="8"/>
    </row>
    <row r="33" spans="1:15" ht="13" x14ac:dyDescent="0.3">
      <c r="B33">
        <v>264</v>
      </c>
      <c r="C33">
        <v>54</v>
      </c>
      <c r="D33">
        <v>20</v>
      </c>
      <c r="E33">
        <v>29</v>
      </c>
      <c r="G33" s="10"/>
      <c r="H33" s="10" t="s">
        <v>19</v>
      </c>
      <c r="I33" s="10" t="s">
        <v>7</v>
      </c>
      <c r="J33" s="10" t="s">
        <v>20</v>
      </c>
      <c r="K33" s="10" t="s">
        <v>21</v>
      </c>
      <c r="L33" s="10" t="s">
        <v>22</v>
      </c>
      <c r="M33" s="10" t="s">
        <v>23</v>
      </c>
      <c r="N33" s="10" t="s">
        <v>24</v>
      </c>
      <c r="O33" s="10" t="s">
        <v>25</v>
      </c>
    </row>
    <row r="34" spans="1:15" ht="13" x14ac:dyDescent="0.3">
      <c r="B34">
        <v>244</v>
      </c>
      <c r="C34">
        <v>24</v>
      </c>
      <c r="D34">
        <v>17</v>
      </c>
      <c r="E34">
        <v>27</v>
      </c>
      <c r="G34" s="5" t="s">
        <v>13</v>
      </c>
      <c r="H34" s="19">
        <v>40.788364223419634</v>
      </c>
      <c r="I34" s="5">
        <v>62.114399257158503</v>
      </c>
      <c r="J34" s="5">
        <v>0.65666519697876491</v>
      </c>
      <c r="K34" s="5">
        <v>0.52072994538595063</v>
      </c>
      <c r="L34" s="5">
        <v>-90.888250188916558</v>
      </c>
      <c r="M34" s="5">
        <v>172.46497863575581</v>
      </c>
      <c r="N34" s="5">
        <v>-90.888250188916558</v>
      </c>
      <c r="O34" s="5">
        <v>172.46497863575581</v>
      </c>
    </row>
    <row r="35" spans="1:15" ht="13" x14ac:dyDescent="0.3">
      <c r="B35">
        <v>227</v>
      </c>
      <c r="C35">
        <v>53</v>
      </c>
      <c r="D35">
        <v>22</v>
      </c>
      <c r="E35">
        <v>42</v>
      </c>
      <c r="G35" s="5" t="s">
        <v>33</v>
      </c>
      <c r="H35" s="19">
        <v>-0.17857807911671023</v>
      </c>
      <c r="I35" s="5">
        <v>0.5914853049930634</v>
      </c>
      <c r="J35" s="5">
        <v>-0.30191465047268501</v>
      </c>
      <c r="K35" s="19">
        <v>0.76660612826088148</v>
      </c>
      <c r="L35" s="5">
        <v>-1.4324706284704527</v>
      </c>
      <c r="M35" s="5">
        <v>1.0753144702370323</v>
      </c>
      <c r="N35" s="5">
        <v>-1.4324706284704527</v>
      </c>
      <c r="O35" s="5">
        <v>1.0753144702370323</v>
      </c>
    </row>
    <row r="36" spans="1:15" ht="13" x14ac:dyDescent="0.3">
      <c r="B36">
        <v>216</v>
      </c>
      <c r="C36">
        <v>41</v>
      </c>
      <c r="D36">
        <v>18</v>
      </c>
      <c r="E36">
        <v>30</v>
      </c>
      <c r="G36" s="5" t="s">
        <v>133</v>
      </c>
      <c r="H36" s="19">
        <v>5.9649006797880739</v>
      </c>
      <c r="I36" s="5">
        <v>1.6052234477037042</v>
      </c>
      <c r="J36" s="5">
        <v>3.7159316905823623</v>
      </c>
      <c r="K36" s="19">
        <v>1.8781059051364987E-3</v>
      </c>
      <c r="L36" s="5">
        <v>2.561979754901857</v>
      </c>
      <c r="M36" s="5">
        <v>9.3678216046742904</v>
      </c>
      <c r="N36" s="5">
        <v>2.561979754901857</v>
      </c>
      <c r="O36" s="5">
        <v>9.3678216046742904</v>
      </c>
    </row>
    <row r="37" spans="1:15" ht="13.5" thickBot="1" x14ac:dyDescent="0.35">
      <c r="B37">
        <v>263</v>
      </c>
      <c r="C37">
        <v>57</v>
      </c>
      <c r="D37">
        <v>29</v>
      </c>
      <c r="E37">
        <v>24</v>
      </c>
      <c r="G37" s="6" t="s">
        <v>136</v>
      </c>
      <c r="H37" s="20">
        <v>2.681185237996027</v>
      </c>
      <c r="I37" s="6">
        <v>1.1366527295955882</v>
      </c>
      <c r="J37" s="6">
        <v>2.3588429149771812</v>
      </c>
      <c r="K37" s="20">
        <v>3.1381589466984057E-2</v>
      </c>
      <c r="L37" s="6">
        <v>0.2715896372072355</v>
      </c>
      <c r="M37" s="6">
        <v>5.0907808387848181</v>
      </c>
      <c r="N37" s="6">
        <v>0.2715896372072355</v>
      </c>
      <c r="O37" s="6">
        <v>5.0907808387848181</v>
      </c>
    </row>
    <row r="38" spans="1:15" x14ac:dyDescent="0.25">
      <c r="B38">
        <v>265</v>
      </c>
      <c r="C38">
        <v>87</v>
      </c>
      <c r="D38">
        <v>23</v>
      </c>
      <c r="E38">
        <v>25</v>
      </c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25">
      <c r="G39" s="8"/>
      <c r="H39" s="8"/>
      <c r="I39" s="8"/>
      <c r="J39" s="8"/>
      <c r="K39" s="8"/>
      <c r="L39" s="8"/>
      <c r="M39" s="8"/>
      <c r="N39" s="8"/>
      <c r="O39" s="8"/>
    </row>
    <row r="40" spans="1:15" ht="13" x14ac:dyDescent="0.3">
      <c r="A40" s="7" t="s">
        <v>35</v>
      </c>
      <c r="B40">
        <f>AVERAGE(B19:B38)</f>
        <v>225.95</v>
      </c>
      <c r="C40">
        <f>AVERAGE(C19:C38)</f>
        <v>55.3</v>
      </c>
      <c r="D40">
        <f>AVERAGE(D19:D38)</f>
        <v>21.55</v>
      </c>
      <c r="E40">
        <f>AVERAGE(E19:E38)</f>
        <v>24.8</v>
      </c>
      <c r="G40" s="15" t="s">
        <v>32</v>
      </c>
      <c r="H40" s="8"/>
      <c r="I40" s="8"/>
      <c r="J40" s="8"/>
      <c r="K40" s="8"/>
      <c r="L40" s="8"/>
      <c r="M40" s="8"/>
      <c r="N40" s="8"/>
      <c r="O40" s="8"/>
    </row>
    <row r="41" spans="1:15" ht="13.5" thickBot="1" x14ac:dyDescent="0.35">
      <c r="A41" s="15" t="s">
        <v>36</v>
      </c>
      <c r="B41" s="8">
        <f>STDEV(B19:B38)</f>
        <v>52.113716751774746</v>
      </c>
      <c r="C41" s="8">
        <f>STDEV(C19:C38)</f>
        <v>15.103502556482853</v>
      </c>
      <c r="D41" s="8">
        <f>STDEV(D19:D38)</f>
        <v>5.5295854988844981</v>
      </c>
      <c r="E41" s="8">
        <f>STDEV(E19:E38)</f>
        <v>7.8109235251530604</v>
      </c>
    </row>
    <row r="42" spans="1:15" ht="13" x14ac:dyDescent="0.3">
      <c r="A42" s="15" t="s">
        <v>37</v>
      </c>
      <c r="B42" s="8"/>
      <c r="C42" s="8">
        <f>CORREL($B19:$B38,C19:C38)</f>
        <v>-0.18440118032175334</v>
      </c>
      <c r="D42" s="8">
        <f>CORREL($B19:$B38,D19:D38)</f>
        <v>0.61414443969173416</v>
      </c>
      <c r="E42" s="8">
        <f>CORREL($B19:$B38,E19:E38)</f>
        <v>0.36860287243522594</v>
      </c>
      <c r="G42" s="10"/>
      <c r="H42" s="10" t="s">
        <v>34</v>
      </c>
      <c r="I42" s="10" t="s">
        <v>33</v>
      </c>
      <c r="J42" s="10" t="s">
        <v>133</v>
      </c>
      <c r="K42" s="10" t="s">
        <v>136</v>
      </c>
    </row>
    <row r="43" spans="1:15" x14ac:dyDescent="0.25">
      <c r="G43" s="5" t="s">
        <v>34</v>
      </c>
      <c r="H43" s="5">
        <v>1</v>
      </c>
      <c r="I43" s="5"/>
      <c r="J43" s="5"/>
      <c r="K43" s="5"/>
    </row>
    <row r="44" spans="1:15" ht="13" x14ac:dyDescent="0.3">
      <c r="G44" s="5" t="s">
        <v>33</v>
      </c>
      <c r="H44" s="19">
        <v>-0.18440118032175334</v>
      </c>
      <c r="I44" s="5">
        <v>1</v>
      </c>
      <c r="J44" s="5"/>
      <c r="K44" s="5"/>
    </row>
    <row r="45" spans="1:15" ht="13" x14ac:dyDescent="0.3">
      <c r="G45" s="5" t="s">
        <v>133</v>
      </c>
      <c r="H45" s="19">
        <v>0.61414443969173416</v>
      </c>
      <c r="I45" s="5">
        <v>-0.12748879927962395</v>
      </c>
      <c r="J45" s="5">
        <v>1</v>
      </c>
      <c r="K45" s="5"/>
    </row>
    <row r="46" spans="1:15" ht="13.5" thickBot="1" x14ac:dyDescent="0.35">
      <c r="G46" s="6" t="s">
        <v>136</v>
      </c>
      <c r="H46" s="20">
        <v>0.36860287243522594</v>
      </c>
      <c r="I46" s="6">
        <v>-0.12928993615789444</v>
      </c>
      <c r="J46" s="6">
        <v>-6.31220646190465E-2</v>
      </c>
      <c r="K46" s="6">
        <v>1</v>
      </c>
    </row>
    <row r="50" spans="1:2" ht="13" x14ac:dyDescent="0.3">
      <c r="A50" s="16" t="s">
        <v>133</v>
      </c>
      <c r="B50" s="16" t="s">
        <v>34</v>
      </c>
    </row>
    <row r="51" spans="1:2" x14ac:dyDescent="0.25">
      <c r="A51">
        <v>22</v>
      </c>
      <c r="B51">
        <v>197</v>
      </c>
    </row>
    <row r="52" spans="1:2" x14ac:dyDescent="0.25">
      <c r="A52">
        <v>16</v>
      </c>
      <c r="B52">
        <v>191</v>
      </c>
    </row>
    <row r="53" spans="1:2" x14ac:dyDescent="0.25">
      <c r="A53">
        <v>18</v>
      </c>
      <c r="B53">
        <v>224</v>
      </c>
    </row>
    <row r="54" spans="1:2" x14ac:dyDescent="0.25">
      <c r="A54">
        <v>18</v>
      </c>
      <c r="B54">
        <v>183</v>
      </c>
    </row>
    <row r="55" spans="1:2" x14ac:dyDescent="0.25">
      <c r="A55">
        <v>26</v>
      </c>
      <c r="B55">
        <v>236</v>
      </c>
    </row>
    <row r="56" spans="1:2" x14ac:dyDescent="0.25">
      <c r="A56">
        <v>24</v>
      </c>
      <c r="B56">
        <v>200</v>
      </c>
    </row>
    <row r="57" spans="1:2" x14ac:dyDescent="0.25">
      <c r="A57">
        <v>16</v>
      </c>
      <c r="B57">
        <v>226</v>
      </c>
    </row>
    <row r="58" spans="1:2" x14ac:dyDescent="0.25">
      <c r="A58">
        <v>22</v>
      </c>
      <c r="B58">
        <v>164</v>
      </c>
    </row>
    <row r="59" spans="1:2" x14ac:dyDescent="0.25">
      <c r="A59">
        <v>10</v>
      </c>
      <c r="B59">
        <v>100</v>
      </c>
    </row>
    <row r="60" spans="1:2" x14ac:dyDescent="0.25">
      <c r="A60">
        <v>21</v>
      </c>
      <c r="B60">
        <v>285</v>
      </c>
    </row>
    <row r="61" spans="1:2" x14ac:dyDescent="0.25">
      <c r="A61">
        <v>22</v>
      </c>
      <c r="B61">
        <v>207</v>
      </c>
    </row>
    <row r="62" spans="1:2" x14ac:dyDescent="0.25">
      <c r="A62">
        <v>26</v>
      </c>
      <c r="B62">
        <v>336</v>
      </c>
    </row>
    <row r="63" spans="1:2" x14ac:dyDescent="0.25">
      <c r="A63">
        <v>36</v>
      </c>
      <c r="B63">
        <v>299</v>
      </c>
    </row>
    <row r="64" spans="1:2" x14ac:dyDescent="0.25">
      <c r="A64">
        <v>25</v>
      </c>
      <c r="B64">
        <v>192</v>
      </c>
    </row>
    <row r="65" spans="1:2" x14ac:dyDescent="0.25">
      <c r="A65">
        <v>20</v>
      </c>
      <c r="B65">
        <v>264</v>
      </c>
    </row>
    <row r="66" spans="1:2" x14ac:dyDescent="0.25">
      <c r="A66">
        <v>17</v>
      </c>
      <c r="B66">
        <v>244</v>
      </c>
    </row>
    <row r="67" spans="1:2" x14ac:dyDescent="0.25">
      <c r="A67">
        <v>22</v>
      </c>
      <c r="B67">
        <v>227</v>
      </c>
    </row>
    <row r="68" spans="1:2" x14ac:dyDescent="0.25">
      <c r="A68">
        <v>18</v>
      </c>
      <c r="B68">
        <v>216</v>
      </c>
    </row>
    <row r="69" spans="1:2" x14ac:dyDescent="0.25">
      <c r="A69">
        <v>29</v>
      </c>
      <c r="B69">
        <v>263</v>
      </c>
    </row>
    <row r="70" spans="1:2" x14ac:dyDescent="0.25">
      <c r="A70">
        <v>23</v>
      </c>
      <c r="B70">
        <v>265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workbookViewId="0">
      <selection activeCell="F1" sqref="F1"/>
    </sheetView>
  </sheetViews>
  <sheetFormatPr defaultRowHeight="12.5" x14ac:dyDescent="0.25"/>
  <cols>
    <col min="1" max="1" width="20.1796875" customWidth="1"/>
    <col min="2" max="2" width="12" bestFit="1" customWidth="1"/>
    <col min="3" max="3" width="13.90625" bestFit="1" customWidth="1"/>
    <col min="4" max="5" width="12" bestFit="1" customWidth="1"/>
    <col min="6" max="6" width="13.36328125" bestFit="1" customWidth="1"/>
    <col min="7" max="7" width="26" customWidth="1"/>
    <col min="8" max="8" width="12.6328125" bestFit="1" customWidth="1"/>
    <col min="9" max="9" width="12.453125" bestFit="1" customWidth="1"/>
  </cols>
  <sheetData>
    <row r="1" spans="1:8" ht="13" x14ac:dyDescent="0.3">
      <c r="A1" s="7" t="s">
        <v>58</v>
      </c>
    </row>
    <row r="2" spans="1:8" ht="13" x14ac:dyDescent="0.3">
      <c r="A2" s="7"/>
    </row>
    <row r="3" spans="1:8" ht="13" x14ac:dyDescent="0.3">
      <c r="A3" s="7" t="s">
        <v>100</v>
      </c>
    </row>
    <row r="4" spans="1:8" ht="13" x14ac:dyDescent="0.3">
      <c r="A4" s="7"/>
    </row>
    <row r="5" spans="1:8" ht="13" x14ac:dyDescent="0.3">
      <c r="A5" s="7" t="s">
        <v>98</v>
      </c>
      <c r="F5" s="7" t="s">
        <v>99</v>
      </c>
    </row>
    <row r="7" spans="1:8" ht="13" x14ac:dyDescent="0.3">
      <c r="A7" s="7" t="s">
        <v>60</v>
      </c>
      <c r="B7" s="7" t="s">
        <v>118</v>
      </c>
    </row>
    <row r="8" spans="1:8" ht="13" x14ac:dyDescent="0.3">
      <c r="A8" s="7" t="s">
        <v>101</v>
      </c>
    </row>
    <row r="9" spans="1:8" ht="13" x14ac:dyDescent="0.3">
      <c r="A9" s="25" t="s">
        <v>126</v>
      </c>
    </row>
    <row r="10" spans="1:8" ht="13" x14ac:dyDescent="0.3">
      <c r="A10" s="25" t="s">
        <v>102</v>
      </c>
      <c r="B10" s="15">
        <f>H41</f>
        <v>8.0919721942403575E-3</v>
      </c>
      <c r="C10" s="7" t="s">
        <v>92</v>
      </c>
      <c r="D10" s="15">
        <f>H55</f>
        <v>8.0919721942403575E-3</v>
      </c>
      <c r="E10" s="23" t="s">
        <v>103</v>
      </c>
      <c r="F10" s="7"/>
    </row>
    <row r="11" spans="1:8" ht="13" x14ac:dyDescent="0.3">
      <c r="A11" s="25" t="s">
        <v>127</v>
      </c>
      <c r="B11" s="15"/>
      <c r="C11" s="7"/>
      <c r="D11" s="15"/>
      <c r="E11" s="7"/>
      <c r="F11" s="7"/>
    </row>
    <row r="12" spans="1:8" ht="13" x14ac:dyDescent="0.3">
      <c r="A12" s="7" t="s">
        <v>119</v>
      </c>
      <c r="B12" s="8"/>
      <c r="D12" s="8"/>
    </row>
    <row r="13" spans="1:8" ht="13" x14ac:dyDescent="0.3">
      <c r="A13" s="25" t="s">
        <v>104</v>
      </c>
      <c r="B13" s="15">
        <f>F63</f>
        <v>2.2908095025889211E-2</v>
      </c>
      <c r="C13" s="7" t="s">
        <v>105</v>
      </c>
      <c r="D13" s="15"/>
      <c r="E13" s="15">
        <f>B56</f>
        <v>0.25577593172998192</v>
      </c>
    </row>
    <row r="14" spans="1:8" ht="13" x14ac:dyDescent="0.3">
      <c r="A14" s="7" t="s">
        <v>120</v>
      </c>
      <c r="B14" s="15"/>
      <c r="C14" s="7"/>
      <c r="D14" s="15"/>
      <c r="E14" s="15"/>
    </row>
    <row r="15" spans="1:8" ht="13" x14ac:dyDescent="0.3">
      <c r="A15" s="25" t="s">
        <v>106</v>
      </c>
      <c r="B15" s="8"/>
      <c r="C15" s="15">
        <f>B89</f>
        <v>14.54973548705639</v>
      </c>
      <c r="D15" s="15" t="s">
        <v>69</v>
      </c>
      <c r="E15" s="15">
        <f>B90</f>
        <v>-4.8806094378218203</v>
      </c>
      <c r="F15" s="7" t="s">
        <v>107</v>
      </c>
      <c r="G15" s="15">
        <f>B91</f>
        <v>0.23411158919376551</v>
      </c>
      <c r="H15" s="7" t="s">
        <v>108</v>
      </c>
    </row>
    <row r="16" spans="1:8" ht="13" x14ac:dyDescent="0.3">
      <c r="A16" s="25" t="s">
        <v>109</v>
      </c>
      <c r="B16" s="8"/>
      <c r="C16" s="7"/>
      <c r="D16" s="15">
        <f>B89 + B90*0 + B91*100</f>
        <v>37.960894406432942</v>
      </c>
      <c r="E16" s="7"/>
      <c r="F16" s="7"/>
      <c r="G16" s="7"/>
      <c r="H16" s="7"/>
    </row>
    <row r="17" spans="1:9" ht="13" x14ac:dyDescent="0.3">
      <c r="A17" s="7" t="s">
        <v>110</v>
      </c>
      <c r="B17" s="8"/>
      <c r="C17" s="7"/>
      <c r="D17" s="15">
        <f>F84</f>
        <v>3.4033592671065364E-3</v>
      </c>
      <c r="E17" s="7" t="s">
        <v>105</v>
      </c>
      <c r="F17" s="15"/>
      <c r="G17" s="15">
        <f>B77</f>
        <v>0.4875680366529499</v>
      </c>
      <c r="H17" s="7"/>
    </row>
    <row r="18" spans="1:9" ht="13" x14ac:dyDescent="0.3">
      <c r="A18" s="25" t="s">
        <v>112</v>
      </c>
      <c r="B18" s="8"/>
      <c r="C18" s="7"/>
      <c r="D18" s="15"/>
      <c r="E18" s="7"/>
      <c r="F18" s="15"/>
      <c r="G18" s="15"/>
      <c r="H18" s="7"/>
    </row>
    <row r="19" spans="1:9" ht="13" x14ac:dyDescent="0.3">
      <c r="A19" s="25" t="s">
        <v>121</v>
      </c>
      <c r="E19" s="29">
        <f>B84</f>
        <v>2</v>
      </c>
      <c r="F19" s="7" t="s">
        <v>92</v>
      </c>
      <c r="G19" s="29">
        <f>B85</f>
        <v>17</v>
      </c>
    </row>
    <row r="20" spans="1:9" ht="13" x14ac:dyDescent="0.3">
      <c r="A20" s="25" t="s">
        <v>111</v>
      </c>
      <c r="B20" s="15"/>
      <c r="D20" s="15">
        <f>G17 - E13</f>
        <v>0.23179210492296798</v>
      </c>
      <c r="E20" s="7"/>
    </row>
    <row r="21" spans="1:9" ht="13" x14ac:dyDescent="0.3">
      <c r="A21" s="7" t="s">
        <v>113</v>
      </c>
      <c r="B21" s="8"/>
      <c r="D21" s="8"/>
    </row>
    <row r="22" spans="1:9" ht="13" x14ac:dyDescent="0.3">
      <c r="A22" s="15">
        <f>E90</f>
        <v>1.3023059495314918E-2</v>
      </c>
      <c r="B22" s="15" t="s">
        <v>92</v>
      </c>
      <c r="C22" s="15">
        <f>E91</f>
        <v>3.5242105707837763E-2</v>
      </c>
      <c r="D22" s="15" t="s">
        <v>114</v>
      </c>
      <c r="E22" s="7"/>
      <c r="F22" s="7"/>
      <c r="G22" s="7"/>
    </row>
    <row r="23" spans="1:9" ht="13" x14ac:dyDescent="0.3">
      <c r="A23" s="7" t="s">
        <v>128</v>
      </c>
      <c r="B23" s="8"/>
      <c r="D23" s="8"/>
      <c r="E23" s="15">
        <f>F91</f>
        <v>1.8202095911230398E-2</v>
      </c>
      <c r="F23" s="15">
        <f>G91</f>
        <v>0.45002108247630063</v>
      </c>
      <c r="G23" s="7" t="s">
        <v>115</v>
      </c>
    </row>
    <row r="24" spans="1:9" ht="13" x14ac:dyDescent="0.3">
      <c r="A24" s="25" t="s">
        <v>116</v>
      </c>
      <c r="B24" s="8"/>
      <c r="D24" s="8"/>
    </row>
    <row r="25" spans="1:9" ht="13" x14ac:dyDescent="0.3">
      <c r="A25" s="7"/>
      <c r="B25" s="8"/>
      <c r="D25" s="8"/>
    </row>
    <row r="26" spans="1:9" ht="13" x14ac:dyDescent="0.3">
      <c r="A26" s="7" t="s">
        <v>117</v>
      </c>
      <c r="B26" s="8"/>
      <c r="D26" s="8"/>
      <c r="E26" s="7" t="s">
        <v>129</v>
      </c>
    </row>
    <row r="27" spans="1:9" ht="13" x14ac:dyDescent="0.3">
      <c r="B27" s="16" t="s">
        <v>38</v>
      </c>
      <c r="C27" s="16" t="s">
        <v>39</v>
      </c>
      <c r="D27" s="16" t="s">
        <v>40</v>
      </c>
      <c r="E27" s="16" t="s">
        <v>41</v>
      </c>
      <c r="G27" s="7" t="s">
        <v>53</v>
      </c>
    </row>
    <row r="28" spans="1:9" x14ac:dyDescent="0.25">
      <c r="B28">
        <v>32</v>
      </c>
      <c r="C28">
        <v>0</v>
      </c>
      <c r="D28">
        <v>103</v>
      </c>
      <c r="E28">
        <f>C28*D28</f>
        <v>0</v>
      </c>
    </row>
    <row r="29" spans="1:9" ht="13" x14ac:dyDescent="0.3">
      <c r="B29">
        <v>36</v>
      </c>
      <c r="C29">
        <v>0</v>
      </c>
      <c r="D29">
        <v>113</v>
      </c>
      <c r="E29">
        <f t="shared" ref="E29:E47" si="0">C29*D29</f>
        <v>0</v>
      </c>
      <c r="G29" s="7" t="s">
        <v>42</v>
      </c>
    </row>
    <row r="30" spans="1:9" ht="13" thickBot="1" x14ac:dyDescent="0.3">
      <c r="B30">
        <v>24</v>
      </c>
      <c r="C30">
        <v>0</v>
      </c>
      <c r="D30">
        <v>100</v>
      </c>
      <c r="E30">
        <f t="shared" si="0"/>
        <v>0</v>
      </c>
    </row>
    <row r="31" spans="1:9" ht="13" x14ac:dyDescent="0.3">
      <c r="B31">
        <v>31</v>
      </c>
      <c r="C31">
        <v>0</v>
      </c>
      <c r="D31">
        <v>86</v>
      </c>
      <c r="E31">
        <f t="shared" si="0"/>
        <v>0</v>
      </c>
      <c r="G31" s="3"/>
      <c r="H31" s="3" t="s">
        <v>43</v>
      </c>
      <c r="I31" s="3" t="s">
        <v>44</v>
      </c>
    </row>
    <row r="32" spans="1:9" x14ac:dyDescent="0.25">
      <c r="B32">
        <v>25</v>
      </c>
      <c r="C32">
        <v>0</v>
      </c>
      <c r="D32">
        <v>99</v>
      </c>
      <c r="E32">
        <f t="shared" si="0"/>
        <v>0</v>
      </c>
      <c r="G32" s="1" t="s">
        <v>35</v>
      </c>
      <c r="H32" s="1">
        <v>29.3</v>
      </c>
      <c r="I32" s="1">
        <v>35</v>
      </c>
    </row>
    <row r="33" spans="2:9" x14ac:dyDescent="0.25">
      <c r="B33">
        <v>31</v>
      </c>
      <c r="C33">
        <v>0</v>
      </c>
      <c r="D33">
        <v>107</v>
      </c>
      <c r="E33">
        <f t="shared" si="0"/>
        <v>0</v>
      </c>
      <c r="G33" s="1" t="s">
        <v>45</v>
      </c>
      <c r="H33" s="1">
        <v>16.899999999999999</v>
      </c>
      <c r="I33" s="1">
        <v>19.777777777777779</v>
      </c>
    </row>
    <row r="34" spans="2:9" x14ac:dyDescent="0.25">
      <c r="B34">
        <v>24</v>
      </c>
      <c r="C34">
        <v>0</v>
      </c>
      <c r="D34">
        <v>103</v>
      </c>
      <c r="E34">
        <f t="shared" si="0"/>
        <v>0</v>
      </c>
      <c r="G34" s="1" t="s">
        <v>8</v>
      </c>
      <c r="H34" s="1">
        <v>10</v>
      </c>
      <c r="I34" s="1">
        <v>10</v>
      </c>
    </row>
    <row r="35" spans="2:9" x14ac:dyDescent="0.25">
      <c r="B35">
        <v>30</v>
      </c>
      <c r="C35">
        <v>0</v>
      </c>
      <c r="D35">
        <v>117</v>
      </c>
      <c r="E35">
        <f t="shared" si="0"/>
        <v>0</v>
      </c>
      <c r="G35" s="1" t="s">
        <v>46</v>
      </c>
      <c r="H35" s="1">
        <v>18.33888888888891</v>
      </c>
      <c r="I35" s="1"/>
    </row>
    <row r="36" spans="2:9" x14ac:dyDescent="0.25">
      <c r="B36">
        <v>27</v>
      </c>
      <c r="C36">
        <v>0</v>
      </c>
      <c r="D36">
        <v>102</v>
      </c>
      <c r="E36">
        <f t="shared" si="0"/>
        <v>0</v>
      </c>
      <c r="G36" s="1" t="s">
        <v>47</v>
      </c>
      <c r="H36" s="1">
        <v>0</v>
      </c>
      <c r="I36" s="1"/>
    </row>
    <row r="37" spans="2:9" x14ac:dyDescent="0.25">
      <c r="B37">
        <v>33</v>
      </c>
      <c r="C37">
        <v>0</v>
      </c>
      <c r="D37">
        <v>117</v>
      </c>
      <c r="E37">
        <f t="shared" si="0"/>
        <v>0</v>
      </c>
      <c r="G37" s="1" t="s">
        <v>14</v>
      </c>
      <c r="H37" s="1">
        <v>18</v>
      </c>
      <c r="I37" s="1"/>
    </row>
    <row r="38" spans="2:9" x14ac:dyDescent="0.25">
      <c r="B38">
        <v>27</v>
      </c>
      <c r="C38">
        <v>1</v>
      </c>
      <c r="D38">
        <v>91</v>
      </c>
      <c r="E38">
        <f t="shared" si="0"/>
        <v>91</v>
      </c>
      <c r="G38" s="1" t="s">
        <v>20</v>
      </c>
      <c r="H38" s="5">
        <v>-2.9762769999396177</v>
      </c>
      <c r="I38" s="1"/>
    </row>
    <row r="39" spans="2:9" x14ac:dyDescent="0.25">
      <c r="B39">
        <v>37</v>
      </c>
      <c r="C39">
        <v>1</v>
      </c>
      <c r="D39">
        <v>111</v>
      </c>
      <c r="E39">
        <f t="shared" si="0"/>
        <v>111</v>
      </c>
      <c r="G39" s="1" t="s">
        <v>48</v>
      </c>
      <c r="H39" s="5">
        <v>4.0459860971201788E-3</v>
      </c>
      <c r="I39" s="1"/>
    </row>
    <row r="40" spans="2:9" x14ac:dyDescent="0.25">
      <c r="B40">
        <v>31</v>
      </c>
      <c r="C40">
        <v>1</v>
      </c>
      <c r="D40">
        <v>97</v>
      </c>
      <c r="E40">
        <f t="shared" si="0"/>
        <v>97</v>
      </c>
      <c r="G40" s="1" t="s">
        <v>49</v>
      </c>
      <c r="H40" s="5">
        <v>1.7340630620310549</v>
      </c>
      <c r="I40" s="1"/>
    </row>
    <row r="41" spans="2:9" ht="13" x14ac:dyDescent="0.3">
      <c r="B41">
        <v>38</v>
      </c>
      <c r="C41">
        <v>1</v>
      </c>
      <c r="D41">
        <v>116</v>
      </c>
      <c r="E41">
        <f t="shared" si="0"/>
        <v>116</v>
      </c>
      <c r="G41" s="31" t="s">
        <v>50</v>
      </c>
      <c r="H41" s="19">
        <v>8.0919721942403575E-3</v>
      </c>
      <c r="I41" s="1"/>
    </row>
    <row r="42" spans="2:9" ht="13" thickBot="1" x14ac:dyDescent="0.3">
      <c r="B42">
        <v>43</v>
      </c>
      <c r="C42">
        <v>1</v>
      </c>
      <c r="D42">
        <v>111</v>
      </c>
      <c r="E42">
        <f t="shared" si="0"/>
        <v>111</v>
      </c>
      <c r="G42" s="2" t="s">
        <v>51</v>
      </c>
      <c r="H42" s="6">
        <v>2.1009236661484465</v>
      </c>
      <c r="I42" s="2"/>
    </row>
    <row r="43" spans="2:9" x14ac:dyDescent="0.25">
      <c r="B43">
        <v>38</v>
      </c>
      <c r="C43">
        <v>1</v>
      </c>
      <c r="D43">
        <v>105</v>
      </c>
      <c r="E43">
        <f t="shared" si="0"/>
        <v>105</v>
      </c>
    </row>
    <row r="44" spans="2:9" ht="13" x14ac:dyDescent="0.3">
      <c r="B44">
        <v>34</v>
      </c>
      <c r="C44">
        <v>1</v>
      </c>
      <c r="D44">
        <v>113</v>
      </c>
      <c r="E44">
        <f t="shared" si="0"/>
        <v>113</v>
      </c>
      <c r="G44" s="7" t="s">
        <v>54</v>
      </c>
    </row>
    <row r="45" spans="2:9" ht="13" thickBot="1" x14ac:dyDescent="0.3">
      <c r="B45">
        <v>32</v>
      </c>
      <c r="C45">
        <v>1</v>
      </c>
      <c r="D45">
        <v>117</v>
      </c>
      <c r="E45">
        <f t="shared" si="0"/>
        <v>117</v>
      </c>
    </row>
    <row r="46" spans="2:9" ht="13" x14ac:dyDescent="0.3">
      <c r="B46">
        <v>36</v>
      </c>
      <c r="C46">
        <v>1</v>
      </c>
      <c r="D46">
        <v>109</v>
      </c>
      <c r="E46">
        <f t="shared" si="0"/>
        <v>109</v>
      </c>
      <c r="G46" s="3"/>
      <c r="H46" s="3" t="s">
        <v>43</v>
      </c>
      <c r="I46" s="3" t="s">
        <v>44</v>
      </c>
    </row>
    <row r="47" spans="2:9" x14ac:dyDescent="0.25">
      <c r="B47">
        <v>34</v>
      </c>
      <c r="C47">
        <v>1</v>
      </c>
      <c r="D47">
        <v>112</v>
      </c>
      <c r="E47">
        <f t="shared" si="0"/>
        <v>112</v>
      </c>
      <c r="G47" s="1" t="s">
        <v>35</v>
      </c>
      <c r="H47" s="1">
        <v>29.3</v>
      </c>
      <c r="I47" s="1">
        <v>35</v>
      </c>
    </row>
    <row r="48" spans="2:9" x14ac:dyDescent="0.25">
      <c r="G48" s="1" t="s">
        <v>45</v>
      </c>
      <c r="H48" s="1">
        <v>16.899999999999999</v>
      </c>
      <c r="I48" s="1">
        <v>19.777777777777779</v>
      </c>
    </row>
    <row r="49" spans="1:9" x14ac:dyDescent="0.25">
      <c r="G49" s="1" t="s">
        <v>8</v>
      </c>
      <c r="H49" s="1">
        <v>10</v>
      </c>
      <c r="I49" s="1">
        <v>10</v>
      </c>
    </row>
    <row r="50" spans="1:9" ht="13" x14ac:dyDescent="0.3">
      <c r="A50" s="7" t="s">
        <v>55</v>
      </c>
      <c r="G50" s="1" t="s">
        <v>47</v>
      </c>
      <c r="H50" s="1">
        <v>0</v>
      </c>
      <c r="I50" s="1"/>
    </row>
    <row r="51" spans="1:9" ht="13" x14ac:dyDescent="0.3">
      <c r="A51" s="7"/>
      <c r="G51" s="1" t="s">
        <v>14</v>
      </c>
      <c r="H51" s="1">
        <v>18</v>
      </c>
      <c r="I51" s="1"/>
    </row>
    <row r="52" spans="1:9" ht="13" x14ac:dyDescent="0.3">
      <c r="A52" s="7" t="s">
        <v>2</v>
      </c>
      <c r="G52" s="1" t="s">
        <v>20</v>
      </c>
      <c r="H52" s="5">
        <v>-2.9762769999396177</v>
      </c>
      <c r="I52" s="1"/>
    </row>
    <row r="53" spans="1:9" ht="13" thickBot="1" x14ac:dyDescent="0.3">
      <c r="G53" s="1" t="s">
        <v>48</v>
      </c>
      <c r="H53" s="5">
        <v>4.0459860971201788E-3</v>
      </c>
      <c r="I53" s="1"/>
    </row>
    <row r="54" spans="1:9" ht="13" x14ac:dyDescent="0.3">
      <c r="A54" s="9" t="s">
        <v>3</v>
      </c>
      <c r="B54" s="9"/>
      <c r="C54" s="8"/>
      <c r="D54" s="8"/>
      <c r="E54" s="8"/>
      <c r="G54" s="1" t="s">
        <v>49</v>
      </c>
      <c r="H54" s="5">
        <v>1.7340630620310549</v>
      </c>
      <c r="I54" s="1"/>
    </row>
    <row r="55" spans="1:9" ht="13" x14ac:dyDescent="0.3">
      <c r="A55" s="5" t="s">
        <v>4</v>
      </c>
      <c r="B55" s="5">
        <v>0.50574295025238059</v>
      </c>
      <c r="C55" s="8"/>
      <c r="D55" s="8"/>
      <c r="E55" s="8"/>
      <c r="G55" s="31" t="s">
        <v>50</v>
      </c>
      <c r="H55" s="19">
        <v>8.0919721942403575E-3</v>
      </c>
      <c r="I55" s="1"/>
    </row>
    <row r="56" spans="1:9" ht="13.5" thickBot="1" x14ac:dyDescent="0.35">
      <c r="A56" s="5" t="s">
        <v>5</v>
      </c>
      <c r="B56" s="19">
        <v>0.25577593172998192</v>
      </c>
      <c r="C56" s="8"/>
      <c r="D56" s="8"/>
      <c r="E56" s="8"/>
      <c r="G56" s="2" t="s">
        <v>51</v>
      </c>
      <c r="H56" s="6">
        <v>2.1009236661484465</v>
      </c>
      <c r="I56" s="2"/>
    </row>
    <row r="57" spans="1:9" x14ac:dyDescent="0.25">
      <c r="A57" s="5" t="s">
        <v>6</v>
      </c>
      <c r="B57" s="5">
        <v>0.21443015015942535</v>
      </c>
      <c r="C57" s="8"/>
      <c r="D57" s="8"/>
      <c r="E57" s="8"/>
    </row>
    <row r="58" spans="1:9" x14ac:dyDescent="0.25">
      <c r="A58" s="5" t="s">
        <v>7</v>
      </c>
      <c r="B58" s="5">
        <v>4.5127446983601489</v>
      </c>
      <c r="C58" s="8"/>
      <c r="D58" s="8"/>
      <c r="E58" s="8"/>
    </row>
    <row r="59" spans="1:9" ht="13" thickBot="1" x14ac:dyDescent="0.3">
      <c r="A59" s="6" t="s">
        <v>8</v>
      </c>
      <c r="B59" s="6">
        <v>20</v>
      </c>
      <c r="C59" s="8"/>
      <c r="D59" s="8"/>
      <c r="E59" s="8"/>
    </row>
    <row r="60" spans="1:9" x14ac:dyDescent="0.25">
      <c r="A60" s="8"/>
      <c r="B60" s="8"/>
      <c r="C60" s="8"/>
      <c r="D60" s="8"/>
      <c r="E60" s="8"/>
    </row>
    <row r="61" spans="1:9" ht="13.5" thickBot="1" x14ac:dyDescent="0.35">
      <c r="A61" s="15" t="s">
        <v>9</v>
      </c>
      <c r="B61" s="8"/>
      <c r="C61" s="8"/>
      <c r="D61" s="8"/>
      <c r="E61" s="8"/>
    </row>
    <row r="62" spans="1:9" ht="13" x14ac:dyDescent="0.3">
      <c r="A62" s="10"/>
      <c r="B62" s="10" t="s">
        <v>14</v>
      </c>
      <c r="C62" s="10" t="s">
        <v>15</v>
      </c>
      <c r="D62" s="10" t="s">
        <v>16</v>
      </c>
      <c r="E62" s="10" t="s">
        <v>17</v>
      </c>
      <c r="F62" s="10" t="s">
        <v>18</v>
      </c>
      <c r="G62" s="8"/>
      <c r="H62" s="8"/>
      <c r="I62" s="8"/>
    </row>
    <row r="63" spans="1:9" ht="13" x14ac:dyDescent="0.3">
      <c r="A63" s="5" t="s">
        <v>10</v>
      </c>
      <c r="B63" s="5">
        <v>1</v>
      </c>
      <c r="C63" s="5">
        <v>125.9824351736026</v>
      </c>
      <c r="D63" s="5">
        <v>125.9824351736026</v>
      </c>
      <c r="E63" s="5">
        <v>6.1862642817260669</v>
      </c>
      <c r="F63" s="19">
        <v>2.2908095025889211E-2</v>
      </c>
      <c r="G63" s="8"/>
      <c r="H63" s="8"/>
      <c r="I63" s="8"/>
    </row>
    <row r="64" spans="1:9" x14ac:dyDescent="0.25">
      <c r="A64" s="5" t="s">
        <v>11</v>
      </c>
      <c r="B64" s="5">
        <v>18</v>
      </c>
      <c r="C64" s="5">
        <v>366.56756482639742</v>
      </c>
      <c r="D64" s="5">
        <v>20.364864712577635</v>
      </c>
      <c r="E64" s="5"/>
      <c r="F64" s="5"/>
      <c r="G64" s="8"/>
      <c r="H64" s="8"/>
      <c r="I64" s="8"/>
    </row>
    <row r="65" spans="1:9" ht="13" thickBot="1" x14ac:dyDescent="0.3">
      <c r="A65" s="6" t="s">
        <v>12</v>
      </c>
      <c r="B65" s="6">
        <v>19</v>
      </c>
      <c r="C65" s="6">
        <v>492.55</v>
      </c>
      <c r="D65" s="6"/>
      <c r="E65" s="6"/>
      <c r="F65" s="6"/>
      <c r="G65" s="8"/>
      <c r="H65" s="8"/>
      <c r="I65" s="8"/>
    </row>
    <row r="66" spans="1:9" ht="13" thickBot="1" x14ac:dyDescent="0.3">
      <c r="A66" s="8"/>
      <c r="B66" s="8"/>
      <c r="C66" s="8"/>
      <c r="D66" s="8"/>
      <c r="E66" s="8"/>
      <c r="F66" s="8"/>
      <c r="G66" s="8"/>
      <c r="H66" s="8"/>
      <c r="I66" s="8"/>
    </row>
    <row r="67" spans="1:9" ht="13" x14ac:dyDescent="0.3">
      <c r="A67" s="10"/>
      <c r="B67" s="10" t="s">
        <v>19</v>
      </c>
      <c r="C67" s="10" t="s">
        <v>7</v>
      </c>
      <c r="D67" s="10" t="s">
        <v>20</v>
      </c>
      <c r="E67" s="10" t="s">
        <v>21</v>
      </c>
      <c r="F67" s="10" t="s">
        <v>22</v>
      </c>
      <c r="G67" s="10" t="s">
        <v>23</v>
      </c>
      <c r="H67" s="10" t="s">
        <v>24</v>
      </c>
      <c r="I67" s="10" t="s">
        <v>25</v>
      </c>
    </row>
    <row r="68" spans="1:9" ht="13" x14ac:dyDescent="0.3">
      <c r="A68" s="5" t="s">
        <v>13</v>
      </c>
      <c r="B68" s="19">
        <v>1.0812400689677908</v>
      </c>
      <c r="C68" s="5">
        <v>12.532050468157015</v>
      </c>
      <c r="D68" s="5">
        <v>8.627798553118976E-2</v>
      </c>
      <c r="E68" s="5">
        <v>0.93219793684345342</v>
      </c>
      <c r="F68" s="5">
        <v>-25.247641344950001</v>
      </c>
      <c r="G68" s="5">
        <v>27.410121482885582</v>
      </c>
      <c r="H68" s="5">
        <v>-25.247641344950001</v>
      </c>
      <c r="I68" s="5">
        <v>27.410121482885582</v>
      </c>
    </row>
    <row r="69" spans="1:9" ht="13.5" thickBot="1" x14ac:dyDescent="0.35">
      <c r="A69" s="6" t="s">
        <v>40</v>
      </c>
      <c r="B69" s="20">
        <v>0.29186246999560556</v>
      </c>
      <c r="C69" s="6">
        <v>0.1173448458548355</v>
      </c>
      <c r="D69" s="6">
        <v>2.4872201916449033</v>
      </c>
      <c r="E69" s="20">
        <v>2.2908095025888774E-2</v>
      </c>
      <c r="F69" s="30">
        <v>4.5329906238640222E-2</v>
      </c>
      <c r="G69" s="30">
        <v>0.53839503375257092</v>
      </c>
      <c r="H69" s="6">
        <v>4.5329906238640222E-2</v>
      </c>
      <c r="I69" s="6">
        <v>0.53839503375257092</v>
      </c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9" ht="13" x14ac:dyDescent="0.3">
      <c r="A71" s="15" t="s">
        <v>56</v>
      </c>
      <c r="B71" s="8"/>
      <c r="C71" s="8"/>
      <c r="D71" s="8"/>
      <c r="E71" s="8"/>
      <c r="F71" s="8"/>
      <c r="G71" s="8"/>
      <c r="H71" s="8"/>
      <c r="I71" s="8"/>
    </row>
    <row r="72" spans="1:9" ht="13" x14ac:dyDescent="0.3">
      <c r="A72" s="15"/>
      <c r="B72" s="8"/>
      <c r="C72" s="8"/>
      <c r="D72" s="8"/>
      <c r="E72" s="8"/>
      <c r="F72" s="8"/>
      <c r="G72" s="8"/>
      <c r="H72" s="8"/>
      <c r="I72" s="8"/>
    </row>
    <row r="73" spans="1:9" ht="13" x14ac:dyDescent="0.3">
      <c r="A73" s="15" t="s">
        <v>2</v>
      </c>
      <c r="B73" s="8"/>
      <c r="C73" s="8"/>
      <c r="D73" s="8"/>
      <c r="E73" s="8"/>
      <c r="F73" s="8"/>
      <c r="G73" s="8"/>
      <c r="H73" s="8"/>
      <c r="I73" s="8"/>
    </row>
    <row r="74" spans="1:9" ht="13" thickBot="1" x14ac:dyDescent="0.3">
      <c r="A74" s="8"/>
      <c r="B74" s="8"/>
      <c r="C74" s="8"/>
      <c r="D74" s="8"/>
      <c r="E74" s="8"/>
      <c r="F74" s="8"/>
      <c r="G74" s="8"/>
      <c r="H74" s="8"/>
      <c r="I74" s="8"/>
    </row>
    <row r="75" spans="1:9" ht="13" x14ac:dyDescent="0.3">
      <c r="A75" s="9" t="s">
        <v>3</v>
      </c>
      <c r="B75" s="9"/>
      <c r="C75" s="8"/>
      <c r="D75" s="8"/>
      <c r="E75" s="8"/>
      <c r="F75" s="8"/>
      <c r="G75" s="8"/>
      <c r="H75" s="8"/>
      <c r="I75" s="8"/>
    </row>
    <row r="76" spans="1:9" x14ac:dyDescent="0.25">
      <c r="A76" s="5" t="s">
        <v>4</v>
      </c>
      <c r="B76" s="5">
        <v>0.69826072254778149</v>
      </c>
      <c r="C76" s="8"/>
      <c r="D76" s="8"/>
      <c r="E76" s="8"/>
      <c r="F76" s="8"/>
      <c r="G76" s="8"/>
      <c r="H76" s="8"/>
      <c r="I76" s="8"/>
    </row>
    <row r="77" spans="1:9" ht="13" x14ac:dyDescent="0.3">
      <c r="A77" s="5" t="s">
        <v>5</v>
      </c>
      <c r="B77" s="19">
        <v>0.4875680366529499</v>
      </c>
      <c r="C77" s="8"/>
      <c r="D77" s="8"/>
      <c r="E77" s="8"/>
      <c r="F77" s="8"/>
      <c r="G77" s="8"/>
      <c r="H77" s="8"/>
      <c r="I77" s="8"/>
    </row>
    <row r="78" spans="1:9" x14ac:dyDescent="0.25">
      <c r="A78" s="5" t="s">
        <v>6</v>
      </c>
      <c r="B78" s="5">
        <v>0.4272819233180028</v>
      </c>
      <c r="C78" s="8"/>
      <c r="D78" s="8"/>
      <c r="E78" s="8"/>
      <c r="F78" s="8"/>
      <c r="G78" s="8"/>
      <c r="H78" s="8"/>
      <c r="I78" s="8"/>
    </row>
    <row r="79" spans="1:9" x14ac:dyDescent="0.25">
      <c r="A79" s="5" t="s">
        <v>7</v>
      </c>
      <c r="B79" s="5">
        <v>3.8531756463421298</v>
      </c>
      <c r="C79" s="8"/>
      <c r="D79" s="8"/>
      <c r="E79" s="8"/>
      <c r="F79" s="8"/>
      <c r="G79" s="8"/>
      <c r="H79" s="8"/>
      <c r="I79" s="8"/>
    </row>
    <row r="80" spans="1:9" ht="13" thickBot="1" x14ac:dyDescent="0.3">
      <c r="A80" s="6" t="s">
        <v>8</v>
      </c>
      <c r="B80" s="6">
        <v>20</v>
      </c>
      <c r="C80" s="8"/>
      <c r="D80" s="8"/>
      <c r="E80" s="8"/>
      <c r="F80" s="8"/>
      <c r="G80" s="8"/>
      <c r="H80" s="8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ht="13" thickBot="1" x14ac:dyDescent="0.3">
      <c r="A82" s="8" t="s">
        <v>9</v>
      </c>
      <c r="B82" s="8"/>
      <c r="C82" s="8"/>
      <c r="D82" s="8"/>
      <c r="E82" s="8"/>
      <c r="F82" s="8"/>
      <c r="G82" s="8"/>
      <c r="H82" s="8"/>
      <c r="I82" s="8"/>
    </row>
    <row r="83" spans="1:9" ht="13" x14ac:dyDescent="0.3">
      <c r="A83" s="10"/>
      <c r="B83" s="10" t="s">
        <v>14</v>
      </c>
      <c r="C83" s="10" t="s">
        <v>15</v>
      </c>
      <c r="D83" s="10" t="s">
        <v>16</v>
      </c>
      <c r="E83" s="10" t="s">
        <v>17</v>
      </c>
      <c r="F83" s="10" t="s">
        <v>18</v>
      </c>
      <c r="G83" s="8"/>
      <c r="H83" s="8"/>
      <c r="I83" s="8"/>
    </row>
    <row r="84" spans="1:9" ht="13" x14ac:dyDescent="0.3">
      <c r="A84" s="5" t="s">
        <v>10</v>
      </c>
      <c r="B84" s="27">
        <v>2</v>
      </c>
      <c r="C84" s="5">
        <v>240.15163645341048</v>
      </c>
      <c r="D84" s="5">
        <v>120.07581822670524</v>
      </c>
      <c r="E84" s="5">
        <v>8.0875679270289442</v>
      </c>
      <c r="F84" s="19">
        <v>3.4033592671065364E-3</v>
      </c>
      <c r="G84" s="8"/>
      <c r="H84" s="8"/>
      <c r="I84" s="8"/>
    </row>
    <row r="85" spans="1:9" ht="13" x14ac:dyDescent="0.3">
      <c r="A85" s="5" t="s">
        <v>11</v>
      </c>
      <c r="B85" s="27">
        <v>17</v>
      </c>
      <c r="C85" s="5">
        <v>252.39836354658954</v>
      </c>
      <c r="D85" s="5">
        <v>14.846962561564091</v>
      </c>
      <c r="E85" s="5"/>
      <c r="F85" s="5"/>
      <c r="G85" s="8"/>
      <c r="H85" s="8"/>
      <c r="I85" s="8"/>
    </row>
    <row r="86" spans="1:9" ht="13.5" thickBot="1" x14ac:dyDescent="0.35">
      <c r="A86" s="6" t="s">
        <v>12</v>
      </c>
      <c r="B86" s="28">
        <v>19</v>
      </c>
      <c r="C86" s="6">
        <v>492.55</v>
      </c>
      <c r="D86" s="6"/>
      <c r="E86" s="6"/>
      <c r="F86" s="6"/>
      <c r="G86" s="8"/>
      <c r="H86" s="8"/>
      <c r="I86" s="8"/>
    </row>
    <row r="87" spans="1:9" ht="13" thickBot="1" x14ac:dyDescent="0.3">
      <c r="A87" s="8"/>
      <c r="B87" s="8"/>
      <c r="C87" s="8"/>
      <c r="D87" s="8"/>
      <c r="E87" s="8"/>
      <c r="F87" s="8"/>
      <c r="G87" s="8"/>
      <c r="H87" s="8"/>
      <c r="I87" s="8"/>
    </row>
    <row r="88" spans="1:9" ht="13" x14ac:dyDescent="0.3">
      <c r="A88" s="10"/>
      <c r="B88" s="10" t="s">
        <v>19</v>
      </c>
      <c r="C88" s="10" t="s">
        <v>7</v>
      </c>
      <c r="D88" s="10" t="s">
        <v>20</v>
      </c>
      <c r="E88" s="10" t="s">
        <v>21</v>
      </c>
      <c r="F88" s="10" t="s">
        <v>22</v>
      </c>
      <c r="G88" s="10" t="s">
        <v>23</v>
      </c>
      <c r="H88" s="10" t="s">
        <v>24</v>
      </c>
      <c r="I88" s="10" t="s">
        <v>25</v>
      </c>
    </row>
    <row r="89" spans="1:9" ht="13" x14ac:dyDescent="0.3">
      <c r="A89" s="5" t="s">
        <v>13</v>
      </c>
      <c r="B89" s="19">
        <v>14.54973548705639</v>
      </c>
      <c r="C89" s="5">
        <v>11.751109982750725</v>
      </c>
      <c r="D89" s="5">
        <v>1.2381583959654641</v>
      </c>
      <c r="E89" s="5">
        <v>0.23248417166593593</v>
      </c>
      <c r="F89" s="5">
        <v>-10.24297403601126</v>
      </c>
      <c r="G89" s="5">
        <v>39.342445010124038</v>
      </c>
      <c r="H89" s="5">
        <v>-10.24297403601126</v>
      </c>
      <c r="I89" s="5">
        <v>39.342445010124038</v>
      </c>
    </row>
    <row r="90" spans="1:9" ht="13" x14ac:dyDescent="0.3">
      <c r="A90" s="5" t="s">
        <v>39</v>
      </c>
      <c r="B90" s="19">
        <v>-4.8806094378218203</v>
      </c>
      <c r="C90" s="5">
        <v>1.7600231519613103</v>
      </c>
      <c r="D90" s="5">
        <v>-2.7730370662357675</v>
      </c>
      <c r="E90" s="19">
        <v>1.3023059495314918E-2</v>
      </c>
      <c r="F90" s="5">
        <v>-8.5939388870826114</v>
      </c>
      <c r="G90" s="5">
        <v>-1.1672799885610301</v>
      </c>
      <c r="H90" s="5">
        <v>-8.5939388870826114</v>
      </c>
      <c r="I90" s="5">
        <v>-1.1672799885610301</v>
      </c>
    </row>
    <row r="91" spans="1:9" ht="13.5" thickBot="1" x14ac:dyDescent="0.35">
      <c r="A91" s="6" t="s">
        <v>40</v>
      </c>
      <c r="B91" s="20">
        <v>0.23411158919376551</v>
      </c>
      <c r="C91" s="6">
        <v>0.10233557568697393</v>
      </c>
      <c r="D91" s="6">
        <v>2.2876852709547522</v>
      </c>
      <c r="E91" s="20">
        <v>3.5242105707837763E-2</v>
      </c>
      <c r="F91" s="20">
        <v>1.8202095911230398E-2</v>
      </c>
      <c r="G91" s="20">
        <v>0.45002108247630063</v>
      </c>
      <c r="H91" s="6">
        <v>1.8202095911230398E-2</v>
      </c>
      <c r="I91" s="6">
        <v>0.45002108247630063</v>
      </c>
    </row>
    <row r="92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ht="13" x14ac:dyDescent="0.3">
      <c r="A93" s="15" t="s">
        <v>123</v>
      </c>
      <c r="B93" s="8"/>
      <c r="C93" s="8"/>
      <c r="D93" s="8"/>
      <c r="E93" s="8"/>
      <c r="F93" s="8"/>
      <c r="G93" s="8"/>
      <c r="H93" s="8"/>
      <c r="I93" s="8"/>
    </row>
    <row r="94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spans="1:9" ht="13" x14ac:dyDescent="0.3">
      <c r="A95" s="15" t="s">
        <v>57</v>
      </c>
      <c r="B95" s="8"/>
      <c r="C95" s="8"/>
      <c r="D95" s="8"/>
      <c r="E95" s="8"/>
      <c r="F95" s="8"/>
      <c r="G95" s="8"/>
      <c r="H95" s="8"/>
      <c r="I95" s="8"/>
    </row>
    <row r="96" spans="1:9" ht="13" x14ac:dyDescent="0.3">
      <c r="A96" s="15" t="s">
        <v>124</v>
      </c>
      <c r="B96" s="8"/>
      <c r="C96" s="8"/>
      <c r="D96" s="8"/>
      <c r="E96" s="8"/>
      <c r="F96" s="8"/>
      <c r="G96" s="8"/>
      <c r="H96" s="8"/>
      <c r="I96" s="8"/>
    </row>
    <row r="97" spans="1:9" ht="13" x14ac:dyDescent="0.3">
      <c r="A97" s="15"/>
      <c r="B97" s="8"/>
      <c r="C97" s="8"/>
      <c r="D97" s="8"/>
      <c r="E97" s="8"/>
      <c r="F97" s="8"/>
      <c r="G97" s="8"/>
      <c r="H97" s="8"/>
      <c r="I97" s="8"/>
    </row>
    <row r="98" spans="1:9" ht="13" x14ac:dyDescent="0.3">
      <c r="A98" s="15" t="s">
        <v>2</v>
      </c>
      <c r="B98" s="8"/>
      <c r="C98" s="8"/>
      <c r="D98" s="8"/>
      <c r="E98" s="8"/>
      <c r="F98" s="8"/>
      <c r="G98" s="8"/>
      <c r="H98" s="8"/>
      <c r="I98" s="8"/>
    </row>
    <row r="99" spans="1:9" ht="13.5" thickBot="1" x14ac:dyDescent="0.35">
      <c r="A99" s="15"/>
      <c r="B99" s="8"/>
      <c r="C99" s="8"/>
      <c r="D99" s="8"/>
      <c r="E99" s="8"/>
      <c r="F99" s="8"/>
      <c r="G99" s="8"/>
      <c r="H99" s="8"/>
      <c r="I99" s="8"/>
    </row>
    <row r="100" spans="1:9" ht="13" x14ac:dyDescent="0.3">
      <c r="A100" s="9" t="s">
        <v>3</v>
      </c>
      <c r="B100" s="9"/>
      <c r="C100" s="8"/>
      <c r="D100" s="8"/>
      <c r="E100" s="8"/>
      <c r="F100" s="8"/>
      <c r="G100" s="8"/>
      <c r="H100" s="8"/>
      <c r="I100" s="8"/>
    </row>
    <row r="101" spans="1:9" x14ac:dyDescent="0.25">
      <c r="A101" s="5" t="s">
        <v>4</v>
      </c>
      <c r="B101" s="5">
        <v>0.70627534993033048</v>
      </c>
      <c r="C101" s="8"/>
      <c r="D101" s="8"/>
      <c r="E101" s="8"/>
      <c r="F101" s="8"/>
      <c r="G101" s="8"/>
      <c r="H101" s="8"/>
      <c r="I101" s="8"/>
    </row>
    <row r="102" spans="1:9" ht="13" x14ac:dyDescent="0.3">
      <c r="A102" s="5" t="s">
        <v>5</v>
      </c>
      <c r="B102" s="19">
        <v>0.49882486991921082</v>
      </c>
      <c r="C102" s="8"/>
      <c r="D102" s="8"/>
      <c r="E102" s="8"/>
      <c r="F102" s="8"/>
      <c r="G102" s="8"/>
      <c r="H102" s="8"/>
      <c r="I102" s="8"/>
    </row>
    <row r="103" spans="1:9" x14ac:dyDescent="0.25">
      <c r="A103" s="5" t="s">
        <v>6</v>
      </c>
      <c r="B103" s="5">
        <v>0.40485453302906282</v>
      </c>
      <c r="C103" s="8"/>
      <c r="D103" s="8"/>
      <c r="E103" s="8"/>
      <c r="F103" s="8"/>
      <c r="G103" s="8"/>
      <c r="H103" s="8"/>
      <c r="I103" s="8"/>
    </row>
    <row r="104" spans="1:9" x14ac:dyDescent="0.25">
      <c r="A104" s="5" t="s">
        <v>7</v>
      </c>
      <c r="B104" s="5">
        <v>3.9278955109677751</v>
      </c>
      <c r="C104" s="8"/>
      <c r="D104" s="8"/>
      <c r="E104" s="8"/>
      <c r="F104" s="8"/>
      <c r="G104" s="8"/>
      <c r="H104" s="8"/>
      <c r="I104" s="8"/>
    </row>
    <row r="105" spans="1:9" ht="13" thickBot="1" x14ac:dyDescent="0.3">
      <c r="A105" s="6" t="s">
        <v>8</v>
      </c>
      <c r="B105" s="6">
        <v>20</v>
      </c>
      <c r="C105" s="8"/>
      <c r="D105" s="8"/>
      <c r="E105" s="8"/>
      <c r="F105" s="8"/>
      <c r="G105" s="8"/>
      <c r="H105" s="8"/>
      <c r="I105" s="8"/>
    </row>
    <row r="106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spans="1:9" ht="13" thickBot="1" x14ac:dyDescent="0.3">
      <c r="A107" s="8" t="s">
        <v>9</v>
      </c>
      <c r="B107" s="8"/>
      <c r="C107" s="8"/>
      <c r="D107" s="8"/>
      <c r="E107" s="8"/>
      <c r="F107" s="8"/>
      <c r="G107" s="8"/>
      <c r="H107" s="8"/>
      <c r="I107" s="8"/>
    </row>
    <row r="108" spans="1:9" ht="13" x14ac:dyDescent="0.3">
      <c r="A108" s="10"/>
      <c r="B108" s="10" t="s">
        <v>14</v>
      </c>
      <c r="C108" s="10" t="s">
        <v>15</v>
      </c>
      <c r="D108" s="10" t="s">
        <v>16</v>
      </c>
      <c r="E108" s="10" t="s">
        <v>17</v>
      </c>
      <c r="F108" s="10" t="s">
        <v>18</v>
      </c>
      <c r="G108" s="8"/>
      <c r="H108" s="8"/>
      <c r="I108" s="8"/>
    </row>
    <row r="109" spans="1:9" ht="13" x14ac:dyDescent="0.3">
      <c r="A109" s="5" t="s">
        <v>10</v>
      </c>
      <c r="B109" s="27">
        <v>3</v>
      </c>
      <c r="C109" s="5">
        <v>245.6961896787073</v>
      </c>
      <c r="D109" s="5">
        <v>81.898729892902438</v>
      </c>
      <c r="E109" s="5">
        <v>5.308322673168032</v>
      </c>
      <c r="F109" s="19">
        <v>9.8856136330407306E-3</v>
      </c>
      <c r="G109" s="8"/>
      <c r="H109" s="8"/>
      <c r="I109" s="8"/>
    </row>
    <row r="110" spans="1:9" ht="13" x14ac:dyDescent="0.3">
      <c r="A110" s="5" t="s">
        <v>11</v>
      </c>
      <c r="B110" s="27">
        <v>16</v>
      </c>
      <c r="C110" s="5">
        <v>246.85381032129271</v>
      </c>
      <c r="D110" s="5">
        <v>15.428363145080795</v>
      </c>
      <c r="E110" s="5"/>
      <c r="F110" s="5"/>
      <c r="G110" s="8"/>
      <c r="H110" s="8"/>
      <c r="I110" s="8"/>
    </row>
    <row r="111" spans="1:9" ht="13" thickBot="1" x14ac:dyDescent="0.3">
      <c r="A111" s="6" t="s">
        <v>12</v>
      </c>
      <c r="B111" s="12">
        <v>19</v>
      </c>
      <c r="C111" s="6">
        <v>492.55</v>
      </c>
      <c r="D111" s="6"/>
      <c r="E111" s="6"/>
      <c r="F111" s="6"/>
      <c r="G111" s="8"/>
      <c r="H111" s="8"/>
      <c r="I111" s="8"/>
    </row>
    <row r="112" spans="1:9" ht="13" thickBot="1" x14ac:dyDescent="0.3">
      <c r="A112" s="8"/>
      <c r="B112" s="8"/>
      <c r="C112" s="8"/>
      <c r="D112" s="8"/>
      <c r="E112" s="8"/>
      <c r="F112" s="8"/>
      <c r="G112" s="8"/>
      <c r="H112" s="8"/>
      <c r="I112" s="8"/>
    </row>
    <row r="113" spans="1:9" ht="13" x14ac:dyDescent="0.3">
      <c r="A113" s="10"/>
      <c r="B113" s="10" t="s">
        <v>19</v>
      </c>
      <c r="C113" s="10" t="s">
        <v>7</v>
      </c>
      <c r="D113" s="10" t="s">
        <v>20</v>
      </c>
      <c r="E113" s="10" t="s">
        <v>21</v>
      </c>
      <c r="F113" s="10" t="s">
        <v>22</v>
      </c>
      <c r="G113" s="10" t="s">
        <v>23</v>
      </c>
      <c r="H113" s="10" t="s">
        <v>24</v>
      </c>
      <c r="I113" s="10" t="s">
        <v>25</v>
      </c>
    </row>
    <row r="114" spans="1:9" ht="13" x14ac:dyDescent="0.3">
      <c r="A114" s="5" t="s">
        <v>13</v>
      </c>
      <c r="B114" s="5">
        <v>-6.5241481455000381</v>
      </c>
      <c r="C114" s="5">
        <v>37.138655620920282</v>
      </c>
      <c r="D114" s="5">
        <v>-0.17567001380160277</v>
      </c>
      <c r="E114" s="19">
        <v>0.86275723357396839</v>
      </c>
      <c r="F114" s="5">
        <v>-85.254563225943244</v>
      </c>
      <c r="G114" s="5">
        <v>72.206266934943173</v>
      </c>
      <c r="H114" s="5">
        <v>-85.254563225943244</v>
      </c>
      <c r="I114" s="5">
        <v>72.206266934943173</v>
      </c>
    </row>
    <row r="115" spans="1:9" ht="13" x14ac:dyDescent="0.3">
      <c r="A115" s="5" t="s">
        <v>39</v>
      </c>
      <c r="B115" s="5">
        <v>8.5575028600572374</v>
      </c>
      <c r="C115" s="5">
        <v>22.488036092113862</v>
      </c>
      <c r="D115" s="5">
        <v>0.38053580245978863</v>
      </c>
      <c r="E115" s="19">
        <v>0.70855243898084075</v>
      </c>
      <c r="F115" s="5">
        <v>-39.114993256867095</v>
      </c>
      <c r="G115" s="5">
        <v>56.229998976981577</v>
      </c>
      <c r="H115" s="5">
        <v>-39.114993256867095</v>
      </c>
      <c r="I115" s="5">
        <v>56.229998976981577</v>
      </c>
    </row>
    <row r="116" spans="1:9" ht="13" x14ac:dyDescent="0.3">
      <c r="A116" s="5" t="s">
        <v>40</v>
      </c>
      <c r="B116" s="5">
        <v>0.43067211770846053</v>
      </c>
      <c r="C116" s="5">
        <v>0.34408130230481915</v>
      </c>
      <c r="D116" s="5">
        <v>1.2516580088008711</v>
      </c>
      <c r="E116" s="19">
        <v>0.22868501287499676</v>
      </c>
      <c r="F116" s="5">
        <v>-0.29874749371705939</v>
      </c>
      <c r="G116" s="5">
        <v>1.1600917291339805</v>
      </c>
      <c r="H116" s="5">
        <v>-0.29874749371705939</v>
      </c>
      <c r="I116" s="5">
        <v>1.1600917291339805</v>
      </c>
    </row>
    <row r="117" spans="1:9" ht="13.5" thickBot="1" x14ac:dyDescent="0.35">
      <c r="A117" s="6" t="s">
        <v>41</v>
      </c>
      <c r="B117" s="6">
        <v>-0.12598962893357332</v>
      </c>
      <c r="C117" s="6">
        <v>0.21016550935045805</v>
      </c>
      <c r="D117" s="6">
        <v>-0.59947814140845246</v>
      </c>
      <c r="E117" s="20">
        <v>0.55724855530724349</v>
      </c>
      <c r="F117" s="6">
        <v>-0.57152050532409349</v>
      </c>
      <c r="G117" s="6">
        <v>0.31954124745694679</v>
      </c>
      <c r="H117" s="6">
        <v>-0.57152050532409349</v>
      </c>
      <c r="I117" s="6">
        <v>0.31954124745694679</v>
      </c>
    </row>
    <row r="118" spans="1:9" x14ac:dyDescent="0.25">
      <c r="A118" s="8"/>
      <c r="B118" s="8"/>
      <c r="C118" s="8"/>
      <c r="D118" s="8"/>
      <c r="E118" s="8"/>
      <c r="F118" s="8"/>
      <c r="G118" s="8"/>
      <c r="H118" s="8"/>
      <c r="I118" s="8"/>
    </row>
    <row r="119" spans="1:9" x14ac:dyDescent="0.25">
      <c r="A119" s="8"/>
      <c r="B119" s="8"/>
      <c r="C119" s="8"/>
      <c r="D119" s="8"/>
      <c r="E119" s="8"/>
      <c r="F119" s="8"/>
      <c r="G119" s="8"/>
      <c r="H119" s="8"/>
      <c r="I119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Prob1</vt:lpstr>
      <vt:lpstr>Prob2</vt:lpstr>
      <vt:lpstr>Prob3</vt:lpstr>
      <vt:lpstr>Prob4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Carina Negreanu</cp:lastModifiedBy>
  <dcterms:created xsi:type="dcterms:W3CDTF">2001-04-15T19:27:06Z</dcterms:created>
  <dcterms:modified xsi:type="dcterms:W3CDTF">2020-01-27T11:43:26Z</dcterms:modified>
</cp:coreProperties>
</file>