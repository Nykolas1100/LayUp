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updateLinks="never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0B4889-B9F7-4B7A-AC73-BB5F5F644FEF}" xr6:coauthVersionLast="45" xr6:coauthVersionMax="45" xr10:uidLastSave="{00000000-0000-0000-0000-000000000000}"/>
  <bookViews>
    <workbookView xWindow="2280" yWindow="2280" windowWidth="28800" windowHeight="15460" activeTab="1"/>
  </bookViews>
  <sheets>
    <sheet name="Graph1" sheetId="14" r:id="rId1"/>
    <sheet name="Chart 1(31-7)" sheetId="4" r:id="rId2"/>
    <sheet name="Chart2(6-4)" sheetId="5" r:id="rId3"/>
    <sheet name="Chart3(3-2)" sheetId="6" r:id="rId4"/>
    <sheet name="Chart4(2-1)" sheetId="13" r:id="rId5"/>
    <sheet name="Chart5(1)" sheetId="8" r:id="rId6"/>
    <sheet name="Chart6(1)" sheetId="9" r:id="rId7"/>
    <sheet name="1-Journal Dist." sheetId="1" r:id="rId8"/>
    <sheet name="2-Publisher Dist." sheetId="3" r:id="rId9"/>
    <sheet name="3-Publisher PieCharts" sheetId="11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4" i="3" l="1"/>
  <c r="B82" i="3"/>
  <c r="B71" i="3"/>
  <c r="B50" i="3"/>
</calcChain>
</file>

<file path=xl/sharedStrings.xml><?xml version="1.0" encoding="utf-8"?>
<sst xmlns="http://schemas.openxmlformats.org/spreadsheetml/2006/main" count="381" uniqueCount="257">
  <si>
    <t>Journal Title</t>
  </si>
  <si>
    <t>No. of Articles</t>
  </si>
  <si>
    <t>Abhandlungen Aus Dem Mathematischen Seminar Der Universitat Hamburg</t>
  </si>
  <si>
    <t>ACTA Applicandae Mathemiaticae</t>
  </si>
  <si>
    <t>ACTA Mathematica Hungarica</t>
  </si>
  <si>
    <t>ACTA Mathematica Sinica-English Series</t>
  </si>
  <si>
    <t>Advances in Applied Mathematics</t>
  </si>
  <si>
    <t>Advances in Mathematics</t>
  </si>
  <si>
    <t>American Journal of Mathematics</t>
  </si>
  <si>
    <t>American Mathematical Monthly</t>
  </si>
  <si>
    <t>American Statistician</t>
  </si>
  <si>
    <t>Annales Academiae Scientiarum Fennicae Series</t>
  </si>
  <si>
    <t xml:space="preserve">Annales De L Institut Henri Poincare-Analyse Non Lineaire </t>
  </si>
  <si>
    <t>Annales De L Institut Henri Poincare-Probabilites Et Statistiques</t>
  </si>
  <si>
    <t>Annals of Applied Probability</t>
  </si>
  <si>
    <t>Annals of Probability</t>
  </si>
  <si>
    <t>Annals of Pure and Applied Logic</t>
  </si>
  <si>
    <t>Annals of Statistics</t>
  </si>
  <si>
    <t>Annals of the Institute of Statistical Mathematics</t>
  </si>
  <si>
    <t>Applied Mathematics and Optimization</t>
  </si>
  <si>
    <t>Applied Mathematics Letters</t>
  </si>
  <si>
    <t>Applied Numerical Mathematics</t>
  </si>
  <si>
    <t>Applied Statistics-Journal of the Royal Statistical Society Series C</t>
  </si>
  <si>
    <t>Archiv Der Mathematik</t>
  </si>
  <si>
    <t>Archive for Rational Mechanics Analysis</t>
  </si>
  <si>
    <t>Arkiv for Matematik</t>
  </si>
  <si>
    <t>Asymptotic Analysis</t>
  </si>
  <si>
    <t>Behavioral and Brain Sciences</t>
  </si>
  <si>
    <t>Bernouli</t>
  </si>
  <si>
    <t>Biometrical Journal</t>
  </si>
  <si>
    <t>Biometrics</t>
  </si>
  <si>
    <t>Biometrika</t>
  </si>
  <si>
    <t>Bulletin of the American Mathematical Society</t>
  </si>
  <si>
    <t>Bulletin of the Australian Mathematical Society</t>
  </si>
  <si>
    <t>Bulletin of the London Mathematical Society</t>
  </si>
  <si>
    <t>Canadian Journal of Mathematics-Journal Canadien De Mathematique</t>
  </si>
  <si>
    <t>Canadian Journal of Statistics-Revue Canadienne De Statistique</t>
  </si>
  <si>
    <t>Canadian Mathematical Bulletin-Bulletin Canadien De Mathematiques</t>
  </si>
  <si>
    <t>Chaos Solitons &amp; Fractals</t>
  </si>
  <si>
    <t>Chemtech</t>
  </si>
  <si>
    <t>Chinese Annals of Mathematics Series B</t>
  </si>
  <si>
    <t>Classical and Quantum Gravity</t>
  </si>
  <si>
    <t>Clinical Linguistics &amp; Phonetics</t>
  </si>
  <si>
    <t>Combinatorica</t>
  </si>
  <si>
    <t>Commentarii Mathematici Helvetici</t>
  </si>
  <si>
    <t>Communications in Algebra</t>
  </si>
  <si>
    <t>Communications in Analysis and Geometry</t>
  </si>
  <si>
    <t>Communications in Contemporary Mathematics</t>
  </si>
  <si>
    <t>Communications in Mathematical Physics</t>
  </si>
  <si>
    <t>Communicaitons in Partial Differential Equations</t>
  </si>
  <si>
    <t>Communications in Statistics-Theory and Methods</t>
  </si>
  <si>
    <t>Communications on Pure and Applied Mathematics</t>
  </si>
  <si>
    <t>Comptes Rendus De L Academie Des Sciences Serie I-Mathematique</t>
  </si>
  <si>
    <t>Computational and Applied Mathematics</t>
  </si>
  <si>
    <t>Computer Methods in Applied Mechanics and Engineering</t>
  </si>
  <si>
    <t>Computers &amp; Geosciences</t>
  </si>
  <si>
    <t>Constructive Approximation</t>
  </si>
  <si>
    <t>Discrete and Continuous Dynamical Systems</t>
  </si>
  <si>
    <t>Discrete Mathermatics</t>
  </si>
  <si>
    <t>Duke Mathematical Journal</t>
  </si>
  <si>
    <t>Dynamics of Continuous Discrete and Impulsive Systems-Series B-Applications &amp; Algorithms</t>
  </si>
  <si>
    <t>Ecology</t>
  </si>
  <si>
    <t>Econometric Theory</t>
  </si>
  <si>
    <t>Econometrica</t>
  </si>
  <si>
    <t>Engineering Fracture Mechanics</t>
  </si>
  <si>
    <t>Ergodic Theory and Dynamical Systems</t>
  </si>
  <si>
    <t>ESAIM-Mathermatical Modeling and Numerical Analysis-Modelisation Mathematique Et Analyse Numerique</t>
  </si>
  <si>
    <t>Houston Journal of Mathematics</t>
  </si>
  <si>
    <t>IEEE Transactions on Knowledge and Data Engineering</t>
  </si>
  <si>
    <t>IMA Journal of Applied Mathematics</t>
  </si>
  <si>
    <t>Indiana University Mathematics Journal</t>
  </si>
  <si>
    <t>Integral Equations and Operator Theory</t>
  </si>
  <si>
    <t>International Journal of Bifurcation and Chaos</t>
  </si>
  <si>
    <t>International Journal of Intelligent Systems</t>
  </si>
  <si>
    <t>International Journal of Mathematics</t>
  </si>
  <si>
    <t>International Journal of Quantum Chemistry</t>
  </si>
  <si>
    <t>Inventiones Mathematicae</t>
  </si>
  <si>
    <t>Inverse Problems</t>
  </si>
  <si>
    <t>Investigative Ophthalmology &amp; Visual Science</t>
  </si>
  <si>
    <t>Israel Journal of Mathematics</t>
  </si>
  <si>
    <t>Journal D'Analyse Mathematique</t>
  </si>
  <si>
    <t>Journal De Mathematiques Pures Et Appliquees</t>
  </si>
  <si>
    <t>Journal Fur Die Reine Und Angewandte Mathematik</t>
  </si>
  <si>
    <t>Journal of Algebra</t>
  </si>
  <si>
    <t>Journal of Algebraic Geometry</t>
  </si>
  <si>
    <t>Journal of Approximation Theory</t>
  </si>
  <si>
    <t>Journal of Classification</t>
  </si>
  <si>
    <t>Journal of Combinatorial Theory Series A</t>
  </si>
  <si>
    <t>Journal of Computational Mathematics</t>
  </si>
  <si>
    <t>Journal of Computational Physics</t>
  </si>
  <si>
    <t>Journal of Computer and System Sciences</t>
  </si>
  <si>
    <t>Journal of Differential Equations</t>
  </si>
  <si>
    <t>Journal of Engineering Mathematics</t>
  </si>
  <si>
    <t>Journal of Fluid Mechanics</t>
  </si>
  <si>
    <t>Journal of Functional Analysis</t>
  </si>
  <si>
    <t>Journal of Geometry and Physics</t>
  </si>
  <si>
    <t>Journal of Knot Theory and Its Ramifications</t>
  </si>
  <si>
    <t>Annals of Global Analysis and Geometry</t>
  </si>
  <si>
    <t>Annals of Mathematics</t>
  </si>
  <si>
    <t>Journal of Multivariate Analysis</t>
  </si>
  <si>
    <t>Journal of Nonlinear Science</t>
  </si>
  <si>
    <t>Journal of Operator Theory</t>
  </si>
  <si>
    <t>Journal of Philosophical Logic</t>
  </si>
  <si>
    <t>Journal of Pure and Applied Algebra</t>
  </si>
  <si>
    <t>Journal of Statistical Physics</t>
  </si>
  <si>
    <t>Journal of Statistical Planning and Inference</t>
  </si>
  <si>
    <t>Journal of Symbolic Logic</t>
  </si>
  <si>
    <t>Journal of the American Mathematical Society</t>
  </si>
  <si>
    <t>Journal of the American Statistical Association</t>
  </si>
  <si>
    <t>Journal of the Atmospheric Sciences</t>
  </si>
  <si>
    <t xml:space="preserve">Journal of the Optical Society of America A-Optics Image Science and Vision </t>
  </si>
  <si>
    <t>Journal of Theoretical Biology</t>
  </si>
  <si>
    <t>Journal of Theoretical Probability</t>
  </si>
  <si>
    <t>K-Theory</t>
  </si>
  <si>
    <t>Lecture Notes in Mathematics</t>
  </si>
  <si>
    <t>Linear Algebra and Its Applications</t>
  </si>
  <si>
    <t>Linear &amp; Multilinear Algebra</t>
  </si>
  <si>
    <t>Linguistics and Philosophy</t>
  </si>
  <si>
    <t>Matematica Aplicada E Computacional</t>
  </si>
  <si>
    <t>Mathematical and Computer Modeling</t>
  </si>
  <si>
    <t>Mathematical Intelligencer</t>
  </si>
  <si>
    <t>Mathematical Methods in the Applied Sciences</t>
  </si>
  <si>
    <t>Mathematical Proceedings of the Cambridge Philosophical Society</t>
  </si>
  <si>
    <t>Mathematics of Computation</t>
  </si>
  <si>
    <t>Mathematics of Control Signals and Systems</t>
  </si>
  <si>
    <t>Mathematische Annalen</t>
  </si>
  <si>
    <t>Mathematische Zeitschrift</t>
  </si>
  <si>
    <t>Memoirs of the American Mathematical Society</t>
  </si>
  <si>
    <t>Michigan Mathematical Journal</t>
  </si>
  <si>
    <t>Neural Computation</t>
  </si>
  <si>
    <t>Nonlinear Analysis-Theory Methods &amp; Applications</t>
  </si>
  <si>
    <t>Nonlinearity</t>
  </si>
  <si>
    <t>Numerical Algorithms</t>
  </si>
  <si>
    <t>Numerical Functional Analysis and Optimization</t>
  </si>
  <si>
    <t>Numerische Mathematik</t>
  </si>
  <si>
    <t>Pacific Journal of Mathematics</t>
  </si>
  <si>
    <t>Philosophical Transactions of the Royal Society of London Series A-Mathematical Physical and Engineering Sciences</t>
  </si>
  <si>
    <t>Physica D</t>
  </si>
  <si>
    <t>Physical Review A</t>
  </si>
  <si>
    <t>Physical Review Letters</t>
  </si>
  <si>
    <t>Physics Letters A</t>
  </si>
  <si>
    <t>Physics of Fluids</t>
  </si>
  <si>
    <t>Physics of Fluids A-Fluid Dynamics</t>
  </si>
  <si>
    <t>Probability in the Engineering and Informational Sciences</t>
  </si>
  <si>
    <t>Probability Theory and Related Fields</t>
  </si>
  <si>
    <t>Proceedings of the American Mathematical Society</t>
  </si>
  <si>
    <t>Proceedings of the Edinburgh Mathematical Society</t>
  </si>
  <si>
    <t>Proceedings of the Royal Society of Edinburgh Section A-Mathematical Physical and Engineering Sciences</t>
  </si>
  <si>
    <t>Proceedings of the Royal Society of London Series A-Mathematical Physical and Engineering Sciences</t>
  </si>
  <si>
    <t>Publications Mathematicae-Debrecen</t>
  </si>
  <si>
    <t>Publications of the Research Institute for Mathematical Sciences</t>
  </si>
  <si>
    <t>Quarterly Journal of Mathematics</t>
  </si>
  <si>
    <t>Quarterly of Applied Mathematics</t>
  </si>
  <si>
    <t>Rairo-Mathematical Modeling and Numerical Analysis-Modelisation Mathematique Et Analyse Numerique</t>
  </si>
  <si>
    <t>Rocky Mountain Journal of Mathematics</t>
  </si>
  <si>
    <t>Russian Journal of Mathematical Physics</t>
  </si>
  <si>
    <t>SIAM Journal on Applied Mathematics</t>
  </si>
  <si>
    <t>SIAM Journal on Control and Optimization</t>
  </si>
  <si>
    <t>SIAM Journal on Mathematical Analysis</t>
  </si>
  <si>
    <t>SIAM Journal on Matrix Analysis and Applications</t>
  </si>
  <si>
    <t>SIAM Journal on Numerical Analysis</t>
  </si>
  <si>
    <t>SIAM Journal on Scientific Computing</t>
  </si>
  <si>
    <t>SIAM Review</t>
  </si>
  <si>
    <t>Statistical Papers</t>
  </si>
  <si>
    <t>Statistical Science</t>
  </si>
  <si>
    <t>Statistics &amp; Probability Letters</t>
  </si>
  <si>
    <t>Stochastic Processes and Their Applications</t>
  </si>
  <si>
    <t>Studia Mathematica</t>
  </si>
  <si>
    <t>Systematic Biology</t>
  </si>
  <si>
    <t>Systems &amp; Control Letters</t>
  </si>
  <si>
    <t>Theochem-Journal of Molecular Structure</t>
  </si>
  <si>
    <t>Theoretical and Computational Fluid Dynamics</t>
  </si>
  <si>
    <t>Theoretical Computer Science</t>
  </si>
  <si>
    <t>Theory of Probability and Its Applications</t>
  </si>
  <si>
    <t>Topology</t>
  </si>
  <si>
    <t>Topology and Its Applications</t>
  </si>
  <si>
    <t>Transactions of the American Mathematical Society</t>
  </si>
  <si>
    <t>Transport Theory and Statistical Physics</t>
  </si>
  <si>
    <t>Zeitschrift Fur Angewandte Mathematik Und Mechanik</t>
  </si>
  <si>
    <t>Zeitschrift Fur Angewandte Mathematik Und Physik</t>
  </si>
  <si>
    <t>Journal of Mathematical Analysis and Applications</t>
  </si>
  <si>
    <t>B.E. Rhoades</t>
  </si>
  <si>
    <t>Current IU Faculty</t>
  </si>
  <si>
    <t>Past IU Faculty</t>
  </si>
  <si>
    <t>Publisher</t>
  </si>
  <si>
    <t>Academic Press</t>
  </si>
  <si>
    <t>American Mathematical Society</t>
  </si>
  <si>
    <t>Indiana University Math Dept.</t>
  </si>
  <si>
    <t>Springer</t>
  </si>
  <si>
    <t>Institute of Mathematical Statistics</t>
  </si>
  <si>
    <t>Elsevier</t>
  </si>
  <si>
    <t>SIAM-Society for Industrial and Applied Mathematics</t>
  </si>
  <si>
    <t>Mathematical Association of America</t>
  </si>
  <si>
    <t>Institute of Physics &amp; London Mathematical Society</t>
  </si>
  <si>
    <t>Princeton University &amp; Institute for Advanced Study</t>
  </si>
  <si>
    <t>Southwest Missouri State University Press</t>
  </si>
  <si>
    <t>Duke University Press</t>
  </si>
  <si>
    <t>Marcel Dekker, Inc.</t>
  </si>
  <si>
    <t>University of Michigan Mathematical Dept.</t>
  </si>
  <si>
    <t>Kluwer</t>
  </si>
  <si>
    <t>World Scientific Publishing Co., Ltd.</t>
  </si>
  <si>
    <t>Association for Symbolic Logic, Inc.</t>
  </si>
  <si>
    <t>Cambridge Philosophical Society</t>
  </si>
  <si>
    <t>Johns Hopkins University Press</t>
  </si>
  <si>
    <t>American Statistical Association</t>
  </si>
  <si>
    <t>John Wiley &amp; Sons, Ltd.</t>
  </si>
  <si>
    <t>Cambridge University Press</t>
  </si>
  <si>
    <t>Rocky Mountain Mathematics Consortium</t>
  </si>
  <si>
    <t>Institut Mittag-Leffler</t>
  </si>
  <si>
    <t>Australian Mathematical Society</t>
  </si>
  <si>
    <t>Canadian Mathematical Society</t>
  </si>
  <si>
    <t>Association for Research in Vision and Ophthalmology, Inc.</t>
  </si>
  <si>
    <t>Hebrew University Magnes Press</t>
  </si>
  <si>
    <t>B.G. Teubner Stuttgart</t>
  </si>
  <si>
    <t>Walter De Gruyter</t>
  </si>
  <si>
    <t>Theta Foundation</t>
  </si>
  <si>
    <t>American Institute of Physics</t>
  </si>
  <si>
    <t>Institut Mathematicum Universitatis Debreceniensis</t>
  </si>
  <si>
    <t>Akademie Verlag</t>
  </si>
  <si>
    <t>IOS Press</t>
  </si>
  <si>
    <t>Biometrika Trust</t>
  </si>
  <si>
    <t>London Mathematical Society</t>
  </si>
  <si>
    <t>Royal Society</t>
  </si>
  <si>
    <t>Oxford University Press</t>
  </si>
  <si>
    <t>Dunod</t>
  </si>
  <si>
    <t>Statistical Society of Canada</t>
  </si>
  <si>
    <t>Birkhauser</t>
  </si>
  <si>
    <t>EDP-Les Editions de Physique</t>
  </si>
  <si>
    <t>University of Houston Press</t>
  </si>
  <si>
    <t>IMA-Institute of Mathematics and its Applications</t>
  </si>
  <si>
    <t>Association for Research in Vision and Opthalmology, Inc.</t>
  </si>
  <si>
    <t xml:space="preserve">Institute of Physics </t>
  </si>
  <si>
    <t>University of Michigan Mathematics Dept.</t>
  </si>
  <si>
    <t>Indiana University Mathematics Dept.</t>
  </si>
  <si>
    <t>SIAM</t>
  </si>
  <si>
    <t>Gauthier-Villars</t>
  </si>
  <si>
    <t>Institute Mittag-Leffler</t>
  </si>
  <si>
    <t>International Statistical Institution</t>
  </si>
  <si>
    <t>Statistical Societyof Canada</t>
  </si>
  <si>
    <t>Princeton University Press</t>
  </si>
  <si>
    <t>Commercial Publishers</t>
  </si>
  <si>
    <t>World Scientific Publishing</t>
  </si>
  <si>
    <t>Non-Profit Publishers</t>
  </si>
  <si>
    <t>American Statisitical Association</t>
  </si>
  <si>
    <t>Institute of Physics</t>
  </si>
  <si>
    <t>Association for Symbolic Logic</t>
  </si>
  <si>
    <t>Non-Profit Publishers*</t>
  </si>
  <si>
    <t>University Press</t>
  </si>
  <si>
    <t xml:space="preserve">Indiana University Mathematics Department </t>
  </si>
  <si>
    <t>University of Michigan Mathematics Department</t>
  </si>
  <si>
    <t>*Only publishers with 5 or more articles are listed</t>
  </si>
  <si>
    <t>*Only Non-Profit publishers with 5 or more articles are listed.</t>
  </si>
  <si>
    <t>Indian Journal of Pure and Applied Mathematics</t>
  </si>
  <si>
    <t>Indian National Science Academy</t>
  </si>
  <si>
    <t>Integral Transforms and Special Functions</t>
  </si>
  <si>
    <t>Journal of Economic Theory</t>
  </si>
  <si>
    <t>Communications in Theoretical 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</si>
</sst>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b/>
      <sz val="12"/>
      <name val="Arial"/>
      <family val="2"/>
    </font>
    <font>
      <sz val="10.5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.5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.5"/>
      <name val="Arial"/>
      <family val="2"/>
    </font>
    <font>
      <b/>
      <sz val="10"/>
      <name val="Arial"/>
      <family val="2"/>
    </font>
    <font>
      <sz val="10.25"/>
      <name val="Arial"/>
      <family val="2"/>
    </font>
    <font>
      <sz val="10"/>
      <name val="Arial"/>
      <family val="2"/>
    </font>
    <font>
      <sz val="9.75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13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externalLink" Target="externalLinks/externalLink1.xml"/><Relationship Id="rId5" Type="http://schemas.openxmlformats.org/officeDocument/2006/relationships/chartsheet" Target="chart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3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Did Rob Kirby's 1997 Comparative Journals Study Influence IUB Mathematics?</a:t>
            </a:r>
            <a:endParaRPr lang="en-GB" sz="14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 12 Year Study of Publishing Trends:  No. of Articles Submitted to Commercial, Non-Profit and University Press Publishers from the IUB Math Dept. [Data from ISI's Web of Science]</a:t>
            </a:r>
          </a:p>
        </c:rich>
      </c:tx>
      <c:layout>
        <c:manualLayout>
          <c:xMode val="edge"/>
          <c:yMode val="edge"/>
          <c:x val="0.11777777777777777"/>
          <c:y val="2.1786492374727671E-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9777777777777777"/>
          <c:y val="0.18300653594771241"/>
          <c:w val="0.72592592592592597"/>
          <c:h val="0.70043572984749458"/>
        </c:manualLayout>
      </c:layout>
      <c:line3DChart>
        <c:grouping val="standard"/>
        <c:varyColors val="0"/>
        <c:ser>
          <c:idx val="0"/>
          <c:order val="0"/>
          <c:tx>
            <c:strRef>
              <c:f>[1]Data1!$A$2</c:f>
              <c:strCache>
                <c:ptCount val="1"/>
                <c:pt idx="0">
                  <c:v>University Press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[1]Data1!$B$1:$M$1</c:f>
              <c:numCache>
                <c:formatCode>General</c:formatCode>
                <c:ptCount val="1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</c:numCache>
            </c:numRef>
          </c:cat>
          <c:val>
            <c:numRef>
              <c:f>[1]Data1!$B$2:$M$2</c:f>
              <c:numCache>
                <c:formatCode>General</c:formatCode>
                <c:ptCount val="12"/>
                <c:pt idx="0">
                  <c:v>4</c:v>
                </c:pt>
                <c:pt idx="1">
                  <c:v>13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0-40F2-B1F5-2E3B419A5AA8}"/>
            </c:ext>
          </c:extLst>
        </c:ser>
        <c:ser>
          <c:idx val="1"/>
          <c:order val="1"/>
          <c:tx>
            <c:strRef>
              <c:f>[1]Data1!$A$3</c:f>
              <c:strCache>
                <c:ptCount val="1"/>
                <c:pt idx="0">
                  <c:v>Non-Profit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[1]Data1!$B$1:$M$1</c:f>
              <c:numCache>
                <c:formatCode>General</c:formatCode>
                <c:ptCount val="1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</c:numCache>
            </c:numRef>
          </c:cat>
          <c:val>
            <c:numRef>
              <c:f>[1]Data1!$B$3:$M$3</c:f>
              <c:numCache>
                <c:formatCode>General</c:formatCode>
                <c:ptCount val="12"/>
                <c:pt idx="0">
                  <c:v>21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14</c:v>
                </c:pt>
                <c:pt idx="5">
                  <c:v>27</c:v>
                </c:pt>
                <c:pt idx="6">
                  <c:v>20</c:v>
                </c:pt>
                <c:pt idx="7">
                  <c:v>11</c:v>
                </c:pt>
                <c:pt idx="8">
                  <c:v>12</c:v>
                </c:pt>
                <c:pt idx="9">
                  <c:v>22</c:v>
                </c:pt>
                <c:pt idx="10">
                  <c:v>16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0-40F2-B1F5-2E3B419A5AA8}"/>
            </c:ext>
          </c:extLst>
        </c:ser>
        <c:ser>
          <c:idx val="2"/>
          <c:order val="2"/>
          <c:tx>
            <c:strRef>
              <c:f>[1]Data1!$A$4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[1]Data1!$B$1:$M$1</c:f>
              <c:numCache>
                <c:formatCode>General</c:formatCode>
                <c:ptCount val="1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</c:numCache>
            </c:numRef>
          </c:cat>
          <c:val>
            <c:numRef>
              <c:f>[1]Data1!$B$4:$M$4</c:f>
              <c:numCache>
                <c:formatCode>General</c:formatCode>
                <c:ptCount val="12"/>
                <c:pt idx="0">
                  <c:v>30</c:v>
                </c:pt>
                <c:pt idx="1">
                  <c:v>44</c:v>
                </c:pt>
                <c:pt idx="2">
                  <c:v>34</c:v>
                </c:pt>
                <c:pt idx="3">
                  <c:v>37</c:v>
                </c:pt>
                <c:pt idx="4">
                  <c:v>37</c:v>
                </c:pt>
                <c:pt idx="5">
                  <c:v>46</c:v>
                </c:pt>
                <c:pt idx="6">
                  <c:v>34</c:v>
                </c:pt>
                <c:pt idx="7">
                  <c:v>39</c:v>
                </c:pt>
                <c:pt idx="8">
                  <c:v>34</c:v>
                </c:pt>
                <c:pt idx="9">
                  <c:v>49</c:v>
                </c:pt>
                <c:pt idx="10">
                  <c:v>22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A0-40F2-B1F5-2E3B419A5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636607"/>
        <c:axId val="1"/>
        <c:axId val="2"/>
      </c:line3DChart>
      <c:catAx>
        <c:axId val="765636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4074074074074077"/>
              <c:y val="0.94771241830065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138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No. 
of 
Articles</a:t>
                </a:r>
              </a:p>
            </c:rich>
          </c:tx>
          <c:layout>
            <c:manualLayout>
              <c:xMode val="edge"/>
              <c:yMode val="edge"/>
              <c:x val="0.10888888888888888"/>
              <c:y val="0.443355119825708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6607"/>
        <c:crosses val="autoZero"/>
        <c:crossBetween val="between"/>
      </c:valAx>
      <c:serAx>
        <c:axId val="2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7037037037037038E-2"/>
          <c:y val="0.19063180827886711"/>
          <c:w val="0.12148148148148148"/>
          <c:h val="0.1122004357298474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25" b="0" i="1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Where IUB Math Department 
is Publishing:  1990-2001</a:t>
            </a:r>
          </a:p>
        </c:rich>
      </c:tx>
      <c:layout>
        <c:manualLayout>
          <c:xMode val="edge"/>
          <c:yMode val="edge"/>
          <c:x val="0.36408450704225354"/>
          <c:y val="1.9774011299435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94366197183098"/>
          <c:y val="0.22410546139359699"/>
          <c:w val="0.8154929577464789"/>
          <c:h val="0.407721280602636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'1-Journal Dist.'!$A$2:$A$33</c:f>
              <c:strCache>
                <c:ptCount val="32"/>
                <c:pt idx="0">
                  <c:v>Journal of Mathematical Analysis and Applications</c:v>
                </c:pt>
                <c:pt idx="1">
                  <c:v>Proceedings of the American Mathematical Society</c:v>
                </c:pt>
                <c:pt idx="2">
                  <c:v>Indiana University Mathematics Journal</c:v>
                </c:pt>
                <c:pt idx="3">
                  <c:v>Integral Equations and Operator Theory</c:v>
                </c:pt>
                <c:pt idx="4">
                  <c:v>Annals of Probability</c:v>
                </c:pt>
                <c:pt idx="5">
                  <c:v>Journal of Algebra</c:v>
                </c:pt>
                <c:pt idx="6">
                  <c:v>Indian Journal of Pure and Applied Mathematics</c:v>
                </c:pt>
                <c:pt idx="7">
                  <c:v>Comptes Rendus De L Academie Des Sciences Serie I-Mathematique</c:v>
                </c:pt>
                <c:pt idx="8">
                  <c:v>Journal of Statistical Planning and Inference</c:v>
                </c:pt>
                <c:pt idx="9">
                  <c:v>Applied Mathematics Letters</c:v>
                </c:pt>
                <c:pt idx="10">
                  <c:v>Communications in Mathematical Physics</c:v>
                </c:pt>
                <c:pt idx="11">
                  <c:v>Physica D</c:v>
                </c:pt>
                <c:pt idx="12">
                  <c:v>Archive for Rational Mechanics Analysis</c:v>
                </c:pt>
                <c:pt idx="13">
                  <c:v>Statistics &amp; Probability Letters</c:v>
                </c:pt>
                <c:pt idx="14">
                  <c:v>Journal of Differential Equations</c:v>
                </c:pt>
                <c:pt idx="15">
                  <c:v>Nonlinear Analysis-Theory Methods &amp; Applications</c:v>
                </c:pt>
                <c:pt idx="16">
                  <c:v>Transactions of the American Mathematical Society</c:v>
                </c:pt>
                <c:pt idx="17">
                  <c:v>Journal of Functional Analysis</c:v>
                </c:pt>
                <c:pt idx="18">
                  <c:v>Probability Theory and Related Fields</c:v>
                </c:pt>
                <c:pt idx="19">
                  <c:v>Annals of Mathematics</c:v>
                </c:pt>
                <c:pt idx="20">
                  <c:v>SIAM Journal on Mathematical Analysis</c:v>
                </c:pt>
                <c:pt idx="21">
                  <c:v>American Mathematical Monthly</c:v>
                </c:pt>
                <c:pt idx="22">
                  <c:v>Nonlinearity</c:v>
                </c:pt>
                <c:pt idx="23">
                  <c:v>Topology</c:v>
                </c:pt>
                <c:pt idx="24">
                  <c:v>Linear Algebra and Its Applications</c:v>
                </c:pt>
                <c:pt idx="25">
                  <c:v>Mathematische Annalen</c:v>
                </c:pt>
                <c:pt idx="26">
                  <c:v>Stochastic Processes and Their Applications</c:v>
                </c:pt>
                <c:pt idx="27">
                  <c:v>Annals of Statistics</c:v>
                </c:pt>
                <c:pt idx="28">
                  <c:v>Discrete and Continuous Dynamical Systems</c:v>
                </c:pt>
                <c:pt idx="29">
                  <c:v>Duke Mathematical Journal</c:v>
                </c:pt>
                <c:pt idx="30">
                  <c:v>Mathematische Zeitschrift</c:v>
                </c:pt>
                <c:pt idx="31">
                  <c:v>Numerical Functional Analysis and Optimization</c:v>
                </c:pt>
              </c:strCache>
            </c:strRef>
          </c:cat>
          <c:val>
            <c:numRef>
              <c:f>'1-Journal Dist.'!$B$2:$B$33</c:f>
              <c:numCache>
                <c:formatCode>General</c:formatCode>
                <c:ptCount val="32"/>
                <c:pt idx="0">
                  <c:v>32</c:v>
                </c:pt>
                <c:pt idx="1">
                  <c:v>26</c:v>
                </c:pt>
                <c:pt idx="2">
                  <c:v>26</c:v>
                </c:pt>
                <c:pt idx="3">
                  <c:v>22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11</c:v>
                </c:pt>
                <c:pt idx="19">
                  <c:v>10</c:v>
                </c:pt>
                <c:pt idx="20">
                  <c:v>10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D-49C1-ABB1-9A162E2A1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639807"/>
        <c:axId val="1"/>
      </c:barChart>
      <c:catAx>
        <c:axId val="765639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1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From the Institute of Scientific Information  </a:t>
                </a:r>
              </a:p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100" b="1" i="1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Web of Science</a:t>
                </a:r>
              </a:p>
            </c:rich>
          </c:tx>
          <c:layout>
            <c:manualLayout>
              <c:xMode val="edge"/>
              <c:yMode val="edge"/>
              <c:x val="0.42535211267605633"/>
              <c:y val="0.934086629001883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No. of Articles</a:t>
                </a:r>
              </a:p>
            </c:rich>
          </c:tx>
          <c:layout>
            <c:manualLayout>
              <c:xMode val="edge"/>
              <c:yMode val="edge"/>
              <c:x val="0"/>
              <c:y val="0.357815442561205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98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2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825" b="1" i="1" u="none" strike="noStrike" baseline="0">
                <a:solidFill>
                  <a:srgbClr val="000000"/>
                </a:solidFill>
                <a:latin typeface="Arial"/>
                <a:cs typeface="Arial"/>
              </a:rPr>
              <a:t>Journal of Mathematical Analysis and Applications</a:t>
            </a:r>
            <a:r>
              <a:rPr lang="en-GB" sz="8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</a:p>
          <a:p>
            <a:pPr>
              <a:defRPr sz="82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8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Paper version cancelled in 1999</a:t>
            </a:r>
          </a:p>
          <a:p>
            <a:pPr>
              <a:defRPr sz="82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 sz="82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E-version access restored in 2001</a:t>
            </a:r>
          </a:p>
        </c:rich>
      </c:tx>
      <c:layout>
        <c:manualLayout>
          <c:xMode val="edge"/>
          <c:yMode val="edge"/>
          <c:x val="0.17279173502033077"/>
          <c:y val="4.147622344606559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7862667272028335"/>
          <c:y val="0.63596875950633913"/>
          <c:w val="0.26566729259375854"/>
          <c:h val="0.2258149943174682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30F-4CBB-8271-0F0207846A9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0F-4CBB-8271-0F0207846A9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30F-4CBB-8271-0F0207846A9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'1-Journal Dist.'!$C$111:$C$113</c:f>
              <c:strCache>
                <c:ptCount val="3"/>
                <c:pt idx="0">
                  <c:v>B.E. Rhoades</c:v>
                </c:pt>
                <c:pt idx="1">
                  <c:v>Current IU Faculty</c:v>
                </c:pt>
                <c:pt idx="2">
                  <c:v>Past IU Faculty</c:v>
                </c:pt>
              </c:strCache>
            </c:strRef>
          </c:cat>
          <c:val>
            <c:numRef>
              <c:f>'1-Journal Dist.'!$D$111:$D$113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0F-4CBB-8271-0F0207846A9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9980652683233957"/>
          <c:y val="0.60831794387562876"/>
          <c:w val="0.2743068793447751"/>
          <c:h val="0.308767441209599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Where IUB Math Department 
is Publishing:  1990-2001</a:t>
            </a:r>
          </a:p>
        </c:rich>
      </c:tx>
      <c:layout>
        <c:manualLayout>
          <c:xMode val="edge"/>
          <c:yMode val="edge"/>
          <c:x val="0.35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555555555555556"/>
          <c:y val="0.16013071895424835"/>
          <c:w val="0.83259259259259255"/>
          <c:h val="0.423747276688453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'1-Journal Dist.'!$A$34:$A$61</c:f>
              <c:strCache>
                <c:ptCount val="28"/>
                <c:pt idx="0">
                  <c:v>Annals of Pure and Applied Logic</c:v>
                </c:pt>
                <c:pt idx="1">
                  <c:v>Communicaitons in Partial Differential Equations</c:v>
                </c:pt>
                <c:pt idx="2">
                  <c:v>Journal of Theoretical Probability</c:v>
                </c:pt>
                <c:pt idx="3">
                  <c:v>Michigan Mathematical Journal</c:v>
                </c:pt>
                <c:pt idx="4">
                  <c:v>SIAM Journal on Numerical Analysis</c:v>
                </c:pt>
                <c:pt idx="5">
                  <c:v>Topology and Its Applications</c:v>
                </c:pt>
                <c:pt idx="6">
                  <c:v>Advances in Mathematics</c:v>
                </c:pt>
                <c:pt idx="7">
                  <c:v>Annals of the Institute of Statistical Mathematics</c:v>
                </c:pt>
                <c:pt idx="8">
                  <c:v>Inventiones Mathematicae</c:v>
                </c:pt>
                <c:pt idx="9">
                  <c:v>Journal of Computational Physics</c:v>
                </c:pt>
                <c:pt idx="10">
                  <c:v>Journal of Knot Theory and Its Ramifications</c:v>
                </c:pt>
                <c:pt idx="11">
                  <c:v>Journal of Symbolic Logic</c:v>
                </c:pt>
                <c:pt idx="12">
                  <c:v>Mathematical Proceedings of the Cambridge Philosophical Society</c:v>
                </c:pt>
                <c:pt idx="13">
                  <c:v>SIAM Journal on Applied Mathematics</c:v>
                </c:pt>
                <c:pt idx="14">
                  <c:v>American Journal of Mathematics</c:v>
                </c:pt>
                <c:pt idx="15">
                  <c:v>American Statistician</c:v>
                </c:pt>
                <c:pt idx="16">
                  <c:v>Applied Numerical Mathematics</c:v>
                </c:pt>
                <c:pt idx="17">
                  <c:v>Communications in Algebra</c:v>
                </c:pt>
                <c:pt idx="18">
                  <c:v>Communications on Pure and Applied Mathematics</c:v>
                </c:pt>
                <c:pt idx="19">
                  <c:v>Ergodic Theory and Dynamical Systems</c:v>
                </c:pt>
                <c:pt idx="20">
                  <c:v>Journal of Multivariate Analysis</c:v>
                </c:pt>
                <c:pt idx="21">
                  <c:v>Journal of the American Statistical Association</c:v>
                </c:pt>
                <c:pt idx="22">
                  <c:v>Lecture Notes in Mathematics</c:v>
                </c:pt>
                <c:pt idx="23">
                  <c:v>Mathematical Methods in the Applied Sciences</c:v>
                </c:pt>
                <c:pt idx="24">
                  <c:v>Mathematics of Computation</c:v>
                </c:pt>
                <c:pt idx="25">
                  <c:v>Rocky Mountain Journal of Mathematics</c:v>
                </c:pt>
                <c:pt idx="26">
                  <c:v>Theoretical Computer Science</c:v>
                </c:pt>
                <c:pt idx="27">
                  <c:v>Zeitschrift Fur Angewandte Mathematik Und Physik</c:v>
                </c:pt>
              </c:strCache>
            </c:strRef>
          </c:cat>
          <c:val>
            <c:numRef>
              <c:f>'1-Journal Dist.'!$B$34:$B$61</c:f>
              <c:numCache>
                <c:formatCode>General</c:formatCode>
                <c:ptCount val="2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4-4425-BE7A-DD3447F6C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637407"/>
        <c:axId val="1"/>
      </c:barChart>
      <c:catAx>
        <c:axId val="765637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From the Institute of Scientific Information </a:t>
                </a:r>
              </a:p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50" b="1" i="1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Web of Science</a:t>
                </a:r>
              </a:p>
            </c:rich>
          </c:tx>
          <c:layout>
            <c:manualLayout>
              <c:xMode val="edge"/>
              <c:yMode val="edge"/>
              <c:x val="0.41111111111111109"/>
              <c:y val="0.930283224400871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No. of Articles</a:t>
                </a:r>
              </a:p>
            </c:rich>
          </c:tx>
          <c:layout>
            <c:manualLayout>
              <c:xMode val="edge"/>
              <c:yMode val="edge"/>
              <c:x val="0"/>
              <c:y val="0.291938997821350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74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Where IUB Math Department
 is Publishing:  1990-2001</a:t>
            </a:r>
          </a:p>
        </c:rich>
      </c:tx>
      <c:layout>
        <c:manualLayout>
          <c:xMode val="edge"/>
          <c:yMode val="edge"/>
          <c:x val="0.355555555555555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444444444444446"/>
          <c:y val="0.14814814814814814"/>
          <c:w val="0.78370370370370368"/>
          <c:h val="0.3801742919389978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'1-Journal Dist.'!$A$62:$A$92</c:f>
              <c:strCache>
                <c:ptCount val="31"/>
                <c:pt idx="0">
                  <c:v>Arkiv for Matematik</c:v>
                </c:pt>
                <c:pt idx="1">
                  <c:v>Bulletin of the Australian Mathematical Society</c:v>
                </c:pt>
                <c:pt idx="2">
                  <c:v>Canadian Mathematical Bulletin-Bulletin Canadien De Mathematiques</c:v>
                </c:pt>
                <c:pt idx="3">
                  <c:v>Investigative Ophthalmology &amp; Visual Science</c:v>
                </c:pt>
                <c:pt idx="4">
                  <c:v>Israel Journal of Mathematics</c:v>
                </c:pt>
                <c:pt idx="5">
                  <c:v>Journal D'Analyse Mathematique</c:v>
                </c:pt>
                <c:pt idx="6">
                  <c:v>Journal De Mathematiques Pures Et Appliquees</c:v>
                </c:pt>
                <c:pt idx="7">
                  <c:v>Journal Fur Die Reine Und Angewandte Mathematik</c:v>
                </c:pt>
                <c:pt idx="8">
                  <c:v>Journal of Approximation Theory</c:v>
                </c:pt>
                <c:pt idx="9">
                  <c:v>Journal of Operator Theory</c:v>
                </c:pt>
                <c:pt idx="10">
                  <c:v>Numerische Mathematik</c:v>
                </c:pt>
                <c:pt idx="11">
                  <c:v>Physics of Fluids</c:v>
                </c:pt>
                <c:pt idx="12">
                  <c:v>Publications Mathematicae-Debrecen</c:v>
                </c:pt>
                <c:pt idx="13">
                  <c:v>SIAM Journal on Control and Optimization</c:v>
                </c:pt>
                <c:pt idx="14">
                  <c:v>Theory of Probability and Its Applications</c:v>
                </c:pt>
                <c:pt idx="15">
                  <c:v>Zeitschrift Fur Angewandte Mathematik Und Mechanik</c:v>
                </c:pt>
                <c:pt idx="16">
                  <c:v>ACTA Mathematica Sinica-English Series</c:v>
                </c:pt>
                <c:pt idx="17">
                  <c:v>Annales De L Institut Henri Poincare-Probabilites Et Statistiques</c:v>
                </c:pt>
                <c:pt idx="18">
                  <c:v>Annals of Applied Probability</c:v>
                </c:pt>
                <c:pt idx="19">
                  <c:v>Archiv Der Mathematik</c:v>
                </c:pt>
                <c:pt idx="20">
                  <c:v>Asymptotic Analysis</c:v>
                </c:pt>
                <c:pt idx="21">
                  <c:v>Bernouli</c:v>
                </c:pt>
                <c:pt idx="22">
                  <c:v>Biometrika</c:v>
                </c:pt>
                <c:pt idx="23">
                  <c:v>Bulletin of the London Mathematical Society</c:v>
                </c:pt>
                <c:pt idx="24">
                  <c:v>Canadian Journal of Mathematics-Journal Canadien De Mathematique</c:v>
                </c:pt>
                <c:pt idx="25">
                  <c:v>Canadian Journal of Statistics-Revue Canadienne De Statistique</c:v>
                </c:pt>
                <c:pt idx="26">
                  <c:v>Commentarii Mathematici Helvetici</c:v>
                </c:pt>
                <c:pt idx="27">
                  <c:v>Computational and Applied Mathematics</c:v>
                </c:pt>
                <c:pt idx="28">
                  <c:v>Computer Methods in Applied Mechanics and Engineering</c:v>
                </c:pt>
                <c:pt idx="29">
                  <c:v>ESAIM-Mathermatical Modeling and Numerical Analysis-Modelisation Mathematique Et Analyse Numerique</c:v>
                </c:pt>
                <c:pt idx="30">
                  <c:v>Houston Journal of Mathematics</c:v>
                </c:pt>
              </c:strCache>
            </c:strRef>
          </c:cat>
          <c:val>
            <c:numRef>
              <c:f>'1-Journal Dist.'!$B$62:$B$92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2-40BE-B920-03AA6AB31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636207"/>
        <c:axId val="1"/>
      </c:barChart>
      <c:catAx>
        <c:axId val="765636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From the Institute of Scientific Information  </a:t>
                </a:r>
              </a:p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00" b="1" i="1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Web of Science</a:t>
                </a:r>
              </a:p>
            </c:rich>
          </c:tx>
          <c:layout>
            <c:manualLayout>
              <c:xMode val="edge"/>
              <c:yMode val="edge"/>
              <c:x val="0.44148148148148147"/>
              <c:y val="0.93246187363834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No. of Articles</a:t>
                </a:r>
              </a:p>
            </c:rich>
          </c:tx>
          <c:layout>
            <c:manualLayout>
              <c:xMode val="edge"/>
              <c:yMode val="edge"/>
              <c:x val="0"/>
              <c:y val="0.26143790849673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62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Where IUB Math Department 
is Publishing:  1990-2001</a:t>
            </a:r>
          </a:p>
        </c:rich>
      </c:tx>
      <c:layout>
        <c:manualLayout>
          <c:xMode val="edge"/>
          <c:yMode val="edge"/>
          <c:x val="0.35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29629629629628"/>
          <c:y val="0.16339869281045752"/>
          <c:w val="0.81185185185185182"/>
          <c:h val="0.3921568627450980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'1-Journal Dist.'!$A$95:$A$126</c:f>
              <c:strCache>
                <c:ptCount val="32"/>
                <c:pt idx="0">
                  <c:v>Journal of Computer and System Sciences</c:v>
                </c:pt>
                <c:pt idx="1">
                  <c:v>Journal of Engineering Mathematics</c:v>
                </c:pt>
                <c:pt idx="2">
                  <c:v>Journal of Fluid Mechanics</c:v>
                </c:pt>
                <c:pt idx="3">
                  <c:v>Journal of Geometry and Physics</c:v>
                </c:pt>
                <c:pt idx="4">
                  <c:v>Journal of the American Mathematical Society</c:v>
                </c:pt>
                <c:pt idx="5">
                  <c:v>Physical Review Letters</c:v>
                </c:pt>
                <c:pt idx="6">
                  <c:v>Physics Letters A</c:v>
                </c:pt>
                <c:pt idx="7">
                  <c:v>Physics of Fluids A-Fluid Dynamics</c:v>
                </c:pt>
                <c:pt idx="8">
                  <c:v>Proceedings of the Royal Society of London Series A-Mathematical Physical and Engineering Sciences</c:v>
                </c:pt>
                <c:pt idx="9">
                  <c:v>Quarterly Journal of Mathematics</c:v>
                </c:pt>
                <c:pt idx="10">
                  <c:v>Rairo-Mathematical Modeling and Numerical Analysis-Modelisation Mathematique Et Analyse Numerique</c:v>
                </c:pt>
                <c:pt idx="11">
                  <c:v>SIAM Journal on Scientific Computing</c:v>
                </c:pt>
                <c:pt idx="12">
                  <c:v>Theoretical and Computational Fluid Dynamics</c:v>
                </c:pt>
                <c:pt idx="13">
                  <c:v>Abhandlungen Aus Dem Mathematischen Seminar Der Universitat Hamburg</c:v>
                </c:pt>
                <c:pt idx="14">
                  <c:v>ACTA Applicandae Mathemiaticae</c:v>
                </c:pt>
                <c:pt idx="15">
                  <c:v>ACTA Mathematica Hungarica</c:v>
                </c:pt>
                <c:pt idx="16">
                  <c:v>Advances in Applied Mathematics</c:v>
                </c:pt>
                <c:pt idx="17">
                  <c:v>Annales Academiae Scientiarum Fennicae Series</c:v>
                </c:pt>
                <c:pt idx="18">
                  <c:v>Annales De L Institut Henri Poincare-Analyse Non Lineaire </c:v>
                </c:pt>
                <c:pt idx="19">
                  <c:v>Annals of Global Analysis and Geometry</c:v>
                </c:pt>
                <c:pt idx="20">
                  <c:v>Applied Mathematics and Optimization</c:v>
                </c:pt>
                <c:pt idx="21">
                  <c:v>Applied Statistics-Journal of the Royal Statistical Society Series C</c:v>
                </c:pt>
                <c:pt idx="22">
                  <c:v>Behavioral and Brain Sciences</c:v>
                </c:pt>
                <c:pt idx="23">
                  <c:v>Biometrical Journal</c:v>
                </c:pt>
                <c:pt idx="24">
                  <c:v>Biometrics</c:v>
                </c:pt>
                <c:pt idx="25">
                  <c:v>Bulletin of the American Mathematical Society</c:v>
                </c:pt>
                <c:pt idx="26">
                  <c:v>Chaos Solitons &amp; Fractals</c:v>
                </c:pt>
                <c:pt idx="27">
                  <c:v>Chemtech</c:v>
                </c:pt>
                <c:pt idx="28">
                  <c:v>Chinese Annals of Mathematics Series B</c:v>
                </c:pt>
                <c:pt idx="29">
                  <c:v>Classical and Quantum Gravity</c:v>
                </c:pt>
                <c:pt idx="30">
                  <c:v>Clinical Linguistics &amp; Phonetics</c:v>
                </c:pt>
                <c:pt idx="31">
                  <c:v>Combinatorica</c:v>
                </c:pt>
              </c:strCache>
            </c:strRef>
          </c:cat>
          <c:val>
            <c:numRef>
              <c:f>'1-Journal Dist.'!$B$95:$B$126</c:f>
              <c:numCache>
                <c:formatCode>General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FC-442D-A03E-33DA8E860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632607"/>
        <c:axId val="1"/>
      </c:barChart>
      <c:catAx>
        <c:axId val="76563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2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From the Institute of Scientific Information </a:t>
                </a:r>
              </a:p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25" b="1" i="1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Web of Science</a:t>
                </a:r>
              </a:p>
            </c:rich>
          </c:tx>
          <c:layout>
            <c:manualLayout>
              <c:xMode val="edge"/>
              <c:yMode val="edge"/>
              <c:x val="0.42148148148148146"/>
              <c:y val="0.930283224400871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No. of Articles</a:t>
                </a:r>
              </a:p>
            </c:rich>
          </c:tx>
          <c:layout>
            <c:manualLayout>
              <c:xMode val="edge"/>
              <c:yMode val="edge"/>
              <c:x val="0"/>
              <c:y val="0.279956427015250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26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Where IUB Math Department 
is Publishing:  1990-2001</a:t>
            </a:r>
          </a:p>
        </c:rich>
      </c:tx>
      <c:layout>
        <c:manualLayout>
          <c:xMode val="edge"/>
          <c:yMode val="edge"/>
          <c:x val="0.35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03703703703703"/>
          <c:y val="0.16013071895424835"/>
          <c:w val="0.83111111111111113"/>
          <c:h val="0.369281045751634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'1-Journal Dist.'!$A$127:$A$157</c:f>
              <c:strCache>
                <c:ptCount val="31"/>
                <c:pt idx="0">
                  <c:v>Communications in Analysis and Geometry</c:v>
                </c:pt>
                <c:pt idx="1">
                  <c:v>Communications in Contemporary Mathematics</c:v>
                </c:pt>
                <c:pt idx="2">
                  <c:v>Communications in Statistics-Theory and Methods</c:v>
                </c:pt>
                <c:pt idx="3">
                  <c:v>Communications in Theoretical Physics</c:v>
                </c:pt>
                <c:pt idx="4">
                  <c:v>Computers &amp; Geosciences</c:v>
                </c:pt>
                <c:pt idx="5">
                  <c:v>Constructive Approximation</c:v>
                </c:pt>
                <c:pt idx="6">
                  <c:v>Discrete Mathermatics</c:v>
                </c:pt>
                <c:pt idx="7">
                  <c:v>Dynamics of Continuous Discrete and Impulsive Systems-Series B-Applications &amp; Algorithms</c:v>
                </c:pt>
                <c:pt idx="8">
                  <c:v>Ecology</c:v>
                </c:pt>
                <c:pt idx="9">
                  <c:v>Econometric Theory</c:v>
                </c:pt>
                <c:pt idx="10">
                  <c:v>Econometrica</c:v>
                </c:pt>
                <c:pt idx="11">
                  <c:v>Engineering Fracture Mechanics</c:v>
                </c:pt>
                <c:pt idx="12">
                  <c:v>IEEE Transactions on Knowledge and Data Engineering</c:v>
                </c:pt>
                <c:pt idx="13">
                  <c:v>Integral Transforms and Special Functions</c:v>
                </c:pt>
                <c:pt idx="14">
                  <c:v>International Journal of Bifurcation and Chaos</c:v>
                </c:pt>
                <c:pt idx="15">
                  <c:v>International Journal of Intelligent Systems</c:v>
                </c:pt>
                <c:pt idx="16">
                  <c:v>International Journal of Mathematics</c:v>
                </c:pt>
                <c:pt idx="17">
                  <c:v>International Journal of Quantum Chemistry</c:v>
                </c:pt>
                <c:pt idx="18">
                  <c:v>Inverse Problems</c:v>
                </c:pt>
                <c:pt idx="19">
                  <c:v>Journal of Algebraic Geometry</c:v>
                </c:pt>
                <c:pt idx="20">
                  <c:v>Journal of Classification</c:v>
                </c:pt>
                <c:pt idx="21">
                  <c:v>Journal of Computational Mathematics</c:v>
                </c:pt>
                <c:pt idx="22">
                  <c:v>Journal of Economic Theory</c:v>
                </c:pt>
                <c:pt idx="23">
                  <c:v>Journal of Nonlinear Science</c:v>
                </c:pt>
                <c:pt idx="24">
                  <c:v>Journal of Philosophical Logic</c:v>
                </c:pt>
                <c:pt idx="25">
                  <c:v>Journal of Pure and Applied Algebra</c:v>
                </c:pt>
                <c:pt idx="26">
                  <c:v>Journal of Statistical Physics</c:v>
                </c:pt>
                <c:pt idx="27">
                  <c:v>Journal of the Atmospheric Sciences</c:v>
                </c:pt>
                <c:pt idx="28">
                  <c:v>Journal of the Optical Society of America A-Optics Image Science and Vision </c:v>
                </c:pt>
                <c:pt idx="29">
                  <c:v>Journal of Theoretical Biology</c:v>
                </c:pt>
                <c:pt idx="30">
                  <c:v>K-Theory</c:v>
                </c:pt>
              </c:strCache>
            </c:strRef>
          </c:cat>
          <c:val>
            <c:numRef>
              <c:f>'1-Journal Dist.'!$B$127:$B$157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5-4B30-AE20-DFA9986FC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633007"/>
        <c:axId val="1"/>
      </c:barChart>
      <c:catAx>
        <c:axId val="765633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From the Insitute of Scientific Information </a:t>
                </a:r>
              </a:p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00" b="1" i="1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Web of Science</a:t>
                </a:r>
              </a:p>
            </c:rich>
          </c:tx>
          <c:layout>
            <c:manualLayout>
              <c:xMode val="edge"/>
              <c:yMode val="edge"/>
              <c:x val="0.42222222222222222"/>
              <c:y val="0.915032679738562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No. of Articles</a:t>
                </a:r>
              </a:p>
            </c:rich>
          </c:tx>
          <c:layout>
            <c:manualLayout>
              <c:xMode val="edge"/>
              <c:yMode val="edge"/>
              <c:x val="0"/>
              <c:y val="0.267973856209150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30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Where IUB Math Department 
is Publishing:  1990-2001</a:t>
            </a:r>
          </a:p>
        </c:rich>
      </c:tx>
      <c:layout>
        <c:manualLayout>
          <c:xMode val="edge"/>
          <c:yMode val="edge"/>
          <c:x val="0.35259259259259257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18518518518519"/>
          <c:y val="0.16122004357298475"/>
          <c:w val="0.88296296296296295"/>
          <c:h val="0.374727668845315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'1-Journal Dist.'!$A$158:$A$184</c:f>
              <c:strCache>
                <c:ptCount val="27"/>
                <c:pt idx="0">
                  <c:v>Linear &amp; Multilinear Algebra</c:v>
                </c:pt>
                <c:pt idx="1">
                  <c:v>Linguistics and Philosophy</c:v>
                </c:pt>
                <c:pt idx="2">
                  <c:v>Matematica Aplicada E Computacional</c:v>
                </c:pt>
                <c:pt idx="3">
                  <c:v>Mathematical and Computer Modeling</c:v>
                </c:pt>
                <c:pt idx="4">
                  <c:v>Mathematical Intelligencer</c:v>
                </c:pt>
                <c:pt idx="5">
                  <c:v>Mathematics of Control Signals and Systems</c:v>
                </c:pt>
                <c:pt idx="6">
                  <c:v>Memoirs of the American Mathematical Society</c:v>
                </c:pt>
                <c:pt idx="7">
                  <c:v>Neural Computation</c:v>
                </c:pt>
                <c:pt idx="8">
                  <c:v>Numerical Algorithms</c:v>
                </c:pt>
                <c:pt idx="9">
                  <c:v>Pacific Journal of Mathematics</c:v>
                </c:pt>
                <c:pt idx="10">
                  <c:v>Philosophical Transactions of the Royal Society of London Series A-Mathematical Physical and Engineering Sciences</c:v>
                </c:pt>
                <c:pt idx="11">
                  <c:v>Physical Review A</c:v>
                </c:pt>
                <c:pt idx="12">
                  <c:v>Probability in the Engineering and Informational Sciences</c:v>
                </c:pt>
                <c:pt idx="13">
                  <c:v>Proceedings of the Edinburgh Mathematical Society</c:v>
                </c:pt>
                <c:pt idx="14">
                  <c:v>Proceedings of the Royal Society of Edinburgh Section A-Mathematical Physical and Engineering Sciences</c:v>
                </c:pt>
                <c:pt idx="15">
                  <c:v>Publications of the Research Institute for Mathematical Sciences</c:v>
                </c:pt>
                <c:pt idx="16">
                  <c:v>Quarterly of Applied Mathematics</c:v>
                </c:pt>
                <c:pt idx="17">
                  <c:v>Russian Journal of Mathematical Physics</c:v>
                </c:pt>
                <c:pt idx="18">
                  <c:v>SIAM Journal on Matrix Analysis and Applications</c:v>
                </c:pt>
                <c:pt idx="19">
                  <c:v>SIAM Review</c:v>
                </c:pt>
                <c:pt idx="20">
                  <c:v>Statistical Papers</c:v>
                </c:pt>
                <c:pt idx="21">
                  <c:v>Statistical Science</c:v>
                </c:pt>
                <c:pt idx="22">
                  <c:v>Studia Mathematica</c:v>
                </c:pt>
                <c:pt idx="23">
                  <c:v>Systematic Biology</c:v>
                </c:pt>
                <c:pt idx="24">
                  <c:v>Systems &amp; Control Letters</c:v>
                </c:pt>
                <c:pt idx="25">
                  <c:v>Theochem-Journal of Molecular Structure</c:v>
                </c:pt>
                <c:pt idx="26">
                  <c:v>Transport Theory and Statistical Physics</c:v>
                </c:pt>
              </c:strCache>
            </c:strRef>
          </c:cat>
          <c:val>
            <c:numRef>
              <c:f>'1-Journal Dist.'!$B$158:$B$184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F-490C-A731-81D53216A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635407"/>
        <c:axId val="1"/>
      </c:barChart>
      <c:catAx>
        <c:axId val="765635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From the Institute of Scientific Information </a:t>
                </a:r>
              </a:p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050" b="1" i="1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Web of Science</a:t>
                </a:r>
              </a:p>
            </c:rich>
          </c:tx>
          <c:layout>
            <c:manualLayout>
              <c:xMode val="edge"/>
              <c:yMode val="edge"/>
              <c:x val="0.38592592592592595"/>
              <c:y val="0.930283224400871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No. of Articles</a:t>
                </a:r>
              </a:p>
            </c:rich>
          </c:tx>
          <c:layout>
            <c:manualLayout>
              <c:xMode val="edge"/>
              <c:yMode val="edge"/>
              <c:x val="0"/>
              <c:y val="0.269063180827886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63540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995025388267057"/>
          <c:y val="0.37195060819439818"/>
          <c:w val="0.39539343572676833"/>
          <c:h val="0.2583609015003005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241-4C42-BCC8-EE7E2C7C58B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41-4C42-BCC8-EE7E2C7C58B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241-4C42-BCC8-EE7E2C7C58B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'2-Publisher Dist.'!$A$96:$A$98</c:f>
              <c:strCache>
                <c:ptCount val="3"/>
                <c:pt idx="0">
                  <c:v>Commercial Publishers</c:v>
                </c:pt>
                <c:pt idx="1">
                  <c:v>Non-Profit Publishers</c:v>
                </c:pt>
                <c:pt idx="2">
                  <c:v>University Press</c:v>
                </c:pt>
              </c:strCache>
            </c:strRef>
          </c:cat>
          <c:val>
            <c:numRef>
              <c:f>'2-Publisher Dist.'!$B$96:$B$98</c:f>
              <c:numCache>
                <c:formatCode>General</c:formatCode>
                <c:ptCount val="3"/>
                <c:pt idx="0">
                  <c:v>388</c:v>
                </c:pt>
                <c:pt idx="1">
                  <c:v>216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41-4C42-BCC8-EE7E2C7C58B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85002418473196"/>
          <c:y val="0.40313209630650343"/>
          <c:w val="0.31658649664720623"/>
          <c:h val="0.195997925276090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3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376623742555348"/>
          <c:y val="0.26255636794259218"/>
          <c:w val="0.51404243944079875"/>
          <c:h val="0.47684869766044319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EF2-43B4-A2FC-DB67C512817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F2-43B4-A2FC-DB67C512817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EF2-43B4-A2FC-DB67C5128174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'2-Publisher Dist.'!$A$96:$A$98</c:f>
              <c:strCache>
                <c:ptCount val="3"/>
                <c:pt idx="0">
                  <c:v>Commercial Publishers</c:v>
                </c:pt>
                <c:pt idx="1">
                  <c:v>Non-Profit Publishers</c:v>
                </c:pt>
                <c:pt idx="2">
                  <c:v>University Press</c:v>
                </c:pt>
              </c:strCache>
            </c:strRef>
          </c:cat>
          <c:val>
            <c:numRef>
              <c:f>'2-Publisher Dist.'!$B$96:$B$98</c:f>
              <c:numCache>
                <c:formatCode>General</c:formatCode>
                <c:ptCount val="3"/>
                <c:pt idx="0">
                  <c:v>388</c:v>
                </c:pt>
                <c:pt idx="1">
                  <c:v>216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F2-43B4-A2FC-DB67C51281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424764105232832"/>
          <c:y val="0.18533390678300626"/>
          <c:w val="0.21122771187294462"/>
          <c:h val="0.187264468311995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Non-Profit Publishers*</a:t>
            </a:r>
          </a:p>
        </c:rich>
      </c:tx>
      <c:layout>
        <c:manualLayout>
          <c:xMode val="edge"/>
          <c:yMode val="edge"/>
          <c:x val="0.14961100159148163"/>
          <c:y val="0.74306603248932468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488644364648748"/>
          <c:y val="0.4090075279696283"/>
          <c:w val="0.37481493030286983"/>
          <c:h val="0.2034330636498151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1F0-49E7-9642-D6C81D7A89D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F0-49E7-9642-D6C81D7A89D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1F0-49E7-9642-D6C81D7A89D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F0-49E7-9642-D6C81D7A89D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1F0-49E7-9642-D6C81D7A89D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F0-49E7-9642-D6C81D7A89D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1F0-49E7-9642-D6C81D7A89D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1F0-49E7-9642-D6C81D7A89D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1F0-49E7-9642-D6C81D7A89D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'2-Publisher Dist.'!$A$73:$A$81</c:f>
              <c:strCache>
                <c:ptCount val="9"/>
                <c:pt idx="0">
                  <c:v>American Mathematical Society</c:v>
                </c:pt>
                <c:pt idx="1">
                  <c:v>SIAM</c:v>
                </c:pt>
                <c:pt idx="2">
                  <c:v>Indian Journal of Pure and Applied Mathematics</c:v>
                </c:pt>
                <c:pt idx="3">
                  <c:v>Institute of Mathematical Statistics</c:v>
                </c:pt>
                <c:pt idx="4">
                  <c:v>Institute of Physics</c:v>
                </c:pt>
                <c:pt idx="5">
                  <c:v>American Statisitical Association</c:v>
                </c:pt>
                <c:pt idx="6">
                  <c:v>Canadian Mathematical Society</c:v>
                </c:pt>
                <c:pt idx="7">
                  <c:v>Cambridge Philosophical Society</c:v>
                </c:pt>
                <c:pt idx="8">
                  <c:v>Association for Symbolic Logic</c:v>
                </c:pt>
              </c:strCache>
            </c:strRef>
          </c:cat>
          <c:val>
            <c:numRef>
              <c:f>'2-Publisher Dist.'!$B$73:$B$81</c:f>
              <c:numCache>
                <c:formatCode>General</c:formatCode>
                <c:ptCount val="9"/>
                <c:pt idx="0">
                  <c:v>44</c:v>
                </c:pt>
                <c:pt idx="1">
                  <c:v>29</c:v>
                </c:pt>
                <c:pt idx="2">
                  <c:v>17</c:v>
                </c:pt>
                <c:pt idx="3">
                  <c:v>28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F0-49E7-9642-D6C81D7A89D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356384905752507"/>
          <c:y val="2.78382087099747E-2"/>
          <c:w val="0.32756935085292821"/>
          <c:h val="0.952923298149134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Commercial Publishers</a:t>
            </a:r>
          </a:p>
        </c:rich>
      </c:tx>
      <c:layout>
        <c:manualLayout>
          <c:xMode val="edge"/>
          <c:yMode val="edge"/>
          <c:x val="0.16588187155349898"/>
          <c:y val="0.81089312431244809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534411602782768"/>
          <c:y val="0.47084116895561506"/>
          <c:w val="0.38705770029149761"/>
          <c:h val="0.19517774952433614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160-423D-9B64-7B0AB7491CB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160-423D-9B64-7B0AB7491CB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160-423D-9B64-7B0AB7491CB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160-423D-9B64-7B0AB7491CB8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160-423D-9B64-7B0AB7491CB8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160-423D-9B64-7B0AB7491CB8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160-423D-9B64-7B0AB7491CB8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160-423D-9B64-7B0AB7491CB8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160-423D-9B64-7B0AB7491CB8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160-423D-9B64-7B0AB7491CB8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160-423D-9B64-7B0AB7491CB8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160-423D-9B64-7B0AB7491CB8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'2-Publisher Dist.'!$A$59:$A$70</c:f>
              <c:strCache>
                <c:ptCount val="12"/>
                <c:pt idx="0">
                  <c:v>Academic Press</c:v>
                </c:pt>
                <c:pt idx="1">
                  <c:v>Akademie Verlag</c:v>
                </c:pt>
                <c:pt idx="2">
                  <c:v>B.G. Teubner Stuttgart</c:v>
                </c:pt>
                <c:pt idx="3">
                  <c:v>Birkhauser</c:v>
                </c:pt>
                <c:pt idx="4">
                  <c:v>Dunod</c:v>
                </c:pt>
                <c:pt idx="5">
                  <c:v>Elsevier</c:v>
                </c:pt>
                <c:pt idx="6">
                  <c:v>John Wiley &amp; Sons, Ltd.</c:v>
                </c:pt>
                <c:pt idx="7">
                  <c:v>Kluwer</c:v>
                </c:pt>
                <c:pt idx="8">
                  <c:v>Marcel Dekker, Inc.</c:v>
                </c:pt>
                <c:pt idx="9">
                  <c:v>Springer</c:v>
                </c:pt>
                <c:pt idx="10">
                  <c:v>Walter De Gruyter</c:v>
                </c:pt>
                <c:pt idx="11">
                  <c:v>World Scientific Publishing</c:v>
                </c:pt>
              </c:strCache>
            </c:strRef>
          </c:cat>
          <c:val>
            <c:numRef>
              <c:f>'2-Publisher Dist.'!$B$59:$B$70</c:f>
              <c:numCache>
                <c:formatCode>General</c:formatCode>
                <c:ptCount val="12"/>
                <c:pt idx="0">
                  <c:v>93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138</c:v>
                </c:pt>
                <c:pt idx="6">
                  <c:v>8</c:v>
                </c:pt>
                <c:pt idx="7">
                  <c:v>14</c:v>
                </c:pt>
                <c:pt idx="8">
                  <c:v>16</c:v>
                </c:pt>
                <c:pt idx="9">
                  <c:v>101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60-423D-9B64-7B0AB7491CB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510731356212449"/>
          <c:y val="3.21942679627771E-2"/>
          <c:w val="0.31280581492945519"/>
          <c:h val="0.9477187631542507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workbookViewId="0"/>
  </sheetViews>
  <pageMargins left="0.5" right="0.5" top="0.25" bottom="0.5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628AE4-CE8B-4EEF-B7FB-9F39A9C050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017000" cy="6743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1720F-2B8E-4ECF-8FD0-487B1A095A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0.32575</cdr:x>
      <cdr:y>0.2045</cdr:y>
    </cdr:to>
    <cdr:graphicFrame macro="">
      <cdr:nvGraphicFramePr>
        <cdr:cNvPr id="1027" name="Chart 3">
          <a:extLst xmlns:a="http://schemas.openxmlformats.org/drawingml/2006/main">
            <a:ext uri="{FF2B5EF4-FFF2-40B4-BE49-F238E27FC236}">
              <a16:creationId xmlns:a16="http://schemas.microsoft.com/office/drawing/2014/main" id="{9BE3A88C-78D6-4738-A9B0-7B2D909ECE6F}"/>
            </a:ext>
          </a:extLst>
        </cdr:cNvPr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0.18225</cdr:x>
      <cdr:y>0.1835</cdr:y>
    </cdr:from>
    <cdr:to>
      <cdr:x>0.20425</cdr:x>
      <cdr:y>0.25125</cdr:y>
    </cdr:to>
    <cdr:sp macro="" textlink="">
      <cdr:nvSpPr>
        <cdr:cNvPr id="1029" name="Line 5">
          <a:extLst xmlns:a="http://schemas.openxmlformats.org/drawingml/2006/main">
            <a:ext uri="{FF2B5EF4-FFF2-40B4-BE49-F238E27FC236}">
              <a16:creationId xmlns:a16="http://schemas.microsoft.com/office/drawing/2014/main" id="{21DFF4A9-0F62-407C-8E82-6F6BFEC0CBF9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643348" y="1237469"/>
          <a:ext cx="198374" cy="45688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0D476-6C40-4331-8B5A-575153FE61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0235E-0155-43BB-98FE-1C5D0BB683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D87D3-8FFB-442F-8038-1B5D9D9A38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05BFF-3F23-4AF9-9C02-B50488F3BC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96E3C-F688-4653-B906-7FE7FDB0B4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73</xdr:row>
      <xdr:rowOff>57150</xdr:rowOff>
    </xdr:from>
    <xdr:to>
      <xdr:col>10</xdr:col>
      <xdr:colOff>19050</xdr:colOff>
      <xdr:row>91</xdr:row>
      <xdr:rowOff>38100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7D0DAD0B-0576-4687-94BC-87D475AA8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3</xdr:row>
      <xdr:rowOff>38100</xdr:rowOff>
    </xdr:from>
    <xdr:to>
      <xdr:col>14</xdr:col>
      <xdr:colOff>50800</xdr:colOff>
      <xdr:row>23</xdr:row>
      <xdr:rowOff>152400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6411B353-2341-4699-84F8-C0E1071D2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25</xdr:row>
      <xdr:rowOff>25400</xdr:rowOff>
    </xdr:from>
    <xdr:to>
      <xdr:col>6</xdr:col>
      <xdr:colOff>412750</xdr:colOff>
      <xdr:row>43</xdr:row>
      <xdr:rowOff>133350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B0A55B9E-5601-4968-A0F3-1475F999E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12700</xdr:colOff>
      <xdr:row>24</xdr:row>
      <xdr:rowOff>38100</xdr:rowOff>
    </xdr:from>
    <xdr:to>
      <xdr:col>13</xdr:col>
      <xdr:colOff>374650</xdr:colOff>
      <xdr:row>44</xdr:row>
      <xdr:rowOff>19050</xdr:rowOff>
    </xdr:to>
    <xdr:graphicFrame macro="">
      <xdr:nvGraphicFramePr>
        <xdr:cNvPr id="6147" name="Chart 3">
          <a:extLst>
            <a:ext uri="{FF2B5EF4-FFF2-40B4-BE49-F238E27FC236}">
              <a16:creationId xmlns:a16="http://schemas.microsoft.com/office/drawing/2014/main" id="{2FBF11DC-0484-4CE8-BDEE-9F77011CC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114300</xdr:colOff>
      <xdr:row>19</xdr:row>
      <xdr:rowOff>152400</xdr:rowOff>
    </xdr:from>
    <xdr:to>
      <xdr:col>4</xdr:col>
      <xdr:colOff>38100</xdr:colOff>
      <xdr:row>28</xdr:row>
      <xdr:rowOff>133350</xdr:rowOff>
    </xdr:to>
    <xdr:sp macro="" textlink="">
      <xdr:nvSpPr>
        <xdr:cNvPr id="6148" name="Line 4">
          <a:extLst>
            <a:ext uri="{FF2B5EF4-FFF2-40B4-BE49-F238E27FC236}">
              <a16:creationId xmlns:a16="http://schemas.microsoft.com/office/drawing/2014/main" id="{03582F1D-F682-433A-A370-000DD8836366}"/>
            </a:ext>
          </a:extLst>
        </xdr:cNvPr>
        <xdr:cNvSpPr>
          <a:spLocks noChangeShapeType="1"/>
        </xdr:cNvSpPr>
      </xdr:nvSpPr>
      <xdr:spPr bwMode="auto">
        <a:xfrm flipH="1">
          <a:off x="1943100" y="3168650"/>
          <a:ext cx="533400" cy="140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107950</xdr:colOff>
      <xdr:row>19</xdr:row>
      <xdr:rowOff>95250</xdr:rowOff>
    </xdr:from>
    <xdr:to>
      <xdr:col>9</xdr:col>
      <xdr:colOff>171450</xdr:colOff>
      <xdr:row>27</xdr:row>
      <xdr:rowOff>120650</xdr:rowOff>
    </xdr:to>
    <xdr:sp macro="" textlink="">
      <xdr:nvSpPr>
        <xdr:cNvPr id="6150" name="Line 6">
          <a:extLst>
            <a:ext uri="{FF2B5EF4-FFF2-40B4-BE49-F238E27FC236}">
              <a16:creationId xmlns:a16="http://schemas.microsoft.com/office/drawing/2014/main" id="{22CA0D17-6746-4BF7-B2AB-94E8628E5DDB}"/>
            </a:ext>
          </a:extLst>
        </xdr:cNvPr>
        <xdr:cNvSpPr>
          <a:spLocks noChangeShapeType="1"/>
        </xdr:cNvSpPr>
      </xdr:nvSpPr>
      <xdr:spPr bwMode="auto">
        <a:xfrm>
          <a:off x="4984750" y="3111500"/>
          <a:ext cx="673100" cy="1295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ndiana.edu/~libswain/graphics/Web%20Graph%20Math%20Publishing1990-20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1"/>
      <sheetName val="Data1"/>
      <sheetName val="Sheet2"/>
      <sheetName val="Sheet3"/>
    </sheetNames>
    <sheetDataSet>
      <sheetData sheetId="0" refreshError="1"/>
      <sheetData sheetId="1">
        <row r="1">
          <cell r="B1">
            <v>1990</v>
          </cell>
          <cell r="C1">
            <v>1991</v>
          </cell>
          <cell r="D1">
            <v>1992</v>
          </cell>
          <cell r="E1">
            <v>1993</v>
          </cell>
          <cell r="F1">
            <v>1994</v>
          </cell>
          <cell r="G1">
            <v>1995</v>
          </cell>
          <cell r="H1">
            <v>1996</v>
          </cell>
          <cell r="I1">
            <v>1997</v>
          </cell>
          <cell r="J1">
            <v>1998</v>
          </cell>
          <cell r="K1">
            <v>1999</v>
          </cell>
          <cell r="L1">
            <v>2000</v>
          </cell>
          <cell r="M1">
            <v>2001</v>
          </cell>
        </row>
        <row r="2">
          <cell r="A2" t="str">
            <v>University Press</v>
          </cell>
          <cell r="B2">
            <v>4</v>
          </cell>
          <cell r="C2">
            <v>13</v>
          </cell>
          <cell r="D2">
            <v>7</v>
          </cell>
          <cell r="E2">
            <v>8</v>
          </cell>
          <cell r="F2">
            <v>6</v>
          </cell>
          <cell r="G2">
            <v>7</v>
          </cell>
          <cell r="H2">
            <v>6</v>
          </cell>
          <cell r="I2">
            <v>6</v>
          </cell>
          <cell r="J2">
            <v>6</v>
          </cell>
          <cell r="K2">
            <v>7</v>
          </cell>
          <cell r="L2">
            <v>8</v>
          </cell>
          <cell r="M2">
            <v>11</v>
          </cell>
        </row>
        <row r="3">
          <cell r="A3" t="str">
            <v>Non-Profit</v>
          </cell>
          <cell r="B3">
            <v>21</v>
          </cell>
          <cell r="C3">
            <v>15</v>
          </cell>
          <cell r="D3">
            <v>20</v>
          </cell>
          <cell r="E3">
            <v>22</v>
          </cell>
          <cell r="F3">
            <v>14</v>
          </cell>
          <cell r="G3">
            <v>27</v>
          </cell>
          <cell r="H3">
            <v>20</v>
          </cell>
          <cell r="I3">
            <v>11</v>
          </cell>
          <cell r="J3">
            <v>12</v>
          </cell>
          <cell r="K3">
            <v>22</v>
          </cell>
          <cell r="L3">
            <v>16</v>
          </cell>
          <cell r="M3">
            <v>13</v>
          </cell>
        </row>
        <row r="4">
          <cell r="A4" t="str">
            <v>Commercial</v>
          </cell>
          <cell r="B4">
            <v>30</v>
          </cell>
          <cell r="C4">
            <v>44</v>
          </cell>
          <cell r="D4">
            <v>34</v>
          </cell>
          <cell r="E4">
            <v>37</v>
          </cell>
          <cell r="F4">
            <v>37</v>
          </cell>
          <cell r="G4">
            <v>46</v>
          </cell>
          <cell r="H4">
            <v>34</v>
          </cell>
          <cell r="I4">
            <v>39</v>
          </cell>
          <cell r="J4">
            <v>34</v>
          </cell>
          <cell r="K4">
            <v>49</v>
          </cell>
          <cell r="L4">
            <v>22</v>
          </cell>
          <cell r="M4">
            <v>35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opLeftCell="A163" workbookViewId="0">
      <selection activeCell="A46" sqref="A46:E46"/>
    </sheetView>
  </sheetViews>
  <sheetFormatPr defaultRowHeight="12.5" x14ac:dyDescent="0.25"/>
  <cols>
    <col min="1" max="1" width="64.26953125" customWidth="1"/>
    <col min="2" max="2" width="9.81640625" customWidth="1"/>
    <col min="3" max="3" width="27.7265625" customWidth="1"/>
  </cols>
  <sheetData>
    <row r="1" spans="1:3" ht="28.5" customHeight="1" x14ac:dyDescent="0.35">
      <c r="A1" s="1" t="s">
        <v>0</v>
      </c>
      <c r="B1" s="2" t="s">
        <v>1</v>
      </c>
      <c r="C1" s="1" t="s">
        <v>184</v>
      </c>
    </row>
    <row r="2" spans="1:3" x14ac:dyDescent="0.25">
      <c r="A2" t="s">
        <v>180</v>
      </c>
      <c r="B2">
        <v>32</v>
      </c>
      <c r="C2" t="s">
        <v>185</v>
      </c>
    </row>
    <row r="3" spans="1:3" x14ac:dyDescent="0.25">
      <c r="A3" t="s">
        <v>145</v>
      </c>
      <c r="B3">
        <v>26</v>
      </c>
      <c r="C3" t="s">
        <v>186</v>
      </c>
    </row>
    <row r="4" spans="1:3" x14ac:dyDescent="0.25">
      <c r="A4" t="s">
        <v>70</v>
      </c>
      <c r="B4">
        <v>26</v>
      </c>
      <c r="C4" t="s">
        <v>187</v>
      </c>
    </row>
    <row r="5" spans="1:3" x14ac:dyDescent="0.25">
      <c r="A5" t="s">
        <v>71</v>
      </c>
      <c r="B5">
        <v>22</v>
      </c>
      <c r="C5" t="s">
        <v>188</v>
      </c>
    </row>
    <row r="6" spans="1:3" x14ac:dyDescent="0.25">
      <c r="A6" t="s">
        <v>15</v>
      </c>
      <c r="B6">
        <v>19</v>
      </c>
      <c r="C6" t="s">
        <v>189</v>
      </c>
    </row>
    <row r="7" spans="1:3" x14ac:dyDescent="0.25">
      <c r="A7" t="s">
        <v>83</v>
      </c>
      <c r="B7">
        <v>18</v>
      </c>
      <c r="C7" t="s">
        <v>185</v>
      </c>
    </row>
    <row r="8" spans="1:3" x14ac:dyDescent="0.25">
      <c r="A8" t="s">
        <v>252</v>
      </c>
      <c r="B8">
        <v>17</v>
      </c>
      <c r="C8" t="s">
        <v>253</v>
      </c>
    </row>
    <row r="9" spans="1:3" x14ac:dyDescent="0.25">
      <c r="A9" t="s">
        <v>52</v>
      </c>
      <c r="B9">
        <v>16</v>
      </c>
      <c r="C9" t="s">
        <v>190</v>
      </c>
    </row>
    <row r="10" spans="1:3" x14ac:dyDescent="0.25">
      <c r="A10" t="s">
        <v>105</v>
      </c>
      <c r="B10">
        <v>16</v>
      </c>
      <c r="C10" t="s">
        <v>190</v>
      </c>
    </row>
    <row r="11" spans="1:3" x14ac:dyDescent="0.25">
      <c r="A11" t="s">
        <v>20</v>
      </c>
      <c r="B11">
        <v>15</v>
      </c>
      <c r="C11" t="s">
        <v>190</v>
      </c>
    </row>
    <row r="12" spans="1:3" x14ac:dyDescent="0.25">
      <c r="A12" t="s">
        <v>48</v>
      </c>
      <c r="B12">
        <v>15</v>
      </c>
      <c r="C12" t="s">
        <v>188</v>
      </c>
    </row>
    <row r="13" spans="1:3" x14ac:dyDescent="0.25">
      <c r="A13" t="s">
        <v>137</v>
      </c>
      <c r="B13">
        <v>15</v>
      </c>
      <c r="C13" t="s">
        <v>190</v>
      </c>
    </row>
    <row r="14" spans="1:3" x14ac:dyDescent="0.25">
      <c r="A14" t="s">
        <v>24</v>
      </c>
      <c r="B14">
        <v>14</v>
      </c>
      <c r="C14" t="s">
        <v>188</v>
      </c>
    </row>
    <row r="15" spans="1:3" x14ac:dyDescent="0.25">
      <c r="A15" t="s">
        <v>165</v>
      </c>
      <c r="B15">
        <v>14</v>
      </c>
      <c r="C15" t="s">
        <v>190</v>
      </c>
    </row>
    <row r="16" spans="1:3" x14ac:dyDescent="0.25">
      <c r="A16" t="s">
        <v>91</v>
      </c>
      <c r="B16">
        <v>12</v>
      </c>
      <c r="C16" t="s">
        <v>185</v>
      </c>
    </row>
    <row r="17" spans="1:3" x14ac:dyDescent="0.25">
      <c r="A17" t="s">
        <v>130</v>
      </c>
      <c r="B17">
        <v>12</v>
      </c>
      <c r="C17" t="s">
        <v>190</v>
      </c>
    </row>
    <row r="18" spans="1:3" x14ac:dyDescent="0.25">
      <c r="A18" t="s">
        <v>176</v>
      </c>
      <c r="B18">
        <v>12</v>
      </c>
      <c r="C18" t="s">
        <v>186</v>
      </c>
    </row>
    <row r="19" spans="1:3" x14ac:dyDescent="0.25">
      <c r="A19" t="s">
        <v>94</v>
      </c>
      <c r="B19">
        <v>11</v>
      </c>
      <c r="C19" t="s">
        <v>185</v>
      </c>
    </row>
    <row r="20" spans="1:3" x14ac:dyDescent="0.25">
      <c r="A20" t="s">
        <v>144</v>
      </c>
      <c r="B20">
        <v>11</v>
      </c>
      <c r="C20" t="s">
        <v>188</v>
      </c>
    </row>
    <row r="21" spans="1:3" x14ac:dyDescent="0.25">
      <c r="A21" t="s">
        <v>98</v>
      </c>
      <c r="B21">
        <v>10</v>
      </c>
      <c r="C21" t="s">
        <v>194</v>
      </c>
    </row>
    <row r="22" spans="1:3" x14ac:dyDescent="0.25">
      <c r="A22" t="s">
        <v>158</v>
      </c>
      <c r="B22">
        <v>10</v>
      </c>
      <c r="C22" t="s">
        <v>191</v>
      </c>
    </row>
    <row r="23" spans="1:3" x14ac:dyDescent="0.25">
      <c r="A23" t="s">
        <v>9</v>
      </c>
      <c r="B23">
        <v>9</v>
      </c>
      <c r="C23" t="s">
        <v>192</v>
      </c>
    </row>
    <row r="24" spans="1:3" x14ac:dyDescent="0.25">
      <c r="A24" t="s">
        <v>131</v>
      </c>
      <c r="B24">
        <v>9</v>
      </c>
      <c r="C24" t="s">
        <v>193</v>
      </c>
    </row>
    <row r="25" spans="1:3" x14ac:dyDescent="0.25">
      <c r="A25" t="s">
        <v>174</v>
      </c>
      <c r="B25">
        <v>9</v>
      </c>
      <c r="C25" t="s">
        <v>190</v>
      </c>
    </row>
    <row r="26" spans="1:3" x14ac:dyDescent="0.25">
      <c r="A26" t="s">
        <v>115</v>
      </c>
      <c r="B26">
        <v>8</v>
      </c>
      <c r="C26" t="s">
        <v>190</v>
      </c>
    </row>
    <row r="27" spans="1:3" x14ac:dyDescent="0.25">
      <c r="A27" t="s">
        <v>125</v>
      </c>
      <c r="B27">
        <v>8</v>
      </c>
      <c r="C27" t="s">
        <v>188</v>
      </c>
    </row>
    <row r="28" spans="1:3" x14ac:dyDescent="0.25">
      <c r="A28" t="s">
        <v>166</v>
      </c>
      <c r="B28">
        <v>8</v>
      </c>
      <c r="C28" t="s">
        <v>190</v>
      </c>
    </row>
    <row r="29" spans="1:3" x14ac:dyDescent="0.25">
      <c r="A29" t="s">
        <v>17</v>
      </c>
      <c r="B29">
        <v>7</v>
      </c>
      <c r="C29" t="s">
        <v>189</v>
      </c>
    </row>
    <row r="30" spans="1:3" x14ac:dyDescent="0.25">
      <c r="A30" t="s">
        <v>57</v>
      </c>
      <c r="B30">
        <v>7</v>
      </c>
      <c r="C30" t="s">
        <v>195</v>
      </c>
    </row>
    <row r="31" spans="1:3" x14ac:dyDescent="0.25">
      <c r="A31" t="s">
        <v>59</v>
      </c>
      <c r="B31">
        <v>7</v>
      </c>
      <c r="C31" t="s">
        <v>196</v>
      </c>
    </row>
    <row r="32" spans="1:3" x14ac:dyDescent="0.25">
      <c r="A32" t="s">
        <v>126</v>
      </c>
      <c r="B32">
        <v>7</v>
      </c>
      <c r="C32" t="s">
        <v>188</v>
      </c>
    </row>
    <row r="33" spans="1:3" x14ac:dyDescent="0.25">
      <c r="A33" t="s">
        <v>133</v>
      </c>
      <c r="B33">
        <v>7</v>
      </c>
      <c r="C33" t="s">
        <v>197</v>
      </c>
    </row>
    <row r="34" spans="1:3" x14ac:dyDescent="0.25">
      <c r="A34" t="s">
        <v>16</v>
      </c>
      <c r="B34">
        <v>6</v>
      </c>
      <c r="C34" t="s">
        <v>190</v>
      </c>
    </row>
    <row r="35" spans="1:3" x14ac:dyDescent="0.25">
      <c r="A35" t="s">
        <v>49</v>
      </c>
      <c r="B35">
        <v>6</v>
      </c>
      <c r="C35" t="s">
        <v>197</v>
      </c>
    </row>
    <row r="36" spans="1:3" x14ac:dyDescent="0.25">
      <c r="A36" t="s">
        <v>112</v>
      </c>
      <c r="B36">
        <v>6</v>
      </c>
      <c r="C36" t="s">
        <v>199</v>
      </c>
    </row>
    <row r="37" spans="1:3" x14ac:dyDescent="0.25">
      <c r="A37" t="s">
        <v>128</v>
      </c>
      <c r="B37">
        <v>6</v>
      </c>
      <c r="C37" t="s">
        <v>198</v>
      </c>
    </row>
    <row r="38" spans="1:3" x14ac:dyDescent="0.25">
      <c r="A38" t="s">
        <v>160</v>
      </c>
      <c r="B38">
        <v>6</v>
      </c>
      <c r="C38" t="s">
        <v>191</v>
      </c>
    </row>
    <row r="39" spans="1:3" x14ac:dyDescent="0.25">
      <c r="A39" t="s">
        <v>175</v>
      </c>
      <c r="B39">
        <v>6</v>
      </c>
      <c r="C39" t="s">
        <v>190</v>
      </c>
    </row>
    <row r="40" spans="1:3" x14ac:dyDescent="0.25">
      <c r="A40" t="s">
        <v>7</v>
      </c>
      <c r="B40">
        <v>5</v>
      </c>
      <c r="C40" t="s">
        <v>185</v>
      </c>
    </row>
    <row r="41" spans="1:3" x14ac:dyDescent="0.25">
      <c r="A41" t="s">
        <v>18</v>
      </c>
      <c r="B41">
        <v>5</v>
      </c>
      <c r="C41" t="s">
        <v>199</v>
      </c>
    </row>
    <row r="42" spans="1:3" x14ac:dyDescent="0.25">
      <c r="A42" t="s">
        <v>76</v>
      </c>
      <c r="B42">
        <v>5</v>
      </c>
      <c r="C42" t="s">
        <v>188</v>
      </c>
    </row>
    <row r="43" spans="1:3" x14ac:dyDescent="0.25">
      <c r="A43" t="s">
        <v>89</v>
      </c>
      <c r="B43">
        <v>5</v>
      </c>
      <c r="C43" t="s">
        <v>185</v>
      </c>
    </row>
    <row r="44" spans="1:3" x14ac:dyDescent="0.25">
      <c r="A44" t="s">
        <v>96</v>
      </c>
      <c r="B44">
        <v>5</v>
      </c>
      <c r="C44" t="s">
        <v>200</v>
      </c>
    </row>
    <row r="45" spans="1:3" x14ac:dyDescent="0.25">
      <c r="A45" t="s">
        <v>106</v>
      </c>
      <c r="B45">
        <v>5</v>
      </c>
      <c r="C45" t="s">
        <v>201</v>
      </c>
    </row>
    <row r="46" spans="1:3" x14ac:dyDescent="0.25">
      <c r="A46" t="s">
        <v>122</v>
      </c>
      <c r="B46">
        <v>5</v>
      </c>
      <c r="C46" t="s">
        <v>202</v>
      </c>
    </row>
    <row r="47" spans="1:3" x14ac:dyDescent="0.25">
      <c r="A47" t="s">
        <v>156</v>
      </c>
      <c r="B47">
        <v>5</v>
      </c>
      <c r="C47" t="s">
        <v>191</v>
      </c>
    </row>
    <row r="48" spans="1:3" x14ac:dyDescent="0.25">
      <c r="A48" t="s">
        <v>8</v>
      </c>
      <c r="B48">
        <v>4</v>
      </c>
      <c r="C48" t="s">
        <v>203</v>
      </c>
    </row>
    <row r="49" spans="1:3" x14ac:dyDescent="0.25">
      <c r="A49" t="s">
        <v>10</v>
      </c>
      <c r="B49">
        <v>4</v>
      </c>
      <c r="C49" t="s">
        <v>204</v>
      </c>
    </row>
    <row r="50" spans="1:3" x14ac:dyDescent="0.25">
      <c r="A50" t="s">
        <v>21</v>
      </c>
      <c r="B50">
        <v>4</v>
      </c>
      <c r="C50" t="s">
        <v>190</v>
      </c>
    </row>
    <row r="51" spans="1:3" x14ac:dyDescent="0.25">
      <c r="A51" t="s">
        <v>45</v>
      </c>
      <c r="B51">
        <v>4</v>
      </c>
      <c r="C51" t="s">
        <v>197</v>
      </c>
    </row>
    <row r="52" spans="1:3" x14ac:dyDescent="0.25">
      <c r="A52" t="s">
        <v>51</v>
      </c>
      <c r="B52">
        <v>4</v>
      </c>
      <c r="C52" t="s">
        <v>205</v>
      </c>
    </row>
    <row r="53" spans="1:3" x14ac:dyDescent="0.25">
      <c r="A53" t="s">
        <v>65</v>
      </c>
      <c r="B53">
        <v>4</v>
      </c>
      <c r="C53" t="s">
        <v>206</v>
      </c>
    </row>
    <row r="54" spans="1:3" x14ac:dyDescent="0.25">
      <c r="A54" t="s">
        <v>99</v>
      </c>
      <c r="B54">
        <v>4</v>
      </c>
      <c r="C54" t="s">
        <v>185</v>
      </c>
    </row>
    <row r="55" spans="1:3" x14ac:dyDescent="0.25">
      <c r="A55" t="s">
        <v>108</v>
      </c>
      <c r="B55">
        <v>4</v>
      </c>
      <c r="C55" t="s">
        <v>204</v>
      </c>
    </row>
    <row r="56" spans="1:3" x14ac:dyDescent="0.25">
      <c r="A56" t="s">
        <v>114</v>
      </c>
      <c r="B56">
        <v>4</v>
      </c>
      <c r="C56" t="s">
        <v>188</v>
      </c>
    </row>
    <row r="57" spans="1:3" x14ac:dyDescent="0.25">
      <c r="A57" t="s">
        <v>121</v>
      </c>
      <c r="B57">
        <v>4</v>
      </c>
      <c r="C57" t="s">
        <v>205</v>
      </c>
    </row>
    <row r="58" spans="1:3" x14ac:dyDescent="0.25">
      <c r="A58" t="s">
        <v>123</v>
      </c>
      <c r="B58">
        <v>4</v>
      </c>
      <c r="C58" t="s">
        <v>186</v>
      </c>
    </row>
    <row r="59" spans="1:3" x14ac:dyDescent="0.25">
      <c r="A59" t="s">
        <v>154</v>
      </c>
      <c r="B59">
        <v>4</v>
      </c>
      <c r="C59" t="s">
        <v>207</v>
      </c>
    </row>
    <row r="60" spans="1:3" x14ac:dyDescent="0.25">
      <c r="A60" t="s">
        <v>172</v>
      </c>
      <c r="B60">
        <v>4</v>
      </c>
      <c r="C60" t="s">
        <v>190</v>
      </c>
    </row>
    <row r="61" spans="1:3" x14ac:dyDescent="0.25">
      <c r="A61" t="s">
        <v>179</v>
      </c>
      <c r="B61">
        <v>4</v>
      </c>
      <c r="C61" t="s">
        <v>188</v>
      </c>
    </row>
    <row r="62" spans="1:3" x14ac:dyDescent="0.25">
      <c r="A62" t="s">
        <v>25</v>
      </c>
      <c r="B62">
        <v>3</v>
      </c>
      <c r="C62" t="s">
        <v>208</v>
      </c>
    </row>
    <row r="63" spans="1:3" x14ac:dyDescent="0.25">
      <c r="A63" t="s">
        <v>33</v>
      </c>
      <c r="B63">
        <v>3</v>
      </c>
      <c r="C63" t="s">
        <v>209</v>
      </c>
    </row>
    <row r="64" spans="1:3" x14ac:dyDescent="0.25">
      <c r="A64" t="s">
        <v>37</v>
      </c>
      <c r="B64">
        <v>3</v>
      </c>
      <c r="C64" t="s">
        <v>210</v>
      </c>
    </row>
    <row r="65" spans="1:3" x14ac:dyDescent="0.25">
      <c r="A65" t="s">
        <v>78</v>
      </c>
      <c r="B65">
        <v>3</v>
      </c>
      <c r="C65" t="s">
        <v>211</v>
      </c>
    </row>
    <row r="66" spans="1:3" x14ac:dyDescent="0.25">
      <c r="A66" t="s">
        <v>79</v>
      </c>
      <c r="B66">
        <v>3</v>
      </c>
      <c r="C66" t="s">
        <v>212</v>
      </c>
    </row>
    <row r="67" spans="1:3" x14ac:dyDescent="0.25">
      <c r="A67" t="s">
        <v>80</v>
      </c>
      <c r="B67">
        <v>3</v>
      </c>
      <c r="C67" t="s">
        <v>213</v>
      </c>
    </row>
    <row r="68" spans="1:3" x14ac:dyDescent="0.25">
      <c r="A68" t="s">
        <v>81</v>
      </c>
      <c r="B68">
        <v>3</v>
      </c>
      <c r="C68" t="s">
        <v>190</v>
      </c>
    </row>
    <row r="69" spans="1:3" x14ac:dyDescent="0.25">
      <c r="A69" t="s">
        <v>82</v>
      </c>
      <c r="B69">
        <v>3</v>
      </c>
      <c r="C69" t="s">
        <v>214</v>
      </c>
    </row>
    <row r="70" spans="1:3" x14ac:dyDescent="0.25">
      <c r="A70" t="s">
        <v>85</v>
      </c>
      <c r="B70">
        <v>3</v>
      </c>
      <c r="C70" t="s">
        <v>185</v>
      </c>
    </row>
    <row r="71" spans="1:3" x14ac:dyDescent="0.25">
      <c r="A71" t="s">
        <v>101</v>
      </c>
      <c r="B71">
        <v>3</v>
      </c>
      <c r="C71" t="s">
        <v>215</v>
      </c>
    </row>
    <row r="72" spans="1:3" x14ac:dyDescent="0.25">
      <c r="A72" t="s">
        <v>134</v>
      </c>
      <c r="B72">
        <v>3</v>
      </c>
      <c r="C72" t="s">
        <v>188</v>
      </c>
    </row>
    <row r="73" spans="1:3" x14ac:dyDescent="0.25">
      <c r="A73" t="s">
        <v>141</v>
      </c>
      <c r="B73">
        <v>3</v>
      </c>
      <c r="C73" t="s">
        <v>216</v>
      </c>
    </row>
    <row r="74" spans="1:3" x14ac:dyDescent="0.25">
      <c r="A74" t="s">
        <v>149</v>
      </c>
      <c r="B74">
        <v>3</v>
      </c>
      <c r="C74" t="s">
        <v>217</v>
      </c>
    </row>
    <row r="75" spans="1:3" x14ac:dyDescent="0.25">
      <c r="A75" t="s">
        <v>157</v>
      </c>
      <c r="B75">
        <v>3</v>
      </c>
      <c r="C75" t="s">
        <v>191</v>
      </c>
    </row>
    <row r="76" spans="1:3" x14ac:dyDescent="0.25">
      <c r="A76" t="s">
        <v>173</v>
      </c>
      <c r="B76">
        <v>3</v>
      </c>
      <c r="C76" t="s">
        <v>191</v>
      </c>
    </row>
    <row r="77" spans="1:3" x14ac:dyDescent="0.25">
      <c r="A77" t="s">
        <v>178</v>
      </c>
      <c r="B77">
        <v>3</v>
      </c>
      <c r="C77" t="s">
        <v>218</v>
      </c>
    </row>
    <row r="78" spans="1:3" x14ac:dyDescent="0.25">
      <c r="A78" t="s">
        <v>5</v>
      </c>
      <c r="B78">
        <v>2</v>
      </c>
      <c r="C78" t="s">
        <v>188</v>
      </c>
    </row>
    <row r="79" spans="1:3" x14ac:dyDescent="0.25">
      <c r="A79" t="s">
        <v>13</v>
      </c>
      <c r="B79">
        <v>2</v>
      </c>
    </row>
    <row r="80" spans="1:3" x14ac:dyDescent="0.25">
      <c r="A80" t="s">
        <v>14</v>
      </c>
      <c r="B80">
        <v>2</v>
      </c>
      <c r="C80" t="s">
        <v>189</v>
      </c>
    </row>
    <row r="81" spans="1:3" x14ac:dyDescent="0.25">
      <c r="A81" t="s">
        <v>23</v>
      </c>
      <c r="B81">
        <v>2</v>
      </c>
      <c r="C81" t="s">
        <v>188</v>
      </c>
    </row>
    <row r="82" spans="1:3" x14ac:dyDescent="0.25">
      <c r="A82" t="s">
        <v>26</v>
      </c>
      <c r="B82">
        <v>2</v>
      </c>
      <c r="C82" t="s">
        <v>219</v>
      </c>
    </row>
    <row r="83" spans="1:3" x14ac:dyDescent="0.25">
      <c r="A83" t="s">
        <v>28</v>
      </c>
      <c r="B83">
        <v>2</v>
      </c>
    </row>
    <row r="84" spans="1:3" x14ac:dyDescent="0.25">
      <c r="A84" t="s">
        <v>31</v>
      </c>
      <c r="B84">
        <v>2</v>
      </c>
      <c r="C84" t="s">
        <v>220</v>
      </c>
    </row>
    <row r="85" spans="1:3" x14ac:dyDescent="0.25">
      <c r="A85" t="s">
        <v>34</v>
      </c>
      <c r="B85">
        <v>2</v>
      </c>
      <c r="C85" t="s">
        <v>221</v>
      </c>
    </row>
    <row r="86" spans="1:3" x14ac:dyDescent="0.25">
      <c r="A86" t="s">
        <v>35</v>
      </c>
      <c r="B86">
        <v>2</v>
      </c>
    </row>
    <row r="87" spans="1:3" x14ac:dyDescent="0.25">
      <c r="A87" t="s">
        <v>36</v>
      </c>
      <c r="B87">
        <v>2</v>
      </c>
      <c r="C87" t="s">
        <v>225</v>
      </c>
    </row>
    <row r="88" spans="1:3" x14ac:dyDescent="0.25">
      <c r="A88" t="s">
        <v>44</v>
      </c>
      <c r="B88">
        <v>2</v>
      </c>
      <c r="C88" t="s">
        <v>188</v>
      </c>
    </row>
    <row r="89" spans="1:3" x14ac:dyDescent="0.25">
      <c r="A89" t="s">
        <v>53</v>
      </c>
      <c r="B89">
        <v>2</v>
      </c>
      <c r="C89" t="s">
        <v>226</v>
      </c>
    </row>
    <row r="90" spans="1:3" x14ac:dyDescent="0.25">
      <c r="A90" t="s">
        <v>54</v>
      </c>
      <c r="B90">
        <v>2</v>
      </c>
      <c r="C90" t="s">
        <v>190</v>
      </c>
    </row>
    <row r="91" spans="1:3" x14ac:dyDescent="0.25">
      <c r="A91" t="s">
        <v>66</v>
      </c>
      <c r="B91">
        <v>2</v>
      </c>
      <c r="C91" t="s">
        <v>227</v>
      </c>
    </row>
    <row r="92" spans="1:3" x14ac:dyDescent="0.25">
      <c r="A92" t="s">
        <v>67</v>
      </c>
      <c r="B92">
        <v>2</v>
      </c>
      <c r="C92" t="s">
        <v>228</v>
      </c>
    </row>
    <row r="93" spans="1:3" x14ac:dyDescent="0.25">
      <c r="A93" t="s">
        <v>69</v>
      </c>
      <c r="B93">
        <v>2</v>
      </c>
      <c r="C93" t="s">
        <v>229</v>
      </c>
    </row>
    <row r="94" spans="1:3" x14ac:dyDescent="0.25">
      <c r="A94" t="s">
        <v>87</v>
      </c>
      <c r="B94">
        <v>2</v>
      </c>
      <c r="C94" t="s">
        <v>185</v>
      </c>
    </row>
    <row r="95" spans="1:3" x14ac:dyDescent="0.25">
      <c r="A95" t="s">
        <v>90</v>
      </c>
      <c r="B95">
        <v>2</v>
      </c>
      <c r="C95" t="s">
        <v>185</v>
      </c>
    </row>
    <row r="96" spans="1:3" x14ac:dyDescent="0.25">
      <c r="A96" t="s">
        <v>92</v>
      </c>
      <c r="B96">
        <v>2</v>
      </c>
      <c r="C96" t="s">
        <v>199</v>
      </c>
    </row>
    <row r="97" spans="1:4" x14ac:dyDescent="0.25">
      <c r="A97" t="s">
        <v>93</v>
      </c>
      <c r="B97">
        <v>2</v>
      </c>
    </row>
    <row r="98" spans="1:4" x14ac:dyDescent="0.25">
      <c r="A98" t="s">
        <v>95</v>
      </c>
      <c r="B98">
        <v>2</v>
      </c>
      <c r="C98" t="s">
        <v>190</v>
      </c>
    </row>
    <row r="99" spans="1:4" x14ac:dyDescent="0.25">
      <c r="A99" t="s">
        <v>107</v>
      </c>
      <c r="B99">
        <v>2</v>
      </c>
      <c r="C99" t="s">
        <v>186</v>
      </c>
    </row>
    <row r="100" spans="1:4" x14ac:dyDescent="0.25">
      <c r="A100" t="s">
        <v>139</v>
      </c>
      <c r="B100">
        <v>2</v>
      </c>
      <c r="C100" t="s">
        <v>190</v>
      </c>
    </row>
    <row r="101" spans="1:4" x14ac:dyDescent="0.25">
      <c r="A101" t="s">
        <v>140</v>
      </c>
      <c r="B101">
        <v>2</v>
      </c>
      <c r="C101" t="s">
        <v>190</v>
      </c>
    </row>
    <row r="102" spans="1:4" x14ac:dyDescent="0.25">
      <c r="A102" t="s">
        <v>142</v>
      </c>
      <c r="B102">
        <v>2</v>
      </c>
      <c r="C102" t="s">
        <v>216</v>
      </c>
    </row>
    <row r="103" spans="1:4" x14ac:dyDescent="0.25">
      <c r="A103" t="s">
        <v>148</v>
      </c>
      <c r="B103">
        <v>2</v>
      </c>
      <c r="C103" t="s">
        <v>222</v>
      </c>
    </row>
    <row r="104" spans="1:4" x14ac:dyDescent="0.25">
      <c r="A104" t="s">
        <v>151</v>
      </c>
      <c r="B104">
        <v>2</v>
      </c>
      <c r="C104" t="s">
        <v>223</v>
      </c>
    </row>
    <row r="105" spans="1:4" x14ac:dyDescent="0.25">
      <c r="A105" t="s">
        <v>153</v>
      </c>
      <c r="B105">
        <v>2</v>
      </c>
      <c r="C105" t="s">
        <v>224</v>
      </c>
    </row>
    <row r="106" spans="1:4" x14ac:dyDescent="0.25">
      <c r="A106" t="s">
        <v>161</v>
      </c>
      <c r="B106">
        <v>2</v>
      </c>
      <c r="C106" t="s">
        <v>191</v>
      </c>
    </row>
    <row r="107" spans="1:4" x14ac:dyDescent="0.25">
      <c r="A107" t="s">
        <v>171</v>
      </c>
      <c r="B107">
        <v>2</v>
      </c>
      <c r="C107" t="s">
        <v>188</v>
      </c>
    </row>
    <row r="108" spans="1:4" x14ac:dyDescent="0.25">
      <c r="A108" t="s">
        <v>2</v>
      </c>
      <c r="B108">
        <v>1</v>
      </c>
    </row>
    <row r="109" spans="1:4" x14ac:dyDescent="0.25">
      <c r="A109" t="s">
        <v>3</v>
      </c>
      <c r="B109">
        <v>1</v>
      </c>
    </row>
    <row r="110" spans="1:4" x14ac:dyDescent="0.25">
      <c r="A110" t="s">
        <v>4</v>
      </c>
      <c r="B110">
        <v>1</v>
      </c>
    </row>
    <row r="111" spans="1:4" x14ac:dyDescent="0.25">
      <c r="A111" t="s">
        <v>6</v>
      </c>
      <c r="B111">
        <v>1</v>
      </c>
      <c r="C111" t="s">
        <v>181</v>
      </c>
      <c r="D111">
        <v>8</v>
      </c>
    </row>
    <row r="112" spans="1:4" x14ac:dyDescent="0.25">
      <c r="A112" t="s">
        <v>11</v>
      </c>
      <c r="B112">
        <v>1</v>
      </c>
      <c r="C112" t="s">
        <v>182</v>
      </c>
      <c r="D112">
        <v>12</v>
      </c>
    </row>
    <row r="113" spans="1:4" x14ac:dyDescent="0.25">
      <c r="A113" t="s">
        <v>12</v>
      </c>
      <c r="B113">
        <v>1</v>
      </c>
      <c r="C113" t="s">
        <v>183</v>
      </c>
      <c r="D113">
        <v>12</v>
      </c>
    </row>
    <row r="114" spans="1:4" x14ac:dyDescent="0.25">
      <c r="A114" t="s">
        <v>97</v>
      </c>
      <c r="B114">
        <v>1</v>
      </c>
    </row>
    <row r="115" spans="1:4" x14ac:dyDescent="0.25">
      <c r="A115" t="s">
        <v>19</v>
      </c>
      <c r="B115">
        <v>1</v>
      </c>
    </row>
    <row r="116" spans="1:4" x14ac:dyDescent="0.25">
      <c r="A116" t="s">
        <v>22</v>
      </c>
      <c r="B116">
        <v>1</v>
      </c>
    </row>
    <row r="117" spans="1:4" x14ac:dyDescent="0.25">
      <c r="A117" t="s">
        <v>27</v>
      </c>
      <c r="B117">
        <v>1</v>
      </c>
    </row>
    <row r="118" spans="1:4" x14ac:dyDescent="0.25">
      <c r="A118" t="s">
        <v>29</v>
      </c>
      <c r="B118">
        <v>1</v>
      </c>
    </row>
    <row r="119" spans="1:4" x14ac:dyDescent="0.25">
      <c r="A119" t="s">
        <v>30</v>
      </c>
      <c r="B119">
        <v>1</v>
      </c>
    </row>
    <row r="120" spans="1:4" x14ac:dyDescent="0.25">
      <c r="A120" t="s">
        <v>32</v>
      </c>
      <c r="B120">
        <v>1</v>
      </c>
    </row>
    <row r="121" spans="1:4" x14ac:dyDescent="0.25">
      <c r="A121" t="s">
        <v>38</v>
      </c>
      <c r="B121">
        <v>1</v>
      </c>
    </row>
    <row r="122" spans="1:4" x14ac:dyDescent="0.25">
      <c r="A122" t="s">
        <v>39</v>
      </c>
      <c r="B122">
        <v>1</v>
      </c>
    </row>
    <row r="123" spans="1:4" x14ac:dyDescent="0.25">
      <c r="A123" t="s">
        <v>40</v>
      </c>
      <c r="B123">
        <v>1</v>
      </c>
    </row>
    <row r="124" spans="1:4" x14ac:dyDescent="0.25">
      <c r="A124" t="s">
        <v>41</v>
      </c>
      <c r="B124">
        <v>1</v>
      </c>
    </row>
    <row r="125" spans="1:4" x14ac:dyDescent="0.25">
      <c r="A125" t="s">
        <v>42</v>
      </c>
      <c r="B125">
        <v>1</v>
      </c>
    </row>
    <row r="126" spans="1:4" x14ac:dyDescent="0.25">
      <c r="A126" t="s">
        <v>43</v>
      </c>
      <c r="B126">
        <v>1</v>
      </c>
    </row>
    <row r="127" spans="1:4" x14ac:dyDescent="0.25">
      <c r="A127" t="s">
        <v>46</v>
      </c>
      <c r="B127">
        <v>1</v>
      </c>
    </row>
    <row r="128" spans="1:4" x14ac:dyDescent="0.25">
      <c r="A128" t="s">
        <v>47</v>
      </c>
      <c r="B128">
        <v>1</v>
      </c>
    </row>
    <row r="129" spans="1:2" x14ac:dyDescent="0.25">
      <c r="A129" t="s">
        <v>50</v>
      </c>
      <c r="B129">
        <v>1</v>
      </c>
    </row>
    <row r="130" spans="1:2" x14ac:dyDescent="0.25">
      <c r="A130" t="s">
        <v>256</v>
      </c>
      <c r="B130">
        <v>1</v>
      </c>
    </row>
    <row r="131" spans="1:2" x14ac:dyDescent="0.25">
      <c r="A131" t="s">
        <v>55</v>
      </c>
      <c r="B131">
        <v>1</v>
      </c>
    </row>
    <row r="132" spans="1:2" x14ac:dyDescent="0.25">
      <c r="A132" t="s">
        <v>56</v>
      </c>
      <c r="B132">
        <v>1</v>
      </c>
    </row>
    <row r="133" spans="1:2" x14ac:dyDescent="0.25">
      <c r="A133" t="s">
        <v>58</v>
      </c>
      <c r="B133">
        <v>1</v>
      </c>
    </row>
    <row r="134" spans="1:2" x14ac:dyDescent="0.25">
      <c r="A134" t="s">
        <v>60</v>
      </c>
      <c r="B134">
        <v>1</v>
      </c>
    </row>
    <row r="135" spans="1:2" x14ac:dyDescent="0.25">
      <c r="A135" t="s">
        <v>61</v>
      </c>
      <c r="B135">
        <v>1</v>
      </c>
    </row>
    <row r="136" spans="1:2" x14ac:dyDescent="0.25">
      <c r="A136" t="s">
        <v>62</v>
      </c>
      <c r="B136">
        <v>1</v>
      </c>
    </row>
    <row r="137" spans="1:2" x14ac:dyDescent="0.25">
      <c r="A137" t="s">
        <v>63</v>
      </c>
      <c r="B137">
        <v>1</v>
      </c>
    </row>
    <row r="138" spans="1:2" x14ac:dyDescent="0.25">
      <c r="A138" t="s">
        <v>64</v>
      </c>
      <c r="B138">
        <v>1</v>
      </c>
    </row>
    <row r="139" spans="1:2" x14ac:dyDescent="0.25">
      <c r="A139" t="s">
        <v>68</v>
      </c>
      <c r="B139">
        <v>1</v>
      </c>
    </row>
    <row r="140" spans="1:2" x14ac:dyDescent="0.25">
      <c r="A140" t="s">
        <v>254</v>
      </c>
      <c r="B140">
        <v>1</v>
      </c>
    </row>
    <row r="141" spans="1:2" x14ac:dyDescent="0.25">
      <c r="A141" t="s">
        <v>72</v>
      </c>
      <c r="B141">
        <v>1</v>
      </c>
    </row>
    <row r="142" spans="1:2" x14ac:dyDescent="0.25">
      <c r="A142" t="s">
        <v>73</v>
      </c>
      <c r="B142">
        <v>1</v>
      </c>
    </row>
    <row r="143" spans="1:2" x14ac:dyDescent="0.25">
      <c r="A143" t="s">
        <v>74</v>
      </c>
      <c r="B143">
        <v>1</v>
      </c>
    </row>
    <row r="144" spans="1:2" x14ac:dyDescent="0.25">
      <c r="A144" t="s">
        <v>75</v>
      </c>
      <c r="B144">
        <v>1</v>
      </c>
    </row>
    <row r="145" spans="1:2" x14ac:dyDescent="0.25">
      <c r="A145" t="s">
        <v>77</v>
      </c>
      <c r="B145">
        <v>1</v>
      </c>
    </row>
    <row r="146" spans="1:2" x14ac:dyDescent="0.25">
      <c r="A146" t="s">
        <v>84</v>
      </c>
      <c r="B146">
        <v>1</v>
      </c>
    </row>
    <row r="147" spans="1:2" x14ac:dyDescent="0.25">
      <c r="A147" t="s">
        <v>86</v>
      </c>
      <c r="B147">
        <v>1</v>
      </c>
    </row>
    <row r="148" spans="1:2" x14ac:dyDescent="0.25">
      <c r="A148" t="s">
        <v>88</v>
      </c>
      <c r="B148">
        <v>1</v>
      </c>
    </row>
    <row r="149" spans="1:2" x14ac:dyDescent="0.25">
      <c r="A149" t="s">
        <v>255</v>
      </c>
      <c r="B149">
        <v>1</v>
      </c>
    </row>
    <row r="150" spans="1:2" x14ac:dyDescent="0.25">
      <c r="A150" t="s">
        <v>100</v>
      </c>
      <c r="B150">
        <v>1</v>
      </c>
    </row>
    <row r="151" spans="1:2" x14ac:dyDescent="0.25">
      <c r="A151" t="s">
        <v>102</v>
      </c>
      <c r="B151">
        <v>1</v>
      </c>
    </row>
    <row r="152" spans="1:2" x14ac:dyDescent="0.25">
      <c r="A152" t="s">
        <v>103</v>
      </c>
      <c r="B152">
        <v>1</v>
      </c>
    </row>
    <row r="153" spans="1:2" x14ac:dyDescent="0.25">
      <c r="A153" t="s">
        <v>104</v>
      </c>
      <c r="B153">
        <v>1</v>
      </c>
    </row>
    <row r="154" spans="1:2" x14ac:dyDescent="0.25">
      <c r="A154" t="s">
        <v>109</v>
      </c>
      <c r="B154">
        <v>1</v>
      </c>
    </row>
    <row r="155" spans="1:2" x14ac:dyDescent="0.25">
      <c r="A155" t="s">
        <v>110</v>
      </c>
      <c r="B155">
        <v>1</v>
      </c>
    </row>
    <row r="156" spans="1:2" x14ac:dyDescent="0.25">
      <c r="A156" t="s">
        <v>111</v>
      </c>
      <c r="B156">
        <v>1</v>
      </c>
    </row>
    <row r="157" spans="1:2" x14ac:dyDescent="0.25">
      <c r="A157" t="s">
        <v>113</v>
      </c>
      <c r="B157">
        <v>1</v>
      </c>
    </row>
    <row r="158" spans="1:2" x14ac:dyDescent="0.25">
      <c r="A158" t="s">
        <v>116</v>
      </c>
      <c r="B158">
        <v>1</v>
      </c>
    </row>
    <row r="159" spans="1:2" x14ac:dyDescent="0.25">
      <c r="A159" t="s">
        <v>117</v>
      </c>
      <c r="B159">
        <v>1</v>
      </c>
    </row>
    <row r="160" spans="1:2" x14ac:dyDescent="0.25">
      <c r="A160" t="s">
        <v>118</v>
      </c>
      <c r="B160">
        <v>1</v>
      </c>
    </row>
    <row r="161" spans="1:5" x14ac:dyDescent="0.25">
      <c r="A161" t="s">
        <v>119</v>
      </c>
      <c r="B161">
        <v>1</v>
      </c>
    </row>
    <row r="162" spans="1:5" x14ac:dyDescent="0.25">
      <c r="A162" t="s">
        <v>120</v>
      </c>
      <c r="B162">
        <v>1</v>
      </c>
    </row>
    <row r="163" spans="1:5" x14ac:dyDescent="0.25">
      <c r="A163" t="s">
        <v>124</v>
      </c>
      <c r="B163">
        <v>1</v>
      </c>
    </row>
    <row r="164" spans="1:5" x14ac:dyDescent="0.25">
      <c r="A164" t="s">
        <v>127</v>
      </c>
      <c r="B164">
        <v>1</v>
      </c>
    </row>
    <row r="165" spans="1:5" x14ac:dyDescent="0.25">
      <c r="A165" t="s">
        <v>129</v>
      </c>
      <c r="B165">
        <v>1</v>
      </c>
    </row>
    <row r="166" spans="1:5" x14ac:dyDescent="0.25">
      <c r="A166" t="s">
        <v>132</v>
      </c>
      <c r="B166">
        <v>1</v>
      </c>
    </row>
    <row r="167" spans="1:5" x14ac:dyDescent="0.25">
      <c r="A167" t="s">
        <v>135</v>
      </c>
      <c r="B167">
        <v>1</v>
      </c>
    </row>
    <row r="168" spans="1:5" x14ac:dyDescent="0.25">
      <c r="A168" t="s">
        <v>136</v>
      </c>
      <c r="B168">
        <v>1</v>
      </c>
    </row>
    <row r="169" spans="1:5" x14ac:dyDescent="0.25">
      <c r="A169" t="s">
        <v>138</v>
      </c>
      <c r="B169">
        <v>1</v>
      </c>
      <c r="C169" s="4" t="s">
        <v>181</v>
      </c>
      <c r="D169" t="s">
        <v>182</v>
      </c>
    </row>
    <row r="170" spans="1:5" x14ac:dyDescent="0.25">
      <c r="A170" t="s">
        <v>143</v>
      </c>
      <c r="B170">
        <v>1</v>
      </c>
      <c r="C170">
        <v>8</v>
      </c>
      <c r="D170">
        <v>12</v>
      </c>
    </row>
    <row r="171" spans="1:5" x14ac:dyDescent="0.25">
      <c r="A171" t="s">
        <v>146</v>
      </c>
      <c r="B171">
        <v>1</v>
      </c>
    </row>
    <row r="172" spans="1:5" x14ac:dyDescent="0.25">
      <c r="A172" t="s">
        <v>147</v>
      </c>
      <c r="B172">
        <v>1</v>
      </c>
      <c r="E172" t="s">
        <v>183</v>
      </c>
    </row>
    <row r="173" spans="1:5" x14ac:dyDescent="0.25">
      <c r="A173" t="s">
        <v>150</v>
      </c>
      <c r="B173">
        <v>1</v>
      </c>
      <c r="E173">
        <v>12</v>
      </c>
    </row>
    <row r="174" spans="1:5" x14ac:dyDescent="0.25">
      <c r="A174" t="s">
        <v>152</v>
      </c>
      <c r="B174">
        <v>1</v>
      </c>
    </row>
    <row r="175" spans="1:5" x14ac:dyDescent="0.25">
      <c r="A175" t="s">
        <v>155</v>
      </c>
      <c r="B175">
        <v>1</v>
      </c>
    </row>
    <row r="176" spans="1:5" x14ac:dyDescent="0.25">
      <c r="A176" t="s">
        <v>159</v>
      </c>
      <c r="B176">
        <v>1</v>
      </c>
    </row>
    <row r="177" spans="1:2" x14ac:dyDescent="0.25">
      <c r="A177" t="s">
        <v>162</v>
      </c>
      <c r="B177">
        <v>1</v>
      </c>
    </row>
    <row r="178" spans="1:2" x14ac:dyDescent="0.25">
      <c r="A178" t="s">
        <v>163</v>
      </c>
      <c r="B178">
        <v>1</v>
      </c>
    </row>
    <row r="179" spans="1:2" x14ac:dyDescent="0.25">
      <c r="A179" t="s">
        <v>164</v>
      </c>
      <c r="B179">
        <v>1</v>
      </c>
    </row>
    <row r="180" spans="1:2" x14ac:dyDescent="0.25">
      <c r="A180" t="s">
        <v>167</v>
      </c>
      <c r="B180">
        <v>1</v>
      </c>
    </row>
    <row r="181" spans="1:2" x14ac:dyDescent="0.25">
      <c r="A181" t="s">
        <v>168</v>
      </c>
      <c r="B181">
        <v>1</v>
      </c>
    </row>
    <row r="182" spans="1:2" x14ac:dyDescent="0.25">
      <c r="A182" t="s">
        <v>169</v>
      </c>
      <c r="B182">
        <v>1</v>
      </c>
    </row>
    <row r="183" spans="1:2" x14ac:dyDescent="0.25">
      <c r="A183" t="s">
        <v>170</v>
      </c>
      <c r="B183">
        <v>1</v>
      </c>
    </row>
    <row r="184" spans="1:2" x14ac:dyDescent="0.25">
      <c r="A184" t="s">
        <v>177</v>
      </c>
      <c r="B184">
        <v>1</v>
      </c>
    </row>
  </sheetData>
  <phoneticPr fontId="0" type="noConversion"/>
  <printOptions gridLines="1"/>
  <pageMargins left="0.5" right="0.5" top="0.2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opLeftCell="A65" workbookViewId="0">
      <selection activeCell="B99" sqref="B99"/>
    </sheetView>
  </sheetViews>
  <sheetFormatPr defaultRowHeight="12.5" x14ac:dyDescent="0.25"/>
  <cols>
    <col min="1" max="1" width="48" customWidth="1"/>
    <col min="2" max="2" width="13.7265625" customWidth="1"/>
  </cols>
  <sheetData>
    <row r="1" spans="1:2" ht="32.25" customHeight="1" x14ac:dyDescent="0.35">
      <c r="A1" s="1" t="s">
        <v>184</v>
      </c>
      <c r="B1" s="2" t="s">
        <v>1</v>
      </c>
    </row>
    <row r="2" spans="1:2" x14ac:dyDescent="0.25">
      <c r="A2" t="s">
        <v>185</v>
      </c>
      <c r="B2">
        <v>93</v>
      </c>
    </row>
    <row r="3" spans="1:2" x14ac:dyDescent="0.25">
      <c r="A3" t="s">
        <v>218</v>
      </c>
      <c r="B3">
        <v>3</v>
      </c>
    </row>
    <row r="4" spans="1:2" x14ac:dyDescent="0.25">
      <c r="A4" t="s">
        <v>216</v>
      </c>
      <c r="B4">
        <v>5</v>
      </c>
    </row>
    <row r="5" spans="1:2" x14ac:dyDescent="0.25">
      <c r="A5" t="s">
        <v>186</v>
      </c>
      <c r="B5">
        <v>44</v>
      </c>
    </row>
    <row r="6" spans="1:2" x14ac:dyDescent="0.25">
      <c r="A6" t="s">
        <v>204</v>
      </c>
      <c r="B6">
        <v>8</v>
      </c>
    </row>
    <row r="7" spans="1:2" x14ac:dyDescent="0.25">
      <c r="A7" t="s">
        <v>230</v>
      </c>
      <c r="B7">
        <v>3</v>
      </c>
    </row>
    <row r="8" spans="1:2" x14ac:dyDescent="0.25">
      <c r="A8" t="s">
        <v>201</v>
      </c>
      <c r="B8">
        <v>5</v>
      </c>
    </row>
    <row r="9" spans="1:2" x14ac:dyDescent="0.25">
      <c r="A9" t="s">
        <v>209</v>
      </c>
      <c r="B9">
        <v>3</v>
      </c>
    </row>
    <row r="10" spans="1:2" x14ac:dyDescent="0.25">
      <c r="A10" t="s">
        <v>213</v>
      </c>
      <c r="B10">
        <v>3</v>
      </c>
    </row>
    <row r="11" spans="1:2" x14ac:dyDescent="0.25">
      <c r="A11" t="s">
        <v>220</v>
      </c>
      <c r="B11">
        <v>2</v>
      </c>
    </row>
    <row r="12" spans="1:2" x14ac:dyDescent="0.25">
      <c r="A12" t="s">
        <v>226</v>
      </c>
      <c r="B12">
        <v>2</v>
      </c>
    </row>
    <row r="13" spans="1:2" x14ac:dyDescent="0.25">
      <c r="A13" t="s">
        <v>202</v>
      </c>
      <c r="B13">
        <v>5</v>
      </c>
    </row>
    <row r="14" spans="1:2" x14ac:dyDescent="0.25">
      <c r="A14" t="s">
        <v>206</v>
      </c>
      <c r="B14">
        <v>4</v>
      </c>
    </row>
    <row r="15" spans="1:2" x14ac:dyDescent="0.25">
      <c r="A15" t="s">
        <v>210</v>
      </c>
      <c r="B15">
        <v>5</v>
      </c>
    </row>
    <row r="16" spans="1:2" x14ac:dyDescent="0.25">
      <c r="A16" t="s">
        <v>196</v>
      </c>
      <c r="B16">
        <v>7</v>
      </c>
    </row>
    <row r="17" spans="1:2" x14ac:dyDescent="0.25">
      <c r="A17" t="s">
        <v>224</v>
      </c>
      <c r="B17">
        <v>2</v>
      </c>
    </row>
    <row r="18" spans="1:2" x14ac:dyDescent="0.25">
      <c r="A18" t="s">
        <v>227</v>
      </c>
      <c r="B18">
        <v>2</v>
      </c>
    </row>
    <row r="19" spans="1:2" x14ac:dyDescent="0.25">
      <c r="A19" t="s">
        <v>190</v>
      </c>
      <c r="B19">
        <v>138</v>
      </c>
    </row>
    <row r="20" spans="1:2" x14ac:dyDescent="0.25">
      <c r="A20" t="s">
        <v>235</v>
      </c>
      <c r="B20">
        <v>2</v>
      </c>
    </row>
    <row r="21" spans="1:2" x14ac:dyDescent="0.25">
      <c r="A21" t="s">
        <v>212</v>
      </c>
      <c r="B21">
        <v>3</v>
      </c>
    </row>
    <row r="22" spans="1:2" x14ac:dyDescent="0.25">
      <c r="A22" t="s">
        <v>233</v>
      </c>
      <c r="B22">
        <v>24</v>
      </c>
    </row>
    <row r="23" spans="1:2" x14ac:dyDescent="0.25">
      <c r="A23" t="s">
        <v>217</v>
      </c>
      <c r="B23">
        <v>3</v>
      </c>
    </row>
    <row r="24" spans="1:2" x14ac:dyDescent="0.25">
      <c r="A24" t="s">
        <v>229</v>
      </c>
      <c r="B24">
        <v>2</v>
      </c>
    </row>
    <row r="25" spans="1:2" x14ac:dyDescent="0.25">
      <c r="A25" t="s">
        <v>189</v>
      </c>
      <c r="B25">
        <v>28</v>
      </c>
    </row>
    <row r="26" spans="1:2" x14ac:dyDescent="0.25">
      <c r="A26" t="s">
        <v>236</v>
      </c>
      <c r="B26">
        <v>3</v>
      </c>
    </row>
    <row r="27" spans="1:2" x14ac:dyDescent="0.25">
      <c r="A27" t="s">
        <v>231</v>
      </c>
      <c r="B27">
        <v>9</v>
      </c>
    </row>
    <row r="28" spans="1:2" x14ac:dyDescent="0.25">
      <c r="A28" t="s">
        <v>237</v>
      </c>
      <c r="B28">
        <v>2</v>
      </c>
    </row>
    <row r="29" spans="1:2" x14ac:dyDescent="0.25">
      <c r="A29" t="s">
        <v>219</v>
      </c>
      <c r="B29">
        <v>2</v>
      </c>
    </row>
    <row r="30" spans="1:2" x14ac:dyDescent="0.25">
      <c r="A30" t="s">
        <v>205</v>
      </c>
      <c r="B30">
        <v>8</v>
      </c>
    </row>
    <row r="31" spans="1:2" x14ac:dyDescent="0.25">
      <c r="A31" t="s">
        <v>203</v>
      </c>
      <c r="B31">
        <v>4</v>
      </c>
    </row>
    <row r="32" spans="1:2" x14ac:dyDescent="0.25">
      <c r="A32" t="s">
        <v>199</v>
      </c>
      <c r="B32">
        <v>14</v>
      </c>
    </row>
    <row r="33" spans="1:2" x14ac:dyDescent="0.25">
      <c r="A33" t="s">
        <v>231</v>
      </c>
      <c r="B33">
        <v>9</v>
      </c>
    </row>
    <row r="34" spans="1:2" x14ac:dyDescent="0.25">
      <c r="A34" t="s">
        <v>221</v>
      </c>
      <c r="B34">
        <v>2</v>
      </c>
    </row>
    <row r="35" spans="1:2" x14ac:dyDescent="0.25">
      <c r="A35" t="s">
        <v>197</v>
      </c>
      <c r="B35">
        <v>16</v>
      </c>
    </row>
    <row r="36" spans="1:2" x14ac:dyDescent="0.25">
      <c r="A36" t="s">
        <v>192</v>
      </c>
      <c r="B36">
        <v>9</v>
      </c>
    </row>
    <row r="37" spans="1:2" x14ac:dyDescent="0.25">
      <c r="A37" t="s">
        <v>223</v>
      </c>
      <c r="B37">
        <v>2</v>
      </c>
    </row>
    <row r="38" spans="1:2" x14ac:dyDescent="0.25">
      <c r="A38" t="s">
        <v>239</v>
      </c>
      <c r="B38">
        <v>10</v>
      </c>
    </row>
    <row r="39" spans="1:2" x14ac:dyDescent="0.25">
      <c r="A39" t="s">
        <v>207</v>
      </c>
      <c r="B39">
        <v>4</v>
      </c>
    </row>
    <row r="40" spans="1:2" x14ac:dyDescent="0.25">
      <c r="A40" t="s">
        <v>222</v>
      </c>
      <c r="B40">
        <v>2</v>
      </c>
    </row>
    <row r="41" spans="1:2" x14ac:dyDescent="0.25">
      <c r="A41" t="s">
        <v>234</v>
      </c>
      <c r="B41">
        <v>29</v>
      </c>
    </row>
    <row r="42" spans="1:2" x14ac:dyDescent="0.25">
      <c r="A42" t="s">
        <v>195</v>
      </c>
      <c r="B42">
        <v>7</v>
      </c>
    </row>
    <row r="43" spans="1:2" x14ac:dyDescent="0.25">
      <c r="A43" t="s">
        <v>188</v>
      </c>
      <c r="B43">
        <v>101</v>
      </c>
    </row>
    <row r="44" spans="1:2" x14ac:dyDescent="0.25">
      <c r="A44" t="s">
        <v>238</v>
      </c>
      <c r="B44">
        <v>2</v>
      </c>
    </row>
    <row r="45" spans="1:2" x14ac:dyDescent="0.25">
      <c r="A45" t="s">
        <v>215</v>
      </c>
      <c r="B45">
        <v>3</v>
      </c>
    </row>
    <row r="46" spans="1:2" x14ac:dyDescent="0.25">
      <c r="A46" t="s">
        <v>228</v>
      </c>
      <c r="B46">
        <v>2</v>
      </c>
    </row>
    <row r="47" spans="1:2" x14ac:dyDescent="0.25">
      <c r="A47" t="s">
        <v>232</v>
      </c>
      <c r="B47">
        <v>6</v>
      </c>
    </row>
    <row r="48" spans="1:2" x14ac:dyDescent="0.25">
      <c r="A48" t="s">
        <v>214</v>
      </c>
      <c r="B48">
        <v>3</v>
      </c>
    </row>
    <row r="49" spans="1:2" x14ac:dyDescent="0.25">
      <c r="A49" t="s">
        <v>200</v>
      </c>
      <c r="B49">
        <v>5</v>
      </c>
    </row>
    <row r="50" spans="1:2" ht="13" x14ac:dyDescent="0.3">
      <c r="B50" s="3">
        <f>SUM(B2:B49)</f>
        <v>650</v>
      </c>
    </row>
    <row r="58" spans="1:2" ht="13" x14ac:dyDescent="0.3">
      <c r="A58" s="3" t="s">
        <v>240</v>
      </c>
    </row>
    <row r="59" spans="1:2" x14ac:dyDescent="0.25">
      <c r="A59" t="s">
        <v>185</v>
      </c>
      <c r="B59">
        <v>93</v>
      </c>
    </row>
    <row r="60" spans="1:2" x14ac:dyDescent="0.25">
      <c r="A60" t="s">
        <v>218</v>
      </c>
      <c r="B60">
        <v>3</v>
      </c>
    </row>
    <row r="61" spans="1:2" x14ac:dyDescent="0.25">
      <c r="A61" t="s">
        <v>213</v>
      </c>
      <c r="B61">
        <v>3</v>
      </c>
    </row>
    <row r="62" spans="1:2" x14ac:dyDescent="0.25">
      <c r="A62" t="s">
        <v>226</v>
      </c>
      <c r="B62">
        <v>2</v>
      </c>
    </row>
    <row r="63" spans="1:2" x14ac:dyDescent="0.25">
      <c r="A63" t="s">
        <v>224</v>
      </c>
      <c r="B63">
        <v>2</v>
      </c>
    </row>
    <row r="64" spans="1:2" x14ac:dyDescent="0.25">
      <c r="A64" t="s">
        <v>190</v>
      </c>
      <c r="B64">
        <v>138</v>
      </c>
    </row>
    <row r="65" spans="1:2" x14ac:dyDescent="0.25">
      <c r="A65" t="s">
        <v>205</v>
      </c>
      <c r="B65">
        <v>8</v>
      </c>
    </row>
    <row r="66" spans="1:2" x14ac:dyDescent="0.25">
      <c r="A66" t="s">
        <v>199</v>
      </c>
      <c r="B66">
        <v>14</v>
      </c>
    </row>
    <row r="67" spans="1:2" x14ac:dyDescent="0.25">
      <c r="A67" t="s">
        <v>197</v>
      </c>
      <c r="B67">
        <v>16</v>
      </c>
    </row>
    <row r="68" spans="1:2" x14ac:dyDescent="0.25">
      <c r="A68" t="s">
        <v>188</v>
      </c>
      <c r="B68">
        <v>101</v>
      </c>
    </row>
    <row r="69" spans="1:2" x14ac:dyDescent="0.25">
      <c r="A69" t="s">
        <v>214</v>
      </c>
      <c r="B69">
        <v>3</v>
      </c>
    </row>
    <row r="70" spans="1:2" x14ac:dyDescent="0.25">
      <c r="A70" t="s">
        <v>241</v>
      </c>
      <c r="B70">
        <v>5</v>
      </c>
    </row>
    <row r="71" spans="1:2" ht="13" x14ac:dyDescent="0.3">
      <c r="B71" s="3">
        <f>SUM(B59:B70)</f>
        <v>388</v>
      </c>
    </row>
    <row r="72" spans="1:2" ht="13" x14ac:dyDescent="0.3">
      <c r="A72" s="3" t="s">
        <v>246</v>
      </c>
    </row>
    <row r="73" spans="1:2" x14ac:dyDescent="0.25">
      <c r="A73" t="s">
        <v>186</v>
      </c>
      <c r="B73">
        <v>44</v>
      </c>
    </row>
    <row r="74" spans="1:2" x14ac:dyDescent="0.25">
      <c r="A74" t="s">
        <v>234</v>
      </c>
      <c r="B74">
        <v>29</v>
      </c>
    </row>
    <row r="75" spans="1:2" x14ac:dyDescent="0.25">
      <c r="A75" t="s">
        <v>252</v>
      </c>
      <c r="B75">
        <v>17</v>
      </c>
    </row>
    <row r="76" spans="1:2" x14ac:dyDescent="0.25">
      <c r="A76" t="s">
        <v>189</v>
      </c>
      <c r="B76">
        <v>28</v>
      </c>
    </row>
    <row r="77" spans="1:2" x14ac:dyDescent="0.25">
      <c r="A77" t="s">
        <v>244</v>
      </c>
      <c r="B77">
        <v>9</v>
      </c>
    </row>
    <row r="78" spans="1:2" x14ac:dyDescent="0.25">
      <c r="A78" t="s">
        <v>243</v>
      </c>
      <c r="B78">
        <v>8</v>
      </c>
    </row>
    <row r="79" spans="1:2" x14ac:dyDescent="0.25">
      <c r="A79" t="s">
        <v>210</v>
      </c>
      <c r="B79">
        <v>5</v>
      </c>
    </row>
    <row r="80" spans="1:2" x14ac:dyDescent="0.25">
      <c r="A80" t="s">
        <v>202</v>
      </c>
      <c r="B80">
        <v>5</v>
      </c>
    </row>
    <row r="81" spans="1:2" x14ac:dyDescent="0.25">
      <c r="A81" t="s">
        <v>245</v>
      </c>
      <c r="B81">
        <v>5</v>
      </c>
    </row>
    <row r="82" spans="1:2" ht="13" x14ac:dyDescent="0.3">
      <c r="B82" s="3">
        <f>SUM(B73:B81)</f>
        <v>150</v>
      </c>
    </row>
    <row r="83" spans="1:2" x14ac:dyDescent="0.25">
      <c r="A83" t="s">
        <v>250</v>
      </c>
    </row>
    <row r="85" spans="1:2" ht="13" x14ac:dyDescent="0.3">
      <c r="A85" s="3" t="s">
        <v>247</v>
      </c>
    </row>
    <row r="86" spans="1:2" x14ac:dyDescent="0.25">
      <c r="A86" t="s">
        <v>206</v>
      </c>
      <c r="B86">
        <v>4</v>
      </c>
    </row>
    <row r="87" spans="1:2" x14ac:dyDescent="0.25">
      <c r="A87" t="s">
        <v>196</v>
      </c>
      <c r="B87">
        <v>7</v>
      </c>
    </row>
    <row r="88" spans="1:2" x14ac:dyDescent="0.25">
      <c r="A88" t="s">
        <v>212</v>
      </c>
      <c r="B88">
        <v>3</v>
      </c>
    </row>
    <row r="89" spans="1:2" x14ac:dyDescent="0.25">
      <c r="A89" t="s">
        <v>248</v>
      </c>
      <c r="B89">
        <v>24</v>
      </c>
    </row>
    <row r="90" spans="1:2" x14ac:dyDescent="0.25">
      <c r="A90" t="s">
        <v>239</v>
      </c>
      <c r="B90">
        <v>10</v>
      </c>
    </row>
    <row r="91" spans="1:2" x14ac:dyDescent="0.25">
      <c r="A91" t="s">
        <v>195</v>
      </c>
      <c r="B91">
        <v>7</v>
      </c>
    </row>
    <row r="92" spans="1:2" x14ac:dyDescent="0.25">
      <c r="A92" t="s">
        <v>228</v>
      </c>
      <c r="B92">
        <v>2</v>
      </c>
    </row>
    <row r="93" spans="1:2" x14ac:dyDescent="0.25">
      <c r="A93" t="s">
        <v>249</v>
      </c>
      <c r="B93">
        <v>6</v>
      </c>
    </row>
    <row r="94" spans="1:2" ht="13" x14ac:dyDescent="0.3">
      <c r="B94" s="3">
        <f>SUM(B86:B93)</f>
        <v>63</v>
      </c>
    </row>
    <row r="96" spans="1:2" x14ac:dyDescent="0.25">
      <c r="A96" t="s">
        <v>240</v>
      </c>
      <c r="B96">
        <v>388</v>
      </c>
    </row>
    <row r="97" spans="1:2" x14ac:dyDescent="0.25">
      <c r="A97" t="s">
        <v>242</v>
      </c>
      <c r="B97">
        <v>216</v>
      </c>
    </row>
    <row r="98" spans="1:2" x14ac:dyDescent="0.25">
      <c r="A98" t="s">
        <v>247</v>
      </c>
      <c r="B98">
        <v>63</v>
      </c>
    </row>
  </sheetData>
  <phoneticPr fontId="0" type="noConversion"/>
  <printOptions horizontalCentered="1" verticalCentered="1" gridLines="1"/>
  <pageMargins left="0.75" right="0.75" top="0.5" bottom="0.5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5"/>
  <sheetViews>
    <sheetView topLeftCell="A30" workbookViewId="0">
      <selection activeCell="H59" sqref="H59"/>
    </sheetView>
  </sheetViews>
  <sheetFormatPr defaultRowHeight="12.5" x14ac:dyDescent="0.25"/>
  <sheetData>
    <row r="45" spans="1:1" x14ac:dyDescent="0.25">
      <c r="A45" t="s">
        <v>251</v>
      </c>
    </row>
  </sheetData>
  <phoneticPr fontId="0" type="noConversion"/>
  <pageMargins left="0.25" right="0.25" top="0.25" bottom="0.25" header="0.5" footer="0.5"/>
  <pageSetup orientation="landscape" r:id="rId1"/>
  <headerFooter alignWithMargins="0">
    <oddHeader xml:space="preserve">&amp;C&amp;"Arial,Bold"&amp;14Where IUB Math Department is Publishing:  1990-2001&amp;"Arial,Regular"&amp;10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7</vt:i4>
      </vt:variant>
    </vt:vector>
  </HeadingPairs>
  <TitlesOfParts>
    <vt:vector size="10" baseType="lpstr">
      <vt:lpstr>1-Journal Dist.</vt:lpstr>
      <vt:lpstr>2-Publisher Dist.</vt:lpstr>
      <vt:lpstr>3-Publisher PieCharts</vt:lpstr>
      <vt:lpstr>Graph1</vt:lpstr>
      <vt:lpstr>Chart 1(31-7)</vt:lpstr>
      <vt:lpstr>Chart2(6-4)</vt:lpstr>
      <vt:lpstr>Chart3(3-2)</vt:lpstr>
      <vt:lpstr>Chart4(2-1)</vt:lpstr>
      <vt:lpstr>Chart5(1)</vt:lpstr>
      <vt:lpstr>Chart6(1)</vt:lpstr>
    </vt:vector>
  </TitlesOfParts>
  <Company>LIT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jdmorris</dc:creator>
  <cp:lastModifiedBy>Carina Negreanu</cp:lastModifiedBy>
  <cp:lastPrinted>2002-03-13T15:56:13Z</cp:lastPrinted>
  <dcterms:created xsi:type="dcterms:W3CDTF">2001-10-19T19:00:07Z</dcterms:created>
  <dcterms:modified xsi:type="dcterms:W3CDTF">2020-01-27T11:50:38Z</dcterms:modified>
</cp:coreProperties>
</file>