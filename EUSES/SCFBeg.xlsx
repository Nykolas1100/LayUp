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E2A18E-2AFA-4697-A246-4FD1CE732A83}" xr6:coauthVersionLast="45" xr6:coauthVersionMax="45" xr10:uidLastSave="{00000000-0000-0000-0000-000000000000}"/>
  <bookViews>
    <workbookView xWindow="760" yWindow="760" windowWidth="28800" windowHeight="15460"/>
  </bookViews>
  <sheets>
    <sheet name="SCFSOL" sheetId="1" r:id="rId1"/>
  </sheets>
  <definedNames>
    <definedName name="_Regression_Int" localSheetId="0" hidden="1">1</definedName>
    <definedName name="_xlnm.Print_Area" localSheetId="0">SCFSOL!$A$6:$I$70</definedName>
    <definedName name="RATIO">SCFSOL!$C$6:$I$110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1" i="1" l="1"/>
  <c r="H78" i="1"/>
  <c r="H87" i="1" s="1"/>
  <c r="H89" i="1" s="1"/>
  <c r="H85" i="1"/>
  <c r="H56" i="1"/>
  <c r="H61" i="1"/>
  <c r="H63" i="1"/>
  <c r="H68" i="1"/>
  <c r="H70" i="1"/>
  <c r="H39" i="1"/>
  <c r="H44" i="1"/>
  <c r="H46" i="1"/>
  <c r="H48" i="1"/>
  <c r="E78" i="1"/>
  <c r="E85" i="1"/>
  <c r="E87" i="1"/>
  <c r="E89" i="1" s="1"/>
  <c r="E56" i="1"/>
  <c r="E61" i="1"/>
  <c r="E63" i="1"/>
  <c r="E68" i="1"/>
  <c r="E70" i="1"/>
  <c r="E39" i="1"/>
  <c r="E44" i="1"/>
  <c r="E46" i="1"/>
  <c r="E48" i="1"/>
  <c r="E90" i="1" l="1"/>
  <c r="E91" i="1"/>
  <c r="E94" i="1" s="1"/>
  <c r="H90" i="1"/>
  <c r="H91" i="1"/>
  <c r="H94" i="1" s="1"/>
</calcChain>
</file>

<file path=xl/sharedStrings.xml><?xml version="1.0" encoding="utf-8"?>
<sst xmlns="http://schemas.openxmlformats.org/spreadsheetml/2006/main" count="69" uniqueCount="65">
  <si>
    <t>Example Company</t>
  </si>
  <si>
    <t>Balance Sheet</t>
  </si>
  <si>
    <t>Assets</t>
  </si>
  <si>
    <t>Current Assets</t>
  </si>
  <si>
    <t>Cash</t>
  </si>
  <si>
    <t>Marketable securities</t>
  </si>
  <si>
    <t>Accounts receivable</t>
  </si>
  <si>
    <t>Inventory</t>
  </si>
  <si>
    <t>TOTAL CURRENT ASSETS</t>
  </si>
  <si>
    <t>Fixed Assets</t>
  </si>
  <si>
    <t xml:space="preserve">Machinery &amp; Equipment        </t>
  </si>
  <si>
    <t xml:space="preserve">Depreciation M &amp; E             </t>
  </si>
  <si>
    <t>Net machinery &amp; equipment</t>
  </si>
  <si>
    <t>Building (net of depreciation)</t>
  </si>
  <si>
    <t>NET FIXED ASSETS</t>
  </si>
  <si>
    <t>TOTAL ASSETS</t>
  </si>
  <si>
    <t>Liabilities</t>
  </si>
  <si>
    <t>Current Liabilities</t>
  </si>
  <si>
    <t>Accounts payable (trade)</t>
  </si>
  <si>
    <t>Accrued taxes and wages</t>
  </si>
  <si>
    <t>Notes payable</t>
  </si>
  <si>
    <t>TOTAL CURRENT LIABILITIES</t>
  </si>
  <si>
    <t>Long-term Liabilities</t>
  </si>
  <si>
    <t>Mortgage</t>
  </si>
  <si>
    <t>Debentures</t>
  </si>
  <si>
    <t>TOTAL LONG-TERM LIABILITIES</t>
  </si>
  <si>
    <t>TOTAL LIABILITIES</t>
  </si>
  <si>
    <t>Stockholders' Equity</t>
  </si>
  <si>
    <t>Capital stock</t>
  </si>
  <si>
    <t>Earned surplus (RE)</t>
  </si>
  <si>
    <t>TOTAL STOCKHOLDERS' EQUITY</t>
  </si>
  <si>
    <t>TOTAL LIABILITIES &amp; STOCKHOLDERS' EQUITY</t>
  </si>
  <si>
    <t>Income Statement</t>
  </si>
  <si>
    <t>Net Sales</t>
  </si>
  <si>
    <t>Cost of Goods Sold (CGS)</t>
  </si>
  <si>
    <t>Gross Profit</t>
  </si>
  <si>
    <t>Operating Expenses</t>
  </si>
  <si>
    <t>Selling Expense</t>
  </si>
  <si>
    <t>General and Admin. Exp</t>
  </si>
  <si>
    <t>Depreciation</t>
  </si>
  <si>
    <t>Lease Payment</t>
  </si>
  <si>
    <t>Earnings Before Interest &amp; Taxes (EBIT)</t>
  </si>
  <si>
    <t>Interest Expense</t>
  </si>
  <si>
    <t>Earnings Before Taxes (EBT)</t>
  </si>
  <si>
    <t>Taxes (Income @ 40%)</t>
  </si>
  <si>
    <t>Earnings After Taxes (EAT)</t>
  </si>
  <si>
    <t>SF (Sinking Fund)</t>
  </si>
  <si>
    <t>Available to Common After SF</t>
  </si>
  <si>
    <t>Retained Earnings Statement</t>
  </si>
  <si>
    <t>Substract:  Dividends</t>
  </si>
  <si>
    <t>Dec. 31</t>
  </si>
  <si>
    <t>STATEMENT OF CASH FLOWS</t>
  </si>
  <si>
    <t>OPERATING ACTIVITIES:</t>
  </si>
  <si>
    <t>INVESTING ACTIVITIES</t>
  </si>
  <si>
    <t>FINANCING ACTIVITIES</t>
  </si>
  <si>
    <t>Source (Use)</t>
  </si>
  <si>
    <t>Retained Earnings (December 31, 2003)</t>
  </si>
  <si>
    <t>This is a problem requiring you to construct a Statement of Cash Flow using the format below.</t>
  </si>
  <si>
    <t>This homework assignment is due on Monday.</t>
  </si>
  <si>
    <t>Dec. 31, 2004</t>
  </si>
  <si>
    <t>Retained Earnings (December 31, 2004)</t>
  </si>
  <si>
    <t>for the Year Ended Dec. 31, 2004</t>
  </si>
  <si>
    <t>Add: Net Income for 2004</t>
  </si>
  <si>
    <t>EXAMPLE COMPANY</t>
  </si>
  <si>
    <t>For  the year ended Dec. 31,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</si>
</sst>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Courier"/>
    </font>
    <font>
      <sz val="12"/>
      <color indexed="8"/>
      <name val="Courier"/>
    </font>
    <font>
      <sz val="8"/>
      <name val="Courier"/>
    </font>
    <font>
      <u/>
      <sz val="12"/>
      <name val="Courier"/>
    </font>
    <font>
      <sz val="12"/>
      <name val="Courier"/>
    </font>
    <font>
      <sz val="12"/>
      <name val="Century Gothic"/>
      <family val="2"/>
    </font>
    <font>
      <b/>
      <sz val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 applyProtection="1">
      <alignment horizontal="left"/>
    </xf>
    <xf numFmtId="37" fontId="0" fillId="0" borderId="0" xfId="0" applyNumberFormat="1" applyProtection="1"/>
    <xf numFmtId="37" fontId="0" fillId="0" borderId="0" xfId="0" applyNumberFormat="1" applyAlignment="1" applyProtection="1">
      <alignment horizontal="left"/>
    </xf>
    <xf numFmtId="0" fontId="0" fillId="0" borderId="0" xfId="0" applyProtection="1"/>
    <xf numFmtId="0" fontId="1" fillId="0" borderId="0" xfId="0" applyFont="1" applyFill="1" applyAlignment="1" applyProtection="1">
      <alignment horizontal="center"/>
    </xf>
    <xf numFmtId="37" fontId="4" fillId="0" borderId="0" xfId="0" applyNumberFormat="1" applyFont="1" applyProtection="1"/>
    <xf numFmtId="37" fontId="0" fillId="0" borderId="0" xfId="0" applyNumberFormat="1"/>
    <xf numFmtId="37" fontId="3" fillId="0" borderId="0" xfId="0" applyNumberFormat="1" applyFont="1"/>
    <xf numFmtId="0" fontId="3" fillId="0" borderId="0" xfId="0" applyFont="1"/>
    <xf numFmtId="37" fontId="0" fillId="0" borderId="1" xfId="0" applyNumberFormat="1" applyBorder="1" applyProtection="1"/>
    <xf numFmtId="37" fontId="0" fillId="0" borderId="2" xfId="0" applyNumberFormat="1" applyBorder="1" applyProtection="1"/>
    <xf numFmtId="37" fontId="0" fillId="0" borderId="3" xfId="0" applyNumberFormat="1" applyBorder="1" applyProtection="1"/>
    <xf numFmtId="37" fontId="0" fillId="0" borderId="0" xfId="0" applyNumberFormat="1" applyBorder="1" applyProtection="1"/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L110"/>
  <sheetViews>
    <sheetView tabSelected="1" workbookViewId="0">
      <selection activeCell="E10" sqref="E10"/>
    </sheetView>
  </sheetViews>
  <sheetFormatPr defaultColWidth="8.75" defaultRowHeight="12.5" x14ac:dyDescent="0.25"/>
  <cols>
    <col min="1" max="1" width="4.4140625" customWidth="1"/>
    <col min="2" max="2" width="15" customWidth="1"/>
    <col min="3" max="3" width="37.75" customWidth="1"/>
    <col min="4" max="4" width="11.75" customWidth="1"/>
    <col min="5" max="5" width="12.33203125" customWidth="1"/>
    <col min="6" max="7" width="11.75" customWidth="1"/>
    <col min="8" max="8" width="11.6640625" customWidth="1"/>
    <col min="9" max="9" width="11.75" customWidth="1"/>
  </cols>
  <sheetData>
    <row r="1" spans="2:6" x14ac:dyDescent="0.25">
      <c r="B1" t="s">
        <v>57</v>
      </c>
    </row>
    <row r="2" spans="2:6" x14ac:dyDescent="0.25">
      <c r="B2" t="s">
        <v>58</v>
      </c>
    </row>
    <row r="4" spans="2:6" ht="16" x14ac:dyDescent="0.35">
      <c r="C4" s="15" t="s">
        <v>63</v>
      </c>
    </row>
    <row r="5" spans="2:6" ht="16" x14ac:dyDescent="0.35">
      <c r="C5" s="15" t="s">
        <v>51</v>
      </c>
      <c r="E5" s="15"/>
      <c r="F5" s="15"/>
    </row>
    <row r="6" spans="2:6" ht="16" x14ac:dyDescent="0.35">
      <c r="C6" s="15" t="s">
        <v>64</v>
      </c>
      <c r="E6" s="15"/>
      <c r="F6" s="15"/>
    </row>
    <row r="7" spans="2:6" x14ac:dyDescent="0.25">
      <c r="C7" s="16" t="s">
        <v>52</v>
      </c>
    </row>
    <row r="8" spans="2:6" x14ac:dyDescent="0.25">
      <c r="D8" s="7"/>
    </row>
    <row r="9" spans="2:6" x14ac:dyDescent="0.25">
      <c r="D9" s="7"/>
    </row>
    <row r="11" spans="2:6" x14ac:dyDescent="0.25">
      <c r="D11" s="7"/>
    </row>
    <row r="12" spans="2:6" x14ac:dyDescent="0.25">
      <c r="D12" s="7"/>
    </row>
    <row r="14" spans="2:6" x14ac:dyDescent="0.25">
      <c r="D14" s="7"/>
    </row>
    <row r="15" spans="2:6" x14ac:dyDescent="0.25">
      <c r="D15" s="8"/>
      <c r="E15" s="7"/>
    </row>
    <row r="17" spans="1:12" x14ac:dyDescent="0.25">
      <c r="C17" s="16" t="s">
        <v>53</v>
      </c>
    </row>
    <row r="18" spans="1:12" x14ac:dyDescent="0.25">
      <c r="D18" s="9"/>
      <c r="E18" s="7"/>
    </row>
    <row r="19" spans="1:12" x14ac:dyDescent="0.25">
      <c r="D19" s="9"/>
      <c r="E19" s="7"/>
    </row>
    <row r="20" spans="1:12" x14ac:dyDescent="0.25">
      <c r="D20" s="9"/>
      <c r="E20" s="7"/>
    </row>
    <row r="22" spans="1:12" x14ac:dyDescent="0.25">
      <c r="C22" s="16" t="s">
        <v>54</v>
      </c>
    </row>
    <row r="23" spans="1:12" x14ac:dyDescent="0.25">
      <c r="D23" s="7"/>
      <c r="E23" s="7"/>
    </row>
    <row r="24" spans="1:12" x14ac:dyDescent="0.25">
      <c r="D24" s="7"/>
    </row>
    <row r="25" spans="1:12" x14ac:dyDescent="0.25">
      <c r="D25" s="8"/>
      <c r="E25" s="8"/>
    </row>
    <row r="26" spans="1:12" x14ac:dyDescent="0.25">
      <c r="D26" s="7"/>
      <c r="E26" s="7"/>
    </row>
    <row r="29" spans="1:12" ht="16" x14ac:dyDescent="0.35">
      <c r="A29" s="1"/>
      <c r="B29" s="1" t="s">
        <v>55</v>
      </c>
      <c r="C29" s="14" t="s">
        <v>0</v>
      </c>
      <c r="K29" s="4"/>
    </row>
    <row r="30" spans="1:12" ht="16" x14ac:dyDescent="0.35">
      <c r="A30" s="2"/>
      <c r="B30" s="2"/>
      <c r="C30" s="14" t="s">
        <v>1</v>
      </c>
      <c r="E30" s="5" t="s">
        <v>50</v>
      </c>
      <c r="H30" s="5" t="s">
        <v>50</v>
      </c>
      <c r="L30" s="5"/>
    </row>
    <row r="31" spans="1:12" ht="16" x14ac:dyDescent="0.35">
      <c r="A31" s="2"/>
      <c r="B31" s="2"/>
      <c r="C31" s="14" t="s">
        <v>59</v>
      </c>
      <c r="E31" s="5">
        <v>2003</v>
      </c>
      <c r="H31" s="5">
        <f>E31+1</f>
        <v>2004</v>
      </c>
      <c r="L31" s="5"/>
    </row>
    <row r="32" spans="1:12" x14ac:dyDescent="0.25">
      <c r="A32" s="2"/>
      <c r="B32" s="2"/>
    </row>
    <row r="33" spans="1:8" x14ac:dyDescent="0.25">
      <c r="A33" s="2"/>
      <c r="B33" s="2"/>
      <c r="C33" s="1" t="s">
        <v>2</v>
      </c>
    </row>
    <row r="34" spans="1:8" x14ac:dyDescent="0.25">
      <c r="A34" s="2"/>
      <c r="B34" s="2"/>
      <c r="C34" s="1" t="s">
        <v>3</v>
      </c>
    </row>
    <row r="35" spans="1:8" x14ac:dyDescent="0.25">
      <c r="A35" s="3"/>
      <c r="B35" s="2"/>
      <c r="C35" s="1" t="s">
        <v>4</v>
      </c>
      <c r="E35" s="2">
        <v>35000</v>
      </c>
      <c r="F35" s="2"/>
      <c r="H35" s="2">
        <v>50000</v>
      </c>
    </row>
    <row r="36" spans="1:8" x14ac:dyDescent="0.25">
      <c r="A36" s="2"/>
      <c r="B36" s="2"/>
      <c r="C36" s="1" t="s">
        <v>5</v>
      </c>
      <c r="E36" s="2">
        <v>110000</v>
      </c>
      <c r="F36" s="2"/>
      <c r="H36" s="2">
        <v>150000</v>
      </c>
    </row>
    <row r="37" spans="1:8" x14ac:dyDescent="0.25">
      <c r="A37" s="2"/>
      <c r="B37" s="2"/>
      <c r="C37" s="1" t="s">
        <v>6</v>
      </c>
      <c r="E37" s="2">
        <v>135000</v>
      </c>
      <c r="F37" s="2"/>
      <c r="H37" s="2">
        <v>200000</v>
      </c>
    </row>
    <row r="38" spans="1:8" x14ac:dyDescent="0.25">
      <c r="A38" s="2"/>
      <c r="B38" s="2"/>
      <c r="C38" s="1" t="s">
        <v>7</v>
      </c>
      <c r="E38" s="10">
        <v>220000</v>
      </c>
      <c r="F38" s="2"/>
      <c r="H38" s="10">
        <v>300000</v>
      </c>
    </row>
    <row r="39" spans="1:8" x14ac:dyDescent="0.25">
      <c r="A39" s="2"/>
      <c r="B39" s="2"/>
      <c r="C39" s="1" t="s">
        <v>8</v>
      </c>
      <c r="E39" s="2">
        <f>SUM(E35:E38)</f>
        <v>500000</v>
      </c>
      <c r="H39" s="2">
        <f>SUM(H35:H38)</f>
        <v>700000</v>
      </c>
    </row>
    <row r="40" spans="1:8" x14ac:dyDescent="0.25">
      <c r="A40" s="2"/>
      <c r="B40" s="2"/>
    </row>
    <row r="41" spans="1:8" x14ac:dyDescent="0.25">
      <c r="A41" s="2"/>
      <c r="B41" s="2"/>
      <c r="C41" s="1" t="s">
        <v>9</v>
      </c>
    </row>
    <row r="42" spans="1:8" x14ac:dyDescent="0.25">
      <c r="A42" s="2"/>
      <c r="B42" s="2"/>
      <c r="C42" s="1" t="s">
        <v>10</v>
      </c>
      <c r="E42" s="2">
        <v>1000000</v>
      </c>
      <c r="H42" s="2">
        <v>1000000</v>
      </c>
    </row>
    <row r="43" spans="1:8" x14ac:dyDescent="0.25">
      <c r="A43" s="2"/>
      <c r="C43" s="1" t="s">
        <v>11</v>
      </c>
      <c r="E43" s="10">
        <v>100000</v>
      </c>
      <c r="H43" s="10">
        <v>200000</v>
      </c>
    </row>
    <row r="44" spans="1:8" x14ac:dyDescent="0.25">
      <c r="A44" s="3"/>
      <c r="C44" s="1" t="s">
        <v>12</v>
      </c>
      <c r="E44" s="2">
        <f>E42-E43</f>
        <v>900000</v>
      </c>
      <c r="H44" s="2">
        <f>H42-H43</f>
        <v>800000</v>
      </c>
    </row>
    <row r="45" spans="1:8" x14ac:dyDescent="0.25">
      <c r="A45" s="2"/>
      <c r="C45" s="1" t="s">
        <v>13</v>
      </c>
      <c r="E45" s="10">
        <v>650000</v>
      </c>
      <c r="H45" s="10">
        <v>500000</v>
      </c>
    </row>
    <row r="46" spans="1:8" x14ac:dyDescent="0.25">
      <c r="A46" s="2"/>
      <c r="B46" s="2"/>
      <c r="C46" s="1" t="s">
        <v>14</v>
      </c>
      <c r="E46" s="10">
        <f>SUM(E44:E45)</f>
        <v>1550000</v>
      </c>
      <c r="H46" s="10">
        <f>SUM(H44:H45)</f>
        <v>1300000</v>
      </c>
    </row>
    <row r="47" spans="1:8" x14ac:dyDescent="0.25">
      <c r="A47" s="2"/>
      <c r="B47" s="2"/>
    </row>
    <row r="48" spans="1:8" ht="13" thickBot="1" x14ac:dyDescent="0.3">
      <c r="A48" s="2"/>
      <c r="B48" s="2"/>
      <c r="C48" s="1" t="s">
        <v>15</v>
      </c>
      <c r="E48" s="12">
        <f>E39+E46</f>
        <v>2050000</v>
      </c>
      <c r="H48" s="12">
        <f>H39+H46</f>
        <v>2000000</v>
      </c>
    </row>
    <row r="49" spans="1:8" ht="13" thickTop="1" x14ac:dyDescent="0.25">
      <c r="A49" s="2"/>
      <c r="B49" s="2"/>
    </row>
    <row r="50" spans="1:8" x14ac:dyDescent="0.25">
      <c r="A50" s="2"/>
      <c r="B50" s="2"/>
    </row>
    <row r="51" spans="1:8" x14ac:dyDescent="0.25">
      <c r="A51" s="2"/>
      <c r="B51" s="2"/>
      <c r="C51" s="1" t="s">
        <v>16</v>
      </c>
    </row>
    <row r="52" spans="1:8" x14ac:dyDescent="0.25">
      <c r="A52" s="2"/>
      <c r="B52" s="2"/>
      <c r="C52" s="1" t="s">
        <v>17</v>
      </c>
    </row>
    <row r="53" spans="1:8" x14ac:dyDescent="0.25">
      <c r="A53" s="2"/>
      <c r="B53" s="2"/>
      <c r="C53" s="1" t="s">
        <v>18</v>
      </c>
      <c r="E53" s="2">
        <v>70000</v>
      </c>
      <c r="H53" s="2">
        <v>75000</v>
      </c>
    </row>
    <row r="54" spans="1:8" x14ac:dyDescent="0.25">
      <c r="A54" s="2"/>
      <c r="B54" s="2"/>
      <c r="C54" s="1" t="s">
        <v>19</v>
      </c>
      <c r="E54" s="2">
        <v>64000</v>
      </c>
      <c r="H54" s="2">
        <v>75000</v>
      </c>
    </row>
    <row r="55" spans="1:8" x14ac:dyDescent="0.25">
      <c r="B55" s="2"/>
      <c r="C55" s="1" t="s">
        <v>20</v>
      </c>
      <c r="E55" s="10">
        <v>256000</v>
      </c>
      <c r="H55" s="10">
        <v>150000</v>
      </c>
    </row>
    <row r="56" spans="1:8" x14ac:dyDescent="0.25">
      <c r="A56" s="2"/>
      <c r="B56" s="2"/>
      <c r="C56" s="1" t="s">
        <v>21</v>
      </c>
      <c r="E56" s="2">
        <f>SUM(E53:E55)</f>
        <v>390000</v>
      </c>
      <c r="H56" s="2">
        <f>SUM(H53:H55)</f>
        <v>300000</v>
      </c>
    </row>
    <row r="57" spans="1:8" x14ac:dyDescent="0.25">
      <c r="A57" s="2"/>
      <c r="B57" s="2"/>
    </row>
    <row r="58" spans="1:8" x14ac:dyDescent="0.25">
      <c r="A58" s="2"/>
      <c r="B58" s="2"/>
      <c r="C58" s="1" t="s">
        <v>22</v>
      </c>
    </row>
    <row r="59" spans="1:8" x14ac:dyDescent="0.25">
      <c r="A59" s="2"/>
      <c r="B59" s="2"/>
      <c r="C59" s="1" t="s">
        <v>23</v>
      </c>
      <c r="E59" s="2">
        <v>400000</v>
      </c>
      <c r="H59" s="2">
        <v>400000</v>
      </c>
    </row>
    <row r="60" spans="1:8" x14ac:dyDescent="0.25">
      <c r="B60" s="2"/>
      <c r="C60" s="1" t="s">
        <v>24</v>
      </c>
      <c r="E60" s="10">
        <v>320000</v>
      </c>
      <c r="H60" s="10">
        <v>300000</v>
      </c>
    </row>
    <row r="61" spans="1:8" x14ac:dyDescent="0.25">
      <c r="A61" s="2"/>
      <c r="B61" s="2"/>
      <c r="C61" s="1" t="s">
        <v>25</v>
      </c>
      <c r="E61" s="2">
        <f>SUM(E59:E60)</f>
        <v>720000</v>
      </c>
      <c r="H61" s="2">
        <f>SUM(H59:H60)</f>
        <v>700000</v>
      </c>
    </row>
    <row r="62" spans="1:8" x14ac:dyDescent="0.25">
      <c r="A62" s="2"/>
      <c r="B62" s="2"/>
      <c r="C62" s="1"/>
      <c r="E62" s="2"/>
      <c r="H62" s="2"/>
    </row>
    <row r="63" spans="1:8" x14ac:dyDescent="0.25">
      <c r="A63" s="2"/>
      <c r="B63" s="2"/>
      <c r="C63" s="1" t="s">
        <v>26</v>
      </c>
      <c r="E63" s="2">
        <f>E56+E61</f>
        <v>1110000</v>
      </c>
      <c r="H63" s="2">
        <f>H56+H61</f>
        <v>1000000</v>
      </c>
    </row>
    <row r="64" spans="1:8" x14ac:dyDescent="0.25">
      <c r="A64" s="2"/>
      <c r="B64" s="2"/>
    </row>
    <row r="65" spans="1:8" x14ac:dyDescent="0.25">
      <c r="A65" s="2"/>
      <c r="B65" s="2"/>
      <c r="C65" s="1" t="s">
        <v>27</v>
      </c>
    </row>
    <row r="66" spans="1:8" x14ac:dyDescent="0.25">
      <c r="A66" s="2"/>
      <c r="B66" s="2"/>
      <c r="C66" s="1" t="s">
        <v>28</v>
      </c>
      <c r="E66" s="2">
        <v>500000</v>
      </c>
      <c r="H66" s="2">
        <v>500000</v>
      </c>
    </row>
    <row r="67" spans="1:8" x14ac:dyDescent="0.25">
      <c r="A67" s="2"/>
      <c r="C67" s="1" t="s">
        <v>29</v>
      </c>
      <c r="E67" s="10">
        <v>440000</v>
      </c>
      <c r="H67" s="10">
        <v>500000</v>
      </c>
    </row>
    <row r="68" spans="1:8" x14ac:dyDescent="0.25">
      <c r="A68" s="6"/>
      <c r="B68" s="6"/>
      <c r="C68" s="1" t="s">
        <v>30</v>
      </c>
      <c r="E68" s="10">
        <f>E66+E67</f>
        <v>940000</v>
      </c>
      <c r="H68" s="10">
        <f>H66+H67</f>
        <v>1000000</v>
      </c>
    </row>
    <row r="69" spans="1:8" x14ac:dyDescent="0.25">
      <c r="A69" s="2"/>
      <c r="B69" s="2"/>
    </row>
    <row r="70" spans="1:8" ht="13" thickBot="1" x14ac:dyDescent="0.3">
      <c r="C70" s="1" t="s">
        <v>31</v>
      </c>
      <c r="E70" s="12">
        <f>E63+E68</f>
        <v>2050000</v>
      </c>
      <c r="H70" s="12">
        <f>H63+H68</f>
        <v>2000000</v>
      </c>
    </row>
    <row r="71" spans="1:8" ht="13" thickTop="1" x14ac:dyDescent="0.25"/>
    <row r="72" spans="1:8" x14ac:dyDescent="0.25">
      <c r="C72" s="1" t="s">
        <v>0</v>
      </c>
    </row>
    <row r="73" spans="1:8" x14ac:dyDescent="0.25">
      <c r="C73" s="1" t="s">
        <v>32</v>
      </c>
    </row>
    <row r="74" spans="1:8" x14ac:dyDescent="0.25">
      <c r="C74" s="1" t="s">
        <v>61</v>
      </c>
    </row>
    <row r="76" spans="1:8" x14ac:dyDescent="0.25">
      <c r="C76" s="1" t="s">
        <v>33</v>
      </c>
      <c r="E76" s="2">
        <v>2000000</v>
      </c>
      <c r="H76" s="2">
        <v>3000000</v>
      </c>
    </row>
    <row r="77" spans="1:8" x14ac:dyDescent="0.25">
      <c r="C77" s="1" t="s">
        <v>34</v>
      </c>
      <c r="E77" s="10">
        <v>1450000</v>
      </c>
      <c r="H77" s="10">
        <v>2250000</v>
      </c>
    </row>
    <row r="78" spans="1:8" x14ac:dyDescent="0.25">
      <c r="C78" s="1" t="s">
        <v>35</v>
      </c>
      <c r="E78" s="2">
        <f>E76-E77</f>
        <v>550000</v>
      </c>
      <c r="H78" s="2">
        <f>H76-H77</f>
        <v>750000</v>
      </c>
    </row>
    <row r="79" spans="1:8" x14ac:dyDescent="0.25">
      <c r="C79" s="1"/>
      <c r="E79" s="2"/>
      <c r="H79" s="2"/>
    </row>
    <row r="80" spans="1:8" x14ac:dyDescent="0.25">
      <c r="C80" s="1" t="s">
        <v>36</v>
      </c>
    </row>
    <row r="81" spans="3:9" x14ac:dyDescent="0.25">
      <c r="C81" s="1" t="s">
        <v>37</v>
      </c>
      <c r="E81" s="2">
        <v>102000</v>
      </c>
      <c r="H81" s="2">
        <v>122000</v>
      </c>
    </row>
    <row r="82" spans="3:9" x14ac:dyDescent="0.25">
      <c r="C82" s="1" t="s">
        <v>38</v>
      </c>
      <c r="E82" s="2">
        <v>95000</v>
      </c>
      <c r="H82" s="2">
        <v>105000</v>
      </c>
    </row>
    <row r="83" spans="3:9" x14ac:dyDescent="0.25">
      <c r="C83" s="1" t="s">
        <v>39</v>
      </c>
      <c r="E83" s="2">
        <v>220000</v>
      </c>
      <c r="H83" s="2">
        <v>250000</v>
      </c>
    </row>
    <row r="84" spans="3:9" x14ac:dyDescent="0.25">
      <c r="C84" s="1" t="s">
        <v>40</v>
      </c>
      <c r="E84" s="10">
        <v>28000</v>
      </c>
      <c r="H84" s="10">
        <v>28000</v>
      </c>
    </row>
    <row r="85" spans="3:9" x14ac:dyDescent="0.25">
      <c r="C85" s="1"/>
      <c r="E85" s="2">
        <f>SUM(E81:E84)</f>
        <v>445000</v>
      </c>
      <c r="F85" s="2"/>
      <c r="H85" s="2">
        <f>SUM(H81:H84)</f>
        <v>505000</v>
      </c>
      <c r="I85" s="2"/>
    </row>
    <row r="86" spans="3:9" x14ac:dyDescent="0.25">
      <c r="C86" s="1"/>
      <c r="E86" s="2"/>
      <c r="F86" s="2"/>
      <c r="H86" s="2"/>
      <c r="I86" s="2"/>
    </row>
    <row r="87" spans="3:9" x14ac:dyDescent="0.25">
      <c r="C87" s="1" t="s">
        <v>41</v>
      </c>
      <c r="E87" s="2">
        <f>E78-E85</f>
        <v>105000</v>
      </c>
      <c r="H87" s="2">
        <f>H78-H85</f>
        <v>245000</v>
      </c>
    </row>
    <row r="88" spans="3:9" x14ac:dyDescent="0.25">
      <c r="C88" s="1" t="s">
        <v>42</v>
      </c>
      <c r="E88" s="10">
        <v>45000</v>
      </c>
      <c r="H88" s="10">
        <v>45000</v>
      </c>
    </row>
    <row r="89" spans="3:9" x14ac:dyDescent="0.25">
      <c r="C89" s="1" t="s">
        <v>43</v>
      </c>
      <c r="E89" s="2">
        <f>E87-E88</f>
        <v>60000</v>
      </c>
      <c r="H89" s="2">
        <f>H87-H88</f>
        <v>200000</v>
      </c>
    </row>
    <row r="90" spans="3:9" x14ac:dyDescent="0.25">
      <c r="C90" s="1" t="s">
        <v>44</v>
      </c>
      <c r="E90" s="10">
        <f>0.4*E89</f>
        <v>24000</v>
      </c>
      <c r="H90" s="10">
        <f>0.4*H89</f>
        <v>80000</v>
      </c>
    </row>
    <row r="91" spans="3:9" ht="13" thickBot="1" x14ac:dyDescent="0.3">
      <c r="C91" s="1" t="s">
        <v>45</v>
      </c>
      <c r="E91" s="12">
        <f>E89-E90</f>
        <v>36000</v>
      </c>
      <c r="H91" s="12">
        <f>H89-H90</f>
        <v>120000</v>
      </c>
    </row>
    <row r="92" spans="3:9" ht="13" thickTop="1" x14ac:dyDescent="0.25"/>
    <row r="93" spans="3:9" x14ac:dyDescent="0.25">
      <c r="C93" s="1" t="s">
        <v>46</v>
      </c>
      <c r="E93" s="2">
        <v>20000</v>
      </c>
      <c r="H93" s="2">
        <v>20000</v>
      </c>
    </row>
    <row r="94" spans="3:9" x14ac:dyDescent="0.25">
      <c r="C94" s="1" t="s">
        <v>47</v>
      </c>
      <c r="E94" s="2">
        <f>E91-E93</f>
        <v>16000</v>
      </c>
      <c r="H94" s="13">
        <f>H91-H93</f>
        <v>100000</v>
      </c>
    </row>
    <row r="101" spans="3:8" ht="16" x14ac:dyDescent="0.35">
      <c r="C101" s="14" t="s">
        <v>0</v>
      </c>
    </row>
    <row r="102" spans="3:8" ht="16" x14ac:dyDescent="0.35">
      <c r="C102" s="14" t="s">
        <v>48</v>
      </c>
    </row>
    <row r="103" spans="3:8" ht="16" x14ac:dyDescent="0.35">
      <c r="C103" s="14" t="s">
        <v>59</v>
      </c>
    </row>
    <row r="105" spans="3:8" x14ac:dyDescent="0.25">
      <c r="C105" s="1" t="s">
        <v>56</v>
      </c>
      <c r="H105" s="2">
        <v>440000</v>
      </c>
    </row>
    <row r="106" spans="3:8" x14ac:dyDescent="0.25">
      <c r="C106" s="1" t="s">
        <v>62</v>
      </c>
      <c r="H106" s="10">
        <v>120000</v>
      </c>
    </row>
    <row r="107" spans="3:8" x14ac:dyDescent="0.25">
      <c r="H107" s="2">
        <v>560000</v>
      </c>
    </row>
    <row r="108" spans="3:8" x14ac:dyDescent="0.25">
      <c r="C108" s="1" t="s">
        <v>49</v>
      </c>
      <c r="H108" s="10">
        <v>60000</v>
      </c>
    </row>
    <row r="109" spans="3:8" ht="13" thickBot="1" x14ac:dyDescent="0.3">
      <c r="C109" s="1" t="s">
        <v>60</v>
      </c>
      <c r="H109" s="11">
        <v>500000</v>
      </c>
    </row>
    <row r="110" spans="3:8" ht="13" thickTop="1" x14ac:dyDescent="0.25"/>
  </sheetData>
  <phoneticPr fontId="2" type="noConversion"/>
  <pageMargins left="0.75" right="0.75" top="1" bottom="1" header="0.5" footer="0.5"/>
  <pageSetup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SCFSOL</vt:lpstr>
      <vt:lpstr>SCFSOL!Print_Area</vt:lpstr>
      <vt:lpstr>RATIO</vt:lpstr>
    </vt:vector>
  </TitlesOfParts>
  <Company>The University of Mississippi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pmalone</dc:creator>
  <cp:lastModifiedBy>Carina Negreanu</cp:lastModifiedBy>
  <cp:lastPrinted>2002-02-15T01:32:49Z</cp:lastPrinted>
  <dcterms:created xsi:type="dcterms:W3CDTF">2002-02-15T01:28:28Z</dcterms:created>
  <dcterms:modified xsi:type="dcterms:W3CDTF">2020-01-27T12:38:41Z</dcterms:modified>
</cp:coreProperties>
</file>