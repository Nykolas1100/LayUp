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046DFB-1D1A-4A0E-A893-91E758E0721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1" l="1"/>
  <c r="F14" i="1"/>
  <c r="F16" i="1"/>
  <c r="F21" i="1"/>
  <c r="F28" i="1"/>
  <c r="F33" i="1"/>
  <c r="F38" i="1"/>
  <c r="F45" i="1"/>
  <c r="F50" i="1"/>
  <c r="F56" i="1"/>
  <c r="F66" i="1" s="1"/>
  <c r="F60" i="1"/>
  <c r="F72" i="1"/>
  <c r="F78" i="1"/>
  <c r="F84" i="1" s="1"/>
  <c r="F91" i="1"/>
  <c r="F96" i="1"/>
  <c r="F101" i="1"/>
  <c r="F216" i="1" s="1"/>
  <c r="F107" i="1"/>
  <c r="F114" i="1"/>
  <c r="F122" i="1" s="1"/>
  <c r="F217" i="1" s="1"/>
  <c r="F148" i="1"/>
  <c r="F164" i="1"/>
  <c r="F170" i="1"/>
  <c r="F198" i="1"/>
  <c r="F203" i="1"/>
  <c r="F209" i="1"/>
  <c r="F214" i="1"/>
  <c r="F223" i="1"/>
  <c r="F228" i="1"/>
  <c r="F233" i="1"/>
  <c r="F240" i="1"/>
  <c r="F245" i="1"/>
  <c r="F248" i="1"/>
  <c r="F250" i="1" s="1"/>
  <c r="F257" i="1"/>
  <c r="F268" i="1"/>
  <c r="F270" i="1" s="1"/>
  <c r="F281" i="1"/>
  <c r="F283" i="1" s="1"/>
  <c r="F288" i="1"/>
  <c r="F294" i="1"/>
  <c r="F302" i="1" s="1"/>
  <c r="F307" i="1"/>
  <c r="F312" i="1"/>
  <c r="F315" i="1" s="1"/>
  <c r="F314" i="1"/>
  <c r="F322" i="1"/>
  <c r="F327" i="1"/>
  <c r="F333" i="1"/>
  <c r="F339" i="1"/>
  <c r="F367" i="1" s="1"/>
  <c r="F341" i="1"/>
  <c r="F350" i="1"/>
  <c r="F355" i="1"/>
  <c r="F360" i="1"/>
  <c r="F368" i="1" s="1"/>
  <c r="F365" i="1"/>
  <c r="F374" i="1"/>
  <c r="F382" i="1"/>
  <c r="F388" i="1"/>
  <c r="F390" i="1"/>
  <c r="F395" i="1"/>
  <c r="F400" i="1"/>
  <c r="F409" i="1"/>
  <c r="F412" i="1" s="1"/>
  <c r="F411" i="1"/>
  <c r="F417" i="1"/>
  <c r="F422" i="1"/>
  <c r="F424" i="1" s="1"/>
  <c r="F429" i="1"/>
  <c r="F434" i="1"/>
  <c r="F443" i="1"/>
  <c r="F448" i="1"/>
  <c r="F456" i="1"/>
  <c r="F462" i="1"/>
  <c r="F468" i="1"/>
  <c r="F473" i="1"/>
  <c r="F481" i="1"/>
  <c r="F486" i="1"/>
  <c r="F492" i="1" s="1"/>
  <c r="F500" i="1" s="1"/>
  <c r="F497" i="1"/>
  <c r="F499" i="1"/>
  <c r="F505" i="1"/>
  <c r="F510" i="1"/>
  <c r="F514" i="1" s="1"/>
  <c r="F520" i="1"/>
  <c r="F524" i="1"/>
  <c r="F530" i="1" s="1"/>
  <c r="F535" i="1"/>
  <c r="F540" i="1"/>
  <c r="F546" i="1"/>
  <c r="F551" i="1"/>
  <c r="F592" i="1" s="1"/>
  <c r="F557" i="1"/>
  <c r="F593" i="1" s="1"/>
  <c r="F566" i="1"/>
  <c r="F573" i="1"/>
  <c r="F579" i="1"/>
  <c r="F584" i="1"/>
  <c r="F590" i="1"/>
  <c r="F603" i="1"/>
  <c r="F611" i="1"/>
  <c r="F619" i="1"/>
  <c r="F628" i="1"/>
  <c r="F637" i="1"/>
  <c r="F646" i="1"/>
  <c r="F654" i="1"/>
  <c r="F658" i="1"/>
  <c r="F663" i="1"/>
  <c r="F669" i="1"/>
  <c r="F673" i="1"/>
  <c r="F681" i="1"/>
  <c r="F687" i="1" s="1"/>
  <c r="F685" i="1"/>
  <c r="F688" i="1" s="1"/>
  <c r="F694" i="1"/>
  <c r="F703" i="1"/>
  <c r="F707" i="1"/>
  <c r="F711" i="1"/>
  <c r="F713" i="1"/>
  <c r="F717" i="1" s="1"/>
  <c r="F754" i="1" s="1"/>
  <c r="F724" i="1"/>
  <c r="F729" i="1"/>
  <c r="F735" i="1"/>
  <c r="F740" i="1"/>
  <c r="F745" i="1"/>
  <c r="F751" i="1"/>
  <c r="F753" i="1"/>
  <c r="F762" i="1"/>
  <c r="F767" i="1"/>
  <c r="F772" i="1"/>
  <c r="F781" i="1"/>
  <c r="F788" i="1"/>
  <c r="F793" i="1"/>
  <c r="F799" i="1"/>
  <c r="F803" i="1"/>
  <c r="F808" i="1"/>
  <c r="F813" i="1"/>
  <c r="F818" i="1"/>
  <c r="F826" i="1" s="1"/>
  <c r="F869" i="1" s="1"/>
  <c r="F831" i="1"/>
  <c r="F836" i="1"/>
  <c r="F844" i="1"/>
  <c r="F849" i="1"/>
  <c r="F858" i="1"/>
  <c r="F866" i="1"/>
  <c r="F868" i="1"/>
  <c r="F884" i="1"/>
  <c r="F887" i="1"/>
  <c r="F889" i="1"/>
  <c r="F895" i="1"/>
  <c r="F901" i="1" s="1"/>
  <c r="F908" i="1"/>
  <c r="F914" i="1"/>
  <c r="F920" i="1"/>
  <c r="F926" i="1"/>
  <c r="F928" i="1"/>
  <c r="F934" i="1"/>
  <c r="F938" i="1"/>
  <c r="F944" i="1"/>
  <c r="F950" i="1"/>
  <c r="F960" i="1"/>
  <c r="F969" i="1"/>
  <c r="F976" i="1"/>
  <c r="F981" i="1"/>
  <c r="F983" i="1"/>
  <c r="F984" i="1"/>
  <c r="F992" i="1"/>
  <c r="F999" i="1"/>
  <c r="F1015" i="1"/>
  <c r="F1017" i="1"/>
  <c r="F1023" i="1" s="1"/>
  <c r="F1033" i="1" s="1"/>
  <c r="F1030" i="1"/>
  <c r="F1042" i="1"/>
  <c r="F1047" i="1"/>
  <c r="F1053" i="1"/>
  <c r="F1060" i="1"/>
  <c r="F1069" i="1"/>
  <c r="F1078" i="1"/>
  <c r="F1083" i="1"/>
  <c r="F1088" i="1"/>
  <c r="F1093" i="1"/>
  <c r="F1095" i="1"/>
  <c r="F1096" i="1"/>
  <c r="F1108" i="1"/>
  <c r="F1113" i="1"/>
  <c r="F1117" i="1"/>
  <c r="F1126" i="1"/>
  <c r="F1129" i="1" s="1"/>
  <c r="F1128" i="1"/>
  <c r="F1136" i="1"/>
  <c r="F1138" i="1"/>
  <c r="F1143" i="1"/>
  <c r="F1150" i="1"/>
  <c r="F1155" i="1"/>
  <c r="F1164" i="1"/>
  <c r="F1171" i="1"/>
  <c r="F1181" i="1"/>
  <c r="F1189" i="1"/>
  <c r="F1196" i="1"/>
  <c r="F1204" i="1"/>
  <c r="F1212" i="1"/>
  <c r="F1224" i="1"/>
  <c r="F1232" i="1"/>
  <c r="F1237" i="1"/>
  <c r="F1245" i="1"/>
  <c r="F1247" i="1"/>
  <c r="F1248" i="1"/>
  <c r="F1254" i="1"/>
  <c r="F1260" i="1" s="1"/>
  <c r="F1268" i="1"/>
  <c r="F1274" i="1"/>
  <c r="F1280" i="1"/>
  <c r="F1284" i="1"/>
  <c r="F1289" i="1"/>
  <c r="F1291" i="1"/>
  <c r="F1299" i="1"/>
  <c r="F1305" i="1"/>
  <c r="F1310" i="1"/>
  <c r="F1312" i="1"/>
  <c r="F1314" i="1"/>
  <c r="F1318" i="1"/>
  <c r="F1319" i="1"/>
  <c r="F254" i="1" l="1"/>
  <c r="F260" i="1" s="1"/>
  <c r="F259" i="1"/>
  <c r="F1317" i="1"/>
  <c r="F1320" i="1"/>
  <c r="F1032" i="1"/>
  <c r="F1321" i="1" l="1"/>
</calcChain>
</file>

<file path=xl/sharedStrings.xml><?xml version="1.0" encoding="utf-8"?>
<sst xmlns="http://schemas.openxmlformats.org/spreadsheetml/2006/main" count="895" uniqueCount="507">
  <si>
    <t>Administration</t>
  </si>
  <si>
    <t>Central Management</t>
  </si>
  <si>
    <t>General Revenue Total</t>
  </si>
  <si>
    <t xml:space="preserve"> </t>
  </si>
  <si>
    <t>Federal Funds Total</t>
  </si>
  <si>
    <t>Total - Central Management</t>
  </si>
  <si>
    <t>Accounts &amp; Control</t>
  </si>
  <si>
    <t>General Revenue</t>
  </si>
  <si>
    <t>RI e-Government Fund- RI - SAIL</t>
  </si>
  <si>
    <t>Total - Accounts &amp; Control</t>
  </si>
  <si>
    <t>Budgeting</t>
  </si>
  <si>
    <t>Total - Budgeting</t>
  </si>
  <si>
    <t>Municipal Affairs</t>
  </si>
  <si>
    <t>Total - Municipal Affairs</t>
  </si>
  <si>
    <t>Purchasing</t>
  </si>
  <si>
    <t>Total - Purchasing</t>
  </si>
  <si>
    <t>Auditing</t>
  </si>
  <si>
    <t>Total - Auditing</t>
  </si>
  <si>
    <t>Human Resources</t>
  </si>
  <si>
    <t>Total - Human Resources</t>
  </si>
  <si>
    <t>Personnel Appeal Board</t>
  </si>
  <si>
    <t>Total - Personnel Appeal Board</t>
  </si>
  <si>
    <t>Taxation</t>
  </si>
  <si>
    <t>Other Funds</t>
  </si>
  <si>
    <t>Motor Fuel Tax Evasion Program</t>
  </si>
  <si>
    <t>Temporary Disability Insurance</t>
  </si>
  <si>
    <t>Other Funds Total</t>
  </si>
  <si>
    <t>General Revenues</t>
  </si>
  <si>
    <t>Restricted Receipts Total</t>
  </si>
  <si>
    <t>Total - Taxation</t>
  </si>
  <si>
    <t>Registry of Motor Vehicles</t>
  </si>
  <si>
    <t>Motor Vehicle Emission Inspections - CMAQ</t>
  </si>
  <si>
    <t>Registration Denial Program</t>
  </si>
  <si>
    <t>RI  e-Government Fund - Digital License System</t>
  </si>
  <si>
    <t>RI  e-Government Fund - OLIS Support - RMV System</t>
  </si>
  <si>
    <t>Total - Registry of Motor Vehicles</t>
  </si>
  <si>
    <t>Child Support Enforcement</t>
  </si>
  <si>
    <t>Total - Child Support Enforcement</t>
  </si>
  <si>
    <t>Central Services</t>
  </si>
  <si>
    <t xml:space="preserve">Lighting Conservation </t>
  </si>
  <si>
    <t>Energy Office Grants</t>
  </si>
  <si>
    <t>Total - Central Services</t>
  </si>
  <si>
    <t>Office of Library and Information</t>
  </si>
  <si>
    <t>Federal Highway - PL Systems Planning</t>
  </si>
  <si>
    <t>Federal Highway - T2 Systems Planning</t>
  </si>
  <si>
    <t>Air Quality Modeling</t>
  </si>
  <si>
    <t>Total - Office of Library and Information Services</t>
  </si>
  <si>
    <t>General</t>
  </si>
  <si>
    <t>RICAP - State House Renovations (Phase 1)</t>
  </si>
  <si>
    <t xml:space="preserve"> RICAP - A-Building - Pastore Center</t>
  </si>
  <si>
    <t>RICAP - State House Skylights and Roof Repairs</t>
  </si>
  <si>
    <t>RICAP - State House Terrace/South Stairs</t>
  </si>
  <si>
    <t>RICAP - Chapin Health Laboratory</t>
  </si>
  <si>
    <t>RICAP - Cranston Street Armory</t>
  </si>
  <si>
    <t>RICAP - Cannon Building</t>
  </si>
  <si>
    <t>RICAP - Second State House Elevator</t>
  </si>
  <si>
    <t>RICAP - Ladd Center - Infrastructure</t>
  </si>
  <si>
    <t>RICAP - Old State House</t>
  </si>
  <si>
    <t>RICAP - State Office Building</t>
  </si>
  <si>
    <t>RICAP - Veterans Office Building</t>
  </si>
  <si>
    <t>RICAP - State Information Operations Center</t>
  </si>
  <si>
    <t>RICAP - Old Colony House</t>
  </si>
  <si>
    <t>RICAP - Court Buildings - HVAC</t>
  </si>
  <si>
    <t>RICAP - Asset Inventory</t>
  </si>
  <si>
    <t>RICAP - Washington County Government Center</t>
  </si>
  <si>
    <t>RICAP - State House Renovations - Phase II</t>
  </si>
  <si>
    <t xml:space="preserve"> RICAP - Board of Elections Building</t>
  </si>
  <si>
    <t>RICAP - Environmental Compliance</t>
  </si>
  <si>
    <t>RICAP - Fox Point Hurricane Barrier</t>
  </si>
  <si>
    <t xml:space="preserve">General Revenue </t>
  </si>
  <si>
    <t>Contigency Fund</t>
  </si>
  <si>
    <t>Race and Police Community Relations Commission</t>
  </si>
  <si>
    <t>Economic Development Corporation</t>
  </si>
  <si>
    <t>Centers of Excellence</t>
  </si>
  <si>
    <t>Housing Resources Commission</t>
  </si>
  <si>
    <t>Motor Vehicle Excise Tax Payment</t>
  </si>
  <si>
    <t>Property Valuation</t>
  </si>
  <si>
    <t>General Revenue Sharing Program</t>
  </si>
  <si>
    <t>Payment in Lieu of Tax Exempt Properties</t>
  </si>
  <si>
    <t>Distressed Communities Relief Program</t>
  </si>
  <si>
    <t>Resource Sharing and State Library Aid</t>
  </si>
  <si>
    <t>Library Construction Aid</t>
  </si>
  <si>
    <t>Federal Funds</t>
  </si>
  <si>
    <t>Total- General</t>
  </si>
  <si>
    <t>Debt Service Payments</t>
  </si>
  <si>
    <t>MHRH Com Services</t>
  </si>
  <si>
    <t>MHRH Comm. Mental Health</t>
  </si>
  <si>
    <t>DEM - Narrgansett Bay Commission</t>
  </si>
  <si>
    <t>DEM - Clean Water Finance Agency</t>
  </si>
  <si>
    <t>DEM Debt Service - Recreation</t>
  </si>
  <si>
    <t>DEM - Wasterwater Treatment</t>
  </si>
  <si>
    <t>RIPTA Debt Service</t>
  </si>
  <si>
    <t>Transportation Debt Service</t>
  </si>
  <si>
    <t>RIRBA - DLT Temporary Disability Insurance</t>
  </si>
  <si>
    <t>COPS - DLT Building - Other</t>
  </si>
  <si>
    <t>COPS - Center General - Furniture - TDI</t>
  </si>
  <si>
    <t>COPS - Pastore Center Telecomm - TDI</t>
  </si>
  <si>
    <t>Debt - URI Education and General</t>
  </si>
  <si>
    <t>Debt - URI Housing Loan Funds</t>
  </si>
  <si>
    <t>Debt - URI Dining Services</t>
  </si>
  <si>
    <t>Debt - URI Health Services</t>
  </si>
  <si>
    <t>Debt - W. Alton Jones Services</t>
  </si>
  <si>
    <t>Debt - URI Memorial Union</t>
  </si>
  <si>
    <t>Debt - URI Sponsored Research (Indirect Cost)</t>
  </si>
  <si>
    <t>Debt - RIC Education and General</t>
  </si>
  <si>
    <t>Debt - RIC Housing</t>
  </si>
  <si>
    <t>Debt - RIC Student Center and Dining</t>
  </si>
  <si>
    <t>Debt - RIC Student Union</t>
  </si>
  <si>
    <t>Debt - CCRI Bookstore</t>
  </si>
  <si>
    <t>Total - Debt Service Payments</t>
  </si>
  <si>
    <t>Division of Sheriffs</t>
  </si>
  <si>
    <t>Total - Sheriffs</t>
  </si>
  <si>
    <t xml:space="preserve">Grand Total - General Revenue Funds </t>
  </si>
  <si>
    <t>Grand Total - Administration</t>
  </si>
  <si>
    <t>Business Regulation</t>
  </si>
  <si>
    <t>Banking Regulation</t>
  </si>
  <si>
    <t>Total - Banking Regulation</t>
  </si>
  <si>
    <t>Securities Regulation</t>
  </si>
  <si>
    <t>Total - Securities Regulation</t>
  </si>
  <si>
    <t>Commercial Licensing and Regulation</t>
  </si>
  <si>
    <t>Total - Commercial Licensing and Regulation</t>
  </si>
  <si>
    <t>Racing and Athletics</t>
  </si>
  <si>
    <t>Total - Racing and Athletics</t>
  </si>
  <si>
    <t>Insurance Regulation</t>
  </si>
  <si>
    <t>Gramm,Leach,Bililey Act- Gen Rev</t>
  </si>
  <si>
    <t>Total - Insurance Regulation</t>
  </si>
  <si>
    <t>Board of Accountancy</t>
  </si>
  <si>
    <t>Grand Total - Business Regulation</t>
  </si>
  <si>
    <t>Labor and Training</t>
  </si>
  <si>
    <t>Restricted Receipts</t>
  </si>
  <si>
    <t>Director of Workers' Compensation</t>
  </si>
  <si>
    <t>Workforce Development Services</t>
  </si>
  <si>
    <t xml:space="preserve"> ES - Reemployment Program</t>
  </si>
  <si>
    <t>Human Resource Investment Council</t>
  </si>
  <si>
    <t>Job Development Fund DET Admin</t>
  </si>
  <si>
    <t>HRIC - Supportive Work/Rapid Job Entry</t>
  </si>
  <si>
    <t>Reed Act-Rapid Job Entry</t>
  </si>
  <si>
    <t>Total - Workforce Development Services</t>
  </si>
  <si>
    <t>Workforce Regulation and Safety</t>
  </si>
  <si>
    <t>Total - Workforce Regulation and Safety</t>
  </si>
  <si>
    <t>Income Support</t>
  </si>
  <si>
    <t>Temporary Disability Insurance Fund</t>
  </si>
  <si>
    <t>Employment Security Fund</t>
  </si>
  <si>
    <t>Restricted Receipt Total</t>
  </si>
  <si>
    <t>Total - Income Support</t>
  </si>
  <si>
    <t>Injured Workers Services</t>
  </si>
  <si>
    <t>Total - Injured Workers Services</t>
  </si>
  <si>
    <t>Labor Relations Board</t>
  </si>
  <si>
    <t>Total - Labor Relations Board</t>
  </si>
  <si>
    <t>Grand Total - Labor and Training</t>
  </si>
  <si>
    <t>Legislature</t>
  </si>
  <si>
    <t>General Revenue Fund Total</t>
  </si>
  <si>
    <t>Restricted Receipts Fund Total</t>
  </si>
  <si>
    <t>Grand Total - Legislature</t>
  </si>
  <si>
    <t xml:space="preserve">Lieutenant Governor </t>
  </si>
  <si>
    <t xml:space="preserve">Grand Total - Lieutenant Governor </t>
  </si>
  <si>
    <t>State</t>
  </si>
  <si>
    <t>Total - Administration</t>
  </si>
  <si>
    <t>Corporations</t>
  </si>
  <si>
    <t>RI  e-Gov Fund - UCC Automated System</t>
  </si>
  <si>
    <t>Total - Corporations</t>
  </si>
  <si>
    <t>State Archives</t>
  </si>
  <si>
    <t>Total - State Archives</t>
  </si>
  <si>
    <t>Elections</t>
  </si>
  <si>
    <t>Total - Elections</t>
  </si>
  <si>
    <t>State Library</t>
  </si>
  <si>
    <t>Total - State Library</t>
  </si>
  <si>
    <t>Office of Public Information</t>
  </si>
  <si>
    <t>Total - Office of Public Information</t>
  </si>
  <si>
    <t>Grand Total - State</t>
  </si>
  <si>
    <t>General Treasurer</t>
  </si>
  <si>
    <t>Treasury</t>
  </si>
  <si>
    <t>Total - Treasury</t>
  </si>
  <si>
    <t>State Retirement System</t>
  </si>
  <si>
    <t>Administrative Expenses - State Retirement System</t>
  </si>
  <si>
    <t>Retirement-Treasury Investment Operations</t>
  </si>
  <si>
    <t>Total - State Retirement System</t>
  </si>
  <si>
    <t>Unclaimed Property</t>
  </si>
  <si>
    <t>Total - Unclaimed Property</t>
  </si>
  <si>
    <t>RI Refunding Bond Authority</t>
  </si>
  <si>
    <t>Total - RI Refunding Bond Authority</t>
  </si>
  <si>
    <t>Crime Victim Compensation Program</t>
  </si>
  <si>
    <t>Total - Crime Victim Compensation Program</t>
  </si>
  <si>
    <t>Grand Total - General Treasurer</t>
  </si>
  <si>
    <t>Boards For Design Professionals</t>
  </si>
  <si>
    <t>Grand Total - Boards For Design Professionals</t>
  </si>
  <si>
    <t>Board of Elections</t>
  </si>
  <si>
    <t>RI  e-Government Fund - Electronic Campaign Finance System</t>
  </si>
  <si>
    <t>Grand Total - Board of Elections</t>
  </si>
  <si>
    <t>Rhode Island Ethics Commissions</t>
  </si>
  <si>
    <t>Grand Total - Rhode Island Ethics Commissions</t>
  </si>
  <si>
    <t>Office of Governor</t>
  </si>
  <si>
    <t>Grand Total - Office of Governor</t>
  </si>
  <si>
    <t>Public Utilities Commission</t>
  </si>
  <si>
    <t>Grand Total - Public Utilities Commission</t>
  </si>
  <si>
    <t>Rhode Island Commission on Women</t>
  </si>
  <si>
    <t>Grand Total - Rhode Island Commission on Women</t>
  </si>
  <si>
    <t>Children, Youth, and Families</t>
  </si>
  <si>
    <t>Children's Behavioral Health Services</t>
  </si>
  <si>
    <t>RICAP - Groden Center - Mt. Hope</t>
  </si>
  <si>
    <t>RICAP - Spurwink/RI</t>
  </si>
  <si>
    <t>Total - Children's Behavioral Health Services</t>
  </si>
  <si>
    <t>Juvenile Correctional Services</t>
  </si>
  <si>
    <t>RICAP - RI Training School Bathroom Renovation</t>
  </si>
  <si>
    <t>Total - Juvenile Correctional Services</t>
  </si>
  <si>
    <t>Child Welfare</t>
  </si>
  <si>
    <t>Children's Trust Fund</t>
  </si>
  <si>
    <t>Total - Child Welfare</t>
  </si>
  <si>
    <t>Higher Education Incentive Grants</t>
  </si>
  <si>
    <t>Total - Higher Education Incentive Grants</t>
  </si>
  <si>
    <t>Grand Total - Children, Youth, and Families</t>
  </si>
  <si>
    <t>Elderly Affairs</t>
  </si>
  <si>
    <t>Intermodal Surface Transportation Fund</t>
  </si>
  <si>
    <t>RIPAE</t>
  </si>
  <si>
    <t>Safety and Care of the Elderly</t>
  </si>
  <si>
    <t>Grand Total - Elderly Affairs</t>
  </si>
  <si>
    <t>Health</t>
  </si>
  <si>
    <t>Trauma Registry</t>
  </si>
  <si>
    <t>RI  e-Gov Fund - Automated Vital Records System</t>
  </si>
  <si>
    <t>State Medical Examiner</t>
  </si>
  <si>
    <t>Total - State Medical Examiner</t>
  </si>
  <si>
    <t>Family Health</t>
  </si>
  <si>
    <t xml:space="preserve"> General Revenues</t>
  </si>
  <si>
    <t xml:space="preserve"> Poison Control Center</t>
  </si>
  <si>
    <t>Total - Family Health</t>
  </si>
  <si>
    <t>Health Services Regulation</t>
  </si>
  <si>
    <t>Hospital Care Consultant Report</t>
  </si>
  <si>
    <t>Total - Health Services Regulation</t>
  </si>
  <si>
    <t>Environmental Health</t>
  </si>
  <si>
    <t>Total - Environmental Health</t>
  </si>
  <si>
    <t>Health Laboratories</t>
  </si>
  <si>
    <t>Total - Health Laboratories</t>
  </si>
  <si>
    <t>Disease Prevention and Control</t>
  </si>
  <si>
    <t>Child Safety Program</t>
  </si>
  <si>
    <t>Walkable Communities Initiative</t>
  </si>
  <si>
    <t>Smoking Cessation</t>
  </si>
  <si>
    <t>Total - Disease Prevention and Control</t>
  </si>
  <si>
    <t>Grand Total - Health</t>
  </si>
  <si>
    <t>Human Services</t>
  </si>
  <si>
    <t>Individual and Family Support</t>
  </si>
  <si>
    <t>RICAP Veterans Home Roof</t>
  </si>
  <si>
    <t>RICAP Forand Building Exterior Doors and Windows</t>
  </si>
  <si>
    <t>RICAP Forand Building Soffitts Replacement</t>
  </si>
  <si>
    <t>RICAP  Forand Building Exterior Window Panels</t>
  </si>
  <si>
    <t>Total - Individual and Family Support</t>
  </si>
  <si>
    <t>Veterans' Affairs</t>
  </si>
  <si>
    <t>Total - Veterans' Affairs</t>
  </si>
  <si>
    <t>Health Care Quality, Financing and Purchasing</t>
  </si>
  <si>
    <t>Total - Health Care Quality, Financing &amp; Purchasing</t>
  </si>
  <si>
    <t>Medical Benefits</t>
  </si>
  <si>
    <t>Hospitals</t>
  </si>
  <si>
    <t>Nursing Facilities</t>
  </si>
  <si>
    <t>Managed Care</t>
  </si>
  <si>
    <t xml:space="preserve">Other </t>
  </si>
  <si>
    <t>Special Education</t>
  </si>
  <si>
    <t xml:space="preserve">Managed Care </t>
  </si>
  <si>
    <t>Other</t>
  </si>
  <si>
    <t>Total - Medical Benefits</t>
  </si>
  <si>
    <t>Supplemental Security Income Program</t>
  </si>
  <si>
    <t>Total - Supplemental Security Income Program</t>
  </si>
  <si>
    <t xml:space="preserve">Family Independence Program </t>
  </si>
  <si>
    <t>Child Care</t>
  </si>
  <si>
    <t>TANF/Families Independence Program</t>
  </si>
  <si>
    <t>Total - Family Independence Program</t>
  </si>
  <si>
    <t>State Funded Programs</t>
  </si>
  <si>
    <t>General Public Assistance</t>
  </si>
  <si>
    <t>Food Stamp Replacement for Legal Immigrants</t>
  </si>
  <si>
    <t>Citizen Participation Program</t>
  </si>
  <si>
    <t>Weatherization One-Time Payment</t>
  </si>
  <si>
    <t>Total - State Funded Programs</t>
  </si>
  <si>
    <t>Grand Total - Human Services</t>
  </si>
  <si>
    <t>Mental Health, Retardation, and Hospitals</t>
  </si>
  <si>
    <t>Hospital and Community System Support</t>
  </si>
  <si>
    <t xml:space="preserve"> RICAP - Utilities Upgrade</t>
  </si>
  <si>
    <t>RICAP - Central Power Plant Rehabilitation</t>
  </si>
  <si>
    <t xml:space="preserve">RICAP - Medical Center Rehabilitation </t>
  </si>
  <si>
    <t xml:space="preserve"> RICAP - Utility Systems Water Tanks and Pipes</t>
  </si>
  <si>
    <t>RICAP - Environmental Mandates</t>
  </si>
  <si>
    <t>Total - Hospital and Community System Support</t>
  </si>
  <si>
    <t>Services for the Developmentally Disabled</t>
  </si>
  <si>
    <t xml:space="preserve">Pirovano Trust </t>
  </si>
  <si>
    <t>Total - Services for the Developmentally Disabled</t>
  </si>
  <si>
    <t>Integrated Mental Health Services</t>
  </si>
  <si>
    <t>Total - Integrated Mental Health Services</t>
  </si>
  <si>
    <t>Hospital and Community Rehabilitation Services</t>
  </si>
  <si>
    <t>RICAP - Zambarano Buildings and Utilities</t>
  </si>
  <si>
    <t>Total - Hospital and Community Rehab. Services</t>
  </si>
  <si>
    <t>Substance Abuse</t>
  </si>
  <si>
    <t xml:space="preserve">RICAP - Asset Protection </t>
  </si>
  <si>
    <t>Providence Community Action</t>
  </si>
  <si>
    <t>Total - Substance Abuse</t>
  </si>
  <si>
    <t xml:space="preserve">Grand Total - Mental Health, Retardation, </t>
  </si>
  <si>
    <t xml:space="preserve">                   and Hospitals</t>
  </si>
  <si>
    <t>Office of the Child Advocate</t>
  </si>
  <si>
    <t>Grand Total - Child Advocate</t>
  </si>
  <si>
    <t>Commission on the Deaf and Hard of Hearing</t>
  </si>
  <si>
    <t>Grand Total - Comm on the Deaf and Hard of Hearing</t>
  </si>
  <si>
    <t>RI Developmental Disabilities Council</t>
  </si>
  <si>
    <t>Grand Total - RI Developmental Disabilities Council</t>
  </si>
  <si>
    <t>Governor's Commission on Disabilities</t>
  </si>
  <si>
    <t>Grand Total - Governor's Commission on Disabilities</t>
  </si>
  <si>
    <t>Commission for Human Rights</t>
  </si>
  <si>
    <t>Grand Total - Commission for Human Rights</t>
  </si>
  <si>
    <t>Mental Health Advocate</t>
  </si>
  <si>
    <t>Grand Total - Mental Health Advocate</t>
  </si>
  <si>
    <t>Elementary and Secondary Education</t>
  </si>
  <si>
    <t>State Aid</t>
  </si>
  <si>
    <t>State Support Local School Operations</t>
  </si>
  <si>
    <t>Total - State Aid</t>
  </si>
  <si>
    <t>School Housing Aid</t>
  </si>
  <si>
    <t>Total - School Housing Aid</t>
  </si>
  <si>
    <t>Teacher's Retirement</t>
  </si>
  <si>
    <t>Total - Teacher's Retirement</t>
  </si>
  <si>
    <t>RI School for the Deaf</t>
  </si>
  <si>
    <t>RICAP - School for the Deaf - Physical Education Facility</t>
  </si>
  <si>
    <t>Total - RI School for the Deaf</t>
  </si>
  <si>
    <t>Central Falls School District</t>
  </si>
  <si>
    <t>Total - Central Falls School District</t>
  </si>
  <si>
    <t>Davies Career &amp; Technical School</t>
  </si>
  <si>
    <t>RICAP - Davies Roof Repair</t>
  </si>
  <si>
    <t>Total - Davies Career &amp; Technical School</t>
  </si>
  <si>
    <t>Metropolitan Career and Technical School</t>
  </si>
  <si>
    <t>Total - Metropolitan Career and Technical School</t>
  </si>
  <si>
    <t>Program Operations</t>
  </si>
  <si>
    <t>RICAP - East Providence Vocational HVAC</t>
  </si>
  <si>
    <t xml:space="preserve"> RICAP - Hanley - HVAC</t>
  </si>
  <si>
    <t>RICAP - Woonsocket Vocational HVAC</t>
  </si>
  <si>
    <t>RICAP - State-Owned Schools - Fire Alarm Systems</t>
  </si>
  <si>
    <t>RICAP - Hazardous Materials Storage/Dust</t>
  </si>
  <si>
    <t xml:space="preserve"> Other Funds Total</t>
  </si>
  <si>
    <t xml:space="preserve"> General Revenue Total</t>
  </si>
  <si>
    <t xml:space="preserve"> Federal Funds Total</t>
  </si>
  <si>
    <t>Total - Program Operations</t>
  </si>
  <si>
    <t>Grand Total - Elementary and Secondary Education</t>
  </si>
  <si>
    <t>Board of Governors</t>
  </si>
  <si>
    <t>Federal Fund Total</t>
  </si>
  <si>
    <t>University and College Funds</t>
  </si>
  <si>
    <t>RICAP - Asset Protection/Roofs</t>
  </si>
  <si>
    <t>RICAP - Chaffee Hall PCB Abatement</t>
  </si>
  <si>
    <t>RICAP - Athletic Complex</t>
  </si>
  <si>
    <t>RICAP - Knight Megastructure</t>
  </si>
  <si>
    <t>RICAP - Ballentine Hall</t>
  </si>
  <si>
    <t>RICAP - Alger Hall</t>
  </si>
  <si>
    <t>RICAP - DCYF Facilities</t>
  </si>
  <si>
    <t>RICAP - Green Hall</t>
  </si>
  <si>
    <t>RICAP - Plains Road Property</t>
  </si>
  <si>
    <t>Grand Total - Board of Governors</t>
  </si>
  <si>
    <t>RI State Council on The Arts</t>
  </si>
  <si>
    <t>Operating Support</t>
  </si>
  <si>
    <t>Grants</t>
  </si>
  <si>
    <t>Grand Total - RI State Council on The Arts</t>
  </si>
  <si>
    <t>RI Atomic Energy Commission</t>
  </si>
  <si>
    <t>URI Sponsored Research</t>
  </si>
  <si>
    <t>RICAP - Paint Interior Reactor Building Walls</t>
  </si>
  <si>
    <t>RICAP - Roof Replacement - North Bunker</t>
  </si>
  <si>
    <t>Grand Total - RI Atomic Energy Commission</t>
  </si>
  <si>
    <t>RI Higher Education Assistance Authority</t>
  </si>
  <si>
    <t>Needs Based Grants and Work Opportunities</t>
  </si>
  <si>
    <t>Authority Operations and Other Grants</t>
  </si>
  <si>
    <t>Tuition Savings Program - Administration</t>
  </si>
  <si>
    <t>Grand Total - Higher Education Assistance Authority</t>
  </si>
  <si>
    <t>RI Historical Preservation and Heritage Commission</t>
  </si>
  <si>
    <t>Grand Total - RI Historical Preservation &amp; Heritage Commission</t>
  </si>
  <si>
    <t>RI Public Telecommunications Authority</t>
  </si>
  <si>
    <t>Corporation for Public Broadcasting</t>
  </si>
  <si>
    <t>RICAP-Federally Mandated Digital TV Conversion</t>
  </si>
  <si>
    <t>Grand Total - Public Telecommunications Authority</t>
  </si>
  <si>
    <t>Attorney General</t>
  </si>
  <si>
    <t>Criminal</t>
  </si>
  <si>
    <t>Total - Criminal</t>
  </si>
  <si>
    <t>Civil</t>
  </si>
  <si>
    <t>Total - Civil</t>
  </si>
  <si>
    <t>Bureau of Criminal Identification</t>
  </si>
  <si>
    <t>Total - Bureau of Criminal Identification</t>
  </si>
  <si>
    <t>Total - General</t>
  </si>
  <si>
    <t>Grand Total - Attorney General</t>
  </si>
  <si>
    <t>Corrections</t>
  </si>
  <si>
    <t>Parole Board</t>
  </si>
  <si>
    <t>Total - Parole Board</t>
  </si>
  <si>
    <t>Institutional Corrections</t>
  </si>
  <si>
    <t>RICAP - Fire Code Safety Improvements</t>
  </si>
  <si>
    <t>RICAP - Security Camera Installation</t>
  </si>
  <si>
    <t>RICAP - Window Replacement - Women's</t>
  </si>
  <si>
    <t>RICAP - General Renovations - Maximum</t>
  </si>
  <si>
    <t>RICAP - Roof/Masonry Renovations - Women's</t>
  </si>
  <si>
    <t>RICAP - High Security Fire Alarm HVAC</t>
  </si>
  <si>
    <t>RICAP - Aquidneck &amp; Prudence Cellblock Roofs</t>
  </si>
  <si>
    <t>RICAP - HVAC Renovations - Maximum</t>
  </si>
  <si>
    <t>RICAP - Dix Expansion - Phase II</t>
  </si>
  <si>
    <t>RICAP - Dix Expansion - State Match</t>
  </si>
  <si>
    <t>RICAP - Reintegration Center State Match</t>
  </si>
  <si>
    <t>RICAP - Perimeter/Security Upgrades</t>
  </si>
  <si>
    <t>Total - Institutional Corrections</t>
  </si>
  <si>
    <t>Community Corrections</t>
  </si>
  <si>
    <t>Total - Community Corrections</t>
  </si>
  <si>
    <t>Grand Total - Corrections</t>
  </si>
  <si>
    <t>Judiciary</t>
  </si>
  <si>
    <t>Supreme Court</t>
  </si>
  <si>
    <t>RICAP - Garrahy Judicial Complex Renovation</t>
  </si>
  <si>
    <t>RICAP - Garrahy Complex Roof Repair</t>
  </si>
  <si>
    <t>RICAP - Licht Exterior/Interior Refurbishment</t>
  </si>
  <si>
    <t>RICAP - Fogarty Judicial Annex</t>
  </si>
  <si>
    <t>Defense of Indigents</t>
  </si>
  <si>
    <t>Total - Supreme Court</t>
  </si>
  <si>
    <t>Superior Court</t>
  </si>
  <si>
    <t>Total - Superior Court</t>
  </si>
  <si>
    <t>Family Court</t>
  </si>
  <si>
    <t>Total - Family Court</t>
  </si>
  <si>
    <t>District Court</t>
  </si>
  <si>
    <t>Total - District Court</t>
  </si>
  <si>
    <t>Traffic Tribunal</t>
  </si>
  <si>
    <t>Total - Traffic Tribunal</t>
  </si>
  <si>
    <t>Workers' Compensation Court</t>
  </si>
  <si>
    <t>Total - Workers' Compensation Court</t>
  </si>
  <si>
    <t>Justice Link Program</t>
  </si>
  <si>
    <t>Total - Justice Link</t>
  </si>
  <si>
    <t>Grand Total - Judiciary</t>
  </si>
  <si>
    <t>Military Staff</t>
  </si>
  <si>
    <t>National Guard</t>
  </si>
  <si>
    <t>Rails to Trails</t>
  </si>
  <si>
    <t>RICAP -  Bristol Armory Rehabilitation</t>
  </si>
  <si>
    <t>RICAP -  Benefit St. Arsenal Rehabilitation</t>
  </si>
  <si>
    <t>RICAP - Schofield Armory Rehabilitation</t>
  </si>
  <si>
    <t>RICAP - US Property and Finance Office - HVAC</t>
  </si>
  <si>
    <t>RICAP - Warren Armory</t>
  </si>
  <si>
    <t>RICAP - Vehicle Exhaust Vent System</t>
  </si>
  <si>
    <t>RI e-Government Fund - Distributed Tech. Training</t>
  </si>
  <si>
    <t>Total - National Guard</t>
  </si>
  <si>
    <t>Emergency Management</t>
  </si>
  <si>
    <t>Total - Emergency Management</t>
  </si>
  <si>
    <t>Grand Total - Military Staff</t>
  </si>
  <si>
    <t>E-911 Emergency Telephone System</t>
  </si>
  <si>
    <t>RI  e-Government Fund - GIS Database Development</t>
  </si>
  <si>
    <t>Grand Total - E-911 Emergency Telephone System</t>
  </si>
  <si>
    <t>Fire Safety Code Board of Appeal and Review</t>
  </si>
  <si>
    <t>Grand Total - Fire Safety Code Board of Appeal and Review</t>
  </si>
  <si>
    <t>State Fire Marshal</t>
  </si>
  <si>
    <t>Grand Total - State Fire Marshal</t>
  </si>
  <si>
    <t>Commission on Judicial Tenure and Discipline</t>
  </si>
  <si>
    <t>Grand Total - Commission on Judicial Tenure &amp; Discipline</t>
  </si>
  <si>
    <t>Rhode Island Justice Commission</t>
  </si>
  <si>
    <t>Grand Total - Rhode Island Justice Commission</t>
  </si>
  <si>
    <t>Municipal Police Training Academy</t>
  </si>
  <si>
    <t>Grand Total - Municipal Police Training Academy</t>
  </si>
  <si>
    <t xml:space="preserve"> State Police</t>
  </si>
  <si>
    <t>RICAP -  Barracks and Training Headquarters</t>
  </si>
  <si>
    <t>RICAP -  Headquarters Repair/Renovation</t>
  </si>
  <si>
    <t>RICAP - Parking Area Impovements</t>
  </si>
  <si>
    <t>Traffic Enforcement - Municipal Training</t>
  </si>
  <si>
    <t>Lottery Commission Assistance</t>
  </si>
  <si>
    <t>Road Construction Reimbursement</t>
  </si>
  <si>
    <t>Grand Total -  State Police</t>
  </si>
  <si>
    <t>Office of Public Defender</t>
  </si>
  <si>
    <t>Grand Total - Office of Public Defender</t>
  </si>
  <si>
    <t>Environmental Management</t>
  </si>
  <si>
    <t>Policy and Administration</t>
  </si>
  <si>
    <t>DOT Recreational Projects</t>
  </si>
  <si>
    <t>Blackstone Bikepath Design</t>
  </si>
  <si>
    <t>RICAP - Dam Repair</t>
  </si>
  <si>
    <t>Total - Policy and Administration</t>
  </si>
  <si>
    <t>Natural Resources</t>
  </si>
  <si>
    <t xml:space="preserve"> RICAP - Westerly Boat Ramp</t>
  </si>
  <si>
    <t xml:space="preserve"> RICAP - Fort Adams Rehabilitation</t>
  </si>
  <si>
    <t xml:space="preserve"> RICAP -  Recreational Facilities Improvement</t>
  </si>
  <si>
    <t>RICAP - Fish and Wildlife Office/Laboratory</t>
  </si>
  <si>
    <t>RICAP - Wickford Marine Facility</t>
  </si>
  <si>
    <t>RICAP - Galilee Piers</t>
  </si>
  <si>
    <t>RICAP - Newport Piers</t>
  </si>
  <si>
    <t>RICAP - Boyd's Marsh Habitat Restoration</t>
  </si>
  <si>
    <t>Total - Natural Resources</t>
  </si>
  <si>
    <t>Environmental Protection</t>
  </si>
  <si>
    <t>Aquafund</t>
  </si>
  <si>
    <t>Total - Environmental Protection</t>
  </si>
  <si>
    <t>Grand Total - Environmental Management</t>
  </si>
  <si>
    <t>Coastal Resources Management Council</t>
  </si>
  <si>
    <t>RICAP - South Coast Restoration Project</t>
  </si>
  <si>
    <t>RICAP - Allins Cove</t>
  </si>
  <si>
    <t>Grand Total - Coastal Resources Management Council</t>
  </si>
  <si>
    <t>State Water Resources Board</t>
  </si>
  <si>
    <t>RICAP - Big River Management Area</t>
  </si>
  <si>
    <t>RICAP - Groundwater Protection/Acquisition</t>
  </si>
  <si>
    <t>RICAP - Water Allocation Plan</t>
  </si>
  <si>
    <t>RICAP - Supplemental Water Supplies Development</t>
  </si>
  <si>
    <t>Grand Total - State Water Resources Board</t>
  </si>
  <si>
    <t>Transportation</t>
  </si>
  <si>
    <t>Gasoline Tax</t>
  </si>
  <si>
    <t>Management and Budget</t>
  </si>
  <si>
    <t>Total - Management and Budget</t>
  </si>
  <si>
    <t>Infrastructure - Engineering</t>
  </si>
  <si>
    <t>RICAP - RIPTA Land and Buildings</t>
  </si>
  <si>
    <t>Land Sale Revenue</t>
  </si>
  <si>
    <t>State Infrastructure Bank</t>
  </si>
  <si>
    <t>Total - Infrastructure-Engineering</t>
  </si>
  <si>
    <t>Infrastructure Maintenance</t>
  </si>
  <si>
    <t>Infrastructure - Maintenance - Gasoline Tax</t>
  </si>
  <si>
    <t>Total - Infrastructure Maintenance</t>
  </si>
  <si>
    <t>Grand Total - Transportation</t>
  </si>
  <si>
    <t>Statewide Totals</t>
  </si>
  <si>
    <t>Restricted Receipt Funds Total</t>
  </si>
  <si>
    <t xml:space="preserve">Statewide Grand Total                        </t>
  </si>
  <si>
    <t>code</t>
  </si>
  <si>
    <t>Line Item</t>
  </si>
  <si>
    <t>Number</t>
  </si>
  <si>
    <t>Line Item Name</t>
  </si>
  <si>
    <t>Appropriation Amount</t>
  </si>
  <si>
    <t>FY 2002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</si>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</sst>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69" formatCode="_(* #,##0_);_(* \(#,##0\);_(* &quot;-&quot;_);_(@_)"/>
    <numFmt numFmtId="170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</font>
    <font>
      <sz val="10"/>
      <name val="CG Times"/>
      <family val="1"/>
    </font>
    <font>
      <b/>
      <sz val="10"/>
      <name val="CG Times"/>
      <family val="1"/>
    </font>
    <font>
      <i/>
      <sz val="10"/>
      <name val="CG Times"/>
      <family val="1"/>
    </font>
    <font>
      <sz val="7"/>
      <name val="CG Times"/>
      <family val="1"/>
    </font>
    <font>
      <b/>
      <sz val="7"/>
      <name val="CG Times"/>
      <family val="1"/>
    </font>
    <font>
      <i/>
      <sz val="7"/>
      <name val="CG Times"/>
      <family val="1"/>
    </font>
    <font>
      <sz val="10"/>
      <color indexed="8"/>
      <name val="MS Sans Serif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NumberFormat="1" applyFont="1"/>
    <xf numFmtId="0" fontId="2" fillId="0" borderId="0" xfId="0" applyFont="1"/>
    <xf numFmtId="169" fontId="2" fillId="0" borderId="0" xfId="0" applyNumberFormat="1" applyFont="1"/>
    <xf numFmtId="164" fontId="2" fillId="0" borderId="0" xfId="0" applyNumberFormat="1" applyFont="1"/>
    <xf numFmtId="0" fontId="4" fillId="0" borderId="0" xfId="0" applyFont="1"/>
    <xf numFmtId="169" fontId="5" fillId="0" borderId="0" xfId="0" applyNumberFormat="1" applyFont="1"/>
    <xf numFmtId="169" fontId="5" fillId="0" borderId="0" xfId="0" applyNumberFormat="1" applyFont="1" applyAlignment="1">
      <alignment horizontal="center"/>
    </xf>
    <xf numFmtId="169" fontId="6" fillId="0" borderId="0" xfId="0" applyNumberFormat="1" applyFont="1"/>
    <xf numFmtId="169" fontId="5" fillId="0" borderId="0" xfId="0" applyNumberFormat="1" applyFont="1" applyFill="1"/>
    <xf numFmtId="169" fontId="7" fillId="0" borderId="0" xfId="0" applyNumberFormat="1" applyFont="1"/>
    <xf numFmtId="0" fontId="2" fillId="0" borderId="1" xfId="0" applyNumberFormat="1" applyFont="1" applyBorder="1"/>
    <xf numFmtId="169" fontId="3" fillId="0" borderId="1" xfId="0" applyNumberFormat="1" applyFont="1" applyBorder="1"/>
    <xf numFmtId="0" fontId="2" fillId="0" borderId="1" xfId="0" applyFont="1" applyBorder="1"/>
    <xf numFmtId="169" fontId="2" fillId="0" borderId="1" xfId="0" applyNumberFormat="1" applyFont="1" applyBorder="1"/>
    <xf numFmtId="169" fontId="4" fillId="0" borderId="1" xfId="0" applyNumberFormat="1" applyFont="1" applyBorder="1"/>
    <xf numFmtId="164" fontId="2" fillId="0" borderId="1" xfId="0" applyNumberFormat="1" applyFont="1" applyBorder="1"/>
    <xf numFmtId="0" fontId="4" fillId="0" borderId="1" xfId="0" applyFont="1" applyBorder="1"/>
    <xf numFmtId="169" fontId="2" fillId="0" borderId="1" xfId="0" applyNumberFormat="1" applyFont="1" applyBorder="1" applyProtection="1"/>
    <xf numFmtId="164" fontId="2" fillId="0" borderId="1" xfId="0" applyNumberFormat="1" applyFont="1" applyBorder="1" applyProtection="1">
      <protection locked="0"/>
    </xf>
    <xf numFmtId="0" fontId="3" fillId="0" borderId="1" xfId="0" applyNumberFormat="1" applyFont="1" applyBorder="1"/>
    <xf numFmtId="0" fontId="3" fillId="0" borderId="1" xfId="0" applyFont="1" applyBorder="1"/>
    <xf numFmtId="169" fontId="2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4" fillId="0" borderId="1" xfId="0" applyNumberFormat="1" applyFont="1" applyBorder="1"/>
    <xf numFmtId="169" fontId="2" fillId="0" borderId="1" xfId="1" applyNumberFormat="1" applyFont="1" applyBorder="1"/>
    <xf numFmtId="164" fontId="2" fillId="0" borderId="1" xfId="0" applyNumberFormat="1" applyFont="1" applyBorder="1" applyProtection="1"/>
    <xf numFmtId="164" fontId="2" fillId="0" borderId="1" xfId="1" applyNumberFormat="1" applyFont="1" applyBorder="1"/>
    <xf numFmtId="0" fontId="9" fillId="0" borderId="0" xfId="0" applyFont="1" applyAlignment="1">
      <alignment horizontal="center"/>
    </xf>
    <xf numFmtId="169" fontId="5" fillId="0" borderId="2" xfId="0" applyNumberFormat="1" applyFont="1" applyBorder="1"/>
    <xf numFmtId="169" fontId="5" fillId="0" borderId="3" xfId="0" applyNumberFormat="1" applyFont="1" applyBorder="1"/>
    <xf numFmtId="169" fontId="5" fillId="0" borderId="4" xfId="0" applyNumberFormat="1" applyFont="1" applyBorder="1"/>
    <xf numFmtId="0" fontId="2" fillId="0" borderId="5" xfId="0" applyNumberFormat="1" applyFont="1" applyBorder="1"/>
    <xf numFmtId="169" fontId="5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1"/>
  <sheetViews>
    <sheetView tabSelected="1" topLeftCell="B1" workbookViewId="0">
      <selection activeCell="B1" sqref="B1"/>
    </sheetView>
  </sheetViews>
  <sheetFormatPr defaultRowHeight="15" customHeight="1"/>
  <cols>
    <col min="1" max="1" width="2.26953125" style="6" hidden="1" customWidth="1"/>
    <col min="3" max="3" width="2.26953125" customWidth="1"/>
    <col min="4" max="4" width="0" hidden="1" customWidth="1"/>
    <col min="5" max="5" width="50.453125" bestFit="1" customWidth="1"/>
    <col min="6" max="6" width="12.26953125" bestFit="1" customWidth="1"/>
  </cols>
  <sheetData>
    <row r="1" spans="1:6" ht="15" customHeight="1">
      <c r="B1" s="30" t="s">
        <v>501</v>
      </c>
      <c r="D1" s="30" t="s">
        <v>504</v>
      </c>
      <c r="E1" s="30" t="s">
        <v>503</v>
      </c>
      <c r="F1" s="30" t="s">
        <v>505</v>
      </c>
    </row>
    <row r="2" spans="1:6" ht="15" customHeight="1">
      <c r="A2" s="7" t="s">
        <v>500</v>
      </c>
      <c r="B2" s="30" t="s">
        <v>502</v>
      </c>
      <c r="C2" s="30"/>
      <c r="D2" s="30"/>
      <c r="F2" s="30" t="s">
        <v>506</v>
      </c>
    </row>
    <row r="3" spans="1:6" ht="15" customHeight="1">
      <c r="B3" s="11"/>
      <c r="C3" s="12" t="s">
        <v>0</v>
      </c>
      <c r="D3" s="13"/>
      <c r="E3" s="14"/>
      <c r="F3" s="13"/>
    </row>
    <row r="4" spans="1:6" ht="15" customHeight="1">
      <c r="B4" s="11"/>
      <c r="C4" s="15" t="s">
        <v>1</v>
      </c>
      <c r="D4" s="13"/>
      <c r="E4" s="15"/>
      <c r="F4" s="13"/>
    </row>
    <row r="5" spans="1:6" ht="15" customHeight="1">
      <c r="A5" s="6">
        <v>1</v>
      </c>
      <c r="B5" s="11">
        <v>1000</v>
      </c>
      <c r="C5" s="13"/>
      <c r="D5" s="13"/>
      <c r="E5" s="14" t="s">
        <v>2</v>
      </c>
      <c r="F5" s="16">
        <v>1903634</v>
      </c>
    </row>
    <row r="6" spans="1:6" ht="15" customHeight="1">
      <c r="B6" s="11"/>
      <c r="C6" s="13"/>
      <c r="D6" s="13"/>
      <c r="E6" s="14"/>
      <c r="F6" s="16"/>
    </row>
    <row r="7" spans="1:6" ht="15" customHeight="1">
      <c r="A7" s="6">
        <v>2</v>
      </c>
      <c r="B7" s="11">
        <v>1005</v>
      </c>
      <c r="C7" s="13"/>
      <c r="D7" s="13"/>
      <c r="E7" s="14" t="s">
        <v>4</v>
      </c>
      <c r="F7" s="16">
        <v>206563</v>
      </c>
    </row>
    <row r="8" spans="1:6" ht="15" customHeight="1">
      <c r="B8" s="11"/>
      <c r="C8" s="13"/>
      <c r="D8" s="13"/>
      <c r="E8" s="14"/>
      <c r="F8" s="16"/>
    </row>
    <row r="9" spans="1:6" ht="15" customHeight="1">
      <c r="B9" s="11"/>
      <c r="C9" s="13"/>
      <c r="D9" s="13"/>
      <c r="E9" s="14" t="s">
        <v>5</v>
      </c>
      <c r="F9" s="16">
        <f>SUM(F5:F7)</f>
        <v>2110197</v>
      </c>
    </row>
    <row r="10" spans="1:6" ht="15" customHeight="1">
      <c r="B10" s="11"/>
      <c r="C10" s="13"/>
      <c r="D10" s="13"/>
      <c r="E10" s="14"/>
      <c r="F10" s="16"/>
    </row>
    <row r="11" spans="1:6" ht="15" customHeight="1">
      <c r="B11" s="11"/>
      <c r="C11" s="15" t="s">
        <v>6</v>
      </c>
      <c r="D11" s="13"/>
      <c r="E11" s="14"/>
      <c r="F11" s="16"/>
    </row>
    <row r="12" spans="1:6" ht="15" customHeight="1">
      <c r="B12" s="11">
        <v>1010</v>
      </c>
      <c r="C12" s="13"/>
      <c r="D12" s="13"/>
      <c r="E12" s="14" t="s">
        <v>7</v>
      </c>
      <c r="F12" s="16">
        <v>5810789</v>
      </c>
    </row>
    <row r="13" spans="1:6" ht="15" customHeight="1">
      <c r="B13" s="11">
        <v>1015</v>
      </c>
      <c r="C13" s="13"/>
      <c r="D13" s="13"/>
      <c r="E13" s="14" t="s">
        <v>8</v>
      </c>
      <c r="F13" s="16">
        <v>2065098</v>
      </c>
    </row>
    <row r="14" spans="1:6" ht="15" customHeight="1">
      <c r="A14" s="6">
        <v>1</v>
      </c>
      <c r="B14" s="11"/>
      <c r="C14" s="13"/>
      <c r="D14" s="13"/>
      <c r="E14" s="14" t="s">
        <v>2</v>
      </c>
      <c r="F14" s="16">
        <f>SUM(F12:F13)</f>
        <v>7875887</v>
      </c>
    </row>
    <row r="15" spans="1:6" ht="15" customHeight="1">
      <c r="B15" s="11"/>
      <c r="C15" s="13"/>
      <c r="D15" s="13"/>
      <c r="E15" s="14"/>
      <c r="F15" s="16"/>
    </row>
    <row r="16" spans="1:6" ht="15" customHeight="1">
      <c r="B16" s="11"/>
      <c r="C16" s="13"/>
      <c r="D16" s="13"/>
      <c r="E16" s="14" t="s">
        <v>9</v>
      </c>
      <c r="F16" s="16">
        <f>SUM(F12:F13)</f>
        <v>7875887</v>
      </c>
    </row>
    <row r="17" spans="1:6" ht="15" customHeight="1">
      <c r="B17" s="11"/>
      <c r="C17" s="13"/>
      <c r="D17" s="13"/>
      <c r="E17" s="14"/>
      <c r="F17" s="16"/>
    </row>
    <row r="18" spans="1:6" ht="15" customHeight="1">
      <c r="B18" s="11"/>
      <c r="C18" s="15" t="s">
        <v>10</v>
      </c>
      <c r="D18" s="13"/>
      <c r="E18" s="13"/>
      <c r="F18" s="16"/>
    </row>
    <row r="19" spans="1:6" ht="15" customHeight="1">
      <c r="A19" s="6">
        <v>1</v>
      </c>
      <c r="B19" s="11">
        <v>1020</v>
      </c>
      <c r="C19" s="13"/>
      <c r="D19" s="13"/>
      <c r="E19" s="14" t="s">
        <v>2</v>
      </c>
      <c r="F19" s="16">
        <v>2101292</v>
      </c>
    </row>
    <row r="20" spans="1:6" ht="15" customHeight="1">
      <c r="B20" s="11"/>
      <c r="C20" s="13"/>
      <c r="D20" s="13"/>
      <c r="E20" s="14"/>
      <c r="F20" s="16"/>
    </row>
    <row r="21" spans="1:6" ht="15" customHeight="1">
      <c r="B21" s="11"/>
      <c r="C21" s="13"/>
      <c r="D21" s="13"/>
      <c r="E21" s="14" t="s">
        <v>11</v>
      </c>
      <c r="F21" s="16">
        <f>SUM(F19:F20)</f>
        <v>2101292</v>
      </c>
    </row>
    <row r="22" spans="1:6" ht="15" customHeight="1">
      <c r="B22" s="11"/>
      <c r="C22" s="13"/>
      <c r="D22" s="13"/>
      <c r="E22" s="14"/>
      <c r="F22" s="16"/>
    </row>
    <row r="23" spans="1:6" ht="15" customHeight="1">
      <c r="B23" s="11"/>
      <c r="C23" s="17" t="s">
        <v>12</v>
      </c>
      <c r="D23" s="13"/>
      <c r="E23" s="14"/>
      <c r="F23" s="16"/>
    </row>
    <row r="24" spans="1:6" ht="15" customHeight="1">
      <c r="A24" s="6">
        <v>1</v>
      </c>
      <c r="B24" s="11">
        <v>1025</v>
      </c>
      <c r="C24" s="13"/>
      <c r="D24" s="13"/>
      <c r="E24" s="14" t="s">
        <v>2</v>
      </c>
      <c r="F24" s="16">
        <v>1135882</v>
      </c>
    </row>
    <row r="25" spans="1:6" ht="15" customHeight="1">
      <c r="B25" s="11"/>
      <c r="C25" s="13"/>
      <c r="D25" s="13"/>
      <c r="E25" s="14"/>
      <c r="F25" s="16"/>
    </row>
    <row r="26" spans="1:6" ht="15" customHeight="1">
      <c r="A26" s="6">
        <v>2</v>
      </c>
      <c r="B26" s="11">
        <v>1030</v>
      </c>
      <c r="C26" s="13"/>
      <c r="D26" s="13"/>
      <c r="E26" s="14" t="s">
        <v>4</v>
      </c>
      <c r="F26" s="16">
        <v>8617832</v>
      </c>
    </row>
    <row r="27" spans="1:6" ht="15" customHeight="1">
      <c r="B27" s="11"/>
      <c r="C27" s="13"/>
      <c r="D27" s="13"/>
      <c r="E27" s="14"/>
      <c r="F27" s="16"/>
    </row>
    <row r="28" spans="1:6" ht="15" customHeight="1">
      <c r="B28" s="11"/>
      <c r="C28" s="13"/>
      <c r="D28" s="13"/>
      <c r="E28" s="14" t="s">
        <v>13</v>
      </c>
      <c r="F28" s="16">
        <f>SUM(F24:F26)</f>
        <v>9753714</v>
      </c>
    </row>
    <row r="29" spans="1:6" ht="15" customHeight="1">
      <c r="B29" s="11"/>
      <c r="C29" s="13"/>
      <c r="D29" s="13"/>
      <c r="E29" s="14"/>
      <c r="F29" s="16"/>
    </row>
    <row r="30" spans="1:6" ht="15" customHeight="1">
      <c r="B30" s="11"/>
      <c r="C30" s="15" t="s">
        <v>14</v>
      </c>
      <c r="D30" s="13"/>
      <c r="E30" s="13"/>
      <c r="F30" s="16"/>
    </row>
    <row r="31" spans="1:6" ht="15" customHeight="1">
      <c r="A31" s="6">
        <v>1</v>
      </c>
      <c r="B31" s="11">
        <v>1035</v>
      </c>
      <c r="C31" s="13"/>
      <c r="D31" s="13"/>
      <c r="E31" s="14" t="s">
        <v>2</v>
      </c>
      <c r="F31" s="16">
        <v>2165250</v>
      </c>
    </row>
    <row r="32" spans="1:6" ht="15" customHeight="1">
      <c r="B32" s="11"/>
      <c r="C32" s="13"/>
      <c r="D32" s="13"/>
      <c r="E32" s="14"/>
      <c r="F32" s="16"/>
    </row>
    <row r="33" spans="1:6" ht="15" customHeight="1">
      <c r="B33" s="11"/>
      <c r="C33" s="13"/>
      <c r="D33" s="13"/>
      <c r="E33" s="14" t="s">
        <v>15</v>
      </c>
      <c r="F33" s="16">
        <f>SUM(F31:F32)</f>
        <v>2165250</v>
      </c>
    </row>
    <row r="34" spans="1:6" ht="15" customHeight="1">
      <c r="B34" s="11"/>
      <c r="C34" s="13"/>
      <c r="D34" s="13"/>
      <c r="E34" s="14"/>
      <c r="F34" s="16"/>
    </row>
    <row r="35" spans="1:6" ht="15" customHeight="1">
      <c r="B35" s="11"/>
      <c r="C35" s="15" t="s">
        <v>16</v>
      </c>
      <c r="D35" s="13"/>
      <c r="E35" s="13"/>
      <c r="F35" s="16"/>
    </row>
    <row r="36" spans="1:6" ht="15" customHeight="1">
      <c r="A36" s="6">
        <v>1</v>
      </c>
      <c r="B36" s="11">
        <v>1040</v>
      </c>
      <c r="C36" s="13"/>
      <c r="D36" s="13"/>
      <c r="E36" s="14" t="s">
        <v>2</v>
      </c>
      <c r="F36" s="16">
        <v>1541684</v>
      </c>
    </row>
    <row r="37" spans="1:6" ht="15" customHeight="1">
      <c r="B37" s="11"/>
      <c r="C37" s="13"/>
      <c r="D37" s="13"/>
      <c r="E37" s="14"/>
      <c r="F37" s="16"/>
    </row>
    <row r="38" spans="1:6" ht="15" customHeight="1">
      <c r="B38" s="11"/>
      <c r="C38" s="13"/>
      <c r="D38" s="13"/>
      <c r="E38" s="14" t="s">
        <v>17</v>
      </c>
      <c r="F38" s="16">
        <f>SUM(F36:F37)</f>
        <v>1541684</v>
      </c>
    </row>
    <row r="39" spans="1:6" ht="15" customHeight="1">
      <c r="B39" s="11"/>
      <c r="C39" s="13"/>
      <c r="D39" s="13"/>
      <c r="E39" s="14"/>
      <c r="F39" s="16"/>
    </row>
    <row r="40" spans="1:6" ht="15" customHeight="1">
      <c r="B40" s="11"/>
      <c r="C40" s="15" t="s">
        <v>18</v>
      </c>
      <c r="D40" s="13"/>
      <c r="E40" s="13"/>
      <c r="F40" s="16"/>
    </row>
    <row r="41" spans="1:6" ht="15" customHeight="1">
      <c r="A41" s="6">
        <v>1</v>
      </c>
      <c r="B41" s="11">
        <v>1045</v>
      </c>
      <c r="C41" s="13"/>
      <c r="D41" s="13"/>
      <c r="E41" s="14" t="s">
        <v>2</v>
      </c>
      <c r="F41" s="16">
        <v>6791116</v>
      </c>
    </row>
    <row r="42" spans="1:6" ht="15" customHeight="1">
      <c r="B42" s="11"/>
      <c r="C42" s="13"/>
      <c r="D42" s="13"/>
      <c r="E42" s="14"/>
      <c r="F42" s="16"/>
    </row>
    <row r="43" spans="1:6" ht="15" customHeight="1">
      <c r="A43" s="6">
        <v>2</v>
      </c>
      <c r="B43" s="11">
        <v>1047</v>
      </c>
      <c r="C43" s="13"/>
      <c r="D43" s="13"/>
      <c r="E43" s="14" t="s">
        <v>4</v>
      </c>
      <c r="F43" s="16">
        <v>14000</v>
      </c>
    </row>
    <row r="44" spans="1:6" ht="15" customHeight="1">
      <c r="B44" s="11"/>
      <c r="C44" s="13"/>
      <c r="D44" s="13"/>
      <c r="E44" s="14"/>
      <c r="F44" s="16"/>
    </row>
    <row r="45" spans="1:6" ht="15" customHeight="1">
      <c r="B45" s="11"/>
      <c r="C45" s="13"/>
      <c r="D45" s="13"/>
      <c r="E45" s="14" t="s">
        <v>19</v>
      </c>
      <c r="F45" s="16">
        <f>SUM(F41:F44)</f>
        <v>6805116</v>
      </c>
    </row>
    <row r="46" spans="1:6" ht="15" customHeight="1">
      <c r="B46" s="11"/>
      <c r="C46" s="13"/>
      <c r="D46" s="13"/>
      <c r="E46" s="14"/>
      <c r="F46" s="16"/>
    </row>
    <row r="47" spans="1:6" ht="15" customHeight="1">
      <c r="B47" s="11"/>
      <c r="C47" s="15" t="s">
        <v>20</v>
      </c>
      <c r="D47" s="13"/>
      <c r="E47" s="13"/>
      <c r="F47" s="16"/>
    </row>
    <row r="48" spans="1:6" ht="15" customHeight="1">
      <c r="A48" s="6">
        <v>1</v>
      </c>
      <c r="B48" s="11">
        <v>1050</v>
      </c>
      <c r="C48" s="13"/>
      <c r="D48" s="13"/>
      <c r="E48" s="14" t="s">
        <v>2</v>
      </c>
      <c r="F48" s="16">
        <v>112467</v>
      </c>
    </row>
    <row r="49" spans="1:6" ht="15" customHeight="1">
      <c r="B49" s="11"/>
      <c r="C49" s="13"/>
      <c r="D49" s="13"/>
      <c r="E49" s="14"/>
      <c r="F49" s="16"/>
    </row>
    <row r="50" spans="1:6" ht="15" customHeight="1">
      <c r="B50" s="11"/>
      <c r="C50" s="13"/>
      <c r="D50" s="13"/>
      <c r="E50" s="14" t="s">
        <v>21</v>
      </c>
      <c r="F50" s="16">
        <f>SUM(F48:F49)</f>
        <v>112467</v>
      </c>
    </row>
    <row r="51" spans="1:6" ht="15" customHeight="1">
      <c r="B51" s="11"/>
      <c r="C51" s="13"/>
      <c r="D51" s="13"/>
      <c r="E51" s="14"/>
      <c r="F51" s="16"/>
    </row>
    <row r="52" spans="1:6" ht="15" customHeight="1">
      <c r="B52" s="11"/>
      <c r="C52" s="15" t="s">
        <v>22</v>
      </c>
      <c r="D52" s="13"/>
      <c r="E52" s="13"/>
      <c r="F52" s="16"/>
    </row>
    <row r="53" spans="1:6" ht="15" customHeight="1">
      <c r="B53" s="11"/>
      <c r="C53" s="13"/>
      <c r="D53" s="14" t="s">
        <v>23</v>
      </c>
      <c r="E53" s="13"/>
      <c r="F53" s="16"/>
    </row>
    <row r="54" spans="1:6" ht="15" customHeight="1">
      <c r="B54" s="11">
        <v>1055</v>
      </c>
      <c r="C54" s="13"/>
      <c r="D54" s="14"/>
      <c r="E54" s="13" t="s">
        <v>24</v>
      </c>
      <c r="F54" s="16">
        <v>90937</v>
      </c>
    </row>
    <row r="55" spans="1:6" ht="15" customHeight="1">
      <c r="B55" s="11">
        <v>1060</v>
      </c>
      <c r="C55" s="13"/>
      <c r="D55" s="13"/>
      <c r="E55" s="14" t="s">
        <v>25</v>
      </c>
      <c r="F55" s="16">
        <v>583547</v>
      </c>
    </row>
    <row r="56" spans="1:6" ht="15" customHeight="1">
      <c r="A56" s="6">
        <v>4</v>
      </c>
      <c r="B56" s="11"/>
      <c r="C56" s="13"/>
      <c r="D56" s="13"/>
      <c r="E56" s="14" t="s">
        <v>26</v>
      </c>
      <c r="F56" s="16">
        <f>SUM(F54:F55)</f>
        <v>674484</v>
      </c>
    </row>
    <row r="57" spans="1:6" ht="15" customHeight="1">
      <c r="B57" s="11"/>
      <c r="C57" s="13"/>
      <c r="D57" s="13"/>
      <c r="E57" s="14"/>
      <c r="F57" s="16"/>
    </row>
    <row r="58" spans="1:6" ht="15" customHeight="1">
      <c r="B58" s="11"/>
      <c r="C58" s="13"/>
      <c r="D58" s="13" t="s">
        <v>27</v>
      </c>
      <c r="E58" s="14"/>
      <c r="F58" s="16"/>
    </row>
    <row r="59" spans="1:6" ht="15" customHeight="1">
      <c r="B59" s="11">
        <v>1065</v>
      </c>
      <c r="C59" s="13"/>
      <c r="D59" s="13"/>
      <c r="E59" s="14" t="s">
        <v>7</v>
      </c>
      <c r="F59" s="16">
        <v>15947529</v>
      </c>
    </row>
    <row r="60" spans="1:6" ht="15" customHeight="1">
      <c r="A60" s="6">
        <v>1</v>
      </c>
      <c r="B60" s="11"/>
      <c r="C60" s="13"/>
      <c r="D60" s="13"/>
      <c r="E60" s="14" t="s">
        <v>2</v>
      </c>
      <c r="F60" s="16">
        <f>SUM(F59:F59)</f>
        <v>15947529</v>
      </c>
    </row>
    <row r="61" spans="1:6" ht="15" customHeight="1">
      <c r="B61" s="11"/>
      <c r="C61" s="13"/>
      <c r="D61" s="13"/>
      <c r="E61" s="14"/>
      <c r="F61" s="16"/>
    </row>
    <row r="62" spans="1:6" ht="15" customHeight="1">
      <c r="A62" s="6">
        <v>2</v>
      </c>
      <c r="B62" s="11">
        <v>1075</v>
      </c>
      <c r="C62" s="13"/>
      <c r="D62" s="13"/>
      <c r="E62" s="14" t="s">
        <v>4</v>
      </c>
      <c r="F62" s="16">
        <v>1188686</v>
      </c>
    </row>
    <row r="63" spans="1:6" ht="15" customHeight="1">
      <c r="B63" s="11"/>
      <c r="C63" s="13"/>
      <c r="D63" s="13"/>
      <c r="E63" s="14"/>
      <c r="F63" s="16" t="s">
        <v>3</v>
      </c>
    </row>
    <row r="64" spans="1:6" ht="15" customHeight="1">
      <c r="A64" s="6">
        <v>3</v>
      </c>
      <c r="B64" s="11">
        <v>1080</v>
      </c>
      <c r="C64" s="13"/>
      <c r="D64" s="13"/>
      <c r="E64" s="14" t="s">
        <v>28</v>
      </c>
      <c r="F64" s="16">
        <v>490184</v>
      </c>
    </row>
    <row r="65" spans="1:6" ht="15" customHeight="1">
      <c r="B65" s="11"/>
      <c r="C65" s="13"/>
      <c r="D65" s="13"/>
      <c r="E65" s="14"/>
      <c r="F65" s="16"/>
    </row>
    <row r="66" spans="1:6" ht="15" customHeight="1">
      <c r="B66" s="11"/>
      <c r="C66" s="13"/>
      <c r="D66" s="13"/>
      <c r="E66" s="14" t="s">
        <v>29</v>
      </c>
      <c r="F66" s="16">
        <f>SUM(F56+F60+F62+F64)</f>
        <v>18300883</v>
      </c>
    </row>
    <row r="67" spans="1:6" ht="15" customHeight="1">
      <c r="B67" s="11"/>
      <c r="C67" s="13"/>
      <c r="D67" s="13"/>
      <c r="E67" s="14"/>
      <c r="F67" s="16"/>
    </row>
    <row r="68" spans="1:6" ht="15" customHeight="1">
      <c r="B68" s="11"/>
      <c r="C68" s="15" t="s">
        <v>30</v>
      </c>
      <c r="D68" s="13"/>
      <c r="E68" s="14"/>
      <c r="F68" s="16"/>
    </row>
    <row r="69" spans="1:6" ht="15" customHeight="1">
      <c r="B69" s="11"/>
      <c r="C69" s="15"/>
      <c r="D69" s="13" t="s">
        <v>23</v>
      </c>
      <c r="E69" s="14"/>
      <c r="F69" s="16"/>
    </row>
    <row r="70" spans="1:6" ht="15" customHeight="1">
      <c r="B70" s="11">
        <v>1090</v>
      </c>
      <c r="C70" s="15"/>
      <c r="D70" s="13"/>
      <c r="E70" s="14" t="s">
        <v>31</v>
      </c>
      <c r="F70" s="16">
        <v>0</v>
      </c>
    </row>
    <row r="71" spans="1:6" ht="15" customHeight="1">
      <c r="B71" s="11">
        <v>1091</v>
      </c>
      <c r="C71" s="15"/>
      <c r="D71" s="13"/>
      <c r="E71" s="14" t="s">
        <v>32</v>
      </c>
      <c r="F71" s="16">
        <v>110000</v>
      </c>
    </row>
    <row r="72" spans="1:6" ht="15" customHeight="1">
      <c r="A72" s="6">
        <v>4</v>
      </c>
      <c r="B72" s="11"/>
      <c r="C72" s="15"/>
      <c r="D72" s="13"/>
      <c r="E72" s="14" t="s">
        <v>26</v>
      </c>
      <c r="F72" s="16">
        <f>SUM(F70:F71)</f>
        <v>110000</v>
      </c>
    </row>
    <row r="73" spans="1:6" ht="15" customHeight="1">
      <c r="B73" s="11"/>
      <c r="C73" s="15"/>
      <c r="D73" s="13"/>
      <c r="E73" s="14"/>
      <c r="F73" s="16"/>
    </row>
    <row r="74" spans="1:6" ht="15" customHeight="1">
      <c r="B74" s="11"/>
      <c r="C74" s="13"/>
      <c r="D74" s="13" t="s">
        <v>27</v>
      </c>
      <c r="E74" s="14"/>
      <c r="F74" s="16"/>
    </row>
    <row r="75" spans="1:6" ht="15" customHeight="1">
      <c r="B75" s="11">
        <v>1095</v>
      </c>
      <c r="C75" s="13"/>
      <c r="D75" s="13"/>
      <c r="E75" s="14" t="s">
        <v>7</v>
      </c>
      <c r="F75" s="16">
        <v>14152394</v>
      </c>
    </row>
    <row r="76" spans="1:6" ht="15" customHeight="1">
      <c r="B76" s="11">
        <v>1105</v>
      </c>
      <c r="C76" s="13"/>
      <c r="D76" s="13"/>
      <c r="E76" s="14" t="s">
        <v>33</v>
      </c>
      <c r="F76" s="16">
        <v>300000</v>
      </c>
    </row>
    <row r="77" spans="1:6" ht="15" customHeight="1">
      <c r="B77" s="11">
        <v>1100</v>
      </c>
      <c r="C77" s="13"/>
      <c r="D77" s="13"/>
      <c r="E77" s="14" t="s">
        <v>34</v>
      </c>
      <c r="F77" s="16">
        <v>200000</v>
      </c>
    </row>
    <row r="78" spans="1:6" ht="15" customHeight="1">
      <c r="A78" s="6">
        <v>1</v>
      </c>
      <c r="B78" s="11"/>
      <c r="C78" s="13"/>
      <c r="D78" s="13"/>
      <c r="E78" s="14" t="s">
        <v>2</v>
      </c>
      <c r="F78" s="16">
        <f>SUM(F75:F77)</f>
        <v>14652394</v>
      </c>
    </row>
    <row r="79" spans="1:6" ht="15" customHeight="1">
      <c r="B79" s="11"/>
      <c r="C79" s="13"/>
      <c r="D79" s="13"/>
      <c r="E79" s="14"/>
      <c r="F79" s="16"/>
    </row>
    <row r="80" spans="1:6" ht="15" customHeight="1">
      <c r="A80" s="6">
        <v>2</v>
      </c>
      <c r="B80" s="11">
        <v>1109</v>
      </c>
      <c r="C80" s="13"/>
      <c r="D80" s="13"/>
      <c r="E80" s="14" t="s">
        <v>4</v>
      </c>
      <c r="F80" s="16">
        <v>394137</v>
      </c>
    </row>
    <row r="81" spans="1:6" ht="15" customHeight="1">
      <c r="B81" s="11"/>
      <c r="C81" s="13"/>
      <c r="D81" s="13"/>
      <c r="E81" s="14"/>
      <c r="F81" s="16"/>
    </row>
    <row r="82" spans="1:6" ht="15" customHeight="1">
      <c r="A82" s="6">
        <v>3</v>
      </c>
      <c r="B82" s="11">
        <v>1110</v>
      </c>
      <c r="C82" s="13"/>
      <c r="D82" s="13"/>
      <c r="E82" s="14" t="s">
        <v>28</v>
      </c>
      <c r="F82" s="16">
        <v>15848</v>
      </c>
    </row>
    <row r="83" spans="1:6" ht="15" customHeight="1">
      <c r="B83" s="11"/>
      <c r="C83" s="13"/>
      <c r="D83" s="13"/>
      <c r="E83" s="14"/>
      <c r="F83" s="16"/>
    </row>
    <row r="84" spans="1:6" ht="15" customHeight="1">
      <c r="B84" s="11"/>
      <c r="C84" s="13"/>
      <c r="D84" s="13"/>
      <c r="E84" s="14" t="s">
        <v>35</v>
      </c>
      <c r="F84" s="16">
        <f>SUM(F78:F82)+F72</f>
        <v>15172379</v>
      </c>
    </row>
    <row r="85" spans="1:6" ht="15" customHeight="1">
      <c r="B85" s="11"/>
      <c r="C85" s="13"/>
      <c r="D85" s="13"/>
      <c r="E85" s="14"/>
      <c r="F85" s="16"/>
    </row>
    <row r="86" spans="1:6" ht="15" customHeight="1">
      <c r="B86" s="11"/>
      <c r="C86" s="17" t="s">
        <v>36</v>
      </c>
      <c r="D86" s="13"/>
      <c r="E86" s="14"/>
      <c r="F86" s="16"/>
    </row>
    <row r="87" spans="1:6" ht="15" customHeight="1">
      <c r="A87" s="6">
        <v>1</v>
      </c>
      <c r="B87" s="11">
        <v>1115</v>
      </c>
      <c r="C87" s="13"/>
      <c r="D87" s="13"/>
      <c r="E87" s="14" t="s">
        <v>2</v>
      </c>
      <c r="F87" s="16">
        <v>3173250</v>
      </c>
    </row>
    <row r="88" spans="1:6" ht="15" customHeight="1">
      <c r="B88" s="11"/>
      <c r="C88" s="13"/>
      <c r="D88" s="13"/>
      <c r="E88" s="14"/>
      <c r="F88" s="16"/>
    </row>
    <row r="89" spans="1:6" ht="15" customHeight="1">
      <c r="A89" s="6">
        <v>2</v>
      </c>
      <c r="B89" s="11">
        <v>1125</v>
      </c>
      <c r="C89" s="13"/>
      <c r="D89" s="13"/>
      <c r="E89" s="14" t="s">
        <v>4</v>
      </c>
      <c r="F89" s="16">
        <v>7093035</v>
      </c>
    </row>
    <row r="90" spans="1:6" ht="15" customHeight="1">
      <c r="B90" s="11"/>
      <c r="C90" s="13"/>
      <c r="D90" s="13"/>
      <c r="E90" s="14"/>
      <c r="F90" s="16"/>
    </row>
    <row r="91" spans="1:6" ht="15" customHeight="1">
      <c r="B91" s="11"/>
      <c r="C91" s="13"/>
      <c r="D91" s="13"/>
      <c r="E91" s="14" t="s">
        <v>37</v>
      </c>
      <c r="F91" s="16">
        <f>SUM(F89+F87)</f>
        <v>10266285</v>
      </c>
    </row>
    <row r="92" spans="1:6" ht="15" customHeight="1">
      <c r="B92" s="11"/>
      <c r="C92" s="13"/>
      <c r="D92" s="13"/>
      <c r="E92" s="14"/>
      <c r="F92" s="16"/>
    </row>
    <row r="93" spans="1:6" ht="15" customHeight="1">
      <c r="B93" s="11"/>
      <c r="C93" s="15" t="s">
        <v>38</v>
      </c>
      <c r="D93" s="13"/>
      <c r="E93" s="13"/>
      <c r="F93" s="16"/>
    </row>
    <row r="94" spans="1:6" ht="15" customHeight="1">
      <c r="B94" s="11">
        <v>1130</v>
      </c>
      <c r="C94" s="15"/>
      <c r="D94" s="13" t="s">
        <v>23</v>
      </c>
      <c r="E94" s="13"/>
      <c r="F94" s="16"/>
    </row>
    <row r="95" spans="1:6" ht="15" customHeight="1">
      <c r="B95" s="11"/>
      <c r="C95" s="15"/>
      <c r="D95" s="13"/>
      <c r="E95" s="13" t="s">
        <v>39</v>
      </c>
      <c r="F95" s="16">
        <v>661278</v>
      </c>
    </row>
    <row r="96" spans="1:6" ht="15" customHeight="1">
      <c r="A96" s="6">
        <v>4</v>
      </c>
      <c r="B96" s="11"/>
      <c r="C96" s="15"/>
      <c r="D96" s="13"/>
      <c r="E96" s="13" t="s">
        <v>26</v>
      </c>
      <c r="F96" s="16">
        <f>SUM(F95)</f>
        <v>661278</v>
      </c>
    </row>
    <row r="97" spans="1:6" ht="15" customHeight="1">
      <c r="B97" s="11"/>
      <c r="C97" s="15"/>
      <c r="D97" s="13"/>
      <c r="E97" s="13"/>
      <c r="F97" s="16"/>
    </row>
    <row r="98" spans="1:6" ht="15" customHeight="1">
      <c r="B98" s="11"/>
      <c r="C98" s="15"/>
      <c r="D98" s="13" t="s">
        <v>27</v>
      </c>
      <c r="E98" s="13"/>
      <c r="F98" s="16"/>
    </row>
    <row r="99" spans="1:6" ht="15" customHeight="1">
      <c r="B99" s="11">
        <v>1135</v>
      </c>
      <c r="C99" s="15"/>
      <c r="D99" s="13" t="s">
        <v>3</v>
      </c>
      <c r="E99" s="13" t="s">
        <v>7</v>
      </c>
      <c r="F99" s="16">
        <v>11707654</v>
      </c>
    </row>
    <row r="100" spans="1:6" ht="15" customHeight="1">
      <c r="B100" s="11">
        <v>1140</v>
      </c>
      <c r="C100" s="15"/>
      <c r="D100" s="13"/>
      <c r="E100" s="13" t="s">
        <v>40</v>
      </c>
      <c r="F100" s="16">
        <v>1284038</v>
      </c>
    </row>
    <row r="101" spans="1:6" ht="15" customHeight="1">
      <c r="A101" s="6">
        <v>1</v>
      </c>
      <c r="B101" s="11"/>
      <c r="C101" s="13"/>
      <c r="D101" s="13"/>
      <c r="E101" s="14" t="s">
        <v>2</v>
      </c>
      <c r="F101" s="16">
        <f>SUM(F99:F100)</f>
        <v>12991692</v>
      </c>
    </row>
    <row r="102" spans="1:6" ht="15" customHeight="1">
      <c r="B102" s="11"/>
      <c r="C102" s="13"/>
      <c r="D102" s="13"/>
      <c r="E102" s="14"/>
      <c r="F102" s="16"/>
    </row>
    <row r="103" spans="1:6" ht="15" customHeight="1">
      <c r="A103" s="6">
        <v>2</v>
      </c>
      <c r="B103" s="11">
        <v>1145</v>
      </c>
      <c r="C103" s="13"/>
      <c r="D103" s="13"/>
      <c r="E103" s="14" t="s">
        <v>4</v>
      </c>
      <c r="F103" s="16">
        <v>18250162</v>
      </c>
    </row>
    <row r="104" spans="1:6" ht="15" customHeight="1">
      <c r="B104" s="11"/>
      <c r="C104" s="13"/>
      <c r="D104" s="13"/>
      <c r="E104" s="14"/>
      <c r="F104" s="16"/>
    </row>
    <row r="105" spans="1:6" ht="15" customHeight="1">
      <c r="A105" s="6">
        <v>3</v>
      </c>
      <c r="B105" s="11">
        <v>1150</v>
      </c>
      <c r="C105" s="13"/>
      <c r="D105" s="13"/>
      <c r="E105" s="14" t="s">
        <v>28</v>
      </c>
      <c r="F105" s="16">
        <v>1317369</v>
      </c>
    </row>
    <row r="106" spans="1:6" ht="15" customHeight="1">
      <c r="B106" s="11"/>
      <c r="C106" s="13"/>
      <c r="D106" s="13"/>
      <c r="E106" s="14"/>
      <c r="F106" s="16"/>
    </row>
    <row r="107" spans="1:6" ht="15" customHeight="1">
      <c r="B107" s="11"/>
      <c r="C107" s="13"/>
      <c r="D107" s="13"/>
      <c r="E107" s="14" t="s">
        <v>41</v>
      </c>
      <c r="F107" s="16">
        <f>SUM(+F103+F101+F96+F105)</f>
        <v>33220501</v>
      </c>
    </row>
    <row r="108" spans="1:6" ht="15" customHeight="1">
      <c r="B108" s="11"/>
      <c r="C108" s="13"/>
      <c r="D108" s="13"/>
      <c r="E108" s="14"/>
      <c r="F108" s="13"/>
    </row>
    <row r="109" spans="1:6" ht="15" customHeight="1">
      <c r="B109" s="11"/>
      <c r="C109" s="15" t="s">
        <v>42</v>
      </c>
      <c r="D109" s="13"/>
      <c r="E109" s="13"/>
      <c r="F109" s="16"/>
    </row>
    <row r="110" spans="1:6" ht="15" customHeight="1">
      <c r="B110" s="11"/>
      <c r="C110" s="15"/>
      <c r="D110" s="14" t="s">
        <v>23</v>
      </c>
      <c r="E110" s="13"/>
      <c r="F110" s="16"/>
    </row>
    <row r="111" spans="1:6" ht="15" customHeight="1">
      <c r="B111" s="11">
        <v>1170</v>
      </c>
      <c r="C111" s="15"/>
      <c r="D111" s="14"/>
      <c r="E111" s="13" t="s">
        <v>43</v>
      </c>
      <c r="F111" s="16">
        <v>921243</v>
      </c>
    </row>
    <row r="112" spans="1:6" ht="15" customHeight="1">
      <c r="B112" s="11">
        <v>1175</v>
      </c>
      <c r="C112" s="15"/>
      <c r="D112" s="14"/>
      <c r="E112" s="13" t="s">
        <v>44</v>
      </c>
      <c r="F112" s="16">
        <v>127550</v>
      </c>
    </row>
    <row r="113" spans="1:6" ht="15" customHeight="1">
      <c r="B113" s="11">
        <v>1180</v>
      </c>
      <c r="C113" s="15"/>
      <c r="D113" s="14"/>
      <c r="E113" s="13" t="s">
        <v>45</v>
      </c>
      <c r="F113" s="16">
        <v>20283</v>
      </c>
    </row>
    <row r="114" spans="1:6" ht="15" customHeight="1">
      <c r="A114" s="6">
        <v>4</v>
      </c>
      <c r="B114" s="11"/>
      <c r="C114" s="13"/>
      <c r="D114" s="13"/>
      <c r="E114" s="14" t="s">
        <v>26</v>
      </c>
      <c r="F114" s="16">
        <f>SUM(F111:F113)</f>
        <v>1069076</v>
      </c>
    </row>
    <row r="115" spans="1:6" ht="15" customHeight="1">
      <c r="B115" s="11"/>
      <c r="C115" s="13"/>
      <c r="D115" s="13"/>
      <c r="E115" s="14"/>
      <c r="F115" s="16"/>
    </row>
    <row r="116" spans="1:6" ht="15" customHeight="1">
      <c r="A116" s="6">
        <v>1</v>
      </c>
      <c r="B116" s="11">
        <v>1185</v>
      </c>
      <c r="C116" s="13"/>
      <c r="D116" s="13"/>
      <c r="E116" s="14" t="s">
        <v>2</v>
      </c>
      <c r="F116" s="16">
        <v>2565956</v>
      </c>
    </row>
    <row r="117" spans="1:6" ht="15" customHeight="1">
      <c r="B117" s="11"/>
      <c r="C117" s="13"/>
      <c r="D117" s="13"/>
      <c r="E117" s="14"/>
      <c r="F117" s="16"/>
    </row>
    <row r="118" spans="1:6" ht="15" customHeight="1">
      <c r="A118" s="6">
        <v>2</v>
      </c>
      <c r="B118" s="11">
        <v>1205</v>
      </c>
      <c r="C118" s="13"/>
      <c r="D118" s="13"/>
      <c r="E118" s="14" t="s">
        <v>4</v>
      </c>
      <c r="F118" s="16">
        <v>1219042</v>
      </c>
    </row>
    <row r="119" spans="1:6" ht="15" customHeight="1">
      <c r="B119" s="11"/>
      <c r="C119" s="13"/>
      <c r="D119" s="13"/>
      <c r="E119" s="14"/>
      <c r="F119" s="16"/>
    </row>
    <row r="120" spans="1:6" ht="15" customHeight="1">
      <c r="A120" s="6">
        <v>3</v>
      </c>
      <c r="B120" s="11">
        <v>1210</v>
      </c>
      <c r="C120" s="13"/>
      <c r="D120" s="13"/>
      <c r="E120" s="14" t="s">
        <v>28</v>
      </c>
      <c r="F120" s="16">
        <v>9672</v>
      </c>
    </row>
    <row r="121" spans="1:6" ht="15" customHeight="1">
      <c r="B121" s="11"/>
      <c r="C121" s="13"/>
      <c r="D121" s="13"/>
      <c r="E121" s="14"/>
      <c r="F121" s="16"/>
    </row>
    <row r="122" spans="1:6" ht="15" customHeight="1">
      <c r="B122" s="11"/>
      <c r="C122" s="13"/>
      <c r="D122" s="13"/>
      <c r="E122" s="14" t="s">
        <v>46</v>
      </c>
      <c r="F122" s="16">
        <f>SUM(+F120+F118+F116+F114)</f>
        <v>4863746</v>
      </c>
    </row>
    <row r="123" spans="1:6" ht="15" customHeight="1">
      <c r="B123" s="11"/>
      <c r="C123" s="13"/>
      <c r="D123" s="13"/>
      <c r="E123" s="14"/>
      <c r="F123" s="16"/>
    </row>
    <row r="124" spans="1:6" ht="15" customHeight="1">
      <c r="B124" s="11"/>
      <c r="C124" s="15" t="s">
        <v>47</v>
      </c>
      <c r="D124" s="13"/>
      <c r="E124" s="13"/>
      <c r="F124" s="16"/>
    </row>
    <row r="125" spans="1:6" ht="15" customHeight="1">
      <c r="B125" s="11"/>
      <c r="C125" s="13"/>
      <c r="D125" s="13"/>
      <c r="E125" s="14"/>
      <c r="F125" s="13"/>
    </row>
    <row r="126" spans="1:6" ht="15" customHeight="1">
      <c r="B126" s="11"/>
      <c r="C126" s="13"/>
      <c r="D126" s="14" t="s">
        <v>23</v>
      </c>
      <c r="E126" s="13"/>
      <c r="F126" s="16"/>
    </row>
    <row r="127" spans="1:6" ht="15" customHeight="1">
      <c r="B127" s="11">
        <v>1229</v>
      </c>
      <c r="C127" s="13"/>
      <c r="D127" s="14"/>
      <c r="E127" s="13" t="s">
        <v>48</v>
      </c>
      <c r="F127" s="16">
        <v>100000</v>
      </c>
    </row>
    <row r="128" spans="1:6" ht="15" customHeight="1">
      <c r="B128" s="11">
        <v>1220</v>
      </c>
      <c r="C128" s="15"/>
      <c r="D128" s="13"/>
      <c r="E128" s="13" t="s">
        <v>49</v>
      </c>
      <c r="F128" s="16">
        <v>0</v>
      </c>
    </row>
    <row r="129" spans="2:6" ht="15" customHeight="1">
      <c r="B129" s="11">
        <v>1230</v>
      </c>
      <c r="C129" s="13"/>
      <c r="D129" s="13"/>
      <c r="E129" s="14" t="s">
        <v>50</v>
      </c>
      <c r="F129" s="16">
        <v>3246209</v>
      </c>
    </row>
    <row r="130" spans="2:6" ht="15" customHeight="1">
      <c r="B130" s="11">
        <v>1235</v>
      </c>
      <c r="C130" s="13"/>
      <c r="D130" s="13"/>
      <c r="E130" s="14" t="s">
        <v>51</v>
      </c>
      <c r="F130" s="16">
        <v>2163325</v>
      </c>
    </row>
    <row r="131" spans="2:6" ht="15" customHeight="1">
      <c r="B131" s="11">
        <v>1240</v>
      </c>
      <c r="C131" s="13"/>
      <c r="D131" s="13"/>
      <c r="E131" s="14" t="s">
        <v>52</v>
      </c>
      <c r="F131" s="16">
        <v>115627</v>
      </c>
    </row>
    <row r="132" spans="2:6" ht="15" customHeight="1">
      <c r="B132" s="11">
        <v>1245</v>
      </c>
      <c r="C132" s="13"/>
      <c r="D132" s="13"/>
      <c r="E132" s="14" t="s">
        <v>53</v>
      </c>
      <c r="F132" s="16">
        <v>795187</v>
      </c>
    </row>
    <row r="133" spans="2:6" ht="15" customHeight="1">
      <c r="B133" s="11">
        <v>1250</v>
      </c>
      <c r="C133" s="13"/>
      <c r="D133" s="13"/>
      <c r="E133" s="14" t="s">
        <v>54</v>
      </c>
      <c r="F133" s="16">
        <v>287859</v>
      </c>
    </row>
    <row r="134" spans="2:6" ht="15" customHeight="1">
      <c r="B134" s="11">
        <v>1252</v>
      </c>
      <c r="C134" s="13"/>
      <c r="D134" s="13"/>
      <c r="E134" s="14" t="s">
        <v>55</v>
      </c>
      <c r="F134" s="16">
        <v>12000</v>
      </c>
    </row>
    <row r="135" spans="2:6" ht="15" customHeight="1">
      <c r="B135" s="11">
        <v>1253</v>
      </c>
      <c r="C135" s="13"/>
      <c r="D135" s="13"/>
      <c r="E135" s="14" t="s">
        <v>56</v>
      </c>
      <c r="F135" s="16">
        <v>974046</v>
      </c>
    </row>
    <row r="136" spans="2:6" ht="15" customHeight="1">
      <c r="B136" s="11">
        <v>1260</v>
      </c>
      <c r="C136" s="13"/>
      <c r="D136" s="13"/>
      <c r="E136" s="14" t="s">
        <v>57</v>
      </c>
      <c r="F136" s="16">
        <v>50000</v>
      </c>
    </row>
    <row r="137" spans="2:6" ht="15" customHeight="1">
      <c r="B137" s="11">
        <v>1265</v>
      </c>
      <c r="C137" s="13"/>
      <c r="D137" s="13"/>
      <c r="E137" s="14" t="s">
        <v>58</v>
      </c>
      <c r="F137" s="16">
        <v>110397</v>
      </c>
    </row>
    <row r="138" spans="2:6" ht="15" customHeight="1">
      <c r="B138" s="11">
        <v>1270</v>
      </c>
      <c r="C138" s="13"/>
      <c r="D138" s="13"/>
      <c r="E138" s="14" t="s">
        <v>59</v>
      </c>
      <c r="F138" s="16">
        <v>73204</v>
      </c>
    </row>
    <row r="139" spans="2:6" ht="15" customHeight="1">
      <c r="B139" s="11">
        <v>1275</v>
      </c>
      <c r="C139" s="13"/>
      <c r="D139" s="13"/>
      <c r="E139" s="14" t="s">
        <v>60</v>
      </c>
      <c r="F139" s="16">
        <v>0</v>
      </c>
    </row>
    <row r="140" spans="2:6" ht="15" customHeight="1">
      <c r="B140" s="11">
        <v>1280</v>
      </c>
      <c r="C140" s="13"/>
      <c r="D140" s="13"/>
      <c r="E140" s="14" t="s">
        <v>61</v>
      </c>
      <c r="F140" s="16">
        <v>200000</v>
      </c>
    </row>
    <row r="141" spans="2:6" ht="15" customHeight="1">
      <c r="B141" s="11">
        <v>1285</v>
      </c>
      <c r="C141" s="13"/>
      <c r="D141" s="13"/>
      <c r="E141" s="14" t="s">
        <v>62</v>
      </c>
      <c r="F141" s="16">
        <v>0</v>
      </c>
    </row>
    <row r="142" spans="2:6" ht="15" customHeight="1">
      <c r="B142" s="11">
        <v>1290</v>
      </c>
      <c r="C142" s="13"/>
      <c r="D142" s="13"/>
      <c r="E142" s="14" t="s">
        <v>63</v>
      </c>
      <c r="F142" s="16">
        <v>300000</v>
      </c>
    </row>
    <row r="143" spans="2:6" ht="15" customHeight="1">
      <c r="B143" s="11">
        <v>1295</v>
      </c>
      <c r="C143" s="13"/>
      <c r="D143" s="13"/>
      <c r="E143" s="14" t="s">
        <v>64</v>
      </c>
      <c r="F143" s="16">
        <v>77000</v>
      </c>
    </row>
    <row r="144" spans="2:6" ht="15" customHeight="1">
      <c r="B144" s="11">
        <v>1305</v>
      </c>
      <c r="C144" s="13"/>
      <c r="D144" s="13"/>
      <c r="E144" s="14" t="s">
        <v>65</v>
      </c>
      <c r="F144" s="16">
        <v>76312</v>
      </c>
    </row>
    <row r="145" spans="1:6" ht="15" customHeight="1">
      <c r="B145" s="11">
        <v>1315</v>
      </c>
      <c r="C145" s="13"/>
      <c r="D145" s="13"/>
      <c r="E145" s="13" t="s">
        <v>66</v>
      </c>
      <c r="F145" s="16">
        <v>25000</v>
      </c>
    </row>
    <row r="146" spans="1:6" ht="15" customHeight="1">
      <c r="B146" s="11">
        <v>1320</v>
      </c>
      <c r="C146" s="13"/>
      <c r="D146" s="13"/>
      <c r="E146" s="14" t="s">
        <v>67</v>
      </c>
      <c r="F146" s="16">
        <v>750000</v>
      </c>
    </row>
    <row r="147" spans="1:6" ht="15" customHeight="1">
      <c r="B147" s="11">
        <v>1325</v>
      </c>
      <c r="C147" s="13"/>
      <c r="D147" s="13"/>
      <c r="E147" s="14" t="s">
        <v>68</v>
      </c>
      <c r="F147" s="16">
        <v>50000</v>
      </c>
    </row>
    <row r="148" spans="1:6" ht="15" customHeight="1">
      <c r="A148" s="6">
        <v>4</v>
      </c>
      <c r="B148" s="11"/>
      <c r="C148" s="13"/>
      <c r="D148" s="13"/>
      <c r="E148" s="14" t="s">
        <v>26</v>
      </c>
      <c r="F148" s="16">
        <f>SUM(F127:F147)</f>
        <v>9406166</v>
      </c>
    </row>
    <row r="149" spans="1:6" ht="15" customHeight="1">
      <c r="B149" s="11"/>
      <c r="C149" s="13"/>
      <c r="D149" s="13"/>
      <c r="E149" s="14"/>
      <c r="F149" s="16"/>
    </row>
    <row r="150" spans="1:6" ht="15" customHeight="1">
      <c r="B150" s="11"/>
      <c r="C150" s="13"/>
      <c r="D150" s="13" t="s">
        <v>27</v>
      </c>
      <c r="E150" s="14"/>
      <c r="F150" s="16"/>
    </row>
    <row r="151" spans="1:6" ht="15" customHeight="1">
      <c r="B151" s="11">
        <v>1330</v>
      </c>
      <c r="C151" s="13"/>
      <c r="D151" s="13"/>
      <c r="E151" s="14" t="s">
        <v>69</v>
      </c>
      <c r="F151" s="16">
        <v>10258920</v>
      </c>
    </row>
    <row r="152" spans="1:6" ht="15" customHeight="1">
      <c r="B152" s="11">
        <v>1331</v>
      </c>
      <c r="C152" s="13"/>
      <c r="D152" s="13"/>
      <c r="E152" s="14" t="s">
        <v>70</v>
      </c>
      <c r="F152" s="16">
        <v>1771045</v>
      </c>
    </row>
    <row r="153" spans="1:6" ht="15" customHeight="1">
      <c r="B153" s="11">
        <v>1350</v>
      </c>
      <c r="C153" s="13"/>
      <c r="D153" s="13"/>
      <c r="E153" s="14" t="s">
        <v>71</v>
      </c>
      <c r="F153" s="16">
        <v>300000</v>
      </c>
    </row>
    <row r="154" spans="1:6" ht="15" customHeight="1">
      <c r="B154" s="11">
        <v>1335</v>
      </c>
      <c r="C154" s="13"/>
      <c r="D154" s="13"/>
      <c r="E154" s="14" t="s">
        <v>72</v>
      </c>
      <c r="F154" s="16">
        <v>7826807</v>
      </c>
    </row>
    <row r="155" spans="1:6" ht="15" customHeight="1">
      <c r="B155" s="11">
        <v>1340</v>
      </c>
      <c r="C155" s="13"/>
      <c r="D155" s="13"/>
      <c r="E155" s="14" t="s">
        <v>73</v>
      </c>
      <c r="F155" s="16">
        <v>3000000</v>
      </c>
    </row>
    <row r="156" spans="1:6" ht="15" customHeight="1">
      <c r="B156" s="11">
        <v>1345</v>
      </c>
      <c r="C156" s="13"/>
      <c r="D156" s="13"/>
      <c r="E156" s="14" t="s">
        <v>74</v>
      </c>
      <c r="F156" s="16">
        <v>3650861</v>
      </c>
    </row>
    <row r="157" spans="1:6" ht="15" customHeight="1">
      <c r="B157" s="11">
        <v>1355</v>
      </c>
      <c r="C157" s="13"/>
      <c r="D157" s="13"/>
      <c r="E157" s="14" t="s">
        <v>75</v>
      </c>
      <c r="F157" s="16">
        <v>99564563</v>
      </c>
    </row>
    <row r="158" spans="1:6" ht="15" customHeight="1">
      <c r="B158" s="11">
        <v>1360</v>
      </c>
      <c r="C158" s="13"/>
      <c r="D158" s="13"/>
      <c r="E158" s="14" t="s">
        <v>76</v>
      </c>
      <c r="F158" s="16">
        <v>1120000</v>
      </c>
    </row>
    <row r="159" spans="1:6" ht="15" customHeight="1">
      <c r="B159" s="11">
        <v>1365</v>
      </c>
      <c r="C159" s="13"/>
      <c r="D159" s="13"/>
      <c r="E159" s="14" t="s">
        <v>77</v>
      </c>
      <c r="F159" s="16">
        <v>43621430</v>
      </c>
    </row>
    <row r="160" spans="1:6" ht="15" customHeight="1">
      <c r="B160" s="11">
        <v>1370</v>
      </c>
      <c r="C160" s="13"/>
      <c r="D160" s="13"/>
      <c r="E160" s="14" t="s">
        <v>78</v>
      </c>
      <c r="F160" s="16">
        <v>18151500</v>
      </c>
    </row>
    <row r="161" spans="1:6" ht="15" customHeight="1">
      <c r="B161" s="11">
        <v>1375</v>
      </c>
      <c r="C161" s="13"/>
      <c r="D161" s="13"/>
      <c r="E161" s="14" t="s">
        <v>79</v>
      </c>
      <c r="F161" s="16">
        <v>7500000</v>
      </c>
    </row>
    <row r="162" spans="1:6" ht="15" customHeight="1">
      <c r="B162" s="11">
        <v>1380</v>
      </c>
      <c r="C162" s="13"/>
      <c r="D162" s="13"/>
      <c r="E162" s="14" t="s">
        <v>80</v>
      </c>
      <c r="F162" s="16">
        <v>6318527</v>
      </c>
    </row>
    <row r="163" spans="1:6" ht="15" customHeight="1">
      <c r="B163" s="11">
        <v>1385</v>
      </c>
      <c r="C163" s="13"/>
      <c r="D163" s="13"/>
      <c r="E163" s="14" t="s">
        <v>81</v>
      </c>
      <c r="F163" s="16">
        <v>2046424</v>
      </c>
    </row>
    <row r="164" spans="1:6" ht="15" customHeight="1">
      <c r="A164" s="6">
        <v>1</v>
      </c>
      <c r="B164" s="11"/>
      <c r="C164" s="13"/>
      <c r="D164" s="13"/>
      <c r="E164" s="14" t="s">
        <v>2</v>
      </c>
      <c r="F164" s="16">
        <f>SUM(F151:F163)</f>
        <v>205130077</v>
      </c>
    </row>
    <row r="165" spans="1:6" ht="15" customHeight="1">
      <c r="B165" s="11"/>
      <c r="C165" s="13"/>
      <c r="D165" s="13"/>
      <c r="E165" s="14"/>
      <c r="F165" s="16"/>
    </row>
    <row r="166" spans="1:6" ht="15" customHeight="1">
      <c r="A166" s="6">
        <v>2</v>
      </c>
      <c r="B166" s="11">
        <v>1390</v>
      </c>
      <c r="C166" s="13"/>
      <c r="D166" s="13"/>
      <c r="E166" s="14" t="s">
        <v>82</v>
      </c>
      <c r="F166" s="16">
        <v>700000</v>
      </c>
    </row>
    <row r="167" spans="1:6" ht="15" customHeight="1">
      <c r="B167" s="11"/>
      <c r="C167" s="13"/>
      <c r="D167" s="13"/>
      <c r="E167" s="14"/>
      <c r="F167" s="16"/>
    </row>
    <row r="168" spans="1:6" ht="15" customHeight="1">
      <c r="A168" s="6">
        <v>3</v>
      </c>
      <c r="B168" s="11">
        <v>1395</v>
      </c>
      <c r="C168" s="13"/>
      <c r="D168" s="13"/>
      <c r="E168" s="14" t="s">
        <v>28</v>
      </c>
      <c r="F168" s="16">
        <v>1266000</v>
      </c>
    </row>
    <row r="169" spans="1:6" ht="15" customHeight="1">
      <c r="B169" s="11"/>
      <c r="C169" s="13"/>
      <c r="D169" s="13"/>
      <c r="E169" s="14"/>
      <c r="F169" s="16"/>
    </row>
    <row r="170" spans="1:6" ht="15" customHeight="1">
      <c r="B170" s="11"/>
      <c r="C170" s="13"/>
      <c r="D170" s="13"/>
      <c r="E170" s="14" t="s">
        <v>83</v>
      </c>
      <c r="F170" s="16">
        <f>SUM(F168+F166+F164+F148)</f>
        <v>216502243</v>
      </c>
    </row>
    <row r="171" spans="1:6" ht="15" customHeight="1">
      <c r="B171" s="11"/>
      <c r="C171" s="13"/>
      <c r="D171" s="13"/>
      <c r="E171" s="14"/>
      <c r="F171" s="16"/>
    </row>
    <row r="172" spans="1:6" ht="15" customHeight="1">
      <c r="B172" s="11"/>
      <c r="C172" s="17" t="s">
        <v>84</v>
      </c>
      <c r="D172" s="13"/>
      <c r="E172" s="14"/>
      <c r="F172" s="16"/>
    </row>
    <row r="173" spans="1:6" ht="15" customHeight="1">
      <c r="B173" s="11"/>
      <c r="C173" s="17"/>
      <c r="D173" s="14" t="s">
        <v>23</v>
      </c>
      <c r="E173" s="14"/>
      <c r="F173" s="16"/>
    </row>
    <row r="174" spans="1:6" ht="15" customHeight="1">
      <c r="B174" s="11">
        <v>1401</v>
      </c>
      <c r="C174" s="17"/>
      <c r="D174" s="14"/>
      <c r="E174" s="14" t="s">
        <v>85</v>
      </c>
      <c r="F174" s="16">
        <v>6776960</v>
      </c>
    </row>
    <row r="175" spans="1:6" ht="15" customHeight="1">
      <c r="B175" s="11">
        <v>1402</v>
      </c>
      <c r="C175" s="17"/>
      <c r="D175" s="14"/>
      <c r="E175" s="14" t="s">
        <v>86</v>
      </c>
      <c r="F175" s="16">
        <v>2749415</v>
      </c>
    </row>
    <row r="176" spans="1:6" ht="15" customHeight="1">
      <c r="B176" s="11">
        <v>1396</v>
      </c>
      <c r="C176" s="17"/>
      <c r="D176" s="14"/>
      <c r="E176" s="14" t="s">
        <v>87</v>
      </c>
      <c r="F176" s="16">
        <v>5045242</v>
      </c>
    </row>
    <row r="177" spans="2:6" ht="15" customHeight="1">
      <c r="B177" s="11">
        <v>1397</v>
      </c>
      <c r="C177" s="17"/>
      <c r="D177" s="14"/>
      <c r="E177" s="14" t="s">
        <v>88</v>
      </c>
      <c r="F177" s="16">
        <v>1758829</v>
      </c>
    </row>
    <row r="178" spans="2:6" ht="15" customHeight="1">
      <c r="B178" s="11">
        <v>1399</v>
      </c>
      <c r="C178" s="17"/>
      <c r="D178" s="14"/>
      <c r="E178" s="14" t="s">
        <v>89</v>
      </c>
      <c r="F178" s="16">
        <v>5339102</v>
      </c>
    </row>
    <row r="179" spans="2:6" ht="15" customHeight="1">
      <c r="B179" s="11">
        <v>1398</v>
      </c>
      <c r="C179" s="17"/>
      <c r="D179" s="14"/>
      <c r="E179" s="14" t="s">
        <v>90</v>
      </c>
      <c r="F179" s="16">
        <v>9830452</v>
      </c>
    </row>
    <row r="180" spans="2:6" ht="15" customHeight="1">
      <c r="B180" s="11">
        <v>1400</v>
      </c>
      <c r="C180" s="17"/>
      <c r="D180" s="14"/>
      <c r="E180" s="14" t="s">
        <v>91</v>
      </c>
      <c r="F180" s="16">
        <v>782538</v>
      </c>
    </row>
    <row r="181" spans="2:6" ht="15" customHeight="1">
      <c r="B181" s="11">
        <v>1405</v>
      </c>
      <c r="C181" s="17"/>
      <c r="D181" s="14"/>
      <c r="E181" s="14" t="s">
        <v>92</v>
      </c>
      <c r="F181" s="16">
        <v>42075162</v>
      </c>
    </row>
    <row r="182" spans="2:6" ht="15" customHeight="1">
      <c r="B182" s="11">
        <v>1410</v>
      </c>
      <c r="C182" s="17"/>
      <c r="D182" s="14"/>
      <c r="E182" s="14" t="s">
        <v>93</v>
      </c>
      <c r="F182" s="16">
        <v>60222</v>
      </c>
    </row>
    <row r="183" spans="2:6" ht="15" customHeight="1">
      <c r="B183" s="11">
        <v>1415</v>
      </c>
      <c r="C183" s="17"/>
      <c r="D183" s="14"/>
      <c r="E183" s="14" t="s">
        <v>94</v>
      </c>
      <c r="F183" s="16">
        <v>383843</v>
      </c>
    </row>
    <row r="184" spans="2:6" ht="15" customHeight="1">
      <c r="B184" s="11">
        <v>1420</v>
      </c>
      <c r="C184" s="17"/>
      <c r="D184" s="14"/>
      <c r="E184" s="14" t="s">
        <v>95</v>
      </c>
      <c r="F184" s="16">
        <v>2080</v>
      </c>
    </row>
    <row r="185" spans="2:6" ht="15" customHeight="1">
      <c r="B185" s="11">
        <v>1425</v>
      </c>
      <c r="C185" s="17"/>
      <c r="D185" s="14"/>
      <c r="E185" s="14" t="s">
        <v>96</v>
      </c>
      <c r="F185" s="16">
        <v>19799</v>
      </c>
    </row>
    <row r="186" spans="2:6" ht="15" customHeight="1">
      <c r="B186" s="11">
        <v>1430</v>
      </c>
      <c r="C186" s="17"/>
      <c r="D186" s="14"/>
      <c r="E186" s="14" t="s">
        <v>97</v>
      </c>
      <c r="F186" s="16">
        <v>1088195</v>
      </c>
    </row>
    <row r="187" spans="2:6" ht="15" customHeight="1">
      <c r="B187" s="11">
        <v>1435</v>
      </c>
      <c r="C187" s="17"/>
      <c r="D187" s="14"/>
      <c r="E187" s="14" t="s">
        <v>98</v>
      </c>
      <c r="F187" s="16">
        <v>1889263</v>
      </c>
    </row>
    <row r="188" spans="2:6" ht="15" customHeight="1">
      <c r="B188" s="11">
        <v>1440</v>
      </c>
      <c r="C188" s="17"/>
      <c r="D188" s="14"/>
      <c r="E188" s="14" t="s">
        <v>99</v>
      </c>
      <c r="F188" s="16">
        <v>266915</v>
      </c>
    </row>
    <row r="189" spans="2:6" ht="15" customHeight="1">
      <c r="B189" s="11">
        <v>1445</v>
      </c>
      <c r="C189" s="17"/>
      <c r="D189" s="14"/>
      <c r="E189" s="14" t="s">
        <v>100</v>
      </c>
      <c r="F189" s="16">
        <v>126230</v>
      </c>
    </row>
    <row r="190" spans="2:6" ht="15" customHeight="1">
      <c r="B190" s="11">
        <v>1450</v>
      </c>
      <c r="C190" s="17"/>
      <c r="D190" s="14"/>
      <c r="E190" s="14" t="s">
        <v>101</v>
      </c>
      <c r="F190" s="16">
        <v>111777</v>
      </c>
    </row>
    <row r="191" spans="2:6" ht="15" customHeight="1">
      <c r="B191" s="11">
        <v>1455</v>
      </c>
      <c r="C191" s="17"/>
      <c r="D191" s="14"/>
      <c r="E191" s="14" t="s">
        <v>102</v>
      </c>
      <c r="F191" s="16">
        <v>98286</v>
      </c>
    </row>
    <row r="192" spans="2:6" ht="15" customHeight="1">
      <c r="B192" s="11">
        <v>1460</v>
      </c>
      <c r="C192" s="17"/>
      <c r="D192" s="14"/>
      <c r="E192" s="14" t="s">
        <v>103</v>
      </c>
      <c r="F192" s="16">
        <v>101347</v>
      </c>
    </row>
    <row r="193" spans="1:6" ht="15" customHeight="1">
      <c r="B193" s="11">
        <v>1465</v>
      </c>
      <c r="C193" s="17"/>
      <c r="D193" s="14"/>
      <c r="E193" s="14" t="s">
        <v>104</v>
      </c>
      <c r="F193" s="16">
        <v>295864</v>
      </c>
    </row>
    <row r="194" spans="1:6" ht="15" customHeight="1">
      <c r="B194" s="11">
        <v>1470</v>
      </c>
      <c r="C194" s="17"/>
      <c r="D194" s="14"/>
      <c r="E194" s="14" t="s">
        <v>105</v>
      </c>
      <c r="F194" s="16">
        <v>561291</v>
      </c>
    </row>
    <row r="195" spans="1:6" ht="15" customHeight="1">
      <c r="B195" s="11">
        <v>1475</v>
      </c>
      <c r="C195" s="17"/>
      <c r="D195" s="14"/>
      <c r="E195" s="14" t="s">
        <v>106</v>
      </c>
      <c r="F195" s="16">
        <v>177951</v>
      </c>
    </row>
    <row r="196" spans="1:6" ht="15" customHeight="1">
      <c r="B196" s="11">
        <v>1480</v>
      </c>
      <c r="C196" s="17"/>
      <c r="D196" s="14"/>
      <c r="E196" s="14" t="s">
        <v>107</v>
      </c>
      <c r="F196" s="16">
        <v>197371</v>
      </c>
    </row>
    <row r="197" spans="1:6" ht="15" customHeight="1">
      <c r="B197" s="11">
        <v>1482</v>
      </c>
      <c r="C197" s="17"/>
      <c r="D197" s="14"/>
      <c r="E197" s="14" t="s">
        <v>108</v>
      </c>
      <c r="F197" s="16">
        <v>177092</v>
      </c>
    </row>
    <row r="198" spans="1:6" ht="15" customHeight="1">
      <c r="A198" s="6">
        <v>4</v>
      </c>
      <c r="B198" s="11"/>
      <c r="C198" s="13"/>
      <c r="D198" s="13"/>
      <c r="E198" s="14" t="s">
        <v>26</v>
      </c>
      <c r="F198" s="16">
        <f>SUM(F174:F197)</f>
        <v>79915226</v>
      </c>
    </row>
    <row r="199" spans="1:6" ht="15" customHeight="1">
      <c r="B199" s="11"/>
      <c r="C199" s="17"/>
      <c r="D199" s="13"/>
      <c r="E199" s="14"/>
      <c r="F199" s="16"/>
    </row>
    <row r="200" spans="1:6" ht="15" customHeight="1">
      <c r="B200" s="11"/>
      <c r="C200" s="13"/>
      <c r="D200" s="14" t="s">
        <v>7</v>
      </c>
      <c r="E200" s="13"/>
      <c r="F200" s="16"/>
    </row>
    <row r="201" spans="1:6" ht="15" customHeight="1">
      <c r="B201" s="11">
        <v>1485</v>
      </c>
      <c r="C201" s="13"/>
      <c r="D201" s="13"/>
      <c r="E201" s="14" t="s">
        <v>84</v>
      </c>
      <c r="F201" s="16">
        <v>93330330</v>
      </c>
    </row>
    <row r="202" spans="1:6" ht="15" customHeight="1">
      <c r="B202" s="11"/>
      <c r="C202" s="13"/>
      <c r="D202" s="13"/>
      <c r="E202" s="14"/>
      <c r="F202" s="16"/>
    </row>
    <row r="203" spans="1:6" ht="15" customHeight="1">
      <c r="A203" s="6">
        <v>1</v>
      </c>
      <c r="B203" s="11"/>
      <c r="C203" s="13"/>
      <c r="D203" s="13"/>
      <c r="E203" s="14" t="s">
        <v>2</v>
      </c>
      <c r="F203" s="16">
        <f>SUM(F201)</f>
        <v>93330330</v>
      </c>
    </row>
    <row r="204" spans="1:6" ht="15" customHeight="1">
      <c r="B204" s="11"/>
      <c r="C204" s="13"/>
      <c r="D204" s="13"/>
      <c r="E204" s="14"/>
      <c r="F204" s="16"/>
    </row>
    <row r="205" spans="1:6" ht="15" customHeight="1">
      <c r="A205" s="6">
        <v>2</v>
      </c>
      <c r="B205" s="11">
        <v>1490</v>
      </c>
      <c r="C205" s="13"/>
      <c r="D205" s="13"/>
      <c r="E205" s="14" t="s">
        <v>82</v>
      </c>
      <c r="F205" s="16">
        <v>1560625</v>
      </c>
    </row>
    <row r="206" spans="1:6" ht="15" customHeight="1">
      <c r="B206" s="11"/>
      <c r="C206" s="13"/>
      <c r="D206" s="13"/>
      <c r="E206" s="13"/>
      <c r="F206" s="16"/>
    </row>
    <row r="207" spans="1:6" ht="15" customHeight="1">
      <c r="A207" s="6">
        <v>3</v>
      </c>
      <c r="B207" s="11">
        <v>1500</v>
      </c>
      <c r="C207" s="13"/>
      <c r="D207" s="13"/>
      <c r="E207" s="14" t="s">
        <v>28</v>
      </c>
      <c r="F207" s="16">
        <v>5892325</v>
      </c>
    </row>
    <row r="208" spans="1:6" ht="15" customHeight="1">
      <c r="B208" s="11"/>
      <c r="C208" s="13"/>
      <c r="D208" s="13"/>
      <c r="E208" s="14"/>
      <c r="F208" s="16"/>
    </row>
    <row r="209" spans="1:6" ht="15" customHeight="1">
      <c r="B209" s="11"/>
      <c r="C209" s="13"/>
      <c r="D209" s="13"/>
      <c r="E209" s="14" t="s">
        <v>109</v>
      </c>
      <c r="F209" s="16">
        <f>SUM(F207+F205+F203+F198)</f>
        <v>180698506</v>
      </c>
    </row>
    <row r="210" spans="1:6" ht="15" customHeight="1">
      <c r="B210" s="11"/>
      <c r="C210" s="13"/>
      <c r="D210" s="13"/>
      <c r="E210" s="14"/>
      <c r="F210" s="16"/>
    </row>
    <row r="211" spans="1:6" ht="15" customHeight="1">
      <c r="B211" s="11"/>
      <c r="C211" s="17" t="s">
        <v>110</v>
      </c>
      <c r="D211" s="13"/>
      <c r="E211" s="14"/>
      <c r="F211" s="16"/>
    </row>
    <row r="212" spans="1:6" ht="15" customHeight="1">
      <c r="A212" s="6">
        <v>1</v>
      </c>
      <c r="B212" s="11">
        <v>1505</v>
      </c>
      <c r="C212" s="13"/>
      <c r="D212" s="13"/>
      <c r="E212" s="14" t="s">
        <v>2</v>
      </c>
      <c r="F212" s="16">
        <v>12094085</v>
      </c>
    </row>
    <row r="213" spans="1:6" ht="15" customHeight="1">
      <c r="B213" s="11"/>
      <c r="C213" s="13"/>
      <c r="D213" s="13"/>
      <c r="E213" s="14"/>
      <c r="F213" s="16"/>
    </row>
    <row r="214" spans="1:6" ht="15" customHeight="1">
      <c r="B214" s="11"/>
      <c r="C214" s="13"/>
      <c r="D214" s="13"/>
      <c r="E214" s="14" t="s">
        <v>111</v>
      </c>
      <c r="F214" s="16">
        <f>SUM(F212:F213)</f>
        <v>12094085</v>
      </c>
    </row>
    <row r="215" spans="1:6" ht="15" customHeight="1">
      <c r="B215" s="11"/>
      <c r="C215" s="13"/>
      <c r="D215" s="13"/>
      <c r="E215" s="14"/>
      <c r="F215" s="16"/>
    </row>
    <row r="216" spans="1:6" ht="15" customHeight="1">
      <c r="B216" s="11"/>
      <c r="C216" s="13"/>
      <c r="D216" s="13"/>
      <c r="E216" s="18" t="s">
        <v>112</v>
      </c>
      <c r="F216" s="16">
        <f>F214+F203+F48+F164+F116+F31+F101+F60+F41+F36+F24+F19+F14+F5+F78+F87</f>
        <v>383512525</v>
      </c>
    </row>
    <row r="217" spans="1:6" ht="15" customHeight="1">
      <c r="B217" s="11"/>
      <c r="C217" s="13"/>
      <c r="D217" s="13"/>
      <c r="E217" s="14" t="s">
        <v>113</v>
      </c>
      <c r="F217" s="16">
        <f>SUM(F214+F209+F170+F122+F33+F107+F91+F84+F66+F50+F45+F38+F28+F21+F16+F9)</f>
        <v>523584235</v>
      </c>
    </row>
    <row r="218" spans="1:6" ht="15" customHeight="1">
      <c r="B218" s="11"/>
      <c r="C218" s="13"/>
      <c r="D218" s="13"/>
      <c r="E218" s="14"/>
      <c r="F218" s="16"/>
    </row>
    <row r="219" spans="1:6" ht="15" customHeight="1">
      <c r="B219" s="11"/>
      <c r="C219" s="12" t="s">
        <v>114</v>
      </c>
      <c r="D219" s="13"/>
      <c r="E219" s="13"/>
      <c r="F219" s="16"/>
    </row>
    <row r="220" spans="1:6" ht="15" customHeight="1">
      <c r="B220" s="11"/>
      <c r="C220" s="15" t="s">
        <v>1</v>
      </c>
      <c r="D220" s="13"/>
      <c r="E220" s="13"/>
      <c r="F220" s="16"/>
    </row>
    <row r="221" spans="1:6" ht="15" customHeight="1">
      <c r="A221" s="6">
        <v>1</v>
      </c>
      <c r="B221" s="11">
        <v>1600</v>
      </c>
      <c r="C221" s="13"/>
      <c r="D221" s="13"/>
      <c r="E221" s="14" t="s">
        <v>2</v>
      </c>
      <c r="F221" s="16">
        <v>1505276</v>
      </c>
    </row>
    <row r="222" spans="1:6" ht="15" customHeight="1">
      <c r="B222" s="11"/>
      <c r="C222" s="13"/>
      <c r="D222" s="13"/>
      <c r="E222" s="14"/>
      <c r="F222" s="16"/>
    </row>
    <row r="223" spans="1:6" ht="15" customHeight="1">
      <c r="B223" s="11"/>
      <c r="C223" s="13"/>
      <c r="D223" s="13"/>
      <c r="E223" s="14" t="s">
        <v>5</v>
      </c>
      <c r="F223" s="16">
        <f>SUM(F221:F222)</f>
        <v>1505276</v>
      </c>
    </row>
    <row r="224" spans="1:6" ht="15" customHeight="1">
      <c r="B224" s="11"/>
      <c r="C224" s="13"/>
      <c r="D224" s="13"/>
      <c r="E224" s="14"/>
      <c r="F224" s="16"/>
    </row>
    <row r="225" spans="1:6" ht="15" customHeight="1">
      <c r="B225" s="11"/>
      <c r="C225" s="15" t="s">
        <v>115</v>
      </c>
      <c r="D225" s="13"/>
      <c r="E225" s="13"/>
      <c r="F225" s="16"/>
    </row>
    <row r="226" spans="1:6" ht="15" customHeight="1">
      <c r="A226" s="6">
        <v>1</v>
      </c>
      <c r="B226" s="11">
        <v>1605</v>
      </c>
      <c r="C226" s="13"/>
      <c r="D226" s="13"/>
      <c r="E226" s="14" t="s">
        <v>2</v>
      </c>
      <c r="F226" s="16">
        <v>1355135</v>
      </c>
    </row>
    <row r="227" spans="1:6" ht="15" customHeight="1">
      <c r="B227" s="11"/>
      <c r="C227" s="13"/>
      <c r="D227" s="13"/>
      <c r="E227" s="14"/>
      <c r="F227" s="16"/>
    </row>
    <row r="228" spans="1:6" ht="15" customHeight="1">
      <c r="B228" s="11"/>
      <c r="C228" s="13"/>
      <c r="D228" s="13"/>
      <c r="E228" s="14" t="s">
        <v>116</v>
      </c>
      <c r="F228" s="16">
        <f>SUM(F226:F227)</f>
        <v>1355135</v>
      </c>
    </row>
    <row r="229" spans="1:6" ht="15" customHeight="1">
      <c r="B229" s="11"/>
      <c r="C229" s="13"/>
      <c r="D229" s="13"/>
      <c r="E229" s="14"/>
      <c r="F229" s="16"/>
    </row>
    <row r="230" spans="1:6" ht="15" customHeight="1">
      <c r="B230" s="11"/>
      <c r="C230" s="15" t="s">
        <v>117</v>
      </c>
      <c r="D230" s="13"/>
      <c r="E230" s="13"/>
      <c r="F230" s="16"/>
    </row>
    <row r="231" spans="1:6" ht="15" customHeight="1">
      <c r="A231" s="6">
        <v>1</v>
      </c>
      <c r="B231" s="11">
        <v>1610</v>
      </c>
      <c r="C231" s="13"/>
      <c r="D231" s="13"/>
      <c r="E231" s="14" t="s">
        <v>2</v>
      </c>
      <c r="F231" s="16">
        <v>644851</v>
      </c>
    </row>
    <row r="232" spans="1:6" ht="15" customHeight="1">
      <c r="B232" s="11"/>
      <c r="C232" s="13"/>
      <c r="D232" s="13"/>
      <c r="E232" s="14"/>
      <c r="F232" s="16"/>
    </row>
    <row r="233" spans="1:6" ht="15" customHeight="1">
      <c r="B233" s="11"/>
      <c r="C233" s="13"/>
      <c r="D233" s="13"/>
      <c r="E233" s="14" t="s">
        <v>118</v>
      </c>
      <c r="F233" s="16">
        <f>SUM(F231:F232)</f>
        <v>644851</v>
      </c>
    </row>
    <row r="234" spans="1:6" ht="15" customHeight="1">
      <c r="B234" s="11"/>
      <c r="C234" s="13"/>
      <c r="D234" s="13"/>
      <c r="E234" s="14"/>
      <c r="F234" s="16"/>
    </row>
    <row r="235" spans="1:6" ht="15" customHeight="1">
      <c r="B235" s="11"/>
      <c r="C235" s="15" t="s">
        <v>119</v>
      </c>
      <c r="D235" s="13"/>
      <c r="E235" s="13"/>
      <c r="F235" s="16"/>
    </row>
    <row r="236" spans="1:6" ht="15" customHeight="1">
      <c r="A236" s="6">
        <v>1</v>
      </c>
      <c r="B236" s="11">
        <v>1615</v>
      </c>
      <c r="C236" s="13"/>
      <c r="D236" s="13"/>
      <c r="E236" s="14" t="s">
        <v>2</v>
      </c>
      <c r="F236" s="16">
        <v>1015438</v>
      </c>
    </row>
    <row r="237" spans="1:6" ht="15" customHeight="1">
      <c r="B237" s="11"/>
      <c r="C237" s="13"/>
      <c r="D237" s="13"/>
      <c r="E237" s="14"/>
      <c r="F237" s="16"/>
    </row>
    <row r="238" spans="1:6" ht="15" customHeight="1">
      <c r="A238" s="6">
        <v>3</v>
      </c>
      <c r="B238" s="11">
        <v>1620</v>
      </c>
      <c r="C238" s="13"/>
      <c r="D238" s="13"/>
      <c r="E238" s="14" t="s">
        <v>28</v>
      </c>
      <c r="F238" s="16">
        <v>100000</v>
      </c>
    </row>
    <row r="239" spans="1:6" ht="15" customHeight="1">
      <c r="B239" s="11"/>
      <c r="C239" s="13"/>
      <c r="D239" s="13"/>
      <c r="E239" s="14"/>
      <c r="F239" s="16"/>
    </row>
    <row r="240" spans="1:6" ht="15" customHeight="1">
      <c r="B240" s="11"/>
      <c r="C240" s="13"/>
      <c r="D240" s="13"/>
      <c r="E240" s="14" t="s">
        <v>120</v>
      </c>
      <c r="F240" s="16">
        <f>SUM(F238+F236)</f>
        <v>1115438</v>
      </c>
    </row>
    <row r="241" spans="1:6" ht="15" customHeight="1">
      <c r="B241" s="11"/>
      <c r="C241" s="13"/>
      <c r="D241" s="13"/>
      <c r="E241" s="14"/>
      <c r="F241" s="16"/>
    </row>
    <row r="242" spans="1:6" ht="15" customHeight="1">
      <c r="B242" s="11"/>
      <c r="C242" s="15" t="s">
        <v>121</v>
      </c>
      <c r="D242" s="13"/>
      <c r="E242" s="13"/>
      <c r="F242" s="16"/>
    </row>
    <row r="243" spans="1:6" ht="15" customHeight="1">
      <c r="A243" s="6">
        <v>1</v>
      </c>
      <c r="B243" s="11">
        <v>1630</v>
      </c>
      <c r="C243" s="13"/>
      <c r="D243" s="13"/>
      <c r="E243" s="14" t="s">
        <v>2</v>
      </c>
      <c r="F243" s="16">
        <v>667561</v>
      </c>
    </row>
    <row r="244" spans="1:6" ht="15" customHeight="1">
      <c r="B244" s="11"/>
      <c r="C244" s="13"/>
      <c r="D244" s="13"/>
      <c r="E244" s="14"/>
      <c r="F244" s="16"/>
    </row>
    <row r="245" spans="1:6" ht="15" customHeight="1">
      <c r="B245" s="11"/>
      <c r="C245" s="13"/>
      <c r="D245" s="13"/>
      <c r="E245" s="14" t="s">
        <v>122</v>
      </c>
      <c r="F245" s="16">
        <f>SUM(F243:F244)</f>
        <v>667561</v>
      </c>
    </row>
    <row r="246" spans="1:6" ht="15" customHeight="1">
      <c r="B246" s="11"/>
      <c r="C246" s="13"/>
      <c r="D246" s="13"/>
      <c r="E246" s="14"/>
      <c r="F246" s="16"/>
    </row>
    <row r="247" spans="1:6" ht="15" customHeight="1">
      <c r="B247" s="11"/>
      <c r="C247" s="15" t="s">
        <v>123</v>
      </c>
      <c r="D247" s="13"/>
      <c r="E247" s="13"/>
      <c r="F247" s="16"/>
    </row>
    <row r="248" spans="1:6" ht="15" customHeight="1">
      <c r="B248" s="11"/>
      <c r="C248" s="15"/>
      <c r="D248" s="13"/>
      <c r="E248" s="13" t="s">
        <v>7</v>
      </c>
      <c r="F248" s="16">
        <f>3428981</f>
        <v>3428981</v>
      </c>
    </row>
    <row r="249" spans="1:6" ht="15" customHeight="1">
      <c r="B249" s="11"/>
      <c r="C249" s="15"/>
      <c r="D249" s="13"/>
      <c r="E249" s="14" t="s">
        <v>124</v>
      </c>
      <c r="F249" s="16">
        <v>489000</v>
      </c>
    </row>
    <row r="250" spans="1:6" ht="15" customHeight="1">
      <c r="A250" s="6">
        <v>1</v>
      </c>
      <c r="B250" s="11">
        <v>1635</v>
      </c>
      <c r="C250" s="13"/>
      <c r="D250" s="13"/>
      <c r="E250" s="14" t="s">
        <v>2</v>
      </c>
      <c r="F250" s="16">
        <f>SUM(F248:F249)</f>
        <v>3917981</v>
      </c>
    </row>
    <row r="251" spans="1:6" ht="15" customHeight="1">
      <c r="A251" s="6" t="s">
        <v>3</v>
      </c>
      <c r="B251" s="11"/>
      <c r="C251" s="13"/>
      <c r="D251" s="13"/>
      <c r="E251" s="13"/>
      <c r="F251" s="13"/>
    </row>
    <row r="252" spans="1:6" ht="15" customHeight="1">
      <c r="A252" s="6">
        <v>3</v>
      </c>
      <c r="B252" s="11">
        <v>1645</v>
      </c>
      <c r="C252" s="13"/>
      <c r="D252" s="13"/>
      <c r="E252" s="14" t="s">
        <v>28</v>
      </c>
      <c r="F252" s="16">
        <v>480201</v>
      </c>
    </row>
    <row r="253" spans="1:6" ht="15" customHeight="1">
      <c r="B253" s="11"/>
      <c r="C253" s="13"/>
      <c r="D253" s="13"/>
      <c r="E253" s="14"/>
      <c r="F253" s="16"/>
    </row>
    <row r="254" spans="1:6" ht="15" customHeight="1">
      <c r="B254" s="11"/>
      <c r="C254" s="13"/>
      <c r="D254" s="13"/>
      <c r="E254" s="14" t="s">
        <v>125</v>
      </c>
      <c r="F254" s="16">
        <f>SUM(F250:F253)</f>
        <v>4398182</v>
      </c>
    </row>
    <row r="255" spans="1:6" ht="15" customHeight="1">
      <c r="B255" s="11"/>
      <c r="C255" s="13"/>
      <c r="D255" s="13"/>
      <c r="E255" s="14"/>
      <c r="F255" s="16"/>
    </row>
    <row r="256" spans="1:6" ht="15" customHeight="1">
      <c r="B256" s="11"/>
      <c r="C256" s="13"/>
      <c r="D256" s="13"/>
      <c r="E256" s="14" t="s">
        <v>126</v>
      </c>
      <c r="F256" s="16">
        <v>167091</v>
      </c>
    </row>
    <row r="257" spans="1:6" ht="15" customHeight="1">
      <c r="A257" s="6">
        <v>1</v>
      </c>
      <c r="B257" s="11">
        <v>1655</v>
      </c>
      <c r="C257" s="13"/>
      <c r="D257" s="13"/>
      <c r="E257" s="14" t="s">
        <v>2</v>
      </c>
      <c r="F257" s="16">
        <f>SUM(F256)</f>
        <v>167091</v>
      </c>
    </row>
    <row r="258" spans="1:6" ht="15" customHeight="1">
      <c r="B258" s="11"/>
      <c r="C258" s="13"/>
      <c r="D258" s="13"/>
      <c r="E258" s="14"/>
      <c r="F258" s="16"/>
    </row>
    <row r="259" spans="1:6" ht="15" customHeight="1">
      <c r="B259" s="11"/>
      <c r="C259" s="13"/>
      <c r="D259" s="13"/>
      <c r="E259" s="18" t="s">
        <v>112</v>
      </c>
      <c r="F259" s="16">
        <f>+F250+F243+F236+F231+F226+F221+F257+F249</f>
        <v>9762333</v>
      </c>
    </row>
    <row r="260" spans="1:6" ht="15" customHeight="1">
      <c r="B260" s="11"/>
      <c r="C260" s="13"/>
      <c r="D260" s="13"/>
      <c r="E260" s="14" t="s">
        <v>127</v>
      </c>
      <c r="F260" s="16">
        <f>SUM(F254+F245+F240+F233+F228+F223+F257)</f>
        <v>9853534</v>
      </c>
    </row>
    <row r="261" spans="1:6" ht="15" customHeight="1">
      <c r="B261" s="11"/>
      <c r="C261" s="13"/>
      <c r="D261" s="13"/>
      <c r="E261" s="14"/>
      <c r="F261" s="16"/>
    </row>
    <row r="262" spans="1:6" ht="15" customHeight="1">
      <c r="B262" s="11"/>
      <c r="C262" s="12" t="s">
        <v>128</v>
      </c>
      <c r="D262" s="13"/>
      <c r="E262" s="13"/>
      <c r="F262" s="16"/>
    </row>
    <row r="263" spans="1:6" ht="15" customHeight="1">
      <c r="B263" s="11"/>
      <c r="C263" s="15" t="s">
        <v>1</v>
      </c>
      <c r="D263" s="13"/>
      <c r="E263" s="13"/>
      <c r="F263" s="16"/>
    </row>
    <row r="264" spans="1:6" ht="15" customHeight="1">
      <c r="A264" s="6">
        <v>1</v>
      </c>
      <c r="B264" s="11">
        <v>1700</v>
      </c>
      <c r="C264" s="13"/>
      <c r="D264" s="13"/>
      <c r="E264" s="14" t="s">
        <v>2</v>
      </c>
      <c r="F264" s="16">
        <v>385898</v>
      </c>
    </row>
    <row r="265" spans="1:6" ht="15" customHeight="1">
      <c r="B265" s="11"/>
      <c r="C265" s="13"/>
      <c r="D265" s="13"/>
      <c r="E265" s="14"/>
      <c r="F265" s="16"/>
    </row>
    <row r="266" spans="1:6" ht="15" customHeight="1">
      <c r="B266" s="11"/>
      <c r="C266" s="13"/>
      <c r="D266" s="14" t="s">
        <v>129</v>
      </c>
      <c r="E266" s="13"/>
      <c r="F266" s="16"/>
    </row>
    <row r="267" spans="1:6" ht="15" customHeight="1">
      <c r="B267" s="11">
        <v>1705</v>
      </c>
      <c r="C267" s="13"/>
      <c r="D267" s="13"/>
      <c r="E267" s="14" t="s">
        <v>130</v>
      </c>
      <c r="F267" s="16">
        <v>775472</v>
      </c>
    </row>
    <row r="268" spans="1:6" ht="15" customHeight="1">
      <c r="A268" s="6">
        <v>3</v>
      </c>
      <c r="B268" s="11"/>
      <c r="C268" s="13"/>
      <c r="D268" s="13"/>
      <c r="E268" s="14" t="s">
        <v>28</v>
      </c>
      <c r="F268" s="16">
        <f>SUM(F267)</f>
        <v>775472</v>
      </c>
    </row>
    <row r="269" spans="1:6" ht="15" customHeight="1">
      <c r="B269" s="11"/>
      <c r="C269" s="13"/>
      <c r="D269" s="13"/>
      <c r="E269" s="14"/>
      <c r="F269" s="16"/>
    </row>
    <row r="270" spans="1:6" ht="15" customHeight="1">
      <c r="B270" s="11"/>
      <c r="C270" s="13"/>
      <c r="D270" s="13"/>
      <c r="E270" s="14" t="s">
        <v>5</v>
      </c>
      <c r="F270" s="16">
        <f>SUM(F268)+F264</f>
        <v>1161370</v>
      </c>
    </row>
    <row r="271" spans="1:6" ht="15" customHeight="1">
      <c r="B271" s="11"/>
      <c r="C271" s="13"/>
      <c r="D271" s="13"/>
      <c r="E271" s="14"/>
      <c r="F271" s="16"/>
    </row>
    <row r="272" spans="1:6" ht="15" customHeight="1">
      <c r="B272" s="11"/>
      <c r="C272" s="15" t="s">
        <v>131</v>
      </c>
      <c r="D272" s="13"/>
      <c r="E272" s="13"/>
      <c r="F272" s="16"/>
    </row>
    <row r="273" spans="1:6" ht="15" customHeight="1">
      <c r="A273" s="6">
        <v>2</v>
      </c>
      <c r="B273" s="11">
        <v>1710</v>
      </c>
      <c r="C273" s="13"/>
      <c r="D273" s="13"/>
      <c r="E273" s="14" t="s">
        <v>4</v>
      </c>
      <c r="F273" s="16">
        <v>24444250</v>
      </c>
    </row>
    <row r="274" spans="1:6" ht="15" customHeight="1">
      <c r="B274" s="11"/>
      <c r="C274" s="13"/>
      <c r="D274" s="13"/>
      <c r="E274" s="14"/>
      <c r="F274" s="16"/>
    </row>
    <row r="275" spans="1:6" ht="15" customHeight="1">
      <c r="B275" s="11"/>
      <c r="C275" s="14" t="s">
        <v>129</v>
      </c>
      <c r="D275" s="13"/>
      <c r="E275" s="13"/>
      <c r="F275" s="16"/>
    </row>
    <row r="276" spans="1:6" ht="15" customHeight="1">
      <c r="B276" s="11">
        <v>1715</v>
      </c>
      <c r="C276" s="14"/>
      <c r="D276" s="13"/>
      <c r="E276" s="13" t="s">
        <v>132</v>
      </c>
      <c r="F276" s="16">
        <v>1018338</v>
      </c>
    </row>
    <row r="277" spans="1:6" ht="15" customHeight="1">
      <c r="B277" s="11">
        <v>1720</v>
      </c>
      <c r="C277" s="13"/>
      <c r="D277" s="13"/>
      <c r="E277" s="14" t="s">
        <v>133</v>
      </c>
      <c r="F277" s="16">
        <v>9182841</v>
      </c>
    </row>
    <row r="278" spans="1:6" ht="15" customHeight="1">
      <c r="B278" s="11">
        <v>1725</v>
      </c>
      <c r="C278" s="13"/>
      <c r="D278" s="13"/>
      <c r="E278" s="14" t="s">
        <v>134</v>
      </c>
      <c r="F278" s="16">
        <v>39943</v>
      </c>
    </row>
    <row r="279" spans="1:6" ht="15" customHeight="1">
      <c r="B279" s="11">
        <v>1726</v>
      </c>
      <c r="C279" s="13"/>
      <c r="D279" s="13"/>
      <c r="E279" s="14" t="s">
        <v>135</v>
      </c>
      <c r="F279" s="16">
        <v>1711130</v>
      </c>
    </row>
    <row r="280" spans="1:6" ht="15" customHeight="1">
      <c r="B280" s="11">
        <v>1724</v>
      </c>
      <c r="C280" s="13"/>
      <c r="D280" s="13"/>
      <c r="E280" s="14" t="s">
        <v>136</v>
      </c>
      <c r="F280" s="16">
        <v>288870</v>
      </c>
    </row>
    <row r="281" spans="1:6" ht="15" customHeight="1">
      <c r="A281" s="6">
        <v>3</v>
      </c>
      <c r="B281" s="11"/>
      <c r="C281" s="13"/>
      <c r="D281" s="13"/>
      <c r="E281" s="14" t="s">
        <v>28</v>
      </c>
      <c r="F281" s="16">
        <f>SUM(F276:F280)</f>
        <v>12241122</v>
      </c>
    </row>
    <row r="282" spans="1:6" ht="15" customHeight="1">
      <c r="B282" s="11"/>
      <c r="C282" s="13"/>
      <c r="D282" s="13"/>
      <c r="E282" s="14"/>
      <c r="F282" s="16"/>
    </row>
    <row r="283" spans="1:6" ht="15" customHeight="1">
      <c r="B283" s="11"/>
      <c r="C283" s="13"/>
      <c r="D283" s="13"/>
      <c r="E283" s="14" t="s">
        <v>137</v>
      </c>
      <c r="F283" s="16">
        <f>SUM(F281+F273)</f>
        <v>36685372</v>
      </c>
    </row>
    <row r="284" spans="1:6" ht="15" customHeight="1">
      <c r="B284" s="11"/>
      <c r="C284" s="13"/>
      <c r="D284" s="13"/>
      <c r="E284" s="14"/>
      <c r="F284" s="16"/>
    </row>
    <row r="285" spans="1:6" ht="15" customHeight="1">
      <c r="B285" s="11"/>
      <c r="C285" s="15" t="s">
        <v>138</v>
      </c>
      <c r="D285" s="13"/>
      <c r="E285" s="13"/>
      <c r="F285" s="16"/>
    </row>
    <row r="286" spans="1:6" ht="15" customHeight="1">
      <c r="A286" s="6">
        <v>1</v>
      </c>
      <c r="B286" s="11">
        <v>1730</v>
      </c>
      <c r="C286" s="13"/>
      <c r="D286" s="13"/>
      <c r="E286" s="14" t="s">
        <v>2</v>
      </c>
      <c r="F286" s="16">
        <v>3800872</v>
      </c>
    </row>
    <row r="287" spans="1:6" ht="15" customHeight="1">
      <c r="B287" s="11"/>
      <c r="C287" s="13"/>
      <c r="D287" s="13"/>
      <c r="E287" s="14"/>
      <c r="F287" s="16"/>
    </row>
    <row r="288" spans="1:6" ht="15" customHeight="1">
      <c r="B288" s="11"/>
      <c r="C288" s="13"/>
      <c r="D288" s="13"/>
      <c r="E288" s="14" t="s">
        <v>139</v>
      </c>
      <c r="F288" s="16">
        <f>SUM(F286)</f>
        <v>3800872</v>
      </c>
    </row>
    <row r="289" spans="1:6" ht="15" customHeight="1">
      <c r="B289" s="11"/>
      <c r="C289" s="13"/>
      <c r="D289" s="13"/>
      <c r="E289" s="14"/>
      <c r="F289" s="16"/>
    </row>
    <row r="290" spans="1:6" ht="15" customHeight="1">
      <c r="B290" s="11"/>
      <c r="C290" s="15" t="s">
        <v>140</v>
      </c>
      <c r="D290" s="13"/>
      <c r="E290" s="13"/>
      <c r="F290" s="16"/>
    </row>
    <row r="291" spans="1:6" ht="15" customHeight="1">
      <c r="B291" s="11"/>
      <c r="C291" s="13"/>
      <c r="D291" s="14" t="s">
        <v>23</v>
      </c>
      <c r="E291" s="13"/>
      <c r="F291" s="16"/>
    </row>
    <row r="292" spans="1:6" ht="15" customHeight="1">
      <c r="B292" s="11">
        <v>1735</v>
      </c>
      <c r="C292" s="13"/>
      <c r="D292" s="13"/>
      <c r="E292" s="14" t="s">
        <v>141</v>
      </c>
      <c r="F292" s="16">
        <v>152134701</v>
      </c>
    </row>
    <row r="293" spans="1:6" ht="15" customHeight="1">
      <c r="B293" s="11">
        <v>1740</v>
      </c>
      <c r="C293" s="13"/>
      <c r="D293" s="13"/>
      <c r="E293" s="14" t="s">
        <v>142</v>
      </c>
      <c r="F293" s="16">
        <v>213500000</v>
      </c>
    </row>
    <row r="294" spans="1:6" ht="15" customHeight="1">
      <c r="A294" s="6">
        <v>4</v>
      </c>
      <c r="B294" s="11"/>
      <c r="C294" s="13"/>
      <c r="D294" s="13"/>
      <c r="E294" s="14" t="s">
        <v>26</v>
      </c>
      <c r="F294" s="16">
        <f>SUM(F292:F293)</f>
        <v>365634701</v>
      </c>
    </row>
    <row r="295" spans="1:6" ht="15" customHeight="1">
      <c r="B295" s="11"/>
      <c r="C295" s="13"/>
      <c r="D295" s="13"/>
      <c r="E295" s="14"/>
      <c r="F295" s="16"/>
    </row>
    <row r="296" spans="1:6" ht="15" customHeight="1">
      <c r="A296" s="6">
        <v>1</v>
      </c>
      <c r="B296" s="11">
        <v>1745</v>
      </c>
      <c r="C296" s="13"/>
      <c r="D296" s="13"/>
      <c r="E296" s="14" t="s">
        <v>2</v>
      </c>
      <c r="F296" s="16">
        <v>2701394</v>
      </c>
    </row>
    <row r="297" spans="1:6" ht="15" customHeight="1">
      <c r="B297" s="11"/>
      <c r="C297" s="13"/>
      <c r="D297" s="13"/>
      <c r="E297" s="14"/>
      <c r="F297" s="16"/>
    </row>
    <row r="298" spans="1:6" ht="15" customHeight="1">
      <c r="A298" s="6">
        <v>2</v>
      </c>
      <c r="B298" s="11">
        <v>1750</v>
      </c>
      <c r="C298" s="13"/>
      <c r="D298" s="13"/>
      <c r="E298" s="14" t="s">
        <v>4</v>
      </c>
      <c r="F298" s="16">
        <v>18534529</v>
      </c>
    </row>
    <row r="299" spans="1:6" ht="15" customHeight="1">
      <c r="B299" s="11"/>
      <c r="C299" s="13"/>
      <c r="D299" s="13"/>
      <c r="E299" s="14"/>
      <c r="F299" s="16"/>
    </row>
    <row r="300" spans="1:6" ht="15" customHeight="1">
      <c r="A300" s="6">
        <v>3</v>
      </c>
      <c r="B300" s="11">
        <v>1755</v>
      </c>
      <c r="C300" s="13"/>
      <c r="D300" s="13"/>
      <c r="E300" s="14" t="s">
        <v>143</v>
      </c>
      <c r="F300" s="16">
        <v>704624</v>
      </c>
    </row>
    <row r="301" spans="1:6" ht="15" customHeight="1">
      <c r="B301" s="11"/>
      <c r="C301" s="13"/>
      <c r="D301" s="13"/>
      <c r="E301" s="14"/>
      <c r="F301" s="16"/>
    </row>
    <row r="302" spans="1:6" ht="15" customHeight="1">
      <c r="B302" s="11"/>
      <c r="C302" s="13"/>
      <c r="D302" s="13"/>
      <c r="E302" s="14" t="s">
        <v>144</v>
      </c>
      <c r="F302" s="16">
        <f>SUM(F300+F298+F296+F294)</f>
        <v>387575248</v>
      </c>
    </row>
    <row r="303" spans="1:6" ht="15" customHeight="1">
      <c r="B303" s="11"/>
      <c r="C303" s="13"/>
      <c r="D303" s="13"/>
      <c r="E303" s="14"/>
      <c r="F303" s="16"/>
    </row>
    <row r="304" spans="1:6" ht="15" customHeight="1">
      <c r="B304" s="11"/>
      <c r="C304" s="15" t="s">
        <v>145</v>
      </c>
      <c r="D304" s="13"/>
      <c r="E304" s="13"/>
      <c r="F304" s="16"/>
    </row>
    <row r="305" spans="1:6" ht="15" customHeight="1">
      <c r="A305" s="6">
        <v>3</v>
      </c>
      <c r="B305" s="11">
        <v>1765</v>
      </c>
      <c r="C305" s="13"/>
      <c r="D305" s="13"/>
      <c r="E305" s="14" t="s">
        <v>28</v>
      </c>
      <c r="F305" s="16">
        <v>8961560</v>
      </c>
    </row>
    <row r="306" spans="1:6" ht="15" customHeight="1">
      <c r="B306" s="11"/>
      <c r="C306" s="13"/>
      <c r="D306" s="13"/>
      <c r="E306" s="14"/>
      <c r="F306" s="16"/>
    </row>
    <row r="307" spans="1:6" ht="15" customHeight="1">
      <c r="B307" s="11"/>
      <c r="C307" s="13"/>
      <c r="D307" s="13"/>
      <c r="E307" s="14" t="s">
        <v>146</v>
      </c>
      <c r="F307" s="16">
        <f>SUM(F305)</f>
        <v>8961560</v>
      </c>
    </row>
    <row r="308" spans="1:6" ht="15" customHeight="1">
      <c r="B308" s="11"/>
      <c r="C308" s="13"/>
      <c r="D308" s="13"/>
      <c r="E308" s="14"/>
      <c r="F308" s="16"/>
    </row>
    <row r="309" spans="1:6" ht="15" customHeight="1">
      <c r="B309" s="11"/>
      <c r="C309" s="15" t="s">
        <v>147</v>
      </c>
      <c r="D309" s="13"/>
      <c r="E309" s="13"/>
      <c r="F309" s="16"/>
    </row>
    <row r="310" spans="1:6" ht="15" customHeight="1">
      <c r="A310" s="6">
        <v>1</v>
      </c>
      <c r="B310" s="11">
        <v>1800</v>
      </c>
      <c r="C310" s="13"/>
      <c r="D310" s="13"/>
      <c r="E310" s="14" t="s">
        <v>2</v>
      </c>
      <c r="F310" s="16">
        <v>357075</v>
      </c>
    </row>
    <row r="311" spans="1:6" ht="15" customHeight="1">
      <c r="B311" s="11"/>
      <c r="C311" s="13"/>
      <c r="D311" s="13"/>
      <c r="E311" s="14"/>
      <c r="F311" s="16"/>
    </row>
    <row r="312" spans="1:6" ht="15" customHeight="1">
      <c r="B312" s="11"/>
      <c r="C312" s="13"/>
      <c r="D312" s="13"/>
      <c r="E312" s="14" t="s">
        <v>148</v>
      </c>
      <c r="F312" s="16">
        <f>SUM(F310:F311)</f>
        <v>357075</v>
      </c>
    </row>
    <row r="313" spans="1:6" ht="15" customHeight="1">
      <c r="B313" s="11"/>
      <c r="C313" s="13"/>
      <c r="D313" s="13"/>
      <c r="E313" s="14"/>
      <c r="F313" s="16"/>
    </row>
    <row r="314" spans="1:6" ht="15" customHeight="1">
      <c r="B314" s="11"/>
      <c r="C314" s="13"/>
      <c r="D314" s="13"/>
      <c r="E314" s="18" t="s">
        <v>112</v>
      </c>
      <c r="F314" s="16">
        <f>+F264+F286+F296+F310</f>
        <v>7245239</v>
      </c>
    </row>
    <row r="315" spans="1:6" ht="15" customHeight="1">
      <c r="B315" s="11"/>
      <c r="C315" s="13"/>
      <c r="D315" s="13"/>
      <c r="E315" s="14" t="s">
        <v>149</v>
      </c>
      <c r="F315" s="16">
        <f>SUM(F312+F307+F302+F288+F283+F270)</f>
        <v>438541497</v>
      </c>
    </row>
    <row r="316" spans="1:6" ht="15" customHeight="1">
      <c r="B316" s="11"/>
      <c r="C316" s="13"/>
      <c r="D316" s="13"/>
      <c r="E316" s="14"/>
      <c r="F316" s="16"/>
    </row>
    <row r="317" spans="1:6" ht="15" customHeight="1">
      <c r="B317" s="11"/>
      <c r="C317" s="12" t="s">
        <v>150</v>
      </c>
      <c r="D317" s="13"/>
      <c r="E317" s="13"/>
      <c r="F317" s="16"/>
    </row>
    <row r="318" spans="1:6" ht="15" customHeight="1">
      <c r="A318" s="6">
        <v>1</v>
      </c>
      <c r="B318" s="11">
        <v>1825</v>
      </c>
      <c r="C318" s="13"/>
      <c r="D318" s="13"/>
      <c r="E318" s="14" t="s">
        <v>151</v>
      </c>
      <c r="F318" s="16">
        <v>28389385</v>
      </c>
    </row>
    <row r="319" spans="1:6" ht="15" customHeight="1">
      <c r="B319" s="11"/>
      <c r="C319" s="13"/>
      <c r="D319" s="13"/>
      <c r="E319" s="14"/>
      <c r="F319" s="16"/>
    </row>
    <row r="320" spans="1:6" ht="15" customHeight="1">
      <c r="A320" s="6">
        <v>3</v>
      </c>
      <c r="B320" s="11">
        <v>1830</v>
      </c>
      <c r="C320" s="13"/>
      <c r="D320" s="13"/>
      <c r="E320" s="14" t="s">
        <v>152</v>
      </c>
      <c r="F320" s="16">
        <v>758832</v>
      </c>
    </row>
    <row r="321" spans="1:6" ht="15" customHeight="1">
      <c r="B321" s="11"/>
      <c r="C321" s="13"/>
      <c r="D321" s="13"/>
      <c r="E321" s="14"/>
      <c r="F321" s="16"/>
    </row>
    <row r="322" spans="1:6" ht="15" customHeight="1">
      <c r="B322" s="11"/>
      <c r="C322" s="13"/>
      <c r="D322" s="13"/>
      <c r="E322" s="14" t="s">
        <v>153</v>
      </c>
      <c r="F322" s="16">
        <f>SUM(F320+F318)</f>
        <v>29148217</v>
      </c>
    </row>
    <row r="323" spans="1:6" ht="15" customHeight="1">
      <c r="B323" s="11"/>
      <c r="C323" s="13"/>
      <c r="D323" s="13"/>
      <c r="E323" s="14"/>
      <c r="F323" s="16"/>
    </row>
    <row r="324" spans="1:6" ht="15" customHeight="1">
      <c r="B324" s="11"/>
      <c r="C324" s="12" t="s">
        <v>154</v>
      </c>
      <c r="D324" s="13"/>
      <c r="E324" s="13"/>
      <c r="F324" s="16"/>
    </row>
    <row r="325" spans="1:6" ht="15" customHeight="1">
      <c r="A325" s="6">
        <v>1</v>
      </c>
      <c r="B325" s="11">
        <v>1850</v>
      </c>
      <c r="C325" s="13"/>
      <c r="D325" s="13"/>
      <c r="E325" s="14" t="s">
        <v>2</v>
      </c>
      <c r="F325" s="16">
        <v>760149</v>
      </c>
    </row>
    <row r="326" spans="1:6" ht="15" customHeight="1">
      <c r="B326" s="11"/>
      <c r="C326" s="13"/>
      <c r="D326" s="13"/>
      <c r="E326" s="14"/>
      <c r="F326" s="16"/>
    </row>
    <row r="327" spans="1:6" ht="15" customHeight="1">
      <c r="B327" s="11"/>
      <c r="C327" s="13"/>
      <c r="D327" s="13"/>
      <c r="E327" s="14" t="s">
        <v>155</v>
      </c>
      <c r="F327" s="16">
        <f>SUM(F325:F326)</f>
        <v>760149</v>
      </c>
    </row>
    <row r="328" spans="1:6" ht="15" customHeight="1">
      <c r="B328" s="11"/>
      <c r="C328" s="13"/>
      <c r="D328" s="13"/>
      <c r="E328" s="14"/>
      <c r="F328" s="16"/>
    </row>
    <row r="329" spans="1:6" ht="15" customHeight="1">
      <c r="B329" s="11"/>
      <c r="C329" s="12" t="s">
        <v>156</v>
      </c>
      <c r="D329" s="13"/>
      <c r="E329" s="13"/>
      <c r="F329" s="16"/>
    </row>
    <row r="330" spans="1:6" ht="15" customHeight="1">
      <c r="B330" s="11"/>
      <c r="C330" s="15" t="s">
        <v>0</v>
      </c>
      <c r="D330" s="13"/>
      <c r="E330" s="13"/>
      <c r="F330" s="16"/>
    </row>
    <row r="331" spans="1:6" ht="15" customHeight="1">
      <c r="A331" s="6">
        <v>1</v>
      </c>
      <c r="B331" s="11">
        <v>1855</v>
      </c>
      <c r="C331" s="13"/>
      <c r="D331" s="13"/>
      <c r="E331" s="14" t="s">
        <v>2</v>
      </c>
      <c r="F331" s="16">
        <v>1252335</v>
      </c>
    </row>
    <row r="332" spans="1:6" ht="15" customHeight="1">
      <c r="B332" s="11"/>
      <c r="C332" s="13"/>
      <c r="D332" s="13"/>
      <c r="E332" s="14"/>
      <c r="F332" s="16"/>
    </row>
    <row r="333" spans="1:6" ht="15" customHeight="1">
      <c r="B333" s="11"/>
      <c r="C333" s="13"/>
      <c r="D333" s="13"/>
      <c r="E333" s="14" t="s">
        <v>157</v>
      </c>
      <c r="F333" s="16">
        <f>SUM(F331:F332)</f>
        <v>1252335</v>
      </c>
    </row>
    <row r="334" spans="1:6" ht="15" customHeight="1">
      <c r="B334" s="11"/>
      <c r="C334" s="13"/>
      <c r="D334" s="13"/>
      <c r="E334" s="14"/>
      <c r="F334" s="16"/>
    </row>
    <row r="335" spans="1:6" ht="15" customHeight="1">
      <c r="B335" s="11"/>
      <c r="C335" s="15" t="s">
        <v>158</v>
      </c>
      <c r="D335" s="13"/>
      <c r="E335" s="13"/>
      <c r="F335" s="16"/>
    </row>
    <row r="336" spans="1:6" ht="15" customHeight="1">
      <c r="B336" s="11"/>
      <c r="C336" s="15"/>
      <c r="D336" s="13" t="s">
        <v>27</v>
      </c>
      <c r="E336" s="13"/>
      <c r="F336" s="16"/>
    </row>
    <row r="337" spans="1:6" ht="15" customHeight="1">
      <c r="B337" s="11">
        <v>1860</v>
      </c>
      <c r="C337" s="13"/>
      <c r="D337" s="13"/>
      <c r="E337" s="14" t="s">
        <v>69</v>
      </c>
      <c r="F337" s="16">
        <v>1434245</v>
      </c>
    </row>
    <row r="338" spans="1:6" ht="15" customHeight="1">
      <c r="B338" s="11">
        <v>1865</v>
      </c>
      <c r="C338" s="13"/>
      <c r="D338" s="13"/>
      <c r="E338" s="14" t="s">
        <v>159</v>
      </c>
      <c r="F338" s="16">
        <v>250000</v>
      </c>
    </row>
    <row r="339" spans="1:6" ht="15" customHeight="1">
      <c r="A339" s="6">
        <v>1</v>
      </c>
      <c r="B339" s="11"/>
      <c r="C339" s="13"/>
      <c r="D339" s="13"/>
      <c r="E339" s="14" t="s">
        <v>2</v>
      </c>
      <c r="F339" s="16">
        <f>SUM(F337:F338)</f>
        <v>1684245</v>
      </c>
    </row>
    <row r="340" spans="1:6" ht="15" customHeight="1">
      <c r="B340" s="11"/>
      <c r="C340" s="13"/>
      <c r="D340" s="13"/>
      <c r="E340" s="14"/>
      <c r="F340" s="16"/>
    </row>
    <row r="341" spans="1:6" ht="15" customHeight="1">
      <c r="B341" s="11"/>
      <c r="C341" s="13"/>
      <c r="D341" s="13"/>
      <c r="E341" s="14" t="s">
        <v>160</v>
      </c>
      <c r="F341" s="16">
        <f>SUM(F337:F338)</f>
        <v>1684245</v>
      </c>
    </row>
    <row r="342" spans="1:6" ht="15" customHeight="1">
      <c r="B342" s="11"/>
      <c r="C342" s="13"/>
      <c r="D342" s="13"/>
      <c r="E342" s="14"/>
      <c r="F342" s="16"/>
    </row>
    <row r="343" spans="1:6" ht="15" customHeight="1">
      <c r="B343" s="11"/>
      <c r="C343" s="15" t="s">
        <v>161</v>
      </c>
      <c r="D343" s="13"/>
      <c r="E343" s="13"/>
      <c r="F343" s="16"/>
    </row>
    <row r="344" spans="1:6" ht="15" customHeight="1">
      <c r="A344" s="6">
        <v>1</v>
      </c>
      <c r="B344" s="11">
        <v>1870</v>
      </c>
      <c r="C344" s="13"/>
      <c r="D344" s="13"/>
      <c r="E344" s="14" t="s">
        <v>2</v>
      </c>
      <c r="F344" s="16">
        <v>279520</v>
      </c>
    </row>
    <row r="345" spans="1:6" ht="15" customHeight="1">
      <c r="B345" s="11"/>
      <c r="C345" s="13"/>
      <c r="D345" s="13"/>
      <c r="E345" s="14"/>
      <c r="F345" s="16"/>
    </row>
    <row r="346" spans="1:6" ht="15" customHeight="1">
      <c r="A346" s="6">
        <v>2</v>
      </c>
      <c r="B346" s="11">
        <v>1875</v>
      </c>
      <c r="C346" s="13"/>
      <c r="D346" s="13"/>
      <c r="E346" s="14" t="s">
        <v>4</v>
      </c>
      <c r="F346" s="16">
        <v>24041</v>
      </c>
    </row>
    <row r="347" spans="1:6" ht="15" customHeight="1">
      <c r="B347" s="11"/>
      <c r="C347" s="13"/>
      <c r="D347" s="13"/>
      <c r="E347" s="14"/>
      <c r="F347" s="16"/>
    </row>
    <row r="348" spans="1:6" ht="15" customHeight="1">
      <c r="A348" s="6">
        <v>3</v>
      </c>
      <c r="B348" s="11">
        <v>1880</v>
      </c>
      <c r="C348" s="13"/>
      <c r="D348" s="13"/>
      <c r="E348" s="14" t="s">
        <v>28</v>
      </c>
      <c r="F348" s="16">
        <v>189695</v>
      </c>
    </row>
    <row r="349" spans="1:6" ht="15" customHeight="1">
      <c r="B349" s="11"/>
      <c r="C349" s="13"/>
      <c r="D349" s="13"/>
      <c r="E349" s="14"/>
      <c r="F349" s="16"/>
    </row>
    <row r="350" spans="1:6" ht="15" customHeight="1">
      <c r="B350" s="11"/>
      <c r="C350" s="13"/>
      <c r="D350" s="13"/>
      <c r="E350" s="14" t="s">
        <v>162</v>
      </c>
      <c r="F350" s="16">
        <f>SUM(F348+F346+F344)</f>
        <v>493256</v>
      </c>
    </row>
    <row r="351" spans="1:6" ht="15" customHeight="1">
      <c r="B351" s="11"/>
      <c r="C351" s="13"/>
      <c r="D351" s="13"/>
      <c r="E351" s="14"/>
      <c r="F351" s="16"/>
    </row>
    <row r="352" spans="1:6" ht="15" customHeight="1">
      <c r="B352" s="11"/>
      <c r="C352" s="15" t="s">
        <v>163</v>
      </c>
      <c r="D352" s="13"/>
      <c r="E352" s="13"/>
      <c r="F352" s="16"/>
    </row>
    <row r="353" spans="1:6" ht="15" customHeight="1">
      <c r="A353" s="6">
        <v>1</v>
      </c>
      <c r="B353" s="11">
        <v>1885</v>
      </c>
      <c r="C353" s="13"/>
      <c r="D353" s="13"/>
      <c r="E353" s="14" t="s">
        <v>2</v>
      </c>
      <c r="F353" s="16">
        <v>466325</v>
      </c>
    </row>
    <row r="354" spans="1:6" ht="15" customHeight="1">
      <c r="B354" s="11"/>
      <c r="C354" s="13"/>
      <c r="D354" s="13"/>
      <c r="E354" s="14"/>
      <c r="F354" s="16"/>
    </row>
    <row r="355" spans="1:6" ht="15" customHeight="1">
      <c r="B355" s="11"/>
      <c r="C355" s="13"/>
      <c r="D355" s="13"/>
      <c r="E355" s="14" t="s">
        <v>164</v>
      </c>
      <c r="F355" s="16">
        <f>SUM(F353:F354)</f>
        <v>466325</v>
      </c>
    </row>
    <row r="356" spans="1:6" ht="15" customHeight="1">
      <c r="B356" s="11"/>
      <c r="C356" s="13"/>
      <c r="D356" s="13"/>
      <c r="E356" s="14"/>
      <c r="F356" s="16"/>
    </row>
    <row r="357" spans="1:6" ht="15" customHeight="1">
      <c r="B357" s="11"/>
      <c r="C357" s="15" t="s">
        <v>165</v>
      </c>
      <c r="D357" s="13"/>
      <c r="E357" s="13"/>
      <c r="F357" s="16"/>
    </row>
    <row r="358" spans="1:6" ht="15" customHeight="1">
      <c r="A358" s="6">
        <v>1</v>
      </c>
      <c r="B358" s="11">
        <v>1890</v>
      </c>
      <c r="C358" s="13"/>
      <c r="D358" s="13"/>
      <c r="E358" s="14" t="s">
        <v>2</v>
      </c>
      <c r="F358" s="16">
        <v>705440</v>
      </c>
    </row>
    <row r="359" spans="1:6" ht="15" customHeight="1">
      <c r="B359" s="11"/>
      <c r="C359" s="13"/>
      <c r="D359" s="13"/>
      <c r="E359" s="14"/>
      <c r="F359" s="16"/>
    </row>
    <row r="360" spans="1:6" ht="15" customHeight="1">
      <c r="B360" s="11"/>
      <c r="C360" s="13"/>
      <c r="D360" s="13"/>
      <c r="E360" s="14" t="s">
        <v>166</v>
      </c>
      <c r="F360" s="16">
        <f>SUM(F358:F359)</f>
        <v>705440</v>
      </c>
    </row>
    <row r="361" spans="1:6" ht="15" customHeight="1">
      <c r="B361" s="11"/>
      <c r="C361" s="13"/>
      <c r="D361" s="13"/>
      <c r="E361" s="14"/>
      <c r="F361" s="16"/>
    </row>
    <row r="362" spans="1:6" ht="15" customHeight="1">
      <c r="B362" s="11"/>
      <c r="C362" s="15" t="s">
        <v>167</v>
      </c>
      <c r="D362" s="13"/>
      <c r="E362" s="13"/>
      <c r="F362" s="16"/>
    </row>
    <row r="363" spans="1:6" ht="15" customHeight="1">
      <c r="A363" s="6">
        <v>1</v>
      </c>
      <c r="B363" s="11">
        <v>1895</v>
      </c>
      <c r="C363" s="13"/>
      <c r="D363" s="13"/>
      <c r="E363" s="14" t="s">
        <v>2</v>
      </c>
      <c r="F363" s="16">
        <v>481089</v>
      </c>
    </row>
    <row r="364" spans="1:6" ht="15" customHeight="1">
      <c r="B364" s="11"/>
      <c r="C364" s="13"/>
      <c r="D364" s="13"/>
      <c r="E364" s="14"/>
      <c r="F364" s="16"/>
    </row>
    <row r="365" spans="1:6" ht="15" customHeight="1">
      <c r="B365" s="11"/>
      <c r="C365" s="13"/>
      <c r="D365" s="13"/>
      <c r="E365" s="14" t="s">
        <v>168</v>
      </c>
      <c r="F365" s="16">
        <f>SUM(F363:F364)</f>
        <v>481089</v>
      </c>
    </row>
    <row r="366" spans="1:6" ht="15" customHeight="1">
      <c r="B366" s="11"/>
      <c r="C366" s="13"/>
      <c r="D366" s="13"/>
      <c r="E366" s="14"/>
      <c r="F366" s="16"/>
    </row>
    <row r="367" spans="1:6" ht="15" customHeight="1">
      <c r="B367" s="11"/>
      <c r="C367" s="13"/>
      <c r="D367" s="13"/>
      <c r="E367" s="18" t="s">
        <v>112</v>
      </c>
      <c r="F367" s="19">
        <f>+F363+F358+F353+F344+F339+F331</f>
        <v>4868954</v>
      </c>
    </row>
    <row r="368" spans="1:6" ht="15" customHeight="1">
      <c r="B368" s="11"/>
      <c r="C368" s="13"/>
      <c r="D368" s="13"/>
      <c r="E368" s="14" t="s">
        <v>169</v>
      </c>
      <c r="F368" s="16">
        <f>SUM(F365+F360+F355+F350+F341+F333)</f>
        <v>5082690</v>
      </c>
    </row>
    <row r="369" spans="1:6" ht="15" customHeight="1">
      <c r="B369" s="11"/>
      <c r="C369" s="13"/>
      <c r="D369" s="13"/>
      <c r="E369" s="14"/>
      <c r="F369" s="16"/>
    </row>
    <row r="370" spans="1:6" ht="15" customHeight="1">
      <c r="B370" s="11"/>
      <c r="C370" s="12" t="s">
        <v>170</v>
      </c>
      <c r="D370" s="13"/>
      <c r="E370" s="14"/>
      <c r="F370" s="16"/>
    </row>
    <row r="371" spans="1:6" ht="15" customHeight="1">
      <c r="A371" s="8"/>
      <c r="B371" s="20"/>
      <c r="C371" s="15" t="s">
        <v>171</v>
      </c>
      <c r="D371" s="21"/>
      <c r="E371" s="21"/>
      <c r="F371" s="16"/>
    </row>
    <row r="372" spans="1:6" ht="15" customHeight="1">
      <c r="B372" s="11"/>
      <c r="C372" s="13"/>
      <c r="D372" s="14" t="s">
        <v>23</v>
      </c>
      <c r="E372" s="13"/>
      <c r="F372" s="16"/>
    </row>
    <row r="373" spans="1:6" ht="15" customHeight="1">
      <c r="B373" s="11">
        <v>1900</v>
      </c>
      <c r="C373" s="13"/>
      <c r="D373" s="13"/>
      <c r="E373" s="14" t="s">
        <v>141</v>
      </c>
      <c r="F373" s="16">
        <v>232496</v>
      </c>
    </row>
    <row r="374" spans="1:6" ht="15" customHeight="1">
      <c r="A374" s="6">
        <v>4</v>
      </c>
      <c r="B374" s="11"/>
      <c r="C374" s="13"/>
      <c r="D374" s="13"/>
      <c r="E374" s="14" t="s">
        <v>26</v>
      </c>
      <c r="F374" s="16">
        <f>SUM(F373)</f>
        <v>232496</v>
      </c>
    </row>
    <row r="375" spans="1:6" ht="15" customHeight="1">
      <c r="B375" s="11"/>
      <c r="C375" s="13"/>
      <c r="D375" s="13"/>
      <c r="E375" s="14"/>
      <c r="F375" s="16"/>
    </row>
    <row r="376" spans="1:6" ht="15" customHeight="1">
      <c r="A376" s="6">
        <v>1</v>
      </c>
      <c r="B376" s="11">
        <v>1910</v>
      </c>
      <c r="C376" s="13"/>
      <c r="D376" s="13"/>
      <c r="E376" s="14" t="s">
        <v>2</v>
      </c>
      <c r="F376" s="16">
        <v>2643211</v>
      </c>
    </row>
    <row r="377" spans="1:6" ht="15" customHeight="1">
      <c r="B377" s="11"/>
      <c r="C377" s="13"/>
      <c r="D377" s="13"/>
      <c r="E377" s="14"/>
      <c r="F377" s="16"/>
    </row>
    <row r="378" spans="1:6" ht="15" customHeight="1">
      <c r="A378" s="6">
        <v>2</v>
      </c>
      <c r="B378" s="11">
        <v>1915</v>
      </c>
      <c r="C378" s="13"/>
      <c r="D378" s="13"/>
      <c r="E378" s="14" t="s">
        <v>4</v>
      </c>
      <c r="F378" s="16">
        <v>214183</v>
      </c>
    </row>
    <row r="379" spans="1:6" ht="15" customHeight="1">
      <c r="B379" s="11"/>
      <c r="C379" s="13"/>
      <c r="D379" s="13"/>
      <c r="E379" s="14"/>
      <c r="F379" s="16"/>
    </row>
    <row r="380" spans="1:6" ht="15" customHeight="1">
      <c r="A380" s="6">
        <v>3</v>
      </c>
      <c r="B380" s="11">
        <v>1920</v>
      </c>
      <c r="C380" s="13"/>
      <c r="D380" s="13"/>
      <c r="E380" s="14" t="s">
        <v>28</v>
      </c>
      <c r="F380" s="16">
        <v>10898</v>
      </c>
    </row>
    <row r="381" spans="1:6" ht="15" customHeight="1">
      <c r="B381" s="11"/>
      <c r="C381" s="13"/>
      <c r="D381" s="13"/>
      <c r="E381" s="14"/>
      <c r="F381" s="16"/>
    </row>
    <row r="382" spans="1:6" ht="15" customHeight="1">
      <c r="B382" s="11"/>
      <c r="C382" s="13"/>
      <c r="D382" s="13"/>
      <c r="E382" s="14" t="s">
        <v>172</v>
      </c>
      <c r="F382" s="16">
        <f>SUM(F380+F378+F376+F374)</f>
        <v>3100788</v>
      </c>
    </row>
    <row r="383" spans="1:6" ht="15" customHeight="1">
      <c r="B383" s="11"/>
      <c r="C383" s="13"/>
      <c r="D383" s="13"/>
      <c r="E383" s="14"/>
      <c r="F383" s="16"/>
    </row>
    <row r="384" spans="1:6" ht="15" customHeight="1">
      <c r="B384" s="11"/>
      <c r="C384" s="15" t="s">
        <v>173</v>
      </c>
      <c r="D384" s="13"/>
      <c r="E384" s="13"/>
      <c r="F384" s="16"/>
    </row>
    <row r="385" spans="1:6" ht="15" customHeight="1">
      <c r="B385" s="11"/>
      <c r="C385" s="13"/>
      <c r="D385" s="14" t="s">
        <v>23</v>
      </c>
      <c r="E385" s="13"/>
      <c r="F385" s="16"/>
    </row>
    <row r="386" spans="1:6" ht="15" customHeight="1">
      <c r="B386" s="11">
        <v>1925</v>
      </c>
      <c r="C386" s="13"/>
      <c r="D386" s="13"/>
      <c r="E386" s="14" t="s">
        <v>174</v>
      </c>
      <c r="F386" s="16">
        <v>11220323</v>
      </c>
    </row>
    <row r="387" spans="1:6" ht="15" customHeight="1">
      <c r="B387" s="11">
        <v>1930</v>
      </c>
      <c r="C387" s="13"/>
      <c r="D387" s="13"/>
      <c r="E387" s="14" t="s">
        <v>175</v>
      </c>
      <c r="F387" s="16">
        <v>567198</v>
      </c>
    </row>
    <row r="388" spans="1:6" ht="15" customHeight="1">
      <c r="A388" s="6">
        <v>4</v>
      </c>
      <c r="B388" s="11"/>
      <c r="C388" s="13"/>
      <c r="D388" s="13"/>
      <c r="E388" s="14" t="s">
        <v>26</v>
      </c>
      <c r="F388" s="16">
        <f>SUM(F386:F387)</f>
        <v>11787521</v>
      </c>
    </row>
    <row r="389" spans="1:6" ht="15" customHeight="1">
      <c r="B389" s="11"/>
      <c r="C389" s="13"/>
      <c r="D389" s="13"/>
      <c r="E389" s="14"/>
      <c r="F389" s="16"/>
    </row>
    <row r="390" spans="1:6" ht="15" customHeight="1">
      <c r="B390" s="11"/>
      <c r="C390" s="13"/>
      <c r="D390" s="13"/>
      <c r="E390" s="14" t="s">
        <v>176</v>
      </c>
      <c r="F390" s="16">
        <f>SUM(F388)</f>
        <v>11787521</v>
      </c>
    </row>
    <row r="391" spans="1:6" ht="15" customHeight="1">
      <c r="B391" s="11"/>
      <c r="C391" s="13"/>
      <c r="D391" s="13"/>
      <c r="E391" s="14"/>
      <c r="F391" s="16"/>
    </row>
    <row r="392" spans="1:6" ht="15" customHeight="1">
      <c r="B392" s="11"/>
      <c r="C392" s="15" t="s">
        <v>177</v>
      </c>
      <c r="D392" s="13"/>
      <c r="E392" s="13"/>
      <c r="F392" s="16"/>
    </row>
    <row r="393" spans="1:6" ht="15" customHeight="1">
      <c r="A393" s="6">
        <v>3</v>
      </c>
      <c r="B393" s="11">
        <v>1935</v>
      </c>
      <c r="C393" s="13"/>
      <c r="D393" s="13"/>
      <c r="E393" s="14" t="s">
        <v>28</v>
      </c>
      <c r="F393" s="16">
        <v>9079929</v>
      </c>
    </row>
    <row r="394" spans="1:6" ht="15" customHeight="1">
      <c r="B394" s="11"/>
      <c r="C394" s="13"/>
      <c r="D394" s="13"/>
      <c r="E394" s="14"/>
      <c r="F394" s="16"/>
    </row>
    <row r="395" spans="1:6" ht="15" customHeight="1">
      <c r="B395" s="11"/>
      <c r="C395" s="13"/>
      <c r="D395" s="13"/>
      <c r="E395" s="14" t="s">
        <v>178</v>
      </c>
      <c r="F395" s="16">
        <f>SUM(F393)</f>
        <v>9079929</v>
      </c>
    </row>
    <row r="396" spans="1:6" ht="15" customHeight="1">
      <c r="B396" s="11"/>
      <c r="C396" s="13"/>
      <c r="D396" s="13"/>
      <c r="E396" s="14"/>
      <c r="F396" s="16"/>
    </row>
    <row r="397" spans="1:6" ht="15" customHeight="1">
      <c r="B397" s="11"/>
      <c r="C397" s="15" t="s">
        <v>179</v>
      </c>
      <c r="D397" s="13"/>
      <c r="E397" s="13"/>
      <c r="F397" s="16"/>
    </row>
    <row r="398" spans="1:6" ht="15" customHeight="1">
      <c r="A398" s="6">
        <v>1</v>
      </c>
      <c r="B398" s="11">
        <v>1940</v>
      </c>
      <c r="C398" s="13"/>
      <c r="D398" s="13"/>
      <c r="E398" s="14" t="s">
        <v>2</v>
      </c>
      <c r="F398" s="16">
        <v>82168</v>
      </c>
    </row>
    <row r="399" spans="1:6" ht="15" customHeight="1">
      <c r="B399" s="11"/>
      <c r="C399" s="13"/>
      <c r="D399" s="13"/>
      <c r="E399" s="14"/>
      <c r="F399" s="16"/>
    </row>
    <row r="400" spans="1:6" ht="15" customHeight="1">
      <c r="B400" s="11"/>
      <c r="C400" s="13"/>
      <c r="D400" s="13"/>
      <c r="E400" s="14" t="s">
        <v>180</v>
      </c>
      <c r="F400" s="16">
        <f>SUM(F398:F399)</f>
        <v>82168</v>
      </c>
    </row>
    <row r="401" spans="1:6" ht="15" customHeight="1">
      <c r="B401" s="11"/>
      <c r="C401" s="13"/>
      <c r="D401" s="13"/>
      <c r="E401" s="14"/>
      <c r="F401" s="16"/>
    </row>
    <row r="402" spans="1:6" ht="15" customHeight="1">
      <c r="A402" s="8"/>
      <c r="B402" s="20"/>
      <c r="C402" s="15" t="s">
        <v>181</v>
      </c>
      <c r="D402" s="21"/>
      <c r="E402" s="21"/>
      <c r="F402" s="16"/>
    </row>
    <row r="403" spans="1:6" ht="15" customHeight="1">
      <c r="A403" s="6">
        <v>1</v>
      </c>
      <c r="B403" s="11">
        <v>1945</v>
      </c>
      <c r="C403" s="13"/>
      <c r="D403" s="13"/>
      <c r="E403" s="14" t="s">
        <v>2</v>
      </c>
      <c r="F403" s="16">
        <v>2398723</v>
      </c>
    </row>
    <row r="404" spans="1:6" ht="15" customHeight="1">
      <c r="B404" s="11"/>
      <c r="C404" s="13"/>
      <c r="D404" s="13"/>
      <c r="E404" s="14"/>
      <c r="F404" s="16"/>
    </row>
    <row r="405" spans="1:6" ht="15" customHeight="1">
      <c r="A405" s="6">
        <v>2</v>
      </c>
      <c r="B405" s="11">
        <v>1950</v>
      </c>
      <c r="C405" s="13"/>
      <c r="D405" s="13"/>
      <c r="E405" s="14" t="s">
        <v>4</v>
      </c>
      <c r="F405" s="16">
        <v>1500046</v>
      </c>
    </row>
    <row r="406" spans="1:6" ht="15" customHeight="1">
      <c r="B406" s="11"/>
      <c r="C406" s="13"/>
      <c r="D406" s="13"/>
      <c r="E406" s="14"/>
      <c r="F406" s="16"/>
    </row>
    <row r="407" spans="1:6" ht="15" customHeight="1">
      <c r="A407" s="6">
        <v>3</v>
      </c>
      <c r="B407" s="11">
        <v>1955</v>
      </c>
      <c r="C407" s="13"/>
      <c r="D407" s="13"/>
      <c r="E407" s="14" t="s">
        <v>28</v>
      </c>
      <c r="F407" s="16">
        <v>1739765</v>
      </c>
    </row>
    <row r="408" spans="1:6" ht="15" customHeight="1">
      <c r="B408" s="11"/>
      <c r="C408" s="13"/>
      <c r="D408" s="13"/>
      <c r="E408" s="14"/>
      <c r="F408" s="16"/>
    </row>
    <row r="409" spans="1:6" ht="15" customHeight="1">
      <c r="B409" s="11"/>
      <c r="C409" s="13"/>
      <c r="D409" s="13"/>
      <c r="E409" s="14" t="s">
        <v>182</v>
      </c>
      <c r="F409" s="16">
        <f>SUM(F403)+F405+F407</f>
        <v>5638534</v>
      </c>
    </row>
    <row r="410" spans="1:6" ht="15" customHeight="1">
      <c r="B410" s="11"/>
      <c r="C410" s="13"/>
      <c r="D410" s="13"/>
      <c r="E410" s="14"/>
      <c r="F410" s="16"/>
    </row>
    <row r="411" spans="1:6" ht="15" customHeight="1">
      <c r="B411" s="11"/>
      <c r="C411" s="13"/>
      <c r="D411" s="13"/>
      <c r="E411" s="18" t="s">
        <v>112</v>
      </c>
      <c r="F411" s="16">
        <f>+F376+F398+F403</f>
        <v>5124102</v>
      </c>
    </row>
    <row r="412" spans="1:6" ht="15" customHeight="1">
      <c r="B412" s="11"/>
      <c r="C412" s="13"/>
      <c r="D412" s="13"/>
      <c r="E412" s="14" t="s">
        <v>183</v>
      </c>
      <c r="F412" s="16">
        <f>SUM(F409+F400+F395+F390+F382)</f>
        <v>29688940</v>
      </c>
    </row>
    <row r="413" spans="1:6" ht="15" customHeight="1">
      <c r="B413" s="11"/>
      <c r="C413" s="13"/>
      <c r="D413" s="13"/>
      <c r="E413" s="14"/>
      <c r="F413" s="16"/>
    </row>
    <row r="414" spans="1:6" ht="15" customHeight="1">
      <c r="B414" s="11"/>
      <c r="C414" s="12" t="s">
        <v>184</v>
      </c>
      <c r="D414" s="13"/>
      <c r="E414" s="13"/>
      <c r="F414" s="16"/>
    </row>
    <row r="415" spans="1:6" ht="15" customHeight="1">
      <c r="A415" s="6">
        <v>1</v>
      </c>
      <c r="B415" s="11">
        <v>1970</v>
      </c>
      <c r="C415" s="13"/>
      <c r="D415" s="13"/>
      <c r="E415" s="14" t="s">
        <v>2</v>
      </c>
      <c r="F415" s="16">
        <v>362790</v>
      </c>
    </row>
    <row r="416" spans="1:6" ht="15" customHeight="1">
      <c r="B416" s="11"/>
      <c r="C416" s="13"/>
      <c r="D416" s="13"/>
      <c r="E416" s="14"/>
      <c r="F416" s="16"/>
    </row>
    <row r="417" spans="1:6" ht="15" customHeight="1">
      <c r="B417" s="11"/>
      <c r="C417" s="13"/>
      <c r="D417" s="13"/>
      <c r="E417" s="14" t="s">
        <v>185</v>
      </c>
      <c r="F417" s="16">
        <f>SUM(F415:F416)</f>
        <v>362790</v>
      </c>
    </row>
    <row r="418" spans="1:6" ht="15" customHeight="1">
      <c r="B418" s="11"/>
      <c r="C418" s="13"/>
      <c r="D418" s="13"/>
      <c r="E418" s="14"/>
      <c r="F418" s="16"/>
    </row>
    <row r="419" spans="1:6" ht="15" customHeight="1">
      <c r="B419" s="11"/>
      <c r="C419" s="12" t="s">
        <v>186</v>
      </c>
      <c r="D419" s="13"/>
      <c r="E419" s="13"/>
      <c r="F419" s="16"/>
    </row>
    <row r="420" spans="1:6" ht="15" customHeight="1">
      <c r="B420" s="11">
        <v>1975</v>
      </c>
      <c r="C420" s="12"/>
      <c r="D420" s="13"/>
      <c r="E420" s="13" t="s">
        <v>27</v>
      </c>
      <c r="F420" s="16">
        <v>2150787</v>
      </c>
    </row>
    <row r="421" spans="1:6" ht="15" customHeight="1">
      <c r="B421" s="11">
        <v>1976</v>
      </c>
      <c r="C421" s="12"/>
      <c r="D421" s="13"/>
      <c r="E421" s="13" t="s">
        <v>187</v>
      </c>
      <c r="F421" s="16">
        <v>330000</v>
      </c>
    </row>
    <row r="422" spans="1:6" ht="15" customHeight="1">
      <c r="A422" s="6">
        <v>1</v>
      </c>
      <c r="B422" s="11"/>
      <c r="C422" s="13"/>
      <c r="D422" s="13"/>
      <c r="E422" s="14" t="s">
        <v>2</v>
      </c>
      <c r="F422" s="16">
        <f>SUM(F420:F421)</f>
        <v>2480787</v>
      </c>
    </row>
    <row r="423" spans="1:6" ht="15" customHeight="1">
      <c r="B423" s="11"/>
      <c r="C423" s="13"/>
      <c r="D423" s="13"/>
      <c r="E423" s="14"/>
      <c r="F423" s="16"/>
    </row>
    <row r="424" spans="1:6" ht="15" customHeight="1">
      <c r="B424" s="11"/>
      <c r="C424" s="13"/>
      <c r="D424" s="13"/>
      <c r="E424" s="14" t="s">
        <v>188</v>
      </c>
      <c r="F424" s="16">
        <f>SUM(F422)</f>
        <v>2480787</v>
      </c>
    </row>
    <row r="425" spans="1:6" ht="15" customHeight="1">
      <c r="B425" s="11"/>
      <c r="C425" s="13"/>
      <c r="D425" s="13"/>
      <c r="E425" s="14"/>
      <c r="F425" s="16"/>
    </row>
    <row r="426" spans="1:6" ht="15" customHeight="1">
      <c r="B426" s="11"/>
      <c r="C426" s="12" t="s">
        <v>189</v>
      </c>
      <c r="D426" s="13"/>
      <c r="E426" s="13"/>
      <c r="F426" s="16"/>
    </row>
    <row r="427" spans="1:6" ht="15" customHeight="1">
      <c r="A427" s="6">
        <v>1</v>
      </c>
      <c r="B427" s="11">
        <v>1980</v>
      </c>
      <c r="C427" s="13"/>
      <c r="D427" s="13"/>
      <c r="E427" s="14" t="s">
        <v>2</v>
      </c>
      <c r="F427" s="16">
        <v>904934</v>
      </c>
    </row>
    <row r="428" spans="1:6" ht="15" customHeight="1">
      <c r="B428" s="11"/>
      <c r="C428" s="13"/>
      <c r="D428" s="13"/>
      <c r="E428" s="14"/>
      <c r="F428" s="16"/>
    </row>
    <row r="429" spans="1:6" ht="15" customHeight="1">
      <c r="B429" s="11"/>
      <c r="C429" s="13"/>
      <c r="D429" s="13"/>
      <c r="E429" s="14" t="s">
        <v>190</v>
      </c>
      <c r="F429" s="16">
        <f>SUM(F427:F428)</f>
        <v>904934</v>
      </c>
    </row>
    <row r="430" spans="1:6" ht="15" customHeight="1">
      <c r="B430" s="11"/>
      <c r="C430" s="13"/>
      <c r="D430" s="13"/>
      <c r="E430" s="14"/>
      <c r="F430" s="16"/>
    </row>
    <row r="431" spans="1:6" ht="15" customHeight="1">
      <c r="B431" s="11"/>
      <c r="C431" s="12" t="s">
        <v>191</v>
      </c>
      <c r="D431" s="13"/>
      <c r="E431" s="13"/>
      <c r="F431" s="16"/>
    </row>
    <row r="432" spans="1:6" ht="15" customHeight="1">
      <c r="A432" s="6">
        <v>1</v>
      </c>
      <c r="B432" s="11">
        <v>1985</v>
      </c>
      <c r="C432" s="13"/>
      <c r="D432" s="13"/>
      <c r="E432" s="14" t="s">
        <v>2</v>
      </c>
      <c r="F432" s="16">
        <v>5611165</v>
      </c>
    </row>
    <row r="433" spans="1:6" ht="15" customHeight="1">
      <c r="B433" s="11"/>
      <c r="C433" s="13"/>
      <c r="D433" s="13"/>
      <c r="E433" s="14"/>
      <c r="F433" s="16"/>
    </row>
    <row r="434" spans="1:6" ht="15" customHeight="1">
      <c r="B434" s="11"/>
      <c r="C434" s="13"/>
      <c r="D434" s="13"/>
      <c r="E434" s="14" t="s">
        <v>192</v>
      </c>
      <c r="F434" s="16">
        <f>SUM(F432:F433)</f>
        <v>5611165</v>
      </c>
    </row>
    <row r="435" spans="1:6" ht="15" customHeight="1">
      <c r="B435" s="11"/>
      <c r="C435" s="13"/>
      <c r="D435" s="13"/>
      <c r="E435" s="14"/>
      <c r="F435" s="16"/>
    </row>
    <row r="436" spans="1:6" ht="15" customHeight="1">
      <c r="B436" s="11"/>
      <c r="C436" s="12" t="s">
        <v>193</v>
      </c>
      <c r="D436" s="13"/>
      <c r="E436" s="13"/>
      <c r="F436" s="16"/>
    </row>
    <row r="437" spans="1:6" ht="15" customHeight="1">
      <c r="A437" s="6">
        <v>1</v>
      </c>
      <c r="B437" s="11">
        <v>1990</v>
      </c>
      <c r="C437" s="13"/>
      <c r="D437" s="13"/>
      <c r="E437" s="14" t="s">
        <v>2</v>
      </c>
      <c r="F437" s="16">
        <v>710793</v>
      </c>
    </row>
    <row r="438" spans="1:6" ht="15" customHeight="1">
      <c r="B438" s="11"/>
      <c r="C438" s="13"/>
      <c r="D438" s="13"/>
      <c r="E438" s="14"/>
      <c r="F438" s="16"/>
    </row>
    <row r="439" spans="1:6" ht="15" customHeight="1">
      <c r="A439" s="6">
        <v>2</v>
      </c>
      <c r="B439" s="11">
        <v>1995</v>
      </c>
      <c r="C439" s="13"/>
      <c r="D439" s="13"/>
      <c r="E439" s="14" t="s">
        <v>4</v>
      </c>
      <c r="F439" s="16">
        <v>61538</v>
      </c>
    </row>
    <row r="440" spans="1:6" ht="15" customHeight="1">
      <c r="B440" s="11"/>
      <c r="C440" s="13"/>
      <c r="D440" s="13"/>
      <c r="E440" s="14"/>
      <c r="F440" s="16"/>
    </row>
    <row r="441" spans="1:6" ht="15" customHeight="1">
      <c r="A441" s="6">
        <v>3</v>
      </c>
      <c r="B441" s="11">
        <v>2000</v>
      </c>
      <c r="C441" s="13"/>
      <c r="D441" s="13"/>
      <c r="E441" s="22" t="s">
        <v>28</v>
      </c>
      <c r="F441" s="16">
        <v>4683512</v>
      </c>
    </row>
    <row r="442" spans="1:6" ht="15" customHeight="1">
      <c r="B442" s="11"/>
      <c r="C442" s="13"/>
      <c r="D442" s="13"/>
      <c r="E442" s="14"/>
      <c r="F442" s="16"/>
    </row>
    <row r="443" spans="1:6" ht="15" customHeight="1">
      <c r="B443" s="11"/>
      <c r="C443" s="13"/>
      <c r="D443" s="13"/>
      <c r="E443" s="14" t="s">
        <v>194</v>
      </c>
      <c r="F443" s="16">
        <f>SUM(F437+F439+F441)</f>
        <v>5455843</v>
      </c>
    </row>
    <row r="444" spans="1:6" ht="15" customHeight="1">
      <c r="B444" s="11"/>
      <c r="C444" s="13"/>
      <c r="D444" s="13"/>
      <c r="E444" s="14"/>
      <c r="F444" s="16"/>
    </row>
    <row r="445" spans="1:6" ht="15" customHeight="1">
      <c r="B445" s="11"/>
      <c r="C445" s="12" t="s">
        <v>195</v>
      </c>
      <c r="D445" s="13"/>
      <c r="E445" s="13"/>
      <c r="F445" s="16"/>
    </row>
    <row r="446" spans="1:6" ht="15" customHeight="1">
      <c r="A446" s="6">
        <v>1</v>
      </c>
      <c r="B446" s="11">
        <v>2015</v>
      </c>
      <c r="C446" s="13"/>
      <c r="D446" s="13"/>
      <c r="E446" s="14" t="s">
        <v>2</v>
      </c>
      <c r="F446" s="16">
        <v>139670</v>
      </c>
    </row>
    <row r="447" spans="1:6" ht="15" customHeight="1">
      <c r="B447" s="11"/>
      <c r="C447" s="13"/>
      <c r="D447" s="13"/>
      <c r="E447" s="14"/>
      <c r="F447" s="16"/>
    </row>
    <row r="448" spans="1:6" ht="15" customHeight="1">
      <c r="B448" s="11"/>
      <c r="C448" s="13"/>
      <c r="D448" s="13"/>
      <c r="E448" s="14" t="s">
        <v>196</v>
      </c>
      <c r="F448" s="16">
        <f>SUM(F446:F447)</f>
        <v>139670</v>
      </c>
    </row>
    <row r="449" spans="1:6" ht="15" customHeight="1">
      <c r="B449" s="11"/>
      <c r="C449" s="13"/>
      <c r="D449" s="13"/>
      <c r="E449" s="14"/>
      <c r="F449" s="16"/>
    </row>
    <row r="450" spans="1:6" ht="15" customHeight="1">
      <c r="B450" s="11"/>
      <c r="C450" s="12" t="s">
        <v>197</v>
      </c>
      <c r="D450" s="13"/>
      <c r="E450" s="13"/>
      <c r="F450" s="16"/>
    </row>
    <row r="451" spans="1:6" ht="15" customHeight="1">
      <c r="B451" s="11"/>
      <c r="C451" s="15" t="s">
        <v>1</v>
      </c>
      <c r="D451" s="13"/>
      <c r="E451" s="13"/>
      <c r="F451" s="16"/>
    </row>
    <row r="452" spans="1:6" ht="15" customHeight="1">
      <c r="A452" s="6">
        <v>1</v>
      </c>
      <c r="B452" s="11">
        <v>2020</v>
      </c>
      <c r="C452" s="13"/>
      <c r="D452" s="13"/>
      <c r="E452" s="14" t="s">
        <v>2</v>
      </c>
      <c r="F452" s="16">
        <v>7813919</v>
      </c>
    </row>
    <row r="453" spans="1:6" ht="15" customHeight="1">
      <c r="B453" s="11"/>
      <c r="C453" s="13"/>
      <c r="D453" s="13"/>
      <c r="E453" s="14"/>
      <c r="F453" s="16"/>
    </row>
    <row r="454" spans="1:6" ht="15" customHeight="1">
      <c r="A454" s="6">
        <v>2</v>
      </c>
      <c r="B454" s="11">
        <v>2025</v>
      </c>
      <c r="C454" s="13"/>
      <c r="D454" s="13"/>
      <c r="E454" s="14" t="s">
        <v>4</v>
      </c>
      <c r="F454" s="16">
        <v>4807031</v>
      </c>
    </row>
    <row r="455" spans="1:6" ht="15" customHeight="1">
      <c r="B455" s="11"/>
      <c r="C455" s="13"/>
      <c r="D455" s="13"/>
      <c r="E455" s="14"/>
      <c r="F455" s="16"/>
    </row>
    <row r="456" spans="1:6" ht="15" customHeight="1">
      <c r="B456" s="11"/>
      <c r="C456" s="13"/>
      <c r="D456" s="13"/>
      <c r="E456" s="14" t="s">
        <v>5</v>
      </c>
      <c r="F456" s="16">
        <f>SUM(F452:F454)</f>
        <v>12620950</v>
      </c>
    </row>
    <row r="457" spans="1:6" ht="15" customHeight="1">
      <c r="B457" s="11"/>
      <c r="C457" s="13"/>
      <c r="D457" s="13"/>
      <c r="E457" s="14"/>
      <c r="F457" s="16"/>
    </row>
    <row r="458" spans="1:6" ht="15" customHeight="1">
      <c r="B458" s="11"/>
      <c r="C458" s="15" t="s">
        <v>198</v>
      </c>
      <c r="D458" s="13"/>
      <c r="E458" s="13"/>
      <c r="F458" s="16"/>
    </row>
    <row r="459" spans="1:6" ht="15" customHeight="1">
      <c r="B459" s="11"/>
      <c r="C459" s="15"/>
      <c r="D459" s="13" t="s">
        <v>23</v>
      </c>
      <c r="E459" s="14"/>
      <c r="F459" s="16"/>
    </row>
    <row r="460" spans="1:6" ht="15" customHeight="1">
      <c r="B460" s="11">
        <v>2030</v>
      </c>
      <c r="C460" s="15"/>
      <c r="D460" s="13"/>
      <c r="E460" s="13" t="s">
        <v>199</v>
      </c>
      <c r="F460" s="16">
        <v>0</v>
      </c>
    </row>
    <row r="461" spans="1:6" ht="15" customHeight="1">
      <c r="B461" s="11">
        <v>2031</v>
      </c>
      <c r="C461" s="15"/>
      <c r="D461" s="13"/>
      <c r="E461" s="13" t="s">
        <v>200</v>
      </c>
      <c r="F461" s="16">
        <v>182923</v>
      </c>
    </row>
    <row r="462" spans="1:6" ht="15" customHeight="1">
      <c r="A462" s="6">
        <v>4</v>
      </c>
      <c r="B462" s="11"/>
      <c r="C462" s="15"/>
      <c r="D462" s="13"/>
      <c r="E462" s="13" t="s">
        <v>26</v>
      </c>
      <c r="F462" s="16">
        <f>SUM(F460:F461)</f>
        <v>182923</v>
      </c>
    </row>
    <row r="463" spans="1:6" ht="15" customHeight="1">
      <c r="B463" s="11"/>
      <c r="C463" s="15"/>
      <c r="D463" s="13"/>
      <c r="E463" s="13"/>
      <c r="F463" s="16"/>
    </row>
    <row r="464" spans="1:6" ht="15" customHeight="1">
      <c r="A464" s="6">
        <v>1</v>
      </c>
      <c r="B464" s="11">
        <v>2035</v>
      </c>
      <c r="C464" s="13"/>
      <c r="D464" s="13"/>
      <c r="E464" s="14" t="s">
        <v>2</v>
      </c>
      <c r="F464" s="16">
        <v>22130259</v>
      </c>
    </row>
    <row r="465" spans="1:6" ht="15" customHeight="1">
      <c r="B465" s="11"/>
      <c r="C465" s="13"/>
      <c r="D465" s="13"/>
      <c r="E465" s="14"/>
      <c r="F465" s="16"/>
    </row>
    <row r="466" spans="1:6" ht="15" customHeight="1">
      <c r="A466" s="6">
        <v>2</v>
      </c>
      <c r="B466" s="11">
        <v>2040</v>
      </c>
      <c r="C466" s="13"/>
      <c r="D466" s="13"/>
      <c r="E466" s="14" t="s">
        <v>4</v>
      </c>
      <c r="F466" s="16">
        <v>20544722</v>
      </c>
    </row>
    <row r="467" spans="1:6" ht="15" customHeight="1">
      <c r="B467" s="11"/>
      <c r="C467" s="13"/>
      <c r="D467" s="13"/>
      <c r="E467" s="14"/>
      <c r="F467" s="16"/>
    </row>
    <row r="468" spans="1:6" ht="15" customHeight="1">
      <c r="B468" s="11"/>
      <c r="C468" s="13"/>
      <c r="D468" s="13"/>
      <c r="E468" s="14" t="s">
        <v>201</v>
      </c>
      <c r="F468" s="16">
        <f>SUM(F462:F466)</f>
        <v>42857904</v>
      </c>
    </row>
    <row r="469" spans="1:6" ht="15" customHeight="1">
      <c r="B469" s="11"/>
      <c r="C469" s="13"/>
      <c r="D469" s="13"/>
      <c r="E469" s="14"/>
      <c r="F469" s="16"/>
    </row>
    <row r="470" spans="1:6" ht="15" customHeight="1">
      <c r="B470" s="11"/>
      <c r="C470" s="15" t="s">
        <v>202</v>
      </c>
      <c r="D470" s="13"/>
      <c r="E470" s="13"/>
      <c r="F470" s="16"/>
    </row>
    <row r="471" spans="1:6" ht="15" customHeight="1">
      <c r="B471" s="11"/>
      <c r="C471" s="15"/>
      <c r="D471" s="13" t="s">
        <v>23</v>
      </c>
      <c r="E471" s="13"/>
      <c r="F471" s="16"/>
    </row>
    <row r="472" spans="1:6" ht="15" customHeight="1">
      <c r="B472" s="11">
        <v>2046</v>
      </c>
      <c r="C472" s="15"/>
      <c r="D472" s="13"/>
      <c r="E472" s="13" t="s">
        <v>203</v>
      </c>
      <c r="F472" s="16">
        <v>100000</v>
      </c>
    </row>
    <row r="473" spans="1:6" ht="15" customHeight="1">
      <c r="A473" s="6">
        <v>4</v>
      </c>
      <c r="B473" s="11"/>
      <c r="C473" s="15"/>
      <c r="D473" s="13"/>
      <c r="E473" s="13" t="s">
        <v>26</v>
      </c>
      <c r="F473" s="16">
        <f>SUM(F472:F472)</f>
        <v>100000</v>
      </c>
    </row>
    <row r="474" spans="1:6" ht="15" customHeight="1">
      <c r="B474" s="11"/>
      <c r="C474" s="15"/>
      <c r="D474" s="13"/>
      <c r="E474" s="13"/>
      <c r="F474" s="16"/>
    </row>
    <row r="475" spans="1:6" ht="15" customHeight="1">
      <c r="A475" s="6">
        <v>1</v>
      </c>
      <c r="B475" s="11">
        <v>2050</v>
      </c>
      <c r="C475" s="13"/>
      <c r="D475" s="13"/>
      <c r="E475" s="14" t="s">
        <v>2</v>
      </c>
      <c r="F475" s="16">
        <v>24660407</v>
      </c>
    </row>
    <row r="476" spans="1:6" ht="15" customHeight="1">
      <c r="B476" s="11"/>
      <c r="C476" s="13"/>
      <c r="D476" s="13"/>
      <c r="E476" s="14"/>
      <c r="F476" s="16"/>
    </row>
    <row r="477" spans="1:6" ht="15" customHeight="1">
      <c r="A477" s="6">
        <v>2</v>
      </c>
      <c r="B477" s="11">
        <v>2055</v>
      </c>
      <c r="C477" s="13"/>
      <c r="D477" s="13"/>
      <c r="E477" s="14" t="s">
        <v>4</v>
      </c>
      <c r="F477" s="16">
        <v>3651096</v>
      </c>
    </row>
    <row r="478" spans="1:6" ht="15" customHeight="1">
      <c r="B478" s="11"/>
      <c r="C478" s="13"/>
      <c r="D478" s="13"/>
      <c r="E478" s="14"/>
      <c r="F478" s="16"/>
    </row>
    <row r="479" spans="1:6" ht="15" customHeight="1">
      <c r="A479" s="6">
        <v>3</v>
      </c>
      <c r="B479" s="11">
        <v>2060</v>
      </c>
      <c r="C479" s="13"/>
      <c r="D479" s="13"/>
      <c r="E479" s="14" t="s">
        <v>28</v>
      </c>
      <c r="F479" s="16">
        <v>508000</v>
      </c>
    </row>
    <row r="480" spans="1:6" ht="15" customHeight="1">
      <c r="B480" s="11"/>
      <c r="C480" s="13"/>
      <c r="D480" s="13"/>
      <c r="E480" s="14"/>
      <c r="F480" s="16"/>
    </row>
    <row r="481" spans="1:6" ht="15" customHeight="1">
      <c r="B481" s="11"/>
      <c r="C481" s="13"/>
      <c r="D481" s="13"/>
      <c r="E481" s="14" t="s">
        <v>204</v>
      </c>
      <c r="F481" s="16">
        <f>SUM(F475+F477+F479+F473)</f>
        <v>28919503</v>
      </c>
    </row>
    <row r="482" spans="1:6" ht="15" customHeight="1">
      <c r="B482" s="11"/>
      <c r="C482" s="13"/>
      <c r="D482" s="13"/>
      <c r="E482" s="14"/>
      <c r="F482" s="16"/>
    </row>
    <row r="483" spans="1:6" ht="15" customHeight="1">
      <c r="B483" s="11"/>
      <c r="C483" s="15" t="s">
        <v>205</v>
      </c>
      <c r="D483" s="13"/>
      <c r="E483" s="13"/>
      <c r="F483" s="16"/>
    </row>
    <row r="484" spans="1:6" ht="15" customHeight="1">
      <c r="B484" s="11">
        <v>2070</v>
      </c>
      <c r="C484" s="15"/>
      <c r="D484" s="13"/>
      <c r="E484" s="13" t="s">
        <v>27</v>
      </c>
      <c r="F484" s="16">
        <v>84684554</v>
      </c>
    </row>
    <row r="485" spans="1:6" ht="15" customHeight="1">
      <c r="B485" s="11">
        <v>2065</v>
      </c>
      <c r="C485" s="15"/>
      <c r="D485" s="13"/>
      <c r="E485" s="13" t="s">
        <v>206</v>
      </c>
      <c r="F485" s="16">
        <v>55500</v>
      </c>
    </row>
    <row r="486" spans="1:6" ht="15" customHeight="1">
      <c r="A486" s="6">
        <v>1</v>
      </c>
      <c r="B486" s="11"/>
      <c r="C486" s="13"/>
      <c r="D486" s="13"/>
      <c r="E486" s="14" t="s">
        <v>2</v>
      </c>
      <c r="F486" s="16">
        <f>SUM(F484:F485)</f>
        <v>84740054</v>
      </c>
    </row>
    <row r="487" spans="1:6" ht="15" customHeight="1">
      <c r="B487" s="11"/>
      <c r="C487" s="13"/>
      <c r="D487" s="13"/>
      <c r="E487" s="14"/>
      <c r="F487" s="16"/>
    </row>
    <row r="488" spans="1:6" ht="15" customHeight="1">
      <c r="A488" s="6">
        <v>2</v>
      </c>
      <c r="B488" s="11">
        <v>2075</v>
      </c>
      <c r="C488" s="13"/>
      <c r="D488" s="13"/>
      <c r="E488" s="14" t="s">
        <v>4</v>
      </c>
      <c r="F488" s="16">
        <v>60184996</v>
      </c>
    </row>
    <row r="489" spans="1:6" ht="15" customHeight="1">
      <c r="B489" s="11"/>
      <c r="C489" s="13"/>
      <c r="D489" s="13"/>
      <c r="E489" s="14"/>
      <c r="F489" s="16"/>
    </row>
    <row r="490" spans="1:6" ht="15" customHeight="1">
      <c r="A490" s="6">
        <v>3</v>
      </c>
      <c r="B490" s="11">
        <v>2080</v>
      </c>
      <c r="C490" s="13"/>
      <c r="D490" s="13"/>
      <c r="E490" s="14" t="s">
        <v>28</v>
      </c>
      <c r="F490" s="16">
        <v>1022003</v>
      </c>
    </row>
    <row r="491" spans="1:6" ht="15" customHeight="1">
      <c r="B491" s="11"/>
      <c r="C491" s="13"/>
      <c r="D491" s="13"/>
      <c r="E491" s="14"/>
      <c r="F491" s="16"/>
    </row>
    <row r="492" spans="1:6" ht="15" customHeight="1">
      <c r="B492" s="11"/>
      <c r="C492" s="13"/>
      <c r="D492" s="13"/>
      <c r="E492" s="14" t="s">
        <v>207</v>
      </c>
      <c r="F492" s="16">
        <f>SUM(F486+F488+F490)</f>
        <v>145947053</v>
      </c>
    </row>
    <row r="493" spans="1:6" ht="15" customHeight="1">
      <c r="B493" s="11"/>
      <c r="C493" s="13"/>
      <c r="D493" s="13"/>
      <c r="E493" s="14"/>
      <c r="F493" s="16"/>
    </row>
    <row r="494" spans="1:6" ht="15" customHeight="1">
      <c r="B494" s="11"/>
      <c r="C494" s="17" t="s">
        <v>208</v>
      </c>
      <c r="D494" s="13"/>
      <c r="E494" s="14"/>
      <c r="F494" s="13"/>
    </row>
    <row r="495" spans="1:6" ht="15" customHeight="1">
      <c r="A495" s="6">
        <v>1</v>
      </c>
      <c r="B495" s="11">
        <v>2085</v>
      </c>
      <c r="C495" s="13"/>
      <c r="D495" s="13"/>
      <c r="E495" s="14" t="s">
        <v>2</v>
      </c>
      <c r="F495" s="16">
        <v>203727</v>
      </c>
    </row>
    <row r="496" spans="1:6" ht="15" customHeight="1">
      <c r="B496" s="11"/>
      <c r="C496" s="13"/>
      <c r="D496" s="13"/>
      <c r="E496" s="14"/>
      <c r="F496" s="16"/>
    </row>
    <row r="497" spans="1:6" ht="15" customHeight="1">
      <c r="B497" s="11"/>
      <c r="C497" s="13"/>
      <c r="D497" s="13"/>
      <c r="E497" s="14" t="s">
        <v>209</v>
      </c>
      <c r="F497" s="16">
        <f>SUM(F495:F496)</f>
        <v>203727</v>
      </c>
    </row>
    <row r="498" spans="1:6" ht="15" customHeight="1">
      <c r="B498" s="11"/>
      <c r="C498" s="13"/>
      <c r="D498" s="13"/>
      <c r="E498" s="14"/>
      <c r="F498" s="16"/>
    </row>
    <row r="499" spans="1:6" ht="15" customHeight="1">
      <c r="B499" s="11"/>
      <c r="C499" s="13"/>
      <c r="D499" s="13"/>
      <c r="E499" s="18" t="s">
        <v>112</v>
      </c>
      <c r="F499" s="16">
        <f>+F452+F464+F475+F486+F495</f>
        <v>139548366</v>
      </c>
    </row>
    <row r="500" spans="1:6" ht="15" customHeight="1">
      <c r="B500" s="11"/>
      <c r="C500" s="13"/>
      <c r="D500" s="13"/>
      <c r="E500" s="14" t="s">
        <v>210</v>
      </c>
      <c r="F500" s="16">
        <f>SUM(F492+F481+F468+F456+F495)</f>
        <v>230549137</v>
      </c>
    </row>
    <row r="501" spans="1:6" ht="15" customHeight="1">
      <c r="B501" s="11"/>
      <c r="C501" s="13"/>
      <c r="D501" s="13"/>
      <c r="E501" s="14"/>
      <c r="F501" s="16"/>
    </row>
    <row r="502" spans="1:6" ht="15" customHeight="1">
      <c r="B502" s="11"/>
      <c r="C502" s="12" t="s">
        <v>211</v>
      </c>
      <c r="D502" s="13"/>
      <c r="E502" s="13"/>
      <c r="F502" s="16"/>
    </row>
    <row r="503" spans="1:6" ht="15" customHeight="1">
      <c r="B503" s="11"/>
      <c r="C503" s="13"/>
      <c r="D503" s="14" t="s">
        <v>23</v>
      </c>
      <c r="E503" s="13"/>
      <c r="F503" s="16"/>
    </row>
    <row r="504" spans="1:6" ht="15" customHeight="1">
      <c r="B504" s="11">
        <v>2100</v>
      </c>
      <c r="C504" s="13"/>
      <c r="D504" s="13"/>
      <c r="E504" s="14" t="s">
        <v>212</v>
      </c>
      <c r="F504" s="16">
        <v>4494537</v>
      </c>
    </row>
    <row r="505" spans="1:6" ht="15" customHeight="1">
      <c r="A505" s="6">
        <v>4</v>
      </c>
      <c r="B505" s="11"/>
      <c r="C505" s="13"/>
      <c r="D505" s="13"/>
      <c r="E505" s="14" t="s">
        <v>26</v>
      </c>
      <c r="F505" s="16">
        <f>SUM(F504:F504)</f>
        <v>4494537</v>
      </c>
    </row>
    <row r="506" spans="1:6" ht="15" customHeight="1">
      <c r="B506" s="11"/>
      <c r="C506" s="13"/>
      <c r="D506" s="13"/>
      <c r="E506" s="14"/>
      <c r="F506" s="16"/>
    </row>
    <row r="507" spans="1:6" ht="15" customHeight="1">
      <c r="B507" s="11">
        <v>2105</v>
      </c>
      <c r="C507" s="13"/>
      <c r="D507" s="13"/>
      <c r="E507" s="14" t="s">
        <v>27</v>
      </c>
      <c r="F507" s="16">
        <v>13494906</v>
      </c>
    </row>
    <row r="508" spans="1:6" ht="15" customHeight="1">
      <c r="B508" s="11">
        <v>2115</v>
      </c>
      <c r="C508" s="13"/>
      <c r="D508" s="13"/>
      <c r="E508" s="14" t="s">
        <v>213</v>
      </c>
      <c r="F508" s="16">
        <v>11913140</v>
      </c>
    </row>
    <row r="509" spans="1:6" ht="15" customHeight="1">
      <c r="B509" s="11">
        <v>2110</v>
      </c>
      <c r="C509" s="13"/>
      <c r="D509" s="13"/>
      <c r="E509" s="14" t="s">
        <v>214</v>
      </c>
      <c r="F509" s="16">
        <v>500</v>
      </c>
    </row>
    <row r="510" spans="1:6" ht="15" customHeight="1">
      <c r="A510" s="6">
        <v>1</v>
      </c>
      <c r="B510" s="11"/>
      <c r="C510" s="13"/>
      <c r="D510" s="13"/>
      <c r="E510" s="14" t="s">
        <v>2</v>
      </c>
      <c r="F510" s="16">
        <f>SUM(F507:F509)</f>
        <v>25408546</v>
      </c>
    </row>
    <row r="511" spans="1:6" ht="15" customHeight="1">
      <c r="B511" s="11"/>
      <c r="C511" s="13"/>
      <c r="D511" s="13"/>
      <c r="E511" s="14"/>
      <c r="F511" s="16"/>
    </row>
    <row r="512" spans="1:6" ht="15" customHeight="1">
      <c r="A512" s="6">
        <v>2</v>
      </c>
      <c r="B512" s="11">
        <v>2120</v>
      </c>
      <c r="C512" s="13"/>
      <c r="D512" s="13"/>
      <c r="E512" s="14" t="s">
        <v>4</v>
      </c>
      <c r="F512" s="16">
        <v>9527354</v>
      </c>
    </row>
    <row r="513" spans="1:6" ht="15" customHeight="1">
      <c r="B513" s="11"/>
      <c r="C513" s="13"/>
      <c r="D513" s="13"/>
      <c r="E513" s="14"/>
      <c r="F513" s="16"/>
    </row>
    <row r="514" spans="1:6" ht="15" customHeight="1">
      <c r="B514" s="11"/>
      <c r="C514" s="13"/>
      <c r="D514" s="13"/>
      <c r="E514" s="14" t="s">
        <v>215</v>
      </c>
      <c r="F514" s="16">
        <f>SUM(F505+F510+F512)</f>
        <v>39430437</v>
      </c>
    </row>
    <row r="515" spans="1:6" ht="15" customHeight="1">
      <c r="B515" s="11"/>
      <c r="C515" s="13"/>
      <c r="D515" s="13"/>
      <c r="E515" s="14"/>
      <c r="F515" s="16"/>
    </row>
    <row r="516" spans="1:6" ht="15" customHeight="1">
      <c r="B516" s="11"/>
      <c r="C516" s="12" t="s">
        <v>216</v>
      </c>
      <c r="D516" s="13"/>
      <c r="E516" s="13"/>
      <c r="F516" s="16"/>
    </row>
    <row r="517" spans="1:6" ht="15" customHeight="1">
      <c r="B517" s="11"/>
      <c r="C517" s="15" t="s">
        <v>1</v>
      </c>
      <c r="D517" s="13"/>
      <c r="E517" s="13"/>
      <c r="F517" s="16"/>
    </row>
    <row r="518" spans="1:6" ht="15" customHeight="1">
      <c r="B518" s="11"/>
      <c r="C518" s="13"/>
      <c r="D518" s="14" t="s">
        <v>23</v>
      </c>
      <c r="E518" s="13"/>
      <c r="F518" s="16"/>
    </row>
    <row r="519" spans="1:6" ht="15" customHeight="1">
      <c r="B519" s="11">
        <v>2130</v>
      </c>
      <c r="C519" s="13"/>
      <c r="D519" s="13"/>
      <c r="E519" s="14" t="s">
        <v>217</v>
      </c>
      <c r="F519" s="16">
        <v>169597</v>
      </c>
    </row>
    <row r="520" spans="1:6" ht="15" customHeight="1">
      <c r="A520" s="6">
        <v>4</v>
      </c>
      <c r="B520" s="11"/>
      <c r="C520" s="13"/>
      <c r="D520" s="13"/>
      <c r="E520" s="14" t="s">
        <v>26</v>
      </c>
      <c r="F520" s="16">
        <f>SUM(F519)</f>
        <v>169597</v>
      </c>
    </row>
    <row r="521" spans="1:6" ht="15" customHeight="1">
      <c r="B521" s="11"/>
      <c r="C521" s="15"/>
      <c r="D521" s="13"/>
      <c r="E521" s="13"/>
      <c r="F521" s="16"/>
    </row>
    <row r="522" spans="1:6" ht="15" customHeight="1">
      <c r="B522" s="11">
        <v>2135</v>
      </c>
      <c r="C522" s="15"/>
      <c r="D522" s="13"/>
      <c r="E522" s="13" t="s">
        <v>27</v>
      </c>
      <c r="F522" s="16">
        <v>2572147</v>
      </c>
    </row>
    <row r="523" spans="1:6" ht="15" customHeight="1">
      <c r="B523" s="11">
        <v>2140</v>
      </c>
      <c r="C523" s="15"/>
      <c r="D523" s="13"/>
      <c r="E523" s="13" t="s">
        <v>218</v>
      </c>
      <c r="F523" s="16">
        <v>300000</v>
      </c>
    </row>
    <row r="524" spans="1:6" ht="15" customHeight="1">
      <c r="A524" s="6">
        <v>1</v>
      </c>
      <c r="B524" s="11"/>
      <c r="C524" s="13"/>
      <c r="D524" s="13"/>
      <c r="E524" s="14" t="s">
        <v>2</v>
      </c>
      <c r="F524" s="16">
        <f>SUM(F522:F523)</f>
        <v>2872147</v>
      </c>
    </row>
    <row r="525" spans="1:6" ht="15" customHeight="1">
      <c r="B525" s="11"/>
      <c r="C525" s="13"/>
      <c r="D525" s="13"/>
      <c r="E525" s="14"/>
      <c r="F525" s="16"/>
    </row>
    <row r="526" spans="1:6" ht="15" customHeight="1">
      <c r="A526" s="6">
        <v>2</v>
      </c>
      <c r="B526" s="11">
        <v>2145</v>
      </c>
      <c r="C526" s="13"/>
      <c r="D526" s="13"/>
      <c r="E526" s="14" t="s">
        <v>4</v>
      </c>
      <c r="F526" s="16">
        <v>2296409</v>
      </c>
    </row>
    <row r="527" spans="1:6" ht="15" customHeight="1">
      <c r="B527" s="11"/>
      <c r="C527" s="13"/>
      <c r="D527" s="13"/>
      <c r="E527" s="14"/>
      <c r="F527" s="16"/>
    </row>
    <row r="528" spans="1:6" ht="15" customHeight="1">
      <c r="A528" s="6">
        <v>3</v>
      </c>
      <c r="B528" s="11">
        <v>2150</v>
      </c>
      <c r="C528" s="13"/>
      <c r="D528" s="13"/>
      <c r="E528" s="14" t="s">
        <v>28</v>
      </c>
      <c r="F528" s="16">
        <v>1753304</v>
      </c>
    </row>
    <row r="529" spans="1:6" ht="15" customHeight="1">
      <c r="B529" s="11"/>
      <c r="C529" s="13"/>
      <c r="D529" s="13"/>
      <c r="E529" s="14"/>
      <c r="F529" s="16"/>
    </row>
    <row r="530" spans="1:6" ht="15" customHeight="1">
      <c r="B530" s="11"/>
      <c r="C530" s="13"/>
      <c r="D530" s="13"/>
      <c r="E530" s="14" t="s">
        <v>5</v>
      </c>
      <c r="F530" s="16">
        <f>SUM(+F526+F524+F520+F528)</f>
        <v>7091457</v>
      </c>
    </row>
    <row r="531" spans="1:6" ht="15" customHeight="1">
      <c r="B531" s="11"/>
      <c r="C531" s="13"/>
      <c r="D531" s="13"/>
      <c r="E531" s="14"/>
      <c r="F531" s="16"/>
    </row>
    <row r="532" spans="1:6" ht="15" customHeight="1">
      <c r="B532" s="11"/>
      <c r="C532" s="15" t="s">
        <v>219</v>
      </c>
      <c r="D532" s="13"/>
      <c r="E532" s="13"/>
      <c r="F532" s="16"/>
    </row>
    <row r="533" spans="1:6" ht="15" customHeight="1">
      <c r="A533" s="6">
        <v>1</v>
      </c>
      <c r="B533" s="11">
        <v>2155</v>
      </c>
      <c r="C533" s="13"/>
      <c r="D533" s="13"/>
      <c r="E533" s="14" t="s">
        <v>2</v>
      </c>
      <c r="F533" s="16">
        <v>1656911</v>
      </c>
    </row>
    <row r="534" spans="1:6" ht="15" customHeight="1">
      <c r="B534" s="11"/>
      <c r="C534" s="13"/>
      <c r="D534" s="13"/>
      <c r="E534" s="14"/>
      <c r="F534" s="16"/>
    </row>
    <row r="535" spans="1:6" ht="15" customHeight="1">
      <c r="B535" s="11"/>
      <c r="C535" s="13"/>
      <c r="D535" s="13"/>
      <c r="E535" s="14" t="s">
        <v>220</v>
      </c>
      <c r="F535" s="16">
        <f>SUM(F533:F534)</f>
        <v>1656911</v>
      </c>
    </row>
    <row r="536" spans="1:6" ht="15" customHeight="1">
      <c r="B536" s="11"/>
      <c r="C536" s="13"/>
      <c r="D536" s="13"/>
      <c r="E536" s="14"/>
      <c r="F536" s="16"/>
    </row>
    <row r="537" spans="1:6" ht="15" customHeight="1">
      <c r="B537" s="11"/>
      <c r="C537" s="15" t="s">
        <v>221</v>
      </c>
      <c r="D537" s="13"/>
      <c r="E537" s="13"/>
      <c r="F537" s="16"/>
    </row>
    <row r="538" spans="1:6" ht="15" customHeight="1">
      <c r="B538" s="11">
        <v>2160</v>
      </c>
      <c r="C538" s="15"/>
      <c r="D538" s="13"/>
      <c r="E538" s="13" t="s">
        <v>222</v>
      </c>
      <c r="F538" s="16">
        <v>8996510</v>
      </c>
    </row>
    <row r="539" spans="1:6" ht="15" customHeight="1">
      <c r="B539" s="11">
        <v>2165</v>
      </c>
      <c r="C539" s="15"/>
      <c r="D539" s="13"/>
      <c r="E539" s="13" t="s">
        <v>223</v>
      </c>
      <c r="F539" s="16">
        <v>250000</v>
      </c>
    </row>
    <row r="540" spans="1:6" ht="15" customHeight="1">
      <c r="A540" s="6">
        <v>1</v>
      </c>
      <c r="B540" s="11"/>
      <c r="C540" s="13"/>
      <c r="D540" s="13"/>
      <c r="E540" s="14" t="s">
        <v>2</v>
      </c>
      <c r="F540" s="16">
        <f>SUM(F538:F539)</f>
        <v>9246510</v>
      </c>
    </row>
    <row r="541" spans="1:6" ht="15" customHeight="1">
      <c r="B541" s="11"/>
      <c r="C541" s="13"/>
      <c r="D541" s="13"/>
      <c r="E541" s="14"/>
      <c r="F541" s="16"/>
    </row>
    <row r="542" spans="1:6" ht="15" customHeight="1">
      <c r="A542" s="6">
        <v>2</v>
      </c>
      <c r="B542" s="11">
        <v>2170</v>
      </c>
      <c r="C542" s="13"/>
      <c r="D542" s="13"/>
      <c r="E542" s="14" t="s">
        <v>4</v>
      </c>
      <c r="F542" s="16">
        <v>29748745</v>
      </c>
    </row>
    <row r="543" spans="1:6" ht="15" customHeight="1">
      <c r="B543" s="11"/>
      <c r="C543" s="13"/>
      <c r="D543" s="13"/>
      <c r="E543" s="14"/>
      <c r="F543" s="16"/>
    </row>
    <row r="544" spans="1:6" ht="15" customHeight="1">
      <c r="A544" s="6">
        <v>3</v>
      </c>
      <c r="B544" s="11">
        <v>2175</v>
      </c>
      <c r="C544" s="13"/>
      <c r="D544" s="13"/>
      <c r="E544" s="14" t="s">
        <v>28</v>
      </c>
      <c r="F544" s="16">
        <v>3868026</v>
      </c>
    </row>
    <row r="545" spans="1:6" ht="15" customHeight="1">
      <c r="B545" s="11"/>
      <c r="C545" s="13"/>
      <c r="D545" s="13"/>
      <c r="E545" s="14"/>
      <c r="F545" s="16"/>
    </row>
    <row r="546" spans="1:6" ht="15" customHeight="1">
      <c r="B546" s="11"/>
      <c r="C546" s="13"/>
      <c r="D546" s="13"/>
      <c r="E546" s="14" t="s">
        <v>224</v>
      </c>
      <c r="F546" s="16">
        <f>SUM(F540+F542+F544)</f>
        <v>42863281</v>
      </c>
    </row>
    <row r="547" spans="1:6" ht="15" customHeight="1">
      <c r="B547" s="11"/>
      <c r="C547" s="13"/>
      <c r="D547" s="13"/>
      <c r="E547" s="14"/>
      <c r="F547" s="16"/>
    </row>
    <row r="548" spans="1:6" ht="15" customHeight="1">
      <c r="B548" s="11"/>
      <c r="C548" s="15" t="s">
        <v>225</v>
      </c>
      <c r="D548" s="13"/>
      <c r="E548" s="13"/>
      <c r="F548" s="16"/>
    </row>
    <row r="549" spans="1:6" ht="15" customHeight="1">
      <c r="B549" s="11">
        <v>2180</v>
      </c>
      <c r="C549" s="15"/>
      <c r="D549" s="13"/>
      <c r="E549" s="13" t="s">
        <v>27</v>
      </c>
      <c r="F549" s="16">
        <v>4416483</v>
      </c>
    </row>
    <row r="550" spans="1:6" ht="15" customHeight="1">
      <c r="B550" s="11">
        <v>2185</v>
      </c>
      <c r="C550" s="15"/>
      <c r="D550" s="13"/>
      <c r="E550" s="13" t="s">
        <v>226</v>
      </c>
      <c r="F550" s="16">
        <v>291369</v>
      </c>
    </row>
    <row r="551" spans="1:6" ht="15" customHeight="1">
      <c r="A551" s="6">
        <v>1</v>
      </c>
      <c r="B551" s="11"/>
      <c r="C551" s="13"/>
      <c r="D551" s="13"/>
      <c r="E551" s="14" t="s">
        <v>2</v>
      </c>
      <c r="F551" s="16">
        <f>SUM(F549:F550)</f>
        <v>4707852</v>
      </c>
    </row>
    <row r="552" spans="1:6" ht="15" customHeight="1">
      <c r="B552" s="11"/>
      <c r="C552" s="13"/>
      <c r="D552" s="13"/>
      <c r="E552" s="14"/>
      <c r="F552" s="16"/>
    </row>
    <row r="553" spans="1:6" ht="15" customHeight="1">
      <c r="A553" s="6">
        <v>2</v>
      </c>
      <c r="B553" s="11">
        <v>2190</v>
      </c>
      <c r="C553" s="13"/>
      <c r="D553" s="13"/>
      <c r="E553" s="14" t="s">
        <v>4</v>
      </c>
      <c r="F553" s="16">
        <v>2152934</v>
      </c>
    </row>
    <row r="554" spans="1:6" ht="15" customHeight="1">
      <c r="B554" s="11"/>
      <c r="C554" s="13"/>
      <c r="D554" s="13"/>
      <c r="E554" s="14"/>
      <c r="F554" s="16"/>
    </row>
    <row r="555" spans="1:6" ht="15" customHeight="1">
      <c r="A555" s="6">
        <v>3</v>
      </c>
      <c r="B555" s="11">
        <v>2195</v>
      </c>
      <c r="C555" s="13"/>
      <c r="D555" s="13"/>
      <c r="E555" s="14" t="s">
        <v>28</v>
      </c>
      <c r="F555" s="16">
        <v>494080</v>
      </c>
    </row>
    <row r="556" spans="1:6" ht="15" customHeight="1">
      <c r="B556" s="11"/>
      <c r="C556" s="13"/>
      <c r="D556" s="13"/>
      <c r="E556" s="14"/>
      <c r="F556" s="16"/>
    </row>
    <row r="557" spans="1:6" ht="15" customHeight="1">
      <c r="B557" s="11"/>
      <c r="C557" s="13"/>
      <c r="D557" s="13"/>
      <c r="E557" s="14" t="s">
        <v>227</v>
      </c>
      <c r="F557" s="16">
        <f>SUM(+F553+F551+F555)</f>
        <v>7354866</v>
      </c>
    </row>
    <row r="558" spans="1:6" ht="15" customHeight="1">
      <c r="B558" s="11"/>
      <c r="C558" s="13"/>
      <c r="D558" s="13"/>
      <c r="E558" s="14"/>
      <c r="F558" s="16"/>
    </row>
    <row r="559" spans="1:6" ht="15" customHeight="1">
      <c r="B559" s="11"/>
      <c r="C559" s="15" t="s">
        <v>228</v>
      </c>
      <c r="D559" s="13"/>
      <c r="E559" s="13"/>
      <c r="F559" s="16"/>
    </row>
    <row r="560" spans="1:6" ht="15" customHeight="1">
      <c r="A560" s="6">
        <v>1</v>
      </c>
      <c r="B560" s="11">
        <v>2200</v>
      </c>
      <c r="C560" s="13"/>
      <c r="D560" s="13"/>
      <c r="E560" s="14" t="s">
        <v>2</v>
      </c>
      <c r="F560" s="16">
        <v>4038435</v>
      </c>
    </row>
    <row r="561" spans="1:6" ht="15" customHeight="1">
      <c r="B561" s="11"/>
      <c r="C561" s="13"/>
      <c r="D561" s="13"/>
      <c r="E561" s="14"/>
      <c r="F561" s="16"/>
    </row>
    <row r="562" spans="1:6" ht="15" customHeight="1">
      <c r="A562" s="6">
        <v>2</v>
      </c>
      <c r="B562" s="11">
        <v>2205</v>
      </c>
      <c r="C562" s="13"/>
      <c r="D562" s="13"/>
      <c r="E562" s="14" t="s">
        <v>4</v>
      </c>
      <c r="F562" s="16">
        <v>2661384</v>
      </c>
    </row>
    <row r="563" spans="1:6" ht="15" customHeight="1">
      <c r="B563" s="11"/>
      <c r="C563" s="13"/>
      <c r="D563" s="13"/>
      <c r="E563" s="14"/>
      <c r="F563" s="16"/>
    </row>
    <row r="564" spans="1:6" ht="15" customHeight="1">
      <c r="A564" s="6">
        <v>3</v>
      </c>
      <c r="B564" s="11">
        <v>2210</v>
      </c>
      <c r="C564" s="13"/>
      <c r="D564" s="13"/>
      <c r="E564" s="14" t="s">
        <v>28</v>
      </c>
      <c r="F564" s="16">
        <v>1068426</v>
      </c>
    </row>
    <row r="565" spans="1:6" ht="15" customHeight="1">
      <c r="B565" s="11"/>
      <c r="C565" s="13"/>
      <c r="D565" s="13"/>
      <c r="E565" s="14"/>
      <c r="F565" s="16"/>
    </row>
    <row r="566" spans="1:6" ht="15" customHeight="1">
      <c r="B566" s="11"/>
      <c r="C566" s="13"/>
      <c r="D566" s="13"/>
      <c r="E566" s="14" t="s">
        <v>229</v>
      </c>
      <c r="F566" s="16">
        <f>SUM(F564+F562+F560)</f>
        <v>7768245</v>
      </c>
    </row>
    <row r="567" spans="1:6" ht="15" customHeight="1">
      <c r="B567" s="11"/>
      <c r="C567" s="13"/>
      <c r="D567" s="13"/>
      <c r="E567" s="14"/>
      <c r="F567" s="16"/>
    </row>
    <row r="568" spans="1:6" ht="15" customHeight="1">
      <c r="B568" s="11"/>
      <c r="C568" s="15" t="s">
        <v>230</v>
      </c>
      <c r="D568" s="13"/>
      <c r="E568" s="13"/>
      <c r="F568" s="16"/>
    </row>
    <row r="569" spans="1:6" ht="15" customHeight="1">
      <c r="A569" s="6">
        <v>1</v>
      </c>
      <c r="B569" s="11">
        <v>2215</v>
      </c>
      <c r="C569" s="13"/>
      <c r="D569" s="13"/>
      <c r="E569" s="14" t="s">
        <v>2</v>
      </c>
      <c r="F569" s="16">
        <v>5991263</v>
      </c>
    </row>
    <row r="570" spans="1:6" ht="15" customHeight="1">
      <c r="B570" s="11"/>
      <c r="C570" s="13"/>
      <c r="D570" s="13"/>
      <c r="E570" s="14"/>
      <c r="F570" s="16"/>
    </row>
    <row r="571" spans="1:6" ht="15" customHeight="1">
      <c r="A571" s="6">
        <v>2</v>
      </c>
      <c r="B571" s="11">
        <v>2220</v>
      </c>
      <c r="C571" s="13"/>
      <c r="D571" s="13"/>
      <c r="E571" s="14" t="s">
        <v>4</v>
      </c>
      <c r="F571" s="16">
        <v>703617</v>
      </c>
    </row>
    <row r="572" spans="1:6" ht="15" customHeight="1">
      <c r="B572" s="11"/>
      <c r="C572" s="13"/>
      <c r="D572" s="13"/>
      <c r="E572" s="14"/>
      <c r="F572" s="16"/>
    </row>
    <row r="573" spans="1:6" ht="15" customHeight="1">
      <c r="B573" s="11"/>
      <c r="C573" s="13"/>
      <c r="D573" s="13"/>
      <c r="E573" s="14" t="s">
        <v>231</v>
      </c>
      <c r="F573" s="16">
        <f>+F571+F569</f>
        <v>6694880</v>
      </c>
    </row>
    <row r="574" spans="1:6" ht="15" customHeight="1">
      <c r="B574" s="11"/>
      <c r="C574" s="13"/>
      <c r="D574" s="13"/>
      <c r="E574" s="14"/>
      <c r="F574" s="16"/>
    </row>
    <row r="575" spans="1:6" ht="15" customHeight="1">
      <c r="B575" s="11"/>
      <c r="C575" s="15" t="s">
        <v>232</v>
      </c>
      <c r="D575" s="13"/>
      <c r="E575" s="13"/>
      <c r="F575" s="16"/>
    </row>
    <row r="576" spans="1:6" ht="15" customHeight="1">
      <c r="B576" s="11"/>
      <c r="C576" s="15"/>
      <c r="D576" s="14" t="s">
        <v>23</v>
      </c>
      <c r="E576" s="13"/>
      <c r="F576" s="16"/>
    </row>
    <row r="577" spans="1:6" ht="15" customHeight="1">
      <c r="B577" s="11">
        <v>2240</v>
      </c>
      <c r="C577" s="15"/>
      <c r="D577" s="13"/>
      <c r="E577" s="13" t="s">
        <v>233</v>
      </c>
      <c r="F577" s="16">
        <v>20000</v>
      </c>
    </row>
    <row r="578" spans="1:6" ht="15" customHeight="1">
      <c r="B578" s="11">
        <v>2241</v>
      </c>
      <c r="C578" s="15"/>
      <c r="D578" s="13"/>
      <c r="E578" s="13" t="s">
        <v>234</v>
      </c>
      <c r="F578" s="16">
        <v>80000</v>
      </c>
    </row>
    <row r="579" spans="1:6" ht="15" customHeight="1">
      <c r="A579" s="6">
        <v>4</v>
      </c>
      <c r="B579" s="11"/>
      <c r="C579" s="15"/>
      <c r="D579" s="13"/>
      <c r="E579" s="14" t="s">
        <v>26</v>
      </c>
      <c r="F579" s="16">
        <f>SUM(F577:F578)</f>
        <v>100000</v>
      </c>
    </row>
    <row r="580" spans="1:6" ht="15" customHeight="1">
      <c r="B580" s="11"/>
      <c r="C580" s="15"/>
      <c r="D580" s="13"/>
      <c r="E580" s="13"/>
      <c r="F580" s="16"/>
    </row>
    <row r="581" spans="1:6" ht="15" customHeight="1">
      <c r="B581" s="11">
        <v>2225</v>
      </c>
      <c r="C581" s="15"/>
      <c r="D581" s="13"/>
      <c r="E581" s="13" t="s">
        <v>7</v>
      </c>
      <c r="F581" s="16">
        <v>5300471</v>
      </c>
    </row>
    <row r="582" spans="1:6" ht="15" customHeight="1">
      <c r="B582" s="11">
        <v>2226</v>
      </c>
      <c r="C582" s="15"/>
      <c r="D582" s="13"/>
      <c r="E582" s="13" t="s">
        <v>235</v>
      </c>
      <c r="F582" s="16">
        <v>300000</v>
      </c>
    </row>
    <row r="583" spans="1:6" ht="15" customHeight="1">
      <c r="B583" s="11"/>
      <c r="C583" s="15"/>
      <c r="D583" s="13"/>
      <c r="E583" s="13"/>
      <c r="F583" s="16"/>
    </row>
    <row r="584" spans="1:6" ht="15" customHeight="1">
      <c r="A584" s="6">
        <v>1</v>
      </c>
      <c r="B584" s="11"/>
      <c r="C584" s="13"/>
      <c r="D584" s="13"/>
      <c r="E584" s="14" t="s">
        <v>2</v>
      </c>
      <c r="F584" s="16">
        <f>+F581+F582</f>
        <v>5600471</v>
      </c>
    </row>
    <row r="585" spans="1:6" ht="15" customHeight="1">
      <c r="B585" s="11"/>
      <c r="C585" s="13"/>
      <c r="D585" s="13"/>
      <c r="E585" s="14"/>
      <c r="F585" s="16"/>
    </row>
    <row r="586" spans="1:6" ht="15" customHeight="1">
      <c r="A586" s="6">
        <v>2</v>
      </c>
      <c r="B586" s="11">
        <v>2230</v>
      </c>
      <c r="C586" s="13"/>
      <c r="D586" s="13"/>
      <c r="E586" s="14" t="s">
        <v>4</v>
      </c>
      <c r="F586" s="16">
        <v>11821522</v>
      </c>
    </row>
    <row r="587" spans="1:6" ht="15" customHeight="1">
      <c r="B587" s="11"/>
      <c r="C587" s="13"/>
      <c r="D587" s="13"/>
      <c r="E587" s="14"/>
      <c r="F587" s="16"/>
    </row>
    <row r="588" spans="1:6" ht="15" customHeight="1">
      <c r="A588" s="6">
        <v>3</v>
      </c>
      <c r="B588" s="11">
        <v>2235</v>
      </c>
      <c r="C588" s="13"/>
      <c r="D588" s="13"/>
      <c r="E588" s="14" t="s">
        <v>28</v>
      </c>
      <c r="F588" s="16">
        <v>876000</v>
      </c>
    </row>
    <row r="589" spans="1:6" ht="15" customHeight="1">
      <c r="B589" s="11"/>
      <c r="C589" s="13"/>
      <c r="D589" s="13"/>
      <c r="E589" s="14"/>
      <c r="F589" s="16"/>
    </row>
    <row r="590" spans="1:6" ht="15" customHeight="1">
      <c r="B590" s="11"/>
      <c r="C590" s="13"/>
      <c r="D590" s="13"/>
      <c r="E590" s="14" t="s">
        <v>236</v>
      </c>
      <c r="F590" s="16">
        <f>SUM(+F586+F584+F588+F579)</f>
        <v>18397993</v>
      </c>
    </row>
    <row r="591" spans="1:6" ht="15" customHeight="1">
      <c r="B591" s="11"/>
      <c r="C591" s="13"/>
      <c r="D591" s="13"/>
      <c r="E591" s="14"/>
      <c r="F591" s="16"/>
    </row>
    <row r="592" spans="1:6" ht="15" customHeight="1">
      <c r="B592" s="11"/>
      <c r="C592" s="13"/>
      <c r="D592" s="13"/>
      <c r="E592" s="18" t="s">
        <v>112</v>
      </c>
      <c r="F592" s="16">
        <f>SUM(F584+F569+F560+F551+F540+F533+F524)</f>
        <v>34113589</v>
      </c>
    </row>
    <row r="593" spans="1:6" ht="15" customHeight="1">
      <c r="B593" s="11"/>
      <c r="C593" s="13"/>
      <c r="D593" s="13"/>
      <c r="E593" s="14" t="s">
        <v>237</v>
      </c>
      <c r="F593" s="16">
        <f>SUM(F590+F573+F566+F557+F546+F535+F530)</f>
        <v>91827633</v>
      </c>
    </row>
    <row r="594" spans="1:6" ht="15" customHeight="1">
      <c r="B594" s="11"/>
      <c r="C594" s="13"/>
      <c r="D594" s="13"/>
      <c r="E594" s="14"/>
      <c r="F594" s="16"/>
    </row>
    <row r="595" spans="1:6" ht="15" customHeight="1">
      <c r="B595" s="11"/>
      <c r="C595" s="12" t="s">
        <v>238</v>
      </c>
      <c r="D595" s="13"/>
      <c r="E595" s="14"/>
      <c r="F595" s="16"/>
    </row>
    <row r="596" spans="1:6" ht="15" customHeight="1">
      <c r="B596" s="11"/>
      <c r="C596" s="15" t="s">
        <v>1</v>
      </c>
      <c r="D596" s="13"/>
      <c r="E596" s="14"/>
      <c r="F596" s="16"/>
    </row>
    <row r="597" spans="1:6" ht="15" customHeight="1">
      <c r="A597" s="6">
        <v>1</v>
      </c>
      <c r="B597" s="11">
        <v>2250</v>
      </c>
      <c r="C597" s="13"/>
      <c r="D597" s="13"/>
      <c r="E597" s="14" t="s">
        <v>2</v>
      </c>
      <c r="F597" s="16">
        <v>6914133</v>
      </c>
    </row>
    <row r="598" spans="1:6" ht="15" customHeight="1">
      <c r="B598" s="11"/>
      <c r="C598" s="13"/>
      <c r="D598" s="13"/>
      <c r="E598" s="14"/>
      <c r="F598" s="16"/>
    </row>
    <row r="599" spans="1:6" ht="15" customHeight="1">
      <c r="A599" s="6">
        <v>2</v>
      </c>
      <c r="B599" s="11">
        <v>2255</v>
      </c>
      <c r="C599" s="13"/>
      <c r="D599" s="13"/>
      <c r="E599" s="14" t="s">
        <v>4</v>
      </c>
      <c r="F599" s="16">
        <v>3883255</v>
      </c>
    </row>
    <row r="600" spans="1:6" ht="15" customHeight="1">
      <c r="B600" s="11"/>
      <c r="C600" s="13"/>
      <c r="D600" s="13"/>
      <c r="E600" s="14"/>
      <c r="F600" s="16"/>
    </row>
    <row r="601" spans="1:6" ht="15" customHeight="1">
      <c r="A601" s="6">
        <v>3</v>
      </c>
      <c r="B601" s="11">
        <v>2260</v>
      </c>
      <c r="C601" s="13"/>
      <c r="D601" s="13"/>
      <c r="E601" s="14" t="s">
        <v>28</v>
      </c>
      <c r="F601" s="16">
        <v>1975000</v>
      </c>
    </row>
    <row r="602" spans="1:6" ht="15" customHeight="1">
      <c r="B602" s="11"/>
      <c r="C602" s="13"/>
      <c r="D602" s="13"/>
      <c r="E602" s="14"/>
      <c r="F602" s="16"/>
    </row>
    <row r="603" spans="1:6" ht="15" customHeight="1">
      <c r="B603" s="11"/>
      <c r="C603" s="13"/>
      <c r="D603" s="13"/>
      <c r="E603" s="14" t="s">
        <v>5</v>
      </c>
      <c r="F603" s="16">
        <f>SUM(+F599+F597+F601)</f>
        <v>12772388</v>
      </c>
    </row>
    <row r="604" spans="1:6" ht="15" customHeight="1">
      <c r="B604" s="11"/>
      <c r="C604" s="13"/>
      <c r="D604" s="13"/>
      <c r="E604" s="14"/>
      <c r="F604" s="16"/>
    </row>
    <row r="605" spans="1:6" ht="15" customHeight="1">
      <c r="B605" s="11"/>
      <c r="C605" s="15" t="s">
        <v>239</v>
      </c>
      <c r="D605" s="13"/>
      <c r="E605" s="13"/>
      <c r="F605" s="16"/>
    </row>
    <row r="606" spans="1:6" ht="15" customHeight="1">
      <c r="B606" s="11"/>
      <c r="C606" s="13"/>
      <c r="D606" s="14" t="s">
        <v>23</v>
      </c>
      <c r="E606" s="13"/>
      <c r="F606" s="16"/>
    </row>
    <row r="607" spans="1:6" ht="15" customHeight="1">
      <c r="B607" s="11">
        <v>2266</v>
      </c>
      <c r="C607" s="13"/>
      <c r="D607" s="14"/>
      <c r="E607" s="13" t="s">
        <v>240</v>
      </c>
      <c r="F607" s="16">
        <v>0</v>
      </c>
    </row>
    <row r="608" spans="1:6" ht="15" customHeight="1">
      <c r="B608" s="11">
        <v>2267</v>
      </c>
      <c r="C608" s="13"/>
      <c r="D608" s="14"/>
      <c r="E608" s="13" t="s">
        <v>241</v>
      </c>
      <c r="F608" s="16">
        <v>0</v>
      </c>
    </row>
    <row r="609" spans="1:6" ht="15" customHeight="1">
      <c r="B609" s="11">
        <v>2268</v>
      </c>
      <c r="C609" s="13"/>
      <c r="D609" s="14"/>
      <c r="E609" s="13" t="s">
        <v>242</v>
      </c>
      <c r="F609" s="16">
        <v>0</v>
      </c>
    </row>
    <row r="610" spans="1:6" ht="15" customHeight="1">
      <c r="B610" s="11">
        <v>2269</v>
      </c>
      <c r="C610" s="13"/>
      <c r="D610" s="14"/>
      <c r="E610" s="13" t="s">
        <v>243</v>
      </c>
      <c r="F610" s="16">
        <v>4573</v>
      </c>
    </row>
    <row r="611" spans="1:6" ht="15" customHeight="1">
      <c r="A611" s="6">
        <v>4</v>
      </c>
      <c r="B611" s="11"/>
      <c r="C611" s="13"/>
      <c r="D611" s="13"/>
      <c r="E611" s="14" t="s">
        <v>26</v>
      </c>
      <c r="F611" s="16">
        <f>SUM(F607:F610)</f>
        <v>4573</v>
      </c>
    </row>
    <row r="612" spans="1:6" ht="15" customHeight="1">
      <c r="B612" s="11"/>
      <c r="C612" s="13"/>
      <c r="D612" s="13"/>
      <c r="E612" s="14"/>
      <c r="F612" s="16"/>
    </row>
    <row r="613" spans="1:6" ht="15" customHeight="1">
      <c r="A613" s="6">
        <v>1</v>
      </c>
      <c r="B613" s="11">
        <v>2270</v>
      </c>
      <c r="C613" s="13"/>
      <c r="D613" s="13"/>
      <c r="E613" s="14" t="s">
        <v>2</v>
      </c>
      <c r="F613" s="16">
        <v>20308735</v>
      </c>
    </row>
    <row r="614" spans="1:6" ht="15" customHeight="1">
      <c r="B614" s="11"/>
      <c r="C614" s="13"/>
      <c r="D614" s="13"/>
      <c r="E614" s="14"/>
      <c r="F614" s="16"/>
    </row>
    <row r="615" spans="1:6" ht="15" customHeight="1">
      <c r="A615" s="6">
        <v>2</v>
      </c>
      <c r="B615" s="11">
        <v>2275</v>
      </c>
      <c r="C615" s="13"/>
      <c r="D615" s="13"/>
      <c r="E615" s="14" t="s">
        <v>4</v>
      </c>
      <c r="F615" s="16">
        <v>51389190</v>
      </c>
    </row>
    <row r="616" spans="1:6" ht="15" customHeight="1">
      <c r="B616" s="11"/>
      <c r="C616" s="13"/>
      <c r="D616" s="13"/>
      <c r="E616" s="14"/>
      <c r="F616" s="16"/>
    </row>
    <row r="617" spans="1:6" ht="15" customHeight="1">
      <c r="A617" s="6">
        <v>3</v>
      </c>
      <c r="B617" s="11">
        <v>2280</v>
      </c>
      <c r="C617" s="13"/>
      <c r="D617" s="13"/>
      <c r="E617" s="14" t="s">
        <v>28</v>
      </c>
      <c r="F617" s="16">
        <v>73680</v>
      </c>
    </row>
    <row r="618" spans="1:6" ht="15" customHeight="1">
      <c r="B618" s="11"/>
      <c r="C618" s="13"/>
      <c r="D618" s="13"/>
      <c r="E618" s="14"/>
      <c r="F618" s="16"/>
    </row>
    <row r="619" spans="1:6" ht="15" customHeight="1">
      <c r="B619" s="11"/>
      <c r="C619" s="13"/>
      <c r="D619" s="13"/>
      <c r="E619" s="14" t="s">
        <v>244</v>
      </c>
      <c r="F619" s="16">
        <f>+F617+F615+F613+F611</f>
        <v>71776178</v>
      </c>
    </row>
    <row r="620" spans="1:6" ht="15" customHeight="1">
      <c r="B620" s="11"/>
      <c r="C620" s="13"/>
      <c r="D620" s="13"/>
      <c r="E620" s="14"/>
      <c r="F620" s="16"/>
    </row>
    <row r="621" spans="1:6" ht="15" customHeight="1">
      <c r="B621" s="11"/>
      <c r="C621" s="15" t="s">
        <v>245</v>
      </c>
      <c r="D621" s="13"/>
      <c r="E621" s="13"/>
      <c r="F621" s="16"/>
    </row>
    <row r="622" spans="1:6" ht="15" customHeight="1">
      <c r="A622" s="6">
        <v>1</v>
      </c>
      <c r="B622" s="11">
        <v>2285</v>
      </c>
      <c r="C622" s="13"/>
      <c r="D622" s="13"/>
      <c r="E622" s="14" t="s">
        <v>2</v>
      </c>
      <c r="F622" s="16">
        <v>14148121</v>
      </c>
    </row>
    <row r="623" spans="1:6" ht="15" customHeight="1">
      <c r="B623" s="11"/>
      <c r="C623" s="13"/>
      <c r="D623" s="13"/>
      <c r="E623" s="14"/>
      <c r="F623" s="16"/>
    </row>
    <row r="624" spans="1:6" ht="15" customHeight="1">
      <c r="A624" s="6">
        <v>2</v>
      </c>
      <c r="B624" s="11">
        <v>2290</v>
      </c>
      <c r="C624" s="13"/>
      <c r="D624" s="13"/>
      <c r="E624" s="14" t="s">
        <v>4</v>
      </c>
      <c r="F624" s="16">
        <v>6671502</v>
      </c>
    </row>
    <row r="625" spans="1:6" ht="15" customHeight="1">
      <c r="B625" s="11"/>
      <c r="C625" s="13"/>
      <c r="D625" s="13"/>
      <c r="E625" s="14"/>
      <c r="F625" s="16"/>
    </row>
    <row r="626" spans="1:6" ht="15" customHeight="1">
      <c r="A626" s="6">
        <v>3</v>
      </c>
      <c r="B626" s="11">
        <v>2295</v>
      </c>
      <c r="C626" s="13"/>
      <c r="D626" s="13"/>
      <c r="E626" s="14" t="s">
        <v>28</v>
      </c>
      <c r="F626" s="16">
        <v>2086506</v>
      </c>
    </row>
    <row r="627" spans="1:6" ht="15" customHeight="1">
      <c r="B627" s="11"/>
      <c r="C627" s="13"/>
      <c r="D627" s="13"/>
      <c r="E627" s="14"/>
      <c r="F627" s="16"/>
    </row>
    <row r="628" spans="1:6" ht="15" customHeight="1">
      <c r="B628" s="11"/>
      <c r="C628" s="13"/>
      <c r="D628" s="13"/>
      <c r="E628" s="14" t="s">
        <v>246</v>
      </c>
      <c r="F628" s="16">
        <f>SUM(F626+F624+F622)</f>
        <v>22906129</v>
      </c>
    </row>
    <row r="629" spans="1:6" ht="15" customHeight="1">
      <c r="B629" s="11"/>
      <c r="C629" s="13"/>
      <c r="D629" s="13"/>
      <c r="E629" s="14"/>
      <c r="F629" s="16"/>
    </row>
    <row r="630" spans="1:6" ht="15" customHeight="1">
      <c r="B630" s="11"/>
      <c r="C630" s="15" t="s">
        <v>247</v>
      </c>
      <c r="D630" s="13"/>
      <c r="E630" s="13"/>
      <c r="F630" s="16"/>
    </row>
    <row r="631" spans="1:6" ht="15" customHeight="1">
      <c r="A631" s="6">
        <v>1</v>
      </c>
      <c r="B631" s="11">
        <v>2310</v>
      </c>
      <c r="C631" s="13"/>
      <c r="D631" s="13"/>
      <c r="E631" s="14" t="s">
        <v>2</v>
      </c>
      <c r="F631" s="16">
        <v>22458814</v>
      </c>
    </row>
    <row r="632" spans="1:6" ht="15" customHeight="1">
      <c r="B632" s="11"/>
      <c r="C632" s="13"/>
      <c r="D632" s="13"/>
      <c r="E632" s="14"/>
      <c r="F632" s="16"/>
    </row>
    <row r="633" spans="1:6" ht="15" customHeight="1">
      <c r="A633" s="6">
        <v>2</v>
      </c>
      <c r="B633" s="11">
        <v>2315</v>
      </c>
      <c r="C633" s="13"/>
      <c r="D633" s="13"/>
      <c r="E633" s="14" t="s">
        <v>4</v>
      </c>
      <c r="F633" s="16">
        <v>31900965</v>
      </c>
    </row>
    <row r="634" spans="1:6" ht="15" customHeight="1">
      <c r="B634" s="11"/>
      <c r="C634" s="13"/>
      <c r="D634" s="13"/>
      <c r="E634" s="14"/>
      <c r="F634" s="16"/>
    </row>
    <row r="635" spans="1:6" ht="15" customHeight="1">
      <c r="A635" s="6">
        <v>3</v>
      </c>
      <c r="B635" s="11">
        <v>2320</v>
      </c>
      <c r="C635" s="13"/>
      <c r="D635" s="13"/>
      <c r="E635" s="14" t="s">
        <v>28</v>
      </c>
      <c r="F635" s="16">
        <v>495238</v>
      </c>
    </row>
    <row r="636" spans="1:6" ht="15" customHeight="1">
      <c r="B636" s="11"/>
      <c r="C636" s="13"/>
      <c r="D636" s="13"/>
      <c r="E636" s="14"/>
      <c r="F636" s="16"/>
    </row>
    <row r="637" spans="1:6" ht="15" customHeight="1">
      <c r="B637" s="11"/>
      <c r="C637" s="13"/>
      <c r="D637" s="13"/>
      <c r="E637" s="14" t="s">
        <v>248</v>
      </c>
      <c r="F637" s="16">
        <f>SUM(F635+F633+F631)</f>
        <v>54855017</v>
      </c>
    </row>
    <row r="638" spans="1:6" ht="15" customHeight="1">
      <c r="B638" s="11"/>
      <c r="C638" s="13"/>
      <c r="D638" s="13"/>
      <c r="E638" s="14"/>
      <c r="F638" s="16"/>
    </row>
    <row r="639" spans="1:6" ht="15" customHeight="1">
      <c r="B639" s="11"/>
      <c r="C639" s="15" t="s">
        <v>249</v>
      </c>
      <c r="D639" s="13"/>
      <c r="E639" s="14"/>
      <c r="F639" s="16"/>
    </row>
    <row r="640" spans="1:6" ht="15" customHeight="1">
      <c r="B640" s="11"/>
      <c r="C640" s="15"/>
      <c r="D640" s="13" t="s">
        <v>27</v>
      </c>
      <c r="E640" s="14"/>
      <c r="F640" s="16"/>
    </row>
    <row r="641" spans="1:6" ht="15" customHeight="1">
      <c r="B641" s="11">
        <v>2335</v>
      </c>
      <c r="C641" s="15"/>
      <c r="D641" s="13"/>
      <c r="E641" s="14" t="s">
        <v>250</v>
      </c>
      <c r="F641" s="16">
        <v>95883586</v>
      </c>
    </row>
    <row r="642" spans="1:6" ht="15" customHeight="1">
      <c r="B642" s="11">
        <v>2350</v>
      </c>
      <c r="C642" s="15"/>
      <c r="D642" s="13"/>
      <c r="E642" s="14" t="s">
        <v>251</v>
      </c>
      <c r="F642" s="16">
        <v>123200000</v>
      </c>
    </row>
    <row r="643" spans="1:6" ht="15" customHeight="1">
      <c r="B643" s="11">
        <v>2330</v>
      </c>
      <c r="C643" s="15"/>
      <c r="D643" s="13"/>
      <c r="E643" s="14" t="s">
        <v>252</v>
      </c>
      <c r="F643" s="16">
        <v>118200000</v>
      </c>
    </row>
    <row r="644" spans="1:6" ht="15" customHeight="1">
      <c r="B644" s="11">
        <v>2340</v>
      </c>
      <c r="C644" s="15"/>
      <c r="D644" s="13"/>
      <c r="E644" s="14" t="s">
        <v>253</v>
      </c>
      <c r="F644" s="16">
        <v>86473425</v>
      </c>
    </row>
    <row r="645" spans="1:6" ht="15" customHeight="1">
      <c r="B645" s="11">
        <v>2345</v>
      </c>
      <c r="C645" s="15"/>
      <c r="D645" s="13"/>
      <c r="E645" s="14" t="s">
        <v>254</v>
      </c>
      <c r="F645" s="16">
        <v>13942989</v>
      </c>
    </row>
    <row r="646" spans="1:6" ht="15" customHeight="1">
      <c r="A646" s="9">
        <v>1</v>
      </c>
      <c r="B646" s="23"/>
      <c r="C646" s="24"/>
      <c r="D646" s="24"/>
      <c r="E646" s="22" t="s">
        <v>2</v>
      </c>
      <c r="F646" s="25">
        <f>SUM(F641:F645)</f>
        <v>437700000</v>
      </c>
    </row>
    <row r="647" spans="1:6" ht="15" customHeight="1">
      <c r="B647" s="11"/>
      <c r="C647" s="13"/>
      <c r="D647" s="13"/>
      <c r="E647" s="14"/>
      <c r="F647" s="16"/>
    </row>
    <row r="648" spans="1:6" ht="15" customHeight="1">
      <c r="B648" s="11"/>
      <c r="C648" s="13"/>
      <c r="D648" s="14" t="s">
        <v>82</v>
      </c>
      <c r="E648" s="13"/>
      <c r="F648" s="16"/>
    </row>
    <row r="649" spans="1:6" ht="15" customHeight="1">
      <c r="B649" s="11">
        <v>2360</v>
      </c>
      <c r="C649" s="13"/>
      <c r="D649" s="13"/>
      <c r="E649" s="14" t="s">
        <v>250</v>
      </c>
      <c r="F649" s="16">
        <v>104116414</v>
      </c>
    </row>
    <row r="650" spans="1:6" ht="15" customHeight="1">
      <c r="B650" s="11">
        <v>2365</v>
      </c>
      <c r="C650" s="13"/>
      <c r="D650" s="13"/>
      <c r="E650" s="14" t="s">
        <v>251</v>
      </c>
      <c r="F650" s="16">
        <v>137800000</v>
      </c>
    </row>
    <row r="651" spans="1:6" ht="15" customHeight="1">
      <c r="B651" s="11">
        <v>2355</v>
      </c>
      <c r="C651" s="13"/>
      <c r="D651" s="13"/>
      <c r="E651" s="14" t="s">
        <v>255</v>
      </c>
      <c r="F651" s="16">
        <v>137300000</v>
      </c>
    </row>
    <row r="652" spans="1:6" ht="15" customHeight="1">
      <c r="B652" s="11">
        <v>2370</v>
      </c>
      <c r="C652" s="13"/>
      <c r="D652" s="13"/>
      <c r="E652" s="14" t="s">
        <v>256</v>
      </c>
      <c r="F652" s="16">
        <v>96726575</v>
      </c>
    </row>
    <row r="653" spans="1:6" ht="15" customHeight="1">
      <c r="B653" s="11">
        <v>2375</v>
      </c>
      <c r="C653" s="13"/>
      <c r="D653" s="13"/>
      <c r="E653" s="14" t="s">
        <v>254</v>
      </c>
      <c r="F653" s="16">
        <v>15557011</v>
      </c>
    </row>
    <row r="654" spans="1:6" ht="15" customHeight="1">
      <c r="A654" s="6">
        <v>2</v>
      </c>
      <c r="B654" s="11"/>
      <c r="C654" s="13"/>
      <c r="D654" s="13"/>
      <c r="E654" s="14" t="s">
        <v>4</v>
      </c>
      <c r="F654" s="16">
        <f>SUM(F649:F653)</f>
        <v>491500000</v>
      </c>
    </row>
    <row r="655" spans="1:6" ht="15" customHeight="1">
      <c r="B655" s="11"/>
      <c r="C655" s="13"/>
      <c r="D655" s="13"/>
      <c r="E655" s="14"/>
      <c r="F655" s="16"/>
    </row>
    <row r="656" spans="1:6" ht="15" customHeight="1">
      <c r="A656" s="6">
        <v>3</v>
      </c>
      <c r="B656" s="11">
        <v>2380</v>
      </c>
      <c r="C656" s="13"/>
      <c r="D656" s="13"/>
      <c r="E656" s="14" t="s">
        <v>28</v>
      </c>
      <c r="F656" s="16">
        <v>15000</v>
      </c>
    </row>
    <row r="657" spans="1:6" ht="15" customHeight="1">
      <c r="B657" s="11"/>
      <c r="C657" s="13"/>
      <c r="D657" s="13"/>
      <c r="E657" s="14"/>
      <c r="F657" s="16"/>
    </row>
    <row r="658" spans="1:6" ht="15" customHeight="1">
      <c r="B658" s="11"/>
      <c r="C658" s="13"/>
      <c r="D658" s="13"/>
      <c r="E658" s="14" t="s">
        <v>257</v>
      </c>
      <c r="F658" s="16">
        <f>SUM(F646+F654+F656)</f>
        <v>929215000</v>
      </c>
    </row>
    <row r="659" spans="1:6" ht="15" customHeight="1">
      <c r="B659" s="11"/>
      <c r="C659" s="13"/>
      <c r="D659" s="13"/>
      <c r="E659" s="14"/>
      <c r="F659" s="16"/>
    </row>
    <row r="660" spans="1:6" ht="15" customHeight="1">
      <c r="B660" s="11"/>
      <c r="C660" s="15" t="s">
        <v>258</v>
      </c>
      <c r="D660" s="13"/>
      <c r="E660" s="13"/>
      <c r="F660" s="16"/>
    </row>
    <row r="661" spans="1:6" ht="15" customHeight="1">
      <c r="A661" s="6">
        <v>1</v>
      </c>
      <c r="B661" s="11">
        <v>2385</v>
      </c>
      <c r="C661" s="13"/>
      <c r="D661" s="13"/>
      <c r="E661" s="14" t="s">
        <v>2</v>
      </c>
      <c r="F661" s="16">
        <v>28175323</v>
      </c>
    </row>
    <row r="662" spans="1:6" ht="15" customHeight="1">
      <c r="B662" s="11"/>
      <c r="C662" s="13"/>
      <c r="D662" s="13"/>
      <c r="E662" s="14"/>
      <c r="F662" s="16"/>
    </row>
    <row r="663" spans="1:6" ht="15" customHeight="1">
      <c r="B663" s="11"/>
      <c r="C663" s="13"/>
      <c r="D663" s="13"/>
      <c r="E663" s="14" t="s">
        <v>259</v>
      </c>
      <c r="F663" s="16">
        <f>SUM(F661:F662)</f>
        <v>28175323</v>
      </c>
    </row>
    <row r="664" spans="1:6" ht="15" customHeight="1">
      <c r="B664" s="11"/>
      <c r="C664" s="13"/>
      <c r="D664" s="13"/>
      <c r="E664" s="14"/>
      <c r="F664" s="16"/>
    </row>
    <row r="665" spans="1:6" ht="15" customHeight="1">
      <c r="B665" s="11"/>
      <c r="C665" s="15" t="s">
        <v>260</v>
      </c>
      <c r="D665" s="13"/>
      <c r="E665" s="13"/>
      <c r="F665" s="16"/>
    </row>
    <row r="666" spans="1:6" ht="15" customHeight="1">
      <c r="B666" s="11"/>
      <c r="C666" s="15"/>
      <c r="D666" s="13" t="s">
        <v>7</v>
      </c>
      <c r="E666" s="13"/>
      <c r="F666" s="16"/>
    </row>
    <row r="667" spans="1:6" ht="15" customHeight="1">
      <c r="B667" s="11">
        <v>2395</v>
      </c>
      <c r="C667" s="15"/>
      <c r="D667" s="13"/>
      <c r="E667" s="13" t="s">
        <v>261</v>
      </c>
      <c r="F667" s="16">
        <v>52655593</v>
      </c>
    </row>
    <row r="668" spans="1:6" ht="15" customHeight="1">
      <c r="B668" s="11">
        <v>2390</v>
      </c>
      <c r="C668" s="15"/>
      <c r="D668" s="13"/>
      <c r="E668" s="13" t="s">
        <v>262</v>
      </c>
      <c r="F668" s="16">
        <v>16167362</v>
      </c>
    </row>
    <row r="669" spans="1:6" ht="15" customHeight="1">
      <c r="A669" s="6">
        <v>1</v>
      </c>
      <c r="B669" s="11"/>
      <c r="C669" s="13"/>
      <c r="D669" s="13"/>
      <c r="E669" s="14" t="s">
        <v>2</v>
      </c>
      <c r="F669" s="16">
        <f>SUM(F667:F668)</f>
        <v>68822955</v>
      </c>
    </row>
    <row r="670" spans="1:6" ht="15" customHeight="1">
      <c r="B670" s="11"/>
      <c r="C670" s="13"/>
      <c r="D670" s="13"/>
      <c r="E670" s="14"/>
      <c r="F670" s="16"/>
    </row>
    <row r="671" spans="1:6" ht="15" customHeight="1">
      <c r="A671" s="6">
        <v>2</v>
      </c>
      <c r="B671" s="11">
        <v>2400</v>
      </c>
      <c r="C671" s="13"/>
      <c r="D671" s="13"/>
      <c r="E671" s="14" t="s">
        <v>4</v>
      </c>
      <c r="F671" s="16">
        <v>87906588</v>
      </c>
    </row>
    <row r="672" spans="1:6" ht="15" customHeight="1">
      <c r="B672" s="11"/>
      <c r="C672" s="13"/>
      <c r="D672" s="13"/>
      <c r="E672" s="14"/>
      <c r="F672" s="16"/>
    </row>
    <row r="673" spans="1:6" ht="15" customHeight="1">
      <c r="B673" s="11"/>
      <c r="C673" s="13"/>
      <c r="D673" s="13"/>
      <c r="E673" s="14" t="s">
        <v>263</v>
      </c>
      <c r="F673" s="16">
        <f>SUM(F669:F671)</f>
        <v>156729543</v>
      </c>
    </row>
    <row r="674" spans="1:6" ht="15" customHeight="1">
      <c r="B674" s="11"/>
      <c r="C674" s="13"/>
      <c r="D674" s="13"/>
      <c r="E674" s="14"/>
      <c r="F674" s="16"/>
    </row>
    <row r="675" spans="1:6" ht="15" customHeight="1">
      <c r="B675" s="11"/>
      <c r="C675" s="15" t="s">
        <v>264</v>
      </c>
      <c r="D675" s="13"/>
      <c r="E675" s="13"/>
      <c r="F675" s="16"/>
    </row>
    <row r="676" spans="1:6" ht="15" customHeight="1">
      <c r="B676" s="11"/>
      <c r="C676" s="15"/>
      <c r="D676" s="13" t="s">
        <v>7</v>
      </c>
      <c r="E676" s="13"/>
      <c r="F676" s="16"/>
    </row>
    <row r="677" spans="1:6" ht="15" customHeight="1">
      <c r="B677" s="11">
        <v>2405</v>
      </c>
      <c r="C677" s="13"/>
      <c r="D677" s="13"/>
      <c r="E677" s="14" t="s">
        <v>265</v>
      </c>
      <c r="F677" s="16">
        <v>2561776</v>
      </c>
    </row>
    <row r="678" spans="1:6" ht="15" customHeight="1">
      <c r="B678" s="11">
        <v>2410</v>
      </c>
      <c r="C678" s="13"/>
      <c r="D678" s="13"/>
      <c r="E678" s="14" t="s">
        <v>266</v>
      </c>
      <c r="F678" s="16">
        <v>1795278</v>
      </c>
    </row>
    <row r="679" spans="1:6" ht="15" customHeight="1">
      <c r="B679" s="11">
        <v>2420</v>
      </c>
      <c r="C679" s="13"/>
      <c r="D679" s="13"/>
      <c r="E679" s="14" t="s">
        <v>267</v>
      </c>
      <c r="F679" s="16">
        <v>100000</v>
      </c>
    </row>
    <row r="680" spans="1:6" ht="15" customHeight="1">
      <c r="B680" s="11">
        <v>2415</v>
      </c>
      <c r="C680" s="13"/>
      <c r="D680" s="13"/>
      <c r="E680" s="14" t="s">
        <v>268</v>
      </c>
      <c r="F680" s="16">
        <v>1640000</v>
      </c>
    </row>
    <row r="681" spans="1:6" ht="15" customHeight="1">
      <c r="A681" s="6">
        <v>1</v>
      </c>
      <c r="B681" s="11"/>
      <c r="C681" s="13"/>
      <c r="D681" s="13"/>
      <c r="E681" s="14" t="s">
        <v>2</v>
      </c>
      <c r="F681" s="16">
        <f>SUM(F677:F680)</f>
        <v>6097054</v>
      </c>
    </row>
    <row r="682" spans="1:6" ht="15" customHeight="1">
      <c r="B682" s="11"/>
      <c r="C682" s="13"/>
      <c r="D682" s="13"/>
      <c r="E682" s="14"/>
      <c r="F682" s="16"/>
    </row>
    <row r="683" spans="1:6" ht="15" customHeight="1">
      <c r="A683" s="6">
        <v>2</v>
      </c>
      <c r="B683" s="11">
        <v>2425</v>
      </c>
      <c r="C683" s="13"/>
      <c r="D683" s="13"/>
      <c r="E683" s="14" t="s">
        <v>4</v>
      </c>
      <c r="F683" s="16">
        <v>64356488</v>
      </c>
    </row>
    <row r="684" spans="1:6" ht="15" customHeight="1">
      <c r="B684" s="11"/>
      <c r="C684" s="13"/>
      <c r="D684" s="13"/>
      <c r="E684" s="14"/>
      <c r="F684" s="16"/>
    </row>
    <row r="685" spans="1:6" ht="15" customHeight="1">
      <c r="B685" s="11"/>
      <c r="C685" s="13"/>
      <c r="D685" s="13"/>
      <c r="E685" s="14" t="s">
        <v>269</v>
      </c>
      <c r="F685" s="16">
        <f>SUM(F681:F683)</f>
        <v>70453542</v>
      </c>
    </row>
    <row r="686" spans="1:6" ht="15" customHeight="1">
      <c r="B686" s="11"/>
      <c r="C686" s="13"/>
      <c r="D686" s="13"/>
      <c r="E686" s="14"/>
      <c r="F686" s="16"/>
    </row>
    <row r="687" spans="1:6" ht="15" customHeight="1">
      <c r="B687" s="11"/>
      <c r="C687" s="13"/>
      <c r="D687" s="13"/>
      <c r="E687" s="18" t="s">
        <v>112</v>
      </c>
      <c r="F687" s="16">
        <f>SUM(F681+F669+F661+F646+F631+F622+F613+F597)</f>
        <v>604625135</v>
      </c>
    </row>
    <row r="688" spans="1:6" ht="15" customHeight="1">
      <c r="B688" s="11"/>
      <c r="C688" s="13"/>
      <c r="D688" s="13"/>
      <c r="E688" s="14" t="s">
        <v>270</v>
      </c>
      <c r="F688" s="16">
        <f>SUM(F685+F673+F663+F658+F637+F628+F619+F603)</f>
        <v>1346883120</v>
      </c>
    </row>
    <row r="689" spans="1:6" ht="15" customHeight="1">
      <c r="B689" s="11"/>
      <c r="C689" s="13"/>
      <c r="D689" s="13"/>
      <c r="E689" s="14"/>
      <c r="F689" s="16"/>
    </row>
    <row r="690" spans="1:6" ht="15" customHeight="1">
      <c r="B690" s="11"/>
      <c r="C690" s="12" t="s">
        <v>271</v>
      </c>
      <c r="D690" s="13"/>
      <c r="E690" s="13"/>
      <c r="F690" s="16"/>
    </row>
    <row r="691" spans="1:6" ht="15" customHeight="1">
      <c r="B691" s="11"/>
      <c r="C691" s="15" t="s">
        <v>1</v>
      </c>
      <c r="D691" s="13"/>
      <c r="E691" s="13"/>
      <c r="F691" s="16"/>
    </row>
    <row r="692" spans="1:6" ht="15" customHeight="1">
      <c r="A692" s="6">
        <v>1</v>
      </c>
      <c r="B692" s="11">
        <v>2450</v>
      </c>
      <c r="C692" s="13"/>
      <c r="D692" s="13"/>
      <c r="E692" s="14" t="s">
        <v>2</v>
      </c>
      <c r="F692" s="16">
        <v>1972685</v>
      </c>
    </row>
    <row r="693" spans="1:6" ht="15" customHeight="1">
      <c r="B693" s="11"/>
      <c r="C693" s="13"/>
      <c r="D693" s="13"/>
      <c r="E693" s="14"/>
      <c r="F693" s="16"/>
    </row>
    <row r="694" spans="1:6" ht="15" customHeight="1">
      <c r="B694" s="11"/>
      <c r="C694" s="13"/>
      <c r="D694" s="13"/>
      <c r="E694" s="14" t="s">
        <v>5</v>
      </c>
      <c r="F694" s="16">
        <f>SUM(F692:F693)</f>
        <v>1972685</v>
      </c>
    </row>
    <row r="695" spans="1:6" ht="15" customHeight="1">
      <c r="B695" s="11"/>
      <c r="C695" s="13"/>
      <c r="D695" s="13"/>
      <c r="E695" s="14"/>
      <c r="F695" s="16"/>
    </row>
    <row r="696" spans="1:6" ht="15" customHeight="1">
      <c r="B696" s="11"/>
      <c r="C696" s="15" t="s">
        <v>272</v>
      </c>
      <c r="D696" s="13"/>
      <c r="E696" s="13"/>
      <c r="F696" s="16"/>
    </row>
    <row r="697" spans="1:6" ht="15" customHeight="1">
      <c r="B697" s="11"/>
      <c r="C697" s="13"/>
      <c r="D697" s="14" t="s">
        <v>23</v>
      </c>
      <c r="E697" s="13"/>
      <c r="F697" s="16"/>
    </row>
    <row r="698" spans="1:6" ht="15" customHeight="1">
      <c r="B698" s="11">
        <v>2455</v>
      </c>
      <c r="C698" s="13"/>
      <c r="D698" s="14"/>
      <c r="E698" s="13" t="s">
        <v>273</v>
      </c>
      <c r="F698" s="16">
        <v>509700</v>
      </c>
    </row>
    <row r="699" spans="1:6" ht="15" customHeight="1">
      <c r="B699" s="11">
        <v>2471</v>
      </c>
      <c r="C699" s="13"/>
      <c r="D699" s="14"/>
      <c r="E699" s="13" t="s">
        <v>274</v>
      </c>
      <c r="F699" s="16">
        <v>360000</v>
      </c>
    </row>
    <row r="700" spans="1:6" ht="15" customHeight="1">
      <c r="B700" s="11">
        <v>2460</v>
      </c>
      <c r="C700" s="13"/>
      <c r="D700" s="13"/>
      <c r="E700" s="14" t="s">
        <v>275</v>
      </c>
      <c r="F700" s="16">
        <v>250001</v>
      </c>
    </row>
    <row r="701" spans="1:6" ht="15" customHeight="1">
      <c r="B701" s="11">
        <v>2465</v>
      </c>
      <c r="C701" s="13"/>
      <c r="D701" s="14"/>
      <c r="E701" s="13" t="s">
        <v>276</v>
      </c>
      <c r="F701" s="16">
        <v>111325</v>
      </c>
    </row>
    <row r="702" spans="1:6" ht="15" customHeight="1">
      <c r="B702" s="11">
        <v>2470</v>
      </c>
      <c r="C702" s="13"/>
      <c r="D702" s="13"/>
      <c r="E702" s="14" t="s">
        <v>277</v>
      </c>
      <c r="F702" s="16">
        <v>0</v>
      </c>
    </row>
    <row r="703" spans="1:6" ht="15" customHeight="1">
      <c r="A703" s="6">
        <v>4</v>
      </c>
      <c r="B703" s="11"/>
      <c r="C703" s="13"/>
      <c r="D703" s="13"/>
      <c r="E703" s="14" t="s">
        <v>26</v>
      </c>
      <c r="F703" s="16">
        <f>SUM(F698:F702)</f>
        <v>1231026</v>
      </c>
    </row>
    <row r="704" spans="1:6" ht="15" customHeight="1">
      <c r="B704" s="11"/>
      <c r="C704" s="13"/>
      <c r="D704" s="13"/>
      <c r="E704" s="14"/>
      <c r="F704" s="16"/>
    </row>
    <row r="705" spans="1:6" ht="15" customHeight="1">
      <c r="A705" s="6">
        <v>1</v>
      </c>
      <c r="B705" s="11">
        <v>2480</v>
      </c>
      <c r="C705" s="13"/>
      <c r="D705" s="13"/>
      <c r="E705" s="14" t="s">
        <v>2</v>
      </c>
      <c r="F705" s="16">
        <v>22640340</v>
      </c>
    </row>
    <row r="706" spans="1:6" ht="15" customHeight="1">
      <c r="B706" s="11"/>
      <c r="C706" s="13"/>
      <c r="D706" s="13"/>
      <c r="E706" s="14"/>
      <c r="F706" s="16"/>
    </row>
    <row r="707" spans="1:6" ht="15" customHeight="1">
      <c r="B707" s="11"/>
      <c r="C707" s="13"/>
      <c r="D707" s="13"/>
      <c r="E707" s="14" t="s">
        <v>278</v>
      </c>
      <c r="F707" s="16">
        <f>+F705+F703</f>
        <v>23871366</v>
      </c>
    </row>
    <row r="708" spans="1:6" ht="15" customHeight="1">
      <c r="B708" s="11"/>
      <c r="C708" s="13"/>
      <c r="D708" s="13"/>
      <c r="E708" s="14"/>
      <c r="F708" s="16"/>
    </row>
    <row r="709" spans="1:6" ht="15" customHeight="1">
      <c r="B709" s="11"/>
      <c r="C709" s="15" t="s">
        <v>279</v>
      </c>
      <c r="D709" s="13"/>
      <c r="E709" s="13"/>
      <c r="F709" s="16"/>
    </row>
    <row r="710" spans="1:6" ht="15" customHeight="1">
      <c r="B710" s="11"/>
      <c r="C710" s="15"/>
      <c r="D710" s="13" t="s">
        <v>27</v>
      </c>
      <c r="E710" s="13"/>
      <c r="F710" s="16"/>
    </row>
    <row r="711" spans="1:6" ht="15" customHeight="1">
      <c r="B711" s="11">
        <v>2490</v>
      </c>
      <c r="C711" s="15"/>
      <c r="D711" s="13"/>
      <c r="E711" s="13" t="s">
        <v>7</v>
      </c>
      <c r="F711" s="16">
        <f>97112944-260990</f>
        <v>96851954</v>
      </c>
    </row>
    <row r="712" spans="1:6" ht="15" customHeight="1">
      <c r="B712" s="11">
        <v>2491</v>
      </c>
      <c r="C712" s="15"/>
      <c r="D712" s="13"/>
      <c r="E712" s="13" t="s">
        <v>280</v>
      </c>
      <c r="F712" s="16">
        <v>260990</v>
      </c>
    </row>
    <row r="713" spans="1:6" ht="15" customHeight="1">
      <c r="A713" s="6">
        <v>1</v>
      </c>
      <c r="B713" s="11"/>
      <c r="C713" s="13"/>
      <c r="D713" s="13"/>
      <c r="E713" s="14" t="s">
        <v>2</v>
      </c>
      <c r="F713" s="16">
        <f>SUM(F711:F712)</f>
        <v>97112944</v>
      </c>
    </row>
    <row r="714" spans="1:6" ht="15" customHeight="1">
      <c r="B714" s="11"/>
      <c r="C714" s="13"/>
      <c r="D714" s="13"/>
      <c r="E714" s="14"/>
      <c r="F714" s="16"/>
    </row>
    <row r="715" spans="1:6" ht="15" customHeight="1">
      <c r="A715" s="6">
        <v>2</v>
      </c>
      <c r="B715" s="11">
        <v>2495</v>
      </c>
      <c r="C715" s="13"/>
      <c r="D715" s="13"/>
      <c r="E715" s="14" t="s">
        <v>4</v>
      </c>
      <c r="F715" s="16">
        <v>110317329</v>
      </c>
    </row>
    <row r="716" spans="1:6" ht="15" customHeight="1">
      <c r="B716" s="11"/>
      <c r="C716" s="13"/>
      <c r="D716" s="13"/>
      <c r="E716" s="14"/>
      <c r="F716" s="16"/>
    </row>
    <row r="717" spans="1:6" ht="15" customHeight="1">
      <c r="B717" s="11"/>
      <c r="C717" s="13"/>
      <c r="D717" s="13"/>
      <c r="E717" s="14" t="s">
        <v>281</v>
      </c>
      <c r="F717" s="16">
        <f>SUM(F713:F715)</f>
        <v>207430273</v>
      </c>
    </row>
    <row r="718" spans="1:6" ht="15" customHeight="1">
      <c r="B718" s="11"/>
      <c r="C718" s="13"/>
      <c r="D718" s="13"/>
      <c r="E718" s="14"/>
      <c r="F718" s="16"/>
    </row>
    <row r="719" spans="1:6" ht="15" customHeight="1">
      <c r="B719" s="11"/>
      <c r="C719" s="15" t="s">
        <v>282</v>
      </c>
      <c r="D719" s="13"/>
      <c r="E719" s="13"/>
      <c r="F719" s="16"/>
    </row>
    <row r="720" spans="1:6" ht="15" customHeight="1">
      <c r="A720" s="6">
        <v>1</v>
      </c>
      <c r="B720" s="11">
        <v>2500</v>
      </c>
      <c r="C720" s="13"/>
      <c r="D720" s="13"/>
      <c r="E720" s="14" t="s">
        <v>2</v>
      </c>
      <c r="F720" s="16">
        <v>30708754</v>
      </c>
    </row>
    <row r="721" spans="1:6" ht="15" customHeight="1">
      <c r="B721" s="11"/>
      <c r="C721" s="13"/>
      <c r="D721" s="13"/>
      <c r="E721" s="14"/>
      <c r="F721" s="16"/>
    </row>
    <row r="722" spans="1:6" ht="15" customHeight="1">
      <c r="A722" s="6">
        <v>2</v>
      </c>
      <c r="B722" s="11">
        <v>2505</v>
      </c>
      <c r="C722" s="13"/>
      <c r="D722" s="13"/>
      <c r="E722" s="14" t="s">
        <v>4</v>
      </c>
      <c r="F722" s="16">
        <v>28574072</v>
      </c>
    </row>
    <row r="723" spans="1:6" ht="15" customHeight="1">
      <c r="B723" s="11"/>
      <c r="C723" s="13"/>
      <c r="D723" s="13"/>
      <c r="E723" s="14"/>
      <c r="F723" s="16"/>
    </row>
    <row r="724" spans="1:6" ht="15" customHeight="1">
      <c r="B724" s="11"/>
      <c r="C724" s="13"/>
      <c r="D724" s="13"/>
      <c r="E724" s="14" t="s">
        <v>283</v>
      </c>
      <c r="F724" s="16">
        <f>SUM(F720:F722)</f>
        <v>59282826</v>
      </c>
    </row>
    <row r="725" spans="1:6" ht="15" customHeight="1">
      <c r="B725" s="11"/>
      <c r="C725" s="13"/>
      <c r="D725" s="13"/>
      <c r="E725" s="14"/>
      <c r="F725" s="16"/>
    </row>
    <row r="726" spans="1:6" ht="15" customHeight="1">
      <c r="B726" s="11"/>
      <c r="C726" s="15" t="s">
        <v>284</v>
      </c>
      <c r="D726" s="13"/>
      <c r="E726" s="13"/>
      <c r="F726" s="16"/>
    </row>
    <row r="727" spans="1:6" ht="15" customHeight="1">
      <c r="B727" s="11"/>
      <c r="C727" s="13"/>
      <c r="D727" s="14" t="s">
        <v>23</v>
      </c>
      <c r="E727" s="13"/>
      <c r="F727" s="16"/>
    </row>
    <row r="728" spans="1:6" ht="15" customHeight="1">
      <c r="B728" s="11">
        <v>2510</v>
      </c>
      <c r="C728" s="13"/>
      <c r="D728" s="13"/>
      <c r="E728" s="14" t="s">
        <v>285</v>
      </c>
      <c r="F728" s="16">
        <v>100000</v>
      </c>
    </row>
    <row r="729" spans="1:6" ht="15" customHeight="1">
      <c r="A729" s="6">
        <v>4</v>
      </c>
      <c r="B729" s="11"/>
      <c r="C729" s="13"/>
      <c r="D729" s="13"/>
      <c r="E729" s="14" t="s">
        <v>26</v>
      </c>
      <c r="F729" s="16">
        <f>SUM(F728)</f>
        <v>100000</v>
      </c>
    </row>
    <row r="730" spans="1:6" ht="15" customHeight="1">
      <c r="B730" s="11"/>
      <c r="C730" s="15"/>
      <c r="D730" s="13"/>
      <c r="E730" s="13"/>
      <c r="F730" s="16"/>
    </row>
    <row r="731" spans="1:6" ht="15" customHeight="1">
      <c r="A731" s="6">
        <v>1</v>
      </c>
      <c r="B731" s="11">
        <v>2515</v>
      </c>
      <c r="C731" s="13"/>
      <c r="D731" s="13"/>
      <c r="E731" s="14" t="s">
        <v>2</v>
      </c>
      <c r="F731" s="16">
        <v>51682253</v>
      </c>
    </row>
    <row r="732" spans="1:6" ht="15" customHeight="1">
      <c r="B732" s="11"/>
      <c r="C732" s="13"/>
      <c r="D732" s="13"/>
      <c r="E732" s="14"/>
      <c r="F732" s="16"/>
    </row>
    <row r="733" spans="1:6" ht="15" customHeight="1">
      <c r="A733" s="6">
        <v>2</v>
      </c>
      <c r="B733" s="11">
        <v>2520</v>
      </c>
      <c r="C733" s="13"/>
      <c r="D733" s="13"/>
      <c r="E733" s="14" t="s">
        <v>4</v>
      </c>
      <c r="F733" s="16">
        <v>53333982</v>
      </c>
    </row>
    <row r="734" spans="1:6" ht="15" customHeight="1">
      <c r="B734" s="11"/>
      <c r="C734" s="13"/>
      <c r="D734" s="13"/>
      <c r="E734" s="14"/>
      <c r="F734" s="16"/>
    </row>
    <row r="735" spans="1:6" ht="15" customHeight="1">
      <c r="B735" s="11"/>
      <c r="C735" s="13"/>
      <c r="D735" s="13"/>
      <c r="E735" s="14" t="s">
        <v>286</v>
      </c>
      <c r="F735" s="16">
        <f>SUM(F729:F733)</f>
        <v>105116235</v>
      </c>
    </row>
    <row r="736" spans="1:6" ht="15" customHeight="1">
      <c r="B736" s="11"/>
      <c r="C736" s="13"/>
      <c r="D736" s="13"/>
      <c r="E736" s="14"/>
      <c r="F736" s="16"/>
    </row>
    <row r="737" spans="1:6" ht="15" customHeight="1">
      <c r="B737" s="11"/>
      <c r="C737" s="15" t="s">
        <v>287</v>
      </c>
      <c r="D737" s="13"/>
      <c r="E737" s="13"/>
      <c r="F737" s="16"/>
    </row>
    <row r="738" spans="1:6" ht="15" customHeight="1">
      <c r="B738" s="11"/>
      <c r="C738" s="13"/>
      <c r="D738" s="14" t="s">
        <v>23</v>
      </c>
      <c r="E738" s="13"/>
      <c r="F738" s="16"/>
    </row>
    <row r="739" spans="1:6" ht="15" customHeight="1">
      <c r="B739" s="11">
        <v>2525</v>
      </c>
      <c r="C739" s="13"/>
      <c r="D739" s="13"/>
      <c r="E739" s="14" t="s">
        <v>288</v>
      </c>
      <c r="F739" s="16">
        <v>113000</v>
      </c>
    </row>
    <row r="740" spans="1:6" ht="15" customHeight="1">
      <c r="A740" s="6">
        <v>4</v>
      </c>
      <c r="B740" s="11"/>
      <c r="C740" s="13"/>
      <c r="D740" s="13"/>
      <c r="E740" s="14" t="s">
        <v>26</v>
      </c>
      <c r="F740" s="16">
        <f>SUM(F739:F739)</f>
        <v>113000</v>
      </c>
    </row>
    <row r="741" spans="1:6" ht="15" customHeight="1">
      <c r="B741" s="11"/>
      <c r="C741" s="13"/>
      <c r="D741" s="13"/>
      <c r="E741" s="14"/>
      <c r="F741" s="16"/>
    </row>
    <row r="742" spans="1:6" ht="15" customHeight="1">
      <c r="B742" s="11"/>
      <c r="C742" s="13"/>
      <c r="D742" s="13" t="s">
        <v>7</v>
      </c>
      <c r="E742" s="14"/>
      <c r="F742" s="16"/>
    </row>
    <row r="743" spans="1:6" ht="15" customHeight="1">
      <c r="B743" s="11">
        <v>2530</v>
      </c>
      <c r="C743" s="13"/>
      <c r="D743" s="13"/>
      <c r="E743" s="14" t="s">
        <v>27</v>
      </c>
      <c r="F743" s="16">
        <v>15293930</v>
      </c>
    </row>
    <row r="744" spans="1:6" ht="15" customHeight="1">
      <c r="B744" s="11">
        <v>2535</v>
      </c>
      <c r="C744" s="13"/>
      <c r="D744" s="13"/>
      <c r="E744" s="14" t="s">
        <v>289</v>
      </c>
      <c r="F744" s="16">
        <v>0</v>
      </c>
    </row>
    <row r="745" spans="1:6" ht="15" customHeight="1">
      <c r="A745" s="6">
        <v>1</v>
      </c>
      <c r="B745" s="11"/>
      <c r="C745" s="13"/>
      <c r="D745" s="13"/>
      <c r="E745" s="14" t="s">
        <v>2</v>
      </c>
      <c r="F745" s="16">
        <f>SUM(F743:F744)</f>
        <v>15293930</v>
      </c>
    </row>
    <row r="746" spans="1:6" ht="15" customHeight="1">
      <c r="B746" s="11"/>
      <c r="C746" s="13"/>
      <c r="D746" s="13"/>
      <c r="E746" s="14"/>
      <c r="F746" s="16"/>
    </row>
    <row r="747" spans="1:6" ht="15" customHeight="1">
      <c r="A747" s="6">
        <v>2</v>
      </c>
      <c r="B747" s="11">
        <v>2540</v>
      </c>
      <c r="C747" s="13"/>
      <c r="D747" s="13"/>
      <c r="E747" s="14" t="s">
        <v>4</v>
      </c>
      <c r="F747" s="16">
        <v>10515316</v>
      </c>
    </row>
    <row r="748" spans="1:6" ht="15" customHeight="1">
      <c r="B748" s="11"/>
      <c r="C748" s="13"/>
      <c r="D748" s="13"/>
      <c r="E748" s="14"/>
      <c r="F748" s="16"/>
    </row>
    <row r="749" spans="1:6" ht="15" customHeight="1">
      <c r="A749" s="6">
        <v>3</v>
      </c>
      <c r="B749" s="11">
        <v>2545</v>
      </c>
      <c r="C749" s="13"/>
      <c r="D749" s="13"/>
      <c r="E749" s="14" t="s">
        <v>28</v>
      </c>
      <c r="F749" s="16">
        <v>65000</v>
      </c>
    </row>
    <row r="750" spans="1:6" ht="15" customHeight="1">
      <c r="B750" s="11"/>
      <c r="C750" s="13"/>
      <c r="D750" s="13"/>
      <c r="E750" s="14"/>
      <c r="F750" s="16"/>
    </row>
    <row r="751" spans="1:6" ht="15" customHeight="1">
      <c r="B751" s="11"/>
      <c r="C751" s="13"/>
      <c r="D751" s="13"/>
      <c r="E751" s="14" t="s">
        <v>290</v>
      </c>
      <c r="F751" s="16">
        <f>SUM(F740)+F745+F747+F749</f>
        <v>25987246</v>
      </c>
    </row>
    <row r="752" spans="1:6" ht="15" customHeight="1">
      <c r="B752" s="11"/>
      <c r="C752" s="15"/>
      <c r="D752" s="13"/>
      <c r="E752" s="13"/>
      <c r="F752" s="16"/>
    </row>
    <row r="753" spans="1:6" ht="15" customHeight="1">
      <c r="B753" s="11"/>
      <c r="C753" s="13"/>
      <c r="D753" s="13"/>
      <c r="E753" s="18" t="s">
        <v>112</v>
      </c>
      <c r="F753" s="16">
        <f>SUM(F745+F731+F720+F713+F705+F692)</f>
        <v>219410906</v>
      </c>
    </row>
    <row r="754" spans="1:6" ht="15" customHeight="1">
      <c r="B754" s="11"/>
      <c r="C754" s="13"/>
      <c r="D754" s="13"/>
      <c r="E754" s="14" t="s">
        <v>291</v>
      </c>
      <c r="F754" s="16">
        <f>SUM(F751+F735+F724+F717+F707+F694)</f>
        <v>423660631</v>
      </c>
    </row>
    <row r="755" spans="1:6" ht="15" customHeight="1">
      <c r="B755" s="11"/>
      <c r="C755" s="13"/>
      <c r="D755" s="13"/>
      <c r="E755" s="14" t="s">
        <v>292</v>
      </c>
      <c r="F755" s="16"/>
    </row>
    <row r="756" spans="1:6" ht="15" customHeight="1">
      <c r="B756" s="11"/>
      <c r="C756" s="13"/>
      <c r="D756" s="13"/>
      <c r="E756" s="14"/>
      <c r="F756" s="16"/>
    </row>
    <row r="757" spans="1:6" ht="15" customHeight="1">
      <c r="B757" s="11"/>
      <c r="C757" s="12" t="s">
        <v>293</v>
      </c>
      <c r="D757" s="13"/>
      <c r="E757" s="13"/>
      <c r="F757" s="16"/>
    </row>
    <row r="758" spans="1:6" ht="15" customHeight="1">
      <c r="A758" s="6">
        <v>1</v>
      </c>
      <c r="B758" s="11">
        <v>2560</v>
      </c>
      <c r="C758" s="13"/>
      <c r="D758" s="13"/>
      <c r="E758" s="14" t="s">
        <v>2</v>
      </c>
      <c r="F758" s="16">
        <v>522465</v>
      </c>
    </row>
    <row r="759" spans="1:6" ht="15" customHeight="1">
      <c r="B759" s="11"/>
      <c r="C759" s="13"/>
      <c r="D759" s="13"/>
      <c r="E759" s="14"/>
      <c r="F759" s="16"/>
    </row>
    <row r="760" spans="1:6" ht="15" customHeight="1">
      <c r="A760" s="6">
        <v>2</v>
      </c>
      <c r="B760" s="11">
        <v>2565</v>
      </c>
      <c r="C760" s="13"/>
      <c r="D760" s="13"/>
      <c r="E760" s="14" t="s">
        <v>4</v>
      </c>
      <c r="F760" s="16">
        <v>359190</v>
      </c>
    </row>
    <row r="761" spans="1:6" ht="15" customHeight="1">
      <c r="B761" s="11"/>
      <c r="C761" s="13"/>
      <c r="D761" s="14"/>
      <c r="E761" s="14"/>
      <c r="F761" s="16"/>
    </row>
    <row r="762" spans="1:6" ht="15" customHeight="1">
      <c r="B762" s="11"/>
      <c r="C762" s="13"/>
      <c r="D762" s="13"/>
      <c r="E762" s="14" t="s">
        <v>294</v>
      </c>
      <c r="F762" s="16">
        <f>SUM(F758:F760)</f>
        <v>881655</v>
      </c>
    </row>
    <row r="763" spans="1:6" ht="15" customHeight="1">
      <c r="B763" s="11"/>
      <c r="C763" s="13"/>
      <c r="D763" s="13"/>
      <c r="E763" s="14"/>
      <c r="F763" s="16"/>
    </row>
    <row r="764" spans="1:6" ht="15" customHeight="1">
      <c r="B764" s="11"/>
      <c r="C764" s="12" t="s">
        <v>295</v>
      </c>
      <c r="D764" s="13"/>
      <c r="E764" s="13"/>
      <c r="F764" s="16"/>
    </row>
    <row r="765" spans="1:6" ht="15" customHeight="1">
      <c r="A765" s="6">
        <v>1</v>
      </c>
      <c r="B765" s="11">
        <v>2575</v>
      </c>
      <c r="C765" s="13"/>
      <c r="D765" s="13"/>
      <c r="E765" s="14" t="s">
        <v>2</v>
      </c>
      <c r="F765" s="16">
        <v>196450</v>
      </c>
    </row>
    <row r="766" spans="1:6" ht="15" customHeight="1">
      <c r="B766" s="11"/>
      <c r="C766" s="13"/>
      <c r="D766" s="13"/>
      <c r="E766" s="14"/>
      <c r="F766" s="16"/>
    </row>
    <row r="767" spans="1:6" ht="15" customHeight="1">
      <c r="B767" s="11"/>
      <c r="C767" s="13"/>
      <c r="D767" s="13"/>
      <c r="E767" s="14" t="s">
        <v>296</v>
      </c>
      <c r="F767" s="16">
        <f>SUM(F765:F766)</f>
        <v>196450</v>
      </c>
    </row>
    <row r="768" spans="1:6" ht="15" customHeight="1">
      <c r="B768" s="11"/>
      <c r="C768" s="13"/>
      <c r="D768" s="13"/>
      <c r="E768" s="14"/>
      <c r="F768" s="16"/>
    </row>
    <row r="769" spans="1:6" ht="15" customHeight="1">
      <c r="B769" s="11"/>
      <c r="C769" s="12" t="s">
        <v>297</v>
      </c>
      <c r="D769" s="13"/>
      <c r="E769" s="13"/>
      <c r="F769" s="16"/>
    </row>
    <row r="770" spans="1:6" ht="15" customHeight="1">
      <c r="A770" s="6">
        <v>2</v>
      </c>
      <c r="B770" s="11">
        <v>2580</v>
      </c>
      <c r="C770" s="13"/>
      <c r="D770" s="13"/>
      <c r="E770" s="14" t="s">
        <v>4</v>
      </c>
      <c r="F770" s="16">
        <v>420477</v>
      </c>
    </row>
    <row r="771" spans="1:6" ht="15" customHeight="1">
      <c r="B771" s="11"/>
      <c r="C771" s="13"/>
      <c r="D771" s="13"/>
      <c r="E771" s="14"/>
      <c r="F771" s="16"/>
    </row>
    <row r="772" spans="1:6" ht="15" customHeight="1">
      <c r="B772" s="11"/>
      <c r="C772" s="13"/>
      <c r="D772" s="13"/>
      <c r="E772" s="14" t="s">
        <v>298</v>
      </c>
      <c r="F772" s="16">
        <f>SUM(F770:F771)</f>
        <v>420477</v>
      </c>
    </row>
    <row r="773" spans="1:6" ht="15" customHeight="1">
      <c r="B773" s="11"/>
      <c r="C773" s="13"/>
      <c r="D773" s="13"/>
      <c r="E773" s="14"/>
      <c r="F773" s="16"/>
    </row>
    <row r="774" spans="1:6" ht="15" customHeight="1">
      <c r="B774" s="11"/>
      <c r="C774" s="12" t="s">
        <v>299</v>
      </c>
      <c r="D774" s="13"/>
      <c r="E774" s="13"/>
      <c r="F774" s="16"/>
    </row>
    <row r="775" spans="1:6" ht="15" customHeight="1">
      <c r="A775" s="6">
        <v>1</v>
      </c>
      <c r="B775" s="11">
        <v>2585</v>
      </c>
      <c r="C775" s="13"/>
      <c r="D775" s="13"/>
      <c r="E775" s="14" t="s">
        <v>2</v>
      </c>
      <c r="F775" s="16">
        <v>303844</v>
      </c>
    </row>
    <row r="776" spans="1:6" ht="15" customHeight="1">
      <c r="B776" s="11"/>
      <c r="C776" s="13"/>
      <c r="D776" s="13"/>
      <c r="E776" s="14"/>
      <c r="F776" s="16"/>
    </row>
    <row r="777" spans="1:6" ht="15" customHeight="1">
      <c r="A777" s="6">
        <v>2</v>
      </c>
      <c r="B777" s="11">
        <v>2590</v>
      </c>
      <c r="C777" s="13"/>
      <c r="D777" s="13"/>
      <c r="E777" s="14" t="s">
        <v>4</v>
      </c>
      <c r="F777" s="16">
        <v>25272</v>
      </c>
    </row>
    <row r="778" spans="1:6" ht="15" customHeight="1">
      <c r="B778" s="11"/>
      <c r="C778" s="13"/>
      <c r="D778" s="13"/>
      <c r="E778" s="14"/>
      <c r="F778" s="16"/>
    </row>
    <row r="779" spans="1:6" ht="15" customHeight="1">
      <c r="A779" s="6">
        <v>3</v>
      </c>
      <c r="B779" s="11">
        <v>2595</v>
      </c>
      <c r="C779" s="13"/>
      <c r="D779" s="13"/>
      <c r="E779" s="14" t="s">
        <v>28</v>
      </c>
      <c r="F779" s="16">
        <v>37632</v>
      </c>
    </row>
    <row r="780" spans="1:6" ht="15" customHeight="1">
      <c r="B780" s="11"/>
      <c r="C780" s="13"/>
      <c r="D780" s="13"/>
      <c r="E780" s="14"/>
      <c r="F780" s="16"/>
    </row>
    <row r="781" spans="1:6" ht="15" customHeight="1">
      <c r="B781" s="11"/>
      <c r="C781" s="13"/>
      <c r="D781" s="13"/>
      <c r="E781" s="14" t="s">
        <v>300</v>
      </c>
      <c r="F781" s="16">
        <f>SUM(F775+F777+F779)</f>
        <v>366748</v>
      </c>
    </row>
    <row r="782" spans="1:6" ht="15" customHeight="1">
      <c r="B782" s="11"/>
      <c r="C782" s="13"/>
      <c r="D782" s="13"/>
      <c r="E782" s="14"/>
      <c r="F782" s="16"/>
    </row>
    <row r="783" spans="1:6" ht="15" customHeight="1">
      <c r="B783" s="11"/>
      <c r="C783" s="12" t="s">
        <v>301</v>
      </c>
      <c r="D783" s="13"/>
      <c r="E783" s="14"/>
      <c r="F783" s="16"/>
    </row>
    <row r="784" spans="1:6" ht="15" customHeight="1">
      <c r="A784" s="6">
        <v>1</v>
      </c>
      <c r="B784" s="11">
        <v>2600</v>
      </c>
      <c r="C784" s="13"/>
      <c r="D784" s="13"/>
      <c r="E784" s="14" t="s">
        <v>2</v>
      </c>
      <c r="F784" s="16">
        <v>734962</v>
      </c>
    </row>
    <row r="785" spans="1:6" ht="15" customHeight="1">
      <c r="B785" s="11"/>
      <c r="C785" s="13"/>
      <c r="D785" s="13"/>
      <c r="E785" s="14"/>
      <c r="F785" s="16"/>
    </row>
    <row r="786" spans="1:6" ht="15" customHeight="1">
      <c r="A786" s="6">
        <v>2</v>
      </c>
      <c r="B786" s="11">
        <v>2605</v>
      </c>
      <c r="C786" s="13"/>
      <c r="D786" s="13"/>
      <c r="E786" s="14" t="s">
        <v>4</v>
      </c>
      <c r="F786" s="16">
        <v>416177</v>
      </c>
    </row>
    <row r="787" spans="1:6" ht="15" customHeight="1">
      <c r="B787" s="11"/>
      <c r="C787" s="13"/>
      <c r="D787" s="13"/>
      <c r="E787" s="14"/>
      <c r="F787" s="16"/>
    </row>
    <row r="788" spans="1:6" ht="15" customHeight="1">
      <c r="B788" s="11"/>
      <c r="C788" s="13"/>
      <c r="D788" s="13"/>
      <c r="E788" s="14" t="s">
        <v>302</v>
      </c>
      <c r="F788" s="16">
        <f>SUM(F784:F786)</f>
        <v>1151139</v>
      </c>
    </row>
    <row r="789" spans="1:6" ht="15" customHeight="1">
      <c r="B789" s="11"/>
      <c r="C789" s="13"/>
      <c r="D789" s="13"/>
      <c r="E789" s="14"/>
      <c r="F789" s="16"/>
    </row>
    <row r="790" spans="1:6" ht="15" customHeight="1">
      <c r="B790" s="11"/>
      <c r="C790" s="12" t="s">
        <v>303</v>
      </c>
      <c r="D790" s="13"/>
      <c r="E790" s="14"/>
      <c r="F790" s="16"/>
    </row>
    <row r="791" spans="1:6" ht="15" customHeight="1">
      <c r="A791" s="6">
        <v>1</v>
      </c>
      <c r="B791" s="11">
        <v>2610</v>
      </c>
      <c r="C791" s="13"/>
      <c r="D791" s="13"/>
      <c r="E791" s="14" t="s">
        <v>2</v>
      </c>
      <c r="F791" s="16">
        <v>283031</v>
      </c>
    </row>
    <row r="792" spans="1:6" ht="15" customHeight="1">
      <c r="B792" s="11"/>
      <c r="C792" s="13"/>
      <c r="D792" s="13"/>
      <c r="E792" s="14"/>
      <c r="F792" s="16"/>
    </row>
    <row r="793" spans="1:6" ht="15" customHeight="1">
      <c r="B793" s="11"/>
      <c r="C793" s="13"/>
      <c r="D793" s="13"/>
      <c r="E793" s="14" t="s">
        <v>304</v>
      </c>
      <c r="F793" s="16">
        <f>SUM(F791:F792)</f>
        <v>283031</v>
      </c>
    </row>
    <row r="794" spans="1:6" ht="15" customHeight="1">
      <c r="B794" s="11"/>
      <c r="C794" s="13"/>
      <c r="D794" s="13"/>
      <c r="E794" s="14"/>
      <c r="F794" s="16"/>
    </row>
    <row r="795" spans="1:6" ht="15" customHeight="1">
      <c r="B795" s="11"/>
      <c r="C795" s="12" t="s">
        <v>305</v>
      </c>
      <c r="D795" s="13"/>
      <c r="E795" s="14"/>
      <c r="F795" s="16"/>
    </row>
    <row r="796" spans="1:6" ht="15" customHeight="1">
      <c r="B796" s="11"/>
      <c r="C796" s="15" t="s">
        <v>306</v>
      </c>
      <c r="D796" s="13"/>
      <c r="E796" s="14"/>
      <c r="F796" s="16"/>
    </row>
    <row r="797" spans="1:6" ht="15" customHeight="1">
      <c r="B797" s="11"/>
      <c r="C797" s="15"/>
      <c r="D797" s="13" t="s">
        <v>7</v>
      </c>
      <c r="E797" s="14"/>
      <c r="F797" s="16"/>
    </row>
    <row r="798" spans="1:6" ht="15" customHeight="1">
      <c r="B798" s="11">
        <v>2650</v>
      </c>
      <c r="C798" s="15"/>
      <c r="D798" s="13"/>
      <c r="E798" s="14" t="s">
        <v>307</v>
      </c>
      <c r="F798" s="16">
        <v>576381092</v>
      </c>
    </row>
    <row r="799" spans="1:6" ht="15" customHeight="1">
      <c r="A799" s="6">
        <v>1</v>
      </c>
      <c r="B799" s="11"/>
      <c r="C799" s="13"/>
      <c r="D799" s="13"/>
      <c r="E799" s="14" t="s">
        <v>2</v>
      </c>
      <c r="F799" s="16">
        <f>SUM(F798)</f>
        <v>576381092</v>
      </c>
    </row>
    <row r="800" spans="1:6" ht="15" customHeight="1">
      <c r="B800" s="11"/>
      <c r="C800" s="13"/>
      <c r="D800" s="13"/>
      <c r="E800" s="14"/>
      <c r="F800" s="16"/>
    </row>
    <row r="801" spans="1:6" ht="15" customHeight="1">
      <c r="A801" s="6">
        <v>2</v>
      </c>
      <c r="B801" s="11">
        <v>2561</v>
      </c>
      <c r="C801" s="13"/>
      <c r="D801" s="13"/>
      <c r="E801" s="14" t="s">
        <v>4</v>
      </c>
      <c r="F801" s="16">
        <v>2536209</v>
      </c>
    </row>
    <row r="802" spans="1:6" ht="15" customHeight="1">
      <c r="B802" s="11"/>
      <c r="C802" s="13"/>
      <c r="D802" s="13"/>
      <c r="E802" s="14"/>
      <c r="F802" s="16"/>
    </row>
    <row r="803" spans="1:6" ht="15" customHeight="1">
      <c r="B803" s="11"/>
      <c r="C803" s="13"/>
      <c r="D803" s="13"/>
      <c r="E803" s="14" t="s">
        <v>308</v>
      </c>
      <c r="F803" s="16">
        <f>SUM(F799:F802)</f>
        <v>578917301</v>
      </c>
    </row>
    <row r="804" spans="1:6" ht="15" customHeight="1">
      <c r="B804" s="11"/>
      <c r="C804" s="13"/>
      <c r="D804" s="13"/>
      <c r="E804" s="14"/>
      <c r="F804" s="16"/>
    </row>
    <row r="805" spans="1:6" ht="15" customHeight="1">
      <c r="B805" s="11"/>
      <c r="C805" s="15" t="s">
        <v>309</v>
      </c>
      <c r="D805" s="13"/>
      <c r="E805" s="13"/>
      <c r="F805" s="16"/>
    </row>
    <row r="806" spans="1:6" ht="15" customHeight="1">
      <c r="A806" s="6">
        <v>1</v>
      </c>
      <c r="B806" s="11">
        <v>2655</v>
      </c>
      <c r="C806" s="13"/>
      <c r="D806" s="13"/>
      <c r="E806" s="14" t="s">
        <v>2</v>
      </c>
      <c r="F806" s="16">
        <v>33222193</v>
      </c>
    </row>
    <row r="807" spans="1:6" ht="15" customHeight="1">
      <c r="B807" s="11"/>
      <c r="C807" s="13"/>
      <c r="D807" s="13"/>
      <c r="E807" s="14"/>
      <c r="F807" s="16"/>
    </row>
    <row r="808" spans="1:6" ht="15" customHeight="1">
      <c r="B808" s="11"/>
      <c r="C808" s="13"/>
      <c r="D808" s="13"/>
      <c r="E808" s="14" t="s">
        <v>310</v>
      </c>
      <c r="F808" s="16">
        <f>SUM(F806:F807)</f>
        <v>33222193</v>
      </c>
    </row>
    <row r="809" spans="1:6" ht="15" customHeight="1">
      <c r="B809" s="11"/>
      <c r="C809" s="13"/>
      <c r="D809" s="13"/>
      <c r="E809" s="14"/>
      <c r="F809" s="16"/>
    </row>
    <row r="810" spans="1:6" ht="15" customHeight="1">
      <c r="B810" s="11"/>
      <c r="C810" s="15" t="s">
        <v>311</v>
      </c>
      <c r="D810" s="13"/>
      <c r="E810" s="13"/>
      <c r="F810" s="16"/>
    </row>
    <row r="811" spans="1:6" ht="15" customHeight="1">
      <c r="A811" s="6">
        <v>1</v>
      </c>
      <c r="B811" s="11">
        <v>2660</v>
      </c>
      <c r="C811" s="13"/>
      <c r="D811" s="13"/>
      <c r="E811" s="14" t="s">
        <v>2</v>
      </c>
      <c r="F811" s="16">
        <v>31223906</v>
      </c>
    </row>
    <row r="812" spans="1:6" ht="15" customHeight="1">
      <c r="B812" s="11"/>
      <c r="C812" s="13"/>
      <c r="D812" s="13"/>
      <c r="E812" s="14"/>
      <c r="F812" s="16"/>
    </row>
    <row r="813" spans="1:6" ht="15" customHeight="1">
      <c r="B813" s="11"/>
      <c r="C813" s="13"/>
      <c r="D813" s="13"/>
      <c r="E813" s="14" t="s">
        <v>312</v>
      </c>
      <c r="F813" s="16">
        <f>SUM(F811)</f>
        <v>31223906</v>
      </c>
    </row>
    <row r="814" spans="1:6" ht="15" customHeight="1">
      <c r="B814" s="11"/>
      <c r="C814" s="13"/>
      <c r="D814" s="13"/>
      <c r="E814" s="14"/>
      <c r="F814" s="16"/>
    </row>
    <row r="815" spans="1:6" ht="15" customHeight="1">
      <c r="B815" s="11"/>
      <c r="C815" s="15" t="s">
        <v>313</v>
      </c>
      <c r="D815" s="13"/>
      <c r="E815" s="13"/>
      <c r="F815" s="16"/>
    </row>
    <row r="816" spans="1:6" ht="15" customHeight="1">
      <c r="B816" s="11"/>
      <c r="C816" s="15"/>
      <c r="D816" s="13" t="s">
        <v>23</v>
      </c>
      <c r="E816" s="13"/>
      <c r="F816" s="16"/>
    </row>
    <row r="817" spans="1:6" ht="15" customHeight="1">
      <c r="B817" s="11">
        <v>2665</v>
      </c>
      <c r="C817" s="15"/>
      <c r="D817" s="13"/>
      <c r="E817" s="13" t="s">
        <v>314</v>
      </c>
      <c r="F817" s="16">
        <v>32522</v>
      </c>
    </row>
    <row r="818" spans="1:6" ht="15" customHeight="1">
      <c r="A818" s="6">
        <v>4</v>
      </c>
      <c r="B818" s="11"/>
      <c r="C818" s="13"/>
      <c r="D818" s="13"/>
      <c r="E818" s="14" t="s">
        <v>26</v>
      </c>
      <c r="F818" s="16">
        <f>SUM(F817)</f>
        <v>32522</v>
      </c>
    </row>
    <row r="819" spans="1:6" ht="15" customHeight="1">
      <c r="B819" s="11"/>
      <c r="C819" s="15"/>
      <c r="D819" s="13"/>
      <c r="E819" s="13"/>
      <c r="F819" s="16"/>
    </row>
    <row r="820" spans="1:6" ht="15" customHeight="1">
      <c r="A820" s="6">
        <v>1</v>
      </c>
      <c r="B820" s="11">
        <v>2670</v>
      </c>
      <c r="C820" s="13"/>
      <c r="D820" s="13"/>
      <c r="E820" s="14" t="s">
        <v>2</v>
      </c>
      <c r="F820" s="16">
        <v>5382400</v>
      </c>
    </row>
    <row r="821" spans="1:6" ht="15" customHeight="1">
      <c r="B821" s="11"/>
      <c r="C821" s="13"/>
      <c r="D821" s="13"/>
      <c r="E821" s="14"/>
      <c r="F821" s="16"/>
    </row>
    <row r="822" spans="1:6" ht="15" customHeight="1">
      <c r="A822" s="6">
        <v>2</v>
      </c>
      <c r="B822" s="11">
        <v>2675</v>
      </c>
      <c r="C822" s="13"/>
      <c r="D822" s="13"/>
      <c r="E822" s="14" t="s">
        <v>4</v>
      </c>
      <c r="F822" s="16">
        <v>1245852</v>
      </c>
    </row>
    <row r="823" spans="1:6" ht="15" customHeight="1">
      <c r="B823" s="11"/>
      <c r="C823" s="13"/>
      <c r="D823" s="13"/>
      <c r="E823" s="14"/>
      <c r="F823" s="16"/>
    </row>
    <row r="824" spans="1:6" ht="15" customHeight="1">
      <c r="A824" s="6">
        <v>3</v>
      </c>
      <c r="B824" s="11">
        <v>2677</v>
      </c>
      <c r="C824" s="13"/>
      <c r="D824" s="13"/>
      <c r="E824" s="14" t="s">
        <v>28</v>
      </c>
      <c r="F824" s="16">
        <v>1418</v>
      </c>
    </row>
    <row r="825" spans="1:6" ht="15" customHeight="1">
      <c r="B825" s="11"/>
      <c r="C825" s="13"/>
      <c r="D825" s="13"/>
      <c r="E825" s="14"/>
      <c r="F825" s="16"/>
    </row>
    <row r="826" spans="1:6" ht="15" customHeight="1">
      <c r="B826" s="11"/>
      <c r="C826" s="13"/>
      <c r="D826" s="13"/>
      <c r="E826" s="14" t="s">
        <v>315</v>
      </c>
      <c r="F826" s="16">
        <f>+F822+F820+F818+F824</f>
        <v>6662192</v>
      </c>
    </row>
    <row r="827" spans="1:6" ht="15" customHeight="1">
      <c r="B827" s="11"/>
      <c r="C827" s="13"/>
      <c r="D827" s="13"/>
      <c r="E827" s="14"/>
      <c r="F827" s="16"/>
    </row>
    <row r="828" spans="1:6" ht="15" customHeight="1">
      <c r="B828" s="11"/>
      <c r="C828" s="15" t="s">
        <v>316</v>
      </c>
      <c r="D828" s="13"/>
      <c r="E828" s="13"/>
      <c r="F828" s="16"/>
    </row>
    <row r="829" spans="1:6" ht="15" customHeight="1">
      <c r="A829" s="6">
        <v>1</v>
      </c>
      <c r="B829" s="11">
        <v>2680</v>
      </c>
      <c r="C829" s="13"/>
      <c r="D829" s="13"/>
      <c r="E829" s="14" t="s">
        <v>2</v>
      </c>
      <c r="F829" s="16">
        <v>33265963</v>
      </c>
    </row>
    <row r="830" spans="1:6" ht="15" customHeight="1">
      <c r="B830" s="11"/>
      <c r="C830" s="13"/>
      <c r="D830" s="13"/>
      <c r="E830" s="14"/>
      <c r="F830" s="16"/>
    </row>
    <row r="831" spans="1:6" ht="15" customHeight="1">
      <c r="B831" s="11"/>
      <c r="C831" s="13"/>
      <c r="D831" s="13"/>
      <c r="E831" s="14" t="s">
        <v>317</v>
      </c>
      <c r="F831" s="16">
        <f>SUM(F829:F830)</f>
        <v>33265963</v>
      </c>
    </row>
    <row r="832" spans="1:6" ht="15" customHeight="1">
      <c r="B832" s="11"/>
      <c r="C832" s="13"/>
      <c r="D832" s="13"/>
      <c r="E832" s="14"/>
      <c r="F832" s="16"/>
    </row>
    <row r="833" spans="1:6" ht="15" customHeight="1">
      <c r="B833" s="11"/>
      <c r="C833" s="15" t="s">
        <v>318</v>
      </c>
      <c r="D833" s="13"/>
      <c r="E833" s="13"/>
      <c r="F833" s="16"/>
    </row>
    <row r="834" spans="1:6" ht="15" customHeight="1">
      <c r="B834" s="11"/>
      <c r="C834" s="15"/>
      <c r="D834" s="13" t="s">
        <v>23</v>
      </c>
      <c r="E834" s="13"/>
      <c r="F834" s="16"/>
    </row>
    <row r="835" spans="1:6" ht="15" customHeight="1">
      <c r="B835" s="11">
        <v>2685</v>
      </c>
      <c r="C835" s="15"/>
      <c r="D835" s="13"/>
      <c r="E835" s="13" t="s">
        <v>319</v>
      </c>
      <c r="F835" s="16">
        <v>0</v>
      </c>
    </row>
    <row r="836" spans="1:6" ht="15" customHeight="1">
      <c r="A836" s="6">
        <v>4</v>
      </c>
      <c r="B836" s="11"/>
      <c r="C836" s="13"/>
      <c r="D836" s="13"/>
      <c r="E836" s="14" t="s">
        <v>26</v>
      </c>
      <c r="F836" s="16">
        <f>SUM(F835)</f>
        <v>0</v>
      </c>
    </row>
    <row r="837" spans="1:6" ht="15" customHeight="1">
      <c r="B837" s="11"/>
      <c r="C837" s="13"/>
      <c r="D837" s="13"/>
      <c r="E837" s="14"/>
      <c r="F837" s="16"/>
    </row>
    <row r="838" spans="1:6" ht="15" customHeight="1">
      <c r="A838" s="6">
        <v>1</v>
      </c>
      <c r="B838" s="11">
        <v>2690</v>
      </c>
      <c r="C838" s="13"/>
      <c r="D838" s="13"/>
      <c r="E838" s="14" t="s">
        <v>2</v>
      </c>
      <c r="F838" s="16">
        <v>10328077</v>
      </c>
    </row>
    <row r="839" spans="1:6" ht="15" customHeight="1">
      <c r="B839" s="11"/>
      <c r="C839" s="13"/>
      <c r="D839" s="13"/>
      <c r="E839" s="14"/>
      <c r="F839" s="16"/>
    </row>
    <row r="840" spans="1:6" ht="15" customHeight="1">
      <c r="A840" s="6">
        <v>2</v>
      </c>
      <c r="B840" s="11">
        <v>2695</v>
      </c>
      <c r="C840" s="13"/>
      <c r="D840" s="13"/>
      <c r="E840" s="14" t="s">
        <v>4</v>
      </c>
      <c r="F840" s="16">
        <v>1029871</v>
      </c>
    </row>
    <row r="841" spans="1:6" ht="15" customHeight="1">
      <c r="B841" s="11"/>
      <c r="C841" s="13"/>
      <c r="D841" s="13"/>
      <c r="E841" s="14"/>
      <c r="F841" s="16"/>
    </row>
    <row r="842" spans="1:6" ht="15" customHeight="1">
      <c r="A842" s="6">
        <v>3</v>
      </c>
      <c r="B842" s="11">
        <v>2700</v>
      </c>
      <c r="C842" s="13"/>
      <c r="D842" s="13"/>
      <c r="E842" s="14" t="s">
        <v>28</v>
      </c>
      <c r="F842" s="16">
        <v>194836</v>
      </c>
    </row>
    <row r="843" spans="1:6" ht="15" customHeight="1">
      <c r="B843" s="11"/>
      <c r="C843" s="13"/>
      <c r="D843" s="13"/>
      <c r="E843" s="14"/>
      <c r="F843" s="16"/>
    </row>
    <row r="844" spans="1:6" ht="15" customHeight="1">
      <c r="B844" s="11"/>
      <c r="C844" s="13"/>
      <c r="D844" s="13"/>
      <c r="E844" s="14" t="s">
        <v>320</v>
      </c>
      <c r="F844" s="16">
        <f>SUM(F838+F840+F842+F836)</f>
        <v>11552784</v>
      </c>
    </row>
    <row r="845" spans="1:6" ht="15" customHeight="1">
      <c r="B845" s="11"/>
      <c r="C845" s="13"/>
      <c r="D845" s="13"/>
      <c r="E845" s="14"/>
      <c r="F845" s="16"/>
    </row>
    <row r="846" spans="1:6" ht="15" customHeight="1">
      <c r="B846" s="11"/>
      <c r="C846" s="15" t="s">
        <v>321</v>
      </c>
      <c r="D846" s="13"/>
      <c r="E846" s="13"/>
      <c r="F846" s="16"/>
    </row>
    <row r="847" spans="1:6" ht="15" customHeight="1">
      <c r="A847" s="6">
        <v>1</v>
      </c>
      <c r="B847" s="11">
        <v>2705</v>
      </c>
      <c r="C847" s="13"/>
      <c r="D847" s="13"/>
      <c r="E847" s="14" t="s">
        <v>2</v>
      </c>
      <c r="F847" s="16">
        <v>2155000</v>
      </c>
    </row>
    <row r="848" spans="1:6" ht="15" customHeight="1">
      <c r="B848" s="11"/>
      <c r="C848" s="13"/>
      <c r="D848" s="13"/>
      <c r="E848" s="14"/>
      <c r="F848" s="16"/>
    </row>
    <row r="849" spans="1:6" ht="15" customHeight="1">
      <c r="B849" s="11"/>
      <c r="C849" s="13"/>
      <c r="D849" s="13"/>
      <c r="E849" s="14" t="s">
        <v>322</v>
      </c>
      <c r="F849" s="16">
        <f>SUM(F847:F848)</f>
        <v>2155000</v>
      </c>
    </row>
    <row r="850" spans="1:6" ht="15" customHeight="1">
      <c r="B850" s="11"/>
      <c r="C850" s="13"/>
      <c r="D850" s="13"/>
      <c r="E850" s="14"/>
      <c r="F850" s="16"/>
    </row>
    <row r="851" spans="1:6" ht="15" customHeight="1">
      <c r="A851" s="10"/>
      <c r="B851" s="26"/>
      <c r="C851" s="17" t="s">
        <v>323</v>
      </c>
      <c r="D851" s="17"/>
      <c r="E851" s="15"/>
      <c r="F851" s="16"/>
    </row>
    <row r="852" spans="1:6" ht="15" customHeight="1">
      <c r="B852" s="11"/>
      <c r="C852" s="13"/>
      <c r="D852" s="13"/>
      <c r="E852" s="14" t="s">
        <v>23</v>
      </c>
      <c r="F852" s="16"/>
    </row>
    <row r="853" spans="1:6" ht="15" customHeight="1">
      <c r="B853" s="11">
        <v>2709</v>
      </c>
      <c r="C853" s="13"/>
      <c r="D853" s="13"/>
      <c r="E853" s="14" t="s">
        <v>324</v>
      </c>
      <c r="F853" s="16">
        <v>9600</v>
      </c>
    </row>
    <row r="854" spans="1:6" ht="15" customHeight="1">
      <c r="B854" s="11">
        <v>2710</v>
      </c>
      <c r="C854" s="13"/>
      <c r="D854" s="13"/>
      <c r="E854" s="13" t="s">
        <v>325</v>
      </c>
      <c r="F854" s="16">
        <v>216617</v>
      </c>
    </row>
    <row r="855" spans="1:6" ht="15" customHeight="1">
      <c r="B855" s="11">
        <v>2708</v>
      </c>
      <c r="C855" s="13"/>
      <c r="D855" s="13"/>
      <c r="E855" s="14" t="s">
        <v>326</v>
      </c>
      <c r="F855" s="16">
        <v>10160</v>
      </c>
    </row>
    <row r="856" spans="1:6" ht="15" customHeight="1">
      <c r="B856" s="11">
        <v>2715</v>
      </c>
      <c r="C856" s="13"/>
      <c r="D856" s="13"/>
      <c r="E856" s="14" t="s">
        <v>327</v>
      </c>
      <c r="F856" s="16">
        <v>77546</v>
      </c>
    </row>
    <row r="857" spans="1:6" ht="15" customHeight="1">
      <c r="B857" s="11">
        <v>2716</v>
      </c>
      <c r="C857" s="13"/>
      <c r="D857" s="13"/>
      <c r="E857" s="14" t="s">
        <v>328</v>
      </c>
      <c r="F857" s="16">
        <v>206013</v>
      </c>
    </row>
    <row r="858" spans="1:6" ht="15" customHeight="1">
      <c r="A858" s="6">
        <v>4</v>
      </c>
      <c r="B858" s="11"/>
      <c r="C858" s="13"/>
      <c r="D858" s="13"/>
      <c r="E858" s="13" t="s">
        <v>329</v>
      </c>
      <c r="F858" s="16">
        <f>SUM(F853:F857)</f>
        <v>519936</v>
      </c>
    </row>
    <row r="859" spans="1:6" ht="15" customHeight="1">
      <c r="B859" s="11"/>
      <c r="C859" s="13"/>
      <c r="D859" s="13"/>
      <c r="E859" s="13"/>
      <c r="F859" s="16"/>
    </row>
    <row r="860" spans="1:6" ht="15" customHeight="1">
      <c r="A860" s="6">
        <v>1</v>
      </c>
      <c r="B860" s="11">
        <v>2720</v>
      </c>
      <c r="C860" s="13"/>
      <c r="D860" s="13"/>
      <c r="E860" s="13" t="s">
        <v>330</v>
      </c>
      <c r="F860" s="16">
        <v>15162663</v>
      </c>
    </row>
    <row r="861" spans="1:6" ht="15" customHeight="1">
      <c r="B861" s="11"/>
      <c r="C861" s="13"/>
      <c r="D861" s="13"/>
      <c r="E861" s="13"/>
      <c r="F861" s="16"/>
    </row>
    <row r="862" spans="1:6" ht="15" customHeight="1">
      <c r="A862" s="6">
        <v>2</v>
      </c>
      <c r="B862" s="11">
        <v>2725</v>
      </c>
      <c r="C862" s="13"/>
      <c r="D862" s="13"/>
      <c r="E862" s="13" t="s">
        <v>331</v>
      </c>
      <c r="F862" s="16">
        <v>128942499</v>
      </c>
    </row>
    <row r="863" spans="1:6" ht="15" customHeight="1">
      <c r="B863" s="11"/>
      <c r="C863" s="13"/>
      <c r="D863" s="13"/>
      <c r="E863" s="13"/>
      <c r="F863" s="16"/>
    </row>
    <row r="864" spans="1:6" ht="15" customHeight="1">
      <c r="A864" s="6">
        <v>3</v>
      </c>
      <c r="B864" s="11">
        <v>2730</v>
      </c>
      <c r="C864" s="13"/>
      <c r="D864" s="13"/>
      <c r="E864" s="14" t="s">
        <v>28</v>
      </c>
      <c r="F864" s="16">
        <v>1045897</v>
      </c>
    </row>
    <row r="865" spans="1:6" ht="15" customHeight="1">
      <c r="B865" s="11"/>
      <c r="C865" s="13"/>
      <c r="D865" s="13"/>
      <c r="E865" s="14"/>
      <c r="F865" s="16"/>
    </row>
    <row r="866" spans="1:6" ht="15" customHeight="1">
      <c r="B866" s="11"/>
      <c r="C866" s="13"/>
      <c r="D866" s="13"/>
      <c r="E866" s="14" t="s">
        <v>332</v>
      </c>
      <c r="F866" s="16">
        <f>SUM(F864+F862+F860+F858)</f>
        <v>145670995</v>
      </c>
    </row>
    <row r="867" spans="1:6" ht="15" customHeight="1">
      <c r="B867" s="11"/>
      <c r="C867" s="13"/>
      <c r="D867" s="13"/>
      <c r="E867" s="14"/>
      <c r="F867" s="16"/>
    </row>
    <row r="868" spans="1:6" ht="15" customHeight="1">
      <c r="B868" s="11"/>
      <c r="C868" s="13"/>
      <c r="D868" s="13"/>
      <c r="E868" s="18" t="s">
        <v>112</v>
      </c>
      <c r="F868" s="16">
        <f>SUM(F860)+F847+F838+F829+F820+F811+F806+F799</f>
        <v>707121294</v>
      </c>
    </row>
    <row r="869" spans="1:6" ht="15" customHeight="1">
      <c r="B869" s="11"/>
      <c r="C869" s="13"/>
      <c r="D869" s="13"/>
      <c r="E869" s="14" t="s">
        <v>333</v>
      </c>
      <c r="F869" s="16">
        <f>SUM(F866+F849+F844+F831+F826+F813+F808+F803)</f>
        <v>842670334</v>
      </c>
    </row>
    <row r="870" spans="1:6" ht="15" customHeight="1">
      <c r="B870" s="11"/>
      <c r="C870" s="13"/>
      <c r="D870" s="13"/>
      <c r="E870" s="14"/>
      <c r="F870" s="16"/>
    </row>
    <row r="871" spans="1:6" ht="15" customHeight="1">
      <c r="B871" s="11"/>
      <c r="C871" s="12" t="s">
        <v>334</v>
      </c>
      <c r="D871" s="13"/>
      <c r="E871" s="13"/>
      <c r="F871" s="16"/>
    </row>
    <row r="872" spans="1:6" ht="15" customHeight="1">
      <c r="A872" s="6">
        <v>1</v>
      </c>
      <c r="B872" s="11">
        <v>2800</v>
      </c>
      <c r="C872" s="13"/>
      <c r="D872" s="13"/>
      <c r="E872" s="14" t="s">
        <v>151</v>
      </c>
      <c r="F872" s="16">
        <v>174473598</v>
      </c>
    </row>
    <row r="873" spans="1:6" ht="15" customHeight="1">
      <c r="B873" s="11"/>
      <c r="C873" s="13"/>
      <c r="D873" s="13"/>
      <c r="E873" s="14"/>
      <c r="F873" s="16"/>
    </row>
    <row r="874" spans="1:6" ht="15" customHeight="1">
      <c r="A874" s="6">
        <v>2</v>
      </c>
      <c r="B874" s="11">
        <v>2805</v>
      </c>
      <c r="C874" s="13"/>
      <c r="D874" s="13"/>
      <c r="E874" s="14" t="s">
        <v>335</v>
      </c>
      <c r="F874" s="16">
        <v>2320764</v>
      </c>
    </row>
    <row r="875" spans="1:6" ht="15" customHeight="1">
      <c r="B875" s="11"/>
      <c r="C875" s="13"/>
      <c r="D875" s="13"/>
      <c r="E875" s="14"/>
      <c r="F875" s="16"/>
    </row>
    <row r="876" spans="1:6" ht="15" customHeight="1">
      <c r="B876" s="11"/>
      <c r="C876" s="13"/>
      <c r="D876" s="14" t="s">
        <v>23</v>
      </c>
      <c r="E876" s="13"/>
      <c r="F876" s="16"/>
    </row>
    <row r="877" spans="1:6" ht="15" customHeight="1">
      <c r="B877" s="11">
        <v>2810</v>
      </c>
      <c r="C877" s="13"/>
      <c r="D877" s="13"/>
      <c r="E877" s="14" t="s">
        <v>336</v>
      </c>
      <c r="F877" s="16">
        <v>341648670</v>
      </c>
    </row>
    <row r="878" spans="1:6" ht="15" customHeight="1">
      <c r="B878" s="11">
        <v>2815</v>
      </c>
      <c r="C878" s="13"/>
      <c r="D878" s="13"/>
      <c r="E878" s="14" t="s">
        <v>337</v>
      </c>
      <c r="F878" s="16">
        <v>4744473</v>
      </c>
    </row>
    <row r="879" spans="1:6" ht="15" customHeight="1">
      <c r="B879" s="11">
        <v>2816</v>
      </c>
      <c r="C879" s="13"/>
      <c r="D879" s="13"/>
      <c r="E879" s="14" t="s">
        <v>338</v>
      </c>
      <c r="F879" s="16">
        <v>3800000</v>
      </c>
    </row>
    <row r="880" spans="1:6" ht="15" customHeight="1">
      <c r="B880" s="11">
        <v>2820</v>
      </c>
      <c r="C880" s="13"/>
      <c r="D880" s="13"/>
      <c r="E880" s="14" t="s">
        <v>339</v>
      </c>
      <c r="F880" s="16">
        <v>14783910</v>
      </c>
    </row>
    <row r="881" spans="1:6" ht="15" customHeight="1">
      <c r="B881" s="11">
        <v>2825</v>
      </c>
      <c r="C881" s="13"/>
      <c r="D881" s="13"/>
      <c r="E881" s="14" t="s">
        <v>340</v>
      </c>
      <c r="F881" s="16">
        <v>346851</v>
      </c>
    </row>
    <row r="882" spans="1:6" ht="15" customHeight="1">
      <c r="B882" s="11">
        <v>2830</v>
      </c>
      <c r="C882" s="13"/>
      <c r="D882" s="13"/>
      <c r="E882" s="14" t="s">
        <v>341</v>
      </c>
      <c r="F882" s="16">
        <v>1353078</v>
      </c>
    </row>
    <row r="883" spans="1:6" ht="15" customHeight="1">
      <c r="B883" s="11">
        <v>2835</v>
      </c>
      <c r="C883" s="13"/>
      <c r="D883" s="13"/>
      <c r="E883" s="14" t="s">
        <v>342</v>
      </c>
      <c r="F883" s="27">
        <v>20000</v>
      </c>
    </row>
    <row r="884" spans="1:6" ht="15" customHeight="1">
      <c r="B884" s="11">
        <v>2840</v>
      </c>
      <c r="C884" s="13"/>
      <c r="D884" s="13"/>
      <c r="E884" s="14" t="s">
        <v>343</v>
      </c>
      <c r="F884" s="27">
        <f>1139853+50000</f>
        <v>1189853</v>
      </c>
    </row>
    <row r="885" spans="1:6" ht="15" customHeight="1">
      <c r="B885" s="11">
        <v>2845</v>
      </c>
      <c r="C885" s="13"/>
      <c r="D885" s="13"/>
      <c r="E885" s="14" t="s">
        <v>344</v>
      </c>
      <c r="F885" s="27">
        <v>1200000</v>
      </c>
    </row>
    <row r="886" spans="1:6" ht="15" customHeight="1">
      <c r="B886" s="11">
        <v>2850</v>
      </c>
      <c r="C886" s="13"/>
      <c r="D886" s="13"/>
      <c r="E886" s="14" t="s">
        <v>345</v>
      </c>
      <c r="F886" s="27">
        <v>20000</v>
      </c>
    </row>
    <row r="887" spans="1:6" ht="15" customHeight="1">
      <c r="A887" s="6">
        <v>4</v>
      </c>
      <c r="B887" s="11"/>
      <c r="C887" s="13"/>
      <c r="D887" s="13"/>
      <c r="E887" s="14" t="s">
        <v>26</v>
      </c>
      <c r="F887" s="16">
        <f>SUM(F877:F886)</f>
        <v>369106835</v>
      </c>
    </row>
    <row r="888" spans="1:6" ht="15" customHeight="1">
      <c r="B888" s="11"/>
      <c r="C888" s="13"/>
      <c r="D888" s="13"/>
      <c r="E888" s="14"/>
      <c r="F888" s="16"/>
    </row>
    <row r="889" spans="1:6" ht="15" customHeight="1">
      <c r="B889" s="11"/>
      <c r="C889" s="13"/>
      <c r="D889" s="13"/>
      <c r="E889" s="14" t="s">
        <v>346</v>
      </c>
      <c r="F889" s="16">
        <f>SUM(F887)+F874+F872</f>
        <v>545901197</v>
      </c>
    </row>
    <row r="890" spans="1:6" ht="15" customHeight="1">
      <c r="B890" s="11"/>
      <c r="C890" s="13"/>
      <c r="D890" s="13"/>
      <c r="E890" s="14"/>
      <c r="F890" s="16"/>
    </row>
    <row r="891" spans="1:6" ht="15" customHeight="1">
      <c r="B891" s="11"/>
      <c r="C891" s="12" t="s">
        <v>347</v>
      </c>
      <c r="D891" s="13"/>
      <c r="E891" s="13"/>
      <c r="F891" s="16"/>
    </row>
    <row r="892" spans="1:6" ht="15" customHeight="1">
      <c r="B892" s="11"/>
      <c r="C892" s="12"/>
      <c r="D892" s="13" t="s">
        <v>27</v>
      </c>
      <c r="E892" s="13"/>
      <c r="F892" s="16"/>
    </row>
    <row r="893" spans="1:6" ht="15" customHeight="1">
      <c r="B893" s="11">
        <v>2875</v>
      </c>
      <c r="C893" s="12"/>
      <c r="D893" s="13"/>
      <c r="E893" s="13" t="s">
        <v>348</v>
      </c>
      <c r="F893" s="16">
        <v>364274</v>
      </c>
    </row>
    <row r="894" spans="1:6" ht="15" customHeight="1">
      <c r="B894" s="11">
        <v>2876</v>
      </c>
      <c r="C894" s="12"/>
      <c r="D894" s="13"/>
      <c r="E894" s="13" t="s">
        <v>349</v>
      </c>
      <c r="F894" s="16">
        <v>1918126</v>
      </c>
    </row>
    <row r="895" spans="1:6" ht="15" customHeight="1">
      <c r="A895" s="6">
        <v>1</v>
      </c>
      <c r="B895" s="11"/>
      <c r="C895" s="13"/>
      <c r="D895" s="13"/>
      <c r="E895" s="14" t="s">
        <v>2</v>
      </c>
      <c r="F895" s="16">
        <f>SUM(F893:F894)</f>
        <v>2282400</v>
      </c>
    </row>
    <row r="896" spans="1:6" ht="15" customHeight="1">
      <c r="B896" s="11"/>
      <c r="C896" s="13"/>
      <c r="D896" s="13"/>
      <c r="E896" s="14"/>
      <c r="F896" s="16"/>
    </row>
    <row r="897" spans="1:6" ht="15" customHeight="1">
      <c r="A897" s="6">
        <v>2</v>
      </c>
      <c r="B897" s="11">
        <v>2885</v>
      </c>
      <c r="C897" s="13"/>
      <c r="D897" s="13"/>
      <c r="E897" s="14" t="s">
        <v>4</v>
      </c>
      <c r="F897" s="16">
        <v>596641</v>
      </c>
    </row>
    <row r="898" spans="1:6" ht="15" customHeight="1">
      <c r="B898" s="11"/>
      <c r="C898" s="13"/>
      <c r="D898" s="13"/>
      <c r="E898" s="14"/>
      <c r="F898" s="16"/>
    </row>
    <row r="899" spans="1:6" ht="15" customHeight="1">
      <c r="A899" s="6">
        <v>3</v>
      </c>
      <c r="B899" s="11">
        <v>2890</v>
      </c>
      <c r="C899" s="13"/>
      <c r="D899" s="13"/>
      <c r="E899" s="14" t="s">
        <v>28</v>
      </c>
      <c r="F899" s="16">
        <v>255340</v>
      </c>
    </row>
    <row r="900" spans="1:6" ht="15" customHeight="1">
      <c r="B900" s="11"/>
      <c r="C900" s="13"/>
      <c r="D900" s="13"/>
      <c r="E900" s="14"/>
      <c r="F900" s="16"/>
    </row>
    <row r="901" spans="1:6" ht="15" customHeight="1">
      <c r="B901" s="11"/>
      <c r="C901" s="13"/>
      <c r="D901" s="13"/>
      <c r="E901" s="14" t="s">
        <v>350</v>
      </c>
      <c r="F901" s="16">
        <f>SUM(F895+F897+F899)</f>
        <v>3134381</v>
      </c>
    </row>
    <row r="902" spans="1:6" ht="15" customHeight="1">
      <c r="B902" s="11"/>
      <c r="C902" s="13"/>
      <c r="D902" s="13"/>
      <c r="E902" s="14"/>
      <c r="F902" s="16"/>
    </row>
    <row r="903" spans="1:6" ht="15" customHeight="1">
      <c r="B903" s="11"/>
      <c r="C903" s="12" t="s">
        <v>351</v>
      </c>
      <c r="D903" s="13"/>
      <c r="E903" s="13"/>
      <c r="F903" s="16"/>
    </row>
    <row r="904" spans="1:6" ht="15" customHeight="1">
      <c r="B904" s="11"/>
      <c r="C904" s="15" t="s">
        <v>23</v>
      </c>
      <c r="D904" s="13"/>
      <c r="E904" s="13"/>
      <c r="F904" s="16"/>
    </row>
    <row r="905" spans="1:6" ht="15" customHeight="1">
      <c r="B905" s="11">
        <v>2895</v>
      </c>
      <c r="C905" s="13"/>
      <c r="D905" s="13"/>
      <c r="E905" s="14" t="s">
        <v>352</v>
      </c>
      <c r="F905" s="16">
        <v>129737</v>
      </c>
    </row>
    <row r="906" spans="1:6" ht="15" customHeight="1">
      <c r="B906" s="11">
        <v>2905</v>
      </c>
      <c r="C906" s="13"/>
      <c r="D906" s="13"/>
      <c r="E906" s="14" t="s">
        <v>353</v>
      </c>
      <c r="F906" s="16">
        <v>0</v>
      </c>
    </row>
    <row r="907" spans="1:6" ht="15" customHeight="1">
      <c r="B907" s="11">
        <v>2900</v>
      </c>
      <c r="C907" s="13"/>
      <c r="D907" s="13"/>
      <c r="E907" s="14" t="s">
        <v>354</v>
      </c>
      <c r="F907" s="16">
        <v>21400</v>
      </c>
    </row>
    <row r="908" spans="1:6" ht="15" customHeight="1">
      <c r="A908" s="6">
        <v>4</v>
      </c>
      <c r="B908" s="11"/>
      <c r="C908" s="13"/>
      <c r="D908" s="13"/>
      <c r="E908" s="14" t="s">
        <v>26</v>
      </c>
      <c r="F908" s="16">
        <f>SUM(F905:F907)</f>
        <v>151137</v>
      </c>
    </row>
    <row r="909" spans="1:6" ht="15" customHeight="1">
      <c r="B909" s="11"/>
      <c r="C909" s="13"/>
      <c r="D909" s="13"/>
      <c r="E909" s="14"/>
      <c r="F909" s="16"/>
    </row>
    <row r="910" spans="1:6" ht="15" customHeight="1">
      <c r="A910" s="6">
        <v>1</v>
      </c>
      <c r="B910" s="11">
        <v>2910</v>
      </c>
      <c r="C910" s="13"/>
      <c r="D910" s="13"/>
      <c r="E910" s="14" t="s">
        <v>2</v>
      </c>
      <c r="F910" s="16">
        <v>644995</v>
      </c>
    </row>
    <row r="911" spans="1:6" ht="15" customHeight="1">
      <c r="B911" s="11"/>
      <c r="C911" s="13"/>
      <c r="D911" s="13"/>
      <c r="E911" s="14"/>
      <c r="F911" s="16"/>
    </row>
    <row r="912" spans="1:6" ht="15" customHeight="1">
      <c r="A912" s="6">
        <v>2</v>
      </c>
      <c r="B912" s="11">
        <v>2915</v>
      </c>
      <c r="C912" s="13"/>
      <c r="D912" s="13"/>
      <c r="E912" s="14" t="s">
        <v>4</v>
      </c>
      <c r="F912" s="16">
        <v>703000</v>
      </c>
    </row>
    <row r="913" spans="1:6" ht="15" customHeight="1">
      <c r="B913" s="11"/>
      <c r="C913" s="13"/>
      <c r="D913" s="13"/>
      <c r="E913" s="14"/>
      <c r="F913" s="16"/>
    </row>
    <row r="914" spans="1:6" ht="15" customHeight="1">
      <c r="B914" s="11"/>
      <c r="C914" s="13"/>
      <c r="D914" s="13"/>
      <c r="E914" s="14" t="s">
        <v>355</v>
      </c>
      <c r="F914" s="16">
        <f>+F912+F910+F908</f>
        <v>1499132</v>
      </c>
    </row>
    <row r="915" spans="1:6" ht="15" customHeight="1">
      <c r="B915" s="11"/>
      <c r="C915" s="13"/>
      <c r="D915" s="13"/>
      <c r="E915" s="14"/>
      <c r="F915" s="16"/>
    </row>
    <row r="916" spans="1:6" ht="15" customHeight="1">
      <c r="B916" s="11"/>
      <c r="C916" s="12" t="s">
        <v>356</v>
      </c>
      <c r="D916" s="13"/>
      <c r="E916" s="13"/>
      <c r="F916" s="16"/>
    </row>
    <row r="917" spans="1:6" ht="15" customHeight="1">
      <c r="B917" s="11"/>
      <c r="C917" s="12"/>
      <c r="D917" s="13" t="s">
        <v>27</v>
      </c>
      <c r="E917" s="13"/>
      <c r="F917" s="16"/>
    </row>
    <row r="918" spans="1:6" ht="15" customHeight="1">
      <c r="B918" s="11">
        <v>2925</v>
      </c>
      <c r="C918" s="12"/>
      <c r="D918" s="13"/>
      <c r="E918" s="13" t="s">
        <v>357</v>
      </c>
      <c r="F918" s="16">
        <v>5897372</v>
      </c>
    </row>
    <row r="919" spans="1:6" ht="15" customHeight="1">
      <c r="B919" s="11">
        <v>2930</v>
      </c>
      <c r="C919" s="12"/>
      <c r="D919" s="13"/>
      <c r="E919" s="13" t="s">
        <v>358</v>
      </c>
      <c r="F919" s="16">
        <v>1036710</v>
      </c>
    </row>
    <row r="920" spans="1:6" ht="15" customHeight="1">
      <c r="A920" s="6">
        <v>1</v>
      </c>
      <c r="B920" s="11"/>
      <c r="C920" s="13"/>
      <c r="D920" s="13"/>
      <c r="E920" s="14" t="s">
        <v>151</v>
      </c>
      <c r="F920" s="16">
        <f>SUM(F918:F919)</f>
        <v>6934082</v>
      </c>
    </row>
    <row r="921" spans="1:6" ht="15" customHeight="1">
      <c r="B921" s="11"/>
      <c r="C921" s="13"/>
      <c r="D921" s="13"/>
      <c r="E921" s="14"/>
      <c r="F921" s="16"/>
    </row>
    <row r="922" spans="1:6" ht="15" customHeight="1">
      <c r="A922" s="6">
        <v>2</v>
      </c>
      <c r="B922" s="11">
        <v>2935</v>
      </c>
      <c r="C922" s="13"/>
      <c r="D922" s="13"/>
      <c r="E922" s="14" t="s">
        <v>335</v>
      </c>
      <c r="F922" s="16">
        <v>6964350</v>
      </c>
    </row>
    <row r="923" spans="1:6" ht="15" customHeight="1">
      <c r="B923" s="11"/>
      <c r="C923" s="13"/>
      <c r="D923" s="13"/>
      <c r="E923" s="14"/>
      <c r="F923" s="16"/>
    </row>
    <row r="924" spans="1:6" ht="15" customHeight="1">
      <c r="B924" s="11"/>
      <c r="C924" s="13"/>
      <c r="D924" s="14" t="s">
        <v>23</v>
      </c>
      <c r="E924" s="13"/>
      <c r="F924" s="16"/>
    </row>
    <row r="925" spans="1:6" ht="15" customHeight="1">
      <c r="B925" s="11">
        <v>2920</v>
      </c>
      <c r="C925" s="13"/>
      <c r="D925" s="13"/>
      <c r="E925" s="14" t="s">
        <v>359</v>
      </c>
      <c r="F925" s="16">
        <v>1396709</v>
      </c>
    </row>
    <row r="926" spans="1:6" ht="15" customHeight="1">
      <c r="A926" s="6">
        <v>4</v>
      </c>
      <c r="B926" s="11"/>
      <c r="C926" s="13"/>
      <c r="D926" s="13"/>
      <c r="E926" s="14" t="s">
        <v>26</v>
      </c>
      <c r="F926" s="16">
        <f>SUM(F925)</f>
        <v>1396709</v>
      </c>
    </row>
    <row r="927" spans="1:6" ht="15" customHeight="1">
      <c r="B927" s="11"/>
      <c r="C927" s="13"/>
      <c r="D927" s="13"/>
      <c r="E927" s="14"/>
      <c r="F927" s="16"/>
    </row>
    <row r="928" spans="1:6" ht="15" customHeight="1">
      <c r="B928" s="11"/>
      <c r="C928" s="13"/>
      <c r="D928" s="13"/>
      <c r="E928" s="14" t="s">
        <v>360</v>
      </c>
      <c r="F928" s="16">
        <f>SUM(F920+F922+F926)</f>
        <v>15295141</v>
      </c>
    </row>
    <row r="929" spans="1:6" ht="15" customHeight="1">
      <c r="B929" s="11"/>
      <c r="C929" s="13"/>
      <c r="D929" s="13"/>
      <c r="E929" s="14"/>
      <c r="F929" s="16"/>
    </row>
    <row r="930" spans="1:6" ht="15" customHeight="1">
      <c r="B930" s="11"/>
      <c r="C930" s="12" t="s">
        <v>361</v>
      </c>
      <c r="D930" s="13"/>
      <c r="E930" s="13"/>
      <c r="F930" s="16"/>
    </row>
    <row r="931" spans="1:6" ht="15" customHeight="1">
      <c r="B931" s="11"/>
      <c r="C931" s="12"/>
      <c r="D931" s="13"/>
      <c r="E931" s="13"/>
      <c r="F931" s="16"/>
    </row>
    <row r="932" spans="1:6" ht="15" customHeight="1">
      <c r="A932" s="6">
        <v>1</v>
      </c>
      <c r="B932" s="11">
        <v>2940</v>
      </c>
      <c r="C932" s="13"/>
      <c r="D932" s="13"/>
      <c r="E932" s="14" t="s">
        <v>2</v>
      </c>
      <c r="F932" s="16">
        <v>784059</v>
      </c>
    </row>
    <row r="933" spans="1:6" ht="15" customHeight="1">
      <c r="B933" s="11"/>
      <c r="C933" s="13"/>
      <c r="D933" s="13"/>
      <c r="E933" s="14"/>
      <c r="F933" s="16"/>
    </row>
    <row r="934" spans="1:6" ht="15" customHeight="1">
      <c r="A934" s="6">
        <v>2</v>
      </c>
      <c r="B934" s="11">
        <v>2945</v>
      </c>
      <c r="C934" s="13"/>
      <c r="D934" s="13"/>
      <c r="E934" s="14" t="s">
        <v>4</v>
      </c>
      <c r="F934" s="16">
        <f>531953+2581</f>
        <v>534534</v>
      </c>
    </row>
    <row r="935" spans="1:6" ht="15" customHeight="1">
      <c r="B935" s="11"/>
      <c r="C935" s="13"/>
      <c r="D935" s="13"/>
      <c r="E935" s="14"/>
      <c r="F935" s="16"/>
    </row>
    <row r="936" spans="1:6" ht="15" customHeight="1">
      <c r="A936" s="6">
        <v>3</v>
      </c>
      <c r="B936" s="11">
        <v>2950</v>
      </c>
      <c r="C936" s="13"/>
      <c r="D936" s="13"/>
      <c r="E936" s="14" t="s">
        <v>28</v>
      </c>
      <c r="F936" s="16">
        <v>327504</v>
      </c>
    </row>
    <row r="937" spans="1:6" ht="15" customHeight="1">
      <c r="B937" s="11"/>
      <c r="C937" s="13"/>
      <c r="D937" s="13"/>
      <c r="E937" s="14"/>
      <c r="F937" s="16"/>
    </row>
    <row r="938" spans="1:6" ht="15" customHeight="1">
      <c r="B938" s="11"/>
      <c r="C938" s="13"/>
      <c r="D938" s="13"/>
      <c r="E938" s="14" t="s">
        <v>362</v>
      </c>
      <c r="F938" s="16">
        <f>SUM(F936)+F934+F932</f>
        <v>1646097</v>
      </c>
    </row>
    <row r="939" spans="1:6" ht="15" customHeight="1">
      <c r="B939" s="11"/>
      <c r="C939" s="13"/>
      <c r="D939" s="13"/>
      <c r="E939" s="14"/>
      <c r="F939" s="16"/>
    </row>
    <row r="940" spans="1:6" ht="15" customHeight="1">
      <c r="B940" s="11"/>
      <c r="C940" s="12" t="s">
        <v>363</v>
      </c>
      <c r="D940" s="13"/>
      <c r="E940" s="13"/>
      <c r="F940" s="16"/>
    </row>
    <row r="941" spans="1:6" ht="15" customHeight="1">
      <c r="B941" s="11"/>
      <c r="C941" s="13"/>
      <c r="D941" s="14" t="s">
        <v>23</v>
      </c>
      <c r="E941" s="13"/>
      <c r="F941" s="16"/>
    </row>
    <row r="942" spans="1:6" ht="15" customHeight="1">
      <c r="B942" s="11">
        <v>2970</v>
      </c>
      <c r="C942" s="13"/>
      <c r="D942" s="13"/>
      <c r="E942" s="14" t="s">
        <v>364</v>
      </c>
      <c r="F942" s="16">
        <v>567123</v>
      </c>
    </row>
    <row r="943" spans="1:6" ht="15" customHeight="1">
      <c r="B943" s="11">
        <v>2975</v>
      </c>
      <c r="C943" s="13"/>
      <c r="D943" s="13"/>
      <c r="E943" s="14" t="s">
        <v>365</v>
      </c>
      <c r="F943" s="16">
        <v>0</v>
      </c>
    </row>
    <row r="944" spans="1:6" ht="15" customHeight="1">
      <c r="A944" s="6">
        <v>4</v>
      </c>
      <c r="B944" s="11"/>
      <c r="C944" s="13"/>
      <c r="D944" s="13"/>
      <c r="E944" s="14" t="s">
        <v>26</v>
      </c>
      <c r="F944" s="16">
        <f>SUM(F942:F943)</f>
        <v>567123</v>
      </c>
    </row>
    <row r="945" spans="1:6" ht="15" customHeight="1">
      <c r="B945" s="11"/>
      <c r="C945" s="13"/>
      <c r="D945" s="13"/>
      <c r="E945" s="14"/>
      <c r="F945" s="16"/>
    </row>
    <row r="946" spans="1:6" ht="15" customHeight="1">
      <c r="A946" s="6">
        <v>1</v>
      </c>
      <c r="B946" s="11">
        <v>2980</v>
      </c>
      <c r="C946" s="13"/>
      <c r="D946" s="13"/>
      <c r="E946" s="14" t="s">
        <v>2</v>
      </c>
      <c r="F946" s="16">
        <v>1267438</v>
      </c>
    </row>
    <row r="947" spans="1:6" ht="15" customHeight="1">
      <c r="B947" s="11"/>
      <c r="C947" s="13"/>
      <c r="D947" s="13"/>
      <c r="E947" s="14"/>
      <c r="F947" s="16"/>
    </row>
    <row r="948" spans="1:6" ht="15" customHeight="1">
      <c r="A948" s="6">
        <v>2</v>
      </c>
      <c r="B948" s="11">
        <v>2985</v>
      </c>
      <c r="C948" s="13"/>
      <c r="D948" s="13"/>
      <c r="E948" s="14" t="s">
        <v>4</v>
      </c>
      <c r="F948" s="16">
        <v>350000</v>
      </c>
    </row>
    <row r="949" spans="1:6" ht="15" customHeight="1">
      <c r="B949" s="11"/>
      <c r="C949" s="13"/>
      <c r="D949" s="13"/>
      <c r="E949" s="14"/>
      <c r="F949" s="16"/>
    </row>
    <row r="950" spans="1:6" ht="15" customHeight="1">
      <c r="B950" s="11"/>
      <c r="C950" s="13"/>
      <c r="D950" s="13"/>
      <c r="E950" s="14" t="s">
        <v>366</v>
      </c>
      <c r="F950" s="16">
        <f>SUM(F944+F946+F948)</f>
        <v>2184561</v>
      </c>
    </row>
    <row r="951" spans="1:6" ht="15" customHeight="1">
      <c r="B951" s="11"/>
      <c r="C951" s="13"/>
      <c r="D951" s="13"/>
      <c r="E951" s="14"/>
      <c r="F951" s="16"/>
    </row>
    <row r="952" spans="1:6" ht="15" customHeight="1">
      <c r="B952" s="11"/>
      <c r="C952" s="12" t="s">
        <v>367</v>
      </c>
      <c r="D952" s="13"/>
      <c r="E952" s="14"/>
      <c r="F952" s="16"/>
    </row>
    <row r="953" spans="1:6" ht="15" customHeight="1">
      <c r="B953" s="11"/>
      <c r="C953" s="15" t="s">
        <v>368</v>
      </c>
      <c r="D953" s="13"/>
      <c r="E953" s="14"/>
      <c r="F953" s="16"/>
    </row>
    <row r="954" spans="1:6" ht="15" customHeight="1">
      <c r="A954" s="6">
        <v>1</v>
      </c>
      <c r="B954" s="11">
        <v>3000</v>
      </c>
      <c r="C954" s="13"/>
      <c r="D954" s="13"/>
      <c r="E954" s="14" t="s">
        <v>2</v>
      </c>
      <c r="F954" s="16">
        <v>9503034</v>
      </c>
    </row>
    <row r="955" spans="1:6" ht="15" customHeight="1">
      <c r="B955" s="11"/>
      <c r="C955" s="13"/>
      <c r="D955" s="13"/>
      <c r="E955" s="14"/>
      <c r="F955" s="16"/>
    </row>
    <row r="956" spans="1:6" ht="15" customHeight="1">
      <c r="A956" s="6">
        <v>2</v>
      </c>
      <c r="B956" s="11">
        <v>3005</v>
      </c>
      <c r="C956" s="13"/>
      <c r="D956" s="13"/>
      <c r="E956" s="14" t="s">
        <v>4</v>
      </c>
      <c r="F956" s="16">
        <v>1266677</v>
      </c>
    </row>
    <row r="957" spans="1:6" ht="15" customHeight="1">
      <c r="B957" s="11"/>
      <c r="C957" s="13"/>
      <c r="D957" s="13"/>
      <c r="E957" s="14"/>
      <c r="F957" s="16"/>
    </row>
    <row r="958" spans="1:6" ht="15" customHeight="1">
      <c r="A958" s="6">
        <v>3</v>
      </c>
      <c r="B958" s="11">
        <v>3010</v>
      </c>
      <c r="C958" s="13"/>
      <c r="D958" s="13"/>
      <c r="E958" s="14" t="s">
        <v>28</v>
      </c>
      <c r="F958" s="16">
        <v>162738</v>
      </c>
    </row>
    <row r="959" spans="1:6" ht="15" customHeight="1">
      <c r="B959" s="11"/>
      <c r="C959" s="13"/>
      <c r="D959" s="13"/>
      <c r="E959" s="14"/>
      <c r="F959" s="16"/>
    </row>
    <row r="960" spans="1:6" ht="15" customHeight="1">
      <c r="B960" s="11"/>
      <c r="C960" s="13"/>
      <c r="D960" s="13"/>
      <c r="E960" s="14" t="s">
        <v>369</v>
      </c>
      <c r="F960" s="16">
        <f>SUM(F954+F956+F958)</f>
        <v>10932449</v>
      </c>
    </row>
    <row r="961" spans="1:6" ht="15" customHeight="1">
      <c r="B961" s="11"/>
      <c r="C961" s="13"/>
      <c r="D961" s="13"/>
      <c r="E961" s="14"/>
      <c r="F961" s="16"/>
    </row>
    <row r="962" spans="1:6" ht="15" customHeight="1">
      <c r="B962" s="11"/>
      <c r="C962" s="15" t="s">
        <v>370</v>
      </c>
      <c r="D962" s="13"/>
      <c r="E962" s="13"/>
      <c r="F962" s="16"/>
    </row>
    <row r="963" spans="1:6" ht="15" customHeight="1">
      <c r="A963" s="6">
        <v>1</v>
      </c>
      <c r="B963" s="11">
        <v>3015</v>
      </c>
      <c r="C963" s="13"/>
      <c r="D963" s="13"/>
      <c r="E963" s="14" t="s">
        <v>2</v>
      </c>
      <c r="F963" s="16">
        <v>3357674</v>
      </c>
    </row>
    <row r="964" spans="1:6" ht="15" customHeight="1">
      <c r="B964" s="11"/>
      <c r="C964" s="13"/>
      <c r="D964" s="13"/>
      <c r="E964" s="14"/>
      <c r="F964" s="16"/>
    </row>
    <row r="965" spans="1:6" ht="15" customHeight="1">
      <c r="A965" s="6">
        <v>2</v>
      </c>
      <c r="B965" s="11">
        <v>3020</v>
      </c>
      <c r="C965" s="13"/>
      <c r="D965" s="13"/>
      <c r="E965" s="14" t="s">
        <v>4</v>
      </c>
      <c r="F965" s="16">
        <v>68002</v>
      </c>
    </row>
    <row r="966" spans="1:6" ht="15" customHeight="1">
      <c r="B966" s="11"/>
      <c r="C966" s="13"/>
      <c r="D966" s="13"/>
      <c r="E966" s="14"/>
      <c r="F966" s="16"/>
    </row>
    <row r="967" spans="1:6" ht="15" customHeight="1">
      <c r="A967" s="6">
        <v>3</v>
      </c>
      <c r="B967" s="11">
        <v>3025</v>
      </c>
      <c r="C967" s="13"/>
      <c r="D967" s="13"/>
      <c r="E967" s="14" t="s">
        <v>28</v>
      </c>
      <c r="F967" s="16">
        <v>417363</v>
      </c>
    </row>
    <row r="968" spans="1:6" ht="15" customHeight="1">
      <c r="B968" s="11"/>
      <c r="C968" s="13"/>
      <c r="D968" s="13"/>
      <c r="E968" s="14"/>
      <c r="F968" s="16"/>
    </row>
    <row r="969" spans="1:6" ht="15" customHeight="1">
      <c r="B969" s="11"/>
      <c r="C969" s="13"/>
      <c r="D969" s="13"/>
      <c r="E969" s="14" t="s">
        <v>371</v>
      </c>
      <c r="F969" s="16">
        <f>+F967+F965+F963</f>
        <v>3843039</v>
      </c>
    </row>
    <row r="970" spans="1:6" ht="15" customHeight="1">
      <c r="B970" s="11"/>
      <c r="C970" s="13"/>
      <c r="D970" s="13"/>
      <c r="E970" s="14"/>
      <c r="F970" s="16"/>
    </row>
    <row r="971" spans="1:6" ht="15" customHeight="1">
      <c r="B971" s="11"/>
      <c r="C971" s="15" t="s">
        <v>372</v>
      </c>
      <c r="D971" s="13"/>
      <c r="E971" s="13"/>
      <c r="F971" s="16"/>
    </row>
    <row r="972" spans="1:6" ht="15" customHeight="1">
      <c r="A972" s="6">
        <v>1</v>
      </c>
      <c r="B972" s="11">
        <v>3030</v>
      </c>
      <c r="C972" s="13"/>
      <c r="D972" s="13"/>
      <c r="E972" s="14" t="s">
        <v>2</v>
      </c>
      <c r="F972" s="16">
        <v>623294</v>
      </c>
    </row>
    <row r="973" spans="1:6" ht="15" customHeight="1">
      <c r="B973" s="11"/>
      <c r="C973" s="13"/>
      <c r="D973" s="13"/>
      <c r="E973" s="14"/>
      <c r="F973" s="16"/>
    </row>
    <row r="974" spans="1:6" ht="15" customHeight="1">
      <c r="A974" s="6">
        <v>2</v>
      </c>
      <c r="B974" s="11">
        <v>3031</v>
      </c>
      <c r="C974" s="13"/>
      <c r="D974" s="13"/>
      <c r="E974" s="14" t="s">
        <v>4</v>
      </c>
      <c r="F974" s="16">
        <v>224500</v>
      </c>
    </row>
    <row r="975" spans="1:6" ht="15" customHeight="1">
      <c r="B975" s="11"/>
      <c r="C975" s="13"/>
      <c r="D975" s="13"/>
      <c r="E975" s="14"/>
      <c r="F975" s="16"/>
    </row>
    <row r="976" spans="1:6" ht="15" customHeight="1">
      <c r="B976" s="11"/>
      <c r="C976" s="13"/>
      <c r="D976" s="13"/>
      <c r="E976" s="14" t="s">
        <v>373</v>
      </c>
      <c r="F976" s="28">
        <f>SUM(F972:F975)</f>
        <v>847794</v>
      </c>
    </row>
    <row r="977" spans="1:6" ht="15" customHeight="1">
      <c r="B977" s="11"/>
      <c r="C977" s="13"/>
      <c r="D977" s="13"/>
      <c r="E977" s="14"/>
      <c r="F977" s="16"/>
    </row>
    <row r="978" spans="1:6" ht="15" customHeight="1">
      <c r="B978" s="11"/>
      <c r="C978" s="15" t="s">
        <v>47</v>
      </c>
      <c r="D978" s="13"/>
      <c r="E978" s="13"/>
      <c r="F978" s="16"/>
    </row>
    <row r="979" spans="1:6" ht="15" customHeight="1">
      <c r="A979" s="6">
        <v>1</v>
      </c>
      <c r="B979" s="11">
        <v>3035</v>
      </c>
      <c r="C979" s="13"/>
      <c r="D979" s="13"/>
      <c r="E979" s="14" t="s">
        <v>2</v>
      </c>
      <c r="F979" s="16">
        <v>1522849</v>
      </c>
    </row>
    <row r="980" spans="1:6" ht="15" customHeight="1">
      <c r="B980" s="11"/>
      <c r="C980" s="13"/>
      <c r="D980" s="13"/>
      <c r="E980" s="14"/>
      <c r="F980" s="16"/>
    </row>
    <row r="981" spans="1:6" ht="15" customHeight="1">
      <c r="B981" s="11"/>
      <c r="C981" s="13"/>
      <c r="D981" s="13"/>
      <c r="E981" s="14" t="s">
        <v>374</v>
      </c>
      <c r="F981" s="16">
        <f>SUM(F979:F980)</f>
        <v>1522849</v>
      </c>
    </row>
    <row r="982" spans="1:6" ht="15" customHeight="1">
      <c r="B982" s="11"/>
      <c r="C982" s="13"/>
      <c r="D982" s="13"/>
      <c r="E982" s="14"/>
      <c r="F982" s="16"/>
    </row>
    <row r="983" spans="1:6" ht="15" customHeight="1">
      <c r="B983" s="11"/>
      <c r="C983" s="13"/>
      <c r="D983" s="13"/>
      <c r="E983" s="18" t="s">
        <v>112</v>
      </c>
      <c r="F983" s="16">
        <f>SUM(+F972+F963+F954+F979)</f>
        <v>15006851</v>
      </c>
    </row>
    <row r="984" spans="1:6" ht="15" customHeight="1">
      <c r="B984" s="11"/>
      <c r="C984" s="13"/>
      <c r="D984" s="13"/>
      <c r="E984" s="14" t="s">
        <v>375</v>
      </c>
      <c r="F984" s="16">
        <f>SUM(F981+F976+F969+F960)</f>
        <v>17146131</v>
      </c>
    </row>
    <row r="985" spans="1:6" ht="15" customHeight="1">
      <c r="B985" s="11"/>
      <c r="C985" s="13"/>
      <c r="D985" s="13"/>
      <c r="E985" s="14"/>
      <c r="F985" s="16"/>
    </row>
    <row r="986" spans="1:6" ht="15" customHeight="1">
      <c r="B986" s="11"/>
      <c r="C986" s="12" t="s">
        <v>376</v>
      </c>
      <c r="D986" s="13"/>
      <c r="E986" s="13"/>
      <c r="F986" s="16"/>
    </row>
    <row r="987" spans="1:6" ht="15" customHeight="1">
      <c r="B987" s="11"/>
      <c r="C987" s="15" t="s">
        <v>1</v>
      </c>
      <c r="D987" s="13"/>
      <c r="E987" s="13"/>
      <c r="F987" s="16"/>
    </row>
    <row r="988" spans="1:6" ht="15" customHeight="1">
      <c r="A988" s="6">
        <v>1</v>
      </c>
      <c r="B988" s="11">
        <v>3050</v>
      </c>
      <c r="C988" s="13"/>
      <c r="D988" s="13"/>
      <c r="E988" s="14" t="s">
        <v>2</v>
      </c>
      <c r="F988" s="16">
        <v>9235732</v>
      </c>
    </row>
    <row r="989" spans="1:6" ht="15" customHeight="1">
      <c r="B989" s="11"/>
      <c r="C989" s="13"/>
      <c r="D989" s="13"/>
      <c r="E989" s="14"/>
      <c r="F989" s="16"/>
    </row>
    <row r="990" spans="1:6" ht="15" customHeight="1">
      <c r="A990" s="6">
        <v>2</v>
      </c>
      <c r="B990" s="11">
        <v>3052</v>
      </c>
      <c r="C990" s="13"/>
      <c r="D990" s="13"/>
      <c r="E990" s="14" t="s">
        <v>4</v>
      </c>
      <c r="F990" s="16">
        <v>187789</v>
      </c>
    </row>
    <row r="991" spans="1:6" ht="15" customHeight="1">
      <c r="B991" s="11"/>
      <c r="C991" s="13"/>
      <c r="D991" s="13"/>
      <c r="E991" s="14"/>
      <c r="F991" s="16"/>
    </row>
    <row r="992" spans="1:6" ht="15" customHeight="1">
      <c r="B992" s="11"/>
      <c r="C992" s="13"/>
      <c r="D992" s="13"/>
      <c r="E992" s="14" t="s">
        <v>5</v>
      </c>
      <c r="F992" s="16">
        <f>SUM(F988:F991)</f>
        <v>9423521</v>
      </c>
    </row>
    <row r="993" spans="1:6" ht="15" customHeight="1">
      <c r="B993" s="11"/>
      <c r="C993" s="13"/>
      <c r="D993" s="13"/>
      <c r="E993" s="14"/>
      <c r="F993" s="16"/>
    </row>
    <row r="994" spans="1:6" ht="15" customHeight="1">
      <c r="B994" s="11"/>
      <c r="C994" s="15" t="s">
        <v>377</v>
      </c>
      <c r="D994" s="13"/>
      <c r="E994" s="13"/>
      <c r="F994" s="16"/>
    </row>
    <row r="995" spans="1:6" ht="15" customHeight="1">
      <c r="A995" s="6">
        <v>1</v>
      </c>
      <c r="B995" s="11">
        <v>3055</v>
      </c>
      <c r="C995" s="13"/>
      <c r="D995" s="13"/>
      <c r="E995" s="14" t="s">
        <v>2</v>
      </c>
      <c r="F995" s="16">
        <v>889742</v>
      </c>
    </row>
    <row r="996" spans="1:6" ht="15" customHeight="1">
      <c r="B996" s="11"/>
      <c r="C996" s="13"/>
      <c r="D996" s="13"/>
      <c r="E996" s="14"/>
      <c r="F996" s="16"/>
    </row>
    <row r="997" spans="1:6" ht="15" customHeight="1">
      <c r="A997" s="6">
        <v>2</v>
      </c>
      <c r="B997" s="11">
        <v>3060</v>
      </c>
      <c r="C997" s="13"/>
      <c r="D997" s="13"/>
      <c r="E997" s="14" t="s">
        <v>4</v>
      </c>
      <c r="F997" s="16">
        <v>0</v>
      </c>
    </row>
    <row r="998" spans="1:6" ht="15" customHeight="1">
      <c r="B998" s="11"/>
      <c r="C998" s="13"/>
      <c r="D998" s="13"/>
      <c r="E998" s="14"/>
      <c r="F998" s="16"/>
    </row>
    <row r="999" spans="1:6" ht="15" customHeight="1">
      <c r="B999" s="11"/>
      <c r="C999" s="13"/>
      <c r="D999" s="13"/>
      <c r="E999" s="14" t="s">
        <v>378</v>
      </c>
      <c r="F999" s="16">
        <f>SUM(F995:F997)</f>
        <v>889742</v>
      </c>
    </row>
    <row r="1000" spans="1:6" ht="15" customHeight="1">
      <c r="B1000" s="11"/>
      <c r="C1000" s="13"/>
      <c r="D1000" s="13"/>
      <c r="E1000" s="14"/>
      <c r="F1000" s="16"/>
    </row>
    <row r="1001" spans="1:6" ht="15" customHeight="1">
      <c r="B1001" s="11"/>
      <c r="C1001" s="15" t="s">
        <v>379</v>
      </c>
      <c r="D1001" s="13"/>
      <c r="E1001" s="13"/>
      <c r="F1001" s="16"/>
    </row>
    <row r="1002" spans="1:6" ht="15" customHeight="1">
      <c r="B1002" s="11"/>
      <c r="C1002" s="13"/>
      <c r="D1002" s="14" t="s">
        <v>23</v>
      </c>
      <c r="E1002" s="13"/>
      <c r="F1002" s="16"/>
    </row>
    <row r="1003" spans="1:6" ht="15" customHeight="1">
      <c r="B1003" s="11">
        <v>3065</v>
      </c>
      <c r="C1003" s="13"/>
      <c r="D1003" s="13"/>
      <c r="E1003" s="14" t="s">
        <v>380</v>
      </c>
      <c r="F1003" s="16">
        <v>1374017</v>
      </c>
    </row>
    <row r="1004" spans="1:6" ht="15" customHeight="1">
      <c r="B1004" s="11">
        <v>3070</v>
      </c>
      <c r="C1004" s="13"/>
      <c r="D1004" s="13"/>
      <c r="E1004" s="14" t="s">
        <v>381</v>
      </c>
      <c r="F1004" s="16">
        <v>773000</v>
      </c>
    </row>
    <row r="1005" spans="1:6" ht="15" customHeight="1">
      <c r="B1005" s="11">
        <v>3075</v>
      </c>
      <c r="C1005" s="13"/>
      <c r="D1005" s="13"/>
      <c r="E1005" s="14" t="s">
        <v>382</v>
      </c>
      <c r="F1005" s="16">
        <v>666232</v>
      </c>
    </row>
    <row r="1006" spans="1:6" ht="15" customHeight="1">
      <c r="B1006" s="11">
        <v>3080</v>
      </c>
      <c r="C1006" s="13"/>
      <c r="D1006" s="13"/>
      <c r="E1006" s="14" t="s">
        <v>383</v>
      </c>
      <c r="F1006" s="16">
        <v>327073</v>
      </c>
    </row>
    <row r="1007" spans="1:6" ht="15" customHeight="1">
      <c r="B1007" s="11">
        <v>3090</v>
      </c>
      <c r="C1007" s="13"/>
      <c r="D1007" s="13"/>
      <c r="E1007" s="14" t="s">
        <v>384</v>
      </c>
      <c r="F1007" s="16">
        <v>130000</v>
      </c>
    </row>
    <row r="1008" spans="1:6" ht="15" customHeight="1">
      <c r="B1008" s="11">
        <v>3091</v>
      </c>
      <c r="C1008" s="13"/>
      <c r="D1008" s="13"/>
      <c r="E1008" s="14" t="s">
        <v>385</v>
      </c>
      <c r="F1008" s="16">
        <v>79007</v>
      </c>
    </row>
    <row r="1009" spans="1:6" ht="15" customHeight="1">
      <c r="B1009" s="11">
        <v>3092</v>
      </c>
      <c r="C1009" s="13"/>
      <c r="D1009" s="13"/>
      <c r="E1009" s="14" t="s">
        <v>386</v>
      </c>
      <c r="F1009" s="16">
        <v>740880</v>
      </c>
    </row>
    <row r="1010" spans="1:6" ht="15" customHeight="1">
      <c r="B1010" s="11">
        <v>3071</v>
      </c>
      <c r="C1010" s="13"/>
      <c r="D1010" s="13"/>
      <c r="E1010" s="14" t="s">
        <v>387</v>
      </c>
      <c r="F1010" s="16">
        <v>19436</v>
      </c>
    </row>
    <row r="1011" spans="1:6" ht="15" customHeight="1">
      <c r="B1011" s="11">
        <v>3076</v>
      </c>
      <c r="C1011" s="13"/>
      <c r="D1011" s="13"/>
      <c r="E1011" s="14" t="s">
        <v>388</v>
      </c>
      <c r="F1011" s="16">
        <v>35000</v>
      </c>
    </row>
    <row r="1012" spans="1:6" ht="15" customHeight="1">
      <c r="B1012" s="11">
        <v>3078</v>
      </c>
      <c r="C1012" s="13"/>
      <c r="D1012" s="13"/>
      <c r="E1012" s="14" t="s">
        <v>389</v>
      </c>
      <c r="F1012" s="16">
        <v>43178</v>
      </c>
    </row>
    <row r="1013" spans="1:6" ht="15" customHeight="1">
      <c r="B1013" s="11">
        <v>3077</v>
      </c>
      <c r="C1013" s="13"/>
      <c r="D1013" s="13"/>
      <c r="E1013" s="14" t="s">
        <v>390</v>
      </c>
      <c r="F1013" s="16">
        <v>171271</v>
      </c>
    </row>
    <row r="1014" spans="1:6" ht="15" customHeight="1">
      <c r="B1014" s="11">
        <v>3093</v>
      </c>
      <c r="C1014" s="13"/>
      <c r="D1014" s="13"/>
      <c r="E1014" s="14" t="s">
        <v>391</v>
      </c>
      <c r="F1014" s="16">
        <v>687093</v>
      </c>
    </row>
    <row r="1015" spans="1:6" ht="15" customHeight="1">
      <c r="A1015" s="6">
        <v>4</v>
      </c>
      <c r="B1015" s="11"/>
      <c r="C1015" s="13"/>
      <c r="D1015" s="13"/>
      <c r="E1015" s="14" t="s">
        <v>26</v>
      </c>
      <c r="F1015" s="16">
        <f>SUM(F1003:F1014)</f>
        <v>5046187</v>
      </c>
    </row>
    <row r="1016" spans="1:6" ht="15" customHeight="1">
      <c r="B1016" s="11"/>
      <c r="C1016" s="13"/>
      <c r="D1016" s="13"/>
      <c r="E1016" s="14"/>
      <c r="F1016" s="16"/>
    </row>
    <row r="1017" spans="1:6" ht="15" customHeight="1">
      <c r="A1017" s="6">
        <v>1</v>
      </c>
      <c r="B1017" s="11">
        <v>3110</v>
      </c>
      <c r="C1017" s="13"/>
      <c r="D1017" s="13"/>
      <c r="E1017" s="14" t="s">
        <v>2</v>
      </c>
      <c r="F1017" s="16">
        <f>109390855+130000</f>
        <v>109520855</v>
      </c>
    </row>
    <row r="1018" spans="1:6" ht="15" customHeight="1">
      <c r="B1018" s="11"/>
      <c r="C1018" s="13"/>
      <c r="D1018" s="13"/>
      <c r="E1018" s="14"/>
      <c r="F1018" s="16"/>
    </row>
    <row r="1019" spans="1:6" ht="15" customHeight="1">
      <c r="A1019" s="6">
        <v>2</v>
      </c>
      <c r="B1019" s="11">
        <v>3115</v>
      </c>
      <c r="C1019" s="13"/>
      <c r="D1019" s="13"/>
      <c r="E1019" s="14" t="s">
        <v>4</v>
      </c>
      <c r="F1019" s="16">
        <v>7349262</v>
      </c>
    </row>
    <row r="1020" spans="1:6" ht="15" customHeight="1">
      <c r="B1020" s="11"/>
      <c r="C1020" s="13"/>
      <c r="D1020" s="13"/>
      <c r="E1020" s="14"/>
      <c r="F1020" s="16"/>
    </row>
    <row r="1021" spans="1:6" ht="15" customHeight="1">
      <c r="A1021" s="6">
        <v>3</v>
      </c>
      <c r="B1021" s="11">
        <v>3120</v>
      </c>
      <c r="C1021" s="13"/>
      <c r="D1021" s="13"/>
      <c r="E1021" s="14" t="s">
        <v>28</v>
      </c>
      <c r="F1021" s="16">
        <v>5367287</v>
      </c>
    </row>
    <row r="1022" spans="1:6" ht="15" customHeight="1">
      <c r="B1022" s="11"/>
      <c r="C1022" s="13"/>
      <c r="D1022" s="13"/>
      <c r="E1022" s="14"/>
      <c r="F1022" s="16"/>
    </row>
    <row r="1023" spans="1:6" ht="15" customHeight="1">
      <c r="B1023" s="11"/>
      <c r="C1023" s="13"/>
      <c r="D1023" s="13"/>
      <c r="E1023" s="14" t="s">
        <v>392</v>
      </c>
      <c r="F1023" s="16">
        <f>SUM(F1021)+F1019+F1017+F1015</f>
        <v>127283591</v>
      </c>
    </row>
    <row r="1024" spans="1:6" ht="15" customHeight="1">
      <c r="B1024" s="11"/>
      <c r="C1024" s="13"/>
      <c r="D1024" s="13"/>
      <c r="E1024" s="14"/>
      <c r="F1024" s="16"/>
    </row>
    <row r="1025" spans="1:6" ht="15" customHeight="1">
      <c r="B1025" s="11"/>
      <c r="C1025" s="15" t="s">
        <v>393</v>
      </c>
      <c r="D1025" s="13"/>
      <c r="E1025" s="13"/>
      <c r="F1025" s="16"/>
    </row>
    <row r="1026" spans="1:6" ht="15" customHeight="1">
      <c r="A1026" s="6">
        <v>1</v>
      </c>
      <c r="B1026" s="11">
        <v>3125</v>
      </c>
      <c r="C1026" s="13"/>
      <c r="D1026" s="13"/>
      <c r="E1026" s="14" t="s">
        <v>2</v>
      </c>
      <c r="F1026" s="16">
        <v>10265467</v>
      </c>
    </row>
    <row r="1027" spans="1:6" ht="15" customHeight="1">
      <c r="B1027" s="11"/>
      <c r="C1027" s="13"/>
      <c r="D1027" s="13"/>
      <c r="E1027" s="14"/>
      <c r="F1027" s="16"/>
    </row>
    <row r="1028" spans="1:6" ht="15" customHeight="1">
      <c r="A1028" s="6">
        <v>2</v>
      </c>
      <c r="B1028" s="11">
        <v>3130</v>
      </c>
      <c r="C1028" s="13"/>
      <c r="D1028" s="13"/>
      <c r="E1028" s="14" t="s">
        <v>4</v>
      </c>
      <c r="F1028" s="16">
        <v>301539</v>
      </c>
    </row>
    <row r="1029" spans="1:6" ht="15" customHeight="1">
      <c r="B1029" s="11"/>
      <c r="C1029" s="13"/>
      <c r="D1029" s="13"/>
      <c r="E1029" s="14"/>
      <c r="F1029" s="16"/>
    </row>
    <row r="1030" spans="1:6" ht="15" customHeight="1">
      <c r="B1030" s="11"/>
      <c r="C1030" s="13"/>
      <c r="D1030" s="13"/>
      <c r="E1030" s="14" t="s">
        <v>394</v>
      </c>
      <c r="F1030" s="16">
        <f>SUM(F1026:F1028)</f>
        <v>10567006</v>
      </c>
    </row>
    <row r="1031" spans="1:6" ht="15" customHeight="1">
      <c r="B1031" s="11"/>
      <c r="C1031" s="13"/>
      <c r="D1031" s="13"/>
      <c r="E1031" s="14"/>
      <c r="F1031" s="16"/>
    </row>
    <row r="1032" spans="1:6" ht="15" customHeight="1">
      <c r="B1032" s="11"/>
      <c r="C1032" s="13"/>
      <c r="D1032" s="13"/>
      <c r="E1032" s="18" t="s">
        <v>112</v>
      </c>
      <c r="F1032" s="16">
        <f>SUM(F1026+F1017+F995+F988)</f>
        <v>129911796</v>
      </c>
    </row>
    <row r="1033" spans="1:6" ht="15" customHeight="1">
      <c r="B1033" s="11"/>
      <c r="C1033" s="13"/>
      <c r="D1033" s="13"/>
      <c r="E1033" s="14" t="s">
        <v>395</v>
      </c>
      <c r="F1033" s="16">
        <f>SUM(F1030+F1023+F999+F992)</f>
        <v>148163860</v>
      </c>
    </row>
    <row r="1034" spans="1:6" ht="15" customHeight="1">
      <c r="B1034" s="11"/>
      <c r="C1034" s="13"/>
      <c r="D1034" s="13"/>
      <c r="E1034" s="14"/>
      <c r="F1034" s="16"/>
    </row>
    <row r="1035" spans="1:6" ht="15" customHeight="1">
      <c r="B1035" s="11"/>
      <c r="C1035" s="12" t="s">
        <v>396</v>
      </c>
      <c r="D1035" s="13"/>
      <c r="E1035" s="13"/>
      <c r="F1035" s="16"/>
    </row>
    <row r="1036" spans="1:6" ht="15" customHeight="1">
      <c r="B1036" s="11"/>
      <c r="C1036" s="15" t="s">
        <v>397</v>
      </c>
      <c r="D1036" s="13"/>
      <c r="E1036" s="13"/>
      <c r="F1036" s="16"/>
    </row>
    <row r="1037" spans="1:6" ht="15" customHeight="1">
      <c r="B1037" s="11"/>
      <c r="C1037" s="13"/>
      <c r="D1037" s="14" t="s">
        <v>23</v>
      </c>
      <c r="E1037" s="13"/>
      <c r="F1037" s="16"/>
    </row>
    <row r="1038" spans="1:6" ht="15" customHeight="1">
      <c r="B1038" s="11">
        <v>3155</v>
      </c>
      <c r="C1038" s="13"/>
      <c r="D1038" s="13"/>
      <c r="E1038" s="14" t="s">
        <v>398</v>
      </c>
      <c r="F1038" s="16">
        <v>3160195</v>
      </c>
    </row>
    <row r="1039" spans="1:6" ht="15" customHeight="1">
      <c r="B1039" s="11">
        <v>3156</v>
      </c>
      <c r="C1039" s="13"/>
      <c r="D1039" s="13"/>
      <c r="E1039" s="14" t="s">
        <v>399</v>
      </c>
      <c r="F1039" s="16">
        <v>322630</v>
      </c>
    </row>
    <row r="1040" spans="1:6" ht="15" customHeight="1">
      <c r="B1040" s="11">
        <v>3157</v>
      </c>
      <c r="C1040" s="13"/>
      <c r="D1040" s="13"/>
      <c r="E1040" s="14" t="s">
        <v>400</v>
      </c>
      <c r="F1040" s="16">
        <v>129739</v>
      </c>
    </row>
    <row r="1041" spans="1:6" ht="15" customHeight="1">
      <c r="B1041" s="11">
        <v>3165</v>
      </c>
      <c r="C1041" s="13"/>
      <c r="D1041" s="13"/>
      <c r="E1041" s="14" t="s">
        <v>401</v>
      </c>
      <c r="F1041" s="16">
        <v>35000</v>
      </c>
    </row>
    <row r="1042" spans="1:6" ht="15" customHeight="1">
      <c r="A1042" s="6">
        <v>4</v>
      </c>
      <c r="B1042" s="11"/>
      <c r="C1042" s="13"/>
      <c r="D1042" s="13"/>
      <c r="E1042" s="14" t="s">
        <v>26</v>
      </c>
      <c r="F1042" s="14">
        <f>SUM(F1038:F1041)</f>
        <v>3647564</v>
      </c>
    </row>
    <row r="1043" spans="1:6" ht="15" customHeight="1">
      <c r="B1043" s="11"/>
      <c r="C1043" s="13"/>
      <c r="D1043" s="13"/>
      <c r="E1043" s="14"/>
      <c r="F1043" s="14"/>
    </row>
    <row r="1044" spans="1:6" ht="15" customHeight="1">
      <c r="B1044" s="11"/>
      <c r="C1044" s="13"/>
      <c r="D1044" s="13" t="s">
        <v>7</v>
      </c>
      <c r="E1044" s="14"/>
      <c r="F1044" s="16"/>
    </row>
    <row r="1045" spans="1:6" ht="15" customHeight="1">
      <c r="B1045" s="11">
        <v>3180</v>
      </c>
      <c r="C1045" s="13"/>
      <c r="D1045" s="13"/>
      <c r="E1045" s="14" t="s">
        <v>7</v>
      </c>
      <c r="F1045" s="16">
        <v>18956935</v>
      </c>
    </row>
    <row r="1046" spans="1:6" ht="15" customHeight="1">
      <c r="B1046" s="11">
        <v>3185</v>
      </c>
      <c r="C1046" s="13"/>
      <c r="D1046" s="13"/>
      <c r="E1046" s="14" t="s">
        <v>402</v>
      </c>
      <c r="F1046" s="16">
        <v>1550000</v>
      </c>
    </row>
    <row r="1047" spans="1:6" ht="15" customHeight="1">
      <c r="A1047" s="6">
        <v>1</v>
      </c>
      <c r="B1047" s="11"/>
      <c r="C1047" s="13"/>
      <c r="D1047" s="13"/>
      <c r="E1047" s="14" t="s">
        <v>2</v>
      </c>
      <c r="F1047" s="16">
        <f>SUM(F1045:F1046)</f>
        <v>20506935</v>
      </c>
    </row>
    <row r="1048" spans="1:6" ht="15" customHeight="1">
      <c r="B1048" s="11"/>
      <c r="C1048" s="13"/>
      <c r="D1048" s="13"/>
      <c r="E1048" s="14"/>
      <c r="F1048" s="16"/>
    </row>
    <row r="1049" spans="1:6" ht="15" customHeight="1">
      <c r="A1049" s="6">
        <v>2</v>
      </c>
      <c r="B1049" s="11">
        <v>3190</v>
      </c>
      <c r="C1049" s="13"/>
      <c r="D1049" s="13"/>
      <c r="E1049" s="14" t="s">
        <v>4</v>
      </c>
      <c r="F1049" s="16">
        <v>179680</v>
      </c>
    </row>
    <row r="1050" spans="1:6" ht="15" customHeight="1">
      <c r="B1050" s="11"/>
      <c r="C1050" s="13"/>
      <c r="D1050" s="13"/>
      <c r="E1050" s="14"/>
      <c r="F1050" s="16"/>
    </row>
    <row r="1051" spans="1:6" ht="15" customHeight="1">
      <c r="A1051" s="6">
        <v>3</v>
      </c>
      <c r="B1051" s="11">
        <v>3195</v>
      </c>
      <c r="C1051" s="13"/>
      <c r="D1051" s="13"/>
      <c r="E1051" s="14" t="s">
        <v>28</v>
      </c>
      <c r="F1051" s="16">
        <v>890859</v>
      </c>
    </row>
    <row r="1052" spans="1:6" ht="15" customHeight="1">
      <c r="B1052" s="11"/>
      <c r="C1052" s="13"/>
      <c r="D1052" s="13"/>
      <c r="E1052" s="14"/>
      <c r="F1052" s="16"/>
    </row>
    <row r="1053" spans="1:6" ht="15" customHeight="1">
      <c r="B1053" s="11"/>
      <c r="C1053" s="13"/>
      <c r="D1053" s="13"/>
      <c r="E1053" s="14" t="s">
        <v>403</v>
      </c>
      <c r="F1053" s="16">
        <f>SUM(F1051)+F1049+F1047+F1042</f>
        <v>25225038</v>
      </c>
    </row>
    <row r="1054" spans="1:6" ht="15" customHeight="1">
      <c r="A1054" s="2"/>
      <c r="B1054" s="11"/>
      <c r="C1054" s="13"/>
      <c r="D1054" s="13"/>
      <c r="E1054" s="13"/>
      <c r="F1054" s="13"/>
    </row>
    <row r="1055" spans="1:6" ht="15" customHeight="1">
      <c r="B1055" s="11"/>
      <c r="C1055" s="15" t="s">
        <v>404</v>
      </c>
      <c r="D1055" s="13"/>
      <c r="E1055" s="13"/>
      <c r="F1055" s="16"/>
    </row>
    <row r="1056" spans="1:6" ht="15" customHeight="1">
      <c r="A1056" s="6">
        <v>1</v>
      </c>
      <c r="B1056" s="11">
        <v>3205</v>
      </c>
      <c r="C1056" s="13"/>
      <c r="D1056" s="13"/>
      <c r="E1056" s="14" t="s">
        <v>2</v>
      </c>
      <c r="F1056" s="16">
        <v>15080067</v>
      </c>
    </row>
    <row r="1057" spans="1:6" ht="15" customHeight="1">
      <c r="B1057" s="11"/>
      <c r="C1057" s="13"/>
      <c r="D1057" s="13"/>
      <c r="E1057" s="14"/>
      <c r="F1057" s="16"/>
    </row>
    <row r="1058" spans="1:6" ht="15" customHeight="1">
      <c r="A1058" s="6">
        <v>2</v>
      </c>
      <c r="B1058" s="11">
        <v>3203</v>
      </c>
      <c r="C1058" s="13"/>
      <c r="D1058" s="13"/>
      <c r="E1058" s="14" t="s">
        <v>4</v>
      </c>
      <c r="F1058" s="16">
        <v>119850</v>
      </c>
    </row>
    <row r="1059" spans="1:6" ht="15" customHeight="1">
      <c r="B1059" s="11"/>
      <c r="C1059" s="13"/>
      <c r="D1059" s="13"/>
      <c r="E1059" s="14"/>
      <c r="F1059" s="16"/>
    </row>
    <row r="1060" spans="1:6" ht="15" customHeight="1">
      <c r="B1060" s="11"/>
      <c r="C1060" s="13"/>
      <c r="D1060" s="13"/>
      <c r="E1060" s="14" t="s">
        <v>405</v>
      </c>
      <c r="F1060" s="16">
        <f>SUM(F1056:F1059)</f>
        <v>15199917</v>
      </c>
    </row>
    <row r="1061" spans="1:6" ht="15" customHeight="1">
      <c r="B1061" s="11"/>
      <c r="C1061" s="13"/>
      <c r="D1061" s="13"/>
      <c r="E1061" s="14"/>
      <c r="F1061" s="16"/>
    </row>
    <row r="1062" spans="1:6" ht="15" customHeight="1">
      <c r="B1062" s="11"/>
      <c r="C1062" s="15" t="s">
        <v>406</v>
      </c>
      <c r="D1062" s="13"/>
      <c r="E1062" s="13"/>
      <c r="F1062" s="16"/>
    </row>
    <row r="1063" spans="1:6" ht="15" customHeight="1">
      <c r="A1063" s="6">
        <v>1</v>
      </c>
      <c r="B1063" s="11">
        <v>3206</v>
      </c>
      <c r="C1063" s="13"/>
      <c r="D1063" s="13"/>
      <c r="E1063" s="14" t="s">
        <v>2</v>
      </c>
      <c r="F1063" s="16">
        <v>10883429</v>
      </c>
    </row>
    <row r="1064" spans="1:6" ht="15" customHeight="1">
      <c r="B1064" s="11"/>
      <c r="C1064" s="13"/>
      <c r="D1064" s="13"/>
      <c r="E1064" s="14"/>
      <c r="F1064" s="16"/>
    </row>
    <row r="1065" spans="1:6" ht="15" customHeight="1">
      <c r="A1065" s="6">
        <v>2</v>
      </c>
      <c r="B1065" s="11">
        <v>3210</v>
      </c>
      <c r="C1065" s="13"/>
      <c r="D1065" s="13"/>
      <c r="E1065" s="14" t="s">
        <v>4</v>
      </c>
      <c r="F1065" s="16">
        <v>2399548</v>
      </c>
    </row>
    <row r="1066" spans="1:6" ht="15" customHeight="1">
      <c r="B1066" s="11"/>
      <c r="C1066" s="13"/>
      <c r="D1066" s="13"/>
      <c r="E1066" s="14"/>
      <c r="F1066" s="16"/>
    </row>
    <row r="1067" spans="1:6" ht="15" customHeight="1">
      <c r="A1067" s="6">
        <v>3</v>
      </c>
      <c r="B1067" s="11">
        <v>3215</v>
      </c>
      <c r="C1067" s="13"/>
      <c r="D1067" s="13"/>
      <c r="E1067" s="14" t="s">
        <v>28</v>
      </c>
      <c r="F1067" s="16">
        <v>247967</v>
      </c>
    </row>
    <row r="1068" spans="1:6" ht="15" customHeight="1">
      <c r="B1068" s="11"/>
      <c r="C1068" s="13"/>
      <c r="D1068" s="13"/>
      <c r="E1068" s="14"/>
      <c r="F1068" s="16"/>
    </row>
    <row r="1069" spans="1:6" ht="15" customHeight="1">
      <c r="B1069" s="11"/>
      <c r="C1069" s="13"/>
      <c r="D1069" s="13"/>
      <c r="E1069" s="14" t="s">
        <v>407</v>
      </c>
      <c r="F1069" s="16">
        <f>SUM(+F1065+F1063+F1067)</f>
        <v>13530944</v>
      </c>
    </row>
    <row r="1070" spans="1:6" ht="15" customHeight="1">
      <c r="B1070" s="11"/>
      <c r="C1070" s="13"/>
      <c r="D1070" s="13"/>
      <c r="E1070" s="14"/>
      <c r="F1070" s="16"/>
    </row>
    <row r="1071" spans="1:6" ht="15" customHeight="1">
      <c r="B1071" s="11"/>
      <c r="C1071" s="15" t="s">
        <v>408</v>
      </c>
      <c r="D1071" s="13"/>
      <c r="E1071" s="13"/>
      <c r="F1071" s="16"/>
    </row>
    <row r="1072" spans="1:6" ht="15" customHeight="1">
      <c r="A1072" s="6">
        <v>1</v>
      </c>
      <c r="B1072" s="11">
        <v>3220</v>
      </c>
      <c r="C1072" s="13"/>
      <c r="D1072" s="13"/>
      <c r="E1072" s="14" t="s">
        <v>2</v>
      </c>
      <c r="F1072" s="16">
        <v>6795669</v>
      </c>
    </row>
    <row r="1073" spans="1:6" ht="15" customHeight="1">
      <c r="B1073" s="11"/>
      <c r="C1073" s="13"/>
      <c r="D1073" s="13"/>
      <c r="E1073" s="14"/>
      <c r="F1073" s="16"/>
    </row>
    <row r="1074" spans="1:6" ht="15" customHeight="1">
      <c r="A1074" s="6">
        <v>2</v>
      </c>
      <c r="B1074" s="11">
        <v>3221</v>
      </c>
      <c r="C1074" s="13"/>
      <c r="D1074" s="13"/>
      <c r="E1074" s="14" t="s">
        <v>4</v>
      </c>
      <c r="F1074" s="16">
        <v>172401</v>
      </c>
    </row>
    <row r="1075" spans="1:6" ht="15" customHeight="1">
      <c r="B1075" s="11"/>
      <c r="C1075" s="13"/>
      <c r="D1075" s="13"/>
      <c r="E1075" s="14"/>
      <c r="F1075" s="16"/>
    </row>
    <row r="1076" spans="1:6" ht="15" customHeight="1">
      <c r="A1076" s="6">
        <v>3</v>
      </c>
      <c r="B1076" s="11">
        <v>3225</v>
      </c>
      <c r="C1076" s="13"/>
      <c r="D1076" s="13"/>
      <c r="E1076" s="14" t="s">
        <v>28</v>
      </c>
      <c r="F1076" s="16">
        <v>138912</v>
      </c>
    </row>
    <row r="1077" spans="1:6" ht="15" customHeight="1">
      <c r="B1077" s="11"/>
      <c r="C1077" s="13"/>
      <c r="D1077" s="13"/>
      <c r="E1077" s="14"/>
      <c r="F1077" s="16"/>
    </row>
    <row r="1078" spans="1:6" ht="15" customHeight="1">
      <c r="B1078" s="11"/>
      <c r="C1078" s="13"/>
      <c r="D1078" s="13"/>
      <c r="E1078" s="14" t="s">
        <v>409</v>
      </c>
      <c r="F1078" s="29">
        <f>SUM(F1072+F1074+F1076)</f>
        <v>7106982</v>
      </c>
    </row>
    <row r="1079" spans="1:6" ht="15" customHeight="1">
      <c r="B1079" s="11"/>
      <c r="C1079" s="13"/>
      <c r="D1079" s="13"/>
      <c r="E1079" s="14"/>
      <c r="F1079" s="16"/>
    </row>
    <row r="1080" spans="1:6" ht="15" customHeight="1">
      <c r="B1080" s="11"/>
      <c r="C1080" s="15" t="s">
        <v>410</v>
      </c>
      <c r="D1080" s="13"/>
      <c r="E1080" s="13"/>
      <c r="F1080" s="16"/>
    </row>
    <row r="1081" spans="1:6" ht="15" customHeight="1">
      <c r="A1081" s="6">
        <v>1</v>
      </c>
      <c r="B1081" s="11">
        <v>3230</v>
      </c>
      <c r="C1081" s="13"/>
      <c r="D1081" s="13"/>
      <c r="E1081" s="14" t="s">
        <v>2</v>
      </c>
      <c r="F1081" s="16">
        <v>5476070</v>
      </c>
    </row>
    <row r="1082" spans="1:6" ht="15" customHeight="1">
      <c r="B1082" s="11"/>
      <c r="C1082" s="13"/>
      <c r="D1082" s="13"/>
      <c r="E1082" s="14"/>
      <c r="F1082" s="16"/>
    </row>
    <row r="1083" spans="1:6" ht="15" customHeight="1">
      <c r="B1083" s="11"/>
      <c r="C1083" s="13"/>
      <c r="D1083" s="13"/>
      <c r="E1083" s="14" t="s">
        <v>411</v>
      </c>
      <c r="F1083" s="16">
        <f>SUM(F1081:F1082)</f>
        <v>5476070</v>
      </c>
    </row>
    <row r="1084" spans="1:6" ht="15" customHeight="1">
      <c r="B1084" s="11"/>
      <c r="C1084" s="13"/>
      <c r="D1084" s="13"/>
      <c r="E1084" s="14"/>
      <c r="F1084" s="16"/>
    </row>
    <row r="1085" spans="1:6" ht="15" customHeight="1">
      <c r="B1085" s="11"/>
      <c r="C1085" s="15" t="s">
        <v>412</v>
      </c>
      <c r="D1085" s="13"/>
      <c r="E1085" s="13"/>
      <c r="F1085" s="16"/>
    </row>
    <row r="1086" spans="1:6" ht="15" customHeight="1">
      <c r="A1086" s="6">
        <v>3</v>
      </c>
      <c r="B1086" s="11">
        <v>3235</v>
      </c>
      <c r="C1086" s="13"/>
      <c r="D1086" s="13"/>
      <c r="E1086" s="14" t="s">
        <v>28</v>
      </c>
      <c r="F1086" s="16">
        <v>5147792</v>
      </c>
    </row>
    <row r="1087" spans="1:6" ht="15" customHeight="1">
      <c r="B1087" s="11"/>
      <c r="C1087" s="13"/>
      <c r="D1087" s="13"/>
      <c r="E1087" s="14"/>
      <c r="F1087" s="16"/>
    </row>
    <row r="1088" spans="1:6" ht="15" customHeight="1">
      <c r="B1088" s="11"/>
      <c r="C1088" s="13"/>
      <c r="D1088" s="13"/>
      <c r="E1088" s="14" t="s">
        <v>413</v>
      </c>
      <c r="F1088" s="16">
        <f>SUM(F1086)</f>
        <v>5147792</v>
      </c>
    </row>
    <row r="1089" spans="1:6" ht="15" customHeight="1">
      <c r="B1089" s="11"/>
      <c r="C1089" s="13"/>
      <c r="D1089" s="13"/>
      <c r="E1089" s="14"/>
      <c r="F1089" s="16"/>
    </row>
    <row r="1090" spans="1:6" ht="15" customHeight="1">
      <c r="B1090" s="11"/>
      <c r="C1090" s="15" t="s">
        <v>414</v>
      </c>
      <c r="D1090" s="13"/>
      <c r="E1090" s="13"/>
      <c r="F1090" s="16"/>
    </row>
    <row r="1091" spans="1:6" ht="15" customHeight="1">
      <c r="A1091" s="6">
        <v>1</v>
      </c>
      <c r="B1091" s="11">
        <v>3245</v>
      </c>
      <c r="C1091" s="13"/>
      <c r="D1091" s="13"/>
      <c r="E1091" s="14" t="s">
        <v>2</v>
      </c>
      <c r="F1091" s="16">
        <v>2477949</v>
      </c>
    </row>
    <row r="1092" spans="1:6" ht="15" customHeight="1">
      <c r="B1092" s="11"/>
      <c r="C1092" s="13"/>
      <c r="D1092" s="13"/>
      <c r="E1092" s="14"/>
      <c r="F1092" s="16"/>
    </row>
    <row r="1093" spans="1:6" ht="15" customHeight="1">
      <c r="B1093" s="11"/>
      <c r="C1093" s="13"/>
      <c r="D1093" s="13"/>
      <c r="E1093" s="14" t="s">
        <v>415</v>
      </c>
      <c r="F1093" s="16">
        <f>SUM(F1091:F1092)</f>
        <v>2477949</v>
      </c>
    </row>
    <row r="1094" spans="1:6" ht="15" customHeight="1">
      <c r="B1094" s="11"/>
      <c r="C1094" s="13"/>
      <c r="D1094" s="13"/>
      <c r="E1094" s="14"/>
      <c r="F1094" s="16"/>
    </row>
    <row r="1095" spans="1:6" ht="15" customHeight="1">
      <c r="B1095" s="11"/>
      <c r="C1095" s="13"/>
      <c r="D1095" s="13"/>
      <c r="E1095" s="18" t="s">
        <v>112</v>
      </c>
      <c r="F1095" s="16">
        <f>SUM(F1081+F1072+F1063+F1056+F1091+F1047)</f>
        <v>61220119</v>
      </c>
    </row>
    <row r="1096" spans="1:6" ht="15" customHeight="1">
      <c r="B1096" s="11"/>
      <c r="C1096" s="13"/>
      <c r="D1096" s="13"/>
      <c r="E1096" s="14" t="s">
        <v>416</v>
      </c>
      <c r="F1096" s="16">
        <f>SUM(F1088+F1083+F1078+F1069+F1060+F1093+F1053)</f>
        <v>74164692</v>
      </c>
    </row>
    <row r="1097" spans="1:6" ht="15" customHeight="1">
      <c r="B1097" s="11"/>
      <c r="C1097" s="13"/>
      <c r="D1097" s="13"/>
      <c r="E1097" s="14"/>
      <c r="F1097" s="16"/>
    </row>
    <row r="1098" spans="1:6" ht="15" customHeight="1">
      <c r="B1098" s="11"/>
      <c r="C1098" s="12" t="s">
        <v>417</v>
      </c>
      <c r="D1098" s="13"/>
      <c r="E1098" s="13"/>
      <c r="F1098" s="16"/>
    </row>
    <row r="1099" spans="1:6" ht="15" customHeight="1">
      <c r="B1099" s="11"/>
      <c r="C1099" s="15" t="s">
        <v>418</v>
      </c>
      <c r="D1099" s="13"/>
      <c r="E1099" s="13"/>
      <c r="F1099" s="16"/>
    </row>
    <row r="1100" spans="1:6" ht="15" customHeight="1">
      <c r="B1100" s="11"/>
      <c r="C1100" s="13"/>
      <c r="D1100" s="14" t="s">
        <v>23</v>
      </c>
      <c r="E1100" s="13"/>
      <c r="F1100" s="16"/>
    </row>
    <row r="1101" spans="1:6" ht="15" customHeight="1">
      <c r="B1101" s="11">
        <v>3275</v>
      </c>
      <c r="C1101" s="13"/>
      <c r="D1101" s="13"/>
      <c r="E1101" s="14" t="s">
        <v>419</v>
      </c>
      <c r="F1101" s="16">
        <v>0</v>
      </c>
    </row>
    <row r="1102" spans="1:6" ht="15" customHeight="1">
      <c r="B1102" s="11">
        <v>3280</v>
      </c>
      <c r="C1102" s="13"/>
      <c r="D1102" s="13"/>
      <c r="E1102" s="14" t="s">
        <v>420</v>
      </c>
      <c r="F1102" s="16">
        <v>190146</v>
      </c>
    </row>
    <row r="1103" spans="1:6" ht="15" customHeight="1">
      <c r="B1103" s="11">
        <v>3285</v>
      </c>
      <c r="C1103" s="13"/>
      <c r="D1103" s="13"/>
      <c r="E1103" s="14" t="s">
        <v>421</v>
      </c>
      <c r="F1103" s="16">
        <v>22000</v>
      </c>
    </row>
    <row r="1104" spans="1:6" ht="15" customHeight="1">
      <c r="B1104" s="11">
        <v>3290</v>
      </c>
      <c r="C1104" s="13"/>
      <c r="D1104" s="13"/>
      <c r="E1104" s="14" t="s">
        <v>422</v>
      </c>
      <c r="F1104" s="16">
        <v>20000</v>
      </c>
    </row>
    <row r="1105" spans="1:6" ht="15" customHeight="1">
      <c r="B1105" s="11">
        <v>3300</v>
      </c>
      <c r="C1105" s="13"/>
      <c r="D1105" s="13"/>
      <c r="E1105" s="14" t="s">
        <v>423</v>
      </c>
      <c r="F1105" s="16">
        <v>5000</v>
      </c>
    </row>
    <row r="1106" spans="1:6" ht="15" customHeight="1">
      <c r="B1106" s="11">
        <v>3301</v>
      </c>
      <c r="C1106" s="13"/>
      <c r="D1106" s="13"/>
      <c r="E1106" s="14" t="s">
        <v>424</v>
      </c>
      <c r="F1106" s="16">
        <v>154000</v>
      </c>
    </row>
    <row r="1107" spans="1:6" ht="15" customHeight="1">
      <c r="B1107" s="11">
        <v>3302</v>
      </c>
      <c r="C1107" s="13"/>
      <c r="D1107" s="13"/>
      <c r="E1107" s="14" t="s">
        <v>425</v>
      </c>
      <c r="F1107" s="16">
        <v>50000</v>
      </c>
    </row>
    <row r="1108" spans="1:6" ht="15" customHeight="1">
      <c r="A1108" s="6">
        <v>4</v>
      </c>
      <c r="B1108" s="11"/>
      <c r="C1108" s="13"/>
      <c r="D1108" s="13"/>
      <c r="E1108" s="14" t="s">
        <v>26</v>
      </c>
      <c r="F1108" s="16">
        <f>SUM(F1101:F1107)</f>
        <v>441146</v>
      </c>
    </row>
    <row r="1109" spans="1:6" ht="15" customHeight="1">
      <c r="B1109" s="11"/>
      <c r="C1109" s="13"/>
      <c r="D1109" s="13"/>
      <c r="E1109" s="14"/>
      <c r="F1109" s="16"/>
    </row>
    <row r="1110" spans="1:6" ht="15" customHeight="1">
      <c r="B1110" s="11"/>
      <c r="C1110" s="13"/>
      <c r="D1110" s="13" t="s">
        <v>27</v>
      </c>
      <c r="E1110" s="14"/>
      <c r="F1110" s="16"/>
    </row>
    <row r="1111" spans="1:6" ht="15" customHeight="1">
      <c r="B1111" s="11">
        <v>3320</v>
      </c>
      <c r="C1111" s="13"/>
      <c r="D1111" s="13"/>
      <c r="E1111" s="14" t="s">
        <v>69</v>
      </c>
      <c r="F1111" s="16">
        <v>2054247</v>
      </c>
    </row>
    <row r="1112" spans="1:6" ht="15" customHeight="1">
      <c r="B1112" s="11">
        <v>3325</v>
      </c>
      <c r="C1112" s="13"/>
      <c r="D1112" s="13"/>
      <c r="E1112" s="14" t="s">
        <v>426</v>
      </c>
      <c r="F1112" s="16">
        <v>50000</v>
      </c>
    </row>
    <row r="1113" spans="1:6" ht="15" customHeight="1">
      <c r="A1113" s="6">
        <v>1</v>
      </c>
      <c r="B1113" s="11"/>
      <c r="C1113" s="13"/>
      <c r="D1113" s="13"/>
      <c r="E1113" s="14" t="s">
        <v>2</v>
      </c>
      <c r="F1113" s="16">
        <f>SUM(F1111:F1112)</f>
        <v>2104247</v>
      </c>
    </row>
    <row r="1114" spans="1:6" ht="15" customHeight="1">
      <c r="B1114" s="11"/>
      <c r="C1114" s="13"/>
      <c r="D1114" s="13"/>
      <c r="E1114" s="14"/>
      <c r="F1114" s="16"/>
    </row>
    <row r="1115" spans="1:6" ht="15" customHeight="1">
      <c r="A1115" s="6">
        <v>2</v>
      </c>
      <c r="B1115" s="11">
        <v>3330</v>
      </c>
      <c r="C1115" s="13"/>
      <c r="D1115" s="13"/>
      <c r="E1115" s="14" t="s">
        <v>4</v>
      </c>
      <c r="F1115" s="16">
        <v>7053786</v>
      </c>
    </row>
    <row r="1116" spans="1:6" ht="15" customHeight="1">
      <c r="B1116" s="11"/>
      <c r="C1116" s="13"/>
      <c r="D1116" s="13"/>
      <c r="E1116" s="14"/>
      <c r="F1116" s="16"/>
    </row>
    <row r="1117" spans="1:6" ht="15" customHeight="1">
      <c r="B1117" s="11"/>
      <c r="C1117" s="13"/>
      <c r="D1117" s="13"/>
      <c r="E1117" s="14" t="s">
        <v>427</v>
      </c>
      <c r="F1117" s="16">
        <f>SUM(F1115+F1113+F1108)</f>
        <v>9599179</v>
      </c>
    </row>
    <row r="1118" spans="1:6" ht="15" customHeight="1">
      <c r="B1118" s="11"/>
      <c r="C1118" s="13"/>
      <c r="D1118" s="13"/>
      <c r="E1118" s="14"/>
      <c r="F1118" s="16"/>
    </row>
    <row r="1119" spans="1:6" ht="15" customHeight="1">
      <c r="B1119" s="11"/>
      <c r="C1119" s="15" t="s">
        <v>428</v>
      </c>
      <c r="D1119" s="13"/>
      <c r="E1119" s="13"/>
      <c r="F1119" s="16"/>
    </row>
    <row r="1120" spans="1:6" ht="15" customHeight="1">
      <c r="A1120" s="6">
        <v>1</v>
      </c>
      <c r="B1120" s="11">
        <v>3335</v>
      </c>
      <c r="C1120" s="13"/>
      <c r="D1120" s="13"/>
      <c r="E1120" s="14" t="s">
        <v>2</v>
      </c>
      <c r="F1120" s="16">
        <v>475084</v>
      </c>
    </row>
    <row r="1121" spans="1:6" ht="15" customHeight="1">
      <c r="B1121" s="11"/>
      <c r="C1121" s="13"/>
      <c r="D1121" s="13"/>
      <c r="E1121" s="14"/>
      <c r="F1121" s="16"/>
    </row>
    <row r="1122" spans="1:6" ht="15" customHeight="1">
      <c r="A1122" s="6">
        <v>2</v>
      </c>
      <c r="B1122" s="11">
        <v>3380</v>
      </c>
      <c r="C1122" s="13"/>
      <c r="D1122" s="13"/>
      <c r="E1122" s="14" t="s">
        <v>4</v>
      </c>
      <c r="F1122" s="16">
        <v>2895679</v>
      </c>
    </row>
    <row r="1123" spans="1:6" ht="15" customHeight="1">
      <c r="B1123" s="11"/>
      <c r="C1123" s="13"/>
      <c r="D1123" s="13"/>
      <c r="E1123" s="14"/>
      <c r="F1123" s="16"/>
    </row>
    <row r="1124" spans="1:6" ht="15" customHeight="1">
      <c r="A1124" s="6">
        <v>3</v>
      </c>
      <c r="B1124" s="11">
        <v>3385</v>
      </c>
      <c r="C1124" s="13"/>
      <c r="D1124" s="13"/>
      <c r="E1124" s="14" t="s">
        <v>28</v>
      </c>
      <c r="F1124" s="16">
        <v>110704</v>
      </c>
    </row>
    <row r="1125" spans="1:6" ht="15" customHeight="1">
      <c r="B1125" s="11"/>
      <c r="C1125" s="13"/>
      <c r="D1125" s="13"/>
      <c r="E1125" s="14"/>
      <c r="F1125" s="16"/>
    </row>
    <row r="1126" spans="1:6" ht="15" customHeight="1">
      <c r="B1126" s="11"/>
      <c r="C1126" s="13"/>
      <c r="D1126" s="13"/>
      <c r="E1126" s="14" t="s">
        <v>429</v>
      </c>
      <c r="F1126" s="16">
        <f>SUM(F1124+F1122+F1120)</f>
        <v>3481467</v>
      </c>
    </row>
    <row r="1127" spans="1:6" ht="15" customHeight="1">
      <c r="B1127" s="11"/>
      <c r="C1127" s="13"/>
      <c r="D1127" s="13"/>
      <c r="E1127" s="14"/>
      <c r="F1127" s="16"/>
    </row>
    <row r="1128" spans="1:6" ht="15" customHeight="1">
      <c r="B1128" s="11"/>
      <c r="C1128" s="13"/>
      <c r="D1128" s="13"/>
      <c r="E1128" s="18" t="s">
        <v>112</v>
      </c>
      <c r="F1128" s="16">
        <f>SUM(F1120+F1113)</f>
        <v>2579331</v>
      </c>
    </row>
    <row r="1129" spans="1:6" ht="15" customHeight="1">
      <c r="B1129" s="11"/>
      <c r="C1129" s="13"/>
      <c r="D1129" s="13"/>
      <c r="E1129" s="14" t="s">
        <v>430</v>
      </c>
      <c r="F1129" s="16">
        <f>SUM(F1126+F1117)</f>
        <v>13080646</v>
      </c>
    </row>
    <row r="1130" spans="1:6" ht="15" customHeight="1">
      <c r="B1130" s="11"/>
      <c r="C1130" s="13"/>
      <c r="D1130" s="13"/>
      <c r="E1130" s="14"/>
      <c r="F1130" s="16"/>
    </row>
    <row r="1131" spans="1:6" ht="15" customHeight="1">
      <c r="B1131" s="11"/>
      <c r="C1131" s="12" t="s">
        <v>431</v>
      </c>
      <c r="D1131" s="13"/>
      <c r="E1131" s="13"/>
      <c r="F1131" s="16"/>
    </row>
    <row r="1132" spans="1:6" ht="15" customHeight="1">
      <c r="B1132" s="11"/>
      <c r="C1132" s="12"/>
      <c r="D1132" s="13"/>
      <c r="E1132" s="13"/>
      <c r="F1132" s="16"/>
    </row>
    <row r="1133" spans="1:6" ht="15" customHeight="1">
      <c r="B1133" s="11"/>
      <c r="C1133" s="12"/>
      <c r="D1133" s="13" t="s">
        <v>27</v>
      </c>
      <c r="E1133" s="13"/>
      <c r="F1133" s="16"/>
    </row>
    <row r="1134" spans="1:6" ht="15" customHeight="1">
      <c r="B1134" s="11">
        <v>3400</v>
      </c>
      <c r="C1134" s="12"/>
      <c r="D1134" s="13"/>
      <c r="E1134" s="13" t="s">
        <v>7</v>
      </c>
      <c r="F1134" s="16">
        <v>3318474</v>
      </c>
    </row>
    <row r="1135" spans="1:6" ht="15" customHeight="1">
      <c r="B1135" s="11">
        <v>3405</v>
      </c>
      <c r="C1135" s="12"/>
      <c r="D1135" s="13"/>
      <c r="E1135" s="13" t="s">
        <v>432</v>
      </c>
      <c r="F1135" s="16">
        <v>500000</v>
      </c>
    </row>
    <row r="1136" spans="1:6" ht="15" customHeight="1">
      <c r="A1136" s="6">
        <v>1</v>
      </c>
      <c r="B1136" s="11"/>
      <c r="C1136" s="13"/>
      <c r="D1136" s="13"/>
      <c r="E1136" s="14" t="s">
        <v>2</v>
      </c>
      <c r="F1136" s="16">
        <f>SUM(F1134:F1135)</f>
        <v>3818474</v>
      </c>
    </row>
    <row r="1137" spans="1:6" ht="15" customHeight="1">
      <c r="B1137" s="11"/>
      <c r="C1137" s="13"/>
      <c r="D1137" s="13"/>
      <c r="E1137" s="14"/>
      <c r="F1137" s="16"/>
    </row>
    <row r="1138" spans="1:6" ht="15" customHeight="1">
      <c r="B1138" s="11"/>
      <c r="C1138" s="13"/>
      <c r="D1138" s="13"/>
      <c r="E1138" s="14" t="s">
        <v>433</v>
      </c>
      <c r="F1138" s="16">
        <f>SUM(F1136:F1137)</f>
        <v>3818474</v>
      </c>
    </row>
    <row r="1139" spans="1:6" ht="15" customHeight="1">
      <c r="B1139" s="11"/>
      <c r="C1139" s="13"/>
      <c r="D1139" s="13"/>
      <c r="E1139" s="14"/>
      <c r="F1139" s="16"/>
    </row>
    <row r="1140" spans="1:6" ht="15" customHeight="1">
      <c r="B1140" s="11"/>
      <c r="C1140" s="12" t="s">
        <v>434</v>
      </c>
      <c r="D1140" s="13"/>
      <c r="E1140" s="13"/>
      <c r="F1140" s="16"/>
    </row>
    <row r="1141" spans="1:6" ht="15" customHeight="1">
      <c r="A1141" s="6">
        <v>1</v>
      </c>
      <c r="B1141" s="11">
        <v>3410</v>
      </c>
      <c r="C1141" s="13"/>
      <c r="D1141" s="13"/>
      <c r="E1141" s="14" t="s">
        <v>2</v>
      </c>
      <c r="F1141" s="16">
        <v>207013</v>
      </c>
    </row>
    <row r="1142" spans="1:6" ht="15" customHeight="1">
      <c r="B1142" s="11"/>
      <c r="C1142" s="13"/>
      <c r="D1142" s="13"/>
      <c r="E1142" s="14"/>
      <c r="F1142" s="16"/>
    </row>
    <row r="1143" spans="1:6" ht="15" customHeight="1">
      <c r="B1143" s="11"/>
      <c r="C1143" s="13"/>
      <c r="D1143" s="13"/>
      <c r="E1143" s="14" t="s">
        <v>435</v>
      </c>
      <c r="F1143" s="16">
        <f>SUM(F1141:F1142)</f>
        <v>207013</v>
      </c>
    </row>
    <row r="1144" spans="1:6" ht="15" customHeight="1">
      <c r="B1144" s="11"/>
      <c r="C1144" s="13"/>
      <c r="D1144" s="13"/>
      <c r="E1144" s="14"/>
      <c r="F1144" s="16"/>
    </row>
    <row r="1145" spans="1:6" ht="15" customHeight="1">
      <c r="B1145" s="11"/>
      <c r="C1145" s="12" t="s">
        <v>436</v>
      </c>
      <c r="D1145" s="13"/>
      <c r="E1145" s="13"/>
      <c r="F1145" s="16"/>
    </row>
    <row r="1146" spans="1:6" ht="15" customHeight="1">
      <c r="A1146" s="6">
        <v>1</v>
      </c>
      <c r="B1146" s="11">
        <v>3415</v>
      </c>
      <c r="C1146" s="13"/>
      <c r="D1146" s="13"/>
      <c r="E1146" s="14" t="s">
        <v>2</v>
      </c>
      <c r="F1146" s="16">
        <v>1329615</v>
      </c>
    </row>
    <row r="1147" spans="1:6" ht="15" customHeight="1">
      <c r="B1147" s="11"/>
      <c r="C1147" s="13"/>
      <c r="D1147" s="13"/>
      <c r="E1147" s="14"/>
      <c r="F1147" s="16"/>
    </row>
    <row r="1148" spans="1:6" ht="15" customHeight="1">
      <c r="A1148" s="6">
        <v>2</v>
      </c>
      <c r="B1148" s="11">
        <v>3420</v>
      </c>
      <c r="C1148" s="13"/>
      <c r="D1148" s="13"/>
      <c r="E1148" s="14" t="s">
        <v>4</v>
      </c>
      <c r="F1148" s="16">
        <v>260989</v>
      </c>
    </row>
    <row r="1149" spans="1:6" ht="15" customHeight="1">
      <c r="B1149" s="11"/>
      <c r="C1149" s="13"/>
      <c r="D1149" s="13"/>
      <c r="E1149" s="14"/>
      <c r="F1149" s="16"/>
    </row>
    <row r="1150" spans="1:6" ht="15" customHeight="1">
      <c r="B1150" s="11"/>
      <c r="C1150" s="13"/>
      <c r="D1150" s="13"/>
      <c r="E1150" s="14" t="s">
        <v>437</v>
      </c>
      <c r="F1150" s="16">
        <f>SUM(F1146:F1148)</f>
        <v>1590604</v>
      </c>
    </row>
    <row r="1151" spans="1:6" ht="15" customHeight="1">
      <c r="B1151" s="11"/>
      <c r="C1151" s="13"/>
      <c r="D1151" s="13"/>
      <c r="E1151" s="14"/>
      <c r="F1151" s="16"/>
    </row>
    <row r="1152" spans="1:6" ht="15" customHeight="1">
      <c r="B1152" s="11"/>
      <c r="C1152" s="12" t="s">
        <v>438</v>
      </c>
      <c r="D1152" s="13"/>
      <c r="E1152" s="13"/>
      <c r="F1152" s="16"/>
    </row>
    <row r="1153" spans="1:6" ht="15" customHeight="1">
      <c r="A1153" s="6">
        <v>1</v>
      </c>
      <c r="B1153" s="11">
        <v>3425</v>
      </c>
      <c r="C1153" s="13"/>
      <c r="D1153" s="13"/>
      <c r="E1153" s="14" t="s">
        <v>2</v>
      </c>
      <c r="F1153" s="16">
        <v>109214</v>
      </c>
    </row>
    <row r="1154" spans="1:6" ht="15" customHeight="1">
      <c r="B1154" s="11"/>
      <c r="C1154" s="13"/>
      <c r="D1154" s="13"/>
      <c r="E1154" s="14"/>
      <c r="F1154" s="16"/>
    </row>
    <row r="1155" spans="1:6" ht="15" customHeight="1">
      <c r="B1155" s="11"/>
      <c r="C1155" s="13"/>
      <c r="D1155" s="13"/>
      <c r="E1155" s="14" t="s">
        <v>439</v>
      </c>
      <c r="F1155" s="16">
        <f>SUM(F1153:F1154)</f>
        <v>109214</v>
      </c>
    </row>
    <row r="1156" spans="1:6" ht="15" customHeight="1">
      <c r="B1156" s="11"/>
      <c r="C1156" s="13"/>
      <c r="D1156" s="13"/>
      <c r="E1156" s="14"/>
      <c r="F1156" s="16"/>
    </row>
    <row r="1157" spans="1:6" ht="15" customHeight="1">
      <c r="B1157" s="11"/>
      <c r="C1157" s="12" t="s">
        <v>440</v>
      </c>
      <c r="D1157" s="13"/>
      <c r="E1157" s="13"/>
      <c r="F1157" s="16"/>
    </row>
    <row r="1158" spans="1:6" ht="15" customHeight="1">
      <c r="A1158" s="6">
        <v>1</v>
      </c>
      <c r="B1158" s="11">
        <v>3430</v>
      </c>
      <c r="C1158" s="13"/>
      <c r="D1158" s="13"/>
      <c r="E1158" s="14" t="s">
        <v>2</v>
      </c>
      <c r="F1158" s="16">
        <v>177252</v>
      </c>
    </row>
    <row r="1159" spans="1:6" ht="15" customHeight="1">
      <c r="B1159" s="11"/>
      <c r="C1159" s="13"/>
      <c r="D1159" s="13"/>
      <c r="E1159" s="14"/>
      <c r="F1159" s="16"/>
    </row>
    <row r="1160" spans="1:6" ht="15" customHeight="1">
      <c r="A1160" s="6">
        <v>2</v>
      </c>
      <c r="B1160" s="11">
        <v>3435</v>
      </c>
      <c r="C1160" s="13"/>
      <c r="D1160" s="13"/>
      <c r="E1160" s="14" t="s">
        <v>4</v>
      </c>
      <c r="F1160" s="16">
        <v>5264252</v>
      </c>
    </row>
    <row r="1161" spans="1:6" ht="15" customHeight="1">
      <c r="B1161" s="11"/>
      <c r="C1161" s="13"/>
      <c r="D1161" s="13"/>
      <c r="E1161" s="14"/>
      <c r="F1161" s="16"/>
    </row>
    <row r="1162" spans="1:6" ht="15" customHeight="1">
      <c r="A1162" s="6">
        <v>3</v>
      </c>
      <c r="B1162" s="11">
        <v>3440</v>
      </c>
      <c r="C1162" s="13"/>
      <c r="D1162" s="13"/>
      <c r="E1162" s="14" t="s">
        <v>28</v>
      </c>
      <c r="F1162" s="16">
        <v>90000</v>
      </c>
    </row>
    <row r="1163" spans="1:6" ht="15" customHeight="1">
      <c r="B1163" s="11"/>
      <c r="C1163" s="13"/>
      <c r="D1163" s="13"/>
      <c r="E1163" s="14"/>
      <c r="F1163" s="16"/>
    </row>
    <row r="1164" spans="1:6" ht="15" customHeight="1">
      <c r="B1164" s="11"/>
      <c r="C1164" s="13"/>
      <c r="D1164" s="13"/>
      <c r="E1164" s="14" t="s">
        <v>441</v>
      </c>
      <c r="F1164" s="16">
        <f>SUM(F1158:F1163)</f>
        <v>5531504</v>
      </c>
    </row>
    <row r="1165" spans="1:6" ht="15" customHeight="1">
      <c r="B1165" s="11"/>
      <c r="C1165" s="13"/>
      <c r="D1165" s="13"/>
      <c r="E1165" s="14"/>
      <c r="F1165" s="16"/>
    </row>
    <row r="1166" spans="1:6" ht="15" customHeight="1">
      <c r="B1166" s="11"/>
      <c r="C1166" s="12" t="s">
        <v>442</v>
      </c>
      <c r="D1166" s="13"/>
      <c r="E1166" s="13"/>
      <c r="F1166" s="16"/>
    </row>
    <row r="1167" spans="1:6" ht="15" customHeight="1">
      <c r="A1167" s="6">
        <v>1</v>
      </c>
      <c r="B1167" s="11">
        <v>3450</v>
      </c>
      <c r="C1167" s="13"/>
      <c r="D1167" s="13"/>
      <c r="E1167" s="14" t="s">
        <v>2</v>
      </c>
      <c r="F1167" s="16">
        <v>370831</v>
      </c>
    </row>
    <row r="1168" spans="1:6" ht="15" customHeight="1">
      <c r="B1168" s="11"/>
      <c r="C1168" s="13"/>
      <c r="D1168" s="13"/>
      <c r="E1168" s="14"/>
      <c r="F1168" s="16"/>
    </row>
    <row r="1169" spans="1:6" ht="15" customHeight="1">
      <c r="A1169" s="6">
        <v>2</v>
      </c>
      <c r="B1169" s="11">
        <v>3455</v>
      </c>
      <c r="C1169" s="13"/>
      <c r="D1169" s="13"/>
      <c r="E1169" s="14" t="s">
        <v>4</v>
      </c>
      <c r="F1169" s="16">
        <v>66415</v>
      </c>
    </row>
    <row r="1170" spans="1:6" ht="15" customHeight="1">
      <c r="B1170" s="11"/>
      <c r="C1170" s="13"/>
      <c r="D1170" s="13"/>
      <c r="E1170" s="14"/>
      <c r="F1170" s="16"/>
    </row>
    <row r="1171" spans="1:6" ht="15" customHeight="1">
      <c r="B1171" s="11"/>
      <c r="C1171" s="13"/>
      <c r="D1171" s="13"/>
      <c r="E1171" s="14" t="s">
        <v>443</v>
      </c>
      <c r="F1171" s="16">
        <f>SUM(F1167:F1169)</f>
        <v>437246</v>
      </c>
    </row>
    <row r="1172" spans="1:6" ht="15" customHeight="1">
      <c r="B1172" s="11"/>
      <c r="C1172" s="13"/>
      <c r="D1172" s="13"/>
      <c r="E1172" s="14"/>
      <c r="F1172" s="16"/>
    </row>
    <row r="1173" spans="1:6" ht="15" customHeight="1">
      <c r="B1173" s="11"/>
      <c r="C1173" s="12" t="s">
        <v>444</v>
      </c>
      <c r="D1173" s="13"/>
      <c r="E1173" s="13"/>
      <c r="F1173" s="16"/>
    </row>
    <row r="1174" spans="1:6" ht="15" customHeight="1">
      <c r="B1174" s="11"/>
      <c r="C1174" s="13"/>
      <c r="D1174" s="14" t="s">
        <v>23</v>
      </c>
      <c r="E1174" s="13"/>
      <c r="F1174" s="16"/>
    </row>
    <row r="1175" spans="1:6" ht="15" customHeight="1">
      <c r="B1175" s="11">
        <v>3460</v>
      </c>
      <c r="C1175" s="13"/>
      <c r="D1175" s="13"/>
      <c r="E1175" s="14" t="s">
        <v>445</v>
      </c>
      <c r="F1175" s="16">
        <v>0</v>
      </c>
    </row>
    <row r="1176" spans="1:6" ht="15" customHeight="1">
      <c r="B1176" s="11">
        <v>3465</v>
      </c>
      <c r="C1176" s="13"/>
      <c r="D1176" s="13"/>
      <c r="E1176" s="14" t="s">
        <v>446</v>
      </c>
      <c r="F1176" s="16">
        <v>434768</v>
      </c>
    </row>
    <row r="1177" spans="1:6" ht="15" customHeight="1">
      <c r="B1177" s="11">
        <v>3470</v>
      </c>
      <c r="C1177" s="13"/>
      <c r="D1177" s="13"/>
      <c r="E1177" s="14" t="s">
        <v>447</v>
      </c>
      <c r="F1177" s="16">
        <v>0</v>
      </c>
    </row>
    <row r="1178" spans="1:6" ht="15" customHeight="1">
      <c r="B1178" s="11">
        <v>3475</v>
      </c>
      <c r="C1178" s="13"/>
      <c r="D1178" s="13"/>
      <c r="E1178" s="14" t="s">
        <v>448</v>
      </c>
      <c r="F1178" s="16">
        <v>226158</v>
      </c>
    </row>
    <row r="1179" spans="1:6" ht="15" customHeight="1">
      <c r="B1179" s="11">
        <v>3480</v>
      </c>
      <c r="C1179" s="13"/>
      <c r="D1179" s="13"/>
      <c r="E1179" s="14" t="s">
        <v>449</v>
      </c>
      <c r="F1179" s="16">
        <v>105862</v>
      </c>
    </row>
    <row r="1180" spans="1:6" ht="15" customHeight="1">
      <c r="B1180" s="11">
        <v>3485</v>
      </c>
      <c r="C1180" s="13"/>
      <c r="D1180" s="13"/>
      <c r="E1180" s="14" t="s">
        <v>450</v>
      </c>
      <c r="F1180" s="16">
        <v>2290428</v>
      </c>
    </row>
    <row r="1181" spans="1:6" ht="15" customHeight="1">
      <c r="A1181" s="6">
        <v>4</v>
      </c>
      <c r="B1181" s="11"/>
      <c r="C1181" s="13"/>
      <c r="D1181" s="13"/>
      <c r="E1181" s="14" t="s">
        <v>26</v>
      </c>
      <c r="F1181" s="16">
        <f>SUM(F1175:F1180)</f>
        <v>3057216</v>
      </c>
    </row>
    <row r="1182" spans="1:6" ht="15" customHeight="1">
      <c r="B1182" s="11"/>
      <c r="C1182" s="13"/>
      <c r="D1182" s="13"/>
      <c r="E1182" s="14"/>
      <c r="F1182" s="16"/>
    </row>
    <row r="1183" spans="1:6" ht="15" customHeight="1">
      <c r="A1183" s="6">
        <v>1</v>
      </c>
      <c r="B1183" s="11">
        <v>3490</v>
      </c>
      <c r="C1183" s="13"/>
      <c r="D1183" s="13"/>
      <c r="E1183" s="14" t="s">
        <v>2</v>
      </c>
      <c r="F1183" s="16">
        <v>37958495</v>
      </c>
    </row>
    <row r="1184" spans="1:6" ht="15" customHeight="1">
      <c r="B1184" s="11"/>
      <c r="C1184" s="13"/>
      <c r="D1184" s="13"/>
      <c r="E1184" s="14"/>
      <c r="F1184" s="16"/>
    </row>
    <row r="1185" spans="1:6" ht="15" customHeight="1">
      <c r="A1185" s="6">
        <v>2</v>
      </c>
      <c r="B1185" s="11">
        <v>3495</v>
      </c>
      <c r="C1185" s="13"/>
      <c r="D1185" s="13"/>
      <c r="E1185" s="14" t="s">
        <v>4</v>
      </c>
      <c r="F1185" s="16">
        <v>3101896</v>
      </c>
    </row>
    <row r="1186" spans="1:6" ht="15" customHeight="1">
      <c r="B1186" s="11"/>
      <c r="C1186" s="13"/>
      <c r="D1186" s="13"/>
      <c r="E1186" s="14"/>
      <c r="F1186" s="16"/>
    </row>
    <row r="1187" spans="1:6" ht="15" customHeight="1">
      <c r="A1187" s="6">
        <v>3</v>
      </c>
      <c r="B1187" s="11">
        <v>3500</v>
      </c>
      <c r="C1187" s="13"/>
      <c r="D1187" s="13"/>
      <c r="E1187" s="14" t="s">
        <v>28</v>
      </c>
      <c r="F1187" s="16">
        <v>281992</v>
      </c>
    </row>
    <row r="1188" spans="1:6" ht="15" customHeight="1">
      <c r="B1188" s="11"/>
      <c r="C1188" s="13"/>
      <c r="D1188" s="13"/>
      <c r="E1188" s="14"/>
      <c r="F1188" s="16"/>
    </row>
    <row r="1189" spans="1:6" ht="15" customHeight="1">
      <c r="B1189" s="11"/>
      <c r="C1189" s="13"/>
      <c r="D1189" s="13"/>
      <c r="E1189" s="14" t="s">
        <v>451</v>
      </c>
      <c r="F1189" s="16">
        <f>SUM(F1187+F1185+F1183+F1181)</f>
        <v>44399599</v>
      </c>
    </row>
    <row r="1190" spans="1:6" ht="15" customHeight="1">
      <c r="B1190" s="11"/>
      <c r="C1190" s="13"/>
      <c r="D1190" s="13"/>
      <c r="E1190" s="14"/>
      <c r="F1190" s="16"/>
    </row>
    <row r="1191" spans="1:6" ht="15" customHeight="1">
      <c r="B1191" s="11"/>
      <c r="C1191" s="12" t="s">
        <v>452</v>
      </c>
      <c r="D1191" s="13"/>
      <c r="E1191" s="13"/>
      <c r="F1191" s="16"/>
    </row>
    <row r="1192" spans="1:6" ht="15" customHeight="1">
      <c r="A1192" s="6">
        <v>1</v>
      </c>
      <c r="B1192" s="11">
        <v>3520</v>
      </c>
      <c r="C1192" s="13"/>
      <c r="D1192" s="13"/>
      <c r="E1192" s="14" t="s">
        <v>2</v>
      </c>
      <c r="F1192" s="16">
        <v>5567709</v>
      </c>
    </row>
    <row r="1193" spans="1:6" ht="15" customHeight="1">
      <c r="B1193" s="11"/>
      <c r="C1193" s="13"/>
      <c r="D1193" s="13"/>
      <c r="E1193" s="14"/>
      <c r="F1193" s="16"/>
    </row>
    <row r="1194" spans="1:6" ht="15" customHeight="1">
      <c r="A1194" s="6">
        <v>2</v>
      </c>
      <c r="B1194" s="11">
        <v>3525</v>
      </c>
      <c r="C1194" s="13"/>
      <c r="D1194" s="13"/>
      <c r="E1194" s="14" t="s">
        <v>4</v>
      </c>
      <c r="F1194" s="16">
        <v>502669</v>
      </c>
    </row>
    <row r="1195" spans="1:6" ht="15" customHeight="1">
      <c r="B1195" s="11"/>
      <c r="C1195" s="13"/>
      <c r="D1195" s="13"/>
      <c r="E1195" s="14"/>
      <c r="F1195" s="16"/>
    </row>
    <row r="1196" spans="1:6" ht="15" customHeight="1">
      <c r="B1196" s="11"/>
      <c r="C1196" s="13"/>
      <c r="D1196" s="13"/>
      <c r="E1196" s="14" t="s">
        <v>453</v>
      </c>
      <c r="F1196" s="16">
        <f>SUM(F1192:F1195)</f>
        <v>6070378</v>
      </c>
    </row>
    <row r="1197" spans="1:6" ht="15" customHeight="1">
      <c r="B1197" s="11"/>
      <c r="C1197" s="13"/>
      <c r="D1197" s="13"/>
      <c r="E1197" s="14"/>
      <c r="F1197" s="16"/>
    </row>
    <row r="1198" spans="1:6" ht="15" customHeight="1">
      <c r="B1198" s="11"/>
      <c r="C1198" s="12" t="s">
        <v>454</v>
      </c>
      <c r="D1198" s="13"/>
      <c r="E1198" s="14"/>
      <c r="F1198" s="16"/>
    </row>
    <row r="1199" spans="1:6" ht="15" customHeight="1">
      <c r="B1199" s="11"/>
      <c r="C1199" s="15" t="s">
        <v>455</v>
      </c>
      <c r="D1199" s="13"/>
      <c r="E1199" s="14"/>
      <c r="F1199" s="16"/>
    </row>
    <row r="1200" spans="1:6" ht="15" customHeight="1">
      <c r="B1200" s="11"/>
      <c r="C1200" s="13"/>
      <c r="D1200" s="14" t="s">
        <v>23</v>
      </c>
      <c r="E1200" s="14"/>
      <c r="F1200" s="16"/>
    </row>
    <row r="1201" spans="1:6" ht="15" customHeight="1">
      <c r="B1201" s="11">
        <v>3600</v>
      </c>
      <c r="C1201" s="13"/>
      <c r="D1201" s="13"/>
      <c r="E1201" s="14" t="s">
        <v>456</v>
      </c>
      <c r="F1201" s="16">
        <v>25637</v>
      </c>
    </row>
    <row r="1202" spans="1:6" ht="15" customHeight="1">
      <c r="B1202" s="11">
        <v>3605</v>
      </c>
      <c r="C1202" s="13"/>
      <c r="D1202" s="13"/>
      <c r="E1202" s="14" t="s">
        <v>457</v>
      </c>
      <c r="F1202" s="16">
        <v>1297791</v>
      </c>
    </row>
    <row r="1203" spans="1:6" ht="15" customHeight="1">
      <c r="B1203" s="11">
        <v>3610</v>
      </c>
      <c r="C1203" s="13"/>
      <c r="D1203" s="13"/>
      <c r="E1203" s="14" t="s">
        <v>458</v>
      </c>
      <c r="F1203" s="16">
        <v>838665</v>
      </c>
    </row>
    <row r="1204" spans="1:6" ht="15" customHeight="1">
      <c r="A1204" s="6">
        <v>4</v>
      </c>
      <c r="B1204" s="11"/>
      <c r="C1204" s="13"/>
      <c r="D1204" s="13"/>
      <c r="E1204" s="14" t="s">
        <v>26</v>
      </c>
      <c r="F1204" s="16">
        <f>SUM(F1201:F1203)</f>
        <v>2162093</v>
      </c>
    </row>
    <row r="1205" spans="1:6" ht="15" customHeight="1">
      <c r="B1205" s="11"/>
      <c r="C1205" s="13"/>
      <c r="D1205" s="13"/>
      <c r="E1205" s="14"/>
      <c r="F1205" s="16"/>
    </row>
    <row r="1206" spans="1:6" ht="15" customHeight="1">
      <c r="A1206" s="6">
        <v>1</v>
      </c>
      <c r="B1206" s="11">
        <v>3615</v>
      </c>
      <c r="C1206" s="13"/>
      <c r="D1206" s="13"/>
      <c r="E1206" s="14" t="s">
        <v>2</v>
      </c>
      <c r="F1206" s="16">
        <v>8231320</v>
      </c>
    </row>
    <row r="1207" spans="1:6" ht="15" customHeight="1">
      <c r="B1207" s="11"/>
      <c r="C1207" s="13"/>
      <c r="D1207" s="13"/>
      <c r="E1207" s="14"/>
      <c r="F1207" s="16"/>
    </row>
    <row r="1208" spans="1:6" ht="15" customHeight="1">
      <c r="A1208" s="6">
        <v>2</v>
      </c>
      <c r="B1208" s="11">
        <v>3620</v>
      </c>
      <c r="C1208" s="13"/>
      <c r="D1208" s="13"/>
      <c r="E1208" s="14" t="s">
        <v>4</v>
      </c>
      <c r="F1208" s="16">
        <v>2472305</v>
      </c>
    </row>
    <row r="1209" spans="1:6" ht="15" customHeight="1">
      <c r="B1209" s="11"/>
      <c r="C1209" s="13"/>
      <c r="D1209" s="13"/>
      <c r="E1209" s="14"/>
      <c r="F1209" s="16"/>
    </row>
    <row r="1210" spans="1:6" ht="15" customHeight="1">
      <c r="A1210" s="6">
        <v>3</v>
      </c>
      <c r="B1210" s="11">
        <v>3625</v>
      </c>
      <c r="C1210" s="13"/>
      <c r="D1210" s="13"/>
      <c r="E1210" s="14" t="s">
        <v>28</v>
      </c>
      <c r="F1210" s="16">
        <v>6310382</v>
      </c>
    </row>
    <row r="1211" spans="1:6" ht="15" customHeight="1">
      <c r="B1211" s="11"/>
      <c r="C1211" s="13"/>
      <c r="D1211" s="13"/>
      <c r="E1211" s="14"/>
      <c r="F1211" s="16"/>
    </row>
    <row r="1212" spans="1:6" ht="15" customHeight="1">
      <c r="B1212" s="11"/>
      <c r="C1212" s="13"/>
      <c r="D1212" s="13"/>
      <c r="E1212" s="14" t="s">
        <v>459</v>
      </c>
      <c r="F1212" s="16">
        <f>SUM(F1210+F1208+F1206+F1204)</f>
        <v>19176100</v>
      </c>
    </row>
    <row r="1213" spans="1:6" ht="15" customHeight="1">
      <c r="B1213" s="11"/>
      <c r="C1213" s="13"/>
      <c r="D1213" s="13"/>
      <c r="E1213" s="14"/>
      <c r="F1213" s="16"/>
    </row>
    <row r="1214" spans="1:6" ht="15" customHeight="1">
      <c r="B1214" s="11"/>
      <c r="C1214" s="15" t="s">
        <v>460</v>
      </c>
      <c r="D1214" s="13"/>
      <c r="E1214" s="13"/>
      <c r="F1214" s="16"/>
    </row>
    <row r="1215" spans="1:6" ht="15" customHeight="1">
      <c r="B1215" s="11"/>
      <c r="C1215" s="13"/>
      <c r="D1215" s="14" t="s">
        <v>23</v>
      </c>
      <c r="E1215" s="13"/>
      <c r="F1215" s="16"/>
    </row>
    <row r="1216" spans="1:6" ht="15" customHeight="1">
      <c r="B1216" s="11">
        <v>3663</v>
      </c>
      <c r="C1216" s="13"/>
      <c r="D1216" s="14"/>
      <c r="E1216" s="13" t="s">
        <v>461</v>
      </c>
      <c r="F1216" s="16">
        <v>87000</v>
      </c>
    </row>
    <row r="1217" spans="1:6" ht="15" customHeight="1">
      <c r="B1217" s="11">
        <v>3664</v>
      </c>
      <c r="C1217" s="13"/>
      <c r="D1217" s="14"/>
      <c r="E1217" s="13" t="s">
        <v>462</v>
      </c>
      <c r="F1217" s="16">
        <v>350000</v>
      </c>
    </row>
    <row r="1218" spans="1:6" ht="15" customHeight="1">
      <c r="B1218" s="11">
        <v>3665</v>
      </c>
      <c r="C1218" s="13"/>
      <c r="D1218" s="14"/>
      <c r="E1218" s="13" t="s">
        <v>463</v>
      </c>
      <c r="F1218" s="16">
        <v>75000</v>
      </c>
    </row>
    <row r="1219" spans="1:6" ht="15" customHeight="1">
      <c r="B1219" s="11">
        <v>3670</v>
      </c>
      <c r="C1219" s="13"/>
      <c r="D1219" s="13"/>
      <c r="E1219" s="14" t="s">
        <v>464</v>
      </c>
      <c r="F1219" s="16">
        <v>829365</v>
      </c>
    </row>
    <row r="1220" spans="1:6" ht="15" customHeight="1">
      <c r="B1220" s="11">
        <v>3675</v>
      </c>
      <c r="C1220" s="13"/>
      <c r="D1220" s="13"/>
      <c r="E1220" s="14" t="s">
        <v>465</v>
      </c>
      <c r="F1220" s="16">
        <v>0</v>
      </c>
    </row>
    <row r="1221" spans="1:6" ht="15" customHeight="1">
      <c r="B1221" s="11">
        <v>3680</v>
      </c>
      <c r="C1221" s="13"/>
      <c r="D1221" s="13"/>
      <c r="E1221" s="14" t="s">
        <v>466</v>
      </c>
      <c r="F1221" s="16">
        <v>328001</v>
      </c>
    </row>
    <row r="1222" spans="1:6" ht="15" customHeight="1">
      <c r="B1222" s="11">
        <v>3685</v>
      </c>
      <c r="C1222" s="13"/>
      <c r="D1222" s="13"/>
      <c r="E1222" s="14" t="s">
        <v>467</v>
      </c>
      <c r="F1222" s="16">
        <v>1406690</v>
      </c>
    </row>
    <row r="1223" spans="1:6" ht="15" customHeight="1">
      <c r="B1223" s="11">
        <v>3690</v>
      </c>
      <c r="C1223" s="13"/>
      <c r="D1223" s="13"/>
      <c r="E1223" s="22" t="s">
        <v>468</v>
      </c>
      <c r="F1223" s="16">
        <v>70000</v>
      </c>
    </row>
    <row r="1224" spans="1:6" ht="15" customHeight="1">
      <c r="A1224" s="6">
        <v>4</v>
      </c>
      <c r="B1224" s="11"/>
      <c r="C1224" s="13"/>
      <c r="D1224" s="13"/>
      <c r="E1224" s="14" t="s">
        <v>26</v>
      </c>
      <c r="F1224" s="16">
        <f>SUM(F1216:F1223)</f>
        <v>3146056</v>
      </c>
    </row>
    <row r="1225" spans="1:6" ht="15" customHeight="1">
      <c r="B1225" s="11"/>
      <c r="C1225" s="13"/>
      <c r="D1225" s="13"/>
      <c r="E1225" s="14"/>
      <c r="F1225" s="16"/>
    </row>
    <row r="1226" spans="1:6" ht="15" customHeight="1">
      <c r="A1226" s="6">
        <v>1</v>
      </c>
      <c r="B1226" s="11">
        <v>3695</v>
      </c>
      <c r="C1226" s="13"/>
      <c r="D1226" s="13"/>
      <c r="E1226" s="14" t="s">
        <v>2</v>
      </c>
      <c r="F1226" s="16">
        <v>14451785</v>
      </c>
    </row>
    <row r="1227" spans="1:6" ht="15" customHeight="1">
      <c r="B1227" s="11"/>
      <c r="C1227" s="13"/>
      <c r="D1227" s="13"/>
      <c r="E1227" s="14"/>
      <c r="F1227" s="16"/>
    </row>
    <row r="1228" spans="1:6" ht="15" customHeight="1">
      <c r="A1228" s="6">
        <v>2</v>
      </c>
      <c r="B1228" s="11">
        <v>3700</v>
      </c>
      <c r="C1228" s="13"/>
      <c r="D1228" s="13"/>
      <c r="E1228" s="14" t="s">
        <v>4</v>
      </c>
      <c r="F1228" s="16">
        <v>13151316</v>
      </c>
    </row>
    <row r="1229" spans="1:6" ht="15" customHeight="1">
      <c r="B1229" s="11"/>
      <c r="C1229" s="13"/>
      <c r="D1229" s="13"/>
      <c r="E1229" s="14"/>
      <c r="F1229" s="16"/>
    </row>
    <row r="1230" spans="1:6" ht="15" customHeight="1">
      <c r="A1230" s="6">
        <v>3</v>
      </c>
      <c r="B1230" s="11">
        <v>3705</v>
      </c>
      <c r="C1230" s="13"/>
      <c r="D1230" s="13"/>
      <c r="E1230" s="14" t="s">
        <v>28</v>
      </c>
      <c r="F1230" s="16">
        <v>2978948</v>
      </c>
    </row>
    <row r="1231" spans="1:6" ht="15" customHeight="1">
      <c r="B1231" s="11"/>
      <c r="C1231" s="13"/>
      <c r="D1231" s="13"/>
      <c r="E1231" s="14"/>
      <c r="F1231" s="16"/>
    </row>
    <row r="1232" spans="1:6" ht="15" customHeight="1">
      <c r="B1232" s="11"/>
      <c r="C1232" s="13"/>
      <c r="D1232" s="13"/>
      <c r="E1232" s="14" t="s">
        <v>469</v>
      </c>
      <c r="F1232" s="16">
        <f>SUM(F1226+F1228+F1230+F1224)</f>
        <v>33728105</v>
      </c>
    </row>
    <row r="1233" spans="1:6" ht="15" customHeight="1">
      <c r="B1233" s="11"/>
      <c r="C1233" s="13"/>
      <c r="D1233" s="13"/>
      <c r="E1233" s="14"/>
      <c r="F1233" s="16"/>
    </row>
    <row r="1234" spans="1:6" ht="15" customHeight="1">
      <c r="B1234" s="11"/>
      <c r="C1234" s="15" t="s">
        <v>470</v>
      </c>
      <c r="D1234" s="13"/>
      <c r="E1234" s="13"/>
      <c r="F1234" s="16"/>
    </row>
    <row r="1235" spans="1:6" ht="15" customHeight="1">
      <c r="B1235" s="11"/>
      <c r="C1235" s="13"/>
      <c r="D1235" s="14" t="s">
        <v>23</v>
      </c>
      <c r="E1235" s="14"/>
      <c r="F1235" s="16"/>
    </row>
    <row r="1236" spans="1:6" ht="15" customHeight="1">
      <c r="B1236" s="11">
        <v>3750</v>
      </c>
      <c r="C1236" s="13"/>
      <c r="D1236" s="13"/>
      <c r="E1236" s="14" t="s">
        <v>471</v>
      </c>
      <c r="F1236" s="16">
        <v>56721</v>
      </c>
    </row>
    <row r="1237" spans="1:6" ht="15" customHeight="1">
      <c r="A1237" s="6">
        <v>4</v>
      </c>
      <c r="B1237" s="11"/>
      <c r="C1237" s="13"/>
      <c r="D1237" s="13"/>
      <c r="E1237" s="14" t="s">
        <v>26</v>
      </c>
      <c r="F1237" s="16">
        <f>SUM(F1236)</f>
        <v>56721</v>
      </c>
    </row>
    <row r="1238" spans="1:6" ht="15" customHeight="1">
      <c r="B1238" s="11"/>
      <c r="C1238" s="13"/>
      <c r="D1238" s="13"/>
      <c r="E1238" s="14"/>
      <c r="F1238" s="16"/>
    </row>
    <row r="1239" spans="1:6" ht="15" customHeight="1">
      <c r="A1239" s="6">
        <v>1</v>
      </c>
      <c r="B1239" s="11">
        <v>3755</v>
      </c>
      <c r="C1239" s="13"/>
      <c r="D1239" s="13"/>
      <c r="E1239" s="14" t="s">
        <v>2</v>
      </c>
      <c r="F1239" s="16">
        <v>8916796</v>
      </c>
    </row>
    <row r="1240" spans="1:6" ht="15" customHeight="1">
      <c r="B1240" s="11"/>
      <c r="C1240" s="13"/>
      <c r="D1240" s="13"/>
      <c r="E1240" s="14"/>
      <c r="F1240" s="16"/>
    </row>
    <row r="1241" spans="1:6" ht="15" customHeight="1">
      <c r="A1241" s="6">
        <v>2</v>
      </c>
      <c r="B1241" s="11">
        <v>3760</v>
      </c>
      <c r="C1241" s="13"/>
      <c r="D1241" s="13"/>
      <c r="E1241" s="14" t="s">
        <v>4</v>
      </c>
      <c r="F1241" s="16">
        <v>7482335</v>
      </c>
    </row>
    <row r="1242" spans="1:6" ht="15" customHeight="1">
      <c r="B1242" s="11"/>
      <c r="C1242" s="13"/>
      <c r="D1242" s="13"/>
      <c r="E1242" s="14"/>
      <c r="F1242" s="16"/>
    </row>
    <row r="1243" spans="1:6" ht="15" customHeight="1">
      <c r="A1243" s="6">
        <v>3</v>
      </c>
      <c r="B1243" s="11">
        <v>3765</v>
      </c>
      <c r="C1243" s="13"/>
      <c r="D1243" s="13"/>
      <c r="E1243" s="14" t="s">
        <v>28</v>
      </c>
      <c r="F1243" s="16">
        <v>2295018</v>
      </c>
    </row>
    <row r="1244" spans="1:6" ht="15" customHeight="1">
      <c r="B1244" s="11"/>
      <c r="C1244" s="13"/>
      <c r="D1244" s="13"/>
      <c r="E1244" s="14"/>
      <c r="F1244" s="16"/>
    </row>
    <row r="1245" spans="1:6" ht="15" customHeight="1">
      <c r="B1245" s="11"/>
      <c r="C1245" s="13"/>
      <c r="D1245" s="13"/>
      <c r="E1245" s="14" t="s">
        <v>472</v>
      </c>
      <c r="F1245" s="16">
        <f>SUM(F1243)+F1241+F1239+F1237</f>
        <v>18750870</v>
      </c>
    </row>
    <row r="1246" spans="1:6" ht="15" customHeight="1">
      <c r="B1246" s="11"/>
      <c r="C1246" s="13"/>
      <c r="D1246" s="13"/>
      <c r="E1246" s="14"/>
      <c r="F1246" s="16"/>
    </row>
    <row r="1247" spans="1:6" ht="15" customHeight="1">
      <c r="B1247" s="11"/>
      <c r="C1247" s="13"/>
      <c r="D1247" s="13"/>
      <c r="E1247" s="18" t="s">
        <v>112</v>
      </c>
      <c r="F1247" s="16">
        <f>SUM(F1239+F1226+F1206)</f>
        <v>31599901</v>
      </c>
    </row>
    <row r="1248" spans="1:6" ht="15" customHeight="1">
      <c r="B1248" s="11"/>
      <c r="C1248" s="13"/>
      <c r="D1248" s="13"/>
      <c r="E1248" s="14" t="s">
        <v>473</v>
      </c>
      <c r="F1248" s="16">
        <f>SUM(F1245+F1232+F1212)</f>
        <v>71655075</v>
      </c>
    </row>
    <row r="1249" spans="1:6" ht="15" customHeight="1">
      <c r="B1249" s="11"/>
      <c r="C1249" s="13"/>
      <c r="D1249" s="13"/>
      <c r="E1249" s="14"/>
      <c r="F1249" s="16"/>
    </row>
    <row r="1250" spans="1:6" ht="15" customHeight="1">
      <c r="B1250" s="11"/>
      <c r="C1250" s="12" t="s">
        <v>474</v>
      </c>
      <c r="D1250" s="13"/>
      <c r="E1250" s="14"/>
      <c r="F1250" s="16"/>
    </row>
    <row r="1251" spans="1:6" ht="15" customHeight="1">
      <c r="B1251" s="11"/>
      <c r="C1251" s="12"/>
      <c r="D1251" s="14" t="s">
        <v>23</v>
      </c>
      <c r="E1251" s="13"/>
      <c r="F1251" s="16"/>
    </row>
    <row r="1252" spans="1:6" ht="15" customHeight="1">
      <c r="B1252" s="11">
        <v>3800</v>
      </c>
      <c r="C1252" s="12"/>
      <c r="D1252" s="13"/>
      <c r="E1252" s="14" t="s">
        <v>475</v>
      </c>
      <c r="F1252" s="16">
        <v>0</v>
      </c>
    </row>
    <row r="1253" spans="1:6" ht="15" customHeight="1">
      <c r="B1253" s="11">
        <v>3801</v>
      </c>
      <c r="C1253" s="12"/>
      <c r="D1253" s="13"/>
      <c r="E1253" s="14" t="s">
        <v>476</v>
      </c>
      <c r="F1253" s="16">
        <v>0</v>
      </c>
    </row>
    <row r="1254" spans="1:6" ht="15" customHeight="1">
      <c r="A1254" s="6">
        <v>4</v>
      </c>
      <c r="B1254" s="11"/>
      <c r="C1254" s="12"/>
      <c r="D1254" s="13"/>
      <c r="E1254" s="14" t="s">
        <v>26</v>
      </c>
      <c r="F1254" s="16">
        <f>SUM(F1252:F1253)</f>
        <v>0</v>
      </c>
    </row>
    <row r="1255" spans="1:6" ht="15" customHeight="1">
      <c r="B1255" s="11"/>
      <c r="C1255" s="12"/>
      <c r="D1255" s="13"/>
      <c r="E1255" s="14"/>
      <c r="F1255" s="16"/>
    </row>
    <row r="1256" spans="1:6" ht="15" customHeight="1">
      <c r="A1256" s="6">
        <v>1</v>
      </c>
      <c r="B1256" s="11">
        <v>3805</v>
      </c>
      <c r="C1256" s="13"/>
      <c r="D1256" s="13"/>
      <c r="E1256" s="14" t="s">
        <v>2</v>
      </c>
      <c r="F1256" s="16">
        <v>1391805</v>
      </c>
    </row>
    <row r="1257" spans="1:6" ht="15" customHeight="1">
      <c r="B1257" s="11"/>
      <c r="C1257" s="13"/>
      <c r="D1257" s="13"/>
      <c r="E1257" s="14"/>
      <c r="F1257" s="16"/>
    </row>
    <row r="1258" spans="1:6" ht="15" customHeight="1">
      <c r="A1258" s="6">
        <v>2</v>
      </c>
      <c r="B1258" s="11">
        <v>3810</v>
      </c>
      <c r="C1258" s="13"/>
      <c r="D1258" s="13"/>
      <c r="E1258" s="14" t="s">
        <v>4</v>
      </c>
      <c r="F1258" s="16">
        <v>1600172</v>
      </c>
    </row>
    <row r="1259" spans="1:6" ht="15" customHeight="1">
      <c r="B1259" s="11"/>
      <c r="C1259" s="13"/>
      <c r="D1259" s="13"/>
      <c r="E1259" s="14"/>
      <c r="F1259" s="16"/>
    </row>
    <row r="1260" spans="1:6" ht="15" customHeight="1">
      <c r="B1260" s="11"/>
      <c r="C1260" s="13"/>
      <c r="D1260" s="13"/>
      <c r="E1260" s="14" t="s">
        <v>477</v>
      </c>
      <c r="F1260" s="16">
        <f>SUM(F1258+F1256+F1254)</f>
        <v>2991977</v>
      </c>
    </row>
    <row r="1261" spans="1:6" ht="15" customHeight="1">
      <c r="B1261" s="11"/>
      <c r="C1261" s="13"/>
      <c r="D1261" s="13"/>
      <c r="E1261" s="14"/>
      <c r="F1261" s="16"/>
    </row>
    <row r="1262" spans="1:6" ht="15" customHeight="1">
      <c r="B1262" s="11"/>
      <c r="C1262" s="12" t="s">
        <v>478</v>
      </c>
      <c r="D1262" s="13"/>
      <c r="E1262" s="14"/>
      <c r="F1262" s="16"/>
    </row>
    <row r="1263" spans="1:6" ht="15" customHeight="1">
      <c r="B1263" s="11"/>
      <c r="C1263" s="13"/>
      <c r="D1263" s="14" t="s">
        <v>23</v>
      </c>
      <c r="E1263" s="14"/>
      <c r="F1263" s="16"/>
    </row>
    <row r="1264" spans="1:6" ht="15" customHeight="1">
      <c r="B1264" s="11">
        <v>3820</v>
      </c>
      <c r="C1264" s="13"/>
      <c r="D1264" s="13"/>
      <c r="E1264" s="14" t="s">
        <v>479</v>
      </c>
      <c r="F1264" s="16">
        <v>76405</v>
      </c>
    </row>
    <row r="1265" spans="1:6" ht="15" customHeight="1">
      <c r="B1265" s="11">
        <v>3821</v>
      </c>
      <c r="C1265" s="13"/>
      <c r="D1265" s="13"/>
      <c r="E1265" s="14" t="s">
        <v>480</v>
      </c>
      <c r="F1265" s="16">
        <v>9561</v>
      </c>
    </row>
    <row r="1266" spans="1:6" ht="15" customHeight="1">
      <c r="B1266" s="11">
        <v>3825</v>
      </c>
      <c r="C1266" s="13"/>
      <c r="D1266" s="13"/>
      <c r="E1266" s="14" t="s">
        <v>481</v>
      </c>
      <c r="F1266" s="16">
        <v>270074</v>
      </c>
    </row>
    <row r="1267" spans="1:6" ht="15" customHeight="1">
      <c r="B1267" s="11">
        <v>3830</v>
      </c>
      <c r="C1267" s="13"/>
      <c r="D1267" s="13"/>
      <c r="E1267" s="14" t="s">
        <v>482</v>
      </c>
      <c r="F1267" s="16">
        <v>93867</v>
      </c>
    </row>
    <row r="1268" spans="1:6" ht="15" customHeight="1">
      <c r="A1268" s="6">
        <v>4</v>
      </c>
      <c r="B1268" s="11"/>
      <c r="C1268" s="13"/>
      <c r="D1268" s="13"/>
      <c r="E1268" s="14" t="s">
        <v>26</v>
      </c>
      <c r="F1268" s="16">
        <f>SUM(F1264:F1267)</f>
        <v>449907</v>
      </c>
    </row>
    <row r="1269" spans="1:6" ht="15" customHeight="1">
      <c r="B1269" s="11"/>
      <c r="C1269" s="13"/>
      <c r="D1269" s="13"/>
      <c r="E1269" s="14"/>
      <c r="F1269" s="16"/>
    </row>
    <row r="1270" spans="1:6" ht="15" customHeight="1">
      <c r="A1270" s="6">
        <v>1</v>
      </c>
      <c r="B1270" s="11">
        <v>3835</v>
      </c>
      <c r="C1270" s="13"/>
      <c r="D1270" s="13"/>
      <c r="E1270" s="14" t="s">
        <v>2</v>
      </c>
      <c r="F1270" s="16">
        <v>1093385</v>
      </c>
    </row>
    <row r="1271" spans="1:6" ht="15" customHeight="1">
      <c r="B1271" s="11"/>
      <c r="C1271" s="13"/>
      <c r="D1271" s="13"/>
      <c r="E1271" s="14"/>
      <c r="F1271" s="16"/>
    </row>
    <row r="1272" spans="1:6" ht="15" customHeight="1">
      <c r="A1272" s="6">
        <v>3</v>
      </c>
      <c r="B1272" s="11">
        <v>3845</v>
      </c>
      <c r="C1272" s="13"/>
      <c r="D1272" s="13"/>
      <c r="E1272" s="14" t="s">
        <v>129</v>
      </c>
      <c r="F1272" s="16">
        <v>133146</v>
      </c>
    </row>
    <row r="1273" spans="1:6" ht="15" customHeight="1">
      <c r="B1273" s="11"/>
      <c r="C1273" s="13"/>
      <c r="D1273" s="13"/>
      <c r="E1273" s="14"/>
      <c r="F1273" s="16"/>
    </row>
    <row r="1274" spans="1:6" ht="15" customHeight="1">
      <c r="B1274" s="11"/>
      <c r="C1274" s="13"/>
      <c r="D1274" s="13"/>
      <c r="E1274" s="14" t="s">
        <v>483</v>
      </c>
      <c r="F1274" s="16">
        <f>SUM(F1268:F1272)</f>
        <v>1676438</v>
      </c>
    </row>
    <row r="1275" spans="1:6" ht="15" customHeight="1">
      <c r="B1275" s="11"/>
      <c r="C1275" s="13"/>
      <c r="D1275" s="13"/>
      <c r="E1275" s="14"/>
      <c r="F1275" s="16"/>
    </row>
    <row r="1276" spans="1:6" ht="15" customHeight="1">
      <c r="B1276" s="11"/>
      <c r="C1276" s="12" t="s">
        <v>484</v>
      </c>
      <c r="D1276" s="13"/>
      <c r="E1276" s="14"/>
      <c r="F1276" s="16"/>
    </row>
    <row r="1277" spans="1:6" ht="15" customHeight="1">
      <c r="B1277" s="11"/>
      <c r="C1277" s="15" t="s">
        <v>1</v>
      </c>
      <c r="D1277" s="13"/>
      <c r="E1277" s="14"/>
      <c r="F1277" s="16"/>
    </row>
    <row r="1278" spans="1:6" ht="15" customHeight="1">
      <c r="B1278" s="11"/>
      <c r="C1278" s="13"/>
      <c r="D1278" s="14" t="s">
        <v>23</v>
      </c>
      <c r="E1278" s="14"/>
      <c r="F1278" s="16"/>
    </row>
    <row r="1279" spans="1:6" ht="15" customHeight="1">
      <c r="B1279" s="11">
        <v>3850</v>
      </c>
      <c r="C1279" s="13"/>
      <c r="D1279" s="13"/>
      <c r="E1279" s="14" t="s">
        <v>485</v>
      </c>
      <c r="F1279" s="16">
        <v>2919372</v>
      </c>
    </row>
    <row r="1280" spans="1:6" ht="15" customHeight="1">
      <c r="A1280" s="6">
        <v>4</v>
      </c>
      <c r="B1280" s="11"/>
      <c r="C1280" s="13"/>
      <c r="D1280" s="13"/>
      <c r="E1280" s="14" t="s">
        <v>26</v>
      </c>
      <c r="F1280" s="16">
        <f>SUM(F1279)</f>
        <v>2919372</v>
      </c>
    </row>
    <row r="1281" spans="1:6" ht="15" customHeight="1">
      <c r="B1281" s="11"/>
      <c r="C1281" s="13"/>
      <c r="D1281" s="13"/>
      <c r="E1281" s="14"/>
      <c r="F1281" s="16"/>
    </row>
    <row r="1282" spans="1:6" ht="15" customHeight="1">
      <c r="A1282" s="6">
        <v>2</v>
      </c>
      <c r="B1282" s="11">
        <v>3855</v>
      </c>
      <c r="C1282" s="13"/>
      <c r="D1282" s="13"/>
      <c r="E1282" s="14" t="s">
        <v>4</v>
      </c>
      <c r="F1282" s="16">
        <v>4303883</v>
      </c>
    </row>
    <row r="1283" spans="1:6" ht="15" customHeight="1">
      <c r="B1283" s="11"/>
      <c r="C1283" s="13"/>
      <c r="D1283" s="13"/>
      <c r="E1283" s="14"/>
      <c r="F1283" s="16"/>
    </row>
    <row r="1284" spans="1:6" ht="15" customHeight="1">
      <c r="B1284" s="11"/>
      <c r="C1284" s="13"/>
      <c r="D1284" s="13"/>
      <c r="E1284" s="14" t="s">
        <v>5</v>
      </c>
      <c r="F1284" s="16">
        <f>SUM(F1282+F1280)</f>
        <v>7223255</v>
      </c>
    </row>
    <row r="1285" spans="1:6" ht="15" customHeight="1">
      <c r="B1285" s="11"/>
      <c r="C1285" s="13"/>
      <c r="D1285" s="13"/>
      <c r="E1285" s="14"/>
      <c r="F1285" s="16"/>
    </row>
    <row r="1286" spans="1:6" ht="15" customHeight="1">
      <c r="B1286" s="11"/>
      <c r="C1286" s="15" t="s">
        <v>486</v>
      </c>
      <c r="D1286" s="13"/>
      <c r="E1286" s="13"/>
      <c r="F1286" s="16"/>
    </row>
    <row r="1287" spans="1:6" ht="15" customHeight="1">
      <c r="B1287" s="11"/>
      <c r="C1287" s="13"/>
      <c r="D1287" s="14" t="s">
        <v>23</v>
      </c>
      <c r="E1287" s="13"/>
      <c r="F1287" s="16"/>
    </row>
    <row r="1288" spans="1:6" ht="15" customHeight="1">
      <c r="B1288" s="11">
        <v>3865</v>
      </c>
      <c r="C1288" s="13"/>
      <c r="D1288" s="13"/>
      <c r="E1288" s="14" t="s">
        <v>485</v>
      </c>
      <c r="F1288" s="16">
        <v>1804362</v>
      </c>
    </row>
    <row r="1289" spans="1:6" ht="15" customHeight="1">
      <c r="A1289" s="6">
        <v>4</v>
      </c>
      <c r="B1289" s="11"/>
      <c r="C1289" s="13"/>
      <c r="D1289" s="13"/>
      <c r="E1289" s="14" t="s">
        <v>26</v>
      </c>
      <c r="F1289" s="16">
        <f>SUM(F1288)</f>
        <v>1804362</v>
      </c>
    </row>
    <row r="1290" spans="1:6" ht="15" customHeight="1">
      <c r="B1290" s="11"/>
      <c r="C1290" s="13"/>
      <c r="D1290" s="13"/>
      <c r="E1290" s="14"/>
      <c r="F1290" s="16"/>
    </row>
    <row r="1291" spans="1:6" ht="15" customHeight="1">
      <c r="B1291" s="11"/>
      <c r="C1291" s="13"/>
      <c r="D1291" s="13"/>
      <c r="E1291" s="14" t="s">
        <v>487</v>
      </c>
      <c r="F1291" s="16">
        <f>SUM(F1289)</f>
        <v>1804362</v>
      </c>
    </row>
    <row r="1292" spans="1:6" ht="15" customHeight="1">
      <c r="B1292" s="11"/>
      <c r="C1292" s="13"/>
      <c r="D1292" s="13"/>
      <c r="E1292" s="14"/>
      <c r="F1292" s="16"/>
    </row>
    <row r="1293" spans="1:6" ht="15" customHeight="1">
      <c r="B1293" s="11"/>
      <c r="C1293" s="15" t="s">
        <v>488</v>
      </c>
      <c r="D1293" s="13"/>
      <c r="E1293" s="13"/>
      <c r="F1293" s="16"/>
    </row>
    <row r="1294" spans="1:6" ht="15" customHeight="1">
      <c r="B1294" s="11"/>
      <c r="C1294" s="13"/>
      <c r="D1294" s="14" t="s">
        <v>23</v>
      </c>
      <c r="E1294" s="13"/>
      <c r="F1294" s="16"/>
    </row>
    <row r="1295" spans="1:6" ht="15" customHeight="1">
      <c r="B1295" s="11">
        <v>3865</v>
      </c>
      <c r="C1295" s="13"/>
      <c r="D1295" s="13"/>
      <c r="E1295" s="14" t="s">
        <v>485</v>
      </c>
      <c r="F1295" s="16">
        <v>40181997</v>
      </c>
    </row>
    <row r="1296" spans="1:6" ht="15" customHeight="1">
      <c r="B1296" s="11">
        <v>3875</v>
      </c>
      <c r="C1296" s="13"/>
      <c r="D1296" s="13"/>
      <c r="E1296" s="14" t="s">
        <v>489</v>
      </c>
      <c r="F1296" s="16">
        <v>360000</v>
      </c>
    </row>
    <row r="1297" spans="1:6" ht="15" customHeight="1">
      <c r="B1297" s="11">
        <v>3895</v>
      </c>
      <c r="C1297" s="13"/>
      <c r="D1297" s="13"/>
      <c r="E1297" s="14" t="s">
        <v>490</v>
      </c>
      <c r="F1297" s="16">
        <v>8000000</v>
      </c>
    </row>
    <row r="1298" spans="1:6" ht="15" customHeight="1">
      <c r="B1298" s="11">
        <v>3880</v>
      </c>
      <c r="C1298" s="13"/>
      <c r="D1298" s="13"/>
      <c r="E1298" s="14" t="s">
        <v>491</v>
      </c>
      <c r="F1298" s="16">
        <v>1000000</v>
      </c>
    </row>
    <row r="1299" spans="1:6" ht="15" customHeight="1">
      <c r="A1299" s="6">
        <v>4</v>
      </c>
      <c r="B1299" s="11"/>
      <c r="C1299" s="13"/>
      <c r="D1299" s="13"/>
      <c r="E1299" s="14" t="s">
        <v>26</v>
      </c>
      <c r="F1299" s="16">
        <f>SUM(F1295:F1298)</f>
        <v>49541997</v>
      </c>
    </row>
    <row r="1300" spans="1:6" ht="15" customHeight="1">
      <c r="B1300" s="11"/>
      <c r="C1300" s="13"/>
      <c r="D1300" s="13"/>
      <c r="E1300" s="14"/>
      <c r="F1300" s="16"/>
    </row>
    <row r="1301" spans="1:6" ht="15" customHeight="1">
      <c r="A1301" s="6">
        <v>2</v>
      </c>
      <c r="B1301" s="11">
        <v>3900</v>
      </c>
      <c r="C1301" s="13"/>
      <c r="D1301" s="13"/>
      <c r="E1301" s="14" t="s">
        <v>4</v>
      </c>
      <c r="F1301" s="16">
        <v>220870521</v>
      </c>
    </row>
    <row r="1302" spans="1:6" ht="15" customHeight="1">
      <c r="B1302" s="11"/>
      <c r="C1302" s="13"/>
      <c r="D1302" s="13"/>
      <c r="E1302" s="14"/>
      <c r="F1302" s="16"/>
    </row>
    <row r="1303" spans="1:6" ht="15" customHeight="1">
      <c r="A1303" s="6">
        <v>3</v>
      </c>
      <c r="B1303" s="11">
        <v>3905</v>
      </c>
      <c r="C1303" s="13"/>
      <c r="D1303" s="13"/>
      <c r="E1303" s="14" t="s">
        <v>28</v>
      </c>
      <c r="F1303" s="16">
        <v>25006000</v>
      </c>
    </row>
    <row r="1304" spans="1:6" ht="15" customHeight="1">
      <c r="B1304" s="11"/>
      <c r="C1304" s="13"/>
      <c r="D1304" s="13"/>
      <c r="E1304" s="14"/>
      <c r="F1304" s="16"/>
    </row>
    <row r="1305" spans="1:6" ht="15" customHeight="1">
      <c r="B1305" s="11"/>
      <c r="C1305" s="13"/>
      <c r="D1305" s="13"/>
      <c r="E1305" s="14" t="s">
        <v>492</v>
      </c>
      <c r="F1305" s="16">
        <f>SUM(F1299+F1301+F1303)</f>
        <v>295418518</v>
      </c>
    </row>
    <row r="1306" spans="1:6" ht="15" customHeight="1">
      <c r="B1306" s="11"/>
      <c r="C1306" s="13"/>
      <c r="D1306" s="13"/>
      <c r="E1306" s="14"/>
      <c r="F1306" s="16"/>
    </row>
    <row r="1307" spans="1:6" ht="15" customHeight="1">
      <c r="B1307" s="11"/>
      <c r="C1307" s="15" t="s">
        <v>493</v>
      </c>
      <c r="D1307" s="13"/>
      <c r="E1307" s="13"/>
      <c r="F1307" s="16"/>
    </row>
    <row r="1308" spans="1:6" ht="15" customHeight="1">
      <c r="B1308" s="11"/>
      <c r="C1308" s="13"/>
      <c r="D1308" s="14" t="s">
        <v>23</v>
      </c>
      <c r="E1308" s="13"/>
      <c r="F1308" s="16"/>
    </row>
    <row r="1309" spans="1:6" ht="15" customHeight="1">
      <c r="B1309" s="11">
        <v>3861</v>
      </c>
      <c r="C1309" s="13"/>
      <c r="D1309" s="13"/>
      <c r="E1309" s="14" t="s">
        <v>494</v>
      </c>
      <c r="F1309" s="16">
        <v>35286569</v>
      </c>
    </row>
    <row r="1310" spans="1:6" ht="15" customHeight="1">
      <c r="A1310" s="6">
        <v>4</v>
      </c>
      <c r="B1310" s="11"/>
      <c r="C1310" s="13"/>
      <c r="D1310" s="13"/>
      <c r="E1310" s="14" t="s">
        <v>26</v>
      </c>
      <c r="F1310" s="16">
        <f>SUM(F1309)</f>
        <v>35286569</v>
      </c>
    </row>
    <row r="1311" spans="1:6" ht="15" customHeight="1">
      <c r="B1311" s="11"/>
      <c r="C1311" s="13"/>
      <c r="D1311" s="13"/>
      <c r="E1311" s="14"/>
      <c r="F1311" s="16"/>
    </row>
    <row r="1312" spans="1:6" ht="15" customHeight="1">
      <c r="B1312" s="11"/>
      <c r="C1312" s="13"/>
      <c r="D1312" s="13"/>
      <c r="E1312" s="14" t="s">
        <v>495</v>
      </c>
      <c r="F1312" s="16">
        <f>SUM(F1310)</f>
        <v>35286569</v>
      </c>
    </row>
    <row r="1313" spans="1:6" ht="15" customHeight="1">
      <c r="B1313" s="11"/>
      <c r="C1313" s="13"/>
      <c r="D1313" s="13"/>
      <c r="E1313" s="14"/>
      <c r="F1313" s="16"/>
    </row>
    <row r="1314" spans="1:6" ht="15" customHeight="1">
      <c r="A1314" s="6">
        <v>6</v>
      </c>
      <c r="B1314" s="11"/>
      <c r="C1314" s="13"/>
      <c r="D1314" s="13"/>
      <c r="E1314" s="14" t="s">
        <v>496</v>
      </c>
      <c r="F1314" s="16">
        <f>SUM(F1305+F1312+F1291+F1284)</f>
        <v>339732704</v>
      </c>
    </row>
    <row r="1315" spans="1:6" ht="15" customHeight="1">
      <c r="B1315" s="1"/>
      <c r="C1315" s="2"/>
      <c r="D1315" s="2"/>
      <c r="E1315" s="3"/>
      <c r="F1315" s="4"/>
    </row>
    <row r="1316" spans="1:6" ht="15" customHeight="1">
      <c r="B1316" s="1"/>
      <c r="C1316" s="2"/>
      <c r="D1316" s="5" t="s">
        <v>497</v>
      </c>
      <c r="E1316" s="4"/>
      <c r="F1316" s="4"/>
    </row>
    <row r="1317" spans="1:6" ht="15" customHeight="1">
      <c r="A1317" s="31">
        <v>1</v>
      </c>
      <c r="B1317" s="34"/>
      <c r="C1317" s="35"/>
      <c r="D1317" s="35"/>
      <c r="E1317" s="18" t="s">
        <v>2</v>
      </c>
      <c r="F1317" s="28">
        <f>SUMIF(A5:A1314,A1317,F5:F1314)</f>
        <v>2660380777</v>
      </c>
    </row>
    <row r="1318" spans="1:6" ht="15" customHeight="1">
      <c r="A1318" s="32">
        <v>2</v>
      </c>
      <c r="B1318" s="34"/>
      <c r="C1318" s="35"/>
      <c r="D1318" s="35"/>
      <c r="E1318" s="18" t="s">
        <v>4</v>
      </c>
      <c r="F1318" s="28">
        <f>SUMIF(A6:A1315,A1318,F6:F1315)</f>
        <v>1600211468</v>
      </c>
    </row>
    <row r="1319" spans="1:6" ht="15" customHeight="1">
      <c r="A1319" s="32">
        <v>3</v>
      </c>
      <c r="B1319" s="34"/>
      <c r="C1319" s="35"/>
      <c r="D1319" s="35"/>
      <c r="E1319" s="18" t="s">
        <v>498</v>
      </c>
      <c r="F1319" s="28">
        <f>SUMIF(A7:A1316,A1319,F7:F1316)</f>
        <v>114459006</v>
      </c>
    </row>
    <row r="1320" spans="1:6" ht="15" customHeight="1">
      <c r="A1320" s="32">
        <v>4</v>
      </c>
      <c r="B1320" s="34"/>
      <c r="C1320" s="35"/>
      <c r="D1320" s="35"/>
      <c r="E1320" s="18" t="s">
        <v>26</v>
      </c>
      <c r="F1320" s="28">
        <f>SUMIF(A8:A1317,A1320,F8:F1317)</f>
        <v>955320056</v>
      </c>
    </row>
    <row r="1321" spans="1:6" ht="15" customHeight="1">
      <c r="A1321" s="33">
        <v>6</v>
      </c>
      <c r="B1321" s="34"/>
      <c r="C1321" s="35"/>
      <c r="D1321" s="35"/>
      <c r="E1321" s="18" t="s">
        <v>499</v>
      </c>
      <c r="F1321" s="16">
        <f>SUM(F1317:F1320)</f>
        <v>5330371307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</dc:creator>
  <cp:lastModifiedBy>Carina Negreanu</cp:lastModifiedBy>
  <cp:lastPrinted>2002-06-13T18:02:43Z</cp:lastPrinted>
  <dcterms:created xsi:type="dcterms:W3CDTF">2002-06-13T16:35:23Z</dcterms:created>
  <dcterms:modified xsi:type="dcterms:W3CDTF">2020-01-27T11:15:27Z</dcterms:modified>
</cp:coreProperties>
</file>