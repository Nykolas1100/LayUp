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804BE0-D580-40A8-8DD6-E2D6D50ABE00}" xr6:coauthVersionLast="45" xr6:coauthVersionMax="45" xr10:uidLastSave="{00000000-0000-0000-0000-000000000000}"/>
  <bookViews>
    <workbookView xWindow="3420" yWindow="3420" windowWidth="28800" windowHeight="15460" activeTab="1"/>
  </bookViews>
  <sheets>
    <sheet name="readme" sheetId="3" r:id="rId1"/>
    <sheet name="database" sheetId="2" r:id="rId2"/>
  </sheets>
  <definedNames>
    <definedName name="_xlnm._FilterDatabase" localSheetId="1" hidden="1">database!$A$1:$AI$136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6" i="2" l="1"/>
</calcChain>
</file>

<file path=xl/sharedStrings.xml><?xml version="1.0" encoding="utf-8"?>
<sst xmlns="http://schemas.openxmlformats.org/spreadsheetml/2006/main" count="2107" uniqueCount="664">
  <si>
    <t>0-4</t>
  </si>
  <si>
    <t>0-1</t>
  </si>
  <si>
    <t>1-4</t>
  </si>
  <si>
    <t>TO DO</t>
  </si>
  <si>
    <t>LIST</t>
  </si>
  <si>
    <t>5q0 (risk)</t>
  </si>
  <si>
    <t>rate (/1000 c-yrs of follow-up)</t>
  </si>
  <si>
    <t>ratio (/1000 live births</t>
  </si>
  <si>
    <t>% of diarrhoea dths</t>
  </si>
  <si>
    <t>1q0 (risk)</t>
  </si>
  <si>
    <t>4q1 (risk)</t>
  </si>
  <si>
    <t>Definition</t>
  </si>
  <si>
    <t>numbers small, exclude</t>
  </si>
  <si>
    <t>Central Afr J Med; 41:148-53</t>
  </si>
  <si>
    <t>AFR D</t>
  </si>
  <si>
    <t>Ghana</t>
  </si>
  <si>
    <t>0-59</t>
  </si>
  <si>
    <t>Diarrhoea</t>
  </si>
  <si>
    <t>no CoD, exclude</t>
  </si>
  <si>
    <t>Int J Epidemiol; 22(Suppl.1): S42-S49</t>
  </si>
  <si>
    <t>Liberia</t>
  </si>
  <si>
    <t>wrong age-grouping; exclude</t>
  </si>
  <si>
    <t>Trop Med Int Health; 1:147-54</t>
  </si>
  <si>
    <t>1993 (7)</t>
  </si>
  <si>
    <t>1995 (6)</t>
  </si>
  <si>
    <t>6-59</t>
  </si>
  <si>
    <t>Gastro-enteritis</t>
  </si>
  <si>
    <t>OK</t>
  </si>
  <si>
    <t>Annals Trop Paed; 13:345-52</t>
  </si>
  <si>
    <t>Gambia</t>
  </si>
  <si>
    <t>1988 (7)</t>
  </si>
  <si>
    <t>1989 (6)</t>
  </si>
  <si>
    <t>Acute gastro-enteritis - a history of moderate or severe vomiting or diarrhoea for a duration of 2-29 days (dehydration supported the diagnosis);                                  Chronic diarrhoea and malnutrition - diarrhoea of at least 3</t>
  </si>
  <si>
    <t>Annals Trop Paed; 7:91-9</t>
  </si>
  <si>
    <t>1982 (4)</t>
  </si>
  <si>
    <t>1983 (3)</t>
  </si>
  <si>
    <t>0-83</t>
  </si>
  <si>
    <t>Acute gastro-enteritis &amp;                                                      Malnutrition and/or chronic diarrhoea - death more than 28 d after onset of diarrhoa</t>
  </si>
  <si>
    <t>Trop Med Int Health; 2:28-37</t>
  </si>
  <si>
    <t>Acute gastroenteritis: a history of moderate or severe vomiting or diarrhoea for a duration of 2-29 days</t>
  </si>
  <si>
    <t>J Diarrhoeal Dis Res; 9:323-7</t>
  </si>
  <si>
    <t>Nigeria</t>
  </si>
  <si>
    <t>0-60</t>
  </si>
  <si>
    <t>Diarrhoea associated diseases</t>
  </si>
  <si>
    <t>Trop Med Int Health; 4:433-41</t>
  </si>
  <si>
    <t>AFR E</t>
  </si>
  <si>
    <t>South Africa</t>
  </si>
  <si>
    <t>pending</t>
  </si>
  <si>
    <t>Trans of the Roy Soc of Trop Med and Hyg; 86:216-20</t>
  </si>
  <si>
    <t>Guinea Bissau</t>
  </si>
  <si>
    <t>1987 (4)</t>
  </si>
  <si>
    <t>1990 (3)</t>
  </si>
  <si>
    <t>1-59</t>
  </si>
  <si>
    <t xml:space="preserve">Acute Diarrhoea &amp;                                                      Persistent Diarrhoea / malnutrition - death more than 14 d after onset of illness                                 </t>
  </si>
  <si>
    <t>Int J Epidemiol; 22:72-80</t>
  </si>
  <si>
    <t>Senegal</t>
  </si>
  <si>
    <t>Gastrointestinal diseases</t>
  </si>
  <si>
    <t>J Trop Pediatrics; 37:254-61</t>
  </si>
  <si>
    <t>Ethiopia</t>
  </si>
  <si>
    <t>hosp-based, exclude</t>
  </si>
  <si>
    <t>Lancet; 340:351-5</t>
  </si>
  <si>
    <t>Kenya</t>
  </si>
  <si>
    <t>0-131</t>
  </si>
  <si>
    <t>see note</t>
  </si>
  <si>
    <t>not a multiple of 12 months, exclude</t>
  </si>
  <si>
    <t>The Lancet; 342:7-12</t>
  </si>
  <si>
    <t>VAST</t>
  </si>
  <si>
    <t>6-90</t>
  </si>
  <si>
    <t>Acute gastroenteritis + chronic diarrhoea or malnutrition</t>
  </si>
  <si>
    <t>Ethiop Med J; 36:71-81</t>
  </si>
  <si>
    <t>1990 (11)</t>
  </si>
  <si>
    <t>1995 (5)</t>
  </si>
  <si>
    <t xml:space="preserve">0-59 </t>
  </si>
  <si>
    <t>Trop Med Parasitol; 43:229-33</t>
  </si>
  <si>
    <t>Tanzania</t>
  </si>
  <si>
    <t>1986 (7)</t>
  </si>
  <si>
    <t>1987 (6)</t>
  </si>
  <si>
    <t>Bull of the WHO; 75:205-12</t>
  </si>
  <si>
    <t>Guinea-Bissau</t>
  </si>
  <si>
    <t>1992 (5)</t>
  </si>
  <si>
    <t>1993 (4)</t>
  </si>
  <si>
    <t>1-30</t>
  </si>
  <si>
    <t>The Lancet; 341:1491-5</t>
  </si>
  <si>
    <t>DR Congo</t>
  </si>
  <si>
    <t>1989 (10)</t>
  </si>
  <si>
    <t>1991 (2)</t>
  </si>
  <si>
    <t xml:space="preserve">0-71 </t>
  </si>
  <si>
    <t>Diarrhoea: WHO criteria</t>
  </si>
  <si>
    <t>Am J Trop Med Hyg; 36:598-602</t>
  </si>
  <si>
    <t>CAR</t>
  </si>
  <si>
    <t>1982 (11)</t>
  </si>
  <si>
    <t>1983 (11)</t>
  </si>
  <si>
    <t>Diarrhea</t>
  </si>
  <si>
    <t>J Trop Med Hyg; 93:87-97</t>
  </si>
  <si>
    <t>Trans Royal Soc Trop Med Hyg; 80:851-8</t>
  </si>
  <si>
    <t>75a</t>
  </si>
  <si>
    <t>J Biosoc Sci; 22:63-75</t>
  </si>
  <si>
    <t>Intestinal infectious diseases (ICD, 1977.)</t>
  </si>
  <si>
    <t>Trop Geographical Med; 46:305-8</t>
  </si>
  <si>
    <t>Diarrhoeal disease</t>
  </si>
  <si>
    <t>Bull of the WHO; 74:547-52</t>
  </si>
  <si>
    <t>EMR D</t>
  </si>
  <si>
    <t>Somalia</t>
  </si>
  <si>
    <t>Soc Sci Med; 42:1599-1604</t>
  </si>
  <si>
    <t>Sierra Leone</t>
  </si>
  <si>
    <t>J Trop Pediatrics; 42:365-9</t>
  </si>
  <si>
    <t>Namibia</t>
  </si>
  <si>
    <t>WAJM; 17:95-8</t>
  </si>
  <si>
    <t>Bull of the WHO; 65:325-30</t>
  </si>
  <si>
    <t>Uganda</t>
  </si>
  <si>
    <t>3a</t>
  </si>
  <si>
    <t>73a</t>
  </si>
  <si>
    <t>8a</t>
  </si>
  <si>
    <t>Int J Epidemiol; 22(Suppl.1): S56-S63</t>
  </si>
  <si>
    <t>0-35</t>
  </si>
  <si>
    <t>14.9 *</t>
  </si>
  <si>
    <t>8b</t>
  </si>
  <si>
    <t>13.1 *</t>
  </si>
  <si>
    <t>no good CoD, exclude</t>
  </si>
  <si>
    <t xml:space="preserve">Medicine Tropicale; 46:355-8 </t>
  </si>
  <si>
    <t>Cameroon (Centre et Sud)</t>
  </si>
  <si>
    <t>Cameroon (Douala)</t>
  </si>
  <si>
    <t>Cameroon (Mayo-Sava)</t>
  </si>
  <si>
    <t>Annals Top Med &amp; Parasitology; 78:265-71</t>
  </si>
  <si>
    <t>1977 (11)</t>
  </si>
  <si>
    <t>1978 (10)</t>
  </si>
  <si>
    <t>J Diarrhoeal Dis Res; 11:25-9</t>
  </si>
  <si>
    <t>Acute+ Persistent+Dysentery</t>
  </si>
  <si>
    <t>SEAR D</t>
  </si>
  <si>
    <t>Bangladesh</t>
  </si>
  <si>
    <t>India</t>
  </si>
  <si>
    <t xml:space="preserve">Medicine Tropicale; 44:27-31 </t>
  </si>
  <si>
    <t>pooled, exclude</t>
  </si>
  <si>
    <t>Soc Sci Med; 23:297-303</t>
  </si>
  <si>
    <t>age-grouping wrong, exclude</t>
  </si>
  <si>
    <t xml:space="preserve">Medicine Tropicale; 50:429-32 </t>
  </si>
  <si>
    <t>Côte d'Ivoire</t>
  </si>
  <si>
    <t>0-30</t>
  </si>
  <si>
    <t>8.7*</t>
  </si>
  <si>
    <t>Rev Epidem et Sante Publ; 37:161-6</t>
  </si>
  <si>
    <t xml:space="preserve">Dem Rep Congo (Zaire) </t>
  </si>
  <si>
    <t>1986 (3)</t>
  </si>
  <si>
    <t>1987 (2)</t>
  </si>
  <si>
    <t>Diarrhoeal diseases</t>
  </si>
  <si>
    <t>J Tropical Pediatrics; 36:287-93</t>
  </si>
  <si>
    <t>Zambia</t>
  </si>
  <si>
    <t>?</t>
  </si>
  <si>
    <t>0-11</t>
  </si>
  <si>
    <t>J biosoc Sci; 22:349-63</t>
  </si>
  <si>
    <t>AMR B</t>
  </si>
  <si>
    <t>Brazil</t>
  </si>
  <si>
    <t>1984 (5)</t>
  </si>
  <si>
    <t>1985 (4)</t>
  </si>
  <si>
    <t>Rev Panam Salud Publ; 7:303-12</t>
  </si>
  <si>
    <t>J Biosoc Sci; 33:227-44</t>
  </si>
  <si>
    <t>exclude, no CoD</t>
  </si>
  <si>
    <t>Int J Epidemiol; 17:651-4</t>
  </si>
  <si>
    <t>1984 (12)</t>
  </si>
  <si>
    <t>1985 (12)</t>
  </si>
  <si>
    <t>Diarrhoea: ICD9</t>
  </si>
  <si>
    <t>Arch Dis Childhood; 62:487-90</t>
  </si>
  <si>
    <t>Int J Epidemiol; 16:239-45</t>
  </si>
  <si>
    <t>Annals Trop Paed; 17:361-5</t>
  </si>
  <si>
    <t>Health Policy and Planning; 11:132-41</t>
  </si>
  <si>
    <t>Int J Epidemiol; 21:911-5</t>
  </si>
  <si>
    <t>12-59</t>
  </si>
  <si>
    <t>Bull WHO; 80:391-8</t>
  </si>
  <si>
    <t>12-60</t>
  </si>
  <si>
    <t>no info, exclude</t>
  </si>
  <si>
    <t>Bol Med Hosp Infant Mex; 57:32-40</t>
  </si>
  <si>
    <t>Mexico</t>
  </si>
  <si>
    <t>Pediatrics; 85:188-94</t>
  </si>
  <si>
    <t>AMR D</t>
  </si>
  <si>
    <t>Haiti</t>
  </si>
  <si>
    <t>1981 (10)</t>
  </si>
  <si>
    <t>0-39</t>
  </si>
  <si>
    <t>C look p</t>
  </si>
  <si>
    <t>Ann Trop Med Parasitol; 94:817-29</t>
  </si>
  <si>
    <t>Egypt</t>
  </si>
  <si>
    <t>71 and 49</t>
  </si>
  <si>
    <t>J Trop Pediatrics;40:272-8</t>
  </si>
  <si>
    <t>1990 (7)</t>
  </si>
  <si>
    <t>1991 (12)</t>
  </si>
  <si>
    <t>Soc Sci Med; 51:185-97</t>
  </si>
  <si>
    <t>Lancet; 335:334-8</t>
  </si>
  <si>
    <t>Acta Paediatr Suppl 390: 109-17</t>
  </si>
  <si>
    <t>Pakistan</t>
  </si>
  <si>
    <t>1984 (4)</t>
  </si>
  <si>
    <t>1987 (3)</t>
  </si>
  <si>
    <t>0-23</t>
  </si>
  <si>
    <t>Acute + Chronic diarrhoea</t>
  </si>
  <si>
    <t>bias, exclude</t>
  </si>
  <si>
    <t>Bull Int Union against TB and Lung dis; 65:25-8</t>
  </si>
  <si>
    <t>Bull WhO; 68:577-85</t>
  </si>
  <si>
    <t>JPMA; 43:226-9</t>
  </si>
  <si>
    <t>J Trop Ped; 43:330-6</t>
  </si>
  <si>
    <t>The Lancet; 340:267-71</t>
  </si>
  <si>
    <t>Sudan</t>
  </si>
  <si>
    <t>1988 (6)</t>
  </si>
  <si>
    <t>1990 (12)</t>
  </si>
  <si>
    <t>9-72</t>
  </si>
  <si>
    <t>Ann Trop Paediatr; 9:75-81</t>
  </si>
  <si>
    <t>Yemen</t>
  </si>
  <si>
    <t>J Pediatrics; 128:489-96</t>
  </si>
  <si>
    <t>SEAR B</t>
  </si>
  <si>
    <t>Indonesia</t>
  </si>
  <si>
    <t>1992 (6)</t>
  </si>
  <si>
    <t>1993 (6)</t>
  </si>
  <si>
    <t>J Health Popul Nutr; 18(3):131-8</t>
  </si>
  <si>
    <t>1997 (2)</t>
  </si>
  <si>
    <t>1998 (2)</t>
  </si>
  <si>
    <t>Lancet; 342:787-9</t>
  </si>
  <si>
    <t>1991 (7)</t>
  </si>
  <si>
    <t>1992 (12)</t>
  </si>
  <si>
    <t>J Trop Pediatr; 31:268-72</t>
  </si>
  <si>
    <t>1983 (4)</t>
  </si>
  <si>
    <t>Southeast Asian J Trop Med Public Health; 30: 789-803</t>
  </si>
  <si>
    <t>Thailand</t>
  </si>
  <si>
    <t>1991 (1)</t>
  </si>
  <si>
    <t>Studies in Family Planning; 20:136-46</t>
  </si>
  <si>
    <t>Pediatrics 108(4): E67</t>
  </si>
  <si>
    <t>1993 (11)</t>
  </si>
  <si>
    <t>Diarrhoea: frequent loose or liquid stools in the 2 wk before death, starting 1-13 d before death, lasting until death, without blood in the stools, combined peak number of stools &gt;=3/day, 2 of: weakness, dry mouth, sunken eyes, depressed fontanelle, loos</t>
  </si>
  <si>
    <t>J Trop Pediatrics; 37:31-6</t>
  </si>
  <si>
    <t xml:space="preserve">Acute watery diarrhoea - liquid stools containing mostly water and very little solid material passed more frequently than usual; Acute non-warey diarrhoea - other types of diarrhoea lasting less than 2 weeks either with mucoid or bloody stool; Persistent </t>
  </si>
  <si>
    <t>exclude, no data on CoD</t>
  </si>
  <si>
    <t>Trop Med Int Health; 4:758-64</t>
  </si>
  <si>
    <t>Watery stools more than 3 times a day</t>
  </si>
  <si>
    <t>Int J Epidemiol; 9:25-33</t>
  </si>
  <si>
    <t>use other baqui with same data, exclude</t>
  </si>
  <si>
    <t>Bull WHO; 76:161-71</t>
  </si>
  <si>
    <t>same as [19] Faveau data. Exclude</t>
  </si>
  <si>
    <t>Int J Epidemiol; 20:729-35</t>
  </si>
  <si>
    <t>Ann Trop Paediatrics; 9:33-9</t>
  </si>
  <si>
    <t>1982 (1)</t>
  </si>
  <si>
    <t>Acute diarrhoea: watery stool; =&gt;24h duration or =&gt;10 stools; lasting =&lt;14 days. Acute dysentery: stool with blood or mucus; fever; lasting =&gt;24h but =&lt;14 days. Chronic diarrhoea: continuous or repeated episodes lasting =&gt;21 days</t>
  </si>
  <si>
    <t>BMJ; 301:103-7</t>
  </si>
  <si>
    <t>6-35</t>
  </si>
  <si>
    <t>25.3 (per 1000 children)</t>
  </si>
  <si>
    <t>Diarrhoeal diseases: acute watery diarrhoea, acute non-watery diarrhoea, post measles diarrhoea, persistent diarrhoea, persistent diarrhoea with severe malnutrition</t>
  </si>
  <si>
    <t>J Trop Pediatrics; 42:342-7</t>
  </si>
  <si>
    <t>J Health Popul Nutr; 18:151-6</t>
  </si>
  <si>
    <t>J Epidemiol Community Heath; 54:247-53</t>
  </si>
  <si>
    <t>J Trop Pediatr; 33:190-3</t>
  </si>
  <si>
    <t>1984(4)</t>
  </si>
  <si>
    <t>1985(3)</t>
  </si>
  <si>
    <t>Indian J Pediatr; 63:363-8</t>
  </si>
  <si>
    <t>Diarrhoea - change in consistency and character of stools or three or more loose watery stools per day.</t>
  </si>
  <si>
    <t>The Lancet; 336:201-6</t>
  </si>
  <si>
    <t xml:space="preserve">Indian J Publ Hlth;37:81-6 </t>
  </si>
  <si>
    <t>1988 (1)</t>
  </si>
  <si>
    <t>1988 (12)</t>
  </si>
  <si>
    <t>Indian Pediatrics; 34:995-1001</t>
  </si>
  <si>
    <t>1987 (12)</t>
  </si>
  <si>
    <t>1989 (11)</t>
  </si>
  <si>
    <t>Indian J Public Health; 37:61-5</t>
  </si>
  <si>
    <t>0-71</t>
  </si>
  <si>
    <t>J Roy Soc Health;October:247-9</t>
  </si>
  <si>
    <t>1989 (4)</t>
  </si>
  <si>
    <t>N Engl J Med; 323:929-35</t>
  </si>
  <si>
    <t>J Diarrhoeal Dis Res; 5:159-64</t>
  </si>
  <si>
    <t>Indian J Med Res; 83:9-12</t>
  </si>
  <si>
    <t>Lancet 338; 67-71</t>
  </si>
  <si>
    <t>Nepal</t>
  </si>
  <si>
    <t>6-72</t>
  </si>
  <si>
    <t>Soc Sci Med; 45:1031-40</t>
  </si>
  <si>
    <t>WPR B</t>
  </si>
  <si>
    <t>China</t>
  </si>
  <si>
    <t>1985 (1)</t>
  </si>
  <si>
    <t>Diarrhoea and malnutrition</t>
  </si>
  <si>
    <t>Am J Clin Nutr; 65:1070-7</t>
  </si>
  <si>
    <t>Philippines</t>
  </si>
  <si>
    <t xml:space="preserve">0-23 </t>
  </si>
  <si>
    <t>J Trop Pediatrics; 37:280-5</t>
  </si>
  <si>
    <t>Vietnam</t>
  </si>
  <si>
    <t>10 days</t>
  </si>
  <si>
    <t>exclude, data ancient</t>
  </si>
  <si>
    <t>Int J Epidemiol; 15:373-7</t>
  </si>
  <si>
    <t>EMR B</t>
  </si>
  <si>
    <t>Lebanon</t>
  </si>
  <si>
    <t>1,416</t>
  </si>
  <si>
    <t>1,265</t>
  </si>
  <si>
    <t>Acta Paediatr; 90:682-90</t>
  </si>
  <si>
    <t>Arch Fr Pediatr; 50:741-7</t>
  </si>
  <si>
    <t>Algeria</t>
  </si>
  <si>
    <t>same data as other Chen, exclude</t>
  </si>
  <si>
    <t>Studies in Family Planning; 14:199-209</t>
  </si>
  <si>
    <t>Indian Pediatrics; 26:544-9</t>
  </si>
  <si>
    <t>not possible to adjust - exclude</t>
  </si>
  <si>
    <t>Am J Epidemiol; 128:1330-9</t>
  </si>
  <si>
    <t>10-60</t>
  </si>
  <si>
    <t>Bull WHO; 74:189-97</t>
  </si>
  <si>
    <t>wrong age-groups; exclude</t>
  </si>
  <si>
    <t>Int J Epidemiol; 12:88-92</t>
  </si>
  <si>
    <t>1976(5)</t>
  </si>
  <si>
    <t>1978(4)</t>
  </si>
  <si>
    <t>0-29</t>
  </si>
  <si>
    <t>J Diarrhoeal Dis Res; 12:173-81</t>
  </si>
  <si>
    <t>1987(11)</t>
  </si>
  <si>
    <t>1988(10)</t>
  </si>
  <si>
    <t>Soc Sci Med; 40:S1-S30</t>
  </si>
  <si>
    <t>La Sante Publique; 30:171-80</t>
  </si>
  <si>
    <t>AMR A</t>
  </si>
  <si>
    <t>Cuba</t>
  </si>
  <si>
    <t>BMJ; 304:207-10</t>
  </si>
  <si>
    <t>Bull Soc Path Ex; 86:373-9</t>
  </si>
  <si>
    <t>Burundi</t>
  </si>
  <si>
    <t>1990 (6)</t>
  </si>
  <si>
    <t>1991 (5)</t>
  </si>
  <si>
    <t>JAMA; 272:382-5</t>
  </si>
  <si>
    <t>Afghanistan</t>
  </si>
  <si>
    <t>1993 (2)</t>
  </si>
  <si>
    <t>1993 (12)</t>
  </si>
  <si>
    <t>Lancet; 228:993-7</t>
  </si>
  <si>
    <t>neonates only, exclude</t>
  </si>
  <si>
    <t>J Indian Med Assoc; 96:333-4,7</t>
  </si>
  <si>
    <t>Indian J Pediatr; 59:567-71</t>
  </si>
  <si>
    <t>Studies in Family Planning; 13:315-27</t>
  </si>
  <si>
    <t>Bull Pan Am Health Org; 19:29-39</t>
  </si>
  <si>
    <t>Acta Peadiatrica Suppl; 390:63-78</t>
  </si>
  <si>
    <t>1984 (9)</t>
  </si>
  <si>
    <t>Rev Soc Bras Med Trop; 34:473-8</t>
  </si>
  <si>
    <t>Salud Publica Mex; 36:243-6</t>
  </si>
  <si>
    <t>Rev Saude Publica; 29:132-9</t>
  </si>
  <si>
    <t>.</t>
  </si>
  <si>
    <t>1995</t>
  </si>
  <si>
    <t>1993</t>
  </si>
  <si>
    <t>1996</t>
  </si>
  <si>
    <t>1987</t>
  </si>
  <si>
    <t>1997</t>
  </si>
  <si>
    <t>1991</t>
  </si>
  <si>
    <t>1999</t>
  </si>
  <si>
    <t>1992</t>
  </si>
  <si>
    <t>1998</t>
  </si>
  <si>
    <t>1990</t>
  </si>
  <si>
    <t>1986</t>
  </si>
  <si>
    <t>1994</t>
  </si>
  <si>
    <t>1984</t>
  </si>
  <si>
    <t>1989</t>
  </si>
  <si>
    <t>2000</t>
  </si>
  <si>
    <t>2001</t>
  </si>
  <si>
    <t>1988</t>
  </si>
  <si>
    <t>2002</t>
  </si>
  <si>
    <t>1985</t>
  </si>
  <si>
    <t>1980</t>
  </si>
  <si>
    <t>1983</t>
  </si>
  <si>
    <t>1982</t>
  </si>
  <si>
    <t>Afari</t>
  </si>
  <si>
    <t>Becker</t>
  </si>
  <si>
    <t>Binka</t>
  </si>
  <si>
    <t>De Francisco</t>
  </si>
  <si>
    <t>Greenwood</t>
  </si>
  <si>
    <t>Jaffar</t>
  </si>
  <si>
    <t>Jinadu</t>
  </si>
  <si>
    <t>Kahn</t>
  </si>
  <si>
    <t>Molbak</t>
  </si>
  <si>
    <t>Pison</t>
  </si>
  <si>
    <t>Shamebo</t>
  </si>
  <si>
    <t>Snow</t>
  </si>
  <si>
    <t>Fantahun</t>
  </si>
  <si>
    <t>Mtango</t>
  </si>
  <si>
    <t>Sodemann</t>
  </si>
  <si>
    <t>van den Broeck</t>
  </si>
  <si>
    <t>Georges</t>
  </si>
  <si>
    <t>Omondi-odhiambo</t>
  </si>
  <si>
    <t>Ekanem</t>
  </si>
  <si>
    <t>Ibrahim</t>
  </si>
  <si>
    <t>Amin</t>
  </si>
  <si>
    <t>Mobley</t>
  </si>
  <si>
    <t>Hodges</t>
  </si>
  <si>
    <t>Malison</t>
  </si>
  <si>
    <t xml:space="preserve">Merlin </t>
  </si>
  <si>
    <t xml:space="preserve">Bradley </t>
  </si>
  <si>
    <t xml:space="preserve">Victora </t>
  </si>
  <si>
    <t xml:space="preserve">Fontaine </t>
  </si>
  <si>
    <t>Kandeh</t>
  </si>
  <si>
    <t xml:space="preserve">N'Guessan </t>
  </si>
  <si>
    <t>Delacollette</t>
  </si>
  <si>
    <t xml:space="preserve">Watts </t>
  </si>
  <si>
    <t>Bailey</t>
  </si>
  <si>
    <t>Barreto</t>
  </si>
  <si>
    <t>De Souza</t>
  </si>
  <si>
    <t>Victora</t>
  </si>
  <si>
    <t>Barros</t>
  </si>
  <si>
    <t>Gurgel</t>
  </si>
  <si>
    <t>Antunes</t>
  </si>
  <si>
    <t>Mota-Hernandez</t>
  </si>
  <si>
    <t>Holt</t>
  </si>
  <si>
    <t>Stanton</t>
  </si>
  <si>
    <t>Langsten</t>
  </si>
  <si>
    <t>Yassin</t>
  </si>
  <si>
    <t>el-Rafie</t>
  </si>
  <si>
    <t>Khan</t>
  </si>
  <si>
    <t>Marsh</t>
  </si>
  <si>
    <t>Bhutta</t>
  </si>
  <si>
    <t>Herrera</t>
  </si>
  <si>
    <t>Bagenholm</t>
  </si>
  <si>
    <t>Humphrey</t>
  </si>
  <si>
    <t>Nelson</t>
  </si>
  <si>
    <t>Sutrisna</t>
  </si>
  <si>
    <t>Nazir</t>
  </si>
  <si>
    <t>Omori</t>
  </si>
  <si>
    <t>Bhatia</t>
  </si>
  <si>
    <t>el Arifeen</t>
  </si>
  <si>
    <t>Fauveau</t>
  </si>
  <si>
    <t>Hussain</t>
  </si>
  <si>
    <t>Chen</t>
  </si>
  <si>
    <t>Baqui</t>
  </si>
  <si>
    <t>Spika</t>
  </si>
  <si>
    <t>Islam</t>
  </si>
  <si>
    <t>Mitra</t>
  </si>
  <si>
    <t>Anand</t>
  </si>
  <si>
    <t>Tandon</t>
  </si>
  <si>
    <t>Awasthi</t>
  </si>
  <si>
    <t>Bang</t>
  </si>
  <si>
    <t>Biswas</t>
  </si>
  <si>
    <t>Hirve</t>
  </si>
  <si>
    <t>Singh</t>
  </si>
  <si>
    <t>Khalique</t>
  </si>
  <si>
    <t>Rahmathullah</t>
  </si>
  <si>
    <t>Kumar</t>
  </si>
  <si>
    <t>Bhan</t>
  </si>
  <si>
    <t>West</t>
  </si>
  <si>
    <t>Huang</t>
  </si>
  <si>
    <t>Yoon</t>
  </si>
  <si>
    <t>van Tran</t>
  </si>
  <si>
    <t>Armenian</t>
  </si>
  <si>
    <t>Bendib</t>
  </si>
  <si>
    <t>Choudhary</t>
  </si>
  <si>
    <t>Clemens</t>
  </si>
  <si>
    <t>Gutierrez</t>
  </si>
  <si>
    <t>Handayani</t>
  </si>
  <si>
    <t>Miller</t>
  </si>
  <si>
    <t>Riveron-Cortegnera</t>
  </si>
  <si>
    <t>Daulaire</t>
  </si>
  <si>
    <t>Gessner</t>
  </si>
  <si>
    <t>Raj Pandey</t>
  </si>
  <si>
    <t>Phukan</t>
  </si>
  <si>
    <t>Reddiah</t>
  </si>
  <si>
    <t>Tekce</t>
  </si>
  <si>
    <t>Zaman</t>
  </si>
  <si>
    <t>Guimarães</t>
  </si>
  <si>
    <t>N/A</t>
  </si>
  <si>
    <t>Campos</t>
  </si>
  <si>
    <t>FIRST AUTHOR</t>
  </si>
  <si>
    <t>DAT</t>
  </si>
  <si>
    <t>REF</t>
  </si>
  <si>
    <t>REGION</t>
  </si>
  <si>
    <t>CTRY</t>
  </si>
  <si>
    <t>SAMPLE SIZE</t>
  </si>
  <si>
    <t>AGE (months)</t>
  </si>
  <si>
    <t>STUDY DURATION (months)</t>
  </si>
  <si>
    <t>YR START</t>
  </si>
  <si>
    <t>YR END</t>
  </si>
  <si>
    <t>POP TYPE</t>
  </si>
  <si>
    <t>GEOGRAPHIC SETTING</t>
  </si>
  <si>
    <t>RISK/PROTECTIVE FACTORS REPORTED</t>
  </si>
  <si>
    <t>DIARRHOEA-SPECIFIC MR</t>
  </si>
  <si>
    <t>COMORBIDITY</t>
  </si>
  <si>
    <t>rural</t>
  </si>
  <si>
    <t>Haryana</t>
  </si>
  <si>
    <t>Central Region</t>
  </si>
  <si>
    <t>urban</t>
  </si>
  <si>
    <t>Uttar Pradesh</t>
  </si>
  <si>
    <t>Maharasthra</t>
  </si>
  <si>
    <t>urban/rural</t>
  </si>
  <si>
    <t>Rio Grande do Sul</t>
  </si>
  <si>
    <t>Norhern Ghana</t>
  </si>
  <si>
    <t>West Bengal</t>
  </si>
  <si>
    <t>Upper River Division</t>
  </si>
  <si>
    <t>Amhara</t>
  </si>
  <si>
    <t>North Bank Division</t>
  </si>
  <si>
    <t>Khartoum/Gezira</t>
  </si>
  <si>
    <t>Guizhou</t>
  </si>
  <si>
    <t>Ondo State</t>
  </si>
  <si>
    <t>Northern Province</t>
  </si>
  <si>
    <t>NWFP</t>
  </si>
  <si>
    <t>Northern Areas - Gilgit</t>
  </si>
  <si>
    <t>Bissau</t>
  </si>
  <si>
    <t>Pwani Region (coast)</t>
  </si>
  <si>
    <t>Mae Hong Son province</t>
  </si>
  <si>
    <t>South</t>
  </si>
  <si>
    <t>Tamil Nadu</t>
  </si>
  <si>
    <t>SNNP (Gurage Zone)</t>
  </si>
  <si>
    <t>UP</t>
  </si>
  <si>
    <t>Equateur</t>
  </si>
  <si>
    <t>Quang Ninh Province</t>
  </si>
  <si>
    <t>Upper East Region</t>
  </si>
  <si>
    <t>Beni Suef; Upper Egypt</t>
  </si>
  <si>
    <t>Jawa Barat (West)</t>
  </si>
  <si>
    <t>Nusa Tenggara Barat (West)</t>
  </si>
  <si>
    <t>Dhaka</t>
  </si>
  <si>
    <t>Chittagong</t>
  </si>
  <si>
    <t>Metro Cebu</t>
  </si>
  <si>
    <t>Sarlahi District, Janakpur Zone</t>
  </si>
  <si>
    <t>Central Region (Gomoa Fetteh, Gomoa Onyadze, Mprumem)</t>
  </si>
  <si>
    <t>RECALL PERIOD</t>
  </si>
  <si>
    <t>Western Area, Port Loko</t>
  </si>
  <si>
    <t xml:space="preserve">1.7 (neo); 22.2 (postneo) </t>
  </si>
  <si>
    <t>2.6 (neo); 32 (postneo)</t>
  </si>
  <si>
    <t>São Paulo</t>
  </si>
  <si>
    <t>Y</t>
  </si>
  <si>
    <t>slum</t>
  </si>
  <si>
    <t>Qasha'a, Muhayfif, Nishstun, Haraga, Mawqes, Al Suwairy, Aryeb</t>
  </si>
  <si>
    <t>Trairi</t>
  </si>
  <si>
    <t>Gadchiroli, Maharasthra</t>
  </si>
  <si>
    <t>STUDY TYPE</t>
  </si>
  <si>
    <t>Mort/Interv</t>
  </si>
  <si>
    <t xml:space="preserve">Mort </t>
  </si>
  <si>
    <t>Mort</t>
  </si>
  <si>
    <t>1.1 (dysentery), 2.6 (persistent diarrhoea, 4.1 watery diarrhoea)</t>
  </si>
  <si>
    <t>Watery: frequent loose or liquid stools 2weeks before death, starting from 1 to 13 days before death, continuing until death w/out blood in stool but with combined peak number of day and night stools of =&gt;6, and min 2 of the following: weakness, dry mouth, sunken eyes, depressed fontanelle, no or very little urine.  Dysentery: with additional requirement of blood in the stool. Persistent: frequent loose or liquid stools 2 weeks before death, starting =&gt;14days before death, continuing until death</t>
  </si>
  <si>
    <t>Bomi and Grand Cape Mount</t>
  </si>
  <si>
    <t>19 (diarrh); 14 (dysen)</t>
  </si>
  <si>
    <t>15 (diarrh); 16 (dysen)</t>
  </si>
  <si>
    <t>10.6-13.5</t>
  </si>
  <si>
    <t>Malumfashi</t>
  </si>
  <si>
    <t>Matlab, Comilla</t>
  </si>
  <si>
    <t>46.6 (watery) 33.4(dysent)</t>
  </si>
  <si>
    <t>Patna</t>
  </si>
  <si>
    <t>102(acute gastro-enteritis); 52(chronic)</t>
  </si>
  <si>
    <t>1 month</t>
  </si>
  <si>
    <t>Nkno, Cross River State</t>
  </si>
  <si>
    <t>6.2 (Menoufia); 15.3(Dakahlia)</t>
  </si>
  <si>
    <t>Menoufia and Dakahlia</t>
  </si>
  <si>
    <t>Diearrhoeal diseases</t>
  </si>
  <si>
    <t>5 years</t>
  </si>
  <si>
    <t>6 weeks</t>
  </si>
  <si>
    <t>Bangui</t>
  </si>
  <si>
    <t>1 year</t>
  </si>
  <si>
    <t>5.4+/- 2.3(2 SD)</t>
  </si>
  <si>
    <t>9.2 (acute), 6.7 (chronic)</t>
  </si>
  <si>
    <t>4.7 (acute), 6.6 (chronic)</t>
  </si>
  <si>
    <t>Acute gastro-entiritis and Malnutrition(chronic diarrhoea</t>
  </si>
  <si>
    <t>3 months</t>
  </si>
  <si>
    <t>Karachi</t>
  </si>
  <si>
    <t>national</t>
  </si>
  <si>
    <t>Freetown</t>
  </si>
  <si>
    <t>25 (diarrhoea), 16 (malnutrition)</t>
  </si>
  <si>
    <t>Cité Soleil</t>
  </si>
  <si>
    <t>Ngaglik</t>
  </si>
  <si>
    <t>Kabul</t>
  </si>
  <si>
    <t>Aracaju, Sergipe</t>
  </si>
  <si>
    <t>Bandung</t>
  </si>
  <si>
    <t>Lama-Doonka and Buulalow</t>
  </si>
  <si>
    <t>1.9 (1-4yrs); 5.6 (inf)</t>
  </si>
  <si>
    <t>Mort/RF</t>
  </si>
  <si>
    <t>Lahore</t>
  </si>
  <si>
    <t>Menoufia</t>
  </si>
  <si>
    <t>Diarrhoea: intestinal infectious disease</t>
  </si>
  <si>
    <t>9.3 inf; 1.1 1-4yrs</t>
  </si>
  <si>
    <t>Bagamoyo</t>
  </si>
  <si>
    <t>2 weeks</t>
  </si>
  <si>
    <t>5 villages in Banyuasin III</t>
  </si>
  <si>
    <t>norhtwest</t>
  </si>
  <si>
    <t>Documentation of diarrhoeal stools during hospitalization or history of diarrhoea and diagnosis of dehydration</t>
  </si>
  <si>
    <t>7 (&lt;12mths)</t>
  </si>
  <si>
    <t>Machakos district</t>
  </si>
  <si>
    <t>Jumla</t>
  </si>
  <si>
    <t>Profuse watery diarrhoea, bloody diarrhoa, or persistent diarrhoea prominent immediately before death.</t>
  </si>
  <si>
    <t>Diarrheal diseases</t>
  </si>
  <si>
    <t>different parts of country</t>
  </si>
  <si>
    <t>Diarrheal disease</t>
  </si>
  <si>
    <t>Pelotas</t>
  </si>
  <si>
    <t>5 (inf)</t>
  </si>
  <si>
    <t>.8 (risk 1-4yrs)</t>
  </si>
  <si>
    <t>northeast</t>
  </si>
  <si>
    <t>Niakhar</t>
  </si>
  <si>
    <t>Matlab</t>
  </si>
  <si>
    <t>Ballabfarh</t>
  </si>
  <si>
    <t>1 week</t>
  </si>
  <si>
    <t>39.9 (inf)</t>
  </si>
  <si>
    <t>15 (inf)</t>
  </si>
  <si>
    <t>12.7 (inf)</t>
  </si>
  <si>
    <t>Lima Ward</t>
  </si>
  <si>
    <t>2 months</t>
  </si>
  <si>
    <t>Diarrhoea or dysentery</t>
  </si>
  <si>
    <t>N</t>
  </si>
  <si>
    <t>Diarrhoeal diseases: pre-mortem episode of diarrhoea (24h with 3+ watery stools); marked weight loss plus another 2 dehydration signs.</t>
  </si>
  <si>
    <t>churches in country</t>
  </si>
  <si>
    <t>Diarrhoea--gastrointestinal</t>
  </si>
  <si>
    <t>Jumla district</t>
  </si>
  <si>
    <t>Porto Alegre, Pelotas</t>
  </si>
  <si>
    <t>13 months (median)</t>
  </si>
  <si>
    <t>hospital</t>
  </si>
  <si>
    <t>Watery: 3 or more liquid stools in 24hrs; invasive: stools having visible blood or mucus; persistent: lasting for more than 14 days</t>
  </si>
  <si>
    <t>Upper Assam</t>
  </si>
  <si>
    <t>184 municipalities in Ceara</t>
  </si>
  <si>
    <t>governorates of Minya and Qaliubia</t>
  </si>
  <si>
    <t>7 months (median)</t>
  </si>
  <si>
    <t>Acute + chronic diarrhoea</t>
  </si>
  <si>
    <t>Mbale District</t>
  </si>
  <si>
    <t>WHO-recommended classification</t>
  </si>
  <si>
    <t>Diarrhoea and malnutrition (combined)</t>
  </si>
  <si>
    <t>Diarrhoea: 4 or more watery or loose stools/day, w/ or w/out blood, with recent change of character of stools</t>
  </si>
  <si>
    <t>Diarrhea (watery + dysentery)</t>
  </si>
  <si>
    <t>Diarrhoea: 3+ loose stools or 1 large watery stool in 24hrs, irrespective of the duration. Acute (&lt;15days), persistent (&gt;14days) or chronic (&gt;21days) pooled</t>
  </si>
  <si>
    <t>Quixada, Icapui, Jucas (Ceara)</t>
  </si>
  <si>
    <t>1-13 months</t>
  </si>
  <si>
    <t>up to 5 yrs</t>
  </si>
  <si>
    <t>Sao Luis, S. Jose de Ribamar (Maranhão)</t>
  </si>
  <si>
    <t>up to 12 mths</t>
  </si>
  <si>
    <t>Family income, water supply, sanitation, garbage density, type of parent's employment</t>
  </si>
  <si>
    <t>24.1 (&lt;1), 5.9 (U5)</t>
  </si>
  <si>
    <t>3.8 (&lt;1), 2.1 (U5)</t>
  </si>
  <si>
    <t>Katana</t>
  </si>
  <si>
    <t>up to 3 months</t>
  </si>
  <si>
    <t>10.3 (&lt;1), 5.8 (U5)</t>
  </si>
  <si>
    <t>up to 3 weeks</t>
  </si>
  <si>
    <t>16 (&lt;1), 8.1 (U5)</t>
  </si>
  <si>
    <t>Diarrhoeal diseases (diarrhoea with or without  dysentery; w/ of w/out abdominal pain; w/ or w/out fever; w/ or w/out vomitting)</t>
  </si>
  <si>
    <t>urban (?)</t>
  </si>
  <si>
    <t>Pikine-Guédiawaye</t>
  </si>
  <si>
    <t>up to 1 yr</t>
  </si>
  <si>
    <t>(Acute) Diarrhoea</t>
  </si>
  <si>
    <t>Salvador de Bahia</t>
  </si>
  <si>
    <t>SES</t>
  </si>
  <si>
    <t>13.3 (inf)</t>
  </si>
  <si>
    <t>ICD 9 and 10</t>
  </si>
  <si>
    <t>7.4 (inf)</t>
  </si>
  <si>
    <t>3.2 (inf)</t>
  </si>
  <si>
    <t>2.1 (inf)</t>
  </si>
  <si>
    <t>Center and South Provinces</t>
  </si>
  <si>
    <t>Douala</t>
  </si>
  <si>
    <t>Sub-district of Mayo-Sava</t>
  </si>
  <si>
    <t>Measles</t>
  </si>
  <si>
    <t>Abengourou</t>
  </si>
  <si>
    <t>up to 3 yrs</t>
  </si>
  <si>
    <t>3.8 (inf), 2.1 (0-30mths)</t>
  </si>
  <si>
    <t>8.4 (U5), 41.9 (inf)</t>
  </si>
  <si>
    <t>Past malnutrition, protracted diarhoeal illness, non-use of ORT</t>
  </si>
  <si>
    <t>Vitamin A supplementation</t>
  </si>
  <si>
    <t>ORT use, feeding practices, correct use of ORT</t>
  </si>
  <si>
    <t>Prevalence of exclusive breastfeeding, percentage of infants with adequate weight gain, percentage of pregnant women with prenatal care up-to-date, female literacy rate and inadequate water supply</t>
  </si>
  <si>
    <t>Exlusive breastfeeding</t>
  </si>
  <si>
    <t>Measles vaccination,  nutrition education, dietary management of diarrhoea, treatment of dysentery in community</t>
  </si>
  <si>
    <t>Literacy campaigns for women , promotion of ORT, measles vaccination, improvements in sanitation</t>
  </si>
  <si>
    <t>up to 6 months</t>
  </si>
  <si>
    <t>Socioeconomic conditions</t>
  </si>
  <si>
    <t>Diarrhoea: 2+ watery stools a day, w/ or w/out blood or mucus</t>
  </si>
  <si>
    <t xml:space="preserve">1-3 months </t>
  </si>
  <si>
    <t>Dirty feeding bottles and utensils, inadequate disposal of faeces and household refuse, poor storage of drinking water</t>
  </si>
  <si>
    <t>ORT</t>
  </si>
  <si>
    <t>Delivery of health services</t>
  </si>
  <si>
    <t>Case management</t>
  </si>
  <si>
    <t>National programme</t>
  </si>
  <si>
    <t>Social disparity between genders for healthcare</t>
  </si>
  <si>
    <t>1 month/3 months</t>
  </si>
  <si>
    <t>ORT use</t>
  </si>
  <si>
    <t>Mother literacy, breast-feeding practices, functioning rural health care system</t>
  </si>
  <si>
    <t>Non-availability of piped water, absence of flush toilet, residence in poorly built house, household overcrowding</t>
  </si>
  <si>
    <t>Malnutrition</t>
  </si>
  <si>
    <t>4 months</t>
  </si>
  <si>
    <t>Ifakara (Tanzania), Kilifi (Kenya)</t>
  </si>
  <si>
    <t>Kenya/Tanzania</t>
  </si>
  <si>
    <t>Gastoenteritis</t>
  </si>
  <si>
    <t>Mesles; ALRI</t>
  </si>
  <si>
    <t>ALRI</t>
  </si>
  <si>
    <t>ALRI, Skin infections, malnutrition, measles</t>
  </si>
  <si>
    <t>Measles, ALRI, Tetanus</t>
  </si>
  <si>
    <t>Malnutrition, ALRI, Pertussis</t>
  </si>
  <si>
    <t>Measles, ALRI, convulsions, malnutrition, anaemia, malaria</t>
  </si>
  <si>
    <t>Measles, nutritional deficincy, ALRI, sepsis</t>
  </si>
  <si>
    <t>MID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</si>
</sst>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9" formatCode="0.0"/>
    <numFmt numFmtId="184" formatCode="_-* #,##0_-;\-* #,##0_-;_-* &quot;-&quot;??_-;_-@_-"/>
  </numFmts>
  <fonts count="4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/>
    </xf>
    <xf numFmtId="0" fontId="2" fillId="0" borderId="0" xfId="0" applyFont="1" applyFill="1"/>
    <xf numFmtId="179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quotePrefix="1" applyFont="1" applyAlignment="1">
      <alignment horizontal="center"/>
    </xf>
    <xf numFmtId="179" fontId="2" fillId="0" borderId="0" xfId="0" applyNumberFormat="1" applyFont="1" applyAlignment="1">
      <alignment horizontal="center"/>
    </xf>
    <xf numFmtId="179" fontId="2" fillId="0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84" fontId="2" fillId="0" borderId="0" xfId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3" fontId="2" fillId="0" borderId="0" xfId="0" applyNumberFormat="1" applyFont="1" applyFill="1" applyAlignment="1">
      <alignment horizontal="center"/>
    </xf>
    <xf numFmtId="184" fontId="2" fillId="0" borderId="0" xfId="1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133350</xdr:rowOff>
    </xdr:from>
    <xdr:to>
      <xdr:col>10</xdr:col>
      <xdr:colOff>127000</xdr:colOff>
      <xdr:row>28</xdr:row>
      <xdr:rowOff>44450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CD585E48-EB18-4CB0-B73D-4A88FA97FB0B}"/>
            </a:ext>
          </a:extLst>
        </xdr:cNvPr>
        <xdr:cNvSpPr txBox="1">
          <a:spLocks noChangeArrowheads="1"/>
        </xdr:cNvSpPr>
      </xdr:nvSpPr>
      <xdr:spPr bwMode="auto">
        <a:xfrm>
          <a:off x="88900" y="292100"/>
          <a:ext cx="6134100" cy="4197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is a literature review data base of published studies on diarrhoea mortality. It contains information directly abstracted from the reviewed papers. No calculations or standardizations were performed.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Please, refer to the detailed explanatory document called diarrhoea db.doc, containing information on its structure, variables and limitations. </a:t>
          </a:r>
        </a:p>
        <a:p>
          <a:pPr algn="l" rtl="0">
            <a:defRPr sz="1000"/>
          </a:pPr>
          <a:endParaRPr lang="en-GB" sz="10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1" u="none" strike="noStrike" baseline="0">
              <a:solidFill>
                <a:srgbClr val="FF0000"/>
              </a:solidFill>
              <a:latin typeface="Arial"/>
              <a:cs typeface="Arial"/>
            </a:rPr>
            <a:t>We strongly encourage you to read it before you use the information contained in the database.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case you find that this data base misses any important paper or piece of information, please help us to complete it by contacting us on the following email addresses: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pintoc@who.int   (Cynthia Boschi-Pinto)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tomaskovicl@who.int  (Lana Tomaskovic)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2" sqref="M12"/>
    </sheetView>
  </sheetViews>
  <sheetFormatPr defaultRowHeight="12.5" x14ac:dyDescent="0.25"/>
  <sheetData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36"/>
  <sheetViews>
    <sheetView tabSelected="1" zoomScaleNormal="100" workbookViewId="0">
      <pane xSplit="4" ySplit="2" topLeftCell="E3" activePane="bottomRight" state="frozen"/>
      <selection pane="topRight" activeCell="D1" sqref="D1"/>
      <selection pane="bottomLeft" activeCell="A4" sqref="A4"/>
      <selection pane="bottomRight" activeCell="D2" sqref="D2"/>
    </sheetView>
  </sheetViews>
  <sheetFormatPr defaultColWidth="9.1796875" defaultRowHeight="11.5" x14ac:dyDescent="0.25"/>
  <cols>
    <col min="1" max="1" width="29.1796875" style="1" hidden="1" customWidth="1"/>
    <col min="2" max="3" width="4" style="2" hidden="1" customWidth="1"/>
    <col min="4" max="4" width="16" style="11" customWidth="1"/>
    <col min="5" max="5" width="5.1796875" style="3" bestFit="1" customWidth="1"/>
    <col min="6" max="6" width="28.81640625" style="11" customWidth="1"/>
    <col min="7" max="7" width="7.26953125" style="11" customWidth="1"/>
    <col min="8" max="8" width="14" style="11" customWidth="1"/>
    <col min="9" max="11" width="21.7265625" style="12" customWidth="1"/>
    <col min="12" max="12" width="8.54296875" style="11" customWidth="1"/>
    <col min="13" max="17" width="12.1796875" style="11" customWidth="1"/>
    <col min="18" max="18" width="12.1796875" style="12" customWidth="1"/>
    <col min="19" max="19" width="10" style="12" customWidth="1"/>
    <col min="20" max="20" width="7.81640625" style="11" customWidth="1"/>
    <col min="21" max="21" width="9" style="11" customWidth="1"/>
    <col min="22" max="22" width="6" style="11" customWidth="1"/>
    <col min="23" max="23" width="8.81640625" style="11" customWidth="1"/>
    <col min="24" max="24" width="7.1796875" style="11" customWidth="1"/>
    <col min="25" max="25" width="6" style="11" customWidth="1"/>
    <col min="26" max="26" width="5" style="11" customWidth="1"/>
    <col min="27" max="27" width="8.81640625" style="11" customWidth="1"/>
    <col min="28" max="28" width="6.453125" style="11" customWidth="1"/>
    <col min="29" max="29" width="7.54296875" style="11" customWidth="1"/>
    <col min="30" max="30" width="4.7265625" style="11" customWidth="1"/>
    <col min="31" max="31" width="6" style="11" customWidth="1"/>
    <col min="32" max="32" width="10.1796875" style="12" customWidth="1"/>
    <col min="33" max="33" width="13" style="12" customWidth="1"/>
    <col min="34" max="34" width="60" style="1" customWidth="1"/>
    <col min="35" max="16384" width="9.1796875" style="3"/>
  </cols>
  <sheetData>
    <row r="1" spans="1:34" x14ac:dyDescent="0.25">
      <c r="V1" s="11" t="s">
        <v>0</v>
      </c>
      <c r="X1" s="11" t="s">
        <v>1</v>
      </c>
      <c r="AB1" s="13" t="s">
        <v>2</v>
      </c>
    </row>
    <row r="2" spans="1:34" s="5" customFormat="1" ht="70.5" customHeight="1" x14ac:dyDescent="0.25">
      <c r="A2" s="4" t="s">
        <v>3</v>
      </c>
      <c r="B2" s="5" t="s">
        <v>4</v>
      </c>
      <c r="D2" s="4" t="s">
        <v>444</v>
      </c>
      <c r="E2" s="4" t="s">
        <v>445</v>
      </c>
      <c r="F2" s="4" t="s">
        <v>446</v>
      </c>
      <c r="G2" s="4" t="s">
        <v>447</v>
      </c>
      <c r="H2" s="4" t="s">
        <v>448</v>
      </c>
      <c r="I2" s="19" t="s">
        <v>454</v>
      </c>
      <c r="J2" s="19" t="s">
        <v>506</v>
      </c>
      <c r="K2" s="19" t="s">
        <v>455</v>
      </c>
      <c r="L2" s="4" t="s">
        <v>452</v>
      </c>
      <c r="M2" s="4" t="s">
        <v>453</v>
      </c>
      <c r="N2" s="4" t="s">
        <v>663</v>
      </c>
      <c r="O2" s="4" t="s">
        <v>451</v>
      </c>
      <c r="P2" s="4" t="s">
        <v>450</v>
      </c>
      <c r="Q2" s="4" t="s">
        <v>449</v>
      </c>
      <c r="R2" s="19" t="s">
        <v>496</v>
      </c>
      <c r="S2" s="19" t="s">
        <v>456</v>
      </c>
      <c r="T2" s="4" t="s">
        <v>5</v>
      </c>
      <c r="U2" s="4" t="s">
        <v>6</v>
      </c>
      <c r="V2" s="4" t="s">
        <v>7</v>
      </c>
      <c r="W2" s="4" t="s">
        <v>8</v>
      </c>
      <c r="X2" s="4" t="s">
        <v>6</v>
      </c>
      <c r="Y2" s="4" t="s">
        <v>7</v>
      </c>
      <c r="Z2" s="4" t="s">
        <v>9</v>
      </c>
      <c r="AA2" s="4" t="s">
        <v>8</v>
      </c>
      <c r="AB2" s="4" t="s">
        <v>6</v>
      </c>
      <c r="AC2" s="4" t="s">
        <v>7</v>
      </c>
      <c r="AD2" s="4" t="s">
        <v>10</v>
      </c>
      <c r="AE2" s="4" t="s">
        <v>8</v>
      </c>
      <c r="AF2" s="19" t="s">
        <v>457</v>
      </c>
      <c r="AG2" s="19" t="s">
        <v>458</v>
      </c>
      <c r="AH2" s="4" t="s">
        <v>11</v>
      </c>
    </row>
    <row r="3" spans="1:34" x14ac:dyDescent="0.25">
      <c r="A3" s="1" t="s">
        <v>12</v>
      </c>
      <c r="B3" s="2">
        <v>3</v>
      </c>
      <c r="C3" s="2">
        <v>1</v>
      </c>
      <c r="D3" s="11" t="s">
        <v>347</v>
      </c>
      <c r="E3" s="11" t="s">
        <v>325</v>
      </c>
      <c r="F3" s="11" t="s">
        <v>13</v>
      </c>
      <c r="G3" s="11" t="s">
        <v>14</v>
      </c>
      <c r="H3" s="11" t="s">
        <v>15</v>
      </c>
      <c r="I3" s="12" t="s">
        <v>459</v>
      </c>
      <c r="J3" s="12" t="s">
        <v>509</v>
      </c>
      <c r="K3" s="12" t="s">
        <v>495</v>
      </c>
      <c r="L3" s="11">
        <v>1987</v>
      </c>
      <c r="M3" s="11">
        <v>1987</v>
      </c>
      <c r="N3" s="11">
        <v>1987</v>
      </c>
      <c r="O3" s="11">
        <v>12</v>
      </c>
      <c r="P3" s="11" t="s">
        <v>16</v>
      </c>
      <c r="Q3" s="11">
        <v>15</v>
      </c>
      <c r="R3" s="12" t="s">
        <v>442</v>
      </c>
      <c r="S3" s="12" t="s">
        <v>577</v>
      </c>
      <c r="V3" s="11">
        <v>155.6</v>
      </c>
      <c r="W3" s="14">
        <v>6.7</v>
      </c>
      <c r="Y3" s="11">
        <v>114.6</v>
      </c>
      <c r="AF3" s="12">
        <v>4.3</v>
      </c>
      <c r="AG3" s="12" t="s">
        <v>442</v>
      </c>
      <c r="AH3" s="1" t="s">
        <v>17</v>
      </c>
    </row>
    <row r="4" spans="1:34" x14ac:dyDescent="0.25">
      <c r="A4" s="1" t="s">
        <v>12</v>
      </c>
      <c r="B4" s="2" t="s">
        <v>110</v>
      </c>
      <c r="C4" s="2">
        <v>29</v>
      </c>
      <c r="D4" s="11" t="s">
        <v>347</v>
      </c>
      <c r="E4" s="11" t="s">
        <v>325</v>
      </c>
      <c r="F4" s="11" t="s">
        <v>13</v>
      </c>
      <c r="G4" s="11" t="s">
        <v>14</v>
      </c>
      <c r="H4" s="11" t="s">
        <v>15</v>
      </c>
      <c r="I4" s="12" t="s">
        <v>459</v>
      </c>
      <c r="J4" s="12" t="s">
        <v>509</v>
      </c>
      <c r="K4" s="12" t="s">
        <v>461</v>
      </c>
      <c r="L4" s="11">
        <v>1990</v>
      </c>
      <c r="M4" s="11">
        <v>1990</v>
      </c>
      <c r="N4" s="11">
        <v>1990</v>
      </c>
      <c r="O4" s="11">
        <v>12</v>
      </c>
      <c r="P4" s="11" t="s">
        <v>16</v>
      </c>
      <c r="Q4" s="11">
        <v>7</v>
      </c>
      <c r="R4" s="12" t="s">
        <v>442</v>
      </c>
      <c r="S4" s="12" t="s">
        <v>577</v>
      </c>
      <c r="V4" s="11">
        <v>61.2</v>
      </c>
      <c r="W4" s="14">
        <v>42.9</v>
      </c>
      <c r="Y4" s="11">
        <v>40.799999999999997</v>
      </c>
      <c r="AF4" s="12">
        <v>4.3</v>
      </c>
      <c r="AG4" s="12" t="s">
        <v>442</v>
      </c>
      <c r="AH4" s="1" t="s">
        <v>17</v>
      </c>
    </row>
    <row r="5" spans="1:34" x14ac:dyDescent="0.25">
      <c r="A5" s="1" t="s">
        <v>27</v>
      </c>
      <c r="B5" s="2">
        <v>80</v>
      </c>
      <c r="C5" s="2">
        <v>25</v>
      </c>
      <c r="D5" s="11" t="s">
        <v>367</v>
      </c>
      <c r="E5" s="11" t="s">
        <v>327</v>
      </c>
      <c r="F5" s="11" t="s">
        <v>103</v>
      </c>
      <c r="G5" s="11" t="s">
        <v>14</v>
      </c>
      <c r="H5" s="11" t="s">
        <v>104</v>
      </c>
      <c r="I5" s="12" t="s">
        <v>459</v>
      </c>
      <c r="J5" s="12" t="s">
        <v>509</v>
      </c>
      <c r="K5" s="12" t="s">
        <v>497</v>
      </c>
      <c r="L5" s="11">
        <v>1988</v>
      </c>
      <c r="M5" s="11">
        <v>1993</v>
      </c>
      <c r="N5" s="11">
        <v>1990</v>
      </c>
      <c r="O5" s="11">
        <v>60</v>
      </c>
      <c r="P5" s="11" t="s">
        <v>16</v>
      </c>
      <c r="Q5" s="11">
        <v>559</v>
      </c>
      <c r="R5" s="12" t="s">
        <v>442</v>
      </c>
      <c r="S5" s="12" t="s">
        <v>577</v>
      </c>
      <c r="U5" s="11">
        <v>32.96</v>
      </c>
      <c r="W5" s="11">
        <v>12.7</v>
      </c>
      <c r="AF5" s="12" t="s">
        <v>442</v>
      </c>
      <c r="AG5" s="12" t="s">
        <v>442</v>
      </c>
      <c r="AH5" s="1" t="s">
        <v>92</v>
      </c>
    </row>
    <row r="6" spans="1:34" x14ac:dyDescent="0.25">
      <c r="A6" s="1" t="s">
        <v>27</v>
      </c>
      <c r="B6" s="3">
        <v>1</v>
      </c>
      <c r="C6" s="2">
        <v>87</v>
      </c>
      <c r="D6" s="11" t="s">
        <v>411</v>
      </c>
      <c r="E6" s="11" t="s">
        <v>339</v>
      </c>
      <c r="F6" s="11" t="s">
        <v>242</v>
      </c>
      <c r="G6" s="11" t="s">
        <v>128</v>
      </c>
      <c r="H6" s="11" t="s">
        <v>130</v>
      </c>
      <c r="I6" s="12" t="s">
        <v>459</v>
      </c>
      <c r="J6" s="12" t="s">
        <v>508</v>
      </c>
      <c r="K6" s="12" t="s">
        <v>460</v>
      </c>
      <c r="L6" s="11">
        <v>1982</v>
      </c>
      <c r="M6" s="11">
        <v>1984</v>
      </c>
      <c r="N6" s="11">
        <v>1983</v>
      </c>
      <c r="O6" s="11">
        <v>36</v>
      </c>
      <c r="P6" s="11" t="s">
        <v>147</v>
      </c>
      <c r="Q6" s="11">
        <v>385</v>
      </c>
      <c r="R6" s="12" t="s">
        <v>442</v>
      </c>
      <c r="S6" s="12" t="s">
        <v>577</v>
      </c>
      <c r="Y6" s="11">
        <v>66.5</v>
      </c>
      <c r="AA6" s="11">
        <v>20.3</v>
      </c>
      <c r="AF6" s="12" t="s">
        <v>499</v>
      </c>
      <c r="AG6" s="12" t="s">
        <v>442</v>
      </c>
      <c r="AH6" s="1" t="s">
        <v>17</v>
      </c>
    </row>
    <row r="7" spans="1:34" s="8" customFormat="1" x14ac:dyDescent="0.25">
      <c r="A7" s="1" t="s">
        <v>27</v>
      </c>
      <c r="B7" s="3">
        <v>2</v>
      </c>
      <c r="C7" s="2">
        <v>88</v>
      </c>
      <c r="D7" s="11" t="s">
        <v>411</v>
      </c>
      <c r="E7" s="11" t="s">
        <v>339</v>
      </c>
      <c r="F7" s="11" t="s">
        <v>242</v>
      </c>
      <c r="G7" s="11" t="s">
        <v>128</v>
      </c>
      <c r="H7" s="11" t="s">
        <v>130</v>
      </c>
      <c r="I7" s="12" t="s">
        <v>459</v>
      </c>
      <c r="J7" s="12" t="s">
        <v>508</v>
      </c>
      <c r="K7" s="12" t="s">
        <v>460</v>
      </c>
      <c r="L7" s="11">
        <v>1992</v>
      </c>
      <c r="M7" s="11">
        <v>1994</v>
      </c>
      <c r="N7" s="11">
        <v>1993</v>
      </c>
      <c r="O7" s="11">
        <v>36</v>
      </c>
      <c r="P7" s="11" t="s">
        <v>147</v>
      </c>
      <c r="Q7" s="11">
        <v>221</v>
      </c>
      <c r="R7" s="12" t="s">
        <v>442</v>
      </c>
      <c r="S7" s="12" t="s">
        <v>577</v>
      </c>
      <c r="T7" s="11"/>
      <c r="U7" s="11"/>
      <c r="V7" s="11"/>
      <c r="W7" s="11"/>
      <c r="X7" s="11"/>
      <c r="Y7" s="11">
        <v>53.5</v>
      </c>
      <c r="Z7" s="11"/>
      <c r="AA7" s="11">
        <v>16.7</v>
      </c>
      <c r="AB7" s="11"/>
      <c r="AC7" s="11"/>
      <c r="AD7" s="11"/>
      <c r="AE7" s="11"/>
      <c r="AF7" s="12" t="s">
        <v>498</v>
      </c>
      <c r="AG7" s="12" t="s">
        <v>442</v>
      </c>
      <c r="AH7" s="1" t="s">
        <v>17</v>
      </c>
    </row>
    <row r="8" spans="1:34" s="8" customFormat="1" x14ac:dyDescent="0.25">
      <c r="A8" s="1" t="s">
        <v>27</v>
      </c>
      <c r="B8" s="3">
        <v>3</v>
      </c>
      <c r="C8" s="2">
        <v>55</v>
      </c>
      <c r="D8" s="11" t="s">
        <v>385</v>
      </c>
      <c r="E8" s="11" t="s">
        <v>342</v>
      </c>
      <c r="F8" s="11" t="s">
        <v>166</v>
      </c>
      <c r="G8" s="11" t="s">
        <v>149</v>
      </c>
      <c r="H8" s="11" t="s">
        <v>150</v>
      </c>
      <c r="I8" s="12" t="s">
        <v>462</v>
      </c>
      <c r="J8" s="12" t="s">
        <v>508</v>
      </c>
      <c r="K8" s="12" t="s">
        <v>500</v>
      </c>
      <c r="L8" s="11">
        <v>1980</v>
      </c>
      <c r="M8" s="11">
        <v>1980</v>
      </c>
      <c r="N8" s="11">
        <v>1980</v>
      </c>
      <c r="O8" s="11">
        <v>12</v>
      </c>
      <c r="P8" s="11" t="s">
        <v>167</v>
      </c>
      <c r="Q8" s="11"/>
      <c r="R8" s="12" t="s">
        <v>442</v>
      </c>
      <c r="S8" s="12" t="s">
        <v>577</v>
      </c>
      <c r="T8" s="11"/>
      <c r="U8" s="11"/>
      <c r="V8" s="11"/>
      <c r="W8" s="11"/>
      <c r="X8" s="11"/>
      <c r="Y8" s="11"/>
      <c r="Z8" s="11"/>
      <c r="AA8" s="11"/>
      <c r="AB8" s="11">
        <v>1.49</v>
      </c>
      <c r="AC8" s="11"/>
      <c r="AD8" s="11"/>
      <c r="AE8" s="11">
        <v>7.95</v>
      </c>
      <c r="AF8" s="12" t="s">
        <v>442</v>
      </c>
      <c r="AG8" s="12" t="s">
        <v>501</v>
      </c>
      <c r="AH8" s="1" t="s">
        <v>17</v>
      </c>
    </row>
    <row r="9" spans="1:34" x14ac:dyDescent="0.25">
      <c r="A9" s="1" t="s">
        <v>27</v>
      </c>
      <c r="B9" s="3">
        <v>4</v>
      </c>
      <c r="C9" s="2">
        <v>56</v>
      </c>
      <c r="D9" s="11" t="s">
        <v>385</v>
      </c>
      <c r="E9" s="11" t="s">
        <v>342</v>
      </c>
      <c r="F9" s="11" t="s">
        <v>166</v>
      </c>
      <c r="G9" s="11" t="s">
        <v>149</v>
      </c>
      <c r="H9" s="11" t="s">
        <v>150</v>
      </c>
      <c r="I9" s="12" t="s">
        <v>462</v>
      </c>
      <c r="J9" s="12" t="s">
        <v>508</v>
      </c>
      <c r="K9" s="12" t="s">
        <v>500</v>
      </c>
      <c r="L9" s="11">
        <v>1997</v>
      </c>
      <c r="M9" s="11">
        <v>1997</v>
      </c>
      <c r="N9" s="11">
        <v>1997</v>
      </c>
      <c r="O9" s="11">
        <v>12</v>
      </c>
      <c r="P9" s="11" t="s">
        <v>167</v>
      </c>
      <c r="R9" s="12" t="s">
        <v>442</v>
      </c>
      <c r="S9" s="12" t="s">
        <v>577</v>
      </c>
      <c r="AB9" s="11">
        <v>0.92</v>
      </c>
      <c r="AE9" s="11">
        <v>3.1</v>
      </c>
      <c r="AF9" s="12" t="s">
        <v>442</v>
      </c>
      <c r="AG9" s="12" t="s">
        <v>501</v>
      </c>
      <c r="AH9" s="1" t="s">
        <v>17</v>
      </c>
    </row>
    <row r="10" spans="1:34" x14ac:dyDescent="0.25">
      <c r="A10" s="1" t="s">
        <v>276</v>
      </c>
      <c r="C10" s="2">
        <v>104</v>
      </c>
      <c r="D10" s="11" t="s">
        <v>426</v>
      </c>
      <c r="E10" s="11" t="s">
        <v>335</v>
      </c>
      <c r="F10" s="11" t="s">
        <v>277</v>
      </c>
      <c r="G10" s="11" t="s">
        <v>278</v>
      </c>
      <c r="H10" s="11" t="s">
        <v>279</v>
      </c>
      <c r="I10" s="12" t="s">
        <v>442</v>
      </c>
      <c r="J10" s="12" t="s">
        <v>509</v>
      </c>
      <c r="K10" s="12" t="s">
        <v>579</v>
      </c>
      <c r="L10" s="11">
        <v>1863</v>
      </c>
      <c r="M10" s="11">
        <v>1980</v>
      </c>
      <c r="N10" s="11">
        <v>1921</v>
      </c>
      <c r="O10" s="11" t="s">
        <v>280</v>
      </c>
      <c r="P10" s="11" t="s">
        <v>147</v>
      </c>
      <c r="Q10" s="11" t="s">
        <v>281</v>
      </c>
      <c r="R10" s="12" t="s">
        <v>442</v>
      </c>
      <c r="S10" s="12" t="s">
        <v>577</v>
      </c>
      <c r="AA10" s="11">
        <v>29.6</v>
      </c>
      <c r="AF10" s="12" t="s">
        <v>442</v>
      </c>
      <c r="AG10" s="12" t="s">
        <v>442</v>
      </c>
      <c r="AH10" s="1" t="s">
        <v>580</v>
      </c>
    </row>
    <row r="11" spans="1:34" ht="23" x14ac:dyDescent="0.25">
      <c r="A11" s="1" t="s">
        <v>27</v>
      </c>
      <c r="B11" s="3">
        <v>7</v>
      </c>
      <c r="C11" s="2">
        <v>90</v>
      </c>
      <c r="D11" s="11" t="s">
        <v>413</v>
      </c>
      <c r="E11" s="11" t="s">
        <v>327</v>
      </c>
      <c r="F11" s="11" t="s">
        <v>246</v>
      </c>
      <c r="G11" s="11" t="s">
        <v>128</v>
      </c>
      <c r="H11" s="11" t="s">
        <v>130</v>
      </c>
      <c r="I11" s="12" t="s">
        <v>502</v>
      </c>
      <c r="J11" s="12" t="s">
        <v>509</v>
      </c>
      <c r="K11" s="12" t="s">
        <v>463</v>
      </c>
      <c r="L11" s="11">
        <v>1993</v>
      </c>
      <c r="M11" s="11">
        <v>1994</v>
      </c>
      <c r="N11" s="11">
        <v>1993</v>
      </c>
      <c r="O11" s="11">
        <v>12</v>
      </c>
      <c r="P11" s="11" t="s">
        <v>16</v>
      </c>
      <c r="Q11" s="11">
        <v>71</v>
      </c>
      <c r="R11" s="12" t="s">
        <v>442</v>
      </c>
      <c r="S11" s="12" t="s">
        <v>577</v>
      </c>
      <c r="U11" s="11">
        <v>25.4</v>
      </c>
      <c r="V11" s="11">
        <v>126.7</v>
      </c>
      <c r="W11" s="11">
        <v>18.3</v>
      </c>
      <c r="AF11" s="12" t="s">
        <v>442</v>
      </c>
      <c r="AG11" s="12" t="s">
        <v>442</v>
      </c>
      <c r="AH11" s="1" t="s">
        <v>247</v>
      </c>
    </row>
    <row r="12" spans="1:34" x14ac:dyDescent="0.25">
      <c r="A12" s="1" t="s">
        <v>27</v>
      </c>
      <c r="B12" s="3">
        <v>73</v>
      </c>
      <c r="C12" s="2">
        <v>70</v>
      </c>
      <c r="D12" s="11" t="s">
        <v>396</v>
      </c>
      <c r="E12" s="11" t="s">
        <v>338</v>
      </c>
      <c r="F12" s="11" t="s">
        <v>201</v>
      </c>
      <c r="G12" s="11" t="s">
        <v>101</v>
      </c>
      <c r="H12" s="11" t="s">
        <v>202</v>
      </c>
      <c r="I12" s="12" t="s">
        <v>459</v>
      </c>
      <c r="J12" s="12" t="s">
        <v>509</v>
      </c>
      <c r="K12" s="12" t="s">
        <v>503</v>
      </c>
      <c r="L12" s="11">
        <v>1982</v>
      </c>
      <c r="M12" s="11">
        <v>1984</v>
      </c>
      <c r="N12" s="11">
        <v>1983</v>
      </c>
      <c r="O12" s="11">
        <v>12</v>
      </c>
      <c r="P12" s="11" t="s">
        <v>36</v>
      </c>
      <c r="Q12" s="11">
        <v>47</v>
      </c>
      <c r="R12" s="12" t="s">
        <v>442</v>
      </c>
      <c r="S12" s="12" t="s">
        <v>577</v>
      </c>
      <c r="T12" s="3"/>
      <c r="U12" s="3"/>
      <c r="V12" s="3">
        <v>129.19999999999999</v>
      </c>
      <c r="W12" s="3">
        <v>23.8</v>
      </c>
      <c r="X12" s="3"/>
      <c r="Y12" s="3"/>
      <c r="Z12" s="3"/>
      <c r="AA12" s="3">
        <v>32.1</v>
      </c>
      <c r="AB12" s="3"/>
      <c r="AC12" s="3"/>
      <c r="AD12" s="3"/>
      <c r="AE12" s="3">
        <v>7.1</v>
      </c>
      <c r="AF12" s="12" t="s">
        <v>442</v>
      </c>
      <c r="AG12" s="12" t="s">
        <v>442</v>
      </c>
      <c r="AH12" s="1" t="s">
        <v>17</v>
      </c>
    </row>
    <row r="13" spans="1:34" x14ac:dyDescent="0.25">
      <c r="A13" s="1" t="s">
        <v>27</v>
      </c>
      <c r="C13" s="2">
        <v>45</v>
      </c>
      <c r="D13" s="11" t="s">
        <v>379</v>
      </c>
      <c r="E13" s="11" t="s">
        <v>334</v>
      </c>
      <c r="F13" s="11" t="s">
        <v>148</v>
      </c>
      <c r="G13" s="11" t="s">
        <v>149</v>
      </c>
      <c r="H13" s="11" t="s">
        <v>150</v>
      </c>
      <c r="I13" s="12" t="s">
        <v>459</v>
      </c>
      <c r="J13" s="12" t="s">
        <v>509</v>
      </c>
      <c r="K13" s="12" t="s">
        <v>504</v>
      </c>
      <c r="L13" s="11" t="s">
        <v>151</v>
      </c>
      <c r="M13" s="11" t="s">
        <v>152</v>
      </c>
      <c r="N13" s="11">
        <v>1984</v>
      </c>
      <c r="O13" s="11">
        <v>12</v>
      </c>
      <c r="P13" s="11" t="s">
        <v>147</v>
      </c>
      <c r="Q13" s="11">
        <v>104</v>
      </c>
      <c r="R13" s="12" t="s">
        <v>442</v>
      </c>
      <c r="S13" s="12" t="s">
        <v>577</v>
      </c>
      <c r="T13" s="3"/>
      <c r="U13" s="3"/>
      <c r="V13" s="3"/>
      <c r="W13" s="9"/>
      <c r="X13" s="3"/>
      <c r="Y13" s="3"/>
      <c r="Z13" s="3">
        <v>65.400000000000006</v>
      </c>
      <c r="AA13" s="3">
        <v>34</v>
      </c>
      <c r="AB13" s="3"/>
      <c r="AC13" s="3"/>
      <c r="AD13" s="3"/>
      <c r="AE13" s="3"/>
      <c r="AF13" s="12" t="s">
        <v>442</v>
      </c>
      <c r="AG13" s="12" t="s">
        <v>442</v>
      </c>
      <c r="AH13" s="1" t="s">
        <v>17</v>
      </c>
    </row>
    <row r="14" spans="1:34" x14ac:dyDescent="0.25">
      <c r="A14" s="1" t="s">
        <v>27</v>
      </c>
      <c r="B14" s="3">
        <v>9</v>
      </c>
      <c r="C14" s="2">
        <v>91</v>
      </c>
      <c r="D14" s="11" t="s">
        <v>414</v>
      </c>
      <c r="E14" s="11" t="s">
        <v>334</v>
      </c>
      <c r="F14" s="11" t="s">
        <v>248</v>
      </c>
      <c r="G14" s="11" t="s">
        <v>128</v>
      </c>
      <c r="H14" s="11" t="s">
        <v>130</v>
      </c>
      <c r="I14" s="12" t="s">
        <v>459</v>
      </c>
      <c r="J14" s="12" t="s">
        <v>507</v>
      </c>
      <c r="K14" s="12" t="s">
        <v>505</v>
      </c>
      <c r="L14" s="11" t="s">
        <v>30</v>
      </c>
      <c r="M14" s="11" t="s">
        <v>31</v>
      </c>
      <c r="N14" s="11">
        <v>1989</v>
      </c>
      <c r="O14" s="11">
        <v>12</v>
      </c>
      <c r="P14" s="11" t="s">
        <v>16</v>
      </c>
      <c r="Q14" s="17">
        <v>161</v>
      </c>
      <c r="R14" s="12" t="s">
        <v>442</v>
      </c>
      <c r="S14" s="12" t="s">
        <v>577</v>
      </c>
      <c r="U14" s="11">
        <v>40.700000000000003</v>
      </c>
      <c r="W14" s="11">
        <v>11.1</v>
      </c>
      <c r="Y14" s="11">
        <v>121</v>
      </c>
      <c r="AB14" s="11">
        <v>11.2</v>
      </c>
      <c r="AF14" s="12">
        <v>8.36</v>
      </c>
      <c r="AG14" s="12" t="s">
        <v>442</v>
      </c>
      <c r="AH14" s="1" t="s">
        <v>17</v>
      </c>
    </row>
    <row r="15" spans="1:34" ht="80.5" x14ac:dyDescent="0.25">
      <c r="A15" s="1" t="s">
        <v>229</v>
      </c>
      <c r="B15" s="3">
        <v>58</v>
      </c>
      <c r="C15" s="2">
        <v>81</v>
      </c>
      <c r="D15" s="11" t="s">
        <v>407</v>
      </c>
      <c r="E15" s="11" t="s">
        <v>333</v>
      </c>
      <c r="F15" s="11" t="s">
        <v>230</v>
      </c>
      <c r="G15" s="11" t="s">
        <v>128</v>
      </c>
      <c r="H15" s="11" t="s">
        <v>129</v>
      </c>
      <c r="I15" s="12" t="s">
        <v>465</v>
      </c>
      <c r="J15" s="12" t="s">
        <v>509</v>
      </c>
      <c r="K15" s="12" t="s">
        <v>442</v>
      </c>
      <c r="L15" s="11">
        <v>1988</v>
      </c>
      <c r="M15" s="11">
        <v>1993</v>
      </c>
      <c r="N15" s="11">
        <v>1991</v>
      </c>
      <c r="O15" s="11">
        <v>60</v>
      </c>
      <c r="P15" s="11" t="s">
        <v>72</v>
      </c>
      <c r="Q15" s="11">
        <v>828</v>
      </c>
      <c r="R15" s="12" t="s">
        <v>442</v>
      </c>
      <c r="S15" s="12" t="s">
        <v>577</v>
      </c>
      <c r="T15" s="11">
        <v>133</v>
      </c>
      <c r="W15" s="11">
        <v>13.5</v>
      </c>
      <c r="AF15" s="12" t="s">
        <v>510</v>
      </c>
      <c r="AG15" s="12" t="s">
        <v>656</v>
      </c>
      <c r="AH15" s="1" t="s">
        <v>511</v>
      </c>
    </row>
    <row r="16" spans="1:34" ht="80.5" x14ac:dyDescent="0.25">
      <c r="A16" s="1" t="s">
        <v>27</v>
      </c>
      <c r="C16" s="2">
        <v>105</v>
      </c>
      <c r="D16" s="11" t="s">
        <v>407</v>
      </c>
      <c r="E16" s="11" t="s">
        <v>340</v>
      </c>
      <c r="F16" s="11" t="s">
        <v>282</v>
      </c>
      <c r="G16" s="11" t="s">
        <v>128</v>
      </c>
      <c r="H16" s="11" t="s">
        <v>129</v>
      </c>
      <c r="I16" s="12" t="s">
        <v>465</v>
      </c>
      <c r="J16" s="12" t="s">
        <v>509</v>
      </c>
      <c r="K16" s="12" t="s">
        <v>442</v>
      </c>
      <c r="L16" s="11">
        <v>1992</v>
      </c>
      <c r="M16" s="11">
        <v>1996</v>
      </c>
      <c r="N16" s="11">
        <v>1994</v>
      </c>
      <c r="O16" s="11">
        <v>60</v>
      </c>
      <c r="P16" s="11" t="s">
        <v>16</v>
      </c>
      <c r="Q16" s="11">
        <v>678</v>
      </c>
      <c r="R16" s="12" t="s">
        <v>442</v>
      </c>
      <c r="S16" s="12" t="s">
        <v>577</v>
      </c>
      <c r="W16" s="11">
        <v>15.6</v>
      </c>
      <c r="AA16" s="11">
        <v>13</v>
      </c>
      <c r="AE16" s="11">
        <v>19</v>
      </c>
      <c r="AF16" s="12" t="s">
        <v>442</v>
      </c>
      <c r="AG16" s="12" t="s">
        <v>442</v>
      </c>
      <c r="AH16" s="1" t="s">
        <v>511</v>
      </c>
    </row>
    <row r="17" spans="1:34" ht="80.5" x14ac:dyDescent="0.25">
      <c r="A17" s="1" t="s">
        <v>27</v>
      </c>
      <c r="B17" s="3"/>
      <c r="C17" s="2">
        <v>106</v>
      </c>
      <c r="D17" s="11" t="s">
        <v>407</v>
      </c>
      <c r="E17" s="11" t="s">
        <v>340</v>
      </c>
      <c r="F17" s="11" t="s">
        <v>282</v>
      </c>
      <c r="G17" s="11" t="s">
        <v>128</v>
      </c>
      <c r="H17" s="11" t="s">
        <v>129</v>
      </c>
      <c r="I17" s="12" t="s">
        <v>465</v>
      </c>
      <c r="J17" s="12" t="s">
        <v>509</v>
      </c>
      <c r="K17" s="12" t="s">
        <v>442</v>
      </c>
      <c r="L17" s="11">
        <v>1989</v>
      </c>
      <c r="M17" s="11">
        <v>1993</v>
      </c>
      <c r="N17" s="11">
        <v>1991</v>
      </c>
      <c r="O17" s="11">
        <v>60</v>
      </c>
      <c r="P17" s="11" t="s">
        <v>72</v>
      </c>
      <c r="Q17" s="11">
        <v>828</v>
      </c>
      <c r="R17" s="12" t="s">
        <v>442</v>
      </c>
      <c r="S17" s="12" t="s">
        <v>577</v>
      </c>
      <c r="T17" s="11">
        <v>133</v>
      </c>
      <c r="W17" s="11">
        <v>14.1</v>
      </c>
      <c r="AA17" s="11">
        <v>10.199999999999999</v>
      </c>
      <c r="AE17" s="11">
        <v>18.3</v>
      </c>
      <c r="AF17" s="12" t="s">
        <v>442</v>
      </c>
      <c r="AG17" s="12" t="s">
        <v>442</v>
      </c>
      <c r="AH17" s="1" t="s">
        <v>511</v>
      </c>
    </row>
    <row r="18" spans="1:34" ht="11.25" customHeight="1" x14ac:dyDescent="0.25">
      <c r="A18" s="1" t="s">
        <v>27</v>
      </c>
      <c r="C18" s="2">
        <v>46</v>
      </c>
      <c r="D18" s="11" t="s">
        <v>380</v>
      </c>
      <c r="E18" s="11" t="s">
        <v>339</v>
      </c>
      <c r="F18" s="11" t="s">
        <v>153</v>
      </c>
      <c r="G18" s="11" t="s">
        <v>149</v>
      </c>
      <c r="H18" s="11" t="s">
        <v>150</v>
      </c>
      <c r="I18" s="12" t="s">
        <v>465</v>
      </c>
      <c r="J18" s="12" t="s">
        <v>509</v>
      </c>
      <c r="K18" s="12" t="s">
        <v>597</v>
      </c>
      <c r="L18" s="11">
        <v>1993</v>
      </c>
      <c r="M18" s="11">
        <v>1994</v>
      </c>
      <c r="N18" s="11">
        <v>1994</v>
      </c>
      <c r="O18" s="11">
        <v>12</v>
      </c>
      <c r="P18" s="11" t="s">
        <v>147</v>
      </c>
      <c r="Q18" s="11">
        <v>215</v>
      </c>
      <c r="R18" s="12" t="s">
        <v>598</v>
      </c>
      <c r="S18" s="12" t="s">
        <v>577</v>
      </c>
      <c r="Y18" s="11">
        <v>56.2</v>
      </c>
      <c r="AA18" s="11">
        <v>7.9</v>
      </c>
      <c r="AF18" s="12" t="s">
        <v>442</v>
      </c>
      <c r="AG18" s="12" t="s">
        <v>657</v>
      </c>
      <c r="AH18" s="1" t="s">
        <v>17</v>
      </c>
    </row>
    <row r="19" spans="1:34" x14ac:dyDescent="0.25">
      <c r="A19" s="1" t="s">
        <v>27</v>
      </c>
      <c r="B19" s="3">
        <v>60</v>
      </c>
      <c r="C19" s="2">
        <v>49</v>
      </c>
      <c r="D19" s="11" t="s">
        <v>383</v>
      </c>
      <c r="E19" s="11" t="s">
        <v>328</v>
      </c>
      <c r="F19" s="11" t="s">
        <v>160</v>
      </c>
      <c r="G19" s="11" t="s">
        <v>149</v>
      </c>
      <c r="H19" s="11" t="s">
        <v>150</v>
      </c>
      <c r="I19" s="12" t="s">
        <v>462</v>
      </c>
      <c r="J19" s="12" t="s">
        <v>509</v>
      </c>
      <c r="K19" s="12" t="s">
        <v>466</v>
      </c>
      <c r="L19" s="11">
        <v>1982</v>
      </c>
      <c r="M19" s="11">
        <v>1983</v>
      </c>
      <c r="N19" s="11">
        <v>1983</v>
      </c>
      <c r="O19" s="11">
        <v>12</v>
      </c>
      <c r="P19" s="11" t="s">
        <v>147</v>
      </c>
      <c r="Q19" s="11">
        <v>215</v>
      </c>
      <c r="R19" s="12" t="s">
        <v>442</v>
      </c>
      <c r="S19" s="12" t="s">
        <v>577</v>
      </c>
      <c r="Y19" s="11">
        <v>38.799999999999997</v>
      </c>
      <c r="AA19" s="11">
        <v>12</v>
      </c>
      <c r="AF19" s="12">
        <v>4.5</v>
      </c>
      <c r="AG19" s="12" t="s">
        <v>442</v>
      </c>
      <c r="AH19" s="1" t="s">
        <v>17</v>
      </c>
    </row>
    <row r="20" spans="1:34" x14ac:dyDescent="0.25">
      <c r="A20" s="1" t="s">
        <v>18</v>
      </c>
      <c r="B20" s="2">
        <v>8</v>
      </c>
      <c r="C20" s="2">
        <v>2</v>
      </c>
      <c r="D20" s="11" t="s">
        <v>348</v>
      </c>
      <c r="E20" s="11" t="s">
        <v>326</v>
      </c>
      <c r="F20" s="11" t="s">
        <v>19</v>
      </c>
      <c r="G20" s="11" t="s">
        <v>14</v>
      </c>
      <c r="H20" s="11" t="s">
        <v>20</v>
      </c>
      <c r="I20" s="12" t="s">
        <v>465</v>
      </c>
      <c r="J20" s="12" t="s">
        <v>509</v>
      </c>
      <c r="K20" s="12" t="s">
        <v>512</v>
      </c>
      <c r="L20" s="11">
        <v>1984</v>
      </c>
      <c r="M20" s="11">
        <v>1984</v>
      </c>
      <c r="N20" s="11">
        <v>1984</v>
      </c>
      <c r="O20" s="11">
        <v>12</v>
      </c>
      <c r="P20" s="11" t="s">
        <v>16</v>
      </c>
      <c r="Q20" s="11">
        <v>1375</v>
      </c>
      <c r="R20" s="12" t="s">
        <v>442</v>
      </c>
      <c r="S20" s="12" t="s">
        <v>577</v>
      </c>
      <c r="V20" s="11">
        <v>253.2</v>
      </c>
      <c r="W20" s="14"/>
      <c r="AF20" s="12" t="s">
        <v>442</v>
      </c>
      <c r="AG20" s="12" t="s">
        <v>442</v>
      </c>
      <c r="AH20" s="1" t="s">
        <v>17</v>
      </c>
    </row>
    <row r="21" spans="1:34" x14ac:dyDescent="0.25">
      <c r="A21" s="6" t="s">
        <v>27</v>
      </c>
      <c r="B21" s="7" t="s">
        <v>112</v>
      </c>
      <c r="C21" s="2">
        <v>31</v>
      </c>
      <c r="D21" s="12" t="s">
        <v>348</v>
      </c>
      <c r="E21" s="11" t="s">
        <v>326</v>
      </c>
      <c r="F21" s="12" t="s">
        <v>113</v>
      </c>
      <c r="G21" s="12" t="s">
        <v>14</v>
      </c>
      <c r="H21" s="12" t="s">
        <v>20</v>
      </c>
      <c r="I21" s="12" t="s">
        <v>465</v>
      </c>
      <c r="J21" s="12" t="s">
        <v>509</v>
      </c>
      <c r="K21" s="12" t="s">
        <v>512</v>
      </c>
      <c r="L21" s="12">
        <v>1984</v>
      </c>
      <c r="M21" s="12">
        <v>1985</v>
      </c>
      <c r="N21" s="12">
        <v>1984</v>
      </c>
      <c r="O21" s="12">
        <v>12</v>
      </c>
      <c r="P21" s="12" t="s">
        <v>114</v>
      </c>
      <c r="Q21" s="12"/>
      <c r="R21" s="12" t="s">
        <v>442</v>
      </c>
      <c r="S21" s="12" t="s">
        <v>577</v>
      </c>
      <c r="T21" s="12"/>
      <c r="U21" s="12">
        <v>111</v>
      </c>
      <c r="V21" s="12"/>
      <c r="W21" s="15" t="s">
        <v>115</v>
      </c>
      <c r="X21" s="12"/>
      <c r="Y21" s="12"/>
      <c r="Z21" s="12"/>
      <c r="AA21" s="12"/>
      <c r="AB21" s="12"/>
      <c r="AC21" s="12"/>
      <c r="AD21" s="12"/>
      <c r="AE21" s="12"/>
      <c r="AF21" s="12" t="s">
        <v>513</v>
      </c>
      <c r="AG21" s="12" t="s">
        <v>442</v>
      </c>
      <c r="AH21" s="6" t="s">
        <v>17</v>
      </c>
    </row>
    <row r="22" spans="1:34" x14ac:dyDescent="0.25">
      <c r="A22" s="6" t="s">
        <v>27</v>
      </c>
      <c r="B22" s="7" t="s">
        <v>116</v>
      </c>
      <c r="C22" s="2">
        <v>32</v>
      </c>
      <c r="D22" s="12" t="s">
        <v>348</v>
      </c>
      <c r="E22" s="11" t="s">
        <v>326</v>
      </c>
      <c r="F22" s="12" t="s">
        <v>113</v>
      </c>
      <c r="G22" s="12" t="s">
        <v>14</v>
      </c>
      <c r="H22" s="12" t="s">
        <v>20</v>
      </c>
      <c r="I22" s="12" t="s">
        <v>465</v>
      </c>
      <c r="J22" s="12" t="s">
        <v>509</v>
      </c>
      <c r="K22" s="12" t="s">
        <v>512</v>
      </c>
      <c r="L22" s="12">
        <v>1986</v>
      </c>
      <c r="M22" s="12">
        <v>1988</v>
      </c>
      <c r="N22" s="12">
        <v>1987</v>
      </c>
      <c r="O22" s="12"/>
      <c r="P22" s="12" t="s">
        <v>114</v>
      </c>
      <c r="Q22" s="12"/>
      <c r="R22" s="12" t="s">
        <v>442</v>
      </c>
      <c r="S22" s="12" t="s">
        <v>577</v>
      </c>
      <c r="T22" s="12"/>
      <c r="U22" s="12">
        <v>72</v>
      </c>
      <c r="V22" s="12"/>
      <c r="W22" s="15" t="s">
        <v>117</v>
      </c>
      <c r="X22" s="12"/>
      <c r="Y22" s="12"/>
      <c r="Z22" s="12"/>
      <c r="AA22" s="12"/>
      <c r="AB22" s="12"/>
      <c r="AC22" s="12"/>
      <c r="AD22" s="12"/>
      <c r="AE22" s="12"/>
      <c r="AF22" s="12" t="s">
        <v>514</v>
      </c>
      <c r="AG22" s="12" t="s">
        <v>442</v>
      </c>
      <c r="AH22" s="6" t="s">
        <v>17</v>
      </c>
    </row>
    <row r="23" spans="1:34" x14ac:dyDescent="0.25">
      <c r="A23" s="1" t="s">
        <v>27</v>
      </c>
      <c r="C23" s="2">
        <v>107</v>
      </c>
      <c r="D23" s="11" t="s">
        <v>427</v>
      </c>
      <c r="E23" s="11" t="s">
        <v>326</v>
      </c>
      <c r="F23" s="11" t="s">
        <v>283</v>
      </c>
      <c r="G23" s="11" t="s">
        <v>14</v>
      </c>
      <c r="H23" s="11" t="s">
        <v>284</v>
      </c>
      <c r="I23" s="12" t="s">
        <v>465</v>
      </c>
      <c r="J23" s="12" t="s">
        <v>509</v>
      </c>
      <c r="K23" s="12" t="s">
        <v>536</v>
      </c>
      <c r="L23" s="11">
        <v>1985</v>
      </c>
      <c r="M23" s="11">
        <v>1989</v>
      </c>
      <c r="N23" s="11">
        <v>1987</v>
      </c>
      <c r="O23" s="11">
        <v>60</v>
      </c>
      <c r="P23" s="11" t="s">
        <v>16</v>
      </c>
      <c r="Q23" s="11">
        <v>1502</v>
      </c>
      <c r="R23" s="12" t="s">
        <v>599</v>
      </c>
      <c r="S23" s="12" t="s">
        <v>577</v>
      </c>
      <c r="V23" s="11">
        <v>45.6</v>
      </c>
      <c r="W23" s="11">
        <v>8.1</v>
      </c>
      <c r="AF23" s="12" t="s">
        <v>629</v>
      </c>
      <c r="AG23" s="12" t="s">
        <v>442</v>
      </c>
      <c r="AH23" s="1" t="s">
        <v>17</v>
      </c>
    </row>
    <row r="24" spans="1:34" ht="23" x14ac:dyDescent="0.25">
      <c r="A24" s="1" t="s">
        <v>155</v>
      </c>
      <c r="B24" s="3">
        <v>14</v>
      </c>
      <c r="C24" s="2">
        <v>99</v>
      </c>
      <c r="D24" s="11" t="s">
        <v>421</v>
      </c>
      <c r="E24" s="11" t="s">
        <v>335</v>
      </c>
      <c r="F24" s="11" t="s">
        <v>261</v>
      </c>
      <c r="G24" s="11" t="s">
        <v>128</v>
      </c>
      <c r="H24" s="11" t="s">
        <v>130</v>
      </c>
      <c r="I24" s="12" t="s">
        <v>459</v>
      </c>
      <c r="J24" s="12" t="s">
        <v>546</v>
      </c>
      <c r="K24" s="12" t="s">
        <v>460</v>
      </c>
      <c r="R24" s="12" t="s">
        <v>442</v>
      </c>
      <c r="S24" s="12" t="s">
        <v>630</v>
      </c>
      <c r="AF24" s="12" t="s">
        <v>442</v>
      </c>
      <c r="AG24" s="12" t="s">
        <v>442</v>
      </c>
      <c r="AH24" s="1" t="s">
        <v>594</v>
      </c>
    </row>
    <row r="25" spans="1:34" ht="46" x14ac:dyDescent="0.25">
      <c r="A25" s="1" t="s">
        <v>27</v>
      </c>
      <c r="B25" s="3">
        <v>62</v>
      </c>
      <c r="C25" s="2">
        <v>76</v>
      </c>
      <c r="D25" s="11" t="s">
        <v>402</v>
      </c>
      <c r="E25" s="11" t="s">
        <v>338</v>
      </c>
      <c r="F25" s="11" t="s">
        <v>219</v>
      </c>
      <c r="G25" s="11" t="s">
        <v>128</v>
      </c>
      <c r="H25" s="11" t="s">
        <v>129</v>
      </c>
      <c r="I25" s="12" t="s">
        <v>459</v>
      </c>
      <c r="J25" s="12" t="s">
        <v>507</v>
      </c>
      <c r="K25" s="12" t="s">
        <v>492</v>
      </c>
      <c r="L25" s="11">
        <v>1982</v>
      </c>
      <c r="M25" s="11">
        <v>1983</v>
      </c>
      <c r="N25" s="11">
        <v>1983</v>
      </c>
      <c r="O25" s="11">
        <v>24</v>
      </c>
      <c r="P25" s="11" t="s">
        <v>147</v>
      </c>
      <c r="Q25" s="11">
        <v>926</v>
      </c>
      <c r="R25" s="12" t="s">
        <v>442</v>
      </c>
      <c r="S25" s="12" t="s">
        <v>577</v>
      </c>
      <c r="Y25" s="11">
        <v>113.2</v>
      </c>
      <c r="AA25" s="11">
        <v>9.4</v>
      </c>
      <c r="AF25" s="12" t="s">
        <v>515</v>
      </c>
      <c r="AG25" s="23" t="s">
        <v>658</v>
      </c>
      <c r="AH25" s="1" t="s">
        <v>143</v>
      </c>
    </row>
    <row r="26" spans="1:34" x14ac:dyDescent="0.25">
      <c r="A26" s="1" t="s">
        <v>59</v>
      </c>
      <c r="B26" s="3">
        <v>15</v>
      </c>
      <c r="C26" s="2">
        <v>68</v>
      </c>
      <c r="D26" s="11" t="s">
        <v>394</v>
      </c>
      <c r="E26" s="11" t="s">
        <v>329</v>
      </c>
      <c r="F26" s="11" t="s">
        <v>195</v>
      </c>
      <c r="G26" s="11" t="s">
        <v>101</v>
      </c>
      <c r="H26" s="11" t="s">
        <v>186</v>
      </c>
      <c r="I26" s="12" t="s">
        <v>462</v>
      </c>
      <c r="J26" s="12" t="s">
        <v>509</v>
      </c>
      <c r="K26" s="12" t="s">
        <v>535</v>
      </c>
      <c r="R26" s="12" t="s">
        <v>442</v>
      </c>
      <c r="S26" s="12" t="s">
        <v>577</v>
      </c>
      <c r="AF26" s="12" t="s">
        <v>442</v>
      </c>
      <c r="AG26" s="12" t="s">
        <v>442</v>
      </c>
      <c r="AH26" s="1" t="s">
        <v>17</v>
      </c>
    </row>
    <row r="27" spans="1:34" x14ac:dyDescent="0.25">
      <c r="A27" s="1" t="s">
        <v>21</v>
      </c>
      <c r="B27" s="2">
        <v>11</v>
      </c>
      <c r="C27" s="2">
        <v>3</v>
      </c>
      <c r="D27" s="11" t="s">
        <v>349</v>
      </c>
      <c r="E27" s="11" t="s">
        <v>327</v>
      </c>
      <c r="F27" s="11" t="s">
        <v>22</v>
      </c>
      <c r="G27" s="11" t="s">
        <v>14</v>
      </c>
      <c r="H27" s="11" t="s">
        <v>15</v>
      </c>
      <c r="I27" s="12" t="s">
        <v>465</v>
      </c>
      <c r="J27" s="12" t="s">
        <v>507</v>
      </c>
      <c r="K27" s="12" t="s">
        <v>467</v>
      </c>
      <c r="L27" s="11" t="s">
        <v>23</v>
      </c>
      <c r="M27" s="11" t="s">
        <v>24</v>
      </c>
      <c r="N27" s="11">
        <v>1994</v>
      </c>
      <c r="O27" s="11">
        <v>24</v>
      </c>
      <c r="P27" s="11" t="s">
        <v>25</v>
      </c>
      <c r="Q27" s="11">
        <v>461</v>
      </c>
      <c r="R27" s="12" t="s">
        <v>442</v>
      </c>
      <c r="S27" s="12" t="s">
        <v>577</v>
      </c>
      <c r="U27" s="11">
        <v>27.9</v>
      </c>
      <c r="W27" s="14">
        <v>18.2</v>
      </c>
      <c r="AF27" s="12">
        <v>4.2</v>
      </c>
      <c r="AG27" s="12" t="s">
        <v>442</v>
      </c>
      <c r="AH27" s="1" t="s">
        <v>26</v>
      </c>
    </row>
    <row r="28" spans="1:34" x14ac:dyDescent="0.25">
      <c r="A28" s="1" t="s">
        <v>27</v>
      </c>
      <c r="B28" s="3">
        <v>17</v>
      </c>
      <c r="C28" s="2">
        <v>92</v>
      </c>
      <c r="D28" s="11" t="s">
        <v>415</v>
      </c>
      <c r="E28" s="11" t="s">
        <v>326</v>
      </c>
      <c r="F28" s="11" t="s">
        <v>249</v>
      </c>
      <c r="G28" s="11" t="s">
        <v>128</v>
      </c>
      <c r="H28" s="11" t="s">
        <v>130</v>
      </c>
      <c r="I28" s="12" t="s">
        <v>459</v>
      </c>
      <c r="J28" s="12" t="s">
        <v>509</v>
      </c>
      <c r="K28" s="12" t="s">
        <v>468</v>
      </c>
      <c r="L28" s="11" t="s">
        <v>250</v>
      </c>
      <c r="M28" s="11" t="s">
        <v>251</v>
      </c>
      <c r="N28" s="11">
        <v>1988</v>
      </c>
      <c r="O28" s="11">
        <v>12</v>
      </c>
      <c r="P28" s="11" t="s">
        <v>16</v>
      </c>
      <c r="Q28" s="11">
        <v>144</v>
      </c>
      <c r="R28" s="12" t="s">
        <v>442</v>
      </c>
      <c r="S28" s="12" t="s">
        <v>577</v>
      </c>
      <c r="V28" s="11">
        <v>110.1</v>
      </c>
      <c r="W28" s="11">
        <v>16.7</v>
      </c>
      <c r="Y28" s="11">
        <v>76.400000000000006</v>
      </c>
      <c r="AA28" s="11">
        <v>13</v>
      </c>
      <c r="AE28" s="11">
        <v>25</v>
      </c>
      <c r="AF28" s="12" t="s">
        <v>442</v>
      </c>
      <c r="AG28" s="12" t="s">
        <v>442</v>
      </c>
      <c r="AH28" s="1" t="s">
        <v>17</v>
      </c>
    </row>
    <row r="29" spans="1:34" x14ac:dyDescent="0.25">
      <c r="A29" s="6" t="s">
        <v>27</v>
      </c>
      <c r="B29" s="7"/>
      <c r="C29" s="2">
        <v>36</v>
      </c>
      <c r="D29" s="12" t="s">
        <v>372</v>
      </c>
      <c r="E29" s="11" t="s">
        <v>337</v>
      </c>
      <c r="F29" s="12" t="s">
        <v>123</v>
      </c>
      <c r="G29" s="12" t="s">
        <v>14</v>
      </c>
      <c r="H29" s="12" t="s">
        <v>41</v>
      </c>
      <c r="I29" s="12" t="s">
        <v>459</v>
      </c>
      <c r="J29" s="12" t="s">
        <v>509</v>
      </c>
      <c r="K29" s="12" t="s">
        <v>516</v>
      </c>
      <c r="L29" s="12" t="s">
        <v>124</v>
      </c>
      <c r="M29" s="12" t="s">
        <v>125</v>
      </c>
      <c r="N29" s="12">
        <v>1978</v>
      </c>
      <c r="O29" s="12">
        <v>12</v>
      </c>
      <c r="P29" s="12" t="s">
        <v>16</v>
      </c>
      <c r="Q29" s="12">
        <v>151</v>
      </c>
      <c r="R29" s="12" t="s">
        <v>442</v>
      </c>
      <c r="S29" s="12" t="s">
        <v>577</v>
      </c>
      <c r="T29" s="12"/>
      <c r="U29" s="12"/>
      <c r="V29" s="12"/>
      <c r="W29" s="12">
        <v>24.5</v>
      </c>
      <c r="X29" s="12"/>
      <c r="Y29" s="12"/>
      <c r="Z29" s="6"/>
      <c r="AA29" s="6"/>
      <c r="AB29" s="6"/>
      <c r="AC29" s="6"/>
      <c r="AD29" s="6"/>
      <c r="AE29" s="12"/>
      <c r="AF29" s="12" t="s">
        <v>442</v>
      </c>
      <c r="AG29" s="12" t="s">
        <v>442</v>
      </c>
      <c r="AH29" s="12" t="s">
        <v>17</v>
      </c>
    </row>
    <row r="30" spans="1:34" s="8" customFormat="1" x14ac:dyDescent="0.25">
      <c r="A30" s="1" t="s">
        <v>27</v>
      </c>
      <c r="B30" s="3"/>
      <c r="C30" s="2">
        <v>133</v>
      </c>
      <c r="D30" s="11" t="s">
        <v>443</v>
      </c>
      <c r="E30" s="11" t="s">
        <v>325</v>
      </c>
      <c r="F30" s="11" t="s">
        <v>323</v>
      </c>
      <c r="G30" s="11" t="s">
        <v>149</v>
      </c>
      <c r="H30" s="11" t="s">
        <v>150</v>
      </c>
      <c r="I30" s="12" t="s">
        <v>462</v>
      </c>
      <c r="J30" s="12" t="s">
        <v>509</v>
      </c>
      <c r="K30" s="12" t="s">
        <v>600</v>
      </c>
      <c r="L30" s="11">
        <v>1985</v>
      </c>
      <c r="M30" s="11">
        <v>1985</v>
      </c>
      <c r="N30" s="11">
        <v>1985</v>
      </c>
      <c r="O30" s="11">
        <v>12</v>
      </c>
      <c r="P30" s="11" t="s">
        <v>16</v>
      </c>
      <c r="Q30" s="11">
        <v>92</v>
      </c>
      <c r="R30" s="12" t="s">
        <v>601</v>
      </c>
      <c r="S30" s="12" t="s">
        <v>602</v>
      </c>
      <c r="T30" s="11"/>
      <c r="U30" s="11">
        <v>12.8</v>
      </c>
      <c r="V30" s="11"/>
      <c r="W30" s="11">
        <v>46</v>
      </c>
      <c r="X30" s="11">
        <v>44</v>
      </c>
      <c r="Y30" s="11"/>
      <c r="Z30" s="11"/>
      <c r="AA30" s="11">
        <v>55</v>
      </c>
      <c r="AB30" s="11">
        <v>5</v>
      </c>
      <c r="AC30" s="11" t="s">
        <v>324</v>
      </c>
      <c r="AD30" s="11"/>
      <c r="AE30" s="11">
        <v>25</v>
      </c>
      <c r="AF30" s="12" t="s">
        <v>603</v>
      </c>
      <c r="AG30" s="12" t="s">
        <v>442</v>
      </c>
      <c r="AH30" s="11" t="s">
        <v>17</v>
      </c>
    </row>
    <row r="31" spans="1:34" ht="22.5" customHeight="1" x14ac:dyDescent="0.25">
      <c r="A31" s="1" t="s">
        <v>27</v>
      </c>
      <c r="B31" s="3"/>
      <c r="C31" s="2">
        <v>134</v>
      </c>
      <c r="D31" s="11" t="s">
        <v>443</v>
      </c>
      <c r="E31" s="11" t="s">
        <v>325</v>
      </c>
      <c r="F31" s="11" t="s">
        <v>323</v>
      </c>
      <c r="G31" s="11" t="s">
        <v>149</v>
      </c>
      <c r="H31" s="11" t="s">
        <v>150</v>
      </c>
      <c r="I31" s="12" t="s">
        <v>462</v>
      </c>
      <c r="J31" s="12" t="s">
        <v>509</v>
      </c>
      <c r="K31" s="12" t="s">
        <v>600</v>
      </c>
      <c r="L31" s="11">
        <v>1988</v>
      </c>
      <c r="M31" s="11">
        <v>1988</v>
      </c>
      <c r="N31" s="11">
        <v>1988</v>
      </c>
      <c r="O31" s="11">
        <v>12</v>
      </c>
      <c r="P31" s="11" t="s">
        <v>16</v>
      </c>
      <c r="Q31" s="11">
        <v>32</v>
      </c>
      <c r="R31" s="12" t="s">
        <v>601</v>
      </c>
      <c r="S31" s="12" t="s">
        <v>602</v>
      </c>
      <c r="U31" s="11">
        <v>4.9000000000000004</v>
      </c>
      <c r="W31" s="11">
        <v>44</v>
      </c>
      <c r="X31" s="11">
        <v>7.9</v>
      </c>
      <c r="AA31" s="11">
        <v>48</v>
      </c>
      <c r="AB31" s="11">
        <v>2.4</v>
      </c>
      <c r="AE31" s="14">
        <v>33.332999999999998</v>
      </c>
      <c r="AF31" s="15" t="s">
        <v>604</v>
      </c>
      <c r="AG31" s="15" t="s">
        <v>442</v>
      </c>
      <c r="AH31" s="11" t="s">
        <v>17</v>
      </c>
    </row>
    <row r="32" spans="1:34" x14ac:dyDescent="0.25">
      <c r="A32" s="1" t="s">
        <v>27</v>
      </c>
      <c r="B32" s="3">
        <v>75</v>
      </c>
      <c r="C32" s="2">
        <v>80</v>
      </c>
      <c r="D32" s="11" t="s">
        <v>406</v>
      </c>
      <c r="E32" s="11" t="s">
        <v>344</v>
      </c>
      <c r="F32" s="11" t="s">
        <v>228</v>
      </c>
      <c r="G32" s="11" t="s">
        <v>128</v>
      </c>
      <c r="H32" s="11" t="s">
        <v>129</v>
      </c>
      <c r="I32" s="12" t="s">
        <v>459</v>
      </c>
      <c r="J32" s="12" t="s">
        <v>509</v>
      </c>
      <c r="K32" s="12" t="s">
        <v>517</v>
      </c>
      <c r="L32" s="11">
        <v>1975</v>
      </c>
      <c r="M32" s="11">
        <v>1977</v>
      </c>
      <c r="N32" s="11">
        <v>1976</v>
      </c>
      <c r="O32" s="11">
        <v>36</v>
      </c>
      <c r="P32" s="11" t="s">
        <v>16</v>
      </c>
      <c r="Q32" s="11">
        <v>7858</v>
      </c>
      <c r="R32" s="12" t="s">
        <v>442</v>
      </c>
      <c r="S32" s="12" t="s">
        <v>577</v>
      </c>
      <c r="T32" s="11">
        <v>63.1</v>
      </c>
      <c r="W32" s="11">
        <v>26.71</v>
      </c>
      <c r="Y32" s="11">
        <v>142.6</v>
      </c>
      <c r="AA32" s="11">
        <v>13.7</v>
      </c>
      <c r="AB32" s="11">
        <v>34.299999999999997</v>
      </c>
      <c r="AE32" s="11">
        <v>43.9</v>
      </c>
      <c r="AF32" s="12" t="s">
        <v>518</v>
      </c>
      <c r="AG32" s="12" t="s">
        <v>659</v>
      </c>
      <c r="AH32" s="1" t="s">
        <v>17</v>
      </c>
    </row>
    <row r="33" spans="1:34" s="8" customFormat="1" x14ac:dyDescent="0.25">
      <c r="A33" s="1" t="s">
        <v>285</v>
      </c>
      <c r="B33" s="2"/>
      <c r="C33" s="2">
        <v>108</v>
      </c>
      <c r="D33" s="11" t="s">
        <v>406</v>
      </c>
      <c r="E33" s="11" t="s">
        <v>345</v>
      </c>
      <c r="F33" s="11" t="s">
        <v>286</v>
      </c>
      <c r="G33" s="11" t="s">
        <v>128</v>
      </c>
      <c r="H33" s="11" t="s">
        <v>129</v>
      </c>
      <c r="I33" s="12" t="s">
        <v>459</v>
      </c>
      <c r="J33" s="12" t="s">
        <v>507</v>
      </c>
      <c r="K33" s="12" t="s">
        <v>568</v>
      </c>
      <c r="L33" s="11">
        <v>1975</v>
      </c>
      <c r="M33" s="11">
        <v>1977</v>
      </c>
      <c r="N33" s="11">
        <v>1976</v>
      </c>
      <c r="O33" s="11">
        <v>36</v>
      </c>
      <c r="P33" s="11" t="s">
        <v>16</v>
      </c>
      <c r="Q33" s="11">
        <v>7858</v>
      </c>
      <c r="R33" s="12" t="s">
        <v>442</v>
      </c>
      <c r="S33" s="12" t="s">
        <v>577</v>
      </c>
      <c r="T33" s="11"/>
      <c r="U33" s="11"/>
      <c r="V33" s="11"/>
      <c r="W33" s="11">
        <v>26.7</v>
      </c>
      <c r="X33" s="11"/>
      <c r="Y33" s="11"/>
      <c r="Z33" s="11"/>
      <c r="AA33" s="11">
        <v>13.7</v>
      </c>
      <c r="AB33" s="11"/>
      <c r="AC33" s="11"/>
      <c r="AD33" s="11"/>
      <c r="AE33" s="11">
        <v>43.9</v>
      </c>
      <c r="AF33" s="12" t="s">
        <v>518</v>
      </c>
      <c r="AG33" s="12" t="s">
        <v>442</v>
      </c>
      <c r="AH33" s="1" t="s">
        <v>595</v>
      </c>
    </row>
    <row r="34" spans="1:34" s="8" customFormat="1" x14ac:dyDescent="0.25">
      <c r="A34" s="1" t="s">
        <v>27</v>
      </c>
      <c r="B34" s="2"/>
      <c r="C34" s="2">
        <v>109</v>
      </c>
      <c r="D34" s="11" t="s">
        <v>428</v>
      </c>
      <c r="E34" s="11" t="s">
        <v>338</v>
      </c>
      <c r="F34" s="11" t="s">
        <v>287</v>
      </c>
      <c r="G34" s="11" t="s">
        <v>128</v>
      </c>
      <c r="H34" s="11" t="s">
        <v>130</v>
      </c>
      <c r="I34" s="12" t="s">
        <v>502</v>
      </c>
      <c r="J34" s="12" t="s">
        <v>509</v>
      </c>
      <c r="K34" s="12" t="s">
        <v>519</v>
      </c>
      <c r="L34" s="11">
        <v>1987</v>
      </c>
      <c r="M34" s="11">
        <v>1987</v>
      </c>
      <c r="N34" s="11">
        <v>1987</v>
      </c>
      <c r="O34" s="11">
        <v>12</v>
      </c>
      <c r="P34" s="11" t="s">
        <v>256</v>
      </c>
      <c r="Q34" s="11">
        <v>66</v>
      </c>
      <c r="R34" s="12" t="s">
        <v>442</v>
      </c>
      <c r="S34" s="12" t="s">
        <v>577</v>
      </c>
      <c r="T34" s="11"/>
      <c r="U34" s="11"/>
      <c r="V34" s="11"/>
      <c r="W34" s="11">
        <v>22.73</v>
      </c>
      <c r="X34" s="11"/>
      <c r="Y34" s="11">
        <v>64.62</v>
      </c>
      <c r="Z34" s="11"/>
      <c r="AA34" s="11">
        <v>8.82</v>
      </c>
      <c r="AB34" s="11"/>
      <c r="AC34" s="11"/>
      <c r="AD34" s="11"/>
      <c r="AE34" s="11"/>
      <c r="AF34" s="12" t="s">
        <v>442</v>
      </c>
      <c r="AG34" s="12" t="s">
        <v>442</v>
      </c>
      <c r="AH34" s="1" t="s">
        <v>92</v>
      </c>
    </row>
    <row r="35" spans="1:34" s="8" customFormat="1" x14ac:dyDescent="0.25">
      <c r="A35" s="1" t="s">
        <v>288</v>
      </c>
      <c r="B35" s="2"/>
      <c r="C35" s="2">
        <v>110</v>
      </c>
      <c r="D35" s="11" t="s">
        <v>429</v>
      </c>
      <c r="E35" s="11" t="s">
        <v>341</v>
      </c>
      <c r="F35" s="11" t="s">
        <v>289</v>
      </c>
      <c r="G35" s="11" t="s">
        <v>128</v>
      </c>
      <c r="H35" s="11" t="s">
        <v>129</v>
      </c>
      <c r="I35" s="12" t="s">
        <v>442</v>
      </c>
      <c r="J35" s="12" t="s">
        <v>507</v>
      </c>
      <c r="K35" s="12" t="s">
        <v>568</v>
      </c>
      <c r="L35" s="11">
        <v>1982</v>
      </c>
      <c r="M35" s="11">
        <v>1984</v>
      </c>
      <c r="N35" s="11">
        <v>1983</v>
      </c>
      <c r="O35" s="11">
        <v>36</v>
      </c>
      <c r="P35" s="13" t="s">
        <v>290</v>
      </c>
      <c r="Q35" s="11">
        <v>536</v>
      </c>
      <c r="R35" s="12" t="s">
        <v>442</v>
      </c>
      <c r="S35" s="12" t="s">
        <v>577</v>
      </c>
      <c r="T35" s="11"/>
      <c r="U35" s="11"/>
      <c r="V35" s="11"/>
      <c r="W35" s="18">
        <v>46</v>
      </c>
      <c r="X35" s="11"/>
      <c r="Y35" s="11"/>
      <c r="Z35" s="11"/>
      <c r="AA35" s="11"/>
      <c r="AB35" s="11"/>
      <c r="AC35" s="11"/>
      <c r="AD35" s="11"/>
      <c r="AE35" s="11"/>
      <c r="AF35" s="12" t="s">
        <v>442</v>
      </c>
      <c r="AG35" s="12" t="s">
        <v>442</v>
      </c>
      <c r="AH35" s="1" t="s">
        <v>92</v>
      </c>
    </row>
    <row r="36" spans="1:34" s="8" customFormat="1" x14ac:dyDescent="0.25">
      <c r="A36" s="1" t="s">
        <v>64</v>
      </c>
      <c r="B36" s="2"/>
      <c r="C36" s="2">
        <v>118</v>
      </c>
      <c r="D36" s="11" t="s">
        <v>434</v>
      </c>
      <c r="E36" s="11" t="s">
        <v>332</v>
      </c>
      <c r="F36" s="11" t="s">
        <v>304</v>
      </c>
      <c r="G36" s="11" t="s">
        <v>128</v>
      </c>
      <c r="H36" s="11" t="s">
        <v>263</v>
      </c>
      <c r="I36" s="12" t="s">
        <v>459</v>
      </c>
      <c r="J36" s="12" t="s">
        <v>507</v>
      </c>
      <c r="K36" s="12" t="s">
        <v>581</v>
      </c>
      <c r="L36" s="11" t="s">
        <v>31</v>
      </c>
      <c r="M36" s="11" t="s">
        <v>84</v>
      </c>
      <c r="N36" s="11">
        <v>1989</v>
      </c>
      <c r="O36" s="11">
        <v>5</v>
      </c>
      <c r="P36" s="13" t="s">
        <v>52</v>
      </c>
      <c r="Q36" s="11">
        <v>167</v>
      </c>
      <c r="R36" s="12" t="s">
        <v>442</v>
      </c>
      <c r="S36" s="12" t="s">
        <v>631</v>
      </c>
      <c r="T36" s="11"/>
      <c r="U36" s="11">
        <v>126</v>
      </c>
      <c r="V36" s="11"/>
      <c r="W36" s="18">
        <f>129/167*100</f>
        <v>77.245508982035929</v>
      </c>
      <c r="X36" s="11"/>
      <c r="Y36" s="11"/>
      <c r="Z36" s="11"/>
      <c r="AA36" s="11"/>
      <c r="AB36" s="11"/>
      <c r="AC36" s="11"/>
      <c r="AD36" s="11"/>
      <c r="AE36" s="11"/>
      <c r="AF36" s="12">
        <v>97.5</v>
      </c>
      <c r="AG36" s="12" t="s">
        <v>442</v>
      </c>
      <c r="AH36" s="1" t="s">
        <v>17</v>
      </c>
    </row>
    <row r="37" spans="1:34" s="8" customFormat="1" ht="34.5" x14ac:dyDescent="0.25">
      <c r="A37" s="1" t="s">
        <v>27</v>
      </c>
      <c r="B37" s="2">
        <v>13</v>
      </c>
      <c r="C37" s="2">
        <v>4</v>
      </c>
      <c r="D37" s="11" t="s">
        <v>350</v>
      </c>
      <c r="E37" s="11" t="s">
        <v>326</v>
      </c>
      <c r="F37" s="11" t="s">
        <v>28</v>
      </c>
      <c r="G37" s="11" t="s">
        <v>14</v>
      </c>
      <c r="H37" s="11" t="s">
        <v>29</v>
      </c>
      <c r="I37" s="12" t="s">
        <v>459</v>
      </c>
      <c r="J37" s="12" t="s">
        <v>509</v>
      </c>
      <c r="K37" s="12" t="s">
        <v>469</v>
      </c>
      <c r="L37" s="11" t="s">
        <v>30</v>
      </c>
      <c r="M37" s="11" t="s">
        <v>31</v>
      </c>
      <c r="N37" s="11">
        <v>1989</v>
      </c>
      <c r="O37" s="11">
        <v>12</v>
      </c>
      <c r="P37" s="11" t="s">
        <v>16</v>
      </c>
      <c r="Q37" s="11">
        <v>856</v>
      </c>
      <c r="R37" s="12" t="s">
        <v>521</v>
      </c>
      <c r="S37" s="12" t="s">
        <v>577</v>
      </c>
      <c r="T37" s="11"/>
      <c r="U37" s="11">
        <v>34.5</v>
      </c>
      <c r="V37" s="11">
        <v>159.19999999999999</v>
      </c>
      <c r="W37" s="14">
        <v>18</v>
      </c>
      <c r="X37" s="11"/>
      <c r="Y37" s="11">
        <v>97.5</v>
      </c>
      <c r="Z37" s="11"/>
      <c r="AA37" s="11">
        <v>11.85</v>
      </c>
      <c r="AB37" s="11">
        <v>17.100000000000001</v>
      </c>
      <c r="AC37" s="11"/>
      <c r="AD37" s="11"/>
      <c r="AE37" s="11">
        <v>27.63</v>
      </c>
      <c r="AF37" s="22" t="s">
        <v>520</v>
      </c>
      <c r="AG37" s="12" t="s">
        <v>442</v>
      </c>
      <c r="AH37" s="1" t="s">
        <v>32</v>
      </c>
    </row>
    <row r="38" spans="1:34" s="8" customFormat="1" ht="22.5" customHeight="1" x14ac:dyDescent="0.25">
      <c r="A38" s="1" t="s">
        <v>64</v>
      </c>
      <c r="B38" s="2"/>
      <c r="C38" s="2">
        <v>47</v>
      </c>
      <c r="D38" s="11" t="s">
        <v>381</v>
      </c>
      <c r="E38" s="11" t="s">
        <v>340</v>
      </c>
      <c r="F38" s="11" t="s">
        <v>154</v>
      </c>
      <c r="G38" s="11" t="s">
        <v>149</v>
      </c>
      <c r="H38" s="11" t="s">
        <v>150</v>
      </c>
      <c r="I38" s="12" t="s">
        <v>465</v>
      </c>
      <c r="J38" s="12" t="s">
        <v>546</v>
      </c>
      <c r="K38" s="12" t="s">
        <v>587</v>
      </c>
      <c r="L38" s="11">
        <v>1994</v>
      </c>
      <c r="M38" s="11">
        <v>1996</v>
      </c>
      <c r="N38" s="11">
        <v>1995</v>
      </c>
      <c r="O38" s="11">
        <v>30</v>
      </c>
      <c r="P38" s="11" t="s">
        <v>147</v>
      </c>
      <c r="Q38" s="11"/>
      <c r="R38" s="12" t="s">
        <v>442</v>
      </c>
      <c r="S38" s="12" t="s">
        <v>633</v>
      </c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2" t="s">
        <v>442</v>
      </c>
      <c r="AG38" s="12" t="s">
        <v>442</v>
      </c>
      <c r="AH38" s="1" t="s">
        <v>17</v>
      </c>
    </row>
    <row r="39" spans="1:34" s="8" customFormat="1" x14ac:dyDescent="0.25">
      <c r="A39" s="6" t="s">
        <v>27</v>
      </c>
      <c r="B39" s="7"/>
      <c r="C39" s="2">
        <v>43</v>
      </c>
      <c r="D39" s="12" t="s">
        <v>377</v>
      </c>
      <c r="E39" s="11" t="s">
        <v>338</v>
      </c>
      <c r="F39" s="12" t="s">
        <v>139</v>
      </c>
      <c r="G39" s="12" t="s">
        <v>45</v>
      </c>
      <c r="H39" s="12" t="s">
        <v>140</v>
      </c>
      <c r="I39" s="12" t="s">
        <v>459</v>
      </c>
      <c r="J39" s="12" t="s">
        <v>509</v>
      </c>
      <c r="K39" s="12" t="s">
        <v>605</v>
      </c>
      <c r="L39" s="12" t="s">
        <v>141</v>
      </c>
      <c r="M39" s="12" t="s">
        <v>142</v>
      </c>
      <c r="N39" s="12">
        <v>1986</v>
      </c>
      <c r="O39" s="12">
        <v>12</v>
      </c>
      <c r="P39" s="12" t="s">
        <v>16</v>
      </c>
      <c r="Q39" s="12">
        <v>358</v>
      </c>
      <c r="R39" s="12" t="s">
        <v>606</v>
      </c>
      <c r="S39" s="12" t="s">
        <v>577</v>
      </c>
      <c r="T39" s="12"/>
      <c r="U39" s="12">
        <v>69</v>
      </c>
      <c r="V39" s="12"/>
      <c r="W39" s="12">
        <v>8.4</v>
      </c>
      <c r="X39" s="12">
        <v>172</v>
      </c>
      <c r="Y39" s="12"/>
      <c r="Z39" s="6"/>
      <c r="AA39" s="6">
        <v>6</v>
      </c>
      <c r="AB39" s="6">
        <v>45.3</v>
      </c>
      <c r="AC39" s="6"/>
      <c r="AD39" s="6"/>
      <c r="AE39" s="12">
        <v>10.5</v>
      </c>
      <c r="AF39" s="12" t="s">
        <v>607</v>
      </c>
      <c r="AG39" s="12" t="s">
        <v>442</v>
      </c>
      <c r="AH39" s="12" t="s">
        <v>143</v>
      </c>
    </row>
    <row r="40" spans="1:34" s="8" customFormat="1" ht="23" x14ac:dyDescent="0.25">
      <c r="A40" s="1" t="s">
        <v>27</v>
      </c>
      <c r="B40" s="2"/>
      <c r="C40" s="2">
        <v>119</v>
      </c>
      <c r="D40" s="11" t="s">
        <v>377</v>
      </c>
      <c r="E40" s="11" t="s">
        <v>326</v>
      </c>
      <c r="F40" s="11" t="s">
        <v>305</v>
      </c>
      <c r="G40" s="11" t="s">
        <v>45</v>
      </c>
      <c r="H40" s="11" t="s">
        <v>306</v>
      </c>
      <c r="I40" s="12" t="s">
        <v>459</v>
      </c>
      <c r="J40" s="12" t="s">
        <v>509</v>
      </c>
      <c r="K40" s="12" t="s">
        <v>605</v>
      </c>
      <c r="L40" s="11" t="s">
        <v>307</v>
      </c>
      <c r="M40" s="11" t="s">
        <v>308</v>
      </c>
      <c r="N40" s="11">
        <v>1990</v>
      </c>
      <c r="O40" s="11">
        <v>12</v>
      </c>
      <c r="P40" s="11" t="s">
        <v>16</v>
      </c>
      <c r="Q40" s="11">
        <v>160</v>
      </c>
      <c r="R40" s="12" t="s">
        <v>608</v>
      </c>
      <c r="S40" s="12" t="s">
        <v>577</v>
      </c>
      <c r="T40" s="11"/>
      <c r="U40" s="11">
        <v>41.9</v>
      </c>
      <c r="V40" s="11"/>
      <c r="W40" s="11">
        <v>19.399999999999999</v>
      </c>
      <c r="X40" s="11"/>
      <c r="Y40" s="11"/>
      <c r="Z40" s="11"/>
      <c r="AA40" s="11"/>
      <c r="AB40" s="11"/>
      <c r="AC40" s="11"/>
      <c r="AD40" s="11"/>
      <c r="AE40" s="11"/>
      <c r="AF40" s="12" t="s">
        <v>609</v>
      </c>
      <c r="AG40" s="12" t="s">
        <v>442</v>
      </c>
      <c r="AH40" s="1" t="s">
        <v>610</v>
      </c>
    </row>
    <row r="41" spans="1:34" s="8" customFormat="1" x14ac:dyDescent="0.25">
      <c r="A41" s="1" t="s">
        <v>27</v>
      </c>
      <c r="B41" s="2">
        <v>78</v>
      </c>
      <c r="C41" s="2">
        <v>23</v>
      </c>
      <c r="D41" s="11" t="s">
        <v>365</v>
      </c>
      <c r="E41" s="11" t="s">
        <v>336</v>
      </c>
      <c r="F41" s="11" t="s">
        <v>98</v>
      </c>
      <c r="G41" s="11" t="s">
        <v>14</v>
      </c>
      <c r="H41" s="11" t="s">
        <v>41</v>
      </c>
      <c r="I41" s="12" t="s">
        <v>459</v>
      </c>
      <c r="J41" s="12" t="s">
        <v>509</v>
      </c>
      <c r="K41" s="12" t="s">
        <v>522</v>
      </c>
      <c r="L41" s="11">
        <v>1991</v>
      </c>
      <c r="M41" s="11">
        <v>1991</v>
      </c>
      <c r="N41" s="11">
        <v>1991</v>
      </c>
      <c r="O41" s="11">
        <v>12</v>
      </c>
      <c r="P41" s="11" t="s">
        <v>42</v>
      </c>
      <c r="Q41" s="11">
        <v>314</v>
      </c>
      <c r="R41" s="12" t="s">
        <v>442</v>
      </c>
      <c r="S41" s="12" t="s">
        <v>577</v>
      </c>
      <c r="T41" s="11"/>
      <c r="U41" s="11"/>
      <c r="V41" s="11"/>
      <c r="W41" s="11">
        <v>12.1</v>
      </c>
      <c r="X41" s="11"/>
      <c r="Y41" s="11"/>
      <c r="Z41" s="11"/>
      <c r="AA41" s="11">
        <v>10.5</v>
      </c>
      <c r="AB41" s="11"/>
      <c r="AC41" s="11"/>
      <c r="AD41" s="11"/>
      <c r="AE41" s="11">
        <v>13.7</v>
      </c>
      <c r="AF41" s="12" t="s">
        <v>442</v>
      </c>
      <c r="AG41" s="12" t="s">
        <v>442</v>
      </c>
      <c r="AH41" s="1" t="s">
        <v>99</v>
      </c>
    </row>
    <row r="42" spans="1:34" s="8" customFormat="1" ht="46" x14ac:dyDescent="0.25">
      <c r="A42" s="1" t="s">
        <v>64</v>
      </c>
      <c r="B42" s="3">
        <v>63</v>
      </c>
      <c r="C42" s="2">
        <v>77</v>
      </c>
      <c r="D42" s="11" t="s">
        <v>403</v>
      </c>
      <c r="E42" s="11" t="s">
        <v>340</v>
      </c>
      <c r="F42" s="11" t="s">
        <v>220</v>
      </c>
      <c r="G42" s="11" t="s">
        <v>128</v>
      </c>
      <c r="H42" s="11" t="s">
        <v>129</v>
      </c>
      <c r="I42" s="12" t="s">
        <v>502</v>
      </c>
      <c r="J42" s="12" t="s">
        <v>509</v>
      </c>
      <c r="K42" s="12" t="s">
        <v>491</v>
      </c>
      <c r="L42" s="11" t="s">
        <v>221</v>
      </c>
      <c r="M42" s="11" t="s">
        <v>24</v>
      </c>
      <c r="N42" s="11">
        <v>1994</v>
      </c>
      <c r="O42" s="11">
        <v>18</v>
      </c>
      <c r="P42" s="11" t="s">
        <v>147</v>
      </c>
      <c r="Q42" s="11">
        <v>180</v>
      </c>
      <c r="R42" s="12" t="s">
        <v>442</v>
      </c>
      <c r="S42" s="12" t="s">
        <v>634</v>
      </c>
      <c r="T42" s="11"/>
      <c r="U42" s="11"/>
      <c r="V42" s="11"/>
      <c r="W42" s="11"/>
      <c r="X42" s="11"/>
      <c r="Y42" s="11"/>
      <c r="Z42" s="11">
        <v>114</v>
      </c>
      <c r="AA42" s="11">
        <v>14.4444</v>
      </c>
      <c r="AB42" s="11"/>
      <c r="AC42" s="11"/>
      <c r="AD42" s="11"/>
      <c r="AE42" s="11"/>
      <c r="AF42" s="12" t="s">
        <v>442</v>
      </c>
      <c r="AG42" s="12" t="s">
        <v>442</v>
      </c>
      <c r="AH42" s="1" t="s">
        <v>222</v>
      </c>
    </row>
    <row r="43" spans="1:34" s="8" customFormat="1" x14ac:dyDescent="0.25">
      <c r="A43" s="1" t="s">
        <v>27</v>
      </c>
      <c r="B43" s="3">
        <v>76</v>
      </c>
      <c r="C43" s="2">
        <v>63</v>
      </c>
      <c r="D43" s="11" t="s">
        <v>391</v>
      </c>
      <c r="E43" s="11" t="s">
        <v>334</v>
      </c>
      <c r="F43" s="11" t="s">
        <v>184</v>
      </c>
      <c r="G43" s="11" t="s">
        <v>101</v>
      </c>
      <c r="H43" s="11" t="s">
        <v>178</v>
      </c>
      <c r="I43" s="12" t="s">
        <v>465</v>
      </c>
      <c r="J43" s="12" t="s">
        <v>509</v>
      </c>
      <c r="K43" s="12" t="s">
        <v>524</v>
      </c>
      <c r="L43" s="11">
        <v>1987</v>
      </c>
      <c r="M43" s="11">
        <v>1988</v>
      </c>
      <c r="N43" s="11">
        <v>1988</v>
      </c>
      <c r="O43" s="11">
        <v>24</v>
      </c>
      <c r="P43" s="11" t="s">
        <v>16</v>
      </c>
      <c r="Q43" s="11">
        <v>137</v>
      </c>
      <c r="R43" s="12" t="s">
        <v>442</v>
      </c>
      <c r="S43" s="12" t="s">
        <v>632</v>
      </c>
      <c r="T43" s="11"/>
      <c r="U43" s="11"/>
      <c r="V43" s="11"/>
      <c r="W43" s="11">
        <v>38.68</v>
      </c>
      <c r="X43" s="11"/>
      <c r="Y43" s="11"/>
      <c r="Z43" s="11"/>
      <c r="AA43" s="11"/>
      <c r="AB43" s="11"/>
      <c r="AC43" s="11"/>
      <c r="AD43" s="11"/>
      <c r="AE43" s="11"/>
      <c r="AF43" s="12" t="s">
        <v>523</v>
      </c>
      <c r="AG43" s="12" t="s">
        <v>442</v>
      </c>
      <c r="AH43" s="1" t="s">
        <v>525</v>
      </c>
    </row>
    <row r="44" spans="1:34" s="8" customFormat="1" x14ac:dyDescent="0.25">
      <c r="A44" s="1" t="s">
        <v>64</v>
      </c>
      <c r="B44" s="2">
        <v>58</v>
      </c>
      <c r="C44" s="2">
        <v>14</v>
      </c>
      <c r="D44" s="11" t="s">
        <v>359</v>
      </c>
      <c r="E44" s="11" t="s">
        <v>333</v>
      </c>
      <c r="F44" s="11" t="s">
        <v>69</v>
      </c>
      <c r="G44" s="11" t="s">
        <v>45</v>
      </c>
      <c r="H44" s="11" t="s">
        <v>58</v>
      </c>
      <c r="I44" s="12" t="s">
        <v>465</v>
      </c>
      <c r="J44" s="12" t="s">
        <v>509</v>
      </c>
      <c r="K44" s="12" t="s">
        <v>470</v>
      </c>
      <c r="L44" s="11" t="s">
        <v>70</v>
      </c>
      <c r="M44" s="11" t="s">
        <v>71</v>
      </c>
      <c r="N44" s="11">
        <v>1993</v>
      </c>
      <c r="O44" s="11">
        <v>54</v>
      </c>
      <c r="P44" s="11" t="s">
        <v>72</v>
      </c>
      <c r="Q44" s="11">
        <v>501</v>
      </c>
      <c r="R44" s="12" t="s">
        <v>526</v>
      </c>
      <c r="S44" s="12" t="s">
        <v>577</v>
      </c>
      <c r="T44" s="11"/>
      <c r="U44" s="11">
        <v>15.76</v>
      </c>
      <c r="V44" s="11"/>
      <c r="W44" s="14">
        <v>14.57</v>
      </c>
      <c r="X44" s="11"/>
      <c r="Y44" s="11"/>
      <c r="Z44" s="11"/>
      <c r="AA44" s="11"/>
      <c r="AB44" s="11"/>
      <c r="AC44" s="11"/>
      <c r="AD44" s="11"/>
      <c r="AE44" s="11"/>
      <c r="AF44" s="12" t="s">
        <v>442</v>
      </c>
      <c r="AG44" s="12" t="s">
        <v>501</v>
      </c>
      <c r="AH44" s="1" t="s">
        <v>17</v>
      </c>
    </row>
    <row r="45" spans="1:34" s="8" customFormat="1" ht="46" x14ac:dyDescent="0.25">
      <c r="A45" s="1" t="s">
        <v>27</v>
      </c>
      <c r="B45" s="3">
        <v>19</v>
      </c>
      <c r="C45" s="2">
        <v>78</v>
      </c>
      <c r="D45" s="11" t="s">
        <v>404</v>
      </c>
      <c r="E45" s="11" t="s">
        <v>330</v>
      </c>
      <c r="F45" s="11" t="s">
        <v>223</v>
      </c>
      <c r="G45" s="11" t="s">
        <v>128</v>
      </c>
      <c r="H45" s="11" t="s">
        <v>129</v>
      </c>
      <c r="I45" s="12" t="s">
        <v>459</v>
      </c>
      <c r="J45" s="12" t="s">
        <v>509</v>
      </c>
      <c r="K45" s="12" t="s">
        <v>492</v>
      </c>
      <c r="L45" s="11">
        <v>1986</v>
      </c>
      <c r="M45" s="11">
        <v>1987</v>
      </c>
      <c r="N45" s="11">
        <v>1987</v>
      </c>
      <c r="O45" s="11">
        <v>12</v>
      </c>
      <c r="P45" s="11" t="s">
        <v>16</v>
      </c>
      <c r="Q45" s="11">
        <v>1934</v>
      </c>
      <c r="R45" s="12" t="s">
        <v>442</v>
      </c>
      <c r="S45" s="12" t="s">
        <v>635</v>
      </c>
      <c r="T45" s="11"/>
      <c r="U45" s="11">
        <v>31.9</v>
      </c>
      <c r="V45" s="11"/>
      <c r="W45" s="11">
        <v>26.9</v>
      </c>
      <c r="X45" s="11"/>
      <c r="Y45" s="11"/>
      <c r="Z45" s="11"/>
      <c r="AA45" s="11">
        <v>12.5</v>
      </c>
      <c r="AB45" s="11"/>
      <c r="AC45" s="11"/>
      <c r="AD45" s="11"/>
      <c r="AE45" s="11">
        <v>53.62</v>
      </c>
      <c r="AF45" s="12" t="s">
        <v>442</v>
      </c>
      <c r="AG45" s="12" t="s">
        <v>442</v>
      </c>
      <c r="AH45" s="1" t="s">
        <v>224</v>
      </c>
    </row>
    <row r="46" spans="1:34" x14ac:dyDescent="0.25">
      <c r="A46" s="1" t="s">
        <v>231</v>
      </c>
      <c r="B46" s="3">
        <v>65</v>
      </c>
      <c r="C46" s="2">
        <v>82</v>
      </c>
      <c r="D46" s="11" t="s">
        <v>404</v>
      </c>
      <c r="E46" s="11" t="s">
        <v>330</v>
      </c>
      <c r="F46" s="11" t="s">
        <v>232</v>
      </c>
      <c r="G46" s="11" t="s">
        <v>128</v>
      </c>
      <c r="H46" s="11" t="s">
        <v>129</v>
      </c>
      <c r="I46" s="12" t="s">
        <v>459</v>
      </c>
      <c r="J46" s="12" t="s">
        <v>507</v>
      </c>
      <c r="K46" s="12" t="s">
        <v>492</v>
      </c>
      <c r="L46" s="11">
        <v>1986</v>
      </c>
      <c r="M46" s="11">
        <v>1987</v>
      </c>
      <c r="N46" s="11">
        <v>1987</v>
      </c>
      <c r="O46" s="11">
        <v>24</v>
      </c>
      <c r="P46" s="11" t="s">
        <v>165</v>
      </c>
      <c r="Q46" s="11">
        <v>677</v>
      </c>
      <c r="R46" s="12" t="s">
        <v>552</v>
      </c>
      <c r="S46" s="12" t="s">
        <v>577</v>
      </c>
      <c r="U46" s="11">
        <v>14.4</v>
      </c>
      <c r="AF46" s="12" t="s">
        <v>442</v>
      </c>
      <c r="AG46" s="12" t="s">
        <v>442</v>
      </c>
      <c r="AH46" s="1" t="s">
        <v>592</v>
      </c>
    </row>
    <row r="47" spans="1:34" ht="34.5" x14ac:dyDescent="0.25">
      <c r="A47" s="1" t="s">
        <v>134</v>
      </c>
      <c r="B47" s="3">
        <v>77</v>
      </c>
      <c r="C47" s="2">
        <v>84</v>
      </c>
      <c r="D47" s="11" t="s">
        <v>404</v>
      </c>
      <c r="E47" s="11" t="s">
        <v>334</v>
      </c>
      <c r="F47" s="11" t="s">
        <v>236</v>
      </c>
      <c r="G47" s="11" t="s">
        <v>128</v>
      </c>
      <c r="H47" s="11" t="s">
        <v>129</v>
      </c>
      <c r="I47" s="12" t="s">
        <v>459</v>
      </c>
      <c r="J47" s="12" t="s">
        <v>509</v>
      </c>
      <c r="K47" s="12" t="s">
        <v>492</v>
      </c>
      <c r="L47" s="11">
        <v>1986</v>
      </c>
      <c r="M47" s="11">
        <v>1987</v>
      </c>
      <c r="N47" s="11">
        <v>1987</v>
      </c>
      <c r="O47" s="11">
        <v>24</v>
      </c>
      <c r="P47" s="11" t="s">
        <v>237</v>
      </c>
      <c r="Q47" s="11">
        <v>412</v>
      </c>
      <c r="R47" s="12" t="s">
        <v>527</v>
      </c>
      <c r="S47" s="12" t="s">
        <v>577</v>
      </c>
      <c r="U47" s="11" t="s">
        <v>238</v>
      </c>
      <c r="W47" s="11">
        <v>53.883495145631066</v>
      </c>
      <c r="AF47" s="12" t="s">
        <v>442</v>
      </c>
      <c r="AG47" s="12" t="s">
        <v>442</v>
      </c>
      <c r="AH47" s="1" t="s">
        <v>239</v>
      </c>
    </row>
    <row r="48" spans="1:34" x14ac:dyDescent="0.25">
      <c r="A48" s="6" t="s">
        <v>27</v>
      </c>
      <c r="B48" s="7"/>
      <c r="C48" s="2">
        <v>40</v>
      </c>
      <c r="D48" s="12" t="s">
        <v>374</v>
      </c>
      <c r="E48" s="11" t="s">
        <v>337</v>
      </c>
      <c r="F48" s="12" t="s">
        <v>131</v>
      </c>
      <c r="G48" s="12" t="s">
        <v>14</v>
      </c>
      <c r="H48" s="12" t="s">
        <v>55</v>
      </c>
      <c r="I48" s="12" t="s">
        <v>611</v>
      </c>
      <c r="J48" s="12" t="s">
        <v>509</v>
      </c>
      <c r="K48" s="12" t="s">
        <v>612</v>
      </c>
      <c r="L48" s="12"/>
      <c r="M48" s="12"/>
      <c r="N48" s="12"/>
      <c r="O48" s="12">
        <v>12</v>
      </c>
      <c r="P48" s="12" t="s">
        <v>16</v>
      </c>
      <c r="Q48" s="12">
        <v>42</v>
      </c>
      <c r="R48" s="12" t="s">
        <v>613</v>
      </c>
      <c r="S48" s="12" t="s">
        <v>577</v>
      </c>
      <c r="AF48" s="12">
        <v>5.7</v>
      </c>
      <c r="AG48" s="12" t="s">
        <v>442</v>
      </c>
      <c r="AH48" s="12" t="s">
        <v>614</v>
      </c>
    </row>
    <row r="49" spans="1:34" x14ac:dyDescent="0.25">
      <c r="A49" s="1" t="s">
        <v>27</v>
      </c>
      <c r="B49" s="2">
        <v>72</v>
      </c>
      <c r="C49" s="2">
        <v>18</v>
      </c>
      <c r="D49" s="11" t="s">
        <v>363</v>
      </c>
      <c r="E49" s="11" t="s">
        <v>328</v>
      </c>
      <c r="F49" s="11" t="s">
        <v>88</v>
      </c>
      <c r="G49" s="11" t="s">
        <v>45</v>
      </c>
      <c r="H49" s="11" t="s">
        <v>89</v>
      </c>
      <c r="I49" s="12" t="s">
        <v>462</v>
      </c>
      <c r="J49" s="12" t="s">
        <v>509</v>
      </c>
      <c r="K49" s="12" t="s">
        <v>528</v>
      </c>
      <c r="L49" s="11" t="s">
        <v>90</v>
      </c>
      <c r="M49" s="11" t="s">
        <v>91</v>
      </c>
      <c r="N49" s="11">
        <v>1983</v>
      </c>
      <c r="O49" s="11">
        <v>12</v>
      </c>
      <c r="P49" s="11" t="s">
        <v>16</v>
      </c>
      <c r="Q49" s="11">
        <v>188</v>
      </c>
      <c r="R49" s="12" t="s">
        <v>529</v>
      </c>
      <c r="S49" s="12" t="s">
        <v>577</v>
      </c>
      <c r="T49" s="12"/>
      <c r="U49" s="12">
        <v>21.6</v>
      </c>
      <c r="V49" s="12"/>
      <c r="W49" s="12">
        <v>26.2</v>
      </c>
      <c r="X49" s="12"/>
      <c r="Y49" s="12"/>
      <c r="Z49" s="6"/>
      <c r="AA49" s="6"/>
      <c r="AB49" s="6"/>
      <c r="AC49" s="6"/>
      <c r="AD49" s="6"/>
      <c r="AE49" s="12"/>
      <c r="AF49" s="12" t="s">
        <v>530</v>
      </c>
      <c r="AG49" s="12" t="s">
        <v>442</v>
      </c>
      <c r="AH49" s="1" t="s">
        <v>92</v>
      </c>
    </row>
    <row r="50" spans="1:34" x14ac:dyDescent="0.25">
      <c r="A50" s="1" t="s">
        <v>64</v>
      </c>
      <c r="C50" s="2">
        <v>120</v>
      </c>
      <c r="D50" s="11" t="s">
        <v>435</v>
      </c>
      <c r="E50" s="11" t="s">
        <v>336</v>
      </c>
      <c r="F50" s="11" t="s">
        <v>309</v>
      </c>
      <c r="G50" s="11" t="s">
        <v>101</v>
      </c>
      <c r="H50" s="11" t="s">
        <v>310</v>
      </c>
      <c r="I50" s="12" t="s">
        <v>465</v>
      </c>
      <c r="J50" s="12" t="s">
        <v>509</v>
      </c>
      <c r="K50" s="12" t="s">
        <v>541</v>
      </c>
      <c r="L50" s="11" t="s">
        <v>311</v>
      </c>
      <c r="M50" s="11" t="s">
        <v>312</v>
      </c>
      <c r="N50" s="11">
        <v>1993</v>
      </c>
      <c r="O50" s="11">
        <v>9.5</v>
      </c>
      <c r="P50" s="11" t="s">
        <v>16</v>
      </c>
      <c r="Q50" s="11">
        <v>22</v>
      </c>
      <c r="R50" s="12" t="s">
        <v>442</v>
      </c>
      <c r="S50" s="12" t="s">
        <v>577</v>
      </c>
      <c r="W50" s="11">
        <v>27</v>
      </c>
      <c r="AF50" s="12" t="s">
        <v>442</v>
      </c>
      <c r="AG50" s="12" t="s">
        <v>442</v>
      </c>
      <c r="AH50" s="1" t="s">
        <v>92</v>
      </c>
    </row>
    <row r="51" spans="1:34" ht="23" x14ac:dyDescent="0.25">
      <c r="A51" s="6" t="s">
        <v>27</v>
      </c>
      <c r="B51" s="7">
        <v>15</v>
      </c>
      <c r="C51" s="2">
        <v>5</v>
      </c>
      <c r="D51" s="12" t="s">
        <v>351</v>
      </c>
      <c r="E51" s="11" t="s">
        <v>328</v>
      </c>
      <c r="F51" s="12" t="s">
        <v>33</v>
      </c>
      <c r="G51" s="12" t="s">
        <v>14</v>
      </c>
      <c r="H51" s="12" t="s">
        <v>29</v>
      </c>
      <c r="I51" s="12" t="s">
        <v>459</v>
      </c>
      <c r="J51" s="12" t="s">
        <v>509</v>
      </c>
      <c r="K51" s="12" t="s">
        <v>471</v>
      </c>
      <c r="L51" s="12" t="s">
        <v>34</v>
      </c>
      <c r="M51" s="12" t="s">
        <v>35</v>
      </c>
      <c r="N51" s="12">
        <v>1982</v>
      </c>
      <c r="O51" s="12">
        <v>12</v>
      </c>
      <c r="P51" s="12" t="s">
        <v>36</v>
      </c>
      <c r="Q51" s="12">
        <v>184</v>
      </c>
      <c r="R51" s="12" t="s">
        <v>534</v>
      </c>
      <c r="S51" s="12" t="s">
        <v>577</v>
      </c>
      <c r="T51" s="12">
        <v>281</v>
      </c>
      <c r="U51" s="12"/>
      <c r="V51" s="12"/>
      <c r="W51" s="15">
        <v>16.3</v>
      </c>
      <c r="X51" s="12"/>
      <c r="Y51" s="12">
        <v>142</v>
      </c>
      <c r="Z51" s="12"/>
      <c r="AA51" s="12"/>
      <c r="AB51" s="12">
        <v>43</v>
      </c>
      <c r="AC51" s="12"/>
      <c r="AD51" s="12"/>
      <c r="AE51" s="12"/>
      <c r="AF51" s="12" t="s">
        <v>442</v>
      </c>
      <c r="AG51" s="12" t="s">
        <v>442</v>
      </c>
      <c r="AH51" s="6" t="s">
        <v>37</v>
      </c>
    </row>
    <row r="52" spans="1:34" x14ac:dyDescent="0.25">
      <c r="A52" s="1" t="s">
        <v>27</v>
      </c>
      <c r="B52" s="2">
        <v>73</v>
      </c>
      <c r="C52" s="2">
        <v>19</v>
      </c>
      <c r="D52" s="11" t="s">
        <v>351</v>
      </c>
      <c r="E52" s="11" t="s">
        <v>334</v>
      </c>
      <c r="F52" s="11" t="s">
        <v>93</v>
      </c>
      <c r="G52" s="11" t="s">
        <v>14</v>
      </c>
      <c r="H52" s="11" t="s">
        <v>29</v>
      </c>
      <c r="I52" s="12" t="s">
        <v>459</v>
      </c>
      <c r="J52" s="12" t="s">
        <v>509</v>
      </c>
      <c r="K52" s="12" t="s">
        <v>471</v>
      </c>
      <c r="L52" s="11">
        <v>1982</v>
      </c>
      <c r="M52" s="11">
        <v>1983</v>
      </c>
      <c r="N52" s="11">
        <v>1983</v>
      </c>
      <c r="O52" s="11">
        <v>12</v>
      </c>
      <c r="P52" s="11" t="s">
        <v>16</v>
      </c>
      <c r="Q52" s="11">
        <v>76</v>
      </c>
      <c r="R52" s="12" t="s">
        <v>442</v>
      </c>
      <c r="S52" s="12" t="s">
        <v>577</v>
      </c>
      <c r="U52" s="11">
        <v>70.239999999999995</v>
      </c>
      <c r="W52" s="14">
        <v>15.8</v>
      </c>
      <c r="Y52" s="11">
        <v>155</v>
      </c>
      <c r="AB52" s="11">
        <v>45</v>
      </c>
      <c r="AF52" s="12" t="s">
        <v>532</v>
      </c>
      <c r="AG52" s="12" t="s">
        <v>442</v>
      </c>
      <c r="AH52" s="1" t="s">
        <v>533</v>
      </c>
    </row>
    <row r="53" spans="1:34" x14ac:dyDescent="0.25">
      <c r="A53" s="1" t="s">
        <v>27</v>
      </c>
      <c r="B53" s="2" t="s">
        <v>111</v>
      </c>
      <c r="C53" s="2">
        <v>30</v>
      </c>
      <c r="D53" s="11" t="s">
        <v>351</v>
      </c>
      <c r="E53" s="11" t="s">
        <v>334</v>
      </c>
      <c r="F53" s="11" t="s">
        <v>93</v>
      </c>
      <c r="G53" s="11" t="s">
        <v>14</v>
      </c>
      <c r="H53" s="11" t="s">
        <v>29</v>
      </c>
      <c r="I53" s="12" t="s">
        <v>459</v>
      </c>
      <c r="J53" s="12" t="s">
        <v>509</v>
      </c>
      <c r="K53" s="12" t="s">
        <v>471</v>
      </c>
      <c r="L53" s="11">
        <v>1984</v>
      </c>
      <c r="M53" s="11">
        <v>1986</v>
      </c>
      <c r="N53" s="11">
        <v>1985</v>
      </c>
      <c r="O53" s="11">
        <v>36</v>
      </c>
      <c r="P53" s="11" t="s">
        <v>16</v>
      </c>
      <c r="Q53" s="11">
        <v>187</v>
      </c>
      <c r="R53" s="12" t="s">
        <v>442</v>
      </c>
      <c r="S53" s="12" t="s">
        <v>577</v>
      </c>
      <c r="U53" s="11">
        <v>58.55</v>
      </c>
      <c r="W53" s="14">
        <v>26.74</v>
      </c>
      <c r="Y53" s="11">
        <v>134</v>
      </c>
      <c r="AB53" s="11">
        <v>37</v>
      </c>
      <c r="AF53" s="12" t="s">
        <v>531</v>
      </c>
      <c r="AG53" s="12" t="s">
        <v>442</v>
      </c>
      <c r="AH53" s="1" t="s">
        <v>533</v>
      </c>
    </row>
    <row r="54" spans="1:34" x14ac:dyDescent="0.25">
      <c r="A54" s="1" t="s">
        <v>27</v>
      </c>
      <c r="B54" s="3"/>
      <c r="C54" s="2">
        <v>127</v>
      </c>
      <c r="D54" s="11" t="s">
        <v>441</v>
      </c>
      <c r="E54" s="11" t="s">
        <v>340</v>
      </c>
      <c r="F54" s="11" t="s">
        <v>321</v>
      </c>
      <c r="G54" s="11" t="s">
        <v>149</v>
      </c>
      <c r="H54" s="11" t="s">
        <v>150</v>
      </c>
      <c r="I54" s="12" t="s">
        <v>462</v>
      </c>
      <c r="J54" s="12" t="s">
        <v>509</v>
      </c>
      <c r="K54" s="12" t="s">
        <v>615</v>
      </c>
      <c r="L54" s="11">
        <v>1985</v>
      </c>
      <c r="M54" s="11">
        <v>1985</v>
      </c>
      <c r="N54" s="11">
        <v>1985</v>
      </c>
      <c r="O54" s="11">
        <v>12</v>
      </c>
      <c r="P54" s="11" t="s">
        <v>147</v>
      </c>
      <c r="Q54" s="11">
        <v>2368</v>
      </c>
      <c r="R54" s="12" t="s">
        <v>442</v>
      </c>
      <c r="S54" s="12" t="s">
        <v>616</v>
      </c>
      <c r="AA54" s="11">
        <v>23.5</v>
      </c>
      <c r="AF54" s="12" t="s">
        <v>617</v>
      </c>
      <c r="AG54" s="12" t="s">
        <v>442</v>
      </c>
      <c r="AH54" s="11" t="s">
        <v>618</v>
      </c>
    </row>
    <row r="55" spans="1:34" x14ac:dyDescent="0.25">
      <c r="A55" s="1" t="s">
        <v>27</v>
      </c>
      <c r="B55" s="3"/>
      <c r="C55" s="2">
        <v>128</v>
      </c>
      <c r="D55" s="11" t="s">
        <v>441</v>
      </c>
      <c r="E55" s="11" t="s">
        <v>340</v>
      </c>
      <c r="F55" s="11" t="s">
        <v>321</v>
      </c>
      <c r="G55" s="11" t="s">
        <v>149</v>
      </c>
      <c r="H55" s="11" t="s">
        <v>150</v>
      </c>
      <c r="I55" s="12" t="s">
        <v>462</v>
      </c>
      <c r="J55" s="12" t="s">
        <v>509</v>
      </c>
      <c r="K55" s="12" t="s">
        <v>615</v>
      </c>
      <c r="L55" s="11">
        <v>1990</v>
      </c>
      <c r="M55" s="11">
        <v>1990</v>
      </c>
      <c r="N55" s="11">
        <v>1990</v>
      </c>
      <c r="O55" s="11">
        <v>12</v>
      </c>
      <c r="P55" s="11" t="s">
        <v>147</v>
      </c>
      <c r="Q55" s="11">
        <v>1320</v>
      </c>
      <c r="R55" s="12" t="s">
        <v>442</v>
      </c>
      <c r="S55" s="12" t="s">
        <v>616</v>
      </c>
      <c r="AA55" s="11">
        <v>22.3</v>
      </c>
      <c r="AF55" s="12" t="s">
        <v>619</v>
      </c>
      <c r="AG55" s="12" t="s">
        <v>442</v>
      </c>
      <c r="AH55" s="11" t="s">
        <v>618</v>
      </c>
    </row>
    <row r="56" spans="1:34" x14ac:dyDescent="0.25">
      <c r="A56" s="1" t="s">
        <v>27</v>
      </c>
      <c r="B56" s="3"/>
      <c r="C56" s="2">
        <v>129</v>
      </c>
      <c r="D56" s="11" t="s">
        <v>441</v>
      </c>
      <c r="E56" s="11" t="s">
        <v>340</v>
      </c>
      <c r="F56" s="11" t="s">
        <v>321</v>
      </c>
      <c r="G56" s="11" t="s">
        <v>149</v>
      </c>
      <c r="H56" s="11" t="s">
        <v>150</v>
      </c>
      <c r="I56" s="12" t="s">
        <v>462</v>
      </c>
      <c r="J56" s="12" t="s">
        <v>509</v>
      </c>
      <c r="K56" s="12" t="s">
        <v>615</v>
      </c>
      <c r="L56" s="11">
        <v>1995</v>
      </c>
      <c r="M56" s="11">
        <v>1995</v>
      </c>
      <c r="N56" s="11">
        <v>1995</v>
      </c>
      <c r="O56" s="11">
        <v>12</v>
      </c>
      <c r="P56" s="11" t="s">
        <v>147</v>
      </c>
      <c r="Q56" s="11">
        <v>1264</v>
      </c>
      <c r="R56" s="12" t="s">
        <v>442</v>
      </c>
      <c r="S56" s="12" t="s">
        <v>616</v>
      </c>
      <c r="AA56" s="11">
        <v>9.1</v>
      </c>
      <c r="AF56" s="12" t="s">
        <v>620</v>
      </c>
      <c r="AG56" s="12" t="s">
        <v>442</v>
      </c>
      <c r="AH56" s="11" t="s">
        <v>618</v>
      </c>
    </row>
    <row r="57" spans="1:34" x14ac:dyDescent="0.25">
      <c r="A57" s="1" t="s">
        <v>27</v>
      </c>
      <c r="B57" s="3"/>
      <c r="C57" s="2">
        <v>130</v>
      </c>
      <c r="D57" s="11" t="s">
        <v>441</v>
      </c>
      <c r="E57" s="11" t="s">
        <v>340</v>
      </c>
      <c r="F57" s="11" t="s">
        <v>321</v>
      </c>
      <c r="G57" s="11" t="s">
        <v>149</v>
      </c>
      <c r="H57" s="11" t="s">
        <v>150</v>
      </c>
      <c r="I57" s="12" t="s">
        <v>462</v>
      </c>
      <c r="J57" s="12" t="s">
        <v>509</v>
      </c>
      <c r="K57" s="12" t="s">
        <v>615</v>
      </c>
      <c r="L57" s="11">
        <v>1998</v>
      </c>
      <c r="M57" s="11">
        <v>1998</v>
      </c>
      <c r="N57" s="11">
        <v>1998</v>
      </c>
      <c r="O57" s="11">
        <v>12</v>
      </c>
      <c r="P57" s="11" t="s">
        <v>147</v>
      </c>
      <c r="Q57" s="11">
        <v>1145</v>
      </c>
      <c r="R57" s="12" t="s">
        <v>442</v>
      </c>
      <c r="S57" s="12" t="s">
        <v>616</v>
      </c>
      <c r="AA57" s="11">
        <v>6.6</v>
      </c>
      <c r="AF57" s="12" t="s">
        <v>621</v>
      </c>
      <c r="AG57" s="12" t="s">
        <v>442</v>
      </c>
      <c r="AH57" s="11" t="s">
        <v>618</v>
      </c>
    </row>
    <row r="58" spans="1:34" x14ac:dyDescent="0.25">
      <c r="A58" s="1" t="s">
        <v>155</v>
      </c>
      <c r="B58" s="3">
        <v>21</v>
      </c>
      <c r="C58" s="2">
        <v>51</v>
      </c>
      <c r="D58" s="11" t="s">
        <v>384</v>
      </c>
      <c r="E58" s="11" t="s">
        <v>329</v>
      </c>
      <c r="F58" s="11" t="s">
        <v>162</v>
      </c>
      <c r="G58" s="11" t="s">
        <v>149</v>
      </c>
      <c r="H58" s="11" t="s">
        <v>150</v>
      </c>
      <c r="I58" s="12" t="s">
        <v>462</v>
      </c>
      <c r="J58" s="12" t="s">
        <v>509</v>
      </c>
      <c r="K58" s="12" t="s">
        <v>542</v>
      </c>
      <c r="L58" s="11">
        <v>1992</v>
      </c>
      <c r="M58" s="11">
        <v>1994</v>
      </c>
      <c r="N58" s="11">
        <v>1993</v>
      </c>
      <c r="O58" s="11">
        <v>36</v>
      </c>
      <c r="P58" s="11" t="s">
        <v>16</v>
      </c>
      <c r="Q58" s="11">
        <v>318</v>
      </c>
      <c r="R58" s="12" t="s">
        <v>442</v>
      </c>
      <c r="S58" s="12" t="s">
        <v>577</v>
      </c>
      <c r="AF58" s="12" t="s">
        <v>442</v>
      </c>
      <c r="AG58" s="12" t="s">
        <v>501</v>
      </c>
      <c r="AH58" s="1" t="s">
        <v>593</v>
      </c>
    </row>
    <row r="59" spans="1:34" x14ac:dyDescent="0.25">
      <c r="A59" s="1" t="s">
        <v>27</v>
      </c>
      <c r="C59" s="2">
        <v>111</v>
      </c>
      <c r="D59" s="11" t="s">
        <v>430</v>
      </c>
      <c r="E59" s="11" t="s">
        <v>327</v>
      </c>
      <c r="F59" s="11" t="s">
        <v>291</v>
      </c>
      <c r="G59" s="11" t="s">
        <v>149</v>
      </c>
      <c r="H59" s="11" t="s">
        <v>170</v>
      </c>
      <c r="I59" s="12" t="s">
        <v>465</v>
      </c>
      <c r="J59" s="12" t="s">
        <v>507</v>
      </c>
      <c r="K59" s="12" t="s">
        <v>536</v>
      </c>
      <c r="L59" s="11">
        <v>1978</v>
      </c>
      <c r="M59" s="11">
        <v>1983</v>
      </c>
      <c r="N59" s="11">
        <v>1981</v>
      </c>
      <c r="O59" s="11">
        <v>72</v>
      </c>
      <c r="P59" s="11" t="s">
        <v>16</v>
      </c>
      <c r="Q59" s="11">
        <v>169405</v>
      </c>
      <c r="R59" s="12" t="s">
        <v>442</v>
      </c>
      <c r="S59" s="12" t="s">
        <v>636</v>
      </c>
      <c r="T59" s="3"/>
      <c r="U59" s="3"/>
      <c r="V59" s="3"/>
      <c r="W59" s="3">
        <v>25.4</v>
      </c>
      <c r="X59" s="3"/>
      <c r="Y59" s="3"/>
      <c r="Z59" s="3"/>
      <c r="AA59" s="3"/>
      <c r="AB59" s="3"/>
      <c r="AC59" s="3"/>
      <c r="AD59" s="3"/>
      <c r="AE59" s="3"/>
      <c r="AF59" s="12" t="s">
        <v>442</v>
      </c>
      <c r="AG59" s="12" t="s">
        <v>442</v>
      </c>
      <c r="AH59" s="1" t="s">
        <v>17</v>
      </c>
    </row>
    <row r="60" spans="1:34" x14ac:dyDescent="0.25">
      <c r="A60" s="1" t="s">
        <v>27</v>
      </c>
      <c r="C60" s="2">
        <v>112</v>
      </c>
      <c r="D60" s="11" t="s">
        <v>430</v>
      </c>
      <c r="E60" s="11" t="s">
        <v>327</v>
      </c>
      <c r="F60" s="11" t="s">
        <v>291</v>
      </c>
      <c r="G60" s="11" t="s">
        <v>149</v>
      </c>
      <c r="H60" s="11" t="s">
        <v>170</v>
      </c>
      <c r="I60" s="12" t="s">
        <v>465</v>
      </c>
      <c r="J60" s="12" t="s">
        <v>507</v>
      </c>
      <c r="K60" s="12" t="s">
        <v>536</v>
      </c>
      <c r="L60" s="11">
        <v>1984</v>
      </c>
      <c r="M60" s="11">
        <v>1989</v>
      </c>
      <c r="N60" s="11">
        <v>1987</v>
      </c>
      <c r="O60" s="11">
        <v>72</v>
      </c>
      <c r="P60" s="11" t="s">
        <v>16</v>
      </c>
      <c r="Q60" s="11">
        <v>112401</v>
      </c>
      <c r="R60" s="12" t="s">
        <v>442</v>
      </c>
      <c r="S60" s="12" t="s">
        <v>636</v>
      </c>
      <c r="T60" s="3"/>
      <c r="U60" s="3"/>
      <c r="V60" s="3"/>
      <c r="W60" s="3">
        <v>22.4</v>
      </c>
      <c r="X60" s="3"/>
      <c r="Y60" s="3"/>
      <c r="Z60" s="3"/>
      <c r="AA60" s="3"/>
      <c r="AB60" s="3"/>
      <c r="AC60" s="3"/>
      <c r="AD60" s="3"/>
      <c r="AE60" s="3"/>
      <c r="AF60" s="12" t="s">
        <v>442</v>
      </c>
      <c r="AG60" s="12" t="s">
        <v>442</v>
      </c>
      <c r="AH60" s="1" t="s">
        <v>17</v>
      </c>
    </row>
    <row r="61" spans="1:34" x14ac:dyDescent="0.25">
      <c r="A61" s="1" t="s">
        <v>27</v>
      </c>
      <c r="C61" s="2">
        <v>113</v>
      </c>
      <c r="D61" s="11" t="s">
        <v>430</v>
      </c>
      <c r="E61" s="11" t="s">
        <v>327</v>
      </c>
      <c r="F61" s="11" t="s">
        <v>291</v>
      </c>
      <c r="G61" s="11" t="s">
        <v>149</v>
      </c>
      <c r="H61" s="11" t="s">
        <v>170</v>
      </c>
      <c r="I61" s="12" t="s">
        <v>465</v>
      </c>
      <c r="J61" s="12" t="s">
        <v>507</v>
      </c>
      <c r="K61" s="12" t="s">
        <v>536</v>
      </c>
      <c r="L61" s="11">
        <v>1990</v>
      </c>
      <c r="M61" s="11">
        <v>1993</v>
      </c>
      <c r="N61" s="11">
        <v>1992</v>
      </c>
      <c r="O61" s="11">
        <v>48</v>
      </c>
      <c r="P61" s="11" t="s">
        <v>16</v>
      </c>
      <c r="Q61" s="11">
        <v>38827</v>
      </c>
      <c r="R61" s="12" t="s">
        <v>442</v>
      </c>
      <c r="S61" s="12" t="s">
        <v>636</v>
      </c>
      <c r="T61" s="3"/>
      <c r="U61" s="3"/>
      <c r="V61" s="3"/>
      <c r="W61" s="3">
        <v>14.8</v>
      </c>
      <c r="X61" s="3"/>
      <c r="Y61" s="3"/>
      <c r="Z61" s="3"/>
      <c r="AA61" s="3"/>
      <c r="AB61" s="3"/>
      <c r="AC61" s="3"/>
      <c r="AD61" s="3"/>
      <c r="AE61" s="3"/>
      <c r="AF61" s="12" t="s">
        <v>442</v>
      </c>
      <c r="AG61" s="12" t="s">
        <v>442</v>
      </c>
      <c r="AH61" s="1" t="s">
        <v>17</v>
      </c>
    </row>
    <row r="62" spans="1:34" x14ac:dyDescent="0.25">
      <c r="A62" s="1" t="s">
        <v>292</v>
      </c>
      <c r="C62" s="2">
        <v>114</v>
      </c>
      <c r="D62" s="11" t="s">
        <v>431</v>
      </c>
      <c r="E62" s="11" t="s">
        <v>345</v>
      </c>
      <c r="F62" s="11" t="s">
        <v>293</v>
      </c>
      <c r="G62" s="11" t="s">
        <v>204</v>
      </c>
      <c r="H62" s="11" t="s">
        <v>205</v>
      </c>
      <c r="I62" s="12" t="s">
        <v>459</v>
      </c>
      <c r="J62" s="12" t="s">
        <v>509</v>
      </c>
      <c r="K62" s="12" t="s">
        <v>540</v>
      </c>
      <c r="L62" s="11" t="s">
        <v>294</v>
      </c>
      <c r="M62" s="11" t="s">
        <v>295</v>
      </c>
      <c r="N62" s="11">
        <v>1977</v>
      </c>
      <c r="O62" s="11">
        <v>24</v>
      </c>
      <c r="P62" s="11" t="s">
        <v>296</v>
      </c>
      <c r="Q62" s="11">
        <v>52</v>
      </c>
      <c r="R62" s="12" t="s">
        <v>521</v>
      </c>
      <c r="S62" s="12" t="s">
        <v>577</v>
      </c>
      <c r="W62" s="11">
        <v>15.38</v>
      </c>
      <c r="Y62" s="11">
        <v>78</v>
      </c>
      <c r="AF62" s="12" t="s">
        <v>442</v>
      </c>
      <c r="AG62" s="12" t="s">
        <v>442</v>
      </c>
      <c r="AH62" s="1" t="s">
        <v>17</v>
      </c>
    </row>
    <row r="63" spans="1:34" x14ac:dyDescent="0.25">
      <c r="A63" s="1" t="s">
        <v>64</v>
      </c>
      <c r="B63" s="3">
        <v>22</v>
      </c>
      <c r="C63" s="2">
        <v>69</v>
      </c>
      <c r="D63" s="11" t="s">
        <v>395</v>
      </c>
      <c r="E63" s="11" t="s">
        <v>332</v>
      </c>
      <c r="F63" s="11" t="s">
        <v>196</v>
      </c>
      <c r="G63" s="11" t="s">
        <v>101</v>
      </c>
      <c r="H63" s="11" t="s">
        <v>197</v>
      </c>
      <c r="I63" s="12" t="s">
        <v>459</v>
      </c>
      <c r="J63" s="12" t="s">
        <v>507</v>
      </c>
      <c r="K63" s="12" t="s">
        <v>472</v>
      </c>
      <c r="L63" s="11" t="s">
        <v>198</v>
      </c>
      <c r="M63" s="11" t="s">
        <v>199</v>
      </c>
      <c r="N63" s="11">
        <v>1989</v>
      </c>
      <c r="O63" s="11">
        <v>18</v>
      </c>
      <c r="P63" s="11" t="s">
        <v>200</v>
      </c>
      <c r="Q63" s="11">
        <v>112</v>
      </c>
      <c r="R63" s="12" t="s">
        <v>637</v>
      </c>
      <c r="S63" s="12" t="s">
        <v>577</v>
      </c>
      <c r="U63" s="11">
        <v>7.9</v>
      </c>
      <c r="W63" s="11">
        <v>43.8</v>
      </c>
      <c r="AF63" s="12" t="s">
        <v>442</v>
      </c>
      <c r="AG63" s="12" t="s">
        <v>442</v>
      </c>
      <c r="AH63" s="1" t="s">
        <v>17</v>
      </c>
    </row>
    <row r="64" spans="1:34" x14ac:dyDescent="0.25">
      <c r="A64" s="1" t="s">
        <v>27</v>
      </c>
      <c r="B64" s="3">
        <v>23</v>
      </c>
      <c r="C64" s="2">
        <v>93</v>
      </c>
      <c r="D64" s="11" t="s">
        <v>416</v>
      </c>
      <c r="E64" s="11" t="s">
        <v>329</v>
      </c>
      <c r="F64" s="11" t="s">
        <v>252</v>
      </c>
      <c r="G64" s="11" t="s">
        <v>128</v>
      </c>
      <c r="H64" s="11" t="s">
        <v>130</v>
      </c>
      <c r="I64" s="12" t="s">
        <v>459</v>
      </c>
      <c r="J64" s="12" t="s">
        <v>509</v>
      </c>
      <c r="K64" s="12" t="s">
        <v>464</v>
      </c>
      <c r="L64" s="11" t="s">
        <v>253</v>
      </c>
      <c r="M64" s="11" t="s">
        <v>254</v>
      </c>
      <c r="N64" s="11">
        <v>1988</v>
      </c>
      <c r="O64" s="11">
        <v>24</v>
      </c>
      <c r="P64" s="11" t="s">
        <v>16</v>
      </c>
      <c r="Q64" s="11">
        <v>286</v>
      </c>
      <c r="R64" s="12" t="s">
        <v>442</v>
      </c>
      <c r="S64" s="12" t="s">
        <v>577</v>
      </c>
      <c r="V64" s="11">
        <v>69</v>
      </c>
      <c r="W64" s="11">
        <v>14.7</v>
      </c>
      <c r="Y64" s="11">
        <v>60</v>
      </c>
      <c r="AA64" s="11">
        <v>13</v>
      </c>
      <c r="AE64" s="11">
        <v>28.2</v>
      </c>
      <c r="AF64" s="12" t="s">
        <v>442</v>
      </c>
      <c r="AG64" s="12" t="s">
        <v>442</v>
      </c>
      <c r="AH64" s="1" t="s">
        <v>17</v>
      </c>
    </row>
    <row r="65" spans="1:34" x14ac:dyDescent="0.25">
      <c r="A65" s="1" t="s">
        <v>27</v>
      </c>
      <c r="B65" s="2">
        <v>82</v>
      </c>
      <c r="C65" s="2">
        <v>27</v>
      </c>
      <c r="D65" s="11" t="s">
        <v>369</v>
      </c>
      <c r="E65" s="11" t="s">
        <v>333</v>
      </c>
      <c r="F65" s="11" t="s">
        <v>107</v>
      </c>
      <c r="G65" s="11" t="s">
        <v>14</v>
      </c>
      <c r="H65" s="11" t="s">
        <v>104</v>
      </c>
      <c r="I65" s="12" t="s">
        <v>462</v>
      </c>
      <c r="J65" s="12" t="s">
        <v>509</v>
      </c>
      <c r="K65" s="12" t="s">
        <v>537</v>
      </c>
      <c r="L65" s="11">
        <v>1987</v>
      </c>
      <c r="M65" s="11">
        <v>1991</v>
      </c>
      <c r="N65" s="11">
        <v>1989</v>
      </c>
      <c r="O65" s="11">
        <v>60</v>
      </c>
      <c r="P65" s="11" t="s">
        <v>16</v>
      </c>
      <c r="Q65" s="11">
        <v>4264</v>
      </c>
      <c r="R65" s="12" t="s">
        <v>442</v>
      </c>
      <c r="S65" s="12" t="s">
        <v>577</v>
      </c>
      <c r="V65" s="11">
        <v>141</v>
      </c>
      <c r="W65" s="11">
        <v>17.73</v>
      </c>
      <c r="Y65" s="11">
        <v>79</v>
      </c>
      <c r="AA65" s="11">
        <v>16</v>
      </c>
      <c r="AE65" s="11">
        <v>15.3</v>
      </c>
      <c r="AF65" s="12" t="s">
        <v>538</v>
      </c>
      <c r="AG65" s="12" t="s">
        <v>442</v>
      </c>
      <c r="AH65" s="1" t="s">
        <v>269</v>
      </c>
    </row>
    <row r="66" spans="1:34" x14ac:dyDescent="0.25">
      <c r="A66" s="1" t="s">
        <v>64</v>
      </c>
      <c r="B66" s="3">
        <v>24</v>
      </c>
      <c r="C66" s="2">
        <v>58</v>
      </c>
      <c r="D66" s="11" t="s">
        <v>387</v>
      </c>
      <c r="E66" s="11" t="s">
        <v>334</v>
      </c>
      <c r="F66" s="11" t="s">
        <v>171</v>
      </c>
      <c r="G66" s="11" t="s">
        <v>172</v>
      </c>
      <c r="H66" s="11" t="s">
        <v>173</v>
      </c>
      <c r="I66" s="12" t="s">
        <v>502</v>
      </c>
      <c r="J66" s="12" t="s">
        <v>509</v>
      </c>
      <c r="K66" s="12" t="s">
        <v>539</v>
      </c>
      <c r="L66" s="11" t="s">
        <v>174</v>
      </c>
      <c r="M66" s="11" t="s">
        <v>34</v>
      </c>
      <c r="N66" s="11">
        <v>1982</v>
      </c>
      <c r="O66" s="11">
        <v>7</v>
      </c>
      <c r="P66" s="11" t="s">
        <v>175</v>
      </c>
      <c r="Q66" s="11">
        <v>191</v>
      </c>
      <c r="R66" s="12" t="s">
        <v>442</v>
      </c>
      <c r="S66" s="12" t="s">
        <v>577</v>
      </c>
      <c r="AF66" s="12" t="s">
        <v>442</v>
      </c>
      <c r="AG66" s="12" t="s">
        <v>442</v>
      </c>
      <c r="AH66" s="1" t="s">
        <v>92</v>
      </c>
    </row>
    <row r="67" spans="1:34" x14ac:dyDescent="0.25">
      <c r="A67" s="1" t="s">
        <v>27</v>
      </c>
      <c r="B67" s="3">
        <v>25</v>
      </c>
      <c r="C67" s="2">
        <v>101</v>
      </c>
      <c r="D67" s="11" t="s">
        <v>423</v>
      </c>
      <c r="E67" s="11" t="s">
        <v>329</v>
      </c>
      <c r="F67" s="11" t="s">
        <v>265</v>
      </c>
      <c r="G67" s="11" t="s">
        <v>266</v>
      </c>
      <c r="H67" s="11" t="s">
        <v>267</v>
      </c>
      <c r="I67" s="12" t="s">
        <v>459</v>
      </c>
      <c r="J67" s="12" t="s">
        <v>509</v>
      </c>
      <c r="K67" s="12" t="s">
        <v>473</v>
      </c>
      <c r="L67" s="11" t="s">
        <v>268</v>
      </c>
      <c r="M67" s="11" t="s">
        <v>253</v>
      </c>
      <c r="N67" s="11">
        <v>1986</v>
      </c>
      <c r="O67" s="11">
        <v>36</v>
      </c>
      <c r="P67" s="11" t="s">
        <v>147</v>
      </c>
      <c r="Q67" s="11">
        <v>3075</v>
      </c>
      <c r="R67" s="12" t="s">
        <v>442</v>
      </c>
      <c r="S67" s="12" t="s">
        <v>577</v>
      </c>
      <c r="Y67" s="11">
        <v>125.7</v>
      </c>
      <c r="AA67" s="11">
        <v>9</v>
      </c>
      <c r="AF67" s="12" t="s">
        <v>442</v>
      </c>
      <c r="AG67" s="12" t="s">
        <v>442</v>
      </c>
      <c r="AH67" s="1" t="s">
        <v>269</v>
      </c>
    </row>
    <row r="68" spans="1:34" x14ac:dyDescent="0.25">
      <c r="A68" s="1" t="s">
        <v>27</v>
      </c>
      <c r="B68" s="3">
        <v>26</v>
      </c>
      <c r="C68" s="2">
        <v>71</v>
      </c>
      <c r="D68" s="11" t="s">
        <v>397</v>
      </c>
      <c r="E68" s="11" t="s">
        <v>327</v>
      </c>
      <c r="F68" s="11" t="s">
        <v>203</v>
      </c>
      <c r="G68" s="11" t="s">
        <v>204</v>
      </c>
      <c r="H68" s="11" t="s">
        <v>205</v>
      </c>
      <c r="I68" s="12" t="s">
        <v>442</v>
      </c>
      <c r="J68" s="12" t="s">
        <v>509</v>
      </c>
      <c r="K68" s="12" t="s">
        <v>543</v>
      </c>
      <c r="L68" s="11" t="s">
        <v>206</v>
      </c>
      <c r="M68" s="11" t="s">
        <v>207</v>
      </c>
      <c r="N68" s="11">
        <v>1993</v>
      </c>
      <c r="O68" s="11">
        <v>12</v>
      </c>
      <c r="P68" s="11" t="s">
        <v>147</v>
      </c>
      <c r="Q68" s="11">
        <v>19</v>
      </c>
      <c r="R68" s="12" t="s">
        <v>442</v>
      </c>
      <c r="S68" s="12" t="s">
        <v>577</v>
      </c>
      <c r="X68" s="11">
        <v>19.8</v>
      </c>
      <c r="AA68" s="11">
        <v>15.6</v>
      </c>
      <c r="AF68" s="12" t="s">
        <v>442</v>
      </c>
      <c r="AG68" s="12" t="s">
        <v>442</v>
      </c>
      <c r="AH68" s="1" t="s">
        <v>17</v>
      </c>
    </row>
    <row r="69" spans="1:34" x14ac:dyDescent="0.25">
      <c r="A69" s="1" t="s">
        <v>225</v>
      </c>
      <c r="B69" s="3">
        <v>27</v>
      </c>
      <c r="C69" s="2">
        <v>79</v>
      </c>
      <c r="D69" s="11" t="s">
        <v>405</v>
      </c>
      <c r="E69" s="11" t="s">
        <v>331</v>
      </c>
      <c r="F69" s="11" t="s">
        <v>226</v>
      </c>
      <c r="G69" s="11" t="s">
        <v>128</v>
      </c>
      <c r="H69" s="11" t="s">
        <v>129</v>
      </c>
      <c r="I69" s="12" t="s">
        <v>502</v>
      </c>
      <c r="J69" s="12" t="s">
        <v>509</v>
      </c>
      <c r="K69" s="12" t="s">
        <v>491</v>
      </c>
      <c r="L69" s="11">
        <v>1992</v>
      </c>
      <c r="M69" s="11">
        <v>1992</v>
      </c>
      <c r="N69" s="11">
        <v>1992</v>
      </c>
      <c r="O69" s="11">
        <v>12</v>
      </c>
      <c r="P69" s="11" t="s">
        <v>16</v>
      </c>
      <c r="Q69" s="11">
        <v>379</v>
      </c>
      <c r="R69" s="12" t="s">
        <v>613</v>
      </c>
      <c r="S69" s="12" t="s">
        <v>577</v>
      </c>
      <c r="U69" s="11">
        <v>161.19999999999999</v>
      </c>
      <c r="W69" s="11">
        <v>13.7</v>
      </c>
      <c r="X69" s="11">
        <v>299.8</v>
      </c>
      <c r="AA69" s="11">
        <v>10.9</v>
      </c>
      <c r="AF69" s="12" t="s">
        <v>442</v>
      </c>
      <c r="AG69" s="12" t="s">
        <v>442</v>
      </c>
      <c r="AH69" s="1" t="s">
        <v>227</v>
      </c>
    </row>
    <row r="70" spans="1:34" x14ac:dyDescent="0.25">
      <c r="A70" s="1" t="s">
        <v>27</v>
      </c>
      <c r="B70" s="2">
        <v>79</v>
      </c>
      <c r="C70" s="2">
        <v>24</v>
      </c>
      <c r="D70" s="11" t="s">
        <v>366</v>
      </c>
      <c r="E70" s="11" t="s">
        <v>327</v>
      </c>
      <c r="F70" s="11" t="s">
        <v>100</v>
      </c>
      <c r="G70" s="11" t="s">
        <v>101</v>
      </c>
      <c r="H70" s="11" t="s">
        <v>102</v>
      </c>
      <c r="I70" s="12" t="s">
        <v>459</v>
      </c>
      <c r="J70" s="12" t="s">
        <v>509</v>
      </c>
      <c r="K70" s="12" t="s">
        <v>544</v>
      </c>
      <c r="L70" s="11">
        <v>1987</v>
      </c>
      <c r="M70" s="11">
        <v>1989</v>
      </c>
      <c r="N70" s="11">
        <v>1988</v>
      </c>
      <c r="O70" s="11">
        <v>36</v>
      </c>
      <c r="P70" s="11" t="s">
        <v>16</v>
      </c>
      <c r="Q70" s="11">
        <v>88</v>
      </c>
      <c r="R70" s="12" t="s">
        <v>552</v>
      </c>
      <c r="S70" s="12" t="s">
        <v>577</v>
      </c>
      <c r="U70" s="11">
        <v>69.900000000000006</v>
      </c>
      <c r="W70" s="11">
        <v>22.73</v>
      </c>
      <c r="Y70" s="11">
        <v>142</v>
      </c>
      <c r="AA70" s="11">
        <v>20</v>
      </c>
      <c r="AB70" s="11">
        <v>45.6</v>
      </c>
      <c r="AE70" s="11">
        <v>24.5</v>
      </c>
      <c r="AF70" s="12" t="s">
        <v>442</v>
      </c>
      <c r="AG70" s="12" t="s">
        <v>442</v>
      </c>
      <c r="AH70" s="1" t="s">
        <v>143</v>
      </c>
    </row>
    <row r="71" spans="1:34" x14ac:dyDescent="0.25">
      <c r="A71" s="1" t="s">
        <v>59</v>
      </c>
      <c r="B71" s="3">
        <v>28</v>
      </c>
      <c r="C71" s="2">
        <v>85</v>
      </c>
      <c r="D71" s="11" t="s">
        <v>409</v>
      </c>
      <c r="E71" s="11" t="s">
        <v>327</v>
      </c>
      <c r="F71" s="11" t="s">
        <v>240</v>
      </c>
      <c r="G71" s="11" t="s">
        <v>128</v>
      </c>
      <c r="H71" s="11" t="s">
        <v>129</v>
      </c>
      <c r="I71" s="12" t="s">
        <v>459</v>
      </c>
      <c r="J71" s="12" t="s">
        <v>546</v>
      </c>
      <c r="K71" s="12" t="s">
        <v>568</v>
      </c>
      <c r="R71" s="12" t="s">
        <v>442</v>
      </c>
      <c r="S71" s="12" t="s">
        <v>638</v>
      </c>
      <c r="AF71" s="12" t="s">
        <v>442</v>
      </c>
      <c r="AG71" s="12" t="s">
        <v>442</v>
      </c>
      <c r="AH71" s="1" t="s">
        <v>639</v>
      </c>
    </row>
    <row r="72" spans="1:34" ht="23" x14ac:dyDescent="0.25">
      <c r="A72" s="6" t="s">
        <v>27</v>
      </c>
      <c r="B72" s="7">
        <v>24</v>
      </c>
      <c r="C72" s="2">
        <v>6</v>
      </c>
      <c r="D72" s="12" t="s">
        <v>352</v>
      </c>
      <c r="E72" s="11" t="s">
        <v>329</v>
      </c>
      <c r="F72" s="12" t="s">
        <v>38</v>
      </c>
      <c r="G72" s="12" t="s">
        <v>14</v>
      </c>
      <c r="H72" s="12" t="s">
        <v>29</v>
      </c>
      <c r="I72" s="12" t="s">
        <v>459</v>
      </c>
      <c r="J72" s="12" t="s">
        <v>509</v>
      </c>
      <c r="K72" s="12" t="s">
        <v>469</v>
      </c>
      <c r="L72" s="12">
        <v>1989</v>
      </c>
      <c r="M72" s="12">
        <v>1993</v>
      </c>
      <c r="N72" s="12">
        <v>1991</v>
      </c>
      <c r="O72" s="12">
        <v>60</v>
      </c>
      <c r="P72" s="12" t="s">
        <v>16</v>
      </c>
      <c r="Q72" s="12">
        <v>3776</v>
      </c>
      <c r="R72" s="12" t="s">
        <v>640</v>
      </c>
      <c r="S72" s="12" t="s">
        <v>577</v>
      </c>
      <c r="T72" s="12"/>
      <c r="U72" s="12">
        <v>98.9</v>
      </c>
      <c r="V72" s="12"/>
      <c r="W72" s="15">
        <v>8.4</v>
      </c>
      <c r="X72" s="12"/>
      <c r="Y72" s="12">
        <v>80.2</v>
      </c>
      <c r="Z72" s="12"/>
      <c r="AA72" s="12">
        <v>7</v>
      </c>
      <c r="AB72" s="12">
        <v>18.850000000000001</v>
      </c>
      <c r="AC72" s="12"/>
      <c r="AD72" s="12"/>
      <c r="AE72" s="12">
        <v>10.4</v>
      </c>
      <c r="AF72" s="12" t="s">
        <v>545</v>
      </c>
      <c r="AG72" s="12" t="s">
        <v>442</v>
      </c>
      <c r="AH72" s="6" t="s">
        <v>39</v>
      </c>
    </row>
    <row r="73" spans="1:34" x14ac:dyDescent="0.25">
      <c r="A73" s="1" t="s">
        <v>27</v>
      </c>
      <c r="B73" s="2">
        <v>25</v>
      </c>
      <c r="C73" s="2">
        <v>7</v>
      </c>
      <c r="D73" s="11" t="s">
        <v>353</v>
      </c>
      <c r="E73" s="11" t="s">
        <v>330</v>
      </c>
      <c r="F73" s="11" t="s">
        <v>40</v>
      </c>
      <c r="G73" s="11" t="s">
        <v>14</v>
      </c>
      <c r="H73" s="11" t="s">
        <v>41</v>
      </c>
      <c r="I73" s="12" t="s">
        <v>459</v>
      </c>
      <c r="J73" s="12" t="s">
        <v>546</v>
      </c>
      <c r="K73" s="12" t="s">
        <v>474</v>
      </c>
      <c r="L73" s="11">
        <v>1989</v>
      </c>
      <c r="M73" s="11">
        <v>1990</v>
      </c>
      <c r="N73" s="11">
        <v>1990</v>
      </c>
      <c r="O73" s="11">
        <v>12</v>
      </c>
      <c r="P73" s="11" t="s">
        <v>42</v>
      </c>
      <c r="Q73" s="11">
        <v>120</v>
      </c>
      <c r="R73" s="12" t="s">
        <v>442</v>
      </c>
      <c r="S73" s="12" t="s">
        <v>641</v>
      </c>
      <c r="U73" s="11">
        <v>62.2</v>
      </c>
      <c r="W73" s="14">
        <v>32.5</v>
      </c>
      <c r="X73" s="11">
        <v>102</v>
      </c>
      <c r="AA73" s="11">
        <v>45.1</v>
      </c>
      <c r="AB73" s="11">
        <v>48.63</v>
      </c>
      <c r="AE73" s="11">
        <v>23.19</v>
      </c>
      <c r="AF73" s="12" t="s">
        <v>442</v>
      </c>
      <c r="AG73" s="12" t="s">
        <v>442</v>
      </c>
      <c r="AH73" s="1" t="s">
        <v>43</v>
      </c>
    </row>
    <row r="74" spans="1:34" x14ac:dyDescent="0.25">
      <c r="A74" s="1" t="s">
        <v>27</v>
      </c>
      <c r="B74" s="2">
        <v>26</v>
      </c>
      <c r="C74" s="2">
        <v>8</v>
      </c>
      <c r="D74" s="11" t="s">
        <v>354</v>
      </c>
      <c r="E74" s="11" t="s">
        <v>331</v>
      </c>
      <c r="F74" s="11" t="s">
        <v>44</v>
      </c>
      <c r="G74" s="11" t="s">
        <v>45</v>
      </c>
      <c r="H74" s="11" t="s">
        <v>46</v>
      </c>
      <c r="I74" s="12" t="s">
        <v>459</v>
      </c>
      <c r="J74" s="12" t="s">
        <v>509</v>
      </c>
      <c r="K74" s="12" t="s">
        <v>475</v>
      </c>
      <c r="L74" s="11">
        <v>1992</v>
      </c>
      <c r="M74" s="11">
        <v>1995</v>
      </c>
      <c r="N74" s="11">
        <v>1994</v>
      </c>
      <c r="O74" s="11">
        <v>48</v>
      </c>
      <c r="P74" s="11" t="s">
        <v>16</v>
      </c>
      <c r="Q74" s="11">
        <v>216</v>
      </c>
      <c r="R74" s="12" t="s">
        <v>442</v>
      </c>
      <c r="S74" s="12" t="s">
        <v>577</v>
      </c>
      <c r="U74" s="11">
        <v>7.5</v>
      </c>
      <c r="W74" s="14">
        <v>20.399999999999999</v>
      </c>
      <c r="AF74" s="12">
        <v>1.52</v>
      </c>
      <c r="AG74" s="12" t="s">
        <v>442</v>
      </c>
      <c r="AH74" s="1" t="s">
        <v>17</v>
      </c>
    </row>
    <row r="75" spans="1:34" x14ac:dyDescent="0.25">
      <c r="A75" s="6" t="s">
        <v>132</v>
      </c>
      <c r="B75" s="7"/>
      <c r="C75" s="2">
        <v>41</v>
      </c>
      <c r="D75" s="12" t="s">
        <v>375</v>
      </c>
      <c r="E75" s="11" t="s">
        <v>335</v>
      </c>
      <c r="F75" s="12" t="s">
        <v>133</v>
      </c>
      <c r="G75" s="12" t="s">
        <v>14</v>
      </c>
      <c r="H75" s="12" t="s">
        <v>104</v>
      </c>
      <c r="I75" s="12" t="s">
        <v>465</v>
      </c>
      <c r="J75" s="12" t="s">
        <v>509</v>
      </c>
      <c r="K75" s="12" t="s">
        <v>584</v>
      </c>
      <c r="L75" s="12">
        <v>1940</v>
      </c>
      <c r="M75" s="12">
        <v>1980</v>
      </c>
      <c r="N75" s="12">
        <v>1960</v>
      </c>
      <c r="O75" s="12">
        <v>480</v>
      </c>
      <c r="P75" s="12" t="s">
        <v>16</v>
      </c>
      <c r="Q75" s="12">
        <v>996</v>
      </c>
      <c r="R75" s="12" t="s">
        <v>442</v>
      </c>
      <c r="S75" s="12" t="s">
        <v>577</v>
      </c>
      <c r="T75" s="12"/>
      <c r="U75" s="12"/>
      <c r="V75" s="12"/>
      <c r="W75" s="12">
        <v>2.7</v>
      </c>
      <c r="X75" s="12"/>
      <c r="Y75" s="12"/>
      <c r="Z75" s="6"/>
      <c r="AA75" s="6">
        <v>9.1</v>
      </c>
      <c r="AB75" s="6"/>
      <c r="AC75" s="6"/>
      <c r="AD75" s="6"/>
      <c r="AE75" s="12"/>
      <c r="AF75" s="12" t="s">
        <v>442</v>
      </c>
      <c r="AG75" s="12" t="s">
        <v>442</v>
      </c>
      <c r="AH75" s="12" t="s">
        <v>17</v>
      </c>
    </row>
    <row r="76" spans="1:34" x14ac:dyDescent="0.25">
      <c r="A76" s="1" t="s">
        <v>27</v>
      </c>
      <c r="B76" s="3">
        <v>33</v>
      </c>
      <c r="C76" s="2">
        <v>95</v>
      </c>
      <c r="D76" s="11" t="s">
        <v>418</v>
      </c>
      <c r="E76" s="11" t="s">
        <v>326</v>
      </c>
      <c r="F76" s="11" t="s">
        <v>257</v>
      </c>
      <c r="G76" s="11" t="s">
        <v>128</v>
      </c>
      <c r="H76" s="11" t="s">
        <v>130</v>
      </c>
      <c r="I76" s="12" t="s">
        <v>459</v>
      </c>
      <c r="J76" s="12" t="s">
        <v>509</v>
      </c>
      <c r="K76" s="12" t="s">
        <v>442</v>
      </c>
      <c r="L76" s="11" t="s">
        <v>258</v>
      </c>
      <c r="M76" s="11" t="s">
        <v>51</v>
      </c>
      <c r="N76" s="11">
        <v>1989</v>
      </c>
      <c r="O76" s="11">
        <v>12</v>
      </c>
      <c r="P76" s="11" t="s">
        <v>16</v>
      </c>
      <c r="Q76" s="11">
        <v>64</v>
      </c>
      <c r="R76" s="12" t="s">
        <v>442</v>
      </c>
      <c r="S76" s="12" t="s">
        <v>577</v>
      </c>
      <c r="U76" s="11">
        <v>31.4</v>
      </c>
      <c r="V76" s="11">
        <v>154.19999999999999</v>
      </c>
      <c r="W76" s="11">
        <v>26.6</v>
      </c>
      <c r="Y76" s="11">
        <v>79.3</v>
      </c>
      <c r="AA76" s="11">
        <v>21.2</v>
      </c>
      <c r="AF76" s="12" t="s">
        <v>442</v>
      </c>
      <c r="AG76" s="12" t="s">
        <v>442</v>
      </c>
      <c r="AH76" s="1" t="s">
        <v>17</v>
      </c>
    </row>
    <row r="77" spans="1:34" x14ac:dyDescent="0.25">
      <c r="A77" s="1" t="s">
        <v>134</v>
      </c>
      <c r="B77" s="3">
        <v>36</v>
      </c>
      <c r="C77" s="2">
        <v>64</v>
      </c>
      <c r="D77" s="11" t="s">
        <v>392</v>
      </c>
      <c r="E77" s="11" t="s">
        <v>326</v>
      </c>
      <c r="F77" s="11" t="s">
        <v>185</v>
      </c>
      <c r="G77" s="11" t="s">
        <v>101</v>
      </c>
      <c r="H77" s="11" t="s">
        <v>186</v>
      </c>
      <c r="I77" s="12" t="s">
        <v>465</v>
      </c>
      <c r="J77" s="12" t="s">
        <v>509</v>
      </c>
      <c r="K77" s="12" t="s">
        <v>547</v>
      </c>
      <c r="L77" s="11" t="s">
        <v>187</v>
      </c>
      <c r="M77" s="11" t="s">
        <v>188</v>
      </c>
      <c r="N77" s="11">
        <v>1984</v>
      </c>
      <c r="O77" s="11">
        <v>12</v>
      </c>
      <c r="P77" s="11" t="s">
        <v>189</v>
      </c>
      <c r="Q77" s="11">
        <v>159</v>
      </c>
      <c r="R77" s="12" t="s">
        <v>521</v>
      </c>
      <c r="S77" s="12" t="s">
        <v>577</v>
      </c>
      <c r="W77" s="11">
        <v>35.200000000000003</v>
      </c>
      <c r="AF77" s="12" t="s">
        <v>442</v>
      </c>
      <c r="AG77" s="12" t="s">
        <v>442</v>
      </c>
      <c r="AH77" s="1" t="s">
        <v>190</v>
      </c>
    </row>
    <row r="78" spans="1:34" x14ac:dyDescent="0.25">
      <c r="A78" s="1" t="s">
        <v>191</v>
      </c>
      <c r="B78" s="3">
        <v>34</v>
      </c>
      <c r="C78" s="2">
        <v>65</v>
      </c>
      <c r="D78" s="11" t="s">
        <v>392</v>
      </c>
      <c r="E78" s="11" t="s">
        <v>334</v>
      </c>
      <c r="F78" s="11" t="s">
        <v>192</v>
      </c>
      <c r="G78" s="11" t="s">
        <v>101</v>
      </c>
      <c r="H78" s="11" t="s">
        <v>186</v>
      </c>
      <c r="I78" s="12" t="s">
        <v>459</v>
      </c>
      <c r="K78" s="12" t="s">
        <v>476</v>
      </c>
      <c r="L78" s="11">
        <v>1986</v>
      </c>
      <c r="M78" s="11">
        <v>1986</v>
      </c>
      <c r="N78" s="11">
        <v>1986</v>
      </c>
      <c r="O78" s="11">
        <v>12</v>
      </c>
      <c r="P78" s="11" t="s">
        <v>16</v>
      </c>
      <c r="Q78" s="11">
        <v>49</v>
      </c>
      <c r="U78" s="11">
        <v>39.4</v>
      </c>
      <c r="W78" s="11">
        <v>22.5</v>
      </c>
      <c r="AH78" s="1" t="s">
        <v>17</v>
      </c>
    </row>
    <row r="79" spans="1:34" x14ac:dyDescent="0.25">
      <c r="A79" s="1" t="s">
        <v>27</v>
      </c>
      <c r="B79" s="3">
        <v>35</v>
      </c>
      <c r="C79" s="2">
        <v>66</v>
      </c>
      <c r="D79" s="11" t="s">
        <v>392</v>
      </c>
      <c r="E79" s="11" t="s">
        <v>334</v>
      </c>
      <c r="F79" s="11" t="s">
        <v>193</v>
      </c>
      <c r="G79" s="11" t="s">
        <v>101</v>
      </c>
      <c r="H79" s="11" t="s">
        <v>186</v>
      </c>
      <c r="I79" s="12" t="s">
        <v>459</v>
      </c>
      <c r="J79" s="12" t="s">
        <v>507</v>
      </c>
      <c r="K79" s="12" t="s">
        <v>476</v>
      </c>
      <c r="L79" s="11">
        <v>1986</v>
      </c>
      <c r="M79" s="11">
        <v>1986</v>
      </c>
      <c r="N79" s="11">
        <v>1986</v>
      </c>
      <c r="O79" s="11">
        <v>12</v>
      </c>
      <c r="P79" s="11" t="s">
        <v>16</v>
      </c>
      <c r="Q79" s="11">
        <v>49</v>
      </c>
      <c r="R79" s="12" t="s">
        <v>534</v>
      </c>
      <c r="S79" s="12" t="s">
        <v>577</v>
      </c>
      <c r="U79" s="11">
        <v>39.4</v>
      </c>
      <c r="W79" s="11">
        <v>22.5</v>
      </c>
      <c r="AF79" s="12" t="s">
        <v>442</v>
      </c>
      <c r="AG79" s="12" t="s">
        <v>442</v>
      </c>
      <c r="AH79" s="1" t="s">
        <v>17</v>
      </c>
    </row>
    <row r="80" spans="1:34" x14ac:dyDescent="0.25">
      <c r="A80" s="1" t="s">
        <v>27</v>
      </c>
      <c r="B80" s="3">
        <v>80</v>
      </c>
      <c r="C80" s="2">
        <v>97</v>
      </c>
      <c r="D80" s="11" t="s">
        <v>420</v>
      </c>
      <c r="E80" s="11" t="s">
        <v>328</v>
      </c>
      <c r="F80" s="11" t="s">
        <v>260</v>
      </c>
      <c r="G80" s="11" t="s">
        <v>128</v>
      </c>
      <c r="H80" s="11" t="s">
        <v>130</v>
      </c>
      <c r="I80" s="12" t="s">
        <v>459</v>
      </c>
      <c r="J80" s="12" t="s">
        <v>507</v>
      </c>
      <c r="K80" s="12" t="s">
        <v>460</v>
      </c>
      <c r="O80" s="11">
        <v>24</v>
      </c>
      <c r="P80" s="11" t="s">
        <v>16</v>
      </c>
      <c r="Q80" s="11">
        <v>117</v>
      </c>
      <c r="R80" s="12" t="s">
        <v>442</v>
      </c>
      <c r="S80" s="12" t="s">
        <v>642</v>
      </c>
      <c r="W80" s="11">
        <v>23.1</v>
      </c>
      <c r="AF80" s="12" t="s">
        <v>442</v>
      </c>
      <c r="AG80" s="12" t="s">
        <v>442</v>
      </c>
      <c r="AH80" s="1" t="s">
        <v>17</v>
      </c>
    </row>
    <row r="81" spans="1:34" x14ac:dyDescent="0.25">
      <c r="A81" s="1" t="s">
        <v>27</v>
      </c>
      <c r="B81" s="3">
        <v>80</v>
      </c>
      <c r="C81" s="2">
        <v>98</v>
      </c>
      <c r="D81" s="11" t="s">
        <v>420</v>
      </c>
      <c r="E81" s="11" t="s">
        <v>328</v>
      </c>
      <c r="F81" s="11" t="s">
        <v>260</v>
      </c>
      <c r="G81" s="11" t="s">
        <v>128</v>
      </c>
      <c r="H81" s="11" t="s">
        <v>130</v>
      </c>
      <c r="I81" s="12" t="s">
        <v>459</v>
      </c>
      <c r="J81" s="12" t="s">
        <v>507</v>
      </c>
      <c r="K81" s="12" t="s">
        <v>460</v>
      </c>
      <c r="O81" s="11">
        <v>24</v>
      </c>
      <c r="P81" s="11" t="s">
        <v>16</v>
      </c>
      <c r="Q81" s="11">
        <v>127</v>
      </c>
      <c r="R81" s="12" t="s">
        <v>442</v>
      </c>
      <c r="S81" s="12" t="s">
        <v>642</v>
      </c>
      <c r="W81" s="11">
        <v>20.5</v>
      </c>
      <c r="AF81" s="12" t="s">
        <v>442</v>
      </c>
      <c r="AG81" s="12" t="s">
        <v>442</v>
      </c>
      <c r="AH81" s="1" t="s">
        <v>17</v>
      </c>
    </row>
    <row r="82" spans="1:34" x14ac:dyDescent="0.25">
      <c r="A82" s="1" t="s">
        <v>27</v>
      </c>
      <c r="B82" s="3">
        <v>37</v>
      </c>
      <c r="C82" s="2">
        <v>60</v>
      </c>
      <c r="D82" s="11" t="s">
        <v>389</v>
      </c>
      <c r="E82" s="11" t="s">
        <v>336</v>
      </c>
      <c r="F82" s="11" t="s">
        <v>180</v>
      </c>
      <c r="G82" s="11" t="s">
        <v>101</v>
      </c>
      <c r="H82" s="11" t="s">
        <v>178</v>
      </c>
      <c r="I82" s="12" t="s">
        <v>459</v>
      </c>
      <c r="J82" s="12" t="s">
        <v>509</v>
      </c>
      <c r="K82" s="12" t="s">
        <v>548</v>
      </c>
      <c r="L82" s="11">
        <v>1979</v>
      </c>
      <c r="M82" s="11">
        <v>1980</v>
      </c>
      <c r="N82" s="11">
        <v>1979</v>
      </c>
      <c r="O82" s="11">
        <v>12</v>
      </c>
      <c r="P82" s="11" t="s">
        <v>16</v>
      </c>
      <c r="R82" s="12" t="s">
        <v>442</v>
      </c>
      <c r="S82" s="12" t="s">
        <v>642</v>
      </c>
      <c r="W82" s="11">
        <v>49.9</v>
      </c>
      <c r="AA82" s="11">
        <v>47.7</v>
      </c>
      <c r="AE82" s="11">
        <v>54.7</v>
      </c>
      <c r="AF82" s="12">
        <v>22.3</v>
      </c>
      <c r="AG82" s="12" t="s">
        <v>442</v>
      </c>
      <c r="AH82" s="1" t="s">
        <v>17</v>
      </c>
    </row>
    <row r="83" spans="1:34" x14ac:dyDescent="0.25">
      <c r="A83" s="1" t="s">
        <v>64</v>
      </c>
      <c r="B83" s="3">
        <v>38</v>
      </c>
      <c r="C83" s="2">
        <v>61</v>
      </c>
      <c r="D83" s="11" t="s">
        <v>389</v>
      </c>
      <c r="E83" s="11" t="s">
        <v>336</v>
      </c>
      <c r="F83" s="11" t="s">
        <v>180</v>
      </c>
      <c r="G83" s="11" t="s">
        <v>101</v>
      </c>
      <c r="H83" s="11" t="s">
        <v>178</v>
      </c>
      <c r="I83" s="12" t="s">
        <v>459</v>
      </c>
      <c r="J83" s="12" t="s">
        <v>509</v>
      </c>
      <c r="K83" s="12" t="s">
        <v>548</v>
      </c>
      <c r="L83" s="11" t="s">
        <v>181</v>
      </c>
      <c r="M83" s="11" t="s">
        <v>182</v>
      </c>
      <c r="N83" s="11">
        <v>1991</v>
      </c>
      <c r="O83" s="11">
        <v>18</v>
      </c>
      <c r="P83" s="11" t="s">
        <v>16</v>
      </c>
      <c r="R83" s="12" t="s">
        <v>442</v>
      </c>
      <c r="S83" s="12" t="s">
        <v>642</v>
      </c>
      <c r="W83" s="11">
        <v>41.3</v>
      </c>
      <c r="AF83" s="12">
        <v>4.5999999999999996</v>
      </c>
      <c r="AG83" s="12" t="s">
        <v>442</v>
      </c>
      <c r="AH83" s="1" t="s">
        <v>17</v>
      </c>
    </row>
    <row r="84" spans="1:34" x14ac:dyDescent="0.25">
      <c r="A84" s="6" t="s">
        <v>18</v>
      </c>
      <c r="B84" s="7">
        <v>83</v>
      </c>
      <c r="C84" s="2">
        <v>28</v>
      </c>
      <c r="D84" s="12" t="s">
        <v>370</v>
      </c>
      <c r="E84" s="11" t="s">
        <v>328</v>
      </c>
      <c r="F84" s="12" t="s">
        <v>108</v>
      </c>
      <c r="G84" s="12" t="s">
        <v>45</v>
      </c>
      <c r="H84" s="12" t="s">
        <v>109</v>
      </c>
      <c r="I84" s="12" t="s">
        <v>459</v>
      </c>
      <c r="J84" s="12" t="s">
        <v>509</v>
      </c>
      <c r="K84" s="12" t="s">
        <v>591</v>
      </c>
      <c r="L84" s="12">
        <v>1984</v>
      </c>
      <c r="M84" s="12">
        <v>1984</v>
      </c>
      <c r="N84" s="12">
        <v>1984</v>
      </c>
      <c r="O84" s="12">
        <v>12</v>
      </c>
      <c r="P84" s="12" t="s">
        <v>16</v>
      </c>
      <c r="Q84" s="12"/>
      <c r="R84" s="12" t="s">
        <v>613</v>
      </c>
      <c r="S84" s="12" t="s">
        <v>643</v>
      </c>
      <c r="T84" s="12"/>
      <c r="U84" s="12"/>
      <c r="V84" s="12"/>
      <c r="W84" s="12">
        <v>52</v>
      </c>
      <c r="X84" s="12"/>
      <c r="Y84" s="12"/>
      <c r="Z84" s="12"/>
      <c r="AA84" s="12"/>
      <c r="AB84" s="12"/>
      <c r="AC84" s="12"/>
      <c r="AD84" s="12"/>
      <c r="AE84" s="12"/>
      <c r="AF84" s="12" t="s">
        <v>442</v>
      </c>
      <c r="AG84" s="12" t="s">
        <v>442</v>
      </c>
      <c r="AH84" s="6" t="s">
        <v>17</v>
      </c>
    </row>
    <row r="85" spans="1:34" x14ac:dyDescent="0.25">
      <c r="A85" s="1" t="s">
        <v>64</v>
      </c>
      <c r="B85" s="3">
        <v>39</v>
      </c>
      <c r="C85" s="2">
        <v>67</v>
      </c>
      <c r="D85" s="11" t="s">
        <v>393</v>
      </c>
      <c r="E85" s="11" t="s">
        <v>326</v>
      </c>
      <c r="F85" s="11" t="s">
        <v>194</v>
      </c>
      <c r="G85" s="11" t="s">
        <v>101</v>
      </c>
      <c r="H85" s="11" t="s">
        <v>186</v>
      </c>
      <c r="I85" s="12" t="s">
        <v>459</v>
      </c>
      <c r="J85" s="12" t="s">
        <v>509</v>
      </c>
      <c r="K85" s="12" t="s">
        <v>477</v>
      </c>
      <c r="L85" s="11" t="s">
        <v>30</v>
      </c>
      <c r="M85" s="11" t="s">
        <v>182</v>
      </c>
      <c r="N85" s="11">
        <v>1990</v>
      </c>
      <c r="O85" s="11">
        <v>42</v>
      </c>
      <c r="P85" s="11" t="s">
        <v>16</v>
      </c>
      <c r="Q85" s="11">
        <v>52</v>
      </c>
      <c r="R85" s="12" t="s">
        <v>583</v>
      </c>
      <c r="S85" s="12" t="s">
        <v>577</v>
      </c>
      <c r="W85" s="11">
        <v>35</v>
      </c>
      <c r="AF85" s="12" t="s">
        <v>577</v>
      </c>
      <c r="AG85" s="12" t="s">
        <v>660</v>
      </c>
      <c r="AH85" s="1" t="s">
        <v>17</v>
      </c>
    </row>
    <row r="86" spans="1:34" x14ac:dyDescent="0.25">
      <c r="A86" s="6" t="s">
        <v>118</v>
      </c>
      <c r="B86" s="7"/>
      <c r="C86" s="2">
        <v>33</v>
      </c>
      <c r="D86" s="12" t="s">
        <v>371</v>
      </c>
      <c r="E86" s="11" t="s">
        <v>335</v>
      </c>
      <c r="F86" s="12" t="s">
        <v>119</v>
      </c>
      <c r="G86" s="12" t="s">
        <v>14</v>
      </c>
      <c r="H86" s="12" t="s">
        <v>120</v>
      </c>
      <c r="I86" s="12" t="s">
        <v>459</v>
      </c>
      <c r="J86" s="12" t="s">
        <v>509</v>
      </c>
      <c r="K86" s="12" t="s">
        <v>622</v>
      </c>
      <c r="L86" s="12"/>
      <c r="M86" s="12"/>
      <c r="N86" s="12"/>
      <c r="O86" s="12">
        <v>12</v>
      </c>
      <c r="P86" s="12" t="s">
        <v>16</v>
      </c>
      <c r="Q86" s="12"/>
      <c r="R86" s="12" t="s">
        <v>613</v>
      </c>
      <c r="S86" s="12" t="s">
        <v>577</v>
      </c>
      <c r="T86" s="12"/>
      <c r="U86" s="12">
        <v>40.1</v>
      </c>
      <c r="V86" s="12"/>
      <c r="W86" s="12">
        <v>57.3</v>
      </c>
      <c r="X86" s="12">
        <v>84.1</v>
      </c>
      <c r="Y86" s="12"/>
      <c r="Z86" s="6"/>
      <c r="AA86" s="6"/>
      <c r="AB86" s="6"/>
      <c r="AC86" s="6"/>
      <c r="AD86" s="6"/>
      <c r="AE86" s="12"/>
      <c r="AF86" s="12">
        <v>22.9</v>
      </c>
      <c r="AG86" s="12" t="s">
        <v>625</v>
      </c>
      <c r="AH86" s="12" t="s">
        <v>17</v>
      </c>
    </row>
    <row r="87" spans="1:34" x14ac:dyDescent="0.25">
      <c r="A87" s="6" t="s">
        <v>27</v>
      </c>
      <c r="B87" s="7"/>
      <c r="C87" s="2">
        <v>34</v>
      </c>
      <c r="D87" s="12" t="s">
        <v>371</v>
      </c>
      <c r="E87" s="11" t="s">
        <v>335</v>
      </c>
      <c r="F87" s="12" t="s">
        <v>119</v>
      </c>
      <c r="G87" s="12" t="s">
        <v>14</v>
      </c>
      <c r="H87" s="12" t="s">
        <v>121</v>
      </c>
      <c r="I87" s="12" t="s">
        <v>462</v>
      </c>
      <c r="J87" s="12" t="s">
        <v>509</v>
      </c>
      <c r="K87" s="12" t="s">
        <v>623</v>
      </c>
      <c r="L87" s="12"/>
      <c r="M87" s="12"/>
      <c r="N87" s="12"/>
      <c r="O87" s="12">
        <v>12</v>
      </c>
      <c r="P87" s="12" t="s">
        <v>16</v>
      </c>
      <c r="Q87" s="12"/>
      <c r="R87" s="12" t="s">
        <v>613</v>
      </c>
      <c r="S87" s="12" t="s">
        <v>577</v>
      </c>
      <c r="T87" s="12"/>
      <c r="U87" s="12">
        <v>24.5</v>
      </c>
      <c r="V87" s="12"/>
      <c r="W87" s="12">
        <v>49.8</v>
      </c>
      <c r="X87" s="12">
        <v>47.8</v>
      </c>
      <c r="Y87" s="12"/>
      <c r="Z87" s="6"/>
      <c r="AA87" s="6"/>
      <c r="AB87" s="6"/>
      <c r="AC87" s="6"/>
      <c r="AD87" s="6"/>
      <c r="AE87" s="12"/>
      <c r="AF87" s="12">
        <v>12.2</v>
      </c>
      <c r="AG87" s="12" t="s">
        <v>625</v>
      </c>
      <c r="AH87" s="12" t="s">
        <v>17</v>
      </c>
    </row>
    <row r="88" spans="1:34" x14ac:dyDescent="0.25">
      <c r="A88" s="6" t="s">
        <v>27</v>
      </c>
      <c r="B88" s="7"/>
      <c r="C88" s="2">
        <v>35</v>
      </c>
      <c r="D88" s="12" t="s">
        <v>371</v>
      </c>
      <c r="E88" s="11" t="s">
        <v>335</v>
      </c>
      <c r="F88" s="12" t="s">
        <v>119</v>
      </c>
      <c r="G88" s="12" t="s">
        <v>14</v>
      </c>
      <c r="H88" s="12" t="s">
        <v>122</v>
      </c>
      <c r="I88" s="12" t="s">
        <v>459</v>
      </c>
      <c r="J88" s="12" t="s">
        <v>509</v>
      </c>
      <c r="K88" s="12" t="s">
        <v>624</v>
      </c>
      <c r="L88" s="12"/>
      <c r="M88" s="12"/>
      <c r="N88" s="12"/>
      <c r="O88" s="12">
        <v>12</v>
      </c>
      <c r="P88" s="12" t="s">
        <v>16</v>
      </c>
      <c r="Q88" s="12"/>
      <c r="R88" s="12" t="s">
        <v>613</v>
      </c>
      <c r="S88" s="12" t="s">
        <v>577</v>
      </c>
      <c r="T88" s="12"/>
      <c r="U88" s="12">
        <v>75.900000000000006</v>
      </c>
      <c r="V88" s="12"/>
      <c r="W88" s="12">
        <v>42.1</v>
      </c>
      <c r="X88" s="12">
        <v>165.5</v>
      </c>
      <c r="Y88" s="12"/>
      <c r="Z88" s="6"/>
      <c r="AA88" s="6"/>
      <c r="AB88" s="6"/>
      <c r="AC88" s="6"/>
      <c r="AD88" s="6"/>
      <c r="AE88" s="12"/>
      <c r="AF88" s="12">
        <v>31.9</v>
      </c>
      <c r="AG88" s="12" t="s">
        <v>625</v>
      </c>
      <c r="AH88" s="12" t="s">
        <v>17</v>
      </c>
    </row>
    <row r="89" spans="1:34" x14ac:dyDescent="0.25">
      <c r="A89" s="1" t="s">
        <v>27</v>
      </c>
      <c r="C89" s="2">
        <v>115</v>
      </c>
      <c r="D89" s="11" t="s">
        <v>432</v>
      </c>
      <c r="E89" s="11" t="s">
        <v>336</v>
      </c>
      <c r="F89" s="11" t="s">
        <v>297</v>
      </c>
      <c r="G89" s="11" t="s">
        <v>101</v>
      </c>
      <c r="H89" s="11" t="s">
        <v>178</v>
      </c>
      <c r="I89" s="12" t="s">
        <v>442</v>
      </c>
      <c r="J89" s="12" t="s">
        <v>509</v>
      </c>
      <c r="K89" s="12" t="s">
        <v>548</v>
      </c>
      <c r="L89" s="11" t="s">
        <v>298</v>
      </c>
      <c r="M89" s="11" t="s">
        <v>299</v>
      </c>
      <c r="N89" s="11">
        <v>1988</v>
      </c>
      <c r="O89" s="11">
        <v>12</v>
      </c>
      <c r="P89" s="11" t="s">
        <v>16</v>
      </c>
      <c r="Q89" s="11">
        <v>137</v>
      </c>
      <c r="R89" s="12" t="s">
        <v>529</v>
      </c>
      <c r="S89" s="12" t="s">
        <v>644</v>
      </c>
      <c r="W89" s="11">
        <v>39</v>
      </c>
      <c r="AF89" s="12" t="s">
        <v>442</v>
      </c>
      <c r="AG89" s="12" t="s">
        <v>442</v>
      </c>
      <c r="AH89" s="1" t="s">
        <v>549</v>
      </c>
    </row>
    <row r="90" spans="1:34" x14ac:dyDescent="0.25">
      <c r="A90" s="1" t="s">
        <v>27</v>
      </c>
      <c r="C90" s="2">
        <v>116</v>
      </c>
      <c r="D90" s="11" t="s">
        <v>432</v>
      </c>
      <c r="E90" s="11" t="s">
        <v>325</v>
      </c>
      <c r="F90" s="11" t="s">
        <v>300</v>
      </c>
      <c r="G90" s="11" t="s">
        <v>101</v>
      </c>
      <c r="H90" s="11" t="s">
        <v>178</v>
      </c>
      <c r="I90" s="12" t="s">
        <v>465</v>
      </c>
      <c r="J90" s="12" t="s">
        <v>507</v>
      </c>
      <c r="K90" s="12" t="s">
        <v>536</v>
      </c>
      <c r="L90" s="11">
        <v>1990</v>
      </c>
      <c r="M90" s="11">
        <v>1990</v>
      </c>
      <c r="N90" s="11">
        <v>1990</v>
      </c>
      <c r="O90" s="11">
        <v>12</v>
      </c>
      <c r="P90" s="11" t="s">
        <v>16</v>
      </c>
      <c r="R90" s="12" t="s">
        <v>442</v>
      </c>
      <c r="S90" s="12" t="s">
        <v>645</v>
      </c>
      <c r="W90" s="11">
        <v>26</v>
      </c>
      <c r="Y90" s="11">
        <v>34</v>
      </c>
      <c r="AA90" s="11">
        <v>28</v>
      </c>
      <c r="AB90" s="11">
        <v>5</v>
      </c>
      <c r="AE90" s="11">
        <v>24</v>
      </c>
      <c r="AF90" s="12" t="s">
        <v>550</v>
      </c>
      <c r="AG90" s="12" t="s">
        <v>442</v>
      </c>
      <c r="AH90" s="1" t="s">
        <v>17</v>
      </c>
    </row>
    <row r="91" spans="1:34" ht="23" x14ac:dyDescent="0.25">
      <c r="A91" s="1" t="s">
        <v>59</v>
      </c>
      <c r="B91" s="3">
        <v>40</v>
      </c>
      <c r="C91" s="2">
        <v>86</v>
      </c>
      <c r="D91" s="11" t="s">
        <v>410</v>
      </c>
      <c r="E91" s="11" t="s">
        <v>339</v>
      </c>
      <c r="F91" s="11" t="s">
        <v>241</v>
      </c>
      <c r="G91" s="11" t="s">
        <v>128</v>
      </c>
      <c r="H91" s="11" t="s">
        <v>129</v>
      </c>
      <c r="I91" s="12" t="s">
        <v>442</v>
      </c>
      <c r="J91" s="12" t="s">
        <v>509</v>
      </c>
      <c r="K91" s="12" t="s">
        <v>584</v>
      </c>
      <c r="R91" s="12" t="s">
        <v>442</v>
      </c>
      <c r="S91" s="12" t="s">
        <v>646</v>
      </c>
      <c r="AF91" s="12" t="s">
        <v>442</v>
      </c>
      <c r="AG91" s="12" t="s">
        <v>442</v>
      </c>
      <c r="AH91" s="1" t="s">
        <v>585</v>
      </c>
    </row>
    <row r="92" spans="1:34" ht="23" x14ac:dyDescent="0.25">
      <c r="A92" s="1" t="s">
        <v>64</v>
      </c>
      <c r="B92" s="2">
        <v>81</v>
      </c>
      <c r="C92" s="2">
        <v>26</v>
      </c>
      <c r="D92" s="11" t="s">
        <v>368</v>
      </c>
      <c r="E92" s="11" t="s">
        <v>327</v>
      </c>
      <c r="F92" s="11" t="s">
        <v>105</v>
      </c>
      <c r="G92" s="11" t="s">
        <v>45</v>
      </c>
      <c r="H92" s="11" t="s">
        <v>106</v>
      </c>
      <c r="I92" s="12" t="s">
        <v>459</v>
      </c>
      <c r="J92" s="12" t="s">
        <v>509</v>
      </c>
      <c r="K92" s="12" t="s">
        <v>554</v>
      </c>
      <c r="L92" s="11">
        <v>1989</v>
      </c>
      <c r="M92" s="11">
        <v>1992</v>
      </c>
      <c r="N92" s="11">
        <v>1991</v>
      </c>
      <c r="O92" s="11">
        <v>38.5</v>
      </c>
      <c r="P92" s="11" t="s">
        <v>16</v>
      </c>
      <c r="Q92" s="11">
        <v>243</v>
      </c>
      <c r="R92" s="12" t="s">
        <v>442</v>
      </c>
      <c r="S92" s="12" t="s">
        <v>577</v>
      </c>
      <c r="W92" s="11">
        <v>30.04</v>
      </c>
      <c r="AF92" s="12" t="s">
        <v>442</v>
      </c>
      <c r="AG92" s="12" t="s">
        <v>442</v>
      </c>
      <c r="AH92" s="1" t="s">
        <v>555</v>
      </c>
    </row>
    <row r="93" spans="1:34" ht="23" x14ac:dyDescent="0.25">
      <c r="A93" s="1" t="s">
        <v>47</v>
      </c>
      <c r="B93" s="2">
        <v>35</v>
      </c>
      <c r="C93" s="2">
        <v>9</v>
      </c>
      <c r="D93" s="11" t="s">
        <v>355</v>
      </c>
      <c r="E93" s="11" t="s">
        <v>332</v>
      </c>
      <c r="F93" s="11" t="s">
        <v>48</v>
      </c>
      <c r="G93" s="11" t="s">
        <v>14</v>
      </c>
      <c r="H93" s="11" t="s">
        <v>49</v>
      </c>
      <c r="I93" s="12" t="s">
        <v>462</v>
      </c>
      <c r="J93" s="12" t="s">
        <v>509</v>
      </c>
      <c r="K93" s="12" t="s">
        <v>478</v>
      </c>
      <c r="L93" s="11" t="s">
        <v>50</v>
      </c>
      <c r="M93" s="11" t="s">
        <v>51</v>
      </c>
      <c r="N93" s="11">
        <v>1988</v>
      </c>
      <c r="O93" s="11">
        <v>36</v>
      </c>
      <c r="P93" s="13" t="s">
        <v>52</v>
      </c>
      <c r="Q93" s="11">
        <v>153</v>
      </c>
      <c r="R93" s="12" t="s">
        <v>529</v>
      </c>
      <c r="S93" s="12" t="s">
        <v>577</v>
      </c>
      <c r="T93" s="11">
        <v>215</v>
      </c>
      <c r="U93" s="11">
        <v>55.6</v>
      </c>
      <c r="V93" s="11">
        <v>107.3</v>
      </c>
      <c r="W93" s="14">
        <v>30.7</v>
      </c>
      <c r="Z93" s="11">
        <v>94</v>
      </c>
      <c r="AF93" s="12" t="s">
        <v>442</v>
      </c>
      <c r="AG93" s="12" t="s">
        <v>442</v>
      </c>
      <c r="AH93" s="1" t="s">
        <v>53</v>
      </c>
    </row>
    <row r="94" spans="1:34" x14ac:dyDescent="0.25">
      <c r="A94" s="1" t="s">
        <v>168</v>
      </c>
      <c r="B94" s="3">
        <v>42</v>
      </c>
      <c r="C94" s="2">
        <v>57</v>
      </c>
      <c r="D94" s="11" t="s">
        <v>386</v>
      </c>
      <c r="E94" s="11" t="s">
        <v>339</v>
      </c>
      <c r="F94" s="11" t="s">
        <v>169</v>
      </c>
      <c r="G94" s="11" t="s">
        <v>149</v>
      </c>
      <c r="H94" s="11" t="s">
        <v>170</v>
      </c>
      <c r="I94" s="12" t="s">
        <v>465</v>
      </c>
      <c r="J94" s="12" t="s">
        <v>509</v>
      </c>
      <c r="K94" s="12" t="s">
        <v>536</v>
      </c>
      <c r="R94" s="12" t="s">
        <v>442</v>
      </c>
      <c r="S94" s="12" t="s">
        <v>577</v>
      </c>
      <c r="AF94" s="12">
        <v>0.29599999999999999</v>
      </c>
      <c r="AG94" s="12" t="s">
        <v>442</v>
      </c>
      <c r="AH94" s="1" t="s">
        <v>17</v>
      </c>
    </row>
    <row r="95" spans="1:34" x14ac:dyDescent="0.25">
      <c r="A95" s="1" t="s">
        <v>27</v>
      </c>
      <c r="B95" s="2">
        <v>60</v>
      </c>
      <c r="C95" s="2">
        <v>15</v>
      </c>
      <c r="D95" s="11" t="s">
        <v>360</v>
      </c>
      <c r="E95" s="11" t="s">
        <v>332</v>
      </c>
      <c r="F95" s="11" t="s">
        <v>73</v>
      </c>
      <c r="G95" s="11" t="s">
        <v>45</v>
      </c>
      <c r="H95" s="11" t="s">
        <v>74</v>
      </c>
      <c r="I95" s="12" t="s">
        <v>459</v>
      </c>
      <c r="J95" s="12" t="s">
        <v>546</v>
      </c>
      <c r="K95" s="12" t="s">
        <v>479</v>
      </c>
      <c r="L95" s="11" t="s">
        <v>75</v>
      </c>
      <c r="M95" s="11" t="s">
        <v>76</v>
      </c>
      <c r="N95" s="11">
        <v>1987</v>
      </c>
      <c r="O95" s="11">
        <v>12</v>
      </c>
      <c r="P95" s="11" t="s">
        <v>16</v>
      </c>
      <c r="Q95" s="11">
        <v>610</v>
      </c>
      <c r="R95" s="12" t="s">
        <v>442</v>
      </c>
      <c r="S95" s="12" t="s">
        <v>577</v>
      </c>
      <c r="U95" s="11">
        <v>30.8</v>
      </c>
      <c r="W95" s="14">
        <v>13.28</v>
      </c>
      <c r="AF95" s="12" t="s">
        <v>442</v>
      </c>
      <c r="AG95" s="12" t="s">
        <v>442</v>
      </c>
      <c r="AH95" s="1" t="s">
        <v>17</v>
      </c>
    </row>
    <row r="96" spans="1:34" ht="57.5" x14ac:dyDescent="0.25">
      <c r="A96" s="1" t="s">
        <v>27</v>
      </c>
      <c r="B96" s="2">
        <v>75</v>
      </c>
      <c r="C96" s="2">
        <v>20</v>
      </c>
      <c r="D96" s="11" t="s">
        <v>360</v>
      </c>
      <c r="E96" s="11" t="s">
        <v>335</v>
      </c>
      <c r="F96" s="11" t="s">
        <v>94</v>
      </c>
      <c r="G96" s="11" t="s">
        <v>45</v>
      </c>
      <c r="H96" s="11" t="s">
        <v>74</v>
      </c>
      <c r="I96" s="12" t="s">
        <v>459</v>
      </c>
      <c r="J96" s="12" t="s">
        <v>507</v>
      </c>
      <c r="K96" s="12" t="s">
        <v>551</v>
      </c>
      <c r="L96" s="11">
        <v>1983</v>
      </c>
      <c r="M96" s="11">
        <v>1984</v>
      </c>
      <c r="N96" s="11">
        <v>1984</v>
      </c>
      <c r="O96" s="11">
        <v>12</v>
      </c>
      <c r="P96" s="11" t="s">
        <v>16</v>
      </c>
      <c r="Q96" s="11">
        <v>325</v>
      </c>
      <c r="R96" s="12" t="s">
        <v>552</v>
      </c>
      <c r="S96" s="12" t="s">
        <v>577</v>
      </c>
      <c r="U96" s="11">
        <v>40.1</v>
      </c>
      <c r="W96" s="14">
        <v>16.899999999999999</v>
      </c>
      <c r="AF96" s="12">
        <v>6.8</v>
      </c>
      <c r="AG96" s="23" t="s">
        <v>661</v>
      </c>
      <c r="AH96" s="1" t="s">
        <v>17</v>
      </c>
    </row>
    <row r="97" spans="1:34" ht="57.5" x14ac:dyDescent="0.25">
      <c r="A97" s="1" t="s">
        <v>27</v>
      </c>
      <c r="B97" s="2" t="s">
        <v>95</v>
      </c>
      <c r="C97" s="2">
        <v>21</v>
      </c>
      <c r="D97" s="11" t="s">
        <v>360</v>
      </c>
      <c r="E97" s="11" t="s">
        <v>335</v>
      </c>
      <c r="F97" s="11" t="s">
        <v>94</v>
      </c>
      <c r="G97" s="11" t="s">
        <v>45</v>
      </c>
      <c r="H97" s="11" t="s">
        <v>74</v>
      </c>
      <c r="I97" s="12" t="s">
        <v>459</v>
      </c>
      <c r="J97" s="12" t="s">
        <v>507</v>
      </c>
      <c r="K97" s="12" t="s">
        <v>551</v>
      </c>
      <c r="L97" s="11">
        <v>1983</v>
      </c>
      <c r="M97" s="11">
        <v>1985</v>
      </c>
      <c r="N97" s="11">
        <v>1985</v>
      </c>
      <c r="O97" s="11">
        <v>12</v>
      </c>
      <c r="P97" s="11" t="s">
        <v>16</v>
      </c>
      <c r="Q97" s="11">
        <v>347</v>
      </c>
      <c r="R97" s="12" t="s">
        <v>552</v>
      </c>
      <c r="S97" s="12" t="s">
        <v>577</v>
      </c>
      <c r="U97" s="11">
        <v>35</v>
      </c>
      <c r="W97" s="14">
        <v>12.7</v>
      </c>
      <c r="AF97" s="12">
        <v>4.4000000000000004</v>
      </c>
      <c r="AG97" s="23" t="s">
        <v>661</v>
      </c>
      <c r="AH97" s="1" t="s">
        <v>17</v>
      </c>
    </row>
    <row r="98" spans="1:34" x14ac:dyDescent="0.25">
      <c r="A98" s="1" t="s">
        <v>27</v>
      </c>
      <c r="C98" s="2">
        <v>131</v>
      </c>
      <c r="D98" s="11" t="s">
        <v>442</v>
      </c>
      <c r="E98" s="11" t="s">
        <v>336</v>
      </c>
      <c r="F98" s="11" t="s">
        <v>322</v>
      </c>
      <c r="G98" s="11" t="s">
        <v>149</v>
      </c>
      <c r="H98" s="11" t="s">
        <v>170</v>
      </c>
      <c r="I98" s="12" t="s">
        <v>465</v>
      </c>
      <c r="J98" s="12" t="s">
        <v>509</v>
      </c>
      <c r="K98" s="12" t="s">
        <v>536</v>
      </c>
      <c r="L98" s="11">
        <v>1990</v>
      </c>
      <c r="M98" s="11">
        <v>1990</v>
      </c>
      <c r="N98" s="11">
        <v>1990</v>
      </c>
      <c r="O98" s="11">
        <v>12</v>
      </c>
      <c r="P98" s="11" t="s">
        <v>16</v>
      </c>
      <c r="Q98" s="11">
        <v>85957</v>
      </c>
      <c r="R98" s="12" t="s">
        <v>442</v>
      </c>
      <c r="S98" s="12" t="s">
        <v>577</v>
      </c>
      <c r="U98" s="14">
        <v>8.4294478527607346</v>
      </c>
      <c r="W98" s="11">
        <v>16.3</v>
      </c>
      <c r="AF98" s="12">
        <v>137.4</v>
      </c>
      <c r="AG98" s="12" t="s">
        <v>442</v>
      </c>
      <c r="AH98" s="11" t="s">
        <v>99</v>
      </c>
    </row>
    <row r="99" spans="1:34" x14ac:dyDescent="0.25">
      <c r="A99" s="1" t="s">
        <v>27</v>
      </c>
      <c r="C99" s="2">
        <v>132</v>
      </c>
      <c r="D99" s="11" t="s">
        <v>442</v>
      </c>
      <c r="E99" s="11" t="s">
        <v>336</v>
      </c>
      <c r="F99" s="11" t="s">
        <v>322</v>
      </c>
      <c r="G99" s="11" t="s">
        <v>149</v>
      </c>
      <c r="H99" s="11" t="s">
        <v>170</v>
      </c>
      <c r="I99" s="12" t="s">
        <v>465</v>
      </c>
      <c r="J99" s="12" t="s">
        <v>509</v>
      </c>
      <c r="K99" s="12" t="s">
        <v>536</v>
      </c>
      <c r="L99" s="11">
        <v>1993</v>
      </c>
      <c r="M99" s="11">
        <v>1993</v>
      </c>
      <c r="N99" s="11">
        <v>1993</v>
      </c>
      <c r="O99" s="11">
        <v>12</v>
      </c>
      <c r="P99" s="11" t="s">
        <v>16</v>
      </c>
      <c r="Q99" s="11">
        <v>50492</v>
      </c>
      <c r="R99" s="12" t="s">
        <v>442</v>
      </c>
      <c r="S99" s="12" t="s">
        <v>577</v>
      </c>
      <c r="U99" s="14">
        <v>4.71875</v>
      </c>
      <c r="W99" s="11">
        <v>12.8</v>
      </c>
      <c r="AF99" s="12">
        <v>60.4</v>
      </c>
      <c r="AG99" s="12" t="s">
        <v>442</v>
      </c>
      <c r="AH99" s="11" t="s">
        <v>99</v>
      </c>
    </row>
    <row r="100" spans="1:34" x14ac:dyDescent="0.25">
      <c r="A100" s="1" t="s">
        <v>27</v>
      </c>
      <c r="B100" s="3">
        <v>82</v>
      </c>
      <c r="C100" s="2">
        <v>74</v>
      </c>
      <c r="D100" s="11" t="s">
        <v>400</v>
      </c>
      <c r="E100" s="11" t="s">
        <v>343</v>
      </c>
      <c r="F100" s="11" t="s">
        <v>214</v>
      </c>
      <c r="G100" s="11" t="s">
        <v>204</v>
      </c>
      <c r="H100" s="11" t="s">
        <v>205</v>
      </c>
      <c r="I100" s="12" t="s">
        <v>459</v>
      </c>
      <c r="J100" s="12" t="s">
        <v>509</v>
      </c>
      <c r="K100" s="12" t="s">
        <v>553</v>
      </c>
      <c r="L100" s="11" t="s">
        <v>215</v>
      </c>
      <c r="M100" s="11" t="s">
        <v>187</v>
      </c>
      <c r="N100" s="11">
        <v>1983</v>
      </c>
      <c r="O100" s="11">
        <v>12</v>
      </c>
      <c r="P100" s="11" t="s">
        <v>16</v>
      </c>
      <c r="Q100" s="11">
        <v>51</v>
      </c>
      <c r="R100" s="12" t="s">
        <v>442</v>
      </c>
      <c r="S100" s="12" t="s">
        <v>577</v>
      </c>
      <c r="U100" s="11">
        <v>52.36</v>
      </c>
      <c r="W100" s="11">
        <v>21.6</v>
      </c>
      <c r="X100" s="11">
        <v>150.94</v>
      </c>
      <c r="AA100" s="11">
        <v>12.5</v>
      </c>
      <c r="AB100" s="11">
        <v>24.93</v>
      </c>
      <c r="AE100" s="11">
        <v>36.799999999999997</v>
      </c>
      <c r="AF100" s="12" t="s">
        <v>442</v>
      </c>
      <c r="AG100" s="12" t="s">
        <v>442</v>
      </c>
      <c r="AH100" s="1" t="s">
        <v>17</v>
      </c>
    </row>
    <row r="101" spans="1:34" x14ac:dyDescent="0.25">
      <c r="A101" s="1" t="s">
        <v>27</v>
      </c>
      <c r="B101" s="3">
        <v>67</v>
      </c>
      <c r="C101" s="2">
        <v>72</v>
      </c>
      <c r="D101" s="11" t="s">
        <v>398</v>
      </c>
      <c r="E101" s="11" t="s">
        <v>339</v>
      </c>
      <c r="F101" s="11" t="s">
        <v>208</v>
      </c>
      <c r="G101" s="11" t="s">
        <v>204</v>
      </c>
      <c r="H101" s="11" t="s">
        <v>205</v>
      </c>
      <c r="I101" s="12" t="s">
        <v>459</v>
      </c>
      <c r="J101" s="12" t="s">
        <v>509</v>
      </c>
      <c r="K101" s="12" t="s">
        <v>490</v>
      </c>
      <c r="L101" s="11" t="s">
        <v>209</v>
      </c>
      <c r="M101" s="11" t="s">
        <v>210</v>
      </c>
      <c r="N101" s="11">
        <v>1997</v>
      </c>
      <c r="O101" s="11">
        <v>12</v>
      </c>
      <c r="P101" s="11" t="s">
        <v>189</v>
      </c>
      <c r="Q101" s="11">
        <v>139</v>
      </c>
      <c r="R101" s="12" t="s">
        <v>442</v>
      </c>
      <c r="S101" s="12" t="s">
        <v>577</v>
      </c>
      <c r="V101" s="11">
        <v>94.1</v>
      </c>
      <c r="W101" s="11">
        <v>7.19</v>
      </c>
      <c r="Y101" s="11">
        <v>89</v>
      </c>
      <c r="AF101" s="12" t="s">
        <v>556</v>
      </c>
      <c r="AG101" s="12" t="s">
        <v>442</v>
      </c>
      <c r="AH101" s="1" t="s">
        <v>17</v>
      </c>
    </row>
    <row r="102" spans="1:34" x14ac:dyDescent="0.25">
      <c r="A102" s="6" t="s">
        <v>134</v>
      </c>
      <c r="B102" s="7"/>
      <c r="C102" s="2">
        <v>42</v>
      </c>
      <c r="D102" s="12" t="s">
        <v>376</v>
      </c>
      <c r="E102" s="11" t="s">
        <v>334</v>
      </c>
      <c r="F102" s="12" t="s">
        <v>135</v>
      </c>
      <c r="G102" s="12" t="s">
        <v>45</v>
      </c>
      <c r="H102" s="12" t="s">
        <v>136</v>
      </c>
      <c r="I102" s="12" t="s">
        <v>465</v>
      </c>
      <c r="J102" s="12" t="s">
        <v>509</v>
      </c>
      <c r="K102" s="12" t="s">
        <v>626</v>
      </c>
      <c r="L102" s="12"/>
      <c r="M102" s="12"/>
      <c r="N102" s="12"/>
      <c r="O102" s="12">
        <v>36</v>
      </c>
      <c r="P102" s="12" t="s">
        <v>137</v>
      </c>
      <c r="Q102" s="12">
        <v>103</v>
      </c>
      <c r="R102" s="12" t="s">
        <v>627</v>
      </c>
      <c r="S102" s="12" t="s">
        <v>577</v>
      </c>
      <c r="T102" s="12"/>
      <c r="U102" s="12"/>
      <c r="V102" s="12"/>
      <c r="W102" s="12" t="s">
        <v>138</v>
      </c>
      <c r="X102" s="12">
        <v>29.5</v>
      </c>
      <c r="Y102" s="12"/>
      <c r="Z102" s="6"/>
      <c r="AA102" s="6"/>
      <c r="AB102" s="6"/>
      <c r="AC102" s="6"/>
      <c r="AD102" s="6"/>
      <c r="AE102" s="12"/>
      <c r="AF102" s="12" t="s">
        <v>628</v>
      </c>
      <c r="AG102" s="12" t="s">
        <v>442</v>
      </c>
      <c r="AH102" s="12" t="s">
        <v>17</v>
      </c>
    </row>
    <row r="103" spans="1:34" x14ac:dyDescent="0.25">
      <c r="A103" s="1" t="s">
        <v>27</v>
      </c>
      <c r="B103" s="2">
        <v>77</v>
      </c>
      <c r="C103" s="2">
        <v>22</v>
      </c>
      <c r="D103" s="11" t="s">
        <v>364</v>
      </c>
      <c r="E103" s="11" t="s">
        <v>334</v>
      </c>
      <c r="F103" s="11" t="s">
        <v>96</v>
      </c>
      <c r="G103" s="11" t="s">
        <v>45</v>
      </c>
      <c r="H103" s="11" t="s">
        <v>61</v>
      </c>
      <c r="I103" s="12" t="s">
        <v>459</v>
      </c>
      <c r="J103" s="12" t="s">
        <v>509</v>
      </c>
      <c r="K103" s="12" t="s">
        <v>557</v>
      </c>
      <c r="L103" s="11">
        <v>1975</v>
      </c>
      <c r="M103" s="11">
        <v>1978</v>
      </c>
      <c r="N103" s="11">
        <v>1977</v>
      </c>
      <c r="O103" s="11">
        <v>48</v>
      </c>
      <c r="P103" s="11" t="s">
        <v>16</v>
      </c>
      <c r="Q103" s="11">
        <v>338</v>
      </c>
      <c r="R103" s="12" t="s">
        <v>552</v>
      </c>
      <c r="S103" s="12" t="s">
        <v>577</v>
      </c>
      <c r="V103" s="11">
        <v>77.63</v>
      </c>
      <c r="W103" s="14">
        <v>19.53</v>
      </c>
      <c r="Y103" s="11">
        <v>49.7</v>
      </c>
      <c r="AA103" s="11">
        <v>15.4</v>
      </c>
      <c r="AB103" s="11">
        <v>7</v>
      </c>
      <c r="AE103" s="11">
        <v>4.0999999999999996</v>
      </c>
      <c r="AF103" s="12" t="s">
        <v>442</v>
      </c>
      <c r="AG103" s="12" t="s">
        <v>442</v>
      </c>
      <c r="AH103" s="1" t="s">
        <v>97</v>
      </c>
    </row>
    <row r="104" spans="1:34" x14ac:dyDescent="0.25">
      <c r="A104" s="1" t="s">
        <v>27</v>
      </c>
      <c r="B104" s="3">
        <v>43</v>
      </c>
      <c r="C104" s="2">
        <v>75</v>
      </c>
      <c r="D104" s="11" t="s">
        <v>401</v>
      </c>
      <c r="E104" s="11" t="s">
        <v>331</v>
      </c>
      <c r="F104" s="11" t="s">
        <v>216</v>
      </c>
      <c r="G104" s="11" t="s">
        <v>204</v>
      </c>
      <c r="H104" s="11" t="s">
        <v>217</v>
      </c>
      <c r="I104" s="12" t="s">
        <v>459</v>
      </c>
      <c r="J104" s="12" t="s">
        <v>509</v>
      </c>
      <c r="K104" s="12" t="s">
        <v>480</v>
      </c>
      <c r="L104" s="11" t="s">
        <v>218</v>
      </c>
      <c r="M104" s="11" t="s">
        <v>182</v>
      </c>
      <c r="N104" s="11">
        <v>1991</v>
      </c>
      <c r="O104" s="11">
        <v>12</v>
      </c>
      <c r="P104" s="11" t="s">
        <v>16</v>
      </c>
      <c r="Q104" s="11">
        <v>122</v>
      </c>
      <c r="R104" s="12" t="s">
        <v>442</v>
      </c>
      <c r="S104" s="12" t="s">
        <v>577</v>
      </c>
      <c r="V104" s="11">
        <v>148.1</v>
      </c>
      <c r="W104" s="11">
        <v>13.9</v>
      </c>
      <c r="AF104" s="12" t="s">
        <v>442</v>
      </c>
      <c r="AG104" s="12" t="s">
        <v>442</v>
      </c>
      <c r="AH104" s="1" t="s">
        <v>17</v>
      </c>
    </row>
    <row r="105" spans="1:34" x14ac:dyDescent="0.25">
      <c r="A105" s="1" t="s">
        <v>314</v>
      </c>
      <c r="C105" s="2">
        <v>122</v>
      </c>
      <c r="D105" s="11" t="s">
        <v>437</v>
      </c>
      <c r="E105" s="11" t="s">
        <v>329</v>
      </c>
      <c r="F105" s="11" t="s">
        <v>315</v>
      </c>
      <c r="G105" s="11" t="s">
        <v>128</v>
      </c>
      <c r="H105" s="11" t="s">
        <v>130</v>
      </c>
      <c r="I105" s="12" t="s">
        <v>459</v>
      </c>
      <c r="J105" s="12" t="s">
        <v>509</v>
      </c>
      <c r="K105" s="12" t="s">
        <v>586</v>
      </c>
      <c r="L105" s="11">
        <v>1995</v>
      </c>
      <c r="M105" s="11">
        <v>1995</v>
      </c>
      <c r="N105" s="11">
        <v>1995</v>
      </c>
      <c r="O105" s="11" t="s">
        <v>146</v>
      </c>
      <c r="P105" s="11" t="s">
        <v>1</v>
      </c>
      <c r="Q105" s="11">
        <v>113</v>
      </c>
      <c r="R105" s="12" t="s">
        <v>442</v>
      </c>
      <c r="S105" s="12" t="s">
        <v>577</v>
      </c>
      <c r="AF105" s="12" t="s">
        <v>442</v>
      </c>
      <c r="AG105" s="12" t="s">
        <v>442</v>
      </c>
      <c r="AH105" s="1" t="s">
        <v>17</v>
      </c>
    </row>
    <row r="106" spans="1:34" x14ac:dyDescent="0.25">
      <c r="A106" s="1" t="s">
        <v>27</v>
      </c>
      <c r="B106" s="2">
        <v>38</v>
      </c>
      <c r="C106" s="2">
        <v>10</v>
      </c>
      <c r="D106" s="11" t="s">
        <v>356</v>
      </c>
      <c r="E106" s="11" t="s">
        <v>326</v>
      </c>
      <c r="F106" s="11" t="s">
        <v>54</v>
      </c>
      <c r="G106" s="11" t="s">
        <v>14</v>
      </c>
      <c r="H106" s="11" t="s">
        <v>55</v>
      </c>
      <c r="I106" s="12" t="s">
        <v>459</v>
      </c>
      <c r="J106" s="12" t="s">
        <v>509</v>
      </c>
      <c r="K106" s="12" t="s">
        <v>481</v>
      </c>
      <c r="L106" s="11">
        <v>1985</v>
      </c>
      <c r="M106" s="11">
        <v>1989</v>
      </c>
      <c r="N106" s="11">
        <v>1987</v>
      </c>
      <c r="O106" s="11">
        <v>60</v>
      </c>
      <c r="P106" s="11" t="s">
        <v>16</v>
      </c>
      <c r="Q106" s="11">
        <v>75</v>
      </c>
      <c r="R106" s="12" t="s">
        <v>613</v>
      </c>
      <c r="S106" s="12" t="s">
        <v>577</v>
      </c>
      <c r="T106" s="11">
        <v>81</v>
      </c>
      <c r="W106" s="14">
        <v>18.7</v>
      </c>
      <c r="Z106" s="11">
        <v>49</v>
      </c>
      <c r="AD106" s="11">
        <v>34</v>
      </c>
      <c r="AF106" s="12" t="s">
        <v>442</v>
      </c>
      <c r="AG106" s="12" t="s">
        <v>442</v>
      </c>
      <c r="AH106" s="1" t="s">
        <v>56</v>
      </c>
    </row>
    <row r="107" spans="1:34" x14ac:dyDescent="0.25">
      <c r="A107" s="1" t="s">
        <v>27</v>
      </c>
      <c r="B107" s="3">
        <v>45</v>
      </c>
      <c r="C107" s="2">
        <v>96</v>
      </c>
      <c r="D107" s="11" t="s">
        <v>419</v>
      </c>
      <c r="E107" s="11" t="s">
        <v>334</v>
      </c>
      <c r="F107" s="11" t="s">
        <v>259</v>
      </c>
      <c r="G107" s="11" t="s">
        <v>128</v>
      </c>
      <c r="H107" s="11" t="s">
        <v>130</v>
      </c>
      <c r="I107" s="12" t="s">
        <v>442</v>
      </c>
      <c r="J107" s="12" t="s">
        <v>507</v>
      </c>
      <c r="K107" s="12" t="s">
        <v>482</v>
      </c>
      <c r="O107" s="11">
        <v>12</v>
      </c>
      <c r="P107" s="11" t="s">
        <v>86</v>
      </c>
      <c r="Q107" s="11">
        <v>80</v>
      </c>
      <c r="R107" s="12" t="s">
        <v>442</v>
      </c>
      <c r="S107" s="12" t="s">
        <v>577</v>
      </c>
      <c r="U107" s="11">
        <v>10.45</v>
      </c>
      <c r="W107" s="11">
        <v>41.25</v>
      </c>
      <c r="AF107" s="12" t="s">
        <v>442</v>
      </c>
      <c r="AG107" s="12" t="s">
        <v>442</v>
      </c>
      <c r="AH107" s="1" t="s">
        <v>17</v>
      </c>
    </row>
    <row r="108" spans="1:34" ht="23" x14ac:dyDescent="0.25">
      <c r="A108" s="1" t="s">
        <v>27</v>
      </c>
      <c r="C108" s="2">
        <v>121</v>
      </c>
      <c r="D108" s="11" t="s">
        <v>436</v>
      </c>
      <c r="E108" s="11" t="s">
        <v>330</v>
      </c>
      <c r="F108" s="11" t="s">
        <v>313</v>
      </c>
      <c r="G108" s="11" t="s">
        <v>128</v>
      </c>
      <c r="H108" s="11" t="s">
        <v>263</v>
      </c>
      <c r="I108" s="12" t="s">
        <v>442</v>
      </c>
      <c r="J108" s="12" t="s">
        <v>507</v>
      </c>
      <c r="K108" s="12" t="s">
        <v>558</v>
      </c>
      <c r="L108" s="11">
        <v>1986</v>
      </c>
      <c r="M108" s="11">
        <v>1989</v>
      </c>
      <c r="N108" s="11">
        <v>1988</v>
      </c>
      <c r="O108" s="11">
        <v>36</v>
      </c>
      <c r="P108" s="11" t="s">
        <v>16</v>
      </c>
      <c r="Q108" s="16">
        <v>13404</v>
      </c>
      <c r="R108" s="20" t="s">
        <v>521</v>
      </c>
      <c r="S108" s="20" t="s">
        <v>577</v>
      </c>
      <c r="U108" s="11">
        <v>98</v>
      </c>
      <c r="W108" s="14">
        <v>42.189109542568382</v>
      </c>
      <c r="AA108" s="11">
        <v>23.3</v>
      </c>
      <c r="AE108" s="11">
        <v>70.8</v>
      </c>
      <c r="AF108" s="12" t="s">
        <v>442</v>
      </c>
      <c r="AG108" s="12" t="s">
        <v>442</v>
      </c>
      <c r="AH108" s="1" t="s">
        <v>559</v>
      </c>
    </row>
    <row r="109" spans="1:34" x14ac:dyDescent="0.25">
      <c r="A109" s="1" t="s">
        <v>27</v>
      </c>
      <c r="C109" s="2">
        <v>123</v>
      </c>
      <c r="D109" s="11" t="s">
        <v>438</v>
      </c>
      <c r="E109" s="11" t="s">
        <v>332</v>
      </c>
      <c r="F109" s="11" t="s">
        <v>316</v>
      </c>
      <c r="G109" s="11" t="s">
        <v>128</v>
      </c>
      <c r="H109" s="11" t="s">
        <v>130</v>
      </c>
      <c r="I109" s="12" t="s">
        <v>459</v>
      </c>
      <c r="J109" s="12" t="s">
        <v>546</v>
      </c>
      <c r="K109" s="12" t="s">
        <v>460</v>
      </c>
      <c r="L109" s="11">
        <v>1985</v>
      </c>
      <c r="M109" s="11">
        <v>1986</v>
      </c>
      <c r="N109" s="11">
        <v>1986</v>
      </c>
      <c r="O109" s="11">
        <v>24</v>
      </c>
      <c r="P109" s="11" t="s">
        <v>16</v>
      </c>
      <c r="Q109" s="11">
        <v>281</v>
      </c>
      <c r="R109" s="12" t="s">
        <v>521</v>
      </c>
      <c r="S109" s="12" t="s">
        <v>577</v>
      </c>
      <c r="U109" s="11">
        <v>28.99</v>
      </c>
      <c r="W109" s="11">
        <v>19.93</v>
      </c>
      <c r="Y109" s="11">
        <v>71.959999999999994</v>
      </c>
      <c r="AB109" s="11">
        <v>14.1</v>
      </c>
      <c r="AF109" s="12" t="s">
        <v>442</v>
      </c>
      <c r="AG109" s="12" t="s">
        <v>442</v>
      </c>
      <c r="AH109" s="1" t="s">
        <v>560</v>
      </c>
    </row>
    <row r="110" spans="1:34" x14ac:dyDescent="0.25">
      <c r="A110" s="1" t="s">
        <v>27</v>
      </c>
      <c r="C110" s="2">
        <v>117</v>
      </c>
      <c r="D110" s="11" t="s">
        <v>433</v>
      </c>
      <c r="E110" s="11" t="s">
        <v>328</v>
      </c>
      <c r="F110" s="11" t="s">
        <v>301</v>
      </c>
      <c r="G110" s="11" t="s">
        <v>302</v>
      </c>
      <c r="H110" s="11" t="s">
        <v>303</v>
      </c>
      <c r="I110" s="12" t="s">
        <v>465</v>
      </c>
      <c r="J110" s="12" t="s">
        <v>509</v>
      </c>
      <c r="K110" s="12" t="s">
        <v>536</v>
      </c>
      <c r="L110" s="11">
        <v>1984</v>
      </c>
      <c r="M110" s="11">
        <v>1984</v>
      </c>
      <c r="N110" s="11">
        <v>1984</v>
      </c>
      <c r="O110" s="11">
        <v>12</v>
      </c>
      <c r="P110" s="11" t="s">
        <v>16</v>
      </c>
      <c r="Q110" s="17">
        <v>52080</v>
      </c>
      <c r="R110" s="21" t="s">
        <v>442</v>
      </c>
      <c r="S110" s="21" t="s">
        <v>577</v>
      </c>
      <c r="U110" s="11">
        <v>1.6</v>
      </c>
      <c r="W110" s="11">
        <v>4.2</v>
      </c>
      <c r="Y110" s="11">
        <v>0.7</v>
      </c>
      <c r="AA110" s="11">
        <v>4.5</v>
      </c>
      <c r="AB110" s="11">
        <v>0.2</v>
      </c>
      <c r="AE110" s="11">
        <v>2.2000000000000002</v>
      </c>
      <c r="AF110" s="12" t="s">
        <v>442</v>
      </c>
      <c r="AG110" s="12" t="s">
        <v>442</v>
      </c>
      <c r="AH110" s="1" t="s">
        <v>560</v>
      </c>
    </row>
    <row r="111" spans="1:34" x14ac:dyDescent="0.25">
      <c r="A111" s="1" t="s">
        <v>27</v>
      </c>
      <c r="B111" s="2">
        <v>40</v>
      </c>
      <c r="C111" s="2">
        <v>11</v>
      </c>
      <c r="D111" s="11" t="s">
        <v>357</v>
      </c>
      <c r="E111" s="11" t="s">
        <v>330</v>
      </c>
      <c r="F111" s="11" t="s">
        <v>57</v>
      </c>
      <c r="G111" s="11" t="s">
        <v>45</v>
      </c>
      <c r="H111" s="11" t="s">
        <v>58</v>
      </c>
      <c r="I111" s="12" t="s">
        <v>465</v>
      </c>
      <c r="J111" s="12" t="s">
        <v>509</v>
      </c>
      <c r="K111" s="12" t="s">
        <v>483</v>
      </c>
      <c r="L111" s="11">
        <v>1987</v>
      </c>
      <c r="M111" s="11">
        <v>1988</v>
      </c>
      <c r="N111" s="11">
        <v>1988</v>
      </c>
      <c r="O111" s="11">
        <v>24</v>
      </c>
      <c r="P111" s="11" t="s">
        <v>16</v>
      </c>
      <c r="Q111" s="11">
        <v>436</v>
      </c>
      <c r="R111" s="12" t="s">
        <v>521</v>
      </c>
      <c r="S111" s="12" t="s">
        <v>577</v>
      </c>
      <c r="T111" s="11">
        <v>209</v>
      </c>
      <c r="U111" s="11">
        <v>49</v>
      </c>
      <c r="W111" s="14">
        <v>8.4</v>
      </c>
      <c r="X111" s="11">
        <v>100.8</v>
      </c>
      <c r="AA111" s="11">
        <v>7.6</v>
      </c>
      <c r="AB111" s="11">
        <v>32.299999999999997</v>
      </c>
      <c r="AE111" s="11">
        <v>9.4600000000000009</v>
      </c>
      <c r="AF111" s="12">
        <v>3.7</v>
      </c>
      <c r="AG111" s="12" t="s">
        <v>442</v>
      </c>
      <c r="AH111" s="1" t="s">
        <v>17</v>
      </c>
    </row>
    <row r="112" spans="1:34" x14ac:dyDescent="0.25">
      <c r="A112" s="1" t="s">
        <v>27</v>
      </c>
      <c r="B112" s="3">
        <v>68</v>
      </c>
      <c r="C112" s="2">
        <v>94</v>
      </c>
      <c r="D112" s="11" t="s">
        <v>417</v>
      </c>
      <c r="E112" s="11" t="s">
        <v>326</v>
      </c>
      <c r="F112" s="11" t="s">
        <v>255</v>
      </c>
      <c r="G112" s="11" t="s">
        <v>128</v>
      </c>
      <c r="H112" s="11" t="s">
        <v>130</v>
      </c>
      <c r="I112" s="12" t="s">
        <v>442</v>
      </c>
      <c r="J112" s="12" t="s">
        <v>509</v>
      </c>
      <c r="K112" s="12" t="s">
        <v>484</v>
      </c>
      <c r="L112" s="11">
        <v>1988</v>
      </c>
      <c r="M112" s="11">
        <v>1988</v>
      </c>
      <c r="N112" s="11">
        <v>1988</v>
      </c>
      <c r="O112" s="11">
        <v>12</v>
      </c>
      <c r="P112" s="11" t="s">
        <v>256</v>
      </c>
      <c r="Q112" s="11">
        <v>27</v>
      </c>
      <c r="R112" s="12" t="s">
        <v>647</v>
      </c>
      <c r="S112" s="12" t="s">
        <v>577</v>
      </c>
      <c r="W112" s="11">
        <v>22.3</v>
      </c>
      <c r="Y112" s="11">
        <v>74.7</v>
      </c>
      <c r="AF112" s="12" t="s">
        <v>442</v>
      </c>
      <c r="AG112" s="12" t="s">
        <v>442</v>
      </c>
      <c r="AH112" s="1" t="s">
        <v>17</v>
      </c>
    </row>
    <row r="113" spans="1:34" x14ac:dyDescent="0.25">
      <c r="A113" s="1" t="s">
        <v>59</v>
      </c>
      <c r="B113" s="2">
        <v>41</v>
      </c>
      <c r="C113" s="2">
        <v>12</v>
      </c>
      <c r="D113" s="11" t="s">
        <v>358</v>
      </c>
      <c r="E113" s="11" t="s">
        <v>332</v>
      </c>
      <c r="F113" s="11" t="s">
        <v>60</v>
      </c>
      <c r="G113" s="11" t="s">
        <v>45</v>
      </c>
      <c r="H113" s="11" t="s">
        <v>654</v>
      </c>
      <c r="I113" s="12" t="s">
        <v>459</v>
      </c>
      <c r="J113" s="12" t="s">
        <v>509</v>
      </c>
      <c r="K113" s="12" t="s">
        <v>653</v>
      </c>
      <c r="L113" s="11">
        <v>1989</v>
      </c>
      <c r="M113" s="11">
        <v>1991</v>
      </c>
      <c r="N113" s="11">
        <v>1990</v>
      </c>
      <c r="O113" s="11">
        <v>24</v>
      </c>
      <c r="P113" s="11" t="s">
        <v>62</v>
      </c>
      <c r="Q113" s="11">
        <v>303</v>
      </c>
      <c r="R113" s="12" t="s">
        <v>442</v>
      </c>
      <c r="S113" s="12" t="s">
        <v>577</v>
      </c>
      <c r="T113" s="11" t="s">
        <v>63</v>
      </c>
      <c r="W113" s="14"/>
      <c r="AF113" s="12" t="s">
        <v>442</v>
      </c>
      <c r="AG113" s="12" t="s">
        <v>442</v>
      </c>
      <c r="AH113" s="1" t="s">
        <v>655</v>
      </c>
    </row>
    <row r="114" spans="1:34" x14ac:dyDescent="0.25">
      <c r="A114" s="1" t="s">
        <v>21</v>
      </c>
      <c r="B114" s="2">
        <v>63</v>
      </c>
      <c r="C114" s="2">
        <v>16</v>
      </c>
      <c r="D114" s="11" t="s">
        <v>361</v>
      </c>
      <c r="E114" s="11" t="s">
        <v>329</v>
      </c>
      <c r="F114" s="11" t="s">
        <v>77</v>
      </c>
      <c r="G114" s="11" t="s">
        <v>14</v>
      </c>
      <c r="H114" s="11" t="s">
        <v>78</v>
      </c>
      <c r="I114" s="12" t="s">
        <v>462</v>
      </c>
      <c r="J114" s="12" t="s">
        <v>509</v>
      </c>
      <c r="K114" s="12" t="s">
        <v>478</v>
      </c>
      <c r="L114" s="11" t="s">
        <v>79</v>
      </c>
      <c r="M114" s="11" t="s">
        <v>80</v>
      </c>
      <c r="N114" s="11">
        <v>1992</v>
      </c>
      <c r="O114" s="11">
        <v>12</v>
      </c>
      <c r="P114" s="11" t="s">
        <v>81</v>
      </c>
      <c r="Q114" s="11">
        <v>125</v>
      </c>
      <c r="R114" s="12" t="s">
        <v>589</v>
      </c>
      <c r="S114" s="12" t="s">
        <v>577</v>
      </c>
      <c r="V114" s="11">
        <v>184.1</v>
      </c>
      <c r="W114" s="14">
        <v>18.399999999999999</v>
      </c>
      <c r="Y114" s="11">
        <v>91</v>
      </c>
      <c r="AF114" s="12" t="s">
        <v>442</v>
      </c>
      <c r="AG114" s="12" t="s">
        <v>442</v>
      </c>
      <c r="AH114" s="1" t="s">
        <v>590</v>
      </c>
    </row>
    <row r="115" spans="1:34" ht="46" x14ac:dyDescent="0.25">
      <c r="A115" s="1" t="s">
        <v>18</v>
      </c>
      <c r="B115" s="3">
        <v>70</v>
      </c>
      <c r="C115" s="2">
        <v>83</v>
      </c>
      <c r="D115" s="11" t="s">
        <v>408</v>
      </c>
      <c r="E115" s="11" t="s">
        <v>338</v>
      </c>
      <c r="F115" s="11" t="s">
        <v>233</v>
      </c>
      <c r="G115" s="11" t="s">
        <v>128</v>
      </c>
      <c r="H115" s="11" t="s">
        <v>129</v>
      </c>
      <c r="I115" s="12" t="s">
        <v>442</v>
      </c>
      <c r="J115" s="12" t="s">
        <v>509</v>
      </c>
      <c r="K115" s="12" t="s">
        <v>492</v>
      </c>
      <c r="L115" s="11" t="s">
        <v>234</v>
      </c>
      <c r="M115" s="11" t="s">
        <v>158</v>
      </c>
      <c r="N115" s="11">
        <v>1984</v>
      </c>
      <c r="O115" s="11">
        <v>48</v>
      </c>
      <c r="P115" s="11" t="s">
        <v>52</v>
      </c>
      <c r="Q115" s="11">
        <v>1349</v>
      </c>
      <c r="R115" s="12" t="s">
        <v>521</v>
      </c>
      <c r="S115" s="12" t="s">
        <v>577</v>
      </c>
      <c r="V115" s="11">
        <v>180.6</v>
      </c>
      <c r="AF115" s="12" t="s">
        <v>442</v>
      </c>
      <c r="AG115" s="23" t="s">
        <v>662</v>
      </c>
      <c r="AH115" s="1" t="s">
        <v>235</v>
      </c>
    </row>
    <row r="116" spans="1:34" x14ac:dyDescent="0.25">
      <c r="A116" s="1" t="s">
        <v>176</v>
      </c>
      <c r="B116" s="3">
        <v>48</v>
      </c>
      <c r="C116" s="2">
        <v>59</v>
      </c>
      <c r="D116" s="11" t="s">
        <v>388</v>
      </c>
      <c r="E116" s="11" t="s">
        <v>339</v>
      </c>
      <c r="F116" s="11" t="s">
        <v>177</v>
      </c>
      <c r="G116" s="11" t="s">
        <v>101</v>
      </c>
      <c r="H116" s="11" t="s">
        <v>178</v>
      </c>
      <c r="I116" s="12" t="s">
        <v>465</v>
      </c>
      <c r="J116" s="12" t="s">
        <v>509</v>
      </c>
      <c r="K116" s="12" t="s">
        <v>588</v>
      </c>
      <c r="L116" s="11">
        <v>1994</v>
      </c>
      <c r="M116" s="11">
        <v>1996</v>
      </c>
      <c r="N116" s="11">
        <v>1995</v>
      </c>
      <c r="O116" s="11">
        <v>24</v>
      </c>
      <c r="P116" s="11" t="s">
        <v>147</v>
      </c>
      <c r="Q116" s="11">
        <v>75</v>
      </c>
      <c r="R116" s="12" t="s">
        <v>534</v>
      </c>
      <c r="S116" s="12" t="s">
        <v>648</v>
      </c>
      <c r="Y116" s="11" t="s">
        <v>179</v>
      </c>
      <c r="AF116" s="12" t="s">
        <v>442</v>
      </c>
      <c r="AG116" s="12" t="s">
        <v>442</v>
      </c>
      <c r="AH116" s="1" t="s">
        <v>17</v>
      </c>
    </row>
    <row r="117" spans="1:34" x14ac:dyDescent="0.25">
      <c r="A117" s="1" t="s">
        <v>64</v>
      </c>
      <c r="B117" s="3">
        <v>71</v>
      </c>
      <c r="C117" s="2">
        <v>73</v>
      </c>
      <c r="D117" s="11" t="s">
        <v>399</v>
      </c>
      <c r="E117" s="11" t="s">
        <v>326</v>
      </c>
      <c r="F117" s="11" t="s">
        <v>211</v>
      </c>
      <c r="G117" s="11" t="s">
        <v>204</v>
      </c>
      <c r="H117" s="11" t="s">
        <v>205</v>
      </c>
      <c r="I117" s="12" t="s">
        <v>465</v>
      </c>
      <c r="J117" s="12" t="s">
        <v>546</v>
      </c>
      <c r="K117" s="12" t="s">
        <v>489</v>
      </c>
      <c r="L117" s="11" t="s">
        <v>212</v>
      </c>
      <c r="M117" s="11" t="s">
        <v>213</v>
      </c>
      <c r="N117" s="11">
        <v>1992</v>
      </c>
      <c r="O117" s="11">
        <v>18</v>
      </c>
      <c r="P117" s="11" t="s">
        <v>16</v>
      </c>
      <c r="Q117" s="11">
        <v>141</v>
      </c>
      <c r="R117" s="12" t="s">
        <v>534</v>
      </c>
      <c r="S117" s="12" t="s">
        <v>577</v>
      </c>
      <c r="T117" s="11">
        <v>80.7</v>
      </c>
      <c r="W117" s="11">
        <v>9.93</v>
      </c>
      <c r="AA117" s="11">
        <v>8.3000000000000007</v>
      </c>
      <c r="AE117" s="11">
        <v>15.15</v>
      </c>
      <c r="AF117" s="12" t="s">
        <v>442</v>
      </c>
      <c r="AG117" s="12" t="s">
        <v>442</v>
      </c>
      <c r="AH117" s="1" t="s">
        <v>17</v>
      </c>
    </row>
    <row r="118" spans="1:34" x14ac:dyDescent="0.25">
      <c r="A118" s="1" t="s">
        <v>27</v>
      </c>
      <c r="B118" s="3">
        <v>84</v>
      </c>
      <c r="C118" s="2">
        <v>89</v>
      </c>
      <c r="D118" s="11" t="s">
        <v>412</v>
      </c>
      <c r="E118" s="11" t="s">
        <v>328</v>
      </c>
      <c r="F118" s="11" t="s">
        <v>243</v>
      </c>
      <c r="G118" s="11" t="s">
        <v>128</v>
      </c>
      <c r="H118" s="11" t="s">
        <v>130</v>
      </c>
      <c r="I118" s="12" t="s">
        <v>465</v>
      </c>
      <c r="J118" s="12" t="s">
        <v>509</v>
      </c>
      <c r="K118" s="12" t="s">
        <v>561</v>
      </c>
      <c r="L118" s="11" t="s">
        <v>244</v>
      </c>
      <c r="M118" s="11" t="s">
        <v>245</v>
      </c>
      <c r="N118" s="11">
        <v>1984</v>
      </c>
      <c r="O118" s="11">
        <v>12</v>
      </c>
      <c r="P118" s="11" t="s">
        <v>147</v>
      </c>
      <c r="Q118" s="11">
        <v>241</v>
      </c>
      <c r="R118" s="12" t="s">
        <v>442</v>
      </c>
      <c r="S118" s="12" t="s">
        <v>577</v>
      </c>
      <c r="X118" s="11">
        <v>45.05</v>
      </c>
      <c r="AA118" s="11">
        <v>20.3</v>
      </c>
      <c r="AF118" s="12" t="s">
        <v>442</v>
      </c>
      <c r="AG118" s="12" t="s">
        <v>501</v>
      </c>
      <c r="AH118" s="1" t="s">
        <v>17</v>
      </c>
    </row>
    <row r="119" spans="1:34" x14ac:dyDescent="0.25">
      <c r="A119" s="1" t="s">
        <v>27</v>
      </c>
      <c r="C119" s="2">
        <v>124</v>
      </c>
      <c r="D119" s="11" t="s">
        <v>439</v>
      </c>
      <c r="E119" s="11" t="s">
        <v>346</v>
      </c>
      <c r="F119" s="11" t="s">
        <v>317</v>
      </c>
      <c r="G119" s="11" t="s">
        <v>101</v>
      </c>
      <c r="H119" s="11" t="s">
        <v>178</v>
      </c>
      <c r="I119" s="12" t="s">
        <v>459</v>
      </c>
      <c r="J119" s="12" t="s">
        <v>507</v>
      </c>
      <c r="K119" s="12" t="s">
        <v>548</v>
      </c>
      <c r="L119" s="11">
        <v>1979</v>
      </c>
      <c r="M119" s="11">
        <v>1980</v>
      </c>
      <c r="N119" s="11">
        <v>1980</v>
      </c>
      <c r="O119" s="11">
        <v>24</v>
      </c>
      <c r="P119" s="11" t="s">
        <v>16</v>
      </c>
      <c r="Q119" s="11">
        <v>174</v>
      </c>
      <c r="R119" s="12" t="s">
        <v>442</v>
      </c>
      <c r="S119" s="12" t="s">
        <v>642</v>
      </c>
      <c r="U119" s="11">
        <v>44.2</v>
      </c>
      <c r="W119" s="11">
        <v>47.7</v>
      </c>
      <c r="X119" s="11">
        <v>147.6</v>
      </c>
      <c r="AA119" s="11">
        <v>48.76</v>
      </c>
      <c r="AB119" s="11">
        <v>17</v>
      </c>
      <c r="AE119" s="11">
        <v>45.28</v>
      </c>
      <c r="AF119" s="12" t="s">
        <v>442</v>
      </c>
      <c r="AG119" s="12" t="s">
        <v>442</v>
      </c>
      <c r="AH119" s="1" t="s">
        <v>562</v>
      </c>
    </row>
    <row r="120" spans="1:34" x14ac:dyDescent="0.25">
      <c r="A120" s="1" t="s">
        <v>64</v>
      </c>
      <c r="B120" s="2">
        <v>66</v>
      </c>
      <c r="C120" s="2">
        <v>17</v>
      </c>
      <c r="D120" s="11" t="s">
        <v>362</v>
      </c>
      <c r="E120" s="11" t="s">
        <v>326</v>
      </c>
      <c r="F120" s="11" t="s">
        <v>82</v>
      </c>
      <c r="G120" s="11" t="s">
        <v>45</v>
      </c>
      <c r="H120" s="11" t="s">
        <v>83</v>
      </c>
      <c r="I120" s="12" t="s">
        <v>459</v>
      </c>
      <c r="J120" s="12" t="s">
        <v>546</v>
      </c>
      <c r="K120" s="12" t="s">
        <v>485</v>
      </c>
      <c r="L120" s="11" t="s">
        <v>84</v>
      </c>
      <c r="M120" s="11" t="s">
        <v>85</v>
      </c>
      <c r="N120" s="11">
        <v>1990</v>
      </c>
      <c r="O120" s="11">
        <v>18</v>
      </c>
      <c r="P120" s="11" t="s">
        <v>86</v>
      </c>
      <c r="Q120" s="11">
        <v>246</v>
      </c>
      <c r="R120" s="12" t="s">
        <v>534</v>
      </c>
      <c r="S120" s="12" t="s">
        <v>577</v>
      </c>
      <c r="U120" s="11">
        <v>31.74</v>
      </c>
      <c r="W120" s="14">
        <v>9</v>
      </c>
      <c r="AF120" s="12" t="s">
        <v>442</v>
      </c>
      <c r="AG120" s="12" t="s">
        <v>442</v>
      </c>
      <c r="AH120" s="1" t="s">
        <v>87</v>
      </c>
    </row>
    <row r="121" spans="1:34" x14ac:dyDescent="0.25">
      <c r="A121" s="1" t="s">
        <v>64</v>
      </c>
      <c r="B121" s="3">
        <v>50</v>
      </c>
      <c r="C121" s="2">
        <v>103</v>
      </c>
      <c r="D121" s="11" t="s">
        <v>425</v>
      </c>
      <c r="E121" s="11" t="s">
        <v>330</v>
      </c>
      <c r="F121" s="11" t="s">
        <v>273</v>
      </c>
      <c r="G121" s="11" t="s">
        <v>266</v>
      </c>
      <c r="H121" s="11" t="s">
        <v>274</v>
      </c>
      <c r="I121" s="12" t="s">
        <v>465</v>
      </c>
      <c r="J121" s="12" t="s">
        <v>509</v>
      </c>
      <c r="K121" s="12" t="s">
        <v>486</v>
      </c>
      <c r="L121" s="11">
        <v>1988</v>
      </c>
      <c r="M121" s="11">
        <v>1988</v>
      </c>
      <c r="N121" s="11">
        <v>1988</v>
      </c>
      <c r="O121" s="11" t="s">
        <v>275</v>
      </c>
      <c r="P121" s="11" t="s">
        <v>16</v>
      </c>
      <c r="Q121" s="11">
        <v>103</v>
      </c>
      <c r="R121" s="12" t="s">
        <v>529</v>
      </c>
      <c r="S121" s="12" t="s">
        <v>649</v>
      </c>
      <c r="V121" s="11">
        <v>44</v>
      </c>
      <c r="W121" s="11">
        <v>12.62</v>
      </c>
      <c r="Y121" s="11">
        <v>28</v>
      </c>
      <c r="AF121" s="12" t="s">
        <v>442</v>
      </c>
      <c r="AG121" s="12" t="s">
        <v>442</v>
      </c>
      <c r="AH121" s="1" t="s">
        <v>99</v>
      </c>
    </row>
    <row r="122" spans="1:34" x14ac:dyDescent="0.25">
      <c r="A122" s="1" t="s">
        <v>64</v>
      </c>
      <c r="B122" s="2">
        <v>51</v>
      </c>
      <c r="C122" s="2">
        <v>13</v>
      </c>
      <c r="D122" s="11" t="s">
        <v>66</v>
      </c>
      <c r="E122" s="11">
        <v>1993</v>
      </c>
      <c r="F122" s="11" t="s">
        <v>65</v>
      </c>
      <c r="G122" s="11" t="s">
        <v>14</v>
      </c>
      <c r="H122" s="11" t="s">
        <v>15</v>
      </c>
      <c r="I122" s="12" t="s">
        <v>459</v>
      </c>
      <c r="J122" s="12" t="s">
        <v>507</v>
      </c>
      <c r="K122" s="12" t="s">
        <v>487</v>
      </c>
      <c r="L122" s="11">
        <v>1989</v>
      </c>
      <c r="M122" s="11">
        <v>1991</v>
      </c>
      <c r="N122" s="11">
        <v>1990</v>
      </c>
      <c r="O122" s="11">
        <v>26</v>
      </c>
      <c r="P122" s="11" t="s">
        <v>67</v>
      </c>
      <c r="Q122" s="11">
        <v>495</v>
      </c>
      <c r="R122" s="12" t="s">
        <v>652</v>
      </c>
      <c r="S122" s="12" t="s">
        <v>631</v>
      </c>
      <c r="U122" s="11">
        <v>29.9</v>
      </c>
      <c r="W122" s="14">
        <v>29.7</v>
      </c>
      <c r="AF122" s="12">
        <v>8.76</v>
      </c>
      <c r="AG122" s="12" t="s">
        <v>442</v>
      </c>
      <c r="AH122" s="1" t="s">
        <v>68</v>
      </c>
    </row>
    <row r="123" spans="1:34" x14ac:dyDescent="0.25">
      <c r="A123" s="1" t="s">
        <v>155</v>
      </c>
      <c r="C123" s="2">
        <v>48</v>
      </c>
      <c r="D123" s="11" t="s">
        <v>382</v>
      </c>
      <c r="E123" s="11" t="s">
        <v>341</v>
      </c>
      <c r="F123" s="11" t="s">
        <v>156</v>
      </c>
      <c r="G123" s="11" t="s">
        <v>149</v>
      </c>
      <c r="H123" s="11" t="s">
        <v>150</v>
      </c>
      <c r="I123" s="12" t="s">
        <v>462</v>
      </c>
      <c r="J123" s="12" t="s">
        <v>546</v>
      </c>
      <c r="K123" s="12" t="s">
        <v>582</v>
      </c>
      <c r="L123" s="11" t="s">
        <v>157</v>
      </c>
      <c r="M123" s="11" t="s">
        <v>158</v>
      </c>
      <c r="N123" s="11">
        <v>1985</v>
      </c>
      <c r="O123" s="11">
        <v>12</v>
      </c>
      <c r="P123" s="11" t="s">
        <v>147</v>
      </c>
      <c r="Q123" s="11">
        <v>340</v>
      </c>
      <c r="R123" s="12" t="s">
        <v>442</v>
      </c>
      <c r="S123" s="12" t="s">
        <v>650</v>
      </c>
      <c r="AF123" s="12" t="s">
        <v>442</v>
      </c>
      <c r="AG123" s="12" t="s">
        <v>442</v>
      </c>
      <c r="AH123" s="1" t="s">
        <v>159</v>
      </c>
    </row>
    <row r="124" spans="1:34" x14ac:dyDescent="0.25">
      <c r="A124" s="1" t="s">
        <v>27</v>
      </c>
      <c r="B124" s="3">
        <v>85</v>
      </c>
      <c r="C124" s="2">
        <v>50</v>
      </c>
      <c r="D124" s="11" t="s">
        <v>382</v>
      </c>
      <c r="E124" s="11" t="s">
        <v>328</v>
      </c>
      <c r="F124" s="11" t="s">
        <v>161</v>
      </c>
      <c r="G124" s="11" t="s">
        <v>149</v>
      </c>
      <c r="H124" s="11" t="s">
        <v>150</v>
      </c>
      <c r="I124" s="12" t="s">
        <v>462</v>
      </c>
      <c r="J124" s="12" t="s">
        <v>509</v>
      </c>
      <c r="K124" s="12" t="s">
        <v>563</v>
      </c>
      <c r="L124" s="11">
        <v>1982</v>
      </c>
      <c r="M124" s="11">
        <v>1984</v>
      </c>
      <c r="N124" s="11">
        <v>1983</v>
      </c>
      <c r="O124" s="11">
        <v>12</v>
      </c>
      <c r="P124" s="11" t="s">
        <v>147</v>
      </c>
      <c r="Q124" s="11">
        <v>215</v>
      </c>
      <c r="R124" s="12" t="s">
        <v>442</v>
      </c>
      <c r="S124" s="12" t="s">
        <v>577</v>
      </c>
      <c r="Y124" s="11">
        <v>41.64</v>
      </c>
      <c r="AA124" s="14">
        <v>11.627906976744185</v>
      </c>
      <c r="AF124" s="12" t="s">
        <v>564</v>
      </c>
      <c r="AG124" s="12" t="s">
        <v>442</v>
      </c>
      <c r="AH124" s="1" t="s">
        <v>17</v>
      </c>
    </row>
    <row r="125" spans="1:34" x14ac:dyDescent="0.25">
      <c r="A125" s="1" t="s">
        <v>27</v>
      </c>
      <c r="B125" s="3">
        <v>51</v>
      </c>
      <c r="C125" s="2">
        <v>52</v>
      </c>
      <c r="D125" s="11" t="s">
        <v>382</v>
      </c>
      <c r="E125" s="11" t="s">
        <v>327</v>
      </c>
      <c r="F125" s="11" t="s">
        <v>163</v>
      </c>
      <c r="G125" s="11" t="s">
        <v>149</v>
      </c>
      <c r="H125" s="11" t="s">
        <v>150</v>
      </c>
      <c r="I125" s="12" t="s">
        <v>465</v>
      </c>
      <c r="J125" s="12" t="s">
        <v>546</v>
      </c>
      <c r="K125" s="12" t="s">
        <v>566</v>
      </c>
      <c r="L125" s="3">
        <v>1980</v>
      </c>
      <c r="M125" s="3">
        <v>1980</v>
      </c>
      <c r="N125" s="3">
        <v>1980</v>
      </c>
      <c r="O125" s="3">
        <v>12</v>
      </c>
      <c r="P125" s="3" t="s">
        <v>16</v>
      </c>
      <c r="Q125" s="10">
        <v>80415</v>
      </c>
      <c r="R125" s="20" t="s">
        <v>442</v>
      </c>
      <c r="S125" s="20" t="s">
        <v>642</v>
      </c>
      <c r="T125" s="3"/>
      <c r="U125" s="3"/>
      <c r="V125" s="3"/>
      <c r="W125" s="3">
        <v>16.510000000000002</v>
      </c>
      <c r="X125" s="3"/>
      <c r="Y125" s="3"/>
      <c r="Z125" s="3"/>
      <c r="AA125" s="3">
        <v>17.57</v>
      </c>
      <c r="AB125" s="3"/>
      <c r="AC125" s="3"/>
      <c r="AD125" s="3"/>
      <c r="AE125" s="3">
        <v>11.87</v>
      </c>
      <c r="AF125" s="12" t="s">
        <v>442</v>
      </c>
      <c r="AG125" s="12" t="s">
        <v>442</v>
      </c>
      <c r="AH125" s="1" t="s">
        <v>17</v>
      </c>
    </row>
    <row r="126" spans="1:34" x14ac:dyDescent="0.25">
      <c r="A126" s="1" t="s">
        <v>27</v>
      </c>
      <c r="B126" s="3"/>
      <c r="C126" s="2">
        <v>53</v>
      </c>
      <c r="D126" s="11" t="s">
        <v>382</v>
      </c>
      <c r="E126" s="11" t="s">
        <v>327</v>
      </c>
      <c r="F126" s="11" t="s">
        <v>163</v>
      </c>
      <c r="G126" s="11" t="s">
        <v>149</v>
      </c>
      <c r="H126" s="11" t="s">
        <v>150</v>
      </c>
      <c r="I126" s="12" t="s">
        <v>465</v>
      </c>
      <c r="J126" s="12" t="s">
        <v>546</v>
      </c>
      <c r="K126" s="12" t="s">
        <v>566</v>
      </c>
      <c r="L126" s="3">
        <v>1989</v>
      </c>
      <c r="M126" s="3">
        <v>1989</v>
      </c>
      <c r="N126" s="3">
        <v>1989</v>
      </c>
      <c r="O126" s="3">
        <v>12</v>
      </c>
      <c r="P126" s="3" t="s">
        <v>16</v>
      </c>
      <c r="Q126" s="10">
        <v>45022</v>
      </c>
      <c r="R126" s="20" t="s">
        <v>442</v>
      </c>
      <c r="S126" s="20" t="s">
        <v>642</v>
      </c>
      <c r="T126" s="3"/>
      <c r="U126" s="3"/>
      <c r="V126" s="3"/>
      <c r="W126" s="3">
        <v>14.3</v>
      </c>
      <c r="X126" s="3"/>
      <c r="Y126" s="3"/>
      <c r="Z126" s="3"/>
      <c r="AA126" s="3">
        <v>15.07</v>
      </c>
      <c r="AB126" s="3"/>
      <c r="AC126" s="3"/>
      <c r="AD126" s="3"/>
      <c r="AE126" s="3">
        <v>10.75</v>
      </c>
      <c r="AF126" s="12" t="s">
        <v>442</v>
      </c>
      <c r="AG126" s="12" t="s">
        <v>442</v>
      </c>
      <c r="AH126" s="1" t="s">
        <v>17</v>
      </c>
    </row>
    <row r="127" spans="1:34" x14ac:dyDescent="0.25">
      <c r="A127" s="1" t="s">
        <v>27</v>
      </c>
      <c r="B127" s="3">
        <v>61</v>
      </c>
      <c r="C127" s="2">
        <v>54</v>
      </c>
      <c r="D127" s="11" t="s">
        <v>382</v>
      </c>
      <c r="E127" s="11" t="s">
        <v>332</v>
      </c>
      <c r="F127" s="11" t="s">
        <v>164</v>
      </c>
      <c r="G127" s="11" t="s">
        <v>149</v>
      </c>
      <c r="H127" s="11" t="s">
        <v>150</v>
      </c>
      <c r="I127" s="12" t="s">
        <v>462</v>
      </c>
      <c r="J127" s="12" t="s">
        <v>509</v>
      </c>
      <c r="K127" s="12" t="s">
        <v>563</v>
      </c>
      <c r="L127" s="11">
        <v>1982</v>
      </c>
      <c r="M127" s="11">
        <v>1987</v>
      </c>
      <c r="N127" s="11">
        <v>1985</v>
      </c>
      <c r="O127" s="11">
        <v>72</v>
      </c>
      <c r="P127" s="11" t="s">
        <v>165</v>
      </c>
      <c r="Q127" s="11">
        <v>29</v>
      </c>
      <c r="R127" s="12" t="s">
        <v>442</v>
      </c>
      <c r="S127" s="12" t="s">
        <v>577</v>
      </c>
      <c r="AB127" s="11">
        <v>1.9</v>
      </c>
      <c r="AE127" s="11">
        <v>13.8</v>
      </c>
      <c r="AF127" s="12" t="s">
        <v>565</v>
      </c>
      <c r="AG127" s="12" t="s">
        <v>442</v>
      </c>
      <c r="AH127" s="1" t="s">
        <v>17</v>
      </c>
    </row>
    <row r="128" spans="1:34" x14ac:dyDescent="0.25">
      <c r="A128" s="1" t="s">
        <v>27</v>
      </c>
      <c r="C128" s="2">
        <v>125</v>
      </c>
      <c r="D128" s="11" t="s">
        <v>382</v>
      </c>
      <c r="E128" s="11" t="s">
        <v>343</v>
      </c>
      <c r="F128" s="11" t="s">
        <v>318</v>
      </c>
      <c r="G128" s="11" t="s">
        <v>149</v>
      </c>
      <c r="H128" s="11" t="s">
        <v>150</v>
      </c>
      <c r="I128" s="12" t="s">
        <v>465</v>
      </c>
      <c r="J128" s="12" t="s">
        <v>509</v>
      </c>
      <c r="K128" s="12" t="s">
        <v>466</v>
      </c>
      <c r="L128" s="11">
        <v>1974</v>
      </c>
      <c r="M128" s="11">
        <v>1978</v>
      </c>
      <c r="N128" s="11">
        <v>1976</v>
      </c>
      <c r="O128" s="11">
        <v>60</v>
      </c>
      <c r="P128" s="11" t="s">
        <v>147</v>
      </c>
      <c r="Q128" s="16">
        <v>40219</v>
      </c>
      <c r="R128" s="20" t="s">
        <v>442</v>
      </c>
      <c r="S128" s="20" t="s">
        <v>577</v>
      </c>
      <c r="Z128" s="11">
        <v>43.5</v>
      </c>
      <c r="AA128" s="11">
        <v>16.2</v>
      </c>
      <c r="AF128" s="12" t="s">
        <v>442</v>
      </c>
      <c r="AG128" s="12" t="s">
        <v>442</v>
      </c>
      <c r="AH128" s="1" t="s">
        <v>97</v>
      </c>
    </row>
    <row r="129" spans="1:35" x14ac:dyDescent="0.25">
      <c r="A129" s="6" t="s">
        <v>27</v>
      </c>
      <c r="B129" s="7"/>
      <c r="C129" s="2">
        <v>37</v>
      </c>
      <c r="D129" s="12" t="s">
        <v>373</v>
      </c>
      <c r="E129" s="11" t="s">
        <v>326</v>
      </c>
      <c r="F129" s="12" t="s">
        <v>126</v>
      </c>
      <c r="G129" s="12" t="s">
        <v>14</v>
      </c>
      <c r="H129" s="12" t="s">
        <v>55</v>
      </c>
      <c r="I129" s="12" t="s">
        <v>459</v>
      </c>
      <c r="J129" s="12" t="s">
        <v>509</v>
      </c>
      <c r="K129" s="12" t="s">
        <v>567</v>
      </c>
      <c r="L129" s="12">
        <v>1984</v>
      </c>
      <c r="M129" s="12">
        <v>1988</v>
      </c>
      <c r="N129" s="12">
        <v>1986</v>
      </c>
      <c r="O129" s="12">
        <v>60</v>
      </c>
      <c r="P129" s="12" t="s">
        <v>16</v>
      </c>
      <c r="Q129" s="12">
        <v>1517</v>
      </c>
      <c r="R129" s="12" t="s">
        <v>570</v>
      </c>
      <c r="S129" s="12" t="s">
        <v>577</v>
      </c>
      <c r="T129" s="12"/>
      <c r="U129" s="12"/>
      <c r="V129" s="12"/>
      <c r="W129" s="12">
        <v>35</v>
      </c>
      <c r="X129" s="12"/>
      <c r="Y129" s="12">
        <v>120</v>
      </c>
      <c r="Z129" s="6"/>
      <c r="AA129" s="6"/>
      <c r="AB129" s="6"/>
      <c r="AC129" s="6"/>
      <c r="AD129" s="6"/>
      <c r="AE129" s="12"/>
      <c r="AF129" s="12" t="s">
        <v>571</v>
      </c>
      <c r="AG129" s="12" t="s">
        <v>501</v>
      </c>
      <c r="AH129" s="12" t="s">
        <v>127</v>
      </c>
      <c r="AI129" s="1"/>
    </row>
    <row r="130" spans="1:35" x14ac:dyDescent="0.25">
      <c r="A130" s="6" t="s">
        <v>27</v>
      </c>
      <c r="B130" s="7"/>
      <c r="C130" s="2">
        <v>38</v>
      </c>
      <c r="D130" s="12" t="s">
        <v>373</v>
      </c>
      <c r="E130" s="11" t="s">
        <v>326</v>
      </c>
      <c r="F130" s="12" t="s">
        <v>126</v>
      </c>
      <c r="G130" s="12" t="s">
        <v>128</v>
      </c>
      <c r="H130" s="12" t="s">
        <v>129</v>
      </c>
      <c r="I130" s="12" t="s">
        <v>459</v>
      </c>
      <c r="J130" s="12" t="s">
        <v>509</v>
      </c>
      <c r="K130" s="12" t="s">
        <v>568</v>
      </c>
      <c r="L130" s="12">
        <v>1988</v>
      </c>
      <c r="M130" s="12">
        <v>1989</v>
      </c>
      <c r="N130" s="12">
        <v>1989</v>
      </c>
      <c r="O130" s="12">
        <v>24</v>
      </c>
      <c r="P130" s="12" t="s">
        <v>16</v>
      </c>
      <c r="Q130" s="12">
        <v>1573</v>
      </c>
      <c r="R130" s="12" t="s">
        <v>552</v>
      </c>
      <c r="S130" s="12" t="s">
        <v>577</v>
      </c>
      <c r="T130" s="12"/>
      <c r="U130" s="12"/>
      <c r="V130" s="12"/>
      <c r="W130" s="12">
        <v>15</v>
      </c>
      <c r="X130" s="12"/>
      <c r="Y130" s="12">
        <v>97</v>
      </c>
      <c r="Z130" s="6"/>
      <c r="AA130" s="6"/>
      <c r="AB130" s="6"/>
      <c r="AC130" s="6"/>
      <c r="AD130" s="6"/>
      <c r="AE130" s="12"/>
      <c r="AF130" s="12" t="s">
        <v>572</v>
      </c>
      <c r="AG130" s="12" t="s">
        <v>501</v>
      </c>
      <c r="AH130" s="12" t="s">
        <v>127</v>
      </c>
      <c r="AI130" s="1"/>
    </row>
    <row r="131" spans="1:35" x14ac:dyDescent="0.25">
      <c r="A131" s="6" t="s">
        <v>27</v>
      </c>
      <c r="B131" s="7"/>
      <c r="C131" s="2">
        <v>39</v>
      </c>
      <c r="D131" s="12" t="s">
        <v>373</v>
      </c>
      <c r="E131" s="11" t="s">
        <v>326</v>
      </c>
      <c r="F131" s="12" t="s">
        <v>126</v>
      </c>
      <c r="G131" s="12" t="s">
        <v>128</v>
      </c>
      <c r="H131" s="12" t="s">
        <v>130</v>
      </c>
      <c r="I131" s="12" t="s">
        <v>459</v>
      </c>
      <c r="J131" s="12" t="s">
        <v>509</v>
      </c>
      <c r="K131" s="12" t="s">
        <v>569</v>
      </c>
      <c r="L131" s="12">
        <v>1988</v>
      </c>
      <c r="M131" s="12">
        <v>1989</v>
      </c>
      <c r="N131" s="12">
        <v>1989</v>
      </c>
      <c r="O131" s="12">
        <v>24</v>
      </c>
      <c r="P131" s="12" t="s">
        <v>16</v>
      </c>
      <c r="Q131" s="12">
        <v>811</v>
      </c>
      <c r="R131" s="12" t="s">
        <v>552</v>
      </c>
      <c r="S131" s="12" t="s">
        <v>577</v>
      </c>
      <c r="T131" s="12"/>
      <c r="U131" s="12"/>
      <c r="V131" s="12"/>
      <c r="W131" s="12">
        <v>18</v>
      </c>
      <c r="X131" s="12"/>
      <c r="Y131" s="12">
        <v>61</v>
      </c>
      <c r="Z131" s="6"/>
      <c r="AA131" s="6"/>
      <c r="AB131" s="6"/>
      <c r="AC131" s="6"/>
      <c r="AD131" s="6"/>
      <c r="AE131" s="12"/>
      <c r="AF131" s="12" t="s">
        <v>573</v>
      </c>
      <c r="AG131" s="12" t="s">
        <v>501</v>
      </c>
      <c r="AH131" s="12" t="s">
        <v>127</v>
      </c>
      <c r="AI131" s="1"/>
    </row>
    <row r="132" spans="1:35" x14ac:dyDescent="0.25">
      <c r="A132" s="1" t="s">
        <v>27</v>
      </c>
      <c r="C132" s="2">
        <v>44</v>
      </c>
      <c r="D132" s="11" t="s">
        <v>378</v>
      </c>
      <c r="E132" s="11" t="s">
        <v>334</v>
      </c>
      <c r="F132" s="11" t="s">
        <v>144</v>
      </c>
      <c r="G132" s="11" t="s">
        <v>45</v>
      </c>
      <c r="H132" s="11" t="s">
        <v>145</v>
      </c>
      <c r="I132" s="12" t="s">
        <v>462</v>
      </c>
      <c r="J132" s="12" t="s">
        <v>509</v>
      </c>
      <c r="K132" s="12" t="s">
        <v>574</v>
      </c>
      <c r="L132" s="11" t="s">
        <v>146</v>
      </c>
      <c r="O132" s="11">
        <v>12</v>
      </c>
      <c r="P132" s="11" t="s">
        <v>147</v>
      </c>
      <c r="Q132" s="11">
        <v>26</v>
      </c>
      <c r="R132" s="12" t="s">
        <v>442</v>
      </c>
      <c r="S132" s="12" t="s">
        <v>577</v>
      </c>
      <c r="Y132" s="11">
        <v>118.2</v>
      </c>
      <c r="Z132" s="1"/>
      <c r="AA132" s="1">
        <v>15.4</v>
      </c>
      <c r="AB132" s="1"/>
      <c r="AC132" s="1"/>
      <c r="AD132" s="1"/>
      <c r="AF132" s="12" t="s">
        <v>442</v>
      </c>
      <c r="AG132" s="12" t="s">
        <v>442</v>
      </c>
      <c r="AH132" s="11" t="s">
        <v>17</v>
      </c>
      <c r="AI132" s="1"/>
    </row>
    <row r="133" spans="1:35" x14ac:dyDescent="0.25">
      <c r="A133" s="1" t="s">
        <v>18</v>
      </c>
      <c r="B133" s="3">
        <v>53</v>
      </c>
      <c r="C133" s="2">
        <v>100</v>
      </c>
      <c r="D133" s="11" t="s">
        <v>422</v>
      </c>
      <c r="E133" s="11" t="s">
        <v>330</v>
      </c>
      <c r="F133" s="11" t="s">
        <v>262</v>
      </c>
      <c r="G133" s="11" t="s">
        <v>128</v>
      </c>
      <c r="H133" s="11" t="s">
        <v>263</v>
      </c>
      <c r="I133" s="12" t="s">
        <v>459</v>
      </c>
      <c r="J133" s="12" t="s">
        <v>507</v>
      </c>
      <c r="K133" s="12" t="s">
        <v>494</v>
      </c>
      <c r="L133" s="11">
        <v>1989</v>
      </c>
      <c r="M133" s="11">
        <v>1990</v>
      </c>
      <c r="N133" s="11">
        <v>1990</v>
      </c>
      <c r="O133" s="11">
        <v>15</v>
      </c>
      <c r="P133" s="11" t="s">
        <v>264</v>
      </c>
      <c r="Q133" s="11">
        <v>210</v>
      </c>
      <c r="R133" s="12" t="s">
        <v>575</v>
      </c>
      <c r="S133" s="12" t="s">
        <v>631</v>
      </c>
      <c r="U133" s="11">
        <v>16.41</v>
      </c>
      <c r="AF133" s="12" t="s">
        <v>442</v>
      </c>
      <c r="AG133" s="12" t="s">
        <v>442</v>
      </c>
      <c r="AH133" s="1" t="s">
        <v>576</v>
      </c>
      <c r="AI133" s="1"/>
    </row>
    <row r="134" spans="1:35" ht="23" x14ac:dyDescent="0.25">
      <c r="A134" s="1" t="s">
        <v>27</v>
      </c>
      <c r="B134" s="3">
        <v>54</v>
      </c>
      <c r="C134" s="2">
        <v>62</v>
      </c>
      <c r="D134" s="11" t="s">
        <v>390</v>
      </c>
      <c r="E134" s="11" t="s">
        <v>339</v>
      </c>
      <c r="F134" s="11" t="s">
        <v>183</v>
      </c>
      <c r="G134" s="11" t="s">
        <v>101</v>
      </c>
      <c r="H134" s="11" t="s">
        <v>178</v>
      </c>
      <c r="I134" s="12" t="s">
        <v>459</v>
      </c>
      <c r="J134" s="12" t="s">
        <v>546</v>
      </c>
      <c r="K134" s="12" t="s">
        <v>488</v>
      </c>
      <c r="L134" s="11">
        <v>1992</v>
      </c>
      <c r="M134" s="11">
        <v>1996</v>
      </c>
      <c r="N134" s="11">
        <v>1994</v>
      </c>
      <c r="O134" s="11">
        <v>60</v>
      </c>
      <c r="P134" s="11" t="s">
        <v>16</v>
      </c>
      <c r="Q134" s="11">
        <v>198</v>
      </c>
      <c r="R134" s="12" t="s">
        <v>442</v>
      </c>
      <c r="S134" s="12" t="s">
        <v>577</v>
      </c>
      <c r="V134" s="11">
        <v>130.80000000000001</v>
      </c>
      <c r="W134" s="11">
        <v>39.4</v>
      </c>
      <c r="Y134" s="11">
        <v>97.2</v>
      </c>
      <c r="AA134" s="11">
        <v>41.78</v>
      </c>
      <c r="AE134" s="11">
        <v>32.700000000000003</v>
      </c>
      <c r="AF134" s="12" t="s">
        <v>442</v>
      </c>
      <c r="AG134" s="12" t="s">
        <v>442</v>
      </c>
      <c r="AH134" s="1" t="s">
        <v>578</v>
      </c>
      <c r="AI134" s="1"/>
    </row>
    <row r="135" spans="1:35" x14ac:dyDescent="0.25">
      <c r="A135" s="1" t="s">
        <v>64</v>
      </c>
      <c r="B135" s="3">
        <v>55</v>
      </c>
      <c r="C135" s="2">
        <v>102</v>
      </c>
      <c r="D135" s="11" t="s">
        <v>424</v>
      </c>
      <c r="E135" s="11" t="s">
        <v>329</v>
      </c>
      <c r="F135" s="11" t="s">
        <v>270</v>
      </c>
      <c r="G135" s="11" t="s">
        <v>266</v>
      </c>
      <c r="H135" s="11" t="s">
        <v>271</v>
      </c>
      <c r="I135" s="12" t="s">
        <v>465</v>
      </c>
      <c r="J135" s="12" t="s">
        <v>546</v>
      </c>
      <c r="K135" s="12" t="s">
        <v>493</v>
      </c>
      <c r="L135" s="11">
        <v>1988</v>
      </c>
      <c r="M135" s="11">
        <v>1991</v>
      </c>
      <c r="O135" s="11">
        <v>30</v>
      </c>
      <c r="P135" s="11" t="s">
        <v>272</v>
      </c>
      <c r="Q135" s="11">
        <v>165</v>
      </c>
      <c r="R135" s="12" t="s">
        <v>442</v>
      </c>
      <c r="S135" s="12" t="s">
        <v>651</v>
      </c>
      <c r="W135" s="11" t="s">
        <v>63</v>
      </c>
      <c r="Z135" s="11">
        <v>58</v>
      </c>
      <c r="AF135" s="12" t="s">
        <v>442</v>
      </c>
      <c r="AG135" s="12" t="s">
        <v>657</v>
      </c>
      <c r="AH135" s="1" t="s">
        <v>92</v>
      </c>
      <c r="AI135" s="1"/>
    </row>
    <row r="136" spans="1:35" ht="23" x14ac:dyDescent="0.25">
      <c r="A136" s="1" t="s">
        <v>64</v>
      </c>
      <c r="C136" s="2">
        <v>126</v>
      </c>
      <c r="D136" s="11" t="s">
        <v>440</v>
      </c>
      <c r="E136" s="11" t="s">
        <v>326</v>
      </c>
      <c r="F136" s="11" t="s">
        <v>319</v>
      </c>
      <c r="G136" s="11" t="s">
        <v>101</v>
      </c>
      <c r="H136" s="11" t="s">
        <v>186</v>
      </c>
      <c r="I136" s="12" t="s">
        <v>465</v>
      </c>
      <c r="J136" s="12" t="s">
        <v>509</v>
      </c>
      <c r="K136" s="12" t="s">
        <v>547</v>
      </c>
      <c r="L136" s="11" t="s">
        <v>320</v>
      </c>
      <c r="M136" s="11" t="s">
        <v>188</v>
      </c>
      <c r="N136" s="11">
        <v>1986</v>
      </c>
      <c r="O136" s="11">
        <v>30</v>
      </c>
      <c r="P136" s="11" t="s">
        <v>147</v>
      </c>
      <c r="Q136" s="11">
        <v>164</v>
      </c>
      <c r="R136" s="12" t="s">
        <v>521</v>
      </c>
      <c r="S136" s="12" t="s">
        <v>577</v>
      </c>
      <c r="AF136" s="12" t="s">
        <v>442</v>
      </c>
      <c r="AG136" s="12" t="s">
        <v>442</v>
      </c>
      <c r="AH136" s="1" t="s">
        <v>596</v>
      </c>
      <c r="AI136" s="1"/>
    </row>
  </sheetData>
  <printOptions gridLines="1"/>
  <pageMargins left="0.75" right="0.75" top="1" bottom="1" header="0.5" footer="0.5"/>
  <pageSetup paperSize="9" scale="58" fitToWidth="2" orientation="landscape" r:id="rId1"/>
  <headerFooter alignWithMargins="0">
    <oddFooter>&amp;L&amp;"Times New Roman,Regular"&amp;D &amp;T&amp;C&amp;A&amp;RWHO
FCH/CAH/CHD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TomaskovicL</dc:creator>
  <cp:lastModifiedBy>Carina Negreanu</cp:lastModifiedBy>
  <dcterms:created xsi:type="dcterms:W3CDTF">2003-09-16T11:44:45Z</dcterms:created>
  <dcterms:modified xsi:type="dcterms:W3CDTF">2020-01-27T11:28:40Z</dcterms:modified>
</cp:coreProperties>
</file>