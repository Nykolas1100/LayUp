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3C1263-47E4-40F5-A9D5-7D0B3E869E04}" xr6:coauthVersionLast="45" xr6:coauthVersionMax="45" xr10:uidLastSave="{00000000-0000-0000-0000-000000000000}"/>
  <bookViews>
    <workbookView xWindow="3420" yWindow="3420" windowWidth="28800" windowHeight="15460" activeTab="1"/>
  </bookViews>
  <sheets>
    <sheet name="iterative " sheetId="1" r:id="rId1"/>
    <sheet name="data1.txt" sheetId="2" r:id="rId2"/>
  </sheets>
  <calcPr calcId="0"/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13" i="2"/>
  <c r="C14" i="2"/>
  <c r="C15" i="2"/>
  <c r="C16" i="2"/>
  <c r="C22" i="2"/>
  <c r="C23" i="2"/>
  <c r="C24" i="2"/>
  <c r="C25" i="2"/>
  <c r="C26" i="2"/>
  <c r="C27" i="2"/>
  <c r="C28" i="2"/>
  <c r="C29" i="2"/>
  <c r="C30" i="2"/>
  <c r="C31" i="2"/>
  <c r="C32" i="2"/>
  <c r="C33" i="2"/>
  <c r="C39" i="2"/>
  <c r="C40" i="2"/>
  <c r="C41" i="2"/>
  <c r="C42" i="2"/>
  <c r="C43" i="2"/>
  <c r="C44" i="2"/>
</calcChain>
</file>

<file path=xl/sharedStrings.xml><?xml version="1.0" encoding="utf-8"?>
<sst xmlns="http://schemas.openxmlformats.org/spreadsheetml/2006/main" count="15" uniqueCount="7">
  <si>
    <t>Iterative Algorithm</t>
  </si>
  <si>
    <t>Degree</t>
  </si>
  <si>
    <t>Collected Data</t>
  </si>
  <si>
    <t>Predicted Values</t>
  </si>
  <si>
    <t>(in clocks)</t>
  </si>
  <si>
    <t>Divide and Conquer</t>
  </si>
  <si>
    <t>FFT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</si>
</sst>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Geneva"/>
    </font>
    <font>
      <sz val="18"/>
      <name val="Tms Rm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Iterative Algorithm</a:t>
            </a:r>
          </a:p>
        </c:rich>
      </c:tx>
      <c:layout>
        <c:manualLayout>
          <c:xMode val="edge"/>
          <c:yMode val="edge"/>
          <c:x val="0.35055500487115537"/>
          <c:y val="2.66912168807176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48380079078787"/>
          <c:y val="0.13256637717423086"/>
          <c:w val="0.48235281678007819"/>
          <c:h val="0.78027324014631183"/>
        </c:manualLayout>
      </c:layout>
      <c:scatterChart>
        <c:scatterStyle val="lineMarker"/>
        <c:varyColors val="0"/>
        <c:ser>
          <c:idx val="0"/>
          <c:order val="0"/>
          <c:tx>
            <c:v>Collected 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data1.txt!$A$5:$A$16</c:f>
              <c:numCache>
                <c:formatCode>General</c:formatCode>
                <c:ptCount val="12"/>
                <c:pt idx="0">
                  <c:v>511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5000</c:v>
                </c:pt>
                <c:pt idx="7">
                  <c:v>6000</c:v>
                </c:pt>
                <c:pt idx="8">
                  <c:v>7000</c:v>
                </c:pt>
                <c:pt idx="9">
                  <c:v>8000</c:v>
                </c:pt>
                <c:pt idx="10">
                  <c:v>9000</c:v>
                </c:pt>
                <c:pt idx="11">
                  <c:v>10000</c:v>
                </c:pt>
              </c:numCache>
            </c:numRef>
          </c:xVal>
          <c:yVal>
            <c:numRef>
              <c:f>data1.txt!$B$5:$B$16</c:f>
              <c:numCache>
                <c:formatCode>General</c:formatCode>
                <c:ptCount val="12"/>
                <c:pt idx="0">
                  <c:v>25</c:v>
                </c:pt>
                <c:pt idx="1">
                  <c:v>94</c:v>
                </c:pt>
                <c:pt idx="2">
                  <c:v>374</c:v>
                </c:pt>
                <c:pt idx="3">
                  <c:v>866</c:v>
                </c:pt>
                <c:pt idx="4">
                  <c:v>1243</c:v>
                </c:pt>
                <c:pt idx="5">
                  <c:v>1728</c:v>
                </c:pt>
                <c:pt idx="6">
                  <c:v>2927</c:v>
                </c:pt>
                <c:pt idx="7">
                  <c:v>4246</c:v>
                </c:pt>
                <c:pt idx="8">
                  <c:v>5918</c:v>
                </c:pt>
                <c:pt idx="9">
                  <c:v>7930</c:v>
                </c:pt>
                <c:pt idx="10">
                  <c:v>10110</c:v>
                </c:pt>
                <c:pt idx="11">
                  <c:v>12458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DC-4D77-AA52-345F8A8BBB66}"/>
            </c:ext>
          </c:extLst>
        </c:ser>
        <c:ser>
          <c:idx val="1"/>
          <c:order val="1"/>
          <c:tx>
            <c:v>Predicted Values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data1.txt!$A$5:$A$16</c:f>
              <c:numCache>
                <c:formatCode>General</c:formatCode>
                <c:ptCount val="12"/>
                <c:pt idx="0">
                  <c:v>511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5000</c:v>
                </c:pt>
                <c:pt idx="7">
                  <c:v>6000</c:v>
                </c:pt>
                <c:pt idx="8">
                  <c:v>7000</c:v>
                </c:pt>
                <c:pt idx="9">
                  <c:v>8000</c:v>
                </c:pt>
                <c:pt idx="10">
                  <c:v>9000</c:v>
                </c:pt>
                <c:pt idx="11">
                  <c:v>10000</c:v>
                </c:pt>
              </c:numCache>
            </c:numRef>
          </c:xVal>
          <c:yVal>
            <c:numRef>
              <c:f>data1.txt!$C$5:$C$16</c:f>
              <c:numCache>
                <c:formatCode>0.00</c:formatCode>
                <c:ptCount val="12"/>
                <c:pt idx="0">
                  <c:v>16.644136111568436</c:v>
                </c:pt>
                <c:pt idx="1">
                  <c:v>67.444444445199977</c:v>
                </c:pt>
                <c:pt idx="2">
                  <c:v>374.00000000119991</c:v>
                </c:pt>
                <c:pt idx="3">
                  <c:v>952.77777777920005</c:v>
                </c:pt>
                <c:pt idx="4">
                  <c:v>1344.25000000145</c:v>
                </c:pt>
                <c:pt idx="5">
                  <c:v>1803.7777777791998</c:v>
                </c:pt>
                <c:pt idx="6">
                  <c:v>2927.0000000011996</c:v>
                </c:pt>
                <c:pt idx="7">
                  <c:v>4322.4444444452001</c:v>
                </c:pt>
                <c:pt idx="8">
                  <c:v>5990.1111111112004</c:v>
                </c:pt>
                <c:pt idx="9">
                  <c:v>7929.9999999991996</c:v>
                </c:pt>
                <c:pt idx="10">
                  <c:v>10142.1111111092</c:v>
                </c:pt>
                <c:pt idx="11">
                  <c:v>12626.4444444412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DC-4D77-AA52-345F8A8BB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889167"/>
        <c:axId val="1"/>
      </c:scatterChart>
      <c:valAx>
        <c:axId val="191788916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Degrees of Polynomials</a:t>
                </a:r>
              </a:p>
            </c:rich>
          </c:tx>
          <c:layout>
            <c:manualLayout>
              <c:xMode val="edge"/>
              <c:yMode val="edge"/>
              <c:x val="0.26359562381784551"/>
              <c:y val="0.951097028182904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 in clocks</a:t>
                </a:r>
              </a:p>
            </c:rich>
          </c:tx>
          <c:layout>
            <c:manualLayout>
              <c:xMode val="edge"/>
              <c:yMode val="edge"/>
              <c:x val="3.3968508223949166E-2"/>
              <c:y val="0.463537466495129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917889167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41489368980638"/>
          <c:y val="0.49734634121070503"/>
          <c:w val="0.26359562381784551"/>
          <c:h val="4.893389761464897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blackAndWhite="1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Divide And Conquer Algorithm</a:t>
            </a:r>
          </a:p>
        </c:rich>
      </c:tx>
      <c:layout>
        <c:manualLayout>
          <c:xMode val="edge"/>
          <c:yMode val="edge"/>
          <c:x val="0.15810059597327547"/>
          <c:y val="4.4026576869156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000813364617721"/>
          <c:y val="0.36479163691586702"/>
          <c:w val="0.38667977087439659"/>
          <c:h val="0.40881821378502342"/>
        </c:manualLayout>
      </c:layout>
      <c:scatterChart>
        <c:scatterStyle val="lineMarker"/>
        <c:varyColors val="0"/>
        <c:ser>
          <c:idx val="0"/>
          <c:order val="0"/>
          <c:tx>
            <c:v>Collected 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data1.txt!$A$22:$A$33</c:f>
              <c:numCache>
                <c:formatCode>General</c:formatCode>
                <c:ptCount val="12"/>
                <c:pt idx="0">
                  <c:v>511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5000</c:v>
                </c:pt>
                <c:pt idx="7">
                  <c:v>6000</c:v>
                </c:pt>
                <c:pt idx="8">
                  <c:v>7000</c:v>
                </c:pt>
                <c:pt idx="9">
                  <c:v>8000</c:v>
                </c:pt>
                <c:pt idx="10">
                  <c:v>9000</c:v>
                </c:pt>
                <c:pt idx="11">
                  <c:v>10000</c:v>
                </c:pt>
              </c:numCache>
            </c:numRef>
          </c:xVal>
          <c:yVal>
            <c:numRef>
              <c:f>data1.txt!$B$22:$B$33</c:f>
              <c:numCache>
                <c:formatCode>General</c:formatCode>
                <c:ptCount val="12"/>
                <c:pt idx="0">
                  <c:v>49</c:v>
                </c:pt>
                <c:pt idx="1">
                  <c:v>149</c:v>
                </c:pt>
                <c:pt idx="2">
                  <c:v>450</c:v>
                </c:pt>
                <c:pt idx="3">
                  <c:v>1102</c:v>
                </c:pt>
                <c:pt idx="4">
                  <c:v>1245</c:v>
                </c:pt>
                <c:pt idx="5">
                  <c:v>1400</c:v>
                </c:pt>
                <c:pt idx="6">
                  <c:v>2667</c:v>
                </c:pt>
                <c:pt idx="7">
                  <c:v>3281</c:v>
                </c:pt>
                <c:pt idx="8">
                  <c:v>4310</c:v>
                </c:pt>
                <c:pt idx="9">
                  <c:v>4007</c:v>
                </c:pt>
                <c:pt idx="10">
                  <c:v>7114</c:v>
                </c:pt>
                <c:pt idx="11">
                  <c:v>7930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3B-4DCF-B7D3-FCEBCE032E5A}"/>
            </c:ext>
          </c:extLst>
        </c:ser>
        <c:ser>
          <c:idx val="1"/>
          <c:order val="1"/>
          <c:tx>
            <c:v>Predicted Values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data1.txt!$A$22:$A$33</c:f>
              <c:numCache>
                <c:formatCode>General</c:formatCode>
                <c:ptCount val="12"/>
                <c:pt idx="0">
                  <c:v>511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5000</c:v>
                </c:pt>
                <c:pt idx="7">
                  <c:v>6000</c:v>
                </c:pt>
                <c:pt idx="8">
                  <c:v>7000</c:v>
                </c:pt>
                <c:pt idx="9">
                  <c:v>8000</c:v>
                </c:pt>
                <c:pt idx="10">
                  <c:v>9000</c:v>
                </c:pt>
                <c:pt idx="11">
                  <c:v>10000</c:v>
                </c:pt>
              </c:numCache>
            </c:numRef>
          </c:xVal>
          <c:yVal>
            <c:numRef>
              <c:f>data1.txt!$C$22:$C$33</c:f>
              <c:numCache>
                <c:formatCode>0.00</c:formatCode>
                <c:ptCount val="12"/>
                <c:pt idx="0">
                  <c:v>-151.6059229849792</c:v>
                </c:pt>
                <c:pt idx="1">
                  <c:v>-2.8108076346074711</c:v>
                </c:pt>
                <c:pt idx="2">
                  <c:v>450.00000000758848</c:v>
                </c:pt>
                <c:pt idx="3">
                  <c:v>1061.2136597502247</c:v>
                </c:pt>
                <c:pt idx="4">
                  <c:v>1417.7469355731689</c:v>
                </c:pt>
                <c:pt idx="5">
                  <c:v>1805.2959785495839</c:v>
                </c:pt>
                <c:pt idx="6">
                  <c:v>2667.0000000296131</c:v>
                </c:pt>
                <c:pt idx="7">
                  <c:v>3635.8005133929082</c:v>
                </c:pt>
                <c:pt idx="8">
                  <c:v>4703.8321186694384</c:v>
                </c:pt>
                <c:pt idx="9">
                  <c:v>5864.911025406388</c:v>
                </c:pt>
                <c:pt idx="10">
                  <c:v>7114.0000000658083</c:v>
                </c:pt>
                <c:pt idx="11">
                  <c:v>8446.8866454618837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3B-4DCF-B7D3-FCEBCE032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882927"/>
        <c:axId val="1"/>
      </c:scatterChart>
      <c:valAx>
        <c:axId val="191788292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Degrees of Polynomials</a:t>
                </a:r>
              </a:p>
            </c:rich>
          </c:tx>
          <c:layout>
            <c:manualLayout>
              <c:xMode val="edge"/>
              <c:yMode val="edge"/>
              <c:x val="0.22857917490112115"/>
              <c:y val="0.823925938551354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 in Clocks</a:t>
                </a:r>
              </a:p>
            </c:rich>
          </c:tx>
          <c:layout>
            <c:manualLayout>
              <c:xMode val="edge"/>
              <c:yMode val="edge"/>
              <c:x val="5.1430314352752256E-2"/>
              <c:y val="0.358502125934558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917882927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430992156600359"/>
          <c:y val="0.41196296927567744"/>
          <c:w val="0.2571515717637613"/>
          <c:h val="0.305041282593440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blackAndWhite="1" horizontalDpi="-4" vertic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FFT Algorithm</a:t>
            </a:r>
          </a:p>
        </c:rich>
      </c:tx>
      <c:layout>
        <c:manualLayout>
          <c:xMode val="edge"/>
          <c:yMode val="edge"/>
          <c:x val="0.36835286931889577"/>
          <c:y val="3.56447641585630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56583818591698"/>
          <c:y val="0.24555281975899004"/>
          <c:w val="0.32116717118300414"/>
          <c:h val="0.55645437380867901"/>
        </c:manualLayout>
      </c:layout>
      <c:scatterChart>
        <c:scatterStyle val="lineMarker"/>
        <c:varyColors val="0"/>
        <c:ser>
          <c:idx val="0"/>
          <c:order val="0"/>
          <c:tx>
            <c:v>Collected 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data1.txt!$A$39:$A$44</c:f>
              <c:numCache>
                <c:formatCode>General</c:formatCode>
                <c:ptCount val="6"/>
                <c:pt idx="0">
                  <c:v>511</c:v>
                </c:pt>
                <c:pt idx="1">
                  <c:v>1023</c:v>
                </c:pt>
                <c:pt idx="2">
                  <c:v>2047</c:v>
                </c:pt>
                <c:pt idx="3">
                  <c:v>4095</c:v>
                </c:pt>
                <c:pt idx="4">
                  <c:v>8191</c:v>
                </c:pt>
                <c:pt idx="5">
                  <c:v>16383</c:v>
                </c:pt>
              </c:numCache>
            </c:numRef>
          </c:xVal>
          <c:yVal>
            <c:numRef>
              <c:f>data1.txt!$B$39:$B$44</c:f>
              <c:numCache>
                <c:formatCode>General</c:formatCode>
                <c:ptCount val="6"/>
                <c:pt idx="0">
                  <c:v>30</c:v>
                </c:pt>
                <c:pt idx="1">
                  <c:v>64</c:v>
                </c:pt>
                <c:pt idx="2">
                  <c:v>140</c:v>
                </c:pt>
                <c:pt idx="3">
                  <c:v>324</c:v>
                </c:pt>
                <c:pt idx="4">
                  <c:v>698</c:v>
                </c:pt>
                <c:pt idx="5">
                  <c:v>1483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8-474D-9E79-68FBA0F4F699}"/>
            </c:ext>
          </c:extLst>
        </c:ser>
        <c:ser>
          <c:idx val="1"/>
          <c:order val="1"/>
          <c:tx>
            <c:v>Predicted Values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data1.txt!$A$39:$A$44</c:f>
              <c:numCache>
                <c:formatCode>General</c:formatCode>
                <c:ptCount val="6"/>
                <c:pt idx="0">
                  <c:v>511</c:v>
                </c:pt>
                <c:pt idx="1">
                  <c:v>1023</c:v>
                </c:pt>
                <c:pt idx="2">
                  <c:v>2047</c:v>
                </c:pt>
                <c:pt idx="3">
                  <c:v>4095</c:v>
                </c:pt>
                <c:pt idx="4">
                  <c:v>8191</c:v>
                </c:pt>
                <c:pt idx="5">
                  <c:v>16383</c:v>
                </c:pt>
              </c:numCache>
            </c:numRef>
          </c:xVal>
          <c:yVal>
            <c:numRef>
              <c:f>data1.txt!$C$39:$C$44</c:f>
              <c:numCache>
                <c:formatCode>0.00</c:formatCode>
                <c:ptCount val="6"/>
                <c:pt idx="0">
                  <c:v>24.800832529274693</c:v>
                </c:pt>
                <c:pt idx="1">
                  <c:v>64.000000000181558</c:v>
                </c:pt>
                <c:pt idx="2">
                  <c:v>147.36030370163462</c:v>
                </c:pt>
                <c:pt idx="3">
                  <c:v>324.00000000062033</c:v>
                </c:pt>
                <c:pt idx="4">
                  <c:v>697.1127256116381</c:v>
                </c:pt>
                <c:pt idx="5">
                  <c:v>1483.0000000007808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8-474D-9E79-68FBA0F4F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883759"/>
        <c:axId val="1"/>
      </c:scatterChart>
      <c:valAx>
        <c:axId val="1917883759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Degree of Polynomials</a:t>
                </a:r>
              </a:p>
            </c:rich>
          </c:tx>
          <c:layout>
            <c:manualLayout>
              <c:xMode val="edge"/>
              <c:yMode val="edge"/>
              <c:x val="0.1811321960700355"/>
              <c:y val="0.887158574613125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 in Clocks</a:t>
                </a:r>
              </a:p>
            </c:rich>
          </c:tx>
          <c:layout>
            <c:manualLayout>
              <c:xMode val="edge"/>
              <c:yMode val="edge"/>
              <c:x val="4.1097220957066881E-2"/>
              <c:y val="0.390112141068718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917883759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749012199483284"/>
          <c:y val="0.44357928730656265"/>
          <c:w val="0.29529114317299909"/>
          <c:h val="0.108914557151164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blackAndWhite="1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44450</xdr:rowOff>
    </xdr:from>
    <xdr:to>
      <xdr:col>5</xdr:col>
      <xdr:colOff>692150</xdr:colOff>
      <xdr:row>45</xdr:row>
      <xdr:rowOff>38100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EE6C5C5A-0623-43FC-A465-9BCCA54D4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48</xdr:row>
      <xdr:rowOff>38100</xdr:rowOff>
    </xdr:from>
    <xdr:to>
      <xdr:col>4</xdr:col>
      <xdr:colOff>171450</xdr:colOff>
      <xdr:row>60</xdr:row>
      <xdr:rowOff>152400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1D79A1AC-9F18-4CD8-AD1A-7FC30E9B2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127000</xdr:colOff>
      <xdr:row>49</xdr:row>
      <xdr:rowOff>82550</xdr:rowOff>
    </xdr:from>
    <xdr:to>
      <xdr:col>10</xdr:col>
      <xdr:colOff>298450</xdr:colOff>
      <xdr:row>69</xdr:row>
      <xdr:rowOff>114300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DDF7B4B0-6FA3-45AF-BDCA-4E6A85F1C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E47" workbookViewId="0">
      <selection activeCell="F50" sqref="F50"/>
    </sheetView>
  </sheetViews>
  <sheetFormatPr defaultColWidth="11.453125" defaultRowHeight="12.5"/>
  <sheetData/>
  <printOptions horizontalCentered="1" verticalCentered="1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workbookViewId="0">
      <selection activeCell="C39" sqref="C39"/>
    </sheetView>
  </sheetViews>
  <sheetFormatPr defaultColWidth="11.453125" defaultRowHeight="12.5"/>
  <cols>
    <col min="1" max="1" width="6.81640625" customWidth="1"/>
    <col min="2" max="2" width="10.54296875" customWidth="1"/>
  </cols>
  <sheetData>
    <row r="1" spans="1:3" ht="23.5">
      <c r="A1" s="5" t="s">
        <v>0</v>
      </c>
    </row>
    <row r="3" spans="1:3">
      <c r="A3" s="2" t="s">
        <v>1</v>
      </c>
      <c r="B3" t="s">
        <v>2</v>
      </c>
      <c r="C3" t="s">
        <v>3</v>
      </c>
    </row>
    <row r="4" spans="1:3">
      <c r="B4" s="2" t="s">
        <v>4</v>
      </c>
    </row>
    <row r="5" spans="1:3">
      <c r="A5">
        <v>511</v>
      </c>
      <c r="B5">
        <v>25</v>
      </c>
      <c r="C5" s="3">
        <f t="shared" ref="C5:C16" si="0">(A5*A5)*0.000136111111111-0.101777777777*A5+33.1111111112</f>
        <v>16.644136111568436</v>
      </c>
    </row>
    <row r="6" spans="1:3">
      <c r="A6">
        <v>1000</v>
      </c>
      <c r="B6">
        <v>94</v>
      </c>
      <c r="C6" s="3">
        <f t="shared" si="0"/>
        <v>67.444444445199977</v>
      </c>
    </row>
    <row r="7" spans="1:3">
      <c r="A7">
        <v>2000</v>
      </c>
      <c r="B7">
        <v>374</v>
      </c>
      <c r="C7" s="3">
        <f t="shared" si="0"/>
        <v>374.00000000119991</v>
      </c>
    </row>
    <row r="8" spans="1:3">
      <c r="A8">
        <v>3000</v>
      </c>
      <c r="B8">
        <v>866</v>
      </c>
      <c r="C8" s="3">
        <f t="shared" si="0"/>
        <v>952.77777777920005</v>
      </c>
    </row>
    <row r="9" spans="1:3">
      <c r="A9">
        <v>3500</v>
      </c>
      <c r="B9">
        <v>1243</v>
      </c>
      <c r="C9" s="3">
        <f t="shared" si="0"/>
        <v>1344.25000000145</v>
      </c>
    </row>
    <row r="10" spans="1:3">
      <c r="A10">
        <v>4000</v>
      </c>
      <c r="B10">
        <v>1728</v>
      </c>
      <c r="C10" s="3">
        <f t="shared" si="0"/>
        <v>1803.7777777791998</v>
      </c>
    </row>
    <row r="11" spans="1:3">
      <c r="A11">
        <v>5000</v>
      </c>
      <c r="B11">
        <v>2927</v>
      </c>
      <c r="C11" s="3">
        <f t="shared" si="0"/>
        <v>2927.0000000011996</v>
      </c>
    </row>
    <row r="12" spans="1:3">
      <c r="A12">
        <v>6000</v>
      </c>
      <c r="B12">
        <v>4246</v>
      </c>
      <c r="C12" s="3">
        <f t="shared" si="0"/>
        <v>4322.4444444452001</v>
      </c>
    </row>
    <row r="13" spans="1:3">
      <c r="A13">
        <v>7000</v>
      </c>
      <c r="B13">
        <v>5918</v>
      </c>
      <c r="C13" s="3">
        <f t="shared" si="0"/>
        <v>5990.1111111112004</v>
      </c>
    </row>
    <row r="14" spans="1:3">
      <c r="A14">
        <v>8000</v>
      </c>
      <c r="B14">
        <v>7930</v>
      </c>
      <c r="C14" s="3">
        <f t="shared" si="0"/>
        <v>7929.9999999991996</v>
      </c>
    </row>
    <row r="15" spans="1:3">
      <c r="A15">
        <v>9000</v>
      </c>
      <c r="B15">
        <v>10110</v>
      </c>
      <c r="C15" s="3">
        <f t="shared" si="0"/>
        <v>10142.1111111092</v>
      </c>
    </row>
    <row r="16" spans="1:3">
      <c r="A16">
        <v>10000</v>
      </c>
      <c r="B16">
        <v>12458</v>
      </c>
      <c r="C16" s="3">
        <f t="shared" si="0"/>
        <v>12626.4444444412</v>
      </c>
    </row>
    <row r="18" spans="1:3" ht="23.5">
      <c r="A18" s="5" t="s">
        <v>5</v>
      </c>
    </row>
    <row r="20" spans="1:3">
      <c r="A20" s="2" t="s">
        <v>1</v>
      </c>
      <c r="B20" t="s">
        <v>2</v>
      </c>
      <c r="C20" t="s">
        <v>3</v>
      </c>
    </row>
    <row r="21" spans="1:3">
      <c r="B21" s="2" t="s">
        <v>4</v>
      </c>
    </row>
    <row r="22" spans="1:3">
      <c r="A22">
        <v>511</v>
      </c>
      <c r="B22">
        <v>49</v>
      </c>
      <c r="C22" s="3">
        <f t="shared" ref="C22:C33" si="1">0.00395348987176*POWER(A22,LOG(3,2))+0.00313644438459*A22-230.784433648</f>
        <v>-151.6059229849792</v>
      </c>
    </row>
    <row r="23" spans="1:3">
      <c r="A23">
        <v>1000</v>
      </c>
      <c r="B23">
        <v>149</v>
      </c>
      <c r="C23" s="3">
        <f t="shared" si="1"/>
        <v>-2.8108076346074711</v>
      </c>
    </row>
    <row r="24" spans="1:3">
      <c r="A24">
        <v>2000</v>
      </c>
      <c r="B24">
        <v>450</v>
      </c>
      <c r="C24" s="3">
        <f t="shared" si="1"/>
        <v>450.00000000758848</v>
      </c>
    </row>
    <row r="25" spans="1:3">
      <c r="A25">
        <v>3000</v>
      </c>
      <c r="B25">
        <v>1102</v>
      </c>
      <c r="C25" s="3">
        <f t="shared" si="1"/>
        <v>1061.2136597502247</v>
      </c>
    </row>
    <row r="26" spans="1:3">
      <c r="A26">
        <v>3500</v>
      </c>
      <c r="B26">
        <v>1245</v>
      </c>
      <c r="C26" s="3">
        <f t="shared" si="1"/>
        <v>1417.7469355731689</v>
      </c>
    </row>
    <row r="27" spans="1:3">
      <c r="A27">
        <v>4000</v>
      </c>
      <c r="B27">
        <v>1400</v>
      </c>
      <c r="C27" s="3">
        <f t="shared" si="1"/>
        <v>1805.2959785495839</v>
      </c>
    </row>
    <row r="28" spans="1:3">
      <c r="A28">
        <v>5000</v>
      </c>
      <c r="B28">
        <v>2667</v>
      </c>
      <c r="C28" s="3">
        <f t="shared" si="1"/>
        <v>2667.0000000296131</v>
      </c>
    </row>
    <row r="29" spans="1:3">
      <c r="A29">
        <v>6000</v>
      </c>
      <c r="B29">
        <v>3281</v>
      </c>
      <c r="C29" s="3">
        <f t="shared" si="1"/>
        <v>3635.8005133929082</v>
      </c>
    </row>
    <row r="30" spans="1:3">
      <c r="A30">
        <v>7000</v>
      </c>
      <c r="B30">
        <v>4310</v>
      </c>
      <c r="C30" s="3">
        <f t="shared" si="1"/>
        <v>4703.8321186694384</v>
      </c>
    </row>
    <row r="31" spans="1:3">
      <c r="A31">
        <v>8000</v>
      </c>
      <c r="B31">
        <v>4007</v>
      </c>
      <c r="C31" s="3">
        <f t="shared" si="1"/>
        <v>5864.911025406388</v>
      </c>
    </row>
    <row r="32" spans="1:3">
      <c r="A32">
        <v>9000</v>
      </c>
      <c r="B32">
        <v>7114</v>
      </c>
      <c r="C32" s="3">
        <f t="shared" si="1"/>
        <v>7114.0000000658083</v>
      </c>
    </row>
    <row r="33" spans="1:3">
      <c r="A33">
        <v>10000</v>
      </c>
      <c r="B33">
        <v>7930</v>
      </c>
      <c r="C33" s="3">
        <f t="shared" si="1"/>
        <v>8446.8866454618837</v>
      </c>
    </row>
    <row r="34" spans="1:3">
      <c r="C34" s="3"/>
    </row>
    <row r="35" spans="1:3" ht="23.5">
      <c r="A35" s="5" t="s">
        <v>6</v>
      </c>
      <c r="C35" s="3"/>
    </row>
    <row r="37" spans="1:3">
      <c r="A37" s="2" t="s">
        <v>1</v>
      </c>
      <c r="B37" t="s">
        <v>2</v>
      </c>
      <c r="C37" t="s">
        <v>3</v>
      </c>
    </row>
    <row r="38" spans="1:3">
      <c r="A38" s="2"/>
      <c r="B38" s="2" t="s">
        <v>4</v>
      </c>
    </row>
    <row r="39" spans="1:3">
      <c r="A39" s="1">
        <v>511</v>
      </c>
      <c r="B39" s="1">
        <v>30</v>
      </c>
      <c r="C39" s="4">
        <f t="shared" ref="C39:C44" si="2">0.00484094013519*A39*LOG(A39,2)+0.0233199941077*A39-9.37219096593</f>
        <v>24.800832529274693</v>
      </c>
    </row>
    <row r="40" spans="1:3">
      <c r="A40" s="1">
        <v>1023</v>
      </c>
      <c r="B40" s="1">
        <v>64</v>
      </c>
      <c r="C40" s="4">
        <f t="shared" si="2"/>
        <v>64.000000000181558</v>
      </c>
    </row>
    <row r="41" spans="1:3">
      <c r="A41" s="1">
        <v>2047</v>
      </c>
      <c r="B41" s="1">
        <v>140</v>
      </c>
      <c r="C41" s="4">
        <f t="shared" si="2"/>
        <v>147.36030370163462</v>
      </c>
    </row>
    <row r="42" spans="1:3">
      <c r="A42" s="1">
        <v>4095</v>
      </c>
      <c r="B42" s="1">
        <v>324</v>
      </c>
      <c r="C42" s="4">
        <f t="shared" si="2"/>
        <v>324.00000000062033</v>
      </c>
    </row>
    <row r="43" spans="1:3">
      <c r="A43" s="1">
        <v>8191</v>
      </c>
      <c r="B43" s="1">
        <v>698</v>
      </c>
      <c r="C43" s="4">
        <f t="shared" si="2"/>
        <v>697.1127256116381</v>
      </c>
    </row>
    <row r="44" spans="1:3">
      <c r="A44" s="1">
        <v>16383</v>
      </c>
      <c r="B44" s="1">
        <v>1483</v>
      </c>
      <c r="C44" s="4">
        <f t="shared" si="2"/>
        <v>1483.0000000007808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iterative </vt:lpstr>
      <vt:lpstr>data1.txt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Computer Science Lab</dc:creator>
  <cp:keywords/>
  <dc:description/>
  <cp:lastModifiedBy>Carina Negreanu</cp:lastModifiedBy>
  <dcterms:created xsi:type="dcterms:W3CDTF">1999-01-22T06:14:38Z</dcterms:created>
  <dcterms:modified xsi:type="dcterms:W3CDTF">2020-01-27T10:28:29Z</dcterms:modified>
</cp:coreProperties>
</file>