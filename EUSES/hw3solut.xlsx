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66453AE-E4FC-4672-AC96-04861868EB4B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Sheet1!$A$1:$L$599</definedName>
  </definedNames>
  <calcPr calcId="0"/>
</workbook>
</file>

<file path=xl/calcChain.xml><?xml version="1.0" encoding="utf-8"?>
<calcChain xmlns="http://schemas.openxmlformats.org/spreadsheetml/2006/main">
  <c r="B8" i="1" l="1"/>
  <c r="C12" i="1"/>
  <c r="C13" i="1"/>
  <c r="B18" i="1"/>
  <c r="B19" i="1"/>
  <c r="C21" i="1"/>
  <c r="C22" i="1"/>
  <c r="E34" i="1"/>
  <c r="B41" i="1"/>
  <c r="F70" i="1"/>
  <c r="G70" i="1"/>
  <c r="H70" i="1"/>
  <c r="F71" i="1"/>
  <c r="G71" i="1"/>
  <c r="H71" i="1"/>
  <c r="E72" i="1"/>
  <c r="F72" i="1"/>
  <c r="G72" i="1"/>
  <c r="H72" i="1"/>
  <c r="F73" i="1"/>
  <c r="G73" i="1"/>
  <c r="H73" i="1"/>
  <c r="F102" i="1"/>
  <c r="G102" i="1"/>
  <c r="H102" i="1"/>
  <c r="F103" i="1"/>
  <c r="G103" i="1"/>
  <c r="H103" i="1"/>
  <c r="E104" i="1"/>
  <c r="F104" i="1"/>
  <c r="G104" i="1"/>
  <c r="H104" i="1"/>
  <c r="F105" i="1"/>
  <c r="G105" i="1"/>
  <c r="H105" i="1"/>
  <c r="C125" i="1"/>
  <c r="F130" i="1"/>
  <c r="G130" i="1"/>
  <c r="H130" i="1"/>
  <c r="F131" i="1"/>
  <c r="G131" i="1"/>
  <c r="H131" i="1"/>
  <c r="E132" i="1"/>
  <c r="F132" i="1"/>
  <c r="G132" i="1"/>
  <c r="H132" i="1"/>
  <c r="F133" i="1"/>
  <c r="G133" i="1"/>
  <c r="H133" i="1"/>
  <c r="F155" i="1"/>
  <c r="G155" i="1"/>
  <c r="H155" i="1"/>
  <c r="F156" i="1"/>
  <c r="G156" i="1"/>
  <c r="H156" i="1"/>
  <c r="E157" i="1"/>
  <c r="F157" i="1"/>
  <c r="G157" i="1"/>
  <c r="H157" i="1"/>
  <c r="F158" i="1"/>
  <c r="G158" i="1"/>
  <c r="H158" i="1"/>
  <c r="F180" i="1"/>
  <c r="G180" i="1"/>
  <c r="H180" i="1"/>
  <c r="F181" i="1"/>
  <c r="G181" i="1"/>
  <c r="H181" i="1"/>
  <c r="E182" i="1"/>
  <c r="F182" i="1"/>
  <c r="G182" i="1"/>
  <c r="H182" i="1"/>
  <c r="F183" i="1"/>
  <c r="G183" i="1"/>
  <c r="H183" i="1"/>
  <c r="F204" i="1"/>
  <c r="G204" i="1"/>
  <c r="H204" i="1"/>
  <c r="F205" i="1"/>
  <c r="G205" i="1"/>
  <c r="H205" i="1"/>
  <c r="E206" i="1"/>
  <c r="F206" i="1"/>
  <c r="G206" i="1"/>
  <c r="H206" i="1"/>
  <c r="F207" i="1"/>
  <c r="G207" i="1"/>
  <c r="H207" i="1"/>
  <c r="K217" i="1"/>
  <c r="K218" i="1"/>
  <c r="K219" i="1"/>
  <c r="C220" i="1"/>
  <c r="J220" i="1"/>
  <c r="K220" i="1"/>
  <c r="J221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F240" i="1"/>
  <c r="G240" i="1"/>
  <c r="H240" i="1"/>
  <c r="K240" i="1"/>
  <c r="F241" i="1"/>
  <c r="G241" i="1"/>
  <c r="H241" i="1"/>
  <c r="E242" i="1"/>
  <c r="F242" i="1"/>
  <c r="G242" i="1"/>
  <c r="H242" i="1"/>
  <c r="F243" i="1"/>
  <c r="G243" i="1"/>
  <c r="H243" i="1"/>
  <c r="I253" i="1"/>
  <c r="I254" i="1"/>
  <c r="J256" i="1"/>
  <c r="J257" i="1"/>
  <c r="J258" i="1"/>
  <c r="J259" i="1"/>
  <c r="J260" i="1"/>
  <c r="J261" i="1"/>
  <c r="J262" i="1"/>
  <c r="J263" i="1"/>
  <c r="J264" i="1"/>
  <c r="J265" i="1"/>
  <c r="F272" i="1"/>
  <c r="G272" i="1"/>
  <c r="H272" i="1"/>
  <c r="F273" i="1"/>
  <c r="G273" i="1"/>
  <c r="H273" i="1"/>
  <c r="E274" i="1"/>
  <c r="F274" i="1"/>
  <c r="G274" i="1"/>
  <c r="H274" i="1"/>
  <c r="F275" i="1"/>
  <c r="G275" i="1"/>
  <c r="H275" i="1"/>
  <c r="G299" i="1"/>
  <c r="J301" i="1"/>
  <c r="K301" i="1"/>
  <c r="J302" i="1"/>
  <c r="K302" i="1"/>
  <c r="F305" i="1"/>
  <c r="G305" i="1"/>
  <c r="H305" i="1"/>
  <c r="F306" i="1"/>
  <c r="G306" i="1"/>
  <c r="H306" i="1"/>
  <c r="E307" i="1"/>
  <c r="F307" i="1"/>
  <c r="G307" i="1"/>
  <c r="H307" i="1"/>
  <c r="F308" i="1"/>
  <c r="G308" i="1"/>
  <c r="H308" i="1"/>
  <c r="G332" i="1"/>
  <c r="F338" i="1"/>
  <c r="G338" i="1"/>
  <c r="H338" i="1"/>
  <c r="F339" i="1"/>
  <c r="G339" i="1"/>
  <c r="H339" i="1"/>
  <c r="E340" i="1"/>
  <c r="F340" i="1"/>
  <c r="G340" i="1"/>
  <c r="H340" i="1"/>
  <c r="F341" i="1"/>
  <c r="G341" i="1"/>
  <c r="H341" i="1"/>
  <c r="C364" i="1"/>
  <c r="D364" i="1"/>
  <c r="F369" i="1"/>
  <c r="G369" i="1"/>
  <c r="H369" i="1"/>
  <c r="F370" i="1"/>
  <c r="G370" i="1"/>
  <c r="H370" i="1"/>
  <c r="E371" i="1"/>
  <c r="F371" i="1"/>
  <c r="G371" i="1"/>
  <c r="H371" i="1"/>
  <c r="F372" i="1"/>
  <c r="G372" i="1"/>
  <c r="H372" i="1"/>
  <c r="C394" i="1"/>
  <c r="D394" i="1"/>
  <c r="F399" i="1"/>
  <c r="G399" i="1"/>
  <c r="H399" i="1"/>
  <c r="F400" i="1"/>
  <c r="G400" i="1"/>
  <c r="H400" i="1"/>
  <c r="E401" i="1"/>
  <c r="F401" i="1"/>
  <c r="G401" i="1"/>
  <c r="H401" i="1"/>
  <c r="F402" i="1"/>
  <c r="G402" i="1"/>
  <c r="H402" i="1"/>
  <c r="D419" i="1"/>
  <c r="E432" i="1"/>
  <c r="D444" i="1"/>
  <c r="E458" i="1"/>
  <c r="I474" i="1"/>
  <c r="F486" i="1"/>
  <c r="G486" i="1"/>
  <c r="H486" i="1"/>
  <c r="F487" i="1"/>
  <c r="G487" i="1"/>
  <c r="H487" i="1"/>
  <c r="E488" i="1"/>
  <c r="F488" i="1"/>
  <c r="G488" i="1"/>
  <c r="H488" i="1"/>
  <c r="F489" i="1"/>
  <c r="G489" i="1"/>
  <c r="H489" i="1"/>
  <c r="D505" i="1"/>
  <c r="C523" i="1"/>
  <c r="D523" i="1"/>
  <c r="F528" i="1"/>
  <c r="G528" i="1"/>
  <c r="H528" i="1"/>
  <c r="F529" i="1"/>
  <c r="G529" i="1"/>
  <c r="H529" i="1"/>
  <c r="E530" i="1"/>
  <c r="F530" i="1"/>
  <c r="G530" i="1"/>
  <c r="H530" i="1"/>
  <c r="F531" i="1"/>
  <c r="G531" i="1"/>
  <c r="H531" i="1"/>
  <c r="G556" i="1"/>
  <c r="F562" i="1"/>
  <c r="G562" i="1"/>
  <c r="H562" i="1"/>
  <c r="F563" i="1"/>
  <c r="G563" i="1"/>
  <c r="H563" i="1"/>
  <c r="E564" i="1"/>
  <c r="F564" i="1"/>
  <c r="G564" i="1"/>
  <c r="H564" i="1"/>
  <c r="J564" i="1"/>
  <c r="K564" i="1"/>
  <c r="F565" i="1"/>
  <c r="G565" i="1"/>
  <c r="H565" i="1"/>
  <c r="J565" i="1"/>
  <c r="K565" i="1"/>
  <c r="G573" i="1"/>
  <c r="G574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F593" i="1"/>
  <c r="G593" i="1"/>
  <c r="H593" i="1"/>
  <c r="F594" i="1"/>
  <c r="G594" i="1"/>
  <c r="H594" i="1"/>
  <c r="E595" i="1"/>
  <c r="F595" i="1"/>
  <c r="G595" i="1"/>
  <c r="H595" i="1"/>
  <c r="F596" i="1"/>
  <c r="G596" i="1"/>
  <c r="H596" i="1"/>
</calcChain>
</file>

<file path=xl/sharedStrings.xml><?xml version="1.0" encoding="utf-8"?>
<sst xmlns="http://schemas.openxmlformats.org/spreadsheetml/2006/main" count="715" uniqueCount="222">
  <si>
    <t>PHAD530 Homework #3</t>
  </si>
  <si>
    <t>Sid Sytsma</t>
  </si>
  <si>
    <t>Confidence Intervals</t>
  </si>
  <si>
    <t>Problem One</t>
  </si>
  <si>
    <t>t=</t>
  </si>
  <si>
    <t>&lt;=TINV(0.05,100-1)</t>
  </si>
  <si>
    <t>xbar=</t>
  </si>
  <si>
    <t>s=</t>
  </si>
  <si>
    <t>n=</t>
  </si>
  <si>
    <t>interval lower limit:</t>
  </si>
  <si>
    <t>interval upper limit:</t>
  </si>
  <si>
    <t>since CI is totally less than 200, we conclude cholesterol is less than 200</t>
  </si>
  <si>
    <t>Problem Two</t>
  </si>
  <si>
    <t>z=</t>
  </si>
  <si>
    <t>&lt;=NORMSINV(0.95)</t>
  </si>
  <si>
    <t>p=</t>
  </si>
  <si>
    <t>since CI overlaps .50, we cannot conclude that the percentage for small hospitals</t>
  </si>
  <si>
    <t>is greater than 50%</t>
  </si>
  <si>
    <t>Hypothesis Test for a Mean</t>
  </si>
  <si>
    <t xml:space="preserve"> </t>
  </si>
  <si>
    <t>Null Hypothesis:</t>
  </si>
  <si>
    <t>mean in subgroup is less than or equal to 130</t>
  </si>
  <si>
    <t>Alternative Hypothesis:</t>
  </si>
  <si>
    <t>mean in subgroup is greater than 130</t>
  </si>
  <si>
    <t>Reject null if the calculated z is greater than</t>
  </si>
  <si>
    <r>
      <t>mu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</rPr>
      <t>=</t>
    </r>
  </si>
  <si>
    <t>sigma=</t>
  </si>
  <si>
    <t>calculated z=</t>
  </si>
  <si>
    <t>&lt;=(135-130)/(20/SQRT(85))</t>
  </si>
  <si>
    <t>calculated z is greater than tabled z, therefore reject Ho</t>
  </si>
  <si>
    <t>conclude that the mean in the population from which the subgroup was taken is greater</t>
  </si>
  <si>
    <t>than the mean in the general population</t>
  </si>
  <si>
    <t>mean of blacks is less than or equal to mean of whites (128.6)</t>
  </si>
  <si>
    <t>mean of blacks is greater than 128.6</t>
  </si>
  <si>
    <r>
      <t>One Sample Hypothesis Test for a Population Mean [</t>
    </r>
    <r>
      <rPr>
        <b/>
        <sz val="14"/>
        <rFont val="Symbol"/>
        <family val="1"/>
        <charset val="2"/>
      </rPr>
      <t>s</t>
    </r>
    <r>
      <rPr>
        <b/>
        <sz val="14"/>
        <rFont val="Times New Roman"/>
        <family val="1"/>
      </rPr>
      <t>, the population std dev is unknown]</t>
    </r>
  </si>
  <si>
    <r>
      <t xml:space="preserve">(comparing a mean, </t>
    </r>
    <r>
      <rPr>
        <i/>
        <sz val="12"/>
        <rFont val="Symbol"/>
        <family val="1"/>
        <charset val="2"/>
      </rPr>
      <t>m</t>
    </r>
    <r>
      <rPr>
        <i/>
        <sz val="12"/>
        <rFont val="Times New Roman"/>
      </rPr>
      <t xml:space="preserve">, to a fixed standard, </t>
    </r>
    <r>
      <rPr>
        <i/>
        <sz val="12"/>
        <rFont val="Symbol"/>
        <family val="1"/>
        <charset val="2"/>
      </rPr>
      <t>m</t>
    </r>
    <r>
      <rPr>
        <i/>
        <vertAlign val="subscript"/>
        <sz val="12"/>
        <rFont val="Times New Roman"/>
        <family val="1"/>
      </rPr>
      <t>0</t>
    </r>
    <r>
      <rPr>
        <i/>
        <sz val="12"/>
        <rFont val="Times New Roman"/>
      </rPr>
      <t xml:space="preserve"> -- a t-test)</t>
    </r>
  </si>
  <si>
    <t>Two Sided Alternative</t>
  </si>
  <si>
    <t>One Sided Alternative - A</t>
  </si>
  <si>
    <r>
      <t>H</t>
    </r>
    <r>
      <rPr>
        <vertAlign val="subscript"/>
        <sz val="12"/>
        <rFont val="Times New Roman"/>
        <family val="1"/>
      </rPr>
      <t>0</t>
    </r>
    <r>
      <rPr>
        <sz val="12"/>
        <rFont val="Symbol"/>
        <family val="1"/>
        <charset val="2"/>
      </rPr>
      <t>: m = m</t>
    </r>
    <r>
      <rPr>
        <vertAlign val="subscript"/>
        <sz val="12"/>
        <rFont val="Times New Roman"/>
        <family val="1"/>
      </rPr>
      <t>0</t>
    </r>
  </si>
  <si>
    <r>
      <t>H</t>
    </r>
    <r>
      <rPr>
        <vertAlign val="subscript"/>
        <sz val="12"/>
        <rFont val="Times New Roman"/>
        <family val="1"/>
      </rPr>
      <t>0</t>
    </r>
    <r>
      <rPr>
        <sz val="12"/>
        <rFont val="Symbol"/>
        <family val="1"/>
        <charset val="2"/>
      </rPr>
      <t>: m &lt;= m</t>
    </r>
    <r>
      <rPr>
        <vertAlign val="subscript"/>
        <sz val="12"/>
        <rFont val="Times New Roman"/>
        <family val="1"/>
      </rPr>
      <t>0</t>
    </r>
  </si>
  <si>
    <r>
      <t>H</t>
    </r>
    <r>
      <rPr>
        <vertAlign val="subscript"/>
        <sz val="12"/>
        <rFont val="Times New Roman"/>
        <family val="1"/>
      </rPr>
      <t>1</t>
    </r>
    <r>
      <rPr>
        <sz val="12"/>
        <rFont val="Symbol"/>
        <family val="1"/>
        <charset val="2"/>
      </rPr>
      <t xml:space="preserve">: m </t>
    </r>
    <r>
      <rPr>
        <sz val="12"/>
        <rFont val="Times New Roman"/>
        <family val="1"/>
      </rPr>
      <t>not=</t>
    </r>
    <r>
      <rPr>
        <sz val="12"/>
        <rFont val="Symbol"/>
        <family val="1"/>
        <charset val="2"/>
      </rPr>
      <t xml:space="preserve"> m</t>
    </r>
    <r>
      <rPr>
        <vertAlign val="subscript"/>
        <sz val="12"/>
        <rFont val="Times New Roman"/>
        <family val="1"/>
      </rPr>
      <t>0</t>
    </r>
  </si>
  <si>
    <r>
      <t>H</t>
    </r>
    <r>
      <rPr>
        <vertAlign val="subscript"/>
        <sz val="12"/>
        <rFont val="Times New Roman"/>
        <family val="1"/>
      </rPr>
      <t>1</t>
    </r>
    <r>
      <rPr>
        <sz val="12"/>
        <rFont val="Symbol"/>
        <family val="1"/>
        <charset val="2"/>
      </rPr>
      <t>: m &gt; m</t>
    </r>
    <r>
      <rPr>
        <vertAlign val="subscript"/>
        <sz val="12"/>
        <rFont val="Times New Roman"/>
        <family val="1"/>
      </rPr>
      <t>0</t>
    </r>
  </si>
  <si>
    <t>One Sided Alternative - B</t>
  </si>
  <si>
    <t>Data Entry Section:</t>
  </si>
  <si>
    <r>
      <t>H</t>
    </r>
    <r>
      <rPr>
        <vertAlign val="subscript"/>
        <sz val="12"/>
        <rFont val="Times New Roman"/>
        <family val="1"/>
      </rPr>
      <t>0</t>
    </r>
    <r>
      <rPr>
        <sz val="12"/>
        <rFont val="Symbol"/>
        <family val="1"/>
        <charset val="2"/>
      </rPr>
      <t>: m &gt;= m</t>
    </r>
    <r>
      <rPr>
        <vertAlign val="subscript"/>
        <sz val="12"/>
        <rFont val="Times New Roman"/>
        <family val="1"/>
      </rPr>
      <t>0</t>
    </r>
  </si>
  <si>
    <t>Enter Sample Mean</t>
  </si>
  <si>
    <r>
      <t>H</t>
    </r>
    <r>
      <rPr>
        <vertAlign val="subscript"/>
        <sz val="12"/>
        <rFont val="Times New Roman"/>
        <family val="1"/>
      </rPr>
      <t>1</t>
    </r>
    <r>
      <rPr>
        <sz val="12"/>
        <rFont val="Symbol"/>
        <family val="1"/>
        <charset val="2"/>
      </rPr>
      <t>: m &lt; m</t>
    </r>
    <r>
      <rPr>
        <vertAlign val="subscript"/>
        <sz val="12"/>
        <rFont val="Times New Roman"/>
        <family val="1"/>
      </rPr>
      <t>0</t>
    </r>
  </si>
  <si>
    <t>Enter the Sample SD, s</t>
  </si>
  <si>
    <t>Enter Sample Size</t>
  </si>
  <si>
    <r>
      <t xml:space="preserve">Enter Fixed Standard, </t>
    </r>
    <r>
      <rPr>
        <sz val="12"/>
        <rFont val="Symbol"/>
        <family val="1"/>
        <charset val="2"/>
      </rPr>
      <t>m</t>
    </r>
    <r>
      <rPr>
        <vertAlign val="subscript"/>
        <sz val="12"/>
        <rFont val="Times New Roman"/>
        <family val="1"/>
      </rPr>
      <t>0</t>
    </r>
  </si>
  <si>
    <r>
      <t xml:space="preserve">Enter </t>
    </r>
    <r>
      <rPr>
        <sz val="12"/>
        <rFont val="Symbol"/>
        <family val="1"/>
        <charset val="2"/>
      </rPr>
      <t>a</t>
    </r>
    <r>
      <rPr>
        <sz val="12"/>
        <rFont val="Times New Roman"/>
      </rPr>
      <t xml:space="preserve"> level</t>
    </r>
  </si>
  <si>
    <t>A</t>
  </si>
  <si>
    <t>B</t>
  </si>
  <si>
    <t>Two Sided</t>
  </si>
  <si>
    <t>One Sided</t>
  </si>
  <si>
    <t>Data Computation and Answer Section:</t>
  </si>
  <si>
    <t>Alternative</t>
  </si>
  <si>
    <r>
      <t xml:space="preserve">Criterion </t>
    </r>
    <r>
      <rPr>
        <sz val="12"/>
        <rFont val="Symbol"/>
        <family val="1"/>
        <charset val="2"/>
      </rPr>
      <t>a</t>
    </r>
    <r>
      <rPr>
        <sz val="12"/>
        <rFont val="Times New Roman"/>
      </rPr>
      <t xml:space="preserve"> Level</t>
    </r>
  </si>
  <si>
    <t>Computed t-value</t>
  </si>
  <si>
    <t>Criterion tabled t-value(s)</t>
  </si>
  <si>
    <t xml:space="preserve">Accept or Reject Appropriate Null Hypothesis </t>
  </si>
  <si>
    <t>&lt;==answer</t>
  </si>
  <si>
    <t>since you reject the null, you conclude that blacks have higher blood pressures than whites</t>
  </si>
  <si>
    <t>Problem Three</t>
  </si>
  <si>
    <t>Ho:</t>
  </si>
  <si>
    <t xml:space="preserve">mean cholesterol levels in the children of men who died from heart disease is less than </t>
  </si>
  <si>
    <t>or equal to those in the general population</t>
  </si>
  <si>
    <t>H1:</t>
  </si>
  <si>
    <t xml:space="preserve">mean cholesterol level in the children of men who died from heart disease is higher </t>
  </si>
  <si>
    <t>than those in the general population</t>
  </si>
  <si>
    <t xml:space="preserve">since you reject the null, you conclude that the cholesterol levels in the children of men who died of heart </t>
  </si>
  <si>
    <t>disease is higher than children in the general population</t>
  </si>
  <si>
    <t>Hypothesis Test for a Proportion</t>
  </si>
  <si>
    <t>One Sample Test for a Population Proportion</t>
  </si>
  <si>
    <r>
      <t xml:space="preserve">(comparing a population proportion, </t>
    </r>
    <r>
      <rPr>
        <i/>
        <sz val="12"/>
        <rFont val="Symbol"/>
        <family val="1"/>
        <charset val="2"/>
      </rPr>
      <t>p</t>
    </r>
    <r>
      <rPr>
        <i/>
        <sz val="12"/>
        <rFont val="Times New Roman"/>
      </rPr>
      <t xml:space="preserve">, to a fixed standard </t>
    </r>
    <r>
      <rPr>
        <i/>
        <sz val="12"/>
        <rFont val="Symbol"/>
        <family val="1"/>
        <charset val="2"/>
      </rPr>
      <t>p</t>
    </r>
    <r>
      <rPr>
        <i/>
        <vertAlign val="subscript"/>
        <sz val="12"/>
        <rFont val="Times New Roman"/>
        <family val="1"/>
      </rPr>
      <t>0</t>
    </r>
  </si>
  <si>
    <r>
      <t>H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p</t>
    </r>
    <r>
      <rPr>
        <sz val="12"/>
        <rFont val="Times New Roman"/>
      </rPr>
      <t xml:space="preserve"> =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0</t>
    </r>
  </si>
  <si>
    <r>
      <t>H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p</t>
    </r>
    <r>
      <rPr>
        <sz val="12"/>
        <rFont val="Times New Roman"/>
      </rPr>
      <t xml:space="preserve"> &lt;=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0</t>
    </r>
  </si>
  <si>
    <r>
      <t>H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p</t>
    </r>
    <r>
      <rPr>
        <sz val="12"/>
        <rFont val="Times New Roman"/>
      </rPr>
      <t xml:space="preserve"> not =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0</t>
    </r>
  </si>
  <si>
    <r>
      <t>H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p</t>
    </r>
    <r>
      <rPr>
        <sz val="12"/>
        <rFont val="Times New Roman"/>
      </rPr>
      <t xml:space="preserve"> &gt;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0</t>
    </r>
  </si>
  <si>
    <r>
      <t>H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p</t>
    </r>
    <r>
      <rPr>
        <sz val="12"/>
        <rFont val="Times New Roman"/>
      </rPr>
      <t xml:space="preserve"> &gt;=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0</t>
    </r>
  </si>
  <si>
    <t>Enter Sample Proportion, p</t>
  </si>
  <si>
    <r>
      <t>H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p</t>
    </r>
    <r>
      <rPr>
        <sz val="12"/>
        <rFont val="Times New Roman"/>
      </rPr>
      <t xml:space="preserve"> &lt;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0</t>
    </r>
  </si>
  <si>
    <t>Enter Sample Size, n</t>
  </si>
  <si>
    <r>
      <t xml:space="preserve">Enter Fixed Standard,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0</t>
    </r>
  </si>
  <si>
    <t>Computed z-value</t>
  </si>
  <si>
    <t>Criterion tabled z-value(s)</t>
  </si>
  <si>
    <t>Conclude we do not have sufficient evidence to conclude that the OC rate is higher than that of the</t>
  </si>
  <si>
    <t>general population</t>
  </si>
  <si>
    <t>Conclude that the rate of women with nausea side effects are higher when taking erythromycin than women in</t>
  </si>
  <si>
    <t>the general population</t>
  </si>
  <si>
    <t>Problem Three Part A</t>
  </si>
  <si>
    <t>Do not have sufficient evidence to show that the rate is higher with high cholesterol levels.</t>
  </si>
  <si>
    <t>Problem Three Part B</t>
  </si>
  <si>
    <t>We have sufficient evidence to conclude that the rate is higher for men with high cholesterol levels.</t>
  </si>
  <si>
    <t>This may be statistically significant.  It is doubtful whether a 3% difference is meaningfully different.</t>
  </si>
  <si>
    <t>Hypothesis Tests for the Difference Between Two Means</t>
  </si>
  <si>
    <t>d</t>
  </si>
  <si>
    <t>breast-fed</t>
  </si>
  <si>
    <t>bottle-fed</t>
  </si>
  <si>
    <t>H0:</t>
  </si>
  <si>
    <t>the population mean for babies who are breast fed is equal to or higher than those who aren't</t>
  </si>
  <si>
    <t>the population mean for babies who are breast fed have lower mean effusion than those who aren't</t>
  </si>
  <si>
    <r>
      <t>Reject Ho if t</t>
    </r>
    <r>
      <rPr>
        <vertAlign val="subscript"/>
        <sz val="12"/>
        <rFont val="Times New Roman"/>
        <family val="1"/>
      </rPr>
      <t>calc</t>
    </r>
    <r>
      <rPr>
        <sz val="12"/>
        <rFont val="Times New Roman"/>
      </rPr>
      <t xml:space="preserve"> &gt;</t>
    </r>
  </si>
  <si>
    <t>&lt;=TINV(0.1,24-1)</t>
  </si>
  <si>
    <t>dbar=</t>
  </si>
  <si>
    <r>
      <t>s</t>
    </r>
    <r>
      <rPr>
        <vertAlign val="subscript"/>
        <sz val="12"/>
        <rFont val="Times New Roman"/>
        <family val="1"/>
      </rPr>
      <t>d</t>
    </r>
    <r>
      <rPr>
        <sz val="12"/>
        <rFont val="Times New Roman"/>
      </rPr>
      <t>=</t>
    </r>
  </si>
  <si>
    <t>Matched Pairs Test</t>
  </si>
  <si>
    <r>
      <t xml:space="preserve">(comparing a mean, </t>
    </r>
    <r>
      <rPr>
        <i/>
        <sz val="12"/>
        <rFont val="Symbol"/>
        <family val="1"/>
        <charset val="2"/>
      </rPr>
      <t>m</t>
    </r>
    <r>
      <rPr>
        <i/>
        <vertAlign val="subscript"/>
        <sz val="12"/>
        <rFont val="Times New Roman"/>
        <family val="1"/>
      </rPr>
      <t>d</t>
    </r>
    <r>
      <rPr>
        <i/>
        <sz val="12"/>
        <rFont val="Times New Roman"/>
      </rPr>
      <t>, to a fixed standard, 0 -- a t-test)</t>
    </r>
  </si>
  <si>
    <r>
      <t>H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m</t>
    </r>
    <r>
      <rPr>
        <vertAlign val="subscript"/>
        <sz val="12"/>
        <rFont val="Times New Roman"/>
        <family val="1"/>
      </rPr>
      <t>d</t>
    </r>
    <r>
      <rPr>
        <sz val="12"/>
        <rFont val="Times New Roman"/>
      </rPr>
      <t xml:space="preserve"> = 0</t>
    </r>
  </si>
  <si>
    <r>
      <t>H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m</t>
    </r>
    <r>
      <rPr>
        <vertAlign val="subscript"/>
        <sz val="12"/>
        <rFont val="Times New Roman"/>
        <family val="1"/>
      </rPr>
      <t>d</t>
    </r>
    <r>
      <rPr>
        <sz val="12"/>
        <rFont val="Times New Roman"/>
      </rPr>
      <t xml:space="preserve"> &lt;= 0</t>
    </r>
  </si>
  <si>
    <r>
      <t>H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m</t>
    </r>
    <r>
      <rPr>
        <vertAlign val="subscript"/>
        <sz val="12"/>
        <rFont val="Times New Roman"/>
        <family val="1"/>
      </rPr>
      <t>d</t>
    </r>
    <r>
      <rPr>
        <sz val="12"/>
        <rFont val="Times New Roman"/>
      </rPr>
      <t xml:space="preserve"> not= 0</t>
    </r>
  </si>
  <si>
    <r>
      <t>H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m</t>
    </r>
    <r>
      <rPr>
        <vertAlign val="subscript"/>
        <sz val="12"/>
        <rFont val="Times New Roman"/>
        <family val="1"/>
      </rPr>
      <t>d</t>
    </r>
    <r>
      <rPr>
        <sz val="12"/>
        <rFont val="Times New Roman"/>
      </rPr>
      <t xml:space="preserve"> &gt; 0</t>
    </r>
  </si>
  <si>
    <r>
      <t>H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m</t>
    </r>
    <r>
      <rPr>
        <vertAlign val="subscript"/>
        <sz val="12"/>
        <rFont val="Times New Roman"/>
        <family val="1"/>
      </rPr>
      <t>d</t>
    </r>
    <r>
      <rPr>
        <sz val="12"/>
        <rFont val="Times New Roman"/>
      </rPr>
      <t xml:space="preserve"> &gt;= 0</t>
    </r>
  </si>
  <si>
    <t>Enter Mean Paired Difference, dbar</t>
  </si>
  <si>
    <r>
      <t>H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m</t>
    </r>
    <r>
      <rPr>
        <vertAlign val="subscript"/>
        <sz val="12"/>
        <rFont val="Times New Roman"/>
        <family val="1"/>
      </rPr>
      <t>d</t>
    </r>
    <r>
      <rPr>
        <sz val="12"/>
        <rFont val="Times New Roman"/>
      </rPr>
      <t xml:space="preserve"> &lt; 0</t>
    </r>
  </si>
  <si>
    <r>
      <t>Enter SD of  Paired Differences, s</t>
    </r>
    <r>
      <rPr>
        <vertAlign val="subscript"/>
        <sz val="12"/>
        <rFont val="Times New Roman"/>
        <family val="1"/>
      </rPr>
      <t>d</t>
    </r>
  </si>
  <si>
    <t>Enter Sample Size (number of pairs)</t>
  </si>
  <si>
    <r>
      <t>difference = d</t>
    </r>
    <r>
      <rPr>
        <vertAlign val="subscript"/>
        <sz val="12"/>
        <rFont val="Times New Roman"/>
        <family val="1"/>
      </rPr>
      <t>i</t>
    </r>
    <r>
      <rPr>
        <sz val="12"/>
        <rFont val="Times New Roman"/>
      </rPr>
      <t xml:space="preserve"> =  x</t>
    </r>
    <r>
      <rPr>
        <vertAlign val="subscript"/>
        <sz val="12"/>
        <rFont val="Times New Roman"/>
        <family val="1"/>
      </rPr>
      <t>i</t>
    </r>
    <r>
      <rPr>
        <sz val="12"/>
        <rFont val="Times New Roman"/>
      </rPr>
      <t xml:space="preserve"> - y</t>
    </r>
    <r>
      <rPr>
        <vertAlign val="subscript"/>
        <sz val="12"/>
        <rFont val="Times New Roman"/>
        <family val="1"/>
      </rPr>
      <t>i</t>
    </r>
  </si>
  <si>
    <r>
      <t>mean paired difference = dbar = [xbar - ybar] = [mean of x</t>
    </r>
    <r>
      <rPr>
        <vertAlign val="subscript"/>
        <sz val="12"/>
        <rFont val="Times New Roman"/>
        <family val="1"/>
      </rPr>
      <t>i</t>
    </r>
    <r>
      <rPr>
        <sz val="12"/>
        <rFont val="Times New Roman"/>
      </rPr>
      <t>'s - mean of y</t>
    </r>
    <r>
      <rPr>
        <vertAlign val="subscript"/>
        <sz val="12"/>
        <rFont val="Times New Roman"/>
        <family val="1"/>
      </rPr>
      <t>i</t>
    </r>
    <r>
      <rPr>
        <sz val="12"/>
        <rFont val="Times New Roman"/>
      </rPr>
      <t>'s]</t>
    </r>
  </si>
  <si>
    <r>
      <t>std dev of differences = s</t>
    </r>
    <r>
      <rPr>
        <vertAlign val="subscript"/>
        <sz val="12"/>
        <rFont val="Times New Roman"/>
        <family val="1"/>
      </rPr>
      <t>d</t>
    </r>
    <r>
      <rPr>
        <sz val="12"/>
        <rFont val="Times New Roman"/>
      </rPr>
      <t xml:space="preserve"> = simple standard deviation of the pairs</t>
    </r>
  </si>
  <si>
    <t>since we reject the null hypothesis, we conclude that breast-fed babies have lower mean effusion than non-breast-fed babies</t>
  </si>
  <si>
    <t>there is no mean difference between the blood pressures sitting up or lying down</t>
  </si>
  <si>
    <t>a difference exists between the blood pressures lying down and sitting up</t>
  </si>
  <si>
    <t>bp-sitting</t>
  </si>
  <si>
    <t>bp-lying</t>
  </si>
  <si>
    <t>since we reject Ho, we conclude that a difference exists between the mean blood pressures lying down and sitting up</t>
  </si>
  <si>
    <t>(lying down is higher)</t>
  </si>
  <si>
    <t>the average number of colds with vitamin c is greater than or equal to the placebo group</t>
  </si>
  <si>
    <t>the average number of colds with vitamin c is less than the mean level with the placebo group</t>
  </si>
  <si>
    <r>
      <t>Two Sample Hypothesis Test Comparing Two Population Means [</t>
    </r>
    <r>
      <rPr>
        <b/>
        <sz val="14"/>
        <rFont val="Symbol"/>
        <family val="1"/>
        <charset val="2"/>
      </rPr>
      <t>s</t>
    </r>
    <r>
      <rPr>
        <b/>
        <sz val="14"/>
        <rFont val="Times New Roman"/>
        <family val="1"/>
      </rPr>
      <t>'s unknown and assumed equal]</t>
    </r>
  </si>
  <si>
    <t>The t-Test</t>
  </si>
  <si>
    <r>
      <t xml:space="preserve">(comparing two means, </t>
    </r>
    <r>
      <rPr>
        <i/>
        <sz val="12"/>
        <rFont val="Symbol"/>
        <family val="1"/>
        <charset val="2"/>
      </rPr>
      <t>m</t>
    </r>
    <r>
      <rPr>
        <i/>
        <vertAlign val="subscript"/>
        <sz val="12"/>
        <rFont val="Times New Roman"/>
        <family val="1"/>
      </rPr>
      <t>1</t>
    </r>
    <r>
      <rPr>
        <i/>
        <sz val="12"/>
        <rFont val="Times New Roman"/>
      </rPr>
      <t xml:space="preserve"> and </t>
    </r>
    <r>
      <rPr>
        <i/>
        <sz val="12"/>
        <rFont val="Symbol"/>
        <family val="1"/>
        <charset val="2"/>
      </rPr>
      <t>m</t>
    </r>
    <r>
      <rPr>
        <i/>
        <vertAlign val="subscript"/>
        <sz val="12"/>
        <rFont val="Times New Roman"/>
        <family val="1"/>
      </rPr>
      <t>2</t>
    </r>
    <r>
      <rPr>
        <i/>
        <sz val="12"/>
        <rFont val="Times New Roman"/>
      </rPr>
      <t xml:space="preserve"> -- a t-test)</t>
    </r>
  </si>
  <si>
    <t>vitamin c</t>
  </si>
  <si>
    <t>placebo</t>
  </si>
  <si>
    <r>
      <t>H</t>
    </r>
    <r>
      <rPr>
        <vertAlign val="subscript"/>
        <sz val="12"/>
        <rFont val="Times New Roman"/>
        <family val="1"/>
      </rPr>
      <t>0</t>
    </r>
    <r>
      <rPr>
        <sz val="12"/>
        <rFont val="Symbol"/>
        <family val="1"/>
        <charset val="2"/>
      </rPr>
      <t>: m</t>
    </r>
    <r>
      <rPr>
        <vertAlign val="subscript"/>
        <sz val="12"/>
        <rFont val="Times New Roman"/>
        <family val="1"/>
      </rPr>
      <t>1</t>
    </r>
    <r>
      <rPr>
        <sz val="12"/>
        <rFont val="Symbol"/>
        <family val="1"/>
        <charset val="2"/>
      </rPr>
      <t xml:space="preserve"> = m</t>
    </r>
    <r>
      <rPr>
        <vertAlign val="subscript"/>
        <sz val="12"/>
        <rFont val="Times New Roman"/>
        <family val="1"/>
      </rPr>
      <t>2</t>
    </r>
  </si>
  <si>
    <r>
      <t>H</t>
    </r>
    <r>
      <rPr>
        <vertAlign val="subscript"/>
        <sz val="12"/>
        <rFont val="Times New Roman"/>
        <family val="1"/>
      </rPr>
      <t>0</t>
    </r>
    <r>
      <rPr>
        <sz val="12"/>
        <rFont val="Symbol"/>
        <family val="1"/>
        <charset val="2"/>
      </rPr>
      <t>: m</t>
    </r>
    <r>
      <rPr>
        <vertAlign val="subscript"/>
        <sz val="12"/>
        <rFont val="Times New Roman"/>
        <family val="1"/>
      </rPr>
      <t>1</t>
    </r>
    <r>
      <rPr>
        <sz val="12"/>
        <rFont val="Symbol"/>
        <family val="1"/>
        <charset val="2"/>
      </rPr>
      <t xml:space="preserve"> &lt;= m</t>
    </r>
    <r>
      <rPr>
        <vertAlign val="subscript"/>
        <sz val="12"/>
        <rFont val="Times New Roman"/>
        <family val="1"/>
      </rPr>
      <t>2</t>
    </r>
  </si>
  <si>
    <r>
      <t>H</t>
    </r>
    <r>
      <rPr>
        <vertAlign val="subscript"/>
        <sz val="12"/>
        <rFont val="Times New Roman"/>
        <family val="1"/>
      </rPr>
      <t>1</t>
    </r>
    <r>
      <rPr>
        <sz val="12"/>
        <rFont val="Symbol"/>
        <family val="1"/>
        <charset val="2"/>
      </rPr>
      <t>: m</t>
    </r>
    <r>
      <rPr>
        <vertAlign val="subscript"/>
        <sz val="12"/>
        <rFont val="Times New Roman"/>
        <family val="1"/>
      </rPr>
      <t>1</t>
    </r>
    <r>
      <rPr>
        <sz val="12"/>
        <rFont val="Symbol"/>
        <family val="1"/>
        <charset val="2"/>
      </rPr>
      <t xml:space="preserve"> </t>
    </r>
    <r>
      <rPr>
        <sz val="12"/>
        <rFont val="Times New Roman"/>
        <family val="1"/>
      </rPr>
      <t>not=</t>
    </r>
    <r>
      <rPr>
        <sz val="12"/>
        <rFont val="Symbol"/>
        <family val="1"/>
        <charset val="2"/>
      </rPr>
      <t xml:space="preserve"> m</t>
    </r>
    <r>
      <rPr>
        <vertAlign val="subscript"/>
        <sz val="12"/>
        <rFont val="Times New Roman"/>
        <family val="1"/>
      </rPr>
      <t>2</t>
    </r>
  </si>
  <si>
    <r>
      <t>H</t>
    </r>
    <r>
      <rPr>
        <vertAlign val="subscript"/>
        <sz val="12"/>
        <rFont val="Times New Roman"/>
        <family val="1"/>
      </rPr>
      <t>1</t>
    </r>
    <r>
      <rPr>
        <sz val="12"/>
        <rFont val="Symbol"/>
        <family val="1"/>
        <charset val="2"/>
      </rPr>
      <t>: m</t>
    </r>
    <r>
      <rPr>
        <vertAlign val="subscript"/>
        <sz val="12"/>
        <rFont val="Times New Roman"/>
        <family val="1"/>
      </rPr>
      <t>1</t>
    </r>
    <r>
      <rPr>
        <sz val="12"/>
        <rFont val="Symbol"/>
        <family val="1"/>
        <charset val="2"/>
      </rPr>
      <t xml:space="preserve"> &gt; m</t>
    </r>
    <r>
      <rPr>
        <vertAlign val="subscript"/>
        <sz val="12"/>
        <rFont val="Times New Roman"/>
        <family val="1"/>
      </rPr>
      <t>2</t>
    </r>
  </si>
  <si>
    <r>
      <t>H</t>
    </r>
    <r>
      <rPr>
        <vertAlign val="subscript"/>
        <sz val="12"/>
        <rFont val="Times New Roman"/>
        <family val="1"/>
      </rPr>
      <t>0</t>
    </r>
    <r>
      <rPr>
        <sz val="12"/>
        <rFont val="Symbol"/>
        <family val="1"/>
        <charset val="2"/>
      </rPr>
      <t>: m</t>
    </r>
    <r>
      <rPr>
        <vertAlign val="subscript"/>
        <sz val="12"/>
        <rFont val="Times New Roman"/>
        <family val="1"/>
      </rPr>
      <t>1</t>
    </r>
    <r>
      <rPr>
        <sz val="12"/>
        <rFont val="Symbol"/>
        <family val="1"/>
        <charset val="2"/>
      </rPr>
      <t xml:space="preserve"> &gt;= m</t>
    </r>
    <r>
      <rPr>
        <vertAlign val="subscript"/>
        <sz val="12"/>
        <rFont val="Times New Roman"/>
        <family val="1"/>
      </rPr>
      <t>2</t>
    </r>
  </si>
  <si>
    <t>Enter Sample Mean (Group 1)</t>
  </si>
  <si>
    <r>
      <t>H</t>
    </r>
    <r>
      <rPr>
        <vertAlign val="subscript"/>
        <sz val="12"/>
        <rFont val="Times New Roman"/>
        <family val="1"/>
      </rPr>
      <t>1</t>
    </r>
    <r>
      <rPr>
        <sz val="12"/>
        <rFont val="Symbol"/>
        <family val="1"/>
        <charset val="2"/>
      </rPr>
      <t>: m</t>
    </r>
    <r>
      <rPr>
        <vertAlign val="subscript"/>
        <sz val="12"/>
        <rFont val="Times New Roman"/>
        <family val="1"/>
      </rPr>
      <t>1</t>
    </r>
    <r>
      <rPr>
        <sz val="12"/>
        <rFont val="Symbol"/>
        <family val="1"/>
        <charset val="2"/>
      </rPr>
      <t xml:space="preserve"> &lt; m</t>
    </r>
    <r>
      <rPr>
        <vertAlign val="subscript"/>
        <sz val="12"/>
        <rFont val="Times New Roman"/>
        <family val="1"/>
      </rPr>
      <t>2</t>
    </r>
  </si>
  <si>
    <t>Enter Sample Mean (Group 2)</t>
  </si>
  <si>
    <t>Enter Sample SD, s, (Group 1)</t>
  </si>
  <si>
    <t xml:space="preserve">Pooled </t>
  </si>
  <si>
    <t>Enter Sample SD, s, (Group 2)</t>
  </si>
  <si>
    <t>Variance, Sp=</t>
  </si>
  <si>
    <t>Enter Sample Size (Group 1)</t>
  </si>
  <si>
    <t>Enter Sample Size (Group 2)</t>
  </si>
  <si>
    <t>average</t>
  </si>
  <si>
    <t>std dev</t>
  </si>
  <si>
    <t>since we reject Ho, we conclude that the mean number of colds is less for those taking vitamin c</t>
  </si>
  <si>
    <t>Problem Four</t>
  </si>
  <si>
    <t>mean bp for high salt level group is less than or equal to the mean bp for the low salt level group</t>
  </si>
  <si>
    <t>mean bp for high salt level group is greater than the mean bp for the low salt level group</t>
  </si>
  <si>
    <t>Since we accept Ho, we conclude that we have insufficient evidence at the .05 level to conclude that</t>
  </si>
  <si>
    <t>mean bp for infants with high salt intake is greater than for those with low salt intake</t>
  </si>
  <si>
    <t>Hypothesis Tests for the Difference Between Two Proportions</t>
  </si>
  <si>
    <t>women with breast cancer have a lower than or equal rate of child-bearing after 30 than women not having breast cancer</t>
  </si>
  <si>
    <t>women with breast cancer have a higher rate of children after 30  than women not having breast cancer</t>
  </si>
  <si>
    <t>Two Sample Test Comparing Population Proportions</t>
  </si>
  <si>
    <r>
      <t xml:space="preserve">(comparing two population proportions,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</rPr>
      <t xml:space="preserve"> and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</rPr>
      <t>)</t>
    </r>
  </si>
  <si>
    <r>
      <t>H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</rPr>
      <t xml:space="preserve"> =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2</t>
    </r>
  </si>
  <si>
    <r>
      <t>H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</rPr>
      <t xml:space="preserve"> &lt;=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2</t>
    </r>
  </si>
  <si>
    <r>
      <t>H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</rPr>
      <t xml:space="preserve"> not = </t>
    </r>
    <r>
      <rPr>
        <sz val="12"/>
        <rFont val="Symbol"/>
        <family val="1"/>
        <charset val="2"/>
      </rPr>
      <t>p</t>
    </r>
    <r>
      <rPr>
        <vertAlign val="subscript"/>
        <sz val="12"/>
        <rFont val="Symbol"/>
        <family val="1"/>
        <charset val="2"/>
      </rPr>
      <t>2</t>
    </r>
  </si>
  <si>
    <r>
      <t>H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</rPr>
      <t xml:space="preserve"> &gt; </t>
    </r>
    <r>
      <rPr>
        <sz val="12"/>
        <rFont val="Symbol"/>
        <family val="1"/>
        <charset val="2"/>
      </rPr>
      <t>p</t>
    </r>
    <r>
      <rPr>
        <vertAlign val="subscript"/>
        <sz val="12"/>
        <rFont val="Symbol"/>
        <family val="1"/>
        <charset val="2"/>
      </rPr>
      <t>2</t>
    </r>
  </si>
  <si>
    <t>Group 1</t>
  </si>
  <si>
    <t>Group 2</t>
  </si>
  <si>
    <r>
      <t>H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</rPr>
      <t xml:space="preserve"> &gt;=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2</t>
    </r>
  </si>
  <si>
    <t>Data</t>
  </si>
  <si>
    <r>
      <t>H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</rPr>
      <t xml:space="preserve">: </t>
    </r>
    <r>
      <rPr>
        <sz val="12"/>
        <rFont val="Symbol"/>
        <family val="1"/>
        <charset val="2"/>
      </rPr>
      <t>p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</rPr>
      <t xml:space="preserve"> &lt; </t>
    </r>
    <r>
      <rPr>
        <sz val="12"/>
        <rFont val="Symbol"/>
        <family val="1"/>
        <charset val="2"/>
      </rPr>
      <t>p</t>
    </r>
    <r>
      <rPr>
        <vertAlign val="subscript"/>
        <sz val="12"/>
        <rFont val="Symbol"/>
        <family val="1"/>
        <charset val="2"/>
      </rPr>
      <t>2</t>
    </r>
  </si>
  <si>
    <t>Enter Sample Proportion</t>
  </si>
  <si>
    <t xml:space="preserve">Since we reject Ho, we conclude that yes, women with breast cancer have a higher rate </t>
  </si>
  <si>
    <t>of child-bearing after age 30 than those without cancer</t>
  </si>
  <si>
    <t>terbutaline and metoprolol rates are equal to terbutaline alone</t>
  </si>
  <si>
    <t>terbutaline and metoprolol rates are different</t>
  </si>
  <si>
    <t>(notice this hypothesis is back-asswards) we are interested in a Type II error)</t>
  </si>
  <si>
    <t>(t-alone)</t>
  </si>
  <si>
    <t>(t+m)</t>
  </si>
  <si>
    <t>Since we accept Ho, we have no reason to conclude that terbutaline + metoprolol in combination is different in</t>
  </si>
  <si>
    <t>effectiveness than terbutaline alone.</t>
  </si>
  <si>
    <t>Sample Size Problems</t>
  </si>
  <si>
    <t xml:space="preserve">Sample Size Needed When Testing the Mean of a Normal Distribution </t>
  </si>
  <si>
    <t>Using a One-Sided Test</t>
  </si>
  <si>
    <t>Estimate the Mean Difference Needed to be Detected</t>
  </si>
  <si>
    <t>Estimate the Population Standard Deviation</t>
  </si>
  <si>
    <r>
      <t xml:space="preserve">Enter the </t>
    </r>
    <r>
      <rPr>
        <sz val="12"/>
        <rFont val="Symbol"/>
        <family val="1"/>
        <charset val="2"/>
      </rPr>
      <t>a</t>
    </r>
    <r>
      <rPr>
        <sz val="12"/>
        <rFont val="Times New Roman"/>
      </rPr>
      <t xml:space="preserve"> Level Desired</t>
    </r>
  </si>
  <si>
    <r>
      <t xml:space="preserve">Enter the </t>
    </r>
    <r>
      <rPr>
        <sz val="12"/>
        <rFont val="Symbol"/>
        <family val="1"/>
        <charset val="2"/>
      </rPr>
      <t>b</t>
    </r>
    <r>
      <rPr>
        <sz val="12"/>
        <rFont val="Times New Roman"/>
      </rPr>
      <t xml:space="preserve"> Level Desired</t>
    </r>
  </si>
  <si>
    <t>Computed Sample Size</t>
  </si>
  <si>
    <t>Sample Sizes Needed for Comparing the Means of Two Normally</t>
  </si>
  <si>
    <t>Distributed Samples of Equal Size Using a Two Sided Test</t>
  </si>
  <si>
    <t>Estimate the Standard Deviation of the First Group</t>
  </si>
  <si>
    <t>Estimate the Standard Deviation of the Second Group</t>
  </si>
  <si>
    <t>Computed Sample Size for Each Group</t>
  </si>
  <si>
    <t>Distributed Samples of Equal Size Using a One-Sided Test</t>
  </si>
  <si>
    <t>Unclassified Problems</t>
  </si>
  <si>
    <t>This is a one-sample hypothesis test for a population mean with the population standard deviation, sigma, known.</t>
  </si>
  <si>
    <t>the mean serum creatinine level level for abusers is less than or equal to that of the normal population</t>
  </si>
  <si>
    <t>the mean serum creatinine level level for abusers is greater than that of the normal population</t>
  </si>
  <si>
    <r>
      <t>One Sample Hypothesis Test for a Population Mean [</t>
    </r>
    <r>
      <rPr>
        <b/>
        <sz val="14"/>
        <rFont val="Symbol"/>
        <family val="1"/>
        <charset val="2"/>
      </rPr>
      <t>s</t>
    </r>
    <r>
      <rPr>
        <b/>
        <sz val="14"/>
        <rFont val="Times New Roman"/>
        <family val="1"/>
      </rPr>
      <t>, the population std dev is known]</t>
    </r>
  </si>
  <si>
    <r>
      <t xml:space="preserve">(comparing a mean, </t>
    </r>
    <r>
      <rPr>
        <i/>
        <sz val="12"/>
        <rFont val="Symbol"/>
        <family val="1"/>
        <charset val="2"/>
      </rPr>
      <t>m</t>
    </r>
    <r>
      <rPr>
        <i/>
        <sz val="12"/>
        <rFont val="Times New Roman"/>
      </rPr>
      <t xml:space="preserve">, to a fixed standard, </t>
    </r>
    <r>
      <rPr>
        <i/>
        <sz val="12"/>
        <rFont val="Symbol"/>
        <family val="1"/>
        <charset val="2"/>
      </rPr>
      <t>m</t>
    </r>
    <r>
      <rPr>
        <i/>
        <vertAlign val="subscript"/>
        <sz val="12"/>
        <rFont val="Times New Roman"/>
        <family val="1"/>
      </rPr>
      <t>0</t>
    </r>
    <r>
      <rPr>
        <i/>
        <sz val="12"/>
        <rFont val="Times New Roman"/>
      </rPr>
      <t xml:space="preserve"> -- a z-test)</t>
    </r>
  </si>
  <si>
    <t>sample data</t>
  </si>
  <si>
    <r>
      <t xml:space="preserve">Enter the Population SD, </t>
    </r>
    <r>
      <rPr>
        <sz val="12"/>
        <rFont val="Symbol"/>
        <family val="1"/>
        <charset val="2"/>
      </rPr>
      <t>s</t>
    </r>
  </si>
  <si>
    <t>Since we reject Ho, we conclude that the mean serum creatinine level is higher in analgesic abusers</t>
  </si>
  <si>
    <r>
      <t xml:space="preserve">We want to determine if the bronchodilator </t>
    </r>
    <r>
      <rPr>
        <b/>
        <u/>
        <sz val="12"/>
        <rFont val="Times New Roman"/>
        <family val="1"/>
      </rPr>
      <t>improves</t>
    </r>
    <r>
      <rPr>
        <sz val="12"/>
        <rFont val="Times New Roman"/>
      </rPr>
      <t xml:space="preserve"> respiratory function</t>
    </r>
  </si>
  <si>
    <t xml:space="preserve">Ho: the rate of tumors in mice exposed to smoke is less than or equal to the rate in the non-exposed group </t>
  </si>
  <si>
    <t>H1: the rate of tumors in mice exposed to smoke is greater than the rate in the non-exposed group</t>
  </si>
  <si>
    <t>Since we accept Ho, we conclude that we have insufficient evidence to conclude that the smoke of the cigarette papers</t>
  </si>
  <si>
    <t>increases the tumor rate in rats.</t>
  </si>
  <si>
    <t>Ho: the mean log tincture for the standard dose is equal to the unknown dose</t>
  </si>
  <si>
    <t>H1: the mean log tincture for the standard dose id unequal to the unknown dose</t>
  </si>
  <si>
    <t>Std</t>
  </si>
  <si>
    <t>Unknown</t>
  </si>
  <si>
    <t>Mean=</t>
  </si>
  <si>
    <t>StdDev=</t>
  </si>
  <si>
    <t>Reject Ho; conclude that the mean unknown dose to fatality is different (greater) than the mean standard dose</t>
  </si>
  <si>
    <t>Problem Five</t>
  </si>
  <si>
    <t>Ho: the mean difference before-after = 0</t>
  </si>
  <si>
    <t>H1: the mean difference is not equal to 0</t>
  </si>
  <si>
    <t>d=bef-aft</t>
  </si>
  <si>
    <t>bp-before</t>
  </si>
  <si>
    <t>bp-after</t>
  </si>
  <si>
    <t>Reject Ho and conclude that the drug affects (increases) blood pressure,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</si>
</sst>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18" x14ac:knownFonts="1"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b/>
      <sz val="16"/>
      <name val="Times New Roman"/>
      <family val="1"/>
    </font>
    <font>
      <vertAlign val="subscript"/>
      <sz val="12"/>
      <name val="Times New Roman"/>
      <family val="1"/>
    </font>
    <font>
      <b/>
      <sz val="14"/>
      <name val="Times New Roman"/>
      <family val="1"/>
    </font>
    <font>
      <b/>
      <sz val="14"/>
      <name val="Symbol"/>
      <family val="1"/>
      <charset val="2"/>
    </font>
    <font>
      <i/>
      <sz val="12"/>
      <name val="Symbol"/>
      <family val="1"/>
      <charset val="2"/>
    </font>
    <font>
      <i/>
      <vertAlign val="subscript"/>
      <sz val="12"/>
      <name val="Times New Roman"/>
      <family val="1"/>
    </font>
    <font>
      <u/>
      <sz val="12"/>
      <name val="Times New Roman"/>
      <family val="1"/>
    </font>
    <font>
      <sz val="12"/>
      <name val="Symbol"/>
      <family val="1"/>
      <charset val="2"/>
    </font>
    <font>
      <sz val="12"/>
      <name val="Times New Roman"/>
      <family val="1"/>
    </font>
    <font>
      <b/>
      <sz val="16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vertAlign val="subscript"/>
      <sz val="12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left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Protection="1"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172" fontId="0" fillId="0" borderId="6" xfId="0" applyNumberFormat="1" applyBorder="1" applyAlignment="1">
      <alignment horizontal="right"/>
    </xf>
    <xf numFmtId="172" fontId="0" fillId="0" borderId="3" xfId="0" applyNumberFormat="1" applyBorder="1"/>
    <xf numFmtId="172" fontId="0" fillId="0" borderId="8" xfId="0" applyNumberFormat="1" applyBorder="1"/>
    <xf numFmtId="172" fontId="0" fillId="0" borderId="9" xfId="0" applyNumberForma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1" borderId="3" xfId="0" applyFill="1" applyBorder="1" applyAlignment="1">
      <alignment horizontal="center"/>
    </xf>
    <xf numFmtId="0" fontId="0" fillId="1" borderId="5" xfId="0" applyFill="1" applyBorder="1" applyAlignment="1">
      <alignment horizontal="center"/>
    </xf>
    <xf numFmtId="0" fontId="0" fillId="1" borderId="6" xfId="0" applyFill="1" applyBorder="1" applyAlignment="1">
      <alignment horizontal="center"/>
    </xf>
    <xf numFmtId="172" fontId="0" fillId="1" borderId="6" xfId="0" applyNumberFormat="1" applyFill="1" applyBorder="1" applyAlignment="1">
      <alignment horizontal="right"/>
    </xf>
    <xf numFmtId="172" fontId="0" fillId="1" borderId="3" xfId="0" applyNumberFormat="1" applyFill="1" applyBorder="1"/>
    <xf numFmtId="0" fontId="0" fillId="0" borderId="0" xfId="0" applyBorder="1" applyAlignment="1">
      <alignment horizontal="center" textRotation="180"/>
    </xf>
    <xf numFmtId="0" fontId="9" fillId="1" borderId="0" xfId="0" applyFont="1" applyFill="1"/>
    <xf numFmtId="0" fontId="0" fillId="1" borderId="0" xfId="0" applyFill="1"/>
    <xf numFmtId="0" fontId="10" fillId="1" borderId="0" xfId="0" applyFont="1" applyFill="1"/>
    <xf numFmtId="0" fontId="1" fillId="1" borderId="0" xfId="0" applyFont="1" applyFill="1"/>
    <xf numFmtId="0" fontId="0" fillId="0" borderId="0" xfId="0" applyBorder="1" applyAlignment="1">
      <alignment horizontal="left"/>
    </xf>
    <xf numFmtId="0" fontId="0" fillId="0" borderId="0" xfId="0" quotePrefix="1" applyBorder="1"/>
    <xf numFmtId="0" fontId="0" fillId="0" borderId="0" xfId="0" quotePrefix="1" applyBorder="1" applyAlignment="1">
      <alignment horizontal="left"/>
    </xf>
    <xf numFmtId="0" fontId="0" fillId="0" borderId="0" xfId="0" applyBorder="1" applyAlignment="1">
      <alignment horizontal="right"/>
    </xf>
    <xf numFmtId="0" fontId="3" fillId="0" borderId="0" xfId="0" applyFont="1" applyBorder="1"/>
    <xf numFmtId="0" fontId="13" fillId="0" borderId="0" xfId="0" applyFont="1"/>
    <xf numFmtId="0" fontId="14" fillId="0" borderId="0" xfId="0" applyFont="1"/>
    <xf numFmtId="0" fontId="12" fillId="0" borderId="1" xfId="0" applyFont="1" applyBorder="1"/>
    <xf numFmtId="0" fontId="3" fillId="0" borderId="1" xfId="0" applyFont="1" applyBorder="1"/>
    <xf numFmtId="0" fontId="1" fillId="1" borderId="0" xfId="0" applyFont="1" applyFill="1" applyBorder="1"/>
    <xf numFmtId="0" fontId="0" fillId="1" borderId="0" xfId="0" applyFill="1" applyBorder="1"/>
    <xf numFmtId="0" fontId="1" fillId="2" borderId="0" xfId="0" applyFont="1" applyFill="1"/>
    <xf numFmtId="0" fontId="0" fillId="2" borderId="0" xfId="0" applyFill="1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15" fillId="0" borderId="0" xfId="0" applyFont="1" applyAlignment="1">
      <alignment horizontal="right"/>
    </xf>
    <xf numFmtId="0" fontId="9" fillId="2" borderId="0" xfId="0" applyFont="1" applyFill="1"/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72" fontId="0" fillId="2" borderId="6" xfId="0" applyNumberFormat="1" applyFill="1" applyBorder="1" applyAlignment="1">
      <alignment horizontal="right"/>
    </xf>
    <xf numFmtId="172" fontId="0" fillId="2" borderId="3" xfId="0" applyNumberFormat="1" applyFill="1" applyBorder="1"/>
    <xf numFmtId="0" fontId="16" fillId="0" borderId="0" xfId="0" applyFont="1" applyAlignment="1">
      <alignment horizontal="right"/>
    </xf>
    <xf numFmtId="0" fontId="0" fillId="2" borderId="4" xfId="0" applyFill="1" applyBorder="1" applyAlignment="1">
      <alignment horizontal="center"/>
    </xf>
    <xf numFmtId="172" fontId="0" fillId="2" borderId="9" xfId="0" applyNumberFormat="1" applyFill="1" applyBorder="1"/>
    <xf numFmtId="172" fontId="0" fillId="2" borderId="8" xfId="0" applyNumberFormat="1" applyFill="1" applyBorder="1"/>
    <xf numFmtId="0" fontId="5" fillId="0" borderId="2" xfId="0" applyFont="1" applyBorder="1"/>
    <xf numFmtId="0" fontId="0" fillId="0" borderId="0" xfId="0" applyAlignment="1">
      <alignment horizontal="left"/>
    </xf>
    <xf numFmtId="0" fontId="0" fillId="0" borderId="6" xfId="0" applyBorder="1" applyAlignment="1">
      <alignment horizontal="right"/>
    </xf>
    <xf numFmtId="0" fontId="10" fillId="2" borderId="0" xfId="0" applyFont="1" applyFill="1"/>
    <xf numFmtId="0" fontId="0" fillId="2" borderId="6" xfId="0" applyFill="1" applyBorder="1" applyAlignment="1">
      <alignment horizontal="right"/>
    </xf>
    <xf numFmtId="172" fontId="0" fillId="0" borderId="0" xfId="0" applyNumberFormat="1" applyBorder="1"/>
    <xf numFmtId="0" fontId="0" fillId="0" borderId="0" xfId="0" applyProtection="1">
      <protection locked="0"/>
    </xf>
    <xf numFmtId="172" fontId="0" fillId="0" borderId="0" xfId="0" applyNumberFormat="1"/>
    <xf numFmtId="172" fontId="0" fillId="2" borderId="0" xfId="0" applyNumberFormat="1" applyFill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98"/>
  <sheetViews>
    <sheetView tabSelected="1" zoomScale="75" workbookViewId="0">
      <selection activeCell="J11" sqref="J11"/>
    </sheetView>
  </sheetViews>
  <sheetFormatPr defaultRowHeight="15.5" x14ac:dyDescent="0.35"/>
  <cols>
    <col min="1" max="1" width="10.33203125" customWidth="1"/>
    <col min="2" max="2" width="13.58203125" customWidth="1"/>
    <col min="6" max="7" width="10.58203125" customWidth="1"/>
    <col min="8" max="8" width="10.25" customWidth="1"/>
    <col min="10" max="10" width="10.08203125" customWidth="1"/>
  </cols>
  <sheetData>
    <row r="1" spans="1:9" s="38" customFormat="1" ht="23" x14ac:dyDescent="0.5">
      <c r="A1" s="37" t="s">
        <v>0</v>
      </c>
    </row>
    <row r="2" spans="1:9" x14ac:dyDescent="0.35">
      <c r="A2" s="1" t="s">
        <v>1</v>
      </c>
    </row>
    <row r="3" spans="1:9" ht="16" thickBot="1" x14ac:dyDescent="0.4"/>
    <row r="4" spans="1:9" ht="20.5" thickBot="1" x14ac:dyDescent="0.45">
      <c r="A4" s="40" t="s">
        <v>2</v>
      </c>
      <c r="B4" s="15"/>
      <c r="C4" s="15"/>
      <c r="D4" s="15"/>
      <c r="E4" s="15"/>
      <c r="F4" s="15"/>
      <c r="G4" s="15"/>
      <c r="H4" s="15"/>
      <c r="I4" s="9"/>
    </row>
    <row r="5" spans="1:9" ht="20" x14ac:dyDescent="0.4">
      <c r="A5" s="36"/>
      <c r="B5" s="20"/>
      <c r="C5" s="20"/>
      <c r="D5" s="20"/>
      <c r="E5" s="20"/>
      <c r="F5" s="20"/>
      <c r="G5" s="20"/>
      <c r="H5" s="20"/>
      <c r="I5" s="20"/>
    </row>
    <row r="6" spans="1:9" x14ac:dyDescent="0.35">
      <c r="A6" s="41" t="s">
        <v>3</v>
      </c>
      <c r="B6" s="42"/>
      <c r="C6" s="42"/>
      <c r="D6" s="42"/>
      <c r="E6" s="42"/>
      <c r="F6" s="42"/>
      <c r="G6" s="42"/>
      <c r="H6" s="42"/>
      <c r="I6" s="42"/>
    </row>
    <row r="7" spans="1:9" x14ac:dyDescent="0.35">
      <c r="A7" s="20"/>
      <c r="B7" s="20"/>
      <c r="C7" s="20"/>
      <c r="D7" s="20"/>
      <c r="E7" s="20"/>
      <c r="F7" s="20"/>
      <c r="G7" s="20"/>
      <c r="H7" s="20"/>
      <c r="I7" s="20"/>
    </row>
    <row r="8" spans="1:9" x14ac:dyDescent="0.35">
      <c r="A8" s="35" t="s">
        <v>4</v>
      </c>
      <c r="B8" s="32">
        <f>TINV(0.05,100-1)</f>
        <v>1.9842173060169443</v>
      </c>
      <c r="C8" s="20"/>
      <c r="D8" s="33" t="s">
        <v>5</v>
      </c>
      <c r="E8" s="20"/>
      <c r="F8" s="20"/>
      <c r="G8" s="20"/>
      <c r="H8" s="20"/>
      <c r="I8" s="20"/>
    </row>
    <row r="9" spans="1:9" x14ac:dyDescent="0.35">
      <c r="A9" s="35" t="s">
        <v>6</v>
      </c>
      <c r="B9" s="32">
        <v>181.52</v>
      </c>
      <c r="C9" s="20"/>
      <c r="D9" s="20"/>
      <c r="E9" s="20"/>
      <c r="F9" s="20"/>
      <c r="G9" s="20"/>
      <c r="H9" s="20"/>
      <c r="I9" s="20"/>
    </row>
    <row r="10" spans="1:9" x14ac:dyDescent="0.35">
      <c r="A10" s="35" t="s">
        <v>7</v>
      </c>
      <c r="B10" s="32">
        <v>39.43</v>
      </c>
      <c r="C10" s="20"/>
      <c r="D10" s="20"/>
      <c r="E10" s="20"/>
      <c r="F10" s="20"/>
      <c r="G10" s="20"/>
      <c r="H10" s="20"/>
      <c r="I10" s="20"/>
    </row>
    <row r="11" spans="1:9" x14ac:dyDescent="0.35">
      <c r="A11" s="35" t="s">
        <v>8</v>
      </c>
      <c r="B11" s="32">
        <v>100</v>
      </c>
      <c r="C11" s="20"/>
      <c r="D11" s="20"/>
      <c r="E11" s="20"/>
      <c r="F11" s="20"/>
      <c r="G11" s="20"/>
      <c r="H11" s="20"/>
      <c r="I11" s="20"/>
    </row>
    <row r="12" spans="1:9" x14ac:dyDescent="0.35">
      <c r="A12" s="20" t="s">
        <v>9</v>
      </c>
      <c r="B12" s="20"/>
      <c r="C12" s="20">
        <f>B9-B8*B10/SQRT(B11)</f>
        <v>173.6962311623752</v>
      </c>
      <c r="D12" s="20"/>
      <c r="E12" s="20"/>
      <c r="F12" s="20"/>
      <c r="G12" s="20"/>
      <c r="H12" s="20"/>
      <c r="I12" s="20"/>
    </row>
    <row r="13" spans="1:9" x14ac:dyDescent="0.35">
      <c r="A13" s="20" t="s">
        <v>10</v>
      </c>
      <c r="B13" s="20"/>
      <c r="C13" s="20">
        <f>B9+B8*B10/SQRT(B11)</f>
        <v>189.34376883762482</v>
      </c>
      <c r="D13" s="20"/>
      <c r="E13" s="20"/>
      <c r="F13" s="20"/>
      <c r="G13" s="20"/>
      <c r="H13" s="20"/>
      <c r="I13" s="20"/>
    </row>
    <row r="14" spans="1:9" x14ac:dyDescent="0.35">
      <c r="A14" s="20" t="s">
        <v>11</v>
      </c>
      <c r="B14" s="20"/>
      <c r="C14" s="20"/>
      <c r="D14" s="20"/>
      <c r="E14" s="20"/>
      <c r="F14" s="20"/>
      <c r="G14" s="20"/>
      <c r="H14" s="20"/>
      <c r="I14" s="20"/>
    </row>
    <row r="15" spans="1:9" x14ac:dyDescent="0.35">
      <c r="A15" s="20"/>
      <c r="B15" s="20"/>
      <c r="C15" s="20"/>
      <c r="D15" s="20"/>
      <c r="E15" s="20"/>
      <c r="F15" s="20"/>
      <c r="G15" s="20"/>
      <c r="H15" s="20"/>
      <c r="I15" s="20"/>
    </row>
    <row r="16" spans="1:9" x14ac:dyDescent="0.35">
      <c r="A16" s="41" t="s">
        <v>12</v>
      </c>
      <c r="B16" s="42"/>
      <c r="C16" s="42"/>
      <c r="D16" s="42"/>
      <c r="E16" s="42"/>
      <c r="F16" s="42"/>
      <c r="G16" s="42"/>
      <c r="H16" s="42"/>
      <c r="I16" s="42"/>
    </row>
    <row r="17" spans="1:9" x14ac:dyDescent="0.35">
      <c r="A17" s="20"/>
      <c r="B17" s="20"/>
      <c r="C17" s="20"/>
      <c r="D17" s="20"/>
      <c r="E17" s="20"/>
      <c r="F17" s="20"/>
      <c r="G17" s="20"/>
      <c r="H17" s="20"/>
      <c r="I17" s="20"/>
    </row>
    <row r="18" spans="1:9" x14ac:dyDescent="0.35">
      <c r="A18" s="35" t="s">
        <v>13</v>
      </c>
      <c r="B18" s="32">
        <f>NORMSINV(0.95)</f>
        <v>1.6448530004709028</v>
      </c>
      <c r="C18" s="20"/>
      <c r="D18" s="34" t="s">
        <v>14</v>
      </c>
      <c r="E18" s="20"/>
      <c r="F18" s="20"/>
      <c r="G18" s="20"/>
      <c r="H18" s="20"/>
      <c r="I18" s="20"/>
    </row>
    <row r="19" spans="1:9" x14ac:dyDescent="0.35">
      <c r="A19" s="35" t="s">
        <v>15</v>
      </c>
      <c r="B19" s="32">
        <f>70/125</f>
        <v>0.56000000000000005</v>
      </c>
      <c r="C19" s="20"/>
      <c r="D19" s="20"/>
      <c r="E19" s="20"/>
      <c r="F19" s="20"/>
      <c r="G19" s="20"/>
      <c r="H19" s="20"/>
      <c r="I19" s="20"/>
    </row>
    <row r="20" spans="1:9" x14ac:dyDescent="0.35">
      <c r="A20" s="35" t="s">
        <v>8</v>
      </c>
      <c r="B20" s="32">
        <v>125</v>
      </c>
      <c r="C20" s="20"/>
      <c r="D20" s="20"/>
      <c r="E20" s="20"/>
      <c r="F20" s="20"/>
      <c r="G20" s="20"/>
      <c r="H20" s="20"/>
      <c r="I20" s="20"/>
    </row>
    <row r="21" spans="1:9" x14ac:dyDescent="0.35">
      <c r="A21" s="20" t="s">
        <v>9</v>
      </c>
      <c r="B21" s="20"/>
      <c r="C21" s="20">
        <f>B19-B18*SQRT((B19*(1-B19))/B20)</f>
        <v>0.4869714905383295</v>
      </c>
      <c r="D21" s="20"/>
      <c r="E21" s="20"/>
      <c r="F21" s="20"/>
      <c r="G21" s="20"/>
      <c r="H21" s="20"/>
      <c r="I21" s="20"/>
    </row>
    <row r="22" spans="1:9" x14ac:dyDescent="0.35">
      <c r="A22" s="20" t="s">
        <v>10</v>
      </c>
      <c r="B22" s="20"/>
      <c r="C22" s="20">
        <f>B19+B18*SQRT((B19*(1-B19))/B20)</f>
        <v>0.63302850946167066</v>
      </c>
      <c r="D22" s="20"/>
      <c r="E22" s="20"/>
      <c r="F22" s="20"/>
      <c r="G22" s="20"/>
      <c r="H22" s="20"/>
      <c r="I22" s="20"/>
    </row>
    <row r="23" spans="1:9" x14ac:dyDescent="0.35">
      <c r="A23" s="20" t="s">
        <v>16</v>
      </c>
      <c r="B23" s="20"/>
      <c r="C23" s="20"/>
      <c r="D23" s="20"/>
      <c r="E23" s="20"/>
      <c r="F23" s="20"/>
      <c r="G23" s="20"/>
      <c r="H23" s="20"/>
      <c r="I23" s="20"/>
    </row>
    <row r="24" spans="1:9" x14ac:dyDescent="0.35">
      <c r="A24" s="20" t="s">
        <v>17</v>
      </c>
      <c r="B24" s="20"/>
      <c r="C24" s="20"/>
      <c r="D24" s="20"/>
      <c r="E24" s="20"/>
      <c r="F24" s="20"/>
      <c r="G24" s="20"/>
      <c r="H24" s="20"/>
      <c r="I24" s="20"/>
    </row>
    <row r="25" spans="1:9" x14ac:dyDescent="0.35">
      <c r="A25" s="20"/>
      <c r="B25" s="20"/>
      <c r="C25" s="20"/>
      <c r="D25" s="20"/>
      <c r="E25" s="20"/>
      <c r="F25" s="20"/>
      <c r="G25" s="20"/>
      <c r="H25" s="20"/>
      <c r="I25" s="20"/>
    </row>
    <row r="26" spans="1:9" ht="16" thickBot="1" x14ac:dyDescent="0.4"/>
    <row r="27" spans="1:9" ht="20.5" thickBot="1" x14ac:dyDescent="0.45">
      <c r="A27" s="40" t="s">
        <v>18</v>
      </c>
      <c r="B27" s="15"/>
      <c r="C27" s="15"/>
      <c r="D27" s="15"/>
      <c r="E27" s="15"/>
      <c r="F27" s="15"/>
      <c r="G27" s="15"/>
      <c r="H27" s="15"/>
      <c r="I27" s="9"/>
    </row>
    <row r="29" spans="1:9" x14ac:dyDescent="0.35">
      <c r="A29" s="31" t="s">
        <v>3</v>
      </c>
      <c r="B29" s="29"/>
      <c r="C29" s="29"/>
      <c r="D29" s="29"/>
      <c r="E29" s="29"/>
      <c r="F29" s="29"/>
      <c r="G29" s="29"/>
      <c r="H29" s="29"/>
      <c r="I29" s="29"/>
    </row>
    <row r="30" spans="1:9" x14ac:dyDescent="0.35">
      <c r="A30" t="s">
        <v>19</v>
      </c>
    </row>
    <row r="31" spans="1:9" x14ac:dyDescent="0.35">
      <c r="A31" t="s">
        <v>20</v>
      </c>
      <c r="C31" t="s">
        <v>21</v>
      </c>
    </row>
    <row r="32" spans="1:9" x14ac:dyDescent="0.35">
      <c r="A32" t="s">
        <v>22</v>
      </c>
      <c r="C32" t="s">
        <v>23</v>
      </c>
    </row>
    <row r="34" spans="1:9" x14ac:dyDescent="0.35">
      <c r="A34" t="s">
        <v>24</v>
      </c>
      <c r="E34">
        <f>NORMSINV(0.95)</f>
        <v>1.6448530004709028</v>
      </c>
      <c r="G34" s="4" t="s">
        <v>14</v>
      </c>
    </row>
    <row r="36" spans="1:9" ht="17.5" x14ac:dyDescent="0.45">
      <c r="A36" s="3" t="s">
        <v>25</v>
      </c>
      <c r="B36">
        <v>130</v>
      </c>
    </row>
    <row r="37" spans="1:9" x14ac:dyDescent="0.35">
      <c r="A37" s="3" t="s">
        <v>26</v>
      </c>
      <c r="B37">
        <v>20</v>
      </c>
    </row>
    <row r="38" spans="1:9" x14ac:dyDescent="0.35">
      <c r="A38" s="3" t="s">
        <v>8</v>
      </c>
      <c r="B38">
        <v>85</v>
      </c>
    </row>
    <row r="39" spans="1:9" x14ac:dyDescent="0.35">
      <c r="A39" s="3" t="s">
        <v>6</v>
      </c>
      <c r="B39">
        <v>135</v>
      </c>
    </row>
    <row r="41" spans="1:9" x14ac:dyDescent="0.35">
      <c r="A41" t="s">
        <v>27</v>
      </c>
      <c r="B41">
        <f>(135-130)/(20/SQRT(85))</f>
        <v>2.3048861143232218</v>
      </c>
      <c r="D41" t="s">
        <v>28</v>
      </c>
    </row>
    <row r="42" spans="1:9" x14ac:dyDescent="0.35">
      <c r="A42" t="s">
        <v>29</v>
      </c>
    </row>
    <row r="44" spans="1:9" x14ac:dyDescent="0.35">
      <c r="A44" t="s">
        <v>30</v>
      </c>
    </row>
    <row r="45" spans="1:9" x14ac:dyDescent="0.35">
      <c r="A45" t="s">
        <v>31</v>
      </c>
    </row>
    <row r="48" spans="1:9" x14ac:dyDescent="0.35">
      <c r="A48" s="31" t="s">
        <v>12</v>
      </c>
      <c r="B48" s="31"/>
      <c r="C48" s="31"/>
      <c r="D48" s="31"/>
      <c r="E48" s="31"/>
      <c r="F48" s="31"/>
      <c r="G48" s="31"/>
      <c r="H48" s="31"/>
      <c r="I48" s="31"/>
    </row>
    <row r="50" spans="1:8" x14ac:dyDescent="0.35">
      <c r="A50" t="s">
        <v>20</v>
      </c>
      <c r="C50" t="s">
        <v>32</v>
      </c>
    </row>
    <row r="51" spans="1:8" x14ac:dyDescent="0.35">
      <c r="A51" t="s">
        <v>22</v>
      </c>
      <c r="C51" t="s">
        <v>33</v>
      </c>
    </row>
    <row r="54" spans="1:8" ht="18" x14ac:dyDescent="0.4">
      <c r="A54" s="5" t="s">
        <v>34</v>
      </c>
    </row>
    <row r="55" spans="1:8" ht="17.5" x14ac:dyDescent="0.45">
      <c r="A55" s="1" t="s">
        <v>35</v>
      </c>
    </row>
    <row r="56" spans="1:8" x14ac:dyDescent="0.35">
      <c r="A56" s="1"/>
    </row>
    <row r="57" spans="1:8" x14ac:dyDescent="0.35">
      <c r="A57" s="6" t="s">
        <v>36</v>
      </c>
      <c r="F57" s="28" t="s">
        <v>37</v>
      </c>
      <c r="G57" s="28"/>
      <c r="H57" s="29"/>
    </row>
    <row r="58" spans="1:8" ht="17.5" x14ac:dyDescent="0.45">
      <c r="A58" s="7" t="s">
        <v>38</v>
      </c>
      <c r="F58" s="30" t="s">
        <v>39</v>
      </c>
      <c r="G58" s="29"/>
      <c r="H58" s="29"/>
    </row>
    <row r="59" spans="1:8" ht="17.5" x14ac:dyDescent="0.45">
      <c r="A59" s="7" t="s">
        <v>40</v>
      </c>
      <c r="F59" s="30" t="s">
        <v>41</v>
      </c>
      <c r="G59" s="29"/>
      <c r="H59" s="29"/>
    </row>
    <row r="61" spans="1:8" x14ac:dyDescent="0.35">
      <c r="F61" s="6" t="s">
        <v>42</v>
      </c>
    </row>
    <row r="62" spans="1:8" ht="19" thickBot="1" x14ac:dyDescent="0.5">
      <c r="A62" s="5" t="s">
        <v>43</v>
      </c>
      <c r="B62" s="5"/>
      <c r="F62" s="7" t="s">
        <v>44</v>
      </c>
    </row>
    <row r="63" spans="1:8" ht="18" thickBot="1" x14ac:dyDescent="0.5">
      <c r="A63" s="8" t="s">
        <v>45</v>
      </c>
      <c r="B63" s="9"/>
      <c r="C63" s="10">
        <v>135.69999999999999</v>
      </c>
      <c r="F63" s="7" t="s">
        <v>46</v>
      </c>
    </row>
    <row r="64" spans="1:8" ht="16" thickBot="1" x14ac:dyDescent="0.4">
      <c r="A64" s="8" t="s">
        <v>47</v>
      </c>
      <c r="B64" s="9"/>
      <c r="C64" s="10">
        <v>11.1</v>
      </c>
    </row>
    <row r="65" spans="1:10" ht="16" thickBot="1" x14ac:dyDescent="0.4">
      <c r="A65" s="8" t="s">
        <v>48</v>
      </c>
      <c r="B65" s="9"/>
      <c r="C65" s="10">
        <v>38</v>
      </c>
    </row>
    <row r="66" spans="1:10" ht="18" thickBot="1" x14ac:dyDescent="0.5">
      <c r="A66" s="8" t="s">
        <v>49</v>
      </c>
      <c r="B66" s="9"/>
      <c r="C66" s="10">
        <v>128.6</v>
      </c>
    </row>
    <row r="67" spans="1:10" ht="16" thickBot="1" x14ac:dyDescent="0.4">
      <c r="A67" s="8" t="s">
        <v>50</v>
      </c>
      <c r="B67" s="9"/>
      <c r="C67" s="10">
        <v>0.01</v>
      </c>
      <c r="G67" s="22" t="s">
        <v>51</v>
      </c>
      <c r="H67" s="11" t="s">
        <v>52</v>
      </c>
    </row>
    <row r="68" spans="1:10" x14ac:dyDescent="0.35">
      <c r="F68" s="12" t="s">
        <v>53</v>
      </c>
      <c r="G68" s="23" t="s">
        <v>54</v>
      </c>
      <c r="H68" s="13" t="s">
        <v>54</v>
      </c>
    </row>
    <row r="69" spans="1:10" ht="18" thickBot="1" x14ac:dyDescent="0.4">
      <c r="A69" s="5" t="s">
        <v>55</v>
      </c>
      <c r="F69" s="14" t="s">
        <v>56</v>
      </c>
      <c r="G69" s="24" t="s">
        <v>56</v>
      </c>
      <c r="H69" s="14" t="s">
        <v>56</v>
      </c>
    </row>
    <row r="70" spans="1:10" ht="16" thickBot="1" x14ac:dyDescent="0.4">
      <c r="A70" s="8" t="s">
        <v>57</v>
      </c>
      <c r="B70" s="15"/>
      <c r="C70" s="15"/>
      <c r="D70" s="15"/>
      <c r="E70" s="9"/>
      <c r="F70" s="16">
        <f>+C67/2</f>
        <v>5.0000000000000001E-3</v>
      </c>
      <c r="G70" s="25">
        <f>+C67</f>
        <v>0.01</v>
      </c>
      <c r="H70" s="16">
        <f>+C67</f>
        <v>0.01</v>
      </c>
    </row>
    <row r="71" spans="1:10" ht="16" thickBot="1" x14ac:dyDescent="0.4">
      <c r="A71" s="8" t="s">
        <v>58</v>
      </c>
      <c r="B71" s="15"/>
      <c r="C71" s="15"/>
      <c r="D71" s="15"/>
      <c r="E71" s="9"/>
      <c r="F71" s="17">
        <f>(C63-C66)/(C64/SQRT(C65))</f>
        <v>3.9430035514486215</v>
      </c>
      <c r="G71" s="26">
        <f t="shared" ref="G71:H71" si="0">+F71</f>
        <v>3.9430035514486215</v>
      </c>
      <c r="H71" s="17">
        <f t="shared" si="0"/>
        <v>3.9430035514486215</v>
      </c>
    </row>
    <row r="72" spans="1:10" ht="16.5" thickTop="1" thickBot="1" x14ac:dyDescent="0.4">
      <c r="A72" s="8" t="s">
        <v>59</v>
      </c>
      <c r="B72" s="15"/>
      <c r="C72" s="15"/>
      <c r="D72" s="15"/>
      <c r="E72" s="18">
        <f>TINV(F70*2,C65-1)</f>
        <v>2.71540557150729</v>
      </c>
      <c r="F72" s="19">
        <f>-TINV(F70*2,C65-1)</f>
        <v>-2.71540557150729</v>
      </c>
      <c r="G72" s="26">
        <f>TINV(G70*2,C65-1)</f>
        <v>2.4314431357197464</v>
      </c>
      <c r="H72" s="17">
        <f>-TINV(H70*2,C65-1)</f>
        <v>-2.4314431357197464</v>
      </c>
    </row>
    <row r="73" spans="1:10" ht="16.5" thickTop="1" thickBot="1" x14ac:dyDescent="0.4">
      <c r="A73" s="8" t="s">
        <v>60</v>
      </c>
      <c r="B73" s="15"/>
      <c r="C73" s="15"/>
      <c r="D73" s="15"/>
      <c r="E73" s="9"/>
      <c r="F73" s="11" t="str">
        <f>IF(OR(F71&gt;E72,F71&lt;F72),"Reject Null","Accept Null")</f>
        <v>Reject Null</v>
      </c>
      <c r="G73" s="22" t="str">
        <f>IF(G71&gt;G72,"Reject Null","Accept Null")</f>
        <v>Reject Null</v>
      </c>
      <c r="H73" s="11" t="str">
        <f>IF(H71&lt;H72,"Reject Null","Accept Null")</f>
        <v>Accept Null</v>
      </c>
    </row>
    <row r="74" spans="1:10" ht="59.5" x14ac:dyDescent="0.35">
      <c r="A74" s="20"/>
      <c r="B74" s="20"/>
      <c r="C74" s="20"/>
      <c r="D74" s="20"/>
      <c r="E74" s="20"/>
      <c r="F74" s="21"/>
      <c r="G74" s="27" t="s">
        <v>61</v>
      </c>
      <c r="H74" s="21"/>
    </row>
    <row r="76" spans="1:10" x14ac:dyDescent="0.35">
      <c r="A76" t="s">
        <v>62</v>
      </c>
    </row>
    <row r="79" spans="1:10" x14ac:dyDescent="0.35">
      <c r="A79" s="31" t="s">
        <v>63</v>
      </c>
      <c r="B79" s="31"/>
      <c r="C79" s="31"/>
      <c r="D79" s="31"/>
      <c r="E79" s="31"/>
      <c r="F79" s="31"/>
      <c r="G79" s="31"/>
      <c r="H79" s="31"/>
      <c r="I79" s="31"/>
      <c r="J79" s="31"/>
    </row>
    <row r="81" spans="1:8" x14ac:dyDescent="0.35">
      <c r="A81" t="s">
        <v>64</v>
      </c>
      <c r="B81" t="s">
        <v>65</v>
      </c>
    </row>
    <row r="82" spans="1:8" x14ac:dyDescent="0.35">
      <c r="B82" t="s">
        <v>66</v>
      </c>
    </row>
    <row r="83" spans="1:8" x14ac:dyDescent="0.35">
      <c r="A83" t="s">
        <v>67</v>
      </c>
      <c r="B83" t="s">
        <v>68</v>
      </c>
    </row>
    <row r="84" spans="1:8" x14ac:dyDescent="0.35">
      <c r="B84" t="s">
        <v>69</v>
      </c>
    </row>
    <row r="86" spans="1:8" ht="18" x14ac:dyDescent="0.4">
      <c r="A86" s="5" t="s">
        <v>34</v>
      </c>
    </row>
    <row r="87" spans="1:8" ht="17.5" x14ac:dyDescent="0.45">
      <c r="A87" s="1" t="s">
        <v>35</v>
      </c>
    </row>
    <row r="88" spans="1:8" x14ac:dyDescent="0.35">
      <c r="A88" s="1"/>
    </row>
    <row r="89" spans="1:8" x14ac:dyDescent="0.35">
      <c r="A89" s="6" t="s">
        <v>36</v>
      </c>
      <c r="F89" s="28" t="s">
        <v>37</v>
      </c>
      <c r="G89" s="28"/>
      <c r="H89" s="29"/>
    </row>
    <row r="90" spans="1:8" ht="17.5" x14ac:dyDescent="0.45">
      <c r="A90" s="7" t="s">
        <v>38</v>
      </c>
      <c r="F90" s="30" t="s">
        <v>39</v>
      </c>
      <c r="G90" s="29"/>
      <c r="H90" s="29"/>
    </row>
    <row r="91" spans="1:8" ht="17.5" x14ac:dyDescent="0.45">
      <c r="A91" s="7" t="s">
        <v>40</v>
      </c>
      <c r="F91" s="30" t="s">
        <v>41</v>
      </c>
      <c r="G91" s="29"/>
      <c r="H91" s="29"/>
    </row>
    <row r="93" spans="1:8" x14ac:dyDescent="0.35">
      <c r="F93" s="6" t="s">
        <v>42</v>
      </c>
    </row>
    <row r="94" spans="1:8" ht="19" thickBot="1" x14ac:dyDescent="0.5">
      <c r="A94" s="5" t="s">
        <v>43</v>
      </c>
      <c r="B94" s="5"/>
      <c r="F94" s="7" t="s">
        <v>44</v>
      </c>
    </row>
    <row r="95" spans="1:8" ht="18" thickBot="1" x14ac:dyDescent="0.5">
      <c r="A95" s="8" t="s">
        <v>45</v>
      </c>
      <c r="B95" s="9"/>
      <c r="C95" s="10">
        <v>200.3</v>
      </c>
      <c r="F95" s="7" t="s">
        <v>46</v>
      </c>
    </row>
    <row r="96" spans="1:8" ht="16" thickBot="1" x14ac:dyDescent="0.4">
      <c r="A96" s="8" t="s">
        <v>47</v>
      </c>
      <c r="B96" s="9"/>
      <c r="C96" s="10">
        <v>48.6</v>
      </c>
    </row>
    <row r="97" spans="1:9" ht="16" thickBot="1" x14ac:dyDescent="0.4">
      <c r="A97" s="8" t="s">
        <v>48</v>
      </c>
      <c r="B97" s="9"/>
      <c r="C97" s="10">
        <v>15</v>
      </c>
    </row>
    <row r="98" spans="1:9" ht="18" thickBot="1" x14ac:dyDescent="0.5">
      <c r="A98" s="8" t="s">
        <v>49</v>
      </c>
      <c r="B98" s="9"/>
      <c r="C98" s="10">
        <v>175</v>
      </c>
    </row>
    <row r="99" spans="1:9" ht="16" thickBot="1" x14ac:dyDescent="0.4">
      <c r="A99" s="8" t="s">
        <v>50</v>
      </c>
      <c r="B99" s="9"/>
      <c r="C99" s="10">
        <v>0.05</v>
      </c>
      <c r="G99" s="22" t="s">
        <v>51</v>
      </c>
      <c r="H99" s="11" t="s">
        <v>52</v>
      </c>
    </row>
    <row r="100" spans="1:9" x14ac:dyDescent="0.35">
      <c r="F100" s="12" t="s">
        <v>53</v>
      </c>
      <c r="G100" s="23" t="s">
        <v>54</v>
      </c>
      <c r="H100" s="13" t="s">
        <v>54</v>
      </c>
    </row>
    <row r="101" spans="1:9" ht="18" thickBot="1" x14ac:dyDescent="0.4">
      <c r="A101" s="5" t="s">
        <v>55</v>
      </c>
      <c r="F101" s="14" t="s">
        <v>56</v>
      </c>
      <c r="G101" s="24" t="s">
        <v>56</v>
      </c>
      <c r="H101" s="14" t="s">
        <v>56</v>
      </c>
    </row>
    <row r="102" spans="1:9" ht="16" thickBot="1" x14ac:dyDescent="0.4">
      <c r="A102" s="8" t="s">
        <v>57</v>
      </c>
      <c r="B102" s="15"/>
      <c r="C102" s="15"/>
      <c r="D102" s="15"/>
      <c r="E102" s="9"/>
      <c r="F102" s="16">
        <f>+C99/2</f>
        <v>2.5000000000000001E-2</v>
      </c>
      <c r="G102" s="25">
        <f>+C99</f>
        <v>0.05</v>
      </c>
      <c r="H102" s="16">
        <f>+C99</f>
        <v>0.05</v>
      </c>
    </row>
    <row r="103" spans="1:9" ht="16" thickBot="1" x14ac:dyDescent="0.4">
      <c r="A103" s="8" t="s">
        <v>58</v>
      </c>
      <c r="B103" s="15"/>
      <c r="C103" s="15"/>
      <c r="D103" s="15"/>
      <c r="E103" s="9"/>
      <c r="F103" s="17">
        <f>(C95-C98)/(C96/SQRT(C97))</f>
        <v>2.0161826884577714</v>
      </c>
      <c r="G103" s="26">
        <f t="shared" ref="G103:H103" si="1">+F103</f>
        <v>2.0161826884577714</v>
      </c>
      <c r="H103" s="17">
        <f t="shared" si="1"/>
        <v>2.0161826884577714</v>
      </c>
    </row>
    <row r="104" spans="1:9" ht="16.5" thickTop="1" thickBot="1" x14ac:dyDescent="0.4">
      <c r="A104" s="8" t="s">
        <v>59</v>
      </c>
      <c r="B104" s="15"/>
      <c r="C104" s="15"/>
      <c r="D104" s="15"/>
      <c r="E104" s="18">
        <f>TINV(F102*2,C97-1)</f>
        <v>2.1447885956149548</v>
      </c>
      <c r="F104" s="19">
        <f>-TINV(F102*2,C97-1)</f>
        <v>-2.1447885956149548</v>
      </c>
      <c r="G104" s="26">
        <f>TINV(G102*2,C97-1)</f>
        <v>1.7613092495594174</v>
      </c>
      <c r="H104" s="17">
        <f>-TINV(H102*2,C97-1)</f>
        <v>-1.7613092495594174</v>
      </c>
    </row>
    <row r="105" spans="1:9" ht="16.5" thickTop="1" thickBot="1" x14ac:dyDescent="0.4">
      <c r="A105" s="8" t="s">
        <v>60</v>
      </c>
      <c r="B105" s="15"/>
      <c r="C105" s="15"/>
      <c r="D105" s="15"/>
      <c r="E105" s="9"/>
      <c r="F105" s="11" t="str">
        <f>IF(OR(F103&gt;E104,F103&lt;F104),"Reject Null","Accept Null")</f>
        <v>Accept Null</v>
      </c>
      <c r="G105" s="22" t="str">
        <f>IF(G103&gt;G104,"Reject Null","Accept Null")</f>
        <v>Reject Null</v>
      </c>
      <c r="H105" s="11" t="str">
        <f>IF(H103&lt;H104,"Reject Null","Accept Null")</f>
        <v>Accept Null</v>
      </c>
    </row>
    <row r="106" spans="1:9" ht="59.5" x14ac:dyDescent="0.35">
      <c r="A106" s="20"/>
      <c r="B106" s="20"/>
      <c r="C106" s="20"/>
      <c r="D106" s="20"/>
      <c r="E106" s="20"/>
      <c r="F106" s="21"/>
      <c r="G106" s="27" t="s">
        <v>61</v>
      </c>
      <c r="H106" s="21"/>
    </row>
    <row r="107" spans="1:9" x14ac:dyDescent="0.35">
      <c r="A107" t="s">
        <v>70</v>
      </c>
    </row>
    <row r="108" spans="1:9" x14ac:dyDescent="0.35">
      <c r="A108" t="s">
        <v>71</v>
      </c>
    </row>
    <row r="111" spans="1:9" ht="16" thickBot="1" x14ac:dyDescent="0.4"/>
    <row r="112" spans="1:9" ht="20.5" thickBot="1" x14ac:dyDescent="0.45">
      <c r="A112" s="39" t="s">
        <v>72</v>
      </c>
      <c r="B112" s="15"/>
      <c r="C112" s="15"/>
      <c r="D112" s="15"/>
      <c r="E112" s="15"/>
      <c r="F112" s="15"/>
      <c r="G112" s="15"/>
      <c r="H112" s="15"/>
      <c r="I112" s="9"/>
    </row>
    <row r="113" spans="1:9" ht="16.5" customHeight="1" x14ac:dyDescent="0.35"/>
    <row r="114" spans="1:9" ht="16.5" customHeight="1" x14ac:dyDescent="0.35">
      <c r="A114" s="43" t="s">
        <v>3</v>
      </c>
      <c r="B114" s="44"/>
      <c r="C114" s="44"/>
      <c r="D114" s="44"/>
      <c r="E114" s="44"/>
      <c r="F114" s="44"/>
      <c r="G114" s="44"/>
      <c r="H114" s="44"/>
      <c r="I114" s="44"/>
    </row>
    <row r="116" spans="1:9" ht="17.5" x14ac:dyDescent="0.35">
      <c r="A116" s="5" t="s">
        <v>73</v>
      </c>
    </row>
    <row r="117" spans="1:9" ht="17.5" x14ac:dyDescent="0.45">
      <c r="A117" s="1" t="s">
        <v>74</v>
      </c>
    </row>
    <row r="118" spans="1:9" x14ac:dyDescent="0.35">
      <c r="A118" s="1"/>
    </row>
    <row r="119" spans="1:9" x14ac:dyDescent="0.35">
      <c r="A119" s="6" t="s">
        <v>36</v>
      </c>
      <c r="F119" s="28" t="s">
        <v>37</v>
      </c>
      <c r="G119" s="28"/>
      <c r="H119" s="29"/>
    </row>
    <row r="120" spans="1:9" ht="17.5" x14ac:dyDescent="0.45">
      <c r="A120" t="s">
        <v>75</v>
      </c>
      <c r="F120" s="29" t="s">
        <v>76</v>
      </c>
      <c r="G120" s="29"/>
      <c r="H120" s="29"/>
    </row>
    <row r="121" spans="1:9" ht="17.5" x14ac:dyDescent="0.45">
      <c r="A121" t="s">
        <v>77</v>
      </c>
      <c r="F121" s="29" t="s">
        <v>78</v>
      </c>
      <c r="G121" s="29"/>
      <c r="H121" s="29"/>
    </row>
    <row r="123" spans="1:9" x14ac:dyDescent="0.35">
      <c r="F123" s="6" t="s">
        <v>42</v>
      </c>
    </row>
    <row r="124" spans="1:9" ht="19" thickBot="1" x14ac:dyDescent="0.5">
      <c r="A124" s="5" t="s">
        <v>43</v>
      </c>
      <c r="B124" s="5"/>
      <c r="F124" t="s">
        <v>79</v>
      </c>
    </row>
    <row r="125" spans="1:9" ht="18" thickBot="1" x14ac:dyDescent="0.5">
      <c r="A125" s="8" t="s">
        <v>80</v>
      </c>
      <c r="B125" s="9"/>
      <c r="C125" s="10">
        <f>15/1000</f>
        <v>1.4999999999999999E-2</v>
      </c>
      <c r="F125" t="s">
        <v>81</v>
      </c>
    </row>
    <row r="126" spans="1:9" ht="16" thickBot="1" x14ac:dyDescent="0.4">
      <c r="A126" s="8" t="s">
        <v>82</v>
      </c>
      <c r="B126" s="9"/>
      <c r="C126" s="10">
        <v>1000</v>
      </c>
    </row>
    <row r="127" spans="1:9" ht="18" thickBot="1" x14ac:dyDescent="0.5">
      <c r="A127" s="8" t="s">
        <v>83</v>
      </c>
      <c r="B127" s="9"/>
      <c r="C127" s="10">
        <v>1.2E-2</v>
      </c>
      <c r="G127" s="22" t="s">
        <v>51</v>
      </c>
      <c r="H127" s="11" t="s">
        <v>52</v>
      </c>
    </row>
    <row r="128" spans="1:9" ht="16" thickBot="1" x14ac:dyDescent="0.4">
      <c r="A128" s="8" t="s">
        <v>50</v>
      </c>
      <c r="B128" s="9"/>
      <c r="C128" s="10">
        <v>0.01</v>
      </c>
      <c r="F128" s="12" t="s">
        <v>53</v>
      </c>
      <c r="G128" s="23" t="s">
        <v>54</v>
      </c>
      <c r="H128" s="13" t="s">
        <v>54</v>
      </c>
    </row>
    <row r="129" spans="1:9" ht="16" thickBot="1" x14ac:dyDescent="0.4">
      <c r="F129" s="14" t="s">
        <v>56</v>
      </c>
      <c r="G129" s="24" t="s">
        <v>56</v>
      </c>
      <c r="H129" s="14" t="s">
        <v>56</v>
      </c>
    </row>
    <row r="130" spans="1:9" ht="16" thickBot="1" x14ac:dyDescent="0.4">
      <c r="A130" s="8" t="s">
        <v>57</v>
      </c>
      <c r="B130" s="15"/>
      <c r="C130" s="15"/>
      <c r="D130" s="15"/>
      <c r="E130" s="9"/>
      <c r="F130" s="16">
        <f>+C128/2</f>
        <v>5.0000000000000001E-3</v>
      </c>
      <c r="G130" s="25">
        <f>+C128</f>
        <v>0.01</v>
      </c>
      <c r="H130" s="16">
        <f>+C128</f>
        <v>0.01</v>
      </c>
    </row>
    <row r="131" spans="1:9" ht="16" thickBot="1" x14ac:dyDescent="0.4">
      <c r="A131" s="8" t="s">
        <v>84</v>
      </c>
      <c r="B131" s="15"/>
      <c r="C131" s="15"/>
      <c r="D131" s="15"/>
      <c r="E131" s="9"/>
      <c r="F131" s="17">
        <f>(C125-C127)/SQRT(C125*(1-C125)/C126)</f>
        <v>0.7804723286815255</v>
      </c>
      <c r="G131" s="26">
        <f t="shared" ref="G131:H131" si="2">+F131</f>
        <v>0.7804723286815255</v>
      </c>
      <c r="H131" s="17">
        <f t="shared" si="2"/>
        <v>0.7804723286815255</v>
      </c>
    </row>
    <row r="132" spans="1:9" ht="16.5" thickTop="1" thickBot="1" x14ac:dyDescent="0.4">
      <c r="A132" s="8" t="s">
        <v>85</v>
      </c>
      <c r="B132" s="15"/>
      <c r="C132" s="15"/>
      <c r="D132" s="15"/>
      <c r="E132" s="18">
        <f>-NORMSINV(F130)</f>
        <v>2.5758345145732164</v>
      </c>
      <c r="F132" s="19">
        <f>NORMSINV(F130)</f>
        <v>-2.5758345145732164</v>
      </c>
      <c r="G132" s="26">
        <f>-NORMSINV(G130)</f>
        <v>2.3263419279828668</v>
      </c>
      <c r="H132" s="17">
        <f>NORMSINV(H130)</f>
        <v>-2.3263419279828668</v>
      </c>
    </row>
    <row r="133" spans="1:9" ht="16.5" thickTop="1" thickBot="1" x14ac:dyDescent="0.4">
      <c r="A133" s="8" t="s">
        <v>60</v>
      </c>
      <c r="B133" s="15"/>
      <c r="C133" s="15"/>
      <c r="D133" s="15"/>
      <c r="E133" s="9"/>
      <c r="F133" s="11" t="str">
        <f>IF(OR(F131&gt;E132,F131&lt;F132),"Reject Null","Accept Null")</f>
        <v>Accept Null</v>
      </c>
      <c r="G133" s="22" t="str">
        <f>IF(G131&gt;G132,"Reject Null","Accept Null")</f>
        <v>Accept Null</v>
      </c>
      <c r="H133" s="11" t="str">
        <f>IF(H131&lt;H132,"Reject Null","Accept Null")</f>
        <v>Accept Null</v>
      </c>
    </row>
    <row r="134" spans="1:9" ht="59.5" x14ac:dyDescent="0.35">
      <c r="G134" s="27" t="s">
        <v>61</v>
      </c>
    </row>
    <row r="135" spans="1:9" x14ac:dyDescent="0.35">
      <c r="A135" t="s">
        <v>86</v>
      </c>
    </row>
    <row r="136" spans="1:9" x14ac:dyDescent="0.35">
      <c r="A136" t="s">
        <v>87</v>
      </c>
    </row>
    <row r="139" spans="1:9" x14ac:dyDescent="0.35">
      <c r="A139" s="43" t="s">
        <v>12</v>
      </c>
      <c r="B139" s="44"/>
      <c r="C139" s="44"/>
      <c r="D139" s="44"/>
      <c r="E139" s="44"/>
      <c r="F139" s="44"/>
      <c r="G139" s="44"/>
      <c r="H139" s="44"/>
      <c r="I139" s="44"/>
    </row>
    <row r="141" spans="1:9" ht="17.5" x14ac:dyDescent="0.35">
      <c r="A141" s="5" t="s">
        <v>73</v>
      </c>
    </row>
    <row r="142" spans="1:9" ht="17.5" x14ac:dyDescent="0.45">
      <c r="A142" s="1" t="s">
        <v>74</v>
      </c>
    </row>
    <row r="143" spans="1:9" x14ac:dyDescent="0.35">
      <c r="A143" s="1"/>
    </row>
    <row r="144" spans="1:9" x14ac:dyDescent="0.35">
      <c r="A144" s="6" t="s">
        <v>36</v>
      </c>
      <c r="F144" s="28" t="s">
        <v>37</v>
      </c>
      <c r="G144" s="28"/>
    </row>
    <row r="145" spans="1:8" ht="17.5" x14ac:dyDescent="0.45">
      <c r="A145" t="s">
        <v>75</v>
      </c>
      <c r="F145" s="29" t="s">
        <v>76</v>
      </c>
      <c r="G145" s="29"/>
    </row>
    <row r="146" spans="1:8" ht="17.5" x14ac:dyDescent="0.45">
      <c r="A146" t="s">
        <v>77</v>
      </c>
      <c r="F146" s="29" t="s">
        <v>78</v>
      </c>
      <c r="G146" s="29"/>
    </row>
    <row r="148" spans="1:8" x14ac:dyDescent="0.35">
      <c r="F148" s="6" t="s">
        <v>42</v>
      </c>
    </row>
    <row r="149" spans="1:8" ht="19" thickBot="1" x14ac:dyDescent="0.5">
      <c r="A149" s="5" t="s">
        <v>43</v>
      </c>
      <c r="B149" s="5"/>
      <c r="F149" t="s">
        <v>79</v>
      </c>
    </row>
    <row r="150" spans="1:8" ht="18" thickBot="1" x14ac:dyDescent="0.5">
      <c r="A150" s="8" t="s">
        <v>80</v>
      </c>
      <c r="B150" s="9"/>
      <c r="C150" s="10">
        <v>0.5</v>
      </c>
      <c r="F150" t="s">
        <v>81</v>
      </c>
    </row>
    <row r="151" spans="1:8" ht="16" thickBot="1" x14ac:dyDescent="0.4">
      <c r="A151" s="8" t="s">
        <v>82</v>
      </c>
      <c r="B151" s="9"/>
      <c r="C151" s="10">
        <v>200</v>
      </c>
    </row>
    <row r="152" spans="1:8" ht="18" thickBot="1" x14ac:dyDescent="0.5">
      <c r="A152" s="8" t="s">
        <v>83</v>
      </c>
      <c r="B152" s="9"/>
      <c r="C152" s="10">
        <v>0.3</v>
      </c>
      <c r="G152" s="22" t="s">
        <v>51</v>
      </c>
      <c r="H152" s="11" t="s">
        <v>52</v>
      </c>
    </row>
    <row r="153" spans="1:8" ht="16" thickBot="1" x14ac:dyDescent="0.4">
      <c r="A153" s="8" t="s">
        <v>50</v>
      </c>
      <c r="B153" s="9"/>
      <c r="C153" s="10">
        <v>0.05</v>
      </c>
      <c r="F153" s="12" t="s">
        <v>53</v>
      </c>
      <c r="G153" s="23" t="s">
        <v>54</v>
      </c>
      <c r="H153" s="13" t="s">
        <v>54</v>
      </c>
    </row>
    <row r="154" spans="1:8" ht="16" thickBot="1" x14ac:dyDescent="0.4">
      <c r="F154" s="14" t="s">
        <v>56</v>
      </c>
      <c r="G154" s="24" t="s">
        <v>56</v>
      </c>
      <c r="H154" s="14" t="s">
        <v>56</v>
      </c>
    </row>
    <row r="155" spans="1:8" ht="16" thickBot="1" x14ac:dyDescent="0.4">
      <c r="A155" s="8" t="s">
        <v>57</v>
      </c>
      <c r="B155" s="15"/>
      <c r="C155" s="15"/>
      <c r="D155" s="15"/>
      <c r="E155" s="9"/>
      <c r="F155" s="16">
        <f>+C153/2</f>
        <v>2.5000000000000001E-2</v>
      </c>
      <c r="G155" s="25">
        <f>+C153</f>
        <v>0.05</v>
      </c>
      <c r="H155" s="16">
        <f>+C153</f>
        <v>0.05</v>
      </c>
    </row>
    <row r="156" spans="1:8" ht="16" thickBot="1" x14ac:dyDescent="0.4">
      <c r="A156" s="8" t="s">
        <v>84</v>
      </c>
      <c r="B156" s="15"/>
      <c r="C156" s="15"/>
      <c r="D156" s="15"/>
      <c r="E156" s="9"/>
      <c r="F156" s="17">
        <f>(C150-C152)/SQRT(C150*(1-C150)/C151)</f>
        <v>5.6568542494923806</v>
      </c>
      <c r="G156" s="26">
        <f t="shared" ref="G156:H156" si="3">+F156</f>
        <v>5.6568542494923806</v>
      </c>
      <c r="H156" s="17">
        <f t="shared" si="3"/>
        <v>5.6568542494923806</v>
      </c>
    </row>
    <row r="157" spans="1:8" ht="16.5" thickTop="1" thickBot="1" x14ac:dyDescent="0.4">
      <c r="A157" s="8" t="s">
        <v>85</v>
      </c>
      <c r="B157" s="15"/>
      <c r="C157" s="15"/>
      <c r="D157" s="15"/>
      <c r="E157" s="18">
        <f>-NORMSINV(F155)</f>
        <v>1.9599610823206604</v>
      </c>
      <c r="F157" s="19">
        <f>NORMSINV(F155)</f>
        <v>-1.9599610823206604</v>
      </c>
      <c r="G157" s="26">
        <f>-NORMSINV(G155)</f>
        <v>1.6448530004709028</v>
      </c>
      <c r="H157" s="17">
        <f>NORMSINV(H155)</f>
        <v>-1.6448530004709028</v>
      </c>
    </row>
    <row r="158" spans="1:8" ht="16.5" thickTop="1" thickBot="1" x14ac:dyDescent="0.4">
      <c r="A158" s="8" t="s">
        <v>60</v>
      </c>
      <c r="B158" s="15"/>
      <c r="C158" s="15"/>
      <c r="D158" s="15"/>
      <c r="E158" s="9"/>
      <c r="F158" s="11" t="str">
        <f>IF(OR(F156&gt;E157,F156&lt;F157),"Reject Null","Accept Null")</f>
        <v>Reject Null</v>
      </c>
      <c r="G158" s="22" t="str">
        <f>IF(G156&gt;G157,"Reject Null","Accept Null")</f>
        <v>Reject Null</v>
      </c>
      <c r="H158" s="11" t="str">
        <f>IF(H156&lt;H157,"Reject Null","Accept Null")</f>
        <v>Accept Null</v>
      </c>
    </row>
    <row r="159" spans="1:8" ht="59.5" x14ac:dyDescent="0.35">
      <c r="G159" s="27" t="s">
        <v>61</v>
      </c>
    </row>
    <row r="160" spans="1:8" x14ac:dyDescent="0.35">
      <c r="A160" t="s">
        <v>88</v>
      </c>
    </row>
    <row r="161" spans="1:9" x14ac:dyDescent="0.35">
      <c r="A161" t="s">
        <v>89</v>
      </c>
    </row>
    <row r="164" spans="1:9" x14ac:dyDescent="0.35">
      <c r="A164" s="43" t="s">
        <v>90</v>
      </c>
      <c r="B164" s="44"/>
      <c r="C164" s="44"/>
      <c r="D164" s="44"/>
      <c r="E164" s="44"/>
      <c r="F164" s="44"/>
      <c r="G164" s="44"/>
      <c r="H164" s="44"/>
      <c r="I164" s="44"/>
    </row>
    <row r="166" spans="1:9" ht="17.5" x14ac:dyDescent="0.35">
      <c r="A166" s="5" t="s">
        <v>73</v>
      </c>
    </row>
    <row r="167" spans="1:9" ht="17.5" x14ac:dyDescent="0.45">
      <c r="A167" s="1" t="s">
        <v>74</v>
      </c>
    </row>
    <row r="168" spans="1:9" x14ac:dyDescent="0.35">
      <c r="A168" s="1"/>
    </row>
    <row r="169" spans="1:9" x14ac:dyDescent="0.35">
      <c r="A169" s="6" t="s">
        <v>36</v>
      </c>
      <c r="F169" s="28" t="s">
        <v>37</v>
      </c>
      <c r="G169" s="28"/>
    </row>
    <row r="170" spans="1:9" ht="17.5" x14ac:dyDescent="0.45">
      <c r="A170" t="s">
        <v>75</v>
      </c>
      <c r="F170" s="29" t="s">
        <v>76</v>
      </c>
      <c r="G170" s="29"/>
    </row>
    <row r="171" spans="1:9" ht="17.5" x14ac:dyDescent="0.45">
      <c r="A171" t="s">
        <v>77</v>
      </c>
      <c r="F171" s="29" t="s">
        <v>78</v>
      </c>
      <c r="G171" s="29"/>
    </row>
    <row r="173" spans="1:9" x14ac:dyDescent="0.35">
      <c r="F173" s="6" t="s">
        <v>42</v>
      </c>
    </row>
    <row r="174" spans="1:9" ht="19" thickBot="1" x14ac:dyDescent="0.5">
      <c r="A174" s="5" t="s">
        <v>43</v>
      </c>
      <c r="B174" s="5"/>
      <c r="F174" t="s">
        <v>79</v>
      </c>
    </row>
    <row r="175" spans="1:9" ht="18" thickBot="1" x14ac:dyDescent="0.5">
      <c r="A175" s="8" t="s">
        <v>80</v>
      </c>
      <c r="B175" s="9"/>
      <c r="C175" s="10">
        <v>0.13</v>
      </c>
      <c r="F175" t="s">
        <v>81</v>
      </c>
    </row>
    <row r="176" spans="1:9" ht="16" thickBot="1" x14ac:dyDescent="0.4">
      <c r="A176" s="8" t="s">
        <v>82</v>
      </c>
      <c r="B176" s="9"/>
      <c r="C176" s="10">
        <v>100</v>
      </c>
    </row>
    <row r="177" spans="1:9" ht="18" thickBot="1" x14ac:dyDescent="0.5">
      <c r="A177" s="8" t="s">
        <v>83</v>
      </c>
      <c r="B177" s="9"/>
      <c r="C177" s="10">
        <v>0.1</v>
      </c>
      <c r="G177" s="22" t="s">
        <v>51</v>
      </c>
      <c r="H177" s="11" t="s">
        <v>52</v>
      </c>
    </row>
    <row r="178" spans="1:9" ht="16" thickBot="1" x14ac:dyDescent="0.4">
      <c r="A178" s="8" t="s">
        <v>50</v>
      </c>
      <c r="B178" s="9"/>
      <c r="C178" s="10">
        <v>0.05</v>
      </c>
      <c r="F178" s="12" t="s">
        <v>53</v>
      </c>
      <c r="G178" s="23" t="s">
        <v>54</v>
      </c>
      <c r="H178" s="13" t="s">
        <v>54</v>
      </c>
    </row>
    <row r="179" spans="1:9" ht="16" thickBot="1" x14ac:dyDescent="0.4">
      <c r="F179" s="14" t="s">
        <v>56</v>
      </c>
      <c r="G179" s="24" t="s">
        <v>56</v>
      </c>
      <c r="H179" s="14" t="s">
        <v>56</v>
      </c>
    </row>
    <row r="180" spans="1:9" ht="16" thickBot="1" x14ac:dyDescent="0.4">
      <c r="A180" s="8" t="s">
        <v>57</v>
      </c>
      <c r="B180" s="15"/>
      <c r="C180" s="15"/>
      <c r="D180" s="15"/>
      <c r="E180" s="9"/>
      <c r="F180" s="16">
        <f>+C178/2</f>
        <v>2.5000000000000001E-2</v>
      </c>
      <c r="G180" s="25">
        <f>+C178</f>
        <v>0.05</v>
      </c>
      <c r="H180" s="16">
        <f>+C178</f>
        <v>0.05</v>
      </c>
    </row>
    <row r="181" spans="1:9" ht="16" thickBot="1" x14ac:dyDescent="0.4">
      <c r="A181" s="8" t="s">
        <v>84</v>
      </c>
      <c r="B181" s="15"/>
      <c r="C181" s="15"/>
      <c r="D181" s="15"/>
      <c r="E181" s="9"/>
      <c r="F181" s="17">
        <f>(C175-C177)/SQRT(C175*(1-C175)/C176)</f>
        <v>0.89205155017507887</v>
      </c>
      <c r="G181" s="26">
        <f t="shared" ref="G181:H181" si="4">+F181</f>
        <v>0.89205155017507887</v>
      </c>
      <c r="H181" s="17">
        <f t="shared" si="4"/>
        <v>0.89205155017507887</v>
      </c>
    </row>
    <row r="182" spans="1:9" ht="16.5" thickTop="1" thickBot="1" x14ac:dyDescent="0.4">
      <c r="A182" s="8" t="s">
        <v>85</v>
      </c>
      <c r="B182" s="15"/>
      <c r="C182" s="15"/>
      <c r="D182" s="15"/>
      <c r="E182" s="18">
        <f>-NORMSINV(F180)</f>
        <v>1.9599610823206604</v>
      </c>
      <c r="F182" s="19">
        <f>NORMSINV(F180)</f>
        <v>-1.9599610823206604</v>
      </c>
      <c r="G182" s="26">
        <f>-NORMSINV(G180)</f>
        <v>1.6448530004709028</v>
      </c>
      <c r="H182" s="17">
        <f>NORMSINV(H180)</f>
        <v>-1.6448530004709028</v>
      </c>
    </row>
    <row r="183" spans="1:9" ht="16.5" thickTop="1" thickBot="1" x14ac:dyDescent="0.4">
      <c r="A183" s="8" t="s">
        <v>60</v>
      </c>
      <c r="B183" s="15"/>
      <c r="C183" s="15"/>
      <c r="D183" s="15"/>
      <c r="E183" s="9"/>
      <c r="F183" s="11" t="str">
        <f>IF(OR(F181&gt;E182,F181&lt;F182),"Reject Null","Accept Null")</f>
        <v>Accept Null</v>
      </c>
      <c r="G183" s="22" t="str">
        <f>IF(G181&gt;G182,"Reject Null","Accept Null")</f>
        <v>Accept Null</v>
      </c>
      <c r="H183" s="11" t="str">
        <f>IF(H181&lt;H182,"Reject Null","Accept Null")</f>
        <v>Accept Null</v>
      </c>
    </row>
    <row r="184" spans="1:9" ht="59.5" x14ac:dyDescent="0.35">
      <c r="G184" s="27" t="s">
        <v>61</v>
      </c>
    </row>
    <row r="185" spans="1:9" x14ac:dyDescent="0.35">
      <c r="A185" t="s">
        <v>91</v>
      </c>
      <c r="G185" s="27"/>
    </row>
    <row r="186" spans="1:9" x14ac:dyDescent="0.35">
      <c r="G186" s="27"/>
    </row>
    <row r="188" spans="1:9" x14ac:dyDescent="0.35">
      <c r="A188" s="43" t="s">
        <v>92</v>
      </c>
      <c r="B188" s="44"/>
      <c r="C188" s="44"/>
      <c r="D188" s="44"/>
      <c r="E188" s="44"/>
      <c r="F188" s="44"/>
      <c r="G188" s="44"/>
      <c r="H188" s="44"/>
      <c r="I188" s="44"/>
    </row>
    <row r="190" spans="1:9" ht="17.5" x14ac:dyDescent="0.35">
      <c r="A190" s="5" t="s">
        <v>73</v>
      </c>
    </row>
    <row r="191" spans="1:9" ht="17.5" x14ac:dyDescent="0.45">
      <c r="A191" s="1" t="s">
        <v>74</v>
      </c>
    </row>
    <row r="192" spans="1:9" x14ac:dyDescent="0.35">
      <c r="A192" s="1"/>
    </row>
    <row r="193" spans="1:8" x14ac:dyDescent="0.35">
      <c r="A193" s="6" t="s">
        <v>36</v>
      </c>
      <c r="F193" s="28" t="s">
        <v>37</v>
      </c>
      <c r="G193" s="28"/>
    </row>
    <row r="194" spans="1:8" ht="17.5" x14ac:dyDescent="0.45">
      <c r="A194" t="s">
        <v>75</v>
      </c>
      <c r="F194" s="29" t="s">
        <v>76</v>
      </c>
      <c r="G194" s="29"/>
    </row>
    <row r="195" spans="1:8" ht="17.5" x14ac:dyDescent="0.45">
      <c r="A195" t="s">
        <v>77</v>
      </c>
      <c r="F195" s="29" t="s">
        <v>78</v>
      </c>
      <c r="G195" s="29"/>
    </row>
    <row r="197" spans="1:8" x14ac:dyDescent="0.35">
      <c r="F197" s="6" t="s">
        <v>42</v>
      </c>
    </row>
    <row r="198" spans="1:8" ht="19" thickBot="1" x14ac:dyDescent="0.5">
      <c r="A198" s="5" t="s">
        <v>43</v>
      </c>
      <c r="B198" s="5"/>
      <c r="F198" t="s">
        <v>79</v>
      </c>
    </row>
    <row r="199" spans="1:8" ht="18" thickBot="1" x14ac:dyDescent="0.5">
      <c r="A199" s="8" t="s">
        <v>80</v>
      </c>
      <c r="B199" s="9"/>
      <c r="C199" s="10">
        <v>0.13</v>
      </c>
      <c r="F199" t="s">
        <v>81</v>
      </c>
    </row>
    <row r="200" spans="1:8" ht="16" thickBot="1" x14ac:dyDescent="0.4">
      <c r="A200" s="8" t="s">
        <v>82</v>
      </c>
      <c r="B200" s="9"/>
      <c r="C200" s="10">
        <v>1000</v>
      </c>
    </row>
    <row r="201" spans="1:8" ht="18" thickBot="1" x14ac:dyDescent="0.5">
      <c r="A201" s="8" t="s">
        <v>83</v>
      </c>
      <c r="B201" s="9"/>
      <c r="C201" s="10">
        <v>0.1</v>
      </c>
      <c r="G201" s="22" t="s">
        <v>51</v>
      </c>
      <c r="H201" s="11" t="s">
        <v>52</v>
      </c>
    </row>
    <row r="202" spans="1:8" ht="16" thickBot="1" x14ac:dyDescent="0.4">
      <c r="A202" s="8" t="s">
        <v>50</v>
      </c>
      <c r="B202" s="9"/>
      <c r="C202" s="10">
        <v>0.05</v>
      </c>
      <c r="F202" s="12" t="s">
        <v>53</v>
      </c>
      <c r="G202" s="23" t="s">
        <v>54</v>
      </c>
      <c r="H202" s="13" t="s">
        <v>54</v>
      </c>
    </row>
    <row r="203" spans="1:8" ht="16" thickBot="1" x14ac:dyDescent="0.4">
      <c r="F203" s="14" t="s">
        <v>56</v>
      </c>
      <c r="G203" s="24" t="s">
        <v>56</v>
      </c>
      <c r="H203" s="14" t="s">
        <v>56</v>
      </c>
    </row>
    <row r="204" spans="1:8" ht="16" thickBot="1" x14ac:dyDescent="0.4">
      <c r="A204" s="8" t="s">
        <v>57</v>
      </c>
      <c r="B204" s="15"/>
      <c r="C204" s="15"/>
      <c r="D204" s="15"/>
      <c r="E204" s="9"/>
      <c r="F204" s="16">
        <f>+C202/2</f>
        <v>2.5000000000000001E-2</v>
      </c>
      <c r="G204" s="25">
        <f>+C202</f>
        <v>0.05</v>
      </c>
      <c r="H204" s="16">
        <f>+C202</f>
        <v>0.05</v>
      </c>
    </row>
    <row r="205" spans="1:8" ht="16" thickBot="1" x14ac:dyDescent="0.4">
      <c r="A205" s="8" t="s">
        <v>84</v>
      </c>
      <c r="B205" s="15"/>
      <c r="C205" s="15"/>
      <c r="D205" s="15"/>
      <c r="E205" s="9"/>
      <c r="F205" s="17">
        <f>(C199-C201)/SQRT(C199*(1-C199)/C200)</f>
        <v>2.8209146888372238</v>
      </c>
      <c r="G205" s="26">
        <f t="shared" ref="G205:H205" si="5">+F205</f>
        <v>2.8209146888372238</v>
      </c>
      <c r="H205" s="17">
        <f t="shared" si="5"/>
        <v>2.8209146888372238</v>
      </c>
    </row>
    <row r="206" spans="1:8" ht="16.5" thickTop="1" thickBot="1" x14ac:dyDescent="0.4">
      <c r="A206" s="8" t="s">
        <v>85</v>
      </c>
      <c r="B206" s="15"/>
      <c r="C206" s="15"/>
      <c r="D206" s="15"/>
      <c r="E206" s="18">
        <f>-NORMSINV(F204)</f>
        <v>1.9599610823206604</v>
      </c>
      <c r="F206" s="19">
        <f>NORMSINV(F204)</f>
        <v>-1.9599610823206604</v>
      </c>
      <c r="G206" s="26">
        <f>-NORMSINV(G204)</f>
        <v>1.6448530004709028</v>
      </c>
      <c r="H206" s="17">
        <f>NORMSINV(H204)</f>
        <v>-1.6448530004709028</v>
      </c>
    </row>
    <row r="207" spans="1:8" ht="16.5" thickTop="1" thickBot="1" x14ac:dyDescent="0.4">
      <c r="A207" s="8" t="s">
        <v>60</v>
      </c>
      <c r="B207" s="15"/>
      <c r="C207" s="15"/>
      <c r="D207" s="15"/>
      <c r="E207" s="9"/>
      <c r="F207" s="11" t="str">
        <f>IF(OR(F205&gt;E206,F205&lt;F206),"Reject Null","Accept Null")</f>
        <v>Reject Null</v>
      </c>
      <c r="G207" s="22" t="str">
        <f>IF(G205&gt;G206,"Reject Null","Accept Null")</f>
        <v>Reject Null</v>
      </c>
      <c r="H207" s="11" t="str">
        <f>IF(H205&lt;H206,"Reject Null","Accept Null")</f>
        <v>Accept Null</v>
      </c>
    </row>
    <row r="208" spans="1:8" ht="59.5" x14ac:dyDescent="0.35">
      <c r="G208" s="27" t="s">
        <v>61</v>
      </c>
    </row>
    <row r="209" spans="1:13" x14ac:dyDescent="0.35">
      <c r="A209" t="s">
        <v>93</v>
      </c>
    </row>
    <row r="210" spans="1:13" x14ac:dyDescent="0.35">
      <c r="A210" t="s">
        <v>94</v>
      </c>
    </row>
    <row r="212" spans="1:13" ht="16" thickBot="1" x14ac:dyDescent="0.4"/>
    <row r="213" spans="1:13" ht="20.5" thickBot="1" x14ac:dyDescent="0.45">
      <c r="A213" s="39" t="s">
        <v>95</v>
      </c>
      <c r="B213" s="15"/>
      <c r="C213" s="15"/>
      <c r="D213" s="15"/>
      <c r="E213" s="15"/>
      <c r="F213" s="15"/>
      <c r="G213" s="15"/>
      <c r="H213" s="15"/>
      <c r="I213" s="9"/>
    </row>
    <row r="215" spans="1:13" x14ac:dyDescent="0.35">
      <c r="A215" s="43" t="s">
        <v>3</v>
      </c>
      <c r="B215" s="44"/>
      <c r="C215" s="44"/>
      <c r="D215" s="44"/>
      <c r="E215" s="44"/>
      <c r="F215" s="44"/>
      <c r="G215" s="44"/>
      <c r="H215" s="44"/>
      <c r="I215" s="44"/>
    </row>
    <row r="216" spans="1:13" x14ac:dyDescent="0.35">
      <c r="K216" s="47" t="s">
        <v>96</v>
      </c>
      <c r="L216" s="47" t="s">
        <v>97</v>
      </c>
      <c r="M216" s="47" t="s">
        <v>98</v>
      </c>
    </row>
    <row r="217" spans="1:13" x14ac:dyDescent="0.35">
      <c r="A217" t="s">
        <v>99</v>
      </c>
      <c r="B217" t="s">
        <v>100</v>
      </c>
      <c r="K217">
        <f>+M217-L217</f>
        <v>-2</v>
      </c>
      <c r="L217">
        <v>20</v>
      </c>
      <c r="M217">
        <v>18</v>
      </c>
    </row>
    <row r="218" spans="1:13" x14ac:dyDescent="0.35">
      <c r="A218" t="s">
        <v>67</v>
      </c>
      <c r="B218" t="s">
        <v>101</v>
      </c>
      <c r="K218">
        <f t="shared" ref="K218:K233" si="6">+M218-L218</f>
        <v>24</v>
      </c>
      <c r="L218">
        <v>11</v>
      </c>
      <c r="M218">
        <v>35</v>
      </c>
    </row>
    <row r="219" spans="1:13" x14ac:dyDescent="0.35">
      <c r="K219">
        <f t="shared" si="6"/>
        <v>4</v>
      </c>
      <c r="L219">
        <v>3</v>
      </c>
      <c r="M219">
        <v>7</v>
      </c>
    </row>
    <row r="220" spans="1:13" ht="17.5" x14ac:dyDescent="0.45">
      <c r="A220" t="s">
        <v>102</v>
      </c>
      <c r="C220">
        <f>TINV(0.1,24-1)</f>
        <v>1.7138700059149414</v>
      </c>
      <c r="E220" t="s">
        <v>103</v>
      </c>
      <c r="I220" s="3" t="s">
        <v>104</v>
      </c>
      <c r="J220">
        <f>AVERAGE(K217:K240)</f>
        <v>26.041666666666668</v>
      </c>
      <c r="K220">
        <f t="shared" si="6"/>
        <v>158</v>
      </c>
      <c r="L220">
        <v>24</v>
      </c>
      <c r="M220">
        <v>182</v>
      </c>
    </row>
    <row r="221" spans="1:13" ht="17.5" x14ac:dyDescent="0.45">
      <c r="I221" s="3" t="s">
        <v>105</v>
      </c>
      <c r="J221">
        <f>STDEV(K217:K240)</f>
        <v>55.092396040191197</v>
      </c>
      <c r="K221">
        <f t="shared" si="6"/>
        <v>-1</v>
      </c>
      <c r="L221">
        <v>7</v>
      </c>
      <c r="M221">
        <v>6</v>
      </c>
    </row>
    <row r="222" spans="1:13" ht="17.5" x14ac:dyDescent="0.35">
      <c r="A222" s="5" t="s">
        <v>106</v>
      </c>
      <c r="K222">
        <f t="shared" si="6"/>
        <v>5</v>
      </c>
      <c r="L222">
        <v>28</v>
      </c>
      <c r="M222">
        <v>33</v>
      </c>
    </row>
    <row r="223" spans="1:13" ht="17.5" x14ac:dyDescent="0.45">
      <c r="A223" s="1" t="s">
        <v>107</v>
      </c>
      <c r="K223">
        <f t="shared" si="6"/>
        <v>165</v>
      </c>
      <c r="L223">
        <v>58</v>
      </c>
      <c r="M223">
        <v>223</v>
      </c>
    </row>
    <row r="224" spans="1:13" x14ac:dyDescent="0.35">
      <c r="A224" s="1"/>
      <c r="K224">
        <f t="shared" si="6"/>
        <v>0</v>
      </c>
      <c r="L224">
        <v>7</v>
      </c>
      <c r="M224">
        <v>7</v>
      </c>
    </row>
    <row r="225" spans="1:13" x14ac:dyDescent="0.35">
      <c r="A225" s="6" t="s">
        <v>36</v>
      </c>
      <c r="F225" s="48" t="s">
        <v>37</v>
      </c>
      <c r="G225" s="48"/>
      <c r="K225">
        <f t="shared" si="6"/>
        <v>18</v>
      </c>
      <c r="L225">
        <v>39</v>
      </c>
      <c r="M225">
        <v>57</v>
      </c>
    </row>
    <row r="226" spans="1:13" ht="17.5" x14ac:dyDescent="0.45">
      <c r="A226" t="s">
        <v>108</v>
      </c>
      <c r="F226" s="44" t="s">
        <v>109</v>
      </c>
      <c r="G226" s="44"/>
      <c r="K226">
        <f t="shared" si="6"/>
        <v>59</v>
      </c>
      <c r="L226">
        <v>17</v>
      </c>
      <c r="M226">
        <v>76</v>
      </c>
    </row>
    <row r="227" spans="1:13" ht="17.5" x14ac:dyDescent="0.45">
      <c r="A227" t="s">
        <v>110</v>
      </c>
      <c r="F227" s="44" t="s">
        <v>111</v>
      </c>
      <c r="G227" s="44"/>
      <c r="K227">
        <f t="shared" si="6"/>
        <v>169</v>
      </c>
      <c r="L227">
        <v>17</v>
      </c>
      <c r="M227">
        <v>186</v>
      </c>
    </row>
    <row r="228" spans="1:13" x14ac:dyDescent="0.35">
      <c r="K228">
        <f t="shared" si="6"/>
        <v>17</v>
      </c>
      <c r="L228">
        <v>12</v>
      </c>
      <c r="M228">
        <v>29</v>
      </c>
    </row>
    <row r="229" spans="1:13" x14ac:dyDescent="0.35">
      <c r="F229" s="6" t="s">
        <v>42</v>
      </c>
      <c r="K229">
        <f t="shared" si="6"/>
        <v>-13</v>
      </c>
      <c r="L229">
        <v>52</v>
      </c>
      <c r="M229">
        <v>39</v>
      </c>
    </row>
    <row r="230" spans="1:13" ht="19" thickBot="1" x14ac:dyDescent="0.5">
      <c r="A230" s="5" t="s">
        <v>43</v>
      </c>
      <c r="B230" s="5"/>
      <c r="F230" t="s">
        <v>112</v>
      </c>
      <c r="K230">
        <f t="shared" si="6"/>
        <v>1</v>
      </c>
      <c r="L230">
        <v>14</v>
      </c>
      <c r="M230">
        <v>15</v>
      </c>
    </row>
    <row r="231" spans="1:13" ht="18" thickBot="1" x14ac:dyDescent="0.5">
      <c r="A231" s="8" t="s">
        <v>113</v>
      </c>
      <c r="B231" s="9"/>
      <c r="C231" s="10">
        <v>26.04167</v>
      </c>
      <c r="F231" t="s">
        <v>114</v>
      </c>
      <c r="K231">
        <f t="shared" si="6"/>
        <v>9</v>
      </c>
      <c r="L231">
        <v>12</v>
      </c>
      <c r="M231">
        <v>21</v>
      </c>
    </row>
    <row r="232" spans="1:13" ht="18" thickBot="1" x14ac:dyDescent="0.4">
      <c r="A232" s="45" t="s">
        <v>115</v>
      </c>
      <c r="B232" s="46"/>
      <c r="C232" s="10">
        <v>55.092399999999998</v>
      </c>
      <c r="K232">
        <f t="shared" si="6"/>
        <v>-2</v>
      </c>
      <c r="L232">
        <v>30</v>
      </c>
      <c r="M232">
        <v>28</v>
      </c>
    </row>
    <row r="233" spans="1:13" ht="18" thickBot="1" x14ac:dyDescent="0.5">
      <c r="A233" s="8" t="s">
        <v>116</v>
      </c>
      <c r="B233" s="9"/>
      <c r="C233" s="10">
        <v>24</v>
      </c>
      <c r="E233" t="s">
        <v>117</v>
      </c>
      <c r="K233">
        <f t="shared" si="6"/>
        <v>1</v>
      </c>
      <c r="L233">
        <v>7</v>
      </c>
      <c r="M233">
        <v>8</v>
      </c>
    </row>
    <row r="234" spans="1:13" ht="18" thickBot="1" x14ac:dyDescent="0.5">
      <c r="A234" s="8" t="s">
        <v>50</v>
      </c>
      <c r="B234" s="9"/>
      <c r="C234" s="10">
        <v>0.05</v>
      </c>
      <c r="E234" t="s">
        <v>118</v>
      </c>
      <c r="K234">
        <f t="shared" ref="K234:K240" si="7">+M234-L234</f>
        <v>12</v>
      </c>
      <c r="L234">
        <v>15</v>
      </c>
      <c r="M234">
        <v>27</v>
      </c>
    </row>
    <row r="235" spans="1:13" ht="17.5" x14ac:dyDescent="0.45">
      <c r="A235" s="20"/>
      <c r="B235" s="20"/>
      <c r="C235" s="20"/>
      <c r="E235" t="s">
        <v>119</v>
      </c>
      <c r="K235">
        <f t="shared" si="7"/>
        <v>12</v>
      </c>
      <c r="L235">
        <v>65</v>
      </c>
      <c r="M235">
        <v>77</v>
      </c>
    </row>
    <row r="236" spans="1:13" ht="16" thickBot="1" x14ac:dyDescent="0.4">
      <c r="A236" s="20"/>
      <c r="B236" s="20"/>
      <c r="C236" s="20"/>
      <c r="K236">
        <f t="shared" si="7"/>
        <v>2</v>
      </c>
      <c r="L236">
        <v>10</v>
      </c>
      <c r="M236">
        <v>12</v>
      </c>
    </row>
    <row r="237" spans="1:13" ht="16" thickBot="1" x14ac:dyDescent="0.4">
      <c r="G237" s="49" t="s">
        <v>51</v>
      </c>
      <c r="H237" s="11" t="s">
        <v>52</v>
      </c>
      <c r="K237">
        <f t="shared" si="7"/>
        <v>1</v>
      </c>
      <c r="L237">
        <v>7</v>
      </c>
      <c r="M237">
        <v>8</v>
      </c>
    </row>
    <row r="238" spans="1:13" x14ac:dyDescent="0.35">
      <c r="F238" s="12" t="s">
        <v>53</v>
      </c>
      <c r="G238" s="50" t="s">
        <v>54</v>
      </c>
      <c r="H238" s="13" t="s">
        <v>54</v>
      </c>
      <c r="K238">
        <f t="shared" si="7"/>
        <v>-3</v>
      </c>
      <c r="L238">
        <v>19</v>
      </c>
      <c r="M238">
        <v>16</v>
      </c>
    </row>
    <row r="239" spans="1:13" ht="18" thickBot="1" x14ac:dyDescent="0.4">
      <c r="A239" s="5" t="s">
        <v>55</v>
      </c>
      <c r="F239" s="14" t="s">
        <v>56</v>
      </c>
      <c r="G239" s="51" t="s">
        <v>56</v>
      </c>
      <c r="H239" s="14" t="s">
        <v>56</v>
      </c>
      <c r="K239">
        <f t="shared" si="7"/>
        <v>-6</v>
      </c>
      <c r="L239">
        <v>34</v>
      </c>
      <c r="M239">
        <v>28</v>
      </c>
    </row>
    <row r="240" spans="1:13" ht="16" thickBot="1" x14ac:dyDescent="0.4">
      <c r="A240" s="8" t="s">
        <v>57</v>
      </c>
      <c r="B240" s="15"/>
      <c r="C240" s="15"/>
      <c r="D240" s="15"/>
      <c r="E240" s="9"/>
      <c r="F240" s="16">
        <f>+C234/2</f>
        <v>2.5000000000000001E-2</v>
      </c>
      <c r="G240" s="52">
        <f>+C234</f>
        <v>0.05</v>
      </c>
      <c r="H240" s="16">
        <f>+C234</f>
        <v>0.05</v>
      </c>
      <c r="K240">
        <f t="shared" si="7"/>
        <v>-5</v>
      </c>
      <c r="L240">
        <v>25</v>
      </c>
      <c r="M240">
        <v>20</v>
      </c>
    </row>
    <row r="241" spans="1:12" ht="16" thickBot="1" x14ac:dyDescent="0.4">
      <c r="A241" s="8" t="s">
        <v>58</v>
      </c>
      <c r="B241" s="15"/>
      <c r="C241" s="15"/>
      <c r="D241" s="15"/>
      <c r="E241" s="9"/>
      <c r="F241" s="17">
        <f>(C231)/(C232/SQRT(C233))</f>
        <v>2.3157024762015959</v>
      </c>
      <c r="G241" s="53">
        <f t="shared" ref="G241:H241" si="8">+F241</f>
        <v>2.3157024762015959</v>
      </c>
      <c r="H241" s="17">
        <f t="shared" si="8"/>
        <v>2.3157024762015959</v>
      </c>
    </row>
    <row r="242" spans="1:12" ht="16.5" thickTop="1" thickBot="1" x14ac:dyDescent="0.4">
      <c r="A242" s="8" t="s">
        <v>59</v>
      </c>
      <c r="B242" s="15"/>
      <c r="C242" s="15"/>
      <c r="D242" s="15"/>
      <c r="E242" s="18">
        <f>TINV(F240*2,C233-1)</f>
        <v>2.068654794129543</v>
      </c>
      <c r="F242" s="19">
        <f>-TINV(F240*2,C233-1)</f>
        <v>-2.068654794129543</v>
      </c>
      <c r="G242" s="53">
        <f>TINV(G240*2,C233-1)</f>
        <v>1.7138700059149414</v>
      </c>
      <c r="H242" s="17">
        <f>-TINV(H240*2,C233-1)</f>
        <v>-1.7138700059149414</v>
      </c>
    </row>
    <row r="243" spans="1:12" ht="16.5" thickTop="1" thickBot="1" x14ac:dyDescent="0.4">
      <c r="A243" s="8" t="s">
        <v>60</v>
      </c>
      <c r="B243" s="15"/>
      <c r="C243" s="15"/>
      <c r="D243" s="15"/>
      <c r="E243" s="9"/>
      <c r="F243" s="11" t="str">
        <f>IF(OR(F241&gt;E242,F241&lt;F242),"Reject Null","Accept Null")</f>
        <v>Reject Null</v>
      </c>
      <c r="G243" s="49" t="str">
        <f>IF(G241&gt;G242,"Reject Null","Accept Null")</f>
        <v>Reject Null</v>
      </c>
      <c r="H243" s="11" t="str">
        <f>IF(H241&lt;H242,"Reject Null","Accept Null")</f>
        <v>Accept Null</v>
      </c>
    </row>
    <row r="244" spans="1:12" ht="59.5" x14ac:dyDescent="0.35">
      <c r="G244" s="27" t="s">
        <v>61</v>
      </c>
    </row>
    <row r="245" spans="1:12" x14ac:dyDescent="0.35">
      <c r="A245" t="s">
        <v>120</v>
      </c>
    </row>
    <row r="248" spans="1:12" x14ac:dyDescent="0.35">
      <c r="A248" s="43" t="s">
        <v>12</v>
      </c>
      <c r="B248" s="44"/>
      <c r="C248" s="44"/>
      <c r="D248" s="44"/>
      <c r="E248" s="44"/>
      <c r="F248" s="44"/>
      <c r="G248" s="44"/>
      <c r="H248" s="44"/>
      <c r="I248" s="44"/>
    </row>
    <row r="250" spans="1:12" x14ac:dyDescent="0.35">
      <c r="A250" t="s">
        <v>64</v>
      </c>
      <c r="B250" t="s">
        <v>121</v>
      </c>
    </row>
    <row r="251" spans="1:12" x14ac:dyDescent="0.35">
      <c r="A251" t="s">
        <v>67</v>
      </c>
      <c r="B251" t="s">
        <v>122</v>
      </c>
    </row>
    <row r="253" spans="1:12" x14ac:dyDescent="0.35">
      <c r="H253" s="3" t="s">
        <v>104</v>
      </c>
      <c r="I253">
        <f>AVERAGE(J256:J265)</f>
        <v>5.6</v>
      </c>
    </row>
    <row r="254" spans="1:12" ht="18.5" x14ac:dyDescent="0.45">
      <c r="A254" s="5" t="s">
        <v>106</v>
      </c>
      <c r="H254" s="3" t="s">
        <v>105</v>
      </c>
      <c r="I254">
        <f>STDEV(J256:J265)</f>
        <v>6.7856056799997191</v>
      </c>
    </row>
    <row r="255" spans="1:12" ht="17.5" x14ac:dyDescent="0.45">
      <c r="A255" s="1" t="s">
        <v>107</v>
      </c>
      <c r="J255" s="54" t="s">
        <v>96</v>
      </c>
      <c r="K255" s="54" t="s">
        <v>123</v>
      </c>
      <c r="L255" s="54" t="s">
        <v>124</v>
      </c>
    </row>
    <row r="256" spans="1:12" x14ac:dyDescent="0.35">
      <c r="A256" s="1"/>
      <c r="J256">
        <f t="shared" ref="J256:J265" si="9">+L256-K256</f>
        <v>12</v>
      </c>
      <c r="K256">
        <v>142</v>
      </c>
      <c r="L256">
        <v>154</v>
      </c>
    </row>
    <row r="257" spans="1:12" x14ac:dyDescent="0.35">
      <c r="A257" s="48" t="s">
        <v>36</v>
      </c>
      <c r="B257" s="44"/>
      <c r="F257" s="6" t="s">
        <v>37</v>
      </c>
      <c r="G257" s="6"/>
      <c r="J257">
        <f t="shared" si="9"/>
        <v>6</v>
      </c>
      <c r="K257">
        <v>100</v>
      </c>
      <c r="L257">
        <v>106</v>
      </c>
    </row>
    <row r="258" spans="1:12" ht="17.5" x14ac:dyDescent="0.45">
      <c r="A258" s="44" t="s">
        <v>108</v>
      </c>
      <c r="B258" s="44"/>
      <c r="F258" t="s">
        <v>109</v>
      </c>
      <c r="J258">
        <f t="shared" si="9"/>
        <v>-2</v>
      </c>
      <c r="K258">
        <v>112</v>
      </c>
      <c r="L258">
        <v>110</v>
      </c>
    </row>
    <row r="259" spans="1:12" ht="17.5" x14ac:dyDescent="0.45">
      <c r="A259" s="44" t="s">
        <v>110</v>
      </c>
      <c r="B259" s="44"/>
      <c r="F259" t="s">
        <v>111</v>
      </c>
      <c r="J259">
        <f t="shared" si="9"/>
        <v>8</v>
      </c>
      <c r="K259">
        <v>92</v>
      </c>
      <c r="L259">
        <v>100</v>
      </c>
    </row>
    <row r="260" spans="1:12" x14ac:dyDescent="0.35">
      <c r="J260">
        <f t="shared" si="9"/>
        <v>8</v>
      </c>
      <c r="K260">
        <v>104</v>
      </c>
      <c r="L260">
        <v>112</v>
      </c>
    </row>
    <row r="261" spans="1:12" x14ac:dyDescent="0.35">
      <c r="F261" s="6" t="s">
        <v>42</v>
      </c>
      <c r="J261">
        <f t="shared" si="9"/>
        <v>0</v>
      </c>
      <c r="K261">
        <v>100</v>
      </c>
      <c r="L261">
        <v>100</v>
      </c>
    </row>
    <row r="262" spans="1:12" ht="19" thickBot="1" x14ac:dyDescent="0.5">
      <c r="A262" s="5" t="s">
        <v>43</v>
      </c>
      <c r="B262" s="5"/>
      <c r="F262" t="s">
        <v>112</v>
      </c>
      <c r="J262">
        <f t="shared" si="9"/>
        <v>12</v>
      </c>
      <c r="K262">
        <v>108</v>
      </c>
      <c r="L262">
        <v>120</v>
      </c>
    </row>
    <row r="263" spans="1:12" ht="18" thickBot="1" x14ac:dyDescent="0.5">
      <c r="A263" s="8" t="s">
        <v>113</v>
      </c>
      <c r="B263" s="9"/>
      <c r="C263" s="10">
        <v>5.6</v>
      </c>
      <c r="F263" t="s">
        <v>114</v>
      </c>
      <c r="J263">
        <f t="shared" si="9"/>
        <v>-4</v>
      </c>
      <c r="K263">
        <v>94</v>
      </c>
      <c r="L263">
        <v>90</v>
      </c>
    </row>
    <row r="264" spans="1:12" ht="18" thickBot="1" x14ac:dyDescent="0.4">
      <c r="A264" s="45" t="s">
        <v>115</v>
      </c>
      <c r="B264" s="46"/>
      <c r="C264" s="10">
        <v>6.7856059999999996</v>
      </c>
      <c r="J264">
        <f t="shared" si="9"/>
        <v>0</v>
      </c>
      <c r="K264">
        <v>104</v>
      </c>
      <c r="L264">
        <v>104</v>
      </c>
    </row>
    <row r="265" spans="1:12" ht="18" thickBot="1" x14ac:dyDescent="0.5">
      <c r="A265" s="8" t="s">
        <v>116</v>
      </c>
      <c r="B265" s="9"/>
      <c r="C265" s="10">
        <v>10</v>
      </c>
      <c r="E265" t="s">
        <v>117</v>
      </c>
      <c r="J265">
        <f t="shared" si="9"/>
        <v>16</v>
      </c>
      <c r="K265">
        <v>98</v>
      </c>
      <c r="L265">
        <v>114</v>
      </c>
    </row>
    <row r="266" spans="1:12" ht="18" thickBot="1" x14ac:dyDescent="0.5">
      <c r="A266" s="8" t="s">
        <v>50</v>
      </c>
      <c r="B266" s="9"/>
      <c r="C266" s="10">
        <v>0.05</v>
      </c>
      <c r="E266" t="s">
        <v>118</v>
      </c>
    </row>
    <row r="267" spans="1:12" ht="17.5" x14ac:dyDescent="0.45">
      <c r="A267" s="20"/>
      <c r="B267" s="20"/>
      <c r="C267" s="20"/>
      <c r="E267" t="s">
        <v>119</v>
      </c>
    </row>
    <row r="268" spans="1:12" ht="16" thickBot="1" x14ac:dyDescent="0.4">
      <c r="A268" s="20"/>
      <c r="B268" s="20"/>
      <c r="C268" s="20"/>
    </row>
    <row r="269" spans="1:12" ht="16" thickBot="1" x14ac:dyDescent="0.4">
      <c r="G269" s="11" t="s">
        <v>51</v>
      </c>
      <c r="H269" s="11" t="s">
        <v>52</v>
      </c>
    </row>
    <row r="270" spans="1:12" x14ac:dyDescent="0.35">
      <c r="F270" s="55" t="s">
        <v>53</v>
      </c>
      <c r="G270" s="13" t="s">
        <v>54</v>
      </c>
      <c r="H270" s="13" t="s">
        <v>54</v>
      </c>
    </row>
    <row r="271" spans="1:12" ht="18" thickBot="1" x14ac:dyDescent="0.4">
      <c r="A271" s="5" t="s">
        <v>55</v>
      </c>
      <c r="F271" s="51" t="s">
        <v>56</v>
      </c>
      <c r="G271" s="14" t="s">
        <v>56</v>
      </c>
      <c r="H271" s="14" t="s">
        <v>56</v>
      </c>
    </row>
    <row r="272" spans="1:12" ht="16" thickBot="1" x14ac:dyDescent="0.4">
      <c r="A272" s="8" t="s">
        <v>57</v>
      </c>
      <c r="B272" s="15"/>
      <c r="C272" s="15"/>
      <c r="D272" s="15"/>
      <c r="E272" s="9"/>
      <c r="F272" s="52">
        <f>+C266/2</f>
        <v>2.5000000000000001E-2</v>
      </c>
      <c r="G272" s="16">
        <f>+C266</f>
        <v>0.05</v>
      </c>
      <c r="H272" s="16">
        <f>+C266</f>
        <v>0.05</v>
      </c>
    </row>
    <row r="273" spans="1:9" ht="16" thickBot="1" x14ac:dyDescent="0.4">
      <c r="A273" s="8" t="s">
        <v>58</v>
      </c>
      <c r="B273" s="15"/>
      <c r="C273" s="15"/>
      <c r="D273" s="15"/>
      <c r="E273" s="9"/>
      <c r="F273" s="53">
        <f>(C263)/(C264/SQRT(C265))</f>
        <v>2.6097528941325105</v>
      </c>
      <c r="G273" s="17">
        <f t="shared" ref="G273:H273" si="10">+F273</f>
        <v>2.6097528941325105</v>
      </c>
      <c r="H273" s="17">
        <f t="shared" si="10"/>
        <v>2.6097528941325105</v>
      </c>
    </row>
    <row r="274" spans="1:9" ht="16.5" thickTop="1" thickBot="1" x14ac:dyDescent="0.4">
      <c r="A274" s="8" t="s">
        <v>59</v>
      </c>
      <c r="B274" s="15"/>
      <c r="C274" s="15"/>
      <c r="D274" s="15"/>
      <c r="E274" s="57">
        <f>TINV(F272*2,C265-1)</f>
        <v>2.2621588868787512</v>
      </c>
      <c r="F274" s="56">
        <f>-TINV(F272*2,C265-1)</f>
        <v>-2.2621588868787512</v>
      </c>
      <c r="G274" s="17">
        <f>TINV(G272*2,C265-1)</f>
        <v>1.8331138562643901</v>
      </c>
      <c r="H274" s="17">
        <f>-TINV(H272*2,C265-1)</f>
        <v>-1.8331138562643901</v>
      </c>
    </row>
    <row r="275" spans="1:9" ht="16.5" thickTop="1" thickBot="1" x14ac:dyDescent="0.4">
      <c r="A275" s="8" t="s">
        <v>60</v>
      </c>
      <c r="B275" s="15"/>
      <c r="C275" s="15"/>
      <c r="D275" s="15"/>
      <c r="E275" s="9"/>
      <c r="F275" s="49" t="str">
        <f>IF(OR(F273&gt;E274,F273&lt;F274),"Reject Null","Accept Null")</f>
        <v>Reject Null</v>
      </c>
      <c r="G275" s="11" t="str">
        <f>IF(G273&gt;G274,"Reject Null","Accept Null")</f>
        <v>Reject Null</v>
      </c>
      <c r="H275" s="11" t="str">
        <f>IF(H273&lt;H274,"Reject Null","Accept Null")</f>
        <v>Accept Null</v>
      </c>
    </row>
    <row r="276" spans="1:9" ht="59.5" x14ac:dyDescent="0.35">
      <c r="F276" s="27" t="s">
        <v>61</v>
      </c>
    </row>
    <row r="277" spans="1:9" x14ac:dyDescent="0.35">
      <c r="A277" t="s">
        <v>125</v>
      </c>
    </row>
    <row r="278" spans="1:9" x14ac:dyDescent="0.35">
      <c r="A278" t="s">
        <v>126</v>
      </c>
    </row>
    <row r="281" spans="1:9" x14ac:dyDescent="0.35">
      <c r="A281" s="43" t="s">
        <v>63</v>
      </c>
      <c r="B281" s="44"/>
      <c r="C281" s="44"/>
      <c r="D281" s="44"/>
      <c r="E281" s="44"/>
      <c r="F281" s="44"/>
      <c r="G281" s="44"/>
      <c r="H281" s="44"/>
      <c r="I281" s="44"/>
    </row>
    <row r="283" spans="1:9" x14ac:dyDescent="0.35">
      <c r="A283" t="s">
        <v>64</v>
      </c>
      <c r="B283" t="s">
        <v>127</v>
      </c>
    </row>
    <row r="284" spans="1:9" x14ac:dyDescent="0.35">
      <c r="A284" t="s">
        <v>67</v>
      </c>
      <c r="B284" t="s">
        <v>128</v>
      </c>
    </row>
    <row r="286" spans="1:9" ht="18" x14ac:dyDescent="0.4">
      <c r="A286" s="5" t="s">
        <v>129</v>
      </c>
    </row>
    <row r="287" spans="1:9" ht="17.5" x14ac:dyDescent="0.35">
      <c r="A287" s="5" t="s">
        <v>130</v>
      </c>
    </row>
    <row r="288" spans="1:9" ht="17.5" x14ac:dyDescent="0.45">
      <c r="A288" s="1" t="s">
        <v>131</v>
      </c>
    </row>
    <row r="289" spans="1:11" x14ac:dyDescent="0.35">
      <c r="A289" s="1"/>
    </row>
    <row r="290" spans="1:11" x14ac:dyDescent="0.35">
      <c r="A290" s="6" t="s">
        <v>36</v>
      </c>
      <c r="F290" s="6" t="s">
        <v>37</v>
      </c>
      <c r="J290" t="s">
        <v>132</v>
      </c>
      <c r="K290" t="s">
        <v>133</v>
      </c>
    </row>
    <row r="291" spans="1:11" ht="17.5" x14ac:dyDescent="0.45">
      <c r="A291" s="7" t="s">
        <v>134</v>
      </c>
      <c r="F291" s="7" t="s">
        <v>135</v>
      </c>
      <c r="G291" s="6"/>
      <c r="J291">
        <v>4</v>
      </c>
      <c r="K291">
        <v>7</v>
      </c>
    </row>
    <row r="292" spans="1:11" ht="17.5" x14ac:dyDescent="0.45">
      <c r="A292" s="7" t="s">
        <v>136</v>
      </c>
      <c r="F292" s="7" t="s">
        <v>137</v>
      </c>
      <c r="J292">
        <v>0</v>
      </c>
      <c r="K292">
        <v>8</v>
      </c>
    </row>
    <row r="293" spans="1:11" x14ac:dyDescent="0.35">
      <c r="J293">
        <v>3</v>
      </c>
      <c r="K293">
        <v>4</v>
      </c>
    </row>
    <row r="294" spans="1:11" x14ac:dyDescent="0.35">
      <c r="F294" s="48" t="s">
        <v>42</v>
      </c>
      <c r="G294" s="44"/>
      <c r="J294">
        <v>4</v>
      </c>
      <c r="K294">
        <v>6</v>
      </c>
    </row>
    <row r="295" spans="1:11" ht="19" thickBot="1" x14ac:dyDescent="0.5">
      <c r="A295" s="5" t="s">
        <v>43</v>
      </c>
      <c r="F295" s="61" t="s">
        <v>138</v>
      </c>
      <c r="G295" s="44"/>
      <c r="J295">
        <v>4</v>
      </c>
      <c r="K295">
        <v>6</v>
      </c>
    </row>
    <row r="296" spans="1:11" ht="19" thickBot="1" x14ac:dyDescent="0.5">
      <c r="A296" s="8" t="s">
        <v>139</v>
      </c>
      <c r="B296" s="58"/>
      <c r="C296" s="10">
        <v>3.3</v>
      </c>
      <c r="F296" s="61" t="s">
        <v>140</v>
      </c>
      <c r="G296" s="44"/>
      <c r="J296">
        <v>3</v>
      </c>
      <c r="K296">
        <v>4</v>
      </c>
    </row>
    <row r="297" spans="1:11" ht="16" thickBot="1" x14ac:dyDescent="0.4">
      <c r="A297" s="8" t="s">
        <v>141</v>
      </c>
      <c r="B297" s="9"/>
      <c r="C297" s="10">
        <v>5.7</v>
      </c>
      <c r="J297">
        <v>4</v>
      </c>
      <c r="K297">
        <v>6</v>
      </c>
    </row>
    <row r="298" spans="1:11" ht="16" thickBot="1" x14ac:dyDescent="0.4">
      <c r="A298" s="8" t="s">
        <v>142</v>
      </c>
      <c r="B298" s="9"/>
      <c r="C298" s="10">
        <v>1.567021</v>
      </c>
      <c r="F298" t="s">
        <v>143</v>
      </c>
      <c r="J298">
        <v>3</v>
      </c>
      <c r="K298">
        <v>4</v>
      </c>
    </row>
    <row r="299" spans="1:11" ht="16" thickBot="1" x14ac:dyDescent="0.4">
      <c r="A299" s="8" t="s">
        <v>144</v>
      </c>
      <c r="B299" s="9"/>
      <c r="C299" s="10">
        <v>1.337494</v>
      </c>
      <c r="F299" t="s">
        <v>145</v>
      </c>
      <c r="G299" s="59">
        <f>SQRT((((C300-1)*C298^2)+((C301-1)*C299^2))/(C300+C301-2))</f>
        <v>1.4567849900512087</v>
      </c>
      <c r="J299">
        <v>2</v>
      </c>
      <c r="K299">
        <v>6</v>
      </c>
    </row>
    <row r="300" spans="1:11" ht="16" thickBot="1" x14ac:dyDescent="0.4">
      <c r="A300" s="8" t="s">
        <v>146</v>
      </c>
      <c r="B300" s="9"/>
      <c r="C300" s="10">
        <v>10</v>
      </c>
      <c r="J300">
        <v>6</v>
      </c>
      <c r="K300">
        <v>6</v>
      </c>
    </row>
    <row r="301" spans="1:11" ht="16" thickBot="1" x14ac:dyDescent="0.4">
      <c r="A301" s="8" t="s">
        <v>147</v>
      </c>
      <c r="B301" s="9"/>
      <c r="C301" s="10">
        <v>10</v>
      </c>
      <c r="I301" s="3" t="s">
        <v>148</v>
      </c>
      <c r="J301">
        <f t="shared" ref="J301:K301" si="11">AVERAGE(J291:J300)</f>
        <v>3.3</v>
      </c>
      <c r="K301">
        <f t="shared" si="11"/>
        <v>5.7</v>
      </c>
    </row>
    <row r="302" spans="1:11" ht="16" thickBot="1" x14ac:dyDescent="0.4">
      <c r="A302" s="8" t="s">
        <v>50</v>
      </c>
      <c r="B302" s="9"/>
      <c r="C302" s="10">
        <v>0.05</v>
      </c>
      <c r="G302" s="11" t="s">
        <v>51</v>
      </c>
      <c r="H302" s="49" t="s">
        <v>52</v>
      </c>
      <c r="I302" s="3" t="s">
        <v>149</v>
      </c>
      <c r="J302">
        <f t="shared" ref="J302:K302" si="12">STDEV(J291:J300)</f>
        <v>1.567021236472421</v>
      </c>
      <c r="K302">
        <f t="shared" si="12"/>
        <v>1.3374935098492595</v>
      </c>
    </row>
    <row r="303" spans="1:11" x14ac:dyDescent="0.35">
      <c r="F303" s="12" t="s">
        <v>53</v>
      </c>
      <c r="G303" s="13" t="s">
        <v>54</v>
      </c>
      <c r="H303" s="50" t="s">
        <v>54</v>
      </c>
    </row>
    <row r="304" spans="1:11" ht="18" thickBot="1" x14ac:dyDescent="0.4">
      <c r="A304" s="5" t="s">
        <v>55</v>
      </c>
      <c r="F304" s="14" t="s">
        <v>56</v>
      </c>
      <c r="G304" s="14" t="s">
        <v>56</v>
      </c>
      <c r="H304" s="51" t="s">
        <v>56</v>
      </c>
    </row>
    <row r="305" spans="1:9" ht="16" thickBot="1" x14ac:dyDescent="0.4">
      <c r="A305" s="8" t="s">
        <v>57</v>
      </c>
      <c r="B305" s="15"/>
      <c r="C305" s="15"/>
      <c r="D305" s="15"/>
      <c r="E305" s="9"/>
      <c r="F305" s="60">
        <f>+C302/2</f>
        <v>2.5000000000000001E-2</v>
      </c>
      <c r="G305" s="60">
        <f>+C302</f>
        <v>0.05</v>
      </c>
      <c r="H305" s="62">
        <f>+C302</f>
        <v>0.05</v>
      </c>
    </row>
    <row r="306" spans="1:9" ht="16" thickBot="1" x14ac:dyDescent="0.4">
      <c r="A306" s="8" t="s">
        <v>58</v>
      </c>
      <c r="B306" s="15"/>
      <c r="C306" s="15"/>
      <c r="D306" s="15"/>
      <c r="E306" s="9"/>
      <c r="F306" s="17">
        <f>(C296-C297)/(G299*SQRT((1/C300)+(1/C301)))</f>
        <v>-3.6838402253244329</v>
      </c>
      <c r="G306" s="17">
        <f>+F306</f>
        <v>-3.6838402253244329</v>
      </c>
      <c r="H306" s="53">
        <f>+F306</f>
        <v>-3.6838402253244329</v>
      </c>
    </row>
    <row r="307" spans="1:9" ht="16.5" thickTop="1" thickBot="1" x14ac:dyDescent="0.4">
      <c r="A307" s="8" t="s">
        <v>59</v>
      </c>
      <c r="B307" s="15"/>
      <c r="C307" s="15"/>
      <c r="D307" s="15"/>
      <c r="E307" s="18">
        <f>TINV(F305*2,C300+C301-2)</f>
        <v>2.1009236661484465</v>
      </c>
      <c r="F307" s="19">
        <f>-TINV(F305*2,C300+C301-2)</f>
        <v>-2.1009236661484465</v>
      </c>
      <c r="G307" s="17">
        <f>TINV(G305*2,C300+C301-2)</f>
        <v>1.7340630620310549</v>
      </c>
      <c r="H307" s="53">
        <f>-TINV(H305*2,C300+C301-2)</f>
        <v>-1.7340630620310549</v>
      </c>
    </row>
    <row r="308" spans="1:9" ht="16.5" thickTop="1" thickBot="1" x14ac:dyDescent="0.4">
      <c r="A308" s="8" t="s">
        <v>60</v>
      </c>
      <c r="B308" s="15"/>
      <c r="C308" s="15"/>
      <c r="D308" s="15"/>
      <c r="E308" s="9"/>
      <c r="F308" s="11" t="str">
        <f>IF(OR(F306&gt;E307,F306&lt;F307),"Reject Null","Accept Null")</f>
        <v>Reject Null</v>
      </c>
      <c r="G308" s="11" t="str">
        <f>IF(G306&gt;G307,"Reject Null","Accept Null")</f>
        <v>Accept Null</v>
      </c>
      <c r="H308" s="49" t="str">
        <f>IF(H306&lt;H307,"Reject Null","Accept Null")</f>
        <v>Reject Null</v>
      </c>
    </row>
    <row r="309" spans="1:9" ht="59.5" x14ac:dyDescent="0.35">
      <c r="H309" s="27" t="s">
        <v>61</v>
      </c>
    </row>
    <row r="310" spans="1:9" x14ac:dyDescent="0.35">
      <c r="A310" t="s">
        <v>150</v>
      </c>
    </row>
    <row r="313" spans="1:9" x14ac:dyDescent="0.35">
      <c r="A313" s="43" t="s">
        <v>151</v>
      </c>
      <c r="B313" s="44"/>
      <c r="C313" s="44"/>
      <c r="D313" s="44"/>
      <c r="E313" s="44"/>
      <c r="F313" s="44"/>
      <c r="G313" s="44"/>
      <c r="H313" s="44"/>
      <c r="I313" s="44"/>
    </row>
    <row r="316" spans="1:9" x14ac:dyDescent="0.35">
      <c r="A316" t="s">
        <v>64</v>
      </c>
      <c r="B316" t="s">
        <v>152</v>
      </c>
    </row>
    <row r="317" spans="1:9" x14ac:dyDescent="0.35">
      <c r="A317" t="s">
        <v>67</v>
      </c>
      <c r="B317" t="s">
        <v>153</v>
      </c>
    </row>
    <row r="319" spans="1:9" ht="18" x14ac:dyDescent="0.4">
      <c r="A319" s="5" t="s">
        <v>129</v>
      </c>
    </row>
    <row r="320" spans="1:9" ht="17.5" x14ac:dyDescent="0.35">
      <c r="A320" s="5" t="s">
        <v>130</v>
      </c>
    </row>
    <row r="321" spans="1:8" ht="17.5" x14ac:dyDescent="0.45">
      <c r="A321" s="1" t="s">
        <v>131</v>
      </c>
    </row>
    <row r="322" spans="1:8" x14ac:dyDescent="0.35">
      <c r="A322" s="1"/>
    </row>
    <row r="323" spans="1:8" x14ac:dyDescent="0.35">
      <c r="A323" s="6" t="s">
        <v>36</v>
      </c>
      <c r="F323" s="48" t="s">
        <v>37</v>
      </c>
      <c r="G323" s="44"/>
    </row>
    <row r="324" spans="1:8" ht="17.5" x14ac:dyDescent="0.45">
      <c r="A324" s="7" t="s">
        <v>134</v>
      </c>
      <c r="F324" s="61" t="s">
        <v>135</v>
      </c>
      <c r="G324" s="48"/>
    </row>
    <row r="325" spans="1:8" ht="17.5" x14ac:dyDescent="0.45">
      <c r="A325" s="7" t="s">
        <v>136</v>
      </c>
      <c r="F325" s="61" t="s">
        <v>137</v>
      </c>
      <c r="G325" s="44"/>
    </row>
    <row r="327" spans="1:8" x14ac:dyDescent="0.35">
      <c r="F327" s="6" t="s">
        <v>42</v>
      </c>
    </row>
    <row r="328" spans="1:8" ht="19" thickBot="1" x14ac:dyDescent="0.5">
      <c r="A328" s="5" t="s">
        <v>43</v>
      </c>
      <c r="F328" s="7" t="s">
        <v>138</v>
      </c>
    </row>
    <row r="329" spans="1:8" ht="19" thickBot="1" x14ac:dyDescent="0.5">
      <c r="A329" s="8" t="s">
        <v>139</v>
      </c>
      <c r="B329" s="58"/>
      <c r="C329" s="10">
        <v>90.8</v>
      </c>
      <c r="F329" s="7" t="s">
        <v>140</v>
      </c>
    </row>
    <row r="330" spans="1:8" ht="16" thickBot="1" x14ac:dyDescent="0.4">
      <c r="A330" s="8" t="s">
        <v>141</v>
      </c>
      <c r="B330" s="9"/>
      <c r="C330" s="10">
        <v>87.2</v>
      </c>
    </row>
    <row r="331" spans="1:8" ht="16" thickBot="1" x14ac:dyDescent="0.4">
      <c r="A331" s="8" t="s">
        <v>142</v>
      </c>
      <c r="B331" s="9"/>
      <c r="C331" s="10">
        <v>10.3</v>
      </c>
      <c r="F331" t="s">
        <v>143</v>
      </c>
    </row>
    <row r="332" spans="1:8" ht="16" thickBot="1" x14ac:dyDescent="0.4">
      <c r="A332" s="8" t="s">
        <v>144</v>
      </c>
      <c r="B332" s="9"/>
      <c r="C332" s="10">
        <v>0.2</v>
      </c>
      <c r="F332" t="s">
        <v>145</v>
      </c>
      <c r="G332" s="59">
        <f>SQRT((((C333-1)*C331^2)+((C334-1)*C332^2))/(C333+C334-2))</f>
        <v>7.8165907471922127</v>
      </c>
    </row>
    <row r="333" spans="1:8" ht="16" thickBot="1" x14ac:dyDescent="0.4">
      <c r="A333" s="8" t="s">
        <v>146</v>
      </c>
      <c r="B333" s="9"/>
      <c r="C333" s="10">
        <v>20</v>
      </c>
    </row>
    <row r="334" spans="1:8" ht="16" thickBot="1" x14ac:dyDescent="0.4">
      <c r="A334" s="8" t="s">
        <v>147</v>
      </c>
      <c r="B334" s="9"/>
      <c r="C334" s="10">
        <v>15</v>
      </c>
    </row>
    <row r="335" spans="1:8" ht="16" thickBot="1" x14ac:dyDescent="0.4">
      <c r="A335" s="8" t="s">
        <v>50</v>
      </c>
      <c r="B335" s="9"/>
      <c r="C335" s="10">
        <v>0.05</v>
      </c>
      <c r="G335" s="49" t="s">
        <v>51</v>
      </c>
      <c r="H335" s="11" t="s">
        <v>52</v>
      </c>
    </row>
    <row r="336" spans="1:8" x14ac:dyDescent="0.35">
      <c r="F336" s="12" t="s">
        <v>53</v>
      </c>
      <c r="G336" s="50" t="s">
        <v>54</v>
      </c>
      <c r="H336" s="13" t="s">
        <v>54</v>
      </c>
    </row>
    <row r="337" spans="1:9" ht="18" thickBot="1" x14ac:dyDescent="0.4">
      <c r="A337" s="5" t="s">
        <v>55</v>
      </c>
      <c r="F337" s="14" t="s">
        <v>56</v>
      </c>
      <c r="G337" s="51" t="s">
        <v>56</v>
      </c>
      <c r="H337" s="14" t="s">
        <v>56</v>
      </c>
    </row>
    <row r="338" spans="1:9" ht="16" thickBot="1" x14ac:dyDescent="0.4">
      <c r="A338" s="8" t="s">
        <v>57</v>
      </c>
      <c r="B338" s="15"/>
      <c r="C338" s="15"/>
      <c r="D338" s="15"/>
      <c r="E338" s="9"/>
      <c r="F338" s="60">
        <f>+C335/2</f>
        <v>2.5000000000000001E-2</v>
      </c>
      <c r="G338" s="62">
        <f>+C335</f>
        <v>0.05</v>
      </c>
      <c r="H338" s="60">
        <f>+C335</f>
        <v>0.05</v>
      </c>
    </row>
    <row r="339" spans="1:9" ht="16" thickBot="1" x14ac:dyDescent="0.4">
      <c r="A339" s="8" t="s">
        <v>58</v>
      </c>
      <c r="B339" s="15"/>
      <c r="C339" s="15"/>
      <c r="D339" s="15"/>
      <c r="E339" s="9"/>
      <c r="F339" s="17">
        <f>(C329-C330)/(G332*SQRT((1/C333)+(1/C334)))</f>
        <v>1.3483782289139419</v>
      </c>
      <c r="G339" s="53">
        <f>+F339</f>
        <v>1.3483782289139419</v>
      </c>
      <c r="H339" s="17">
        <f>+F339</f>
        <v>1.3483782289139419</v>
      </c>
    </row>
    <row r="340" spans="1:9" ht="16.5" thickTop="1" thickBot="1" x14ac:dyDescent="0.4">
      <c r="A340" s="8" t="s">
        <v>59</v>
      </c>
      <c r="B340" s="15"/>
      <c r="C340" s="15"/>
      <c r="D340" s="15"/>
      <c r="E340" s="18">
        <f>TINV(F338*2,C333+C334-2)</f>
        <v>2.0345169104984961</v>
      </c>
      <c r="F340" s="19">
        <f>-TINV(F338*2,C333+C334-2)</f>
        <v>-2.0345169104984961</v>
      </c>
      <c r="G340" s="53">
        <f>TINV(G338*2,C333+C334-2)</f>
        <v>1.6923604562180117</v>
      </c>
      <c r="H340" s="17">
        <f>-TINV(H338*2,C333+C334-2)</f>
        <v>-1.6923604562180117</v>
      </c>
    </row>
    <row r="341" spans="1:9" ht="16.5" thickTop="1" thickBot="1" x14ac:dyDescent="0.4">
      <c r="A341" s="8" t="s">
        <v>60</v>
      </c>
      <c r="B341" s="15"/>
      <c r="C341" s="15"/>
      <c r="D341" s="15"/>
      <c r="E341" s="9"/>
      <c r="F341" s="11" t="str">
        <f>IF(OR(F339&gt;E340,F339&lt;F340),"Reject Null","Accept Null")</f>
        <v>Accept Null</v>
      </c>
      <c r="G341" s="49" t="str">
        <f>IF(G339&gt;G340,"Reject Null","Accept Null")</f>
        <v>Accept Null</v>
      </c>
      <c r="H341" s="11" t="str">
        <f>IF(H339&lt;H340,"Reject Null","Accept Null")</f>
        <v>Accept Null</v>
      </c>
    </row>
    <row r="342" spans="1:9" ht="59.5" x14ac:dyDescent="0.35">
      <c r="G342" s="27" t="s">
        <v>61</v>
      </c>
    </row>
    <row r="343" spans="1:9" x14ac:dyDescent="0.35">
      <c r="A343" t="s">
        <v>154</v>
      </c>
    </row>
    <row r="344" spans="1:9" x14ac:dyDescent="0.35">
      <c r="A344" t="s">
        <v>155</v>
      </c>
    </row>
    <row r="346" spans="1:9" ht="16" thickBot="1" x14ac:dyDescent="0.4"/>
    <row r="347" spans="1:9" ht="20.5" thickBot="1" x14ac:dyDescent="0.45">
      <c r="A347" s="40" t="s">
        <v>156</v>
      </c>
      <c r="B347" s="15"/>
      <c r="C347" s="15"/>
      <c r="D347" s="15"/>
      <c r="E347" s="15"/>
      <c r="F347" s="15"/>
      <c r="G347" s="15"/>
      <c r="H347" s="15"/>
      <c r="I347" s="9"/>
    </row>
    <row r="349" spans="1:9" x14ac:dyDescent="0.35">
      <c r="A349" s="43" t="s">
        <v>3</v>
      </c>
      <c r="B349" s="43"/>
      <c r="C349" s="43"/>
      <c r="D349" s="43"/>
      <c r="E349" s="43"/>
      <c r="F349" s="43"/>
      <c r="G349" s="43"/>
      <c r="H349" s="43"/>
      <c r="I349" s="43"/>
    </row>
    <row r="351" spans="1:9" x14ac:dyDescent="0.35">
      <c r="A351" t="s">
        <v>64</v>
      </c>
      <c r="B351" t="s">
        <v>157</v>
      </c>
    </row>
    <row r="352" spans="1:9" x14ac:dyDescent="0.35">
      <c r="A352" t="s">
        <v>67</v>
      </c>
      <c r="B352" t="s">
        <v>158</v>
      </c>
    </row>
    <row r="354" spans="1:8" ht="17.5" x14ac:dyDescent="0.35">
      <c r="A354" s="5" t="s">
        <v>159</v>
      </c>
    </row>
    <row r="355" spans="1:8" ht="17.5" x14ac:dyDescent="0.45">
      <c r="A355" s="63" t="s">
        <v>160</v>
      </c>
    </row>
    <row r="357" spans="1:8" x14ac:dyDescent="0.35">
      <c r="A357" s="6" t="s">
        <v>36</v>
      </c>
      <c r="F357" s="48" t="s">
        <v>37</v>
      </c>
      <c r="G357" s="48"/>
    </row>
    <row r="358" spans="1:8" ht="17.5" x14ac:dyDescent="0.45">
      <c r="A358" t="s">
        <v>161</v>
      </c>
      <c r="F358" s="44" t="s">
        <v>162</v>
      </c>
      <c r="G358" s="44"/>
    </row>
    <row r="359" spans="1:8" ht="17.5" x14ac:dyDescent="0.45">
      <c r="A359" t="s">
        <v>163</v>
      </c>
      <c r="F359" s="44" t="s">
        <v>164</v>
      </c>
      <c r="G359" s="44"/>
    </row>
    <row r="361" spans="1:8" ht="16" thickBot="1" x14ac:dyDescent="0.4">
      <c r="F361" s="6" t="s">
        <v>42</v>
      </c>
    </row>
    <row r="362" spans="1:8" ht="17.5" x14ac:dyDescent="0.45">
      <c r="C362" s="12" t="s">
        <v>165</v>
      </c>
      <c r="D362" s="12" t="s">
        <v>166</v>
      </c>
      <c r="F362" t="s">
        <v>167</v>
      </c>
    </row>
    <row r="363" spans="1:8" ht="19" thickBot="1" x14ac:dyDescent="0.5">
      <c r="A363" s="5" t="s">
        <v>43</v>
      </c>
      <c r="B363" s="5"/>
      <c r="C363" s="14" t="s">
        <v>168</v>
      </c>
      <c r="D363" s="14" t="s">
        <v>168</v>
      </c>
      <c r="F363" t="s">
        <v>169</v>
      </c>
    </row>
    <row r="364" spans="1:8" ht="16" thickBot="1" x14ac:dyDescent="0.4">
      <c r="A364" s="8" t="s">
        <v>170</v>
      </c>
      <c r="B364" s="9"/>
      <c r="C364" s="10">
        <f>683/3220</f>
        <v>0.21211180124223603</v>
      </c>
      <c r="D364" s="10">
        <f>1498/10245</f>
        <v>0.1462176671547096</v>
      </c>
    </row>
    <row r="365" spans="1:8" ht="16" thickBot="1" x14ac:dyDescent="0.4">
      <c r="A365" s="8" t="s">
        <v>48</v>
      </c>
      <c r="B365" s="9"/>
      <c r="C365" s="10">
        <v>3220</v>
      </c>
      <c r="D365" s="10">
        <v>10245</v>
      </c>
    </row>
    <row r="366" spans="1:8" ht="16" thickBot="1" x14ac:dyDescent="0.4">
      <c r="A366" s="8" t="s">
        <v>50</v>
      </c>
      <c r="B366" s="9"/>
      <c r="C366" s="10">
        <v>0.05</v>
      </c>
      <c r="D366" s="64"/>
      <c r="G366" s="49" t="s">
        <v>51</v>
      </c>
      <c r="H366" s="11" t="s">
        <v>52</v>
      </c>
    </row>
    <row r="367" spans="1:8" x14ac:dyDescent="0.35">
      <c r="F367" s="12" t="s">
        <v>53</v>
      </c>
      <c r="G367" s="50" t="s">
        <v>54</v>
      </c>
      <c r="H367" s="13" t="s">
        <v>54</v>
      </c>
    </row>
    <row r="368" spans="1:8" ht="16" thickBot="1" x14ac:dyDescent="0.4">
      <c r="F368" s="14" t="s">
        <v>56</v>
      </c>
      <c r="G368" s="51" t="s">
        <v>56</v>
      </c>
      <c r="H368" s="14" t="s">
        <v>56</v>
      </c>
    </row>
    <row r="369" spans="1:9" ht="16" thickBot="1" x14ac:dyDescent="0.4">
      <c r="A369" s="8" t="s">
        <v>57</v>
      </c>
      <c r="B369" s="15"/>
      <c r="C369" s="15"/>
      <c r="D369" s="15"/>
      <c r="E369" s="9"/>
      <c r="F369" s="16">
        <f>+C366/2</f>
        <v>2.5000000000000001E-2</v>
      </c>
      <c r="G369" s="52">
        <f>+C366</f>
        <v>0.05</v>
      </c>
      <c r="H369" s="16">
        <f>+C366</f>
        <v>0.05</v>
      </c>
    </row>
    <row r="370" spans="1:9" ht="16" thickBot="1" x14ac:dyDescent="0.4">
      <c r="A370" s="8" t="s">
        <v>84</v>
      </c>
      <c r="B370" s="15"/>
      <c r="C370" s="15"/>
      <c r="D370" s="15"/>
      <c r="E370" s="9"/>
      <c r="F370" s="65">
        <f>(C364-D364)/SQRT((C364*(1-C364)/C365)+(D364*(1-D364)/D365))</f>
        <v>8.2312377571522983</v>
      </c>
      <c r="G370" s="53">
        <f>+F370</f>
        <v>8.2312377571522983</v>
      </c>
      <c r="H370" s="17">
        <f>+F370</f>
        <v>8.2312377571522983</v>
      </c>
    </row>
    <row r="371" spans="1:9" ht="16.5" thickTop="1" thickBot="1" x14ac:dyDescent="0.4">
      <c r="A371" s="8" t="s">
        <v>85</v>
      </c>
      <c r="B371" s="15"/>
      <c r="C371" s="15"/>
      <c r="D371" s="15"/>
      <c r="E371" s="18">
        <f>-NORMSINV(F369)</f>
        <v>1.9599610823206604</v>
      </c>
      <c r="F371" s="19">
        <f>NORMSINV(F369)</f>
        <v>-1.9599610823206604</v>
      </c>
      <c r="G371" s="53">
        <f>-NORMSINV(G369)</f>
        <v>1.6448530004709028</v>
      </c>
      <c r="H371" s="17">
        <f>NORMSINV(H369)</f>
        <v>-1.6448530004709028</v>
      </c>
    </row>
    <row r="372" spans="1:9" ht="16.5" thickTop="1" thickBot="1" x14ac:dyDescent="0.4">
      <c r="A372" s="8" t="s">
        <v>60</v>
      </c>
      <c r="B372" s="15"/>
      <c r="C372" s="15"/>
      <c r="D372" s="15"/>
      <c r="E372" s="9"/>
      <c r="F372" s="11" t="str">
        <f>IF(OR(F370&gt;E371,F370&lt;F371),"Reject Null","Accept Null")</f>
        <v>Reject Null</v>
      </c>
      <c r="G372" s="49" t="str">
        <f>IF(G370&gt;G371,"Reject Null","Accept Null")</f>
        <v>Reject Null</v>
      </c>
      <c r="H372" s="11" t="str">
        <f>IF(H370&lt;H371,"Reject Null","Accept Null")</f>
        <v>Accept Null</v>
      </c>
    </row>
    <row r="373" spans="1:9" ht="59.5" x14ac:dyDescent="0.35">
      <c r="G373" s="27" t="s">
        <v>61</v>
      </c>
    </row>
    <row r="374" spans="1:9" x14ac:dyDescent="0.35">
      <c r="A374" t="s">
        <v>171</v>
      </c>
    </row>
    <row r="375" spans="1:9" x14ac:dyDescent="0.35">
      <c r="A375" t="s">
        <v>172</v>
      </c>
    </row>
    <row r="378" spans="1:9" x14ac:dyDescent="0.35">
      <c r="A378" s="43" t="s">
        <v>12</v>
      </c>
      <c r="B378" s="44"/>
      <c r="C378" s="44"/>
      <c r="D378" s="44"/>
      <c r="E378" s="44"/>
      <c r="F378" s="44"/>
      <c r="G378" s="44"/>
      <c r="H378" s="44"/>
      <c r="I378" s="44"/>
    </row>
    <row r="380" spans="1:9" x14ac:dyDescent="0.35">
      <c r="A380" t="s">
        <v>64</v>
      </c>
      <c r="B380" t="s">
        <v>173</v>
      </c>
    </row>
    <row r="381" spans="1:9" x14ac:dyDescent="0.35">
      <c r="A381" t="s">
        <v>67</v>
      </c>
      <c r="B381" t="s">
        <v>174</v>
      </c>
    </row>
    <row r="382" spans="1:9" x14ac:dyDescent="0.35">
      <c r="B382" t="s">
        <v>175</v>
      </c>
    </row>
    <row r="384" spans="1:9" ht="17.5" x14ac:dyDescent="0.35">
      <c r="A384" s="5" t="s">
        <v>159</v>
      </c>
    </row>
    <row r="385" spans="1:8" ht="17.5" x14ac:dyDescent="0.45">
      <c r="A385" s="63" t="s">
        <v>160</v>
      </c>
    </row>
    <row r="387" spans="1:8" x14ac:dyDescent="0.35">
      <c r="A387" s="48" t="s">
        <v>36</v>
      </c>
      <c r="B387" s="44"/>
      <c r="F387" s="6" t="s">
        <v>37</v>
      </c>
      <c r="G387" s="6"/>
    </row>
    <row r="388" spans="1:8" ht="17.5" x14ac:dyDescent="0.45">
      <c r="A388" s="44" t="s">
        <v>161</v>
      </c>
      <c r="B388" s="44"/>
      <c r="F388" t="s">
        <v>162</v>
      </c>
    </row>
    <row r="389" spans="1:8" ht="17.5" x14ac:dyDescent="0.45">
      <c r="A389" s="44" t="s">
        <v>163</v>
      </c>
      <c r="B389" s="44"/>
      <c r="F389" t="s">
        <v>164</v>
      </c>
    </row>
    <row r="391" spans="1:8" ht="16" thickBot="1" x14ac:dyDescent="0.4">
      <c r="C391" t="s">
        <v>176</v>
      </c>
      <c r="D391" t="s">
        <v>177</v>
      </c>
      <c r="F391" s="6" t="s">
        <v>42</v>
      </c>
    </row>
    <row r="392" spans="1:8" ht="17.5" x14ac:dyDescent="0.45">
      <c r="C392" s="12" t="s">
        <v>165</v>
      </c>
      <c r="D392" s="12" t="s">
        <v>166</v>
      </c>
      <c r="F392" t="s">
        <v>167</v>
      </c>
    </row>
    <row r="393" spans="1:8" ht="19" thickBot="1" x14ac:dyDescent="0.5">
      <c r="A393" s="5" t="s">
        <v>43</v>
      </c>
      <c r="B393" s="5"/>
      <c r="C393" s="14" t="s">
        <v>168</v>
      </c>
      <c r="D393" s="14" t="s">
        <v>168</v>
      </c>
      <c r="F393" t="s">
        <v>169</v>
      </c>
    </row>
    <row r="394" spans="1:8" ht="16" thickBot="1" x14ac:dyDescent="0.4">
      <c r="A394" s="8" t="s">
        <v>170</v>
      </c>
      <c r="B394" s="9"/>
      <c r="C394" s="10">
        <f>130/200</f>
        <v>0.65</v>
      </c>
      <c r="D394" s="10">
        <f>120/200</f>
        <v>0.6</v>
      </c>
    </row>
    <row r="395" spans="1:8" ht="16" thickBot="1" x14ac:dyDescent="0.4">
      <c r="A395" s="8" t="s">
        <v>48</v>
      </c>
      <c r="B395" s="9"/>
      <c r="C395" s="10">
        <v>200</v>
      </c>
      <c r="D395" s="10">
        <v>200</v>
      </c>
    </row>
    <row r="396" spans="1:8" ht="16" thickBot="1" x14ac:dyDescent="0.4">
      <c r="A396" s="8" t="s">
        <v>50</v>
      </c>
      <c r="B396" s="9"/>
      <c r="C396" s="10">
        <v>0.05</v>
      </c>
      <c r="D396" s="64"/>
      <c r="G396" s="11" t="s">
        <v>51</v>
      </c>
      <c r="H396" s="11" t="s">
        <v>52</v>
      </c>
    </row>
    <row r="397" spans="1:8" x14ac:dyDescent="0.35">
      <c r="F397" s="55" t="s">
        <v>53</v>
      </c>
      <c r="G397" s="13" t="s">
        <v>54</v>
      </c>
      <c r="H397" s="13" t="s">
        <v>54</v>
      </c>
    </row>
    <row r="398" spans="1:8" ht="16" thickBot="1" x14ac:dyDescent="0.4">
      <c r="F398" s="51" t="s">
        <v>56</v>
      </c>
      <c r="G398" s="14" t="s">
        <v>56</v>
      </c>
      <c r="H398" s="14" t="s">
        <v>56</v>
      </c>
    </row>
    <row r="399" spans="1:8" ht="16" thickBot="1" x14ac:dyDescent="0.4">
      <c r="A399" s="8" t="s">
        <v>57</v>
      </c>
      <c r="B399" s="15"/>
      <c r="C399" s="15"/>
      <c r="D399" s="15"/>
      <c r="E399" s="9"/>
      <c r="F399" s="52">
        <f>+C396/2</f>
        <v>2.5000000000000001E-2</v>
      </c>
      <c r="G399" s="16">
        <f>+C396</f>
        <v>0.05</v>
      </c>
      <c r="H399" s="16">
        <f>+C396</f>
        <v>0.05</v>
      </c>
    </row>
    <row r="400" spans="1:8" ht="16" thickBot="1" x14ac:dyDescent="0.4">
      <c r="A400" s="8" t="s">
        <v>84</v>
      </c>
      <c r="B400" s="15"/>
      <c r="C400" s="15"/>
      <c r="D400" s="15"/>
      <c r="E400" s="9"/>
      <c r="F400" s="66">
        <f>(C394-D394)/SQRT((C394*(1-C394)/C395)+(D394*(1-D394)/D395))</f>
        <v>1.0341753799900393</v>
      </c>
      <c r="G400" s="17">
        <f>+F400</f>
        <v>1.0341753799900393</v>
      </c>
      <c r="H400" s="17">
        <f>+F400</f>
        <v>1.0341753799900393</v>
      </c>
    </row>
    <row r="401" spans="1:9" ht="16.5" thickTop="1" thickBot="1" x14ac:dyDescent="0.4">
      <c r="A401" s="8" t="s">
        <v>85</v>
      </c>
      <c r="B401" s="15"/>
      <c r="C401" s="15"/>
      <c r="D401" s="15"/>
      <c r="E401" s="57">
        <f>-NORMSINV(F399)</f>
        <v>1.9599610823206604</v>
      </c>
      <c r="F401" s="56">
        <f>NORMSINV(F399)</f>
        <v>-1.9599610823206604</v>
      </c>
      <c r="G401" s="17">
        <f>-NORMSINV(G399)</f>
        <v>1.6448530004709028</v>
      </c>
      <c r="H401" s="17">
        <f>NORMSINV(H399)</f>
        <v>-1.6448530004709028</v>
      </c>
    </row>
    <row r="402" spans="1:9" ht="16.5" thickTop="1" thickBot="1" x14ac:dyDescent="0.4">
      <c r="A402" s="8" t="s">
        <v>60</v>
      </c>
      <c r="B402" s="15"/>
      <c r="C402" s="15"/>
      <c r="D402" s="15"/>
      <c r="E402" s="9"/>
      <c r="F402" s="49" t="str">
        <f>IF(OR(F400&gt;E401,F400&lt;F401),"Reject Null","Accept Null")</f>
        <v>Accept Null</v>
      </c>
      <c r="G402" s="11" t="str">
        <f>IF(G400&gt;G401,"Reject Null","Accept Null")</f>
        <v>Accept Null</v>
      </c>
      <c r="H402" s="11" t="str">
        <f>IF(H400&lt;H401,"Reject Null","Accept Null")</f>
        <v>Accept Null</v>
      </c>
    </row>
    <row r="403" spans="1:9" ht="59.5" x14ac:dyDescent="0.35">
      <c r="F403" s="27" t="s">
        <v>61</v>
      </c>
    </row>
    <row r="404" spans="1:9" x14ac:dyDescent="0.35">
      <c r="A404" t="s">
        <v>178</v>
      </c>
    </row>
    <row r="405" spans="1:9" x14ac:dyDescent="0.35">
      <c r="A405" t="s">
        <v>179</v>
      </c>
    </row>
    <row r="407" spans="1:9" ht="16" thickBot="1" x14ac:dyDescent="0.4"/>
    <row r="408" spans="1:9" ht="20.5" thickBot="1" x14ac:dyDescent="0.45">
      <c r="A408" s="39" t="s">
        <v>180</v>
      </c>
      <c r="B408" s="15"/>
      <c r="C408" s="15"/>
      <c r="D408" s="15"/>
      <c r="E408" s="15"/>
      <c r="F408" s="15"/>
      <c r="G408" s="15"/>
      <c r="H408" s="15"/>
      <c r="I408" s="9"/>
    </row>
    <row r="410" spans="1:9" x14ac:dyDescent="0.35">
      <c r="A410" s="43" t="s">
        <v>3</v>
      </c>
      <c r="B410" s="44"/>
      <c r="C410" s="44"/>
      <c r="D410" s="44"/>
      <c r="E410" s="44"/>
      <c r="F410" s="44"/>
      <c r="G410" s="44"/>
      <c r="H410" s="44"/>
      <c r="I410" s="44"/>
    </row>
    <row r="412" spans="1:9" x14ac:dyDescent="0.35">
      <c r="A412" s="2" t="s">
        <v>181</v>
      </c>
    </row>
    <row r="413" spans="1:9" ht="16" thickBot="1" x14ac:dyDescent="0.4">
      <c r="A413" s="2" t="s">
        <v>182</v>
      </c>
    </row>
    <row r="414" spans="1:9" ht="16" thickBot="1" x14ac:dyDescent="0.4">
      <c r="A414" s="8" t="s">
        <v>183</v>
      </c>
      <c r="B414" s="15"/>
      <c r="C414" s="15"/>
      <c r="D414" s="9"/>
      <c r="E414" s="9"/>
      <c r="F414" s="10">
        <v>2</v>
      </c>
    </row>
    <row r="415" spans="1:9" ht="16" thickBot="1" x14ac:dyDescent="0.4">
      <c r="A415" s="8" t="s">
        <v>184</v>
      </c>
      <c r="B415" s="15"/>
      <c r="C415" s="15"/>
      <c r="D415" s="15"/>
      <c r="E415" s="9"/>
      <c r="F415" s="10">
        <v>10</v>
      </c>
    </row>
    <row r="416" spans="1:9" ht="16" thickBot="1" x14ac:dyDescent="0.4">
      <c r="A416" s="8" t="s">
        <v>185</v>
      </c>
      <c r="B416" s="15"/>
      <c r="C416" s="15"/>
      <c r="D416" s="15"/>
      <c r="E416" s="9"/>
      <c r="F416" s="10">
        <v>0.05</v>
      </c>
    </row>
    <row r="417" spans="1:9" ht="16" thickBot="1" x14ac:dyDescent="0.4">
      <c r="A417" s="8" t="s">
        <v>186</v>
      </c>
      <c r="B417" s="15"/>
      <c r="C417" s="15"/>
      <c r="D417" s="15"/>
      <c r="E417" s="9"/>
      <c r="F417" s="10">
        <v>0.2</v>
      </c>
    </row>
    <row r="418" spans="1:9" ht="16" thickBot="1" x14ac:dyDescent="0.4"/>
    <row r="419" spans="1:9" ht="16" thickBot="1" x14ac:dyDescent="0.4">
      <c r="A419" s="8" t="s">
        <v>187</v>
      </c>
      <c r="B419" s="15"/>
      <c r="C419" s="9"/>
      <c r="D419" s="67">
        <f>ROUND(((F415^2)*(-NORMSINV(F416)-NORMSINV(F417))^2)/F414^2,0)+1</f>
        <v>156</v>
      </c>
    </row>
    <row r="422" spans="1:9" x14ac:dyDescent="0.35">
      <c r="A422" s="43" t="s">
        <v>12</v>
      </c>
      <c r="B422" s="44"/>
      <c r="C422" s="44"/>
      <c r="D422" s="44"/>
      <c r="E422" s="44"/>
      <c r="F422" s="44"/>
      <c r="G422" s="44"/>
      <c r="H422" s="44"/>
      <c r="I422" s="44"/>
    </row>
    <row r="424" spans="1:9" x14ac:dyDescent="0.35">
      <c r="A424" s="2" t="s">
        <v>188</v>
      </c>
    </row>
    <row r="425" spans="1:9" ht="16" thickBot="1" x14ac:dyDescent="0.4">
      <c r="A425" s="2" t="s">
        <v>189</v>
      </c>
    </row>
    <row r="426" spans="1:9" ht="16" thickBot="1" x14ac:dyDescent="0.4">
      <c r="A426" s="8" t="s">
        <v>183</v>
      </c>
      <c r="B426" s="15"/>
      <c r="C426" s="15"/>
      <c r="D426" s="9"/>
      <c r="E426" s="9"/>
      <c r="F426" s="10">
        <v>5</v>
      </c>
    </row>
    <row r="427" spans="1:9" ht="16" thickBot="1" x14ac:dyDescent="0.4">
      <c r="A427" s="8" t="s">
        <v>190</v>
      </c>
      <c r="B427" s="15"/>
      <c r="C427" s="15"/>
      <c r="D427" s="15"/>
      <c r="E427" s="9"/>
      <c r="F427" s="10">
        <v>15.34</v>
      </c>
    </row>
    <row r="428" spans="1:9" ht="16" thickBot="1" x14ac:dyDescent="0.4">
      <c r="A428" s="8" t="s">
        <v>191</v>
      </c>
      <c r="B428" s="15"/>
      <c r="C428" s="15"/>
      <c r="D428" s="15"/>
      <c r="E428" s="9"/>
      <c r="F428" s="10">
        <v>18.23</v>
      </c>
    </row>
    <row r="429" spans="1:9" ht="16" thickBot="1" x14ac:dyDescent="0.4">
      <c r="A429" s="8" t="s">
        <v>185</v>
      </c>
      <c r="B429" s="15"/>
      <c r="C429" s="15"/>
      <c r="D429" s="15"/>
      <c r="E429" s="9"/>
      <c r="F429" s="10">
        <v>0.05</v>
      </c>
    </row>
    <row r="430" spans="1:9" ht="16" thickBot="1" x14ac:dyDescent="0.4">
      <c r="A430" s="8" t="s">
        <v>186</v>
      </c>
      <c r="B430" s="15"/>
      <c r="C430" s="15"/>
      <c r="D430" s="15"/>
      <c r="E430" s="9"/>
      <c r="F430" s="10">
        <v>0.2</v>
      </c>
    </row>
    <row r="431" spans="1:9" ht="16" thickBot="1" x14ac:dyDescent="0.4"/>
    <row r="432" spans="1:9" ht="16" thickBot="1" x14ac:dyDescent="0.4">
      <c r="A432" s="8" t="s">
        <v>192</v>
      </c>
      <c r="B432" s="15"/>
      <c r="C432" s="9"/>
      <c r="D432" s="9"/>
      <c r="E432" s="67">
        <f>ROUND(((F427^2+F428^2)*(-NORMSINV(F429/2)-NORMSINV(F430))^2)/F426^2,0)+1</f>
        <v>179</v>
      </c>
    </row>
    <row r="435" spans="1:9" x14ac:dyDescent="0.35">
      <c r="A435" s="43" t="s">
        <v>63</v>
      </c>
      <c r="B435" s="44"/>
      <c r="C435" s="44"/>
      <c r="D435" s="44"/>
      <c r="E435" s="44"/>
      <c r="F435" s="44"/>
      <c r="G435" s="44"/>
      <c r="H435" s="44"/>
      <c r="I435" s="44"/>
    </row>
    <row r="437" spans="1:9" x14ac:dyDescent="0.35">
      <c r="A437" s="2" t="s">
        <v>181</v>
      </c>
    </row>
    <row r="438" spans="1:9" ht="16" thickBot="1" x14ac:dyDescent="0.4">
      <c r="A438" s="2" t="s">
        <v>182</v>
      </c>
    </row>
    <row r="439" spans="1:9" ht="16" thickBot="1" x14ac:dyDescent="0.4">
      <c r="A439" s="8" t="s">
        <v>183</v>
      </c>
      <c r="B439" s="15"/>
      <c r="C439" s="15"/>
      <c r="D439" s="9"/>
      <c r="E439" s="9"/>
      <c r="F439" s="10">
        <v>1</v>
      </c>
    </row>
    <row r="440" spans="1:9" ht="16" thickBot="1" x14ac:dyDescent="0.4">
      <c r="A440" s="8" t="s">
        <v>184</v>
      </c>
      <c r="B440" s="15"/>
      <c r="C440" s="15"/>
      <c r="D440" s="15"/>
      <c r="E440" s="9"/>
      <c r="F440" s="10">
        <v>0.7</v>
      </c>
    </row>
    <row r="441" spans="1:9" ht="16" thickBot="1" x14ac:dyDescent="0.4">
      <c r="A441" s="8" t="s">
        <v>185</v>
      </c>
      <c r="B441" s="15"/>
      <c r="C441" s="15"/>
      <c r="D441" s="15"/>
      <c r="E441" s="9"/>
      <c r="F441" s="10">
        <v>0.1</v>
      </c>
    </row>
    <row r="442" spans="1:9" ht="16" thickBot="1" x14ac:dyDescent="0.4">
      <c r="A442" s="8" t="s">
        <v>186</v>
      </c>
      <c r="B442" s="15"/>
      <c r="C442" s="15"/>
      <c r="D442" s="15"/>
      <c r="E442" s="9"/>
      <c r="F442" s="10">
        <v>0.1</v>
      </c>
    </row>
    <row r="443" spans="1:9" ht="16" thickBot="1" x14ac:dyDescent="0.4"/>
    <row r="444" spans="1:9" ht="16" thickBot="1" x14ac:dyDescent="0.4">
      <c r="A444" s="8" t="s">
        <v>187</v>
      </c>
      <c r="B444" s="15"/>
      <c r="C444" s="9"/>
      <c r="D444" s="67">
        <f>ROUND(((F440^2)*(-NORMSINV(F441)-NORMSINV(F442))^2)/F439^2,0)+1</f>
        <v>4</v>
      </c>
    </row>
    <row r="447" spans="1:9" x14ac:dyDescent="0.35">
      <c r="A447" s="43" t="s">
        <v>151</v>
      </c>
      <c r="B447" s="44"/>
      <c r="C447" s="44"/>
      <c r="D447" s="44"/>
      <c r="E447" s="44"/>
      <c r="F447" s="44"/>
      <c r="G447" s="44"/>
      <c r="H447" s="44"/>
      <c r="I447" s="44"/>
    </row>
    <row r="450" spans="1:9" x14ac:dyDescent="0.35">
      <c r="A450" s="2" t="s">
        <v>188</v>
      </c>
    </row>
    <row r="451" spans="1:9" ht="16" thickBot="1" x14ac:dyDescent="0.4">
      <c r="A451" s="2" t="s">
        <v>193</v>
      </c>
    </row>
    <row r="452" spans="1:9" ht="16" thickBot="1" x14ac:dyDescent="0.4">
      <c r="A452" s="8" t="s">
        <v>183</v>
      </c>
      <c r="B452" s="15"/>
      <c r="C452" s="15"/>
      <c r="D452" s="9"/>
      <c r="E452" s="9"/>
      <c r="F452" s="10">
        <v>4</v>
      </c>
    </row>
    <row r="453" spans="1:9" ht="16" thickBot="1" x14ac:dyDescent="0.4">
      <c r="A453" s="8" t="s">
        <v>190</v>
      </c>
      <c r="B453" s="15"/>
      <c r="C453" s="15"/>
      <c r="D453" s="15"/>
      <c r="E453" s="9"/>
      <c r="F453" s="10">
        <v>10.3</v>
      </c>
    </row>
    <row r="454" spans="1:9" ht="16" thickBot="1" x14ac:dyDescent="0.4">
      <c r="A454" s="8" t="s">
        <v>191</v>
      </c>
      <c r="B454" s="15"/>
      <c r="C454" s="15"/>
      <c r="D454" s="15"/>
      <c r="E454" s="9"/>
      <c r="F454" s="10">
        <v>9.1999999999999993</v>
      </c>
    </row>
    <row r="455" spans="1:9" ht="16" thickBot="1" x14ac:dyDescent="0.4">
      <c r="A455" s="8" t="s">
        <v>185</v>
      </c>
      <c r="B455" s="15"/>
      <c r="C455" s="15"/>
      <c r="D455" s="15"/>
      <c r="E455" s="9"/>
      <c r="F455" s="10">
        <v>0.05</v>
      </c>
    </row>
    <row r="456" spans="1:9" ht="16" thickBot="1" x14ac:dyDescent="0.4">
      <c r="A456" s="8" t="s">
        <v>186</v>
      </c>
      <c r="B456" s="15"/>
      <c r="C456" s="15"/>
      <c r="D456" s="15"/>
      <c r="E456" s="9"/>
      <c r="F456" s="10">
        <v>0.15</v>
      </c>
    </row>
    <row r="457" spans="1:9" ht="16" thickBot="1" x14ac:dyDescent="0.4"/>
    <row r="458" spans="1:9" ht="16" thickBot="1" x14ac:dyDescent="0.4">
      <c r="A458" s="8" t="s">
        <v>192</v>
      </c>
      <c r="B458" s="15"/>
      <c r="C458" s="9"/>
      <c r="D458" s="9"/>
      <c r="E458" s="67">
        <f>ROUND(((F453^2+F454^2)*(-NORMSINV(F455)-NORMSINV(F456))^2)/F452^2,0)+1</f>
        <v>87</v>
      </c>
    </row>
    <row r="460" spans="1:9" ht="16" thickBot="1" x14ac:dyDescent="0.4"/>
    <row r="461" spans="1:9" ht="20.5" thickBot="1" x14ac:dyDescent="0.45">
      <c r="A461" s="39" t="s">
        <v>194</v>
      </c>
      <c r="B461" s="15"/>
      <c r="C461" s="15"/>
      <c r="D461" s="15"/>
      <c r="E461" s="15"/>
      <c r="F461" s="15"/>
      <c r="G461" s="15"/>
      <c r="H461" s="15"/>
      <c r="I461" s="9"/>
    </row>
    <row r="463" spans="1:9" x14ac:dyDescent="0.35">
      <c r="A463" s="44" t="s">
        <v>3</v>
      </c>
      <c r="B463" s="44"/>
      <c r="C463" s="44"/>
      <c r="D463" s="44"/>
      <c r="E463" s="44"/>
      <c r="F463" s="44"/>
      <c r="G463" s="44"/>
      <c r="H463" s="44"/>
      <c r="I463" s="44"/>
    </row>
    <row r="465" spans="1:10" x14ac:dyDescent="0.35">
      <c r="A465" t="s">
        <v>195</v>
      </c>
    </row>
    <row r="467" spans="1:10" x14ac:dyDescent="0.35">
      <c r="A467" t="s">
        <v>99</v>
      </c>
      <c r="B467" t="s">
        <v>196</v>
      </c>
    </row>
    <row r="468" spans="1:10" x14ac:dyDescent="0.35">
      <c r="A468" t="s">
        <v>67</v>
      </c>
      <c r="B468" t="s">
        <v>197</v>
      </c>
    </row>
    <row r="470" spans="1:10" ht="18" x14ac:dyDescent="0.4">
      <c r="A470" s="5" t="s">
        <v>198</v>
      </c>
    </row>
    <row r="471" spans="1:10" ht="17.5" x14ac:dyDescent="0.45">
      <c r="A471" s="1" t="s">
        <v>199</v>
      </c>
    </row>
    <row r="472" spans="1:10" x14ac:dyDescent="0.35">
      <c r="A472" s="1"/>
    </row>
    <row r="473" spans="1:10" x14ac:dyDescent="0.35">
      <c r="A473" s="6" t="s">
        <v>36</v>
      </c>
      <c r="D473" s="7"/>
      <c r="F473" s="48" t="s">
        <v>37</v>
      </c>
      <c r="G473" s="48"/>
      <c r="J473" t="s">
        <v>200</v>
      </c>
    </row>
    <row r="474" spans="1:10" ht="17.5" x14ac:dyDescent="0.45">
      <c r="A474" s="7" t="s">
        <v>38</v>
      </c>
      <c r="F474" s="61" t="s">
        <v>39</v>
      </c>
      <c r="G474" s="44"/>
      <c r="H474" s="3" t="s">
        <v>6</v>
      </c>
      <c r="I474" s="59">
        <f>AVERAGE(J474:J488)</f>
        <v>1.2733333333333332</v>
      </c>
      <c r="J474">
        <v>0.9</v>
      </c>
    </row>
    <row r="475" spans="1:10" ht="17.5" x14ac:dyDescent="0.45">
      <c r="A475" s="7" t="s">
        <v>40</v>
      </c>
      <c r="F475" s="61" t="s">
        <v>41</v>
      </c>
      <c r="G475" s="44"/>
      <c r="J475">
        <v>1.1000000000000001</v>
      </c>
    </row>
    <row r="476" spans="1:10" x14ac:dyDescent="0.35">
      <c r="B476" s="7"/>
      <c r="J476">
        <v>1.6</v>
      </c>
    </row>
    <row r="477" spans="1:10" x14ac:dyDescent="0.35">
      <c r="C477" s="7"/>
      <c r="F477" s="6" t="s">
        <v>42</v>
      </c>
      <c r="J477">
        <v>2</v>
      </c>
    </row>
    <row r="478" spans="1:10" ht="19" thickBot="1" x14ac:dyDescent="0.5">
      <c r="A478" s="5" t="s">
        <v>43</v>
      </c>
      <c r="B478" s="5"/>
      <c r="F478" s="7" t="s">
        <v>44</v>
      </c>
      <c r="J478">
        <v>0.8</v>
      </c>
    </row>
    <row r="479" spans="1:10" ht="18" thickBot="1" x14ac:dyDescent="0.5">
      <c r="A479" s="8" t="s">
        <v>45</v>
      </c>
      <c r="B479" s="9"/>
      <c r="C479" s="10">
        <v>1.2733300000000001</v>
      </c>
      <c r="F479" s="7" t="s">
        <v>46</v>
      </c>
      <c r="J479">
        <v>0.7</v>
      </c>
    </row>
    <row r="480" spans="1:10" ht="16" thickBot="1" x14ac:dyDescent="0.4">
      <c r="A480" s="8" t="s">
        <v>201</v>
      </c>
      <c r="B480" s="9"/>
      <c r="C480" s="10">
        <v>0.25</v>
      </c>
      <c r="J480">
        <v>1.4</v>
      </c>
    </row>
    <row r="481" spans="1:10" ht="16" thickBot="1" x14ac:dyDescent="0.4">
      <c r="A481" s="8" t="s">
        <v>48</v>
      </c>
      <c r="B481" s="9"/>
      <c r="C481" s="10">
        <v>15</v>
      </c>
      <c r="J481">
        <v>1.2</v>
      </c>
    </row>
    <row r="482" spans="1:10" ht="18" thickBot="1" x14ac:dyDescent="0.5">
      <c r="A482" s="8" t="s">
        <v>49</v>
      </c>
      <c r="B482" s="9"/>
      <c r="C482" s="10">
        <v>1</v>
      </c>
      <c r="J482">
        <v>1.5</v>
      </c>
    </row>
    <row r="483" spans="1:10" ht="16" thickBot="1" x14ac:dyDescent="0.4">
      <c r="A483" s="8" t="s">
        <v>50</v>
      </c>
      <c r="B483" s="9"/>
      <c r="C483" s="10">
        <v>0.01</v>
      </c>
      <c r="G483" s="49" t="s">
        <v>51</v>
      </c>
      <c r="H483" s="11" t="s">
        <v>52</v>
      </c>
      <c r="J483">
        <v>0.8</v>
      </c>
    </row>
    <row r="484" spans="1:10" x14ac:dyDescent="0.35">
      <c r="F484" s="12" t="s">
        <v>53</v>
      </c>
      <c r="G484" s="50" t="s">
        <v>54</v>
      </c>
      <c r="H484" s="13" t="s">
        <v>54</v>
      </c>
      <c r="J484">
        <v>1</v>
      </c>
    </row>
    <row r="485" spans="1:10" ht="18" thickBot="1" x14ac:dyDescent="0.4">
      <c r="A485" s="5" t="s">
        <v>55</v>
      </c>
      <c r="F485" s="14" t="s">
        <v>56</v>
      </c>
      <c r="G485" s="51" t="s">
        <v>56</v>
      </c>
      <c r="H485" s="14" t="s">
        <v>56</v>
      </c>
      <c r="J485">
        <v>1.1000000000000001</v>
      </c>
    </row>
    <row r="486" spans="1:10" ht="16" thickBot="1" x14ac:dyDescent="0.4">
      <c r="A486" s="8" t="s">
        <v>57</v>
      </c>
      <c r="B486" s="15"/>
      <c r="C486" s="15"/>
      <c r="D486" s="15"/>
      <c r="E486" s="9"/>
      <c r="F486" s="60">
        <f>+C483/2</f>
        <v>5.0000000000000001E-3</v>
      </c>
      <c r="G486" s="62">
        <f>+C483</f>
        <v>0.01</v>
      </c>
      <c r="H486" s="60">
        <f>+C483</f>
        <v>0.01</v>
      </c>
      <c r="J486">
        <v>1.4</v>
      </c>
    </row>
    <row r="487" spans="1:10" ht="16" thickBot="1" x14ac:dyDescent="0.4">
      <c r="A487" s="8" t="s">
        <v>84</v>
      </c>
      <c r="B487" s="15"/>
      <c r="C487" s="15"/>
      <c r="D487" s="15"/>
      <c r="E487" s="9"/>
      <c r="F487" s="17">
        <f>(C479-C482)/(C480/SQRT(C481))</f>
        <v>4.2344101520754949</v>
      </c>
      <c r="G487" s="53">
        <f t="shared" ref="G487:H487" si="13">+F487</f>
        <v>4.2344101520754949</v>
      </c>
      <c r="H487" s="17">
        <f t="shared" si="13"/>
        <v>4.2344101520754949</v>
      </c>
      <c r="J487">
        <v>2.2000000000000002</v>
      </c>
    </row>
    <row r="488" spans="1:10" ht="16.5" thickTop="1" thickBot="1" x14ac:dyDescent="0.4">
      <c r="A488" s="8" t="s">
        <v>85</v>
      </c>
      <c r="B488" s="15"/>
      <c r="C488" s="15"/>
      <c r="D488" s="15"/>
      <c r="E488" s="18">
        <f>-NORMSINV(F486)</f>
        <v>2.5758345145732164</v>
      </c>
      <c r="F488" s="19">
        <f>NORMSINV(F486)</f>
        <v>-2.5758345145732164</v>
      </c>
      <c r="G488" s="53">
        <f>-NORMSINV(G486)</f>
        <v>2.3263419279828668</v>
      </c>
      <c r="H488" s="17">
        <f>NORMSINV(H486)</f>
        <v>-2.3263419279828668</v>
      </c>
      <c r="J488">
        <v>1.4</v>
      </c>
    </row>
    <row r="489" spans="1:10" ht="16.5" thickTop="1" thickBot="1" x14ac:dyDescent="0.4">
      <c r="A489" s="8" t="s">
        <v>60</v>
      </c>
      <c r="B489" s="15"/>
      <c r="C489" s="15"/>
      <c r="D489" s="15"/>
      <c r="E489" s="9"/>
      <c r="F489" s="11" t="str">
        <f>IF(OR(F487&gt;E488,F487&lt;F488),"Reject Null","Accept Null")</f>
        <v>Reject Null</v>
      </c>
      <c r="G489" s="49" t="str">
        <f>IF(G487&gt;G488,"Reject Null","Accept Null")</f>
        <v>Reject Null</v>
      </c>
      <c r="H489" s="11" t="str">
        <f>IF(H487&lt;H488,"Reject Null","Accept Null")</f>
        <v>Accept Null</v>
      </c>
    </row>
    <row r="490" spans="1:10" ht="59.5" x14ac:dyDescent="0.35">
      <c r="G490" s="27" t="s">
        <v>61</v>
      </c>
    </row>
    <row r="491" spans="1:10" x14ac:dyDescent="0.35">
      <c r="A491" t="s">
        <v>202</v>
      </c>
    </row>
    <row r="494" spans="1:10" x14ac:dyDescent="0.35">
      <c r="A494" s="43" t="s">
        <v>12</v>
      </c>
      <c r="B494" s="44"/>
      <c r="C494" s="44"/>
      <c r="D494" s="44"/>
      <c r="E494" s="44"/>
      <c r="F494" s="44"/>
      <c r="G494" s="44"/>
      <c r="H494" s="44"/>
      <c r="I494" s="44"/>
    </row>
    <row r="496" spans="1:10" x14ac:dyDescent="0.35">
      <c r="A496" t="s">
        <v>203</v>
      </c>
    </row>
    <row r="498" spans="1:9" x14ac:dyDescent="0.35">
      <c r="A498" s="2" t="s">
        <v>181</v>
      </c>
    </row>
    <row r="499" spans="1:9" ht="16" thickBot="1" x14ac:dyDescent="0.4">
      <c r="A499" s="2" t="s">
        <v>182</v>
      </c>
    </row>
    <row r="500" spans="1:9" ht="16" thickBot="1" x14ac:dyDescent="0.4">
      <c r="A500" s="8" t="s">
        <v>183</v>
      </c>
      <c r="B500" s="15"/>
      <c r="C500" s="15"/>
      <c r="D500" s="9"/>
      <c r="E500" s="9"/>
      <c r="F500" s="10">
        <v>5</v>
      </c>
    </row>
    <row r="501" spans="1:9" ht="16" thickBot="1" x14ac:dyDescent="0.4">
      <c r="A501" s="8" t="s">
        <v>184</v>
      </c>
      <c r="B501" s="15"/>
      <c r="C501" s="15"/>
      <c r="D501" s="15"/>
      <c r="E501" s="9"/>
      <c r="F501" s="10">
        <v>8</v>
      </c>
    </row>
    <row r="502" spans="1:9" ht="16" thickBot="1" x14ac:dyDescent="0.4">
      <c r="A502" s="8" t="s">
        <v>185</v>
      </c>
      <c r="B502" s="15"/>
      <c r="C502" s="15"/>
      <c r="D502" s="15"/>
      <c r="E502" s="9"/>
      <c r="F502" s="10">
        <v>0.05</v>
      </c>
    </row>
    <row r="503" spans="1:9" ht="16" thickBot="1" x14ac:dyDescent="0.4">
      <c r="A503" s="8" t="s">
        <v>186</v>
      </c>
      <c r="B503" s="15"/>
      <c r="C503" s="15"/>
      <c r="D503" s="15"/>
      <c r="E503" s="9"/>
      <c r="F503" s="10">
        <v>0.25</v>
      </c>
    </row>
    <row r="504" spans="1:9" ht="16" thickBot="1" x14ac:dyDescent="0.4"/>
    <row r="505" spans="1:9" ht="16" thickBot="1" x14ac:dyDescent="0.4">
      <c r="A505" s="8" t="s">
        <v>187</v>
      </c>
      <c r="B505" s="15"/>
      <c r="C505" s="9"/>
      <c r="D505" s="67">
        <f>ROUND(((F501^2)*(-NORMSINV(F502)-NORMSINV(F503))^2)/F500^2,0)+1</f>
        <v>15</v>
      </c>
    </row>
    <row r="508" spans="1:9" x14ac:dyDescent="0.35">
      <c r="A508" s="43" t="s">
        <v>63</v>
      </c>
      <c r="B508" s="44"/>
      <c r="C508" s="44"/>
      <c r="D508" s="44"/>
      <c r="E508" s="44"/>
      <c r="F508" s="44"/>
      <c r="G508" s="44"/>
      <c r="H508" s="44"/>
      <c r="I508" s="44"/>
    </row>
    <row r="510" spans="1:9" x14ac:dyDescent="0.35">
      <c r="A510" t="s">
        <v>204</v>
      </c>
    </row>
    <row r="511" spans="1:9" x14ac:dyDescent="0.35">
      <c r="A511" t="s">
        <v>205</v>
      </c>
    </row>
    <row r="513" spans="1:8" ht="17.5" x14ac:dyDescent="0.35">
      <c r="A513" s="5" t="s">
        <v>159</v>
      </c>
    </row>
    <row r="514" spans="1:8" ht="17.5" x14ac:dyDescent="0.45">
      <c r="A514" s="63" t="s">
        <v>160</v>
      </c>
    </row>
    <row r="516" spans="1:8" x14ac:dyDescent="0.35">
      <c r="A516" s="6" t="s">
        <v>36</v>
      </c>
      <c r="F516" s="48" t="s">
        <v>37</v>
      </c>
      <c r="G516" s="48"/>
    </row>
    <row r="517" spans="1:8" ht="17.5" x14ac:dyDescent="0.45">
      <c r="A517" t="s">
        <v>161</v>
      </c>
      <c r="F517" s="44" t="s">
        <v>162</v>
      </c>
      <c r="G517" s="44"/>
    </row>
    <row r="518" spans="1:8" ht="17.5" x14ac:dyDescent="0.45">
      <c r="A518" t="s">
        <v>163</v>
      </c>
      <c r="F518" s="44" t="s">
        <v>164</v>
      </c>
      <c r="G518" s="44"/>
    </row>
    <row r="520" spans="1:8" ht="16" thickBot="1" x14ac:dyDescent="0.4">
      <c r="F520" s="6" t="s">
        <v>42</v>
      </c>
    </row>
    <row r="521" spans="1:8" ht="17.5" x14ac:dyDescent="0.45">
      <c r="C521" s="12" t="s">
        <v>165</v>
      </c>
      <c r="D521" s="12" t="s">
        <v>166</v>
      </c>
      <c r="F521" t="s">
        <v>167</v>
      </c>
    </row>
    <row r="522" spans="1:8" ht="19" thickBot="1" x14ac:dyDescent="0.5">
      <c r="A522" s="5" t="s">
        <v>43</v>
      </c>
      <c r="B522" s="5"/>
      <c r="C522" s="14" t="s">
        <v>168</v>
      </c>
      <c r="D522" s="14" t="s">
        <v>168</v>
      </c>
      <c r="F522" t="s">
        <v>169</v>
      </c>
    </row>
    <row r="523" spans="1:8" ht="16" thickBot="1" x14ac:dyDescent="0.4">
      <c r="A523" s="8" t="s">
        <v>170</v>
      </c>
      <c r="B523" s="9"/>
      <c r="C523" s="10">
        <f>13/38</f>
        <v>0.34210526315789475</v>
      </c>
      <c r="D523" s="10">
        <f>11/36</f>
        <v>0.30555555555555558</v>
      </c>
    </row>
    <row r="524" spans="1:8" ht="16" thickBot="1" x14ac:dyDescent="0.4">
      <c r="A524" s="8" t="s">
        <v>48</v>
      </c>
      <c r="B524" s="9"/>
      <c r="C524" s="10">
        <v>38</v>
      </c>
      <c r="D524" s="10">
        <v>36</v>
      </c>
    </row>
    <row r="525" spans="1:8" ht="16" thickBot="1" x14ac:dyDescent="0.4">
      <c r="A525" s="8" t="s">
        <v>50</v>
      </c>
      <c r="B525" s="9"/>
      <c r="C525" s="10">
        <v>0.05</v>
      </c>
      <c r="D525" s="64"/>
      <c r="G525" s="49" t="s">
        <v>51</v>
      </c>
      <c r="H525" s="11" t="s">
        <v>52</v>
      </c>
    </row>
    <row r="526" spans="1:8" x14ac:dyDescent="0.35">
      <c r="F526" s="12" t="s">
        <v>53</v>
      </c>
      <c r="G526" s="50" t="s">
        <v>54</v>
      </c>
      <c r="H526" s="13" t="s">
        <v>54</v>
      </c>
    </row>
    <row r="527" spans="1:8" ht="16" thickBot="1" x14ac:dyDescent="0.4">
      <c r="F527" s="14" t="s">
        <v>56</v>
      </c>
      <c r="G527" s="51" t="s">
        <v>56</v>
      </c>
      <c r="H527" s="14" t="s">
        <v>56</v>
      </c>
    </row>
    <row r="528" spans="1:8" ht="16" thickBot="1" x14ac:dyDescent="0.4">
      <c r="A528" s="8" t="s">
        <v>57</v>
      </c>
      <c r="B528" s="15"/>
      <c r="C528" s="15"/>
      <c r="D528" s="15"/>
      <c r="E528" s="9"/>
      <c r="F528" s="16">
        <f>+C525/2</f>
        <v>2.5000000000000001E-2</v>
      </c>
      <c r="G528" s="52">
        <f>+C525</f>
        <v>0.05</v>
      </c>
      <c r="H528" s="16">
        <f>+C525</f>
        <v>0.05</v>
      </c>
    </row>
    <row r="529" spans="1:9" ht="16" thickBot="1" x14ac:dyDescent="0.4">
      <c r="A529" s="8" t="s">
        <v>84</v>
      </c>
      <c r="B529" s="15"/>
      <c r="C529" s="15"/>
      <c r="D529" s="15"/>
      <c r="E529" s="9"/>
      <c r="F529" s="65">
        <f>(C523-D523)/SQRT((C523*(1-C523)/C524)+(D523*(1-D523)/D524))</f>
        <v>0.33622409194262726</v>
      </c>
      <c r="G529" s="53">
        <f>+F529</f>
        <v>0.33622409194262726</v>
      </c>
      <c r="H529" s="17">
        <f>+F529</f>
        <v>0.33622409194262726</v>
      </c>
    </row>
    <row r="530" spans="1:9" ht="16.5" thickTop="1" thickBot="1" x14ac:dyDescent="0.4">
      <c r="A530" s="8" t="s">
        <v>85</v>
      </c>
      <c r="B530" s="15"/>
      <c r="C530" s="15"/>
      <c r="D530" s="15"/>
      <c r="E530" s="18">
        <f>-NORMSINV(F528)</f>
        <v>1.9599610823206604</v>
      </c>
      <c r="F530" s="19">
        <f>NORMSINV(F528)</f>
        <v>-1.9599610823206604</v>
      </c>
      <c r="G530" s="53">
        <f>-NORMSINV(G528)</f>
        <v>1.6448530004709028</v>
      </c>
      <c r="H530" s="17">
        <f>NORMSINV(H528)</f>
        <v>-1.6448530004709028</v>
      </c>
    </row>
    <row r="531" spans="1:9" ht="16.5" thickTop="1" thickBot="1" x14ac:dyDescent="0.4">
      <c r="A531" s="8" t="s">
        <v>60</v>
      </c>
      <c r="B531" s="15"/>
      <c r="C531" s="15"/>
      <c r="D531" s="15"/>
      <c r="E531" s="9"/>
      <c r="F531" s="11" t="str">
        <f>IF(OR(F529&gt;E530,F529&lt;F530),"Reject Null","Accept Null")</f>
        <v>Accept Null</v>
      </c>
      <c r="G531" s="49" t="str">
        <f>IF(G529&gt;G530,"Reject Null","Accept Null")</f>
        <v>Accept Null</v>
      </c>
      <c r="H531" s="11" t="str">
        <f>IF(H529&lt;H530,"Reject Null","Accept Null")</f>
        <v>Accept Null</v>
      </c>
    </row>
    <row r="532" spans="1:9" ht="59.5" x14ac:dyDescent="0.35">
      <c r="G532" s="27" t="s">
        <v>61</v>
      </c>
    </row>
    <row r="533" spans="1:9" x14ac:dyDescent="0.35">
      <c r="A533" t="s">
        <v>206</v>
      </c>
    </row>
    <row r="534" spans="1:9" x14ac:dyDescent="0.35">
      <c r="A534" t="s">
        <v>207</v>
      </c>
    </row>
    <row r="537" spans="1:9" x14ac:dyDescent="0.35">
      <c r="A537" s="43" t="s">
        <v>151</v>
      </c>
      <c r="B537" s="44"/>
      <c r="C537" s="44"/>
      <c r="D537" s="44"/>
      <c r="E537" s="44"/>
      <c r="F537" s="44"/>
      <c r="G537" s="44"/>
      <c r="H537" s="44"/>
      <c r="I537" s="44"/>
    </row>
    <row r="540" spans="1:9" x14ac:dyDescent="0.35">
      <c r="A540" t="s">
        <v>208</v>
      </c>
    </row>
    <row r="541" spans="1:9" x14ac:dyDescent="0.35">
      <c r="A541" t="s">
        <v>209</v>
      </c>
    </row>
    <row r="543" spans="1:9" ht="18" x14ac:dyDescent="0.4">
      <c r="A543" s="5" t="s">
        <v>129</v>
      </c>
    </row>
    <row r="544" spans="1:9" ht="17.5" x14ac:dyDescent="0.35">
      <c r="A544" s="5" t="s">
        <v>130</v>
      </c>
    </row>
    <row r="545" spans="1:11" ht="17.5" x14ac:dyDescent="0.45">
      <c r="A545" s="1" t="s">
        <v>131</v>
      </c>
    </row>
    <row r="546" spans="1:11" x14ac:dyDescent="0.35">
      <c r="A546" s="1"/>
    </row>
    <row r="547" spans="1:11" x14ac:dyDescent="0.35">
      <c r="A547" s="48" t="s">
        <v>36</v>
      </c>
      <c r="B547" s="44"/>
      <c r="F547" s="6" t="s">
        <v>37</v>
      </c>
    </row>
    <row r="548" spans="1:11" ht="17.5" x14ac:dyDescent="0.45">
      <c r="A548" s="61" t="s">
        <v>134</v>
      </c>
      <c r="B548" s="44"/>
      <c r="F548" s="7" t="s">
        <v>135</v>
      </c>
      <c r="G548" s="6"/>
    </row>
    <row r="549" spans="1:11" ht="17.5" x14ac:dyDescent="0.45">
      <c r="A549" s="61" t="s">
        <v>136</v>
      </c>
      <c r="B549" s="44"/>
      <c r="F549" s="7" t="s">
        <v>137</v>
      </c>
    </row>
    <row r="551" spans="1:11" x14ac:dyDescent="0.35">
      <c r="F551" s="6" t="s">
        <v>42</v>
      </c>
    </row>
    <row r="552" spans="1:11" ht="19" thickBot="1" x14ac:dyDescent="0.5">
      <c r="A552" s="5" t="s">
        <v>43</v>
      </c>
      <c r="F552" s="7" t="s">
        <v>138</v>
      </c>
    </row>
    <row r="553" spans="1:11" ht="19" thickBot="1" x14ac:dyDescent="0.5">
      <c r="A553" s="8" t="s">
        <v>139</v>
      </c>
      <c r="B553" s="58"/>
      <c r="C553" s="10">
        <v>0.22259999999999999</v>
      </c>
      <c r="F553" s="7" t="s">
        <v>140</v>
      </c>
      <c r="J553" t="s">
        <v>210</v>
      </c>
      <c r="K553" t="s">
        <v>211</v>
      </c>
    </row>
    <row r="554" spans="1:11" ht="16" thickBot="1" x14ac:dyDescent="0.4">
      <c r="A554" s="8" t="s">
        <v>141</v>
      </c>
      <c r="B554" s="9"/>
      <c r="C554" s="10">
        <v>0.35399999999999998</v>
      </c>
      <c r="J554">
        <v>7.6999999999999999E-2</v>
      </c>
      <c r="K554">
        <v>0.186</v>
      </c>
    </row>
    <row r="555" spans="1:11" ht="16" thickBot="1" x14ac:dyDescent="0.4">
      <c r="A555" s="8" t="s">
        <v>142</v>
      </c>
      <c r="B555" s="9"/>
      <c r="C555" s="10">
        <v>7.9121800000000006E-2</v>
      </c>
      <c r="F555" t="s">
        <v>143</v>
      </c>
      <c r="J555">
        <v>0.156</v>
      </c>
      <c r="K555">
        <v>0.316</v>
      </c>
    </row>
    <row r="556" spans="1:11" ht="16" thickBot="1" x14ac:dyDescent="0.4">
      <c r="A556" s="8" t="s">
        <v>144</v>
      </c>
      <c r="B556" s="9"/>
      <c r="C556" s="10">
        <v>8.5097000000000006E-2</v>
      </c>
      <c r="F556" t="s">
        <v>145</v>
      </c>
      <c r="G556" s="59">
        <f>SQRT((((C557-1)*C555^2)+((C558-1)*C556^2))/(C557+C558-2))</f>
        <v>8.1789680346972871E-2</v>
      </c>
      <c r="J556">
        <v>0.16300000000000001</v>
      </c>
      <c r="K556">
        <v>0.34399999999999997</v>
      </c>
    </row>
    <row r="557" spans="1:11" ht="16" thickBot="1" x14ac:dyDescent="0.4">
      <c r="A557" s="8" t="s">
        <v>146</v>
      </c>
      <c r="B557" s="9"/>
      <c r="C557" s="10">
        <v>10</v>
      </c>
      <c r="J557">
        <v>0.19400000000000001</v>
      </c>
      <c r="K557">
        <v>0.34799999999999998</v>
      </c>
    </row>
    <row r="558" spans="1:11" ht="16" thickBot="1" x14ac:dyDescent="0.4">
      <c r="A558" s="8" t="s">
        <v>147</v>
      </c>
      <c r="B558" s="9"/>
      <c r="C558" s="10">
        <v>8</v>
      </c>
      <c r="J558">
        <v>0.221</v>
      </c>
      <c r="K558">
        <v>0.35</v>
      </c>
    </row>
    <row r="559" spans="1:11" ht="16" thickBot="1" x14ac:dyDescent="0.4">
      <c r="A559" s="8" t="s">
        <v>50</v>
      </c>
      <c r="B559" s="9"/>
      <c r="C559" s="10">
        <v>0.05</v>
      </c>
      <c r="G559" s="11" t="s">
        <v>51</v>
      </c>
      <c r="H559" s="11" t="s">
        <v>52</v>
      </c>
      <c r="J559">
        <v>0.251</v>
      </c>
      <c r="K559">
        <v>0.38900000000000001</v>
      </c>
    </row>
    <row r="560" spans="1:11" x14ac:dyDescent="0.35">
      <c r="F560" s="55" t="s">
        <v>53</v>
      </c>
      <c r="G560" s="13" t="s">
        <v>54</v>
      </c>
      <c r="H560" s="13" t="s">
        <v>54</v>
      </c>
      <c r="J560">
        <v>0.25600000000000001</v>
      </c>
      <c r="K560">
        <v>0.42299999999999999</v>
      </c>
    </row>
    <row r="561" spans="1:11" ht="18" thickBot="1" x14ac:dyDescent="0.4">
      <c r="A561" s="5" t="s">
        <v>55</v>
      </c>
      <c r="F561" s="51" t="s">
        <v>56</v>
      </c>
      <c r="G561" s="14" t="s">
        <v>56</v>
      </c>
      <c r="H561" s="14" t="s">
        <v>56</v>
      </c>
      <c r="J561">
        <v>0.26</v>
      </c>
      <c r="K561">
        <v>0.47599999999999998</v>
      </c>
    </row>
    <row r="562" spans="1:11" ht="16" thickBot="1" x14ac:dyDescent="0.4">
      <c r="A562" s="8" t="s">
        <v>57</v>
      </c>
      <c r="B562" s="15"/>
      <c r="C562" s="15"/>
      <c r="D562" s="15"/>
      <c r="E562" s="9"/>
      <c r="F562" s="62">
        <f>+C559/2</f>
        <v>2.5000000000000001E-2</v>
      </c>
      <c r="G562" s="60">
        <f>+C559</f>
        <v>0.05</v>
      </c>
      <c r="H562" s="60">
        <f>+C559</f>
        <v>0.05</v>
      </c>
      <c r="J562">
        <v>0.28899999999999998</v>
      </c>
    </row>
    <row r="563" spans="1:11" ht="16" thickBot="1" x14ac:dyDescent="0.4">
      <c r="A563" s="8" t="s">
        <v>58</v>
      </c>
      <c r="B563" s="15"/>
      <c r="C563" s="15"/>
      <c r="D563" s="15"/>
      <c r="E563" s="9"/>
      <c r="F563" s="53">
        <f>(C553-C554)/(G556*SQRT((1/C557)+(1/C558)))</f>
        <v>-3.3869251213059992</v>
      </c>
      <c r="G563" s="17">
        <f>+F563</f>
        <v>-3.3869251213059992</v>
      </c>
      <c r="H563" s="17">
        <f>+F563</f>
        <v>-3.3869251213059992</v>
      </c>
      <c r="J563">
        <v>0.35899999999999999</v>
      </c>
    </row>
    <row r="564" spans="1:11" ht="16.5" thickTop="1" thickBot="1" x14ac:dyDescent="0.4">
      <c r="A564" s="8" t="s">
        <v>59</v>
      </c>
      <c r="B564" s="15"/>
      <c r="C564" s="15"/>
      <c r="D564" s="15"/>
      <c r="E564" s="57">
        <f>TINV(F562*2,C557+C558-2)</f>
        <v>2.1199048205744475</v>
      </c>
      <c r="F564" s="56">
        <f>-TINV(F562*2,C557+C558-2)</f>
        <v>-2.1199048205744475</v>
      </c>
      <c r="G564" s="17">
        <f>TINV(G562*2,C557+C558-2)</f>
        <v>1.7458842194173485</v>
      </c>
      <c r="H564" s="17">
        <f>-TINV(H562*2,C557+C558-2)</f>
        <v>-1.7458842194173485</v>
      </c>
      <c r="I564" s="3" t="s">
        <v>212</v>
      </c>
      <c r="J564" s="67">
        <f t="shared" ref="J564:K564" si="14">AVERAGE(J554:J563)</f>
        <v>0.22259999999999999</v>
      </c>
      <c r="K564" s="67">
        <f t="shared" si="14"/>
        <v>0.35399999999999998</v>
      </c>
    </row>
    <row r="565" spans="1:11" ht="16.5" thickTop="1" thickBot="1" x14ac:dyDescent="0.4">
      <c r="A565" s="8" t="s">
        <v>60</v>
      </c>
      <c r="B565" s="15"/>
      <c r="C565" s="15"/>
      <c r="D565" s="15"/>
      <c r="E565" s="9"/>
      <c r="F565" s="49" t="str">
        <f>IF(OR(F563&gt;E564,F563&lt;F564),"Reject Null","Accept Null")</f>
        <v>Reject Null</v>
      </c>
      <c r="G565" s="11" t="str">
        <f>IF(G563&gt;G564,"Reject Null","Accept Null")</f>
        <v>Accept Null</v>
      </c>
      <c r="H565" s="11" t="str">
        <f>IF(H563&lt;H564,"Reject Null","Accept Null")</f>
        <v>Reject Null</v>
      </c>
      <c r="I565" s="3" t="s">
        <v>213</v>
      </c>
      <c r="J565" s="67">
        <f t="shared" ref="J565:K565" si="15">STDEV(J554:J563)</f>
        <v>7.9121846961927408E-2</v>
      </c>
      <c r="K565" s="67">
        <f t="shared" si="15"/>
        <v>8.5096583782362192E-2</v>
      </c>
    </row>
    <row r="566" spans="1:11" ht="59.5" x14ac:dyDescent="0.35">
      <c r="F566" s="27" t="s">
        <v>61</v>
      </c>
    </row>
    <row r="567" spans="1:11" x14ac:dyDescent="0.35">
      <c r="A567" t="s">
        <v>214</v>
      </c>
    </row>
    <row r="570" spans="1:11" x14ac:dyDescent="0.35">
      <c r="A570" s="43" t="s">
        <v>215</v>
      </c>
      <c r="B570" s="44"/>
      <c r="C570" s="44"/>
      <c r="D570" s="44"/>
      <c r="E570" s="44"/>
      <c r="F570" s="44"/>
      <c r="G570" s="44"/>
      <c r="H570" s="44"/>
      <c r="I570" s="44"/>
    </row>
    <row r="572" spans="1:11" x14ac:dyDescent="0.35">
      <c r="A572" t="s">
        <v>216</v>
      </c>
    </row>
    <row r="573" spans="1:11" x14ac:dyDescent="0.35">
      <c r="A573" t="s">
        <v>217</v>
      </c>
      <c r="F573" s="3" t="s">
        <v>104</v>
      </c>
      <c r="G573">
        <f>AVERAGE(H574:H585)</f>
        <v>-2.5833333333333335</v>
      </c>
      <c r="H573" t="s">
        <v>218</v>
      </c>
      <c r="I573" t="s">
        <v>219</v>
      </c>
      <c r="J573" t="s">
        <v>220</v>
      </c>
    </row>
    <row r="574" spans="1:11" ht="17.5" x14ac:dyDescent="0.45">
      <c r="F574" s="3" t="s">
        <v>105</v>
      </c>
      <c r="G574">
        <f>STDEV(H574:H585)</f>
        <v>3.0883456393154556</v>
      </c>
      <c r="H574">
        <f>I574-J574</f>
        <v>-5</v>
      </c>
      <c r="I574">
        <v>120</v>
      </c>
      <c r="J574">
        <v>125</v>
      </c>
    </row>
    <row r="575" spans="1:11" ht="17.5" x14ac:dyDescent="0.35">
      <c r="A575" s="5" t="s">
        <v>106</v>
      </c>
      <c r="H575">
        <f t="shared" ref="H575:H585" si="16">I575-J575</f>
        <v>-2</v>
      </c>
      <c r="I575">
        <v>124</v>
      </c>
      <c r="J575">
        <v>126</v>
      </c>
    </row>
    <row r="576" spans="1:11" ht="17.5" x14ac:dyDescent="0.45">
      <c r="A576" s="1" t="s">
        <v>107</v>
      </c>
      <c r="H576">
        <f t="shared" si="16"/>
        <v>-8</v>
      </c>
      <c r="I576">
        <v>130</v>
      </c>
      <c r="J576">
        <v>138</v>
      </c>
    </row>
    <row r="577" spans="1:10" x14ac:dyDescent="0.35">
      <c r="A577" s="1"/>
      <c r="H577">
        <f t="shared" si="16"/>
        <v>1</v>
      </c>
      <c r="I577">
        <v>118</v>
      </c>
      <c r="J577">
        <v>117</v>
      </c>
    </row>
    <row r="578" spans="1:10" x14ac:dyDescent="0.35">
      <c r="A578" s="48" t="s">
        <v>36</v>
      </c>
      <c r="B578" s="44"/>
      <c r="F578" s="6" t="s">
        <v>37</v>
      </c>
      <c r="G578" s="6"/>
      <c r="H578">
        <f t="shared" si="16"/>
        <v>-3</v>
      </c>
      <c r="I578">
        <v>140</v>
      </c>
      <c r="J578">
        <v>143</v>
      </c>
    </row>
    <row r="579" spans="1:10" ht="17.5" x14ac:dyDescent="0.45">
      <c r="A579" s="44" t="s">
        <v>108</v>
      </c>
      <c r="B579" s="44"/>
      <c r="F579" t="s">
        <v>109</v>
      </c>
      <c r="H579">
        <f t="shared" si="16"/>
        <v>0</v>
      </c>
      <c r="I579">
        <v>128</v>
      </c>
      <c r="J579">
        <v>128</v>
      </c>
    </row>
    <row r="580" spans="1:10" ht="17.5" x14ac:dyDescent="0.45">
      <c r="A580" s="44" t="s">
        <v>110</v>
      </c>
      <c r="B580" s="44"/>
      <c r="F580" t="s">
        <v>111</v>
      </c>
      <c r="H580">
        <f t="shared" si="16"/>
        <v>-6</v>
      </c>
      <c r="I580">
        <v>140</v>
      </c>
      <c r="J580">
        <v>146</v>
      </c>
    </row>
    <row r="581" spans="1:10" x14ac:dyDescent="0.35">
      <c r="H581">
        <f t="shared" si="16"/>
        <v>2</v>
      </c>
      <c r="I581">
        <v>135</v>
      </c>
      <c r="J581">
        <v>133</v>
      </c>
    </row>
    <row r="582" spans="1:10" x14ac:dyDescent="0.35">
      <c r="F582" s="6" t="s">
        <v>42</v>
      </c>
      <c r="H582">
        <f t="shared" si="16"/>
        <v>-1</v>
      </c>
      <c r="I582">
        <v>126</v>
      </c>
      <c r="J582">
        <v>127</v>
      </c>
    </row>
    <row r="583" spans="1:10" ht="19" thickBot="1" x14ac:dyDescent="0.5">
      <c r="A583" s="5" t="s">
        <v>43</v>
      </c>
      <c r="B583" s="5"/>
      <c r="F583" t="s">
        <v>112</v>
      </c>
      <c r="H583">
        <f t="shared" si="16"/>
        <v>-5</v>
      </c>
      <c r="I583">
        <v>130</v>
      </c>
      <c r="J583">
        <v>135</v>
      </c>
    </row>
    <row r="584" spans="1:10" ht="18" thickBot="1" x14ac:dyDescent="0.5">
      <c r="A584" s="8" t="s">
        <v>113</v>
      </c>
      <c r="B584" s="9"/>
      <c r="C584" s="10">
        <v>-2.5833330000000001</v>
      </c>
      <c r="F584" t="s">
        <v>114</v>
      </c>
      <c r="H584">
        <f t="shared" si="16"/>
        <v>0</v>
      </c>
      <c r="I584">
        <v>126</v>
      </c>
      <c r="J584">
        <v>126</v>
      </c>
    </row>
    <row r="585" spans="1:10" ht="18" thickBot="1" x14ac:dyDescent="0.4">
      <c r="A585" s="45" t="s">
        <v>115</v>
      </c>
      <c r="B585" s="46"/>
      <c r="C585" s="10">
        <v>3.08834564</v>
      </c>
      <c r="H585">
        <f t="shared" si="16"/>
        <v>-4</v>
      </c>
      <c r="I585">
        <v>127</v>
      </c>
      <c r="J585">
        <v>131</v>
      </c>
    </row>
    <row r="586" spans="1:10" ht="18" thickBot="1" x14ac:dyDescent="0.5">
      <c r="A586" s="8" t="s">
        <v>116</v>
      </c>
      <c r="B586" s="9"/>
      <c r="C586" s="10">
        <v>12</v>
      </c>
      <c r="E586" t="s">
        <v>117</v>
      </c>
    </row>
    <row r="587" spans="1:10" ht="18" thickBot="1" x14ac:dyDescent="0.5">
      <c r="A587" s="8" t="s">
        <v>50</v>
      </c>
      <c r="B587" s="9"/>
      <c r="C587" s="10">
        <v>0.05</v>
      </c>
      <c r="E587" t="s">
        <v>118</v>
      </c>
    </row>
    <row r="588" spans="1:10" ht="17.5" x14ac:dyDescent="0.45">
      <c r="A588" s="20"/>
      <c r="B588" s="20"/>
      <c r="C588" s="20"/>
      <c r="E588" t="s">
        <v>119</v>
      </c>
    </row>
    <row r="589" spans="1:10" ht="16" thickBot="1" x14ac:dyDescent="0.4">
      <c r="A589" s="20"/>
      <c r="B589" s="20"/>
      <c r="C589" s="20"/>
    </row>
    <row r="590" spans="1:10" ht="16" thickBot="1" x14ac:dyDescent="0.4">
      <c r="G590" s="11" t="s">
        <v>51</v>
      </c>
      <c r="H590" s="11" t="s">
        <v>52</v>
      </c>
    </row>
    <row r="591" spans="1:10" x14ac:dyDescent="0.35">
      <c r="F591" s="55" t="s">
        <v>53</v>
      </c>
      <c r="G591" s="13" t="s">
        <v>54</v>
      </c>
      <c r="H591" s="13" t="s">
        <v>54</v>
      </c>
    </row>
    <row r="592" spans="1:10" ht="18" thickBot="1" x14ac:dyDescent="0.4">
      <c r="A592" s="5" t="s">
        <v>55</v>
      </c>
      <c r="F592" s="51" t="s">
        <v>56</v>
      </c>
      <c r="G592" s="14" t="s">
        <v>56</v>
      </c>
      <c r="H592" s="14" t="s">
        <v>56</v>
      </c>
    </row>
    <row r="593" spans="1:8" ht="16" thickBot="1" x14ac:dyDescent="0.4">
      <c r="A593" s="8" t="s">
        <v>57</v>
      </c>
      <c r="B593" s="15"/>
      <c r="C593" s="15"/>
      <c r="D593" s="15"/>
      <c r="E593" s="9"/>
      <c r="F593" s="52">
        <f>+C587/2</f>
        <v>2.5000000000000001E-2</v>
      </c>
      <c r="G593" s="16">
        <f>+C587</f>
        <v>0.05</v>
      </c>
      <c r="H593" s="16">
        <f>+C587</f>
        <v>0.05</v>
      </c>
    </row>
    <row r="594" spans="1:8" ht="16" thickBot="1" x14ac:dyDescent="0.4">
      <c r="A594" s="8" t="s">
        <v>58</v>
      </c>
      <c r="B594" s="15"/>
      <c r="C594" s="15"/>
      <c r="D594" s="15"/>
      <c r="E594" s="9"/>
      <c r="F594" s="53">
        <f>(C584)/(C585/SQRT(C586))</f>
        <v>-2.897644584153042</v>
      </c>
      <c r="G594" s="17">
        <f t="shared" ref="G594:H594" si="17">+F594</f>
        <v>-2.897644584153042</v>
      </c>
      <c r="H594" s="17">
        <f t="shared" si="17"/>
        <v>-2.897644584153042</v>
      </c>
    </row>
    <row r="595" spans="1:8" ht="16.5" thickTop="1" thickBot="1" x14ac:dyDescent="0.4">
      <c r="A595" s="8" t="s">
        <v>59</v>
      </c>
      <c r="B595" s="15"/>
      <c r="C595" s="15"/>
      <c r="D595" s="15"/>
      <c r="E595" s="57">
        <f>TINV(F593*2,C586-1)</f>
        <v>2.2009862732375041</v>
      </c>
      <c r="F595" s="56">
        <f>-TINV(F593*2,C586-1)</f>
        <v>-2.2009862732375041</v>
      </c>
      <c r="G595" s="17">
        <f>TINV(G593*2,C586-1)</f>
        <v>1.7958836906473152</v>
      </c>
      <c r="H595" s="17">
        <f>-TINV(H593*2,C586-1)</f>
        <v>-1.7958836906473152</v>
      </c>
    </row>
    <row r="596" spans="1:8" ht="16.5" thickTop="1" thickBot="1" x14ac:dyDescent="0.4">
      <c r="A596" s="8" t="s">
        <v>60</v>
      </c>
      <c r="B596" s="15"/>
      <c r="C596" s="15"/>
      <c r="D596" s="15"/>
      <c r="E596" s="9"/>
      <c r="F596" s="49" t="str">
        <f>IF(OR(F594&gt;E595,F594&lt;F595),"Reject Null","Accept Null")</f>
        <v>Reject Null</v>
      </c>
      <c r="G596" s="11" t="str">
        <f>IF(G594&gt;G595,"Reject Null","Accept Null")</f>
        <v>Accept Null</v>
      </c>
      <c r="H596" s="11" t="str">
        <f>IF(H594&lt;H595,"Reject Null","Accept Null")</f>
        <v>Reject Null</v>
      </c>
    </row>
    <row r="597" spans="1:8" ht="59.5" x14ac:dyDescent="0.35">
      <c r="F597" s="27" t="s">
        <v>61</v>
      </c>
    </row>
    <row r="598" spans="1:8" x14ac:dyDescent="0.35">
      <c r="A598" t="s">
        <v>221</v>
      </c>
    </row>
  </sheetData>
  <pageMargins left="0.5" right="0.5" top="0.5" bottom="0.5" header="0.5" footer="0.5"/>
  <pageSetup scale="75" fitToHeight="15" orientation="portrait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Sheet1!Print_Area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 Sytsma</dc:creator>
  <cp:lastModifiedBy>Carina Negreanu</cp:lastModifiedBy>
  <cp:lastPrinted>1996-11-12T19:50:48Z</cp:lastPrinted>
  <dcterms:created xsi:type="dcterms:W3CDTF">1996-11-11T12:47:32Z</dcterms:created>
  <dcterms:modified xsi:type="dcterms:W3CDTF">2020-01-27T11:43:38Z</dcterms:modified>
</cp:coreProperties>
</file>