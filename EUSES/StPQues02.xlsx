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52333C1-8ABC-4343-BA99-60B46980F3BF}" xr6:coauthVersionLast="45" xr6:coauthVersionMax="45" xr10:uidLastSave="{00000000-0000-0000-0000-000000000000}"/>
  <bookViews>
    <workbookView xWindow="380" yWindow="380" windowWidth="28800" windowHeight="15460"/>
  </bookViews>
  <sheets>
    <sheet name="Questionnaire" sheetId="2" r:id="rId1"/>
    <sheet name="Analysis" sheetId="1" r:id="rId2"/>
  </sheets>
  <externalReferences>
    <externalReference r:id="rId3"/>
    <externalReference r:id="rId4"/>
  </externalReferences>
  <definedNames>
    <definedName name="_xlnm.Database">#REF!</definedName>
    <definedName name="_xlnm.Print_Area" localSheetId="0">Questionnaire!$A$1:$L$65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4" i="1" l="1"/>
  <c r="D24" i="1"/>
  <c r="E24" i="1"/>
  <c r="F24" i="1"/>
  <c r="H24" i="1"/>
  <c r="I24" i="1"/>
  <c r="J24" i="1"/>
  <c r="K24" i="1"/>
  <c r="L24" i="1"/>
  <c r="M24" i="1"/>
  <c r="N24" i="1"/>
  <c r="N31" i="1" s="1"/>
  <c r="O24" i="1"/>
  <c r="O31" i="1" s="1"/>
  <c r="P24" i="1"/>
  <c r="P31" i="1" s="1"/>
  <c r="R24" i="1"/>
  <c r="R31" i="1" s="1"/>
  <c r="S24" i="1"/>
  <c r="S31" i="1" s="1"/>
  <c r="T24" i="1"/>
  <c r="T31" i="1" s="1"/>
  <c r="U24" i="1"/>
  <c r="U31" i="1" s="1"/>
  <c r="V24" i="1"/>
  <c r="V31" i="1" s="1"/>
  <c r="C25" i="1"/>
  <c r="C31" i="1" s="1"/>
  <c r="D25" i="1"/>
  <c r="D31" i="1" s="1"/>
  <c r="E25" i="1"/>
  <c r="F25" i="1"/>
  <c r="H25" i="1"/>
  <c r="I25" i="1"/>
  <c r="J25" i="1"/>
  <c r="K25" i="1"/>
  <c r="L25" i="1"/>
  <c r="M25" i="1"/>
  <c r="N25" i="1"/>
  <c r="O25" i="1"/>
  <c r="P25" i="1"/>
  <c r="R25" i="1"/>
  <c r="S25" i="1"/>
  <c r="T25" i="1"/>
  <c r="U25" i="1"/>
  <c r="V25" i="1"/>
  <c r="C26" i="1"/>
  <c r="D26" i="1"/>
  <c r="E26" i="1"/>
  <c r="E31" i="1" s="1"/>
  <c r="F26" i="1"/>
  <c r="F31" i="1" s="1"/>
  <c r="H26" i="1"/>
  <c r="I26" i="1"/>
  <c r="J26" i="1"/>
  <c r="K26" i="1"/>
  <c r="L26" i="1"/>
  <c r="M26" i="1"/>
  <c r="N26" i="1"/>
  <c r="O26" i="1"/>
  <c r="P26" i="1"/>
  <c r="R26" i="1"/>
  <c r="S26" i="1"/>
  <c r="T26" i="1"/>
  <c r="U26" i="1"/>
  <c r="V26" i="1"/>
  <c r="C27" i="1"/>
  <c r="D27" i="1"/>
  <c r="E27" i="1"/>
  <c r="F27" i="1"/>
  <c r="H27" i="1"/>
  <c r="H31" i="1" s="1"/>
  <c r="I27" i="1"/>
  <c r="I31" i="1" s="1"/>
  <c r="J27" i="1"/>
  <c r="K27" i="1"/>
  <c r="L27" i="1"/>
  <c r="M27" i="1"/>
  <c r="N27" i="1"/>
  <c r="O27" i="1"/>
  <c r="P27" i="1"/>
  <c r="R27" i="1"/>
  <c r="S27" i="1"/>
  <c r="T27" i="1"/>
  <c r="U27" i="1"/>
  <c r="V27" i="1"/>
  <c r="C28" i="1"/>
  <c r="D28" i="1"/>
  <c r="E28" i="1"/>
  <c r="F28" i="1"/>
  <c r="H28" i="1"/>
  <c r="I28" i="1"/>
  <c r="J28" i="1"/>
  <c r="J31" i="1" s="1"/>
  <c r="K28" i="1"/>
  <c r="K31" i="1" s="1"/>
  <c r="L28" i="1"/>
  <c r="M28" i="1"/>
  <c r="N28" i="1"/>
  <c r="O28" i="1"/>
  <c r="P28" i="1"/>
  <c r="R28" i="1"/>
  <c r="S28" i="1"/>
  <c r="T28" i="1"/>
  <c r="U28" i="1"/>
  <c r="V28" i="1"/>
  <c r="C29" i="1"/>
  <c r="D29" i="1"/>
  <c r="E29" i="1"/>
  <c r="F29" i="1"/>
  <c r="G29" i="1"/>
  <c r="H29" i="1"/>
  <c r="I29" i="1"/>
  <c r="J29" i="1"/>
  <c r="K29" i="1"/>
  <c r="L29" i="1"/>
  <c r="L31" i="1" s="1"/>
  <c r="M29" i="1"/>
  <c r="N29" i="1"/>
  <c r="O29" i="1"/>
  <c r="P29" i="1"/>
  <c r="Q29" i="1"/>
  <c r="R29" i="1"/>
  <c r="S29" i="1"/>
  <c r="T29" i="1"/>
  <c r="U29" i="1"/>
  <c r="V29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M31" i="1"/>
  <c r="E7" i="2"/>
  <c r="B7" i="2" s="1"/>
  <c r="C7" i="2" s="1"/>
  <c r="F7" i="2"/>
  <c r="G7" i="2"/>
  <c r="H7" i="2"/>
  <c r="I7" i="2"/>
  <c r="K7" i="2"/>
  <c r="L7" i="2"/>
  <c r="M7" i="2"/>
  <c r="B8" i="2"/>
  <c r="C8" i="2" s="1"/>
  <c r="E8" i="2"/>
  <c r="F8" i="2"/>
  <c r="G8" i="2"/>
  <c r="H8" i="2"/>
  <c r="I8" i="2"/>
  <c r="L8" i="2" s="1"/>
  <c r="M8" i="2" s="1"/>
  <c r="K8" i="2"/>
  <c r="E9" i="2"/>
  <c r="B9" i="2" s="1"/>
  <c r="C9" i="2" s="1"/>
  <c r="F9" i="2"/>
  <c r="G9" i="2"/>
  <c r="H9" i="2"/>
  <c r="I9" i="2"/>
  <c r="K9" i="2"/>
  <c r="L9" i="2"/>
  <c r="M9" i="2"/>
  <c r="B10" i="2"/>
  <c r="C10" i="2" s="1"/>
  <c r="E10" i="2"/>
  <c r="F10" i="2"/>
  <c r="G10" i="2"/>
  <c r="H10" i="2"/>
  <c r="I10" i="2"/>
  <c r="L10" i="2" s="1"/>
  <c r="M10" i="2" s="1"/>
  <c r="K10" i="2"/>
  <c r="B12" i="2"/>
  <c r="K12" i="2"/>
  <c r="C13" i="2"/>
  <c r="C14" i="2"/>
  <c r="C15" i="2"/>
  <c r="E16" i="2"/>
  <c r="L16" i="2" s="1"/>
  <c r="M16" i="2" s="1"/>
  <c r="F16" i="2"/>
  <c r="G16" i="2"/>
  <c r="H16" i="2"/>
  <c r="I16" i="2"/>
  <c r="K16" i="2"/>
  <c r="E17" i="2"/>
  <c r="F17" i="2"/>
  <c r="B17" i="2" s="1"/>
  <c r="C17" i="2" s="1"/>
  <c r="G17" i="2"/>
  <c r="H17" i="2"/>
  <c r="I17" i="2"/>
  <c r="K17" i="2"/>
  <c r="L17" i="2"/>
  <c r="M17" i="2"/>
  <c r="E18" i="2"/>
  <c r="L18" i="2" s="1"/>
  <c r="M18" i="2" s="1"/>
  <c r="F18" i="2"/>
  <c r="G18" i="2"/>
  <c r="H18" i="2"/>
  <c r="I18" i="2"/>
  <c r="K18" i="2"/>
  <c r="E19" i="2"/>
  <c r="F19" i="2"/>
  <c r="B19" i="2" s="1"/>
  <c r="C19" i="2" s="1"/>
  <c r="G19" i="2"/>
  <c r="H19" i="2"/>
  <c r="I19" i="2"/>
  <c r="K19" i="2"/>
  <c r="L19" i="2"/>
  <c r="M19" i="2"/>
  <c r="E20" i="2"/>
  <c r="B20" i="2" s="1"/>
  <c r="C20" i="2" s="1"/>
  <c r="F20" i="2"/>
  <c r="G20" i="2"/>
  <c r="H20" i="2"/>
  <c r="I20" i="2"/>
  <c r="K20" i="2"/>
  <c r="E21" i="2"/>
  <c r="F21" i="2"/>
  <c r="B21" i="2" s="1"/>
  <c r="C21" i="2" s="1"/>
  <c r="G21" i="2"/>
  <c r="H21" i="2"/>
  <c r="I21" i="2"/>
  <c r="K21" i="2"/>
  <c r="L21" i="2"/>
  <c r="M21" i="2"/>
  <c r="C22" i="2"/>
  <c r="C23" i="2"/>
  <c r="C24" i="2"/>
  <c r="B25" i="2"/>
  <c r="C25" i="2"/>
  <c r="L25" i="2"/>
  <c r="M25" i="2" s="1"/>
  <c r="B26" i="2"/>
  <c r="C26" i="2"/>
  <c r="L26" i="2"/>
  <c r="B27" i="2"/>
  <c r="C27" i="2" s="1"/>
  <c r="L27" i="2"/>
  <c r="M27" i="2" s="1"/>
  <c r="B28" i="2"/>
  <c r="C28" i="2"/>
  <c r="L28" i="2"/>
  <c r="M28" i="2"/>
  <c r="B29" i="2"/>
  <c r="C29" i="2"/>
  <c r="L29" i="2"/>
  <c r="M29" i="2"/>
  <c r="C31" i="2"/>
  <c r="C32" i="2"/>
  <c r="B33" i="2"/>
  <c r="C33" i="2" s="1"/>
  <c r="E34" i="2"/>
  <c r="B34" i="2" s="1"/>
  <c r="C34" i="2" s="1"/>
  <c r="F34" i="2"/>
  <c r="G34" i="2"/>
  <c r="H34" i="2"/>
  <c r="I34" i="2"/>
  <c r="K34" i="2"/>
  <c r="L34" i="2"/>
  <c r="M34" i="2"/>
  <c r="C35" i="2"/>
  <c r="C36" i="2"/>
  <c r="H37" i="2"/>
  <c r="I37" i="2"/>
  <c r="K37" i="2"/>
  <c r="L37" i="2"/>
  <c r="B37" i="2" s="1"/>
  <c r="B38" i="2"/>
  <c r="C38" i="2"/>
  <c r="E38" i="2"/>
  <c r="F38" i="2"/>
  <c r="G38" i="2"/>
  <c r="H38" i="2"/>
  <c r="L38" i="2" s="1"/>
  <c r="M38" i="2" s="1"/>
  <c r="I38" i="2"/>
  <c r="K38" i="2"/>
  <c r="C39" i="2"/>
  <c r="C40" i="2"/>
  <c r="C41" i="2"/>
  <c r="E42" i="2"/>
  <c r="B42" i="2" s="1"/>
  <c r="C42" i="2" s="1"/>
  <c r="F42" i="2"/>
  <c r="G42" i="2"/>
  <c r="H42" i="2"/>
  <c r="I42" i="2"/>
  <c r="K42" i="2"/>
  <c r="L42" i="2"/>
  <c r="M42" i="2" s="1"/>
  <c r="E43" i="2"/>
  <c r="B43" i="2" s="1"/>
  <c r="C43" i="2" s="1"/>
  <c r="F43" i="2"/>
  <c r="G43" i="2"/>
  <c r="H43" i="2"/>
  <c r="I43" i="2"/>
  <c r="K43" i="2"/>
  <c r="L43" i="2"/>
  <c r="M43" i="2"/>
  <c r="E44" i="2"/>
  <c r="B44" i="2" s="1"/>
  <c r="C44" i="2" s="1"/>
  <c r="F44" i="2"/>
  <c r="G44" i="2"/>
  <c r="H44" i="2"/>
  <c r="I44" i="2"/>
  <c r="K44" i="2"/>
  <c r="L44" i="2"/>
  <c r="M44" i="2" s="1"/>
  <c r="E45" i="2"/>
  <c r="B45" i="2" s="1"/>
  <c r="C45" i="2" s="1"/>
  <c r="F45" i="2"/>
  <c r="G45" i="2"/>
  <c r="H45" i="2"/>
  <c r="I45" i="2"/>
  <c r="K45" i="2"/>
  <c r="L45" i="2"/>
  <c r="M45" i="2"/>
  <c r="B47" i="2"/>
  <c r="K47" i="2"/>
  <c r="C48" i="2"/>
  <c r="C49" i="2"/>
  <c r="C50" i="2"/>
  <c r="C51" i="2"/>
  <c r="E52" i="2"/>
  <c r="L52" i="2" s="1"/>
  <c r="M52" i="2" s="1"/>
  <c r="F52" i="2"/>
  <c r="G52" i="2"/>
  <c r="H52" i="2"/>
  <c r="I52" i="2"/>
  <c r="K52" i="2"/>
  <c r="B55" i="2"/>
  <c r="M26" i="2" s="1"/>
  <c r="C56" i="2"/>
  <c r="A32" i="1" l="1"/>
  <c r="B16" i="2"/>
  <c r="C16" i="2" s="1"/>
  <c r="C54" i="2" s="1"/>
  <c r="B52" i="2"/>
  <c r="C52" i="2" s="1"/>
  <c r="B18" i="2"/>
  <c r="C18" i="2" s="1"/>
  <c r="L20" i="2"/>
  <c r="M20" i="2" s="1"/>
</calcChain>
</file>

<file path=xl/sharedStrings.xml><?xml version="1.0" encoding="utf-8"?>
<sst xmlns="http://schemas.openxmlformats.org/spreadsheetml/2006/main" count="137" uniqueCount="121">
  <si>
    <t>Course</t>
  </si>
  <si>
    <t>Lectures</t>
  </si>
  <si>
    <t>Txt:</t>
  </si>
  <si>
    <t>Y=2/N=1</t>
  </si>
  <si>
    <t>tut</t>
  </si>
  <si>
    <t>Homework</t>
  </si>
  <si>
    <t>Gen</t>
  </si>
  <si>
    <t>Comments</t>
  </si>
  <si>
    <t>No.</t>
  </si>
  <si>
    <t>Yr</t>
  </si>
  <si>
    <t>Q1</t>
  </si>
  <si>
    <t>Q2</t>
  </si>
  <si>
    <t>Q3</t>
  </si>
  <si>
    <t>Q4</t>
  </si>
  <si>
    <t>Hours</t>
  </si>
  <si>
    <t>Q5</t>
  </si>
  <si>
    <t>Q6</t>
  </si>
  <si>
    <t>Q7</t>
  </si>
  <si>
    <t>Q8</t>
  </si>
  <si>
    <t>Q9</t>
  </si>
  <si>
    <t>Q10</t>
  </si>
  <si>
    <t>Q11</t>
  </si>
  <si>
    <t>Q12</t>
  </si>
  <si>
    <t>Q14</t>
  </si>
  <si>
    <t>Q15</t>
  </si>
  <si>
    <t>Q16</t>
  </si>
  <si>
    <t>Q17</t>
  </si>
  <si>
    <t>Q18</t>
  </si>
  <si>
    <t>Q19</t>
  </si>
  <si>
    <t>Forget the Excel/Graph stuff! Highly annoying and time consuming.</t>
  </si>
  <si>
    <t>The lecturer explains a bit too fast. Blacboard notes are too sparse.</t>
  </si>
  <si>
    <t>Lecture notes; one word and an arrow isn't helpful. Sentence of explanation huge help. A clear learning curve would help.</t>
  </si>
  <si>
    <t>Go slower in derivations as it is difficult to keep up.</t>
  </si>
  <si>
    <t>Less use of Excel</t>
  </si>
  <si>
    <t>Notes on board are poor, too much speaking, more descriptive notes, Simple and interesting coursework questions (too hard and time consuming)</t>
  </si>
  <si>
    <t>Tutorials- have a set structure ie specific problems or talking points.</t>
  </si>
  <si>
    <t>Prof T should run a course on how to lecture. Better to have tutorials on a different day. Hwk questions are difficult to understand.</t>
  </si>
  <si>
    <t>Change hand-in times so no conflict with other courses. Get him more chalk!</t>
  </si>
  <si>
    <t>Null</t>
  </si>
  <si>
    <t>Avg</t>
  </si>
  <si>
    <t>T</t>
  </si>
  <si>
    <t xml:space="preserve"> Number of returns Total</t>
  </si>
  <si>
    <t>QUESTION</t>
  </si>
  <si>
    <t>Average</t>
  </si>
  <si>
    <t>Figure</t>
  </si>
  <si>
    <t>Check</t>
  </si>
  <si>
    <t>return</t>
  </si>
  <si>
    <t>merit</t>
  </si>
  <si>
    <t>Sum</t>
  </si>
  <si>
    <t>&lt;n&gt;</t>
  </si>
  <si>
    <t>F</t>
  </si>
  <si>
    <t>Course    Phy-403 (Statistical Physics)</t>
  </si>
  <si>
    <t>Was the subject matter?</t>
  </si>
  <si>
    <t>interesting</t>
  </si>
  <si>
    <t>dull</t>
  </si>
  <si>
    <t>Were the topics?</t>
  </si>
  <si>
    <t>mostly new</t>
  </si>
  <si>
    <t>mostly familiar</t>
  </si>
  <si>
    <t>Was the amount of material?</t>
  </si>
  <si>
    <t>too much</t>
  </si>
  <si>
    <t>too little</t>
  </si>
  <si>
    <t>Was the mathematics?</t>
  </si>
  <si>
    <t>too hard</t>
  </si>
  <si>
    <t>too easy</t>
  </si>
  <si>
    <t>Hours on course</t>
  </si>
  <si>
    <t>Were the lectures?</t>
  </si>
  <si>
    <t>Was the delivery?</t>
  </si>
  <si>
    <t>stimulating</t>
  </si>
  <si>
    <t>boring</t>
  </si>
  <si>
    <t>Was the lecturer?</t>
  </si>
  <si>
    <t>audible</t>
  </si>
  <si>
    <t>inaudible</t>
  </si>
  <si>
    <t>Was the blackboard?</t>
  </si>
  <si>
    <t>legible</t>
  </si>
  <si>
    <t>illegible</t>
  </si>
  <si>
    <t>Was the pace?</t>
  </si>
  <si>
    <t>too fast</t>
  </si>
  <si>
    <t>too slow</t>
  </si>
  <si>
    <t>Did you learn?</t>
  </si>
  <si>
    <t>a lot</t>
  </si>
  <si>
    <t>very little</t>
  </si>
  <si>
    <t>Laboratory or Computing Course</t>
  </si>
  <si>
    <t>Did you find the experiments?</t>
  </si>
  <si>
    <t>How much time spent cf set period?</t>
  </si>
  <si>
    <t>much more</t>
  </si>
  <si>
    <t>much less</t>
  </si>
  <si>
    <t>Were the lab scripts clear?</t>
  </si>
  <si>
    <t>very</t>
  </si>
  <si>
    <t>not at all</t>
  </si>
  <si>
    <t>Was the level of demonstator assistance?</t>
  </si>
  <si>
    <t>good</t>
  </si>
  <si>
    <t>poor</t>
  </si>
  <si>
    <t>Page 2</t>
  </si>
  <si>
    <t>Tutorial/Problem classes</t>
  </si>
  <si>
    <t>Did you find them helpful?</t>
  </si>
  <si>
    <t>yes, very</t>
  </si>
  <si>
    <t>no, not at all</t>
  </si>
  <si>
    <t>Textbook</t>
  </si>
  <si>
    <t>Did you get one?</t>
  </si>
  <si>
    <t>yes</t>
  </si>
  <si>
    <t>no</t>
  </si>
  <si>
    <t>Did you find it?</t>
  </si>
  <si>
    <t>very useful</t>
  </si>
  <si>
    <t>useless</t>
  </si>
  <si>
    <t>Exercises</t>
  </si>
  <si>
    <t>Did you find the questions?</t>
  </si>
  <si>
    <t>Was the marking helpful and fair?</t>
  </si>
  <si>
    <t>Did they help you understand the course?</t>
  </si>
  <si>
    <t>yes, a lot</t>
  </si>
  <si>
    <t>Were solution sheets helpful?</t>
  </si>
  <si>
    <t>yes very</t>
  </si>
  <si>
    <t>Hours on Homework</t>
  </si>
  <si>
    <t>General</t>
  </si>
  <si>
    <t>Compared to you other courses,</t>
  </si>
  <si>
    <t>was this one?</t>
  </si>
  <si>
    <t>very good</t>
  </si>
  <si>
    <t>very bad</t>
  </si>
  <si>
    <t>Overall figure of merit</t>
  </si>
  <si>
    <t>Total number of responses</t>
  </si>
  <si>
    <t xml:space="preserve">From Class of </t>
  </si>
  <si>
    <t>Reply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</si>
</sst>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8" formatCode="&quot;£&quot;#,##0.00_);[Red]\(&quot;£&quot;#,##0.00\)"/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7" formatCode="0.0"/>
    <numFmt numFmtId="179" formatCode="&quot;£ &quot;#,##0.00;[Red]\-&quot;£ &quot;#,##0.00"/>
  </numFmts>
  <fonts count="5">
    <font>
      <sz val="10"/>
      <name val="Arial"/>
    </font>
    <font>
      <sz val="10"/>
      <name val="Arial"/>
      <family val="2"/>
    </font>
    <font>
      <sz val="10"/>
      <name val="Geneva"/>
    </font>
    <font>
      <b/>
      <sz val="10"/>
      <name val="Geneva"/>
    </font>
    <font>
      <b/>
      <i/>
      <sz val="10"/>
      <name val="Geneva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Continuous"/>
    </xf>
    <xf numFmtId="0" fontId="3" fillId="0" borderId="0" xfId="0" applyFont="1" applyBorder="1"/>
    <xf numFmtId="177" fontId="3" fillId="0" borderId="0" xfId="0" applyNumberFormat="1" applyFont="1" applyBorder="1" applyAlignment="1">
      <alignment horizontal="center"/>
    </xf>
    <xf numFmtId="9" fontId="3" fillId="0" borderId="0" xfId="0" applyNumberFormat="1" applyFont="1" applyBorder="1" applyAlignment="1">
      <alignment horizontal="center"/>
    </xf>
    <xf numFmtId="0" fontId="0" fillId="0" borderId="0" xfId="0" applyBorder="1"/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177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Border="1" applyAlignment="1">
      <alignment horizontal="center"/>
    </xf>
    <xf numFmtId="9" fontId="2" fillId="0" borderId="0" xfId="0" applyNumberFormat="1" applyFont="1" applyBorder="1" applyAlignment="1">
      <alignment horizontal="center"/>
    </xf>
    <xf numFmtId="177" fontId="2" fillId="0" borderId="0" xfId="0" applyNumberFormat="1" applyFont="1" applyBorder="1" applyAlignment="1">
      <alignment horizontal="center"/>
    </xf>
    <xf numFmtId="0" fontId="0" fillId="2" borderId="0" xfId="0" applyFill="1" applyBorder="1"/>
    <xf numFmtId="177" fontId="3" fillId="2" borderId="0" xfId="0" applyNumberFormat="1" applyFont="1" applyFill="1" applyBorder="1" applyAlignment="1">
      <alignment horizontal="center"/>
    </xf>
    <xf numFmtId="9" fontId="2" fillId="2" borderId="0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9" fontId="2" fillId="3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444500</xdr:colOff>
          <xdr:row>57</xdr:row>
          <xdr:rowOff>0</xdr:rowOff>
        </xdr:from>
        <xdr:to>
          <xdr:col>8</xdr:col>
          <xdr:colOff>209550</xdr:colOff>
          <xdr:row>64</xdr:row>
          <xdr:rowOff>114300</xdr:rowOff>
        </xdr:to>
        <xdr:sp macro="" textlink="">
          <xdr:nvSpPr>
            <xdr:cNvPr id="1025" name="Picture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E3A4A124-7269-4349-A64A-F0A0BD0763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PPC3\gt$\Teaching\Syn\physy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eaching/StP/stphy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/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r"/>
      <sheetName val="Analysis"/>
      <sheetName val="Questionnaire"/>
      <sheetName val="Lectures"/>
      <sheetName val="Marks"/>
      <sheetName val="Attendance"/>
      <sheetName val="Email_IDs"/>
      <sheetName val="Tutorial"/>
      <sheetName val="phy403"/>
      <sheetName val="WRGTuts"/>
      <sheetName val="M403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>
        <row r="24">
          <cell r="C24">
            <v>1</v>
          </cell>
          <cell r="D24">
            <v>3</v>
          </cell>
          <cell r="E24">
            <v>0</v>
          </cell>
          <cell r="F24">
            <v>0</v>
          </cell>
          <cell r="H24">
            <v>2</v>
          </cell>
          <cell r="I24">
            <v>9</v>
          </cell>
          <cell r="J24">
            <v>14</v>
          </cell>
          <cell r="K24">
            <v>6</v>
          </cell>
          <cell r="L24">
            <v>1</v>
          </cell>
          <cell r="M24">
            <v>3</v>
          </cell>
          <cell r="O24">
            <v>2</v>
          </cell>
          <cell r="P24">
            <v>5</v>
          </cell>
          <cell r="R24">
            <v>2</v>
          </cell>
          <cell r="S24">
            <v>2</v>
          </cell>
          <cell r="T24">
            <v>2</v>
          </cell>
          <cell r="U24">
            <v>1</v>
          </cell>
          <cell r="V24">
            <v>3</v>
          </cell>
        </row>
        <row r="25">
          <cell r="C25">
            <v>11</v>
          </cell>
          <cell r="D25">
            <v>11</v>
          </cell>
          <cell r="E25">
            <v>4</v>
          </cell>
          <cell r="F25">
            <v>4</v>
          </cell>
          <cell r="H25">
            <v>13</v>
          </cell>
          <cell r="I25">
            <v>6</v>
          </cell>
          <cell r="J25">
            <v>5</v>
          </cell>
          <cell r="K25">
            <v>5</v>
          </cell>
          <cell r="L25">
            <v>3</v>
          </cell>
          <cell r="M25">
            <v>10</v>
          </cell>
          <cell r="O25">
            <v>4</v>
          </cell>
          <cell r="P25">
            <v>7</v>
          </cell>
          <cell r="R25">
            <v>3</v>
          </cell>
          <cell r="S25">
            <v>8</v>
          </cell>
          <cell r="T25">
            <v>12</v>
          </cell>
          <cell r="U25">
            <v>5</v>
          </cell>
          <cell r="V25">
            <v>9</v>
          </cell>
        </row>
        <row r="26">
          <cell r="C26">
            <v>5</v>
          </cell>
          <cell r="D26">
            <v>4</v>
          </cell>
          <cell r="E26">
            <v>15</v>
          </cell>
          <cell r="F26">
            <v>14</v>
          </cell>
          <cell r="H26">
            <v>2</v>
          </cell>
          <cell r="I26">
            <v>3</v>
          </cell>
          <cell r="J26">
            <v>0</v>
          </cell>
          <cell r="K26">
            <v>5</v>
          </cell>
          <cell r="L26">
            <v>15</v>
          </cell>
          <cell r="M26">
            <v>5</v>
          </cell>
          <cell r="O26">
            <v>5</v>
          </cell>
          <cell r="P26">
            <v>3</v>
          </cell>
          <cell r="R26">
            <v>11</v>
          </cell>
          <cell r="S26">
            <v>6</v>
          </cell>
          <cell r="T26">
            <v>2</v>
          </cell>
          <cell r="U26">
            <v>5</v>
          </cell>
          <cell r="V26">
            <v>4</v>
          </cell>
        </row>
        <row r="27">
          <cell r="C27">
            <v>1</v>
          </cell>
          <cell r="D27">
            <v>1</v>
          </cell>
          <cell r="F27">
            <v>1</v>
          </cell>
          <cell r="H27">
            <v>2</v>
          </cell>
          <cell r="I27">
            <v>1</v>
          </cell>
          <cell r="J27">
            <v>0</v>
          </cell>
          <cell r="K27">
            <v>3</v>
          </cell>
          <cell r="L27">
            <v>0</v>
          </cell>
          <cell r="M27">
            <v>0</v>
          </cell>
          <cell r="N27">
            <v>14</v>
          </cell>
          <cell r="O27">
            <v>3</v>
          </cell>
          <cell r="P27">
            <v>1</v>
          </cell>
          <cell r="R27">
            <v>1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C28">
            <v>1</v>
          </cell>
          <cell r="D28">
            <v>0</v>
          </cell>
          <cell r="E28">
            <v>0</v>
          </cell>
          <cell r="F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1</v>
          </cell>
          <cell r="N28">
            <v>5</v>
          </cell>
          <cell r="O28">
            <v>0</v>
          </cell>
          <cell r="P28">
            <v>0</v>
          </cell>
          <cell r="R28">
            <v>0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5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3</v>
          </cell>
          <cell r="Q29">
            <v>3</v>
          </cell>
          <cell r="R29">
            <v>2</v>
          </cell>
          <cell r="S29">
            <v>2</v>
          </cell>
          <cell r="T29">
            <v>2</v>
          </cell>
          <cell r="U29">
            <v>6</v>
          </cell>
          <cell r="V29">
            <v>2</v>
          </cell>
        </row>
        <row r="30">
          <cell r="G30">
            <v>7.3636363636363633</v>
          </cell>
          <cell r="Q30">
            <v>3.71875</v>
          </cell>
        </row>
        <row r="32">
          <cell r="A32">
            <v>19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56"/>
  <sheetViews>
    <sheetView tabSelected="1" topLeftCell="A37" workbookViewId="0">
      <selection activeCell="G55" sqref="G55"/>
    </sheetView>
  </sheetViews>
  <sheetFormatPr defaultColWidth="11.453125" defaultRowHeight="13"/>
  <cols>
    <col min="1" max="1" width="35.453125" style="5" customWidth="1"/>
    <col min="2" max="2" width="8.54296875" style="3" customWidth="1"/>
    <col min="3" max="3" width="7" style="4" customWidth="1"/>
    <col min="4" max="4" width="10.453125" style="5" customWidth="1"/>
    <col min="5" max="9" width="4.6328125" style="14" customWidth="1"/>
    <col min="10" max="10" width="13" style="5" customWidth="1"/>
    <col min="11" max="11" width="4.6328125" style="14" customWidth="1"/>
    <col min="12" max="12" width="6.54296875" style="8" customWidth="1"/>
    <col min="13" max="13" width="3.6328125" style="8" customWidth="1"/>
  </cols>
  <sheetData>
    <row r="1" spans="1:13">
      <c r="A1" s="2" t="s">
        <v>42</v>
      </c>
      <c r="B1" s="3" t="s">
        <v>43</v>
      </c>
      <c r="C1" s="4" t="s">
        <v>44</v>
      </c>
      <c r="E1" s="6">
        <v>5</v>
      </c>
      <c r="F1" s="6">
        <v>4</v>
      </c>
      <c r="G1" s="6">
        <v>3</v>
      </c>
      <c r="H1" s="6">
        <v>2</v>
      </c>
      <c r="I1" s="6">
        <v>1</v>
      </c>
      <c r="K1" s="6" t="s">
        <v>38</v>
      </c>
      <c r="L1" s="7" t="s">
        <v>45</v>
      </c>
    </row>
    <row r="2" spans="1:13">
      <c r="A2" s="2"/>
      <c r="B2" s="3" t="s">
        <v>46</v>
      </c>
      <c r="C2" s="4" t="s">
        <v>47</v>
      </c>
      <c r="E2" s="6"/>
      <c r="F2" s="6"/>
      <c r="G2" s="6"/>
      <c r="H2" s="6"/>
      <c r="I2" s="6"/>
      <c r="K2" s="6"/>
      <c r="L2" s="7" t="s">
        <v>48</v>
      </c>
    </row>
    <row r="3" spans="1:13" s="9" customFormat="1">
      <c r="B3" s="10" t="s">
        <v>49</v>
      </c>
      <c r="C3" s="11" t="s">
        <v>50</v>
      </c>
      <c r="E3" s="12"/>
      <c r="F3" s="12"/>
      <c r="G3" s="12"/>
      <c r="H3" s="12"/>
      <c r="I3" s="12"/>
      <c r="K3" s="12"/>
      <c r="L3" s="13"/>
      <c r="M3" s="13"/>
    </row>
    <row r="5" spans="1:13">
      <c r="A5" s="2" t="s">
        <v>51</v>
      </c>
    </row>
    <row r="6" spans="1:13">
      <c r="C6" s="15"/>
    </row>
    <row r="7" spans="1:13" ht="12.5">
      <c r="A7" s="5" t="s">
        <v>52</v>
      </c>
      <c r="B7" s="16">
        <f>IF(SUM(E7:I7)=0,"",(5*E7+4*F7+3*G7+2*H7+1*I7)/SUM(E7:I7))</f>
        <v>3.5263157894736841</v>
      </c>
      <c r="C7" s="15">
        <f>IF(B7="","",(B7-1)/4)</f>
        <v>0.63157894736842102</v>
      </c>
      <c r="D7" s="5" t="s">
        <v>53</v>
      </c>
      <c r="E7" s="16">
        <f>[2]Analysis!$C$24</f>
        <v>1</v>
      </c>
      <c r="F7" s="16">
        <f>[2]Analysis!C25</f>
        <v>11</v>
      </c>
      <c r="G7" s="16">
        <f>[2]Analysis!C26</f>
        <v>5</v>
      </c>
      <c r="H7" s="16">
        <f>[2]Analysis!C27</f>
        <v>1</v>
      </c>
      <c r="I7" s="16">
        <f>[2]Analysis!C28</f>
        <v>1</v>
      </c>
      <c r="J7" s="5" t="s">
        <v>54</v>
      </c>
      <c r="K7" s="16">
        <f>[2]Analysis!C$29</f>
        <v>0</v>
      </c>
      <c r="L7" s="8">
        <f>SUM(E7:K7)</f>
        <v>19</v>
      </c>
      <c r="M7" s="8" t="str">
        <f>IF(L7&lt;&gt;$B$55,"E","")</f>
        <v/>
      </c>
    </row>
    <row r="8" spans="1:13" ht="15" customHeight="1">
      <c r="A8" s="5" t="s">
        <v>55</v>
      </c>
      <c r="B8" s="16">
        <f>IF(SUM(E8:I8)=0,"",(5*E8+4*F8+3*G8+2*H8+1*I8)/SUM(E8:I8))</f>
        <v>3.8421052631578947</v>
      </c>
      <c r="C8" s="15">
        <f>IF(B8="","",(B8-1)/4)</f>
        <v>0.71052631578947367</v>
      </c>
      <c r="D8" s="5" t="s">
        <v>56</v>
      </c>
      <c r="E8" s="16">
        <f>[2]Analysis!D24</f>
        <v>3</v>
      </c>
      <c r="F8" s="16">
        <f>[2]Analysis!D25</f>
        <v>11</v>
      </c>
      <c r="G8" s="16">
        <f>[2]Analysis!D26</f>
        <v>4</v>
      </c>
      <c r="H8" s="16">
        <f>[2]Analysis!D27</f>
        <v>1</v>
      </c>
      <c r="I8" s="16">
        <f>[2]Analysis!D28</f>
        <v>0</v>
      </c>
      <c r="J8" s="5" t="s">
        <v>57</v>
      </c>
      <c r="K8" s="16">
        <f>[2]Analysis!D$29</f>
        <v>0</v>
      </c>
      <c r="L8" s="8">
        <f>SUM(E8:K8)</f>
        <v>19</v>
      </c>
      <c r="M8" s="8" t="str">
        <f>IF(L8&lt;&gt;$B$55,"E","")</f>
        <v/>
      </c>
    </row>
    <row r="9" spans="1:13" ht="12.5">
      <c r="A9" s="5" t="s">
        <v>58</v>
      </c>
      <c r="B9" s="16">
        <f>IF(SUM(E9:I9)=0,"",(5*E9+4*F9+3*G9+2*H9+1*I9)/SUM(E9:I9))</f>
        <v>3.2105263157894739</v>
      </c>
      <c r="C9" s="15">
        <f>IF(B9="","",(1-ABS(B9-3)/2))</f>
        <v>0.89473684210526305</v>
      </c>
      <c r="D9" s="5" t="s">
        <v>59</v>
      </c>
      <c r="E9" s="16">
        <f>[2]Analysis!E24</f>
        <v>0</v>
      </c>
      <c r="F9" s="16">
        <f>[2]Analysis!E25</f>
        <v>4</v>
      </c>
      <c r="G9" s="16">
        <f>[2]Analysis!E26</f>
        <v>15</v>
      </c>
      <c r="H9" s="16">
        <f>[2]Analysis!E28</f>
        <v>0</v>
      </c>
      <c r="I9" s="16">
        <f>[2]Analysis!E28</f>
        <v>0</v>
      </c>
      <c r="J9" s="5" t="s">
        <v>60</v>
      </c>
      <c r="K9" s="16">
        <f>[2]Analysis!E$29</f>
        <v>0</v>
      </c>
      <c r="L9" s="8">
        <f>SUM(E9:K9)</f>
        <v>19</v>
      </c>
      <c r="M9" s="8" t="str">
        <f>IF(L9&lt;&gt;$B$55,"E","")</f>
        <v/>
      </c>
    </row>
    <row r="10" spans="1:13" ht="12.5">
      <c r="A10" s="5" t="s">
        <v>61</v>
      </c>
      <c r="B10" s="16">
        <f>IF(SUM(E10:I10)=0,"",(5*E10+4*F10+3*G10+2*H10+1*I10)/SUM(E10:I10))</f>
        <v>3.1578947368421053</v>
      </c>
      <c r="C10" s="15">
        <f>IF(B10="","",(1-ABS(B10-3)/2))</f>
        <v>0.92105263157894735</v>
      </c>
      <c r="D10" s="5" t="s">
        <v>62</v>
      </c>
      <c r="E10" s="16">
        <f>[2]Analysis!F24</f>
        <v>0</v>
      </c>
      <c r="F10" s="16">
        <f>[2]Analysis!F25</f>
        <v>4</v>
      </c>
      <c r="G10" s="16">
        <f>[2]Analysis!F26</f>
        <v>14</v>
      </c>
      <c r="H10" s="16">
        <f>[2]Analysis!F27</f>
        <v>1</v>
      </c>
      <c r="I10" s="16">
        <f>[2]Analysis!F28</f>
        <v>0</v>
      </c>
      <c r="J10" s="5" t="s">
        <v>63</v>
      </c>
      <c r="K10" s="16">
        <f>[2]Analysis!F$29</f>
        <v>0</v>
      </c>
      <c r="L10" s="8">
        <f>SUM(E10:K10)</f>
        <v>19</v>
      </c>
      <c r="M10" s="8" t="str">
        <f>IF(L10&lt;&gt;$B$55,"E","")</f>
        <v/>
      </c>
    </row>
    <row r="11" spans="1:13" ht="12.5">
      <c r="B11" s="16"/>
      <c r="C11" s="15"/>
      <c r="E11" s="16"/>
      <c r="F11" s="16"/>
      <c r="G11" s="16"/>
      <c r="H11" s="16"/>
      <c r="I11" s="16"/>
      <c r="K11" s="16"/>
    </row>
    <row r="12" spans="1:13" ht="12.5">
      <c r="A12" s="5" t="s">
        <v>64</v>
      </c>
      <c r="B12" s="16">
        <f>[2]Analysis!G30</f>
        <v>7.3636363636363633</v>
      </c>
      <c r="C12" s="15"/>
      <c r="E12" s="16"/>
      <c r="F12" s="16"/>
      <c r="G12" s="16"/>
      <c r="H12" s="16"/>
      <c r="I12" s="16"/>
      <c r="K12" s="16">
        <f>[2]Analysis!G$29</f>
        <v>5</v>
      </c>
    </row>
    <row r="13" spans="1:13">
      <c r="C13" s="15" t="str">
        <f t="shared" ref="C13:C19" si="0">IF(B13="","",(B13-1)/4)</f>
        <v/>
      </c>
    </row>
    <row r="14" spans="1:13">
      <c r="A14" s="2" t="s">
        <v>1</v>
      </c>
      <c r="C14" s="15" t="str">
        <f t="shared" si="0"/>
        <v/>
      </c>
    </row>
    <row r="15" spans="1:13">
      <c r="C15" s="15" t="str">
        <f t="shared" si="0"/>
        <v/>
      </c>
    </row>
    <row r="16" spans="1:13" ht="12.5">
      <c r="A16" s="5" t="s">
        <v>65</v>
      </c>
      <c r="B16" s="16">
        <f t="shared" ref="B16:B21" si="1">IF(SUM(E16:I16)=0,"",(5*E16+4*F16+3*G16+2*H16+1*I16)/SUM(E16:I16))</f>
        <v>3.7894736842105261</v>
      </c>
      <c r="C16" s="15">
        <f t="shared" si="0"/>
        <v>0.69736842105263153</v>
      </c>
      <c r="D16" s="5" t="s">
        <v>53</v>
      </c>
      <c r="E16" s="16">
        <f>[2]Analysis!$H$24</f>
        <v>2</v>
      </c>
      <c r="F16" s="16">
        <f>[2]Analysis!$H$25</f>
        <v>13</v>
      </c>
      <c r="G16" s="16">
        <f>[2]Analysis!$H$26</f>
        <v>2</v>
      </c>
      <c r="H16" s="16">
        <f>[2]Analysis!$H$27</f>
        <v>2</v>
      </c>
      <c r="I16" s="16">
        <f>[2]Analysis!$H$28</f>
        <v>0</v>
      </c>
      <c r="J16" s="5" t="s">
        <v>54</v>
      </c>
      <c r="K16" s="16">
        <f>[2]Analysis!H$29</f>
        <v>0</v>
      </c>
      <c r="L16" s="8">
        <f t="shared" ref="L16:L21" si="2">SUM(E16:K16)</f>
        <v>19</v>
      </c>
      <c r="M16" s="8" t="str">
        <f t="shared" ref="M16:M21" si="3">IF(L16&lt;&gt;$B$55,"E","")</f>
        <v/>
      </c>
    </row>
    <row r="17" spans="1:13" ht="12.5">
      <c r="A17" s="5" t="s">
        <v>66</v>
      </c>
      <c r="B17" s="16">
        <f t="shared" si="1"/>
        <v>4.2105263157894735</v>
      </c>
      <c r="C17" s="15">
        <f t="shared" si="0"/>
        <v>0.80263157894736836</v>
      </c>
      <c r="D17" s="5" t="s">
        <v>67</v>
      </c>
      <c r="E17" s="16">
        <f>[2]Analysis!$I$24</f>
        <v>9</v>
      </c>
      <c r="F17" s="16">
        <f>[2]Analysis!$I$25</f>
        <v>6</v>
      </c>
      <c r="G17" s="16">
        <f>[2]Analysis!$I$26</f>
        <v>3</v>
      </c>
      <c r="H17" s="16">
        <f>[2]Analysis!$I$27</f>
        <v>1</v>
      </c>
      <c r="I17" s="16">
        <f>[2]Analysis!$I$28</f>
        <v>0</v>
      </c>
      <c r="J17" s="5" t="s">
        <v>68</v>
      </c>
      <c r="K17" s="16">
        <f>[2]Analysis!I$29</f>
        <v>0</v>
      </c>
      <c r="L17" s="8">
        <f t="shared" si="2"/>
        <v>19</v>
      </c>
      <c r="M17" s="8" t="str">
        <f t="shared" si="3"/>
        <v/>
      </c>
    </row>
    <row r="18" spans="1:13" ht="12.5">
      <c r="A18" s="5" t="s">
        <v>69</v>
      </c>
      <c r="B18" s="16">
        <f t="shared" si="1"/>
        <v>4.7368421052631575</v>
      </c>
      <c r="C18" s="15">
        <f t="shared" si="0"/>
        <v>0.93421052631578938</v>
      </c>
      <c r="D18" s="5" t="s">
        <v>70</v>
      </c>
      <c r="E18" s="16">
        <f>[2]Analysis!$J$24</f>
        <v>14</v>
      </c>
      <c r="F18" s="16">
        <f>[2]Analysis!$J$25</f>
        <v>5</v>
      </c>
      <c r="G18" s="16">
        <f>[2]Analysis!$J$26</f>
        <v>0</v>
      </c>
      <c r="H18" s="16">
        <f>[2]Analysis!$J$27</f>
        <v>0</v>
      </c>
      <c r="I18" s="16">
        <f>[2]Analysis!$J$28</f>
        <v>0</v>
      </c>
      <c r="J18" s="5" t="s">
        <v>71</v>
      </c>
      <c r="K18" s="16">
        <f>[2]Analysis!J$29</f>
        <v>0</v>
      </c>
      <c r="L18" s="8">
        <f t="shared" si="2"/>
        <v>19</v>
      </c>
      <c r="M18" s="8" t="str">
        <f t="shared" si="3"/>
        <v/>
      </c>
    </row>
    <row r="19" spans="1:13" ht="12.5">
      <c r="A19" s="5" t="s">
        <v>72</v>
      </c>
      <c r="B19" s="16">
        <f t="shared" si="1"/>
        <v>3.736842105263158</v>
      </c>
      <c r="C19" s="15">
        <f t="shared" si="0"/>
        <v>0.68421052631578949</v>
      </c>
      <c r="D19" s="5" t="s">
        <v>73</v>
      </c>
      <c r="E19" s="16">
        <f>[2]Analysis!$K$24</f>
        <v>6</v>
      </c>
      <c r="F19" s="16">
        <f>[2]Analysis!$K$25</f>
        <v>5</v>
      </c>
      <c r="G19" s="16">
        <f>[2]Analysis!$K$26</f>
        <v>5</v>
      </c>
      <c r="H19" s="16">
        <f>[2]Analysis!$K$27</f>
        <v>3</v>
      </c>
      <c r="I19" s="16">
        <f>[2]Analysis!$K$28</f>
        <v>0</v>
      </c>
      <c r="J19" s="5" t="s">
        <v>74</v>
      </c>
      <c r="K19" s="16">
        <f>[2]Analysis!K$29</f>
        <v>0</v>
      </c>
      <c r="L19" s="8">
        <f t="shared" si="2"/>
        <v>19</v>
      </c>
      <c r="M19" s="8" t="str">
        <f t="shared" si="3"/>
        <v/>
      </c>
    </row>
    <row r="20" spans="1:13" ht="12.5">
      <c r="A20" s="5" t="s">
        <v>75</v>
      </c>
      <c r="B20" s="16">
        <f t="shared" si="1"/>
        <v>3.263157894736842</v>
      </c>
      <c r="C20" s="15">
        <f>IF(B20="","",(1-ABS(B20-3)/2))</f>
        <v>0.86842105263157898</v>
      </c>
      <c r="D20" s="5" t="s">
        <v>76</v>
      </c>
      <c r="E20" s="16">
        <f>[2]Analysis!$L$24</f>
        <v>1</v>
      </c>
      <c r="F20" s="16">
        <f>[2]Analysis!$L$25</f>
        <v>3</v>
      </c>
      <c r="G20" s="16">
        <f>[2]Analysis!$L$26</f>
        <v>15</v>
      </c>
      <c r="H20" s="16">
        <f>[2]Analysis!$L$27</f>
        <v>0</v>
      </c>
      <c r="I20" s="16">
        <f>[2]Analysis!$L$28</f>
        <v>0</v>
      </c>
      <c r="J20" s="5" t="s">
        <v>77</v>
      </c>
      <c r="K20" s="16">
        <f>[2]Analysis!L$29</f>
        <v>0</v>
      </c>
      <c r="L20" s="8">
        <f t="shared" si="2"/>
        <v>19</v>
      </c>
      <c r="M20" s="8" t="str">
        <f t="shared" si="3"/>
        <v/>
      </c>
    </row>
    <row r="21" spans="1:13" ht="12.5">
      <c r="A21" s="5" t="s">
        <v>78</v>
      </c>
      <c r="B21" s="16">
        <f t="shared" si="1"/>
        <v>3.736842105263158</v>
      </c>
      <c r="C21" s="15">
        <f>IF(B21="","",(B21-1)/4)</f>
        <v>0.68421052631578949</v>
      </c>
      <c r="D21" s="5" t="s">
        <v>79</v>
      </c>
      <c r="E21" s="16">
        <f>[2]Analysis!$M$24</f>
        <v>3</v>
      </c>
      <c r="F21" s="16">
        <f>[2]Analysis!$M$25</f>
        <v>10</v>
      </c>
      <c r="G21" s="16">
        <f>[2]Analysis!$M$26</f>
        <v>5</v>
      </c>
      <c r="H21" s="16">
        <f>[2]Analysis!$M$27</f>
        <v>0</v>
      </c>
      <c r="I21" s="16">
        <f>[2]Analysis!$M$28</f>
        <v>1</v>
      </c>
      <c r="J21" s="5" t="s">
        <v>80</v>
      </c>
      <c r="K21" s="16">
        <f>[2]Analysis!M$29</f>
        <v>0</v>
      </c>
      <c r="L21" s="8">
        <f t="shared" si="2"/>
        <v>19</v>
      </c>
      <c r="M21" s="8" t="str">
        <f t="shared" si="3"/>
        <v/>
      </c>
    </row>
    <row r="22" spans="1:13" hidden="1">
      <c r="C22" s="15" t="str">
        <f>IF(B22="","",(B22-1)/4)</f>
        <v/>
      </c>
    </row>
    <row r="23" spans="1:13" hidden="1">
      <c r="A23" s="2" t="s">
        <v>81</v>
      </c>
      <c r="C23" s="15" t="str">
        <f>IF(B23="","",(B23-1)/4)</f>
        <v/>
      </c>
    </row>
    <row r="24" spans="1:13" hidden="1">
      <c r="C24" s="15" t="str">
        <f>IF(B24="","",(B24-1)/4)</f>
        <v/>
      </c>
    </row>
    <row r="25" spans="1:13" ht="12.5" hidden="1">
      <c r="A25" s="5" t="s">
        <v>82</v>
      </c>
      <c r="B25" s="16" t="str">
        <f>IF(SUM(E25:I25)=0,"",(5*E25+4*F25+3*G25+2*H25+1*I25)/SUM(E25:I25))</f>
        <v/>
      </c>
      <c r="C25" s="15" t="str">
        <f>IF(B25="","",(B25-1)/4)</f>
        <v/>
      </c>
      <c r="D25" s="5" t="s">
        <v>67</v>
      </c>
      <c r="E25" s="16"/>
      <c r="F25" s="16"/>
      <c r="G25" s="16"/>
      <c r="H25" s="16"/>
      <c r="I25" s="16"/>
      <c r="J25" s="5" t="s">
        <v>68</v>
      </c>
      <c r="K25" s="16">
        <v>0</v>
      </c>
      <c r="L25" s="8">
        <f>SUM(E25:K25)</f>
        <v>0</v>
      </c>
      <c r="M25" s="8" t="str">
        <f>IF(L25&lt;&gt;$B$55,"E","")</f>
        <v>E</v>
      </c>
    </row>
    <row r="26" spans="1:13" ht="12.5" hidden="1">
      <c r="A26" s="5" t="s">
        <v>82</v>
      </c>
      <c r="B26" s="16" t="str">
        <f>IF(SUM(E26:I26)=0,"",(5*E26+4*F26+3*G26+2*H26+1*I26)/SUM(E26:I26))</f>
        <v/>
      </c>
      <c r="C26" s="15" t="str">
        <f>IF(B26="","",(1-ABS(B26-3)/2))</f>
        <v/>
      </c>
      <c r="D26" s="5" t="s">
        <v>62</v>
      </c>
      <c r="E26" s="16"/>
      <c r="F26" s="16"/>
      <c r="G26" s="16"/>
      <c r="H26" s="16"/>
      <c r="I26" s="16"/>
      <c r="J26" s="5" t="s">
        <v>63</v>
      </c>
      <c r="K26" s="16">
        <v>0</v>
      </c>
      <c r="L26" s="8">
        <f>SUM(E26:K26)</f>
        <v>0</v>
      </c>
      <c r="M26" s="8" t="str">
        <f>IF(L26&lt;&gt;$B$55,"E","")</f>
        <v>E</v>
      </c>
    </row>
    <row r="27" spans="1:13" ht="12.5" hidden="1">
      <c r="A27" s="5" t="s">
        <v>83</v>
      </c>
      <c r="B27" s="16" t="str">
        <f>IF(SUM(E27:I27)=0,"",(5*E27+4*F27+3*G27+2*H27+1*I27)/SUM(E27:I27))</f>
        <v/>
      </c>
      <c r="C27" s="15" t="str">
        <f>IF(B27="","",(1-ABS(B27-3)/2))</f>
        <v/>
      </c>
      <c r="D27" s="5" t="s">
        <v>84</v>
      </c>
      <c r="E27" s="16"/>
      <c r="F27" s="16"/>
      <c r="G27" s="16"/>
      <c r="H27" s="16"/>
      <c r="I27" s="16"/>
      <c r="J27" s="5" t="s">
        <v>85</v>
      </c>
      <c r="K27" s="16">
        <v>0</v>
      </c>
      <c r="L27" s="8">
        <f>SUM(E27:K27)</f>
        <v>0</v>
      </c>
      <c r="M27" s="8" t="str">
        <f>IF(L27&lt;&gt;$B$55,"E","")</f>
        <v>E</v>
      </c>
    </row>
    <row r="28" spans="1:13" ht="12.5" hidden="1">
      <c r="A28" s="5" t="s">
        <v>86</v>
      </c>
      <c r="B28" s="16" t="str">
        <f>IF(SUM(E28:I28)=0,"",(5*E28+4*F28+3*G28+2*H28+1*I28)/SUM(E28:I28))</f>
        <v/>
      </c>
      <c r="C28" s="15" t="str">
        <f>IF(B28="","",(B28-1)/4)</f>
        <v/>
      </c>
      <c r="D28" s="5" t="s">
        <v>87</v>
      </c>
      <c r="E28" s="16"/>
      <c r="F28" s="16"/>
      <c r="G28" s="16"/>
      <c r="H28" s="16"/>
      <c r="I28" s="16"/>
      <c r="J28" s="5" t="s">
        <v>88</v>
      </c>
      <c r="K28" s="16">
        <v>0</v>
      </c>
      <c r="L28" s="8">
        <f>SUM(E28:K28)</f>
        <v>0</v>
      </c>
      <c r="M28" s="8" t="str">
        <f>IF(L28&lt;&gt;$B$55,"E","")</f>
        <v>E</v>
      </c>
    </row>
    <row r="29" spans="1:13" ht="12.5" hidden="1">
      <c r="A29" s="5" t="s">
        <v>89</v>
      </c>
      <c r="B29" s="16" t="str">
        <f>IF(SUM(E29:I29)=0,"",(5*E29+4*F29+3*G29+2*H29+1*I29)/SUM(E29:I29))</f>
        <v/>
      </c>
      <c r="C29" s="15" t="str">
        <f>IF(B29="","",(B29-1)/4)</f>
        <v/>
      </c>
      <c r="D29" s="5" t="s">
        <v>90</v>
      </c>
      <c r="E29" s="16"/>
      <c r="F29" s="16"/>
      <c r="G29" s="16"/>
      <c r="H29" s="16"/>
      <c r="I29" s="16"/>
      <c r="J29" s="5" t="s">
        <v>91</v>
      </c>
      <c r="K29" s="16">
        <v>0</v>
      </c>
      <c r="L29" s="8">
        <f>SUM(E29:K29)</f>
        <v>0</v>
      </c>
      <c r="M29" s="8" t="str">
        <f>IF(L29&lt;&gt;$B$55,"E","")</f>
        <v>E</v>
      </c>
    </row>
    <row r="30" spans="1:13" ht="12.5" hidden="1">
      <c r="B30" s="16"/>
      <c r="C30" s="15"/>
    </row>
    <row r="31" spans="1:13" s="22" customFormat="1">
      <c r="A31" s="17" t="s">
        <v>92</v>
      </c>
      <c r="B31" s="18"/>
      <c r="C31" s="19" t="str">
        <f t="shared" ref="C31:C36" si="4">IF(B31="","",(B31-1)/4)</f>
        <v/>
      </c>
      <c r="D31" s="17"/>
      <c r="E31" s="20"/>
      <c r="F31" s="20"/>
      <c r="G31" s="20"/>
      <c r="H31" s="20"/>
      <c r="I31" s="20"/>
      <c r="J31" s="17"/>
      <c r="K31" s="20"/>
      <c r="L31" s="21"/>
      <c r="M31" s="21"/>
    </row>
    <row r="32" spans="1:13">
      <c r="A32" s="2" t="s">
        <v>93</v>
      </c>
      <c r="C32" s="15" t="str">
        <f t="shared" si="4"/>
        <v/>
      </c>
    </row>
    <row r="33" spans="1:13" ht="12.5">
      <c r="B33" s="15" t="str">
        <f>IF(A33="","",(A33-1)/4)</f>
        <v/>
      </c>
      <c r="C33" s="15" t="str">
        <f t="shared" si="4"/>
        <v/>
      </c>
    </row>
    <row r="34" spans="1:13" ht="12.5">
      <c r="A34" s="5" t="s">
        <v>94</v>
      </c>
      <c r="B34" s="16">
        <f>IF(SUM(E34:I34)=0,"",(5*E34+4*F34+3*G34+2*H34+1*I34)/SUM(E34:I34))</f>
        <v>4</v>
      </c>
      <c r="C34" s="15">
        <f t="shared" si="4"/>
        <v>0.75</v>
      </c>
      <c r="D34" s="5" t="s">
        <v>95</v>
      </c>
      <c r="E34" s="16">
        <f>[2]Analysis!$P$24</f>
        <v>5</v>
      </c>
      <c r="F34" s="16">
        <f>[2]Analysis!$P$25</f>
        <v>7</v>
      </c>
      <c r="G34" s="16">
        <f>[2]Analysis!$P$26</f>
        <v>3</v>
      </c>
      <c r="H34" s="16">
        <f>[2]Analysis!$P$27</f>
        <v>1</v>
      </c>
      <c r="I34" s="16">
        <f>[2]Analysis!$P$28</f>
        <v>0</v>
      </c>
      <c r="J34" s="5" t="s">
        <v>96</v>
      </c>
      <c r="K34" s="16">
        <f>[2]Analysis!M$29</f>
        <v>0</v>
      </c>
      <c r="L34" s="8">
        <f>SUM(E34:K34)</f>
        <v>16</v>
      </c>
      <c r="M34" s="8" t="str">
        <f>IF(L34&lt;&gt;$B$55,"E","")</f>
        <v>E</v>
      </c>
    </row>
    <row r="35" spans="1:13">
      <c r="C35" s="15" t="str">
        <f t="shared" si="4"/>
        <v/>
      </c>
    </row>
    <row r="36" spans="1:13">
      <c r="A36" s="2" t="s">
        <v>97</v>
      </c>
      <c r="C36" s="15" t="str">
        <f t="shared" si="4"/>
        <v/>
      </c>
    </row>
    <row r="37" spans="1:13" ht="12.5">
      <c r="A37" s="5" t="s">
        <v>98</v>
      </c>
      <c r="B37" s="15">
        <f>IF(L37="","",H37/L37)</f>
        <v>0.73684210526315785</v>
      </c>
      <c r="C37" s="15"/>
      <c r="E37" s="16"/>
      <c r="F37" s="16"/>
      <c r="G37" s="14" t="s">
        <v>99</v>
      </c>
      <c r="H37" s="16">
        <f>[2]Analysis!$N$27</f>
        <v>14</v>
      </c>
      <c r="I37" s="16">
        <f>[2]Analysis!$N$28</f>
        <v>5</v>
      </c>
      <c r="J37" s="5" t="s">
        <v>100</v>
      </c>
      <c r="K37" s="16">
        <f>[2]Analysis!N$29</f>
        <v>0</v>
      </c>
      <c r="L37" s="8">
        <f>SUM(E37:K37)</f>
        <v>19</v>
      </c>
    </row>
    <row r="38" spans="1:13" ht="12.5">
      <c r="A38" s="5" t="s">
        <v>101</v>
      </c>
      <c r="B38" s="16">
        <f>IF(SUM(E38:I38)=0,"",(5*E38+4*F38+3*G38+2*H38+1*I38)/SUM(E38:I38))</f>
        <v>3.3571428571428572</v>
      </c>
      <c r="C38" s="15">
        <f>IF(B38="","",(B38-1)/4)</f>
        <v>0.5892857142857143</v>
      </c>
      <c r="D38" s="5" t="s">
        <v>102</v>
      </c>
      <c r="E38" s="16">
        <f>[2]Analysis!$O$24</f>
        <v>2</v>
      </c>
      <c r="F38" s="16">
        <f>[2]Analysis!$O$25</f>
        <v>4</v>
      </c>
      <c r="G38" s="16">
        <f>[2]Analysis!$O$26</f>
        <v>5</v>
      </c>
      <c r="H38" s="16">
        <f>[2]Analysis!$O$27</f>
        <v>3</v>
      </c>
      <c r="I38" s="16">
        <f>[2]Analysis!$O$28</f>
        <v>0</v>
      </c>
      <c r="J38" s="5" t="s">
        <v>103</v>
      </c>
      <c r="K38" s="16">
        <f>[2]Analysis!O$29</f>
        <v>3</v>
      </c>
      <c r="L38" s="8">
        <f>SUM(E38:K38)</f>
        <v>17</v>
      </c>
      <c r="M38" s="8" t="str">
        <f>IF(L38&lt;&gt;$B$55,"E","")</f>
        <v>E</v>
      </c>
    </row>
    <row r="39" spans="1:13">
      <c r="C39" s="15" t="str">
        <f>IF(B39="","",(B39-1)/4)</f>
        <v/>
      </c>
    </row>
    <row r="40" spans="1:13">
      <c r="A40" s="2" t="s">
        <v>104</v>
      </c>
      <c r="C40" s="15" t="str">
        <f>IF(B40="","",(B40-1)/4)</f>
        <v/>
      </c>
    </row>
    <row r="41" spans="1:13">
      <c r="C41" s="15" t="str">
        <f>IF(B41="","",(B41-1)/4)</f>
        <v/>
      </c>
    </row>
    <row r="42" spans="1:13" ht="12.5">
      <c r="A42" s="5" t="s">
        <v>105</v>
      </c>
      <c r="B42" s="16">
        <f>IF(SUM(E42:I42)=0,"",(5*E42+4*F42+3*G42+2*H42+1*I42)/SUM(E42:I42))</f>
        <v>3.3529411764705883</v>
      </c>
      <c r="C42" s="15">
        <f>IF(B42="","",(1-ABS(B42-3)/2))</f>
        <v>0.82352941176470584</v>
      </c>
      <c r="D42" s="5" t="s">
        <v>62</v>
      </c>
      <c r="E42" s="16">
        <f>[2]Analysis!$R$24</f>
        <v>2</v>
      </c>
      <c r="F42" s="16">
        <f>[2]Analysis!$R$25</f>
        <v>3</v>
      </c>
      <c r="G42" s="16">
        <f>[2]Analysis!$R$26</f>
        <v>11</v>
      </c>
      <c r="H42" s="16">
        <f>[2]Analysis!$R$27</f>
        <v>1</v>
      </c>
      <c r="I42" s="16">
        <f>[2]Analysis!$R$28</f>
        <v>0</v>
      </c>
      <c r="J42" s="5" t="s">
        <v>63</v>
      </c>
      <c r="K42" s="16">
        <f>[2]Analysis!R$29</f>
        <v>2</v>
      </c>
      <c r="L42" s="8">
        <f>SUM(E42:K42)</f>
        <v>19</v>
      </c>
      <c r="M42" s="8" t="str">
        <f>IF(L42&lt;&gt;$B$55,"E","")</f>
        <v/>
      </c>
    </row>
    <row r="43" spans="1:13" ht="12.5">
      <c r="A43" s="5" t="s">
        <v>106</v>
      </c>
      <c r="B43" s="16">
        <f>IF(SUM(E43:I43)=0,"",(5*E43+4*F43+3*G43+2*H43+1*I43)/SUM(E43:I43))</f>
        <v>3.5882352941176472</v>
      </c>
      <c r="C43" s="15">
        <f>IF(B43="","",(B43-1)/4)</f>
        <v>0.6470588235294118</v>
      </c>
      <c r="D43" s="5" t="s">
        <v>99</v>
      </c>
      <c r="E43" s="16">
        <f>[2]Analysis!$S$24</f>
        <v>2</v>
      </c>
      <c r="F43" s="16">
        <f>[2]Analysis!$S$25</f>
        <v>8</v>
      </c>
      <c r="G43" s="16">
        <f>[2]Analysis!$S$26</f>
        <v>6</v>
      </c>
      <c r="H43" s="16">
        <f>[2]Analysis!$S$27</f>
        <v>0</v>
      </c>
      <c r="I43" s="16">
        <f>[2]Analysis!$S$28</f>
        <v>1</v>
      </c>
      <c r="J43" s="5" t="s">
        <v>100</v>
      </c>
      <c r="K43" s="16">
        <f>[2]Analysis!S$29</f>
        <v>2</v>
      </c>
      <c r="L43" s="8">
        <f>SUM(E43:K43)</f>
        <v>19</v>
      </c>
      <c r="M43" s="8" t="str">
        <f>IF(L43&lt;&gt;$B$55,"E","")</f>
        <v/>
      </c>
    </row>
    <row r="44" spans="1:13" ht="12.5">
      <c r="A44" s="5" t="s">
        <v>107</v>
      </c>
      <c r="B44" s="16">
        <f>IF(SUM(E44:I44)=0,"",(5*E44+4*F44+3*G44+2*H44+1*I44)/SUM(E44:I44))</f>
        <v>3.8235294117647061</v>
      </c>
      <c r="C44" s="15">
        <f>IF(B44="","",(B44-1)/4)</f>
        <v>0.70588235294117652</v>
      </c>
      <c r="D44" s="5" t="s">
        <v>108</v>
      </c>
      <c r="E44" s="16">
        <f>[2]Analysis!$T$24</f>
        <v>2</v>
      </c>
      <c r="F44" s="16">
        <f>[2]Analysis!$T$25</f>
        <v>12</v>
      </c>
      <c r="G44" s="16">
        <f>[2]Analysis!$T$26</f>
        <v>2</v>
      </c>
      <c r="H44" s="16">
        <f>[2]Analysis!$T$27</f>
        <v>0</v>
      </c>
      <c r="I44" s="16">
        <f>[2]Analysis!$T$28</f>
        <v>1</v>
      </c>
      <c r="J44" s="5" t="s">
        <v>80</v>
      </c>
      <c r="K44" s="16">
        <f>[2]Analysis!T$29</f>
        <v>2</v>
      </c>
      <c r="L44" s="8">
        <f>SUM(E44:K44)</f>
        <v>19</v>
      </c>
      <c r="M44" s="8" t="str">
        <f>IF(L44&lt;&gt;$B$55,"E","")</f>
        <v/>
      </c>
    </row>
    <row r="45" spans="1:13" ht="12.5">
      <c r="A45" s="5" t="s">
        <v>109</v>
      </c>
      <c r="B45" s="16">
        <f>IF(SUM(E45:I45)=0,"",(5*E45+4*F45+3*G45+2*H45+1*I45)/SUM(E45:I45))</f>
        <v>3.4166666666666665</v>
      </c>
      <c r="C45" s="15">
        <f>IF(B45="","",(B45-1)/4)</f>
        <v>0.60416666666666663</v>
      </c>
      <c r="D45" s="5" t="s">
        <v>110</v>
      </c>
      <c r="E45" s="16">
        <f>[2]Analysis!$U$24</f>
        <v>1</v>
      </c>
      <c r="F45" s="16">
        <f>[2]Analysis!$U$25</f>
        <v>5</v>
      </c>
      <c r="G45" s="16">
        <f>[2]Analysis!$U$26</f>
        <v>5</v>
      </c>
      <c r="H45" s="16">
        <f>[2]Analysis!$U$27</f>
        <v>0</v>
      </c>
      <c r="I45" s="16">
        <f>[2]Analysis!$U$28</f>
        <v>1</v>
      </c>
      <c r="J45" s="5" t="s">
        <v>96</v>
      </c>
      <c r="K45" s="16">
        <f>[2]Analysis!U$29</f>
        <v>6</v>
      </c>
      <c r="L45" s="8">
        <f>SUM(E45:K45)</f>
        <v>18</v>
      </c>
      <c r="M45" s="8" t="str">
        <f>IF(L45&lt;&gt;$B$55,"E","")</f>
        <v>E</v>
      </c>
    </row>
    <row r="46" spans="1:13" ht="12.5">
      <c r="B46" s="16"/>
      <c r="C46" s="15"/>
      <c r="E46" s="16"/>
      <c r="F46" s="16"/>
      <c r="G46" s="16"/>
      <c r="H46" s="16"/>
      <c r="I46" s="16"/>
      <c r="K46" s="16"/>
    </row>
    <row r="47" spans="1:13" ht="12.5">
      <c r="A47" s="5" t="s">
        <v>111</v>
      </c>
      <c r="B47" s="16">
        <f>[2]Analysis!Q30</f>
        <v>3.71875</v>
      </c>
      <c r="C47" s="15"/>
      <c r="E47" s="16"/>
      <c r="F47" s="16"/>
      <c r="G47" s="16"/>
      <c r="H47" s="16"/>
      <c r="I47" s="16"/>
      <c r="K47" s="16">
        <f>[2]Analysis!Q$29</f>
        <v>3</v>
      </c>
    </row>
    <row r="48" spans="1:13">
      <c r="C48" s="15" t="str">
        <f>IF(B48="","",(B48-1)/4)</f>
        <v/>
      </c>
    </row>
    <row r="49" spans="1:13">
      <c r="A49" s="2" t="s">
        <v>112</v>
      </c>
      <c r="C49" s="15" t="str">
        <f>IF(B49="","",(B49-1)/4)</f>
        <v/>
      </c>
    </row>
    <row r="50" spans="1:13">
      <c r="C50" s="15" t="str">
        <f>IF(B50="","",(B50-1)/4)</f>
        <v/>
      </c>
    </row>
    <row r="51" spans="1:13">
      <c r="A51" s="5" t="s">
        <v>113</v>
      </c>
      <c r="C51" s="15" t="str">
        <f>IF(B51="","",(B51-1)/4)</f>
        <v/>
      </c>
    </row>
    <row r="52" spans="1:13" ht="12.5">
      <c r="A52" s="5" t="s">
        <v>114</v>
      </c>
      <c r="B52" s="16">
        <f>IF(SUM(E52:I52)=0,"",(5*E52+4*F52+3*G52+2*H52+1*I52)/SUM(E52:I52))</f>
        <v>3.7647058823529411</v>
      </c>
      <c r="C52" s="15">
        <f>IF(B52="","",(B52-1)/4)</f>
        <v>0.69117647058823528</v>
      </c>
      <c r="D52" s="5" t="s">
        <v>115</v>
      </c>
      <c r="E52" s="16">
        <f>[2]Analysis!$V$24</f>
        <v>3</v>
      </c>
      <c r="F52" s="16">
        <f>[2]Analysis!$V$25</f>
        <v>9</v>
      </c>
      <c r="G52" s="16">
        <f>[2]Analysis!$V$26</f>
        <v>4</v>
      </c>
      <c r="H52" s="16">
        <f>[2]Analysis!$V$27</f>
        <v>0</v>
      </c>
      <c r="I52" s="16">
        <f>[2]Analysis!$V$28</f>
        <v>1</v>
      </c>
      <c r="J52" s="5" t="s">
        <v>116</v>
      </c>
      <c r="K52" s="16">
        <f>[2]Analysis!V$29</f>
        <v>2</v>
      </c>
      <c r="L52" s="8">
        <f>SUM(E52:K52)</f>
        <v>19</v>
      </c>
      <c r="M52" s="8" t="str">
        <f>IF(L52&lt;&gt;$B$55,"E","")</f>
        <v/>
      </c>
    </row>
    <row r="54" spans="1:13">
      <c r="A54" s="2" t="s">
        <v>117</v>
      </c>
      <c r="C54" s="23">
        <f>IF(SUM(C7:C52)=0,"",AVERAGE(C7:C52))</f>
        <v>0.74353216518805643</v>
      </c>
    </row>
    <row r="55" spans="1:13">
      <c r="A55" s="2" t="s">
        <v>118</v>
      </c>
      <c r="B55" s="24">
        <f>[2]Analysis!A32</f>
        <v>19</v>
      </c>
      <c r="C55" s="15"/>
    </row>
    <row r="56" spans="1:13">
      <c r="A56" s="2" t="s">
        <v>119</v>
      </c>
      <c r="B56" s="24">
        <v>27</v>
      </c>
      <c r="C56" s="15">
        <f>IF(B56="","",B55/B56)</f>
        <v>0.70370370370370372</v>
      </c>
      <c r="D56" s="5" t="s">
        <v>120</v>
      </c>
    </row>
  </sheetData>
  <printOptions horizontalCentered="1" verticalCentered="1"/>
  <pageMargins left="0.75" right="0.75" top="1" bottom="1" header="0.5" footer="0.5"/>
  <pageSetup scale="83" orientation="portrait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Document" shapeId="1025" r:id="rId4">
          <objectPr defaultSize="0" dde="1" r:id="rId5">
            <anchor moveWithCells="1">
              <from>
                <xdr:col>0</xdr:col>
                <xdr:colOff>444500</xdr:colOff>
                <xdr:row>57</xdr:row>
                <xdr:rowOff>0</xdr:rowOff>
              </from>
              <to>
                <xdr:col>8</xdr:col>
                <xdr:colOff>209550</xdr:colOff>
                <xdr:row>64</xdr:row>
                <xdr:rowOff>114300</xdr:rowOff>
              </to>
            </anchor>
          </objectPr>
        </oleObject>
      </mc:Choice>
      <mc:Fallback>
        <oleObject progId="WordDocument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3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26" sqref="J26"/>
    </sheetView>
  </sheetViews>
  <sheetFormatPr defaultRowHeight="12.5"/>
  <cols>
    <col min="1" max="2" width="4.6328125" customWidth="1"/>
    <col min="3" max="6" width="4.08984375" customWidth="1"/>
    <col min="7" max="7" width="4.90625" customWidth="1"/>
    <col min="8" max="16" width="4.08984375" customWidth="1"/>
    <col min="17" max="17" width="4.90625" customWidth="1"/>
    <col min="18" max="21" width="4.08984375" customWidth="1"/>
    <col min="22" max="22" width="4" customWidth="1"/>
    <col min="23" max="23" width="41.453125" customWidth="1"/>
  </cols>
  <sheetData>
    <row r="1" spans="1:23">
      <c r="C1" s="1" t="s">
        <v>0</v>
      </c>
      <c r="D1" s="1"/>
      <c r="E1" s="1"/>
      <c r="F1" s="1"/>
      <c r="G1" s="1"/>
      <c r="H1" s="1" t="s">
        <v>1</v>
      </c>
      <c r="I1" s="1"/>
      <c r="J1" s="1"/>
      <c r="K1" s="1"/>
      <c r="L1" s="1"/>
      <c r="M1" s="1"/>
      <c r="N1" t="s">
        <v>2</v>
      </c>
      <c r="O1" t="s">
        <v>3</v>
      </c>
      <c r="P1" t="s">
        <v>4</v>
      </c>
      <c r="Q1" s="1" t="s">
        <v>5</v>
      </c>
      <c r="R1" s="1"/>
      <c r="S1" s="1"/>
      <c r="T1" s="1"/>
      <c r="U1" s="1"/>
      <c r="V1" t="s">
        <v>6</v>
      </c>
      <c r="W1" t="s">
        <v>7</v>
      </c>
    </row>
    <row r="2" spans="1:2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  <c r="Q2" t="s">
        <v>14</v>
      </c>
      <c r="R2" t="s">
        <v>24</v>
      </c>
      <c r="S2" t="s">
        <v>25</v>
      </c>
      <c r="T2" t="s">
        <v>26</v>
      </c>
      <c r="U2" t="s">
        <v>27</v>
      </c>
      <c r="V2" t="s">
        <v>28</v>
      </c>
    </row>
    <row r="4" spans="1:23">
      <c r="A4">
        <v>1</v>
      </c>
      <c r="B4">
        <v>4</v>
      </c>
      <c r="C4">
        <v>4</v>
      </c>
      <c r="D4">
        <v>4</v>
      </c>
      <c r="E4">
        <v>3</v>
      </c>
      <c r="F4">
        <v>3</v>
      </c>
      <c r="G4">
        <v>7</v>
      </c>
      <c r="H4">
        <v>5</v>
      </c>
      <c r="I4">
        <v>5</v>
      </c>
      <c r="J4">
        <v>5</v>
      </c>
      <c r="K4">
        <v>5</v>
      </c>
      <c r="L4">
        <v>3</v>
      </c>
      <c r="M4">
        <v>5</v>
      </c>
      <c r="N4">
        <v>2</v>
      </c>
      <c r="O4">
        <v>4</v>
      </c>
      <c r="P4">
        <v>5</v>
      </c>
      <c r="R4">
        <v>3</v>
      </c>
      <c r="S4">
        <v>4</v>
      </c>
      <c r="T4">
        <v>5</v>
      </c>
      <c r="V4">
        <v>5</v>
      </c>
    </row>
    <row r="5" spans="1:23">
      <c r="A5">
        <v>2</v>
      </c>
      <c r="B5">
        <v>3</v>
      </c>
      <c r="C5">
        <v>4</v>
      </c>
      <c r="D5">
        <v>4</v>
      </c>
      <c r="E5">
        <v>4</v>
      </c>
      <c r="F5">
        <v>4</v>
      </c>
      <c r="G5">
        <v>6</v>
      </c>
      <c r="H5">
        <v>4</v>
      </c>
      <c r="I5">
        <v>4</v>
      </c>
      <c r="J5">
        <v>5</v>
      </c>
      <c r="K5">
        <v>5</v>
      </c>
      <c r="L5">
        <v>4</v>
      </c>
      <c r="M5">
        <v>4</v>
      </c>
      <c r="N5">
        <v>2</v>
      </c>
      <c r="O5">
        <v>2</v>
      </c>
      <c r="P5">
        <v>4</v>
      </c>
      <c r="Q5">
        <v>2</v>
      </c>
      <c r="R5">
        <v>4</v>
      </c>
      <c r="S5">
        <v>3</v>
      </c>
      <c r="T5">
        <v>3</v>
      </c>
      <c r="U5">
        <v>3</v>
      </c>
      <c r="V5">
        <v>4</v>
      </c>
    </row>
    <row r="6" spans="1:23">
      <c r="A6">
        <v>3</v>
      </c>
      <c r="B6">
        <v>3</v>
      </c>
      <c r="C6">
        <v>3</v>
      </c>
      <c r="D6">
        <v>4</v>
      </c>
      <c r="E6">
        <v>3</v>
      </c>
      <c r="F6">
        <v>3</v>
      </c>
      <c r="H6">
        <v>4</v>
      </c>
      <c r="I6">
        <v>4</v>
      </c>
      <c r="J6">
        <v>5</v>
      </c>
      <c r="K6">
        <v>3</v>
      </c>
      <c r="L6">
        <v>3</v>
      </c>
      <c r="M6">
        <v>4</v>
      </c>
      <c r="N6">
        <v>1</v>
      </c>
      <c r="P6">
        <v>5</v>
      </c>
      <c r="Q6">
        <v>3</v>
      </c>
      <c r="R6">
        <v>2</v>
      </c>
      <c r="S6">
        <v>4</v>
      </c>
      <c r="T6">
        <v>4</v>
      </c>
      <c r="U6">
        <v>4</v>
      </c>
      <c r="V6">
        <v>4</v>
      </c>
      <c r="W6" t="s">
        <v>29</v>
      </c>
    </row>
    <row r="7" spans="1:23">
      <c r="A7">
        <v>4</v>
      </c>
      <c r="C7">
        <v>2</v>
      </c>
      <c r="D7">
        <v>5</v>
      </c>
      <c r="E7">
        <v>3</v>
      </c>
      <c r="F7">
        <v>3</v>
      </c>
      <c r="H7">
        <v>4</v>
      </c>
      <c r="I7">
        <v>5</v>
      </c>
      <c r="J7">
        <v>5</v>
      </c>
      <c r="K7">
        <v>5</v>
      </c>
      <c r="L7">
        <v>5</v>
      </c>
      <c r="M7">
        <v>3</v>
      </c>
      <c r="N7">
        <v>1</v>
      </c>
      <c r="P7">
        <v>4</v>
      </c>
      <c r="Q7">
        <v>1</v>
      </c>
      <c r="W7" t="s">
        <v>30</v>
      </c>
    </row>
    <row r="8" spans="1:23">
      <c r="A8">
        <v>5</v>
      </c>
      <c r="C8">
        <v>5</v>
      </c>
      <c r="D8">
        <v>4</v>
      </c>
      <c r="E8">
        <v>3</v>
      </c>
      <c r="F8">
        <v>2</v>
      </c>
      <c r="H8">
        <v>5</v>
      </c>
      <c r="I8">
        <v>5</v>
      </c>
      <c r="J8">
        <v>5</v>
      </c>
      <c r="K8">
        <v>5</v>
      </c>
      <c r="L8">
        <v>3</v>
      </c>
      <c r="M8">
        <v>5</v>
      </c>
      <c r="N8">
        <v>2</v>
      </c>
      <c r="O8">
        <v>3</v>
      </c>
    </row>
    <row r="9" spans="1:23">
      <c r="A9">
        <v>6</v>
      </c>
      <c r="B9">
        <v>3</v>
      </c>
      <c r="C9">
        <v>4</v>
      </c>
      <c r="D9">
        <v>4</v>
      </c>
      <c r="E9">
        <v>3</v>
      </c>
      <c r="F9">
        <v>3</v>
      </c>
      <c r="H9">
        <v>3</v>
      </c>
      <c r="I9">
        <v>2</v>
      </c>
      <c r="J9">
        <v>5</v>
      </c>
      <c r="K9">
        <v>2</v>
      </c>
      <c r="L9">
        <v>3</v>
      </c>
      <c r="M9">
        <v>3</v>
      </c>
      <c r="N9">
        <v>2</v>
      </c>
      <c r="O9">
        <v>3</v>
      </c>
      <c r="P9">
        <v>3</v>
      </c>
      <c r="R9">
        <v>4</v>
      </c>
      <c r="S9">
        <v>3</v>
      </c>
      <c r="T9">
        <v>3</v>
      </c>
      <c r="V9">
        <v>3</v>
      </c>
      <c r="W9" t="s">
        <v>31</v>
      </c>
    </row>
    <row r="10" spans="1:23">
      <c r="A10">
        <v>7</v>
      </c>
      <c r="B10">
        <v>4</v>
      </c>
      <c r="C10">
        <v>3</v>
      </c>
      <c r="D10">
        <v>4</v>
      </c>
      <c r="E10">
        <v>4</v>
      </c>
      <c r="F10">
        <v>3</v>
      </c>
      <c r="G10">
        <v>6.5</v>
      </c>
      <c r="H10">
        <v>4</v>
      </c>
      <c r="I10">
        <v>4</v>
      </c>
      <c r="J10">
        <v>4</v>
      </c>
      <c r="K10">
        <v>2</v>
      </c>
      <c r="L10">
        <v>4</v>
      </c>
      <c r="M10">
        <v>4</v>
      </c>
      <c r="N10">
        <v>2</v>
      </c>
      <c r="O10">
        <v>4</v>
      </c>
      <c r="P10">
        <v>4</v>
      </c>
      <c r="Q10">
        <v>2.5</v>
      </c>
      <c r="R10">
        <v>4</v>
      </c>
      <c r="S10">
        <v>4</v>
      </c>
      <c r="T10">
        <v>4</v>
      </c>
      <c r="U10">
        <v>5</v>
      </c>
      <c r="V10">
        <v>3</v>
      </c>
      <c r="W10" t="s">
        <v>32</v>
      </c>
    </row>
    <row r="11" spans="1:23">
      <c r="A11">
        <v>8</v>
      </c>
      <c r="B11">
        <v>3</v>
      </c>
      <c r="C11">
        <v>3</v>
      </c>
      <c r="D11">
        <v>3</v>
      </c>
      <c r="E11">
        <v>3</v>
      </c>
      <c r="F11">
        <v>3</v>
      </c>
      <c r="G11">
        <v>6.5</v>
      </c>
      <c r="H11">
        <v>2</v>
      </c>
      <c r="I11">
        <v>4</v>
      </c>
      <c r="J11">
        <v>5</v>
      </c>
      <c r="K11">
        <v>3</v>
      </c>
      <c r="L11">
        <v>3</v>
      </c>
      <c r="M11">
        <v>3</v>
      </c>
      <c r="N11">
        <v>2</v>
      </c>
      <c r="O11">
        <v>3</v>
      </c>
      <c r="P11">
        <v>5</v>
      </c>
      <c r="Q11">
        <v>2.5</v>
      </c>
      <c r="R11">
        <v>3</v>
      </c>
      <c r="S11">
        <v>5</v>
      </c>
      <c r="T11">
        <v>4</v>
      </c>
      <c r="V11">
        <v>4</v>
      </c>
      <c r="W11" t="s">
        <v>33</v>
      </c>
    </row>
    <row r="12" spans="1:23">
      <c r="A12">
        <v>9</v>
      </c>
      <c r="B12">
        <v>3</v>
      </c>
      <c r="C12">
        <v>1</v>
      </c>
      <c r="D12">
        <v>2</v>
      </c>
      <c r="E12">
        <v>3</v>
      </c>
      <c r="F12">
        <v>3</v>
      </c>
      <c r="G12">
        <v>5</v>
      </c>
      <c r="H12">
        <v>2</v>
      </c>
      <c r="I12">
        <v>3</v>
      </c>
      <c r="J12">
        <v>5</v>
      </c>
      <c r="K12">
        <v>4</v>
      </c>
      <c r="L12">
        <v>4</v>
      </c>
      <c r="M12">
        <v>1</v>
      </c>
      <c r="N12">
        <v>2</v>
      </c>
      <c r="O12">
        <v>2</v>
      </c>
      <c r="P12">
        <v>3</v>
      </c>
      <c r="Q12">
        <v>1</v>
      </c>
      <c r="R12">
        <v>5</v>
      </c>
      <c r="S12">
        <v>1</v>
      </c>
      <c r="T12">
        <v>1</v>
      </c>
      <c r="V12">
        <v>1</v>
      </c>
      <c r="W12" t="s">
        <v>34</v>
      </c>
    </row>
    <row r="13" spans="1:23">
      <c r="A13">
        <v>10</v>
      </c>
      <c r="C13">
        <v>4</v>
      </c>
      <c r="D13">
        <v>3</v>
      </c>
      <c r="E13">
        <v>3</v>
      </c>
      <c r="F13">
        <v>3</v>
      </c>
      <c r="H13">
        <v>4</v>
      </c>
      <c r="I13">
        <v>5</v>
      </c>
      <c r="J13">
        <v>5</v>
      </c>
      <c r="K13">
        <v>5</v>
      </c>
      <c r="L13">
        <v>3</v>
      </c>
      <c r="M13">
        <v>4</v>
      </c>
      <c r="N13">
        <v>1</v>
      </c>
      <c r="P13">
        <v>2</v>
      </c>
      <c r="Q13">
        <v>9</v>
      </c>
      <c r="R13">
        <v>3</v>
      </c>
      <c r="S13">
        <v>4</v>
      </c>
      <c r="T13">
        <v>4</v>
      </c>
      <c r="U13">
        <v>1</v>
      </c>
      <c r="V13">
        <v>4</v>
      </c>
      <c r="W13" t="s">
        <v>35</v>
      </c>
    </row>
    <row r="14" spans="1:23">
      <c r="A14">
        <v>11</v>
      </c>
      <c r="B14">
        <v>3</v>
      </c>
      <c r="C14">
        <v>4</v>
      </c>
      <c r="D14">
        <v>3</v>
      </c>
      <c r="E14">
        <v>3</v>
      </c>
      <c r="F14">
        <v>4</v>
      </c>
      <c r="G14">
        <v>10</v>
      </c>
      <c r="H14">
        <v>4</v>
      </c>
      <c r="I14">
        <v>3</v>
      </c>
      <c r="J14">
        <v>4</v>
      </c>
      <c r="K14">
        <v>3</v>
      </c>
      <c r="L14">
        <v>3</v>
      </c>
      <c r="M14">
        <v>5</v>
      </c>
      <c r="N14">
        <v>2</v>
      </c>
      <c r="O14">
        <v>5</v>
      </c>
      <c r="P14">
        <v>3</v>
      </c>
      <c r="Q14">
        <v>3</v>
      </c>
      <c r="R14">
        <v>3</v>
      </c>
      <c r="S14">
        <v>3</v>
      </c>
      <c r="T14">
        <v>5</v>
      </c>
      <c r="U14">
        <v>4</v>
      </c>
      <c r="V14">
        <v>4</v>
      </c>
    </row>
    <row r="15" spans="1:23">
      <c r="A15">
        <v>12</v>
      </c>
      <c r="B15">
        <v>3</v>
      </c>
      <c r="C15">
        <v>4</v>
      </c>
      <c r="D15">
        <v>4</v>
      </c>
      <c r="E15">
        <v>4</v>
      </c>
      <c r="F15">
        <v>3</v>
      </c>
      <c r="G15">
        <v>8</v>
      </c>
      <c r="H15">
        <v>4</v>
      </c>
      <c r="I15">
        <v>5</v>
      </c>
      <c r="J15">
        <v>5</v>
      </c>
      <c r="K15">
        <v>3</v>
      </c>
      <c r="L15">
        <v>3</v>
      </c>
      <c r="M15">
        <v>4</v>
      </c>
      <c r="N15">
        <v>2</v>
      </c>
      <c r="O15">
        <v>3</v>
      </c>
      <c r="P15">
        <v>4</v>
      </c>
      <c r="Q15">
        <v>4</v>
      </c>
      <c r="R15">
        <v>3</v>
      </c>
      <c r="S15">
        <v>3</v>
      </c>
      <c r="T15">
        <v>4</v>
      </c>
      <c r="U15">
        <v>4</v>
      </c>
      <c r="V15">
        <v>4</v>
      </c>
    </row>
    <row r="16" spans="1:23">
      <c r="A16">
        <v>13</v>
      </c>
      <c r="B16">
        <v>4</v>
      </c>
      <c r="C16">
        <v>4</v>
      </c>
      <c r="D16">
        <v>4</v>
      </c>
      <c r="E16">
        <v>3</v>
      </c>
      <c r="F16">
        <v>3</v>
      </c>
      <c r="G16">
        <v>10</v>
      </c>
      <c r="H16">
        <v>4</v>
      </c>
      <c r="I16">
        <v>4</v>
      </c>
      <c r="J16">
        <v>4</v>
      </c>
      <c r="K16">
        <v>4</v>
      </c>
      <c r="L16">
        <v>3</v>
      </c>
      <c r="M16">
        <v>4</v>
      </c>
      <c r="N16">
        <v>2</v>
      </c>
      <c r="O16">
        <v>2</v>
      </c>
      <c r="P16">
        <v>5</v>
      </c>
      <c r="Q16">
        <v>3</v>
      </c>
      <c r="R16">
        <v>3</v>
      </c>
      <c r="S16">
        <v>3</v>
      </c>
      <c r="T16">
        <v>4</v>
      </c>
      <c r="U16">
        <v>4</v>
      </c>
      <c r="V16">
        <v>5</v>
      </c>
    </row>
    <row r="17" spans="1:23">
      <c r="A17">
        <v>14</v>
      </c>
      <c r="B17">
        <v>3</v>
      </c>
      <c r="C17">
        <v>4</v>
      </c>
      <c r="D17">
        <v>5</v>
      </c>
      <c r="E17">
        <v>3</v>
      </c>
      <c r="F17">
        <v>3</v>
      </c>
      <c r="G17">
        <v>8</v>
      </c>
      <c r="H17">
        <v>4</v>
      </c>
      <c r="I17">
        <v>5</v>
      </c>
      <c r="J17">
        <v>5</v>
      </c>
      <c r="K17">
        <v>4</v>
      </c>
      <c r="L17">
        <v>3</v>
      </c>
      <c r="M17">
        <v>4</v>
      </c>
      <c r="N17">
        <v>2</v>
      </c>
      <c r="O17">
        <v>3</v>
      </c>
      <c r="P17">
        <v>4</v>
      </c>
      <c r="Q17">
        <v>4</v>
      </c>
      <c r="R17">
        <v>3</v>
      </c>
      <c r="S17">
        <v>4</v>
      </c>
      <c r="T17">
        <v>4</v>
      </c>
      <c r="U17">
        <v>3</v>
      </c>
      <c r="V17">
        <v>4</v>
      </c>
      <c r="W17" t="s">
        <v>36</v>
      </c>
    </row>
    <row r="18" spans="1:23">
      <c r="A18">
        <v>15</v>
      </c>
      <c r="B18">
        <v>3</v>
      </c>
      <c r="C18">
        <v>4</v>
      </c>
      <c r="D18">
        <v>5</v>
      </c>
      <c r="E18">
        <v>4</v>
      </c>
      <c r="F18">
        <v>4</v>
      </c>
      <c r="H18">
        <v>3</v>
      </c>
      <c r="I18">
        <v>3</v>
      </c>
      <c r="J18">
        <v>4</v>
      </c>
      <c r="K18">
        <v>4</v>
      </c>
      <c r="L18">
        <v>3</v>
      </c>
      <c r="M18">
        <v>4</v>
      </c>
      <c r="N18">
        <v>2</v>
      </c>
      <c r="O18">
        <v>5</v>
      </c>
      <c r="P18">
        <v>4</v>
      </c>
      <c r="Q18">
        <v>8</v>
      </c>
      <c r="R18">
        <v>5</v>
      </c>
      <c r="S18">
        <v>4</v>
      </c>
      <c r="T18">
        <v>4</v>
      </c>
      <c r="U18">
        <v>3</v>
      </c>
      <c r="V18">
        <v>3</v>
      </c>
    </row>
    <row r="19" spans="1:23">
      <c r="A19">
        <v>16</v>
      </c>
      <c r="B19">
        <v>3</v>
      </c>
      <c r="C19">
        <v>4</v>
      </c>
      <c r="D19">
        <v>4</v>
      </c>
      <c r="E19">
        <v>3</v>
      </c>
      <c r="F19">
        <v>3</v>
      </c>
      <c r="H19">
        <v>4</v>
      </c>
      <c r="I19">
        <v>4</v>
      </c>
      <c r="J19">
        <v>5</v>
      </c>
      <c r="K19">
        <v>5</v>
      </c>
      <c r="L19">
        <v>3</v>
      </c>
      <c r="M19">
        <v>4</v>
      </c>
      <c r="N19">
        <v>2</v>
      </c>
      <c r="O19">
        <v>4</v>
      </c>
      <c r="Q19">
        <v>5</v>
      </c>
      <c r="R19">
        <v>3</v>
      </c>
      <c r="S19">
        <v>5</v>
      </c>
      <c r="T19">
        <v>4</v>
      </c>
      <c r="U19">
        <v>4</v>
      </c>
      <c r="V19">
        <v>4</v>
      </c>
    </row>
    <row r="20" spans="1:23">
      <c r="A20">
        <v>17</v>
      </c>
      <c r="B20">
        <v>3</v>
      </c>
      <c r="C20">
        <v>4</v>
      </c>
      <c r="D20">
        <v>4</v>
      </c>
      <c r="E20">
        <v>3</v>
      </c>
      <c r="F20">
        <v>3</v>
      </c>
      <c r="H20">
        <v>4</v>
      </c>
      <c r="I20">
        <v>5</v>
      </c>
      <c r="J20">
        <v>4</v>
      </c>
      <c r="K20">
        <v>4</v>
      </c>
      <c r="L20">
        <v>3</v>
      </c>
      <c r="M20">
        <v>4</v>
      </c>
      <c r="N20">
        <v>2</v>
      </c>
      <c r="O20">
        <v>4</v>
      </c>
      <c r="P20">
        <v>5</v>
      </c>
      <c r="Q20">
        <v>5.5</v>
      </c>
      <c r="R20">
        <v>3</v>
      </c>
      <c r="S20">
        <v>4</v>
      </c>
      <c r="T20">
        <v>4</v>
      </c>
      <c r="V20">
        <v>4</v>
      </c>
    </row>
    <row r="21" spans="1:23">
      <c r="A21">
        <v>18</v>
      </c>
      <c r="B21">
        <v>3</v>
      </c>
      <c r="C21">
        <v>3</v>
      </c>
      <c r="D21">
        <v>4</v>
      </c>
      <c r="E21">
        <v>3</v>
      </c>
      <c r="F21">
        <v>3</v>
      </c>
      <c r="G21">
        <v>6.5</v>
      </c>
      <c r="H21">
        <v>4</v>
      </c>
      <c r="I21">
        <v>5</v>
      </c>
      <c r="J21">
        <v>5</v>
      </c>
      <c r="K21">
        <v>2</v>
      </c>
      <c r="L21">
        <v>3</v>
      </c>
      <c r="M21">
        <v>3</v>
      </c>
      <c r="N21">
        <v>1</v>
      </c>
      <c r="Q21">
        <v>2.5</v>
      </c>
      <c r="R21">
        <v>3</v>
      </c>
      <c r="S21">
        <v>4</v>
      </c>
      <c r="T21">
        <v>4</v>
      </c>
      <c r="U21">
        <v>3</v>
      </c>
      <c r="V21">
        <v>5</v>
      </c>
    </row>
    <row r="22" spans="1:23">
      <c r="A22">
        <v>19</v>
      </c>
      <c r="B22">
        <v>3</v>
      </c>
      <c r="C22">
        <v>3</v>
      </c>
      <c r="D22">
        <v>3</v>
      </c>
      <c r="E22">
        <v>3</v>
      </c>
      <c r="F22">
        <v>4</v>
      </c>
      <c r="G22">
        <v>7.5</v>
      </c>
      <c r="H22">
        <v>4</v>
      </c>
      <c r="I22">
        <v>5</v>
      </c>
      <c r="J22">
        <v>5</v>
      </c>
      <c r="K22">
        <v>3</v>
      </c>
      <c r="L22">
        <v>3</v>
      </c>
      <c r="M22">
        <v>3</v>
      </c>
      <c r="N22">
        <v>1</v>
      </c>
      <c r="P22">
        <v>4</v>
      </c>
      <c r="Q22">
        <v>3.5</v>
      </c>
      <c r="R22">
        <v>3</v>
      </c>
      <c r="S22">
        <v>3</v>
      </c>
      <c r="T22">
        <v>4</v>
      </c>
      <c r="U22">
        <v>3</v>
      </c>
      <c r="V22">
        <v>3</v>
      </c>
      <c r="W22" t="s">
        <v>37</v>
      </c>
    </row>
    <row r="24" spans="1:23">
      <c r="A24">
        <v>5</v>
      </c>
      <c r="C24">
        <f>COUNTIF(C$4:C$22,5)</f>
        <v>1</v>
      </c>
      <c r="D24">
        <f>COUNTIF(D$4:D$22,5)</f>
        <v>3</v>
      </c>
      <c r="E24">
        <f>COUNTIF(E$4:E$22,5)</f>
        <v>0</v>
      </c>
      <c r="F24">
        <f>COUNTIF(F$4:F$22,5)</f>
        <v>0</v>
      </c>
      <c r="H24">
        <f t="shared" ref="H24:P24" si="0">COUNTIF(H$4:H$22,5)</f>
        <v>2</v>
      </c>
      <c r="I24">
        <f t="shared" si="0"/>
        <v>9</v>
      </c>
      <c r="J24">
        <f t="shared" si="0"/>
        <v>14</v>
      </c>
      <c r="K24">
        <f t="shared" si="0"/>
        <v>6</v>
      </c>
      <c r="L24">
        <f t="shared" si="0"/>
        <v>1</v>
      </c>
      <c r="M24">
        <f t="shared" si="0"/>
        <v>3</v>
      </c>
      <c r="N24">
        <f t="shared" si="0"/>
        <v>0</v>
      </c>
      <c r="O24">
        <f t="shared" si="0"/>
        <v>2</v>
      </c>
      <c r="P24">
        <f t="shared" si="0"/>
        <v>5</v>
      </c>
      <c r="R24">
        <f>COUNTIF(R$4:R$22,5)</f>
        <v>2</v>
      </c>
      <c r="S24">
        <f>COUNTIF(S$4:S$22,5)</f>
        <v>2</v>
      </c>
      <c r="T24">
        <f>COUNTIF(T$4:T$22,5)</f>
        <v>2</v>
      </c>
      <c r="U24">
        <f>COUNTIF(U$4:U$22,5)</f>
        <v>1</v>
      </c>
      <c r="V24">
        <f>COUNTIF(V$4:V$22,5)</f>
        <v>3</v>
      </c>
    </row>
    <row r="25" spans="1:23">
      <c r="A25">
        <v>4</v>
      </c>
      <c r="C25">
        <f>COUNTIF(C$4:C$22,4)</f>
        <v>11</v>
      </c>
      <c r="D25">
        <f>COUNTIF(D$4:D$22,4)</f>
        <v>11</v>
      </c>
      <c r="E25">
        <f>COUNTIF(E$4:E$22,4)</f>
        <v>4</v>
      </c>
      <c r="F25">
        <f>COUNTIF(F$4:F$22,4)</f>
        <v>4</v>
      </c>
      <c r="H25">
        <f t="shared" ref="H25:P25" si="1">COUNTIF(H$4:H$22,4)</f>
        <v>13</v>
      </c>
      <c r="I25">
        <f t="shared" si="1"/>
        <v>6</v>
      </c>
      <c r="J25">
        <f t="shared" si="1"/>
        <v>5</v>
      </c>
      <c r="K25">
        <f t="shared" si="1"/>
        <v>5</v>
      </c>
      <c r="L25">
        <f t="shared" si="1"/>
        <v>3</v>
      </c>
      <c r="M25">
        <f t="shared" si="1"/>
        <v>10</v>
      </c>
      <c r="N25">
        <f t="shared" si="1"/>
        <v>0</v>
      </c>
      <c r="O25">
        <f t="shared" si="1"/>
        <v>4</v>
      </c>
      <c r="P25">
        <f t="shared" si="1"/>
        <v>7</v>
      </c>
      <c r="R25">
        <f>COUNTIF(R$4:R$22,4)</f>
        <v>3</v>
      </c>
      <c r="S25">
        <f>COUNTIF(S$4:S$22,4)</f>
        <v>8</v>
      </c>
      <c r="T25">
        <f>COUNTIF(T$4:T$22,4)</f>
        <v>12</v>
      </c>
      <c r="U25">
        <f>COUNTIF(U$4:U$22,4)</f>
        <v>5</v>
      </c>
      <c r="V25">
        <f>COUNTIF(V$4:V$22,4)</f>
        <v>9</v>
      </c>
    </row>
    <row r="26" spans="1:23">
      <c r="A26">
        <v>3</v>
      </c>
      <c r="C26">
        <f>COUNTIF(C$4:C$22,3)</f>
        <v>5</v>
      </c>
      <c r="D26">
        <f>COUNTIF(D$4:D$22,3)</f>
        <v>4</v>
      </c>
      <c r="E26">
        <f>COUNTIF(E$4:E$22,3)</f>
        <v>15</v>
      </c>
      <c r="F26">
        <f>COUNTIF(F$4:F$22,3)</f>
        <v>14</v>
      </c>
      <c r="H26">
        <f t="shared" ref="H26:P26" si="2">COUNTIF(H$4:H$22,3)</f>
        <v>2</v>
      </c>
      <c r="I26">
        <f t="shared" si="2"/>
        <v>3</v>
      </c>
      <c r="J26">
        <f t="shared" si="2"/>
        <v>0</v>
      </c>
      <c r="K26">
        <f t="shared" si="2"/>
        <v>5</v>
      </c>
      <c r="L26">
        <f t="shared" si="2"/>
        <v>15</v>
      </c>
      <c r="M26">
        <f t="shared" si="2"/>
        <v>5</v>
      </c>
      <c r="N26">
        <f t="shared" si="2"/>
        <v>0</v>
      </c>
      <c r="O26">
        <f t="shared" si="2"/>
        <v>5</v>
      </c>
      <c r="P26">
        <f t="shared" si="2"/>
        <v>3</v>
      </c>
      <c r="R26">
        <f>COUNTIF(R$4:R$22,3)</f>
        <v>11</v>
      </c>
      <c r="S26">
        <f>COUNTIF(S$4:S$22,3)</f>
        <v>6</v>
      </c>
      <c r="T26">
        <f>COUNTIF(T$4:T$22,3)</f>
        <v>2</v>
      </c>
      <c r="U26">
        <f>COUNTIF(U$4:U$22,3)</f>
        <v>5</v>
      </c>
      <c r="V26">
        <f>COUNTIF(V$4:V$22,3)</f>
        <v>4</v>
      </c>
    </row>
    <row r="27" spans="1:23">
      <c r="A27">
        <v>2</v>
      </c>
      <c r="C27">
        <f>COUNTIF(C$4:C$22,2)</f>
        <v>1</v>
      </c>
      <c r="D27">
        <f>COUNTIF(D$4:D$22,2)</f>
        <v>1</v>
      </c>
      <c r="E27">
        <f>COUNTIF(E$4:E$22,2)</f>
        <v>0</v>
      </c>
      <c r="F27">
        <f>COUNTIF(F$4:F$22,2)</f>
        <v>1</v>
      </c>
      <c r="H27">
        <f t="shared" ref="H27:P27" si="3">COUNTIF(H$4:H$22,2)</f>
        <v>2</v>
      </c>
      <c r="I27">
        <f t="shared" si="3"/>
        <v>1</v>
      </c>
      <c r="J27">
        <f t="shared" si="3"/>
        <v>0</v>
      </c>
      <c r="K27">
        <f t="shared" si="3"/>
        <v>3</v>
      </c>
      <c r="L27">
        <f t="shared" si="3"/>
        <v>0</v>
      </c>
      <c r="M27">
        <f t="shared" si="3"/>
        <v>0</v>
      </c>
      <c r="N27">
        <f t="shared" si="3"/>
        <v>14</v>
      </c>
      <c r="O27">
        <f t="shared" si="3"/>
        <v>3</v>
      </c>
      <c r="P27">
        <f t="shared" si="3"/>
        <v>1</v>
      </c>
      <c r="R27">
        <f>COUNTIF(R$4:R$22,2)</f>
        <v>1</v>
      </c>
      <c r="S27">
        <f>COUNTIF(S$4:S$22,2)</f>
        <v>0</v>
      </c>
      <c r="T27">
        <f>COUNTIF(T$4:T$22,2)</f>
        <v>0</v>
      </c>
      <c r="U27">
        <f>COUNTIF(U$4:U$22,2)</f>
        <v>0</v>
      </c>
      <c r="V27">
        <f>COUNTIF(V$4:V$22,2)</f>
        <v>0</v>
      </c>
    </row>
    <row r="28" spans="1:23">
      <c r="A28">
        <v>1</v>
      </c>
      <c r="C28">
        <f>COUNTIF(C$4:C$22,1)</f>
        <v>1</v>
      </c>
      <c r="D28">
        <f>COUNTIF(D$4:D$22,1)</f>
        <v>0</v>
      </c>
      <c r="E28">
        <f>COUNTIF(E$4:E$22,1)</f>
        <v>0</v>
      </c>
      <c r="F28">
        <f>COUNTIF(F$4:F$22,1)</f>
        <v>0</v>
      </c>
      <c r="H28">
        <f t="shared" ref="H28:P28" si="4">COUNTIF(H$4:H$22,1)</f>
        <v>0</v>
      </c>
      <c r="I28">
        <f t="shared" si="4"/>
        <v>0</v>
      </c>
      <c r="J28">
        <f t="shared" si="4"/>
        <v>0</v>
      </c>
      <c r="K28">
        <f t="shared" si="4"/>
        <v>0</v>
      </c>
      <c r="L28">
        <f t="shared" si="4"/>
        <v>0</v>
      </c>
      <c r="M28">
        <f t="shared" si="4"/>
        <v>1</v>
      </c>
      <c r="N28">
        <f t="shared" si="4"/>
        <v>5</v>
      </c>
      <c r="O28">
        <f t="shared" si="4"/>
        <v>0</v>
      </c>
      <c r="P28">
        <f t="shared" si="4"/>
        <v>0</v>
      </c>
      <c r="R28">
        <f>COUNTIF(R$4:R$22,1)</f>
        <v>0</v>
      </c>
      <c r="S28">
        <f>COUNTIF(S$4:S$22,1)</f>
        <v>1</v>
      </c>
      <c r="T28">
        <f>COUNTIF(T$4:T$22,1)</f>
        <v>1</v>
      </c>
      <c r="U28">
        <f>COUNTIF(U$4:U$22,1)</f>
        <v>1</v>
      </c>
      <c r="V28">
        <f>COUNTIF(V$4:V$22,1)</f>
        <v>1</v>
      </c>
    </row>
    <row r="29" spans="1:23">
      <c r="A29" t="s">
        <v>38</v>
      </c>
      <c r="C29">
        <f t="shared" ref="C29:V29" si="5">COUNTIF(C$4:C$15,"")</f>
        <v>0</v>
      </c>
      <c r="D29">
        <f t="shared" si="5"/>
        <v>0</v>
      </c>
      <c r="E29">
        <f t="shared" si="5"/>
        <v>0</v>
      </c>
      <c r="F29">
        <f t="shared" si="5"/>
        <v>0</v>
      </c>
      <c r="G29">
        <f t="shared" si="5"/>
        <v>5</v>
      </c>
      <c r="H29">
        <f t="shared" si="5"/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3</v>
      </c>
      <c r="P29">
        <f t="shared" si="5"/>
        <v>1</v>
      </c>
      <c r="Q29">
        <f t="shared" si="5"/>
        <v>3</v>
      </c>
      <c r="R29">
        <f t="shared" si="5"/>
        <v>2</v>
      </c>
      <c r="S29">
        <f t="shared" si="5"/>
        <v>2</v>
      </c>
      <c r="T29">
        <f t="shared" si="5"/>
        <v>2</v>
      </c>
      <c r="U29">
        <f t="shared" si="5"/>
        <v>6</v>
      </c>
      <c r="V29">
        <f t="shared" si="5"/>
        <v>2</v>
      </c>
    </row>
    <row r="30" spans="1:23">
      <c r="A30" t="s">
        <v>39</v>
      </c>
      <c r="C30">
        <f t="shared" ref="C30:V30" si="6">AVERAGE(C4:C22)</f>
        <v>3.5263157894736841</v>
      </c>
      <c r="D30">
        <f t="shared" si="6"/>
        <v>3.8421052631578947</v>
      </c>
      <c r="E30">
        <f t="shared" si="6"/>
        <v>3.2105263157894739</v>
      </c>
      <c r="F30">
        <f t="shared" si="6"/>
        <v>3.1578947368421053</v>
      </c>
      <c r="G30">
        <f t="shared" si="6"/>
        <v>7.3636363636363633</v>
      </c>
      <c r="H30">
        <f t="shared" si="6"/>
        <v>3.7894736842105261</v>
      </c>
      <c r="I30">
        <f t="shared" si="6"/>
        <v>4.2105263157894735</v>
      </c>
      <c r="J30">
        <f t="shared" si="6"/>
        <v>4.7368421052631575</v>
      </c>
      <c r="K30">
        <f t="shared" si="6"/>
        <v>3.736842105263158</v>
      </c>
      <c r="L30">
        <f t="shared" si="6"/>
        <v>3.263157894736842</v>
      </c>
      <c r="M30">
        <f t="shared" si="6"/>
        <v>3.736842105263158</v>
      </c>
      <c r="N30">
        <f t="shared" si="6"/>
        <v>1.736842105263158</v>
      </c>
      <c r="O30">
        <f t="shared" si="6"/>
        <v>3.3571428571428572</v>
      </c>
      <c r="P30">
        <f t="shared" si="6"/>
        <v>4</v>
      </c>
      <c r="Q30">
        <f t="shared" si="6"/>
        <v>3.71875</v>
      </c>
      <c r="R30">
        <f t="shared" si="6"/>
        <v>3.3529411764705883</v>
      </c>
      <c r="S30">
        <f t="shared" si="6"/>
        <v>3.5882352941176472</v>
      </c>
      <c r="T30">
        <f t="shared" si="6"/>
        <v>3.8235294117647061</v>
      </c>
      <c r="U30">
        <f t="shared" si="6"/>
        <v>3.4166666666666665</v>
      </c>
      <c r="V30">
        <f t="shared" si="6"/>
        <v>3.7647058823529411</v>
      </c>
    </row>
    <row r="31" spans="1:23">
      <c r="A31" t="s">
        <v>40</v>
      </c>
      <c r="C31">
        <f>SUM(C24:C29)</f>
        <v>19</v>
      </c>
      <c r="D31">
        <f>SUM(D24:D29)</f>
        <v>19</v>
      </c>
      <c r="E31">
        <f>SUM(E24:E29)</f>
        <v>19</v>
      </c>
      <c r="F31">
        <f>SUM(F24:F29)</f>
        <v>19</v>
      </c>
      <c r="H31">
        <f t="shared" ref="H31:P31" si="7">SUM(H24:H29)</f>
        <v>19</v>
      </c>
      <c r="I31">
        <f t="shared" si="7"/>
        <v>19</v>
      </c>
      <c r="J31">
        <f t="shared" si="7"/>
        <v>19</v>
      </c>
      <c r="K31">
        <f t="shared" si="7"/>
        <v>19</v>
      </c>
      <c r="L31">
        <f t="shared" si="7"/>
        <v>19</v>
      </c>
      <c r="M31">
        <f t="shared" si="7"/>
        <v>19</v>
      </c>
      <c r="N31">
        <f t="shared" si="7"/>
        <v>19</v>
      </c>
      <c r="O31">
        <f t="shared" si="7"/>
        <v>17</v>
      </c>
      <c r="P31">
        <f t="shared" si="7"/>
        <v>17</v>
      </c>
      <c r="R31">
        <f>SUM(R24:R29)</f>
        <v>19</v>
      </c>
      <c r="S31">
        <f>SUM(S24:S29)</f>
        <v>19</v>
      </c>
      <c r="T31">
        <f>SUM(T24:T29)</f>
        <v>19</v>
      </c>
      <c r="U31">
        <f>SUM(U24:U29)</f>
        <v>18</v>
      </c>
      <c r="V31">
        <f>SUM(V24:V29)</f>
        <v>19</v>
      </c>
    </row>
    <row r="32" spans="1:23">
      <c r="A32">
        <f>MAX(C31:V31)</f>
        <v>19</v>
      </c>
      <c r="D32" t="s">
        <v>41</v>
      </c>
    </row>
  </sheetData>
  <printOptions horizontalCentered="1" verticalCentered="1"/>
  <pageMargins left="0.75" right="0.75" top="1" bottom="1" header="0.5" footer="0.5"/>
  <pageSetup scale="6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Questionnaire</vt:lpstr>
      <vt:lpstr>Analysis</vt:lpstr>
      <vt:lpstr>Questionnaire!Print_Area</vt:lpstr>
    </vt:vector>
  </TitlesOfParts>
  <Company>QMW Physics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</dc:creator>
  <cp:lastModifiedBy>Carina Negreanu</cp:lastModifiedBy>
  <dcterms:created xsi:type="dcterms:W3CDTF">2002-03-13T11:17:41Z</dcterms:created>
  <dcterms:modified xsi:type="dcterms:W3CDTF">2020-01-27T12:42:49Z</dcterms:modified>
</cp:coreProperties>
</file>