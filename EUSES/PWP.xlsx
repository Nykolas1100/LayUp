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1CFB7E-B111-4EF6-9FCF-0EFB51414D65}" xr6:coauthVersionLast="45" xr6:coauthVersionMax="45" xr10:uidLastSave="{00000000-0000-0000-0000-000000000000}"/>
  <bookViews>
    <workbookView xWindow="2660" yWindow="2660" windowWidth="28800" windowHeight="15460" activeTab="2"/>
  </bookViews>
  <sheets>
    <sheet name="Introduction" sheetId="4" r:id="rId1"/>
    <sheet name="Publications" sheetId="1" r:id="rId2"/>
    <sheet name="CV" sheetId="2" r:id="rId3"/>
    <sheet name="Citations" sheetId="3" r:id="rId4"/>
    <sheet name="People Index" sheetId="5" r:id="rId5"/>
  </sheets>
  <definedNames>
    <definedName name="TABLE" localSheetId="1">Publications!#REF!</definedName>
    <definedName name="TABLE_2" localSheetId="1">Publications!#REF!</definedName>
    <definedName name="TABLE_3" localSheetId="1">Publications!$G$68:$H$69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3" l="1"/>
  <c r="D17" i="3"/>
  <c r="C17" i="3" s="1"/>
  <c r="D22" i="3"/>
  <c r="C22" i="3" s="1"/>
  <c r="D23" i="3"/>
  <c r="C23" i="3" s="1"/>
  <c r="D27" i="3"/>
  <c r="C27" i="3" s="1"/>
  <c r="C28" i="3"/>
  <c r="D28" i="3"/>
  <c r="D29" i="3"/>
  <c r="C29" i="3" s="1"/>
  <c r="C30" i="3"/>
  <c r="D30" i="3"/>
  <c r="D31" i="3"/>
  <c r="D36" i="3"/>
  <c r="C36" i="3" s="1"/>
  <c r="D40" i="3"/>
  <c r="C40" i="3" s="1"/>
  <c r="C44" i="3"/>
  <c r="D44" i="3"/>
  <c r="C58" i="3"/>
  <c r="C59" i="3"/>
  <c r="C60" i="3"/>
  <c r="C61" i="3"/>
  <c r="B70" i="3"/>
  <c r="B67" i="3" s="1"/>
  <c r="D67" i="3" s="1"/>
  <c r="B71" i="3"/>
  <c r="C71" i="3"/>
  <c r="B72" i="3"/>
  <c r="C72" i="3"/>
  <c r="B73" i="3"/>
  <c r="C73" i="3"/>
  <c r="B74" i="3"/>
  <c r="C74" i="3"/>
  <c r="B75" i="3"/>
  <c r="C75" i="3" s="1"/>
  <c r="B76" i="3"/>
  <c r="C76" i="3"/>
  <c r="B77" i="3"/>
  <c r="C77" i="3" s="1"/>
  <c r="B78" i="3"/>
  <c r="C78" i="3" s="1"/>
  <c r="B79" i="3"/>
  <c r="C79" i="3"/>
  <c r="B80" i="3"/>
  <c r="C80" i="3" s="1"/>
  <c r="B81" i="3"/>
  <c r="C81" i="3" s="1"/>
  <c r="B82" i="3"/>
  <c r="C82" i="3" s="1"/>
  <c r="B83" i="3"/>
  <c r="C83" i="3" s="1"/>
  <c r="B84" i="3"/>
  <c r="C84" i="3"/>
  <c r="B85" i="3"/>
  <c r="C85" i="3"/>
  <c r="B86" i="3"/>
  <c r="C86" i="3" s="1"/>
  <c r="B87" i="3"/>
  <c r="C87" i="3" s="1"/>
  <c r="B88" i="3"/>
  <c r="C88" i="3" s="1"/>
  <c r="B89" i="3"/>
  <c r="C89" i="3"/>
  <c r="B90" i="3"/>
  <c r="C90" i="3" s="1"/>
  <c r="B91" i="3"/>
  <c r="C91" i="3"/>
  <c r="B92" i="3"/>
  <c r="C92" i="3"/>
  <c r="B93" i="3"/>
  <c r="C93" i="3"/>
  <c r="B94" i="3"/>
  <c r="C94" i="3"/>
  <c r="B95" i="3"/>
  <c r="C95" i="3" s="1"/>
  <c r="B96" i="3"/>
  <c r="C96" i="3"/>
  <c r="B97" i="3"/>
  <c r="C97" i="3" s="1"/>
  <c r="B98" i="3"/>
  <c r="C98" i="3" s="1"/>
  <c r="B99" i="3"/>
  <c r="C99" i="3"/>
  <c r="B100" i="3"/>
  <c r="C100" i="3" s="1"/>
  <c r="B101" i="3"/>
  <c r="C101" i="3" s="1"/>
  <c r="B102" i="3"/>
  <c r="C102" i="3" s="1"/>
  <c r="B103" i="3"/>
  <c r="C103" i="3" s="1"/>
  <c r="B104" i="3"/>
  <c r="C104" i="3"/>
  <c r="B105" i="3"/>
  <c r="C105" i="3"/>
  <c r="B106" i="3"/>
  <c r="C106" i="3" s="1"/>
  <c r="B107" i="3"/>
  <c r="C107" i="3" s="1"/>
  <c r="B108" i="3"/>
  <c r="C108" i="3" s="1"/>
  <c r="B109" i="3"/>
  <c r="C109" i="3"/>
  <c r="B110" i="3"/>
  <c r="C110" i="3" s="1"/>
  <c r="B111" i="3"/>
  <c r="C111" i="3"/>
  <c r="B112" i="3"/>
  <c r="C112" i="3"/>
  <c r="B113" i="3"/>
  <c r="C113" i="3"/>
  <c r="B114" i="3"/>
  <c r="C114" i="3"/>
  <c r="B115" i="3"/>
  <c r="C115" i="3" s="1"/>
  <c r="B116" i="3"/>
  <c r="C116" i="3"/>
  <c r="B117" i="3"/>
  <c r="C117" i="3" s="1"/>
  <c r="B118" i="3"/>
  <c r="C118" i="3" s="1"/>
  <c r="B119" i="3"/>
  <c r="C119" i="3"/>
  <c r="B120" i="3"/>
  <c r="C120" i="3" s="1"/>
  <c r="B121" i="3"/>
  <c r="C121" i="3" s="1"/>
  <c r="C3" i="2"/>
  <c r="C17" i="2"/>
  <c r="C22" i="2"/>
  <c r="C23" i="2"/>
  <c r="C27" i="2"/>
  <c r="C28" i="2"/>
  <c r="C29" i="2"/>
  <c r="C30" i="2"/>
  <c r="C36" i="2"/>
  <c r="C40" i="2"/>
  <c r="C44" i="2"/>
  <c r="C58" i="2"/>
  <c r="C59" i="2"/>
  <c r="C60" i="2"/>
  <c r="C61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5" i="5"/>
  <c r="C19" i="5"/>
  <c r="C27" i="5"/>
  <c r="C35" i="5"/>
  <c r="C43" i="5"/>
  <c r="C51" i="5"/>
  <c r="C3" i="1"/>
  <c r="C17" i="1"/>
  <c r="C22" i="1"/>
  <c r="C23" i="1"/>
  <c r="C27" i="1"/>
  <c r="C28" i="1"/>
  <c r="C29" i="1"/>
  <c r="C30" i="1"/>
  <c r="C36" i="1"/>
  <c r="C40" i="1"/>
  <c r="C44" i="1"/>
  <c r="C58" i="1"/>
  <c r="C59" i="1"/>
  <c r="C60" i="1"/>
  <c r="C61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70" i="3" l="1"/>
  <c r="A70" i="3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</calcChain>
</file>

<file path=xl/comments1.xml><?xml version="1.0" encoding="utf-8"?>
<comments xmlns="http://schemas.openxmlformats.org/spreadsheetml/2006/main">
  <authors>
    <author>Vital</author>
  </authors>
  <commentList>
    <comment ref="A5" authorId="0" shapeId="0">
      <text>
        <r>
          <rPr>
            <b/>
            <sz val="8"/>
            <color indexed="81"/>
            <rFont val="Tahoma"/>
            <family val="2"/>
          </rPr>
          <t xml:space="preserve">Допълнителна информация </t>
        </r>
      </text>
    </comment>
  </commentList>
</comments>
</file>

<file path=xl/comments2.xml><?xml version="1.0" encoding="utf-8"?>
<comments xmlns="http://schemas.openxmlformats.org/spreadsheetml/2006/main">
  <authors>
    <author>Vital</author>
  </authors>
  <commentList>
    <comment ref="D3" authorId="0" shapeId="0">
      <text>
        <r>
          <rPr>
            <b/>
            <sz val="8"/>
            <color indexed="81"/>
            <rFont val="Tahoma"/>
            <family val="2"/>
            <charset val="204"/>
          </rPr>
          <t>В тази клетка попълнете желаното от вас заглавие на страницата</t>
        </r>
      </text>
    </comment>
    <comment ref="D17" authorId="0" shapeId="0">
      <text>
        <r>
          <rPr>
            <b/>
            <sz val="8"/>
            <color indexed="81"/>
            <rFont val="Tahoma"/>
            <family val="2"/>
            <charset val="204"/>
          </rPr>
          <t>Поъпленте името на файла, съдържащ ваша лична снимка</t>
        </r>
      </text>
    </comment>
    <comment ref="D22" authorId="0" shapeId="0">
      <text>
        <r>
          <rPr>
            <b/>
            <sz val="8"/>
            <color indexed="81"/>
            <rFont val="Tahoma"/>
            <family val="2"/>
            <charset val="204"/>
          </rPr>
          <t>Попъленте вашето име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3" authorId="0" shapeId="0">
      <text>
        <r>
          <rPr>
            <b/>
            <sz val="8"/>
            <color indexed="81"/>
            <rFont val="Tahoma"/>
            <family val="2"/>
          </rPr>
          <t>Попълнете вашите степени и звания</t>
        </r>
      </text>
    </comment>
    <comment ref="D27" authorId="0" shapeId="0">
      <text>
        <r>
          <rPr>
            <b/>
            <sz val="8"/>
            <color indexed="81"/>
            <rFont val="Tahoma"/>
            <family val="2"/>
          </rPr>
          <t>Попълнете вашия служебен адрес, като обърнете внимание на номера на стаята</t>
        </r>
      </text>
    </comment>
    <comment ref="D29" authorId="0" shapeId="0">
      <text>
        <r>
          <rPr>
            <b/>
            <sz val="8"/>
            <color indexed="81"/>
            <rFont val="Tahoma"/>
            <family val="2"/>
          </rPr>
          <t xml:space="preserve">Попълнете номера на стаята и етажа на който се намирате </t>
        </r>
      </text>
    </comment>
    <comment ref="D36" authorId="0" shapeId="0">
      <text>
        <r>
          <rPr>
            <b/>
            <sz val="8"/>
            <color indexed="81"/>
            <rFont val="Tahoma"/>
            <family val="2"/>
          </rPr>
          <t>Попълнете вашите служебни телефони</t>
        </r>
      </text>
    </comment>
    <comment ref="D40" authorId="0" shapeId="0">
      <text>
        <r>
          <rPr>
            <b/>
            <sz val="8"/>
            <color indexed="81"/>
            <rFont val="Tahoma"/>
            <family val="2"/>
          </rPr>
          <t>Попълнете службения номер на факса</t>
        </r>
      </text>
    </comment>
    <comment ref="D44" authorId="0" shapeId="0">
      <text>
        <r>
          <rPr>
            <b/>
            <sz val="8"/>
            <color indexed="81"/>
            <rFont val="Tahoma"/>
            <family val="2"/>
          </rPr>
          <t>Попълнете използвания от вас служебен e-mail адрес</t>
        </r>
      </text>
    </comment>
    <comment ref="A58" authorId="0" shapeId="0">
      <text>
        <r>
          <rPr>
            <b/>
            <sz val="8"/>
            <color indexed="81"/>
            <rFont val="Tahoma"/>
            <family val="2"/>
          </rPr>
          <t>Маркирайте квадратчето ако искате в списъка с връзки (Links) да се съдържа тази секция</t>
        </r>
      </text>
    </comment>
    <comment ref="D58" authorId="0" shapeId="0">
      <text>
        <r>
          <rPr>
            <b/>
            <sz val="8"/>
            <color indexed="81"/>
            <rFont val="Tahoma"/>
            <family val="2"/>
          </rPr>
          <t>Връзка към страницата, описваща вашата научна 
дейност</t>
        </r>
      </text>
    </comment>
    <comment ref="D59" authorId="0" shapeId="0">
      <text>
        <r>
          <rPr>
            <b/>
            <sz val="8"/>
            <color indexed="81"/>
            <rFont val="Tahoma"/>
            <family val="2"/>
          </rPr>
          <t>Име на страницата с вашите публикации във вида, в който ще излезе в списъка Links.</t>
        </r>
      </text>
    </comment>
    <comment ref="D60" authorId="0" shapeId="0">
      <text>
        <r>
          <rPr>
            <b/>
            <sz val="8"/>
            <color indexed="81"/>
            <rFont val="Tahoma"/>
            <family val="2"/>
          </rPr>
          <t>Връзка към страницата, описваща вашите цитирания</t>
        </r>
      </text>
    </comment>
    <comment ref="D61" authorId="0" shapeId="0">
      <text>
        <r>
          <rPr>
            <b/>
            <sz val="8"/>
            <color indexed="81"/>
            <rFont val="Tahoma"/>
            <family val="2"/>
          </rPr>
          <t>Връзка към страницата с вашата автобиография</t>
        </r>
      </text>
    </comment>
    <comment ref="A67" authorId="0" shapeId="0">
      <text>
        <r>
          <rPr>
            <b/>
            <sz val="8"/>
            <color indexed="81"/>
            <rFont val="Tahoma"/>
            <family val="2"/>
          </rPr>
          <t>Пореден номер на статията изчислява се автоматично не е необходимо да се задава</t>
        </r>
      </text>
    </comment>
    <comment ref="D67" authorId="0" shapeId="0">
      <text>
        <r>
          <rPr>
            <b/>
            <sz val="8"/>
            <color indexed="81"/>
            <rFont val="Tahoma"/>
            <family val="2"/>
            <charset val="204"/>
          </rPr>
          <t>Попълнете пълното библиографско описание на вашата статия.</t>
        </r>
        <r>
          <rPr>
            <sz val="8"/>
            <color indexed="81"/>
            <rFont val="Tahoma"/>
            <family val="2"/>
            <charset val="204"/>
          </rPr>
          <t xml:space="preserve">
За форматиране на текста може да изпозвате следните HTML команди
за курсив </t>
        </r>
        <r>
          <rPr>
            <i/>
            <sz val="8"/>
            <color indexed="81"/>
            <rFont val="Tahoma"/>
            <family val="2"/>
            <charset val="204"/>
          </rPr>
          <t>(italic)</t>
        </r>
        <r>
          <rPr>
            <sz val="8"/>
            <color indexed="81"/>
            <rFont val="Tahoma"/>
            <family val="2"/>
            <charset val="204"/>
          </rPr>
          <t xml:space="preserve"> заградете текста със командата </t>
        </r>
        <r>
          <rPr>
            <b/>
            <sz val="8"/>
            <color indexed="17"/>
            <rFont val="Tahoma"/>
            <family val="2"/>
            <charset val="204"/>
          </rPr>
          <t>&lt;em&gt;</t>
        </r>
        <r>
          <rPr>
            <sz val="8"/>
            <color indexed="81"/>
            <rFont val="Tahoma"/>
            <family val="2"/>
            <charset val="204"/>
          </rPr>
          <t xml:space="preserve"> </t>
        </r>
        <r>
          <rPr>
            <sz val="8"/>
            <color indexed="57"/>
            <rFont val="Tahoma"/>
            <family val="2"/>
            <charset val="204"/>
          </rPr>
          <t>текст в курсив</t>
        </r>
        <r>
          <rPr>
            <i/>
            <sz val="8"/>
            <color indexed="81"/>
            <rFont val="Tahoma"/>
            <family val="2"/>
            <charset val="204"/>
          </rPr>
          <t xml:space="preserve"> </t>
        </r>
        <r>
          <rPr>
            <sz val="8"/>
            <color indexed="81"/>
            <rFont val="Tahoma"/>
            <family val="2"/>
            <charset val="204"/>
          </rPr>
          <t>&lt;</t>
        </r>
        <r>
          <rPr>
            <b/>
            <sz val="8"/>
            <color indexed="17"/>
            <rFont val="Tahoma"/>
            <family val="2"/>
            <charset val="204"/>
          </rPr>
          <t xml:space="preserve">/em&gt;
</t>
        </r>
        <r>
          <rPr>
            <sz val="8"/>
            <color indexed="81"/>
            <rFont val="Tahoma"/>
            <family val="2"/>
            <charset val="204"/>
          </rPr>
          <t xml:space="preserve">за подчертано </t>
        </r>
        <r>
          <rPr>
            <b/>
            <sz val="8"/>
            <color indexed="81"/>
            <rFont val="Tahoma"/>
            <family val="2"/>
            <charset val="204"/>
          </rPr>
          <t>(bold)</t>
        </r>
        <r>
          <rPr>
            <sz val="8"/>
            <color indexed="81"/>
            <rFont val="Tahoma"/>
            <family val="2"/>
            <charset val="204"/>
          </rPr>
          <t xml:space="preserve"> заградете текста с </t>
        </r>
        <r>
          <rPr>
            <b/>
            <sz val="8"/>
            <color indexed="17"/>
            <rFont val="Tahoma"/>
            <family val="2"/>
            <charset val="204"/>
          </rPr>
          <t>&lt;strong&gt;</t>
        </r>
        <r>
          <rPr>
            <b/>
            <sz val="8"/>
            <color indexed="57"/>
            <rFont val="Tahoma"/>
            <family val="2"/>
            <charset val="204"/>
          </rPr>
          <t xml:space="preserve"> </t>
        </r>
        <r>
          <rPr>
            <sz val="8"/>
            <color indexed="57"/>
            <rFont val="Tahoma"/>
            <family val="2"/>
            <charset val="204"/>
          </rPr>
          <t>подчертан текст</t>
        </r>
        <r>
          <rPr>
            <sz val="8"/>
            <color indexed="81"/>
            <rFont val="Tahoma"/>
            <family val="2"/>
            <charset val="204"/>
          </rPr>
          <t xml:space="preserve"> </t>
        </r>
        <r>
          <rPr>
            <b/>
            <sz val="8"/>
            <color indexed="17"/>
            <rFont val="Tahoma"/>
            <family val="2"/>
            <charset val="204"/>
          </rPr>
          <t>&lt;/strong&gt;</t>
        </r>
        <r>
          <rPr>
            <sz val="8"/>
            <color indexed="81"/>
            <rFont val="Tahoma"/>
            <family val="2"/>
            <charset val="204"/>
          </rPr>
          <t xml:space="preserve"> 
Най-лесно може да попълните тази колона като предварително в Microsoft Word опишете
всяка статия в отделен параграф и използвате Find Replace за да замените визуалното 
форматиране на текста с такова, подходящо за интерпретация от Web Browser</t>
        </r>
      </text>
    </comment>
    <comment ref="E67" authorId="0" shapeId="0">
      <text>
        <r>
          <rPr>
            <b/>
            <sz val="8"/>
            <color indexed="81"/>
            <rFont val="Tahoma"/>
            <family val="2"/>
          </rPr>
          <t xml:space="preserve">Попълнете името на фаила който съдържа резюмето на вашата статия. 
</t>
        </r>
        <r>
          <rPr>
            <sz val="8"/>
            <color indexed="81"/>
            <rFont val="Tahoma"/>
            <family val="2"/>
            <charset val="204"/>
          </rPr>
          <t>Възможно е вместо име на файл да посочите подходящ интернет адрес от където може да се изтегли описаната на реда статия.
Например:
http://www.clbme.bas.bg/something/temp.html</t>
        </r>
      </text>
    </comment>
    <comment ref="F67" authorId="0" shapeId="0">
      <text>
        <r>
          <rPr>
            <b/>
            <sz val="8"/>
            <color indexed="81"/>
            <rFont val="Tahoma"/>
            <family val="2"/>
          </rPr>
          <t xml:space="preserve">Попълнете името на фаила който съдържа пълния текст на вашата статия или оставете празно. </t>
        </r>
        <r>
          <rPr>
            <sz val="8"/>
            <color indexed="81"/>
            <rFont val="Tahoma"/>
            <family val="2"/>
            <charset val="204"/>
          </rPr>
          <t xml:space="preserve">Възможно е вместо име на файл да посочите подходящ интернет адрес, от където може да се изтегли описаната на реда статия.
</t>
        </r>
        <r>
          <rPr>
            <sz val="8"/>
            <color indexed="10"/>
            <rFont val="Tahoma"/>
            <family val="2"/>
            <charset val="204"/>
          </rPr>
          <t>Проверете дали публикуването на пълния текст на взшата статията не влиза в противоречие с политиката на списанието, в което сте пуликували!</t>
        </r>
      </text>
    </comment>
  </commentList>
</comments>
</file>

<file path=xl/comments3.xml><?xml version="1.0" encoding="utf-8"?>
<comments xmlns="http://schemas.openxmlformats.org/spreadsheetml/2006/main">
  <authors>
    <author>Vital</author>
  </authors>
  <commentList>
    <comment ref="D3" authorId="0" shapeId="0">
      <text>
        <r>
          <rPr>
            <b/>
            <sz val="8"/>
            <color indexed="81"/>
            <rFont val="Tahoma"/>
            <family val="2"/>
          </rPr>
          <t>В тази клетка попълнете желаното от вас заглавие на страницата</t>
        </r>
      </text>
    </comment>
    <comment ref="D17" authorId="0" shapeId="0">
      <text>
        <r>
          <rPr>
            <b/>
            <sz val="8"/>
            <color indexed="81"/>
            <rFont val="Tahoma"/>
            <family val="2"/>
          </rPr>
          <t xml:space="preserve">Съдържанието на клетки D22 : D44 се попълва автоматично с информацията въведена на страницата Publications </t>
        </r>
      </text>
    </comment>
    <comment ref="D22" authorId="0" shapeId="0">
      <text>
        <r>
          <rPr>
            <b/>
            <sz val="8"/>
            <color indexed="81"/>
            <rFont val="Tahoma"/>
            <family val="2"/>
          </rPr>
          <t xml:space="preserve">Съдържанието на клетки D22 : D44 се попълва автоматично с информацията въведена на страницата Publications </t>
        </r>
      </text>
    </comment>
    <comment ref="A67" authorId="0" shapeId="0">
      <text>
        <r>
          <rPr>
            <b/>
            <sz val="8"/>
            <color indexed="81"/>
            <rFont val="Tahoma"/>
            <family val="2"/>
          </rPr>
          <t xml:space="preserve">Маркирайте квадратчето само ако искате да включите текущата секция. 
</t>
        </r>
        <r>
          <rPr>
            <sz val="8"/>
            <color indexed="10"/>
            <rFont val="Tahoma"/>
            <family val="2"/>
            <charset val="204"/>
          </rPr>
          <t xml:space="preserve">Ако оставите квадратчето немаркирано трябва да размаркирате и всики елементи на текущата секция </t>
        </r>
      </text>
    </comment>
    <comment ref="D67" authorId="0" shapeId="0">
      <text>
        <r>
          <rPr>
            <b/>
            <sz val="8"/>
            <color indexed="81"/>
            <rFont val="Tahoma"/>
            <family val="2"/>
          </rPr>
          <t>В тази клетка попълнете текста, който ще излиза като заглавие на секцията</t>
        </r>
      </text>
    </comment>
    <comment ref="D80" authorId="0" shapeId="0">
      <text>
        <r>
          <rPr>
            <b/>
            <sz val="8"/>
            <color indexed="81"/>
            <rFont val="Tahoma"/>
            <family val="2"/>
          </rPr>
          <t>В тази клетка попълнете текста, който ще излиза като заглавие на секцията</t>
        </r>
      </text>
    </comment>
    <comment ref="D81" authorId="0" shapeId="0">
      <text>
        <r>
          <rPr>
            <b/>
            <sz val="8"/>
            <color indexed="81"/>
            <rFont val="Tahoma"/>
            <family val="2"/>
          </rPr>
          <t xml:space="preserve">Име на институцията </t>
        </r>
      </text>
    </comment>
    <comment ref="H81" authorId="0" shapeId="0">
      <text>
        <r>
          <rPr>
            <b/>
            <sz val="8"/>
            <color indexed="81"/>
            <rFont val="Tahoma"/>
            <family val="2"/>
          </rPr>
          <t>Получена научна или образователна степен</t>
        </r>
      </text>
    </comment>
    <comment ref="I81" authorId="0" shapeId="0">
      <text>
        <r>
          <rPr>
            <b/>
            <sz val="8"/>
            <color indexed="81"/>
            <rFont val="Tahoma"/>
            <family val="2"/>
          </rPr>
          <t xml:space="preserve">Допълнителна информация.
</t>
        </r>
        <r>
          <rPr>
            <sz val="8"/>
            <color indexed="81"/>
            <rFont val="Tahoma"/>
            <family val="2"/>
            <charset val="204"/>
          </rPr>
          <t>Специалност, факултет
тема на научната разработка...</t>
        </r>
      </text>
    </comment>
    <comment ref="D87" authorId="0" shapeId="0">
      <text>
        <r>
          <rPr>
            <b/>
            <sz val="8"/>
            <color indexed="81"/>
            <rFont val="Tahoma"/>
            <family val="2"/>
          </rPr>
          <t>В тази клетка попълнете текста, който ще излиза като заглавие на текущата секция</t>
        </r>
      </text>
    </comment>
    <comment ref="H88" authorId="0" shapeId="0">
      <text>
        <r>
          <rPr>
            <b/>
            <sz val="8"/>
            <color indexed="81"/>
            <rFont val="Tahoma"/>
            <family val="2"/>
          </rPr>
          <t>Получена научна или образователна степен</t>
        </r>
      </text>
    </comment>
    <comment ref="I88" authorId="0" shapeId="0">
      <text>
        <r>
          <rPr>
            <b/>
            <sz val="8"/>
            <color indexed="81"/>
            <rFont val="Tahoma"/>
            <family val="2"/>
          </rPr>
          <t xml:space="preserve">Допълнителна информация.
</t>
        </r>
        <r>
          <rPr>
            <sz val="8"/>
            <color indexed="81"/>
            <rFont val="Tahoma"/>
            <family val="2"/>
            <charset val="204"/>
          </rPr>
          <t>Специалност, факултет
тема на научната разработка...</t>
        </r>
      </text>
    </comment>
    <comment ref="D94" authorId="0" shapeId="0">
      <text>
        <r>
          <rPr>
            <b/>
            <sz val="8"/>
            <color indexed="81"/>
            <rFont val="Tahoma"/>
            <family val="2"/>
          </rPr>
          <t>В тази клетка попълнете текста, който ще излиза като заглавие на текущата секция</t>
        </r>
      </text>
    </comment>
    <comment ref="D95" authorId="0" shapeId="0">
      <text>
        <r>
          <rPr>
            <b/>
            <sz val="8"/>
            <color indexed="81"/>
            <rFont val="Tahoma"/>
            <family val="2"/>
          </rPr>
          <t>Работодател</t>
        </r>
      </text>
    </comment>
    <comment ref="H95" authorId="0" shapeId="0">
      <text>
        <r>
          <rPr>
            <b/>
            <sz val="8"/>
            <color indexed="81"/>
            <rFont val="Tahoma"/>
            <family val="2"/>
          </rPr>
          <t>Заемана длъжност</t>
        </r>
      </text>
    </comment>
    <comment ref="I95" authorId="0" shapeId="0">
      <text>
        <r>
          <rPr>
            <b/>
            <sz val="8"/>
            <color indexed="81"/>
            <rFont val="Tahoma"/>
            <family val="2"/>
          </rPr>
          <t>Служебни задължения Допълнителна информация</t>
        </r>
      </text>
    </comment>
    <comment ref="D106" authorId="0" shapeId="0">
      <text>
        <r>
          <rPr>
            <b/>
            <sz val="8"/>
            <color indexed="81"/>
            <rFont val="Tahoma"/>
            <family val="2"/>
          </rPr>
          <t>В тази клетка попълнете текста, който ще излиза като заглавие на текущата секция</t>
        </r>
      </text>
    </comment>
    <comment ref="E106" authorId="0" shapeId="0">
      <text>
        <r>
          <rPr>
            <b/>
            <sz val="8"/>
            <color indexed="81"/>
            <rFont val="Tahoma"/>
            <family val="2"/>
          </rPr>
          <t>Ключови думи, описващи професионалните интереси</t>
        </r>
      </text>
    </comment>
    <comment ref="A121" authorId="0" shapeId="0">
      <text>
        <r>
          <rPr>
            <b/>
            <sz val="8"/>
            <color indexed="81"/>
            <rFont val="Tahoma"/>
            <family val="2"/>
          </rPr>
          <t xml:space="preserve">Маркирайте квадратчето само ако искате да включите текущата секция. 
</t>
        </r>
        <r>
          <rPr>
            <sz val="8"/>
            <color indexed="10"/>
            <rFont val="Tahoma"/>
            <family val="2"/>
            <charset val="204"/>
          </rPr>
          <t>Ако оставите квадратчето немаркирано трябва да размаркирате и всики елементи на текущата секция</t>
        </r>
        <r>
          <rPr>
            <b/>
            <sz val="8"/>
            <color indexed="81"/>
            <rFont val="Tahoma"/>
            <family val="2"/>
          </rPr>
          <t xml:space="preserve"> </t>
        </r>
      </text>
    </comment>
    <comment ref="A133" authorId="0" shapeId="0">
      <text>
        <r>
          <rPr>
            <b/>
            <sz val="8"/>
            <color indexed="81"/>
            <rFont val="Tahoma"/>
            <family val="2"/>
          </rPr>
          <t>Маркирайте квадратчето само ако искате да включите текущата секция.</t>
        </r>
        <r>
          <rPr>
            <sz val="8"/>
            <color indexed="81"/>
            <rFont val="Tahoma"/>
            <family val="2"/>
            <charset val="204"/>
          </rPr>
          <t xml:space="preserve"> 
</t>
        </r>
        <r>
          <rPr>
            <sz val="8"/>
            <color indexed="10"/>
            <rFont val="Tahoma"/>
            <family val="2"/>
            <charset val="204"/>
          </rPr>
          <t xml:space="preserve">Ако оставите квадратчето немаркирано трябва да размаркирате и всики елементи на текущата секция </t>
        </r>
      </text>
    </comment>
    <comment ref="D133" authorId="0" shapeId="0">
      <text>
        <r>
          <rPr>
            <b/>
            <sz val="8"/>
            <color indexed="81"/>
            <rFont val="Tahoma"/>
            <family val="2"/>
          </rPr>
          <t>Нова секция, в която може да добавите допълнителна  информация</t>
        </r>
      </text>
    </comment>
    <comment ref="D134" authorId="0" shapeId="0">
      <text>
        <r>
          <rPr>
            <b/>
            <sz val="8"/>
            <color indexed="81"/>
            <rFont val="Tahoma"/>
            <family val="2"/>
          </rPr>
          <t>Допълнителен ред в текущата секция</t>
        </r>
      </text>
    </comment>
    <comment ref="D194" authorId="0" shapeId="0">
      <text>
        <r>
          <rPr>
            <b/>
            <sz val="8"/>
            <color indexed="81"/>
            <rFont val="Tahoma"/>
            <family val="2"/>
          </rPr>
          <t>Текст на връзката със страницата с публикации</t>
        </r>
      </text>
    </comment>
    <comment ref="E194" authorId="0" shapeId="0">
      <text>
        <r>
          <rPr>
            <b/>
            <sz val="8"/>
            <color indexed="81"/>
            <rFont val="Tahoma"/>
            <family val="2"/>
          </rPr>
          <t>Общ брой публикации</t>
        </r>
      </text>
    </comment>
    <comment ref="D195" authorId="0" shapeId="0">
      <text>
        <r>
          <rPr>
            <b/>
            <sz val="8"/>
            <color indexed="81"/>
            <rFont val="Tahoma"/>
            <family val="2"/>
          </rPr>
          <t>Описание на типа публикации в текущя ред</t>
        </r>
      </text>
    </comment>
    <comment ref="E195" authorId="0" shapeId="0">
      <text>
        <r>
          <rPr>
            <b/>
            <sz val="8"/>
            <color indexed="81"/>
            <rFont val="Tahoma"/>
            <family val="2"/>
          </rPr>
          <t>Брой публикации от вида указан в клетка D195</t>
        </r>
      </text>
    </comment>
    <comment ref="D204" authorId="0" shapeId="0">
      <text>
        <r>
          <rPr>
            <b/>
            <sz val="8"/>
            <color indexed="81"/>
            <rFont val="Tahoma"/>
            <family val="2"/>
          </rPr>
          <t>В тази клетка попълнете текста, който ще излиза като заглавие на текущата секция</t>
        </r>
      </text>
    </comment>
    <comment ref="D205" authorId="0" shapeId="0">
      <text>
        <r>
          <rPr>
            <b/>
            <sz val="8"/>
            <color indexed="81"/>
            <rFont val="Tahoma"/>
            <family val="2"/>
          </rPr>
          <t>Текст на връзката със страницата с публикации</t>
        </r>
      </text>
    </comment>
    <comment ref="E205" authorId="0" shapeId="0">
      <text>
        <r>
          <rPr>
            <b/>
            <sz val="8"/>
            <color indexed="81"/>
            <rFont val="Tahoma"/>
            <family val="2"/>
          </rPr>
          <t>Общ брой цитирания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5" authorId="0" shapeId="0">
      <text>
        <r>
          <rPr>
            <b/>
            <sz val="8"/>
            <color indexed="81"/>
            <rFont val="Tahoma"/>
            <family val="2"/>
          </rPr>
          <t>В тази клетка попълнете текста, който ще излиза като заглавие на текущата секция</t>
        </r>
      </text>
    </comment>
    <comment ref="D216" authorId="0" shapeId="0">
      <text>
        <r>
          <rPr>
            <b/>
            <sz val="8"/>
            <color indexed="81"/>
            <rFont val="Tahoma"/>
            <family val="2"/>
          </rPr>
          <t>Език: ниво на владеене</t>
        </r>
      </text>
    </comment>
  </commentList>
</comments>
</file>

<file path=xl/comments4.xml><?xml version="1.0" encoding="utf-8"?>
<comments xmlns="http://schemas.openxmlformats.org/spreadsheetml/2006/main">
  <authors>
    <author>Vital</author>
  </authors>
  <commentList>
    <comment ref="D3" authorId="0" shapeId="0">
      <text>
        <r>
          <rPr>
            <b/>
            <sz val="8"/>
            <color indexed="81"/>
            <rFont val="Tahoma"/>
            <family val="2"/>
          </rPr>
          <t>В тази клетка попълнете желаното от вас заглавие на страницата</t>
        </r>
      </text>
    </comment>
    <comment ref="D17" authorId="0" shapeId="0">
      <text>
        <r>
          <rPr>
            <b/>
            <sz val="8"/>
            <color indexed="81"/>
            <rFont val="Tahoma"/>
            <family val="2"/>
          </rPr>
          <t xml:space="preserve">Съдържанието на клетки D22 : D44 се попълва автоматично с информацията въведена на страницата Publications </t>
        </r>
      </text>
    </comment>
    <comment ref="D65" authorId="0" shapeId="0">
      <text>
        <r>
          <rPr>
            <b/>
            <sz val="8"/>
            <color indexed="81"/>
            <rFont val="Tahoma"/>
            <family val="2"/>
          </rPr>
          <t xml:space="preserve">Авторско име по което ще бъдат различавани вашите публикации от тези които Ви цитират
</t>
        </r>
        <r>
          <rPr>
            <b/>
            <sz val="8"/>
            <color indexed="10"/>
            <rFont val="Tahoma"/>
            <family val="2"/>
            <charset val="204"/>
          </rPr>
          <t>Не оставяйте празно</t>
        </r>
      </text>
    </comment>
    <comment ref="E65" authorId="0" shapeId="0">
      <text>
        <r>
          <rPr>
            <b/>
            <sz val="8"/>
            <color indexed="81"/>
            <rFont val="Tahoma"/>
            <family val="2"/>
          </rPr>
          <t xml:space="preserve">Друго изписване на вашето име  по което ще бъдат различавани вашите публикации от тези които Ви цитират.
</t>
        </r>
        <r>
          <rPr>
            <b/>
            <sz val="8"/>
            <color indexed="10"/>
            <rFont val="Tahoma"/>
            <family val="2"/>
            <charset val="204"/>
          </rPr>
          <t>Не оставяйте празно</t>
        </r>
      </text>
    </comment>
    <comment ref="F65" authorId="0" shapeId="0">
      <text>
        <r>
          <rPr>
            <b/>
            <sz val="8"/>
            <color indexed="81"/>
            <rFont val="Tahoma"/>
            <family val="2"/>
          </rPr>
          <t xml:space="preserve">Друго изписване на вашето име  по което ще бъдат различавани вашите публикации от тези които Ви цитират.
</t>
        </r>
        <r>
          <rPr>
            <b/>
            <sz val="8"/>
            <color indexed="10"/>
            <rFont val="Tahoma"/>
            <family val="2"/>
            <charset val="204"/>
          </rPr>
          <t>Не оставяйте празно</t>
        </r>
      </text>
    </comment>
    <comment ref="D67" authorId="0" shapeId="0">
      <text>
        <r>
          <rPr>
            <b/>
            <sz val="8"/>
            <color indexed="81"/>
            <rFont val="Tahoma"/>
            <family val="2"/>
          </rPr>
          <t>Общ брой на цитиранията</t>
        </r>
      </text>
    </comment>
    <comment ref="A70" authorId="0" shapeId="0">
      <text>
        <r>
          <rPr>
            <b/>
            <sz val="8"/>
            <color indexed="81"/>
            <rFont val="Tahoma"/>
            <family val="2"/>
          </rPr>
          <t>Автоматична номерация на цитиранията Ви по публикации</t>
        </r>
      </text>
    </comment>
    <comment ref="D70" authorId="0" shapeId="0">
      <text>
        <r>
          <rPr>
            <b/>
            <sz val="8"/>
            <color indexed="81"/>
            <rFont val="Tahoma"/>
            <family val="2"/>
          </rPr>
          <t xml:space="preserve">Пълно библиографско описание на ваша публикация или цитиране </t>
        </r>
      </text>
    </comment>
  </commentList>
</comments>
</file>

<file path=xl/comments5.xml><?xml version="1.0" encoding="utf-8"?>
<comments xmlns="http://schemas.openxmlformats.org/spreadsheetml/2006/main">
  <authors>
    <author>Vital</author>
  </authors>
  <commentList>
    <comment ref="D5" authorId="0" shapeId="0">
      <text>
        <r>
          <rPr>
            <b/>
            <sz val="8"/>
            <color indexed="81"/>
            <rFont val="Tahoma"/>
            <family val="2"/>
          </rPr>
          <t>Име на файла който съдържа снимката от индексната стр.</t>
        </r>
      </text>
    </comment>
    <comment ref="D19" authorId="0" shapeId="0">
      <text>
        <r>
          <rPr>
            <b/>
            <sz val="8"/>
            <color indexed="81"/>
            <rFont val="Tahoma"/>
            <family val="2"/>
          </rPr>
          <t xml:space="preserve">Ключови думи, описващи вашите научни интереси </t>
        </r>
      </text>
    </comment>
    <comment ref="D27" authorId="0" shapeId="0">
      <text>
        <r>
          <rPr>
            <b/>
            <sz val="8"/>
            <color indexed="81"/>
            <rFont val="Tahoma"/>
            <family val="2"/>
          </rPr>
          <t>Попълнете вашия служебен e-mail адрес</t>
        </r>
      </text>
    </comment>
    <comment ref="D35" authorId="0" shapeId="0">
      <text>
        <r>
          <rPr>
            <b/>
            <sz val="8"/>
            <color indexed="81"/>
            <rFont val="Tahoma"/>
            <family val="2"/>
          </rPr>
          <t>Служебни телефони</t>
        </r>
      </text>
    </comment>
    <comment ref="D43" authorId="0" shapeId="0">
      <text>
        <r>
          <rPr>
            <b/>
            <sz val="8"/>
            <color indexed="81"/>
            <rFont val="Tahoma"/>
            <family val="2"/>
          </rPr>
          <t>Адрес на личната Ви Web страница</t>
        </r>
      </text>
    </comment>
    <comment ref="D51" authorId="0" shapeId="0">
      <text>
        <r>
          <rPr>
            <b/>
            <sz val="8"/>
            <color indexed="81"/>
            <rFont val="Tahoma"/>
            <family val="2"/>
          </rPr>
          <t xml:space="preserve">Стойността по подразбиране 
</t>
        </r>
        <r>
          <rPr>
            <b/>
            <sz val="8"/>
            <color indexed="12"/>
            <rFont val="Tahoma"/>
            <family val="2"/>
            <charset val="204"/>
          </rPr>
          <t>CLBME - BAS</t>
        </r>
        <r>
          <rPr>
            <b/>
            <sz val="8"/>
            <color indexed="81"/>
            <rFont val="Tahoma"/>
            <family val="2"/>
          </rPr>
          <t xml:space="preserve"> е 
свързана със 
картата на София</t>
        </r>
      </text>
    </comment>
    <comment ref="E51" authorId="0" shapeId="0">
      <text>
        <r>
          <rPr>
            <b/>
            <sz val="8"/>
            <color indexed="81"/>
            <rFont val="Tahoma"/>
            <family val="2"/>
          </rPr>
          <t xml:space="preserve">Попълнете етажа и номера на стаята си </t>
        </r>
      </text>
    </comment>
  </commentList>
</comments>
</file>

<file path=xl/sharedStrings.xml><?xml version="1.0" encoding="utf-8"?>
<sst xmlns="http://schemas.openxmlformats.org/spreadsheetml/2006/main" count="483" uniqueCount="272">
  <si>
    <t>Hristo Aladjov's Publications</t>
  </si>
  <si>
    <t>Title</t>
  </si>
  <si>
    <t>Page Title</t>
  </si>
  <si>
    <t xml:space="preserve">&lt;script language="JavaScript"&gt; </t>
  </si>
  <si>
    <t xml:space="preserve"> function UpdateTitle()</t>
  </si>
  <si>
    <t xml:space="preserve">  {</t>
  </si>
  <si>
    <t xml:space="preserve">   parent.document.title = document.title;</t>
  </si>
  <si>
    <t xml:space="preserve">   return true;</t>
  </si>
  <si>
    <t xml:space="preserve">  }</t>
  </si>
  <si>
    <t xml:space="preserve">&lt;/script&gt; </t>
  </si>
  <si>
    <t>&lt;body bgcolor="#FFFFFF" text="#0D3689" link="#022D84" vlink="#808080" alink="#0080FF" leftmargin="0" topmargin="0" marginwidth="0" onLoad="UpdateTitle()"&gt;</t>
  </si>
  <si>
    <t>&lt;tr&gt;&lt;td colspan="2" bgcolor="#EEEEEE" bordercolor="#EEEEEE"&gt;&lt;font size="-2"&gt;&amp;nbsp;&lt;/font&gt;&lt;/td&gt;&lt;/tr&gt;</t>
  </si>
  <si>
    <t>&lt;table width="535" border="1" cellspacing="1" cellpadding="0" align="center" bordercolor="#FFFFFF" bgcolor="#FFFFFF"&gt;</t>
  </si>
  <si>
    <t>&lt;tr&gt;</t>
  </si>
  <si>
    <t xml:space="preserve">    &lt;td&gt;</t>
  </si>
  <si>
    <t>Xpu100.jpg</t>
  </si>
  <si>
    <t>Image</t>
  </si>
  <si>
    <t>Hristo Tsvetanov Aladjov</t>
  </si>
  <si>
    <t>Res. Assist., MSc, Ph.D.</t>
  </si>
  <si>
    <t xml:space="preserve">     &lt;table border="1" cellspacing="1" cellpadding="0" align="center" bordercolor="#FFFFFF" bgcolor="#FFFFFF"&gt;</t>
  </si>
  <si>
    <t xml:space="preserve">       &lt;tr&gt;</t>
  </si>
  <si>
    <t>Name</t>
  </si>
  <si>
    <t xml:space="preserve">       &lt;/tr&gt;</t>
  </si>
  <si>
    <t xml:space="preserve">         &lt;td bordercolor="#EEEEEE" colspan="2" align="center" &gt;</t>
  </si>
  <si>
    <t xml:space="preserve">       &lt;tr bordercolor="#EEEEEE"&gt;</t>
  </si>
  <si>
    <t xml:space="preserve">         &lt;td valign="top"&gt;&lt;em&gt;&lt;font color="#FF0000"&gt;O&lt;/font&gt;fficial &lt;font color="#FF0000"&gt;A&lt;/font&gt;ddress:&lt;/em&gt;&lt;/td&gt;</t>
  </si>
  <si>
    <t xml:space="preserve">         1113 &lt;a href="http://www.sofia.com/"&gt;Sofia&lt;/a&gt;, &lt;a href="http://www.bulgaria.com/"&gt;Bulgaria&lt;/a&gt;&lt;br&gt;</t>
  </si>
  <si>
    <t xml:space="preserve">         &lt;/td&gt;</t>
  </si>
  <si>
    <t>Official Address</t>
  </si>
  <si>
    <t>Centre of Biomedical Engineering</t>
  </si>
  <si>
    <t>Bulgarian Academy of Science</t>
  </si>
  <si>
    <t>Room 207A, 2th fl., Bl.105</t>
  </si>
  <si>
    <t>Acad. George Bonchev Str.</t>
  </si>
  <si>
    <t>1113 Sofia, Bulgaria</t>
  </si>
  <si>
    <t>&lt;/tr&gt;</t>
  </si>
  <si>
    <t xml:space="preserve">         &lt;td&gt;&lt;div align="right"&gt;&lt;font color="#FF0000"&gt;&lt;em&gt;T&lt;/font&gt;el.:&lt;/em&gt;&lt;/div&gt;&lt;/td&gt;</t>
  </si>
  <si>
    <t>Phone</t>
  </si>
  <si>
    <t xml:space="preserve">         &lt;td&gt;&lt;div align="right"&gt;&lt;font color="#FF0000"&gt;&lt;em&gt;F&lt;/font&gt;ax:&lt;/em&gt;&lt;/div&gt;&lt;/td&gt;</t>
  </si>
  <si>
    <t>aladjov@clbme.bas.bg</t>
  </si>
  <si>
    <t xml:space="preserve">         &lt;td&gt;&lt;div align="right"&gt;&lt;font color="#FF0000"&gt;&lt;em&gt;E&lt;/font&gt;-mail:&lt;/em&gt;&lt;/div&gt;&lt;/td&gt;</t>
  </si>
  <si>
    <t>Fax</t>
  </si>
  <si>
    <t>E-mail</t>
  </si>
  <si>
    <t xml:space="preserve">         &lt;td&gt;&lt;/td&gt;</t>
  </si>
  <si>
    <t>(+359) 2 723787</t>
  </si>
  <si>
    <t>(+359 2) 9793654, (+359 2) 8700527</t>
  </si>
  <si>
    <t>&lt;/table&gt;</t>
  </si>
  <si>
    <t xml:space="preserve">     &lt;/table&gt;</t>
  </si>
  <si>
    <t xml:space="preserve">    &lt;/td&gt;</t>
  </si>
  <si>
    <t>Citations</t>
  </si>
  <si>
    <t>&lt;table width="535" border="0" cellspacing="1" cellpadding="0" align="center"&gt;</t>
  </si>
  <si>
    <t>&lt;td colspan="3" bgcolor="#EEEEEE" bordercolor="#EEEEEE"&gt;</t>
  </si>
  <si>
    <t>&lt;/td&gt;</t>
  </si>
  <si>
    <t>Research activities</t>
  </si>
  <si>
    <t>Selected Publications</t>
  </si>
  <si>
    <t>Curriculum Vitae</t>
  </si>
  <si>
    <t>Links</t>
  </si>
  <si>
    <t>Publicstions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</si>
  <si>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</si>
  <si>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</si>
  <si>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</si>
  <si>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</si>
  <si>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</si>
  <si>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</si>
  <si>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</si>
  <si>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</si>
  <si>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</si>
  <si>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</si>
  <si>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</si>
  <si>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</si>
  <si>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</si>
  <si>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</si>
  <si>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</si>
  <si>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No</t>
  </si>
  <si>
    <t>Abstract File Name</t>
  </si>
  <si>
    <t>Full Text File Name</t>
  </si>
  <si>
    <t>016</t>
  </si>
  <si>
    <t>017</t>
  </si>
  <si>
    <t>018</t>
  </si>
  <si>
    <t>019</t>
  </si>
  <si>
    <t>020</t>
  </si>
  <si>
    <t>&lt;/html&gt;</t>
  </si>
  <si>
    <t>&lt;/body&gt;</t>
  </si>
  <si>
    <t>&lt;br&gt;&lt;br&gt;&lt;div align="center"&gt;&lt;font size="-2"&gt;For comments and suggestions please contact to &lt;A href="mailto:aladjov@clbme.bas.bg"&gt;webmaster&lt;/A&gt;&lt;br&gt; Last modified on Wed, 13 Aug 2003. &lt;/font&gt;&lt;/div&gt;</t>
  </si>
  <si>
    <t>Section</t>
  </si>
  <si>
    <t xml:space="preserve"> </t>
  </si>
  <si>
    <t>Institution</t>
  </si>
  <si>
    <t>From</t>
  </si>
  <si>
    <t>To</t>
  </si>
  <si>
    <t>Town</t>
  </si>
  <si>
    <t>Degree</t>
  </si>
  <si>
    <t>Info</t>
  </si>
  <si>
    <t>Section Title</t>
  </si>
  <si>
    <t>Work Experience</t>
  </si>
  <si>
    <t>Section Title/Institution</t>
  </si>
  <si>
    <t>Possition</t>
  </si>
  <si>
    <t>Duties</t>
  </si>
  <si>
    <t>Research Fields</t>
  </si>
  <si>
    <t>Keywords</t>
  </si>
  <si>
    <t>Professional Memberships</t>
  </si>
  <si>
    <t>Section Title//Institution name</t>
  </si>
  <si>
    <t>Research Grands and Awards</t>
  </si>
  <si>
    <t>Patents and Publications</t>
  </si>
  <si>
    <t>publications, including:</t>
  </si>
  <si>
    <t>27</t>
  </si>
  <si>
    <t>1</t>
  </si>
  <si>
    <t>number of publications from specific type</t>
  </si>
  <si>
    <t>Languages</t>
  </si>
  <si>
    <t>Personal Information</t>
  </si>
  <si>
    <t>Bulgarian</t>
  </si>
  <si>
    <t>Nationality:</t>
  </si>
  <si>
    <t>Place of Birth:</t>
  </si>
  <si>
    <t>Date of Birth:</t>
  </si>
  <si>
    <t>Marital Satus:</t>
  </si>
  <si>
    <t>Telephone:</t>
  </si>
  <si>
    <t>E-mail:</t>
  </si>
  <si>
    <t>Messanger:</t>
  </si>
  <si>
    <t>5 September 1975</t>
  </si>
  <si>
    <t>Sofia, Bulgaria</t>
  </si>
  <si>
    <t xml:space="preserve"> +(359)2 626515 </t>
  </si>
  <si>
    <t xml:space="preserve">aladjov@abv.bg </t>
  </si>
  <si>
    <t xml:space="preserve">ICQ: 7730955 </t>
  </si>
  <si>
    <t>Education</t>
  </si>
  <si>
    <t>1993</t>
  </si>
  <si>
    <t>1998</t>
  </si>
  <si>
    <t>Sofia</t>
  </si>
  <si>
    <t>Technical University,</t>
  </si>
  <si>
    <t>Master of Computer Science</t>
  </si>
  <si>
    <t>Department of Computer Science.&lt;br&gt;Specialty: Computer Engineering.&lt;br&gt;Graduate thesis: Generalized Nets in Machine Learning.</t>
  </si>
  <si>
    <t>1994</t>
  </si>
  <si>
    <t>1997</t>
  </si>
  <si>
    <t>Graduate specialty</t>
  </si>
  <si>
    <t>Multimedia technologies</t>
  </si>
  <si>
    <t>&lt;table width="536" border="1" cellspacing="1" cellpadding="0" align="center" bordercolor="#FFFFFF" bgcolor="#FFFFFF"  border="0"&gt;</t>
  </si>
  <si>
    <t>Single</t>
  </si>
  <si>
    <t>Address:</t>
  </si>
  <si>
    <t>19 Koziak Str., Bl. Perun, apt. 99 &lt;br&gt; 1407 Sofia, Bulgaria</t>
  </si>
  <si>
    <t>Degrees</t>
  </si>
  <si>
    <t xml:space="preserve">Bulgarian Academy of Sciences </t>
  </si>
  <si>
    <t>1999</t>
  </si>
  <si>
    <t>2000</t>
  </si>
  <si>
    <t>Ph.D.</t>
  </si>
  <si>
    <t>Center of Biomedical Engineering&lt;br&gt;Ph.D. thesis: Generalized net models of self-training processes and their applications for motor control investigations.</t>
  </si>
  <si>
    <t>Union ''Knowledge''</t>
  </si>
  <si>
    <t>1996</t>
  </si>
  <si>
    <t>Teacher</t>
  </si>
  <si>
    <t>Computer skills teacher</t>
  </si>
  <si>
    <t>artificial intelligence, motor control, discrete mathematics, programming</t>
  </si>
  <si>
    <t>Union of Bulgarian Mathematicians</t>
  </si>
  <si>
    <t>book published in Bulgaria</t>
  </si>
  <si>
    <t>in international scientific journals</t>
  </si>
  <si>
    <t>in proceedings of foreign international conferences</t>
  </si>
  <si>
    <t>in proceedings of international conferences held in Bulgaria</t>
  </si>
  <si>
    <t>10</t>
  </si>
  <si>
    <t>4</t>
  </si>
  <si>
    <t>13</t>
  </si>
  <si>
    <t>known citations, including:</t>
  </si>
  <si>
    <t>14</t>
  </si>
  <si>
    <t>in two survey papers</t>
  </si>
  <si>
    <t>in doctoral disertation</t>
  </si>
  <si>
    <t>in web survey</t>
  </si>
  <si>
    <t>12</t>
  </si>
  <si>
    <t>Section Text</t>
  </si>
  <si>
    <t>Hristo Aladjov's CV</t>
  </si>
  <si>
    <t>Aladjov</t>
  </si>
  <si>
    <t>Аладжов</t>
  </si>
  <si>
    <t>Author Name</t>
  </si>
  <si>
    <t>Hristo Aladjov's Citations</t>
  </si>
  <si>
    <t>Publications Data Sheet</t>
  </si>
  <si>
    <t>За коментари и въпроси се обръщайте към Христо Аладжов aladjov@clbme.bas.bg или друг ваш колега вече попълвал формата.</t>
  </si>
  <si>
    <t xml:space="preserve">Общи указания </t>
  </si>
  <si>
    <t>Попълването на общата за всички страници част може да се извърши еднократно, като информацията в нея се пренася автоматично и по останалите страници. При попълването на формата имайте предвид следните бележки:</t>
  </si>
  <si>
    <t xml:space="preserve">Всички полета в които трябва да попълвате информация имат син цвят на шрифта. Ако пишете в поле с друг цвят или цвета на шрифта Ви не е син най-вероятно информацията която въвеждате няма да бъде интерпретирана коректно. </t>
  </si>
  <si>
    <t>Клетките за които има допълнителна помощна информация за начина на попълването имат в горния десен ъгъл червено триъгълниче, позиционирайки се върху което може да видите тази информация.</t>
  </si>
  <si>
    <t xml:space="preserve">Уважаеми колеги, с настоящата форма изключително много се облекчава работата по създаването и обновяването на съдържанието на вашата лична Интернет страница. Към настоящия момент тя се състои от четири незадължителни секции, а именно:
- описание на вашата научна дейност, текущи проекти и интереси;
- списък на вашите публикации; 
- автобиография;
- списък на вашите цитирания.
</t>
  </si>
  <si>
    <t xml:space="preserve">За да включите или изключите дадена секция от вашата страница може да маркирате или не съответното контролна квадратче (checkbox)  </t>
  </si>
  <si>
    <t>При копирането или въвеждането на информация във формата избягвайте да има нови параграфи или други специални символи.</t>
  </si>
  <si>
    <r>
      <t xml:space="preserve">За форматиране на текста в HTML формат е необходимо текста да се загради в управляващи команди (tags) които се заграждат със знака за по-малко "&lt;" и по-голямо "&gt;". Например за да форматирате текста в стил "Italic" използвайте записа: </t>
    </r>
    <r>
      <rPr>
        <b/>
        <sz val="10"/>
        <rFont val="Arial"/>
        <family val="2"/>
        <charset val="204"/>
      </rPr>
      <t>&lt;em&gt;</t>
    </r>
    <r>
      <rPr>
        <sz val="10"/>
        <rFont val="Arial"/>
        <charset val="204"/>
      </rPr>
      <t xml:space="preserve"> </t>
    </r>
    <r>
      <rPr>
        <sz val="10"/>
        <color indexed="10"/>
        <rFont val="Arial"/>
        <family val="2"/>
        <charset val="204"/>
      </rPr>
      <t>вашият текст</t>
    </r>
    <r>
      <rPr>
        <sz val="10"/>
        <rFont val="Arial"/>
        <charset val="204"/>
      </rPr>
      <t xml:space="preserve"> </t>
    </r>
    <r>
      <rPr>
        <b/>
        <sz val="10"/>
        <rFont val="Arial"/>
        <family val="2"/>
        <charset val="204"/>
      </rPr>
      <t>&lt;/em&gt;,</t>
    </r>
    <r>
      <rPr>
        <sz val="10"/>
        <rFont val="Arial"/>
        <charset val="204"/>
      </rPr>
      <t xml:space="preserve"> за да подчертаете текста "bold", използвайте записа: </t>
    </r>
    <r>
      <rPr>
        <b/>
        <sz val="10"/>
        <rFont val="Arial"/>
        <family val="2"/>
        <charset val="204"/>
      </rPr>
      <t>&lt;strong&gt;</t>
    </r>
    <r>
      <rPr>
        <sz val="10"/>
        <rFont val="Arial"/>
        <charset val="204"/>
      </rPr>
      <t xml:space="preserve"> </t>
    </r>
    <r>
      <rPr>
        <sz val="10"/>
        <color indexed="10"/>
        <rFont val="Arial"/>
        <family val="2"/>
        <charset val="204"/>
      </rPr>
      <t>вашият текст</t>
    </r>
    <r>
      <rPr>
        <sz val="10"/>
        <rFont val="Arial"/>
        <charset val="204"/>
      </rPr>
      <t xml:space="preserve"> </t>
    </r>
    <r>
      <rPr>
        <b/>
        <sz val="10"/>
        <rFont val="Arial"/>
        <family val="2"/>
        <charset val="204"/>
      </rPr>
      <t>&lt;/strong&gt;,</t>
    </r>
    <r>
      <rPr>
        <sz val="10"/>
        <rFont val="Arial"/>
        <charset val="204"/>
      </rPr>
      <t xml:space="preserve"> за минаване на нов ред използвайте </t>
    </r>
    <r>
      <rPr>
        <b/>
        <sz val="10"/>
        <rFont val="Arial"/>
        <family val="2"/>
        <charset val="204"/>
      </rPr>
      <t>&lt;br&gt;,</t>
    </r>
    <r>
      <rPr>
        <sz val="10"/>
        <rFont val="Arial"/>
        <family val="2"/>
        <charset val="204"/>
      </rPr>
      <t xml:space="preserve"> за добавяне на допълнителен празен интервал </t>
    </r>
    <r>
      <rPr>
        <b/>
        <sz val="10"/>
        <rFont val="Arial"/>
        <family val="2"/>
        <charset val="204"/>
      </rPr>
      <t>&amp;nbsp;</t>
    </r>
    <r>
      <rPr>
        <sz val="10"/>
        <rFont val="Arial"/>
        <family val="2"/>
        <charset val="204"/>
      </rPr>
      <t xml:space="preserve"> </t>
    </r>
    <r>
      <rPr>
        <sz val="10"/>
        <rFont val="Arial"/>
        <charset val="204"/>
      </rPr>
      <t xml:space="preserve">.
Например текстът: 
</t>
    </r>
    <r>
      <rPr>
        <sz val="10"/>
        <color indexed="12"/>
        <rFont val="Arial"/>
        <family val="2"/>
        <charset val="204"/>
      </rPr>
      <t>Текст1 &lt;em&gt;Текст 2&lt;/em&gt; &lt;strong&gt;Текст 3&lt;/strong&gt;&lt;br&gt; &lt;em&gt;&lt;strong&gt; Текст4&lt;/em&gt;&amp;nbsp;&amp;nbsp;&amp;nbsp; Текст 5&lt;/strong&gt;,</t>
    </r>
    <r>
      <rPr>
        <sz val="10"/>
        <rFont val="Arial"/>
        <charset val="204"/>
      </rPr>
      <t xml:space="preserve">
във Web Browsera ще изглежда така:
</t>
    </r>
    <r>
      <rPr>
        <sz val="10"/>
        <color indexed="12"/>
        <rFont val="Arial"/>
        <family val="2"/>
        <charset val="204"/>
      </rPr>
      <t xml:space="preserve">Текст1 </t>
    </r>
    <r>
      <rPr>
        <i/>
        <sz val="10"/>
        <color indexed="12"/>
        <rFont val="Arial"/>
        <family val="2"/>
        <charset val="204"/>
      </rPr>
      <t>Текст 2</t>
    </r>
    <r>
      <rPr>
        <sz val="10"/>
        <color indexed="12"/>
        <rFont val="Arial"/>
        <family val="2"/>
        <charset val="204"/>
      </rPr>
      <t xml:space="preserve"> </t>
    </r>
    <r>
      <rPr>
        <b/>
        <sz val="10"/>
        <color indexed="12"/>
        <rFont val="Arial"/>
        <family val="2"/>
        <charset val="204"/>
      </rPr>
      <t>Текст 3</t>
    </r>
    <r>
      <rPr>
        <sz val="10"/>
        <color indexed="12"/>
        <rFont val="Arial"/>
        <family val="2"/>
        <charset val="204"/>
      </rPr>
      <t xml:space="preserve">
</t>
    </r>
    <r>
      <rPr>
        <b/>
        <i/>
        <sz val="10"/>
        <color indexed="12"/>
        <rFont val="Arial"/>
        <family val="2"/>
        <charset val="204"/>
      </rPr>
      <t xml:space="preserve">Текст4   </t>
    </r>
    <r>
      <rPr>
        <b/>
        <sz val="10"/>
        <color indexed="12"/>
        <rFont val="Arial"/>
        <family val="2"/>
        <charset val="204"/>
      </rPr>
      <t xml:space="preserve"> Текст 5</t>
    </r>
    <r>
      <rPr>
        <sz val="10"/>
        <color indexed="12"/>
        <rFont val="Arial"/>
        <family val="2"/>
        <charset val="204"/>
      </rPr>
      <t>,</t>
    </r>
    <r>
      <rPr>
        <sz val="10"/>
        <rFont val="Arial"/>
        <charset val="204"/>
      </rPr>
      <t xml:space="preserve">
Най-лесно можете да замените съществуващото визуално форматиране като използвате Word. За целта от менюто Edit-&gt;Replace заменете текст форматиран в bold със същия текст ограден с подходящата команда т.е. &lt;strong&gt;^&amp;&lt;/strong&gt; 
</t>
    </r>
  </si>
  <si>
    <t>&lt;table width="535" border="0" cellspacing="0" cellpadding="0" align="center"&gt;</t>
  </si>
  <si>
    <t xml:space="preserve">    &lt;td bordercolor="#022D84"&gt;</t>
  </si>
  <si>
    <t xml:space="preserve">  &lt;tr&gt;</t>
  </si>
  <si>
    <t xml:space="preserve">       &lt;table width="471" border="1" cellspacing="1" cellpadding="0" align="center" bordercolor="#FFFFFF" bgcolor="#FFFFFF"&gt;</t>
  </si>
  <si>
    <t xml:space="preserve">         &lt;tr&gt;</t>
  </si>
  <si>
    <t xml:space="preserve">          &lt;td bgcolor="#022D84" bordercolor="#FFFFFF"&gt;&lt;em&gt;&lt;font color="#FFFFFF"&gt;&amp;nbsp;&lt;/font&gt;&lt;/em&gt; &lt;/td&gt;</t>
  </si>
  <si>
    <t xml:space="preserve">          &lt;td colspan=4 bordercolor="#022D84"&gt;&lt;em&gt;&lt;font color="#022D84"&gt;&lt;a name=GDI&gt;&lt;/a&gt;&amp;nbsp;&amp;nbsp;Prof. &lt;strong&gt;George Dimitrov&lt;/strong&gt;, Ph.D., D.Sci. - Head of Department&lt;/font&gt;&lt;/em&gt; &lt;/td&gt;</t>
  </si>
  <si>
    <t xml:space="preserve">         &lt;/tr&gt;</t>
  </si>
  <si>
    <t xml:space="preserve">          &lt;td width="5" bgcolor="#FFOOOO" bordercolor="#FFFFFF"&gt;&lt;em&gt;&lt;font color="#FFFFFF"&gt;&amp;nbsp;&lt;/font&gt;&lt;/em&gt; &lt;/td&gt;</t>
  </si>
  <si>
    <t xml:space="preserve">          &lt;td width="77" bordercolor="#FF0000"&gt;&lt;em&gt;&lt;font color="#022D84"&gt;&amp;nbsp;&amp;nbsp;interests:&lt;/font&gt;&lt;/em&gt; &lt;/td&gt;</t>
  </si>
  <si>
    <t xml:space="preserve">          &lt;td width="5"bgcolor="#FFOOOO" bordercolor="#FFFFFF"&gt;&lt;em&gt;&lt;font color="#FFFFFF"&gt;&amp;nbsp;&lt;/font&gt;&lt;/em&gt; &lt;/td&gt;</t>
  </si>
  <si>
    <t xml:space="preserve">          &lt;td width="5"bgcolor="#022D84" bordercolor="#FFFFFF"&gt;&lt;em&gt;&lt;font color="#FFFFFF"&gt;&amp;nbsp;&lt;/font&gt;&lt;/em&gt; &lt;/td&gt;</t>
  </si>
  <si>
    <t>interests:</t>
  </si>
  <si>
    <t xml:space="preserve">motor control, artificial intelligence </t>
  </si>
  <si>
    <t>Picture</t>
  </si>
  <si>
    <t>People Index</t>
  </si>
  <si>
    <t xml:space="preserve">          &lt;td bgcolor="#FFOOOO" bordercolor="#FFFFFF"&gt;&lt;em&gt;&lt;font color="#FFFFFF"&gt;&amp;nbsp;&lt;/font&gt;&lt;/em&gt; &lt;/td&gt;</t>
  </si>
  <si>
    <t xml:space="preserve">          &lt;td bordercolor="#FFOOOO"&gt;&lt;em&gt;&lt;font color="#022D84"&gt;&amp;nbsp;&amp;nbsp;e-mail:&lt;/font&gt;&lt;/em&gt; &lt;/td&gt;</t>
  </si>
  <si>
    <t>e-mail:</t>
  </si>
  <si>
    <t xml:space="preserve">          &lt;td bordercolor="#FFOOOO"&gt;&lt;em&gt;&lt;font color="#022D84"&gt;&amp;nbsp;&amp;nbsp;details:&lt;/font&gt;&lt;/em&gt; &lt;/td&gt;</t>
  </si>
  <si>
    <t xml:space="preserve">          &lt;td bgcolor="#022D84" bordercolor="#FFFFFF"&gt;&lt;em&gt;&lt;font color="#FFFFFF"&gt;&amp;nbsp;&lt;/font&gt;&lt;/em&gt; &lt;/td&gt; </t>
  </si>
  <si>
    <t>Hristo_Aladjov/Index.html</t>
  </si>
  <si>
    <t>details:</t>
  </si>
  <si>
    <t>phones:</t>
  </si>
  <si>
    <t xml:space="preserve">          &lt;td bordercolor="#FF0000"&gt;&lt;em&gt;&lt;font color="#022D84"&gt;&amp;nbsp;&amp;nbsp;phones:&lt;/font&gt;&lt;/em&gt; &lt;/td&gt;</t>
  </si>
  <si>
    <t>address:</t>
  </si>
  <si>
    <t xml:space="preserve">          &lt;td bordercolor="#FFOOOO"&gt;&lt;em&gt;&lt;font color="#022D84"&gt;&amp;nbsp;&amp;nbsp;address:&lt;/font&gt;&lt;/em&gt; &lt;/td&gt;</t>
  </si>
  <si>
    <t xml:space="preserve">         &lt;td bgcolor="#022D84" bordercolor="#FFFFFF"&gt;&lt;em&gt;&lt;font color="#FFFFFF"&gt;&amp;nbsp;&lt;/font&gt;&lt;/em&gt; &lt;/td&gt;</t>
  </si>
  <si>
    <t>2th fl., room 203</t>
  </si>
  <si>
    <t>CLBME - BAS</t>
  </si>
  <si>
    <t xml:space="preserve">  &lt;/tr&gt;</t>
  </si>
  <si>
    <t xml:space="preserve">       &lt;/table&gt;</t>
  </si>
  <si>
    <t>krasim.jpg</t>
  </si>
  <si>
    <t>&lt;strong&gt;Ljakova K., Y. Pavlov &lt;/strong&gt;(2003).&lt;strong&gt; &lt;/strong&gt;Methodological and Information Provision for some Aspects in Poultry Farming. Ecological Engineering and Environment Protection, 2, 52-59.</t>
  </si>
  <si>
    <t>&lt;strong&gt;Pavlov Y., K. Ljakova&lt;/strong&gt; (2003).&lt;strong&gt; &lt;/strong&gt;Machine Learning and Expert Utility Assessment. CompSysTech’2003.</t>
  </si>
  <si>
    <t>&lt;strong&gt;Pavlov Y., K. Ljakova&lt;/strong&gt; (2002). Jaffray-Karni Theorem and an Approximation based elicitation Method of Subjective Probabilities. International Conference AUTOMATIC and INFORMATIC 2002, 5-6 ноември, Sofia, 73-76.</t>
  </si>
  <si>
    <t>&lt;strong&gt;Лякова К., Ю Павлов&lt;/strong&gt; (2002). Моделиране и поддържане на решенията в птицепроизводството. Автоматика и информатика № 1, 42-48.</t>
  </si>
  <si>
    <t>&lt;strong&gt;Pavlov Y., K. Ljakova &lt;/strong&gt;(2002).&lt;strong&gt; &lt;/strong&gt;An Information System “Notepad&lt;em&gt;”.&lt;/em&gt; International Conference AUTOMATIC and INFORMATIC, 5-6 ноември, Sofia, 53-56.</t>
  </si>
  <si>
    <t>&lt;strong&gt;Pavlov Y., K. Ljakova &lt;/strong&gt;(2002). An Information System “GP Help&lt;em&gt;”.&lt;/em&gt; International Symposium and Young Scientists’ School Bioprocess System’02, October 29-29, I.30-I.34.</t>
  </si>
  <si>
    <t>&lt;strong&gt;Ljakova K., M. Petrov &lt;/strong&gt;(2001). An Approach for Modeling of Chickens’ Growth Breed Dekalb-Brown. &lt;em&gt;Biotechnol. &amp; Biotechnol. Eq., &lt;/em&gt;15(1), pp.113-118</t>
  </si>
  <si>
    <t xml:space="preserve">&lt;strong&gt;Pavlov Y., K. Ljakova&lt;/strong&gt; (2001). Utility Assessment in Complex Systems. International Conference - “Automatics and Informatics”, Sofia, May 30 – June 2, A151-A.155. </t>
  </si>
  <si>
    <t xml:space="preserve">&lt;strong&gt;Pavlov Y., K.&lt;/strong&gt; &lt;strong&gt;Ljakova&lt;/strong&gt; (2001). Fuzzy Logic and Utility Theory: an Expert Systems Based Comparison&lt;em&gt;. &lt;/em&gt;International Conference - “BIOPS- 2001”, Sofia, October 1-3, I.37-I.40. </t>
  </si>
  <si>
    <t>&lt;strong&gt;Pavlov Y., K. Ljakova&lt;/strong&gt; (2001). Utility Assessment in Complex Systems. International Conference Automatics and Informatics, 31 May – 2 June 2001, Sofia, pp. A-151-A.154.</t>
  </si>
  <si>
    <t>&lt;strong&gt;Petrov M.,&lt;/strong&gt; &lt;strong&gt;K. Ljakova &lt;/strong&gt;(2001). An Approach for Modelling and Optimisation the Weight of the Chicken from Breed Dekalb-Brown.&lt;em&gt; International Symposium and Young Scientists’ School “Bioprocess Systems”&lt;/em&gt;, 1.10.2001-3.10.2001, Sofia, pp. I.29-I.32</t>
  </si>
  <si>
    <t>&lt;strong&gt;Pavlov Y., K. Ljakova &lt;/strong&gt;(2001). Expert Information and Decision Support in Complex Bird Production Systems. &lt;em&gt;International Symposium and Young Scientists’ School “Bioprocess Systems”&lt;/em&gt;, 1.10.2001-3.10.2001, Sofia, pp. I.41-I.44.</t>
  </si>
  <si>
    <t>&lt;strong&gt;Ilkova T., K. Ljakova, M. Petrov &lt;/strong&gt;(2001). Several Optimization Procedures Applicable in Bird Production. &lt;em&gt;International Symposium and Young Scientists’ School “Bioprocess Systems”&lt;/em&gt;, 1.10.2001-3.10.2001, Sofia, pp.I.25-I.28.</t>
  </si>
  <si>
    <t>&lt;strong&gt;Pavlov Y., K. Ljakova&lt;/strong&gt; (2001).  Utility Assessment in Complex Systems. &lt;em&gt;International Conference Automatics and Informatics&lt;/em&gt;, 31 May – 2 June 2001, Sofia, pp. A-151-A.154.</t>
  </si>
  <si>
    <t>&lt;strong&gt;Ljakova K., M. Petrov&lt;/strong&gt;. (2001). An Approach for Modeling of Chickens’ Growth Breed DEKALB-Brown. &lt;em&gt;Biotechnol. &amp; Biotechnol. Eq., &lt;/em&gt;15(1), pp.113-118</t>
  </si>
  <si>
    <t>&lt;strong&gt;Ljakova K &lt;/strong&gt;(2000). An Algorithm for Prognosis of Live Weight of Broilers in Bird Production. &lt;em&gt;Biotechnol. &amp; Biotechnol. Eq., &lt;/em&gt;14(1), pp.120-123.</t>
  </si>
  <si>
    <t>&lt;strong&gt;Pavlov Y., K. Ljakova, St. Tzonkov &lt;/strong&gt;(2000). Mathematical Prediction in Bird’s Production: &lt;em&gt;Methods and Problems&lt;/em&gt;. &lt;em&gt;International Symposium and Young Scientists’ School “Bioprocess Systems”&lt;/em&gt;, 11.09.2000-13.09.2000, Sofia, pp. II.29-II.32.</t>
  </si>
  <si>
    <t>&lt;strong&gt;Ljakova K &lt;/strong&gt;(2000). An algorithm for calculation the prime cost of eggs in Bulgaria. - In: &lt;em&gt;International Simposium "Bioprocess Systems'2000",&lt;/em&gt; 30,09 -2,10,2000, pp. II.21 - II.24</t>
  </si>
  <si>
    <t>&lt;strong&gt;Ljakova K &lt;/strong&gt;(2000). An Algorithm for Calculation the Prime Cost of Eggs in Bulgaria. &lt;em&gt;International Symposium and Young Scientists’ School “Bioprocess Systems”&lt;/em&gt;, 11.09.2000-13.09.2000, Sofia, pp. II.21-II.24.</t>
  </si>
  <si>
    <t>&lt;strong&gt;Petrov M.,&lt;/strong&gt; &lt;strong&gt;K. Ljakova &lt;/strong&gt;(2000). Optimization the Weight of the Chicken Form Breed DEKALB-Brown. &lt;em&gt;International Symposium and Young Scientists’ School “Bioprocess Systems”&lt;/em&gt;, 11.09.2000-13.09.2000, Sofia, pp. II.33-II.36.</t>
  </si>
  <si>
    <t>&lt;strong&gt;Hristova T.&lt;/strong&gt;, &lt;strong&gt;K. Ljakova, M. Petrov &lt;/strong&gt;(2000). Optimization Influence of Temperature Regime for Some Factors in Bird Production. &lt;em&gt;International Symposium and Yonug Scientists’ School “Bioprocess Systems”&lt;/em&gt;, 11.09.2000-13.09.2000, Sofia, pp. II.25-II.28.</t>
  </si>
  <si>
    <t>&lt;strong&gt;Ljakova K., T. Hristova &lt;/strong&gt;(2000). Development of Data Base for Control of New Type Poultry-Farming. &lt;em&gt;International Symposium and Yonug Scientists’ School “Bioprocess Systems”&lt;/em&gt;, 11.09.2000-13.09.2000, Sofia, pp. II.37-II.41.</t>
  </si>
  <si>
    <t>&lt;strong&gt;Ljakova K., T. Hristova &lt;/strong&gt;(1999). A comparative analysis of soma indicators for ISA-brown and Shaver broilers. - In: &lt;em&gt;International Symposium and Young Scientisis’ School &lt;strong&gt;“Bioprocess Systems’99”&lt;/strong&gt;&lt;/em&gt;, 18.10 - 20.10.1999, pp. I.1 - I.4.</t>
  </si>
  <si>
    <t>&lt;strong&gt;Ljakova K., St. Milanov&lt;/strong&gt; (1999). A system for prognosis of life weigth of broilers in birf productien. - In: &lt;em&gt;International Symposium and Young Scientisis’ School &lt;strong&gt;“Bioprocess Systems’99”&lt;/strong&gt;&lt;/em&gt;, 18.10 - 20.10.1999, pp.I.9 - I.12.</t>
  </si>
  <si>
    <t>&lt;strong&gt;Milanov St., K. Ljakova&lt;/strong&gt; (1999). An influence of food compoition over live weight of broilers. - In: &lt;em&gt;International Symposium and Young Scientisis’ School&lt;strong&gt; “Bioprocess Systems’99”&lt;/strong&gt;&lt;/em&gt;, 18.10 - 20.10.1999, pp.I.17 - I.20.</t>
  </si>
  <si>
    <t>&lt;strong&gt;Ljakova K., M. Petrov&lt;/strong&gt; (1999). A comparative analysis of some indicators for ISA-brown and Dekalb-brown chickens. - In: &lt;em&gt;International Symposium and Young Scientisis’ School &lt;strong&gt;“Bioprocess Systems’99”&lt;/strong&gt;&lt;/em&gt;, 18.10 - 20.10.1999, pp.I.21 - I.24.</t>
  </si>
  <si>
    <t>&lt;strong&gt;Ljakova K.&lt;/strong&gt; (1998). Consulting Expert System “BEER” - In: &lt;em&gt;International Symposium and Young Scientisis’ School &lt;strong&gt;“Bioprocess Systems’98”&lt;/strong&gt;&lt;/em&gt;, 30.09 - 02.10.1998, pp.III.9 - III.12.</t>
  </si>
  <si>
    <t>&lt;strong&gt;Ljakova K. &lt;/strong&gt;(1998). Information system for research needs in bird production. - In: &lt;em&gt;International Symposium and Young Scientisis’ School &lt;strong&gt;“Bioprocess Systems’98”&lt;/strong&gt;&lt;/em&gt;, 30.09 - 02.10.1998, pp.III.13 - III.16</t>
  </si>
  <si>
    <t>&lt;strong&gt;Ljakova K.&lt;/strong&gt; (1998). A specialized data base for needs of -amylases biosynthesis. - In: &lt;em&gt;International Symposium and Young Scientisis’ School &lt;strong&gt;“Bioprocess Systems’98”&lt;/strong&gt;&lt;/em&gt;, 30.09 - 02.10.1998, pp.III.17 - III.19.</t>
  </si>
  <si>
    <t>&lt;strong&gt;Ljakova K., T. Hristova&lt;/strong&gt; (1998). Modelling of some factors to exert an influence in microclimate in bird production. - In: &lt;em&gt;International Symposium and Young Scientisis’ School&lt;strong&gt; “Bioprocess Systems’98”&lt;/strong&gt;&lt;/em&gt;, 30.09 - 02.10.1998, pp.II.1 - II.4.</t>
  </si>
  <si>
    <t>&lt;strong&gt;Лякова К.&lt;/strong&gt; (1997). Прогнозираща експертна система “Еритромицин”. Автоматика и информатика, 7/8, 28-31.</t>
  </si>
  <si>
    <t>&lt;strong&gt;Ljakova K. &lt;/strong&gt;(1997). Special Features in Designing of Specialozed Knowledge Bases in Expert System for Necessities of Bioprocess Systems. - In: &lt;em&gt;International Symposium and Young Scientists' School &lt;strong&gt;"Bioprocess Systems' 97”&lt;/strong&gt;&lt;/em&gt;, Sofia, 14 - 16 October 1997, p.III.1 - III.6.</t>
  </si>
  <si>
    <t>&lt;strong&gt;Ljakova K. &lt;/strong&gt;(1997). System for Check-up the Acceptabily of Knowledge in Expert System "LAB". - In: &lt;em&gt;Intenational Symposium and Young Scientists' School &lt;strong&gt;"Bioprocess Systems' 97”&lt;/strong&gt;&lt;/em&gt;, Sofia, 14 - 16 October 1997, p.III.7 - III.9.</t>
  </si>
  <si>
    <t>&lt;strong&gt;Nenov R., K. Ljakova, T. Hristova &lt;/strong&gt;(1997). Optimization of Biosynthesis in the Production of Lactic Acid. - In: &lt;em&gt;Intenational Symposium and Young Scientists' School &lt;strong&gt;"Bioprocess Systems' 97”&lt;/strong&gt;&lt;/em&gt;, Sofia, 14 - 16 October 1997, p.III.14 - III.16.</t>
  </si>
  <si>
    <t>&lt;strong&gt;Ljakova K., R. Nenov, S. Tzonkov &lt;/strong&gt;(1996). Specialized Data Base for Control of St, Pb and Cd in Egg-Production Ecotechnical Systems. - In: &lt;strong&gt;International Panel Conference on Soft and Intelligent Computing&lt;/strong&gt;, 7 - 10 October 1996, Budapest, Hungary</t>
  </si>
  <si>
    <t>&lt;strong&gt;Nenov R., K Ljakova, S. Mileva&lt;/strong&gt; (1996). Prognostic Expert System ''BAS'', 17th International Conference Information Technology Interfaces" ITI95, 13 - 16 June, 1996,  Pula , Croatia</t>
  </si>
  <si>
    <t>&lt;strong&gt;Ljakova K., R. Nenov, S. Tzonkov&lt;/strong&gt; (1995). Specialized DATA BASE for Control of Some Chemical Elements in Egg Production Ekotechikal System, 3rd Balkan Conference on Operational Research, 16-19 October, 1995, Tresaloniki, Greece.</t>
  </si>
  <si>
    <t>&lt;strong&gt;Ljakova K., R.Nenov, S.Tzonkov&lt;/strong&gt; (1994). A Prognostic Expert System for Lactic Acid "Pesla". IASTED International conference ARTIFICAL INTELLIGENCE, EXPERT SYSTEMS AND NEURAL NETWORKS, Juli 4-6, 1994, Zurich, Switzerland.</t>
  </si>
  <si>
    <t>&lt;strong&gt;Ljakova K., R. Nenov &lt;/strong&gt;(1993). An Expert System for Lactic Acid Biosynthesis. - Proc. of the I-th IFAC-TYPE Congress on Applied Automatic Systems ETAI'93, September 27-29, 1993, Session AAS/S, 189-190, Ohrid, Makedonia</t>
  </si>
  <si>
    <t xml:space="preserve">&lt;strong&gt;Ljakova K., M. Petrova&lt;/strong&gt; (1993). An Expert System on the Base of the Fuzzy Model for *- Amylases Biosynthesis. - Second International Congress on the Balkans Union for Fuzzy Systems and Artificial Intelligence, BURSA, 31 August - 5 September, 1993, 129 - 132, Trabzon - Turkey 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</si>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</sst>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>
    <font>
      <sz val="10"/>
      <name val="Arial"/>
      <charset val="204"/>
    </font>
    <font>
      <b/>
      <sz val="10"/>
      <name val="Arial"/>
      <family val="2"/>
      <charset val="204"/>
    </font>
    <font>
      <sz val="8"/>
      <color indexed="10"/>
      <name val="Courier"/>
      <family val="3"/>
      <charset val="204"/>
    </font>
    <font>
      <sz val="10"/>
      <color indexed="12"/>
      <name val="Arial"/>
      <family val="2"/>
      <charset val="204"/>
    </font>
    <font>
      <u/>
      <sz val="10"/>
      <color indexed="12"/>
      <name val="Arial"/>
      <family val="2"/>
    </font>
    <font>
      <sz val="8"/>
      <name val="Tahoma"/>
      <family val="2"/>
      <charset val="204"/>
    </font>
    <font>
      <sz val="10"/>
      <name val="Arial"/>
      <family val="2"/>
      <charset val="204"/>
    </font>
    <font>
      <sz val="10"/>
      <color indexed="51"/>
      <name val="Arial"/>
      <family val="2"/>
      <charset val="204"/>
    </font>
    <font>
      <sz val="10"/>
      <color indexed="51"/>
      <name val="Arial"/>
      <family val="2"/>
    </font>
    <font>
      <u/>
      <sz val="10"/>
      <color indexed="51"/>
      <name val="Arial"/>
      <family val="2"/>
      <charset val="204"/>
    </font>
    <font>
      <sz val="8"/>
      <color indexed="43"/>
      <name val="Courier"/>
      <family val="3"/>
      <charset val="204"/>
    </font>
    <font>
      <sz val="8"/>
      <color indexed="20"/>
      <name val="Arial"/>
      <family val="2"/>
      <charset val="204"/>
    </font>
    <font>
      <b/>
      <sz val="8"/>
      <color indexed="20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10"/>
      <color indexed="43"/>
      <name val="Arial"/>
      <family val="2"/>
      <charset val="204"/>
    </font>
    <font>
      <sz val="10"/>
      <color indexed="43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43"/>
      <name val="Arial"/>
      <family val="2"/>
    </font>
    <font>
      <sz val="8"/>
      <color indexed="43"/>
      <name val="Arial"/>
      <family val="2"/>
      <charset val="204"/>
    </font>
    <font>
      <b/>
      <sz val="8"/>
      <color indexed="43"/>
      <name val="Arial"/>
      <family val="2"/>
      <charset val="204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b/>
      <sz val="8"/>
      <color indexed="17"/>
      <name val="Tahoma"/>
      <family val="2"/>
      <charset val="204"/>
    </font>
    <font>
      <i/>
      <sz val="8"/>
      <color indexed="81"/>
      <name val="Tahoma"/>
      <family val="2"/>
      <charset val="204"/>
    </font>
    <font>
      <sz val="8"/>
      <color indexed="57"/>
      <name val="Tahoma"/>
      <family val="2"/>
      <charset val="204"/>
    </font>
    <font>
      <b/>
      <sz val="8"/>
      <color indexed="57"/>
      <name val="Tahoma"/>
      <family val="2"/>
      <charset val="204"/>
    </font>
    <font>
      <sz val="8"/>
      <color indexed="10"/>
      <name val="Tahoma"/>
      <family val="2"/>
      <charset val="204"/>
    </font>
    <font>
      <i/>
      <sz val="10"/>
      <color indexed="12"/>
      <name val="Arial"/>
      <family val="2"/>
      <charset val="204"/>
    </font>
    <font>
      <b/>
      <i/>
      <sz val="10"/>
      <color indexed="12"/>
      <name val="Arial"/>
      <family val="2"/>
      <charset val="204"/>
    </font>
    <font>
      <sz val="10"/>
      <color indexed="10"/>
      <name val="Arial"/>
      <family val="2"/>
      <charset val="204"/>
    </font>
    <font>
      <b/>
      <sz val="8"/>
      <color indexed="10"/>
      <name val="Tahoma"/>
      <family val="2"/>
      <charset val="204"/>
    </font>
    <font>
      <b/>
      <sz val="10"/>
      <color indexed="47"/>
      <name val="Arial"/>
      <family val="2"/>
      <charset val="204"/>
    </font>
    <font>
      <b/>
      <i/>
      <sz val="10"/>
      <color indexed="47"/>
      <name val="Arial"/>
      <family val="2"/>
      <charset val="204"/>
    </font>
    <font>
      <sz val="8"/>
      <color indexed="47"/>
      <name val="Arial"/>
      <family val="2"/>
      <charset val="204"/>
    </font>
    <font>
      <sz val="8"/>
      <color indexed="47"/>
      <name val="Courier"/>
      <family val="3"/>
      <charset val="204"/>
    </font>
    <font>
      <sz val="10"/>
      <color indexed="47"/>
      <name val="Arial"/>
      <family val="2"/>
      <charset val="204"/>
    </font>
    <font>
      <sz val="10"/>
      <color indexed="47"/>
      <name val="Arial"/>
      <family val="2"/>
    </font>
    <font>
      <u/>
      <sz val="10"/>
      <color indexed="47"/>
      <name val="Arial"/>
      <family val="2"/>
      <charset val="204"/>
    </font>
    <font>
      <b/>
      <sz val="8"/>
      <color indexed="12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0" fillId="0" borderId="0" xfId="0" applyAlignment="1">
      <alignment wrapText="1"/>
    </xf>
    <xf numFmtId="0" fontId="4" fillId="0" borderId="0" xfId="1" applyFont="1" applyAlignment="1" applyProtection="1">
      <alignment wrapText="1"/>
    </xf>
    <xf numFmtId="0" fontId="3" fillId="0" borderId="0" xfId="0" applyNumberFormat="1" applyFont="1"/>
    <xf numFmtId="0" fontId="0" fillId="0" borderId="0" xfId="0" applyNumberFormat="1"/>
    <xf numFmtId="49" fontId="6" fillId="0" borderId="0" xfId="0" applyNumberFormat="1" applyFont="1"/>
    <xf numFmtId="0" fontId="6" fillId="0" borderId="0" xfId="0" applyNumberFormat="1" applyFont="1"/>
    <xf numFmtId="49" fontId="0" fillId="0" borderId="0" xfId="0" applyNumberFormat="1" applyAlignment="1"/>
    <xf numFmtId="49" fontId="3" fillId="0" borderId="0" xfId="0" applyNumberFormat="1" applyFont="1" applyAlignment="1"/>
    <xf numFmtId="49" fontId="7" fillId="0" borderId="0" xfId="0" applyNumberFormat="1" applyFont="1" applyAlignment="1"/>
    <xf numFmtId="49" fontId="7" fillId="0" borderId="0" xfId="0" applyNumberFormat="1" applyFont="1"/>
    <xf numFmtId="0" fontId="7" fillId="0" borderId="0" xfId="0" applyNumberFormat="1" applyFont="1"/>
    <xf numFmtId="49" fontId="8" fillId="0" borderId="0" xfId="0" applyNumberFormat="1" applyFont="1"/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/>
    <xf numFmtId="0" fontId="9" fillId="0" borderId="0" xfId="1" applyFont="1" applyAlignment="1" applyProtection="1"/>
    <xf numFmtId="49" fontId="8" fillId="0" borderId="0" xfId="0" applyNumberFormat="1" applyFont="1" applyAlignment="1"/>
    <xf numFmtId="49" fontId="8" fillId="0" borderId="0" xfId="0" applyNumberFormat="1" applyFont="1" applyFill="1"/>
    <xf numFmtId="0" fontId="2" fillId="0" borderId="0" xfId="0" applyNumberFormat="1" applyFont="1" applyFill="1"/>
    <xf numFmtId="0" fontId="2" fillId="2" borderId="0" xfId="0" applyNumberFormat="1" applyFont="1" applyFill="1"/>
    <xf numFmtId="0" fontId="2" fillId="2" borderId="0" xfId="0" applyFont="1" applyFill="1"/>
    <xf numFmtId="0" fontId="2" fillId="2" borderId="0" xfId="0" applyNumberFormat="1" applyFont="1" applyFill="1" applyAlignment="1">
      <alignment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 applyProtection="1"/>
    <xf numFmtId="49" fontId="11" fillId="3" borderId="0" xfId="0" applyNumberFormat="1" applyFont="1" applyFill="1"/>
    <xf numFmtId="0" fontId="11" fillId="3" borderId="0" xfId="0" applyNumberFormat="1" applyFont="1" applyFill="1"/>
    <xf numFmtId="0" fontId="12" fillId="3" borderId="0" xfId="0" applyNumberFormat="1" applyFont="1" applyFill="1"/>
    <xf numFmtId="0" fontId="12" fillId="3" borderId="0" xfId="0" applyNumberFormat="1" applyFont="1" applyFill="1" applyBorder="1"/>
    <xf numFmtId="49" fontId="1" fillId="0" borderId="0" xfId="0" applyNumberFormat="1" applyFont="1" applyFill="1"/>
    <xf numFmtId="49" fontId="0" fillId="0" borderId="0" xfId="0" applyNumberFormat="1" applyFill="1"/>
    <xf numFmtId="49" fontId="3" fillId="0" borderId="0" xfId="0" applyNumberFormat="1" applyFont="1" applyFill="1"/>
    <xf numFmtId="49" fontId="0" fillId="4" borderId="1" xfId="0" applyNumberFormat="1" applyFill="1" applyBorder="1"/>
    <xf numFmtId="0" fontId="6" fillId="4" borderId="1" xfId="0" applyNumberFormat="1" applyFont="1" applyFill="1" applyBorder="1"/>
    <xf numFmtId="49" fontId="0" fillId="4" borderId="1" xfId="0" applyNumberFormat="1" applyFill="1" applyBorder="1" applyAlignment="1"/>
    <xf numFmtId="0" fontId="3" fillId="0" borderId="1" xfId="0" applyNumberFormat="1" applyFont="1" applyBorder="1"/>
    <xf numFmtId="49" fontId="3" fillId="0" borderId="1" xfId="0" applyNumberFormat="1" applyFont="1" applyBorder="1"/>
    <xf numFmtId="0" fontId="3" fillId="0" borderId="0" xfId="0" applyNumberFormat="1" applyFont="1" applyBorder="1"/>
    <xf numFmtId="49" fontId="0" fillId="0" borderId="0" xfId="0" applyNumberFormat="1" applyBorder="1" applyAlignment="1"/>
    <xf numFmtId="49" fontId="0" fillId="0" borderId="0" xfId="0" applyNumberFormat="1" applyBorder="1"/>
    <xf numFmtId="49" fontId="3" fillId="0" borderId="0" xfId="0" applyNumberFormat="1" applyFont="1" applyBorder="1" applyAlignment="1"/>
    <xf numFmtId="49" fontId="3" fillId="0" borderId="0" xfId="0" applyNumberFormat="1" applyFont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  <xf numFmtId="49" fontId="6" fillId="0" borderId="0" xfId="0" applyNumberFormat="1" applyFont="1" applyFill="1"/>
    <xf numFmtId="0" fontId="3" fillId="6" borderId="0" xfId="0" applyNumberFormat="1" applyFont="1" applyFill="1"/>
    <xf numFmtId="0" fontId="0" fillId="6" borderId="0" xfId="0" applyNumberFormat="1" applyFill="1"/>
    <xf numFmtId="0" fontId="0" fillId="0" borderId="0" xfId="0" applyAlignment="1"/>
    <xf numFmtId="49" fontId="13" fillId="7" borderId="0" xfId="0" applyNumberFormat="1" applyFont="1" applyFill="1"/>
    <xf numFmtId="49" fontId="1" fillId="7" borderId="0" xfId="0" applyNumberFormat="1" applyFont="1" applyFill="1"/>
    <xf numFmtId="49" fontId="13" fillId="2" borderId="0" xfId="0" applyNumberFormat="1" applyFont="1" applyFill="1"/>
    <xf numFmtId="49" fontId="1" fillId="2" borderId="0" xfId="0" applyNumberFormat="1" applyFont="1" applyFill="1"/>
    <xf numFmtId="49" fontId="6" fillId="4" borderId="1" xfId="0" applyNumberFormat="1" applyFont="1" applyFill="1" applyBorder="1"/>
    <xf numFmtId="49" fontId="14" fillId="5" borderId="2" xfId="0" applyNumberFormat="1" applyFont="1" applyFill="1" applyBorder="1" applyAlignment="1">
      <alignment horizontal="left"/>
    </xf>
    <xf numFmtId="49" fontId="14" fillId="5" borderId="3" xfId="0" applyNumberFormat="1" applyFont="1" applyFill="1" applyBorder="1" applyAlignment="1">
      <alignment horizontal="center"/>
    </xf>
    <xf numFmtId="49" fontId="14" fillId="5" borderId="4" xfId="0" applyNumberFormat="1" applyFont="1" applyFill="1" applyBorder="1" applyAlignment="1">
      <alignment horizontal="center"/>
    </xf>
    <xf numFmtId="49" fontId="15" fillId="0" borderId="0" xfId="0" applyNumberFormat="1" applyFont="1"/>
    <xf numFmtId="49" fontId="8" fillId="4" borderId="1" xfId="0" applyNumberFormat="1" applyFont="1" applyFill="1" applyBorder="1"/>
    <xf numFmtId="49" fontId="8" fillId="5" borderId="1" xfId="0" applyNumberFormat="1" applyFont="1" applyFill="1" applyBorder="1"/>
    <xf numFmtId="49" fontId="14" fillId="5" borderId="1" xfId="0" applyNumberFormat="1" applyFont="1" applyFill="1" applyBorder="1"/>
    <xf numFmtId="49" fontId="8" fillId="5" borderId="0" xfId="0" applyNumberFormat="1" applyFont="1" applyFill="1"/>
    <xf numFmtId="0" fontId="16" fillId="0" borderId="0" xfId="0" applyNumberFormat="1" applyFont="1" applyAlignment="1">
      <alignment horizontal="left"/>
    </xf>
    <xf numFmtId="49" fontId="14" fillId="5" borderId="2" xfId="0" applyNumberFormat="1" applyFont="1" applyFill="1" applyBorder="1"/>
    <xf numFmtId="0" fontId="18" fillId="5" borderId="3" xfId="0" applyNumberFormat="1" applyFont="1" applyFill="1" applyBorder="1"/>
    <xf numFmtId="0" fontId="10" fillId="5" borderId="3" xfId="0" applyNumberFormat="1" applyFont="1" applyFill="1" applyBorder="1"/>
    <xf numFmtId="0" fontId="15" fillId="5" borderId="3" xfId="0" applyNumberFormat="1" applyFont="1" applyFill="1" applyBorder="1"/>
    <xf numFmtId="49" fontId="17" fillId="5" borderId="3" xfId="0" applyNumberFormat="1" applyFont="1" applyFill="1" applyBorder="1" applyAlignment="1"/>
    <xf numFmtId="49" fontId="17" fillId="5" borderId="3" xfId="0" applyNumberFormat="1" applyFont="1" applyFill="1" applyBorder="1"/>
    <xf numFmtId="49" fontId="17" fillId="5" borderId="4" xfId="0" applyNumberFormat="1" applyFont="1" applyFill="1" applyBorder="1"/>
    <xf numFmtId="0" fontId="19" fillId="5" borderId="3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left" wrapText="1"/>
    </xf>
    <xf numFmtId="0" fontId="14" fillId="5" borderId="5" xfId="0" applyFont="1" applyFill="1" applyBorder="1"/>
    <xf numFmtId="0" fontId="0" fillId="7" borderId="6" xfId="0" applyFill="1" applyBorder="1" applyAlignment="1">
      <alignment horizontal="left" wrapText="1"/>
    </xf>
    <xf numFmtId="0" fontId="0" fillId="7" borderId="7" xfId="0" applyFill="1" applyBorder="1" applyAlignment="1">
      <alignment horizontal="left" wrapText="1"/>
    </xf>
    <xf numFmtId="0" fontId="1" fillId="4" borderId="8" xfId="0" applyFont="1" applyFill="1" applyBorder="1"/>
    <xf numFmtId="49" fontId="7" fillId="0" borderId="0" xfId="0" applyNumberFormat="1" applyFont="1" applyFill="1" applyAlignment="1"/>
    <xf numFmtId="49" fontId="33" fillId="0" borderId="0" xfId="0" applyNumberFormat="1" applyFont="1"/>
    <xf numFmtId="49" fontId="34" fillId="0" borderId="0" xfId="0" applyNumberFormat="1" applyFont="1"/>
    <xf numFmtId="49" fontId="33" fillId="0" borderId="0" xfId="0" applyNumberFormat="1" applyFont="1" applyFill="1"/>
    <xf numFmtId="49" fontId="35" fillId="3" borderId="0" xfId="0" applyNumberFormat="1" applyFont="1" applyFill="1"/>
    <xf numFmtId="0" fontId="36" fillId="2" borderId="0" xfId="0" applyNumberFormat="1" applyFont="1" applyFill="1"/>
    <xf numFmtId="0" fontId="37" fillId="0" borderId="0" xfId="0" applyNumberFormat="1" applyFont="1"/>
    <xf numFmtId="49" fontId="38" fillId="0" borderId="0" xfId="0" applyNumberFormat="1" applyFont="1" applyFill="1"/>
    <xf numFmtId="0" fontId="36" fillId="2" borderId="0" xfId="0" applyNumberFormat="1" applyFont="1" applyFill="1" applyAlignment="1">
      <alignment wrapText="1"/>
    </xf>
    <xf numFmtId="0" fontId="38" fillId="0" borderId="0" xfId="0" applyNumberFormat="1" applyFont="1"/>
    <xf numFmtId="49" fontId="38" fillId="0" borderId="0" xfId="0" applyNumberFormat="1" applyFont="1" applyAlignment="1"/>
    <xf numFmtId="49" fontId="38" fillId="0" borderId="0" xfId="0" applyNumberFormat="1" applyFont="1"/>
    <xf numFmtId="49" fontId="37" fillId="0" borderId="0" xfId="0" applyNumberFormat="1" applyFont="1"/>
    <xf numFmtId="49" fontId="37" fillId="0" borderId="0" xfId="0" applyNumberFormat="1" applyFont="1" applyAlignment="1"/>
    <xf numFmtId="0" fontId="37" fillId="0" borderId="0" xfId="0" applyFont="1" applyAlignment="1"/>
    <xf numFmtId="0" fontId="39" fillId="0" borderId="0" xfId="1" applyFont="1" applyAlignment="1" applyProtection="1"/>
    <xf numFmtId="49" fontId="31" fillId="2" borderId="0" xfId="0" applyNumberFormat="1" applyFont="1" applyFill="1" applyAlignment="1"/>
    <xf numFmtId="0" fontId="15" fillId="5" borderId="3" xfId="0" applyFont="1" applyFill="1" applyBorder="1"/>
    <xf numFmtId="0" fontId="15" fillId="5" borderId="4" xfId="0" applyFont="1" applyFill="1" applyBorder="1"/>
    <xf numFmtId="0" fontId="3" fillId="5" borderId="3" xfId="0" applyFont="1" applyFill="1" applyBorder="1"/>
    <xf numFmtId="0" fontId="3" fillId="0" borderId="0" xfId="0" applyFont="1"/>
    <xf numFmtId="0" fontId="0" fillId="5" borderId="1" xfId="0" applyFill="1" applyBorder="1"/>
    <xf numFmtId="0" fontId="10" fillId="5" borderId="3" xfId="0" applyNumberFormat="1" applyFont="1" applyFill="1" applyBorder="1" applyAlignment="1"/>
    <xf numFmtId="0" fontId="2" fillId="2" borderId="0" xfId="0" applyFont="1" applyFill="1" applyAlignment="1"/>
    <xf numFmtId="0" fontId="0" fillId="0" borderId="0" xfId="0" applyAlignment="1">
      <alignment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$B$59" lockText="1" noThreeD="1"/>
</file>

<file path=xl/ctrlProps/ctrlProp2.xml><?xml version="1.0" encoding="utf-8"?>
<formControlPr xmlns="http://schemas.microsoft.com/office/spreadsheetml/2009/9/main" objectType="CheckBox" fmlaLink="$B$58" lockText="1" noThreeD="1"/>
</file>

<file path=xl/ctrlProps/ctrlProp3.xml><?xml version="1.0" encoding="utf-8"?>
<formControlPr xmlns="http://schemas.microsoft.com/office/spreadsheetml/2009/9/main" objectType="CheckBox" checked="Checked" fmlaLink="$B$61" lockText="1" noThreeD="1"/>
</file>

<file path=xl/ctrlProps/ctrlProp4.xml><?xml version="1.0" encoding="utf-8"?>
<formControlPr xmlns="http://schemas.microsoft.com/office/spreadsheetml/2009/9/main" objectType="CheckBox" fmlaLink="$B$60" lockText="1" noThreeD="1"/>
</file>

<file path=xl/ctrlProps/ctrlProp5.xml><?xml version="1.0" encoding="utf-8"?>
<formControlPr xmlns="http://schemas.microsoft.com/office/spreadsheetml/2009/9/main" objectType="CheckBox" checked="Checked" fmlaLink="$B$67" lockText="1" noThreeD="1"/>
</file>

<file path=xl/ctrlProps/ctrlProp6.xml><?xml version="1.0" encoding="utf-8"?>
<formControlPr xmlns="http://schemas.microsoft.com/office/spreadsheetml/2009/9/main" objectType="CheckBox" checked="Checked" fmlaLink="$B$68" lockText="1" noThreeD="1"/>
</file>

<file path=xl/ctrlProps/ctrlProp7.xml><?xml version="1.0" encoding="utf-8"?>
<formControlPr xmlns="http://schemas.microsoft.com/office/spreadsheetml/2009/9/main" objectType="CheckBox" checked="Checked" fmlaLink="$B$69" lockText="1" noThreeD="1"/>
</file>

<file path=xl/ctrlProps/ctrlProp8.xml><?xml version="1.0" encoding="utf-8"?>
<formControlPr xmlns="http://schemas.microsoft.com/office/spreadsheetml/2009/9/main" objectType="CheckBox" checked="Checked" fmlaLink="$B$70" lockText="1" noThreeD="1"/>
</file>

<file path=xl/ctrlProps/ctrlProp9.xml><?xml version="1.0" encoding="utf-8"?>
<formControlPr xmlns="http://schemas.microsoft.com/office/spreadsheetml/2009/9/main" objectType="CheckBox" checked="Checked" fmlaLink="$B$71" lockText="1" noThreeD="1"/>
</file>

<file path=xl/ctrlProps/ctrlProp10.xml><?xml version="1.0" encoding="utf-8"?>
<formControlPr xmlns="http://schemas.microsoft.com/office/spreadsheetml/2009/9/main" objectType="CheckBox" checked="Checked" fmlaLink="$B$73" lockText="1" noThreeD="1"/>
</file>

<file path=xl/ctrlProps/ctrlProp11.xml><?xml version="1.0" encoding="utf-8"?>
<formControlPr xmlns="http://schemas.microsoft.com/office/spreadsheetml/2009/9/main" objectType="CheckBox" fmlaLink="$B$74" lockText="1" noThreeD="1"/>
</file>

<file path=xl/ctrlProps/ctrlProp12.xml><?xml version="1.0" encoding="utf-8"?>
<formControlPr xmlns="http://schemas.microsoft.com/office/spreadsheetml/2009/9/main" objectType="CheckBox" fmlaLink="$B$75" lockText="1" noThreeD="1"/>
</file>

<file path=xl/ctrlProps/ctrlProp13.xml><?xml version="1.0" encoding="utf-8"?>
<formControlPr xmlns="http://schemas.microsoft.com/office/spreadsheetml/2009/9/main" objectType="CheckBox" checked="Checked" fmlaLink="$B$80" lockText="1" noThreeD="1"/>
</file>

<file path=xl/ctrlProps/ctrlProp14.xml><?xml version="1.0" encoding="utf-8"?>
<formControlPr xmlns="http://schemas.microsoft.com/office/spreadsheetml/2009/9/main" objectType="CheckBox" fmlaLink="$B$82" lockText="1" noThreeD="1"/>
</file>

<file path=xl/ctrlProps/ctrlProp15.xml><?xml version="1.0" encoding="utf-8"?>
<formControlPr xmlns="http://schemas.microsoft.com/office/spreadsheetml/2009/9/main" objectType="CheckBox" checked="Checked" fmlaLink="$B$81" lockText="1" noThreeD="1"/>
</file>

<file path=xl/ctrlProps/ctrlProp16.xml><?xml version="1.0" encoding="utf-8"?>
<formControlPr xmlns="http://schemas.microsoft.com/office/spreadsheetml/2009/9/main" objectType="CheckBox" fmlaLink="$B$83" lockText="1" noThreeD="1"/>
</file>

<file path=xl/ctrlProps/ctrlProp17.xml><?xml version="1.0" encoding="utf-8"?>
<formControlPr xmlns="http://schemas.microsoft.com/office/spreadsheetml/2009/9/main" objectType="CheckBox" fmlaLink="$B$84" lockText="1" noThreeD="1"/>
</file>

<file path=xl/ctrlProps/ctrlProp18.xml><?xml version="1.0" encoding="utf-8"?>
<formControlPr xmlns="http://schemas.microsoft.com/office/spreadsheetml/2009/9/main" objectType="CheckBox" fmlaLink="$B$85" lockText="1" noThreeD="1"/>
</file>

<file path=xl/ctrlProps/ctrlProp19.xml><?xml version="1.0" encoding="utf-8"?>
<formControlPr xmlns="http://schemas.microsoft.com/office/spreadsheetml/2009/9/main" objectType="CheckBox" fmlaLink="$B$87" lockText="1" noThreeD="1"/>
</file>

<file path=xl/ctrlProps/ctrlProp20.xml><?xml version="1.0" encoding="utf-8"?>
<formControlPr xmlns="http://schemas.microsoft.com/office/spreadsheetml/2009/9/main" objectType="CheckBox" fmlaLink="$B$89" lockText="1" noThreeD="1"/>
</file>

<file path=xl/ctrlProps/ctrlProp21.xml><?xml version="1.0" encoding="utf-8"?>
<formControlPr xmlns="http://schemas.microsoft.com/office/spreadsheetml/2009/9/main" objectType="CheckBox" fmlaLink="$B$88" lockText="1" noThreeD="1"/>
</file>

<file path=xl/ctrlProps/ctrlProp22.xml><?xml version="1.0" encoding="utf-8"?>
<formControlPr xmlns="http://schemas.microsoft.com/office/spreadsheetml/2009/9/main" objectType="CheckBox" fmlaLink="$B$90" lockText="1" noThreeD="1"/>
</file>

<file path=xl/ctrlProps/ctrlProp23.xml><?xml version="1.0" encoding="utf-8"?>
<formControlPr xmlns="http://schemas.microsoft.com/office/spreadsheetml/2009/9/main" objectType="CheckBox" fmlaLink="$B$91" lockText="1" noThreeD="1"/>
</file>

<file path=xl/ctrlProps/ctrlProp24.xml><?xml version="1.0" encoding="utf-8"?>
<formControlPr xmlns="http://schemas.microsoft.com/office/spreadsheetml/2009/9/main" objectType="CheckBox" fmlaLink="$B$92" lockText="1" noThreeD="1"/>
</file>

<file path=xl/ctrlProps/ctrlProp25.xml><?xml version="1.0" encoding="utf-8"?>
<formControlPr xmlns="http://schemas.microsoft.com/office/spreadsheetml/2009/9/main" objectType="CheckBox" checked="Checked" fmlaLink="$B$94" lockText="1" noThreeD="1"/>
</file>

<file path=xl/ctrlProps/ctrlProp26.xml><?xml version="1.0" encoding="utf-8"?>
<formControlPr xmlns="http://schemas.microsoft.com/office/spreadsheetml/2009/9/main" objectType="CheckBox" checked="Checked" fmlaLink="$B$96" lockText="1" noThreeD="1"/>
</file>

<file path=xl/ctrlProps/ctrlProp27.xml><?xml version="1.0" encoding="utf-8"?>
<formControlPr xmlns="http://schemas.microsoft.com/office/spreadsheetml/2009/9/main" objectType="CheckBox" checked="Checked" fmlaLink="$B$95" lockText="1" noThreeD="1"/>
</file>

<file path=xl/ctrlProps/ctrlProp28.xml><?xml version="1.0" encoding="utf-8"?>
<formControlPr xmlns="http://schemas.microsoft.com/office/spreadsheetml/2009/9/main" objectType="CheckBox" checked="Checked" fmlaLink="$B$97" lockText="1" noThreeD="1"/>
</file>

<file path=xl/ctrlProps/ctrlProp29.xml><?xml version="1.0" encoding="utf-8"?>
<formControlPr xmlns="http://schemas.microsoft.com/office/spreadsheetml/2009/9/main" objectType="CheckBox" checked="Checked" fmlaLink="$B$98" lockText="1" noThreeD="1"/>
</file>

<file path=xl/ctrlProps/ctrlProp30.xml><?xml version="1.0" encoding="utf-8"?>
<formControlPr xmlns="http://schemas.microsoft.com/office/spreadsheetml/2009/9/main" objectType="CheckBox" fmlaLink="$B$99" lockText="1" noThreeD="1"/>
</file>

<file path=xl/ctrlProps/ctrlProp31.xml><?xml version="1.0" encoding="utf-8"?>
<formControlPr xmlns="http://schemas.microsoft.com/office/spreadsheetml/2009/9/main" objectType="CheckBox" fmlaLink="$B$101" lockText="1" noThreeD="1"/>
</file>

<file path=xl/ctrlProps/ctrlProp32.xml><?xml version="1.0" encoding="utf-8"?>
<formControlPr xmlns="http://schemas.microsoft.com/office/spreadsheetml/2009/9/main" objectType="CheckBox" fmlaLink="$B$100" lockText="1" noThreeD="1"/>
</file>

<file path=xl/ctrlProps/ctrlProp33.xml><?xml version="1.0" encoding="utf-8"?>
<formControlPr xmlns="http://schemas.microsoft.com/office/spreadsheetml/2009/9/main" objectType="CheckBox" fmlaLink="$B$102" lockText="1" noThreeD="1"/>
</file>

<file path=xl/ctrlProps/ctrlProp34.xml><?xml version="1.0" encoding="utf-8"?>
<formControlPr xmlns="http://schemas.microsoft.com/office/spreadsheetml/2009/9/main" objectType="CheckBox" fmlaLink="$B$103" lockText="1" noThreeD="1"/>
</file>

<file path=xl/ctrlProps/ctrlProp35.xml><?xml version="1.0" encoding="utf-8"?>
<formControlPr xmlns="http://schemas.microsoft.com/office/spreadsheetml/2009/9/main" objectType="CheckBox" fmlaLink="$B$104" lockText="1" noThreeD="1"/>
</file>

<file path=xl/ctrlProps/ctrlProp36.xml><?xml version="1.0" encoding="utf-8"?>
<formControlPr xmlns="http://schemas.microsoft.com/office/spreadsheetml/2009/9/main" objectType="CheckBox" checked="Checked" fmlaLink="$B$106" lockText="1" noThreeD="1"/>
</file>

<file path=xl/ctrlProps/ctrlProp37.xml><?xml version="1.0" encoding="utf-8"?>
<formControlPr xmlns="http://schemas.microsoft.com/office/spreadsheetml/2009/9/main" objectType="CheckBox" checked="Checked" fmlaLink="$B$109" lockText="1" noThreeD="1"/>
</file>

<file path=xl/ctrlProps/ctrlProp38.xml><?xml version="1.0" encoding="utf-8"?>
<formControlPr xmlns="http://schemas.microsoft.com/office/spreadsheetml/2009/9/main" objectType="CheckBox" fmlaLink="$B$111" lockText="1" noThreeD="1"/>
</file>

<file path=xl/ctrlProps/ctrlProp39.xml><?xml version="1.0" encoding="utf-8"?>
<formControlPr xmlns="http://schemas.microsoft.com/office/spreadsheetml/2009/9/main" objectType="CheckBox" checked="Checked" fmlaLink="$B$110" lockText="1" noThreeD="1"/>
</file>

<file path=xl/ctrlProps/ctrlProp40.xml><?xml version="1.0" encoding="utf-8"?>
<formControlPr xmlns="http://schemas.microsoft.com/office/spreadsheetml/2009/9/main" objectType="CheckBox" fmlaLink="$B$112" lockText="1" noThreeD="1"/>
</file>

<file path=xl/ctrlProps/ctrlProp41.xml><?xml version="1.0" encoding="utf-8"?>
<formControlPr xmlns="http://schemas.microsoft.com/office/spreadsheetml/2009/9/main" objectType="CheckBox" fmlaLink="$B$113" lockText="1" noThreeD="1"/>
</file>

<file path=xl/ctrlProps/ctrlProp42.xml><?xml version="1.0" encoding="utf-8"?>
<formControlPr xmlns="http://schemas.microsoft.com/office/spreadsheetml/2009/9/main" objectType="CheckBox" fmlaLink="$B$114" lockText="1" noThreeD="1"/>
</file>

<file path=xl/ctrlProps/ctrlProp43.xml><?xml version="1.0" encoding="utf-8"?>
<formControlPr xmlns="http://schemas.microsoft.com/office/spreadsheetml/2009/9/main" objectType="CheckBox" fmlaLink="$B$116" lockText="1" noThreeD="1"/>
</file>

<file path=xl/ctrlProps/ctrlProp44.xml><?xml version="1.0" encoding="utf-8"?>
<formControlPr xmlns="http://schemas.microsoft.com/office/spreadsheetml/2009/9/main" objectType="CheckBox" fmlaLink="$B$115" lockText="1" noThreeD="1"/>
</file>

<file path=xl/ctrlProps/ctrlProp45.xml><?xml version="1.0" encoding="utf-8"?>
<formControlPr xmlns="http://schemas.microsoft.com/office/spreadsheetml/2009/9/main" objectType="CheckBox" fmlaLink="$B$117" lockText="1" noThreeD="1"/>
</file>

<file path=xl/ctrlProps/ctrlProp46.xml><?xml version="1.0" encoding="utf-8"?>
<formControlPr xmlns="http://schemas.microsoft.com/office/spreadsheetml/2009/9/main" objectType="CheckBox" fmlaLink="$B$118" lockText="1" noThreeD="1"/>
</file>

<file path=xl/ctrlProps/ctrlProp47.xml><?xml version="1.0" encoding="utf-8"?>
<formControlPr xmlns="http://schemas.microsoft.com/office/spreadsheetml/2009/9/main" objectType="CheckBox" fmlaLink="$B$119" lockText="1" noThreeD="1"/>
</file>

<file path=xl/ctrlProps/ctrlProp48.xml><?xml version="1.0" encoding="utf-8"?>
<formControlPr xmlns="http://schemas.microsoft.com/office/spreadsheetml/2009/9/main" objectType="CheckBox" fmlaLink="$B$121" lockText="1" noThreeD="1"/>
</file>

<file path=xl/ctrlProps/ctrlProp49.xml><?xml version="1.0" encoding="utf-8"?>
<formControlPr xmlns="http://schemas.microsoft.com/office/spreadsheetml/2009/9/main" objectType="CheckBox" fmlaLink="$B$123" lockText="1" noThreeD="1"/>
</file>

<file path=xl/ctrlProps/ctrlProp50.xml><?xml version="1.0" encoding="utf-8"?>
<formControlPr xmlns="http://schemas.microsoft.com/office/spreadsheetml/2009/9/main" objectType="CheckBox" fmlaLink="$B$122" lockText="1" noThreeD="1"/>
</file>

<file path=xl/ctrlProps/ctrlProp51.xml><?xml version="1.0" encoding="utf-8"?>
<formControlPr xmlns="http://schemas.microsoft.com/office/spreadsheetml/2009/9/main" objectType="CheckBox" fmlaLink="$B$124" lockText="1" noThreeD="1"/>
</file>

<file path=xl/ctrlProps/ctrlProp52.xml><?xml version="1.0" encoding="utf-8"?>
<formControlPr xmlns="http://schemas.microsoft.com/office/spreadsheetml/2009/9/main" objectType="CheckBox" fmlaLink="$B$125" lockText="1" noThreeD="1"/>
</file>

<file path=xl/ctrlProps/ctrlProp53.xml><?xml version="1.0" encoding="utf-8"?>
<formControlPr xmlns="http://schemas.microsoft.com/office/spreadsheetml/2009/9/main" objectType="CheckBox" fmlaLink="$B$126" lockText="1" noThreeD="1"/>
</file>

<file path=xl/ctrlProps/ctrlProp54.xml><?xml version="1.0" encoding="utf-8"?>
<formControlPr xmlns="http://schemas.microsoft.com/office/spreadsheetml/2009/9/main" objectType="CheckBox" fmlaLink="$B$128" lockText="1" noThreeD="1"/>
</file>

<file path=xl/ctrlProps/ctrlProp55.xml><?xml version="1.0" encoding="utf-8"?>
<formControlPr xmlns="http://schemas.microsoft.com/office/spreadsheetml/2009/9/main" objectType="CheckBox" fmlaLink="$B$127" lockText="1" noThreeD="1"/>
</file>

<file path=xl/ctrlProps/ctrlProp56.xml><?xml version="1.0" encoding="utf-8"?>
<formControlPr xmlns="http://schemas.microsoft.com/office/spreadsheetml/2009/9/main" objectType="CheckBox" fmlaLink="$B$129" lockText="1" noThreeD="1"/>
</file>

<file path=xl/ctrlProps/ctrlProp57.xml><?xml version="1.0" encoding="utf-8"?>
<formControlPr xmlns="http://schemas.microsoft.com/office/spreadsheetml/2009/9/main" objectType="CheckBox" fmlaLink="$B$130" lockText="1" noThreeD="1"/>
</file>

<file path=xl/ctrlProps/ctrlProp58.xml><?xml version="1.0" encoding="utf-8"?>
<formControlPr xmlns="http://schemas.microsoft.com/office/spreadsheetml/2009/9/main" objectType="CheckBox" fmlaLink="$B$131" lockText="1" noThreeD="1"/>
</file>

<file path=xl/ctrlProps/ctrlProp59.xml><?xml version="1.0" encoding="utf-8"?>
<formControlPr xmlns="http://schemas.microsoft.com/office/spreadsheetml/2009/9/main" objectType="CheckBox" fmlaLink="$B$133" lockText="1" noThreeD="1"/>
</file>

<file path=xl/ctrlProps/ctrlProp60.xml><?xml version="1.0" encoding="utf-8"?>
<formControlPr xmlns="http://schemas.microsoft.com/office/spreadsheetml/2009/9/main" objectType="CheckBox" fmlaLink="$B$135" lockText="1" noThreeD="1"/>
</file>

<file path=xl/ctrlProps/ctrlProp61.xml><?xml version="1.0" encoding="utf-8"?>
<formControlPr xmlns="http://schemas.microsoft.com/office/spreadsheetml/2009/9/main" objectType="CheckBox" fmlaLink="$B$134" lockText="1" noThreeD="1"/>
</file>

<file path=xl/ctrlProps/ctrlProp62.xml><?xml version="1.0" encoding="utf-8"?>
<formControlPr xmlns="http://schemas.microsoft.com/office/spreadsheetml/2009/9/main" objectType="CheckBox" fmlaLink="$B$136" lockText="1" noThreeD="1"/>
</file>

<file path=xl/ctrlProps/ctrlProp63.xml><?xml version="1.0" encoding="utf-8"?>
<formControlPr xmlns="http://schemas.microsoft.com/office/spreadsheetml/2009/9/main" objectType="CheckBox" fmlaLink="$B$137" lockText="1" noThreeD="1"/>
</file>

<file path=xl/ctrlProps/ctrlProp64.xml><?xml version="1.0" encoding="utf-8"?>
<formControlPr xmlns="http://schemas.microsoft.com/office/spreadsheetml/2009/9/main" objectType="CheckBox" fmlaLink="$B$138" lockText="1" noThreeD="1"/>
</file>

<file path=xl/ctrlProps/ctrlProp65.xml><?xml version="1.0" encoding="utf-8"?>
<formControlPr xmlns="http://schemas.microsoft.com/office/spreadsheetml/2009/9/main" objectType="CheckBox" fmlaLink="$B$140" lockText="1" noThreeD="1"/>
</file>

<file path=xl/ctrlProps/ctrlProp66.xml><?xml version="1.0" encoding="utf-8"?>
<formControlPr xmlns="http://schemas.microsoft.com/office/spreadsheetml/2009/9/main" objectType="CheckBox" fmlaLink="$B$139" lockText="1" noThreeD="1"/>
</file>

<file path=xl/ctrlProps/ctrlProp67.xml><?xml version="1.0" encoding="utf-8"?>
<formControlPr xmlns="http://schemas.microsoft.com/office/spreadsheetml/2009/9/main" objectType="CheckBox" fmlaLink="$B$141" lockText="1" noThreeD="1"/>
</file>

<file path=xl/ctrlProps/ctrlProp68.xml><?xml version="1.0" encoding="utf-8"?>
<formControlPr xmlns="http://schemas.microsoft.com/office/spreadsheetml/2009/9/main" objectType="CheckBox" fmlaLink="$B$142" lockText="1" noThreeD="1"/>
</file>

<file path=xl/ctrlProps/ctrlProp69.xml><?xml version="1.0" encoding="utf-8"?>
<formControlPr xmlns="http://schemas.microsoft.com/office/spreadsheetml/2009/9/main" objectType="CheckBox" fmlaLink="$B$143" lockText="1" noThreeD="1"/>
</file>

<file path=xl/ctrlProps/ctrlProp70.xml><?xml version="1.0" encoding="utf-8"?>
<formControlPr xmlns="http://schemas.microsoft.com/office/spreadsheetml/2009/9/main" objectType="CheckBox" fmlaLink="$B145" lockText="1" noThreeD="1"/>
</file>

<file path=xl/ctrlProps/ctrlProp71.xml><?xml version="1.0" encoding="utf-8"?>
<formControlPr xmlns="http://schemas.microsoft.com/office/spreadsheetml/2009/9/main" objectType="CheckBox" fmlaLink="$B147" lockText="1" noThreeD="1"/>
</file>

<file path=xl/ctrlProps/ctrlProp72.xml><?xml version="1.0" encoding="utf-8"?>
<formControlPr xmlns="http://schemas.microsoft.com/office/spreadsheetml/2009/9/main" objectType="CheckBox" fmlaLink="$B146" lockText="1" noThreeD="1"/>
</file>

<file path=xl/ctrlProps/ctrlProp73.xml><?xml version="1.0" encoding="utf-8"?>
<formControlPr xmlns="http://schemas.microsoft.com/office/spreadsheetml/2009/9/main" objectType="CheckBox" fmlaLink="$B148" lockText="1" noThreeD="1"/>
</file>

<file path=xl/ctrlProps/ctrlProp74.xml><?xml version="1.0" encoding="utf-8"?>
<formControlPr xmlns="http://schemas.microsoft.com/office/spreadsheetml/2009/9/main" objectType="CheckBox" fmlaLink="$B149" lockText="1" noThreeD="1"/>
</file>

<file path=xl/ctrlProps/ctrlProp75.xml><?xml version="1.0" encoding="utf-8"?>
<formControlPr xmlns="http://schemas.microsoft.com/office/spreadsheetml/2009/9/main" objectType="CheckBox" fmlaLink="$B150" lockText="1" noThreeD="1"/>
</file>

<file path=xl/ctrlProps/ctrlProp76.xml><?xml version="1.0" encoding="utf-8"?>
<formControlPr xmlns="http://schemas.microsoft.com/office/spreadsheetml/2009/9/main" objectType="CheckBox" fmlaLink="$B152" lockText="1" noThreeD="1"/>
</file>

<file path=xl/ctrlProps/ctrlProp77.xml><?xml version="1.0" encoding="utf-8"?>
<formControlPr xmlns="http://schemas.microsoft.com/office/spreadsheetml/2009/9/main" objectType="CheckBox" fmlaLink="$B151" lockText="1" noThreeD="1"/>
</file>

<file path=xl/ctrlProps/ctrlProp78.xml><?xml version="1.0" encoding="utf-8"?>
<formControlPr xmlns="http://schemas.microsoft.com/office/spreadsheetml/2009/9/main" objectType="CheckBox" fmlaLink="$B153" lockText="1" noThreeD="1"/>
</file>

<file path=xl/ctrlProps/ctrlProp79.xml><?xml version="1.0" encoding="utf-8"?>
<formControlPr xmlns="http://schemas.microsoft.com/office/spreadsheetml/2009/9/main" objectType="CheckBox" fmlaLink="$B154" lockText="1" noThreeD="1"/>
</file>

<file path=xl/ctrlProps/ctrlProp80.xml><?xml version="1.0" encoding="utf-8"?>
<formControlPr xmlns="http://schemas.microsoft.com/office/spreadsheetml/2009/9/main" objectType="CheckBox" fmlaLink="$B155" lockText="1" noThreeD="1"/>
</file>

<file path=xl/ctrlProps/ctrlProp81.xml><?xml version="1.0" encoding="utf-8"?>
<formControlPr xmlns="http://schemas.microsoft.com/office/spreadsheetml/2009/9/main" objectType="CheckBox" fmlaLink="$B$169" lockText="1" noThreeD="1"/>
</file>

<file path=xl/ctrlProps/ctrlProp82.xml><?xml version="1.0" encoding="utf-8"?>
<formControlPr xmlns="http://schemas.microsoft.com/office/spreadsheetml/2009/9/main" objectType="CheckBox" fmlaLink="$B$171" lockText="1" noThreeD="1"/>
</file>

<file path=xl/ctrlProps/ctrlProp83.xml><?xml version="1.0" encoding="utf-8"?>
<formControlPr xmlns="http://schemas.microsoft.com/office/spreadsheetml/2009/9/main" objectType="CheckBox" fmlaLink="$B$170" lockText="1" noThreeD="1"/>
</file>

<file path=xl/ctrlProps/ctrlProp84.xml><?xml version="1.0" encoding="utf-8"?>
<formControlPr xmlns="http://schemas.microsoft.com/office/spreadsheetml/2009/9/main" objectType="CheckBox" fmlaLink="$B$172" lockText="1" noThreeD="1"/>
</file>

<file path=xl/ctrlProps/ctrlProp85.xml><?xml version="1.0" encoding="utf-8"?>
<formControlPr xmlns="http://schemas.microsoft.com/office/spreadsheetml/2009/9/main" objectType="CheckBox" fmlaLink="$B$173" lockText="1" noThreeD="1"/>
</file>

<file path=xl/ctrlProps/ctrlProp86.xml><?xml version="1.0" encoding="utf-8"?>
<formControlPr xmlns="http://schemas.microsoft.com/office/spreadsheetml/2009/9/main" objectType="CheckBox" fmlaLink="$B$174" lockText="1" noThreeD="1"/>
</file>

<file path=xl/ctrlProps/ctrlProp87.xml><?xml version="1.0" encoding="utf-8"?>
<formControlPr xmlns="http://schemas.microsoft.com/office/spreadsheetml/2009/9/main" objectType="CheckBox" fmlaLink="$B$176" lockText="1" noThreeD="1"/>
</file>

<file path=xl/ctrlProps/ctrlProp88.xml><?xml version="1.0" encoding="utf-8"?>
<formControlPr xmlns="http://schemas.microsoft.com/office/spreadsheetml/2009/9/main" objectType="CheckBox" fmlaLink="$B$175" lockText="1" noThreeD="1"/>
</file>

<file path=xl/ctrlProps/ctrlProp89.xml><?xml version="1.0" encoding="utf-8"?>
<formControlPr xmlns="http://schemas.microsoft.com/office/spreadsheetml/2009/9/main" objectType="CheckBox" fmlaLink="$B$177" lockText="1" noThreeD="1"/>
</file>

<file path=xl/ctrlProps/ctrlProp90.xml><?xml version="1.0" encoding="utf-8"?>
<formControlPr xmlns="http://schemas.microsoft.com/office/spreadsheetml/2009/9/main" objectType="CheckBox" fmlaLink="$B$178" lockText="1" noThreeD="1"/>
</file>

<file path=xl/ctrlProps/ctrlProp91.xml><?xml version="1.0" encoding="utf-8"?>
<formControlPr xmlns="http://schemas.microsoft.com/office/spreadsheetml/2009/9/main" objectType="CheckBox" fmlaLink="$B$179" lockText="1" noThreeD="1"/>
</file>

<file path=xl/ctrlProps/ctrlProp92.xml><?xml version="1.0" encoding="utf-8"?>
<formControlPr xmlns="http://schemas.microsoft.com/office/spreadsheetml/2009/9/main" objectType="CheckBox" fmlaLink="$B$181" lockText="1" noThreeD="1"/>
</file>

<file path=xl/ctrlProps/ctrlProp93.xml><?xml version="1.0" encoding="utf-8"?>
<formControlPr xmlns="http://schemas.microsoft.com/office/spreadsheetml/2009/9/main" objectType="CheckBox" fmlaLink="$B$183" lockText="1" noThreeD="1"/>
</file>

<file path=xl/ctrlProps/ctrlProp94.xml><?xml version="1.0" encoding="utf-8"?>
<formControlPr xmlns="http://schemas.microsoft.com/office/spreadsheetml/2009/9/main" objectType="CheckBox" fmlaLink="$B$182" lockText="1" noThreeD="1"/>
</file>

<file path=xl/ctrlProps/ctrlProp95.xml><?xml version="1.0" encoding="utf-8"?>
<formControlPr xmlns="http://schemas.microsoft.com/office/spreadsheetml/2009/9/main" objectType="CheckBox" fmlaLink="$B$184" lockText="1" noThreeD="1"/>
</file>

<file path=xl/ctrlProps/ctrlProp96.xml><?xml version="1.0" encoding="utf-8"?>
<formControlPr xmlns="http://schemas.microsoft.com/office/spreadsheetml/2009/9/main" objectType="CheckBox" fmlaLink="$B$185" lockText="1" noThreeD="1"/>
</file>

<file path=xl/ctrlProps/ctrlProp97.xml><?xml version="1.0" encoding="utf-8"?>
<formControlPr xmlns="http://schemas.microsoft.com/office/spreadsheetml/2009/9/main" objectType="CheckBox" fmlaLink="$B$186" lockText="1" noThreeD="1"/>
</file>

<file path=xl/ctrlProps/ctrlProp98.xml><?xml version="1.0" encoding="utf-8"?>
<formControlPr xmlns="http://schemas.microsoft.com/office/spreadsheetml/2009/9/main" objectType="CheckBox" fmlaLink="$B$188" lockText="1" noThreeD="1"/>
</file>

<file path=xl/ctrlProps/ctrlProp99.xml><?xml version="1.0" encoding="utf-8"?>
<formControlPr xmlns="http://schemas.microsoft.com/office/spreadsheetml/2009/9/main" objectType="CheckBox" fmlaLink="$B$187" lockText="1" noThreeD="1"/>
</file>

<file path=xl/ctrlProps/ctrlProp100.xml><?xml version="1.0" encoding="utf-8"?>
<formControlPr xmlns="http://schemas.microsoft.com/office/spreadsheetml/2009/9/main" objectType="CheckBox" fmlaLink="$B$189" lockText="1" noThreeD="1"/>
</file>

<file path=xl/ctrlProps/ctrlProp101.xml><?xml version="1.0" encoding="utf-8"?>
<formControlPr xmlns="http://schemas.microsoft.com/office/spreadsheetml/2009/9/main" objectType="CheckBox" fmlaLink="$B$190" lockText="1" noThreeD="1"/>
</file>

<file path=xl/ctrlProps/ctrlProp102.xml><?xml version="1.0" encoding="utf-8"?>
<formControlPr xmlns="http://schemas.microsoft.com/office/spreadsheetml/2009/9/main" objectType="CheckBox" fmlaLink="$B$191" lockText="1" noThreeD="1"/>
</file>

<file path=xl/ctrlProps/ctrlProp103.xml><?xml version="1.0" encoding="utf-8"?>
<formControlPr xmlns="http://schemas.microsoft.com/office/spreadsheetml/2009/9/main" objectType="CheckBox" fmlaLink="$B145" lockText="1" noThreeD="1"/>
</file>

<file path=xl/ctrlProps/ctrlProp104.xml><?xml version="1.0" encoding="utf-8"?>
<formControlPr xmlns="http://schemas.microsoft.com/office/spreadsheetml/2009/9/main" objectType="CheckBox" fmlaLink="$B159" lockText="1" noThreeD="1"/>
</file>

<file path=xl/ctrlProps/ctrlProp105.xml><?xml version="1.0" encoding="utf-8"?>
<formControlPr xmlns="http://schemas.microsoft.com/office/spreadsheetml/2009/9/main" objectType="CheckBox" fmlaLink="$B$158" lockText="1" noThreeD="1"/>
</file>

<file path=xl/ctrlProps/ctrlProp106.xml><?xml version="1.0" encoding="utf-8"?>
<formControlPr xmlns="http://schemas.microsoft.com/office/spreadsheetml/2009/9/main" objectType="CheckBox" fmlaLink="$B160" lockText="1" noThreeD="1"/>
</file>

<file path=xl/ctrlProps/ctrlProp107.xml><?xml version="1.0" encoding="utf-8"?>
<formControlPr xmlns="http://schemas.microsoft.com/office/spreadsheetml/2009/9/main" objectType="CheckBox" fmlaLink="$B161" lockText="1" noThreeD="1"/>
</file>

<file path=xl/ctrlProps/ctrlProp108.xml><?xml version="1.0" encoding="utf-8"?>
<formControlPr xmlns="http://schemas.microsoft.com/office/spreadsheetml/2009/9/main" objectType="CheckBox" fmlaLink="$B162" lockText="1" noThreeD="1"/>
</file>

<file path=xl/ctrlProps/ctrlProp109.xml><?xml version="1.0" encoding="utf-8"?>
<formControlPr xmlns="http://schemas.microsoft.com/office/spreadsheetml/2009/9/main" objectType="CheckBox" fmlaLink="$B164" lockText="1" noThreeD="1"/>
</file>

<file path=xl/ctrlProps/ctrlProp110.xml><?xml version="1.0" encoding="utf-8"?>
<formControlPr xmlns="http://schemas.microsoft.com/office/spreadsheetml/2009/9/main" objectType="CheckBox" fmlaLink="$B163" lockText="1" noThreeD="1"/>
</file>

<file path=xl/ctrlProps/ctrlProp111.xml><?xml version="1.0" encoding="utf-8"?>
<formControlPr xmlns="http://schemas.microsoft.com/office/spreadsheetml/2009/9/main" objectType="CheckBox" fmlaLink="$B165" lockText="1" noThreeD="1"/>
</file>

<file path=xl/ctrlProps/ctrlProp112.xml><?xml version="1.0" encoding="utf-8"?>
<formControlPr xmlns="http://schemas.microsoft.com/office/spreadsheetml/2009/9/main" objectType="CheckBox" fmlaLink="$B166" lockText="1" noThreeD="1"/>
</file>

<file path=xl/ctrlProps/ctrlProp113.xml><?xml version="1.0" encoding="utf-8"?>
<formControlPr xmlns="http://schemas.microsoft.com/office/spreadsheetml/2009/9/main" objectType="CheckBox" fmlaLink="$B167" lockText="1" noThreeD="1"/>
</file>

<file path=xl/ctrlProps/ctrlProp114.xml><?xml version="1.0" encoding="utf-8"?>
<formControlPr xmlns="http://schemas.microsoft.com/office/spreadsheetml/2009/9/main" objectType="CheckBox" checked="Checked" fmlaLink="$B$193" lockText="1" noThreeD="1"/>
</file>

<file path=xl/ctrlProps/ctrlProp115.xml><?xml version="1.0" encoding="utf-8"?>
<formControlPr xmlns="http://schemas.microsoft.com/office/spreadsheetml/2009/9/main" objectType="CheckBox" checked="Checked" fmlaLink="$B$195" lockText="1" noThreeD="1"/>
</file>

<file path=xl/ctrlProps/ctrlProp116.xml><?xml version="1.0" encoding="utf-8"?>
<formControlPr xmlns="http://schemas.microsoft.com/office/spreadsheetml/2009/9/main" objectType="CheckBox" checked="Checked" fmlaLink="$B$194" lockText="1" noThreeD="1"/>
</file>

<file path=xl/ctrlProps/ctrlProp117.xml><?xml version="1.0" encoding="utf-8"?>
<formControlPr xmlns="http://schemas.microsoft.com/office/spreadsheetml/2009/9/main" objectType="CheckBox" checked="Checked" fmlaLink="$B$196" lockText="1" noThreeD="1"/>
</file>

<file path=xl/ctrlProps/ctrlProp118.xml><?xml version="1.0" encoding="utf-8"?>
<formControlPr xmlns="http://schemas.microsoft.com/office/spreadsheetml/2009/9/main" objectType="CheckBox" checked="Checked" fmlaLink="$B$197" lockText="1" noThreeD="1"/>
</file>

<file path=xl/ctrlProps/ctrlProp119.xml><?xml version="1.0" encoding="utf-8"?>
<formControlPr xmlns="http://schemas.microsoft.com/office/spreadsheetml/2009/9/main" objectType="CheckBox" checked="Checked" fmlaLink="$B$198" lockText="1" noThreeD="1"/>
</file>

<file path=xl/ctrlProps/ctrlProp120.xml><?xml version="1.0" encoding="utf-8"?>
<formControlPr xmlns="http://schemas.microsoft.com/office/spreadsheetml/2009/9/main" objectType="CheckBox" fmlaLink="$B$199" lockText="1" noThreeD="1"/>
</file>

<file path=xl/ctrlProps/ctrlProp121.xml><?xml version="1.0" encoding="utf-8"?>
<formControlPr xmlns="http://schemas.microsoft.com/office/spreadsheetml/2009/9/main" objectType="CheckBox" fmlaLink="$B$200" lockText="1" noThreeD="1"/>
</file>

<file path=xl/ctrlProps/ctrlProp122.xml><?xml version="1.0" encoding="utf-8"?>
<formControlPr xmlns="http://schemas.microsoft.com/office/spreadsheetml/2009/9/main" objectType="CheckBox" fmlaLink="$B$201" lockText="1" noThreeD="1"/>
</file>

<file path=xl/ctrlProps/ctrlProp123.xml><?xml version="1.0" encoding="utf-8"?>
<formControlPr xmlns="http://schemas.microsoft.com/office/spreadsheetml/2009/9/main" objectType="CheckBox" fmlaLink="$B$202" lockText="1" noThreeD="1"/>
</file>

<file path=xl/ctrlProps/ctrlProp124.xml><?xml version="1.0" encoding="utf-8"?>
<formControlPr xmlns="http://schemas.microsoft.com/office/spreadsheetml/2009/9/main" objectType="CheckBox" checked="Checked" fmlaLink="$B$204" lockText="1" noThreeD="1"/>
</file>

<file path=xl/ctrlProps/ctrlProp125.xml><?xml version="1.0" encoding="utf-8"?>
<formControlPr xmlns="http://schemas.microsoft.com/office/spreadsheetml/2009/9/main" objectType="CheckBox" fmlaLink="$B$206" lockText="1" noThreeD="1"/>
</file>

<file path=xl/ctrlProps/ctrlProp126.xml><?xml version="1.0" encoding="utf-8"?>
<formControlPr xmlns="http://schemas.microsoft.com/office/spreadsheetml/2009/9/main" objectType="CheckBox" checked="Checked" fmlaLink="$B$205" lockText="1" noThreeD="1"/>
</file>

<file path=xl/ctrlProps/ctrlProp127.xml><?xml version="1.0" encoding="utf-8"?>
<formControlPr xmlns="http://schemas.microsoft.com/office/spreadsheetml/2009/9/main" objectType="CheckBox" fmlaLink="$B$207" lockText="1" noThreeD="1"/>
</file>

<file path=xl/ctrlProps/ctrlProp128.xml><?xml version="1.0" encoding="utf-8"?>
<formControlPr xmlns="http://schemas.microsoft.com/office/spreadsheetml/2009/9/main" objectType="CheckBox" fmlaLink="$B$208" lockText="1" noThreeD="1"/>
</file>

<file path=xl/ctrlProps/ctrlProp129.xml><?xml version="1.0" encoding="utf-8"?>
<formControlPr xmlns="http://schemas.microsoft.com/office/spreadsheetml/2009/9/main" objectType="CheckBox" fmlaLink="$B$209" lockText="1" noThreeD="1"/>
</file>

<file path=xl/ctrlProps/ctrlProp130.xml><?xml version="1.0" encoding="utf-8"?>
<formControlPr xmlns="http://schemas.microsoft.com/office/spreadsheetml/2009/9/main" objectType="CheckBox" fmlaLink="$B$210" lockText="1" noThreeD="1"/>
</file>

<file path=xl/ctrlProps/ctrlProp131.xml><?xml version="1.0" encoding="utf-8"?>
<formControlPr xmlns="http://schemas.microsoft.com/office/spreadsheetml/2009/9/main" objectType="CheckBox" fmlaLink="$B$211" lockText="1" noThreeD="1"/>
</file>

<file path=xl/ctrlProps/ctrlProp132.xml><?xml version="1.0" encoding="utf-8"?>
<formControlPr xmlns="http://schemas.microsoft.com/office/spreadsheetml/2009/9/main" objectType="CheckBox" fmlaLink="$B$212" lockText="1" noThreeD="1"/>
</file>

<file path=xl/ctrlProps/ctrlProp133.xml><?xml version="1.0" encoding="utf-8"?>
<formControlPr xmlns="http://schemas.microsoft.com/office/spreadsheetml/2009/9/main" objectType="CheckBox" fmlaLink="$B$213" lockText="1" noThreeD="1"/>
</file>

<file path=xl/ctrlProps/ctrlProp134.xml><?xml version="1.0" encoding="utf-8"?>
<formControlPr xmlns="http://schemas.microsoft.com/office/spreadsheetml/2009/9/main" objectType="CheckBox" checked="Checked" fmlaLink="$B$215" lockText="1" noThreeD="1"/>
</file>

<file path=xl/ctrlProps/ctrlProp135.xml><?xml version="1.0" encoding="utf-8"?>
<formControlPr xmlns="http://schemas.microsoft.com/office/spreadsheetml/2009/9/main" objectType="CheckBox" checked="Checked" fmlaLink="$B$217" lockText="1" noThreeD="1"/>
</file>

<file path=xl/ctrlProps/ctrlProp136.xml><?xml version="1.0" encoding="utf-8"?>
<formControlPr xmlns="http://schemas.microsoft.com/office/spreadsheetml/2009/9/main" objectType="CheckBox" checked="Checked" fmlaLink="$B$216" lockText="1" noThreeD="1"/>
</file>

<file path=xl/ctrlProps/ctrlProp137.xml><?xml version="1.0" encoding="utf-8"?>
<formControlPr xmlns="http://schemas.microsoft.com/office/spreadsheetml/2009/9/main" objectType="CheckBox" checked="Checked" fmlaLink="$B$218" lockText="1" noThreeD="1"/>
</file>

<file path=xl/ctrlProps/ctrlProp138.xml><?xml version="1.0" encoding="utf-8"?>
<formControlPr xmlns="http://schemas.microsoft.com/office/spreadsheetml/2009/9/main" objectType="CheckBox" checked="Checked" fmlaLink="$B$219" lockText="1" noThreeD="1"/>
</file>

<file path=xl/ctrlProps/ctrlProp139.xml><?xml version="1.0" encoding="utf-8"?>
<formControlPr xmlns="http://schemas.microsoft.com/office/spreadsheetml/2009/9/main" objectType="CheckBox" fmlaLink="$B$220" lockText="1" noThreeD="1"/>
</file>

<file path=xl/ctrlProps/ctrlProp140.xml><?xml version="1.0" encoding="utf-8"?>
<formControlPr xmlns="http://schemas.microsoft.com/office/spreadsheetml/2009/9/main" objectType="CheckBox" fmlaLink="$B$221" lockText="1" noThreeD="1"/>
</file>

<file path=xl/ctrlProps/ctrlProp141.xml><?xml version="1.0" encoding="utf-8"?>
<formControlPr xmlns="http://schemas.microsoft.com/office/spreadsheetml/2009/9/main" objectType="CheckBox" fmlaLink="$B$222" lockText="1" noThreeD="1"/>
</file>

<file path=xl/ctrlProps/ctrlProp142.xml><?xml version="1.0" encoding="utf-8"?>
<formControlPr xmlns="http://schemas.microsoft.com/office/spreadsheetml/2009/9/main" objectType="CheckBox" fmlaLink="$B$223" lockText="1" noThreeD="1"/>
</file>

<file path=xl/ctrlProps/ctrlProp143.xml><?xml version="1.0" encoding="utf-8"?>
<formControlPr xmlns="http://schemas.microsoft.com/office/spreadsheetml/2009/9/main" objectType="CheckBox" fmlaLink="$B$224" lockText="1" noThreeD="1"/>
</file>

<file path=xl/ctrlProps/ctrlProp144.xml><?xml version="1.0" encoding="utf-8"?>
<formControlPr xmlns="http://schemas.microsoft.com/office/spreadsheetml/2009/9/main" objectType="CheckBox" fmlaLink="$B$76" lockText="1" noThreeD="1"/>
</file>

<file path=xl/ctrlProps/ctrlProp145.xml><?xml version="1.0" encoding="utf-8"?>
<formControlPr xmlns="http://schemas.microsoft.com/office/spreadsheetml/2009/9/main" objectType="CheckBox" fmlaLink="$B$77" lockText="1" noThreeD="1"/>
</file>

<file path=xl/ctrlProps/ctrlProp146.xml><?xml version="1.0" encoding="utf-8"?>
<formControlPr xmlns="http://schemas.microsoft.com/office/spreadsheetml/2009/9/main" objectType="CheckBox" fmlaLink="$B$78" lockText="1" noThreeD="1"/>
</file>

<file path=xl/ctrlProps/ctrlProp147.xml><?xml version="1.0" encoding="utf-8"?>
<formControlPr xmlns="http://schemas.microsoft.com/office/spreadsheetml/2009/9/main" objectType="CheckBox" checked="Checked" fmlaLink="$B$72" lockText="1" noThreeD="1"/>
</file>

<file path=xl/ctrlProps/ctrlProp148.xml><?xml version="1.0" encoding="utf-8"?>
<formControlPr xmlns="http://schemas.microsoft.com/office/spreadsheetml/2009/9/main" objectType="CheckBox" checked="Checked" fmlaLink="$B$59" lockText="1" noThreeD="1"/>
</file>

<file path=xl/ctrlProps/ctrlProp149.xml><?xml version="1.0" encoding="utf-8"?>
<formControlPr xmlns="http://schemas.microsoft.com/office/spreadsheetml/2009/9/main" objectType="CheckBox" fmlaLink="$B$58" lockText="1" noThreeD="1"/>
</file>

<file path=xl/ctrlProps/ctrlProp150.xml><?xml version="1.0" encoding="utf-8"?>
<formControlPr xmlns="http://schemas.microsoft.com/office/spreadsheetml/2009/9/main" objectType="CheckBox" checked="Checked" fmlaLink="$B$61" lockText="1" noThreeD="1"/>
</file>

<file path=xl/ctrlProps/ctrlProp151.xml><?xml version="1.0" encoding="utf-8"?>
<formControlPr xmlns="http://schemas.microsoft.com/office/spreadsheetml/2009/9/main" objectType="CheckBox" fmlaLink="$B$60" lockText="1" noThreeD="1"/>
</file>

<file path=xl/ctrlProps/ctrlProp152.xml><?xml version="1.0" encoding="utf-8"?>
<formControlPr xmlns="http://schemas.microsoft.com/office/spreadsheetml/2009/9/main" objectType="CheckBox" checked="Checked" fmlaLink="$B$59" lockText="1" noThreeD="1"/>
</file>

<file path=xl/ctrlProps/ctrlProp153.xml><?xml version="1.0" encoding="utf-8"?>
<formControlPr xmlns="http://schemas.microsoft.com/office/spreadsheetml/2009/9/main" objectType="CheckBox" checked="Checked" fmlaLink="$B$58" lockText="1" noThreeD="1"/>
</file>

<file path=xl/ctrlProps/ctrlProp154.xml><?xml version="1.0" encoding="utf-8"?>
<formControlPr xmlns="http://schemas.microsoft.com/office/spreadsheetml/2009/9/main" objectType="CheckBox" checked="Checked" fmlaLink="$B$61" lockText="1" noThreeD="1"/>
</file>

<file path=xl/ctrlProps/ctrlProp155.xml><?xml version="1.0" encoding="utf-8"?>
<formControlPr xmlns="http://schemas.microsoft.com/office/spreadsheetml/2009/9/main" objectType="CheckBox" checked="Checked" fmlaLink="$B$60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127000</xdr:rowOff>
        </xdr:from>
        <xdr:to>
          <xdr:col>0</xdr:col>
          <xdr:colOff>1206500</xdr:colOff>
          <xdr:row>59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1108FDBC-BC08-495C-8004-C073A9E8D0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Selected Publications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133350</xdr:rowOff>
        </xdr:from>
        <xdr:to>
          <xdr:col>0</xdr:col>
          <xdr:colOff>1206500</xdr:colOff>
          <xdr:row>58</xdr:row>
          <xdr:rowOff>31750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73309947-F160-4240-87DA-B27504867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Research Activities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127000</xdr:rowOff>
        </xdr:from>
        <xdr:to>
          <xdr:col>0</xdr:col>
          <xdr:colOff>1206500</xdr:colOff>
          <xdr:row>61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47DA5AC3-4D7F-4932-A1FF-7C03590E15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Curriculum Vitae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133350</xdr:rowOff>
        </xdr:from>
        <xdr:to>
          <xdr:col>0</xdr:col>
          <xdr:colOff>1206500</xdr:colOff>
          <xdr:row>60</xdr:row>
          <xdr:rowOff>31750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C80BEA51-83AB-445F-9695-942E3DF9D1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Citations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127000</xdr:rowOff>
        </xdr:from>
        <xdr:to>
          <xdr:col>0</xdr:col>
          <xdr:colOff>1206500</xdr:colOff>
          <xdr:row>67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585E9C7-EA0E-409F-AC50-A10C2FD50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0C0C0" mc:Ignorable="a14" a14:legacySpreadsheetColorIndex="2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Personal Information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120650</xdr:rowOff>
        </xdr:from>
        <xdr:to>
          <xdr:col>0</xdr:col>
          <xdr:colOff>1206500</xdr:colOff>
          <xdr:row>68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EEEF34C-AB6E-487B-AC75-F3F67C7757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Nationality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120650</xdr:rowOff>
        </xdr:from>
        <xdr:to>
          <xdr:col>0</xdr:col>
          <xdr:colOff>1206500</xdr:colOff>
          <xdr:row>69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0C80EFF-E8A3-4293-B225-E2CBB8BC7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Place of Birth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127000</xdr:rowOff>
        </xdr:from>
        <xdr:to>
          <xdr:col>0</xdr:col>
          <xdr:colOff>1206500</xdr:colOff>
          <xdr:row>70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F433FE4F-7ED4-4597-A6C1-25D67D5370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Date of Birth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120650</xdr:rowOff>
        </xdr:from>
        <xdr:to>
          <xdr:col>0</xdr:col>
          <xdr:colOff>1206500</xdr:colOff>
          <xdr:row>71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D889BF8-9344-4E27-96E2-D167B832BE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Marital Status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133350</xdr:rowOff>
        </xdr:from>
        <xdr:to>
          <xdr:col>0</xdr:col>
          <xdr:colOff>1206500</xdr:colOff>
          <xdr:row>73</xdr:row>
          <xdr:rowOff>25400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91672FED-BF9D-4848-BACC-09A4C8E57B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Telephone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120650</xdr:rowOff>
        </xdr:from>
        <xdr:to>
          <xdr:col>0</xdr:col>
          <xdr:colOff>1206500</xdr:colOff>
          <xdr:row>74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DBC604B9-40B4-4348-934D-6BB65FFFF7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E-mail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120650</xdr:rowOff>
        </xdr:from>
        <xdr:to>
          <xdr:col>0</xdr:col>
          <xdr:colOff>1206500</xdr:colOff>
          <xdr:row>75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360A2060-704F-4C53-B314-509D520E18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Messanger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133350</xdr:rowOff>
        </xdr:from>
        <xdr:to>
          <xdr:col>0</xdr:col>
          <xdr:colOff>1206500</xdr:colOff>
          <xdr:row>80</xdr:row>
          <xdr:rowOff>25400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E4D7998D-B0C5-4F1E-9DFE-89B07DC714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Education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120650</xdr:rowOff>
        </xdr:from>
        <xdr:to>
          <xdr:col>0</xdr:col>
          <xdr:colOff>1206500</xdr:colOff>
          <xdr:row>82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E573FEE8-CD27-4FAF-8347-69905530B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133350</xdr:rowOff>
        </xdr:from>
        <xdr:to>
          <xdr:col>0</xdr:col>
          <xdr:colOff>1206500</xdr:colOff>
          <xdr:row>81</xdr:row>
          <xdr:rowOff>25400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51599FB8-A9F2-4C00-B0BA-2ADA90940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120650</xdr:rowOff>
        </xdr:from>
        <xdr:to>
          <xdr:col>0</xdr:col>
          <xdr:colOff>1206500</xdr:colOff>
          <xdr:row>83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5DA812C-CBF9-47C0-841B-0EF6774C55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120650</xdr:rowOff>
        </xdr:from>
        <xdr:to>
          <xdr:col>0</xdr:col>
          <xdr:colOff>1206500</xdr:colOff>
          <xdr:row>84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6606DDAB-3178-4780-B7E2-35C3932F9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120650</xdr:rowOff>
        </xdr:from>
        <xdr:to>
          <xdr:col>0</xdr:col>
          <xdr:colOff>1206500</xdr:colOff>
          <xdr:row>85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E9C19B78-2A60-4893-87FC-F48FA50C35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133350</xdr:rowOff>
        </xdr:from>
        <xdr:to>
          <xdr:col>0</xdr:col>
          <xdr:colOff>1206500</xdr:colOff>
          <xdr:row>87</xdr:row>
          <xdr:rowOff>25400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DF53DB06-1A45-42D1-B399-AD8542F63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Degrees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120650</xdr:rowOff>
        </xdr:from>
        <xdr:to>
          <xdr:col>0</xdr:col>
          <xdr:colOff>1206500</xdr:colOff>
          <xdr:row>89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F9A44819-EC49-4489-8742-3CFB812FB1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133350</xdr:rowOff>
        </xdr:from>
        <xdr:to>
          <xdr:col>0</xdr:col>
          <xdr:colOff>1206500</xdr:colOff>
          <xdr:row>88</xdr:row>
          <xdr:rowOff>25400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D853E7EF-440F-493B-B237-D272158A68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120650</xdr:rowOff>
        </xdr:from>
        <xdr:to>
          <xdr:col>0</xdr:col>
          <xdr:colOff>1206500</xdr:colOff>
          <xdr:row>90</xdr:row>
          <xdr:rowOff>19050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58481958-2A5C-4C5E-9009-6FA4AC9EF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120650</xdr:rowOff>
        </xdr:from>
        <xdr:to>
          <xdr:col>0</xdr:col>
          <xdr:colOff>1206500</xdr:colOff>
          <xdr:row>91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182EA8A7-B4F5-41EC-B0EB-C2B026F60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120650</xdr:rowOff>
        </xdr:from>
        <xdr:to>
          <xdr:col>0</xdr:col>
          <xdr:colOff>1206500</xdr:colOff>
          <xdr:row>92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F9702CBA-4158-474F-853E-4F057B709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133350</xdr:rowOff>
        </xdr:from>
        <xdr:to>
          <xdr:col>0</xdr:col>
          <xdr:colOff>1206500</xdr:colOff>
          <xdr:row>94</xdr:row>
          <xdr:rowOff>25400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1D4E4D9B-35F5-46E4-81E0-CF0B6E94E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Work experience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120650</xdr:rowOff>
        </xdr:from>
        <xdr:to>
          <xdr:col>0</xdr:col>
          <xdr:colOff>1206500</xdr:colOff>
          <xdr:row>96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FCBCF8FF-E378-49F4-8C6C-1AC0B96C7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133350</xdr:rowOff>
        </xdr:from>
        <xdr:to>
          <xdr:col>0</xdr:col>
          <xdr:colOff>1206500</xdr:colOff>
          <xdr:row>95</xdr:row>
          <xdr:rowOff>25400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DDFDD1B-6BC6-4541-A084-6239A8CFC0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120650</xdr:rowOff>
        </xdr:from>
        <xdr:to>
          <xdr:col>0</xdr:col>
          <xdr:colOff>1206500</xdr:colOff>
          <xdr:row>97</xdr:row>
          <xdr:rowOff>19050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84041AE5-7F4A-4163-BE2C-4C76EA7391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120650</xdr:rowOff>
        </xdr:from>
        <xdr:to>
          <xdr:col>0</xdr:col>
          <xdr:colOff>1206500</xdr:colOff>
          <xdr:row>98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FD29E8F3-0894-41EA-8605-8DB276BEC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120650</xdr:rowOff>
        </xdr:from>
        <xdr:to>
          <xdr:col>0</xdr:col>
          <xdr:colOff>1206500</xdr:colOff>
          <xdr:row>99</xdr:row>
          <xdr:rowOff>19050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B1DC15B4-62E4-4A18-BF95-CA986DF4B6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120650</xdr:rowOff>
        </xdr:from>
        <xdr:to>
          <xdr:col>0</xdr:col>
          <xdr:colOff>1206500</xdr:colOff>
          <xdr:row>101</xdr:row>
          <xdr:rowOff>19050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50773719-E735-47EC-9030-6F8977859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133350</xdr:rowOff>
        </xdr:from>
        <xdr:to>
          <xdr:col>0</xdr:col>
          <xdr:colOff>1206500</xdr:colOff>
          <xdr:row>100</xdr:row>
          <xdr:rowOff>25400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7FDB43EE-5EED-4691-9224-1A75DCA84E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120650</xdr:rowOff>
        </xdr:from>
        <xdr:to>
          <xdr:col>0</xdr:col>
          <xdr:colOff>1206500</xdr:colOff>
          <xdr:row>102</xdr:row>
          <xdr:rowOff>19050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E943FAAE-2E89-4019-AEB0-0008BDD26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120650</xdr:rowOff>
        </xdr:from>
        <xdr:to>
          <xdr:col>0</xdr:col>
          <xdr:colOff>1206500</xdr:colOff>
          <xdr:row>103</xdr:row>
          <xdr:rowOff>19050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1D718697-7E37-480D-AB6B-64C02D2392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120650</xdr:rowOff>
        </xdr:from>
        <xdr:to>
          <xdr:col>0</xdr:col>
          <xdr:colOff>1206500</xdr:colOff>
          <xdr:row>104</xdr:row>
          <xdr:rowOff>19050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31B7D374-F21B-48F8-A2A3-45F3D5C1F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133350</xdr:rowOff>
        </xdr:from>
        <xdr:to>
          <xdr:col>0</xdr:col>
          <xdr:colOff>1206500</xdr:colOff>
          <xdr:row>106</xdr:row>
          <xdr:rowOff>25400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62285653-1CFB-4CC9-8781-3122ED3BC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Research Fields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133350</xdr:rowOff>
        </xdr:from>
        <xdr:to>
          <xdr:col>0</xdr:col>
          <xdr:colOff>1206500</xdr:colOff>
          <xdr:row>109</xdr:row>
          <xdr:rowOff>25400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B8D1C40E-F19E-442F-87AA-4DC78C7ABD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Proffesional Memberships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120650</xdr:rowOff>
        </xdr:from>
        <xdr:to>
          <xdr:col>0</xdr:col>
          <xdr:colOff>1206500</xdr:colOff>
          <xdr:row>111</xdr:row>
          <xdr:rowOff>19050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D8DEE817-6291-4D04-A574-F85796447E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133350</xdr:rowOff>
        </xdr:from>
        <xdr:to>
          <xdr:col>0</xdr:col>
          <xdr:colOff>1206500</xdr:colOff>
          <xdr:row>110</xdr:row>
          <xdr:rowOff>25400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2E389043-A50D-4712-945E-2376BC588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120650</xdr:rowOff>
        </xdr:from>
        <xdr:to>
          <xdr:col>0</xdr:col>
          <xdr:colOff>1206500</xdr:colOff>
          <xdr:row>112</xdr:row>
          <xdr:rowOff>19050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D3DFE0F3-4278-4F95-B32C-39125130AF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120650</xdr:rowOff>
        </xdr:from>
        <xdr:to>
          <xdr:col>0</xdr:col>
          <xdr:colOff>1206500</xdr:colOff>
          <xdr:row>113</xdr:row>
          <xdr:rowOff>19050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B807BC9D-E8E3-4B1E-B1BE-98688614BE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120650</xdr:rowOff>
        </xdr:from>
        <xdr:to>
          <xdr:col>0</xdr:col>
          <xdr:colOff>1206500</xdr:colOff>
          <xdr:row>114</xdr:row>
          <xdr:rowOff>19050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5C868502-295B-450C-A486-C2548EB87D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120650</xdr:rowOff>
        </xdr:from>
        <xdr:to>
          <xdr:col>0</xdr:col>
          <xdr:colOff>1206500</xdr:colOff>
          <xdr:row>116</xdr:row>
          <xdr:rowOff>19050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4BC619D8-BCCC-4B49-AC8E-C86F11FBB5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133350</xdr:rowOff>
        </xdr:from>
        <xdr:to>
          <xdr:col>0</xdr:col>
          <xdr:colOff>1206500</xdr:colOff>
          <xdr:row>115</xdr:row>
          <xdr:rowOff>25400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69CC2361-CF21-4967-A696-53AA6B8F47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120650</xdr:rowOff>
        </xdr:from>
        <xdr:to>
          <xdr:col>0</xdr:col>
          <xdr:colOff>1206500</xdr:colOff>
          <xdr:row>117</xdr:row>
          <xdr:rowOff>19050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EBEB0F08-3A39-426C-AF35-C84D62651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120650</xdr:rowOff>
        </xdr:from>
        <xdr:to>
          <xdr:col>0</xdr:col>
          <xdr:colOff>1206500</xdr:colOff>
          <xdr:row>118</xdr:row>
          <xdr:rowOff>19050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B5D71906-6A56-46B8-8AA8-DA0B629FE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120650</xdr:rowOff>
        </xdr:from>
        <xdr:to>
          <xdr:col>0</xdr:col>
          <xdr:colOff>1206500</xdr:colOff>
          <xdr:row>119</xdr:row>
          <xdr:rowOff>19050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AEFC19FA-94DF-417B-AA23-5E54BCA93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133350</xdr:rowOff>
        </xdr:from>
        <xdr:to>
          <xdr:col>0</xdr:col>
          <xdr:colOff>1206500</xdr:colOff>
          <xdr:row>121</xdr:row>
          <xdr:rowOff>25400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B4A41491-9169-45C8-8791-E301EA75B8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Research Grands and Awards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120650</xdr:rowOff>
        </xdr:from>
        <xdr:to>
          <xdr:col>0</xdr:col>
          <xdr:colOff>1206500</xdr:colOff>
          <xdr:row>123</xdr:row>
          <xdr:rowOff>19050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19476219-1BF6-4843-9765-FA27385B73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133350</xdr:rowOff>
        </xdr:from>
        <xdr:to>
          <xdr:col>0</xdr:col>
          <xdr:colOff>1206500</xdr:colOff>
          <xdr:row>122</xdr:row>
          <xdr:rowOff>25400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6E951F89-94B6-47ED-B0D9-2576D7FBB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120650</xdr:rowOff>
        </xdr:from>
        <xdr:to>
          <xdr:col>0</xdr:col>
          <xdr:colOff>1206500</xdr:colOff>
          <xdr:row>124</xdr:row>
          <xdr:rowOff>19050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89E7B1A7-781A-4A55-A7DD-55C4B8887A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120650</xdr:rowOff>
        </xdr:from>
        <xdr:to>
          <xdr:col>0</xdr:col>
          <xdr:colOff>1206500</xdr:colOff>
          <xdr:row>125</xdr:row>
          <xdr:rowOff>19050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E73599C5-BAB6-40B2-B349-F2DD5108F9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120650</xdr:rowOff>
        </xdr:from>
        <xdr:to>
          <xdr:col>0</xdr:col>
          <xdr:colOff>1206500</xdr:colOff>
          <xdr:row>126</xdr:row>
          <xdr:rowOff>19050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737D560E-6138-469F-B5B1-737483D890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120650</xdr:rowOff>
        </xdr:from>
        <xdr:to>
          <xdr:col>0</xdr:col>
          <xdr:colOff>1206500</xdr:colOff>
          <xdr:row>128</xdr:row>
          <xdr:rowOff>19050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9D33ED23-6FA8-4D01-9970-CBE873B530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133350</xdr:rowOff>
        </xdr:from>
        <xdr:to>
          <xdr:col>0</xdr:col>
          <xdr:colOff>1206500</xdr:colOff>
          <xdr:row>127</xdr:row>
          <xdr:rowOff>25400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7EC2977C-8BEE-4FA2-94D0-FB8CC0E3BA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120650</xdr:rowOff>
        </xdr:from>
        <xdr:to>
          <xdr:col>0</xdr:col>
          <xdr:colOff>1206500</xdr:colOff>
          <xdr:row>129</xdr:row>
          <xdr:rowOff>19050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8788E85D-7D1E-438A-9B1B-14E808E9D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120650</xdr:rowOff>
        </xdr:from>
        <xdr:to>
          <xdr:col>0</xdr:col>
          <xdr:colOff>1206500</xdr:colOff>
          <xdr:row>130</xdr:row>
          <xdr:rowOff>19050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C026FD35-C1A7-40AE-B650-8AAD44483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120650</xdr:rowOff>
        </xdr:from>
        <xdr:to>
          <xdr:col>0</xdr:col>
          <xdr:colOff>1206500</xdr:colOff>
          <xdr:row>131</xdr:row>
          <xdr:rowOff>19050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616431B2-493D-4D3F-9022-221A84C91E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Institution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133350</xdr:rowOff>
        </xdr:from>
        <xdr:to>
          <xdr:col>0</xdr:col>
          <xdr:colOff>1206500</xdr:colOff>
          <xdr:row>133</xdr:row>
          <xdr:rowOff>25400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ED602AE-D440-482C-ADFF-A88BAB7670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Additional Section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120650</xdr:rowOff>
        </xdr:from>
        <xdr:to>
          <xdr:col>0</xdr:col>
          <xdr:colOff>1206500</xdr:colOff>
          <xdr:row>135</xdr:row>
          <xdr:rowOff>19050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C3AAC961-3293-4245-B84E-6F7F3C863B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133350</xdr:rowOff>
        </xdr:from>
        <xdr:to>
          <xdr:col>0</xdr:col>
          <xdr:colOff>1206500</xdr:colOff>
          <xdr:row>134</xdr:row>
          <xdr:rowOff>25400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C97DD8FD-3CA9-44F0-BCC6-530CEB3061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120650</xdr:rowOff>
        </xdr:from>
        <xdr:to>
          <xdr:col>0</xdr:col>
          <xdr:colOff>1206500</xdr:colOff>
          <xdr:row>136</xdr:row>
          <xdr:rowOff>19050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9C94FDB2-D522-4D74-BF6C-B39B8D803D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120650</xdr:rowOff>
        </xdr:from>
        <xdr:to>
          <xdr:col>0</xdr:col>
          <xdr:colOff>1206500</xdr:colOff>
          <xdr:row>137</xdr:row>
          <xdr:rowOff>19050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E380B751-80C0-4C42-8884-6279B8685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120650</xdr:rowOff>
        </xdr:from>
        <xdr:to>
          <xdr:col>0</xdr:col>
          <xdr:colOff>1206500</xdr:colOff>
          <xdr:row>138</xdr:row>
          <xdr:rowOff>19050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C7589985-C022-4B70-9904-509D130D0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120650</xdr:rowOff>
        </xdr:from>
        <xdr:to>
          <xdr:col>0</xdr:col>
          <xdr:colOff>1206500</xdr:colOff>
          <xdr:row>140</xdr:row>
          <xdr:rowOff>19050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7B11087A-8D1D-490A-9313-4AB71AD57B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133350</xdr:rowOff>
        </xdr:from>
        <xdr:to>
          <xdr:col>0</xdr:col>
          <xdr:colOff>1206500</xdr:colOff>
          <xdr:row>139</xdr:row>
          <xdr:rowOff>25400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DB3CC3CC-0A79-495A-82D1-2793EF52A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120650</xdr:rowOff>
        </xdr:from>
        <xdr:to>
          <xdr:col>0</xdr:col>
          <xdr:colOff>1206500</xdr:colOff>
          <xdr:row>141</xdr:row>
          <xdr:rowOff>19050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D0363417-68DF-4CCB-BC24-1AD69B8CA6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120650</xdr:rowOff>
        </xdr:from>
        <xdr:to>
          <xdr:col>0</xdr:col>
          <xdr:colOff>1206500</xdr:colOff>
          <xdr:row>142</xdr:row>
          <xdr:rowOff>19050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B6AC7746-855B-4972-932E-A530E6AE48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120650</xdr:rowOff>
        </xdr:from>
        <xdr:to>
          <xdr:col>0</xdr:col>
          <xdr:colOff>1206500</xdr:colOff>
          <xdr:row>143</xdr:row>
          <xdr:rowOff>19050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9D9D6513-16B6-43A1-8465-2EA2AE83D5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133350</xdr:rowOff>
        </xdr:from>
        <xdr:to>
          <xdr:col>0</xdr:col>
          <xdr:colOff>1206500</xdr:colOff>
          <xdr:row>145</xdr:row>
          <xdr:rowOff>25400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277ACBDB-D1C0-44EF-BB29-77F87053C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Additional Section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120650</xdr:rowOff>
        </xdr:from>
        <xdr:to>
          <xdr:col>0</xdr:col>
          <xdr:colOff>1206500</xdr:colOff>
          <xdr:row>147</xdr:row>
          <xdr:rowOff>19050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88700C52-7972-4B6D-A9AB-6B29230B80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133350</xdr:rowOff>
        </xdr:from>
        <xdr:to>
          <xdr:col>0</xdr:col>
          <xdr:colOff>1206500</xdr:colOff>
          <xdr:row>146</xdr:row>
          <xdr:rowOff>25400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83686A55-14D0-49CD-8D12-92FC53D351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120650</xdr:rowOff>
        </xdr:from>
        <xdr:to>
          <xdr:col>0</xdr:col>
          <xdr:colOff>1206500</xdr:colOff>
          <xdr:row>148</xdr:row>
          <xdr:rowOff>19050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610DF2BF-BFB9-4895-9C47-8FDAE348E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120650</xdr:rowOff>
        </xdr:from>
        <xdr:to>
          <xdr:col>0</xdr:col>
          <xdr:colOff>1206500</xdr:colOff>
          <xdr:row>149</xdr:row>
          <xdr:rowOff>19050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C6ACF57-B910-4F09-9237-DBB6695ACF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120650</xdr:rowOff>
        </xdr:from>
        <xdr:to>
          <xdr:col>0</xdr:col>
          <xdr:colOff>1206500</xdr:colOff>
          <xdr:row>150</xdr:row>
          <xdr:rowOff>19050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403ADBC8-7B59-4EC3-B3BD-FF831A11B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120650</xdr:rowOff>
        </xdr:from>
        <xdr:to>
          <xdr:col>0</xdr:col>
          <xdr:colOff>1206500</xdr:colOff>
          <xdr:row>152</xdr:row>
          <xdr:rowOff>19050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56FFDACD-BC32-48A6-A71D-FB1E53D6A3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133350</xdr:rowOff>
        </xdr:from>
        <xdr:to>
          <xdr:col>0</xdr:col>
          <xdr:colOff>1206500</xdr:colOff>
          <xdr:row>151</xdr:row>
          <xdr:rowOff>25400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74EB9A7C-F7DC-4875-9641-76E38FE6AA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120650</xdr:rowOff>
        </xdr:from>
        <xdr:to>
          <xdr:col>0</xdr:col>
          <xdr:colOff>1206500</xdr:colOff>
          <xdr:row>153</xdr:row>
          <xdr:rowOff>19050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644DE035-467D-4C3D-837B-90CD05AD7A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120650</xdr:rowOff>
        </xdr:from>
        <xdr:to>
          <xdr:col>0</xdr:col>
          <xdr:colOff>1206500</xdr:colOff>
          <xdr:row>154</xdr:row>
          <xdr:rowOff>19050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F76737CB-E125-4741-9C2E-095C07524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120650</xdr:rowOff>
        </xdr:from>
        <xdr:to>
          <xdr:col>0</xdr:col>
          <xdr:colOff>1206500</xdr:colOff>
          <xdr:row>155</xdr:row>
          <xdr:rowOff>19050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38B4244B-63A0-482C-9DD0-6F06C32B53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133350</xdr:rowOff>
        </xdr:from>
        <xdr:to>
          <xdr:col>0</xdr:col>
          <xdr:colOff>1206500</xdr:colOff>
          <xdr:row>169</xdr:row>
          <xdr:rowOff>25400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7009C0B3-65FC-4F85-A2B5-4BACA2A4B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Additional Section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120650</xdr:rowOff>
        </xdr:from>
        <xdr:to>
          <xdr:col>0</xdr:col>
          <xdr:colOff>1206500</xdr:colOff>
          <xdr:row>171</xdr:row>
          <xdr:rowOff>19050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7B869E2B-6E43-4053-8060-7313FC4282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133350</xdr:rowOff>
        </xdr:from>
        <xdr:to>
          <xdr:col>0</xdr:col>
          <xdr:colOff>1206500</xdr:colOff>
          <xdr:row>170</xdr:row>
          <xdr:rowOff>25400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FF5A1683-3504-4B9C-9429-6884EF63BC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120650</xdr:rowOff>
        </xdr:from>
        <xdr:to>
          <xdr:col>0</xdr:col>
          <xdr:colOff>1206500</xdr:colOff>
          <xdr:row>172</xdr:row>
          <xdr:rowOff>19050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53C43D41-8244-4296-A8C2-ADDD36789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120650</xdr:rowOff>
        </xdr:from>
        <xdr:to>
          <xdr:col>0</xdr:col>
          <xdr:colOff>1206500</xdr:colOff>
          <xdr:row>173</xdr:row>
          <xdr:rowOff>19050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5B46B588-26D0-4123-ACF3-A8D34A952D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120650</xdr:rowOff>
        </xdr:from>
        <xdr:to>
          <xdr:col>0</xdr:col>
          <xdr:colOff>1206500</xdr:colOff>
          <xdr:row>174</xdr:row>
          <xdr:rowOff>19050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3FE39AFF-B00D-43E7-B8B2-319C03A41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120650</xdr:rowOff>
        </xdr:from>
        <xdr:to>
          <xdr:col>0</xdr:col>
          <xdr:colOff>1206500</xdr:colOff>
          <xdr:row>176</xdr:row>
          <xdr:rowOff>19050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4EC50491-440A-4F13-9EE5-DF076ADED4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133350</xdr:rowOff>
        </xdr:from>
        <xdr:to>
          <xdr:col>0</xdr:col>
          <xdr:colOff>1206500</xdr:colOff>
          <xdr:row>175</xdr:row>
          <xdr:rowOff>25400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DEBE4206-0205-4AB0-B0D1-B2D5EE2FD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120650</xdr:rowOff>
        </xdr:from>
        <xdr:to>
          <xdr:col>0</xdr:col>
          <xdr:colOff>1206500</xdr:colOff>
          <xdr:row>177</xdr:row>
          <xdr:rowOff>19050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F9421651-6E36-4BF4-BB2E-63F29AADBE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120650</xdr:rowOff>
        </xdr:from>
        <xdr:to>
          <xdr:col>0</xdr:col>
          <xdr:colOff>1206500</xdr:colOff>
          <xdr:row>178</xdr:row>
          <xdr:rowOff>19050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66226EF4-5C78-4228-A9E7-9D0323070E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120650</xdr:rowOff>
        </xdr:from>
        <xdr:to>
          <xdr:col>0</xdr:col>
          <xdr:colOff>1206500</xdr:colOff>
          <xdr:row>179</xdr:row>
          <xdr:rowOff>19050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AC3AA8B8-32C1-4422-B208-D7E85BB766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133350</xdr:rowOff>
        </xdr:from>
        <xdr:to>
          <xdr:col>0</xdr:col>
          <xdr:colOff>1206500</xdr:colOff>
          <xdr:row>181</xdr:row>
          <xdr:rowOff>25400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BE8DCCC0-B5EB-4704-9573-2FA3B7BCF0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Additional Section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120650</xdr:rowOff>
        </xdr:from>
        <xdr:to>
          <xdr:col>0</xdr:col>
          <xdr:colOff>1206500</xdr:colOff>
          <xdr:row>183</xdr:row>
          <xdr:rowOff>19050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A490EBD5-62D3-4351-A67A-144C41718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133350</xdr:rowOff>
        </xdr:from>
        <xdr:to>
          <xdr:col>0</xdr:col>
          <xdr:colOff>1206500</xdr:colOff>
          <xdr:row>182</xdr:row>
          <xdr:rowOff>25400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DACCE3E8-981B-44AF-BC64-E83B8545C1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120650</xdr:rowOff>
        </xdr:from>
        <xdr:to>
          <xdr:col>0</xdr:col>
          <xdr:colOff>1206500</xdr:colOff>
          <xdr:row>184</xdr:row>
          <xdr:rowOff>19050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2C0B349F-F08F-447E-A411-7B4A8E9F0C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120650</xdr:rowOff>
        </xdr:from>
        <xdr:to>
          <xdr:col>0</xdr:col>
          <xdr:colOff>1206500</xdr:colOff>
          <xdr:row>185</xdr:row>
          <xdr:rowOff>19050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8D01EA0C-7B5D-474E-9025-E23101C9D8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120650</xdr:rowOff>
        </xdr:from>
        <xdr:to>
          <xdr:col>0</xdr:col>
          <xdr:colOff>1206500</xdr:colOff>
          <xdr:row>186</xdr:row>
          <xdr:rowOff>19050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A1667791-90B3-48FA-822D-97A5699B4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120650</xdr:rowOff>
        </xdr:from>
        <xdr:to>
          <xdr:col>0</xdr:col>
          <xdr:colOff>1206500</xdr:colOff>
          <xdr:row>188</xdr:row>
          <xdr:rowOff>19050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D74E3308-3ACA-4F69-8305-5DB606B63C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133350</xdr:rowOff>
        </xdr:from>
        <xdr:to>
          <xdr:col>0</xdr:col>
          <xdr:colOff>1206500</xdr:colOff>
          <xdr:row>187</xdr:row>
          <xdr:rowOff>25400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87CEC59F-1197-44EB-8E34-2E2C719527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120650</xdr:rowOff>
        </xdr:from>
        <xdr:to>
          <xdr:col>0</xdr:col>
          <xdr:colOff>1206500</xdr:colOff>
          <xdr:row>189</xdr:row>
          <xdr:rowOff>19050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AED660A4-4BCD-4652-A5FA-33A4E3D6C0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120650</xdr:rowOff>
        </xdr:from>
        <xdr:to>
          <xdr:col>0</xdr:col>
          <xdr:colOff>1206500</xdr:colOff>
          <xdr:row>190</xdr:row>
          <xdr:rowOff>19050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33D644D8-F032-424E-8701-0ACF23697A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120650</xdr:rowOff>
        </xdr:from>
        <xdr:to>
          <xdr:col>0</xdr:col>
          <xdr:colOff>1206500</xdr:colOff>
          <xdr:row>191</xdr:row>
          <xdr:rowOff>19050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D090FCEA-D604-41D9-BFEC-D9EFB61189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133350</xdr:rowOff>
        </xdr:from>
        <xdr:to>
          <xdr:col>0</xdr:col>
          <xdr:colOff>1206500</xdr:colOff>
          <xdr:row>157</xdr:row>
          <xdr:rowOff>25400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7E44C6A0-4029-4EBF-BFA5-329019F875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Additional Section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120650</xdr:rowOff>
        </xdr:from>
        <xdr:to>
          <xdr:col>0</xdr:col>
          <xdr:colOff>1206500</xdr:colOff>
          <xdr:row>159</xdr:row>
          <xdr:rowOff>19050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2BA1B7D7-FF99-4F5B-9A20-1F9E5CF3AD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133350</xdr:rowOff>
        </xdr:from>
        <xdr:to>
          <xdr:col>0</xdr:col>
          <xdr:colOff>1206500</xdr:colOff>
          <xdr:row>158</xdr:row>
          <xdr:rowOff>25400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19C08586-6739-43F3-832B-2F180D4DC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120650</xdr:rowOff>
        </xdr:from>
        <xdr:to>
          <xdr:col>0</xdr:col>
          <xdr:colOff>1206500</xdr:colOff>
          <xdr:row>160</xdr:row>
          <xdr:rowOff>19050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FB2FDC43-9981-4CC2-B5D1-18EBEA033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120650</xdr:rowOff>
        </xdr:from>
        <xdr:to>
          <xdr:col>0</xdr:col>
          <xdr:colOff>1206500</xdr:colOff>
          <xdr:row>161</xdr:row>
          <xdr:rowOff>19050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25C8693C-7474-46F6-B184-AB8C2B7A6F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120650</xdr:rowOff>
        </xdr:from>
        <xdr:to>
          <xdr:col>0</xdr:col>
          <xdr:colOff>1206500</xdr:colOff>
          <xdr:row>162</xdr:row>
          <xdr:rowOff>19050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D880DE43-ED0B-4B40-9BBA-1624F4A795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120650</xdr:rowOff>
        </xdr:from>
        <xdr:to>
          <xdr:col>0</xdr:col>
          <xdr:colOff>1206500</xdr:colOff>
          <xdr:row>164</xdr:row>
          <xdr:rowOff>19050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F3C890DA-D161-477F-87B2-0686D3795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133350</xdr:rowOff>
        </xdr:from>
        <xdr:to>
          <xdr:col>0</xdr:col>
          <xdr:colOff>1206500</xdr:colOff>
          <xdr:row>163</xdr:row>
          <xdr:rowOff>25400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25BECBD0-FD20-4259-9B35-457DF114F2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120650</xdr:rowOff>
        </xdr:from>
        <xdr:to>
          <xdr:col>0</xdr:col>
          <xdr:colOff>1206500</xdr:colOff>
          <xdr:row>165</xdr:row>
          <xdr:rowOff>19050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8C0DD68B-69C7-44CE-A637-37FB40431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120650</xdr:rowOff>
        </xdr:from>
        <xdr:to>
          <xdr:col>0</xdr:col>
          <xdr:colOff>1206500</xdr:colOff>
          <xdr:row>166</xdr:row>
          <xdr:rowOff>19050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F1457123-14FD-41F6-B0E7-6736B1D84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120650</xdr:rowOff>
        </xdr:from>
        <xdr:to>
          <xdr:col>0</xdr:col>
          <xdr:colOff>1206500</xdr:colOff>
          <xdr:row>167</xdr:row>
          <xdr:rowOff>19050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4DC9C140-223B-466B-AF1B-AE9CC2D121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133350</xdr:rowOff>
        </xdr:from>
        <xdr:to>
          <xdr:col>0</xdr:col>
          <xdr:colOff>1206500</xdr:colOff>
          <xdr:row>193</xdr:row>
          <xdr:rowOff>25400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D87AD8CE-F928-4E01-B0C6-9A8B194BBD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Patents and Publications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120650</xdr:rowOff>
        </xdr:from>
        <xdr:to>
          <xdr:col>0</xdr:col>
          <xdr:colOff>1206500</xdr:colOff>
          <xdr:row>195</xdr:row>
          <xdr:rowOff>19050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26103BE3-D310-4F4F-940C-9C946A719B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Publication Type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133350</xdr:rowOff>
        </xdr:from>
        <xdr:to>
          <xdr:col>0</xdr:col>
          <xdr:colOff>1206500</xdr:colOff>
          <xdr:row>194</xdr:row>
          <xdr:rowOff>25400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485C8B11-5701-4352-A466-94E2D20031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Publications Total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120650</xdr:rowOff>
        </xdr:from>
        <xdr:to>
          <xdr:col>0</xdr:col>
          <xdr:colOff>1206500</xdr:colOff>
          <xdr:row>196</xdr:row>
          <xdr:rowOff>19050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3AB8741E-53B9-42B4-9AC4-B5E8C8B7A4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Publication Type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120650</xdr:rowOff>
        </xdr:from>
        <xdr:to>
          <xdr:col>0</xdr:col>
          <xdr:colOff>1206500</xdr:colOff>
          <xdr:row>197</xdr:row>
          <xdr:rowOff>19050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4E64301C-34EA-41DA-85CD-C42443683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Publication Type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120650</xdr:rowOff>
        </xdr:from>
        <xdr:to>
          <xdr:col>0</xdr:col>
          <xdr:colOff>1206500</xdr:colOff>
          <xdr:row>198</xdr:row>
          <xdr:rowOff>19050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640A1592-F71B-4C0F-8846-028A7AB7CC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Publication Type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120650</xdr:rowOff>
        </xdr:from>
        <xdr:to>
          <xdr:col>0</xdr:col>
          <xdr:colOff>1206500</xdr:colOff>
          <xdr:row>199</xdr:row>
          <xdr:rowOff>19050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803D3E5A-17B3-4503-89D9-355B57A91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Publication Type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120650</xdr:rowOff>
        </xdr:from>
        <xdr:to>
          <xdr:col>0</xdr:col>
          <xdr:colOff>1206500</xdr:colOff>
          <xdr:row>200</xdr:row>
          <xdr:rowOff>19050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8D61C630-1C37-40CB-A412-0A6E4505D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Publication Type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120650</xdr:rowOff>
        </xdr:from>
        <xdr:to>
          <xdr:col>0</xdr:col>
          <xdr:colOff>1206500</xdr:colOff>
          <xdr:row>201</xdr:row>
          <xdr:rowOff>19050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DB43E81E-72F9-476C-9EFB-EFF3D497FB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Publication Type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120650</xdr:rowOff>
        </xdr:from>
        <xdr:to>
          <xdr:col>0</xdr:col>
          <xdr:colOff>1206500</xdr:colOff>
          <xdr:row>202</xdr:row>
          <xdr:rowOff>19050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5A1D743B-944C-4BD3-943C-DB174B8D36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Publication Type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133350</xdr:rowOff>
        </xdr:from>
        <xdr:to>
          <xdr:col>0</xdr:col>
          <xdr:colOff>1206500</xdr:colOff>
          <xdr:row>204</xdr:row>
          <xdr:rowOff>25400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416DF4C5-8C9F-4E82-AED2-410B5D5604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120650</xdr:rowOff>
        </xdr:from>
        <xdr:to>
          <xdr:col>0</xdr:col>
          <xdr:colOff>1206500</xdr:colOff>
          <xdr:row>206</xdr:row>
          <xdr:rowOff>19050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91FAA961-3734-461B-A9ED-E450E2B29C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 Type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133350</xdr:rowOff>
        </xdr:from>
        <xdr:to>
          <xdr:col>0</xdr:col>
          <xdr:colOff>1206500</xdr:colOff>
          <xdr:row>205</xdr:row>
          <xdr:rowOff>25400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61C37D67-430F-466A-AA9A-3F914FF583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Citations Total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120650</xdr:rowOff>
        </xdr:from>
        <xdr:to>
          <xdr:col>0</xdr:col>
          <xdr:colOff>1206500</xdr:colOff>
          <xdr:row>207</xdr:row>
          <xdr:rowOff>19050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7C21B4CC-4213-49F7-91E9-8361E33485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 Type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120650</xdr:rowOff>
        </xdr:from>
        <xdr:to>
          <xdr:col>0</xdr:col>
          <xdr:colOff>1206500</xdr:colOff>
          <xdr:row>208</xdr:row>
          <xdr:rowOff>19050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A3154CDF-0ED9-415F-A7A9-2A0DC0211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 Type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120650</xdr:rowOff>
        </xdr:from>
        <xdr:to>
          <xdr:col>0</xdr:col>
          <xdr:colOff>1206500</xdr:colOff>
          <xdr:row>209</xdr:row>
          <xdr:rowOff>19050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96445B8-6DB9-4133-83E7-4338FAE654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 Type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120650</xdr:rowOff>
        </xdr:from>
        <xdr:to>
          <xdr:col>0</xdr:col>
          <xdr:colOff>1206500</xdr:colOff>
          <xdr:row>210</xdr:row>
          <xdr:rowOff>19050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E89221DD-0A03-471D-8167-601125F08C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 Type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120650</xdr:rowOff>
        </xdr:from>
        <xdr:to>
          <xdr:col>0</xdr:col>
          <xdr:colOff>1206500</xdr:colOff>
          <xdr:row>211</xdr:row>
          <xdr:rowOff>19050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838B0747-D782-4FCA-81EC-AD16810B4C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 Type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120650</xdr:rowOff>
        </xdr:from>
        <xdr:to>
          <xdr:col>0</xdr:col>
          <xdr:colOff>1206500</xdr:colOff>
          <xdr:row>212</xdr:row>
          <xdr:rowOff>19050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ABA909D3-6D6E-41BF-8A5A-A6569DFF3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 Type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120650</xdr:rowOff>
        </xdr:from>
        <xdr:to>
          <xdr:col>0</xdr:col>
          <xdr:colOff>1206500</xdr:colOff>
          <xdr:row>213</xdr:row>
          <xdr:rowOff>19050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75EA1DA8-A6D9-4D40-974B-4595FC4368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 Type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133350</xdr:rowOff>
        </xdr:from>
        <xdr:to>
          <xdr:col>0</xdr:col>
          <xdr:colOff>1206500</xdr:colOff>
          <xdr:row>215</xdr:row>
          <xdr:rowOff>25400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1B91448C-E5D4-4C4F-8642-B82F4377E6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Languages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120650</xdr:rowOff>
        </xdr:from>
        <xdr:to>
          <xdr:col>0</xdr:col>
          <xdr:colOff>1206500</xdr:colOff>
          <xdr:row>217</xdr:row>
          <xdr:rowOff>19050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178396C7-E92F-4CD2-8213-08DFCBB90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Language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133350</xdr:rowOff>
        </xdr:from>
        <xdr:to>
          <xdr:col>0</xdr:col>
          <xdr:colOff>1206500</xdr:colOff>
          <xdr:row>216</xdr:row>
          <xdr:rowOff>25400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2D6E97B8-2671-4F77-B96C-75984D1286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Language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120650</xdr:rowOff>
        </xdr:from>
        <xdr:to>
          <xdr:col>0</xdr:col>
          <xdr:colOff>1206500</xdr:colOff>
          <xdr:row>218</xdr:row>
          <xdr:rowOff>19050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92B38C01-0513-472C-8C2D-E1392DF4D9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Language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120650</xdr:rowOff>
        </xdr:from>
        <xdr:to>
          <xdr:col>0</xdr:col>
          <xdr:colOff>1206500</xdr:colOff>
          <xdr:row>219</xdr:row>
          <xdr:rowOff>19050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399914CB-ED8F-4948-A435-A92EC23D5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Language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120650</xdr:rowOff>
        </xdr:from>
        <xdr:to>
          <xdr:col>0</xdr:col>
          <xdr:colOff>1206500</xdr:colOff>
          <xdr:row>220</xdr:row>
          <xdr:rowOff>19050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6397DB51-BB1A-4735-89E7-9FF151D1BC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Language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120650</xdr:rowOff>
        </xdr:from>
        <xdr:to>
          <xdr:col>0</xdr:col>
          <xdr:colOff>1206500</xdr:colOff>
          <xdr:row>221</xdr:row>
          <xdr:rowOff>19050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7A12E0BC-0AF1-429C-95D7-8DA853DD37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Language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120650</xdr:rowOff>
        </xdr:from>
        <xdr:to>
          <xdr:col>0</xdr:col>
          <xdr:colOff>1206500</xdr:colOff>
          <xdr:row>222</xdr:row>
          <xdr:rowOff>19050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91C35F3F-9391-4892-B70C-5F668E1AD9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Language 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120650</xdr:rowOff>
        </xdr:from>
        <xdr:to>
          <xdr:col>0</xdr:col>
          <xdr:colOff>1206500</xdr:colOff>
          <xdr:row>223</xdr:row>
          <xdr:rowOff>19050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ADE950D2-741D-49EB-B0C4-353DCEE64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Language 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120650</xdr:rowOff>
        </xdr:from>
        <xdr:to>
          <xdr:col>0</xdr:col>
          <xdr:colOff>1206500</xdr:colOff>
          <xdr:row>224</xdr:row>
          <xdr:rowOff>19050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918E50BE-BA78-4770-AAEB-700E29E300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Language 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120650</xdr:rowOff>
        </xdr:from>
        <xdr:to>
          <xdr:col>0</xdr:col>
          <xdr:colOff>1206500</xdr:colOff>
          <xdr:row>76</xdr:row>
          <xdr:rowOff>19050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CAADD412-9E43-497F-93BF-567828D29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120650</xdr:rowOff>
        </xdr:from>
        <xdr:to>
          <xdr:col>0</xdr:col>
          <xdr:colOff>1206500</xdr:colOff>
          <xdr:row>77</xdr:row>
          <xdr:rowOff>19050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16F22948-EFD3-433C-B0DD-40F5F0CB7E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120650</xdr:rowOff>
        </xdr:from>
        <xdr:to>
          <xdr:col>0</xdr:col>
          <xdr:colOff>1206500</xdr:colOff>
          <xdr:row>78</xdr:row>
          <xdr:rowOff>19050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DB4E0C00-23D7-4DD8-A368-9AD310F145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Item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120650</xdr:rowOff>
        </xdr:from>
        <xdr:to>
          <xdr:col>0</xdr:col>
          <xdr:colOff>1206500</xdr:colOff>
          <xdr:row>72</xdr:row>
          <xdr:rowOff>19050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58FCA775-DE90-4409-8B85-209A86FE3A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Address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127000</xdr:rowOff>
        </xdr:from>
        <xdr:to>
          <xdr:col>0</xdr:col>
          <xdr:colOff>1206500</xdr:colOff>
          <xdr:row>59</xdr:row>
          <xdr:rowOff>19050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55E80946-51DD-446D-884B-0D3EC31CF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Selected Publications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133350</xdr:rowOff>
        </xdr:from>
        <xdr:to>
          <xdr:col>0</xdr:col>
          <xdr:colOff>1206500</xdr:colOff>
          <xdr:row>58</xdr:row>
          <xdr:rowOff>31750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97E94F1-37B4-475F-96AF-C72571DA6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Research Activities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127000</xdr:rowOff>
        </xdr:from>
        <xdr:to>
          <xdr:col>0</xdr:col>
          <xdr:colOff>1206500</xdr:colOff>
          <xdr:row>61</xdr:row>
          <xdr:rowOff>19050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B30E5FA3-B3A1-47C3-BC9B-D9F4EA5B3F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Curriculum Vitae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133350</xdr:rowOff>
        </xdr:from>
        <xdr:to>
          <xdr:col>0</xdr:col>
          <xdr:colOff>1206500</xdr:colOff>
          <xdr:row>60</xdr:row>
          <xdr:rowOff>31750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EC1387A6-7FD4-4DE9-B2F3-63FDD0A459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Citations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127000</xdr:rowOff>
        </xdr:from>
        <xdr:to>
          <xdr:col>0</xdr:col>
          <xdr:colOff>1206500</xdr:colOff>
          <xdr:row>59</xdr:row>
          <xdr:rowOff>19050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AAEDFF16-1137-4F32-8CA3-08338E3E0E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Selected Publications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133350</xdr:rowOff>
        </xdr:from>
        <xdr:to>
          <xdr:col>0</xdr:col>
          <xdr:colOff>1206500</xdr:colOff>
          <xdr:row>58</xdr:row>
          <xdr:rowOff>31750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F5F4A4D3-1775-4A1F-BDC3-B6E932BCB8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Research Activities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127000</xdr:rowOff>
        </xdr:from>
        <xdr:to>
          <xdr:col>0</xdr:col>
          <xdr:colOff>1206500</xdr:colOff>
          <xdr:row>61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D8FC1998-8971-4021-BEA0-0D218196D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Curriculum Vitae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133350</xdr:rowOff>
        </xdr:from>
        <xdr:to>
          <xdr:col>0</xdr:col>
          <xdr:colOff>1206500</xdr:colOff>
          <xdr:row>60</xdr:row>
          <xdr:rowOff>31750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4CDB66D1-BD40-4F6B-9193-28B3B208C1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Citations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8.xml"/><Relationship Id="rId21" Type="http://schemas.openxmlformats.org/officeDocument/2006/relationships/ctrlProp" Target="../ctrlProps/ctrlProp22.xml"/><Relationship Id="rId42" Type="http://schemas.openxmlformats.org/officeDocument/2006/relationships/ctrlProp" Target="../ctrlProps/ctrlProp43.xml"/><Relationship Id="rId63" Type="http://schemas.openxmlformats.org/officeDocument/2006/relationships/ctrlProp" Target="../ctrlProps/ctrlProp64.xml"/><Relationship Id="rId84" Type="http://schemas.openxmlformats.org/officeDocument/2006/relationships/ctrlProp" Target="../ctrlProps/ctrlProp85.xml"/><Relationship Id="rId138" Type="http://schemas.openxmlformats.org/officeDocument/2006/relationships/ctrlProp" Target="../ctrlProps/ctrlProp139.xml"/><Relationship Id="rId107" Type="http://schemas.openxmlformats.org/officeDocument/2006/relationships/ctrlProp" Target="../ctrlProps/ctrlProp108.xml"/><Relationship Id="rId11" Type="http://schemas.openxmlformats.org/officeDocument/2006/relationships/ctrlProp" Target="../ctrlProps/ctrlProp12.xml"/><Relationship Id="rId32" Type="http://schemas.openxmlformats.org/officeDocument/2006/relationships/ctrlProp" Target="../ctrlProps/ctrlProp33.xml"/><Relationship Id="rId53" Type="http://schemas.openxmlformats.org/officeDocument/2006/relationships/ctrlProp" Target="../ctrlProps/ctrlProp54.xml"/><Relationship Id="rId74" Type="http://schemas.openxmlformats.org/officeDocument/2006/relationships/ctrlProp" Target="../ctrlProps/ctrlProp75.xml"/><Relationship Id="rId128" Type="http://schemas.openxmlformats.org/officeDocument/2006/relationships/ctrlProp" Target="../ctrlProps/ctrlProp129.xml"/><Relationship Id="rId149" Type="http://schemas.openxmlformats.org/officeDocument/2006/relationships/ctrlProp" Target="../ctrlProps/ctrlProp150.xml"/><Relationship Id="rId5" Type="http://schemas.openxmlformats.org/officeDocument/2006/relationships/ctrlProp" Target="../ctrlProps/ctrlProp6.xml"/><Relationship Id="rId95" Type="http://schemas.openxmlformats.org/officeDocument/2006/relationships/ctrlProp" Target="../ctrlProps/ctrlProp96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43" Type="http://schemas.openxmlformats.org/officeDocument/2006/relationships/ctrlProp" Target="../ctrlProps/ctrlProp44.xml"/><Relationship Id="rId48" Type="http://schemas.openxmlformats.org/officeDocument/2006/relationships/ctrlProp" Target="../ctrlProps/ctrlProp49.xml"/><Relationship Id="rId64" Type="http://schemas.openxmlformats.org/officeDocument/2006/relationships/ctrlProp" Target="../ctrlProps/ctrlProp65.xml"/><Relationship Id="rId69" Type="http://schemas.openxmlformats.org/officeDocument/2006/relationships/ctrlProp" Target="../ctrlProps/ctrlProp70.xml"/><Relationship Id="rId113" Type="http://schemas.openxmlformats.org/officeDocument/2006/relationships/ctrlProp" Target="../ctrlProps/ctrlProp114.xml"/><Relationship Id="rId118" Type="http://schemas.openxmlformats.org/officeDocument/2006/relationships/ctrlProp" Target="../ctrlProps/ctrlProp119.xml"/><Relationship Id="rId134" Type="http://schemas.openxmlformats.org/officeDocument/2006/relationships/ctrlProp" Target="../ctrlProps/ctrlProp135.xml"/><Relationship Id="rId139" Type="http://schemas.openxmlformats.org/officeDocument/2006/relationships/ctrlProp" Target="../ctrlProps/ctrlProp140.xml"/><Relationship Id="rId80" Type="http://schemas.openxmlformats.org/officeDocument/2006/relationships/ctrlProp" Target="../ctrlProps/ctrlProp81.xml"/><Relationship Id="rId85" Type="http://schemas.openxmlformats.org/officeDocument/2006/relationships/ctrlProp" Target="../ctrlProps/ctrlProp86.xml"/><Relationship Id="rId150" Type="http://schemas.openxmlformats.org/officeDocument/2006/relationships/ctrlProp" Target="../ctrlProps/ctrlProp151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33" Type="http://schemas.openxmlformats.org/officeDocument/2006/relationships/ctrlProp" Target="../ctrlProps/ctrlProp34.xml"/><Relationship Id="rId38" Type="http://schemas.openxmlformats.org/officeDocument/2006/relationships/ctrlProp" Target="../ctrlProps/ctrlProp39.xml"/><Relationship Id="rId59" Type="http://schemas.openxmlformats.org/officeDocument/2006/relationships/ctrlProp" Target="../ctrlProps/ctrlProp60.xml"/><Relationship Id="rId103" Type="http://schemas.openxmlformats.org/officeDocument/2006/relationships/ctrlProp" Target="../ctrlProps/ctrlProp104.xml"/><Relationship Id="rId108" Type="http://schemas.openxmlformats.org/officeDocument/2006/relationships/ctrlProp" Target="../ctrlProps/ctrlProp109.xml"/><Relationship Id="rId124" Type="http://schemas.openxmlformats.org/officeDocument/2006/relationships/ctrlProp" Target="../ctrlProps/ctrlProp125.xml"/><Relationship Id="rId129" Type="http://schemas.openxmlformats.org/officeDocument/2006/relationships/ctrlProp" Target="../ctrlProps/ctrlProp130.xml"/><Relationship Id="rId54" Type="http://schemas.openxmlformats.org/officeDocument/2006/relationships/ctrlProp" Target="../ctrlProps/ctrlProp55.xml"/><Relationship Id="rId70" Type="http://schemas.openxmlformats.org/officeDocument/2006/relationships/ctrlProp" Target="../ctrlProps/ctrlProp71.xml"/><Relationship Id="rId75" Type="http://schemas.openxmlformats.org/officeDocument/2006/relationships/ctrlProp" Target="../ctrlProps/ctrlProp76.xml"/><Relationship Id="rId91" Type="http://schemas.openxmlformats.org/officeDocument/2006/relationships/ctrlProp" Target="../ctrlProps/ctrlProp92.xml"/><Relationship Id="rId96" Type="http://schemas.openxmlformats.org/officeDocument/2006/relationships/ctrlProp" Target="../ctrlProps/ctrlProp97.xml"/><Relationship Id="rId140" Type="http://schemas.openxmlformats.org/officeDocument/2006/relationships/ctrlProp" Target="../ctrlProps/ctrlProp141.xml"/><Relationship Id="rId145" Type="http://schemas.openxmlformats.org/officeDocument/2006/relationships/ctrlProp" Target="../ctrlProps/ctrlProp14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7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49" Type="http://schemas.openxmlformats.org/officeDocument/2006/relationships/ctrlProp" Target="../ctrlProps/ctrlProp50.xml"/><Relationship Id="rId114" Type="http://schemas.openxmlformats.org/officeDocument/2006/relationships/ctrlProp" Target="../ctrlProps/ctrlProp115.xml"/><Relationship Id="rId119" Type="http://schemas.openxmlformats.org/officeDocument/2006/relationships/ctrlProp" Target="../ctrlProps/ctrlProp120.xml"/><Relationship Id="rId44" Type="http://schemas.openxmlformats.org/officeDocument/2006/relationships/ctrlProp" Target="../ctrlProps/ctrlProp45.xml"/><Relationship Id="rId60" Type="http://schemas.openxmlformats.org/officeDocument/2006/relationships/ctrlProp" Target="../ctrlProps/ctrlProp61.xml"/><Relationship Id="rId65" Type="http://schemas.openxmlformats.org/officeDocument/2006/relationships/ctrlProp" Target="../ctrlProps/ctrlProp66.xml"/><Relationship Id="rId81" Type="http://schemas.openxmlformats.org/officeDocument/2006/relationships/ctrlProp" Target="../ctrlProps/ctrlProp82.xml"/><Relationship Id="rId86" Type="http://schemas.openxmlformats.org/officeDocument/2006/relationships/ctrlProp" Target="../ctrlProps/ctrlProp87.xml"/><Relationship Id="rId130" Type="http://schemas.openxmlformats.org/officeDocument/2006/relationships/ctrlProp" Target="../ctrlProps/ctrlProp131.xml"/><Relationship Id="rId135" Type="http://schemas.openxmlformats.org/officeDocument/2006/relationships/ctrlProp" Target="../ctrlProps/ctrlProp136.xml"/><Relationship Id="rId151" Type="http://schemas.openxmlformats.org/officeDocument/2006/relationships/comments" Target="../comments3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39" Type="http://schemas.openxmlformats.org/officeDocument/2006/relationships/ctrlProp" Target="../ctrlProps/ctrlProp40.xml"/><Relationship Id="rId109" Type="http://schemas.openxmlformats.org/officeDocument/2006/relationships/ctrlProp" Target="../ctrlProps/ctrlProp110.xml"/><Relationship Id="rId34" Type="http://schemas.openxmlformats.org/officeDocument/2006/relationships/ctrlProp" Target="../ctrlProps/ctrlProp35.xml"/><Relationship Id="rId50" Type="http://schemas.openxmlformats.org/officeDocument/2006/relationships/ctrlProp" Target="../ctrlProps/ctrlProp51.xml"/><Relationship Id="rId55" Type="http://schemas.openxmlformats.org/officeDocument/2006/relationships/ctrlProp" Target="../ctrlProps/ctrlProp56.xml"/><Relationship Id="rId76" Type="http://schemas.openxmlformats.org/officeDocument/2006/relationships/ctrlProp" Target="../ctrlProps/ctrlProp77.xml"/><Relationship Id="rId97" Type="http://schemas.openxmlformats.org/officeDocument/2006/relationships/ctrlProp" Target="../ctrlProps/ctrlProp98.xml"/><Relationship Id="rId104" Type="http://schemas.openxmlformats.org/officeDocument/2006/relationships/ctrlProp" Target="../ctrlProps/ctrlProp105.xml"/><Relationship Id="rId120" Type="http://schemas.openxmlformats.org/officeDocument/2006/relationships/ctrlProp" Target="../ctrlProps/ctrlProp121.xml"/><Relationship Id="rId125" Type="http://schemas.openxmlformats.org/officeDocument/2006/relationships/ctrlProp" Target="../ctrlProps/ctrlProp126.xml"/><Relationship Id="rId141" Type="http://schemas.openxmlformats.org/officeDocument/2006/relationships/ctrlProp" Target="../ctrlProps/ctrlProp142.xml"/><Relationship Id="rId146" Type="http://schemas.openxmlformats.org/officeDocument/2006/relationships/ctrlProp" Target="../ctrlProps/ctrlProp147.xml"/><Relationship Id="rId7" Type="http://schemas.openxmlformats.org/officeDocument/2006/relationships/ctrlProp" Target="../ctrlProps/ctrlProp8.xml"/><Relationship Id="rId71" Type="http://schemas.openxmlformats.org/officeDocument/2006/relationships/ctrlProp" Target="../ctrlProps/ctrlProp72.xml"/><Relationship Id="rId92" Type="http://schemas.openxmlformats.org/officeDocument/2006/relationships/ctrlProp" Target="../ctrlProps/ctrlProp93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30.xml"/><Relationship Id="rId24" Type="http://schemas.openxmlformats.org/officeDocument/2006/relationships/ctrlProp" Target="../ctrlProps/ctrlProp25.xml"/><Relationship Id="rId40" Type="http://schemas.openxmlformats.org/officeDocument/2006/relationships/ctrlProp" Target="../ctrlProps/ctrlProp41.xml"/><Relationship Id="rId45" Type="http://schemas.openxmlformats.org/officeDocument/2006/relationships/ctrlProp" Target="../ctrlProps/ctrlProp46.xml"/><Relationship Id="rId66" Type="http://schemas.openxmlformats.org/officeDocument/2006/relationships/ctrlProp" Target="../ctrlProps/ctrlProp67.xml"/><Relationship Id="rId87" Type="http://schemas.openxmlformats.org/officeDocument/2006/relationships/ctrlProp" Target="../ctrlProps/ctrlProp88.xml"/><Relationship Id="rId110" Type="http://schemas.openxmlformats.org/officeDocument/2006/relationships/ctrlProp" Target="../ctrlProps/ctrlProp111.xml"/><Relationship Id="rId115" Type="http://schemas.openxmlformats.org/officeDocument/2006/relationships/ctrlProp" Target="../ctrlProps/ctrlProp116.xml"/><Relationship Id="rId131" Type="http://schemas.openxmlformats.org/officeDocument/2006/relationships/ctrlProp" Target="../ctrlProps/ctrlProp132.xml"/><Relationship Id="rId136" Type="http://schemas.openxmlformats.org/officeDocument/2006/relationships/ctrlProp" Target="../ctrlProps/ctrlProp137.xml"/><Relationship Id="rId61" Type="http://schemas.openxmlformats.org/officeDocument/2006/relationships/ctrlProp" Target="../ctrlProps/ctrlProp62.xml"/><Relationship Id="rId82" Type="http://schemas.openxmlformats.org/officeDocument/2006/relationships/ctrlProp" Target="../ctrlProps/ctrlProp83.xml"/><Relationship Id="rId19" Type="http://schemas.openxmlformats.org/officeDocument/2006/relationships/ctrlProp" Target="../ctrlProps/ctrlProp20.xml"/><Relationship Id="rId14" Type="http://schemas.openxmlformats.org/officeDocument/2006/relationships/ctrlProp" Target="../ctrlProps/ctrlProp15.xml"/><Relationship Id="rId30" Type="http://schemas.openxmlformats.org/officeDocument/2006/relationships/ctrlProp" Target="../ctrlProps/ctrlProp31.xml"/><Relationship Id="rId35" Type="http://schemas.openxmlformats.org/officeDocument/2006/relationships/ctrlProp" Target="../ctrlProps/ctrlProp36.xml"/><Relationship Id="rId56" Type="http://schemas.openxmlformats.org/officeDocument/2006/relationships/ctrlProp" Target="../ctrlProps/ctrlProp57.xml"/><Relationship Id="rId77" Type="http://schemas.openxmlformats.org/officeDocument/2006/relationships/ctrlProp" Target="../ctrlProps/ctrlProp78.xml"/><Relationship Id="rId100" Type="http://schemas.openxmlformats.org/officeDocument/2006/relationships/ctrlProp" Target="../ctrlProps/ctrlProp101.xml"/><Relationship Id="rId105" Type="http://schemas.openxmlformats.org/officeDocument/2006/relationships/ctrlProp" Target="../ctrlProps/ctrlProp106.xml"/><Relationship Id="rId126" Type="http://schemas.openxmlformats.org/officeDocument/2006/relationships/ctrlProp" Target="../ctrlProps/ctrlProp127.xml"/><Relationship Id="rId147" Type="http://schemas.openxmlformats.org/officeDocument/2006/relationships/ctrlProp" Target="../ctrlProps/ctrlProp148.xml"/><Relationship Id="rId8" Type="http://schemas.openxmlformats.org/officeDocument/2006/relationships/ctrlProp" Target="../ctrlProps/ctrlProp9.xml"/><Relationship Id="rId51" Type="http://schemas.openxmlformats.org/officeDocument/2006/relationships/ctrlProp" Target="../ctrlProps/ctrlProp52.xml"/><Relationship Id="rId72" Type="http://schemas.openxmlformats.org/officeDocument/2006/relationships/ctrlProp" Target="../ctrlProps/ctrlProp73.xml"/><Relationship Id="rId93" Type="http://schemas.openxmlformats.org/officeDocument/2006/relationships/ctrlProp" Target="../ctrlProps/ctrlProp94.xml"/><Relationship Id="rId98" Type="http://schemas.openxmlformats.org/officeDocument/2006/relationships/ctrlProp" Target="../ctrlProps/ctrlProp99.xml"/><Relationship Id="rId121" Type="http://schemas.openxmlformats.org/officeDocument/2006/relationships/ctrlProp" Target="../ctrlProps/ctrlProp122.xml"/><Relationship Id="rId142" Type="http://schemas.openxmlformats.org/officeDocument/2006/relationships/ctrlProp" Target="../ctrlProps/ctrlProp143.xml"/><Relationship Id="rId3" Type="http://schemas.openxmlformats.org/officeDocument/2006/relationships/vmlDrawing" Target="../drawings/vmlDrawing3.vml"/><Relationship Id="rId25" Type="http://schemas.openxmlformats.org/officeDocument/2006/relationships/ctrlProp" Target="../ctrlProps/ctrlProp26.xml"/><Relationship Id="rId46" Type="http://schemas.openxmlformats.org/officeDocument/2006/relationships/ctrlProp" Target="../ctrlProps/ctrlProp47.xml"/><Relationship Id="rId67" Type="http://schemas.openxmlformats.org/officeDocument/2006/relationships/ctrlProp" Target="../ctrlProps/ctrlProp68.xml"/><Relationship Id="rId116" Type="http://schemas.openxmlformats.org/officeDocument/2006/relationships/ctrlProp" Target="../ctrlProps/ctrlProp117.xml"/><Relationship Id="rId137" Type="http://schemas.openxmlformats.org/officeDocument/2006/relationships/ctrlProp" Target="../ctrlProps/ctrlProp138.xml"/><Relationship Id="rId20" Type="http://schemas.openxmlformats.org/officeDocument/2006/relationships/ctrlProp" Target="../ctrlProps/ctrlProp21.xml"/><Relationship Id="rId41" Type="http://schemas.openxmlformats.org/officeDocument/2006/relationships/ctrlProp" Target="../ctrlProps/ctrlProp42.xml"/><Relationship Id="rId62" Type="http://schemas.openxmlformats.org/officeDocument/2006/relationships/ctrlProp" Target="../ctrlProps/ctrlProp63.xml"/><Relationship Id="rId83" Type="http://schemas.openxmlformats.org/officeDocument/2006/relationships/ctrlProp" Target="../ctrlProps/ctrlProp84.xml"/><Relationship Id="rId88" Type="http://schemas.openxmlformats.org/officeDocument/2006/relationships/ctrlProp" Target="../ctrlProps/ctrlProp89.xml"/><Relationship Id="rId111" Type="http://schemas.openxmlformats.org/officeDocument/2006/relationships/ctrlProp" Target="../ctrlProps/ctrlProp112.xml"/><Relationship Id="rId132" Type="http://schemas.openxmlformats.org/officeDocument/2006/relationships/ctrlProp" Target="../ctrlProps/ctrlProp133.xml"/><Relationship Id="rId15" Type="http://schemas.openxmlformats.org/officeDocument/2006/relationships/ctrlProp" Target="../ctrlProps/ctrlProp16.xml"/><Relationship Id="rId36" Type="http://schemas.openxmlformats.org/officeDocument/2006/relationships/ctrlProp" Target="../ctrlProps/ctrlProp37.xml"/><Relationship Id="rId57" Type="http://schemas.openxmlformats.org/officeDocument/2006/relationships/ctrlProp" Target="../ctrlProps/ctrlProp58.xml"/><Relationship Id="rId106" Type="http://schemas.openxmlformats.org/officeDocument/2006/relationships/ctrlProp" Target="../ctrlProps/ctrlProp107.xml"/><Relationship Id="rId127" Type="http://schemas.openxmlformats.org/officeDocument/2006/relationships/ctrlProp" Target="../ctrlProps/ctrlProp128.xml"/><Relationship Id="rId10" Type="http://schemas.openxmlformats.org/officeDocument/2006/relationships/ctrlProp" Target="../ctrlProps/ctrlProp11.xml"/><Relationship Id="rId31" Type="http://schemas.openxmlformats.org/officeDocument/2006/relationships/ctrlProp" Target="../ctrlProps/ctrlProp32.xml"/><Relationship Id="rId52" Type="http://schemas.openxmlformats.org/officeDocument/2006/relationships/ctrlProp" Target="../ctrlProps/ctrlProp53.xml"/><Relationship Id="rId73" Type="http://schemas.openxmlformats.org/officeDocument/2006/relationships/ctrlProp" Target="../ctrlProps/ctrlProp74.xml"/><Relationship Id="rId78" Type="http://schemas.openxmlformats.org/officeDocument/2006/relationships/ctrlProp" Target="../ctrlProps/ctrlProp79.xml"/><Relationship Id="rId94" Type="http://schemas.openxmlformats.org/officeDocument/2006/relationships/ctrlProp" Target="../ctrlProps/ctrlProp95.xml"/><Relationship Id="rId99" Type="http://schemas.openxmlformats.org/officeDocument/2006/relationships/ctrlProp" Target="../ctrlProps/ctrlProp100.xml"/><Relationship Id="rId101" Type="http://schemas.openxmlformats.org/officeDocument/2006/relationships/ctrlProp" Target="../ctrlProps/ctrlProp102.xml"/><Relationship Id="rId122" Type="http://schemas.openxmlformats.org/officeDocument/2006/relationships/ctrlProp" Target="../ctrlProps/ctrlProp123.xml"/><Relationship Id="rId143" Type="http://schemas.openxmlformats.org/officeDocument/2006/relationships/ctrlProp" Target="../ctrlProps/ctrlProp144.xml"/><Relationship Id="rId148" Type="http://schemas.openxmlformats.org/officeDocument/2006/relationships/ctrlProp" Target="../ctrlProps/ctrlProp149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26" Type="http://schemas.openxmlformats.org/officeDocument/2006/relationships/ctrlProp" Target="../ctrlProps/ctrlProp27.xml"/><Relationship Id="rId47" Type="http://schemas.openxmlformats.org/officeDocument/2006/relationships/ctrlProp" Target="../ctrlProps/ctrlProp48.xml"/><Relationship Id="rId68" Type="http://schemas.openxmlformats.org/officeDocument/2006/relationships/ctrlProp" Target="../ctrlProps/ctrlProp69.xml"/><Relationship Id="rId89" Type="http://schemas.openxmlformats.org/officeDocument/2006/relationships/ctrlProp" Target="../ctrlProps/ctrlProp90.xml"/><Relationship Id="rId112" Type="http://schemas.openxmlformats.org/officeDocument/2006/relationships/ctrlProp" Target="../ctrlProps/ctrlProp113.xml"/><Relationship Id="rId133" Type="http://schemas.openxmlformats.org/officeDocument/2006/relationships/ctrlProp" Target="../ctrlProps/ctrlProp134.xml"/><Relationship Id="rId16" Type="http://schemas.openxmlformats.org/officeDocument/2006/relationships/ctrlProp" Target="../ctrlProps/ctrlProp17.xml"/><Relationship Id="rId37" Type="http://schemas.openxmlformats.org/officeDocument/2006/relationships/ctrlProp" Target="../ctrlProps/ctrlProp38.xml"/><Relationship Id="rId58" Type="http://schemas.openxmlformats.org/officeDocument/2006/relationships/ctrlProp" Target="../ctrlProps/ctrlProp59.xml"/><Relationship Id="rId79" Type="http://schemas.openxmlformats.org/officeDocument/2006/relationships/ctrlProp" Target="../ctrlProps/ctrlProp80.xml"/><Relationship Id="rId102" Type="http://schemas.openxmlformats.org/officeDocument/2006/relationships/ctrlProp" Target="../ctrlProps/ctrlProp103.xml"/><Relationship Id="rId123" Type="http://schemas.openxmlformats.org/officeDocument/2006/relationships/ctrlProp" Target="../ctrlProps/ctrlProp124.xml"/><Relationship Id="rId144" Type="http://schemas.openxmlformats.org/officeDocument/2006/relationships/ctrlProp" Target="../ctrlProps/ctrlProp145.xml"/><Relationship Id="rId90" Type="http://schemas.openxmlformats.org/officeDocument/2006/relationships/ctrlProp" Target="../ctrlProps/ctrlProp9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5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54.xml"/><Relationship Id="rId5" Type="http://schemas.openxmlformats.org/officeDocument/2006/relationships/ctrlProp" Target="../ctrlProps/ctrlProp153.xml"/><Relationship Id="rId4" Type="http://schemas.openxmlformats.org/officeDocument/2006/relationships/ctrlProp" Target="../ctrlProps/ctrlProp15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80"/>
  <sheetViews>
    <sheetView workbookViewId="0">
      <selection activeCell="B8" sqref="B8"/>
    </sheetView>
  </sheetViews>
  <sheetFormatPr defaultRowHeight="12.5"/>
  <cols>
    <col min="1" max="1" width="126.453125" customWidth="1"/>
    <col min="2" max="2" width="13.453125" customWidth="1"/>
  </cols>
  <sheetData>
    <row r="1" spans="1:14" ht="13">
      <c r="A1" s="75" t="s">
        <v>169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 ht="90.75" customHeight="1">
      <c r="A2" s="76" t="s">
        <v>173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3"/>
      <c r="M2" s="73"/>
      <c r="N2" s="73"/>
    </row>
    <row r="3" spans="1:14" ht="25">
      <c r="A3" s="77" t="s">
        <v>170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3"/>
      <c r="M3" s="73"/>
      <c r="N3" s="73"/>
    </row>
    <row r="4" spans="1:14" ht="25">
      <c r="A4" s="77" t="s">
        <v>171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3"/>
      <c r="M4" s="73"/>
      <c r="N4" s="73"/>
    </row>
    <row r="5" spans="1:14" ht="25">
      <c r="A5" s="77" t="s">
        <v>172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3"/>
      <c r="M5" s="73"/>
      <c r="N5" s="73"/>
    </row>
    <row r="6" spans="1:14">
      <c r="A6" s="77" t="s">
        <v>174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3"/>
      <c r="M6" s="73"/>
      <c r="N6" s="73"/>
    </row>
    <row r="7" spans="1:14">
      <c r="A7" s="77" t="s">
        <v>175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3"/>
      <c r="M7" s="73"/>
      <c r="N7" s="73"/>
    </row>
    <row r="8" spans="1:14" ht="165">
      <c r="A8" s="77" t="s">
        <v>176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3"/>
      <c r="M8" s="73"/>
      <c r="N8" s="73"/>
    </row>
    <row r="9" spans="1:14" ht="13">
      <c r="A9" s="78" t="s">
        <v>168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3"/>
      <c r="M9" s="73"/>
      <c r="N9" s="73"/>
    </row>
    <row r="10" spans="1:14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3"/>
      <c r="M10" s="73"/>
      <c r="N10" s="73"/>
    </row>
    <row r="11" spans="1:14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3"/>
      <c r="M11" s="73"/>
      <c r="N11" s="73"/>
    </row>
    <row r="12" spans="1:14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3"/>
      <c r="M12" s="73"/>
      <c r="N12" s="73"/>
    </row>
    <row r="13" spans="1:14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3"/>
      <c r="M13" s="73"/>
      <c r="N13" s="73"/>
    </row>
    <row r="14" spans="1:14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3"/>
      <c r="M14" s="73"/>
      <c r="N14" s="73"/>
    </row>
    <row r="15" spans="1:14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3"/>
      <c r="M15" s="73"/>
      <c r="N15" s="73"/>
    </row>
    <row r="16" spans="1:14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</row>
    <row r="17" spans="1:14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</row>
    <row r="18" spans="1:14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</row>
    <row r="19" spans="1:14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</row>
    <row r="20" spans="1:14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</row>
    <row r="21" spans="1:14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</row>
    <row r="22" spans="1:14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</row>
    <row r="23" spans="1:14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</row>
    <row r="24" spans="1:1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</row>
    <row r="25" spans="1:14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</row>
    <row r="26" spans="1:14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</row>
    <row r="27" spans="1:14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</row>
    <row r="28" spans="1:14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</row>
    <row r="29" spans="1:14">
      <c r="A29" s="73"/>
    </row>
    <row r="30" spans="1:14">
      <c r="A30" s="73"/>
    </row>
    <row r="31" spans="1:14">
      <c r="A31" s="73"/>
    </row>
    <row r="32" spans="1:14">
      <c r="A32" s="73"/>
    </row>
    <row r="33" spans="1:1">
      <c r="A33" s="73"/>
    </row>
    <row r="34" spans="1:1">
      <c r="A34" s="73"/>
    </row>
    <row r="35" spans="1:1">
      <c r="A35" s="73"/>
    </row>
    <row r="36" spans="1:1">
      <c r="A36" s="73"/>
    </row>
    <row r="37" spans="1:1">
      <c r="A37" s="73"/>
    </row>
    <row r="38" spans="1:1">
      <c r="A38" s="73"/>
    </row>
    <row r="39" spans="1:1">
      <c r="A39" s="73"/>
    </row>
    <row r="40" spans="1:1">
      <c r="A40" s="73"/>
    </row>
    <row r="41" spans="1:1">
      <c r="A41" s="73"/>
    </row>
    <row r="42" spans="1:1">
      <c r="A42" s="73"/>
    </row>
    <row r="43" spans="1:1">
      <c r="A43" s="73"/>
    </row>
    <row r="44" spans="1:1">
      <c r="A44" s="73"/>
    </row>
    <row r="45" spans="1:1">
      <c r="A45" s="73"/>
    </row>
    <row r="46" spans="1:1">
      <c r="A46" s="73"/>
    </row>
    <row r="47" spans="1:1">
      <c r="A47" s="73"/>
    </row>
    <row r="48" spans="1:1">
      <c r="A48" s="73"/>
    </row>
    <row r="49" spans="1:1">
      <c r="A49" s="73"/>
    </row>
    <row r="50" spans="1:1">
      <c r="A50" s="73"/>
    </row>
    <row r="51" spans="1:1">
      <c r="A51" s="73"/>
    </row>
    <row r="52" spans="1:1">
      <c r="A52" s="73"/>
    </row>
    <row r="53" spans="1:1">
      <c r="A53" s="73"/>
    </row>
    <row r="54" spans="1:1">
      <c r="A54" s="73"/>
    </row>
    <row r="55" spans="1:1">
      <c r="A55" s="73"/>
    </row>
    <row r="56" spans="1:1">
      <c r="A56" s="73"/>
    </row>
    <row r="57" spans="1:1">
      <c r="A57" s="73"/>
    </row>
    <row r="58" spans="1:1">
      <c r="A58" s="73"/>
    </row>
    <row r="59" spans="1:1">
      <c r="A59" s="73"/>
    </row>
    <row r="60" spans="1:1">
      <c r="A60" s="73"/>
    </row>
    <row r="61" spans="1:1">
      <c r="A61" s="73"/>
    </row>
    <row r="62" spans="1:1">
      <c r="A62" s="73"/>
    </row>
    <row r="63" spans="1:1">
      <c r="A63" s="73"/>
    </row>
    <row r="64" spans="1:1">
      <c r="A64" s="73"/>
    </row>
    <row r="65" spans="1:1">
      <c r="A65" s="73"/>
    </row>
    <row r="66" spans="1:1">
      <c r="A66" s="73"/>
    </row>
    <row r="67" spans="1:1">
      <c r="A67" s="73"/>
    </row>
    <row r="68" spans="1:1">
      <c r="A68" s="73"/>
    </row>
    <row r="69" spans="1:1">
      <c r="A69" s="73"/>
    </row>
    <row r="70" spans="1:1">
      <c r="A70" s="73"/>
    </row>
    <row r="71" spans="1:1">
      <c r="A71" s="73"/>
    </row>
    <row r="72" spans="1:1">
      <c r="A72" s="73"/>
    </row>
    <row r="73" spans="1:1">
      <c r="A73" s="73"/>
    </row>
    <row r="74" spans="1:1">
      <c r="A74" s="73"/>
    </row>
    <row r="75" spans="1:1">
      <c r="A75" s="73"/>
    </row>
    <row r="76" spans="1:1">
      <c r="A76" s="73"/>
    </row>
    <row r="77" spans="1:1">
      <c r="A77" s="73"/>
    </row>
    <row r="78" spans="1:1">
      <c r="A78" s="73"/>
    </row>
    <row r="79" spans="1:1">
      <c r="A79" s="73"/>
    </row>
    <row r="80" spans="1:1">
      <c r="A80" s="73"/>
    </row>
  </sheetData>
  <pageMargins left="0.75" right="0.75" top="1" bottom="1" header="0.5" footer="0.5"/>
  <pageSetup orientation="portrait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V2629"/>
  <sheetViews>
    <sheetView zoomScaleNormal="100" zoomScaleSheetLayoutView="100" workbookViewId="0">
      <selection activeCell="E59" sqref="E59"/>
    </sheetView>
  </sheetViews>
  <sheetFormatPr defaultColWidth="9.1796875" defaultRowHeight="13"/>
  <cols>
    <col min="1" max="1" width="18.81640625" style="32" customWidth="1"/>
    <col min="2" max="2" width="6" style="28" hidden="1" customWidth="1"/>
    <col min="3" max="3" width="48.81640625" style="23" hidden="1" customWidth="1"/>
    <col min="4" max="4" width="34.54296875" style="6" customWidth="1"/>
    <col min="5" max="5" width="37.26953125" style="2" customWidth="1"/>
    <col min="6" max="6" width="38.453125" style="2" customWidth="1"/>
    <col min="7" max="21" width="9.1796875" style="91"/>
    <col min="22" max="16384" width="9.1796875" style="1"/>
  </cols>
  <sheetData>
    <row r="1" spans="1:21" s="59" customFormat="1" ht="13.5" thickBot="1">
      <c r="A1" s="56" t="s">
        <v>167</v>
      </c>
      <c r="B1" s="57"/>
      <c r="C1" s="57"/>
      <c r="D1" s="57"/>
      <c r="E1" s="57"/>
      <c r="F1" s="58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1">
      <c r="E2" s="80"/>
      <c r="F2" s="80"/>
    </row>
    <row r="3" spans="1:21">
      <c r="A3" s="45" t="s">
        <v>2</v>
      </c>
      <c r="C3" s="23" t="str">
        <f>CONCATENATE("&lt;head&gt;&lt;title&gt;",D3,"&lt;/title&gt;&lt;/head&gt;")</f>
        <v>&lt;head&gt;&lt;title&gt;Hristo Aladjov's Publications&lt;/title&gt;&lt;/head&gt;</v>
      </c>
      <c r="D3" s="6" t="s">
        <v>0</v>
      </c>
      <c r="E3" s="81"/>
      <c r="F3" s="80"/>
    </row>
    <row r="4" spans="1:21" hidden="1">
      <c r="C4" s="23" t="s">
        <v>3</v>
      </c>
      <c r="E4" s="80"/>
      <c r="F4" s="80"/>
    </row>
    <row r="5" spans="1:21" hidden="1">
      <c r="C5" s="23" t="s">
        <v>4</v>
      </c>
      <c r="E5" s="80"/>
      <c r="F5" s="80"/>
    </row>
    <row r="6" spans="1:21" hidden="1">
      <c r="C6" s="23" t="s">
        <v>5</v>
      </c>
      <c r="E6" s="80"/>
      <c r="F6" s="80"/>
    </row>
    <row r="7" spans="1:21" hidden="1">
      <c r="C7" s="23" t="s">
        <v>6</v>
      </c>
      <c r="E7" s="80"/>
      <c r="F7" s="80"/>
    </row>
    <row r="8" spans="1:21" hidden="1">
      <c r="C8" s="23" t="s">
        <v>7</v>
      </c>
      <c r="E8" s="80"/>
      <c r="F8" s="80"/>
    </row>
    <row r="9" spans="1:21" hidden="1">
      <c r="C9" s="23" t="s">
        <v>8</v>
      </c>
      <c r="E9" s="80"/>
      <c r="F9" s="80"/>
    </row>
    <row r="10" spans="1:21" hidden="1">
      <c r="C10" s="23" t="s">
        <v>9</v>
      </c>
      <c r="E10" s="80"/>
      <c r="F10" s="80"/>
    </row>
    <row r="11" spans="1:21" hidden="1">
      <c r="E11" s="80"/>
      <c r="F11" s="80"/>
    </row>
    <row r="12" spans="1:21" hidden="1">
      <c r="C12" s="24" t="s">
        <v>10</v>
      </c>
      <c r="E12" s="80"/>
      <c r="F12" s="80"/>
    </row>
    <row r="13" spans="1:21" hidden="1">
      <c r="E13" s="80"/>
      <c r="F13" s="80"/>
    </row>
    <row r="14" spans="1:21" hidden="1">
      <c r="C14" s="23" t="s">
        <v>12</v>
      </c>
      <c r="E14" s="80"/>
      <c r="F14" s="80"/>
    </row>
    <row r="15" spans="1:21" hidden="1">
      <c r="C15" s="23" t="s">
        <v>11</v>
      </c>
      <c r="E15" s="80"/>
      <c r="F15" s="80"/>
    </row>
    <row r="16" spans="1:21" hidden="1">
      <c r="C16" s="23" t="s">
        <v>13</v>
      </c>
      <c r="E16" s="80"/>
      <c r="F16" s="80"/>
    </row>
    <row r="17" spans="1:6">
      <c r="A17" s="45" t="s">
        <v>16</v>
      </c>
      <c r="C17" s="23" t="str">
        <f>CONCATENATE("&lt;td&gt;&lt;img src=",D17," alt='' width='180' height='256' border='0'&gt;&lt;/td&gt;")</f>
        <v>&lt;td&gt;&lt;img src=Xpu100.jpg alt='' width='180' height='256' border='0'&gt;&lt;/td&gt;</v>
      </c>
      <c r="D17" s="6" t="s">
        <v>15</v>
      </c>
      <c r="E17" s="81"/>
      <c r="F17" s="80"/>
    </row>
    <row r="18" spans="1:6" hidden="1">
      <c r="C18" s="23" t="s">
        <v>14</v>
      </c>
      <c r="E18" s="80"/>
      <c r="F18" s="80"/>
    </row>
    <row r="19" spans="1:6" hidden="1">
      <c r="C19" s="23" t="s">
        <v>19</v>
      </c>
      <c r="E19" s="80"/>
      <c r="F19" s="80"/>
    </row>
    <row r="20" spans="1:6" hidden="1">
      <c r="C20" s="23" t="s">
        <v>20</v>
      </c>
      <c r="E20" s="80"/>
      <c r="F20" s="80"/>
    </row>
    <row r="21" spans="1:6" hidden="1">
      <c r="C21" s="23" t="s">
        <v>23</v>
      </c>
      <c r="E21" s="80"/>
      <c r="F21" s="80"/>
    </row>
    <row r="22" spans="1:6">
      <c r="A22" s="45" t="s">
        <v>21</v>
      </c>
      <c r="C22" s="23" t="str">
        <f>CONCATENATE("         &lt;div align='center'&gt;&lt;br&gt;&lt;font size='+2'&gt;",D22,"&lt;/font&gt;&lt;br&gt;")</f>
        <v xml:space="preserve">         &lt;div align='center'&gt;&lt;br&gt;&lt;font size='+2'&gt;Hristo Tsvetanov Aladjov&lt;/font&gt;&lt;br&gt;</v>
      </c>
      <c r="D22" s="6" t="s">
        <v>17</v>
      </c>
      <c r="E22" s="81"/>
      <c r="F22" s="80"/>
    </row>
    <row r="23" spans="1:6">
      <c r="A23" s="45" t="s">
        <v>1</v>
      </c>
      <c r="C23" s="23" t="str">
        <f>CONCATENATE("         ",D23,"&lt;/div&gt;&lt;br&gt;&lt;/td&gt;")</f>
        <v xml:space="preserve">         Res. Assist., MSc, Ph.D.&lt;/div&gt;&lt;br&gt;&lt;/td&gt;</v>
      </c>
      <c r="D23" s="6" t="s">
        <v>18</v>
      </c>
      <c r="E23" s="81"/>
      <c r="F23" s="80"/>
    </row>
    <row r="24" spans="1:6" hidden="1">
      <c r="C24" s="23" t="s">
        <v>22</v>
      </c>
      <c r="E24" s="80"/>
      <c r="F24" s="80"/>
    </row>
    <row r="25" spans="1:6" hidden="1">
      <c r="C25" s="23" t="s">
        <v>24</v>
      </c>
      <c r="E25" s="80"/>
      <c r="F25" s="80"/>
    </row>
    <row r="26" spans="1:6" hidden="1">
      <c r="A26" s="33"/>
      <c r="C26" s="23" t="s">
        <v>25</v>
      </c>
      <c r="E26" s="80"/>
      <c r="F26" s="80"/>
    </row>
    <row r="27" spans="1:6">
      <c r="A27" s="45" t="s">
        <v>28</v>
      </c>
      <c r="C27" s="23" t="str">
        <f>CONCATENATE("         &lt;td &gt;&lt;a href='http://www.clbme.bas.bg/' target='_top'&gt;",D27,"&lt;/a&gt;&lt;br&gt;")</f>
        <v xml:space="preserve">         &lt;td &gt;&lt;a href='http://www.clbme.bas.bg/' target='_top'&gt;Centre of Biomedical Engineering&lt;/a&gt;&lt;br&gt;</v>
      </c>
      <c r="D27" s="6" t="s">
        <v>29</v>
      </c>
      <c r="E27" s="80"/>
      <c r="F27" s="80"/>
    </row>
    <row r="28" spans="1:6">
      <c r="C28" s="23" t="str">
        <f>CONCATENATE("         &lt;a href='http://www.bas.bg/' target='_top'&gt;",D28,"&lt;/a&gt;&lt;br&gt;")</f>
        <v xml:space="preserve">         &lt;a href='http://www.bas.bg/' target='_top'&gt;Bulgarian Academy of Science&lt;/a&gt;&lt;br&gt;</v>
      </c>
      <c r="D28" s="6" t="s">
        <v>30</v>
      </c>
      <c r="E28" s="80"/>
      <c r="F28" s="80"/>
    </row>
    <row r="29" spans="1:6">
      <c r="C29" s="23" t="str">
        <f>CONCATENATE("          ",D29,"&lt;br&gt;")</f>
        <v xml:space="preserve">          Room 207A, 2th fl., Bl.105&lt;br&gt;</v>
      </c>
      <c r="D29" s="6" t="s">
        <v>31</v>
      </c>
      <c r="E29" s="80"/>
      <c r="F29" s="80"/>
    </row>
    <row r="30" spans="1:6">
      <c r="C30" s="23" t="str">
        <f>CONCATENATE("         &lt;a href='../../Address.html'&gt;",D30,"&lt;/a&gt; &lt;br&gt;")</f>
        <v xml:space="preserve">         &lt;a href='../../Address.html'&gt;Acad. George Bonchev Str.&lt;/a&gt; &lt;br&gt;</v>
      </c>
      <c r="D30" s="6" t="s">
        <v>32</v>
      </c>
      <c r="E30" s="80"/>
      <c r="F30" s="80"/>
    </row>
    <row r="31" spans="1:6">
      <c r="C31" s="23" t="s">
        <v>26</v>
      </c>
      <c r="D31" s="6" t="s">
        <v>33</v>
      </c>
      <c r="E31" s="80"/>
      <c r="F31" s="80"/>
    </row>
    <row r="32" spans="1:6" hidden="1">
      <c r="C32" s="25" t="s">
        <v>27</v>
      </c>
      <c r="E32" s="80"/>
      <c r="F32" s="80"/>
    </row>
    <row r="33" spans="1:6" hidden="1">
      <c r="C33" s="23" t="s">
        <v>22</v>
      </c>
      <c r="E33" s="80"/>
      <c r="F33" s="80"/>
    </row>
    <row r="34" spans="1:6" hidden="1">
      <c r="C34" s="25" t="s">
        <v>24</v>
      </c>
      <c r="E34" s="80"/>
      <c r="F34" s="80"/>
    </row>
    <row r="35" spans="1:6" hidden="1">
      <c r="C35" s="23" t="s">
        <v>35</v>
      </c>
      <c r="E35" s="80"/>
      <c r="F35" s="80"/>
    </row>
    <row r="36" spans="1:6">
      <c r="A36" s="45" t="s">
        <v>36</v>
      </c>
      <c r="C36" s="23" t="str">
        <f>CONCATENATE("         &lt;td&gt;",D36,"&lt;/td&gt;")</f>
        <v xml:space="preserve">         &lt;td&gt;(+359 2) 9793654, (+359 2) 8700527&lt;/td&gt;</v>
      </c>
      <c r="D36" s="6" t="s">
        <v>44</v>
      </c>
      <c r="E36" s="80"/>
      <c r="F36" s="80"/>
    </row>
    <row r="37" spans="1:6" hidden="1">
      <c r="C37" s="23" t="s">
        <v>22</v>
      </c>
      <c r="E37" s="80"/>
      <c r="F37" s="80"/>
    </row>
    <row r="38" spans="1:6" hidden="1">
      <c r="C38" s="23" t="s">
        <v>24</v>
      </c>
      <c r="E38" s="80"/>
      <c r="F38" s="80"/>
    </row>
    <row r="39" spans="1:6" hidden="1">
      <c r="C39" s="23" t="s">
        <v>37</v>
      </c>
      <c r="E39" s="80"/>
      <c r="F39" s="80"/>
    </row>
    <row r="40" spans="1:6">
      <c r="A40" s="45" t="s">
        <v>40</v>
      </c>
      <c r="C40" s="23" t="str">
        <f>CONCATENATE("         &lt;td&gt;",D40,"&lt;/td&gt;")</f>
        <v xml:space="preserve">         &lt;td&gt;(+359) 2 723787&lt;/td&gt;</v>
      </c>
      <c r="D40" s="6" t="s">
        <v>43</v>
      </c>
      <c r="E40" s="80"/>
      <c r="F40" s="80"/>
    </row>
    <row r="41" spans="1:6" hidden="1">
      <c r="C41" s="23" t="s">
        <v>22</v>
      </c>
      <c r="E41" s="80"/>
      <c r="F41" s="80"/>
    </row>
    <row r="42" spans="1:6" hidden="1">
      <c r="C42" s="25" t="s">
        <v>24</v>
      </c>
      <c r="E42" s="80"/>
      <c r="F42" s="80"/>
    </row>
    <row r="43" spans="1:6" hidden="1">
      <c r="C43" s="23" t="s">
        <v>39</v>
      </c>
      <c r="E43" s="80"/>
      <c r="F43" s="80"/>
    </row>
    <row r="44" spans="1:6">
      <c r="A44" s="45" t="s">
        <v>41</v>
      </c>
      <c r="C44" s="23" t="str">
        <f>CONCATENATE("         &lt;td&gt;&lt;a href='mailto:",D44,"'&gt;",D44,"&lt;/a&gt;&lt;/td&gt;")</f>
        <v xml:space="preserve">         &lt;td&gt;&lt;a href='mailto:aladjov@clbme.bas.bg'&gt;aladjov@clbme.bas.bg&lt;/a&gt;&lt;/td&gt;</v>
      </c>
      <c r="D44" s="6" t="s">
        <v>38</v>
      </c>
      <c r="E44" s="80"/>
      <c r="F44" s="80"/>
    </row>
    <row r="45" spans="1:6" hidden="1">
      <c r="C45" s="23" t="s">
        <v>22</v>
      </c>
      <c r="E45" s="80"/>
      <c r="F45" s="80"/>
    </row>
    <row r="46" spans="1:6" hidden="1">
      <c r="C46" s="25" t="s">
        <v>20</v>
      </c>
      <c r="E46" s="80"/>
      <c r="F46" s="80"/>
    </row>
    <row r="47" spans="1:6" hidden="1">
      <c r="C47" s="25" t="s">
        <v>42</v>
      </c>
      <c r="E47" s="80"/>
      <c r="F47" s="80"/>
    </row>
    <row r="48" spans="1:6" hidden="1">
      <c r="C48" s="23" t="s">
        <v>42</v>
      </c>
      <c r="E48" s="80"/>
      <c r="F48" s="80"/>
    </row>
    <row r="49" spans="1:22" hidden="1">
      <c r="C49" s="23" t="s">
        <v>22</v>
      </c>
      <c r="E49" s="80"/>
      <c r="F49" s="80"/>
    </row>
    <row r="50" spans="1:22" hidden="1">
      <c r="C50" s="25" t="s">
        <v>46</v>
      </c>
      <c r="E50" s="80"/>
      <c r="F50" s="80"/>
    </row>
    <row r="51" spans="1:22" hidden="1">
      <c r="C51" s="23" t="s">
        <v>47</v>
      </c>
      <c r="E51" s="80"/>
      <c r="F51" s="80"/>
    </row>
    <row r="52" spans="1:22" hidden="1">
      <c r="C52" s="23" t="s">
        <v>34</v>
      </c>
      <c r="E52" s="80"/>
      <c r="F52" s="80"/>
    </row>
    <row r="53" spans="1:22" hidden="1">
      <c r="C53" s="23" t="s">
        <v>45</v>
      </c>
      <c r="E53" s="80"/>
      <c r="F53" s="80"/>
    </row>
    <row r="54" spans="1:22" hidden="1">
      <c r="E54" s="80"/>
      <c r="F54" s="80"/>
    </row>
    <row r="55" spans="1:22" hidden="1">
      <c r="C55" s="26" t="s">
        <v>49</v>
      </c>
      <c r="E55" s="80"/>
      <c r="F55" s="80"/>
    </row>
    <row r="56" spans="1:22">
      <c r="C56" s="23" t="s">
        <v>13</v>
      </c>
      <c r="E56" s="80"/>
      <c r="F56" s="80"/>
    </row>
    <row r="57" spans="1:22">
      <c r="A57" s="46" t="s">
        <v>55</v>
      </c>
      <c r="C57" s="23" t="s">
        <v>50</v>
      </c>
      <c r="E57" s="80"/>
      <c r="F57" s="80"/>
    </row>
    <row r="58" spans="1:22">
      <c r="A58" s="45"/>
      <c r="B58" s="28" t="b">
        <v>0</v>
      </c>
      <c r="C58" s="23" t="str">
        <f>IF(B58,CONCATENATE(" &amp;nbsp;&lt;strong&gt;&lt;a href='index.html'&gt;",D58,"&lt;/a&gt;&lt;/strong&gt;&amp;nbsp;"),"")</f>
        <v/>
      </c>
      <c r="D58" s="6" t="s">
        <v>52</v>
      </c>
      <c r="E58" s="80"/>
      <c r="F58" s="80"/>
    </row>
    <row r="59" spans="1:22">
      <c r="A59" s="45"/>
      <c r="B59" s="28" t="b">
        <v>1</v>
      </c>
      <c r="C59" s="23" t="str">
        <f>IF(B59,CONCATENATE(" &lt;font color=#FF0000&gt;&amp;nbsp;&lt;strong&gt;",D59,"&lt;/strong&gt;&amp;nbsp;&lt;/font&gt;"),"")</f>
        <v xml:space="preserve"> &lt;font color=#FF0000&gt;&amp;nbsp;&lt;strong&gt;Selected Publications&lt;/strong&gt;&amp;nbsp;&lt;/font&gt;</v>
      </c>
      <c r="D59" s="6" t="s">
        <v>53</v>
      </c>
      <c r="E59" s="80"/>
      <c r="F59" s="80"/>
    </row>
    <row r="60" spans="1:22">
      <c r="A60" s="45"/>
      <c r="B60" s="28" t="b">
        <v>0</v>
      </c>
      <c r="C60" s="23" t="str">
        <f>IF(B60,CONCATENATE(" &amp;nbsp;&lt;a href='citations.html'&gt;&lt;strong&gt;",D60,"&lt;/strong&gt;&lt;/a&gt;&amp;nbsp;"),"")</f>
        <v/>
      </c>
      <c r="D60" s="6" t="s">
        <v>48</v>
      </c>
      <c r="E60" s="80"/>
      <c r="F60" s="80"/>
    </row>
    <row r="61" spans="1:22">
      <c r="A61" s="45"/>
      <c r="B61" s="28" t="b">
        <v>1</v>
      </c>
      <c r="C61" s="23" t="str">
        <f>IF(B61,CONCATENATE(" &amp;nbsp;&lt;a href='cv.html'&gt;&lt;strong&gt;",D61,"&lt;/strong&gt;&lt;/a&gt;&amp;nbsp;"),"")</f>
        <v xml:space="preserve"> &amp;nbsp;&lt;a href='cv.html'&gt;&lt;strong&gt;Curriculum Vitae&lt;/strong&gt;&lt;/a&gt;&amp;nbsp;</v>
      </c>
      <c r="D61" s="6" t="s">
        <v>54</v>
      </c>
      <c r="E61" s="80"/>
      <c r="F61" s="80"/>
    </row>
    <row r="62" spans="1:22">
      <c r="A62" s="82"/>
      <c r="B62" s="83"/>
      <c r="C62" s="84" t="s">
        <v>51</v>
      </c>
      <c r="D62" s="85"/>
      <c r="E62" s="80"/>
      <c r="F62" s="80"/>
    </row>
    <row r="63" spans="1:22">
      <c r="A63" s="82"/>
      <c r="B63" s="83"/>
      <c r="C63" s="84" t="s">
        <v>34</v>
      </c>
      <c r="D63" s="85"/>
      <c r="E63" s="80"/>
      <c r="F63" s="80"/>
    </row>
    <row r="64" spans="1:22">
      <c r="A64" s="45" t="s">
        <v>56</v>
      </c>
      <c r="D64" s="85"/>
      <c r="E64" s="80"/>
      <c r="F64" s="80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10"/>
    </row>
    <row r="65" spans="1:22">
      <c r="A65" s="45" t="s">
        <v>72</v>
      </c>
      <c r="D65" s="36" t="s">
        <v>1</v>
      </c>
      <c r="E65" s="55" t="s">
        <v>73</v>
      </c>
      <c r="F65" s="55" t="s">
        <v>74</v>
      </c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10"/>
    </row>
    <row r="66" spans="1:22" s="90" customFormat="1">
      <c r="A66" s="86"/>
      <c r="B66" s="83"/>
      <c r="C66" s="87"/>
      <c r="D66" s="88"/>
      <c r="E66" s="80"/>
      <c r="F66" s="80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89"/>
    </row>
    <row r="67" spans="1:22" ht="12.75" customHeight="1">
      <c r="A67" s="47" t="s">
        <v>57</v>
      </c>
      <c r="C67" s="26" t="str">
        <f>CONCATENATE(
"&lt;tr&gt;&lt;td width='25' valign='top'&gt;&lt;font color='#FF0000'&gt;&lt;a name=",
A67,
"&gt;&lt;/a&gt;[",
A67,
".]&lt;/font&gt;&lt;/td&gt;&lt;td width='510'&gt;",
D67,
"&lt;/td&gt;",
IF(E67&lt;&gt;"",
                  CONCATENATE("&lt;td width='25' valign='top'&gt;&lt;a href='",
                                                 E67,
                                                  "'&gt;&lt;font color='#FF0000'&gt;Abstr.&lt;/font&gt;&lt;/a&gt;"),
                  "&lt;td width='25' valign='top'&gt;&lt;font color='#FF0000'&gt;Abstr.&lt;/font&gt;"),
IF(F67&lt;&gt;"",
     CONCATENATE("&lt;br&gt;&lt;a href='",
                                    F67,
                                    "'&gt;&lt;font color='#FF0000'&gt;FT&lt;/font&gt;&lt;/a&gt;&lt;/td&gt;&lt;/tr&gt;"),
      "&lt;br&gt;&lt;font color='#FF0000'&gt;FT.&lt;/font&gt;&lt;/td&gt;&lt;/tr&gt;")
)</f>
        <v>&lt;tr&gt;&lt;td width='25' valign='top'&gt;&lt;font color='#FF0000'&gt;&lt;a name=001&gt;&lt;/a&gt;[001.]&lt;/font&gt;&lt;/td&gt;&lt;td width='510'&gt;&lt;strong&gt;Ljakova K., Y. Pavlov &lt;/strong&gt;(2003).&lt;strong&gt; &lt;/strong&gt;Methodological and Information Provision for some Aspects in Poultry Farming. Ecological Engineering and Environment Protection, 2, 52-59.&lt;/td&gt;&lt;td width='25' valign='top'&gt;&lt;font color='#FF0000'&gt;Abstr.&lt;/font&gt;&lt;br&gt;&lt;font color='#FF0000'&gt;FT.&lt;/font&gt;&lt;/td&gt;&lt;/tr&gt;</v>
      </c>
      <c r="D67" s="48" t="s">
        <v>210</v>
      </c>
      <c r="E67" s="51"/>
      <c r="F67" s="5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50"/>
    </row>
    <row r="68" spans="1:22">
      <c r="A68" s="47" t="s">
        <v>58</v>
      </c>
      <c r="C68" s="26" t="str">
        <f t="shared" ref="C68:C108" si="0">CONCATENATE(
"&lt;tr&gt;&lt;td width='25' valign='top'&gt;&lt;font color='#FF0000'&gt;&lt;a name=",
A68,
"&gt;&lt;/a&gt;[",
A68,
".]&lt;/font&gt;&lt;/td&gt;&lt;td width='510'&gt;",
D68,
"&lt;/td&gt;",
IF(E68&lt;&gt;"",
                  CONCATENATE("&lt;td width='25' valign='top'&gt;&lt;a href='",
                                                 E68,
                                                  "'&gt;&lt;font color='#FF0000'&gt;Abstr.&lt;/font&gt;&lt;/a&gt;"),
                  "&lt;td width='25' valign='top'&gt;&lt;font color='#FF0000'&gt;Abstr.&lt;/font&gt;"),
IF(F68&lt;&gt;"",
     CONCATENATE("&lt;br&gt;&lt;a href='",
                                    F68,
                                    "'&gt;&lt;font color='#FF0000'&gt;FT&lt;/font&gt;&lt;/a&gt;&lt;/td&gt;&lt;/tr&gt;"),
      "&lt;br&gt;&lt;font color='#FF0000'&gt;FT.&lt;/font&gt;&lt;/td&gt;&lt;/tr&gt;")
)</f>
        <v>&lt;tr&gt;&lt;td width='25' valign='top'&gt;&lt;font color='#FF0000'&gt;&lt;a name=002&gt;&lt;/a&gt;[002.]&lt;/font&gt;&lt;/td&gt;&lt;td width='510'&gt;&lt;strong&gt;Pavlov Y., K. Ljakova&lt;/strong&gt; (2003).&lt;strong&gt; &lt;/strong&gt;Machine Learning and Expert Utility Assessment. CompSysTech’2003.&lt;/td&gt;&lt;td width='25' valign='top'&gt;&lt;font color='#FF0000'&gt;Abstr.&lt;/font&gt;&lt;br&gt;&lt;font color='#FF0000'&gt;FT.&lt;/font&gt;&lt;/td&gt;&lt;/tr&gt;</v>
      </c>
      <c r="D68" s="48" t="s">
        <v>211</v>
      </c>
      <c r="E68" s="51"/>
      <c r="F68" s="53"/>
      <c r="G68" s="94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50"/>
    </row>
    <row r="69" spans="1:22">
      <c r="A69" s="47" t="s">
        <v>59</v>
      </c>
      <c r="C69" s="26" t="str">
        <f t="shared" si="0"/>
        <v>&lt;tr&gt;&lt;td width='25' valign='top'&gt;&lt;font color='#FF0000'&gt;&lt;a name=003&gt;&lt;/a&gt;[003.]&lt;/font&gt;&lt;/td&gt;&lt;td width='510'&gt;&lt;strong&gt;Pavlov Y., K. Ljakova&lt;/strong&gt; (2002). Jaffray-Karni Theorem and an Approximation based elicitation Method of Subjective Probabilities. International Conference AUTOMATIC and INFORMATIC 2002, 5-6 ноември, Sofia, 73-76.&lt;/td&gt;&lt;td width='25' valign='top'&gt;&lt;font color='#FF0000'&gt;Abstr.&lt;/font&gt;&lt;br&gt;&lt;font color='#FF0000'&gt;FT.&lt;/font&gt;&lt;/td&gt;&lt;/tr&gt;</v>
      </c>
      <c r="D69" s="48" t="s">
        <v>212</v>
      </c>
      <c r="E69" s="51"/>
      <c r="F69" s="5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50"/>
    </row>
    <row r="70" spans="1:22">
      <c r="A70" s="47" t="s">
        <v>60</v>
      </c>
      <c r="C70" s="26" t="str">
        <f t="shared" si="0"/>
        <v>&lt;tr&gt;&lt;td width='25' valign='top'&gt;&lt;font color='#FF0000'&gt;&lt;a name=004&gt;&lt;/a&gt;[004.]&lt;/font&gt;&lt;/td&gt;&lt;td width='510'&gt;&lt;strong&gt;Лякова К., Ю Павлов&lt;/strong&gt; (2002). Моделиране и поддържане на решенията в птицепроизводството. Автоматика и информатика № 1, 42-48.&lt;/td&gt;&lt;td width='25' valign='top'&gt;&lt;font color='#FF0000'&gt;Abstr.&lt;/font&gt;&lt;br&gt;&lt;font color='#FF0000'&gt;FT.&lt;/font&gt;&lt;/td&gt;&lt;/tr&gt;</v>
      </c>
      <c r="D70" s="48" t="s">
        <v>213</v>
      </c>
      <c r="E70" s="51"/>
      <c r="F70" s="53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10"/>
    </row>
    <row r="71" spans="1:22">
      <c r="A71" s="47" t="s">
        <v>61</v>
      </c>
      <c r="C71" s="26" t="str">
        <f t="shared" si="0"/>
        <v>&lt;tr&gt;&lt;td width='25' valign='top'&gt;&lt;font color='#FF0000'&gt;&lt;a name=005&gt;&lt;/a&gt;[005.]&lt;/font&gt;&lt;/td&gt;&lt;td width='510'&gt;&lt;strong&gt;Pavlov Y., K. Ljakova &lt;/strong&gt;(2002).&lt;strong&gt; &lt;/strong&gt;An Information System “Notepad&lt;em&gt;”.&lt;/em&gt; International Conference AUTOMATIC and INFORMATIC, 5-6 ноември, Sofia, 53-56.&lt;/td&gt;&lt;td width='25' valign='top'&gt;&lt;font color='#FF0000'&gt;Abstr.&lt;/font&gt;&lt;br&gt;&lt;font color='#FF0000'&gt;FT.&lt;/font&gt;&lt;/td&gt;&lt;/tr&gt;</v>
      </c>
      <c r="D71" s="48" t="s">
        <v>214</v>
      </c>
      <c r="E71" s="51"/>
      <c r="F71" s="53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10"/>
    </row>
    <row r="72" spans="1:22">
      <c r="A72" s="47" t="s">
        <v>62</v>
      </c>
      <c r="C72" s="26" t="str">
        <f t="shared" si="0"/>
        <v>&lt;tr&gt;&lt;td width='25' valign='top'&gt;&lt;font color='#FF0000'&gt;&lt;a name=006&gt;&lt;/a&gt;[006.]&lt;/font&gt;&lt;/td&gt;&lt;td width='510'&gt;&lt;strong&gt;Pavlov Y., K. Ljakova &lt;/strong&gt;(2002). An Information System “GP Help&lt;em&gt;”.&lt;/em&gt; International Symposium and Young Scientists’ School Bioprocess System’02, October 29-29, I.30-I.34.&lt;/td&gt;&lt;td width='25' valign='top'&gt;&lt;font color='#FF0000'&gt;Abstr.&lt;/font&gt;&lt;br&gt;&lt;font color='#FF0000'&gt;FT.&lt;/font&gt;&lt;/td&gt;&lt;/tr&gt;</v>
      </c>
      <c r="D72" s="48" t="s">
        <v>215</v>
      </c>
      <c r="E72" s="51"/>
      <c r="F72" s="53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10"/>
    </row>
    <row r="73" spans="1:22">
      <c r="A73" s="47" t="s">
        <v>63</v>
      </c>
      <c r="C73" s="26" t="str">
        <f t="shared" si="0"/>
        <v>&lt;tr&gt;&lt;td width='25' valign='top'&gt;&lt;font color='#FF0000'&gt;&lt;a name=007&gt;&lt;/a&gt;[007.]&lt;/font&gt;&lt;/td&gt;&lt;td width='510'&gt;&lt;strong&gt;Ljakova K., M. Petrov &lt;/strong&gt;(2001). An Approach for Modeling of Chickens’ Growth Breed Dekalb-Brown. &lt;em&gt;Biotechnol. &amp; Biotechnol. Eq., &lt;/em&gt;15(1), pp.113-118&lt;/td&gt;&lt;td width='25' valign='top'&gt;&lt;font color='#FF0000'&gt;Abstr.&lt;/font&gt;&lt;br&gt;&lt;font color='#FF0000'&gt;FT.&lt;/font&gt;&lt;/td&gt;&lt;/tr&gt;</v>
      </c>
      <c r="D73" s="48" t="s">
        <v>216</v>
      </c>
      <c r="E73" s="51"/>
      <c r="F73" s="53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10"/>
    </row>
    <row r="74" spans="1:22">
      <c r="A74" s="47" t="s">
        <v>64</v>
      </c>
      <c r="C74" s="26" t="str">
        <f t="shared" si="0"/>
        <v>&lt;tr&gt;&lt;td width='25' valign='top'&gt;&lt;font color='#FF0000'&gt;&lt;a name=008&gt;&lt;/a&gt;[008.]&lt;/font&gt;&lt;/td&gt;&lt;td width='510'&gt;&lt;strong&gt;Pavlov Y., K. Ljakova&lt;/strong&gt; (2001). Utility Assessment in Complex Systems. International Conference - “Automatics and Informatics”, Sofia, May 30 – June 2, A151-A.155. &lt;/td&gt;&lt;td width='25' valign='top'&gt;&lt;font color='#FF0000'&gt;Abstr.&lt;/font&gt;&lt;br&gt;&lt;font color='#FF0000'&gt;FT.&lt;/font&gt;&lt;/td&gt;&lt;/tr&gt;</v>
      </c>
      <c r="D74" s="48" t="s">
        <v>217</v>
      </c>
      <c r="E74" s="51"/>
      <c r="F74" s="53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10"/>
    </row>
    <row r="75" spans="1:22">
      <c r="A75" s="47" t="s">
        <v>65</v>
      </c>
      <c r="C75" s="26" t="str">
        <f t="shared" si="0"/>
        <v>&lt;tr&gt;&lt;td width='25' valign='top'&gt;&lt;font color='#FF0000'&gt;&lt;a name=009&gt;&lt;/a&gt;[009.]&lt;/font&gt;&lt;/td&gt;&lt;td width='510'&gt;&lt;strong&gt;Pavlov Y., K.&lt;/strong&gt; &lt;strong&gt;Ljakova&lt;/strong&gt; (2001). Fuzzy Logic and Utility Theory: an Expert Systems Based Comparison&lt;em&gt;. &lt;/em&gt;International Conference - “BIOPS- 2001”, Sofia, October 1-3, I.37-I.40. &lt;/td&gt;&lt;td width='25' valign='top'&gt;&lt;font color='#FF0000'&gt;Abstr.&lt;/font&gt;&lt;br&gt;&lt;font color='#FF0000'&gt;FT.&lt;/font&gt;&lt;/td&gt;&lt;/tr&gt;</v>
      </c>
      <c r="D75" s="48" t="s">
        <v>218</v>
      </c>
      <c r="E75" s="51"/>
      <c r="F75" s="53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10"/>
    </row>
    <row r="76" spans="1:22">
      <c r="A76" s="47" t="s">
        <v>66</v>
      </c>
      <c r="C76" s="26" t="str">
        <f t="shared" si="0"/>
        <v>&lt;tr&gt;&lt;td width='25' valign='top'&gt;&lt;font color='#FF0000'&gt;&lt;a name=010&gt;&lt;/a&gt;[010.]&lt;/font&gt;&lt;/td&gt;&lt;td width='510'&gt;&lt;strong&gt;Pavlov Y., K. Ljakova&lt;/strong&gt; (2001). Utility Assessment in Complex Systems. International Conference Automatics and Informatics, 31 May – 2 June 2001, Sofia, pp. A-151-A.154.&lt;/td&gt;&lt;td width='25' valign='top'&gt;&lt;font color='#FF0000'&gt;Abstr.&lt;/font&gt;&lt;br&gt;&lt;font color='#FF0000'&gt;FT.&lt;/font&gt;&lt;/td&gt;&lt;/tr&gt;</v>
      </c>
      <c r="D76" s="48" t="s">
        <v>219</v>
      </c>
      <c r="E76" s="51"/>
      <c r="F76" s="53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10"/>
    </row>
    <row r="77" spans="1:22">
      <c r="A77" s="47" t="s">
        <v>67</v>
      </c>
      <c r="C77" s="26" t="str">
        <f t="shared" si="0"/>
        <v>&lt;tr&gt;&lt;td width='25' valign='top'&gt;&lt;font color='#FF0000'&gt;&lt;a name=011&gt;&lt;/a&gt;[011.]&lt;/font&gt;&lt;/td&gt;&lt;td width='510'&gt;&lt;strong&gt;Petrov M.,&lt;/strong&gt; &lt;strong&gt;K. Ljakova &lt;/strong&gt;(2001). An Approach for Modelling and Optimisation the Weight of the Chicken from Breed Dekalb-Brown.&lt;em&gt; International Symposium and Young Scientists’ School “Bioprocess Systems”&lt;/em&gt;, 1.10.2001-3.10.2001, Sofia, pp. I.29-I.32&lt;/td&gt;&lt;td width='25' valign='top'&gt;&lt;font color='#FF0000'&gt;Abstr.&lt;/font&gt;&lt;br&gt;&lt;font color='#FF0000'&gt;FT.&lt;/font&gt;&lt;/td&gt;&lt;/tr&gt;</v>
      </c>
      <c r="D77" s="48" t="s">
        <v>220</v>
      </c>
      <c r="E77" s="51"/>
      <c r="F77" s="53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10"/>
    </row>
    <row r="78" spans="1:22">
      <c r="A78" s="47" t="s">
        <v>68</v>
      </c>
      <c r="C78" s="26" t="str">
        <f t="shared" si="0"/>
        <v>&lt;tr&gt;&lt;td width='25' valign='top'&gt;&lt;font color='#FF0000'&gt;&lt;a name=012&gt;&lt;/a&gt;[012.]&lt;/font&gt;&lt;/td&gt;&lt;td width='510'&gt;&lt;strong&gt;Pavlov Y., K. Ljakova &lt;/strong&gt;(2001). Expert Information and Decision Support in Complex Bird Production Systems. &lt;em&gt;International Symposium and Young Scientists’ School “Bioprocess Systems”&lt;/em&gt;, 1.10.2001-3.10.2001, Sofia, pp. I.41-I.44.&lt;/td&gt;&lt;td width='25' valign='top'&gt;&lt;font color='#FF0000'&gt;Abstr.&lt;/font&gt;&lt;br&gt;&lt;font color='#FF0000'&gt;FT.&lt;/font&gt;&lt;/td&gt;&lt;/tr&gt;</v>
      </c>
      <c r="D78" s="48" t="s">
        <v>221</v>
      </c>
      <c r="E78" s="51"/>
      <c r="F78" s="53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10"/>
    </row>
    <row r="79" spans="1:22">
      <c r="A79" s="47" t="s">
        <v>69</v>
      </c>
      <c r="C79" s="26" t="str">
        <f t="shared" si="0"/>
        <v>&lt;tr&gt;&lt;td width='25' valign='top'&gt;&lt;font color='#FF0000'&gt;&lt;a name=013&gt;&lt;/a&gt;[013.]&lt;/font&gt;&lt;/td&gt;&lt;td width='510'&gt;&lt;strong&gt;Ilkova T., K. Ljakova, M. Petrov &lt;/strong&gt;(2001). Several Optimization Procedures Applicable in Bird Production. &lt;em&gt;International Symposium and Young Scientists’ School “Bioprocess Systems”&lt;/em&gt;, 1.10.2001-3.10.2001, Sofia, pp.I.25-I.28.&lt;/td&gt;&lt;td width='25' valign='top'&gt;&lt;font color='#FF0000'&gt;Abstr.&lt;/font&gt;&lt;br&gt;&lt;font color='#FF0000'&gt;FT.&lt;/font&gt;&lt;/td&gt;&lt;/tr&gt;</v>
      </c>
      <c r="D79" s="48" t="s">
        <v>222</v>
      </c>
      <c r="E79" s="51"/>
      <c r="F79" s="53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10"/>
    </row>
    <row r="80" spans="1:22">
      <c r="A80" s="47" t="s">
        <v>70</v>
      </c>
      <c r="C80" s="26" t="str">
        <f t="shared" si="0"/>
        <v>&lt;tr&gt;&lt;td width='25' valign='top'&gt;&lt;font color='#FF0000'&gt;&lt;a name=014&gt;&lt;/a&gt;[014.]&lt;/font&gt;&lt;/td&gt;&lt;td width='510'&gt;&lt;strong&gt;Pavlov Y., K. Ljakova&lt;/strong&gt; (2001).  Utility Assessment in Complex Systems. &lt;em&gt;International Conference Automatics and Informatics&lt;/em&gt;, 31 May – 2 June 2001, Sofia, pp. A-151-A.154.&lt;/td&gt;&lt;td width='25' valign='top'&gt;&lt;font color='#FF0000'&gt;Abstr.&lt;/font&gt;&lt;br&gt;&lt;font color='#FF0000'&gt;FT.&lt;/font&gt;&lt;/td&gt;&lt;/tr&gt;</v>
      </c>
      <c r="D80" s="48" t="s">
        <v>223</v>
      </c>
      <c r="E80" s="51"/>
      <c r="F80" s="53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10"/>
    </row>
    <row r="81" spans="1:22">
      <c r="A81" s="47" t="s">
        <v>71</v>
      </c>
      <c r="C81" s="26" t="str">
        <f t="shared" si="0"/>
        <v>&lt;tr&gt;&lt;td width='25' valign='top'&gt;&lt;font color='#FF0000'&gt;&lt;a name=015&gt;&lt;/a&gt;[015.]&lt;/font&gt;&lt;/td&gt;&lt;td width='510'&gt;&lt;strong&gt;Ljakova K., M. Petrov&lt;/strong&gt;. (2001). An Approach for Modeling of Chickens’ Growth Breed DEKALB-Brown. &lt;em&gt;Biotechnol. &amp; Biotechnol. Eq., &lt;/em&gt;15(1), pp.113-118&lt;/td&gt;&lt;td width='25' valign='top'&gt;&lt;font color='#FF0000'&gt;Abstr.&lt;/font&gt;&lt;br&gt;&lt;font color='#FF0000'&gt;FT.&lt;/font&gt;&lt;/td&gt;&lt;/tr&gt;</v>
      </c>
      <c r="D81" s="48" t="s">
        <v>224</v>
      </c>
      <c r="E81" s="51"/>
      <c r="F81" s="53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10"/>
    </row>
    <row r="82" spans="1:22">
      <c r="A82" s="47" t="s">
        <v>75</v>
      </c>
      <c r="C82" s="26" t="str">
        <f t="shared" si="0"/>
        <v>&lt;tr&gt;&lt;td width='25' valign='top'&gt;&lt;font color='#FF0000'&gt;&lt;a name=016&gt;&lt;/a&gt;[016.]&lt;/font&gt;&lt;/td&gt;&lt;td width='510'&gt;&lt;strong&gt;Petrov M.,&lt;/strong&gt; &lt;strong&gt;K. Ljakova &lt;/strong&gt;(2001). An Approach for Modelling and Optimisation the Weight of the Chicken from Breed Dekalb-Brown.&lt;em&gt; International Symposium and Young Scientists’ School “Bioprocess Systems”&lt;/em&gt;, 1.10.2001-3.10.2001, Sofia, pp. I.29-I.32&lt;/td&gt;&lt;td width='25' valign='top'&gt;&lt;font color='#FF0000'&gt;Abstr.&lt;/font&gt;&lt;br&gt;&lt;font color='#FF0000'&gt;FT.&lt;/font&gt;&lt;/td&gt;&lt;/tr&gt;</v>
      </c>
      <c r="D82" s="48" t="s">
        <v>220</v>
      </c>
      <c r="E82" s="51"/>
      <c r="F82" s="53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10"/>
    </row>
    <row r="83" spans="1:22">
      <c r="A83" s="47" t="s">
        <v>76</v>
      </c>
      <c r="C83" s="26" t="str">
        <f t="shared" si="0"/>
        <v>&lt;tr&gt;&lt;td width='25' valign='top'&gt;&lt;font color='#FF0000'&gt;&lt;a name=017&gt;&lt;/a&gt;[017.]&lt;/font&gt;&lt;/td&gt;&lt;td width='510'&gt;&lt;strong&gt;Pavlov Y., K. Ljakova &lt;/strong&gt;(2001). Expert Information and Decision Support in Complex Bird Production Systems. &lt;em&gt;International Symposium and Young Scientists’ School “Bioprocess Systems”&lt;/em&gt;, 1.10.2001-3.10.2001, Sofia, pp. I.41-I.44.&lt;/td&gt;&lt;td width='25' valign='top'&gt;&lt;font color='#FF0000'&gt;Abstr.&lt;/font&gt;&lt;br&gt;&lt;font color='#FF0000'&gt;FT.&lt;/font&gt;&lt;/td&gt;&lt;/tr&gt;</v>
      </c>
      <c r="D83" s="48" t="s">
        <v>221</v>
      </c>
      <c r="E83" s="51"/>
      <c r="F83" s="53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10"/>
    </row>
    <row r="84" spans="1:22">
      <c r="A84" s="47" t="s">
        <v>77</v>
      </c>
      <c r="C84" s="26" t="str">
        <f t="shared" si="0"/>
        <v>&lt;tr&gt;&lt;td width='25' valign='top'&gt;&lt;font color='#FF0000'&gt;&lt;a name=018&gt;&lt;/a&gt;[018.]&lt;/font&gt;&lt;/td&gt;&lt;td width='510'&gt;&lt;strong&gt;Ljakova K &lt;/strong&gt;(2000). An Algorithm for Prognosis of Live Weight of Broilers in Bird Production. &lt;em&gt;Biotechnol. &amp; Biotechnol. Eq., &lt;/em&gt;14(1), pp.120-123.&lt;/td&gt;&lt;td width='25' valign='top'&gt;&lt;font color='#FF0000'&gt;Abstr.&lt;/font&gt;&lt;br&gt;&lt;font color='#FF0000'&gt;FT.&lt;/font&gt;&lt;/td&gt;&lt;/tr&gt;</v>
      </c>
      <c r="D84" s="48" t="s">
        <v>225</v>
      </c>
      <c r="E84" s="51"/>
      <c r="F84" s="53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10"/>
    </row>
    <row r="85" spans="1:22">
      <c r="A85" s="47" t="s">
        <v>78</v>
      </c>
      <c r="C85" s="26" t="str">
        <f t="shared" si="0"/>
        <v>&lt;tr&gt;&lt;td width='25' valign='top'&gt;&lt;font color='#FF0000'&gt;&lt;a name=019&gt;&lt;/a&gt;[019.]&lt;/font&gt;&lt;/td&gt;&lt;td width='510'&gt;&lt;strong&gt;Pavlov Y., K. Ljakova, St. Tzonkov &lt;/strong&gt;(2000). Mathematical Prediction in Bird’s Production: &lt;em&gt;Methods and Problems&lt;/em&gt;. &lt;em&gt;International Symposium and Young Scientists’ School “Bioprocess Systems”&lt;/em&gt;, 11.09.2000-13.09.2000, Sofia, pp. II.29-II.32.&lt;/td&gt;&lt;td width='25' valign='top'&gt;&lt;font color='#FF0000'&gt;Abstr.&lt;/font&gt;&lt;br&gt;&lt;font color='#FF0000'&gt;FT.&lt;/font&gt;&lt;/td&gt;&lt;/tr&gt;</v>
      </c>
      <c r="D85" s="48" t="s">
        <v>226</v>
      </c>
      <c r="E85" s="51"/>
      <c r="F85" s="53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10"/>
    </row>
    <row r="86" spans="1:22">
      <c r="A86" s="47" t="s">
        <v>79</v>
      </c>
      <c r="C86" s="26" t="str">
        <f t="shared" si="0"/>
        <v>&lt;tr&gt;&lt;td width='25' valign='top'&gt;&lt;font color='#FF0000'&gt;&lt;a name=020&gt;&lt;/a&gt;[020.]&lt;/font&gt;&lt;/td&gt;&lt;td width='510'&gt;&lt;strong&gt;Ljakova K &lt;/strong&gt;(2000). An algorithm for calculation the prime cost of eggs in Bulgaria. - In: &lt;em&gt;International Simposium "Bioprocess Systems'2000",&lt;/em&gt; 30,09 -2,10,2000, pp. II.21 - II.24&lt;/td&gt;&lt;td width='25' valign='top'&gt;&lt;font color='#FF0000'&gt;Abstr.&lt;/font&gt;&lt;br&gt;&lt;font color='#FF0000'&gt;FT.&lt;/font&gt;&lt;/td&gt;&lt;/tr&gt;</v>
      </c>
      <c r="D86" s="48" t="s">
        <v>227</v>
      </c>
      <c r="E86" s="51"/>
      <c r="F86" s="53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10"/>
    </row>
    <row r="87" spans="1:22">
      <c r="A87" s="47" t="s">
        <v>250</v>
      </c>
      <c r="C87" s="26" t="str">
        <f t="shared" si="0"/>
        <v>&lt;tr&gt;&lt;td width='25' valign='top'&gt;&lt;font color='#FF0000'&gt;&lt;a name=021&gt;&lt;/a&gt;[021.]&lt;/font&gt;&lt;/td&gt;&lt;td width='510'&gt;&lt;strong&gt;Ljakova K &lt;/strong&gt;(2000). An Algorithm for Calculation the Prime Cost of Eggs in Bulgaria. &lt;em&gt;International Symposium and Young Scientists’ School “Bioprocess Systems”&lt;/em&gt;, 11.09.2000-13.09.2000, Sofia, pp. II.21-II.24.&lt;/td&gt;&lt;td width='25' valign='top'&gt;&lt;font color='#FF0000'&gt;Abstr.&lt;/font&gt;&lt;br&gt;&lt;font color='#FF0000'&gt;FT.&lt;/font&gt;&lt;/td&gt;&lt;/tr&gt;</v>
      </c>
      <c r="D87" s="48" t="s">
        <v>228</v>
      </c>
      <c r="E87" s="52"/>
      <c r="F87" s="54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10"/>
    </row>
    <row r="88" spans="1:22">
      <c r="A88" s="47" t="s">
        <v>251</v>
      </c>
      <c r="C88" s="26" t="str">
        <f t="shared" si="0"/>
        <v>&lt;tr&gt;&lt;td width='25' valign='top'&gt;&lt;font color='#FF0000'&gt;&lt;a name=022&gt;&lt;/a&gt;[022.]&lt;/font&gt;&lt;/td&gt;&lt;td width='510'&gt;&lt;strong&gt;Petrov M.,&lt;/strong&gt; &lt;strong&gt;K. Ljakova &lt;/strong&gt;(2000). Optimization the Weight of the Chicken Form Breed DEKALB-Brown. &lt;em&gt;International Symposium and Young Scientists’ School “Bioprocess Systems”&lt;/em&gt;, 11.09.2000-13.09.2000, Sofia, pp. II.33-II.36.&lt;/td&gt;&lt;td width='25' valign='top'&gt;&lt;font color='#FF0000'&gt;Abstr.&lt;/font&gt;&lt;br&gt;&lt;font color='#FF0000'&gt;FT.&lt;/font&gt;&lt;/td&gt;&lt;/tr&gt;</v>
      </c>
      <c r="D88" s="48" t="s">
        <v>229</v>
      </c>
      <c r="E88" s="52"/>
      <c r="F88" s="54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10"/>
    </row>
    <row r="89" spans="1:22">
      <c r="A89" s="47" t="s">
        <v>252</v>
      </c>
      <c r="C89" s="26" t="str">
        <f t="shared" si="0"/>
        <v>&lt;tr&gt;&lt;td width='25' valign='top'&gt;&lt;font color='#FF0000'&gt;&lt;a name=023&gt;&lt;/a&gt;[023.]&lt;/font&gt;&lt;/td&gt;&lt;td width='510'&gt;&lt;strong&gt;Hristova T.&lt;/strong&gt;, &lt;strong&gt;K. Ljakova, M. Petrov &lt;/strong&gt;(2000). Optimization Influence of Temperature Regime for Some Factors in Bird Production. &lt;em&gt;International Symposium and Yonug Scientists’ School “Bioprocess Systems”&lt;/em&gt;, 11.09.2000-13.09.2000, Sofia, pp. II.25-II.28.&lt;/td&gt;&lt;td width='25' valign='top'&gt;&lt;font color='#FF0000'&gt;Abstr.&lt;/font&gt;&lt;br&gt;&lt;font color='#FF0000'&gt;FT.&lt;/font&gt;&lt;/td&gt;&lt;/tr&gt;</v>
      </c>
      <c r="D89" s="48" t="s">
        <v>230</v>
      </c>
      <c r="E89" s="52"/>
      <c r="F89" s="54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10"/>
    </row>
    <row r="90" spans="1:22">
      <c r="A90" s="47" t="s">
        <v>253</v>
      </c>
      <c r="C90" s="26" t="str">
        <f t="shared" si="0"/>
        <v>&lt;tr&gt;&lt;td width='25' valign='top'&gt;&lt;font color='#FF0000'&gt;&lt;a name=024&gt;&lt;/a&gt;[024.]&lt;/font&gt;&lt;/td&gt;&lt;td width='510'&gt;&lt;strong&gt;Ljakova K., T. Hristova &lt;/strong&gt;(2000). Development of Data Base for Control of New Type Poultry-Farming. &lt;em&gt;International Symposium and Yonug Scientists’ School “Bioprocess Systems”&lt;/em&gt;, 11.09.2000-13.09.2000, Sofia, pp. II.37-II.41.&lt;/td&gt;&lt;td width='25' valign='top'&gt;&lt;font color='#FF0000'&gt;Abstr.&lt;/font&gt;&lt;br&gt;&lt;font color='#FF0000'&gt;FT.&lt;/font&gt;&lt;/td&gt;&lt;/tr&gt;</v>
      </c>
      <c r="D90" s="49" t="s">
        <v>231</v>
      </c>
      <c r="E90" s="52"/>
      <c r="F90" s="54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10"/>
    </row>
    <row r="91" spans="1:22">
      <c r="A91" s="47" t="s">
        <v>254</v>
      </c>
      <c r="C91" s="26" t="str">
        <f t="shared" si="0"/>
        <v>&lt;tr&gt;&lt;td width='25' valign='top'&gt;&lt;font color='#FF0000'&gt;&lt;a name=025&gt;&lt;/a&gt;[025.]&lt;/font&gt;&lt;/td&gt;&lt;td width='510'&gt;&lt;strong&gt;Ljakova K., T. Hristova &lt;/strong&gt;(1999). A comparative analysis of soma indicators for ISA-brown and Shaver broilers. - In: &lt;em&gt;International Symposium and Young Scientisis’ School &lt;strong&gt;“Bioprocess Systems’99”&lt;/strong&gt;&lt;/em&gt;, 18.10 - 20.10.1999, pp. I.1 - I.4.&lt;/td&gt;&lt;td width='25' valign='top'&gt;&lt;font color='#FF0000'&gt;Abstr.&lt;/font&gt;&lt;br&gt;&lt;font color='#FF0000'&gt;FT.&lt;/font&gt;&lt;/td&gt;&lt;/tr&gt;</v>
      </c>
      <c r="D91" s="48" t="s">
        <v>232</v>
      </c>
      <c r="E91" s="52"/>
      <c r="F91" s="54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10"/>
    </row>
    <row r="92" spans="1:22">
      <c r="A92" s="47" t="s">
        <v>255</v>
      </c>
      <c r="C92" s="26" t="str">
        <f t="shared" si="0"/>
        <v>&lt;tr&gt;&lt;td width='25' valign='top'&gt;&lt;font color='#FF0000'&gt;&lt;a name=026&gt;&lt;/a&gt;[026.]&lt;/font&gt;&lt;/td&gt;&lt;td width='510'&gt;&lt;strong&gt;Ljakova K., St. Milanov&lt;/strong&gt; (1999). A system for prognosis of life weigth of broilers in birf productien. - In: &lt;em&gt;International Symposium and Young Scientisis’ School &lt;strong&gt;“Bioprocess Systems’99”&lt;/strong&gt;&lt;/em&gt;, 18.10 - 20.10.1999, pp.I.9 - I.12.&lt;/td&gt;&lt;td width='25' valign='top'&gt;&lt;font color='#FF0000'&gt;Abstr.&lt;/font&gt;&lt;br&gt;&lt;font color='#FF0000'&gt;FT.&lt;/font&gt;&lt;/td&gt;&lt;/tr&gt;</v>
      </c>
      <c r="D92" s="48" t="s">
        <v>233</v>
      </c>
      <c r="E92" s="52"/>
      <c r="F92" s="54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10"/>
    </row>
    <row r="93" spans="1:22">
      <c r="A93" s="47" t="s">
        <v>256</v>
      </c>
      <c r="C93" s="26" t="str">
        <f t="shared" si="0"/>
        <v>&lt;tr&gt;&lt;td width='25' valign='top'&gt;&lt;font color='#FF0000'&gt;&lt;a name=027&gt;&lt;/a&gt;[027.]&lt;/font&gt;&lt;/td&gt;&lt;td width='510'&gt;&lt;strong&gt;Milanov St., K. Ljakova&lt;/strong&gt; (1999). An influence of food compoition over live weight of broilers. - In: &lt;em&gt;International Symposium and Young Scientisis’ School&lt;strong&gt; “Bioprocess Systems’99”&lt;/strong&gt;&lt;/em&gt;, 18.10 - 20.10.1999, pp.I.17 - I.20.&lt;/td&gt;&lt;td width='25' valign='top'&gt;&lt;font color='#FF0000'&gt;Abstr.&lt;/font&gt;&lt;br&gt;&lt;font color='#FF0000'&gt;FT.&lt;/font&gt;&lt;/td&gt;&lt;/tr&gt;</v>
      </c>
      <c r="D93" s="48" t="s">
        <v>234</v>
      </c>
      <c r="E93" s="52"/>
      <c r="F93" s="54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10"/>
    </row>
    <row r="94" spans="1:22">
      <c r="A94" s="47" t="s">
        <v>257</v>
      </c>
      <c r="C94" s="26" t="str">
        <f t="shared" si="0"/>
        <v>&lt;tr&gt;&lt;td width='25' valign='top'&gt;&lt;font color='#FF0000'&gt;&lt;a name=028&gt;&lt;/a&gt;[028.]&lt;/font&gt;&lt;/td&gt;&lt;td width='510'&gt;&lt;strong&gt;Ljakova K., M. Petrov&lt;/strong&gt; (1999). A comparative analysis of some indicators for ISA-brown and Dekalb-brown chickens. - In: &lt;em&gt;International Symposium and Young Scientisis’ School &lt;strong&gt;“Bioprocess Systems’99”&lt;/strong&gt;&lt;/em&gt;, 18.10 - 20.10.1999, pp.I.21 - I.24.&lt;/td&gt;&lt;td width='25' valign='top'&gt;&lt;font color='#FF0000'&gt;Abstr.&lt;/font&gt;&lt;br&gt;&lt;font color='#FF0000'&gt;FT.&lt;/font&gt;&lt;/td&gt;&lt;/tr&gt;</v>
      </c>
      <c r="D94" s="48" t="s">
        <v>235</v>
      </c>
      <c r="E94" s="52"/>
      <c r="F94" s="54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10"/>
    </row>
    <row r="95" spans="1:22">
      <c r="A95" s="47" t="s">
        <v>258</v>
      </c>
      <c r="C95" s="26" t="str">
        <f t="shared" si="0"/>
        <v>&lt;tr&gt;&lt;td width='25' valign='top'&gt;&lt;font color='#FF0000'&gt;&lt;a name=029&gt;&lt;/a&gt;[029.]&lt;/font&gt;&lt;/td&gt;&lt;td width='510'&gt;&lt;strong&gt;Ljakova K.&lt;/strong&gt; (1998). Consulting Expert System “BEER” - In: &lt;em&gt;International Symposium and Young Scientisis’ School &lt;strong&gt;“Bioprocess Systems’98”&lt;/strong&gt;&lt;/em&gt;, 30.09 - 02.10.1998, pp.III.9 - III.12.&lt;/td&gt;&lt;td width='25' valign='top'&gt;&lt;font color='#FF0000'&gt;Abstr.&lt;/font&gt;&lt;br&gt;&lt;font color='#FF0000'&gt;FT.&lt;/font&gt;&lt;/td&gt;&lt;/tr&gt;</v>
      </c>
      <c r="D95" s="49" t="s">
        <v>236</v>
      </c>
      <c r="E95" s="52"/>
      <c r="F95" s="54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10"/>
    </row>
    <row r="96" spans="1:22">
      <c r="A96" s="47" t="s">
        <v>259</v>
      </c>
      <c r="C96" s="26" t="str">
        <f t="shared" si="0"/>
        <v>&lt;tr&gt;&lt;td width='25' valign='top'&gt;&lt;font color='#FF0000'&gt;&lt;a name=030&gt;&lt;/a&gt;[030.]&lt;/font&gt;&lt;/td&gt;&lt;td width='510'&gt;&lt;strong&gt;Ljakova K. &lt;/strong&gt;(1998). Information system for research needs in bird production. - In: &lt;em&gt;International Symposium and Young Scientisis’ School &lt;strong&gt;“Bioprocess Systems’98”&lt;/strong&gt;&lt;/em&gt;, 30.09 - 02.10.1998, pp.III.13 - III.16&lt;/td&gt;&lt;td width='25' valign='top'&gt;&lt;font color='#FF0000'&gt;Abstr.&lt;/font&gt;&lt;br&gt;&lt;font color='#FF0000'&gt;FT.&lt;/font&gt;&lt;/td&gt;&lt;/tr&gt;</v>
      </c>
      <c r="D96" s="48" t="s">
        <v>237</v>
      </c>
      <c r="E96" s="52"/>
      <c r="F96" s="54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10"/>
    </row>
    <row r="97" spans="1:22">
      <c r="A97" s="47" t="s">
        <v>260</v>
      </c>
      <c r="C97" s="26" t="str">
        <f t="shared" si="0"/>
        <v>&lt;tr&gt;&lt;td width='25' valign='top'&gt;&lt;font color='#FF0000'&gt;&lt;a name=031&gt;&lt;/a&gt;[031.]&lt;/font&gt;&lt;/td&gt;&lt;td width='510'&gt;&lt;strong&gt;Ljakova K.&lt;/strong&gt; (1998). A specialized data base for needs of -amylases biosynthesis. - In: &lt;em&gt;International Symposium and Young Scientisis’ School &lt;strong&gt;“Bioprocess Systems’98”&lt;/strong&gt;&lt;/em&gt;, 30.09 - 02.10.1998, pp.III.17 - III.19.&lt;/td&gt;&lt;td width='25' valign='top'&gt;&lt;font color='#FF0000'&gt;Abstr.&lt;/font&gt;&lt;br&gt;&lt;font color='#FF0000'&gt;FT.&lt;/font&gt;&lt;/td&gt;&lt;/tr&gt;</v>
      </c>
      <c r="D97" s="48" t="s">
        <v>238</v>
      </c>
      <c r="E97" s="52"/>
      <c r="F97" s="54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10"/>
    </row>
    <row r="98" spans="1:22">
      <c r="A98" s="47" t="s">
        <v>261</v>
      </c>
      <c r="C98" s="26" t="str">
        <f t="shared" si="0"/>
        <v>&lt;tr&gt;&lt;td width='25' valign='top'&gt;&lt;font color='#FF0000'&gt;&lt;a name=032&gt;&lt;/a&gt;[032.]&lt;/font&gt;&lt;/td&gt;&lt;td width='510'&gt;&lt;strong&gt;Ljakova K., T. Hristova&lt;/strong&gt; (1998). Modelling of some factors to exert an influence in microclimate in bird production. - In: &lt;em&gt;International Symposium and Young Scientisis’ School&lt;strong&gt; “Bioprocess Systems’98”&lt;/strong&gt;&lt;/em&gt;, 30.09 - 02.10.1998, pp.II.1 - II.4.&lt;/td&gt;&lt;td width='25' valign='top'&gt;&lt;font color='#FF0000'&gt;Abstr.&lt;/font&gt;&lt;br&gt;&lt;font color='#FF0000'&gt;FT.&lt;/font&gt;&lt;/td&gt;&lt;/tr&gt;</v>
      </c>
      <c r="D98" s="48" t="s">
        <v>239</v>
      </c>
      <c r="E98" s="52"/>
      <c r="F98" s="54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10"/>
    </row>
    <row r="99" spans="1:22">
      <c r="A99" s="47" t="s">
        <v>262</v>
      </c>
      <c r="C99" s="26" t="str">
        <f t="shared" si="0"/>
        <v>&lt;tr&gt;&lt;td width='25' valign='top'&gt;&lt;font color='#FF0000'&gt;&lt;a name=033&gt;&lt;/a&gt;[033.]&lt;/font&gt;&lt;/td&gt;&lt;td width='510'&gt;&lt;strong&gt;Лякова К.&lt;/strong&gt; (1997). Прогнозираща експертна система “Еритромицин”. Автоматика и информатика, 7/8, 28-31.&lt;/td&gt;&lt;td width='25' valign='top'&gt;&lt;font color='#FF0000'&gt;Abstr.&lt;/font&gt;&lt;br&gt;&lt;font color='#FF0000'&gt;FT.&lt;/font&gt;&lt;/td&gt;&lt;/tr&gt;</v>
      </c>
      <c r="D99" s="48" t="s">
        <v>240</v>
      </c>
      <c r="E99" s="52"/>
      <c r="F99" s="54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10"/>
    </row>
    <row r="100" spans="1:22">
      <c r="A100" s="47" t="s">
        <v>263</v>
      </c>
      <c r="C100" s="26" t="str">
        <f t="shared" si="0"/>
        <v>&lt;tr&gt;&lt;td width='25' valign='top'&gt;&lt;font color='#FF0000'&gt;&lt;a name=034&gt;&lt;/a&gt;[034.]&lt;/font&gt;&lt;/td&gt;&lt;td width='510'&gt;&lt;strong&gt;Ljakova K. &lt;/strong&gt;(1997). Special Features in Designing of Specialozed Knowledge Bases in Expert System for Necessities of Bioprocess Systems. - In: &lt;em&gt;International Symposium and Young Scientists' School &lt;strong&gt;"Bioprocess Systems' 97”&lt;/strong&gt;&lt;/em&gt;, Sofia, 14 - 16 October 1997, p.III.1 - III.6.&lt;/td&gt;&lt;td width='25' valign='top'&gt;&lt;font color='#FF0000'&gt;Abstr.&lt;/font&gt;&lt;br&gt;&lt;font color='#FF0000'&gt;FT.&lt;/font&gt;&lt;/td&gt;&lt;/tr&gt;</v>
      </c>
      <c r="D100" s="49" t="s">
        <v>241</v>
      </c>
      <c r="E100" s="52"/>
      <c r="F100" s="54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10"/>
    </row>
    <row r="101" spans="1:22">
      <c r="A101" s="47" t="s">
        <v>264</v>
      </c>
      <c r="C101" s="26" t="str">
        <f t="shared" si="0"/>
        <v>&lt;tr&gt;&lt;td width='25' valign='top'&gt;&lt;font color='#FF0000'&gt;&lt;a name=035&gt;&lt;/a&gt;[035.]&lt;/font&gt;&lt;/td&gt;&lt;td width='510'&gt;&lt;strong&gt;Ljakova K. &lt;/strong&gt;(1997). System for Check-up the Acceptabily of Knowledge in Expert System "LAB". - In: &lt;em&gt;Intenational Symposium and Young Scientists' School &lt;strong&gt;"Bioprocess Systems' 97”&lt;/strong&gt;&lt;/em&gt;, Sofia, 14 - 16 October 1997, p.III.7 - III.9.&lt;/td&gt;&lt;td width='25' valign='top'&gt;&lt;font color='#FF0000'&gt;Abstr.&lt;/font&gt;&lt;br&gt;&lt;font color='#FF0000'&gt;FT.&lt;/font&gt;&lt;/td&gt;&lt;/tr&gt;</v>
      </c>
      <c r="D101" s="48" t="s">
        <v>242</v>
      </c>
      <c r="E101" s="52"/>
      <c r="F101" s="54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10"/>
    </row>
    <row r="102" spans="1:22">
      <c r="A102" s="47" t="s">
        <v>265</v>
      </c>
      <c r="C102" s="26" t="str">
        <f t="shared" si="0"/>
        <v>&lt;tr&gt;&lt;td width='25' valign='top'&gt;&lt;font color='#FF0000'&gt;&lt;a name=036&gt;&lt;/a&gt;[036.]&lt;/font&gt;&lt;/td&gt;&lt;td width='510'&gt;&lt;strong&gt;Nenov R., K. Ljakova, T. Hristova &lt;/strong&gt;(1997). Optimization of Biosynthesis in the Production of Lactic Acid. - In: &lt;em&gt;Intenational Symposium and Young Scientists' School &lt;strong&gt;"Bioprocess Systems' 97”&lt;/strong&gt;&lt;/em&gt;, Sofia, 14 - 16 October 1997, p.III.14 - III.16.&lt;/td&gt;&lt;td width='25' valign='top'&gt;&lt;font color='#FF0000'&gt;Abstr.&lt;/font&gt;&lt;br&gt;&lt;font color='#FF0000'&gt;FT.&lt;/font&gt;&lt;/td&gt;&lt;/tr&gt;</v>
      </c>
      <c r="D102" s="48" t="s">
        <v>243</v>
      </c>
      <c r="E102" s="52"/>
      <c r="F102" s="54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10"/>
    </row>
    <row r="103" spans="1:22">
      <c r="A103" s="47" t="s">
        <v>266</v>
      </c>
      <c r="C103" s="26" t="str">
        <f t="shared" si="0"/>
        <v>&lt;tr&gt;&lt;td width='25' valign='top'&gt;&lt;font color='#FF0000'&gt;&lt;a name=037&gt;&lt;/a&gt;[037.]&lt;/font&gt;&lt;/td&gt;&lt;td width='510'&gt;&lt;strong&gt;Ljakova K., R. Nenov, S. Tzonkov &lt;/strong&gt;(1996). Specialized Data Base for Control of St, Pb and Cd in Egg-Production Ecotechnical Systems. - In: &lt;strong&gt;International Panel Conference on Soft and Intelligent Computing&lt;/strong&gt;, 7 - 10 October 1996, Budapest, Hungary&lt;/td&gt;&lt;td width='25' valign='top'&gt;&lt;font color='#FF0000'&gt;Abstr.&lt;/font&gt;&lt;br&gt;&lt;font color='#FF0000'&gt;FT.&lt;/font&gt;&lt;/td&gt;&lt;/tr&gt;</v>
      </c>
      <c r="D103" s="48" t="s">
        <v>244</v>
      </c>
      <c r="E103" s="52"/>
      <c r="F103" s="54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10"/>
    </row>
    <row r="104" spans="1:22">
      <c r="A104" s="47" t="s">
        <v>267</v>
      </c>
      <c r="C104" s="26" t="str">
        <f t="shared" si="0"/>
        <v>&lt;tr&gt;&lt;td width='25' valign='top'&gt;&lt;font color='#FF0000'&gt;&lt;a name=038&gt;&lt;/a&gt;[038.]&lt;/font&gt;&lt;/td&gt;&lt;td width='510'&gt;&lt;strong&gt;Nenov R., K Ljakova, S. Mileva&lt;/strong&gt; (1996). Prognostic Expert System ''BAS'', 17th International Conference Information Technology Interfaces" ITI95, 13 - 16 June, 1996,  Pula , Croatia&lt;/td&gt;&lt;td width='25' valign='top'&gt;&lt;font color='#FF0000'&gt;Abstr.&lt;/font&gt;&lt;br&gt;&lt;font color='#FF0000'&gt;FT.&lt;/font&gt;&lt;/td&gt;&lt;/tr&gt;</v>
      </c>
      <c r="D104" s="48" t="s">
        <v>245</v>
      </c>
      <c r="E104" s="52"/>
      <c r="F104" s="54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10"/>
    </row>
    <row r="105" spans="1:22">
      <c r="A105" s="47" t="s">
        <v>268</v>
      </c>
      <c r="C105" s="26" t="str">
        <f t="shared" si="0"/>
        <v>&lt;tr&gt;&lt;td width='25' valign='top'&gt;&lt;font color='#FF0000'&gt;&lt;a name=039&gt;&lt;/a&gt;[039.]&lt;/font&gt;&lt;/td&gt;&lt;td width='510'&gt;&lt;strong&gt;Ljakova K., R. Nenov, S. Tzonkov&lt;/strong&gt; (1995). Specialized DATA BASE for Control of Some Chemical Elements in Egg Production Ekotechikal System, 3rd Balkan Conference on Operational Research, 16-19 October, 1995, Tresaloniki, Greece.&lt;/td&gt;&lt;td width='25' valign='top'&gt;&lt;font color='#FF0000'&gt;Abstr.&lt;/font&gt;&lt;br&gt;&lt;font color='#FF0000'&gt;FT.&lt;/font&gt;&lt;/td&gt;&lt;/tr&gt;</v>
      </c>
      <c r="D105" s="49" t="s">
        <v>246</v>
      </c>
      <c r="E105" s="52"/>
      <c r="F105" s="54"/>
    </row>
    <row r="106" spans="1:22">
      <c r="A106" s="47" t="s">
        <v>269</v>
      </c>
      <c r="C106" s="26" t="str">
        <f t="shared" si="0"/>
        <v>&lt;tr&gt;&lt;td width='25' valign='top'&gt;&lt;font color='#FF0000'&gt;&lt;a name=040&gt;&lt;/a&gt;[040.]&lt;/font&gt;&lt;/td&gt;&lt;td width='510'&gt;&lt;strong&gt;Ljakova K., R.Nenov, S.Tzonkov&lt;/strong&gt; (1994). A Prognostic Expert System for Lactic Acid "Pesla". IASTED International conference ARTIFICAL INTELLIGENCE, EXPERT SYSTEMS AND NEURAL NETWORKS, Juli 4-6, 1994, Zurich, Switzerland.&lt;/td&gt;&lt;td width='25' valign='top'&gt;&lt;font color='#FF0000'&gt;Abstr.&lt;/font&gt;&lt;br&gt;&lt;font color='#FF0000'&gt;FT.&lt;/font&gt;&lt;/td&gt;&lt;/tr&gt;</v>
      </c>
      <c r="D106" s="48" t="s">
        <v>247</v>
      </c>
      <c r="E106" s="52"/>
      <c r="F106" s="54"/>
    </row>
    <row r="107" spans="1:22">
      <c r="A107" s="47" t="s">
        <v>270</v>
      </c>
      <c r="C107" s="26" t="str">
        <f t="shared" si="0"/>
        <v>&lt;tr&gt;&lt;td width='25' valign='top'&gt;&lt;font color='#FF0000'&gt;&lt;a name=041&gt;&lt;/a&gt;[041.]&lt;/font&gt;&lt;/td&gt;&lt;td width='510'&gt;&lt;strong&gt;Ljakova K., R. Nenov &lt;/strong&gt;(1993). An Expert System for Lactic Acid Biosynthesis. - Proc. of the I-th IFAC-TYPE Congress on Applied Automatic Systems ETAI'93, September 27-29, 1993, Session AAS/S, 189-190, Ohrid, Makedonia&lt;/td&gt;&lt;td width='25' valign='top'&gt;&lt;font color='#FF0000'&gt;Abstr.&lt;/font&gt;&lt;br&gt;&lt;font color='#FF0000'&gt;FT.&lt;/font&gt;&lt;/td&gt;&lt;/tr&gt;</v>
      </c>
      <c r="D107" s="48" t="s">
        <v>248</v>
      </c>
      <c r="E107" s="52"/>
      <c r="F107" s="54"/>
    </row>
    <row r="108" spans="1:22">
      <c r="A108" s="47" t="s">
        <v>271</v>
      </c>
      <c r="C108" s="26" t="str">
        <f t="shared" si="0"/>
        <v>&lt;tr&gt;&lt;td width='25' valign='top'&gt;&lt;font color='#FF0000'&gt;&lt;a name=042&gt;&lt;/a&gt;[042.]&lt;/font&gt;&lt;/td&gt;&lt;td width='510'&gt;&lt;strong&gt;Ljakova K., M. Petrova&lt;/strong&gt; (1993). An Expert System on the Base of the Fuzzy Model for *- Amylases Biosynthesis. - Second International Congress on the Balkans Union for Fuzzy Systems and Artificial Intelligence, BURSA, 31 August - 5 September, 1993, 129 - 132, Trabzon - Turkey &lt;/td&gt;&lt;td width='25' valign='top'&gt;&lt;font color='#FF0000'&gt;Abstr.&lt;/font&gt;&lt;br&gt;&lt;font color='#FF0000'&gt;FT.&lt;/font&gt;&lt;/td&gt;&lt;/tr&gt;</v>
      </c>
      <c r="D108" s="48" t="s">
        <v>249</v>
      </c>
      <c r="E108" s="52"/>
      <c r="F108" s="54"/>
    </row>
    <row r="109" spans="1:22">
      <c r="C109" s="27" t="s">
        <v>45</v>
      </c>
      <c r="D109" s="48"/>
      <c r="E109" s="52"/>
      <c r="F109" s="54"/>
    </row>
    <row r="110" spans="1:22">
      <c r="A110" s="33"/>
      <c r="C110" s="27" t="s">
        <v>82</v>
      </c>
      <c r="D110" s="49"/>
      <c r="E110" s="52"/>
      <c r="F110" s="54"/>
    </row>
    <row r="111" spans="1:22">
      <c r="A111" s="34"/>
      <c r="C111" s="27" t="s">
        <v>81</v>
      </c>
      <c r="D111" s="48"/>
      <c r="E111" s="52"/>
      <c r="F111" s="54"/>
    </row>
    <row r="112" spans="1:22">
      <c r="C112" s="27" t="s">
        <v>80</v>
      </c>
      <c r="D112" s="48"/>
      <c r="E112" s="52"/>
      <c r="F112" s="54"/>
    </row>
    <row r="113" spans="1:6">
      <c r="D113" s="48"/>
      <c r="E113" s="52"/>
      <c r="F113" s="54"/>
    </row>
    <row r="114" spans="1:6">
      <c r="D114" s="48"/>
      <c r="E114" s="52"/>
      <c r="F114" s="54"/>
    </row>
    <row r="115" spans="1:6">
      <c r="A115" s="33"/>
      <c r="C115" s="25"/>
      <c r="D115" s="49"/>
      <c r="E115" s="52"/>
      <c r="F115" s="54"/>
    </row>
    <row r="116" spans="1:6">
      <c r="A116" s="34"/>
      <c r="C116" s="26"/>
      <c r="D116" s="48"/>
      <c r="E116" s="52"/>
      <c r="F116" s="54"/>
    </row>
    <row r="117" spans="1:6">
      <c r="D117" s="48"/>
      <c r="E117" s="52"/>
      <c r="F117" s="54"/>
    </row>
    <row r="118" spans="1:6">
      <c r="D118" s="48"/>
      <c r="E118" s="52"/>
      <c r="F118" s="54"/>
    </row>
    <row r="119" spans="1:6">
      <c r="D119" s="48"/>
      <c r="E119" s="52"/>
      <c r="F119" s="54"/>
    </row>
    <row r="120" spans="1:6">
      <c r="A120" s="33"/>
      <c r="C120" s="25"/>
      <c r="D120" s="49"/>
      <c r="E120" s="52"/>
      <c r="F120" s="54"/>
    </row>
    <row r="121" spans="1:6">
      <c r="A121" s="34"/>
      <c r="C121" s="26"/>
      <c r="D121" s="48"/>
      <c r="E121" s="52"/>
      <c r="F121" s="54"/>
    </row>
    <row r="122" spans="1:6">
      <c r="D122" s="48"/>
      <c r="E122" s="52"/>
      <c r="F122" s="54"/>
    </row>
    <row r="123" spans="1:6">
      <c r="D123" s="48"/>
      <c r="E123" s="52"/>
      <c r="F123" s="54"/>
    </row>
    <row r="124" spans="1:6">
      <c r="D124" s="48"/>
      <c r="E124" s="52"/>
      <c r="F124" s="54"/>
    </row>
    <row r="125" spans="1:6">
      <c r="A125" s="33"/>
      <c r="C125" s="25"/>
      <c r="D125" s="49"/>
      <c r="E125" s="52"/>
      <c r="F125" s="54"/>
    </row>
    <row r="126" spans="1:6">
      <c r="A126" s="34"/>
      <c r="C126" s="26"/>
      <c r="D126" s="48"/>
      <c r="E126" s="52"/>
      <c r="F126" s="54"/>
    </row>
    <row r="127" spans="1:6">
      <c r="D127" s="48"/>
      <c r="E127" s="52"/>
      <c r="F127" s="54"/>
    </row>
    <row r="128" spans="1:6">
      <c r="D128" s="48"/>
      <c r="E128" s="52"/>
      <c r="F128" s="54"/>
    </row>
    <row r="129" spans="1:6">
      <c r="D129" s="48"/>
      <c r="E129" s="52"/>
      <c r="F129" s="54"/>
    </row>
    <row r="130" spans="1:6">
      <c r="A130" s="33"/>
      <c r="C130" s="25"/>
      <c r="D130" s="49"/>
      <c r="E130" s="52"/>
      <c r="F130" s="54"/>
    </row>
    <row r="131" spans="1:6">
      <c r="A131" s="34"/>
      <c r="C131" s="26"/>
      <c r="D131" s="48"/>
      <c r="E131" s="52"/>
      <c r="F131" s="54"/>
    </row>
    <row r="132" spans="1:6">
      <c r="D132" s="48"/>
      <c r="E132" s="52"/>
      <c r="F132" s="54"/>
    </row>
    <row r="133" spans="1:6">
      <c r="D133" s="48"/>
      <c r="E133" s="52"/>
      <c r="F133" s="54"/>
    </row>
    <row r="134" spans="1:6">
      <c r="D134" s="48"/>
      <c r="E134" s="52"/>
      <c r="F134" s="54"/>
    </row>
    <row r="135" spans="1:6">
      <c r="A135" s="33"/>
      <c r="C135" s="25"/>
      <c r="D135" s="49"/>
      <c r="E135" s="52"/>
      <c r="F135" s="54"/>
    </row>
    <row r="136" spans="1:6">
      <c r="A136" s="34"/>
      <c r="C136" s="26"/>
      <c r="D136" s="48"/>
      <c r="E136" s="52"/>
      <c r="F136" s="54"/>
    </row>
    <row r="137" spans="1:6">
      <c r="D137" s="48"/>
      <c r="E137" s="52"/>
      <c r="F137" s="54"/>
    </row>
    <row r="138" spans="1:6">
      <c r="D138" s="48"/>
      <c r="E138" s="52"/>
      <c r="F138" s="54"/>
    </row>
    <row r="139" spans="1:6">
      <c r="D139" s="48"/>
      <c r="E139" s="52"/>
      <c r="F139" s="54"/>
    </row>
    <row r="140" spans="1:6">
      <c r="A140" s="33"/>
      <c r="C140" s="25"/>
      <c r="D140" s="49"/>
      <c r="E140" s="52"/>
      <c r="F140" s="54"/>
    </row>
    <row r="141" spans="1:6">
      <c r="A141" s="34"/>
      <c r="C141" s="26"/>
      <c r="D141" s="48"/>
      <c r="E141" s="52"/>
      <c r="F141" s="54"/>
    </row>
    <row r="142" spans="1:6">
      <c r="D142" s="48"/>
      <c r="E142" s="52"/>
      <c r="F142" s="54"/>
    </row>
    <row r="143" spans="1:6">
      <c r="D143" s="48"/>
      <c r="E143" s="52"/>
      <c r="F143" s="54"/>
    </row>
    <row r="144" spans="1:6">
      <c r="D144" s="48"/>
      <c r="E144" s="52"/>
      <c r="F144" s="54"/>
    </row>
    <row r="145" spans="1:6">
      <c r="A145" s="33"/>
      <c r="C145" s="25"/>
      <c r="D145" s="49"/>
      <c r="E145" s="52"/>
      <c r="F145" s="54"/>
    </row>
    <row r="146" spans="1:6">
      <c r="A146" s="34"/>
      <c r="C146" s="26"/>
      <c r="D146" s="48"/>
      <c r="E146" s="52"/>
      <c r="F146" s="54"/>
    </row>
    <row r="147" spans="1:6">
      <c r="D147" s="48"/>
      <c r="E147" s="52"/>
      <c r="F147" s="54"/>
    </row>
    <row r="148" spans="1:6">
      <c r="D148" s="48"/>
      <c r="E148" s="52"/>
      <c r="F148" s="54"/>
    </row>
    <row r="149" spans="1:6">
      <c r="D149" s="48"/>
      <c r="E149" s="52"/>
      <c r="F149" s="54"/>
    </row>
    <row r="150" spans="1:6">
      <c r="A150" s="33"/>
      <c r="C150" s="25"/>
      <c r="D150" s="49"/>
      <c r="E150" s="52"/>
      <c r="F150" s="54"/>
    </row>
    <row r="151" spans="1:6">
      <c r="A151" s="34"/>
      <c r="C151" s="26"/>
      <c r="D151" s="48"/>
      <c r="E151" s="52"/>
      <c r="F151" s="54"/>
    </row>
    <row r="152" spans="1:6">
      <c r="D152" s="48"/>
      <c r="E152" s="52"/>
      <c r="F152" s="54"/>
    </row>
    <row r="153" spans="1:6">
      <c r="D153" s="48"/>
      <c r="E153" s="52"/>
      <c r="F153" s="54"/>
    </row>
    <row r="154" spans="1:6">
      <c r="D154" s="48"/>
      <c r="E154" s="52"/>
      <c r="F154" s="54"/>
    </row>
    <row r="155" spans="1:6">
      <c r="A155" s="33"/>
      <c r="C155" s="25"/>
      <c r="D155" s="49"/>
      <c r="E155" s="52"/>
      <c r="F155" s="54"/>
    </row>
    <row r="156" spans="1:6">
      <c r="A156" s="34"/>
      <c r="C156" s="26"/>
      <c r="D156" s="48"/>
      <c r="E156" s="52"/>
      <c r="F156" s="54"/>
    </row>
    <row r="157" spans="1:6">
      <c r="D157" s="48"/>
      <c r="E157" s="52"/>
      <c r="F157" s="54"/>
    </row>
    <row r="158" spans="1:6">
      <c r="D158" s="48"/>
      <c r="E158" s="52"/>
      <c r="F158" s="54"/>
    </row>
    <row r="159" spans="1:6">
      <c r="D159" s="48"/>
      <c r="E159" s="52"/>
      <c r="F159" s="54"/>
    </row>
    <row r="160" spans="1:6">
      <c r="D160" s="48"/>
      <c r="E160" s="52"/>
      <c r="F160" s="54"/>
    </row>
    <row r="161" spans="4:6">
      <c r="D161" s="48"/>
      <c r="E161" s="52"/>
      <c r="F161" s="54"/>
    </row>
    <row r="162" spans="4:6">
      <c r="D162" s="48"/>
      <c r="E162" s="52"/>
      <c r="F162" s="54"/>
    </row>
    <row r="163" spans="4:6">
      <c r="D163" s="48"/>
      <c r="E163" s="52"/>
      <c r="F163" s="54"/>
    </row>
    <row r="164" spans="4:6">
      <c r="D164" s="48"/>
      <c r="E164" s="52"/>
      <c r="F164" s="54"/>
    </row>
    <row r="165" spans="4:6">
      <c r="D165" s="48"/>
      <c r="E165" s="52"/>
      <c r="F165" s="54"/>
    </row>
    <row r="166" spans="4:6">
      <c r="D166" s="48"/>
      <c r="E166" s="52"/>
      <c r="F166" s="54"/>
    </row>
    <row r="167" spans="4:6">
      <c r="D167" s="48"/>
      <c r="E167" s="52"/>
      <c r="F167" s="54"/>
    </row>
    <row r="168" spans="4:6">
      <c r="D168" s="48"/>
      <c r="E168" s="52"/>
      <c r="F168" s="54"/>
    </row>
    <row r="169" spans="4:6">
      <c r="D169" s="48"/>
      <c r="E169" s="52"/>
      <c r="F169" s="54"/>
    </row>
    <row r="170" spans="4:6">
      <c r="D170" s="48"/>
      <c r="E170" s="52"/>
      <c r="F170" s="54"/>
    </row>
    <row r="171" spans="4:6">
      <c r="D171" s="48"/>
      <c r="E171" s="52"/>
      <c r="F171" s="54"/>
    </row>
    <row r="172" spans="4:6">
      <c r="D172" s="48"/>
      <c r="E172" s="52"/>
      <c r="F172" s="54"/>
    </row>
    <row r="173" spans="4:6">
      <c r="D173" s="48"/>
      <c r="E173" s="52"/>
      <c r="F173" s="54"/>
    </row>
    <row r="174" spans="4:6">
      <c r="D174" s="48"/>
      <c r="E174" s="52"/>
      <c r="F174" s="54"/>
    </row>
    <row r="175" spans="4:6">
      <c r="D175" s="48"/>
      <c r="E175" s="52"/>
      <c r="F175" s="54"/>
    </row>
    <row r="176" spans="4:6">
      <c r="D176" s="48"/>
      <c r="E176" s="52"/>
      <c r="F176" s="54"/>
    </row>
    <row r="177" spans="4:6">
      <c r="D177" s="48"/>
      <c r="E177" s="52"/>
      <c r="F177" s="54"/>
    </row>
    <row r="178" spans="4:6">
      <c r="D178" s="48"/>
      <c r="E178" s="52"/>
      <c r="F178" s="54"/>
    </row>
    <row r="179" spans="4:6">
      <c r="D179" s="48"/>
      <c r="E179" s="52"/>
      <c r="F179" s="54"/>
    </row>
    <row r="180" spans="4:6">
      <c r="D180" s="48"/>
      <c r="E180" s="52"/>
      <c r="F180" s="54"/>
    </row>
    <row r="181" spans="4:6">
      <c r="D181" s="48"/>
      <c r="E181" s="52"/>
      <c r="F181" s="54"/>
    </row>
    <row r="182" spans="4:6">
      <c r="D182" s="48"/>
      <c r="E182" s="52"/>
      <c r="F182" s="54"/>
    </row>
    <row r="183" spans="4:6">
      <c r="D183" s="48"/>
      <c r="E183" s="52"/>
      <c r="F183" s="54"/>
    </row>
    <row r="184" spans="4:6">
      <c r="D184" s="48"/>
      <c r="E184" s="52"/>
      <c r="F184" s="54"/>
    </row>
    <row r="185" spans="4:6">
      <c r="D185" s="48"/>
      <c r="E185" s="52"/>
      <c r="F185" s="54"/>
    </row>
    <row r="186" spans="4:6">
      <c r="D186" s="48"/>
      <c r="E186" s="52"/>
      <c r="F186" s="54"/>
    </row>
    <row r="187" spans="4:6">
      <c r="D187" s="48"/>
      <c r="E187" s="52"/>
      <c r="F187" s="54"/>
    </row>
    <row r="188" spans="4:6">
      <c r="D188" s="48"/>
      <c r="E188" s="52"/>
      <c r="F188" s="54"/>
    </row>
    <row r="189" spans="4:6">
      <c r="D189" s="48"/>
      <c r="E189" s="52"/>
      <c r="F189" s="54"/>
    </row>
    <row r="190" spans="4:6">
      <c r="D190" s="48"/>
      <c r="E190" s="52"/>
      <c r="F190" s="54"/>
    </row>
    <row r="191" spans="4:6">
      <c r="D191" s="48"/>
      <c r="E191" s="52"/>
      <c r="F191" s="54"/>
    </row>
    <row r="192" spans="4:6">
      <c r="D192" s="48"/>
      <c r="E192" s="52"/>
      <c r="F192" s="54"/>
    </row>
    <row r="193" spans="4:6">
      <c r="D193" s="48"/>
      <c r="E193" s="52"/>
      <c r="F193" s="54"/>
    </row>
    <row r="194" spans="4:6">
      <c r="D194" s="48"/>
      <c r="E194" s="52"/>
      <c r="F194" s="54"/>
    </row>
    <row r="195" spans="4:6">
      <c r="D195" s="48"/>
      <c r="E195" s="52"/>
      <c r="F195" s="54"/>
    </row>
    <row r="196" spans="4:6">
      <c r="D196" s="48"/>
      <c r="E196" s="52"/>
      <c r="F196" s="54"/>
    </row>
    <row r="197" spans="4:6">
      <c r="D197" s="48"/>
      <c r="E197" s="52"/>
      <c r="F197" s="54"/>
    </row>
    <row r="198" spans="4:6">
      <c r="D198" s="48"/>
      <c r="E198" s="52"/>
      <c r="F198" s="54"/>
    </row>
    <row r="199" spans="4:6">
      <c r="D199" s="48"/>
      <c r="E199" s="52"/>
      <c r="F199" s="54"/>
    </row>
    <row r="200" spans="4:6">
      <c r="D200" s="48"/>
      <c r="E200" s="52"/>
      <c r="F200" s="54"/>
    </row>
    <row r="201" spans="4:6">
      <c r="D201" s="48"/>
      <c r="E201" s="52"/>
      <c r="F201" s="54"/>
    </row>
    <row r="202" spans="4:6">
      <c r="D202" s="48"/>
      <c r="E202" s="52"/>
      <c r="F202" s="54"/>
    </row>
    <row r="203" spans="4:6">
      <c r="D203" s="48"/>
      <c r="E203" s="52"/>
      <c r="F203" s="54"/>
    </row>
    <row r="204" spans="4:6">
      <c r="D204" s="48"/>
      <c r="E204" s="52"/>
      <c r="F204" s="54"/>
    </row>
    <row r="205" spans="4:6">
      <c r="D205" s="48"/>
      <c r="E205" s="52"/>
      <c r="F205" s="54"/>
    </row>
    <row r="206" spans="4:6">
      <c r="D206" s="48"/>
      <c r="E206" s="52"/>
      <c r="F206" s="54"/>
    </row>
    <row r="207" spans="4:6">
      <c r="D207" s="48"/>
      <c r="E207" s="52"/>
      <c r="F207" s="54"/>
    </row>
    <row r="208" spans="4:6">
      <c r="D208" s="48"/>
      <c r="E208" s="52"/>
      <c r="F208" s="54"/>
    </row>
    <row r="209" spans="4:6">
      <c r="D209" s="48"/>
      <c r="E209" s="52"/>
      <c r="F209" s="54"/>
    </row>
    <row r="210" spans="4:6">
      <c r="D210" s="48"/>
      <c r="E210" s="52"/>
      <c r="F210" s="54"/>
    </row>
    <row r="211" spans="4:6">
      <c r="D211" s="48"/>
      <c r="E211" s="52"/>
      <c r="F211" s="54"/>
    </row>
    <row r="212" spans="4:6">
      <c r="D212" s="48"/>
      <c r="E212" s="52"/>
      <c r="F212" s="54"/>
    </row>
    <row r="213" spans="4:6">
      <c r="D213" s="48"/>
      <c r="E213" s="52"/>
      <c r="F213" s="54"/>
    </row>
    <row r="214" spans="4:6">
      <c r="D214" s="48"/>
      <c r="E214" s="52"/>
      <c r="F214" s="54"/>
    </row>
    <row r="215" spans="4:6">
      <c r="D215" s="48"/>
      <c r="E215" s="52"/>
      <c r="F215" s="54"/>
    </row>
    <row r="216" spans="4:6">
      <c r="D216" s="48"/>
      <c r="E216" s="52"/>
      <c r="F216" s="54"/>
    </row>
    <row r="217" spans="4:6">
      <c r="D217" s="48"/>
      <c r="E217" s="52"/>
      <c r="F217" s="54"/>
    </row>
    <row r="218" spans="4:6">
      <c r="D218" s="48"/>
      <c r="E218" s="52"/>
      <c r="F218" s="54"/>
    </row>
    <row r="219" spans="4:6">
      <c r="D219" s="48"/>
      <c r="E219" s="52"/>
      <c r="F219" s="54"/>
    </row>
    <row r="220" spans="4:6">
      <c r="D220" s="48"/>
      <c r="E220" s="52"/>
      <c r="F220" s="54"/>
    </row>
    <row r="221" spans="4:6">
      <c r="D221" s="48"/>
      <c r="E221" s="52"/>
      <c r="F221" s="54"/>
    </row>
    <row r="222" spans="4:6">
      <c r="D222" s="48"/>
      <c r="E222" s="52"/>
      <c r="F222" s="54"/>
    </row>
    <row r="223" spans="4:6">
      <c r="D223" s="48"/>
      <c r="E223" s="52"/>
      <c r="F223" s="54"/>
    </row>
    <row r="224" spans="4:6">
      <c r="D224" s="48"/>
      <c r="E224" s="52"/>
      <c r="F224" s="54"/>
    </row>
    <row r="225" spans="4:6">
      <c r="D225" s="48"/>
      <c r="E225" s="52"/>
      <c r="F225" s="54"/>
    </row>
    <row r="226" spans="4:6">
      <c r="D226" s="48"/>
      <c r="E226" s="52"/>
      <c r="F226" s="54"/>
    </row>
    <row r="227" spans="4:6">
      <c r="D227" s="48"/>
      <c r="E227" s="52"/>
      <c r="F227" s="54"/>
    </row>
    <row r="228" spans="4:6">
      <c r="D228" s="48"/>
      <c r="E228" s="52"/>
      <c r="F228" s="54"/>
    </row>
    <row r="229" spans="4:6">
      <c r="D229" s="48"/>
      <c r="E229" s="52"/>
      <c r="F229" s="54"/>
    </row>
    <row r="230" spans="4:6">
      <c r="D230" s="48"/>
      <c r="E230" s="52"/>
      <c r="F230" s="54"/>
    </row>
    <row r="231" spans="4:6">
      <c r="D231" s="48"/>
      <c r="E231" s="52"/>
      <c r="F231" s="54"/>
    </row>
    <row r="232" spans="4:6">
      <c r="D232" s="48"/>
      <c r="E232" s="52"/>
      <c r="F232" s="54"/>
    </row>
    <row r="233" spans="4:6">
      <c r="D233" s="48"/>
      <c r="E233" s="52"/>
      <c r="F233" s="54"/>
    </row>
    <row r="234" spans="4:6">
      <c r="D234" s="48"/>
      <c r="E234" s="52"/>
      <c r="F234" s="54"/>
    </row>
    <row r="235" spans="4:6">
      <c r="D235" s="48"/>
      <c r="E235" s="52"/>
      <c r="F235" s="54"/>
    </row>
    <row r="236" spans="4:6">
      <c r="D236" s="48"/>
      <c r="E236" s="52"/>
      <c r="F236" s="54"/>
    </row>
    <row r="237" spans="4:6">
      <c r="D237" s="48"/>
      <c r="E237" s="52"/>
      <c r="F237" s="54"/>
    </row>
    <row r="238" spans="4:6">
      <c r="D238" s="48"/>
      <c r="E238" s="52"/>
      <c r="F238" s="54"/>
    </row>
    <row r="239" spans="4:6">
      <c r="D239" s="48"/>
      <c r="E239" s="52"/>
      <c r="F239" s="54"/>
    </row>
    <row r="240" spans="4:6">
      <c r="D240" s="48"/>
      <c r="E240" s="52"/>
      <c r="F240" s="54"/>
    </row>
    <row r="241" spans="4:6">
      <c r="D241" s="48"/>
      <c r="E241" s="52"/>
      <c r="F241" s="54"/>
    </row>
    <row r="242" spans="4:6">
      <c r="D242" s="48"/>
      <c r="E242" s="52"/>
      <c r="F242" s="54"/>
    </row>
    <row r="243" spans="4:6">
      <c r="D243" s="48"/>
      <c r="E243" s="52"/>
      <c r="F243" s="54"/>
    </row>
    <row r="244" spans="4:6">
      <c r="D244" s="48"/>
      <c r="E244" s="52"/>
      <c r="F244" s="54"/>
    </row>
    <row r="245" spans="4:6">
      <c r="D245" s="48"/>
      <c r="E245" s="52"/>
      <c r="F245" s="54"/>
    </row>
    <row r="246" spans="4:6">
      <c r="D246" s="48"/>
      <c r="E246" s="52"/>
      <c r="F246" s="54"/>
    </row>
    <row r="247" spans="4:6">
      <c r="D247" s="48"/>
      <c r="E247" s="52"/>
      <c r="F247" s="54"/>
    </row>
    <row r="248" spans="4:6">
      <c r="D248" s="48"/>
      <c r="E248" s="52"/>
      <c r="F248" s="54"/>
    </row>
    <row r="249" spans="4:6">
      <c r="D249" s="48"/>
      <c r="E249" s="52"/>
      <c r="F249" s="54"/>
    </row>
    <row r="250" spans="4:6">
      <c r="D250" s="48"/>
      <c r="E250" s="52"/>
      <c r="F250" s="54"/>
    </row>
    <row r="251" spans="4:6">
      <c r="D251" s="48"/>
      <c r="E251" s="52"/>
      <c r="F251" s="54"/>
    </row>
    <row r="252" spans="4:6">
      <c r="D252" s="48"/>
      <c r="E252" s="52"/>
      <c r="F252" s="54"/>
    </row>
    <row r="253" spans="4:6">
      <c r="D253" s="48"/>
      <c r="E253" s="52"/>
      <c r="F253" s="54"/>
    </row>
    <row r="254" spans="4:6">
      <c r="D254" s="48"/>
      <c r="E254" s="52"/>
      <c r="F254" s="54"/>
    </row>
    <row r="255" spans="4:6">
      <c r="D255" s="48"/>
      <c r="E255" s="52"/>
      <c r="F255" s="54"/>
    </row>
    <row r="256" spans="4:6">
      <c r="D256" s="48"/>
      <c r="E256" s="52"/>
      <c r="F256" s="54"/>
    </row>
    <row r="257" spans="4:6">
      <c r="D257" s="48"/>
      <c r="E257" s="52"/>
      <c r="F257" s="54"/>
    </row>
    <row r="258" spans="4:6">
      <c r="D258" s="48"/>
      <c r="E258" s="52"/>
      <c r="F258" s="54"/>
    </row>
    <row r="259" spans="4:6">
      <c r="D259" s="48"/>
      <c r="E259" s="52"/>
      <c r="F259" s="54"/>
    </row>
    <row r="260" spans="4:6">
      <c r="D260" s="48"/>
      <c r="E260" s="52"/>
      <c r="F260" s="54"/>
    </row>
    <row r="261" spans="4:6">
      <c r="D261" s="48"/>
      <c r="E261" s="52"/>
      <c r="F261" s="54"/>
    </row>
    <row r="262" spans="4:6">
      <c r="D262" s="48"/>
      <c r="E262" s="52"/>
      <c r="F262" s="54"/>
    </row>
    <row r="263" spans="4:6">
      <c r="D263" s="48"/>
      <c r="E263" s="52"/>
      <c r="F263" s="54"/>
    </row>
    <row r="264" spans="4:6">
      <c r="D264" s="48"/>
      <c r="E264" s="52"/>
      <c r="F264" s="54"/>
    </row>
    <row r="265" spans="4:6">
      <c r="D265" s="48"/>
      <c r="E265" s="52"/>
      <c r="F265" s="54"/>
    </row>
    <row r="266" spans="4:6">
      <c r="D266" s="48"/>
      <c r="E266" s="52"/>
      <c r="F266" s="54"/>
    </row>
    <row r="267" spans="4:6">
      <c r="D267" s="48"/>
      <c r="E267" s="52"/>
      <c r="F267" s="54"/>
    </row>
    <row r="268" spans="4:6">
      <c r="D268" s="48"/>
      <c r="E268" s="52"/>
      <c r="F268" s="54"/>
    </row>
    <row r="269" spans="4:6">
      <c r="D269" s="48"/>
      <c r="E269" s="52"/>
      <c r="F269" s="54"/>
    </row>
    <row r="270" spans="4:6">
      <c r="D270" s="48"/>
      <c r="E270" s="52"/>
      <c r="F270" s="54"/>
    </row>
    <row r="271" spans="4:6">
      <c r="D271" s="48"/>
      <c r="E271" s="52"/>
      <c r="F271" s="54"/>
    </row>
    <row r="272" spans="4:6">
      <c r="D272" s="48"/>
      <c r="E272" s="52"/>
      <c r="F272" s="54"/>
    </row>
    <row r="273" spans="4:6">
      <c r="D273" s="48"/>
      <c r="E273" s="52"/>
      <c r="F273" s="54"/>
    </row>
    <row r="274" spans="4:6">
      <c r="D274" s="48"/>
      <c r="E274" s="52"/>
      <c r="F274" s="54"/>
    </row>
    <row r="275" spans="4:6">
      <c r="D275" s="48"/>
      <c r="E275" s="52"/>
      <c r="F275" s="54"/>
    </row>
    <row r="276" spans="4:6">
      <c r="D276" s="48"/>
      <c r="E276" s="52"/>
      <c r="F276" s="54"/>
    </row>
    <row r="277" spans="4:6">
      <c r="D277" s="48"/>
      <c r="E277" s="52"/>
      <c r="F277" s="54"/>
    </row>
    <row r="278" spans="4:6">
      <c r="D278" s="48"/>
      <c r="E278" s="52"/>
      <c r="F278" s="54"/>
    </row>
    <row r="279" spans="4:6">
      <c r="D279" s="48"/>
      <c r="E279" s="52"/>
      <c r="F279" s="54"/>
    </row>
    <row r="280" spans="4:6">
      <c r="D280" s="48"/>
      <c r="E280" s="52"/>
      <c r="F280" s="54"/>
    </row>
    <row r="281" spans="4:6">
      <c r="D281" s="48"/>
      <c r="E281" s="52"/>
      <c r="F281" s="54"/>
    </row>
    <row r="282" spans="4:6">
      <c r="D282" s="48"/>
      <c r="E282" s="52"/>
      <c r="F282" s="54"/>
    </row>
    <row r="283" spans="4:6">
      <c r="D283" s="48"/>
      <c r="E283" s="52"/>
      <c r="F283" s="54"/>
    </row>
    <row r="284" spans="4:6">
      <c r="D284" s="48"/>
      <c r="E284" s="52"/>
      <c r="F284" s="54"/>
    </row>
    <row r="285" spans="4:6">
      <c r="D285" s="48"/>
      <c r="E285" s="52"/>
      <c r="F285" s="54"/>
    </row>
    <row r="286" spans="4:6">
      <c r="D286" s="48"/>
      <c r="E286" s="52"/>
      <c r="F286" s="54"/>
    </row>
    <row r="287" spans="4:6">
      <c r="D287" s="48"/>
      <c r="E287" s="52"/>
      <c r="F287" s="54"/>
    </row>
    <row r="288" spans="4:6">
      <c r="D288" s="48"/>
      <c r="E288" s="52"/>
      <c r="F288" s="54"/>
    </row>
    <row r="289" spans="4:6">
      <c r="D289" s="48"/>
      <c r="E289" s="52"/>
      <c r="F289" s="54"/>
    </row>
    <row r="290" spans="4:6">
      <c r="D290" s="48"/>
      <c r="E290" s="52"/>
      <c r="F290" s="54"/>
    </row>
    <row r="291" spans="4:6">
      <c r="D291" s="48"/>
      <c r="E291" s="52"/>
      <c r="F291" s="54"/>
    </row>
    <row r="292" spans="4:6">
      <c r="D292" s="48"/>
      <c r="E292" s="52"/>
      <c r="F292" s="54"/>
    </row>
    <row r="293" spans="4:6">
      <c r="D293" s="48"/>
      <c r="E293" s="52"/>
      <c r="F293" s="54"/>
    </row>
    <row r="294" spans="4:6">
      <c r="D294" s="48"/>
      <c r="E294" s="52"/>
      <c r="F294" s="54"/>
    </row>
    <row r="295" spans="4:6">
      <c r="D295" s="48"/>
      <c r="E295" s="52"/>
      <c r="F295" s="54"/>
    </row>
    <row r="296" spans="4:6">
      <c r="D296" s="48"/>
      <c r="E296" s="52"/>
      <c r="F296" s="54"/>
    </row>
    <row r="297" spans="4:6">
      <c r="D297" s="48"/>
      <c r="E297" s="52"/>
      <c r="F297" s="54"/>
    </row>
    <row r="298" spans="4:6">
      <c r="D298" s="48"/>
      <c r="E298" s="52"/>
      <c r="F298" s="54"/>
    </row>
    <row r="299" spans="4:6">
      <c r="D299" s="48"/>
      <c r="E299" s="52"/>
      <c r="F299" s="54"/>
    </row>
    <row r="300" spans="4:6">
      <c r="D300" s="48"/>
      <c r="E300" s="52"/>
      <c r="F300" s="54"/>
    </row>
    <row r="301" spans="4:6">
      <c r="D301" s="48"/>
      <c r="E301" s="52"/>
      <c r="F301" s="54"/>
    </row>
    <row r="302" spans="4:6">
      <c r="D302" s="48"/>
      <c r="E302" s="52"/>
      <c r="F302" s="54"/>
    </row>
    <row r="303" spans="4:6">
      <c r="D303" s="48"/>
      <c r="E303" s="52"/>
      <c r="F303" s="54"/>
    </row>
    <row r="304" spans="4:6">
      <c r="D304" s="48"/>
      <c r="E304" s="52"/>
      <c r="F304" s="54"/>
    </row>
    <row r="305" spans="4:6">
      <c r="D305" s="48"/>
      <c r="E305" s="52"/>
      <c r="F305" s="54"/>
    </row>
    <row r="306" spans="4:6">
      <c r="D306" s="48"/>
      <c r="E306" s="52"/>
      <c r="F306" s="54"/>
    </row>
    <row r="307" spans="4:6">
      <c r="D307" s="48"/>
      <c r="E307" s="52"/>
      <c r="F307" s="54"/>
    </row>
    <row r="308" spans="4:6">
      <c r="D308" s="48"/>
      <c r="E308" s="52"/>
      <c r="F308" s="54"/>
    </row>
    <row r="309" spans="4:6">
      <c r="D309" s="48"/>
      <c r="E309" s="52"/>
      <c r="F309" s="54"/>
    </row>
    <row r="310" spans="4:6">
      <c r="D310" s="48"/>
      <c r="E310" s="52"/>
      <c r="F310" s="54"/>
    </row>
    <row r="311" spans="4:6">
      <c r="D311" s="48"/>
      <c r="E311" s="52"/>
      <c r="F311" s="54"/>
    </row>
    <row r="312" spans="4:6">
      <c r="D312" s="48"/>
      <c r="E312" s="52"/>
      <c r="F312" s="54"/>
    </row>
    <row r="313" spans="4:6">
      <c r="D313" s="48"/>
      <c r="E313" s="52"/>
      <c r="F313" s="54"/>
    </row>
    <row r="314" spans="4:6">
      <c r="D314" s="48"/>
      <c r="E314" s="52"/>
      <c r="F314" s="54"/>
    </row>
    <row r="315" spans="4:6">
      <c r="D315" s="48"/>
      <c r="E315" s="52"/>
      <c r="F315" s="54"/>
    </row>
    <row r="316" spans="4:6">
      <c r="D316" s="48"/>
      <c r="E316" s="52"/>
      <c r="F316" s="54"/>
    </row>
    <row r="317" spans="4:6">
      <c r="D317" s="48"/>
      <c r="E317" s="52"/>
      <c r="F317" s="54"/>
    </row>
    <row r="318" spans="4:6">
      <c r="D318" s="48"/>
      <c r="E318" s="52"/>
      <c r="F318" s="54"/>
    </row>
    <row r="319" spans="4:6">
      <c r="D319" s="48"/>
      <c r="E319" s="52"/>
      <c r="F319" s="54"/>
    </row>
    <row r="320" spans="4:6">
      <c r="D320" s="48"/>
      <c r="E320" s="52"/>
      <c r="F320" s="54"/>
    </row>
    <row r="321" spans="4:6">
      <c r="D321" s="48"/>
      <c r="E321" s="52"/>
      <c r="F321" s="54"/>
    </row>
    <row r="322" spans="4:6">
      <c r="D322" s="48"/>
      <c r="E322" s="52"/>
      <c r="F322" s="54"/>
    </row>
    <row r="323" spans="4:6">
      <c r="D323" s="48"/>
      <c r="E323" s="52"/>
      <c r="F323" s="54"/>
    </row>
    <row r="324" spans="4:6">
      <c r="D324" s="48"/>
      <c r="E324" s="52"/>
      <c r="F324" s="54"/>
    </row>
    <row r="325" spans="4:6">
      <c r="D325" s="48"/>
      <c r="E325" s="52"/>
      <c r="F325" s="54"/>
    </row>
    <row r="326" spans="4:6">
      <c r="D326" s="48"/>
      <c r="E326" s="52"/>
      <c r="F326" s="54"/>
    </row>
    <row r="327" spans="4:6">
      <c r="D327" s="48"/>
      <c r="E327" s="52"/>
      <c r="F327" s="54"/>
    </row>
    <row r="328" spans="4:6">
      <c r="D328" s="48"/>
      <c r="E328" s="52"/>
      <c r="F328" s="54"/>
    </row>
    <row r="329" spans="4:6">
      <c r="D329" s="48"/>
      <c r="E329" s="52"/>
      <c r="F329" s="54"/>
    </row>
    <row r="330" spans="4:6">
      <c r="D330" s="48"/>
      <c r="E330" s="52"/>
      <c r="F330" s="54"/>
    </row>
    <row r="331" spans="4:6">
      <c r="D331" s="48"/>
      <c r="E331" s="52"/>
      <c r="F331" s="54"/>
    </row>
    <row r="332" spans="4:6">
      <c r="D332" s="48"/>
      <c r="E332" s="52"/>
      <c r="F332" s="54"/>
    </row>
    <row r="333" spans="4:6">
      <c r="D333" s="48"/>
      <c r="E333" s="52"/>
      <c r="F333" s="54"/>
    </row>
    <row r="334" spans="4:6">
      <c r="D334" s="48"/>
      <c r="E334" s="52"/>
      <c r="F334" s="54"/>
    </row>
    <row r="335" spans="4:6">
      <c r="D335" s="48"/>
      <c r="E335" s="52"/>
      <c r="F335" s="54"/>
    </row>
    <row r="336" spans="4:6">
      <c r="D336" s="48"/>
      <c r="E336" s="52"/>
      <c r="F336" s="54"/>
    </row>
    <row r="337" spans="4:6">
      <c r="D337" s="48"/>
      <c r="E337" s="52"/>
      <c r="F337" s="54"/>
    </row>
    <row r="338" spans="4:6">
      <c r="D338" s="48"/>
      <c r="E338" s="52"/>
      <c r="F338" s="54"/>
    </row>
    <row r="339" spans="4:6">
      <c r="D339" s="48"/>
      <c r="E339" s="52"/>
      <c r="F339" s="54"/>
    </row>
    <row r="340" spans="4:6">
      <c r="D340" s="48"/>
      <c r="E340" s="52"/>
      <c r="F340" s="54"/>
    </row>
    <row r="341" spans="4:6">
      <c r="D341" s="48"/>
      <c r="E341" s="52"/>
      <c r="F341" s="54"/>
    </row>
    <row r="342" spans="4:6">
      <c r="D342" s="48"/>
      <c r="E342" s="52"/>
      <c r="F342" s="54"/>
    </row>
    <row r="343" spans="4:6">
      <c r="D343" s="48"/>
      <c r="E343" s="52"/>
      <c r="F343" s="54"/>
    </row>
    <row r="344" spans="4:6">
      <c r="D344" s="48"/>
      <c r="E344" s="52"/>
      <c r="F344" s="54"/>
    </row>
    <row r="345" spans="4:6">
      <c r="D345" s="48"/>
      <c r="E345" s="52"/>
      <c r="F345" s="54"/>
    </row>
    <row r="346" spans="4:6">
      <c r="D346" s="48"/>
      <c r="E346" s="52"/>
      <c r="F346" s="54"/>
    </row>
    <row r="347" spans="4:6">
      <c r="D347" s="48"/>
      <c r="E347" s="52"/>
      <c r="F347" s="54"/>
    </row>
    <row r="348" spans="4:6">
      <c r="D348" s="48"/>
      <c r="E348" s="52"/>
      <c r="F348" s="54"/>
    </row>
    <row r="349" spans="4:6">
      <c r="D349" s="48"/>
      <c r="E349" s="52"/>
      <c r="F349" s="54"/>
    </row>
    <row r="350" spans="4:6">
      <c r="D350" s="48"/>
      <c r="E350" s="52"/>
      <c r="F350" s="54"/>
    </row>
    <row r="351" spans="4:6">
      <c r="D351" s="48"/>
      <c r="E351" s="52"/>
      <c r="F351" s="54"/>
    </row>
    <row r="352" spans="4:6">
      <c r="D352" s="48"/>
      <c r="E352" s="52"/>
      <c r="F352" s="54"/>
    </row>
    <row r="353" spans="4:6">
      <c r="D353" s="48"/>
      <c r="E353" s="52"/>
      <c r="F353" s="54"/>
    </row>
    <row r="354" spans="4:6">
      <c r="D354" s="48"/>
      <c r="E354" s="52"/>
      <c r="F354" s="54"/>
    </row>
    <row r="355" spans="4:6">
      <c r="D355" s="48"/>
      <c r="E355" s="52"/>
      <c r="F355" s="54"/>
    </row>
    <row r="356" spans="4:6">
      <c r="D356" s="48"/>
      <c r="E356" s="52"/>
      <c r="F356" s="54"/>
    </row>
    <row r="357" spans="4:6">
      <c r="D357" s="48"/>
      <c r="E357" s="52"/>
      <c r="F357" s="54"/>
    </row>
    <row r="358" spans="4:6">
      <c r="D358" s="48"/>
      <c r="E358" s="52"/>
      <c r="F358" s="54"/>
    </row>
    <row r="359" spans="4:6">
      <c r="D359" s="48"/>
      <c r="E359" s="52"/>
      <c r="F359" s="54"/>
    </row>
    <row r="360" spans="4:6">
      <c r="D360" s="48"/>
      <c r="E360" s="52"/>
      <c r="F360" s="54"/>
    </row>
    <row r="361" spans="4:6">
      <c r="D361" s="48"/>
      <c r="E361" s="52"/>
      <c r="F361" s="54"/>
    </row>
    <row r="362" spans="4:6">
      <c r="D362" s="48"/>
      <c r="E362" s="52"/>
      <c r="F362" s="54"/>
    </row>
    <row r="363" spans="4:6">
      <c r="D363" s="48"/>
      <c r="E363" s="52"/>
      <c r="F363" s="54"/>
    </row>
    <row r="364" spans="4:6">
      <c r="D364" s="48"/>
      <c r="E364" s="52"/>
      <c r="F364" s="54"/>
    </row>
    <row r="365" spans="4:6">
      <c r="D365" s="48"/>
      <c r="E365" s="52"/>
      <c r="F365" s="54"/>
    </row>
    <row r="366" spans="4:6">
      <c r="D366" s="48"/>
      <c r="E366" s="52"/>
      <c r="F366" s="54"/>
    </row>
    <row r="367" spans="4:6">
      <c r="D367" s="48"/>
      <c r="E367" s="52"/>
      <c r="F367" s="54"/>
    </row>
    <row r="368" spans="4:6">
      <c r="D368" s="48"/>
      <c r="E368" s="52"/>
      <c r="F368" s="54"/>
    </row>
    <row r="369" spans="4:6">
      <c r="D369" s="48"/>
      <c r="E369" s="52"/>
      <c r="F369" s="54"/>
    </row>
    <row r="370" spans="4:6">
      <c r="D370" s="48"/>
      <c r="E370" s="52"/>
      <c r="F370" s="54"/>
    </row>
    <row r="371" spans="4:6">
      <c r="D371" s="48"/>
      <c r="E371" s="52"/>
      <c r="F371" s="54"/>
    </row>
    <row r="372" spans="4:6">
      <c r="D372" s="48"/>
      <c r="E372" s="52"/>
      <c r="F372" s="54"/>
    </row>
    <row r="373" spans="4:6">
      <c r="D373" s="48"/>
      <c r="E373" s="52"/>
      <c r="F373" s="54"/>
    </row>
    <row r="374" spans="4:6">
      <c r="D374" s="48"/>
      <c r="E374" s="52"/>
      <c r="F374" s="54"/>
    </row>
    <row r="375" spans="4:6">
      <c r="D375" s="48"/>
      <c r="E375" s="52"/>
      <c r="F375" s="54"/>
    </row>
    <row r="376" spans="4:6">
      <c r="D376" s="48"/>
      <c r="E376" s="52"/>
      <c r="F376" s="54"/>
    </row>
    <row r="377" spans="4:6">
      <c r="D377" s="48"/>
      <c r="E377" s="52"/>
      <c r="F377" s="54"/>
    </row>
    <row r="378" spans="4:6">
      <c r="D378" s="48"/>
      <c r="E378" s="52"/>
      <c r="F378" s="54"/>
    </row>
    <row r="379" spans="4:6">
      <c r="D379" s="48"/>
      <c r="E379" s="52"/>
      <c r="F379" s="54"/>
    </row>
    <row r="380" spans="4:6">
      <c r="D380" s="48"/>
      <c r="E380" s="52"/>
      <c r="F380" s="54"/>
    </row>
    <row r="381" spans="4:6">
      <c r="D381" s="48"/>
      <c r="E381" s="52"/>
      <c r="F381" s="54"/>
    </row>
    <row r="382" spans="4:6">
      <c r="D382" s="48"/>
      <c r="E382" s="52"/>
      <c r="F382" s="54"/>
    </row>
    <row r="383" spans="4:6">
      <c r="D383" s="48"/>
      <c r="E383" s="52"/>
      <c r="F383" s="54"/>
    </row>
    <row r="384" spans="4:6">
      <c r="D384" s="48"/>
      <c r="E384" s="52"/>
      <c r="F384" s="54"/>
    </row>
    <row r="385" spans="4:6">
      <c r="D385" s="48"/>
      <c r="E385" s="52"/>
      <c r="F385" s="54"/>
    </row>
    <row r="386" spans="4:6">
      <c r="D386" s="48"/>
      <c r="E386" s="52"/>
      <c r="F386" s="54"/>
    </row>
    <row r="387" spans="4:6">
      <c r="D387" s="48"/>
      <c r="E387" s="52"/>
      <c r="F387" s="54"/>
    </row>
    <row r="388" spans="4:6">
      <c r="D388" s="48"/>
      <c r="E388" s="52"/>
      <c r="F388" s="54"/>
    </row>
    <row r="389" spans="4:6">
      <c r="D389" s="48"/>
      <c r="E389" s="52"/>
      <c r="F389" s="54"/>
    </row>
    <row r="390" spans="4:6">
      <c r="D390" s="48"/>
      <c r="E390" s="52"/>
      <c r="F390" s="54"/>
    </row>
    <row r="391" spans="4:6">
      <c r="D391" s="48"/>
      <c r="E391" s="52"/>
      <c r="F391" s="54"/>
    </row>
    <row r="392" spans="4:6">
      <c r="D392" s="48"/>
      <c r="E392" s="52"/>
      <c r="F392" s="54"/>
    </row>
    <row r="393" spans="4:6">
      <c r="D393" s="48"/>
      <c r="E393" s="52"/>
      <c r="F393" s="54"/>
    </row>
    <row r="394" spans="4:6">
      <c r="D394" s="48"/>
      <c r="E394" s="52"/>
      <c r="F394" s="54"/>
    </row>
    <row r="395" spans="4:6">
      <c r="D395" s="48"/>
      <c r="E395" s="52"/>
      <c r="F395" s="54"/>
    </row>
    <row r="396" spans="4:6">
      <c r="D396" s="48"/>
      <c r="E396" s="52"/>
      <c r="F396" s="54"/>
    </row>
    <row r="397" spans="4:6">
      <c r="D397" s="48"/>
      <c r="E397" s="52"/>
      <c r="F397" s="54"/>
    </row>
    <row r="398" spans="4:6">
      <c r="D398" s="48"/>
      <c r="E398" s="52"/>
      <c r="F398" s="54"/>
    </row>
    <row r="399" spans="4:6">
      <c r="D399" s="48"/>
      <c r="E399" s="52"/>
      <c r="F399" s="54"/>
    </row>
    <row r="400" spans="4:6">
      <c r="D400" s="48"/>
      <c r="E400" s="52"/>
      <c r="F400" s="54"/>
    </row>
    <row r="401" spans="4:6">
      <c r="D401" s="48"/>
      <c r="E401" s="52"/>
      <c r="F401" s="54"/>
    </row>
    <row r="402" spans="4:6">
      <c r="D402" s="48"/>
      <c r="E402" s="52"/>
      <c r="F402" s="54"/>
    </row>
    <row r="403" spans="4:6">
      <c r="D403" s="48"/>
      <c r="E403" s="52"/>
      <c r="F403" s="54"/>
    </row>
    <row r="404" spans="4:6">
      <c r="D404" s="48"/>
      <c r="E404" s="52"/>
      <c r="F404" s="54"/>
    </row>
    <row r="405" spans="4:6">
      <c r="D405" s="48"/>
      <c r="E405" s="52"/>
      <c r="F405" s="54"/>
    </row>
    <row r="406" spans="4:6">
      <c r="D406" s="48"/>
      <c r="E406" s="52"/>
      <c r="F406" s="54"/>
    </row>
    <row r="407" spans="4:6">
      <c r="D407" s="48"/>
      <c r="E407" s="52"/>
      <c r="F407" s="54"/>
    </row>
    <row r="408" spans="4:6">
      <c r="D408" s="48"/>
      <c r="E408" s="52"/>
      <c r="F408" s="54"/>
    </row>
    <row r="409" spans="4:6">
      <c r="D409" s="48"/>
      <c r="E409" s="52"/>
      <c r="F409" s="54"/>
    </row>
    <row r="410" spans="4:6">
      <c r="D410" s="48"/>
      <c r="E410" s="52"/>
      <c r="F410" s="54"/>
    </row>
    <row r="411" spans="4:6">
      <c r="D411" s="48"/>
      <c r="E411" s="52"/>
      <c r="F411" s="54"/>
    </row>
    <row r="412" spans="4:6">
      <c r="D412" s="48"/>
      <c r="E412" s="52"/>
      <c r="F412" s="54"/>
    </row>
    <row r="413" spans="4:6">
      <c r="D413" s="48"/>
      <c r="E413" s="52"/>
      <c r="F413" s="54"/>
    </row>
    <row r="414" spans="4:6">
      <c r="D414" s="48"/>
      <c r="E414" s="52"/>
      <c r="F414" s="54"/>
    </row>
    <row r="415" spans="4:6">
      <c r="D415" s="48"/>
      <c r="E415" s="52"/>
      <c r="F415" s="54"/>
    </row>
    <row r="416" spans="4:6">
      <c r="D416" s="48"/>
      <c r="E416" s="52"/>
      <c r="F416" s="54"/>
    </row>
    <row r="417" spans="4:6">
      <c r="D417" s="48"/>
      <c r="E417" s="52"/>
      <c r="F417" s="54"/>
    </row>
    <row r="418" spans="4:6">
      <c r="D418" s="48"/>
      <c r="E418" s="52"/>
      <c r="F418" s="54"/>
    </row>
    <row r="419" spans="4:6">
      <c r="D419" s="48"/>
      <c r="E419" s="52"/>
      <c r="F419" s="54"/>
    </row>
    <row r="420" spans="4:6">
      <c r="D420" s="48"/>
      <c r="E420" s="52"/>
      <c r="F420" s="54"/>
    </row>
    <row r="421" spans="4:6">
      <c r="D421" s="48"/>
      <c r="E421" s="52"/>
      <c r="F421" s="54"/>
    </row>
    <row r="422" spans="4:6">
      <c r="D422" s="48"/>
      <c r="E422" s="52"/>
      <c r="F422" s="54"/>
    </row>
    <row r="423" spans="4:6">
      <c r="D423" s="48"/>
      <c r="E423" s="52"/>
      <c r="F423" s="54"/>
    </row>
    <row r="424" spans="4:6">
      <c r="D424" s="48"/>
      <c r="E424" s="52"/>
      <c r="F424" s="54"/>
    </row>
    <row r="425" spans="4:6">
      <c r="D425" s="48"/>
      <c r="E425" s="52"/>
      <c r="F425" s="54"/>
    </row>
    <row r="426" spans="4:6">
      <c r="D426" s="48"/>
      <c r="E426" s="52"/>
      <c r="F426" s="54"/>
    </row>
    <row r="427" spans="4:6">
      <c r="D427" s="48"/>
      <c r="E427" s="52"/>
      <c r="F427" s="54"/>
    </row>
    <row r="428" spans="4:6">
      <c r="D428" s="48"/>
      <c r="E428" s="52"/>
      <c r="F428" s="54"/>
    </row>
    <row r="429" spans="4:6">
      <c r="D429" s="48"/>
      <c r="E429" s="52"/>
      <c r="F429" s="54"/>
    </row>
    <row r="430" spans="4:6">
      <c r="D430" s="48"/>
      <c r="E430" s="52"/>
      <c r="F430" s="54"/>
    </row>
    <row r="431" spans="4:6">
      <c r="D431" s="48"/>
      <c r="E431" s="52"/>
      <c r="F431" s="54"/>
    </row>
    <row r="432" spans="4:6">
      <c r="D432" s="48"/>
      <c r="E432" s="52"/>
      <c r="F432" s="54"/>
    </row>
    <row r="433" spans="4:6">
      <c r="D433" s="48"/>
      <c r="E433" s="52"/>
      <c r="F433" s="54"/>
    </row>
    <row r="434" spans="4:6">
      <c r="D434" s="48"/>
      <c r="E434" s="52"/>
      <c r="F434" s="54"/>
    </row>
    <row r="435" spans="4:6">
      <c r="D435" s="48"/>
      <c r="E435" s="52"/>
      <c r="F435" s="54"/>
    </row>
    <row r="436" spans="4:6">
      <c r="D436" s="48"/>
      <c r="E436" s="52"/>
      <c r="F436" s="54"/>
    </row>
    <row r="437" spans="4:6">
      <c r="D437" s="48"/>
      <c r="E437" s="52"/>
      <c r="F437" s="54"/>
    </row>
    <row r="438" spans="4:6">
      <c r="D438" s="48"/>
      <c r="E438" s="52"/>
      <c r="F438" s="54"/>
    </row>
    <row r="439" spans="4:6">
      <c r="D439" s="48"/>
      <c r="E439" s="52"/>
      <c r="F439" s="54"/>
    </row>
    <row r="440" spans="4:6">
      <c r="D440" s="48"/>
      <c r="E440" s="52"/>
      <c r="F440" s="54"/>
    </row>
    <row r="441" spans="4:6">
      <c r="D441" s="48"/>
      <c r="E441" s="52"/>
      <c r="F441" s="54"/>
    </row>
    <row r="442" spans="4:6">
      <c r="D442" s="48"/>
      <c r="E442" s="52"/>
      <c r="F442" s="54"/>
    </row>
    <row r="443" spans="4:6">
      <c r="D443" s="48"/>
      <c r="E443" s="52"/>
      <c r="F443" s="54"/>
    </row>
    <row r="444" spans="4:6">
      <c r="D444" s="48"/>
      <c r="E444" s="52"/>
      <c r="F444" s="54"/>
    </row>
    <row r="445" spans="4:6">
      <c r="D445" s="48"/>
      <c r="E445" s="52"/>
      <c r="F445" s="54"/>
    </row>
    <row r="446" spans="4:6">
      <c r="D446" s="48"/>
      <c r="E446" s="52"/>
      <c r="F446" s="54"/>
    </row>
    <row r="447" spans="4:6">
      <c r="D447" s="48"/>
      <c r="E447" s="52"/>
      <c r="F447" s="54"/>
    </row>
    <row r="448" spans="4:6">
      <c r="D448" s="48"/>
      <c r="E448" s="52"/>
      <c r="F448" s="54"/>
    </row>
    <row r="449" spans="4:6">
      <c r="D449" s="48"/>
      <c r="E449" s="52"/>
      <c r="F449" s="54"/>
    </row>
    <row r="450" spans="4:6">
      <c r="D450" s="48"/>
      <c r="E450" s="52"/>
      <c r="F450" s="54"/>
    </row>
    <row r="451" spans="4:6">
      <c r="D451" s="48"/>
      <c r="E451" s="52"/>
      <c r="F451" s="54"/>
    </row>
    <row r="452" spans="4:6">
      <c r="D452" s="48"/>
      <c r="E452" s="52"/>
      <c r="F452" s="54"/>
    </row>
    <row r="453" spans="4:6">
      <c r="D453" s="48"/>
      <c r="E453" s="52"/>
      <c r="F453" s="54"/>
    </row>
    <row r="454" spans="4:6">
      <c r="D454" s="48"/>
      <c r="E454" s="52"/>
      <c r="F454" s="54"/>
    </row>
    <row r="455" spans="4:6">
      <c r="D455" s="48"/>
      <c r="E455" s="52"/>
      <c r="F455" s="54"/>
    </row>
    <row r="456" spans="4:6">
      <c r="D456" s="48"/>
      <c r="E456" s="52"/>
      <c r="F456" s="54"/>
    </row>
    <row r="457" spans="4:6">
      <c r="D457" s="48"/>
      <c r="E457" s="52"/>
      <c r="F457" s="54"/>
    </row>
    <row r="458" spans="4:6">
      <c r="D458" s="48"/>
      <c r="E458" s="52"/>
      <c r="F458" s="54"/>
    </row>
    <row r="459" spans="4:6">
      <c r="D459" s="48"/>
      <c r="E459" s="52"/>
      <c r="F459" s="54"/>
    </row>
    <row r="460" spans="4:6">
      <c r="D460" s="48"/>
      <c r="E460" s="52"/>
      <c r="F460" s="54"/>
    </row>
    <row r="461" spans="4:6">
      <c r="D461" s="48"/>
      <c r="E461" s="52"/>
      <c r="F461" s="54"/>
    </row>
    <row r="462" spans="4:6">
      <c r="D462" s="48"/>
      <c r="E462" s="52"/>
      <c r="F462" s="54"/>
    </row>
    <row r="463" spans="4:6">
      <c r="D463" s="48"/>
      <c r="E463" s="52"/>
      <c r="F463" s="54"/>
    </row>
    <row r="464" spans="4:6">
      <c r="D464" s="48"/>
      <c r="E464" s="52"/>
      <c r="F464" s="54"/>
    </row>
    <row r="465" spans="4:6">
      <c r="D465" s="48"/>
      <c r="E465" s="52"/>
      <c r="F465" s="54"/>
    </row>
    <row r="466" spans="4:6">
      <c r="D466" s="48"/>
      <c r="E466" s="52"/>
      <c r="F466" s="54"/>
    </row>
    <row r="467" spans="4:6">
      <c r="D467" s="48"/>
      <c r="E467" s="52"/>
      <c r="F467" s="54"/>
    </row>
    <row r="468" spans="4:6">
      <c r="D468" s="48"/>
      <c r="E468" s="52"/>
      <c r="F468" s="54"/>
    </row>
    <row r="469" spans="4:6">
      <c r="D469" s="48"/>
      <c r="E469" s="52"/>
      <c r="F469" s="54"/>
    </row>
    <row r="470" spans="4:6">
      <c r="D470" s="48"/>
      <c r="E470" s="52"/>
      <c r="F470" s="54"/>
    </row>
    <row r="471" spans="4:6">
      <c r="D471" s="48"/>
      <c r="E471" s="52"/>
      <c r="F471" s="54"/>
    </row>
    <row r="472" spans="4:6">
      <c r="D472" s="48"/>
      <c r="E472" s="52"/>
      <c r="F472" s="54"/>
    </row>
    <row r="473" spans="4:6">
      <c r="D473" s="48"/>
      <c r="E473" s="52"/>
      <c r="F473" s="54"/>
    </row>
    <row r="474" spans="4:6">
      <c r="D474" s="48"/>
      <c r="E474" s="52"/>
      <c r="F474" s="54"/>
    </row>
    <row r="475" spans="4:6">
      <c r="D475" s="48"/>
      <c r="E475" s="52"/>
      <c r="F475" s="54"/>
    </row>
    <row r="476" spans="4:6">
      <c r="D476" s="48"/>
      <c r="E476" s="52"/>
      <c r="F476" s="54"/>
    </row>
    <row r="477" spans="4:6">
      <c r="D477" s="48"/>
      <c r="E477" s="52"/>
      <c r="F477" s="54"/>
    </row>
    <row r="478" spans="4:6">
      <c r="D478" s="48"/>
      <c r="E478" s="52"/>
      <c r="F478" s="54"/>
    </row>
    <row r="479" spans="4:6">
      <c r="D479" s="48"/>
      <c r="E479" s="52"/>
      <c r="F479" s="54"/>
    </row>
    <row r="480" spans="4:6">
      <c r="D480" s="48"/>
      <c r="E480" s="52"/>
      <c r="F480" s="54"/>
    </row>
    <row r="481" spans="4:6">
      <c r="D481" s="48"/>
      <c r="E481" s="52"/>
      <c r="F481" s="54"/>
    </row>
    <row r="482" spans="4:6">
      <c r="D482" s="48"/>
      <c r="E482" s="52"/>
      <c r="F482" s="54"/>
    </row>
    <row r="483" spans="4:6">
      <c r="D483" s="48"/>
      <c r="E483" s="52"/>
      <c r="F483" s="54"/>
    </row>
    <row r="484" spans="4:6">
      <c r="D484" s="48"/>
      <c r="E484" s="52"/>
      <c r="F484" s="54"/>
    </row>
    <row r="485" spans="4:6">
      <c r="D485" s="48"/>
      <c r="E485" s="52"/>
      <c r="F485" s="54"/>
    </row>
    <row r="486" spans="4:6">
      <c r="D486" s="48"/>
      <c r="E486" s="52"/>
      <c r="F486" s="54"/>
    </row>
    <row r="487" spans="4:6">
      <c r="D487" s="48"/>
      <c r="E487" s="52"/>
      <c r="F487" s="54"/>
    </row>
    <row r="488" spans="4:6">
      <c r="D488" s="48"/>
      <c r="E488" s="52"/>
      <c r="F488" s="54"/>
    </row>
    <row r="489" spans="4:6">
      <c r="D489" s="48"/>
      <c r="E489" s="52"/>
      <c r="F489" s="54"/>
    </row>
    <row r="490" spans="4:6">
      <c r="D490" s="48"/>
      <c r="E490" s="52"/>
      <c r="F490" s="54"/>
    </row>
    <row r="491" spans="4:6">
      <c r="D491" s="48"/>
      <c r="E491" s="52"/>
      <c r="F491" s="54"/>
    </row>
    <row r="492" spans="4:6">
      <c r="D492" s="48"/>
      <c r="E492" s="52"/>
      <c r="F492" s="54"/>
    </row>
    <row r="493" spans="4:6">
      <c r="D493" s="48"/>
      <c r="E493" s="52"/>
      <c r="F493" s="54"/>
    </row>
    <row r="494" spans="4:6">
      <c r="D494" s="48"/>
      <c r="E494" s="52"/>
      <c r="F494" s="54"/>
    </row>
    <row r="495" spans="4:6">
      <c r="D495" s="48"/>
      <c r="E495" s="52"/>
      <c r="F495" s="54"/>
    </row>
    <row r="496" spans="4:6">
      <c r="D496" s="48"/>
      <c r="E496" s="52"/>
      <c r="F496" s="54"/>
    </row>
    <row r="497" spans="4:6">
      <c r="D497" s="48"/>
      <c r="E497" s="52"/>
      <c r="F497" s="54"/>
    </row>
    <row r="498" spans="4:6">
      <c r="D498" s="48"/>
      <c r="E498" s="52"/>
      <c r="F498" s="54"/>
    </row>
    <row r="499" spans="4:6">
      <c r="D499" s="48"/>
      <c r="E499" s="52"/>
      <c r="F499" s="54"/>
    </row>
    <row r="500" spans="4:6">
      <c r="D500" s="48"/>
      <c r="E500" s="52"/>
      <c r="F500" s="54"/>
    </row>
    <row r="501" spans="4:6">
      <c r="D501" s="48"/>
      <c r="E501" s="52"/>
      <c r="F501" s="54"/>
    </row>
    <row r="502" spans="4:6">
      <c r="D502" s="48"/>
      <c r="E502" s="52"/>
      <c r="F502" s="54"/>
    </row>
    <row r="503" spans="4:6">
      <c r="D503" s="48"/>
      <c r="E503" s="52"/>
      <c r="F503" s="54"/>
    </row>
    <row r="504" spans="4:6">
      <c r="D504" s="48"/>
      <c r="E504" s="52"/>
      <c r="F504" s="54"/>
    </row>
    <row r="505" spans="4:6">
      <c r="D505" s="48"/>
      <c r="E505" s="52"/>
      <c r="F505" s="54"/>
    </row>
    <row r="506" spans="4:6">
      <c r="D506" s="48"/>
      <c r="E506" s="52"/>
      <c r="F506" s="54"/>
    </row>
    <row r="507" spans="4:6">
      <c r="D507" s="48"/>
      <c r="E507" s="52"/>
      <c r="F507" s="54"/>
    </row>
    <row r="508" spans="4:6">
      <c r="D508" s="48"/>
      <c r="E508" s="52"/>
      <c r="F508" s="54"/>
    </row>
    <row r="509" spans="4:6">
      <c r="D509" s="48"/>
      <c r="E509" s="52"/>
      <c r="F509" s="54"/>
    </row>
    <row r="510" spans="4:6">
      <c r="D510" s="48"/>
      <c r="E510" s="52"/>
      <c r="F510" s="54"/>
    </row>
    <row r="511" spans="4:6">
      <c r="D511" s="48"/>
      <c r="E511" s="52"/>
      <c r="F511" s="54"/>
    </row>
    <row r="512" spans="4:6">
      <c r="D512" s="48"/>
      <c r="E512" s="52"/>
      <c r="F512" s="54"/>
    </row>
    <row r="513" spans="4:6">
      <c r="D513" s="48"/>
      <c r="E513" s="52"/>
      <c r="F513" s="54"/>
    </row>
    <row r="514" spans="4:6">
      <c r="D514" s="48"/>
      <c r="E514" s="52"/>
      <c r="F514" s="54"/>
    </row>
    <row r="515" spans="4:6">
      <c r="D515" s="48"/>
      <c r="E515" s="52"/>
      <c r="F515" s="54"/>
    </row>
    <row r="516" spans="4:6">
      <c r="D516" s="48"/>
      <c r="E516" s="52"/>
      <c r="F516" s="54"/>
    </row>
    <row r="517" spans="4:6">
      <c r="D517" s="48"/>
      <c r="E517" s="52"/>
      <c r="F517" s="54"/>
    </row>
    <row r="518" spans="4:6">
      <c r="D518" s="48"/>
      <c r="E518" s="52"/>
      <c r="F518" s="54"/>
    </row>
    <row r="519" spans="4:6">
      <c r="D519" s="48"/>
      <c r="E519" s="52"/>
      <c r="F519" s="54"/>
    </row>
    <row r="520" spans="4:6">
      <c r="D520" s="48"/>
      <c r="E520" s="52"/>
      <c r="F520" s="54"/>
    </row>
    <row r="521" spans="4:6">
      <c r="D521" s="48"/>
      <c r="E521" s="52"/>
      <c r="F521" s="54"/>
    </row>
    <row r="522" spans="4:6">
      <c r="D522" s="48"/>
      <c r="E522" s="52"/>
      <c r="F522" s="54"/>
    </row>
    <row r="523" spans="4:6">
      <c r="D523" s="48"/>
      <c r="E523" s="52"/>
      <c r="F523" s="54"/>
    </row>
    <row r="524" spans="4:6">
      <c r="D524" s="48"/>
      <c r="E524" s="52"/>
      <c r="F524" s="54"/>
    </row>
    <row r="525" spans="4:6">
      <c r="D525" s="48"/>
      <c r="E525" s="52"/>
      <c r="F525" s="54"/>
    </row>
    <row r="526" spans="4:6">
      <c r="D526" s="48"/>
      <c r="E526" s="52"/>
      <c r="F526" s="54"/>
    </row>
    <row r="527" spans="4:6">
      <c r="D527" s="48"/>
      <c r="E527" s="52"/>
      <c r="F527" s="54"/>
    </row>
    <row r="528" spans="4:6">
      <c r="D528" s="48"/>
      <c r="E528" s="52"/>
      <c r="F528" s="54"/>
    </row>
    <row r="529" spans="4:6">
      <c r="D529" s="48"/>
      <c r="E529" s="52"/>
      <c r="F529" s="54"/>
    </row>
    <row r="530" spans="4:6">
      <c r="D530" s="48"/>
      <c r="E530" s="52"/>
      <c r="F530" s="54"/>
    </row>
    <row r="531" spans="4:6">
      <c r="D531" s="48"/>
      <c r="E531" s="52"/>
      <c r="F531" s="54"/>
    </row>
    <row r="532" spans="4:6">
      <c r="D532" s="48"/>
      <c r="E532" s="52"/>
      <c r="F532" s="54"/>
    </row>
    <row r="533" spans="4:6">
      <c r="D533" s="48"/>
      <c r="E533" s="52"/>
      <c r="F533" s="54"/>
    </row>
    <row r="534" spans="4:6">
      <c r="D534" s="48"/>
      <c r="E534" s="52"/>
      <c r="F534" s="54"/>
    </row>
    <row r="535" spans="4:6">
      <c r="D535" s="48"/>
      <c r="E535" s="52"/>
      <c r="F535" s="54"/>
    </row>
    <row r="536" spans="4:6">
      <c r="D536" s="48"/>
      <c r="E536" s="52"/>
      <c r="F536" s="54"/>
    </row>
    <row r="537" spans="4:6">
      <c r="D537" s="48"/>
      <c r="E537" s="52"/>
      <c r="F537" s="54"/>
    </row>
    <row r="538" spans="4:6">
      <c r="D538" s="48"/>
      <c r="E538" s="52"/>
      <c r="F538" s="54"/>
    </row>
    <row r="539" spans="4:6">
      <c r="D539" s="48"/>
      <c r="E539" s="52"/>
      <c r="F539" s="54"/>
    </row>
    <row r="540" spans="4:6">
      <c r="D540" s="48"/>
      <c r="E540" s="52"/>
      <c r="F540" s="54"/>
    </row>
    <row r="541" spans="4:6">
      <c r="D541" s="48"/>
      <c r="E541" s="52"/>
      <c r="F541" s="54"/>
    </row>
    <row r="542" spans="4:6">
      <c r="D542" s="48"/>
      <c r="E542" s="52"/>
      <c r="F542" s="54"/>
    </row>
    <row r="543" spans="4:6">
      <c r="D543" s="48"/>
      <c r="E543" s="52"/>
      <c r="F543" s="54"/>
    </row>
    <row r="544" spans="4:6">
      <c r="D544" s="48"/>
      <c r="E544" s="52"/>
      <c r="F544" s="54"/>
    </row>
    <row r="545" spans="4:6">
      <c r="D545" s="48"/>
      <c r="E545" s="52"/>
      <c r="F545" s="54"/>
    </row>
    <row r="546" spans="4:6">
      <c r="D546" s="48"/>
      <c r="E546" s="52"/>
      <c r="F546" s="54"/>
    </row>
    <row r="547" spans="4:6">
      <c r="D547" s="48"/>
      <c r="E547" s="52"/>
      <c r="F547" s="54"/>
    </row>
    <row r="548" spans="4:6">
      <c r="D548" s="48"/>
      <c r="E548" s="52"/>
      <c r="F548" s="54"/>
    </row>
    <row r="549" spans="4:6">
      <c r="D549" s="48"/>
      <c r="E549" s="52"/>
      <c r="F549" s="54"/>
    </row>
    <row r="550" spans="4:6">
      <c r="D550" s="48"/>
      <c r="E550" s="52"/>
      <c r="F550" s="54"/>
    </row>
    <row r="551" spans="4:6">
      <c r="D551" s="48"/>
      <c r="E551" s="52"/>
      <c r="F551" s="54"/>
    </row>
    <row r="552" spans="4:6">
      <c r="D552" s="48"/>
      <c r="E552" s="52"/>
      <c r="F552" s="54"/>
    </row>
    <row r="553" spans="4:6">
      <c r="D553" s="48"/>
      <c r="E553" s="52"/>
      <c r="F553" s="54"/>
    </row>
    <row r="554" spans="4:6">
      <c r="D554" s="48"/>
      <c r="E554" s="52"/>
      <c r="F554" s="54"/>
    </row>
    <row r="555" spans="4:6">
      <c r="D555" s="48"/>
      <c r="E555" s="52"/>
      <c r="F555" s="54"/>
    </row>
    <row r="556" spans="4:6">
      <c r="D556" s="48"/>
      <c r="E556" s="52"/>
      <c r="F556" s="54"/>
    </row>
    <row r="557" spans="4:6">
      <c r="D557" s="48"/>
      <c r="E557" s="52"/>
      <c r="F557" s="54"/>
    </row>
    <row r="558" spans="4:6">
      <c r="D558" s="48"/>
      <c r="E558" s="52"/>
      <c r="F558" s="54"/>
    </row>
    <row r="559" spans="4:6">
      <c r="D559" s="48"/>
      <c r="E559" s="52"/>
      <c r="F559" s="54"/>
    </row>
    <row r="560" spans="4:6">
      <c r="D560" s="48"/>
      <c r="E560" s="52"/>
      <c r="F560" s="54"/>
    </row>
    <row r="561" spans="4:6">
      <c r="D561" s="48"/>
      <c r="E561" s="52"/>
      <c r="F561" s="54"/>
    </row>
    <row r="562" spans="4:6">
      <c r="D562" s="48"/>
      <c r="E562" s="52"/>
      <c r="F562" s="54"/>
    </row>
    <row r="563" spans="4:6">
      <c r="D563" s="48"/>
      <c r="E563" s="52"/>
      <c r="F563" s="54"/>
    </row>
    <row r="564" spans="4:6">
      <c r="D564" s="48"/>
      <c r="E564" s="52"/>
      <c r="F564" s="54"/>
    </row>
    <row r="565" spans="4:6">
      <c r="D565" s="48"/>
      <c r="E565" s="52"/>
      <c r="F565" s="54"/>
    </row>
    <row r="566" spans="4:6">
      <c r="D566" s="48"/>
      <c r="E566" s="52"/>
      <c r="F566" s="54"/>
    </row>
    <row r="567" spans="4:6">
      <c r="D567" s="48"/>
      <c r="E567" s="52"/>
      <c r="F567" s="54"/>
    </row>
    <row r="568" spans="4:6">
      <c r="D568" s="48"/>
      <c r="E568" s="52"/>
      <c r="F568" s="54"/>
    </row>
    <row r="569" spans="4:6">
      <c r="D569" s="48"/>
      <c r="E569" s="52"/>
      <c r="F569" s="54"/>
    </row>
    <row r="570" spans="4:6">
      <c r="D570" s="48"/>
      <c r="E570" s="52"/>
      <c r="F570" s="54"/>
    </row>
    <row r="571" spans="4:6">
      <c r="D571" s="48"/>
      <c r="E571" s="52"/>
      <c r="F571" s="54"/>
    </row>
    <row r="572" spans="4:6">
      <c r="D572" s="48"/>
      <c r="E572" s="52"/>
      <c r="F572" s="54"/>
    </row>
    <row r="573" spans="4:6">
      <c r="D573" s="48"/>
      <c r="E573" s="52"/>
      <c r="F573" s="54"/>
    </row>
    <row r="574" spans="4:6">
      <c r="D574" s="48"/>
      <c r="E574" s="52"/>
      <c r="F574" s="54"/>
    </row>
    <row r="575" spans="4:6">
      <c r="D575" s="48"/>
      <c r="E575" s="52"/>
      <c r="F575" s="54"/>
    </row>
    <row r="576" spans="4:6">
      <c r="D576" s="48"/>
      <c r="E576" s="52"/>
      <c r="F576" s="54"/>
    </row>
    <row r="577" spans="4:6">
      <c r="D577" s="48"/>
      <c r="E577" s="52"/>
      <c r="F577" s="54"/>
    </row>
    <row r="578" spans="4:6">
      <c r="D578" s="48"/>
      <c r="E578" s="52"/>
      <c r="F578" s="54"/>
    </row>
    <row r="579" spans="4:6">
      <c r="D579" s="48"/>
      <c r="E579" s="52"/>
      <c r="F579" s="54"/>
    </row>
    <row r="580" spans="4:6">
      <c r="D580" s="48"/>
      <c r="E580" s="52"/>
      <c r="F580" s="54"/>
    </row>
    <row r="581" spans="4:6">
      <c r="D581" s="48"/>
      <c r="E581" s="52"/>
      <c r="F581" s="54"/>
    </row>
    <row r="582" spans="4:6">
      <c r="D582" s="48"/>
      <c r="E582" s="52"/>
      <c r="F582" s="54"/>
    </row>
    <row r="583" spans="4:6">
      <c r="D583" s="48"/>
      <c r="E583" s="52"/>
      <c r="F583" s="54"/>
    </row>
    <row r="584" spans="4:6">
      <c r="D584" s="48"/>
      <c r="E584" s="52"/>
      <c r="F584" s="54"/>
    </row>
    <row r="585" spans="4:6">
      <c r="D585" s="48"/>
      <c r="E585" s="52"/>
      <c r="F585" s="54"/>
    </row>
    <row r="586" spans="4:6">
      <c r="D586" s="48"/>
      <c r="E586" s="52"/>
      <c r="F586" s="54"/>
    </row>
    <row r="587" spans="4:6">
      <c r="D587" s="48"/>
      <c r="E587" s="52"/>
      <c r="F587" s="54"/>
    </row>
    <row r="588" spans="4:6">
      <c r="D588" s="48"/>
      <c r="E588" s="52"/>
      <c r="F588" s="54"/>
    </row>
    <row r="589" spans="4:6">
      <c r="D589" s="48"/>
      <c r="E589" s="52"/>
      <c r="F589" s="54"/>
    </row>
    <row r="590" spans="4:6">
      <c r="D590" s="48"/>
      <c r="E590" s="52"/>
      <c r="F590" s="54"/>
    </row>
    <row r="591" spans="4:6">
      <c r="D591" s="48"/>
      <c r="E591" s="52"/>
      <c r="F591" s="54"/>
    </row>
    <row r="592" spans="4:6">
      <c r="D592" s="48"/>
      <c r="E592" s="52"/>
      <c r="F592" s="54"/>
    </row>
    <row r="593" spans="4:6">
      <c r="D593" s="48"/>
      <c r="E593" s="52"/>
      <c r="F593" s="54"/>
    </row>
    <row r="594" spans="4:6">
      <c r="D594" s="48"/>
      <c r="E594" s="52"/>
      <c r="F594" s="54"/>
    </row>
    <row r="595" spans="4:6">
      <c r="D595" s="48"/>
      <c r="E595" s="52"/>
      <c r="F595" s="54"/>
    </row>
    <row r="596" spans="4:6">
      <c r="D596" s="48"/>
      <c r="E596" s="52"/>
      <c r="F596" s="54"/>
    </row>
    <row r="597" spans="4:6">
      <c r="D597" s="48"/>
      <c r="E597" s="52"/>
      <c r="F597" s="54"/>
    </row>
    <row r="598" spans="4:6">
      <c r="D598" s="48"/>
      <c r="E598" s="52"/>
      <c r="F598" s="54"/>
    </row>
    <row r="599" spans="4:6">
      <c r="D599" s="48"/>
      <c r="E599" s="52"/>
      <c r="F599" s="54"/>
    </row>
    <row r="600" spans="4:6">
      <c r="D600" s="48"/>
      <c r="E600" s="52"/>
      <c r="F600" s="54"/>
    </row>
    <row r="601" spans="4:6">
      <c r="D601" s="48"/>
      <c r="E601" s="52"/>
      <c r="F601" s="54"/>
    </row>
    <row r="602" spans="4:6">
      <c r="D602" s="48"/>
      <c r="E602" s="52"/>
      <c r="F602" s="54"/>
    </row>
    <row r="603" spans="4:6">
      <c r="D603" s="48"/>
      <c r="E603" s="52"/>
      <c r="F603" s="54"/>
    </row>
    <row r="604" spans="4:6">
      <c r="D604" s="48"/>
      <c r="E604" s="52"/>
      <c r="F604" s="54"/>
    </row>
    <row r="605" spans="4:6">
      <c r="D605" s="48"/>
      <c r="E605" s="52"/>
      <c r="F605" s="54"/>
    </row>
    <row r="606" spans="4:6">
      <c r="D606" s="48"/>
      <c r="E606" s="52"/>
      <c r="F606" s="54"/>
    </row>
    <row r="607" spans="4:6">
      <c r="D607" s="48"/>
      <c r="E607" s="52"/>
      <c r="F607" s="54"/>
    </row>
    <row r="608" spans="4:6">
      <c r="D608" s="48"/>
      <c r="E608" s="52"/>
      <c r="F608" s="54"/>
    </row>
    <row r="609" spans="4:6">
      <c r="D609" s="48"/>
      <c r="E609" s="52"/>
      <c r="F609" s="54"/>
    </row>
    <row r="610" spans="4:6">
      <c r="D610" s="48"/>
      <c r="E610" s="52"/>
      <c r="F610" s="54"/>
    </row>
    <row r="611" spans="4:6">
      <c r="D611" s="48"/>
      <c r="E611" s="52"/>
      <c r="F611" s="54"/>
    </row>
    <row r="612" spans="4:6">
      <c r="D612" s="48"/>
      <c r="E612" s="52"/>
      <c r="F612" s="54"/>
    </row>
    <row r="613" spans="4:6">
      <c r="D613" s="48"/>
      <c r="E613" s="52"/>
      <c r="F613" s="54"/>
    </row>
    <row r="614" spans="4:6">
      <c r="D614" s="48"/>
      <c r="E614" s="52"/>
      <c r="F614" s="54"/>
    </row>
    <row r="615" spans="4:6">
      <c r="D615" s="48"/>
      <c r="E615" s="52"/>
      <c r="F615" s="54"/>
    </row>
    <row r="616" spans="4:6">
      <c r="D616" s="48"/>
      <c r="E616" s="52"/>
      <c r="F616" s="54"/>
    </row>
    <row r="617" spans="4:6">
      <c r="D617" s="48"/>
      <c r="E617" s="52"/>
      <c r="F617" s="54"/>
    </row>
    <row r="618" spans="4:6">
      <c r="D618" s="48"/>
      <c r="E618" s="52"/>
      <c r="F618" s="54"/>
    </row>
    <row r="619" spans="4:6">
      <c r="D619" s="48"/>
      <c r="E619" s="52"/>
      <c r="F619" s="54"/>
    </row>
    <row r="620" spans="4:6">
      <c r="D620" s="48"/>
      <c r="E620" s="52"/>
      <c r="F620" s="54"/>
    </row>
    <row r="621" spans="4:6">
      <c r="D621" s="48"/>
      <c r="E621" s="52"/>
      <c r="F621" s="54"/>
    </row>
    <row r="622" spans="4:6">
      <c r="D622" s="48"/>
      <c r="E622" s="52"/>
      <c r="F622" s="54"/>
    </row>
    <row r="623" spans="4:6">
      <c r="D623" s="48"/>
      <c r="E623" s="52"/>
      <c r="F623" s="54"/>
    </row>
    <row r="624" spans="4:6">
      <c r="D624" s="48"/>
      <c r="E624" s="52"/>
      <c r="F624" s="54"/>
    </row>
    <row r="625" spans="4:6">
      <c r="D625" s="48"/>
      <c r="E625" s="52"/>
      <c r="F625" s="54"/>
    </row>
    <row r="626" spans="4:6">
      <c r="D626" s="48"/>
      <c r="E626" s="52"/>
      <c r="F626" s="54"/>
    </row>
    <row r="627" spans="4:6">
      <c r="D627" s="48"/>
      <c r="E627" s="52"/>
      <c r="F627" s="54"/>
    </row>
    <row r="628" spans="4:6">
      <c r="D628" s="48"/>
      <c r="E628" s="52"/>
      <c r="F628" s="54"/>
    </row>
    <row r="629" spans="4:6">
      <c r="D629" s="48"/>
      <c r="E629" s="52"/>
      <c r="F629" s="54"/>
    </row>
    <row r="630" spans="4:6">
      <c r="D630" s="48"/>
      <c r="E630" s="52"/>
      <c r="F630" s="54"/>
    </row>
    <row r="631" spans="4:6">
      <c r="D631" s="48"/>
      <c r="E631" s="52"/>
      <c r="F631" s="54"/>
    </row>
    <row r="632" spans="4:6">
      <c r="D632" s="48"/>
      <c r="E632" s="52"/>
      <c r="F632" s="54"/>
    </row>
    <row r="633" spans="4:6">
      <c r="D633" s="48"/>
      <c r="E633" s="52"/>
      <c r="F633" s="54"/>
    </row>
    <row r="634" spans="4:6">
      <c r="D634" s="48"/>
      <c r="E634" s="52"/>
      <c r="F634" s="54"/>
    </row>
    <row r="635" spans="4:6">
      <c r="D635" s="48"/>
      <c r="E635" s="52"/>
      <c r="F635" s="54"/>
    </row>
    <row r="636" spans="4:6">
      <c r="D636" s="48"/>
      <c r="E636" s="52"/>
      <c r="F636" s="54"/>
    </row>
    <row r="637" spans="4:6">
      <c r="D637" s="48"/>
      <c r="E637" s="52"/>
      <c r="F637" s="54"/>
    </row>
    <row r="638" spans="4:6">
      <c r="D638" s="48"/>
      <c r="E638" s="52"/>
      <c r="F638" s="54"/>
    </row>
    <row r="639" spans="4:6">
      <c r="D639" s="48"/>
      <c r="E639" s="52"/>
      <c r="F639" s="54"/>
    </row>
    <row r="640" spans="4:6">
      <c r="D640" s="48"/>
      <c r="E640" s="52"/>
      <c r="F640" s="54"/>
    </row>
    <row r="641" spans="4:6">
      <c r="D641" s="48"/>
      <c r="E641" s="52"/>
      <c r="F641" s="54"/>
    </row>
    <row r="642" spans="4:6">
      <c r="D642" s="48"/>
      <c r="E642" s="52"/>
      <c r="F642" s="54"/>
    </row>
    <row r="643" spans="4:6">
      <c r="D643" s="48"/>
      <c r="E643" s="52"/>
      <c r="F643" s="54"/>
    </row>
    <row r="644" spans="4:6">
      <c r="D644" s="48"/>
      <c r="E644" s="52"/>
      <c r="F644" s="54"/>
    </row>
    <row r="645" spans="4:6">
      <c r="D645" s="48"/>
      <c r="E645" s="52"/>
      <c r="F645" s="54"/>
    </row>
    <row r="646" spans="4:6">
      <c r="D646" s="48"/>
      <c r="E646" s="52"/>
      <c r="F646" s="54"/>
    </row>
    <row r="647" spans="4:6">
      <c r="D647" s="48"/>
      <c r="E647" s="52"/>
      <c r="F647" s="54"/>
    </row>
    <row r="648" spans="4:6">
      <c r="D648" s="48"/>
      <c r="E648" s="52"/>
      <c r="F648" s="54"/>
    </row>
    <row r="649" spans="4:6">
      <c r="D649" s="48"/>
      <c r="E649" s="52"/>
      <c r="F649" s="54"/>
    </row>
    <row r="650" spans="4:6">
      <c r="D650" s="48"/>
      <c r="E650" s="52"/>
      <c r="F650" s="54"/>
    </row>
    <row r="651" spans="4:6">
      <c r="D651" s="48"/>
      <c r="E651" s="52"/>
      <c r="F651" s="54"/>
    </row>
    <row r="652" spans="4:6">
      <c r="D652" s="48"/>
      <c r="E652" s="52"/>
      <c r="F652" s="54"/>
    </row>
    <row r="653" spans="4:6">
      <c r="D653" s="48"/>
      <c r="E653" s="52"/>
      <c r="F653" s="54"/>
    </row>
    <row r="654" spans="4:6">
      <c r="D654" s="48"/>
      <c r="E654" s="52"/>
      <c r="F654" s="54"/>
    </row>
    <row r="655" spans="4:6">
      <c r="D655" s="48"/>
      <c r="E655" s="52"/>
      <c r="F655" s="54"/>
    </row>
    <row r="656" spans="4:6">
      <c r="D656" s="48"/>
      <c r="E656" s="52"/>
      <c r="F656" s="54"/>
    </row>
    <row r="657" spans="4:6">
      <c r="D657" s="48"/>
      <c r="E657" s="52"/>
      <c r="F657" s="54"/>
    </row>
    <row r="658" spans="4:6">
      <c r="D658" s="48"/>
      <c r="E658" s="52"/>
      <c r="F658" s="54"/>
    </row>
    <row r="659" spans="4:6">
      <c r="D659" s="48"/>
      <c r="E659" s="52"/>
      <c r="F659" s="54"/>
    </row>
    <row r="660" spans="4:6">
      <c r="D660" s="48"/>
      <c r="E660" s="52"/>
      <c r="F660" s="54"/>
    </row>
    <row r="661" spans="4:6">
      <c r="D661" s="48"/>
      <c r="E661" s="52"/>
      <c r="F661" s="54"/>
    </row>
    <row r="662" spans="4:6">
      <c r="D662" s="48"/>
      <c r="E662" s="52"/>
      <c r="F662" s="54"/>
    </row>
    <row r="663" spans="4:6">
      <c r="D663" s="48"/>
      <c r="E663" s="52"/>
      <c r="F663" s="54"/>
    </row>
    <row r="664" spans="4:6">
      <c r="D664" s="48"/>
      <c r="E664" s="52"/>
      <c r="F664" s="54"/>
    </row>
    <row r="665" spans="4:6">
      <c r="D665" s="48"/>
      <c r="E665" s="52"/>
      <c r="F665" s="54"/>
    </row>
    <row r="666" spans="4:6">
      <c r="D666" s="48"/>
      <c r="E666" s="52"/>
      <c r="F666" s="54"/>
    </row>
    <row r="667" spans="4:6">
      <c r="D667" s="48"/>
      <c r="E667" s="52"/>
      <c r="F667" s="54"/>
    </row>
    <row r="668" spans="4:6">
      <c r="D668" s="48"/>
      <c r="E668" s="52"/>
      <c r="F668" s="54"/>
    </row>
    <row r="669" spans="4:6">
      <c r="D669" s="48"/>
      <c r="E669" s="52"/>
      <c r="F669" s="54"/>
    </row>
    <row r="670" spans="4:6">
      <c r="D670" s="48"/>
      <c r="E670" s="52"/>
      <c r="F670" s="54"/>
    </row>
    <row r="671" spans="4:6">
      <c r="D671" s="48"/>
      <c r="E671" s="52"/>
      <c r="F671" s="54"/>
    </row>
    <row r="672" spans="4:6">
      <c r="D672" s="48"/>
      <c r="E672" s="52"/>
      <c r="F672" s="54"/>
    </row>
    <row r="673" spans="4:6">
      <c r="D673" s="48"/>
      <c r="E673" s="52"/>
      <c r="F673" s="54"/>
    </row>
    <row r="674" spans="4:6">
      <c r="D674" s="48"/>
      <c r="E674" s="52"/>
      <c r="F674" s="54"/>
    </row>
    <row r="675" spans="4:6">
      <c r="D675" s="48"/>
      <c r="E675" s="52"/>
      <c r="F675" s="54"/>
    </row>
    <row r="676" spans="4:6">
      <c r="D676" s="48"/>
      <c r="E676" s="52"/>
      <c r="F676" s="54"/>
    </row>
    <row r="677" spans="4:6">
      <c r="D677" s="48"/>
      <c r="E677" s="52"/>
      <c r="F677" s="54"/>
    </row>
    <row r="678" spans="4:6">
      <c r="D678" s="48"/>
      <c r="E678" s="52"/>
      <c r="F678" s="54"/>
    </row>
    <row r="679" spans="4:6">
      <c r="D679" s="48"/>
      <c r="E679" s="52"/>
      <c r="F679" s="54"/>
    </row>
    <row r="680" spans="4:6">
      <c r="D680" s="48"/>
      <c r="E680" s="52"/>
      <c r="F680" s="54"/>
    </row>
    <row r="681" spans="4:6">
      <c r="D681" s="48"/>
      <c r="E681" s="52"/>
      <c r="F681" s="54"/>
    </row>
    <row r="682" spans="4:6">
      <c r="D682" s="48"/>
      <c r="E682" s="52"/>
      <c r="F682" s="54"/>
    </row>
    <row r="683" spans="4:6">
      <c r="D683" s="48"/>
      <c r="E683" s="52"/>
      <c r="F683" s="54"/>
    </row>
    <row r="684" spans="4:6">
      <c r="D684" s="48"/>
      <c r="E684" s="52"/>
      <c r="F684" s="54"/>
    </row>
    <row r="685" spans="4:6">
      <c r="D685" s="48"/>
      <c r="E685" s="52"/>
      <c r="F685" s="54"/>
    </row>
    <row r="686" spans="4:6">
      <c r="D686" s="48"/>
      <c r="E686" s="52"/>
      <c r="F686" s="54"/>
    </row>
    <row r="687" spans="4:6">
      <c r="D687" s="48"/>
      <c r="E687" s="52"/>
      <c r="F687" s="54"/>
    </row>
    <row r="688" spans="4:6">
      <c r="D688" s="48"/>
      <c r="E688" s="52"/>
      <c r="F688" s="54"/>
    </row>
    <row r="689" spans="4:6">
      <c r="D689" s="48"/>
      <c r="E689" s="52"/>
      <c r="F689" s="54"/>
    </row>
    <row r="690" spans="4:6">
      <c r="D690" s="48"/>
      <c r="E690" s="52"/>
      <c r="F690" s="54"/>
    </row>
    <row r="691" spans="4:6">
      <c r="D691" s="48"/>
      <c r="E691" s="52"/>
      <c r="F691" s="54"/>
    </row>
    <row r="692" spans="4:6">
      <c r="D692" s="48"/>
      <c r="E692" s="52"/>
      <c r="F692" s="54"/>
    </row>
    <row r="693" spans="4:6">
      <c r="D693" s="48"/>
      <c r="E693" s="52"/>
      <c r="F693" s="54"/>
    </row>
    <row r="694" spans="4:6">
      <c r="D694" s="48"/>
      <c r="E694" s="52"/>
      <c r="F694" s="54"/>
    </row>
    <row r="695" spans="4:6">
      <c r="D695" s="48"/>
      <c r="E695" s="52"/>
      <c r="F695" s="54"/>
    </row>
    <row r="696" spans="4:6">
      <c r="D696" s="48"/>
      <c r="E696" s="52"/>
      <c r="F696" s="54"/>
    </row>
    <row r="697" spans="4:6">
      <c r="D697" s="48"/>
      <c r="E697" s="52"/>
      <c r="F697" s="54"/>
    </row>
    <row r="698" spans="4:6">
      <c r="D698" s="48"/>
      <c r="E698" s="52"/>
      <c r="F698" s="54"/>
    </row>
    <row r="699" spans="4:6">
      <c r="D699" s="48"/>
      <c r="E699" s="52"/>
      <c r="F699" s="54"/>
    </row>
    <row r="700" spans="4:6">
      <c r="D700" s="48"/>
      <c r="E700" s="52"/>
      <c r="F700" s="54"/>
    </row>
    <row r="701" spans="4:6">
      <c r="D701" s="48"/>
      <c r="E701" s="52"/>
      <c r="F701" s="54"/>
    </row>
    <row r="702" spans="4:6">
      <c r="D702" s="48"/>
      <c r="E702" s="52"/>
      <c r="F702" s="54"/>
    </row>
    <row r="703" spans="4:6">
      <c r="D703" s="48"/>
      <c r="E703" s="52"/>
      <c r="F703" s="54"/>
    </row>
    <row r="704" spans="4:6">
      <c r="D704" s="48"/>
      <c r="E704" s="52"/>
      <c r="F704" s="54"/>
    </row>
    <row r="705" spans="4:6">
      <c r="D705" s="48"/>
      <c r="E705" s="52"/>
      <c r="F705" s="54"/>
    </row>
    <row r="706" spans="4:6">
      <c r="D706" s="48"/>
      <c r="E706" s="52"/>
      <c r="F706" s="54"/>
    </row>
    <row r="707" spans="4:6">
      <c r="D707" s="48"/>
      <c r="E707" s="52"/>
      <c r="F707" s="54"/>
    </row>
    <row r="708" spans="4:6">
      <c r="D708" s="48"/>
      <c r="E708" s="52"/>
      <c r="F708" s="54"/>
    </row>
    <row r="709" spans="4:6">
      <c r="D709" s="48"/>
      <c r="E709" s="52"/>
      <c r="F709" s="54"/>
    </row>
    <row r="710" spans="4:6">
      <c r="D710" s="48"/>
      <c r="E710" s="52"/>
      <c r="F710" s="54"/>
    </row>
    <row r="711" spans="4:6">
      <c r="D711" s="48"/>
      <c r="E711" s="52"/>
      <c r="F711" s="54"/>
    </row>
    <row r="712" spans="4:6">
      <c r="D712" s="48"/>
      <c r="E712" s="52"/>
      <c r="F712" s="54"/>
    </row>
    <row r="713" spans="4:6">
      <c r="D713" s="48"/>
      <c r="E713" s="52"/>
      <c r="F713" s="54"/>
    </row>
    <row r="714" spans="4:6">
      <c r="D714" s="48"/>
      <c r="E714" s="52"/>
      <c r="F714" s="54"/>
    </row>
    <row r="715" spans="4:6">
      <c r="D715" s="48"/>
      <c r="E715" s="52"/>
      <c r="F715" s="54"/>
    </row>
    <row r="716" spans="4:6">
      <c r="D716" s="48"/>
      <c r="E716" s="52"/>
      <c r="F716" s="54"/>
    </row>
    <row r="717" spans="4:6">
      <c r="D717" s="48"/>
      <c r="E717" s="52"/>
      <c r="F717" s="54"/>
    </row>
    <row r="718" spans="4:6">
      <c r="D718" s="48"/>
      <c r="E718" s="52"/>
      <c r="F718" s="54"/>
    </row>
    <row r="719" spans="4:6">
      <c r="D719" s="48"/>
      <c r="E719" s="52"/>
      <c r="F719" s="54"/>
    </row>
    <row r="720" spans="4:6">
      <c r="D720" s="48"/>
      <c r="E720" s="52"/>
      <c r="F720" s="54"/>
    </row>
    <row r="721" spans="4:6">
      <c r="D721" s="48"/>
      <c r="E721" s="52"/>
      <c r="F721" s="54"/>
    </row>
    <row r="722" spans="4:6">
      <c r="D722" s="48"/>
      <c r="E722" s="52"/>
      <c r="F722" s="54"/>
    </row>
    <row r="723" spans="4:6">
      <c r="D723" s="48"/>
      <c r="E723" s="52"/>
      <c r="F723" s="54"/>
    </row>
    <row r="724" spans="4:6">
      <c r="D724" s="48"/>
      <c r="E724" s="52"/>
      <c r="F724" s="54"/>
    </row>
    <row r="725" spans="4:6">
      <c r="D725" s="48"/>
      <c r="E725" s="52"/>
      <c r="F725" s="54"/>
    </row>
    <row r="726" spans="4:6">
      <c r="D726" s="48"/>
      <c r="E726" s="52"/>
      <c r="F726" s="54"/>
    </row>
    <row r="727" spans="4:6">
      <c r="D727" s="48"/>
      <c r="E727" s="52"/>
      <c r="F727" s="54"/>
    </row>
    <row r="728" spans="4:6">
      <c r="D728" s="48"/>
      <c r="E728" s="52"/>
      <c r="F728" s="54"/>
    </row>
    <row r="729" spans="4:6">
      <c r="D729" s="48"/>
      <c r="E729" s="52"/>
      <c r="F729" s="54"/>
    </row>
    <row r="730" spans="4:6">
      <c r="D730" s="48"/>
      <c r="E730" s="52"/>
      <c r="F730" s="54"/>
    </row>
    <row r="731" spans="4:6">
      <c r="D731" s="48"/>
      <c r="E731" s="52"/>
      <c r="F731" s="54"/>
    </row>
    <row r="732" spans="4:6">
      <c r="D732" s="48"/>
      <c r="E732" s="52"/>
      <c r="F732" s="54"/>
    </row>
    <row r="733" spans="4:6">
      <c r="D733" s="48"/>
      <c r="E733" s="52"/>
      <c r="F733" s="54"/>
    </row>
    <row r="734" spans="4:6">
      <c r="D734" s="48"/>
      <c r="E734" s="52"/>
      <c r="F734" s="54"/>
    </row>
    <row r="735" spans="4:6">
      <c r="D735" s="48"/>
      <c r="E735" s="52"/>
      <c r="F735" s="54"/>
    </row>
    <row r="736" spans="4:6">
      <c r="D736" s="48"/>
      <c r="E736" s="52"/>
      <c r="F736" s="54"/>
    </row>
    <row r="737" spans="4:6">
      <c r="D737" s="48"/>
      <c r="E737" s="52"/>
      <c r="F737" s="54"/>
    </row>
    <row r="738" spans="4:6">
      <c r="D738" s="48"/>
      <c r="E738" s="52"/>
      <c r="F738" s="54"/>
    </row>
    <row r="739" spans="4:6">
      <c r="D739" s="48"/>
      <c r="E739" s="52"/>
      <c r="F739" s="54"/>
    </row>
    <row r="740" spans="4:6">
      <c r="D740" s="48"/>
      <c r="E740" s="52"/>
      <c r="F740" s="54"/>
    </row>
    <row r="741" spans="4:6">
      <c r="D741" s="48"/>
      <c r="E741" s="52"/>
      <c r="F741" s="54"/>
    </row>
    <row r="742" spans="4:6">
      <c r="D742" s="48"/>
      <c r="E742" s="52"/>
      <c r="F742" s="54"/>
    </row>
    <row r="743" spans="4:6">
      <c r="D743" s="48"/>
      <c r="E743" s="52"/>
      <c r="F743" s="54"/>
    </row>
    <row r="744" spans="4:6">
      <c r="D744" s="48"/>
      <c r="E744" s="52"/>
      <c r="F744" s="54"/>
    </row>
    <row r="745" spans="4:6">
      <c r="D745" s="48"/>
      <c r="E745" s="52"/>
      <c r="F745" s="54"/>
    </row>
    <row r="746" spans="4:6">
      <c r="D746" s="48"/>
      <c r="E746" s="52"/>
      <c r="F746" s="54"/>
    </row>
    <row r="747" spans="4:6">
      <c r="D747" s="48"/>
      <c r="E747" s="52"/>
      <c r="F747" s="54"/>
    </row>
    <row r="748" spans="4:6">
      <c r="D748" s="48"/>
      <c r="E748" s="52"/>
      <c r="F748" s="54"/>
    </row>
    <row r="749" spans="4:6">
      <c r="D749" s="48"/>
      <c r="E749" s="52"/>
      <c r="F749" s="54"/>
    </row>
    <row r="750" spans="4:6">
      <c r="D750" s="48"/>
      <c r="E750" s="52"/>
      <c r="F750" s="54"/>
    </row>
    <row r="751" spans="4:6">
      <c r="D751" s="48"/>
      <c r="E751" s="52"/>
      <c r="F751" s="54"/>
    </row>
    <row r="752" spans="4:6">
      <c r="D752" s="48"/>
      <c r="E752" s="52"/>
      <c r="F752" s="54"/>
    </row>
    <row r="753" spans="4:6">
      <c r="D753" s="48"/>
      <c r="E753" s="52"/>
      <c r="F753" s="54"/>
    </row>
    <row r="754" spans="4:6">
      <c r="D754" s="48"/>
      <c r="E754" s="52"/>
      <c r="F754" s="54"/>
    </row>
    <row r="755" spans="4:6">
      <c r="D755" s="48"/>
      <c r="E755" s="52"/>
      <c r="F755" s="54"/>
    </row>
    <row r="756" spans="4:6">
      <c r="D756" s="48"/>
      <c r="E756" s="52"/>
      <c r="F756" s="54"/>
    </row>
    <row r="757" spans="4:6">
      <c r="D757" s="48"/>
      <c r="E757" s="52"/>
      <c r="F757" s="54"/>
    </row>
    <row r="758" spans="4:6">
      <c r="D758" s="48"/>
      <c r="E758" s="52"/>
      <c r="F758" s="54"/>
    </row>
    <row r="759" spans="4:6">
      <c r="D759" s="48"/>
      <c r="E759" s="52"/>
      <c r="F759" s="54"/>
    </row>
    <row r="760" spans="4:6">
      <c r="D760" s="48"/>
      <c r="E760" s="52"/>
      <c r="F760" s="54"/>
    </row>
    <row r="761" spans="4:6">
      <c r="D761" s="48"/>
      <c r="E761" s="52"/>
      <c r="F761" s="54"/>
    </row>
    <row r="762" spans="4:6">
      <c r="D762" s="48"/>
      <c r="E762" s="52"/>
      <c r="F762" s="54"/>
    </row>
    <row r="763" spans="4:6">
      <c r="D763" s="48"/>
      <c r="E763" s="52"/>
      <c r="F763" s="54"/>
    </row>
    <row r="764" spans="4:6">
      <c r="D764" s="48"/>
      <c r="E764" s="52"/>
      <c r="F764" s="54"/>
    </row>
    <row r="765" spans="4:6">
      <c r="D765" s="48"/>
      <c r="E765" s="52"/>
      <c r="F765" s="54"/>
    </row>
    <row r="766" spans="4:6">
      <c r="D766" s="48"/>
      <c r="E766" s="52"/>
      <c r="F766" s="54"/>
    </row>
    <row r="767" spans="4:6">
      <c r="D767" s="48"/>
      <c r="E767" s="52"/>
      <c r="F767" s="54"/>
    </row>
    <row r="768" spans="4:6">
      <c r="D768" s="48"/>
      <c r="E768" s="52"/>
      <c r="F768" s="54"/>
    </row>
    <row r="769" spans="4:6">
      <c r="D769" s="48"/>
      <c r="E769" s="52"/>
      <c r="F769" s="54"/>
    </row>
    <row r="770" spans="4:6">
      <c r="D770" s="48"/>
      <c r="E770" s="52"/>
      <c r="F770" s="54"/>
    </row>
    <row r="771" spans="4:6">
      <c r="D771" s="48"/>
      <c r="E771" s="52"/>
      <c r="F771" s="54"/>
    </row>
    <row r="772" spans="4:6">
      <c r="D772" s="48"/>
      <c r="E772" s="52"/>
      <c r="F772" s="54"/>
    </row>
    <row r="773" spans="4:6">
      <c r="D773" s="48"/>
      <c r="E773" s="52"/>
      <c r="F773" s="54"/>
    </row>
    <row r="774" spans="4:6">
      <c r="D774" s="48"/>
      <c r="E774" s="52"/>
      <c r="F774" s="54"/>
    </row>
    <row r="775" spans="4:6">
      <c r="D775" s="48"/>
      <c r="E775" s="52"/>
      <c r="F775" s="54"/>
    </row>
    <row r="776" spans="4:6">
      <c r="D776" s="48"/>
      <c r="E776" s="52"/>
      <c r="F776" s="54"/>
    </row>
    <row r="777" spans="4:6">
      <c r="D777" s="48"/>
      <c r="E777" s="52"/>
      <c r="F777" s="54"/>
    </row>
    <row r="778" spans="4:6">
      <c r="D778" s="48"/>
      <c r="E778" s="52"/>
      <c r="F778" s="54"/>
    </row>
    <row r="779" spans="4:6">
      <c r="D779" s="48"/>
      <c r="E779" s="52"/>
      <c r="F779" s="54"/>
    </row>
    <row r="780" spans="4:6">
      <c r="D780" s="48"/>
      <c r="E780" s="52"/>
      <c r="F780" s="54"/>
    </row>
    <row r="781" spans="4:6">
      <c r="D781" s="48"/>
      <c r="E781" s="52"/>
      <c r="F781" s="54"/>
    </row>
    <row r="782" spans="4:6">
      <c r="D782" s="48"/>
      <c r="E782" s="52"/>
      <c r="F782" s="54"/>
    </row>
    <row r="783" spans="4:6">
      <c r="D783" s="48"/>
      <c r="E783" s="52"/>
      <c r="F783" s="54"/>
    </row>
    <row r="784" spans="4:6">
      <c r="D784" s="48"/>
      <c r="E784" s="52"/>
      <c r="F784" s="54"/>
    </row>
    <row r="785" spans="4:6">
      <c r="D785" s="48"/>
      <c r="E785" s="52"/>
      <c r="F785" s="54"/>
    </row>
    <row r="786" spans="4:6">
      <c r="D786" s="48"/>
      <c r="E786" s="52"/>
      <c r="F786" s="54"/>
    </row>
    <row r="787" spans="4:6">
      <c r="D787" s="48"/>
      <c r="E787" s="52"/>
      <c r="F787" s="54"/>
    </row>
    <row r="788" spans="4:6">
      <c r="D788" s="48"/>
      <c r="E788" s="52"/>
      <c r="F788" s="54"/>
    </row>
    <row r="789" spans="4:6">
      <c r="D789" s="48"/>
      <c r="E789" s="52"/>
      <c r="F789" s="54"/>
    </row>
    <row r="790" spans="4:6">
      <c r="D790" s="48"/>
      <c r="E790" s="52"/>
      <c r="F790" s="54"/>
    </row>
    <row r="791" spans="4:6">
      <c r="D791" s="48"/>
      <c r="E791" s="52"/>
      <c r="F791" s="54"/>
    </row>
    <row r="792" spans="4:6">
      <c r="D792" s="48"/>
      <c r="E792" s="52"/>
      <c r="F792" s="54"/>
    </row>
    <row r="793" spans="4:6">
      <c r="D793" s="48"/>
      <c r="E793" s="52"/>
      <c r="F793" s="54"/>
    </row>
    <row r="794" spans="4:6">
      <c r="D794" s="48"/>
      <c r="E794" s="52"/>
      <c r="F794" s="54"/>
    </row>
    <row r="795" spans="4:6">
      <c r="D795" s="48"/>
      <c r="E795" s="52"/>
      <c r="F795" s="54"/>
    </row>
    <row r="796" spans="4:6">
      <c r="D796" s="48"/>
      <c r="E796" s="52"/>
      <c r="F796" s="54"/>
    </row>
    <row r="797" spans="4:6">
      <c r="D797" s="48"/>
      <c r="E797" s="52"/>
      <c r="F797" s="54"/>
    </row>
    <row r="798" spans="4:6">
      <c r="D798" s="48"/>
      <c r="E798" s="52"/>
      <c r="F798" s="54"/>
    </row>
    <row r="799" spans="4:6">
      <c r="D799" s="48"/>
      <c r="E799" s="52"/>
      <c r="F799" s="54"/>
    </row>
    <row r="800" spans="4:6">
      <c r="D800" s="48"/>
      <c r="E800" s="52"/>
      <c r="F800" s="54"/>
    </row>
    <row r="801" spans="4:6">
      <c r="D801" s="48"/>
      <c r="E801" s="52"/>
      <c r="F801" s="54"/>
    </row>
    <row r="802" spans="4:6">
      <c r="D802" s="48"/>
      <c r="E802" s="52"/>
      <c r="F802" s="54"/>
    </row>
    <row r="803" spans="4:6">
      <c r="D803" s="48"/>
      <c r="E803" s="52"/>
      <c r="F803" s="54"/>
    </row>
    <row r="804" spans="4:6">
      <c r="D804" s="48"/>
      <c r="E804" s="52"/>
      <c r="F804" s="54"/>
    </row>
    <row r="805" spans="4:6">
      <c r="D805" s="48"/>
      <c r="E805" s="52"/>
      <c r="F805" s="54"/>
    </row>
    <row r="806" spans="4:6">
      <c r="D806" s="48"/>
      <c r="E806" s="52"/>
      <c r="F806" s="54"/>
    </row>
    <row r="807" spans="4:6">
      <c r="D807" s="48"/>
      <c r="E807" s="52"/>
      <c r="F807" s="54"/>
    </row>
    <row r="808" spans="4:6">
      <c r="D808" s="48"/>
      <c r="E808" s="52"/>
      <c r="F808" s="54"/>
    </row>
    <row r="809" spans="4:6">
      <c r="D809" s="48"/>
      <c r="E809" s="52"/>
      <c r="F809" s="54"/>
    </row>
    <row r="810" spans="4:6">
      <c r="D810" s="48"/>
      <c r="E810" s="52"/>
      <c r="F810" s="54"/>
    </row>
    <row r="811" spans="4:6">
      <c r="D811" s="48"/>
      <c r="E811" s="52"/>
      <c r="F811" s="54"/>
    </row>
    <row r="812" spans="4:6">
      <c r="D812" s="48"/>
      <c r="E812" s="52"/>
      <c r="F812" s="54"/>
    </row>
    <row r="813" spans="4:6">
      <c r="D813" s="48"/>
      <c r="E813" s="52"/>
      <c r="F813" s="54"/>
    </row>
    <row r="814" spans="4:6">
      <c r="D814" s="48"/>
      <c r="E814" s="52"/>
      <c r="F814" s="54"/>
    </row>
    <row r="815" spans="4:6">
      <c r="D815" s="48"/>
      <c r="E815" s="52"/>
      <c r="F815" s="54"/>
    </row>
    <row r="816" spans="4:6">
      <c r="D816" s="48"/>
      <c r="E816" s="52"/>
      <c r="F816" s="54"/>
    </row>
    <row r="817" spans="4:6">
      <c r="D817" s="48"/>
      <c r="E817" s="52"/>
      <c r="F817" s="54"/>
    </row>
    <row r="818" spans="4:6">
      <c r="D818" s="48"/>
      <c r="E818" s="52"/>
      <c r="F818" s="54"/>
    </row>
    <row r="819" spans="4:6">
      <c r="D819" s="48"/>
      <c r="E819" s="52"/>
      <c r="F819" s="54"/>
    </row>
    <row r="820" spans="4:6">
      <c r="D820" s="48"/>
      <c r="E820" s="52"/>
      <c r="F820" s="54"/>
    </row>
    <row r="821" spans="4:6">
      <c r="D821" s="48"/>
      <c r="E821" s="52"/>
      <c r="F821" s="54"/>
    </row>
    <row r="822" spans="4:6">
      <c r="D822" s="48"/>
      <c r="E822" s="52"/>
      <c r="F822" s="54"/>
    </row>
    <row r="823" spans="4:6">
      <c r="D823" s="48"/>
      <c r="E823" s="52"/>
      <c r="F823" s="54"/>
    </row>
    <row r="824" spans="4:6">
      <c r="D824" s="48"/>
      <c r="E824" s="52"/>
      <c r="F824" s="54"/>
    </row>
    <row r="825" spans="4:6">
      <c r="D825" s="48"/>
      <c r="E825" s="52"/>
      <c r="F825" s="54"/>
    </row>
    <row r="826" spans="4:6">
      <c r="D826" s="48"/>
      <c r="E826" s="52"/>
      <c r="F826" s="54"/>
    </row>
    <row r="827" spans="4:6">
      <c r="D827" s="48"/>
      <c r="E827" s="52"/>
      <c r="F827" s="54"/>
    </row>
    <row r="828" spans="4:6">
      <c r="D828" s="48"/>
      <c r="E828" s="52"/>
      <c r="F828" s="54"/>
    </row>
    <row r="829" spans="4:6">
      <c r="D829" s="48"/>
      <c r="E829" s="52"/>
      <c r="F829" s="54"/>
    </row>
    <row r="830" spans="4:6">
      <c r="D830" s="48"/>
      <c r="E830" s="52"/>
      <c r="F830" s="54"/>
    </row>
    <row r="831" spans="4:6">
      <c r="D831" s="48"/>
      <c r="E831" s="52"/>
      <c r="F831" s="54"/>
    </row>
    <row r="832" spans="4:6">
      <c r="D832" s="48"/>
      <c r="E832" s="52"/>
      <c r="F832" s="54"/>
    </row>
    <row r="833" spans="4:6">
      <c r="D833" s="48"/>
      <c r="E833" s="52"/>
      <c r="F833" s="54"/>
    </row>
    <row r="834" spans="4:6">
      <c r="D834" s="48"/>
      <c r="E834" s="52"/>
      <c r="F834" s="54"/>
    </row>
    <row r="835" spans="4:6">
      <c r="D835" s="48"/>
      <c r="E835" s="52"/>
      <c r="F835" s="54"/>
    </row>
    <row r="836" spans="4:6">
      <c r="D836" s="48"/>
      <c r="E836" s="52"/>
      <c r="F836" s="54"/>
    </row>
    <row r="837" spans="4:6">
      <c r="D837" s="48"/>
      <c r="E837" s="52"/>
      <c r="F837" s="54"/>
    </row>
    <row r="838" spans="4:6">
      <c r="D838" s="48"/>
      <c r="E838" s="52"/>
      <c r="F838" s="54"/>
    </row>
    <row r="839" spans="4:6">
      <c r="D839" s="48"/>
      <c r="E839" s="52"/>
      <c r="F839" s="54"/>
    </row>
    <row r="840" spans="4:6">
      <c r="D840" s="48"/>
      <c r="E840" s="52"/>
      <c r="F840" s="54"/>
    </row>
    <row r="841" spans="4:6">
      <c r="D841" s="48"/>
      <c r="E841" s="52"/>
      <c r="F841" s="54"/>
    </row>
    <row r="842" spans="4:6">
      <c r="D842" s="48"/>
      <c r="E842" s="52"/>
      <c r="F842" s="54"/>
    </row>
    <row r="843" spans="4:6">
      <c r="D843" s="48"/>
      <c r="E843" s="52"/>
      <c r="F843" s="54"/>
    </row>
    <row r="844" spans="4:6">
      <c r="D844" s="48"/>
      <c r="E844" s="52"/>
      <c r="F844" s="54"/>
    </row>
    <row r="845" spans="4:6">
      <c r="D845" s="48"/>
      <c r="E845" s="52"/>
      <c r="F845" s="54"/>
    </row>
    <row r="846" spans="4:6">
      <c r="D846" s="48"/>
      <c r="E846" s="52"/>
      <c r="F846" s="54"/>
    </row>
    <row r="847" spans="4:6">
      <c r="D847" s="48"/>
      <c r="E847" s="52"/>
      <c r="F847" s="54"/>
    </row>
    <row r="848" spans="4:6">
      <c r="D848" s="48"/>
      <c r="E848" s="52"/>
      <c r="F848" s="54"/>
    </row>
    <row r="849" spans="4:6">
      <c r="D849" s="48"/>
      <c r="E849" s="52"/>
      <c r="F849" s="54"/>
    </row>
    <row r="850" spans="4:6">
      <c r="D850" s="48"/>
      <c r="E850" s="52"/>
      <c r="F850" s="54"/>
    </row>
    <row r="851" spans="4:6">
      <c r="D851" s="48"/>
      <c r="E851" s="52"/>
      <c r="F851" s="54"/>
    </row>
    <row r="852" spans="4:6">
      <c r="D852" s="48"/>
      <c r="E852" s="52"/>
      <c r="F852" s="54"/>
    </row>
    <row r="853" spans="4:6">
      <c r="D853" s="48"/>
      <c r="E853" s="52"/>
      <c r="F853" s="54"/>
    </row>
    <row r="854" spans="4:6">
      <c r="D854" s="48"/>
      <c r="E854" s="52"/>
      <c r="F854" s="54"/>
    </row>
    <row r="855" spans="4:6">
      <c r="D855" s="48"/>
      <c r="E855" s="52"/>
      <c r="F855" s="54"/>
    </row>
    <row r="856" spans="4:6">
      <c r="D856" s="48"/>
      <c r="E856" s="52"/>
      <c r="F856" s="54"/>
    </row>
    <row r="857" spans="4:6">
      <c r="D857" s="48"/>
      <c r="E857" s="52"/>
      <c r="F857" s="54"/>
    </row>
    <row r="858" spans="4:6">
      <c r="D858" s="48"/>
      <c r="E858" s="52"/>
      <c r="F858" s="54"/>
    </row>
    <row r="859" spans="4:6">
      <c r="D859" s="48"/>
      <c r="E859" s="52"/>
      <c r="F859" s="54"/>
    </row>
    <row r="860" spans="4:6">
      <c r="D860" s="48"/>
      <c r="E860" s="52"/>
      <c r="F860" s="54"/>
    </row>
    <row r="861" spans="4:6">
      <c r="D861" s="48"/>
      <c r="E861" s="52"/>
      <c r="F861" s="54"/>
    </row>
    <row r="862" spans="4:6">
      <c r="D862" s="48"/>
      <c r="E862" s="52"/>
      <c r="F862" s="54"/>
    </row>
    <row r="863" spans="4:6">
      <c r="D863" s="48"/>
      <c r="E863" s="52"/>
      <c r="F863" s="54"/>
    </row>
    <row r="864" spans="4:6">
      <c r="D864" s="48"/>
      <c r="E864" s="52"/>
      <c r="F864" s="54"/>
    </row>
    <row r="865" spans="4:6">
      <c r="D865" s="48"/>
      <c r="E865" s="52"/>
      <c r="F865" s="54"/>
    </row>
    <row r="866" spans="4:6">
      <c r="D866" s="48"/>
      <c r="E866" s="52"/>
      <c r="F866" s="54"/>
    </row>
    <row r="867" spans="4:6">
      <c r="D867" s="48"/>
      <c r="E867" s="52"/>
      <c r="F867" s="54"/>
    </row>
    <row r="868" spans="4:6">
      <c r="D868" s="48"/>
      <c r="E868" s="52"/>
      <c r="F868" s="54"/>
    </row>
    <row r="869" spans="4:6">
      <c r="D869" s="48"/>
      <c r="E869" s="52"/>
      <c r="F869" s="54"/>
    </row>
    <row r="870" spans="4:6">
      <c r="D870" s="48"/>
      <c r="E870" s="52"/>
      <c r="F870" s="54"/>
    </row>
    <row r="871" spans="4:6">
      <c r="D871" s="48"/>
      <c r="E871" s="52"/>
      <c r="F871" s="54"/>
    </row>
    <row r="872" spans="4:6">
      <c r="D872" s="48"/>
      <c r="E872" s="52"/>
      <c r="F872" s="54"/>
    </row>
    <row r="873" spans="4:6">
      <c r="D873" s="48"/>
      <c r="E873" s="52"/>
      <c r="F873" s="54"/>
    </row>
    <row r="874" spans="4:6">
      <c r="D874" s="48"/>
      <c r="E874" s="52"/>
      <c r="F874" s="54"/>
    </row>
    <row r="875" spans="4:6">
      <c r="D875" s="48"/>
      <c r="E875" s="52"/>
      <c r="F875" s="54"/>
    </row>
    <row r="876" spans="4:6">
      <c r="D876" s="48"/>
      <c r="E876" s="52"/>
      <c r="F876" s="54"/>
    </row>
    <row r="877" spans="4:6">
      <c r="D877" s="48"/>
      <c r="E877" s="52"/>
      <c r="F877" s="54"/>
    </row>
    <row r="878" spans="4:6">
      <c r="D878" s="48"/>
      <c r="E878" s="52"/>
      <c r="F878" s="54"/>
    </row>
    <row r="879" spans="4:6">
      <c r="D879" s="48"/>
      <c r="E879" s="52"/>
      <c r="F879" s="54"/>
    </row>
    <row r="880" spans="4:6">
      <c r="D880" s="48"/>
      <c r="E880" s="52"/>
      <c r="F880" s="54"/>
    </row>
    <row r="881" spans="4:6">
      <c r="D881" s="48"/>
      <c r="E881" s="52"/>
      <c r="F881" s="54"/>
    </row>
    <row r="882" spans="4:6">
      <c r="D882" s="48"/>
      <c r="E882" s="52"/>
      <c r="F882" s="54"/>
    </row>
    <row r="883" spans="4:6">
      <c r="D883" s="48"/>
      <c r="E883" s="52"/>
      <c r="F883" s="54"/>
    </row>
    <row r="884" spans="4:6">
      <c r="D884" s="48"/>
      <c r="E884" s="52"/>
      <c r="F884" s="54"/>
    </row>
    <row r="885" spans="4:6">
      <c r="D885" s="48"/>
      <c r="E885" s="52"/>
      <c r="F885" s="54"/>
    </row>
    <row r="886" spans="4:6">
      <c r="D886" s="48"/>
      <c r="E886" s="52"/>
      <c r="F886" s="54"/>
    </row>
    <row r="887" spans="4:6">
      <c r="D887" s="48"/>
      <c r="E887" s="52"/>
      <c r="F887" s="54"/>
    </row>
    <row r="888" spans="4:6">
      <c r="D888" s="48"/>
      <c r="E888" s="52"/>
      <c r="F888" s="54"/>
    </row>
    <row r="889" spans="4:6">
      <c r="D889" s="48"/>
      <c r="E889" s="52"/>
      <c r="F889" s="54"/>
    </row>
    <row r="890" spans="4:6">
      <c r="D890" s="48"/>
      <c r="E890" s="52"/>
      <c r="F890" s="54"/>
    </row>
    <row r="891" spans="4:6">
      <c r="D891" s="48"/>
      <c r="E891" s="52"/>
      <c r="F891" s="54"/>
    </row>
    <row r="892" spans="4:6">
      <c r="D892" s="48"/>
      <c r="E892" s="52"/>
      <c r="F892" s="54"/>
    </row>
    <row r="893" spans="4:6">
      <c r="D893" s="48"/>
      <c r="E893" s="52"/>
      <c r="F893" s="54"/>
    </row>
    <row r="894" spans="4:6">
      <c r="D894" s="48"/>
      <c r="E894" s="52"/>
      <c r="F894" s="54"/>
    </row>
    <row r="895" spans="4:6">
      <c r="D895" s="48"/>
      <c r="E895" s="52"/>
      <c r="F895" s="54"/>
    </row>
    <row r="896" spans="4:6">
      <c r="D896" s="48"/>
      <c r="E896" s="52"/>
      <c r="F896" s="54"/>
    </row>
    <row r="897" spans="4:6">
      <c r="D897" s="48"/>
      <c r="E897" s="52"/>
      <c r="F897" s="54"/>
    </row>
    <row r="898" spans="4:6">
      <c r="D898" s="48"/>
      <c r="E898" s="52"/>
      <c r="F898" s="54"/>
    </row>
    <row r="899" spans="4:6">
      <c r="D899" s="48"/>
      <c r="E899" s="52"/>
      <c r="F899" s="54"/>
    </row>
    <row r="900" spans="4:6">
      <c r="D900" s="48"/>
      <c r="E900" s="52"/>
      <c r="F900" s="54"/>
    </row>
    <row r="901" spans="4:6">
      <c r="D901" s="48"/>
      <c r="E901" s="52"/>
      <c r="F901" s="54"/>
    </row>
    <row r="902" spans="4:6">
      <c r="D902" s="48"/>
      <c r="E902" s="52"/>
      <c r="F902" s="54"/>
    </row>
    <row r="903" spans="4:6">
      <c r="D903" s="48"/>
      <c r="E903" s="52"/>
      <c r="F903" s="54"/>
    </row>
    <row r="904" spans="4:6">
      <c r="D904" s="48"/>
      <c r="E904" s="52"/>
      <c r="F904" s="54"/>
    </row>
    <row r="905" spans="4:6">
      <c r="D905" s="48"/>
      <c r="E905" s="52"/>
      <c r="F905" s="54"/>
    </row>
    <row r="906" spans="4:6">
      <c r="D906" s="48"/>
      <c r="E906" s="52"/>
      <c r="F906" s="54"/>
    </row>
    <row r="907" spans="4:6">
      <c r="D907" s="48"/>
      <c r="E907" s="52"/>
      <c r="F907" s="54"/>
    </row>
    <row r="908" spans="4:6">
      <c r="D908" s="48"/>
      <c r="E908" s="52"/>
      <c r="F908" s="54"/>
    </row>
    <row r="909" spans="4:6">
      <c r="D909" s="48"/>
      <c r="E909" s="52"/>
      <c r="F909" s="54"/>
    </row>
    <row r="910" spans="4:6">
      <c r="D910" s="48"/>
      <c r="E910" s="52"/>
      <c r="F910" s="54"/>
    </row>
    <row r="911" spans="4:6">
      <c r="D911" s="48"/>
      <c r="E911" s="52"/>
      <c r="F911" s="54"/>
    </row>
    <row r="912" spans="4:6">
      <c r="D912" s="48"/>
      <c r="E912" s="52"/>
      <c r="F912" s="54"/>
    </row>
    <row r="913" spans="4:6">
      <c r="D913" s="48"/>
      <c r="E913" s="52"/>
      <c r="F913" s="54"/>
    </row>
    <row r="914" spans="4:6">
      <c r="D914" s="48"/>
      <c r="E914" s="52"/>
      <c r="F914" s="54"/>
    </row>
    <row r="915" spans="4:6">
      <c r="D915" s="48"/>
      <c r="E915" s="52"/>
      <c r="F915" s="54"/>
    </row>
    <row r="916" spans="4:6">
      <c r="D916" s="48"/>
      <c r="E916" s="52"/>
      <c r="F916" s="54"/>
    </row>
    <row r="917" spans="4:6">
      <c r="D917" s="48"/>
      <c r="E917" s="52"/>
      <c r="F917" s="54"/>
    </row>
    <row r="918" spans="4:6">
      <c r="D918" s="48"/>
      <c r="E918" s="52"/>
      <c r="F918" s="54"/>
    </row>
    <row r="919" spans="4:6">
      <c r="D919" s="48"/>
      <c r="E919" s="52"/>
      <c r="F919" s="54"/>
    </row>
    <row r="920" spans="4:6">
      <c r="D920" s="48"/>
      <c r="E920" s="52"/>
      <c r="F920" s="54"/>
    </row>
    <row r="921" spans="4:6">
      <c r="D921" s="48"/>
      <c r="E921" s="52"/>
      <c r="F921" s="54"/>
    </row>
    <row r="922" spans="4:6">
      <c r="D922" s="48"/>
      <c r="E922" s="52"/>
      <c r="F922" s="54"/>
    </row>
    <row r="923" spans="4:6">
      <c r="D923" s="48"/>
      <c r="E923" s="52"/>
      <c r="F923" s="54"/>
    </row>
    <row r="924" spans="4:6">
      <c r="D924" s="48"/>
      <c r="E924" s="52"/>
      <c r="F924" s="54"/>
    </row>
    <row r="925" spans="4:6">
      <c r="D925" s="48"/>
      <c r="E925" s="52"/>
      <c r="F925" s="54"/>
    </row>
    <row r="926" spans="4:6">
      <c r="D926" s="48"/>
      <c r="E926" s="52"/>
      <c r="F926" s="54"/>
    </row>
    <row r="927" spans="4:6">
      <c r="D927" s="48"/>
      <c r="E927" s="52"/>
      <c r="F927" s="54"/>
    </row>
    <row r="928" spans="4:6">
      <c r="D928" s="48"/>
      <c r="E928" s="52"/>
      <c r="F928" s="54"/>
    </row>
    <row r="929" spans="4:6">
      <c r="D929" s="48"/>
      <c r="E929" s="52"/>
      <c r="F929" s="54"/>
    </row>
    <row r="930" spans="4:6">
      <c r="D930" s="48"/>
      <c r="E930" s="52"/>
      <c r="F930" s="54"/>
    </row>
    <row r="931" spans="4:6">
      <c r="D931" s="48"/>
      <c r="E931" s="52"/>
      <c r="F931" s="54"/>
    </row>
    <row r="932" spans="4:6">
      <c r="D932" s="48"/>
      <c r="E932" s="52"/>
      <c r="F932" s="54"/>
    </row>
    <row r="933" spans="4:6">
      <c r="D933" s="48"/>
      <c r="E933" s="52"/>
      <c r="F933" s="54"/>
    </row>
    <row r="934" spans="4:6">
      <c r="D934" s="48"/>
      <c r="E934" s="52"/>
      <c r="F934" s="54"/>
    </row>
    <row r="935" spans="4:6">
      <c r="D935" s="48"/>
      <c r="E935" s="52"/>
      <c r="F935" s="54"/>
    </row>
    <row r="936" spans="4:6">
      <c r="D936" s="48"/>
      <c r="E936" s="52"/>
      <c r="F936" s="54"/>
    </row>
    <row r="937" spans="4:6">
      <c r="D937" s="48"/>
      <c r="E937" s="52"/>
      <c r="F937" s="54"/>
    </row>
    <row r="938" spans="4:6">
      <c r="D938" s="48"/>
      <c r="E938" s="52"/>
      <c r="F938" s="54"/>
    </row>
    <row r="939" spans="4:6">
      <c r="D939" s="48"/>
      <c r="E939" s="52"/>
      <c r="F939" s="54"/>
    </row>
    <row r="940" spans="4:6">
      <c r="D940" s="48"/>
      <c r="E940" s="52"/>
      <c r="F940" s="54"/>
    </row>
    <row r="941" spans="4:6">
      <c r="D941" s="48"/>
      <c r="E941" s="52"/>
      <c r="F941" s="54"/>
    </row>
    <row r="942" spans="4:6">
      <c r="D942" s="48"/>
      <c r="E942" s="52"/>
      <c r="F942" s="54"/>
    </row>
    <row r="943" spans="4:6">
      <c r="D943" s="48"/>
      <c r="E943" s="52"/>
      <c r="F943" s="54"/>
    </row>
    <row r="944" spans="4:6">
      <c r="D944" s="48"/>
      <c r="E944" s="52"/>
      <c r="F944" s="54"/>
    </row>
    <row r="945" spans="4:6">
      <c r="D945" s="48"/>
      <c r="E945" s="52"/>
      <c r="F945" s="54"/>
    </row>
    <row r="946" spans="4:6">
      <c r="D946" s="48"/>
      <c r="E946" s="52"/>
      <c r="F946" s="54"/>
    </row>
    <row r="947" spans="4:6">
      <c r="D947" s="48"/>
      <c r="E947" s="52"/>
      <c r="F947" s="54"/>
    </row>
    <row r="948" spans="4:6">
      <c r="D948" s="48"/>
      <c r="E948" s="52"/>
      <c r="F948" s="54"/>
    </row>
    <row r="949" spans="4:6">
      <c r="D949" s="48"/>
      <c r="E949" s="52"/>
      <c r="F949" s="54"/>
    </row>
    <row r="950" spans="4:6">
      <c r="D950" s="48"/>
      <c r="E950" s="52"/>
      <c r="F950" s="54"/>
    </row>
    <row r="951" spans="4:6">
      <c r="D951" s="48"/>
      <c r="E951" s="52"/>
      <c r="F951" s="54"/>
    </row>
    <row r="952" spans="4:6">
      <c r="D952" s="48"/>
      <c r="E952" s="52"/>
      <c r="F952" s="54"/>
    </row>
    <row r="953" spans="4:6">
      <c r="D953" s="48"/>
      <c r="E953" s="52"/>
      <c r="F953" s="54"/>
    </row>
    <row r="954" spans="4:6">
      <c r="D954" s="48"/>
      <c r="E954" s="52"/>
      <c r="F954" s="54"/>
    </row>
    <row r="955" spans="4:6">
      <c r="D955" s="48"/>
      <c r="E955" s="52"/>
      <c r="F955" s="54"/>
    </row>
    <row r="956" spans="4:6">
      <c r="D956" s="48"/>
      <c r="E956" s="52"/>
      <c r="F956" s="54"/>
    </row>
    <row r="957" spans="4:6">
      <c r="D957" s="48"/>
      <c r="E957" s="52"/>
      <c r="F957" s="54"/>
    </row>
    <row r="958" spans="4:6">
      <c r="D958" s="48"/>
      <c r="E958" s="52"/>
      <c r="F958" s="54"/>
    </row>
    <row r="959" spans="4:6">
      <c r="D959" s="48"/>
      <c r="E959" s="52"/>
      <c r="F959" s="54"/>
    </row>
    <row r="960" spans="4:6">
      <c r="D960" s="48"/>
      <c r="E960" s="52"/>
      <c r="F960" s="54"/>
    </row>
    <row r="961" spans="4:6">
      <c r="D961" s="48"/>
      <c r="E961" s="52"/>
      <c r="F961" s="54"/>
    </row>
    <row r="962" spans="4:6">
      <c r="D962" s="48"/>
      <c r="E962" s="52"/>
      <c r="F962" s="54"/>
    </row>
    <row r="963" spans="4:6">
      <c r="D963" s="48"/>
      <c r="E963" s="52"/>
      <c r="F963" s="54"/>
    </row>
    <row r="964" spans="4:6">
      <c r="D964" s="48"/>
      <c r="E964" s="52"/>
      <c r="F964" s="54"/>
    </row>
    <row r="965" spans="4:6">
      <c r="D965" s="48"/>
      <c r="E965" s="52"/>
      <c r="F965" s="54"/>
    </row>
    <row r="966" spans="4:6">
      <c r="D966" s="48"/>
      <c r="E966" s="52"/>
      <c r="F966" s="54"/>
    </row>
    <row r="967" spans="4:6">
      <c r="D967" s="48"/>
      <c r="E967" s="52"/>
      <c r="F967" s="54"/>
    </row>
    <row r="968" spans="4:6">
      <c r="D968" s="48"/>
      <c r="E968" s="52"/>
      <c r="F968" s="54"/>
    </row>
    <row r="969" spans="4:6">
      <c r="D969" s="48"/>
      <c r="E969" s="52"/>
      <c r="F969" s="54"/>
    </row>
    <row r="970" spans="4:6">
      <c r="D970" s="48"/>
      <c r="E970" s="52"/>
      <c r="F970" s="54"/>
    </row>
    <row r="971" spans="4:6">
      <c r="D971" s="48"/>
      <c r="E971" s="52"/>
      <c r="F971" s="54"/>
    </row>
    <row r="972" spans="4:6">
      <c r="D972" s="48"/>
      <c r="E972" s="52"/>
      <c r="F972" s="54"/>
    </row>
    <row r="973" spans="4:6">
      <c r="D973" s="48"/>
      <c r="E973" s="52"/>
      <c r="F973" s="54"/>
    </row>
    <row r="974" spans="4:6">
      <c r="D974" s="48"/>
      <c r="E974" s="52"/>
      <c r="F974" s="54"/>
    </row>
    <row r="975" spans="4:6">
      <c r="D975" s="48"/>
      <c r="E975" s="52"/>
      <c r="F975" s="54"/>
    </row>
    <row r="976" spans="4:6">
      <c r="D976" s="48"/>
      <c r="E976" s="52"/>
      <c r="F976" s="54"/>
    </row>
    <row r="977" spans="4:6">
      <c r="D977" s="48"/>
      <c r="E977" s="52"/>
      <c r="F977" s="54"/>
    </row>
    <row r="978" spans="4:6">
      <c r="D978" s="48"/>
      <c r="E978" s="52"/>
      <c r="F978" s="54"/>
    </row>
    <row r="979" spans="4:6">
      <c r="D979" s="48"/>
      <c r="E979" s="52"/>
      <c r="F979" s="54"/>
    </row>
    <row r="980" spans="4:6">
      <c r="D980" s="48"/>
      <c r="E980" s="52"/>
      <c r="F980" s="54"/>
    </row>
    <row r="981" spans="4:6">
      <c r="D981" s="48"/>
      <c r="E981" s="52"/>
      <c r="F981" s="54"/>
    </row>
    <row r="982" spans="4:6">
      <c r="D982" s="48"/>
      <c r="E982" s="52"/>
      <c r="F982" s="54"/>
    </row>
    <row r="983" spans="4:6">
      <c r="D983" s="48"/>
      <c r="E983" s="52"/>
      <c r="F983" s="54"/>
    </row>
    <row r="984" spans="4:6">
      <c r="D984" s="48"/>
      <c r="E984" s="52"/>
      <c r="F984" s="54"/>
    </row>
    <row r="985" spans="4:6">
      <c r="D985" s="48"/>
      <c r="E985" s="52"/>
      <c r="F985" s="54"/>
    </row>
    <row r="986" spans="4:6">
      <c r="D986" s="48"/>
      <c r="E986" s="52"/>
      <c r="F986" s="54"/>
    </row>
    <row r="987" spans="4:6">
      <c r="D987" s="48"/>
      <c r="E987" s="52"/>
      <c r="F987" s="54"/>
    </row>
    <row r="988" spans="4:6">
      <c r="D988" s="48"/>
      <c r="E988" s="52"/>
      <c r="F988" s="54"/>
    </row>
    <row r="989" spans="4:6">
      <c r="D989" s="48"/>
      <c r="E989" s="52"/>
      <c r="F989" s="54"/>
    </row>
    <row r="990" spans="4:6">
      <c r="D990" s="48"/>
      <c r="E990" s="52"/>
      <c r="F990" s="54"/>
    </row>
    <row r="991" spans="4:6">
      <c r="D991" s="48"/>
      <c r="E991" s="52"/>
      <c r="F991" s="54"/>
    </row>
    <row r="992" spans="4:6">
      <c r="D992" s="48"/>
      <c r="E992" s="52"/>
      <c r="F992" s="54"/>
    </row>
    <row r="993" spans="4:6">
      <c r="D993" s="48"/>
      <c r="E993" s="52"/>
      <c r="F993" s="54"/>
    </row>
    <row r="994" spans="4:6">
      <c r="D994" s="48"/>
      <c r="E994" s="52"/>
      <c r="F994" s="54"/>
    </row>
    <row r="995" spans="4:6">
      <c r="D995" s="48"/>
      <c r="E995" s="52"/>
      <c r="F995" s="54"/>
    </row>
    <row r="996" spans="4:6">
      <c r="D996" s="48"/>
      <c r="E996" s="52"/>
      <c r="F996" s="54"/>
    </row>
    <row r="997" spans="4:6">
      <c r="D997" s="48"/>
      <c r="E997" s="52"/>
      <c r="F997" s="54"/>
    </row>
    <row r="998" spans="4:6">
      <c r="D998" s="48"/>
      <c r="E998" s="52"/>
      <c r="F998" s="54"/>
    </row>
    <row r="999" spans="4:6">
      <c r="D999" s="48"/>
      <c r="E999" s="52"/>
      <c r="F999" s="54"/>
    </row>
    <row r="1000" spans="4:6">
      <c r="D1000" s="48"/>
      <c r="E1000" s="52"/>
      <c r="F1000" s="54"/>
    </row>
    <row r="1001" spans="4:6">
      <c r="D1001" s="48"/>
      <c r="E1001" s="52"/>
      <c r="F1001" s="54"/>
    </row>
    <row r="1002" spans="4:6">
      <c r="D1002" s="48"/>
      <c r="E1002" s="52"/>
      <c r="F1002" s="54"/>
    </row>
    <row r="1003" spans="4:6">
      <c r="D1003" s="48"/>
      <c r="E1003" s="52"/>
      <c r="F1003" s="54"/>
    </row>
    <row r="1004" spans="4:6">
      <c r="D1004" s="48"/>
      <c r="E1004" s="52"/>
      <c r="F1004" s="54"/>
    </row>
    <row r="1005" spans="4:6">
      <c r="D1005" s="48"/>
      <c r="E1005" s="52"/>
      <c r="F1005" s="54"/>
    </row>
    <row r="1006" spans="4:6">
      <c r="D1006" s="48"/>
      <c r="E1006" s="52"/>
      <c r="F1006" s="54"/>
    </row>
    <row r="1007" spans="4:6">
      <c r="D1007" s="48"/>
      <c r="E1007" s="52"/>
      <c r="F1007" s="54"/>
    </row>
    <row r="1008" spans="4:6">
      <c r="D1008" s="48"/>
      <c r="E1008" s="52"/>
      <c r="F1008" s="54"/>
    </row>
    <row r="1009" spans="4:6">
      <c r="D1009" s="48"/>
      <c r="E1009" s="52"/>
      <c r="F1009" s="54"/>
    </row>
    <row r="1010" spans="4:6">
      <c r="D1010" s="48"/>
      <c r="E1010" s="52"/>
      <c r="F1010" s="54"/>
    </row>
    <row r="1011" spans="4:6">
      <c r="D1011" s="48"/>
      <c r="E1011" s="52"/>
      <c r="F1011" s="54"/>
    </row>
    <row r="1012" spans="4:6">
      <c r="D1012" s="48"/>
      <c r="E1012" s="52"/>
      <c r="F1012" s="54"/>
    </row>
    <row r="1013" spans="4:6">
      <c r="D1013" s="48"/>
      <c r="E1013" s="52"/>
      <c r="F1013" s="54"/>
    </row>
    <row r="1014" spans="4:6">
      <c r="D1014" s="48"/>
      <c r="E1014" s="52"/>
      <c r="F1014" s="54"/>
    </row>
    <row r="1015" spans="4:6">
      <c r="D1015" s="48"/>
      <c r="E1015" s="52"/>
      <c r="F1015" s="54"/>
    </row>
    <row r="1016" spans="4:6">
      <c r="D1016" s="48"/>
      <c r="E1016" s="52"/>
      <c r="F1016" s="54"/>
    </row>
    <row r="1017" spans="4:6">
      <c r="D1017" s="48"/>
      <c r="E1017" s="52"/>
      <c r="F1017" s="54"/>
    </row>
    <row r="1018" spans="4:6">
      <c r="D1018" s="48"/>
      <c r="E1018" s="52"/>
      <c r="F1018" s="54"/>
    </row>
    <row r="1019" spans="4:6">
      <c r="D1019" s="48"/>
      <c r="E1019" s="52"/>
      <c r="F1019" s="54"/>
    </row>
    <row r="1020" spans="4:6">
      <c r="D1020" s="48"/>
      <c r="E1020" s="52"/>
      <c r="F1020" s="54"/>
    </row>
    <row r="1021" spans="4:6">
      <c r="D1021" s="48"/>
      <c r="E1021" s="52"/>
      <c r="F1021" s="54"/>
    </row>
    <row r="1022" spans="4:6">
      <c r="D1022" s="48"/>
      <c r="E1022" s="52"/>
      <c r="F1022" s="54"/>
    </row>
    <row r="1023" spans="4:6">
      <c r="D1023" s="48"/>
      <c r="E1023" s="52"/>
      <c r="F1023" s="54"/>
    </row>
    <row r="1024" spans="4:6">
      <c r="D1024" s="48"/>
      <c r="E1024" s="52"/>
      <c r="F1024" s="54"/>
    </row>
    <row r="1025" spans="4:6">
      <c r="D1025" s="48"/>
      <c r="E1025" s="52"/>
      <c r="F1025" s="54"/>
    </row>
    <row r="1026" spans="4:6">
      <c r="D1026" s="48"/>
      <c r="E1026" s="52"/>
      <c r="F1026" s="54"/>
    </row>
    <row r="1027" spans="4:6">
      <c r="D1027" s="48"/>
      <c r="E1027" s="52"/>
      <c r="F1027" s="54"/>
    </row>
    <row r="1028" spans="4:6">
      <c r="D1028" s="48"/>
      <c r="E1028" s="52"/>
      <c r="F1028" s="54"/>
    </row>
    <row r="1029" spans="4:6">
      <c r="D1029" s="48"/>
      <c r="E1029" s="52"/>
      <c r="F1029" s="54"/>
    </row>
    <row r="1030" spans="4:6">
      <c r="D1030" s="48"/>
      <c r="E1030" s="52"/>
      <c r="F1030" s="54"/>
    </row>
    <row r="1031" spans="4:6">
      <c r="D1031" s="48"/>
      <c r="E1031" s="52"/>
      <c r="F1031" s="54"/>
    </row>
    <row r="1032" spans="4:6">
      <c r="D1032" s="48"/>
      <c r="E1032" s="52"/>
      <c r="F1032" s="54"/>
    </row>
    <row r="1033" spans="4:6">
      <c r="D1033" s="48"/>
      <c r="E1033" s="52"/>
      <c r="F1033" s="54"/>
    </row>
    <row r="1034" spans="4:6">
      <c r="D1034" s="48"/>
      <c r="E1034" s="52"/>
      <c r="F1034" s="54"/>
    </row>
    <row r="1035" spans="4:6">
      <c r="D1035" s="48"/>
      <c r="E1035" s="52"/>
      <c r="F1035" s="54"/>
    </row>
    <row r="1036" spans="4:6">
      <c r="D1036" s="48"/>
      <c r="E1036" s="52"/>
      <c r="F1036" s="54"/>
    </row>
    <row r="1037" spans="4:6">
      <c r="D1037" s="48"/>
      <c r="E1037" s="52"/>
      <c r="F1037" s="54"/>
    </row>
    <row r="1038" spans="4:6">
      <c r="D1038" s="48"/>
      <c r="E1038" s="52"/>
      <c r="F1038" s="54"/>
    </row>
    <row r="1039" spans="4:6">
      <c r="D1039" s="48"/>
      <c r="E1039" s="52"/>
      <c r="F1039" s="54"/>
    </row>
    <row r="1040" spans="4:6">
      <c r="D1040" s="48"/>
      <c r="E1040" s="52"/>
      <c r="F1040" s="54"/>
    </row>
    <row r="1041" spans="4:6">
      <c r="D1041" s="48"/>
      <c r="E1041" s="52"/>
      <c r="F1041" s="54"/>
    </row>
    <row r="1042" spans="4:6">
      <c r="D1042" s="48"/>
      <c r="E1042" s="52"/>
      <c r="F1042" s="54"/>
    </row>
    <row r="1043" spans="4:6">
      <c r="D1043" s="48"/>
      <c r="E1043" s="52"/>
      <c r="F1043" s="54"/>
    </row>
    <row r="1044" spans="4:6">
      <c r="D1044" s="48"/>
      <c r="E1044" s="52"/>
      <c r="F1044" s="54"/>
    </row>
    <row r="1045" spans="4:6">
      <c r="D1045" s="48"/>
      <c r="E1045" s="52"/>
      <c r="F1045" s="54"/>
    </row>
    <row r="1046" spans="4:6">
      <c r="D1046" s="48"/>
      <c r="E1046" s="52"/>
      <c r="F1046" s="54"/>
    </row>
    <row r="1047" spans="4:6">
      <c r="D1047" s="48"/>
      <c r="E1047" s="52"/>
      <c r="F1047" s="54"/>
    </row>
    <row r="1048" spans="4:6">
      <c r="D1048" s="48"/>
      <c r="E1048" s="52"/>
      <c r="F1048" s="54"/>
    </row>
    <row r="1049" spans="4:6">
      <c r="D1049" s="48"/>
      <c r="E1049" s="52"/>
      <c r="F1049" s="54"/>
    </row>
    <row r="1050" spans="4:6">
      <c r="D1050" s="48"/>
      <c r="E1050" s="52"/>
      <c r="F1050" s="54"/>
    </row>
    <row r="1051" spans="4:6">
      <c r="D1051" s="48"/>
      <c r="E1051" s="52"/>
      <c r="F1051" s="54"/>
    </row>
    <row r="1052" spans="4:6">
      <c r="D1052" s="48"/>
      <c r="E1052" s="52"/>
      <c r="F1052" s="54"/>
    </row>
    <row r="1053" spans="4:6">
      <c r="D1053" s="48"/>
      <c r="E1053" s="52"/>
      <c r="F1053" s="54"/>
    </row>
    <row r="1054" spans="4:6">
      <c r="D1054" s="48"/>
      <c r="E1054" s="52"/>
      <c r="F1054" s="54"/>
    </row>
    <row r="1055" spans="4:6">
      <c r="D1055" s="48"/>
      <c r="E1055" s="52"/>
      <c r="F1055" s="54"/>
    </row>
    <row r="1056" spans="4:6">
      <c r="D1056" s="48"/>
      <c r="E1056" s="52"/>
      <c r="F1056" s="54"/>
    </row>
    <row r="1057" spans="4:6">
      <c r="D1057" s="48"/>
      <c r="E1057" s="52"/>
      <c r="F1057" s="54"/>
    </row>
    <row r="1058" spans="4:6">
      <c r="D1058" s="48"/>
      <c r="E1058" s="52"/>
      <c r="F1058" s="54"/>
    </row>
    <row r="1059" spans="4:6">
      <c r="D1059" s="48"/>
      <c r="E1059" s="52"/>
      <c r="F1059" s="54"/>
    </row>
    <row r="1060" spans="4:6">
      <c r="D1060" s="48"/>
      <c r="E1060" s="52"/>
      <c r="F1060" s="54"/>
    </row>
    <row r="1061" spans="4:6">
      <c r="D1061" s="48"/>
      <c r="E1061" s="52"/>
      <c r="F1061" s="54"/>
    </row>
    <row r="1062" spans="4:6">
      <c r="D1062" s="48"/>
      <c r="E1062" s="52"/>
      <c r="F1062" s="54"/>
    </row>
    <row r="1063" spans="4:6">
      <c r="D1063" s="48"/>
      <c r="E1063" s="52"/>
      <c r="F1063" s="54"/>
    </row>
    <row r="1064" spans="4:6">
      <c r="D1064" s="48"/>
      <c r="E1064" s="52"/>
      <c r="F1064" s="54"/>
    </row>
    <row r="1065" spans="4:6">
      <c r="D1065" s="48"/>
      <c r="E1065" s="52"/>
      <c r="F1065" s="54"/>
    </row>
    <row r="1066" spans="4:6">
      <c r="D1066" s="48"/>
      <c r="E1066" s="52"/>
      <c r="F1066" s="54"/>
    </row>
    <row r="1067" spans="4:6">
      <c r="D1067" s="48"/>
      <c r="E1067" s="52"/>
      <c r="F1067" s="54"/>
    </row>
    <row r="1068" spans="4:6">
      <c r="D1068" s="48"/>
      <c r="E1068" s="52"/>
      <c r="F1068" s="54"/>
    </row>
    <row r="1069" spans="4:6">
      <c r="D1069" s="48"/>
      <c r="E1069" s="52"/>
      <c r="F1069" s="54"/>
    </row>
    <row r="1070" spans="4:6">
      <c r="D1070" s="48"/>
      <c r="E1070" s="52"/>
      <c r="F1070" s="54"/>
    </row>
    <row r="1071" spans="4:6">
      <c r="D1071" s="48"/>
      <c r="E1071" s="52"/>
      <c r="F1071" s="54"/>
    </row>
    <row r="1072" spans="4:6">
      <c r="D1072" s="48"/>
      <c r="E1072" s="52"/>
      <c r="F1072" s="54"/>
    </row>
    <row r="1073" spans="4:6">
      <c r="D1073" s="48"/>
      <c r="E1073" s="52"/>
      <c r="F1073" s="54"/>
    </row>
    <row r="1074" spans="4:6">
      <c r="D1074" s="48"/>
      <c r="E1074" s="52"/>
      <c r="F1074" s="54"/>
    </row>
    <row r="1075" spans="4:6">
      <c r="D1075" s="48"/>
      <c r="E1075" s="52"/>
      <c r="F1075" s="54"/>
    </row>
    <row r="1076" spans="4:6">
      <c r="D1076" s="48"/>
      <c r="E1076" s="52"/>
      <c r="F1076" s="54"/>
    </row>
    <row r="1077" spans="4:6">
      <c r="D1077" s="48"/>
      <c r="E1077" s="52"/>
      <c r="F1077" s="54"/>
    </row>
    <row r="1078" spans="4:6">
      <c r="D1078" s="48"/>
      <c r="E1078" s="52"/>
      <c r="F1078" s="54"/>
    </row>
    <row r="1079" spans="4:6">
      <c r="D1079" s="48"/>
      <c r="E1079" s="52"/>
      <c r="F1079" s="54"/>
    </row>
    <row r="1080" spans="4:6">
      <c r="D1080" s="48"/>
      <c r="E1080" s="52"/>
      <c r="F1080" s="54"/>
    </row>
    <row r="1081" spans="4:6">
      <c r="D1081" s="48"/>
      <c r="E1081" s="52"/>
      <c r="F1081" s="54"/>
    </row>
    <row r="1082" spans="4:6">
      <c r="D1082" s="48"/>
      <c r="E1082" s="52"/>
      <c r="F1082" s="54"/>
    </row>
    <row r="1083" spans="4:6">
      <c r="D1083" s="48"/>
      <c r="E1083" s="52"/>
      <c r="F1083" s="54"/>
    </row>
    <row r="1084" spans="4:6">
      <c r="D1084" s="48"/>
      <c r="E1084" s="52"/>
      <c r="F1084" s="54"/>
    </row>
    <row r="1085" spans="4:6">
      <c r="D1085" s="48"/>
      <c r="E1085" s="52"/>
      <c r="F1085" s="54"/>
    </row>
    <row r="1086" spans="4:6">
      <c r="D1086" s="48"/>
      <c r="E1086" s="52"/>
      <c r="F1086" s="54"/>
    </row>
    <row r="1087" spans="4:6">
      <c r="D1087" s="48"/>
      <c r="E1087" s="52"/>
      <c r="F1087" s="54"/>
    </row>
    <row r="1088" spans="4:6">
      <c r="D1088" s="48"/>
      <c r="E1088" s="52"/>
      <c r="F1088" s="54"/>
    </row>
    <row r="1089" spans="4:6">
      <c r="D1089" s="48"/>
      <c r="E1089" s="52"/>
      <c r="F1089" s="54"/>
    </row>
    <row r="1090" spans="4:6">
      <c r="D1090" s="48"/>
      <c r="E1090" s="52"/>
      <c r="F1090" s="54"/>
    </row>
    <row r="1091" spans="4:6">
      <c r="D1091" s="48"/>
      <c r="E1091" s="52"/>
      <c r="F1091" s="54"/>
    </row>
    <row r="1092" spans="4:6">
      <c r="D1092" s="48"/>
      <c r="E1092" s="52"/>
      <c r="F1092" s="54"/>
    </row>
    <row r="1093" spans="4:6">
      <c r="D1093" s="48"/>
      <c r="E1093" s="52"/>
      <c r="F1093" s="54"/>
    </row>
    <row r="1094" spans="4:6">
      <c r="D1094" s="48"/>
      <c r="E1094" s="52"/>
      <c r="F1094" s="54"/>
    </row>
    <row r="1095" spans="4:6">
      <c r="D1095" s="48"/>
      <c r="E1095" s="52"/>
      <c r="F1095" s="54"/>
    </row>
    <row r="1096" spans="4:6">
      <c r="D1096" s="48"/>
      <c r="E1096" s="52"/>
      <c r="F1096" s="54"/>
    </row>
    <row r="1097" spans="4:6">
      <c r="D1097" s="48"/>
      <c r="E1097" s="52"/>
      <c r="F1097" s="54"/>
    </row>
    <row r="1098" spans="4:6">
      <c r="D1098" s="48"/>
      <c r="E1098" s="52"/>
      <c r="F1098" s="54"/>
    </row>
    <row r="1099" spans="4:6">
      <c r="D1099" s="48"/>
      <c r="E1099" s="52"/>
      <c r="F1099" s="54"/>
    </row>
    <row r="1100" spans="4:6">
      <c r="D1100" s="48"/>
      <c r="E1100" s="52"/>
      <c r="F1100" s="54"/>
    </row>
    <row r="1101" spans="4:6">
      <c r="D1101" s="48"/>
      <c r="E1101" s="52"/>
      <c r="F1101" s="54"/>
    </row>
    <row r="1102" spans="4:6">
      <c r="D1102" s="48"/>
      <c r="E1102" s="52"/>
      <c r="F1102" s="54"/>
    </row>
    <row r="1103" spans="4:6">
      <c r="D1103" s="48"/>
      <c r="E1103" s="52"/>
      <c r="F1103" s="54"/>
    </row>
    <row r="1104" spans="4:6">
      <c r="D1104" s="48"/>
      <c r="E1104" s="52"/>
      <c r="F1104" s="54"/>
    </row>
    <row r="1105" spans="4:6">
      <c r="D1105" s="48"/>
      <c r="E1105" s="52"/>
      <c r="F1105" s="54"/>
    </row>
    <row r="1106" spans="4:6">
      <c r="D1106" s="48"/>
      <c r="E1106" s="52"/>
      <c r="F1106" s="54"/>
    </row>
    <row r="1107" spans="4:6">
      <c r="D1107" s="48"/>
      <c r="E1107" s="52"/>
      <c r="F1107" s="54"/>
    </row>
    <row r="1108" spans="4:6">
      <c r="D1108" s="48"/>
      <c r="E1108" s="52"/>
      <c r="F1108" s="54"/>
    </row>
    <row r="1109" spans="4:6">
      <c r="D1109" s="48"/>
      <c r="E1109" s="52"/>
      <c r="F1109" s="54"/>
    </row>
    <row r="1110" spans="4:6">
      <c r="D1110" s="48"/>
      <c r="E1110" s="52"/>
      <c r="F1110" s="54"/>
    </row>
    <row r="1111" spans="4:6">
      <c r="D1111" s="48"/>
      <c r="E1111" s="52"/>
      <c r="F1111" s="54"/>
    </row>
    <row r="1112" spans="4:6">
      <c r="D1112" s="48"/>
      <c r="E1112" s="52"/>
      <c r="F1112" s="54"/>
    </row>
    <row r="1113" spans="4:6">
      <c r="D1113" s="48"/>
      <c r="E1113" s="52"/>
      <c r="F1113" s="54"/>
    </row>
    <row r="1114" spans="4:6">
      <c r="D1114" s="48"/>
      <c r="E1114" s="52"/>
      <c r="F1114" s="54"/>
    </row>
    <row r="1115" spans="4:6">
      <c r="D1115" s="48"/>
      <c r="E1115" s="52"/>
      <c r="F1115" s="54"/>
    </row>
    <row r="1116" spans="4:6">
      <c r="D1116" s="48"/>
      <c r="E1116" s="52"/>
      <c r="F1116" s="54"/>
    </row>
    <row r="1117" spans="4:6">
      <c r="D1117" s="48"/>
      <c r="E1117" s="52"/>
      <c r="F1117" s="54"/>
    </row>
    <row r="1118" spans="4:6">
      <c r="D1118" s="48"/>
      <c r="E1118" s="52"/>
      <c r="F1118" s="54"/>
    </row>
    <row r="1119" spans="4:6">
      <c r="D1119" s="48"/>
      <c r="E1119" s="52"/>
      <c r="F1119" s="54"/>
    </row>
    <row r="1120" spans="4:6">
      <c r="D1120" s="48"/>
      <c r="E1120" s="52"/>
      <c r="F1120" s="54"/>
    </row>
    <row r="1121" spans="4:6">
      <c r="D1121" s="48"/>
      <c r="E1121" s="52"/>
      <c r="F1121" s="54"/>
    </row>
    <row r="1122" spans="4:6">
      <c r="D1122" s="48"/>
      <c r="E1122" s="52"/>
      <c r="F1122" s="54"/>
    </row>
    <row r="1123" spans="4:6">
      <c r="D1123" s="48"/>
      <c r="E1123" s="52"/>
      <c r="F1123" s="54"/>
    </row>
    <row r="1124" spans="4:6">
      <c r="D1124" s="48"/>
      <c r="E1124" s="52"/>
      <c r="F1124" s="54"/>
    </row>
    <row r="1125" spans="4:6">
      <c r="D1125" s="48"/>
      <c r="E1125" s="52"/>
      <c r="F1125" s="54"/>
    </row>
    <row r="1126" spans="4:6">
      <c r="D1126" s="48"/>
      <c r="E1126" s="52"/>
      <c r="F1126" s="54"/>
    </row>
    <row r="1127" spans="4:6">
      <c r="D1127" s="48"/>
      <c r="E1127" s="52"/>
      <c r="F1127" s="54"/>
    </row>
    <row r="1128" spans="4:6">
      <c r="D1128" s="48"/>
      <c r="E1128" s="52"/>
      <c r="F1128" s="54"/>
    </row>
    <row r="1129" spans="4:6">
      <c r="D1129" s="48"/>
      <c r="E1129" s="52"/>
      <c r="F1129" s="54"/>
    </row>
    <row r="1130" spans="4:6">
      <c r="D1130" s="48"/>
      <c r="E1130" s="52"/>
      <c r="F1130" s="54"/>
    </row>
    <row r="1131" spans="4:6">
      <c r="D1131" s="48"/>
      <c r="E1131" s="52"/>
      <c r="F1131" s="54"/>
    </row>
    <row r="1132" spans="4:6">
      <c r="D1132" s="48"/>
      <c r="E1132" s="52"/>
      <c r="F1132" s="54"/>
    </row>
    <row r="1133" spans="4:6">
      <c r="D1133" s="48"/>
      <c r="E1133" s="52"/>
      <c r="F1133" s="54"/>
    </row>
    <row r="1134" spans="4:6">
      <c r="D1134" s="48"/>
      <c r="E1134" s="52"/>
      <c r="F1134" s="54"/>
    </row>
    <row r="1135" spans="4:6">
      <c r="D1135" s="48"/>
      <c r="E1135" s="52"/>
      <c r="F1135" s="54"/>
    </row>
    <row r="1136" spans="4:6">
      <c r="D1136" s="48"/>
      <c r="E1136" s="52"/>
      <c r="F1136" s="54"/>
    </row>
    <row r="1137" spans="4:6">
      <c r="D1137" s="48"/>
      <c r="E1137" s="52"/>
      <c r="F1137" s="54"/>
    </row>
    <row r="1138" spans="4:6">
      <c r="D1138" s="48"/>
      <c r="E1138" s="52"/>
      <c r="F1138" s="54"/>
    </row>
    <row r="1139" spans="4:6">
      <c r="D1139" s="48"/>
      <c r="E1139" s="52"/>
      <c r="F1139" s="54"/>
    </row>
    <row r="1140" spans="4:6">
      <c r="D1140" s="48"/>
      <c r="E1140" s="52"/>
      <c r="F1140" s="54"/>
    </row>
    <row r="1141" spans="4:6">
      <c r="D1141" s="48"/>
      <c r="E1141" s="52"/>
      <c r="F1141" s="54"/>
    </row>
    <row r="1142" spans="4:6">
      <c r="D1142" s="48"/>
      <c r="E1142" s="52"/>
      <c r="F1142" s="54"/>
    </row>
    <row r="1143" spans="4:6">
      <c r="D1143" s="48"/>
      <c r="E1143" s="52"/>
      <c r="F1143" s="54"/>
    </row>
    <row r="1144" spans="4:6">
      <c r="D1144" s="48"/>
      <c r="E1144" s="52"/>
      <c r="F1144" s="54"/>
    </row>
    <row r="1145" spans="4:6">
      <c r="D1145" s="48"/>
      <c r="E1145" s="52"/>
      <c r="F1145" s="54"/>
    </row>
    <row r="1146" spans="4:6">
      <c r="D1146" s="48"/>
      <c r="E1146" s="52"/>
      <c r="F1146" s="54"/>
    </row>
    <row r="1147" spans="4:6">
      <c r="D1147" s="48"/>
      <c r="E1147" s="52"/>
      <c r="F1147" s="54"/>
    </row>
    <row r="1148" spans="4:6">
      <c r="D1148" s="48"/>
      <c r="E1148" s="52"/>
      <c r="F1148" s="54"/>
    </row>
    <row r="1149" spans="4:6">
      <c r="D1149" s="48"/>
      <c r="E1149" s="52"/>
      <c r="F1149" s="54"/>
    </row>
    <row r="1150" spans="4:6">
      <c r="D1150" s="48"/>
      <c r="E1150" s="52"/>
      <c r="F1150" s="54"/>
    </row>
    <row r="1151" spans="4:6">
      <c r="D1151" s="48"/>
      <c r="E1151" s="52"/>
      <c r="F1151" s="54"/>
    </row>
    <row r="1152" spans="4:6">
      <c r="D1152" s="48"/>
      <c r="E1152" s="52"/>
      <c r="F1152" s="54"/>
    </row>
    <row r="1153" spans="4:6">
      <c r="D1153" s="48"/>
      <c r="E1153" s="52"/>
      <c r="F1153" s="54"/>
    </row>
    <row r="1154" spans="4:6">
      <c r="D1154" s="48"/>
      <c r="E1154" s="52"/>
      <c r="F1154" s="54"/>
    </row>
    <row r="1155" spans="4:6">
      <c r="D1155" s="48"/>
      <c r="E1155" s="52"/>
      <c r="F1155" s="54"/>
    </row>
    <row r="1156" spans="4:6">
      <c r="D1156" s="48"/>
      <c r="E1156" s="52"/>
      <c r="F1156" s="54"/>
    </row>
    <row r="1157" spans="4:6">
      <c r="D1157" s="48"/>
      <c r="E1157" s="52"/>
      <c r="F1157" s="54"/>
    </row>
    <row r="1158" spans="4:6">
      <c r="D1158" s="48"/>
      <c r="E1158" s="52"/>
      <c r="F1158" s="54"/>
    </row>
    <row r="1159" spans="4:6">
      <c r="D1159" s="48"/>
      <c r="E1159" s="52"/>
      <c r="F1159" s="54"/>
    </row>
    <row r="1160" spans="4:6">
      <c r="D1160" s="48"/>
      <c r="E1160" s="52"/>
      <c r="F1160" s="54"/>
    </row>
    <row r="1161" spans="4:6">
      <c r="D1161" s="48"/>
      <c r="E1161" s="52"/>
      <c r="F1161" s="54"/>
    </row>
    <row r="1162" spans="4:6">
      <c r="D1162" s="48"/>
      <c r="E1162" s="52"/>
      <c r="F1162" s="54"/>
    </row>
    <row r="1163" spans="4:6">
      <c r="D1163" s="48"/>
      <c r="E1163" s="52"/>
      <c r="F1163" s="54"/>
    </row>
    <row r="1164" spans="4:6">
      <c r="D1164" s="48"/>
      <c r="E1164" s="52"/>
      <c r="F1164" s="54"/>
    </row>
    <row r="1165" spans="4:6">
      <c r="D1165" s="48"/>
      <c r="E1165" s="52"/>
      <c r="F1165" s="54"/>
    </row>
    <row r="1166" spans="4:6">
      <c r="D1166" s="48"/>
      <c r="E1166" s="52"/>
      <c r="F1166" s="54"/>
    </row>
    <row r="1167" spans="4:6">
      <c r="D1167" s="48"/>
      <c r="E1167" s="52"/>
      <c r="F1167" s="54"/>
    </row>
    <row r="1168" spans="4:6">
      <c r="D1168" s="48"/>
      <c r="E1168" s="52"/>
      <c r="F1168" s="54"/>
    </row>
    <row r="1169" spans="4:6">
      <c r="D1169" s="48"/>
      <c r="E1169" s="52"/>
      <c r="F1169" s="54"/>
    </row>
    <row r="1170" spans="4:6">
      <c r="D1170" s="48"/>
      <c r="E1170" s="52"/>
      <c r="F1170" s="54"/>
    </row>
    <row r="1171" spans="4:6">
      <c r="D1171" s="48"/>
      <c r="E1171" s="52"/>
      <c r="F1171" s="54"/>
    </row>
    <row r="1172" spans="4:6">
      <c r="D1172" s="48"/>
      <c r="E1172" s="52"/>
      <c r="F1172" s="54"/>
    </row>
    <row r="1173" spans="4:6">
      <c r="D1173" s="48"/>
      <c r="E1173" s="52"/>
      <c r="F1173" s="54"/>
    </row>
    <row r="1174" spans="4:6">
      <c r="D1174" s="48"/>
      <c r="E1174" s="52"/>
      <c r="F1174" s="54"/>
    </row>
    <row r="1175" spans="4:6">
      <c r="D1175" s="48"/>
      <c r="E1175" s="52"/>
      <c r="F1175" s="54"/>
    </row>
    <row r="1176" spans="4:6">
      <c r="D1176" s="48"/>
      <c r="E1176" s="52"/>
      <c r="F1176" s="54"/>
    </row>
    <row r="1177" spans="4:6">
      <c r="D1177" s="48"/>
      <c r="E1177" s="52"/>
      <c r="F1177" s="54"/>
    </row>
    <row r="1178" spans="4:6">
      <c r="D1178" s="48"/>
      <c r="E1178" s="52"/>
      <c r="F1178" s="54"/>
    </row>
    <row r="1179" spans="4:6">
      <c r="D1179" s="48"/>
      <c r="E1179" s="52"/>
      <c r="F1179" s="54"/>
    </row>
    <row r="1180" spans="4:6">
      <c r="D1180" s="48"/>
      <c r="E1180" s="52"/>
      <c r="F1180" s="54"/>
    </row>
    <row r="1181" spans="4:6">
      <c r="D1181" s="48"/>
      <c r="E1181" s="52"/>
      <c r="F1181" s="54"/>
    </row>
    <row r="1182" spans="4:6">
      <c r="D1182" s="48"/>
      <c r="E1182" s="52"/>
      <c r="F1182" s="54"/>
    </row>
    <row r="1183" spans="4:6">
      <c r="D1183" s="48"/>
      <c r="E1183" s="52"/>
      <c r="F1183" s="54"/>
    </row>
    <row r="1184" spans="4:6">
      <c r="D1184" s="48"/>
      <c r="E1184" s="52"/>
      <c r="F1184" s="54"/>
    </row>
    <row r="1185" spans="4:6">
      <c r="D1185" s="48"/>
      <c r="E1185" s="52"/>
      <c r="F1185" s="54"/>
    </row>
    <row r="1186" spans="4:6">
      <c r="D1186" s="48"/>
      <c r="E1186" s="52"/>
      <c r="F1186" s="54"/>
    </row>
    <row r="1187" spans="4:6">
      <c r="D1187" s="48"/>
      <c r="E1187" s="52"/>
      <c r="F1187" s="54"/>
    </row>
    <row r="1188" spans="4:6">
      <c r="D1188" s="48"/>
      <c r="E1188" s="52"/>
      <c r="F1188" s="54"/>
    </row>
    <row r="1189" spans="4:6">
      <c r="D1189" s="48"/>
      <c r="E1189" s="52"/>
      <c r="F1189" s="54"/>
    </row>
    <row r="1190" spans="4:6">
      <c r="D1190" s="48"/>
      <c r="E1190" s="52"/>
      <c r="F1190" s="54"/>
    </row>
    <row r="1191" spans="4:6">
      <c r="D1191" s="48"/>
      <c r="E1191" s="52"/>
      <c r="F1191" s="54"/>
    </row>
    <row r="1192" spans="4:6">
      <c r="D1192" s="48"/>
      <c r="E1192" s="52"/>
      <c r="F1192" s="54"/>
    </row>
    <row r="1193" spans="4:6">
      <c r="D1193" s="48"/>
      <c r="E1193" s="52"/>
      <c r="F1193" s="54"/>
    </row>
    <row r="1194" spans="4:6">
      <c r="D1194" s="48"/>
      <c r="E1194" s="52"/>
      <c r="F1194" s="54"/>
    </row>
    <row r="1195" spans="4:6">
      <c r="D1195" s="48"/>
      <c r="E1195" s="52"/>
      <c r="F1195" s="54"/>
    </row>
    <row r="1196" spans="4:6">
      <c r="D1196" s="48"/>
      <c r="E1196" s="52"/>
      <c r="F1196" s="54"/>
    </row>
    <row r="1197" spans="4:6">
      <c r="D1197" s="48"/>
      <c r="E1197" s="52"/>
      <c r="F1197" s="54"/>
    </row>
    <row r="1198" spans="4:6">
      <c r="D1198" s="48"/>
      <c r="E1198" s="52"/>
      <c r="F1198" s="54"/>
    </row>
    <row r="1199" spans="4:6">
      <c r="D1199" s="48"/>
      <c r="E1199" s="52"/>
      <c r="F1199" s="54"/>
    </row>
    <row r="1200" spans="4:6">
      <c r="D1200" s="48"/>
      <c r="E1200" s="52"/>
      <c r="F1200" s="54"/>
    </row>
    <row r="1201" spans="4:6">
      <c r="D1201" s="48"/>
      <c r="E1201" s="52"/>
      <c r="F1201" s="54"/>
    </row>
    <row r="1202" spans="4:6">
      <c r="D1202" s="48"/>
      <c r="E1202" s="52"/>
      <c r="F1202" s="54"/>
    </row>
    <row r="1203" spans="4:6">
      <c r="D1203" s="48"/>
      <c r="E1203" s="52"/>
      <c r="F1203" s="54"/>
    </row>
    <row r="1204" spans="4:6">
      <c r="D1204" s="48"/>
      <c r="E1204" s="52"/>
      <c r="F1204" s="54"/>
    </row>
    <row r="1205" spans="4:6">
      <c r="D1205" s="48"/>
      <c r="E1205" s="52"/>
      <c r="F1205" s="54"/>
    </row>
    <row r="1206" spans="4:6">
      <c r="D1206" s="48"/>
      <c r="E1206" s="52"/>
      <c r="F1206" s="54"/>
    </row>
    <row r="1207" spans="4:6">
      <c r="D1207" s="48"/>
      <c r="E1207" s="52"/>
      <c r="F1207" s="54"/>
    </row>
    <row r="1208" spans="4:6">
      <c r="D1208" s="48"/>
      <c r="E1208" s="52"/>
      <c r="F1208" s="54"/>
    </row>
    <row r="1209" spans="4:6">
      <c r="D1209" s="48"/>
      <c r="E1209" s="52"/>
      <c r="F1209" s="54"/>
    </row>
    <row r="1210" spans="4:6">
      <c r="D1210" s="48"/>
      <c r="E1210" s="52"/>
      <c r="F1210" s="54"/>
    </row>
    <row r="1211" spans="4:6">
      <c r="D1211" s="48"/>
      <c r="E1211" s="52"/>
      <c r="F1211" s="54"/>
    </row>
    <row r="1212" spans="4:6">
      <c r="D1212" s="48"/>
      <c r="E1212" s="52"/>
      <c r="F1212" s="54"/>
    </row>
    <row r="1213" spans="4:6">
      <c r="D1213" s="48"/>
      <c r="E1213" s="52"/>
      <c r="F1213" s="54"/>
    </row>
    <row r="1214" spans="4:6">
      <c r="D1214" s="48"/>
      <c r="E1214" s="52"/>
      <c r="F1214" s="54"/>
    </row>
    <row r="1215" spans="4:6">
      <c r="D1215" s="48"/>
      <c r="E1215" s="52"/>
      <c r="F1215" s="54"/>
    </row>
    <row r="1216" spans="4:6">
      <c r="D1216" s="48"/>
      <c r="E1216" s="52"/>
      <c r="F1216" s="54"/>
    </row>
    <row r="1217" spans="4:6">
      <c r="D1217" s="48"/>
      <c r="E1217" s="52"/>
      <c r="F1217" s="54"/>
    </row>
    <row r="1218" spans="4:6">
      <c r="D1218" s="48"/>
      <c r="E1218" s="52"/>
      <c r="F1218" s="54"/>
    </row>
    <row r="1219" spans="4:6">
      <c r="D1219" s="48"/>
      <c r="E1219" s="52"/>
      <c r="F1219" s="54"/>
    </row>
    <row r="1220" spans="4:6">
      <c r="D1220" s="48"/>
      <c r="E1220" s="52"/>
      <c r="F1220" s="54"/>
    </row>
    <row r="1221" spans="4:6">
      <c r="D1221" s="48"/>
      <c r="E1221" s="52"/>
      <c r="F1221" s="54"/>
    </row>
    <row r="1222" spans="4:6">
      <c r="D1222" s="48"/>
      <c r="E1222" s="52"/>
      <c r="F1222" s="54"/>
    </row>
    <row r="1223" spans="4:6">
      <c r="D1223" s="48"/>
      <c r="E1223" s="52"/>
      <c r="F1223" s="54"/>
    </row>
    <row r="1224" spans="4:6">
      <c r="D1224" s="48"/>
      <c r="E1224" s="52"/>
      <c r="F1224" s="54"/>
    </row>
    <row r="1225" spans="4:6">
      <c r="D1225" s="48"/>
      <c r="E1225" s="52"/>
      <c r="F1225" s="54"/>
    </row>
    <row r="1226" spans="4:6">
      <c r="D1226" s="48"/>
      <c r="E1226" s="52"/>
      <c r="F1226" s="54"/>
    </row>
    <row r="1227" spans="4:6">
      <c r="D1227" s="48"/>
      <c r="E1227" s="52"/>
      <c r="F1227" s="54"/>
    </row>
    <row r="1228" spans="4:6">
      <c r="D1228" s="48"/>
      <c r="E1228" s="52"/>
      <c r="F1228" s="54"/>
    </row>
    <row r="1229" spans="4:6">
      <c r="D1229" s="48"/>
      <c r="E1229" s="52"/>
      <c r="F1229" s="54"/>
    </row>
    <row r="1230" spans="4:6">
      <c r="D1230" s="48"/>
      <c r="E1230" s="52"/>
      <c r="F1230" s="54"/>
    </row>
    <row r="1231" spans="4:6">
      <c r="D1231" s="48"/>
      <c r="E1231" s="52"/>
      <c r="F1231" s="54"/>
    </row>
    <row r="1232" spans="4:6">
      <c r="D1232" s="48"/>
      <c r="E1232" s="52"/>
      <c r="F1232" s="54"/>
    </row>
    <row r="1233" spans="4:6">
      <c r="D1233" s="48"/>
      <c r="E1233" s="52"/>
      <c r="F1233" s="54"/>
    </row>
    <row r="1234" spans="4:6">
      <c r="D1234" s="48"/>
      <c r="E1234" s="52"/>
      <c r="F1234" s="54"/>
    </row>
    <row r="1235" spans="4:6">
      <c r="D1235" s="48"/>
      <c r="E1235" s="52"/>
      <c r="F1235" s="54"/>
    </row>
    <row r="1236" spans="4:6">
      <c r="D1236" s="48"/>
      <c r="E1236" s="52"/>
      <c r="F1236" s="54"/>
    </row>
    <row r="1237" spans="4:6">
      <c r="D1237" s="48"/>
      <c r="E1237" s="52"/>
      <c r="F1237" s="54"/>
    </row>
    <row r="1238" spans="4:6">
      <c r="D1238" s="48"/>
      <c r="E1238" s="52"/>
      <c r="F1238" s="54"/>
    </row>
    <row r="1239" spans="4:6">
      <c r="D1239" s="48"/>
      <c r="E1239" s="52"/>
      <c r="F1239" s="54"/>
    </row>
    <row r="1240" spans="4:6">
      <c r="D1240" s="48"/>
      <c r="E1240" s="52"/>
      <c r="F1240" s="54"/>
    </row>
    <row r="1241" spans="4:6">
      <c r="D1241" s="48"/>
      <c r="E1241" s="52"/>
      <c r="F1241" s="54"/>
    </row>
    <row r="1242" spans="4:6">
      <c r="D1242" s="48"/>
      <c r="E1242" s="52"/>
      <c r="F1242" s="54"/>
    </row>
    <row r="1243" spans="4:6">
      <c r="D1243" s="48"/>
      <c r="E1243" s="52"/>
      <c r="F1243" s="54"/>
    </row>
    <row r="1244" spans="4:6">
      <c r="D1244" s="48"/>
      <c r="E1244" s="52"/>
      <c r="F1244" s="54"/>
    </row>
    <row r="1245" spans="4:6">
      <c r="D1245" s="48"/>
      <c r="E1245" s="52"/>
      <c r="F1245" s="54"/>
    </row>
    <row r="1246" spans="4:6">
      <c r="D1246" s="48"/>
      <c r="E1246" s="52"/>
      <c r="F1246" s="54"/>
    </row>
    <row r="1247" spans="4:6">
      <c r="D1247" s="48"/>
      <c r="E1247" s="52"/>
      <c r="F1247" s="54"/>
    </row>
    <row r="1248" spans="4:6">
      <c r="D1248" s="48"/>
      <c r="E1248" s="52"/>
      <c r="F1248" s="54"/>
    </row>
    <row r="1249" spans="4:6">
      <c r="D1249" s="48"/>
      <c r="E1249" s="52"/>
      <c r="F1249" s="54"/>
    </row>
    <row r="1250" spans="4:6">
      <c r="D1250" s="48"/>
      <c r="E1250" s="52"/>
      <c r="F1250" s="54"/>
    </row>
    <row r="1251" spans="4:6">
      <c r="D1251" s="48"/>
      <c r="E1251" s="52"/>
      <c r="F1251" s="54"/>
    </row>
    <row r="1252" spans="4:6">
      <c r="D1252" s="48"/>
      <c r="E1252" s="52"/>
      <c r="F1252" s="54"/>
    </row>
    <row r="1253" spans="4:6">
      <c r="D1253" s="48"/>
      <c r="E1253" s="52"/>
      <c r="F1253" s="54"/>
    </row>
    <row r="1254" spans="4:6">
      <c r="D1254" s="48"/>
      <c r="E1254" s="52"/>
      <c r="F1254" s="54"/>
    </row>
    <row r="1255" spans="4:6">
      <c r="D1255" s="48"/>
      <c r="E1255" s="52"/>
      <c r="F1255" s="54"/>
    </row>
    <row r="1256" spans="4:6">
      <c r="D1256" s="48"/>
      <c r="E1256" s="52"/>
      <c r="F1256" s="54"/>
    </row>
    <row r="1257" spans="4:6">
      <c r="D1257" s="48"/>
      <c r="E1257" s="52"/>
      <c r="F1257" s="54"/>
    </row>
    <row r="1258" spans="4:6">
      <c r="D1258" s="48"/>
      <c r="E1258" s="52"/>
      <c r="F1258" s="54"/>
    </row>
    <row r="1259" spans="4:6">
      <c r="D1259" s="48"/>
      <c r="E1259" s="52"/>
      <c r="F1259" s="54"/>
    </row>
    <row r="1260" spans="4:6">
      <c r="D1260" s="48"/>
      <c r="E1260" s="52"/>
      <c r="F1260" s="54"/>
    </row>
    <row r="1261" spans="4:6">
      <c r="D1261" s="48"/>
      <c r="E1261" s="52"/>
      <c r="F1261" s="54"/>
    </row>
    <row r="1262" spans="4:6">
      <c r="D1262" s="48"/>
      <c r="E1262" s="52"/>
      <c r="F1262" s="54"/>
    </row>
    <row r="1263" spans="4:6">
      <c r="D1263" s="48"/>
      <c r="E1263" s="52"/>
      <c r="F1263" s="54"/>
    </row>
    <row r="1264" spans="4:6">
      <c r="D1264" s="48"/>
      <c r="E1264" s="52"/>
      <c r="F1264" s="54"/>
    </row>
    <row r="1265" spans="4:6">
      <c r="D1265" s="48"/>
      <c r="E1265" s="52"/>
      <c r="F1265" s="54"/>
    </row>
    <row r="1266" spans="4:6">
      <c r="D1266" s="48"/>
      <c r="E1266" s="52"/>
      <c r="F1266" s="54"/>
    </row>
    <row r="1267" spans="4:6">
      <c r="D1267" s="48"/>
      <c r="E1267" s="52"/>
      <c r="F1267" s="54"/>
    </row>
    <row r="1268" spans="4:6">
      <c r="D1268" s="48"/>
      <c r="E1268" s="52"/>
      <c r="F1268" s="54"/>
    </row>
    <row r="1269" spans="4:6">
      <c r="D1269" s="48"/>
      <c r="E1269" s="52"/>
      <c r="F1269" s="54"/>
    </row>
    <row r="1270" spans="4:6">
      <c r="D1270" s="48"/>
      <c r="E1270" s="52"/>
      <c r="F1270" s="54"/>
    </row>
    <row r="1271" spans="4:6">
      <c r="D1271" s="48"/>
      <c r="E1271" s="52"/>
      <c r="F1271" s="54"/>
    </row>
    <row r="1272" spans="4:6">
      <c r="D1272" s="48"/>
      <c r="E1272" s="52"/>
      <c r="F1272" s="54"/>
    </row>
    <row r="1273" spans="4:6">
      <c r="D1273" s="48"/>
      <c r="E1273" s="52"/>
      <c r="F1273" s="54"/>
    </row>
    <row r="1274" spans="4:6">
      <c r="D1274" s="48"/>
      <c r="E1274" s="52"/>
      <c r="F1274" s="54"/>
    </row>
    <row r="1275" spans="4:6">
      <c r="D1275" s="48"/>
      <c r="E1275" s="52"/>
      <c r="F1275" s="54"/>
    </row>
    <row r="1276" spans="4:6">
      <c r="D1276" s="48"/>
      <c r="E1276" s="52"/>
      <c r="F1276" s="54"/>
    </row>
    <row r="1277" spans="4:6">
      <c r="D1277" s="48"/>
      <c r="E1277" s="52"/>
      <c r="F1277" s="54"/>
    </row>
    <row r="1278" spans="4:6">
      <c r="D1278" s="48"/>
      <c r="E1278" s="52"/>
      <c r="F1278" s="54"/>
    </row>
    <row r="1279" spans="4:6">
      <c r="D1279" s="48"/>
      <c r="E1279" s="52"/>
      <c r="F1279" s="54"/>
    </row>
    <row r="1280" spans="4:6">
      <c r="D1280" s="48"/>
      <c r="E1280" s="52"/>
      <c r="F1280" s="54"/>
    </row>
    <row r="1281" spans="4:6">
      <c r="D1281" s="48"/>
      <c r="E1281" s="52"/>
      <c r="F1281" s="54"/>
    </row>
    <row r="1282" spans="4:6">
      <c r="D1282" s="48"/>
      <c r="E1282" s="52"/>
      <c r="F1282" s="54"/>
    </row>
    <row r="1283" spans="4:6">
      <c r="D1283" s="48"/>
      <c r="E1283" s="52"/>
      <c r="F1283" s="54"/>
    </row>
    <row r="1284" spans="4:6">
      <c r="D1284" s="48"/>
      <c r="E1284" s="52"/>
      <c r="F1284" s="54"/>
    </row>
    <row r="1285" spans="4:6">
      <c r="D1285" s="48"/>
      <c r="E1285" s="52"/>
      <c r="F1285" s="54"/>
    </row>
    <row r="1286" spans="4:6">
      <c r="D1286" s="48"/>
      <c r="E1286" s="52"/>
      <c r="F1286" s="54"/>
    </row>
    <row r="1287" spans="4:6">
      <c r="D1287" s="48"/>
      <c r="E1287" s="52"/>
      <c r="F1287" s="54"/>
    </row>
    <row r="1288" spans="4:6">
      <c r="D1288" s="48"/>
      <c r="E1288" s="52"/>
      <c r="F1288" s="54"/>
    </row>
    <row r="1289" spans="4:6">
      <c r="D1289" s="48"/>
      <c r="E1289" s="52"/>
      <c r="F1289" s="54"/>
    </row>
    <row r="1290" spans="4:6">
      <c r="D1290" s="48"/>
      <c r="E1290" s="52"/>
      <c r="F1290" s="54"/>
    </row>
    <row r="1291" spans="4:6">
      <c r="D1291" s="48"/>
      <c r="E1291" s="52"/>
      <c r="F1291" s="54"/>
    </row>
    <row r="1292" spans="4:6">
      <c r="D1292" s="48"/>
      <c r="E1292" s="52"/>
      <c r="F1292" s="54"/>
    </row>
    <row r="1293" spans="4:6">
      <c r="D1293" s="48"/>
      <c r="E1293" s="52"/>
      <c r="F1293" s="54"/>
    </row>
    <row r="1294" spans="4:6">
      <c r="D1294" s="48"/>
      <c r="E1294" s="52"/>
      <c r="F1294" s="54"/>
    </row>
    <row r="1295" spans="4:6">
      <c r="D1295" s="48"/>
      <c r="E1295" s="52"/>
      <c r="F1295" s="54"/>
    </row>
    <row r="1296" spans="4:6">
      <c r="D1296" s="48"/>
      <c r="E1296" s="52"/>
      <c r="F1296" s="54"/>
    </row>
    <row r="1297" spans="4:6">
      <c r="D1297" s="48"/>
      <c r="E1297" s="52"/>
      <c r="F1297" s="54"/>
    </row>
    <row r="1298" spans="4:6">
      <c r="D1298" s="48"/>
      <c r="E1298" s="52"/>
      <c r="F1298" s="54"/>
    </row>
    <row r="1299" spans="4:6">
      <c r="D1299" s="48"/>
      <c r="E1299" s="52"/>
      <c r="F1299" s="54"/>
    </row>
    <row r="1300" spans="4:6">
      <c r="D1300" s="48"/>
      <c r="E1300" s="52"/>
      <c r="F1300" s="54"/>
    </row>
    <row r="1301" spans="4:6">
      <c r="D1301" s="48"/>
      <c r="E1301" s="52"/>
      <c r="F1301" s="54"/>
    </row>
    <row r="1302" spans="4:6">
      <c r="D1302" s="48"/>
      <c r="E1302" s="52"/>
      <c r="F1302" s="54"/>
    </row>
    <row r="1303" spans="4:6">
      <c r="D1303" s="48"/>
      <c r="E1303" s="52"/>
      <c r="F1303" s="54"/>
    </row>
    <row r="1304" spans="4:6">
      <c r="D1304" s="48"/>
      <c r="E1304" s="52"/>
      <c r="F1304" s="54"/>
    </row>
    <row r="1305" spans="4:6">
      <c r="D1305" s="48"/>
      <c r="E1305" s="52"/>
      <c r="F1305" s="54"/>
    </row>
    <row r="1306" spans="4:6">
      <c r="D1306" s="48"/>
      <c r="E1306" s="52"/>
      <c r="F1306" s="54"/>
    </row>
    <row r="1307" spans="4:6">
      <c r="D1307" s="48"/>
      <c r="E1307" s="52"/>
      <c r="F1307" s="54"/>
    </row>
    <row r="1308" spans="4:6">
      <c r="D1308" s="48"/>
      <c r="E1308" s="52"/>
      <c r="F1308" s="54"/>
    </row>
    <row r="1309" spans="4:6">
      <c r="D1309" s="48"/>
      <c r="E1309" s="52"/>
      <c r="F1309" s="54"/>
    </row>
    <row r="1310" spans="4:6">
      <c r="D1310" s="48"/>
      <c r="E1310" s="52"/>
      <c r="F1310" s="54"/>
    </row>
    <row r="1311" spans="4:6">
      <c r="D1311" s="48"/>
      <c r="E1311" s="52"/>
      <c r="F1311" s="54"/>
    </row>
    <row r="1312" spans="4:6">
      <c r="D1312" s="48"/>
      <c r="E1312" s="52"/>
      <c r="F1312" s="54"/>
    </row>
    <row r="1313" spans="4:6">
      <c r="D1313" s="48"/>
      <c r="E1313" s="52"/>
      <c r="F1313" s="54"/>
    </row>
    <row r="1314" spans="4:6">
      <c r="D1314" s="48"/>
      <c r="E1314" s="52"/>
      <c r="F1314" s="54"/>
    </row>
    <row r="1315" spans="4:6">
      <c r="D1315" s="48"/>
      <c r="E1315" s="52"/>
      <c r="F1315" s="54"/>
    </row>
    <row r="1316" spans="4:6">
      <c r="D1316" s="48"/>
      <c r="E1316" s="52"/>
      <c r="F1316" s="54"/>
    </row>
    <row r="1317" spans="4:6">
      <c r="D1317" s="48"/>
      <c r="E1317" s="52"/>
      <c r="F1317" s="54"/>
    </row>
    <row r="1318" spans="4:6">
      <c r="D1318" s="48"/>
      <c r="E1318" s="52"/>
      <c r="F1318" s="54"/>
    </row>
    <row r="1319" spans="4:6">
      <c r="D1319" s="48"/>
      <c r="E1319" s="52"/>
      <c r="F1319" s="54"/>
    </row>
    <row r="1320" spans="4:6">
      <c r="D1320" s="48"/>
      <c r="E1320" s="52"/>
      <c r="F1320" s="54"/>
    </row>
    <row r="1321" spans="4:6">
      <c r="D1321" s="48"/>
      <c r="E1321" s="52"/>
      <c r="F1321" s="54"/>
    </row>
    <row r="1322" spans="4:6">
      <c r="D1322" s="48"/>
      <c r="E1322" s="52"/>
      <c r="F1322" s="54"/>
    </row>
    <row r="1323" spans="4:6">
      <c r="D1323" s="48"/>
      <c r="E1323" s="52"/>
      <c r="F1323" s="54"/>
    </row>
    <row r="1324" spans="4:6">
      <c r="D1324" s="48"/>
      <c r="E1324" s="52"/>
      <c r="F1324" s="54"/>
    </row>
    <row r="1325" spans="4:6">
      <c r="D1325" s="48"/>
      <c r="E1325" s="52"/>
      <c r="F1325" s="54"/>
    </row>
    <row r="1326" spans="4:6">
      <c r="D1326" s="48"/>
      <c r="E1326" s="52"/>
      <c r="F1326" s="54"/>
    </row>
    <row r="1327" spans="4:6">
      <c r="D1327" s="48"/>
      <c r="E1327" s="52"/>
      <c r="F1327" s="54"/>
    </row>
    <row r="1328" spans="4:6">
      <c r="D1328" s="48"/>
      <c r="E1328" s="52"/>
      <c r="F1328" s="54"/>
    </row>
    <row r="1329" spans="4:6">
      <c r="D1329" s="48"/>
      <c r="E1329" s="52"/>
      <c r="F1329" s="54"/>
    </row>
    <row r="1330" spans="4:6">
      <c r="D1330" s="48"/>
      <c r="E1330" s="52"/>
      <c r="F1330" s="54"/>
    </row>
    <row r="1331" spans="4:6">
      <c r="D1331" s="48"/>
      <c r="E1331" s="52"/>
      <c r="F1331" s="54"/>
    </row>
    <row r="1332" spans="4:6">
      <c r="D1332" s="48"/>
      <c r="E1332" s="52"/>
      <c r="F1332" s="54"/>
    </row>
    <row r="1333" spans="4:6">
      <c r="D1333" s="48"/>
      <c r="E1333" s="52"/>
      <c r="F1333" s="54"/>
    </row>
    <row r="1334" spans="4:6">
      <c r="D1334" s="48"/>
      <c r="E1334" s="52"/>
      <c r="F1334" s="54"/>
    </row>
    <row r="1335" spans="4:6">
      <c r="D1335" s="48"/>
      <c r="E1335" s="52"/>
      <c r="F1335" s="54"/>
    </row>
    <row r="1336" spans="4:6">
      <c r="D1336" s="48"/>
      <c r="E1336" s="52"/>
      <c r="F1336" s="54"/>
    </row>
    <row r="1337" spans="4:6">
      <c r="D1337" s="48"/>
      <c r="E1337" s="52"/>
      <c r="F1337" s="54"/>
    </row>
    <row r="1338" spans="4:6">
      <c r="D1338" s="48"/>
      <c r="E1338" s="52"/>
      <c r="F1338" s="54"/>
    </row>
    <row r="1339" spans="4:6">
      <c r="D1339" s="48"/>
      <c r="E1339" s="52"/>
      <c r="F1339" s="54"/>
    </row>
    <row r="1340" spans="4:6">
      <c r="D1340" s="48"/>
      <c r="E1340" s="52"/>
      <c r="F1340" s="54"/>
    </row>
    <row r="1341" spans="4:6">
      <c r="D1341" s="48"/>
      <c r="E1341" s="52"/>
      <c r="F1341" s="54"/>
    </row>
    <row r="1342" spans="4:6">
      <c r="D1342" s="48"/>
      <c r="E1342" s="52"/>
      <c r="F1342" s="54"/>
    </row>
    <row r="1343" spans="4:6">
      <c r="D1343" s="48"/>
      <c r="E1343" s="52"/>
      <c r="F1343" s="54"/>
    </row>
    <row r="1344" spans="4:6">
      <c r="D1344" s="48"/>
      <c r="E1344" s="52"/>
      <c r="F1344" s="54"/>
    </row>
    <row r="1345" spans="4:6">
      <c r="D1345" s="48"/>
      <c r="E1345" s="52"/>
      <c r="F1345" s="54"/>
    </row>
    <row r="1346" spans="4:6">
      <c r="D1346" s="48"/>
      <c r="E1346" s="52"/>
      <c r="F1346" s="54"/>
    </row>
    <row r="1347" spans="4:6">
      <c r="D1347" s="48"/>
      <c r="E1347" s="52"/>
      <c r="F1347" s="54"/>
    </row>
    <row r="1348" spans="4:6">
      <c r="D1348" s="48"/>
      <c r="E1348" s="52"/>
      <c r="F1348" s="54"/>
    </row>
    <row r="1349" spans="4:6">
      <c r="D1349" s="48"/>
      <c r="E1349" s="52"/>
      <c r="F1349" s="54"/>
    </row>
    <row r="1350" spans="4:6">
      <c r="D1350" s="48"/>
      <c r="E1350" s="52"/>
      <c r="F1350" s="54"/>
    </row>
    <row r="1351" spans="4:6">
      <c r="D1351" s="48"/>
      <c r="E1351" s="52"/>
      <c r="F1351" s="54"/>
    </row>
    <row r="1352" spans="4:6">
      <c r="D1352" s="48"/>
      <c r="E1352" s="52"/>
      <c r="F1352" s="54"/>
    </row>
    <row r="1353" spans="4:6">
      <c r="D1353" s="48"/>
      <c r="E1353" s="52"/>
      <c r="F1353" s="54"/>
    </row>
    <row r="1354" spans="4:6">
      <c r="D1354" s="48"/>
      <c r="E1354" s="52"/>
      <c r="F1354" s="54"/>
    </row>
    <row r="1355" spans="4:6">
      <c r="D1355" s="48"/>
      <c r="E1355" s="52"/>
      <c r="F1355" s="54"/>
    </row>
    <row r="1356" spans="4:6">
      <c r="D1356" s="48"/>
      <c r="E1356" s="52"/>
      <c r="F1356" s="54"/>
    </row>
    <row r="1357" spans="4:6">
      <c r="D1357" s="48"/>
      <c r="E1357" s="52"/>
      <c r="F1357" s="54"/>
    </row>
    <row r="1358" spans="4:6">
      <c r="D1358" s="48"/>
      <c r="E1358" s="52"/>
      <c r="F1358" s="54"/>
    </row>
    <row r="1359" spans="4:6">
      <c r="D1359" s="48"/>
      <c r="E1359" s="52"/>
      <c r="F1359" s="54"/>
    </row>
    <row r="1360" spans="4:6">
      <c r="D1360" s="48"/>
      <c r="E1360" s="52"/>
      <c r="F1360" s="54"/>
    </row>
    <row r="1361" spans="4:6">
      <c r="D1361" s="48"/>
      <c r="E1361" s="52"/>
      <c r="F1361" s="54"/>
    </row>
    <row r="1362" spans="4:6">
      <c r="D1362" s="48"/>
      <c r="E1362" s="52"/>
      <c r="F1362" s="54"/>
    </row>
    <row r="1363" spans="4:6">
      <c r="D1363" s="48"/>
      <c r="E1363" s="52"/>
      <c r="F1363" s="54"/>
    </row>
    <row r="1364" spans="4:6">
      <c r="D1364" s="48"/>
      <c r="E1364" s="52"/>
      <c r="F1364" s="54"/>
    </row>
    <row r="1365" spans="4:6">
      <c r="D1365" s="48"/>
      <c r="E1365" s="52"/>
      <c r="F1365" s="54"/>
    </row>
    <row r="1366" spans="4:6">
      <c r="D1366" s="48"/>
      <c r="E1366" s="52"/>
      <c r="F1366" s="54"/>
    </row>
    <row r="1367" spans="4:6">
      <c r="D1367" s="48"/>
      <c r="E1367" s="52"/>
      <c r="F1367" s="54"/>
    </row>
    <row r="1368" spans="4:6">
      <c r="D1368" s="48"/>
      <c r="E1368" s="52"/>
      <c r="F1368" s="54"/>
    </row>
    <row r="1369" spans="4:6">
      <c r="D1369" s="48"/>
      <c r="E1369" s="52"/>
      <c r="F1369" s="54"/>
    </row>
    <row r="1370" spans="4:6">
      <c r="D1370" s="48"/>
      <c r="E1370" s="52"/>
      <c r="F1370" s="54"/>
    </row>
    <row r="1371" spans="4:6">
      <c r="D1371" s="48"/>
      <c r="E1371" s="52"/>
      <c r="F1371" s="54"/>
    </row>
    <row r="1372" spans="4:6">
      <c r="D1372" s="48"/>
      <c r="E1372" s="52"/>
      <c r="F1372" s="54"/>
    </row>
    <row r="1373" spans="4:6">
      <c r="D1373" s="48"/>
      <c r="E1373" s="52"/>
      <c r="F1373" s="54"/>
    </row>
    <row r="1374" spans="4:6">
      <c r="D1374" s="48"/>
      <c r="E1374" s="52"/>
      <c r="F1374" s="54"/>
    </row>
    <row r="1375" spans="4:6">
      <c r="D1375" s="48"/>
      <c r="E1375" s="52"/>
      <c r="F1375" s="54"/>
    </row>
    <row r="1376" spans="4:6">
      <c r="D1376" s="48"/>
      <c r="E1376" s="52"/>
      <c r="F1376" s="54"/>
    </row>
    <row r="1377" spans="4:6">
      <c r="D1377" s="48"/>
      <c r="E1377" s="52"/>
      <c r="F1377" s="54"/>
    </row>
    <row r="1378" spans="4:6">
      <c r="D1378" s="48"/>
      <c r="E1378" s="52"/>
      <c r="F1378" s="54"/>
    </row>
    <row r="1379" spans="4:6">
      <c r="D1379" s="48"/>
      <c r="E1379" s="52"/>
      <c r="F1379" s="54"/>
    </row>
    <row r="1380" spans="4:6">
      <c r="D1380" s="48"/>
      <c r="E1380" s="52"/>
      <c r="F1380" s="54"/>
    </row>
    <row r="1381" spans="4:6">
      <c r="D1381" s="48"/>
      <c r="E1381" s="52"/>
      <c r="F1381" s="54"/>
    </row>
    <row r="1382" spans="4:6">
      <c r="D1382" s="48"/>
      <c r="E1382" s="52"/>
      <c r="F1382" s="54"/>
    </row>
    <row r="1383" spans="4:6">
      <c r="D1383" s="48"/>
      <c r="E1383" s="52"/>
      <c r="F1383" s="54"/>
    </row>
    <row r="1384" spans="4:6">
      <c r="D1384" s="48"/>
      <c r="E1384" s="52"/>
      <c r="F1384" s="54"/>
    </row>
    <row r="1385" spans="4:6">
      <c r="D1385" s="48"/>
      <c r="E1385" s="52"/>
      <c r="F1385" s="54"/>
    </row>
    <row r="1386" spans="4:6">
      <c r="D1386" s="48"/>
      <c r="E1386" s="52"/>
      <c r="F1386" s="54"/>
    </row>
    <row r="1387" spans="4:6">
      <c r="D1387" s="48"/>
      <c r="E1387" s="52"/>
      <c r="F1387" s="54"/>
    </row>
    <row r="1388" spans="4:6">
      <c r="D1388" s="48"/>
      <c r="E1388" s="52"/>
      <c r="F1388" s="54"/>
    </row>
    <row r="1389" spans="4:6">
      <c r="D1389" s="48"/>
      <c r="E1389" s="52"/>
      <c r="F1389" s="54"/>
    </row>
    <row r="1390" spans="4:6">
      <c r="D1390" s="48"/>
      <c r="E1390" s="52"/>
      <c r="F1390" s="54"/>
    </row>
    <row r="1391" spans="4:6">
      <c r="D1391" s="48"/>
      <c r="E1391" s="52"/>
      <c r="F1391" s="54"/>
    </row>
    <row r="1392" spans="4:6">
      <c r="D1392" s="48"/>
      <c r="E1392" s="52"/>
      <c r="F1392" s="54"/>
    </row>
    <row r="1393" spans="4:6">
      <c r="D1393" s="48"/>
      <c r="E1393" s="52"/>
      <c r="F1393" s="54"/>
    </row>
    <row r="1394" spans="4:6">
      <c r="D1394" s="48"/>
      <c r="E1394" s="52"/>
      <c r="F1394" s="54"/>
    </row>
    <row r="1395" spans="4:6">
      <c r="D1395" s="48"/>
      <c r="E1395" s="52"/>
      <c r="F1395" s="54"/>
    </row>
    <row r="1396" spans="4:6">
      <c r="D1396" s="48"/>
      <c r="E1396" s="52"/>
      <c r="F1396" s="54"/>
    </row>
    <row r="1397" spans="4:6">
      <c r="D1397" s="48"/>
      <c r="E1397" s="52"/>
      <c r="F1397" s="54"/>
    </row>
    <row r="1398" spans="4:6">
      <c r="D1398" s="48"/>
      <c r="E1398" s="52"/>
      <c r="F1398" s="54"/>
    </row>
    <row r="1399" spans="4:6">
      <c r="D1399" s="48"/>
      <c r="E1399" s="52"/>
      <c r="F1399" s="54"/>
    </row>
    <row r="1400" spans="4:6">
      <c r="D1400" s="48"/>
      <c r="E1400" s="52"/>
      <c r="F1400" s="54"/>
    </row>
    <row r="1401" spans="4:6">
      <c r="D1401" s="48"/>
      <c r="E1401" s="52"/>
      <c r="F1401" s="54"/>
    </row>
    <row r="1402" spans="4:6">
      <c r="D1402" s="48"/>
      <c r="E1402" s="52"/>
      <c r="F1402" s="54"/>
    </row>
    <row r="1403" spans="4:6">
      <c r="D1403" s="48"/>
      <c r="E1403" s="52"/>
      <c r="F1403" s="54"/>
    </row>
    <row r="1404" spans="4:6">
      <c r="D1404" s="48"/>
      <c r="E1404" s="52"/>
      <c r="F1404" s="54"/>
    </row>
    <row r="1405" spans="4:6">
      <c r="D1405" s="48"/>
      <c r="E1405" s="52"/>
      <c r="F1405" s="54"/>
    </row>
    <row r="1406" spans="4:6">
      <c r="D1406" s="48"/>
      <c r="E1406" s="52"/>
      <c r="F1406" s="54"/>
    </row>
    <row r="1407" spans="4:6">
      <c r="D1407" s="48"/>
      <c r="E1407" s="52"/>
      <c r="F1407" s="54"/>
    </row>
    <row r="1408" spans="4:6">
      <c r="D1408" s="48"/>
      <c r="E1408" s="52"/>
      <c r="F1408" s="54"/>
    </row>
    <row r="1409" spans="4:6">
      <c r="D1409" s="48"/>
      <c r="E1409" s="52"/>
      <c r="F1409" s="54"/>
    </row>
    <row r="1410" spans="4:6">
      <c r="D1410" s="48"/>
      <c r="E1410" s="52"/>
      <c r="F1410" s="54"/>
    </row>
    <row r="1411" spans="4:6">
      <c r="D1411" s="48"/>
      <c r="E1411" s="52"/>
      <c r="F1411" s="54"/>
    </row>
    <row r="1412" spans="4:6">
      <c r="D1412" s="48"/>
      <c r="E1412" s="52"/>
      <c r="F1412" s="54"/>
    </row>
    <row r="1413" spans="4:6">
      <c r="D1413" s="48"/>
      <c r="E1413" s="52"/>
      <c r="F1413" s="54"/>
    </row>
    <row r="1414" spans="4:6">
      <c r="D1414" s="48"/>
      <c r="E1414" s="52"/>
      <c r="F1414" s="54"/>
    </row>
    <row r="1415" spans="4:6">
      <c r="D1415" s="48"/>
      <c r="E1415" s="52"/>
      <c r="F1415" s="54"/>
    </row>
    <row r="1416" spans="4:6">
      <c r="D1416" s="48"/>
      <c r="E1416" s="52"/>
      <c r="F1416" s="54"/>
    </row>
    <row r="1417" spans="4:6">
      <c r="D1417" s="48"/>
      <c r="E1417" s="52"/>
      <c r="F1417" s="54"/>
    </row>
    <row r="1418" spans="4:6">
      <c r="D1418" s="48"/>
      <c r="E1418" s="52"/>
      <c r="F1418" s="54"/>
    </row>
    <row r="1419" spans="4:6">
      <c r="D1419" s="48"/>
      <c r="E1419" s="52"/>
      <c r="F1419" s="54"/>
    </row>
    <row r="1420" spans="4:6">
      <c r="D1420" s="48"/>
      <c r="E1420" s="52"/>
      <c r="F1420" s="54"/>
    </row>
    <row r="1421" spans="4:6">
      <c r="D1421" s="48"/>
      <c r="E1421" s="52"/>
      <c r="F1421" s="54"/>
    </row>
    <row r="1422" spans="4:6">
      <c r="D1422" s="48"/>
      <c r="E1422" s="52"/>
      <c r="F1422" s="54"/>
    </row>
    <row r="1423" spans="4:6">
      <c r="D1423" s="48"/>
      <c r="E1423" s="52"/>
      <c r="F1423" s="54"/>
    </row>
    <row r="1424" spans="4:6">
      <c r="D1424" s="48"/>
      <c r="E1424" s="52"/>
      <c r="F1424" s="54"/>
    </row>
    <row r="1425" spans="4:6">
      <c r="D1425" s="48"/>
      <c r="E1425" s="52"/>
      <c r="F1425" s="54"/>
    </row>
    <row r="1426" spans="4:6">
      <c r="D1426" s="48"/>
      <c r="E1426" s="52"/>
      <c r="F1426" s="54"/>
    </row>
    <row r="1427" spans="4:6">
      <c r="D1427" s="48"/>
      <c r="E1427" s="52"/>
      <c r="F1427" s="54"/>
    </row>
    <row r="1428" spans="4:6">
      <c r="D1428" s="48"/>
      <c r="E1428" s="52"/>
      <c r="F1428" s="54"/>
    </row>
    <row r="1429" spans="4:6">
      <c r="D1429" s="48"/>
      <c r="E1429" s="52"/>
      <c r="F1429" s="54"/>
    </row>
    <row r="1430" spans="4:6">
      <c r="D1430" s="48"/>
      <c r="E1430" s="52"/>
      <c r="F1430" s="54"/>
    </row>
    <row r="1431" spans="4:6">
      <c r="D1431" s="48"/>
      <c r="E1431" s="52"/>
      <c r="F1431" s="54"/>
    </row>
    <row r="1432" spans="4:6">
      <c r="D1432" s="48"/>
      <c r="E1432" s="52"/>
      <c r="F1432" s="54"/>
    </row>
    <row r="1433" spans="4:6">
      <c r="D1433" s="48"/>
      <c r="E1433" s="52"/>
      <c r="F1433" s="54"/>
    </row>
    <row r="1434" spans="4:6">
      <c r="D1434" s="48"/>
      <c r="E1434" s="52"/>
      <c r="F1434" s="54"/>
    </row>
    <row r="1435" spans="4:6">
      <c r="D1435" s="48"/>
      <c r="E1435" s="52"/>
      <c r="F1435" s="54"/>
    </row>
    <row r="1436" spans="4:6">
      <c r="D1436" s="48"/>
      <c r="E1436" s="52"/>
      <c r="F1436" s="54"/>
    </row>
    <row r="1437" spans="4:6">
      <c r="D1437" s="48"/>
      <c r="E1437" s="52"/>
      <c r="F1437" s="54"/>
    </row>
    <row r="1438" spans="4:6">
      <c r="D1438" s="48"/>
      <c r="E1438" s="52"/>
      <c r="F1438" s="54"/>
    </row>
    <row r="1439" spans="4:6">
      <c r="D1439" s="48"/>
      <c r="E1439" s="52"/>
      <c r="F1439" s="54"/>
    </row>
    <row r="1440" spans="4:6">
      <c r="D1440" s="48"/>
      <c r="E1440" s="52"/>
      <c r="F1440" s="54"/>
    </row>
    <row r="1441" spans="4:6">
      <c r="D1441" s="48"/>
      <c r="E1441" s="52"/>
      <c r="F1441" s="54"/>
    </row>
    <row r="1442" spans="4:6">
      <c r="D1442" s="48"/>
      <c r="E1442" s="52"/>
      <c r="F1442" s="54"/>
    </row>
    <row r="1443" spans="4:6">
      <c r="D1443" s="48"/>
      <c r="E1443" s="52"/>
      <c r="F1443" s="54"/>
    </row>
    <row r="1444" spans="4:6">
      <c r="D1444" s="48"/>
      <c r="E1444" s="52"/>
      <c r="F1444" s="54"/>
    </row>
    <row r="1445" spans="4:6">
      <c r="D1445" s="48"/>
      <c r="E1445" s="52"/>
      <c r="F1445" s="54"/>
    </row>
    <row r="1446" spans="4:6">
      <c r="D1446" s="48"/>
      <c r="E1446" s="52"/>
      <c r="F1446" s="54"/>
    </row>
    <row r="1447" spans="4:6">
      <c r="D1447" s="48"/>
      <c r="E1447" s="52"/>
      <c r="F1447" s="54"/>
    </row>
    <row r="1448" spans="4:6">
      <c r="D1448" s="48"/>
      <c r="E1448" s="52"/>
      <c r="F1448" s="54"/>
    </row>
    <row r="1449" spans="4:6">
      <c r="D1449" s="48"/>
      <c r="E1449" s="52"/>
      <c r="F1449" s="54"/>
    </row>
    <row r="1450" spans="4:6">
      <c r="D1450" s="48"/>
      <c r="E1450" s="52"/>
      <c r="F1450" s="54"/>
    </row>
    <row r="1451" spans="4:6">
      <c r="D1451" s="48"/>
      <c r="E1451" s="52"/>
      <c r="F1451" s="54"/>
    </row>
    <row r="1452" spans="4:6">
      <c r="D1452" s="48"/>
      <c r="E1452" s="52"/>
      <c r="F1452" s="54"/>
    </row>
    <row r="1453" spans="4:6">
      <c r="D1453" s="48"/>
      <c r="E1453" s="52"/>
      <c r="F1453" s="54"/>
    </row>
    <row r="1454" spans="4:6">
      <c r="D1454" s="48"/>
      <c r="E1454" s="52"/>
      <c r="F1454" s="54"/>
    </row>
    <row r="1455" spans="4:6">
      <c r="D1455" s="48"/>
      <c r="E1455" s="52"/>
      <c r="F1455" s="54"/>
    </row>
    <row r="1456" spans="4:6">
      <c r="D1456" s="48"/>
      <c r="E1456" s="52"/>
      <c r="F1456" s="54"/>
    </row>
    <row r="1457" spans="4:6">
      <c r="D1457" s="48"/>
      <c r="E1457" s="52"/>
      <c r="F1457" s="54"/>
    </row>
    <row r="1458" spans="4:6">
      <c r="D1458" s="48"/>
      <c r="E1458" s="52"/>
      <c r="F1458" s="54"/>
    </row>
    <row r="1459" spans="4:6">
      <c r="D1459" s="48"/>
      <c r="E1459" s="52"/>
      <c r="F1459" s="54"/>
    </row>
    <row r="1460" spans="4:6">
      <c r="D1460" s="48"/>
      <c r="E1460" s="52"/>
      <c r="F1460" s="54"/>
    </row>
    <row r="1461" spans="4:6">
      <c r="D1461" s="48"/>
      <c r="E1461" s="52"/>
      <c r="F1461" s="54"/>
    </row>
    <row r="1462" spans="4:6">
      <c r="D1462" s="48"/>
      <c r="E1462" s="52"/>
      <c r="F1462" s="54"/>
    </row>
    <row r="1463" spans="4:6">
      <c r="D1463" s="48"/>
      <c r="E1463" s="52"/>
      <c r="F1463" s="54"/>
    </row>
    <row r="1464" spans="4:6">
      <c r="D1464" s="48"/>
      <c r="E1464" s="52"/>
      <c r="F1464" s="54"/>
    </row>
    <row r="1465" spans="4:6">
      <c r="D1465" s="48"/>
      <c r="E1465" s="52"/>
      <c r="F1465" s="54"/>
    </row>
    <row r="1466" spans="4:6">
      <c r="D1466" s="48"/>
      <c r="E1466" s="52"/>
      <c r="F1466" s="54"/>
    </row>
    <row r="1467" spans="4:6">
      <c r="D1467" s="48"/>
      <c r="E1467" s="52"/>
      <c r="F1467" s="54"/>
    </row>
    <row r="1468" spans="4:6">
      <c r="D1468" s="48"/>
      <c r="E1468" s="52"/>
      <c r="F1468" s="54"/>
    </row>
    <row r="1469" spans="4:6">
      <c r="D1469" s="48"/>
      <c r="E1469" s="52"/>
      <c r="F1469" s="54"/>
    </row>
    <row r="1470" spans="4:6">
      <c r="D1470" s="48"/>
      <c r="E1470" s="52"/>
      <c r="F1470" s="54"/>
    </row>
    <row r="1471" spans="4:6">
      <c r="D1471" s="48"/>
      <c r="E1471" s="52"/>
      <c r="F1471" s="54"/>
    </row>
    <row r="1472" spans="4:6">
      <c r="D1472" s="48"/>
      <c r="E1472" s="52"/>
      <c r="F1472" s="54"/>
    </row>
    <row r="1473" spans="4:6">
      <c r="D1473" s="48"/>
      <c r="E1473" s="52"/>
      <c r="F1473" s="54"/>
    </row>
    <row r="1474" spans="4:6">
      <c r="D1474" s="48"/>
      <c r="E1474" s="52"/>
      <c r="F1474" s="54"/>
    </row>
    <row r="1475" spans="4:6">
      <c r="D1475" s="48"/>
      <c r="E1475" s="52"/>
      <c r="F1475" s="54"/>
    </row>
    <row r="1476" spans="4:6">
      <c r="D1476" s="48"/>
      <c r="E1476" s="52"/>
      <c r="F1476" s="54"/>
    </row>
    <row r="1477" spans="4:6">
      <c r="D1477" s="48"/>
      <c r="E1477" s="52"/>
      <c r="F1477" s="54"/>
    </row>
    <row r="1478" spans="4:6">
      <c r="D1478" s="48"/>
      <c r="E1478" s="52"/>
      <c r="F1478" s="54"/>
    </row>
    <row r="1479" spans="4:6">
      <c r="D1479" s="48"/>
      <c r="E1479" s="52"/>
      <c r="F1479" s="54"/>
    </row>
    <row r="1480" spans="4:6">
      <c r="D1480" s="48"/>
      <c r="E1480" s="52"/>
      <c r="F1480" s="54"/>
    </row>
    <row r="1481" spans="4:6">
      <c r="D1481" s="48"/>
      <c r="E1481" s="52"/>
      <c r="F1481" s="54"/>
    </row>
    <row r="1482" spans="4:6">
      <c r="D1482" s="48"/>
      <c r="E1482" s="52"/>
      <c r="F1482" s="54"/>
    </row>
    <row r="1483" spans="4:6">
      <c r="D1483" s="48"/>
      <c r="E1483" s="52"/>
      <c r="F1483" s="54"/>
    </row>
    <row r="1484" spans="4:6">
      <c r="D1484" s="48"/>
      <c r="E1484" s="52"/>
      <c r="F1484" s="54"/>
    </row>
    <row r="1485" spans="4:6">
      <c r="D1485" s="48"/>
      <c r="E1485" s="52"/>
      <c r="F1485" s="54"/>
    </row>
    <row r="1486" spans="4:6">
      <c r="D1486" s="48"/>
      <c r="E1486" s="52"/>
      <c r="F1486" s="54"/>
    </row>
    <row r="1487" spans="4:6">
      <c r="D1487" s="48"/>
      <c r="E1487" s="52"/>
      <c r="F1487" s="54"/>
    </row>
    <row r="1488" spans="4:6">
      <c r="D1488" s="48"/>
      <c r="E1488" s="52"/>
      <c r="F1488" s="54"/>
    </row>
    <row r="1489" spans="4:6">
      <c r="D1489" s="48"/>
      <c r="E1489" s="52"/>
      <c r="F1489" s="54"/>
    </row>
    <row r="1490" spans="4:6">
      <c r="D1490" s="48"/>
      <c r="E1490" s="52"/>
      <c r="F1490" s="54"/>
    </row>
    <row r="1491" spans="4:6">
      <c r="D1491" s="48"/>
      <c r="E1491" s="52"/>
      <c r="F1491" s="54"/>
    </row>
    <row r="1492" spans="4:6">
      <c r="D1492" s="48"/>
      <c r="E1492" s="52"/>
      <c r="F1492" s="54"/>
    </row>
    <row r="1493" spans="4:6">
      <c r="D1493" s="48"/>
      <c r="E1493" s="52"/>
      <c r="F1493" s="54"/>
    </row>
    <row r="1494" spans="4:6">
      <c r="D1494" s="48"/>
      <c r="E1494" s="52"/>
      <c r="F1494" s="54"/>
    </row>
    <row r="1495" spans="4:6">
      <c r="D1495" s="48"/>
      <c r="E1495" s="52"/>
      <c r="F1495" s="54"/>
    </row>
    <row r="1496" spans="4:6">
      <c r="D1496" s="48"/>
      <c r="E1496" s="52"/>
      <c r="F1496" s="54"/>
    </row>
    <row r="1497" spans="4:6">
      <c r="D1497" s="48"/>
      <c r="E1497" s="52"/>
      <c r="F1497" s="54"/>
    </row>
    <row r="1498" spans="4:6">
      <c r="D1498" s="48"/>
      <c r="E1498" s="52"/>
      <c r="F1498" s="54"/>
    </row>
    <row r="1499" spans="4:6">
      <c r="D1499" s="48"/>
      <c r="E1499" s="52"/>
      <c r="F1499" s="54"/>
    </row>
    <row r="1500" spans="4:6">
      <c r="D1500" s="48"/>
      <c r="E1500" s="52"/>
      <c r="F1500" s="54"/>
    </row>
    <row r="1501" spans="4:6">
      <c r="D1501" s="48"/>
      <c r="E1501" s="52"/>
      <c r="F1501" s="54"/>
    </row>
    <row r="1502" spans="4:6">
      <c r="D1502" s="48"/>
      <c r="E1502" s="52"/>
      <c r="F1502" s="54"/>
    </row>
    <row r="1503" spans="4:6">
      <c r="D1503" s="48"/>
      <c r="E1503" s="52"/>
      <c r="F1503" s="54"/>
    </row>
    <row r="1504" spans="4:6">
      <c r="D1504" s="48"/>
      <c r="E1504" s="52"/>
      <c r="F1504" s="54"/>
    </row>
    <row r="1505" spans="4:6">
      <c r="D1505" s="48"/>
      <c r="E1505" s="52"/>
      <c r="F1505" s="54"/>
    </row>
    <row r="1506" spans="4:6">
      <c r="D1506" s="48"/>
      <c r="E1506" s="52"/>
      <c r="F1506" s="54"/>
    </row>
    <row r="1507" spans="4:6">
      <c r="D1507" s="48"/>
      <c r="E1507" s="52"/>
      <c r="F1507" s="54"/>
    </row>
    <row r="1508" spans="4:6">
      <c r="D1508" s="48"/>
      <c r="E1508" s="52"/>
      <c r="F1508" s="54"/>
    </row>
    <row r="1509" spans="4:6">
      <c r="D1509" s="48"/>
      <c r="E1509" s="52"/>
      <c r="F1509" s="54"/>
    </row>
    <row r="1510" spans="4:6">
      <c r="D1510" s="48"/>
      <c r="E1510" s="52"/>
      <c r="F1510" s="54"/>
    </row>
    <row r="1511" spans="4:6">
      <c r="D1511" s="48"/>
      <c r="E1511" s="52"/>
      <c r="F1511" s="54"/>
    </row>
    <row r="1512" spans="4:6">
      <c r="D1512" s="48"/>
      <c r="E1512" s="52"/>
      <c r="F1512" s="54"/>
    </row>
    <row r="1513" spans="4:6">
      <c r="D1513" s="48"/>
      <c r="E1513" s="52"/>
      <c r="F1513" s="54"/>
    </row>
    <row r="1514" spans="4:6">
      <c r="D1514" s="48"/>
      <c r="E1514" s="52"/>
      <c r="F1514" s="54"/>
    </row>
    <row r="1515" spans="4:6">
      <c r="D1515" s="48"/>
      <c r="E1515" s="52"/>
      <c r="F1515" s="54"/>
    </row>
    <row r="1516" spans="4:6">
      <c r="D1516" s="48"/>
      <c r="E1516" s="52"/>
      <c r="F1516" s="54"/>
    </row>
    <row r="1517" spans="4:6">
      <c r="D1517" s="48"/>
      <c r="E1517" s="52"/>
      <c r="F1517" s="54"/>
    </row>
    <row r="1518" spans="4:6">
      <c r="D1518" s="48"/>
      <c r="E1518" s="52"/>
      <c r="F1518" s="54"/>
    </row>
    <row r="1519" spans="4:6">
      <c r="D1519" s="48"/>
      <c r="E1519" s="52"/>
      <c r="F1519" s="54"/>
    </row>
    <row r="1520" spans="4:6">
      <c r="D1520" s="48"/>
      <c r="E1520" s="52"/>
      <c r="F1520" s="54"/>
    </row>
    <row r="1521" spans="4:6">
      <c r="D1521" s="48"/>
      <c r="E1521" s="52"/>
      <c r="F1521" s="54"/>
    </row>
    <row r="1522" spans="4:6">
      <c r="D1522" s="48"/>
      <c r="E1522" s="52"/>
      <c r="F1522" s="54"/>
    </row>
    <row r="1523" spans="4:6">
      <c r="D1523" s="48"/>
      <c r="E1523" s="52"/>
      <c r="F1523" s="54"/>
    </row>
    <row r="1524" spans="4:6">
      <c r="D1524" s="48"/>
      <c r="E1524" s="52"/>
      <c r="F1524" s="54"/>
    </row>
    <row r="1525" spans="4:6">
      <c r="D1525" s="48"/>
      <c r="E1525" s="52"/>
      <c r="F1525" s="54"/>
    </row>
    <row r="1526" spans="4:6">
      <c r="D1526" s="48"/>
      <c r="E1526" s="52"/>
      <c r="F1526" s="54"/>
    </row>
    <row r="1527" spans="4:6">
      <c r="D1527" s="48"/>
      <c r="E1527" s="52"/>
      <c r="F1527" s="54"/>
    </row>
    <row r="1528" spans="4:6">
      <c r="D1528" s="48"/>
      <c r="E1528" s="52"/>
      <c r="F1528" s="54"/>
    </row>
    <row r="1529" spans="4:6">
      <c r="D1529" s="48"/>
      <c r="E1529" s="52"/>
      <c r="F1529" s="54"/>
    </row>
    <row r="1530" spans="4:6">
      <c r="D1530" s="48"/>
      <c r="E1530" s="52"/>
      <c r="F1530" s="54"/>
    </row>
    <row r="1531" spans="4:6">
      <c r="D1531" s="48"/>
      <c r="E1531" s="52"/>
      <c r="F1531" s="54"/>
    </row>
    <row r="1532" spans="4:6">
      <c r="D1532" s="48"/>
      <c r="E1532" s="52"/>
      <c r="F1532" s="54"/>
    </row>
    <row r="1533" spans="4:6">
      <c r="D1533" s="48"/>
      <c r="E1533" s="52"/>
      <c r="F1533" s="54"/>
    </row>
    <row r="1534" spans="4:6">
      <c r="D1534" s="48"/>
      <c r="E1534" s="52"/>
      <c r="F1534" s="54"/>
    </row>
    <row r="1535" spans="4:6">
      <c r="D1535" s="48"/>
      <c r="E1535" s="52"/>
      <c r="F1535" s="54"/>
    </row>
    <row r="1536" spans="4:6">
      <c r="D1536" s="48"/>
      <c r="E1536" s="52"/>
      <c r="F1536" s="54"/>
    </row>
    <row r="1537" spans="4:6">
      <c r="D1537" s="48"/>
      <c r="E1537" s="52"/>
      <c r="F1537" s="54"/>
    </row>
    <row r="1538" spans="4:6">
      <c r="D1538" s="48"/>
      <c r="E1538" s="52"/>
      <c r="F1538" s="54"/>
    </row>
    <row r="1539" spans="4:6">
      <c r="D1539" s="48"/>
      <c r="E1539" s="52"/>
      <c r="F1539" s="54"/>
    </row>
    <row r="1540" spans="4:6">
      <c r="D1540" s="48"/>
      <c r="E1540" s="52"/>
      <c r="F1540" s="54"/>
    </row>
    <row r="1541" spans="4:6">
      <c r="D1541" s="48"/>
      <c r="E1541" s="52"/>
      <c r="F1541" s="54"/>
    </row>
    <row r="1542" spans="4:6">
      <c r="D1542" s="48"/>
      <c r="E1542" s="52"/>
      <c r="F1542" s="54"/>
    </row>
    <row r="1543" spans="4:6">
      <c r="D1543" s="48"/>
      <c r="E1543" s="52"/>
      <c r="F1543" s="54"/>
    </row>
    <row r="1544" spans="4:6">
      <c r="D1544" s="48"/>
      <c r="E1544" s="52"/>
      <c r="F1544" s="54"/>
    </row>
    <row r="1545" spans="4:6">
      <c r="D1545" s="48"/>
      <c r="E1545" s="52"/>
      <c r="F1545" s="54"/>
    </row>
    <row r="1546" spans="4:6">
      <c r="D1546" s="48"/>
      <c r="E1546" s="52"/>
      <c r="F1546" s="54"/>
    </row>
    <row r="1547" spans="4:6">
      <c r="D1547" s="48"/>
      <c r="E1547" s="52"/>
      <c r="F1547" s="54"/>
    </row>
    <row r="1548" spans="4:6">
      <c r="D1548" s="48"/>
      <c r="E1548" s="52"/>
      <c r="F1548" s="54"/>
    </row>
    <row r="1549" spans="4:6">
      <c r="D1549" s="48"/>
      <c r="E1549" s="52"/>
      <c r="F1549" s="54"/>
    </row>
    <row r="1550" spans="4:6">
      <c r="D1550" s="48"/>
      <c r="E1550" s="52"/>
      <c r="F1550" s="54"/>
    </row>
    <row r="1551" spans="4:6">
      <c r="D1551" s="48"/>
      <c r="E1551" s="52"/>
      <c r="F1551" s="54"/>
    </row>
    <row r="1552" spans="4:6">
      <c r="D1552" s="48"/>
      <c r="E1552" s="52"/>
      <c r="F1552" s="54"/>
    </row>
    <row r="1553" spans="4:6">
      <c r="D1553" s="48"/>
      <c r="E1553" s="52"/>
      <c r="F1553" s="54"/>
    </row>
    <row r="1554" spans="4:6">
      <c r="D1554" s="48"/>
      <c r="E1554" s="52"/>
      <c r="F1554" s="54"/>
    </row>
    <row r="1555" spans="4:6">
      <c r="D1555" s="48"/>
      <c r="E1555" s="52"/>
      <c r="F1555" s="54"/>
    </row>
    <row r="1556" spans="4:6">
      <c r="D1556" s="48"/>
      <c r="E1556" s="52"/>
      <c r="F1556" s="54"/>
    </row>
    <row r="1557" spans="4:6">
      <c r="D1557" s="48"/>
      <c r="E1557" s="52"/>
      <c r="F1557" s="54"/>
    </row>
    <row r="1558" spans="4:6">
      <c r="D1558" s="48"/>
      <c r="E1558" s="52"/>
      <c r="F1558" s="54"/>
    </row>
    <row r="1559" spans="4:6">
      <c r="D1559" s="48"/>
      <c r="E1559" s="52"/>
      <c r="F1559" s="54"/>
    </row>
    <row r="1560" spans="4:6">
      <c r="D1560" s="48"/>
      <c r="E1560" s="52"/>
      <c r="F1560" s="54"/>
    </row>
    <row r="1561" spans="4:6">
      <c r="D1561" s="48"/>
      <c r="E1561" s="52"/>
      <c r="F1561" s="54"/>
    </row>
    <row r="1562" spans="4:6">
      <c r="D1562" s="48"/>
      <c r="E1562" s="52"/>
      <c r="F1562" s="54"/>
    </row>
    <row r="1563" spans="4:6">
      <c r="D1563" s="48"/>
      <c r="E1563" s="52"/>
      <c r="F1563" s="54"/>
    </row>
    <row r="1564" spans="4:6">
      <c r="D1564" s="48"/>
      <c r="E1564" s="52"/>
      <c r="F1564" s="54"/>
    </row>
    <row r="1565" spans="4:6">
      <c r="D1565" s="48"/>
      <c r="E1565" s="52"/>
      <c r="F1565" s="54"/>
    </row>
    <row r="1566" spans="4:6">
      <c r="D1566" s="48"/>
      <c r="E1566" s="52"/>
      <c r="F1566" s="54"/>
    </row>
    <row r="1567" spans="4:6">
      <c r="D1567" s="48"/>
      <c r="E1567" s="52"/>
      <c r="F1567" s="54"/>
    </row>
    <row r="1568" spans="4:6">
      <c r="D1568" s="48"/>
      <c r="E1568" s="52"/>
      <c r="F1568" s="54"/>
    </row>
    <row r="1569" spans="4:6">
      <c r="D1569" s="48"/>
      <c r="E1569" s="52"/>
      <c r="F1569" s="54"/>
    </row>
    <row r="1570" spans="4:6">
      <c r="D1570" s="48"/>
      <c r="E1570" s="52"/>
      <c r="F1570" s="54"/>
    </row>
    <row r="1571" spans="4:6">
      <c r="D1571" s="48"/>
      <c r="E1571" s="52"/>
      <c r="F1571" s="54"/>
    </row>
    <row r="1572" spans="4:6">
      <c r="D1572" s="48"/>
      <c r="E1572" s="52"/>
      <c r="F1572" s="54"/>
    </row>
    <row r="1573" spans="4:6">
      <c r="D1573" s="48"/>
      <c r="E1573" s="52"/>
      <c r="F1573" s="54"/>
    </row>
    <row r="1574" spans="4:6">
      <c r="D1574" s="48"/>
      <c r="E1574" s="52"/>
      <c r="F1574" s="54"/>
    </row>
    <row r="1575" spans="4:6">
      <c r="D1575" s="48"/>
      <c r="E1575" s="52"/>
      <c r="F1575" s="54"/>
    </row>
    <row r="1576" spans="4:6">
      <c r="D1576" s="48"/>
      <c r="E1576" s="52"/>
      <c r="F1576" s="54"/>
    </row>
    <row r="1577" spans="4:6">
      <c r="D1577" s="48"/>
      <c r="E1577" s="52"/>
      <c r="F1577" s="54"/>
    </row>
    <row r="1578" spans="4:6">
      <c r="D1578" s="48"/>
      <c r="E1578" s="52"/>
      <c r="F1578" s="54"/>
    </row>
    <row r="1579" spans="4:6">
      <c r="D1579" s="48"/>
      <c r="E1579" s="52"/>
      <c r="F1579" s="54"/>
    </row>
    <row r="1580" spans="4:6">
      <c r="D1580" s="48"/>
      <c r="E1580" s="52"/>
      <c r="F1580" s="54"/>
    </row>
    <row r="1581" spans="4:6">
      <c r="D1581" s="48"/>
      <c r="E1581" s="52"/>
      <c r="F1581" s="54"/>
    </row>
    <row r="1582" spans="4:6">
      <c r="D1582" s="48"/>
      <c r="E1582" s="52"/>
      <c r="F1582" s="54"/>
    </row>
    <row r="1583" spans="4:6">
      <c r="D1583" s="48"/>
      <c r="E1583" s="52"/>
      <c r="F1583" s="54"/>
    </row>
    <row r="1584" spans="4:6">
      <c r="D1584" s="48"/>
      <c r="E1584" s="52"/>
      <c r="F1584" s="54"/>
    </row>
    <row r="1585" spans="4:6">
      <c r="D1585" s="48"/>
      <c r="E1585" s="52"/>
      <c r="F1585" s="54"/>
    </row>
    <row r="1586" spans="4:6">
      <c r="D1586" s="48"/>
      <c r="E1586" s="52"/>
      <c r="F1586" s="54"/>
    </row>
    <row r="1587" spans="4:6">
      <c r="D1587" s="48"/>
      <c r="E1587" s="52"/>
      <c r="F1587" s="54"/>
    </row>
    <row r="1588" spans="4:6">
      <c r="D1588" s="48"/>
      <c r="E1588" s="52"/>
      <c r="F1588" s="54"/>
    </row>
    <row r="1589" spans="4:6">
      <c r="D1589" s="48"/>
      <c r="E1589" s="52"/>
      <c r="F1589" s="54"/>
    </row>
    <row r="1590" spans="4:6">
      <c r="D1590" s="48"/>
      <c r="E1590" s="52"/>
      <c r="F1590" s="54"/>
    </row>
    <row r="1591" spans="4:6">
      <c r="D1591" s="48"/>
      <c r="E1591" s="52"/>
      <c r="F1591" s="54"/>
    </row>
    <row r="1592" spans="4:6">
      <c r="D1592" s="48"/>
      <c r="E1592" s="52"/>
      <c r="F1592" s="54"/>
    </row>
    <row r="1593" spans="4:6">
      <c r="D1593" s="48"/>
      <c r="E1593" s="52"/>
      <c r="F1593" s="54"/>
    </row>
    <row r="1594" spans="4:6">
      <c r="D1594" s="48"/>
      <c r="E1594" s="52"/>
      <c r="F1594" s="54"/>
    </row>
    <row r="1595" spans="4:6">
      <c r="D1595" s="48"/>
      <c r="E1595" s="52"/>
      <c r="F1595" s="54"/>
    </row>
    <row r="1596" spans="4:6">
      <c r="D1596" s="48"/>
      <c r="E1596" s="52"/>
      <c r="F1596" s="54"/>
    </row>
    <row r="1597" spans="4:6">
      <c r="D1597" s="48"/>
      <c r="E1597" s="52"/>
      <c r="F1597" s="54"/>
    </row>
    <row r="1598" spans="4:6">
      <c r="D1598" s="48"/>
      <c r="E1598" s="52"/>
      <c r="F1598" s="54"/>
    </row>
    <row r="1599" spans="4:6">
      <c r="D1599" s="48"/>
      <c r="E1599" s="52"/>
      <c r="F1599" s="54"/>
    </row>
    <row r="1600" spans="4:6">
      <c r="D1600" s="48"/>
      <c r="E1600" s="52"/>
      <c r="F1600" s="54"/>
    </row>
    <row r="1601" spans="4:6">
      <c r="D1601" s="48"/>
      <c r="E1601" s="52"/>
      <c r="F1601" s="54"/>
    </row>
    <row r="1602" spans="4:6">
      <c r="D1602" s="48"/>
      <c r="E1602" s="52"/>
      <c r="F1602" s="54"/>
    </row>
    <row r="1603" spans="4:6">
      <c r="D1603" s="48"/>
      <c r="E1603" s="52"/>
      <c r="F1603" s="54"/>
    </row>
    <row r="1604" spans="4:6">
      <c r="D1604" s="48"/>
      <c r="E1604" s="52"/>
      <c r="F1604" s="54"/>
    </row>
    <row r="1605" spans="4:6">
      <c r="D1605" s="48"/>
      <c r="E1605" s="52"/>
      <c r="F1605" s="54"/>
    </row>
    <row r="1606" spans="4:6">
      <c r="D1606" s="48"/>
      <c r="E1606" s="52"/>
      <c r="F1606" s="54"/>
    </row>
    <row r="1607" spans="4:6">
      <c r="D1607" s="48"/>
      <c r="E1607" s="52"/>
      <c r="F1607" s="54"/>
    </row>
    <row r="1608" spans="4:6">
      <c r="D1608" s="48"/>
      <c r="E1608" s="52"/>
      <c r="F1608" s="54"/>
    </row>
    <row r="1609" spans="4:6">
      <c r="D1609" s="48"/>
      <c r="E1609" s="52"/>
      <c r="F1609" s="54"/>
    </row>
    <row r="1610" spans="4:6">
      <c r="D1610" s="48"/>
      <c r="E1610" s="52"/>
      <c r="F1610" s="54"/>
    </row>
    <row r="1611" spans="4:6">
      <c r="D1611" s="48"/>
      <c r="E1611" s="52"/>
      <c r="F1611" s="54"/>
    </row>
    <row r="1612" spans="4:6">
      <c r="D1612" s="48"/>
      <c r="E1612" s="52"/>
      <c r="F1612" s="54"/>
    </row>
    <row r="1613" spans="4:6">
      <c r="D1613" s="48"/>
      <c r="E1613" s="52"/>
      <c r="F1613" s="54"/>
    </row>
    <row r="1614" spans="4:6">
      <c r="D1614" s="48"/>
      <c r="E1614" s="52"/>
      <c r="F1614" s="54"/>
    </row>
    <row r="1615" spans="4:6">
      <c r="D1615" s="48"/>
      <c r="E1615" s="52"/>
      <c r="F1615" s="54"/>
    </row>
    <row r="1616" spans="4:6">
      <c r="D1616" s="48"/>
      <c r="E1616" s="52"/>
      <c r="F1616" s="54"/>
    </row>
    <row r="1617" spans="4:6">
      <c r="D1617" s="48"/>
      <c r="E1617" s="52"/>
      <c r="F1617" s="54"/>
    </row>
    <row r="1618" spans="4:6">
      <c r="D1618" s="48"/>
      <c r="E1618" s="52"/>
      <c r="F1618" s="54"/>
    </row>
    <row r="1619" spans="4:6">
      <c r="D1619" s="48"/>
      <c r="E1619" s="52"/>
      <c r="F1619" s="54"/>
    </row>
    <row r="1620" spans="4:6">
      <c r="D1620" s="48"/>
      <c r="E1620" s="52"/>
      <c r="F1620" s="54"/>
    </row>
    <row r="1621" spans="4:6">
      <c r="D1621" s="48"/>
      <c r="E1621" s="52"/>
      <c r="F1621" s="54"/>
    </row>
    <row r="1622" spans="4:6">
      <c r="D1622" s="48"/>
      <c r="E1622" s="52"/>
      <c r="F1622" s="54"/>
    </row>
    <row r="1623" spans="4:6">
      <c r="D1623" s="48"/>
      <c r="E1623" s="52"/>
      <c r="F1623" s="54"/>
    </row>
    <row r="1624" spans="4:6">
      <c r="D1624" s="48"/>
      <c r="E1624" s="52"/>
      <c r="F1624" s="54"/>
    </row>
    <row r="1625" spans="4:6">
      <c r="D1625" s="48"/>
      <c r="E1625" s="52"/>
      <c r="F1625" s="54"/>
    </row>
    <row r="1626" spans="4:6">
      <c r="D1626" s="48"/>
      <c r="E1626" s="52"/>
      <c r="F1626" s="54"/>
    </row>
    <row r="1627" spans="4:6">
      <c r="D1627" s="48"/>
      <c r="E1627" s="52"/>
      <c r="F1627" s="54"/>
    </row>
    <row r="1628" spans="4:6">
      <c r="D1628" s="48"/>
      <c r="E1628" s="52"/>
      <c r="F1628" s="54"/>
    </row>
    <row r="1629" spans="4:6">
      <c r="D1629" s="48"/>
      <c r="E1629" s="52"/>
      <c r="F1629" s="54"/>
    </row>
    <row r="1630" spans="4:6">
      <c r="D1630" s="48"/>
      <c r="E1630" s="52"/>
      <c r="F1630" s="54"/>
    </row>
    <row r="1631" spans="4:6">
      <c r="D1631" s="48"/>
      <c r="E1631" s="52"/>
      <c r="F1631" s="54"/>
    </row>
    <row r="1632" spans="4:6">
      <c r="D1632" s="48"/>
      <c r="E1632" s="52"/>
      <c r="F1632" s="54"/>
    </row>
    <row r="1633" spans="4:6">
      <c r="D1633" s="48"/>
      <c r="E1633" s="52"/>
      <c r="F1633" s="54"/>
    </row>
    <row r="1634" spans="4:6">
      <c r="D1634" s="48"/>
      <c r="E1634" s="52"/>
      <c r="F1634" s="54"/>
    </row>
    <row r="1635" spans="4:6">
      <c r="D1635" s="48"/>
      <c r="E1635" s="52"/>
      <c r="F1635" s="54"/>
    </row>
    <row r="1636" spans="4:6">
      <c r="D1636" s="48"/>
      <c r="E1636" s="52"/>
      <c r="F1636" s="54"/>
    </row>
    <row r="1637" spans="4:6">
      <c r="D1637" s="48"/>
      <c r="E1637" s="52"/>
      <c r="F1637" s="54"/>
    </row>
    <row r="1638" spans="4:6">
      <c r="D1638" s="48"/>
      <c r="E1638" s="52"/>
      <c r="F1638" s="54"/>
    </row>
    <row r="1639" spans="4:6">
      <c r="D1639" s="48"/>
      <c r="E1639" s="52"/>
      <c r="F1639" s="54"/>
    </row>
    <row r="1640" spans="4:6">
      <c r="D1640" s="48"/>
      <c r="E1640" s="52"/>
      <c r="F1640" s="54"/>
    </row>
    <row r="1641" spans="4:6">
      <c r="D1641" s="48"/>
      <c r="E1641" s="52"/>
      <c r="F1641" s="54"/>
    </row>
    <row r="1642" spans="4:6">
      <c r="D1642" s="48"/>
      <c r="E1642" s="52"/>
      <c r="F1642" s="54"/>
    </row>
    <row r="1643" spans="4:6">
      <c r="D1643" s="48"/>
      <c r="E1643" s="52"/>
      <c r="F1643" s="54"/>
    </row>
    <row r="1644" spans="4:6">
      <c r="D1644" s="48"/>
      <c r="E1644" s="52"/>
      <c r="F1644" s="54"/>
    </row>
    <row r="1645" spans="4:6">
      <c r="D1645" s="48"/>
      <c r="E1645" s="52"/>
      <c r="F1645" s="54"/>
    </row>
    <row r="1646" spans="4:6">
      <c r="D1646" s="48"/>
      <c r="E1646" s="52"/>
      <c r="F1646" s="54"/>
    </row>
    <row r="1647" spans="4:6">
      <c r="D1647" s="48"/>
      <c r="E1647" s="52"/>
      <c r="F1647" s="54"/>
    </row>
    <row r="1648" spans="4:6">
      <c r="D1648" s="48"/>
      <c r="E1648" s="52"/>
      <c r="F1648" s="54"/>
    </row>
    <row r="1649" spans="4:6">
      <c r="D1649" s="48"/>
      <c r="E1649" s="52"/>
      <c r="F1649" s="54"/>
    </row>
    <row r="1650" spans="4:6">
      <c r="D1650" s="48"/>
      <c r="E1650" s="52"/>
      <c r="F1650" s="54"/>
    </row>
    <row r="1651" spans="4:6">
      <c r="D1651" s="48"/>
      <c r="E1651" s="52"/>
      <c r="F1651" s="54"/>
    </row>
    <row r="1652" spans="4:6">
      <c r="D1652" s="48"/>
      <c r="E1652" s="52"/>
      <c r="F1652" s="54"/>
    </row>
    <row r="1653" spans="4:6">
      <c r="D1653" s="48"/>
      <c r="E1653" s="52"/>
      <c r="F1653" s="54"/>
    </row>
    <row r="1654" spans="4:6">
      <c r="D1654" s="48"/>
      <c r="E1654" s="52"/>
      <c r="F1654" s="54"/>
    </row>
    <row r="1655" spans="4:6">
      <c r="D1655" s="48"/>
      <c r="E1655" s="52"/>
      <c r="F1655" s="54"/>
    </row>
    <row r="1656" spans="4:6">
      <c r="D1656" s="48"/>
      <c r="E1656" s="52"/>
      <c r="F1656" s="54"/>
    </row>
    <row r="1657" spans="4:6">
      <c r="D1657" s="48"/>
      <c r="E1657" s="52"/>
      <c r="F1657" s="54"/>
    </row>
    <row r="1658" spans="4:6">
      <c r="D1658" s="48"/>
      <c r="E1658" s="52"/>
      <c r="F1658" s="54"/>
    </row>
    <row r="1659" spans="4:6">
      <c r="D1659" s="48"/>
      <c r="E1659" s="52"/>
      <c r="F1659" s="54"/>
    </row>
    <row r="1660" spans="4:6">
      <c r="D1660" s="48"/>
      <c r="E1660" s="52"/>
      <c r="F1660" s="54"/>
    </row>
    <row r="1661" spans="4:6">
      <c r="D1661" s="48"/>
      <c r="E1661" s="52"/>
      <c r="F1661" s="54"/>
    </row>
    <row r="1662" spans="4:6">
      <c r="D1662" s="48"/>
      <c r="E1662" s="52"/>
      <c r="F1662" s="54"/>
    </row>
    <row r="1663" spans="4:6">
      <c r="D1663" s="48"/>
      <c r="E1663" s="52"/>
      <c r="F1663" s="54"/>
    </row>
    <row r="1664" spans="4:6">
      <c r="D1664" s="48"/>
      <c r="E1664" s="52"/>
      <c r="F1664" s="54"/>
    </row>
    <row r="1665" spans="4:6">
      <c r="D1665" s="48"/>
      <c r="E1665" s="52"/>
      <c r="F1665" s="54"/>
    </row>
    <row r="1666" spans="4:6">
      <c r="D1666" s="48"/>
      <c r="E1666" s="52"/>
      <c r="F1666" s="54"/>
    </row>
    <row r="1667" spans="4:6">
      <c r="D1667" s="48"/>
      <c r="E1667" s="52"/>
      <c r="F1667" s="54"/>
    </row>
    <row r="1668" spans="4:6">
      <c r="D1668" s="48"/>
      <c r="E1668" s="52"/>
      <c r="F1668" s="54"/>
    </row>
    <row r="1669" spans="4:6">
      <c r="D1669" s="48"/>
      <c r="E1669" s="52"/>
      <c r="F1669" s="54"/>
    </row>
    <row r="1670" spans="4:6">
      <c r="D1670" s="48"/>
      <c r="E1670" s="52"/>
      <c r="F1670" s="54"/>
    </row>
    <row r="1671" spans="4:6">
      <c r="D1671" s="48"/>
      <c r="E1671" s="52"/>
      <c r="F1671" s="54"/>
    </row>
    <row r="1672" spans="4:6">
      <c r="D1672" s="48"/>
      <c r="E1672" s="52"/>
      <c r="F1672" s="54"/>
    </row>
    <row r="1673" spans="4:6">
      <c r="D1673" s="48"/>
      <c r="E1673" s="52"/>
      <c r="F1673" s="54"/>
    </row>
    <row r="1674" spans="4:6">
      <c r="D1674" s="48"/>
      <c r="E1674" s="52"/>
      <c r="F1674" s="54"/>
    </row>
    <row r="1675" spans="4:6">
      <c r="D1675" s="48"/>
      <c r="E1675" s="52"/>
      <c r="F1675" s="54"/>
    </row>
    <row r="1676" spans="4:6">
      <c r="D1676" s="48"/>
      <c r="E1676" s="52"/>
      <c r="F1676" s="54"/>
    </row>
    <row r="1677" spans="4:6">
      <c r="D1677" s="48"/>
      <c r="E1677" s="52"/>
      <c r="F1677" s="54"/>
    </row>
    <row r="1678" spans="4:6">
      <c r="D1678" s="48"/>
      <c r="E1678" s="52"/>
      <c r="F1678" s="54"/>
    </row>
    <row r="1679" spans="4:6">
      <c r="D1679" s="48"/>
      <c r="E1679" s="52"/>
      <c r="F1679" s="54"/>
    </row>
    <row r="1680" spans="4:6">
      <c r="D1680" s="48"/>
      <c r="E1680" s="52"/>
      <c r="F1680" s="54"/>
    </row>
    <row r="1681" spans="4:6">
      <c r="D1681" s="48"/>
      <c r="E1681" s="52"/>
      <c r="F1681" s="54"/>
    </row>
    <row r="1682" spans="4:6">
      <c r="D1682" s="48"/>
      <c r="E1682" s="52"/>
      <c r="F1682" s="54"/>
    </row>
    <row r="1683" spans="4:6">
      <c r="D1683" s="48"/>
      <c r="E1683" s="52"/>
      <c r="F1683" s="54"/>
    </row>
    <row r="1684" spans="4:6">
      <c r="D1684" s="48"/>
      <c r="E1684" s="52"/>
      <c r="F1684" s="54"/>
    </row>
    <row r="1685" spans="4:6">
      <c r="D1685" s="48"/>
      <c r="E1685" s="52"/>
      <c r="F1685" s="54"/>
    </row>
    <row r="1686" spans="4:6">
      <c r="D1686" s="48"/>
      <c r="E1686" s="52"/>
      <c r="F1686" s="54"/>
    </row>
    <row r="1687" spans="4:6">
      <c r="D1687" s="48"/>
      <c r="E1687" s="52"/>
      <c r="F1687" s="54"/>
    </row>
    <row r="1688" spans="4:6">
      <c r="D1688" s="48"/>
      <c r="E1688" s="52"/>
      <c r="F1688" s="54"/>
    </row>
    <row r="1689" spans="4:6">
      <c r="D1689" s="48"/>
      <c r="E1689" s="52"/>
      <c r="F1689" s="54"/>
    </row>
    <row r="1690" spans="4:6">
      <c r="D1690" s="48"/>
      <c r="E1690" s="52"/>
      <c r="F1690" s="54"/>
    </row>
    <row r="1691" spans="4:6">
      <c r="D1691" s="48"/>
      <c r="E1691" s="52"/>
      <c r="F1691" s="54"/>
    </row>
    <row r="1692" spans="4:6">
      <c r="D1692" s="48"/>
      <c r="E1692" s="52"/>
      <c r="F1692" s="54"/>
    </row>
    <row r="1693" spans="4:6">
      <c r="D1693" s="48"/>
      <c r="E1693" s="52"/>
      <c r="F1693" s="54"/>
    </row>
    <row r="1694" spans="4:6">
      <c r="D1694" s="48"/>
      <c r="E1694" s="52"/>
      <c r="F1694" s="54"/>
    </row>
    <row r="1695" spans="4:6">
      <c r="D1695" s="48"/>
      <c r="E1695" s="52"/>
      <c r="F1695" s="54"/>
    </row>
    <row r="1696" spans="4:6">
      <c r="D1696" s="48"/>
      <c r="E1696" s="52"/>
      <c r="F1696" s="54"/>
    </row>
    <row r="1697" spans="4:6">
      <c r="D1697" s="48"/>
      <c r="E1697" s="52"/>
      <c r="F1697" s="54"/>
    </row>
    <row r="1698" spans="4:6">
      <c r="D1698" s="48"/>
      <c r="E1698" s="52"/>
      <c r="F1698" s="54"/>
    </row>
    <row r="1699" spans="4:6">
      <c r="D1699" s="48"/>
      <c r="E1699" s="52"/>
      <c r="F1699" s="54"/>
    </row>
    <row r="1700" spans="4:6">
      <c r="D1700" s="48"/>
      <c r="E1700" s="52"/>
      <c r="F1700" s="54"/>
    </row>
    <row r="1701" spans="4:6">
      <c r="D1701" s="48"/>
      <c r="E1701" s="52"/>
      <c r="F1701" s="54"/>
    </row>
    <row r="1702" spans="4:6">
      <c r="D1702" s="48"/>
      <c r="E1702" s="52"/>
      <c r="F1702" s="54"/>
    </row>
    <row r="1703" spans="4:6">
      <c r="D1703" s="48"/>
      <c r="E1703" s="52"/>
      <c r="F1703" s="54"/>
    </row>
    <row r="1704" spans="4:6">
      <c r="D1704" s="48"/>
      <c r="E1704" s="52"/>
      <c r="F1704" s="54"/>
    </row>
    <row r="1705" spans="4:6">
      <c r="D1705" s="48"/>
      <c r="E1705" s="52"/>
      <c r="F1705" s="54"/>
    </row>
    <row r="1706" spans="4:6">
      <c r="D1706" s="48"/>
      <c r="E1706" s="52"/>
      <c r="F1706" s="54"/>
    </row>
    <row r="1707" spans="4:6">
      <c r="D1707" s="48"/>
      <c r="E1707" s="52"/>
      <c r="F1707" s="54"/>
    </row>
    <row r="1708" spans="4:6">
      <c r="D1708" s="48"/>
      <c r="E1708" s="52"/>
      <c r="F1708" s="54"/>
    </row>
    <row r="1709" spans="4:6">
      <c r="D1709" s="48"/>
      <c r="E1709" s="52"/>
      <c r="F1709" s="54"/>
    </row>
    <row r="1710" spans="4:6">
      <c r="D1710" s="48"/>
      <c r="E1710" s="52"/>
      <c r="F1710" s="54"/>
    </row>
    <row r="1711" spans="4:6">
      <c r="D1711" s="48"/>
      <c r="E1711" s="52"/>
      <c r="F1711" s="54"/>
    </row>
    <row r="1712" spans="4:6">
      <c r="D1712" s="48"/>
      <c r="E1712" s="52"/>
      <c r="F1712" s="54"/>
    </row>
    <row r="1713" spans="4:6">
      <c r="D1713" s="48"/>
      <c r="E1713" s="52"/>
      <c r="F1713" s="54"/>
    </row>
    <row r="1714" spans="4:6">
      <c r="D1714" s="48"/>
      <c r="E1714" s="52"/>
      <c r="F1714" s="54"/>
    </row>
    <row r="1715" spans="4:6">
      <c r="D1715" s="48"/>
      <c r="E1715" s="52"/>
      <c r="F1715" s="54"/>
    </row>
    <row r="1716" spans="4:6">
      <c r="D1716" s="48"/>
      <c r="E1716" s="52"/>
      <c r="F1716" s="54"/>
    </row>
    <row r="1717" spans="4:6">
      <c r="D1717" s="48"/>
      <c r="E1717" s="52"/>
      <c r="F1717" s="54"/>
    </row>
    <row r="1718" spans="4:6">
      <c r="D1718" s="48"/>
      <c r="E1718" s="52"/>
      <c r="F1718" s="54"/>
    </row>
    <row r="1719" spans="4:6">
      <c r="D1719" s="48"/>
      <c r="E1719" s="52"/>
      <c r="F1719" s="54"/>
    </row>
    <row r="1720" spans="4:6">
      <c r="D1720" s="48"/>
      <c r="E1720" s="52"/>
      <c r="F1720" s="54"/>
    </row>
    <row r="1721" spans="4:6">
      <c r="D1721" s="48"/>
      <c r="E1721" s="52"/>
      <c r="F1721" s="54"/>
    </row>
    <row r="1722" spans="4:6">
      <c r="D1722" s="48"/>
      <c r="E1722" s="52"/>
      <c r="F1722" s="54"/>
    </row>
    <row r="1723" spans="4:6">
      <c r="D1723" s="48"/>
      <c r="E1723" s="52"/>
      <c r="F1723" s="54"/>
    </row>
    <row r="1724" spans="4:6">
      <c r="D1724" s="48"/>
      <c r="E1724" s="52"/>
      <c r="F1724" s="54"/>
    </row>
    <row r="1725" spans="4:6">
      <c r="D1725" s="48"/>
      <c r="E1725" s="52"/>
      <c r="F1725" s="54"/>
    </row>
    <row r="1726" spans="4:6">
      <c r="D1726" s="48"/>
      <c r="E1726" s="52"/>
      <c r="F1726" s="54"/>
    </row>
    <row r="1727" spans="4:6">
      <c r="D1727" s="48"/>
      <c r="E1727" s="52"/>
      <c r="F1727" s="54"/>
    </row>
    <row r="1728" spans="4:6">
      <c r="D1728" s="48"/>
      <c r="E1728" s="52"/>
      <c r="F1728" s="54"/>
    </row>
    <row r="1729" spans="4:6">
      <c r="D1729" s="48"/>
      <c r="E1729" s="52"/>
      <c r="F1729" s="54"/>
    </row>
    <row r="1730" spans="4:6">
      <c r="D1730" s="48"/>
      <c r="E1730" s="52"/>
      <c r="F1730" s="54"/>
    </row>
    <row r="1731" spans="4:6">
      <c r="D1731" s="48"/>
      <c r="E1731" s="52"/>
      <c r="F1731" s="54"/>
    </row>
    <row r="1732" spans="4:6">
      <c r="D1732" s="48"/>
      <c r="E1732" s="52"/>
      <c r="F1732" s="54"/>
    </row>
    <row r="1733" spans="4:6">
      <c r="D1733" s="48"/>
      <c r="E1733" s="52"/>
      <c r="F1733" s="54"/>
    </row>
    <row r="1734" spans="4:6">
      <c r="D1734" s="48"/>
      <c r="E1734" s="52"/>
      <c r="F1734" s="54"/>
    </row>
    <row r="1735" spans="4:6">
      <c r="D1735" s="48"/>
      <c r="E1735" s="52"/>
      <c r="F1735" s="54"/>
    </row>
    <row r="1736" spans="4:6">
      <c r="D1736" s="48"/>
      <c r="E1736" s="52"/>
      <c r="F1736" s="54"/>
    </row>
    <row r="1737" spans="4:6">
      <c r="D1737" s="48"/>
      <c r="E1737" s="52"/>
      <c r="F1737" s="54"/>
    </row>
    <row r="1738" spans="4:6">
      <c r="D1738" s="48"/>
      <c r="E1738" s="52"/>
      <c r="F1738" s="54"/>
    </row>
    <row r="1739" spans="4:6">
      <c r="D1739" s="48"/>
      <c r="E1739" s="52"/>
      <c r="F1739" s="54"/>
    </row>
    <row r="1740" spans="4:6">
      <c r="D1740" s="48"/>
      <c r="E1740" s="52"/>
      <c r="F1740" s="54"/>
    </row>
    <row r="1741" spans="4:6">
      <c r="D1741" s="48"/>
      <c r="E1741" s="52"/>
      <c r="F1741" s="54"/>
    </row>
    <row r="1742" spans="4:6">
      <c r="D1742" s="48"/>
      <c r="E1742" s="52"/>
      <c r="F1742" s="54"/>
    </row>
    <row r="1743" spans="4:6">
      <c r="D1743" s="48"/>
      <c r="E1743" s="52"/>
      <c r="F1743" s="54"/>
    </row>
    <row r="1744" spans="4:6">
      <c r="D1744" s="48"/>
      <c r="E1744" s="52"/>
      <c r="F1744" s="54"/>
    </row>
    <row r="1745" spans="4:6">
      <c r="D1745" s="48"/>
      <c r="E1745" s="52"/>
      <c r="F1745" s="54"/>
    </row>
    <row r="1746" spans="4:6">
      <c r="D1746" s="48"/>
      <c r="E1746" s="52"/>
      <c r="F1746" s="54"/>
    </row>
    <row r="1747" spans="4:6">
      <c r="D1747" s="48"/>
      <c r="E1747" s="52"/>
      <c r="F1747" s="54"/>
    </row>
    <row r="1748" spans="4:6">
      <c r="D1748" s="48"/>
      <c r="E1748" s="52"/>
      <c r="F1748" s="54"/>
    </row>
    <row r="1749" spans="4:6">
      <c r="D1749" s="48"/>
      <c r="E1749" s="52"/>
      <c r="F1749" s="54"/>
    </row>
    <row r="1750" spans="4:6">
      <c r="D1750" s="48"/>
      <c r="E1750" s="52"/>
      <c r="F1750" s="54"/>
    </row>
    <row r="1751" spans="4:6">
      <c r="D1751" s="48"/>
      <c r="E1751" s="52"/>
      <c r="F1751" s="54"/>
    </row>
    <row r="1752" spans="4:6">
      <c r="D1752" s="48"/>
      <c r="E1752" s="52"/>
      <c r="F1752" s="54"/>
    </row>
    <row r="1753" spans="4:6">
      <c r="D1753" s="48"/>
      <c r="E1753" s="52"/>
      <c r="F1753" s="54"/>
    </row>
    <row r="1754" spans="4:6">
      <c r="D1754" s="48"/>
      <c r="E1754" s="52"/>
      <c r="F1754" s="54"/>
    </row>
    <row r="1755" spans="4:6">
      <c r="D1755" s="48"/>
      <c r="E1755" s="52"/>
      <c r="F1755" s="54"/>
    </row>
    <row r="1756" spans="4:6">
      <c r="D1756" s="48"/>
      <c r="E1756" s="52"/>
      <c r="F1756" s="54"/>
    </row>
    <row r="1757" spans="4:6">
      <c r="D1757" s="48"/>
      <c r="E1757" s="52"/>
      <c r="F1757" s="54"/>
    </row>
    <row r="1758" spans="4:6">
      <c r="D1758" s="48"/>
      <c r="E1758" s="52"/>
      <c r="F1758" s="54"/>
    </row>
    <row r="1759" spans="4:6">
      <c r="D1759" s="48"/>
      <c r="E1759" s="52"/>
      <c r="F1759" s="54"/>
    </row>
    <row r="1760" spans="4:6">
      <c r="D1760" s="48"/>
      <c r="E1760" s="52"/>
      <c r="F1760" s="54"/>
    </row>
    <row r="1761" spans="4:6">
      <c r="D1761" s="48"/>
      <c r="E1761" s="52"/>
      <c r="F1761" s="54"/>
    </row>
    <row r="1762" spans="4:6">
      <c r="D1762" s="48"/>
      <c r="E1762" s="52"/>
      <c r="F1762" s="54"/>
    </row>
    <row r="1763" spans="4:6">
      <c r="D1763" s="48"/>
      <c r="E1763" s="52"/>
      <c r="F1763" s="54"/>
    </row>
    <row r="1764" spans="4:6">
      <c r="D1764" s="48"/>
      <c r="E1764" s="52"/>
      <c r="F1764" s="54"/>
    </row>
    <row r="1765" spans="4:6">
      <c r="D1765" s="48"/>
      <c r="E1765" s="52"/>
      <c r="F1765" s="54"/>
    </row>
    <row r="1766" spans="4:6">
      <c r="D1766" s="48"/>
      <c r="E1766" s="52"/>
      <c r="F1766" s="54"/>
    </row>
    <row r="1767" spans="4:6">
      <c r="D1767" s="48"/>
      <c r="E1767" s="52"/>
      <c r="F1767" s="54"/>
    </row>
    <row r="1768" spans="4:6">
      <c r="D1768" s="48"/>
      <c r="E1768" s="52"/>
      <c r="F1768" s="54"/>
    </row>
    <row r="1769" spans="4:6">
      <c r="D1769" s="48"/>
      <c r="E1769" s="52"/>
      <c r="F1769" s="54"/>
    </row>
    <row r="1770" spans="4:6">
      <c r="D1770" s="48"/>
      <c r="E1770" s="52"/>
      <c r="F1770" s="54"/>
    </row>
    <row r="1771" spans="4:6">
      <c r="D1771" s="48"/>
      <c r="E1771" s="52"/>
      <c r="F1771" s="54"/>
    </row>
    <row r="1772" spans="4:6">
      <c r="D1772" s="48"/>
      <c r="E1772" s="52"/>
      <c r="F1772" s="54"/>
    </row>
    <row r="1773" spans="4:6">
      <c r="D1773" s="48"/>
      <c r="E1773" s="52"/>
      <c r="F1773" s="54"/>
    </row>
    <row r="1774" spans="4:6">
      <c r="D1774" s="48"/>
      <c r="E1774" s="52"/>
      <c r="F1774" s="54"/>
    </row>
    <row r="1775" spans="4:6">
      <c r="D1775" s="48"/>
      <c r="E1775" s="52"/>
      <c r="F1775" s="54"/>
    </row>
    <row r="1776" spans="4:6">
      <c r="D1776" s="48"/>
      <c r="E1776" s="52"/>
      <c r="F1776" s="54"/>
    </row>
    <row r="1777" spans="4:6">
      <c r="D1777" s="48"/>
      <c r="E1777" s="52"/>
      <c r="F1777" s="54"/>
    </row>
    <row r="1778" spans="4:6">
      <c r="D1778" s="48"/>
      <c r="E1778" s="52"/>
      <c r="F1778" s="54"/>
    </row>
    <row r="1779" spans="4:6">
      <c r="D1779" s="48"/>
      <c r="E1779" s="52"/>
      <c r="F1779" s="54"/>
    </row>
    <row r="1780" spans="4:6">
      <c r="D1780" s="48"/>
      <c r="E1780" s="52"/>
      <c r="F1780" s="54"/>
    </row>
    <row r="1781" spans="4:6">
      <c r="D1781" s="48"/>
      <c r="E1781" s="52"/>
      <c r="F1781" s="54"/>
    </row>
    <row r="1782" spans="4:6">
      <c r="D1782" s="48"/>
      <c r="E1782" s="52"/>
      <c r="F1782" s="54"/>
    </row>
    <row r="1783" spans="4:6">
      <c r="D1783" s="48"/>
      <c r="E1783" s="52"/>
      <c r="F1783" s="54"/>
    </row>
    <row r="1784" spans="4:6">
      <c r="D1784" s="48"/>
      <c r="E1784" s="52"/>
      <c r="F1784" s="54"/>
    </row>
    <row r="1785" spans="4:6">
      <c r="D1785" s="48"/>
      <c r="E1785" s="52"/>
      <c r="F1785" s="54"/>
    </row>
    <row r="1786" spans="4:6">
      <c r="D1786" s="48"/>
      <c r="E1786" s="52"/>
      <c r="F1786" s="54"/>
    </row>
    <row r="1787" spans="4:6">
      <c r="D1787" s="48"/>
      <c r="E1787" s="52"/>
      <c r="F1787" s="54"/>
    </row>
    <row r="1788" spans="4:6">
      <c r="D1788" s="48"/>
      <c r="E1788" s="52"/>
      <c r="F1788" s="54"/>
    </row>
    <row r="1789" spans="4:6">
      <c r="D1789" s="48"/>
      <c r="E1789" s="52"/>
      <c r="F1789" s="54"/>
    </row>
    <row r="1790" spans="4:6">
      <c r="D1790" s="48"/>
      <c r="E1790" s="52"/>
      <c r="F1790" s="54"/>
    </row>
    <row r="1791" spans="4:6">
      <c r="D1791" s="48"/>
      <c r="E1791" s="52"/>
      <c r="F1791" s="54"/>
    </row>
    <row r="1792" spans="4:6">
      <c r="D1792" s="48"/>
      <c r="E1792" s="52"/>
      <c r="F1792" s="54"/>
    </row>
    <row r="1793" spans="4:6">
      <c r="D1793" s="48"/>
      <c r="E1793" s="52"/>
      <c r="F1793" s="54"/>
    </row>
    <row r="1794" spans="4:6">
      <c r="D1794" s="48"/>
      <c r="E1794" s="52"/>
      <c r="F1794" s="54"/>
    </row>
    <row r="1795" spans="4:6">
      <c r="D1795" s="48"/>
      <c r="E1795" s="52"/>
      <c r="F1795" s="54"/>
    </row>
    <row r="1796" spans="4:6">
      <c r="D1796" s="48"/>
      <c r="E1796" s="52"/>
      <c r="F1796" s="54"/>
    </row>
    <row r="1797" spans="4:6">
      <c r="D1797" s="48"/>
      <c r="E1797" s="52"/>
      <c r="F1797" s="54"/>
    </row>
    <row r="1798" spans="4:6">
      <c r="D1798" s="48"/>
      <c r="E1798" s="52"/>
      <c r="F1798" s="54"/>
    </row>
    <row r="1799" spans="4:6">
      <c r="D1799" s="48"/>
      <c r="E1799" s="52"/>
      <c r="F1799" s="54"/>
    </row>
    <row r="1800" spans="4:6">
      <c r="D1800" s="48"/>
      <c r="E1800" s="52"/>
      <c r="F1800" s="54"/>
    </row>
    <row r="1801" spans="4:6">
      <c r="D1801" s="48"/>
      <c r="E1801" s="52"/>
      <c r="F1801" s="54"/>
    </row>
    <row r="1802" spans="4:6">
      <c r="D1802" s="48"/>
      <c r="E1802" s="52"/>
      <c r="F1802" s="54"/>
    </row>
    <row r="1803" spans="4:6">
      <c r="D1803" s="48"/>
      <c r="E1803" s="52"/>
      <c r="F1803" s="54"/>
    </row>
    <row r="1804" spans="4:6">
      <c r="D1804" s="48"/>
      <c r="E1804" s="52"/>
      <c r="F1804" s="54"/>
    </row>
    <row r="1805" spans="4:6">
      <c r="D1805" s="48"/>
      <c r="E1805" s="52"/>
      <c r="F1805" s="54"/>
    </row>
    <row r="1806" spans="4:6">
      <c r="D1806" s="48"/>
      <c r="E1806" s="52"/>
      <c r="F1806" s="54"/>
    </row>
    <row r="1807" spans="4:6">
      <c r="D1807" s="48"/>
      <c r="E1807" s="52"/>
      <c r="F1807" s="54"/>
    </row>
    <row r="1808" spans="4:6">
      <c r="D1808" s="48"/>
      <c r="E1808" s="52"/>
      <c r="F1808" s="54"/>
    </row>
    <row r="1809" spans="4:6">
      <c r="D1809" s="48"/>
      <c r="E1809" s="52"/>
      <c r="F1809" s="54"/>
    </row>
    <row r="1810" spans="4:6">
      <c r="D1810" s="48"/>
      <c r="E1810" s="52"/>
      <c r="F1810" s="54"/>
    </row>
    <row r="1811" spans="4:6">
      <c r="D1811" s="48"/>
      <c r="E1811" s="52"/>
      <c r="F1811" s="54"/>
    </row>
    <row r="1812" spans="4:6">
      <c r="D1812" s="48"/>
      <c r="E1812" s="52"/>
      <c r="F1812" s="54"/>
    </row>
    <row r="1813" spans="4:6">
      <c r="D1813" s="48"/>
      <c r="E1813" s="52"/>
      <c r="F1813" s="54"/>
    </row>
    <row r="1814" spans="4:6">
      <c r="D1814" s="48"/>
      <c r="E1814" s="52"/>
      <c r="F1814" s="54"/>
    </row>
    <row r="1815" spans="4:6">
      <c r="D1815" s="48"/>
      <c r="E1815" s="52"/>
      <c r="F1815" s="54"/>
    </row>
    <row r="1816" spans="4:6">
      <c r="D1816" s="48"/>
      <c r="E1816" s="52"/>
      <c r="F1816" s="54"/>
    </row>
    <row r="1817" spans="4:6">
      <c r="D1817" s="48"/>
      <c r="E1817" s="52"/>
      <c r="F1817" s="54"/>
    </row>
    <row r="1818" spans="4:6">
      <c r="D1818" s="48"/>
      <c r="E1818" s="52"/>
      <c r="F1818" s="54"/>
    </row>
    <row r="1819" spans="4:6">
      <c r="D1819" s="48"/>
      <c r="E1819" s="52"/>
      <c r="F1819" s="54"/>
    </row>
    <row r="1820" spans="4:6">
      <c r="D1820" s="48"/>
      <c r="E1820" s="52"/>
      <c r="F1820" s="54"/>
    </row>
    <row r="1821" spans="4:6">
      <c r="D1821" s="48"/>
      <c r="E1821" s="52"/>
      <c r="F1821" s="54"/>
    </row>
    <row r="1822" spans="4:6">
      <c r="D1822" s="48"/>
      <c r="E1822" s="52"/>
      <c r="F1822" s="54"/>
    </row>
    <row r="1823" spans="4:6">
      <c r="D1823" s="48"/>
      <c r="E1823" s="52"/>
      <c r="F1823" s="54"/>
    </row>
    <row r="1824" spans="4:6">
      <c r="D1824" s="48"/>
      <c r="E1824" s="52"/>
      <c r="F1824" s="54"/>
    </row>
    <row r="1825" spans="4:6">
      <c r="D1825" s="48"/>
      <c r="E1825" s="52"/>
      <c r="F1825" s="54"/>
    </row>
    <row r="1826" spans="4:6">
      <c r="D1826" s="48"/>
      <c r="E1826" s="52"/>
      <c r="F1826" s="54"/>
    </row>
    <row r="1827" spans="4:6">
      <c r="D1827" s="48"/>
      <c r="E1827" s="52"/>
      <c r="F1827" s="54"/>
    </row>
    <row r="1828" spans="4:6">
      <c r="D1828" s="48"/>
      <c r="E1828" s="52"/>
      <c r="F1828" s="54"/>
    </row>
    <row r="1829" spans="4:6">
      <c r="D1829" s="48"/>
      <c r="E1829" s="52"/>
      <c r="F1829" s="54"/>
    </row>
    <row r="1830" spans="4:6">
      <c r="D1830" s="48"/>
      <c r="E1830" s="52"/>
      <c r="F1830" s="54"/>
    </row>
    <row r="1831" spans="4:6">
      <c r="D1831" s="48"/>
      <c r="E1831" s="52"/>
      <c r="F1831" s="54"/>
    </row>
    <row r="1832" spans="4:6">
      <c r="D1832" s="48"/>
      <c r="E1832" s="52"/>
      <c r="F1832" s="54"/>
    </row>
    <row r="1833" spans="4:6">
      <c r="D1833" s="48"/>
      <c r="E1833" s="52"/>
      <c r="F1833" s="54"/>
    </row>
    <row r="1834" spans="4:6">
      <c r="D1834" s="48"/>
      <c r="E1834" s="52"/>
      <c r="F1834" s="54"/>
    </row>
    <row r="1835" spans="4:6">
      <c r="D1835" s="48"/>
      <c r="E1835" s="52"/>
      <c r="F1835" s="54"/>
    </row>
    <row r="1836" spans="4:6">
      <c r="D1836" s="48"/>
      <c r="E1836" s="52"/>
      <c r="F1836" s="54"/>
    </row>
    <row r="1837" spans="4:6">
      <c r="D1837" s="48"/>
      <c r="E1837" s="52"/>
      <c r="F1837" s="54"/>
    </row>
    <row r="1838" spans="4:6">
      <c r="D1838" s="48"/>
      <c r="E1838" s="52"/>
      <c r="F1838" s="54"/>
    </row>
    <row r="1839" spans="4:6">
      <c r="D1839" s="48"/>
      <c r="E1839" s="52"/>
      <c r="F1839" s="54"/>
    </row>
    <row r="1840" spans="4:6">
      <c r="D1840" s="48"/>
      <c r="E1840" s="52"/>
      <c r="F1840" s="54"/>
    </row>
    <row r="1841" spans="4:6">
      <c r="D1841" s="48"/>
      <c r="E1841" s="52"/>
      <c r="F1841" s="54"/>
    </row>
    <row r="1842" spans="4:6">
      <c r="D1842" s="48"/>
      <c r="E1842" s="52"/>
      <c r="F1842" s="54"/>
    </row>
    <row r="1843" spans="4:6">
      <c r="D1843" s="48"/>
      <c r="E1843" s="52"/>
      <c r="F1843" s="54"/>
    </row>
    <row r="1844" spans="4:6">
      <c r="D1844" s="48"/>
      <c r="E1844" s="52"/>
      <c r="F1844" s="54"/>
    </row>
    <row r="1845" spans="4:6">
      <c r="D1845" s="48"/>
      <c r="E1845" s="52"/>
      <c r="F1845" s="54"/>
    </row>
    <row r="1846" spans="4:6">
      <c r="D1846" s="48"/>
      <c r="E1846" s="52"/>
      <c r="F1846" s="54"/>
    </row>
    <row r="1847" spans="4:6">
      <c r="D1847" s="48"/>
      <c r="E1847" s="52"/>
      <c r="F1847" s="54"/>
    </row>
    <row r="1848" spans="4:6">
      <c r="D1848" s="48"/>
      <c r="E1848" s="52"/>
      <c r="F1848" s="54"/>
    </row>
    <row r="1849" spans="4:6">
      <c r="D1849" s="48"/>
      <c r="E1849" s="52"/>
      <c r="F1849" s="54"/>
    </row>
    <row r="1850" spans="4:6">
      <c r="D1850" s="48"/>
      <c r="E1850" s="52"/>
      <c r="F1850" s="54"/>
    </row>
    <row r="1851" spans="4:6">
      <c r="D1851" s="48"/>
      <c r="E1851" s="52"/>
      <c r="F1851" s="54"/>
    </row>
    <row r="1852" spans="4:6">
      <c r="D1852" s="48"/>
      <c r="E1852" s="52"/>
      <c r="F1852" s="54"/>
    </row>
    <row r="1853" spans="4:6">
      <c r="D1853" s="48"/>
      <c r="E1853" s="52"/>
      <c r="F1853" s="54"/>
    </row>
    <row r="1854" spans="4:6">
      <c r="D1854" s="48"/>
      <c r="E1854" s="52"/>
      <c r="F1854" s="54"/>
    </row>
    <row r="1855" spans="4:6">
      <c r="D1855" s="48"/>
      <c r="E1855" s="52"/>
      <c r="F1855" s="54"/>
    </row>
    <row r="1856" spans="4:6">
      <c r="D1856" s="48"/>
      <c r="E1856" s="52"/>
      <c r="F1856" s="54"/>
    </row>
    <row r="1857" spans="4:6">
      <c r="D1857" s="48"/>
      <c r="E1857" s="52"/>
      <c r="F1857" s="54"/>
    </row>
    <row r="1858" spans="4:6">
      <c r="D1858" s="48"/>
      <c r="E1858" s="52"/>
      <c r="F1858" s="54"/>
    </row>
    <row r="1859" spans="4:6">
      <c r="D1859" s="48"/>
      <c r="E1859" s="52"/>
      <c r="F1859" s="54"/>
    </row>
    <row r="1860" spans="4:6">
      <c r="D1860" s="48"/>
      <c r="E1860" s="52"/>
      <c r="F1860" s="54"/>
    </row>
    <row r="1861" spans="4:6">
      <c r="D1861" s="48"/>
      <c r="E1861" s="52"/>
      <c r="F1861" s="54"/>
    </row>
    <row r="1862" spans="4:6">
      <c r="D1862" s="48"/>
      <c r="E1862" s="52"/>
      <c r="F1862" s="54"/>
    </row>
    <row r="1863" spans="4:6">
      <c r="D1863" s="48"/>
      <c r="E1863" s="52"/>
      <c r="F1863" s="54"/>
    </row>
    <row r="1864" spans="4:6">
      <c r="D1864" s="48"/>
      <c r="E1864" s="52"/>
      <c r="F1864" s="54"/>
    </row>
    <row r="1865" spans="4:6">
      <c r="D1865" s="48"/>
      <c r="E1865" s="52"/>
      <c r="F1865" s="54"/>
    </row>
    <row r="1866" spans="4:6">
      <c r="D1866" s="48"/>
      <c r="E1866" s="52"/>
      <c r="F1866" s="54"/>
    </row>
    <row r="1867" spans="4:6">
      <c r="D1867" s="48"/>
      <c r="E1867" s="52"/>
      <c r="F1867" s="54"/>
    </row>
    <row r="1868" spans="4:6">
      <c r="D1868" s="48"/>
      <c r="E1868" s="52"/>
      <c r="F1868" s="54"/>
    </row>
    <row r="1869" spans="4:6">
      <c r="D1869" s="48"/>
      <c r="E1869" s="52"/>
      <c r="F1869" s="54"/>
    </row>
    <row r="1870" spans="4:6">
      <c r="D1870" s="48"/>
      <c r="E1870" s="52"/>
      <c r="F1870" s="54"/>
    </row>
    <row r="1871" spans="4:6">
      <c r="D1871" s="48"/>
      <c r="E1871" s="52"/>
      <c r="F1871" s="54"/>
    </row>
    <row r="1872" spans="4:6">
      <c r="D1872" s="48"/>
      <c r="E1872" s="52"/>
      <c r="F1872" s="54"/>
    </row>
    <row r="1873" spans="4:6">
      <c r="D1873" s="48"/>
      <c r="E1873" s="52"/>
      <c r="F1873" s="54"/>
    </row>
    <row r="1874" spans="4:6">
      <c r="D1874" s="48"/>
      <c r="E1874" s="52"/>
      <c r="F1874" s="54"/>
    </row>
    <row r="1875" spans="4:6">
      <c r="D1875" s="48"/>
      <c r="E1875" s="52"/>
      <c r="F1875" s="54"/>
    </row>
    <row r="1876" spans="4:6">
      <c r="D1876" s="48"/>
      <c r="E1876" s="52"/>
      <c r="F1876" s="54"/>
    </row>
    <row r="1877" spans="4:6">
      <c r="D1877" s="48"/>
      <c r="E1877" s="52"/>
      <c r="F1877" s="54"/>
    </row>
    <row r="1878" spans="4:6">
      <c r="D1878" s="48"/>
      <c r="E1878" s="52"/>
      <c r="F1878" s="54"/>
    </row>
    <row r="1879" spans="4:6">
      <c r="D1879" s="48"/>
      <c r="E1879" s="52"/>
      <c r="F1879" s="54"/>
    </row>
    <row r="1880" spans="4:6">
      <c r="D1880" s="48"/>
      <c r="E1880" s="52"/>
      <c r="F1880" s="54"/>
    </row>
    <row r="1881" spans="4:6">
      <c r="D1881" s="48"/>
      <c r="E1881" s="52"/>
      <c r="F1881" s="54"/>
    </row>
    <row r="1882" spans="4:6">
      <c r="D1882" s="48"/>
      <c r="E1882" s="52"/>
      <c r="F1882" s="54"/>
    </row>
    <row r="1883" spans="4:6">
      <c r="D1883" s="48"/>
      <c r="E1883" s="52"/>
      <c r="F1883" s="54"/>
    </row>
    <row r="1884" spans="4:6">
      <c r="D1884" s="48"/>
      <c r="E1884" s="52"/>
      <c r="F1884" s="54"/>
    </row>
    <row r="1885" spans="4:6">
      <c r="D1885" s="48"/>
      <c r="E1885" s="52"/>
      <c r="F1885" s="54"/>
    </row>
    <row r="1886" spans="4:6">
      <c r="D1886" s="48"/>
      <c r="E1886" s="52"/>
      <c r="F1886" s="54"/>
    </row>
    <row r="1887" spans="4:6">
      <c r="D1887" s="48"/>
      <c r="E1887" s="52"/>
      <c r="F1887" s="54"/>
    </row>
    <row r="1888" spans="4:6">
      <c r="D1888" s="48"/>
      <c r="E1888" s="52"/>
      <c r="F1888" s="54"/>
    </row>
    <row r="1889" spans="4:6">
      <c r="D1889" s="48"/>
      <c r="E1889" s="52"/>
      <c r="F1889" s="54"/>
    </row>
    <row r="1890" spans="4:6">
      <c r="D1890" s="48"/>
      <c r="E1890" s="52"/>
      <c r="F1890" s="54"/>
    </row>
    <row r="1891" spans="4:6">
      <c r="D1891" s="48"/>
      <c r="E1891" s="52"/>
      <c r="F1891" s="54"/>
    </row>
    <row r="1892" spans="4:6">
      <c r="D1892" s="48"/>
      <c r="E1892" s="52"/>
      <c r="F1892" s="54"/>
    </row>
    <row r="1893" spans="4:6">
      <c r="D1893" s="48"/>
      <c r="E1893" s="52"/>
      <c r="F1893" s="54"/>
    </row>
    <row r="1894" spans="4:6">
      <c r="D1894" s="48"/>
      <c r="E1894" s="52"/>
      <c r="F1894" s="54"/>
    </row>
    <row r="1895" spans="4:6">
      <c r="D1895" s="48"/>
      <c r="E1895" s="52"/>
      <c r="F1895" s="54"/>
    </row>
    <row r="1896" spans="4:6">
      <c r="D1896" s="48"/>
      <c r="E1896" s="52"/>
      <c r="F1896" s="54"/>
    </row>
    <row r="1897" spans="4:6">
      <c r="D1897" s="48"/>
      <c r="E1897" s="52"/>
      <c r="F1897" s="54"/>
    </row>
    <row r="1898" spans="4:6">
      <c r="D1898" s="48"/>
      <c r="E1898" s="52"/>
      <c r="F1898" s="54"/>
    </row>
    <row r="1899" spans="4:6">
      <c r="D1899" s="48"/>
      <c r="E1899" s="52"/>
      <c r="F1899" s="54"/>
    </row>
    <row r="1900" spans="4:6">
      <c r="D1900" s="48"/>
      <c r="E1900" s="52"/>
      <c r="F1900" s="54"/>
    </row>
    <row r="1901" spans="4:6">
      <c r="D1901" s="48"/>
      <c r="E1901" s="52"/>
      <c r="F1901" s="54"/>
    </row>
    <row r="1902" spans="4:6">
      <c r="D1902" s="48"/>
      <c r="E1902" s="52"/>
      <c r="F1902" s="54"/>
    </row>
    <row r="1903" spans="4:6">
      <c r="D1903" s="48"/>
      <c r="E1903" s="52"/>
      <c r="F1903" s="54"/>
    </row>
    <row r="1904" spans="4:6">
      <c r="D1904" s="48"/>
      <c r="E1904" s="52"/>
      <c r="F1904" s="54"/>
    </row>
    <row r="1905" spans="4:6">
      <c r="D1905" s="48"/>
      <c r="E1905" s="52"/>
      <c r="F1905" s="54"/>
    </row>
    <row r="1906" spans="4:6">
      <c r="D1906" s="48"/>
      <c r="E1906" s="52"/>
      <c r="F1906" s="54"/>
    </row>
    <row r="1907" spans="4:6">
      <c r="D1907" s="48"/>
      <c r="E1907" s="52"/>
      <c r="F1907" s="54"/>
    </row>
    <row r="1908" spans="4:6">
      <c r="D1908" s="48"/>
      <c r="E1908" s="52"/>
      <c r="F1908" s="54"/>
    </row>
    <row r="1909" spans="4:6">
      <c r="D1909" s="48"/>
      <c r="E1909" s="52"/>
      <c r="F1909" s="54"/>
    </row>
    <row r="1910" spans="4:6">
      <c r="D1910" s="48"/>
      <c r="E1910" s="52"/>
      <c r="F1910" s="54"/>
    </row>
    <row r="1911" spans="4:6">
      <c r="D1911" s="48"/>
      <c r="E1911" s="52"/>
      <c r="F1911" s="54"/>
    </row>
    <row r="1912" spans="4:6">
      <c r="D1912" s="48"/>
      <c r="E1912" s="52"/>
      <c r="F1912" s="54"/>
    </row>
    <row r="1913" spans="4:6">
      <c r="D1913" s="48"/>
      <c r="E1913" s="52"/>
      <c r="F1913" s="54"/>
    </row>
    <row r="1914" spans="4:6">
      <c r="D1914" s="48"/>
      <c r="E1914" s="52"/>
      <c r="F1914" s="54"/>
    </row>
    <row r="1915" spans="4:6">
      <c r="D1915" s="48"/>
      <c r="E1915" s="52"/>
      <c r="F1915" s="54"/>
    </row>
    <row r="1916" spans="4:6">
      <c r="D1916" s="48"/>
      <c r="E1916" s="52"/>
      <c r="F1916" s="54"/>
    </row>
    <row r="1917" spans="4:6">
      <c r="D1917" s="48"/>
      <c r="E1917" s="52"/>
      <c r="F1917" s="54"/>
    </row>
    <row r="1918" spans="4:6">
      <c r="D1918" s="48"/>
      <c r="E1918" s="52"/>
      <c r="F1918" s="54"/>
    </row>
    <row r="1919" spans="4:6">
      <c r="D1919" s="48"/>
      <c r="E1919" s="52"/>
      <c r="F1919" s="54"/>
    </row>
    <row r="1920" spans="4:6">
      <c r="D1920" s="48"/>
      <c r="E1920" s="52"/>
      <c r="F1920" s="54"/>
    </row>
    <row r="1921" spans="4:6">
      <c r="D1921" s="48"/>
      <c r="E1921" s="52"/>
      <c r="F1921" s="54"/>
    </row>
    <row r="1922" spans="4:6">
      <c r="D1922" s="48"/>
      <c r="E1922" s="52"/>
      <c r="F1922" s="54"/>
    </row>
    <row r="1923" spans="4:6">
      <c r="D1923" s="48"/>
      <c r="E1923" s="52"/>
      <c r="F1923" s="54"/>
    </row>
    <row r="1924" spans="4:6">
      <c r="D1924" s="48"/>
      <c r="E1924" s="52"/>
      <c r="F1924" s="54"/>
    </row>
    <row r="1925" spans="4:6">
      <c r="D1925" s="48"/>
      <c r="E1925" s="52"/>
      <c r="F1925" s="54"/>
    </row>
    <row r="1926" spans="4:6">
      <c r="D1926" s="48"/>
      <c r="E1926" s="52"/>
      <c r="F1926" s="54"/>
    </row>
    <row r="1927" spans="4:6">
      <c r="D1927" s="48"/>
      <c r="E1927" s="52"/>
      <c r="F1927" s="54"/>
    </row>
    <row r="1928" spans="4:6">
      <c r="D1928" s="48"/>
      <c r="E1928" s="52"/>
      <c r="F1928" s="54"/>
    </row>
    <row r="1929" spans="4:6">
      <c r="D1929" s="48"/>
      <c r="E1929" s="52"/>
      <c r="F1929" s="54"/>
    </row>
    <row r="1930" spans="4:6">
      <c r="D1930" s="48"/>
      <c r="E1930" s="52"/>
      <c r="F1930" s="54"/>
    </row>
    <row r="1931" spans="4:6">
      <c r="D1931" s="48"/>
      <c r="E1931" s="52"/>
      <c r="F1931" s="54"/>
    </row>
    <row r="1932" spans="4:6">
      <c r="D1932" s="48"/>
      <c r="E1932" s="52"/>
      <c r="F1932" s="54"/>
    </row>
    <row r="1933" spans="4:6">
      <c r="D1933" s="48"/>
      <c r="E1933" s="52"/>
      <c r="F1933" s="54"/>
    </row>
    <row r="1934" spans="4:6">
      <c r="D1934" s="48"/>
      <c r="E1934" s="52"/>
      <c r="F1934" s="54"/>
    </row>
    <row r="1935" spans="4:6">
      <c r="D1935" s="48"/>
      <c r="E1935" s="52"/>
      <c r="F1935" s="54"/>
    </row>
    <row r="1936" spans="4:6">
      <c r="D1936" s="48"/>
      <c r="E1936" s="52"/>
      <c r="F1936" s="54"/>
    </row>
    <row r="1937" spans="4:6">
      <c r="D1937" s="48"/>
      <c r="E1937" s="52"/>
      <c r="F1937" s="54"/>
    </row>
    <row r="1938" spans="4:6">
      <c r="D1938" s="48"/>
      <c r="E1938" s="52"/>
      <c r="F1938" s="54"/>
    </row>
    <row r="1939" spans="4:6">
      <c r="D1939" s="48"/>
      <c r="E1939" s="52"/>
      <c r="F1939" s="54"/>
    </row>
    <row r="1940" spans="4:6">
      <c r="D1940" s="48"/>
      <c r="E1940" s="52"/>
      <c r="F1940" s="54"/>
    </row>
    <row r="1941" spans="4:6">
      <c r="D1941" s="48"/>
      <c r="E1941" s="52"/>
      <c r="F1941" s="54"/>
    </row>
    <row r="1942" spans="4:6">
      <c r="D1942" s="48"/>
      <c r="E1942" s="52"/>
      <c r="F1942" s="54"/>
    </row>
    <row r="1943" spans="4:6">
      <c r="D1943" s="48"/>
      <c r="E1943" s="52"/>
      <c r="F1943" s="54"/>
    </row>
    <row r="1944" spans="4:6">
      <c r="D1944" s="48"/>
      <c r="E1944" s="52"/>
      <c r="F1944" s="54"/>
    </row>
    <row r="1945" spans="4:6">
      <c r="D1945" s="48"/>
      <c r="E1945" s="52"/>
      <c r="F1945" s="54"/>
    </row>
    <row r="1946" spans="4:6">
      <c r="D1946" s="48"/>
      <c r="E1946" s="52"/>
      <c r="F1946" s="54"/>
    </row>
    <row r="1947" spans="4:6">
      <c r="D1947" s="48"/>
      <c r="E1947" s="52"/>
      <c r="F1947" s="54"/>
    </row>
    <row r="1948" spans="4:6">
      <c r="D1948" s="48"/>
      <c r="E1948" s="52"/>
      <c r="F1948" s="54"/>
    </row>
    <row r="1949" spans="4:6">
      <c r="D1949" s="48"/>
      <c r="E1949" s="52"/>
      <c r="F1949" s="54"/>
    </row>
    <row r="1950" spans="4:6">
      <c r="D1950" s="48"/>
      <c r="E1950" s="52"/>
      <c r="F1950" s="54"/>
    </row>
    <row r="1951" spans="4:6">
      <c r="D1951" s="48"/>
      <c r="E1951" s="52"/>
      <c r="F1951" s="54"/>
    </row>
    <row r="1952" spans="4:6">
      <c r="D1952" s="48"/>
      <c r="E1952" s="52"/>
      <c r="F1952" s="54"/>
    </row>
    <row r="1953" spans="4:6">
      <c r="D1953" s="48"/>
      <c r="E1953" s="52"/>
      <c r="F1953" s="54"/>
    </row>
    <row r="1954" spans="4:6">
      <c r="D1954" s="48"/>
      <c r="E1954" s="52"/>
      <c r="F1954" s="54"/>
    </row>
    <row r="1955" spans="4:6">
      <c r="D1955" s="48"/>
      <c r="E1955" s="52"/>
      <c r="F1955" s="54"/>
    </row>
    <row r="1956" spans="4:6">
      <c r="D1956" s="48"/>
      <c r="E1956" s="52"/>
      <c r="F1956" s="54"/>
    </row>
    <row r="1957" spans="4:6">
      <c r="D1957" s="48"/>
      <c r="E1957" s="52"/>
      <c r="F1957" s="54"/>
    </row>
    <row r="1958" spans="4:6">
      <c r="D1958" s="48"/>
      <c r="E1958" s="52"/>
      <c r="F1958" s="54"/>
    </row>
    <row r="1959" spans="4:6">
      <c r="D1959" s="48"/>
      <c r="E1959" s="52"/>
      <c r="F1959" s="54"/>
    </row>
    <row r="1960" spans="4:6">
      <c r="D1960" s="48"/>
      <c r="E1960" s="52"/>
      <c r="F1960" s="54"/>
    </row>
    <row r="1961" spans="4:6">
      <c r="D1961" s="48"/>
      <c r="E1961" s="52"/>
      <c r="F1961" s="54"/>
    </row>
    <row r="1962" spans="4:6">
      <c r="D1962" s="48"/>
      <c r="E1962" s="52"/>
      <c r="F1962" s="54"/>
    </row>
    <row r="1963" spans="4:6">
      <c r="D1963" s="48"/>
      <c r="E1963" s="52"/>
      <c r="F1963" s="54"/>
    </row>
    <row r="1964" spans="4:6">
      <c r="D1964" s="48"/>
      <c r="E1964" s="52"/>
      <c r="F1964" s="54"/>
    </row>
    <row r="1965" spans="4:6">
      <c r="D1965" s="48"/>
      <c r="E1965" s="52"/>
      <c r="F1965" s="54"/>
    </row>
    <row r="1966" spans="4:6">
      <c r="D1966" s="48"/>
      <c r="E1966" s="52"/>
      <c r="F1966" s="54"/>
    </row>
    <row r="1967" spans="4:6">
      <c r="D1967" s="48"/>
      <c r="E1967" s="52"/>
      <c r="F1967" s="54"/>
    </row>
    <row r="1968" spans="4:6">
      <c r="D1968" s="48"/>
      <c r="E1968" s="52"/>
      <c r="F1968" s="54"/>
    </row>
    <row r="1969" spans="4:6">
      <c r="D1969" s="48"/>
      <c r="E1969" s="52"/>
      <c r="F1969" s="54"/>
    </row>
    <row r="1970" spans="4:6">
      <c r="D1970" s="48"/>
      <c r="E1970" s="52"/>
      <c r="F1970" s="54"/>
    </row>
    <row r="1971" spans="4:6">
      <c r="D1971" s="48"/>
      <c r="E1971" s="52"/>
      <c r="F1971" s="54"/>
    </row>
    <row r="1972" spans="4:6">
      <c r="D1972" s="48"/>
      <c r="E1972" s="52"/>
      <c r="F1972" s="54"/>
    </row>
    <row r="1973" spans="4:6">
      <c r="D1973" s="48"/>
      <c r="E1973" s="52"/>
      <c r="F1973" s="54"/>
    </row>
    <row r="1974" spans="4:6">
      <c r="D1974" s="48"/>
      <c r="E1974" s="52"/>
      <c r="F1974" s="54"/>
    </row>
    <row r="1975" spans="4:6">
      <c r="D1975" s="48"/>
      <c r="E1975" s="52"/>
      <c r="F1975" s="54"/>
    </row>
    <row r="1976" spans="4:6">
      <c r="D1976" s="48"/>
      <c r="E1976" s="52"/>
      <c r="F1976" s="54"/>
    </row>
    <row r="1977" spans="4:6">
      <c r="D1977" s="48"/>
      <c r="E1977" s="52"/>
      <c r="F1977" s="54"/>
    </row>
    <row r="1978" spans="4:6">
      <c r="D1978" s="48"/>
      <c r="E1978" s="52"/>
      <c r="F1978" s="54"/>
    </row>
    <row r="1979" spans="4:6">
      <c r="D1979" s="48"/>
      <c r="E1979" s="52"/>
      <c r="F1979" s="54"/>
    </row>
    <row r="1980" spans="4:6">
      <c r="D1980" s="48"/>
      <c r="E1980" s="52"/>
      <c r="F1980" s="54"/>
    </row>
    <row r="1981" spans="4:6">
      <c r="D1981" s="48"/>
      <c r="E1981" s="52"/>
      <c r="F1981" s="54"/>
    </row>
    <row r="1982" spans="4:6">
      <c r="D1982" s="48"/>
      <c r="E1982" s="52"/>
      <c r="F1982" s="54"/>
    </row>
    <row r="1983" spans="4:6">
      <c r="D1983" s="48"/>
      <c r="E1983" s="52"/>
      <c r="F1983" s="54"/>
    </row>
    <row r="1984" spans="4:6">
      <c r="D1984" s="48"/>
      <c r="E1984" s="52"/>
      <c r="F1984" s="54"/>
    </row>
    <row r="1985" spans="4:6">
      <c r="D1985" s="48"/>
      <c r="E1985" s="52"/>
      <c r="F1985" s="54"/>
    </row>
    <row r="1986" spans="4:6">
      <c r="D1986" s="48"/>
      <c r="E1986" s="52"/>
      <c r="F1986" s="54"/>
    </row>
    <row r="1987" spans="4:6">
      <c r="D1987" s="48"/>
      <c r="E1987" s="52"/>
      <c r="F1987" s="54"/>
    </row>
    <row r="1988" spans="4:6">
      <c r="D1988" s="48"/>
      <c r="E1988" s="52"/>
      <c r="F1988" s="54"/>
    </row>
    <row r="1989" spans="4:6">
      <c r="D1989" s="48"/>
      <c r="E1989" s="52"/>
      <c r="F1989" s="54"/>
    </row>
    <row r="1990" spans="4:6">
      <c r="D1990" s="48"/>
      <c r="E1990" s="52"/>
      <c r="F1990" s="54"/>
    </row>
    <row r="1991" spans="4:6">
      <c r="D1991" s="48"/>
      <c r="E1991" s="52"/>
      <c r="F1991" s="54"/>
    </row>
    <row r="1992" spans="4:6">
      <c r="D1992" s="48"/>
      <c r="E1992" s="52"/>
      <c r="F1992" s="54"/>
    </row>
    <row r="1993" spans="4:6">
      <c r="D1993" s="48"/>
      <c r="E1993" s="52"/>
      <c r="F1993" s="54"/>
    </row>
    <row r="1994" spans="4:6">
      <c r="D1994" s="48"/>
      <c r="E1994" s="52"/>
      <c r="F1994" s="54"/>
    </row>
    <row r="1995" spans="4:6">
      <c r="D1995" s="48"/>
      <c r="E1995" s="52"/>
      <c r="F1995" s="54"/>
    </row>
    <row r="1996" spans="4:6">
      <c r="D1996" s="48"/>
      <c r="E1996" s="52"/>
      <c r="F1996" s="54"/>
    </row>
    <row r="1997" spans="4:6">
      <c r="D1997" s="48"/>
      <c r="E1997" s="52"/>
      <c r="F1997" s="54"/>
    </row>
    <row r="1998" spans="4:6">
      <c r="D1998" s="48"/>
      <c r="E1998" s="52"/>
      <c r="F1998" s="54"/>
    </row>
    <row r="1999" spans="4:6">
      <c r="D1999" s="48"/>
      <c r="E1999" s="52"/>
      <c r="F1999" s="54"/>
    </row>
    <row r="2000" spans="4:6">
      <c r="D2000" s="48"/>
      <c r="E2000" s="52"/>
      <c r="F2000" s="54"/>
    </row>
    <row r="2001" spans="4:6">
      <c r="D2001" s="48"/>
      <c r="E2001" s="52"/>
      <c r="F2001" s="54"/>
    </row>
    <row r="2002" spans="4:6">
      <c r="D2002" s="48"/>
      <c r="E2002" s="52"/>
      <c r="F2002" s="54"/>
    </row>
    <row r="2003" spans="4:6">
      <c r="D2003" s="48"/>
      <c r="E2003" s="52"/>
      <c r="F2003" s="54"/>
    </row>
    <row r="2004" spans="4:6">
      <c r="D2004" s="48"/>
      <c r="E2004" s="52"/>
      <c r="F2004" s="54"/>
    </row>
    <row r="2005" spans="4:6">
      <c r="D2005" s="48"/>
      <c r="E2005" s="52"/>
      <c r="F2005" s="54"/>
    </row>
    <row r="2006" spans="4:6">
      <c r="D2006" s="48"/>
      <c r="E2006" s="52"/>
      <c r="F2006" s="54"/>
    </row>
    <row r="2007" spans="4:6">
      <c r="D2007" s="48"/>
      <c r="E2007" s="52"/>
      <c r="F2007" s="54"/>
    </row>
    <row r="2008" spans="4:6">
      <c r="D2008" s="48"/>
      <c r="E2008" s="52"/>
      <c r="F2008" s="54"/>
    </row>
    <row r="2009" spans="4:6">
      <c r="D2009" s="48"/>
      <c r="E2009" s="52"/>
      <c r="F2009" s="54"/>
    </row>
    <row r="2010" spans="4:6">
      <c r="D2010" s="48"/>
      <c r="E2010" s="52"/>
      <c r="F2010" s="54"/>
    </row>
    <row r="2011" spans="4:6">
      <c r="D2011" s="48"/>
      <c r="E2011" s="52"/>
      <c r="F2011" s="54"/>
    </row>
    <row r="2012" spans="4:6">
      <c r="D2012" s="48"/>
      <c r="E2012" s="52"/>
      <c r="F2012" s="54"/>
    </row>
    <row r="2013" spans="4:6">
      <c r="D2013" s="48"/>
      <c r="E2013" s="52"/>
      <c r="F2013" s="54"/>
    </row>
    <row r="2014" spans="4:6">
      <c r="D2014" s="48"/>
      <c r="E2014" s="52"/>
      <c r="F2014" s="54"/>
    </row>
    <row r="2015" spans="4:6">
      <c r="D2015" s="48"/>
      <c r="E2015" s="52"/>
      <c r="F2015" s="54"/>
    </row>
    <row r="2016" spans="4:6">
      <c r="D2016" s="48"/>
      <c r="E2016" s="52"/>
      <c r="F2016" s="54"/>
    </row>
    <row r="2017" spans="4:6">
      <c r="D2017" s="48"/>
      <c r="E2017" s="52"/>
      <c r="F2017" s="54"/>
    </row>
    <row r="2018" spans="4:6">
      <c r="D2018" s="48"/>
      <c r="E2018" s="52"/>
      <c r="F2018" s="54"/>
    </row>
    <row r="2019" spans="4:6">
      <c r="D2019" s="48"/>
      <c r="E2019" s="52"/>
      <c r="F2019" s="54"/>
    </row>
    <row r="2020" spans="4:6">
      <c r="D2020" s="48"/>
      <c r="E2020" s="52"/>
      <c r="F2020" s="54"/>
    </row>
    <row r="2021" spans="4:6">
      <c r="D2021" s="48"/>
      <c r="E2021" s="52"/>
      <c r="F2021" s="54"/>
    </row>
    <row r="2022" spans="4:6">
      <c r="D2022" s="48"/>
      <c r="E2022" s="52"/>
      <c r="F2022" s="54"/>
    </row>
    <row r="2023" spans="4:6">
      <c r="D2023" s="48"/>
      <c r="E2023" s="52"/>
      <c r="F2023" s="54"/>
    </row>
    <row r="2024" spans="4:6">
      <c r="D2024" s="48"/>
      <c r="E2024" s="52"/>
      <c r="F2024" s="54"/>
    </row>
    <row r="2025" spans="4:6">
      <c r="D2025" s="48"/>
      <c r="E2025" s="52"/>
      <c r="F2025" s="54"/>
    </row>
    <row r="2026" spans="4:6">
      <c r="D2026" s="48"/>
      <c r="E2026" s="52"/>
      <c r="F2026" s="54"/>
    </row>
    <row r="2027" spans="4:6">
      <c r="D2027" s="48"/>
      <c r="E2027" s="52"/>
      <c r="F2027" s="54"/>
    </row>
    <row r="2028" spans="4:6">
      <c r="D2028" s="48"/>
      <c r="E2028" s="52"/>
      <c r="F2028" s="54"/>
    </row>
    <row r="2029" spans="4:6">
      <c r="D2029" s="48"/>
      <c r="E2029" s="52"/>
      <c r="F2029" s="54"/>
    </row>
    <row r="2030" spans="4:6">
      <c r="D2030" s="48"/>
      <c r="E2030" s="52"/>
      <c r="F2030" s="54"/>
    </row>
    <row r="2031" spans="4:6">
      <c r="D2031" s="48"/>
      <c r="E2031" s="52"/>
      <c r="F2031" s="54"/>
    </row>
    <row r="2032" spans="4:6">
      <c r="D2032" s="48"/>
      <c r="E2032" s="52"/>
      <c r="F2032" s="54"/>
    </row>
    <row r="2033" spans="4:6">
      <c r="D2033" s="48"/>
      <c r="E2033" s="52"/>
      <c r="F2033" s="54"/>
    </row>
    <row r="2034" spans="4:6">
      <c r="D2034" s="48"/>
      <c r="E2034" s="52"/>
      <c r="F2034" s="54"/>
    </row>
    <row r="2035" spans="4:6">
      <c r="D2035" s="48"/>
      <c r="E2035" s="52"/>
      <c r="F2035" s="54"/>
    </row>
    <row r="2036" spans="4:6">
      <c r="D2036" s="48"/>
      <c r="E2036" s="52"/>
      <c r="F2036" s="54"/>
    </row>
    <row r="2037" spans="4:6">
      <c r="D2037" s="48"/>
      <c r="E2037" s="52"/>
      <c r="F2037" s="54"/>
    </row>
    <row r="2038" spans="4:6">
      <c r="D2038" s="48"/>
      <c r="E2038" s="52"/>
      <c r="F2038" s="54"/>
    </row>
    <row r="2039" spans="4:6">
      <c r="D2039" s="48"/>
      <c r="E2039" s="52"/>
      <c r="F2039" s="54"/>
    </row>
    <row r="2040" spans="4:6">
      <c r="D2040" s="48"/>
      <c r="E2040" s="52"/>
      <c r="F2040" s="54"/>
    </row>
    <row r="2041" spans="4:6">
      <c r="D2041" s="48"/>
      <c r="E2041" s="52"/>
      <c r="F2041" s="54"/>
    </row>
    <row r="2042" spans="4:6">
      <c r="D2042" s="48"/>
      <c r="E2042" s="52"/>
      <c r="F2042" s="54"/>
    </row>
    <row r="2043" spans="4:6">
      <c r="D2043" s="48"/>
      <c r="E2043" s="52"/>
      <c r="F2043" s="54"/>
    </row>
    <row r="2044" spans="4:6">
      <c r="D2044" s="48"/>
      <c r="E2044" s="52"/>
      <c r="F2044" s="54"/>
    </row>
    <row r="2045" spans="4:6">
      <c r="D2045" s="48"/>
      <c r="E2045" s="52"/>
      <c r="F2045" s="54"/>
    </row>
    <row r="2046" spans="4:6">
      <c r="D2046" s="48"/>
      <c r="E2046" s="52"/>
      <c r="F2046" s="54"/>
    </row>
    <row r="2047" spans="4:6">
      <c r="D2047" s="48"/>
      <c r="E2047" s="52"/>
      <c r="F2047" s="54"/>
    </row>
    <row r="2048" spans="4:6">
      <c r="D2048" s="48"/>
      <c r="E2048" s="52"/>
      <c r="F2048" s="54"/>
    </row>
    <row r="2049" spans="4:6">
      <c r="D2049" s="48"/>
      <c r="E2049" s="52"/>
      <c r="F2049" s="54"/>
    </row>
    <row r="2050" spans="4:6">
      <c r="D2050" s="48"/>
      <c r="E2050" s="52"/>
      <c r="F2050" s="54"/>
    </row>
    <row r="2051" spans="4:6">
      <c r="D2051" s="48"/>
      <c r="E2051" s="52"/>
      <c r="F2051" s="54"/>
    </row>
    <row r="2052" spans="4:6">
      <c r="D2052" s="48"/>
      <c r="E2052" s="52"/>
      <c r="F2052" s="54"/>
    </row>
    <row r="2053" spans="4:6">
      <c r="D2053" s="48"/>
      <c r="E2053" s="52"/>
      <c r="F2053" s="54"/>
    </row>
    <row r="2054" spans="4:6">
      <c r="D2054" s="48"/>
      <c r="E2054" s="52"/>
      <c r="F2054" s="54"/>
    </row>
    <row r="2055" spans="4:6">
      <c r="D2055" s="48"/>
      <c r="E2055" s="52"/>
      <c r="F2055" s="54"/>
    </row>
    <row r="2056" spans="4:6">
      <c r="D2056" s="48"/>
      <c r="E2056" s="52"/>
      <c r="F2056" s="54"/>
    </row>
    <row r="2057" spans="4:6">
      <c r="D2057" s="48"/>
      <c r="E2057" s="52"/>
      <c r="F2057" s="54"/>
    </row>
    <row r="2058" spans="4:6">
      <c r="D2058" s="48"/>
      <c r="E2058" s="52"/>
      <c r="F2058" s="54"/>
    </row>
    <row r="2059" spans="4:6">
      <c r="D2059" s="48"/>
      <c r="E2059" s="52"/>
      <c r="F2059" s="54"/>
    </row>
    <row r="2060" spans="4:6">
      <c r="D2060" s="48"/>
      <c r="E2060" s="52"/>
      <c r="F2060" s="54"/>
    </row>
    <row r="2061" spans="4:6">
      <c r="D2061" s="48"/>
      <c r="E2061" s="52"/>
      <c r="F2061" s="54"/>
    </row>
    <row r="2062" spans="4:6">
      <c r="D2062" s="48"/>
      <c r="E2062" s="52"/>
      <c r="F2062" s="54"/>
    </row>
    <row r="2063" spans="4:6">
      <c r="D2063" s="48"/>
      <c r="E2063" s="52"/>
      <c r="F2063" s="54"/>
    </row>
    <row r="2064" spans="4:6">
      <c r="D2064" s="48"/>
      <c r="E2064" s="52"/>
      <c r="F2064" s="54"/>
    </row>
    <row r="2065" spans="4:6">
      <c r="D2065" s="48"/>
      <c r="E2065" s="52"/>
      <c r="F2065" s="54"/>
    </row>
    <row r="2066" spans="4:6">
      <c r="D2066" s="48"/>
      <c r="E2066" s="52"/>
      <c r="F2066" s="54"/>
    </row>
    <row r="2067" spans="4:6">
      <c r="D2067" s="48"/>
      <c r="E2067" s="52"/>
      <c r="F2067" s="54"/>
    </row>
    <row r="2068" spans="4:6">
      <c r="D2068" s="48"/>
      <c r="E2068" s="52"/>
      <c r="F2068" s="54"/>
    </row>
    <row r="2069" spans="4:6">
      <c r="D2069" s="48"/>
      <c r="E2069" s="52"/>
      <c r="F2069" s="54"/>
    </row>
    <row r="2070" spans="4:6">
      <c r="D2070" s="48"/>
      <c r="E2070" s="52"/>
      <c r="F2070" s="54"/>
    </row>
    <row r="2071" spans="4:6">
      <c r="D2071" s="48"/>
      <c r="E2071" s="52"/>
      <c r="F2071" s="54"/>
    </row>
    <row r="2072" spans="4:6">
      <c r="D2072" s="48"/>
      <c r="E2072" s="52"/>
      <c r="F2072" s="54"/>
    </row>
    <row r="2073" spans="4:6">
      <c r="D2073" s="48"/>
      <c r="E2073" s="52"/>
      <c r="F2073" s="54"/>
    </row>
    <row r="2074" spans="4:6">
      <c r="D2074" s="48"/>
      <c r="E2074" s="52"/>
      <c r="F2074" s="54"/>
    </row>
    <row r="2075" spans="4:6">
      <c r="D2075" s="48"/>
      <c r="E2075" s="52"/>
      <c r="F2075" s="54"/>
    </row>
    <row r="2076" spans="4:6">
      <c r="D2076" s="48"/>
      <c r="E2076" s="52"/>
      <c r="F2076" s="54"/>
    </row>
    <row r="2077" spans="4:6">
      <c r="D2077" s="48"/>
      <c r="E2077" s="52"/>
      <c r="F2077" s="54"/>
    </row>
    <row r="2078" spans="4:6">
      <c r="D2078" s="48"/>
      <c r="E2078" s="52"/>
      <c r="F2078" s="54"/>
    </row>
    <row r="2079" spans="4:6">
      <c r="D2079" s="48"/>
      <c r="E2079" s="52"/>
      <c r="F2079" s="54"/>
    </row>
    <row r="2080" spans="4:6">
      <c r="D2080" s="48"/>
      <c r="E2080" s="52"/>
      <c r="F2080" s="54"/>
    </row>
    <row r="2081" spans="4:6">
      <c r="D2081" s="48"/>
      <c r="E2081" s="52"/>
      <c r="F2081" s="54"/>
    </row>
    <row r="2082" spans="4:6">
      <c r="D2082" s="48"/>
      <c r="E2082" s="52"/>
      <c r="F2082" s="54"/>
    </row>
    <row r="2083" spans="4:6">
      <c r="D2083" s="48"/>
      <c r="E2083" s="52"/>
      <c r="F2083" s="54"/>
    </row>
    <row r="2084" spans="4:6">
      <c r="D2084" s="48"/>
      <c r="E2084" s="52"/>
      <c r="F2084" s="54"/>
    </row>
    <row r="2085" spans="4:6">
      <c r="D2085" s="48"/>
      <c r="E2085" s="52"/>
      <c r="F2085" s="54"/>
    </row>
    <row r="2086" spans="4:6">
      <c r="D2086" s="48"/>
      <c r="E2086" s="52"/>
      <c r="F2086" s="54"/>
    </row>
    <row r="2087" spans="4:6">
      <c r="D2087" s="48"/>
      <c r="E2087" s="52"/>
      <c r="F2087" s="54"/>
    </row>
    <row r="2088" spans="4:6">
      <c r="D2088" s="48"/>
      <c r="E2088" s="52"/>
      <c r="F2088" s="54"/>
    </row>
    <row r="2089" spans="4:6">
      <c r="D2089" s="48"/>
      <c r="E2089" s="52"/>
      <c r="F2089" s="54"/>
    </row>
    <row r="2090" spans="4:6">
      <c r="D2090" s="48"/>
      <c r="E2090" s="52"/>
      <c r="F2090" s="54"/>
    </row>
    <row r="2091" spans="4:6">
      <c r="D2091" s="48"/>
      <c r="E2091" s="52"/>
      <c r="F2091" s="54"/>
    </row>
    <row r="2092" spans="4:6">
      <c r="D2092" s="48"/>
      <c r="E2092" s="52"/>
      <c r="F2092" s="54"/>
    </row>
    <row r="2093" spans="4:6">
      <c r="D2093" s="48"/>
      <c r="E2093" s="52"/>
      <c r="F2093" s="54"/>
    </row>
    <row r="2094" spans="4:6">
      <c r="D2094" s="48"/>
      <c r="E2094" s="52"/>
      <c r="F2094" s="54"/>
    </row>
    <row r="2095" spans="4:6">
      <c r="D2095" s="48"/>
      <c r="E2095" s="52"/>
      <c r="F2095" s="54"/>
    </row>
    <row r="2096" spans="4:6">
      <c r="D2096" s="48"/>
      <c r="E2096" s="52"/>
      <c r="F2096" s="54"/>
    </row>
    <row r="2097" spans="4:6">
      <c r="D2097" s="48"/>
      <c r="E2097" s="52"/>
      <c r="F2097" s="54"/>
    </row>
    <row r="2098" spans="4:6">
      <c r="D2098" s="48"/>
      <c r="E2098" s="52"/>
      <c r="F2098" s="54"/>
    </row>
    <row r="2099" spans="4:6">
      <c r="D2099" s="48"/>
      <c r="E2099" s="52"/>
      <c r="F2099" s="54"/>
    </row>
    <row r="2100" spans="4:6">
      <c r="D2100" s="48"/>
      <c r="E2100" s="52"/>
      <c r="F2100" s="54"/>
    </row>
    <row r="2101" spans="4:6">
      <c r="D2101" s="48"/>
      <c r="E2101" s="52"/>
      <c r="F2101" s="54"/>
    </row>
    <row r="2102" spans="4:6">
      <c r="D2102" s="48"/>
      <c r="E2102" s="52"/>
      <c r="F2102" s="54"/>
    </row>
    <row r="2103" spans="4:6">
      <c r="D2103" s="48"/>
      <c r="E2103" s="52"/>
      <c r="F2103" s="54"/>
    </row>
    <row r="2104" spans="4:6">
      <c r="D2104" s="48"/>
      <c r="E2104" s="52"/>
      <c r="F2104" s="54"/>
    </row>
    <row r="2105" spans="4:6">
      <c r="D2105" s="48"/>
      <c r="E2105" s="52"/>
      <c r="F2105" s="54"/>
    </row>
    <row r="2106" spans="4:6">
      <c r="D2106" s="48"/>
      <c r="E2106" s="52"/>
      <c r="F2106" s="54"/>
    </row>
    <row r="2107" spans="4:6">
      <c r="D2107" s="48"/>
      <c r="E2107" s="52"/>
      <c r="F2107" s="54"/>
    </row>
    <row r="2108" spans="4:6">
      <c r="D2108" s="48"/>
      <c r="E2108" s="52"/>
      <c r="F2108" s="54"/>
    </row>
    <row r="2109" spans="4:6">
      <c r="D2109" s="48"/>
      <c r="E2109" s="52"/>
      <c r="F2109" s="54"/>
    </row>
    <row r="2110" spans="4:6">
      <c r="D2110" s="48"/>
      <c r="E2110" s="52"/>
      <c r="F2110" s="54"/>
    </row>
    <row r="2111" spans="4:6">
      <c r="D2111" s="48"/>
      <c r="E2111" s="52"/>
      <c r="F2111" s="54"/>
    </row>
    <row r="2112" spans="4:6">
      <c r="D2112" s="48"/>
      <c r="E2112" s="52"/>
      <c r="F2112" s="54"/>
    </row>
    <row r="2113" spans="4:6">
      <c r="D2113" s="48"/>
      <c r="E2113" s="52"/>
      <c r="F2113" s="54"/>
    </row>
    <row r="2114" spans="4:6">
      <c r="D2114" s="48"/>
      <c r="E2114" s="52"/>
      <c r="F2114" s="54"/>
    </row>
    <row r="2115" spans="4:6">
      <c r="D2115" s="48"/>
      <c r="E2115" s="52"/>
      <c r="F2115" s="54"/>
    </row>
    <row r="2116" spans="4:6">
      <c r="D2116" s="48"/>
      <c r="E2116" s="52"/>
      <c r="F2116" s="54"/>
    </row>
    <row r="2117" spans="4:6">
      <c r="D2117" s="48"/>
      <c r="E2117" s="52"/>
      <c r="F2117" s="54"/>
    </row>
    <row r="2118" spans="4:6">
      <c r="D2118" s="48"/>
      <c r="E2118" s="52"/>
      <c r="F2118" s="54"/>
    </row>
    <row r="2119" spans="4:6">
      <c r="D2119" s="48"/>
      <c r="E2119" s="52"/>
      <c r="F2119" s="54"/>
    </row>
    <row r="2120" spans="4:6">
      <c r="D2120" s="48"/>
      <c r="E2120" s="52"/>
      <c r="F2120" s="54"/>
    </row>
    <row r="2121" spans="4:6">
      <c r="D2121" s="48"/>
      <c r="E2121" s="52"/>
      <c r="F2121" s="54"/>
    </row>
    <row r="2122" spans="4:6">
      <c r="D2122" s="48"/>
      <c r="E2122" s="52"/>
      <c r="F2122" s="54"/>
    </row>
    <row r="2123" spans="4:6">
      <c r="D2123" s="48"/>
      <c r="E2123" s="52"/>
      <c r="F2123" s="54"/>
    </row>
    <row r="2124" spans="4:6">
      <c r="D2124" s="48"/>
      <c r="E2124" s="52"/>
      <c r="F2124" s="54"/>
    </row>
    <row r="2125" spans="4:6">
      <c r="D2125" s="48"/>
      <c r="E2125" s="52"/>
      <c r="F2125" s="54"/>
    </row>
    <row r="2126" spans="4:6">
      <c r="D2126" s="48"/>
      <c r="E2126" s="52"/>
      <c r="F2126" s="54"/>
    </row>
    <row r="2127" spans="4:6">
      <c r="D2127" s="48"/>
      <c r="E2127" s="52"/>
      <c r="F2127" s="54"/>
    </row>
    <row r="2128" spans="4:6">
      <c r="D2128" s="48"/>
      <c r="E2128" s="52"/>
      <c r="F2128" s="54"/>
    </row>
    <row r="2129" spans="4:6">
      <c r="D2129" s="48"/>
      <c r="E2129" s="52"/>
      <c r="F2129" s="54"/>
    </row>
    <row r="2130" spans="4:6">
      <c r="D2130" s="48"/>
      <c r="E2130" s="52"/>
      <c r="F2130" s="54"/>
    </row>
    <row r="2131" spans="4:6">
      <c r="D2131" s="48"/>
      <c r="E2131" s="52"/>
      <c r="F2131" s="54"/>
    </row>
    <row r="2132" spans="4:6">
      <c r="D2132" s="48"/>
      <c r="E2132" s="52"/>
      <c r="F2132" s="54"/>
    </row>
    <row r="2133" spans="4:6">
      <c r="D2133" s="48"/>
      <c r="E2133" s="52"/>
      <c r="F2133" s="54"/>
    </row>
    <row r="2134" spans="4:6">
      <c r="D2134" s="48"/>
      <c r="E2134" s="52"/>
      <c r="F2134" s="54"/>
    </row>
    <row r="2135" spans="4:6">
      <c r="D2135" s="48"/>
      <c r="E2135" s="52"/>
      <c r="F2135" s="54"/>
    </row>
    <row r="2136" spans="4:6">
      <c r="D2136" s="48"/>
      <c r="E2136" s="52"/>
      <c r="F2136" s="54"/>
    </row>
    <row r="2137" spans="4:6">
      <c r="D2137" s="48"/>
      <c r="E2137" s="52"/>
      <c r="F2137" s="54"/>
    </row>
    <row r="2138" spans="4:6">
      <c r="D2138" s="48"/>
      <c r="E2138" s="52"/>
      <c r="F2138" s="54"/>
    </row>
    <row r="2139" spans="4:6">
      <c r="D2139" s="48"/>
      <c r="E2139" s="52"/>
      <c r="F2139" s="54"/>
    </row>
    <row r="2140" spans="4:6">
      <c r="D2140" s="48"/>
      <c r="E2140" s="52"/>
      <c r="F2140" s="54"/>
    </row>
    <row r="2141" spans="4:6">
      <c r="D2141" s="48"/>
      <c r="E2141" s="52"/>
      <c r="F2141" s="54"/>
    </row>
    <row r="2142" spans="4:6">
      <c r="D2142" s="48"/>
      <c r="E2142" s="52"/>
      <c r="F2142" s="54"/>
    </row>
    <row r="2143" spans="4:6">
      <c r="D2143" s="48"/>
      <c r="E2143" s="52"/>
      <c r="F2143" s="54"/>
    </row>
    <row r="2144" spans="4:6">
      <c r="D2144" s="48"/>
      <c r="E2144" s="52"/>
      <c r="F2144" s="54"/>
    </row>
    <row r="2145" spans="4:6">
      <c r="D2145" s="48"/>
      <c r="E2145" s="52"/>
      <c r="F2145" s="54"/>
    </row>
    <row r="2146" spans="4:6">
      <c r="D2146" s="48"/>
      <c r="E2146" s="52"/>
      <c r="F2146" s="54"/>
    </row>
    <row r="2147" spans="4:6">
      <c r="D2147" s="48"/>
      <c r="E2147" s="52"/>
      <c r="F2147" s="54"/>
    </row>
    <row r="2148" spans="4:6">
      <c r="D2148" s="48"/>
      <c r="E2148" s="52"/>
      <c r="F2148" s="54"/>
    </row>
    <row r="2149" spans="4:6">
      <c r="D2149" s="48"/>
      <c r="E2149" s="52"/>
      <c r="F2149" s="54"/>
    </row>
    <row r="2150" spans="4:6">
      <c r="D2150" s="48"/>
      <c r="E2150" s="52"/>
      <c r="F2150" s="54"/>
    </row>
    <row r="2151" spans="4:6">
      <c r="D2151" s="48"/>
      <c r="E2151" s="52"/>
      <c r="F2151" s="54"/>
    </row>
    <row r="2152" spans="4:6">
      <c r="D2152" s="48"/>
      <c r="E2152" s="52"/>
      <c r="F2152" s="54"/>
    </row>
    <row r="2153" spans="4:6">
      <c r="D2153" s="48"/>
      <c r="E2153" s="52"/>
      <c r="F2153" s="54"/>
    </row>
    <row r="2154" spans="4:6">
      <c r="D2154" s="48"/>
      <c r="E2154" s="52"/>
      <c r="F2154" s="54"/>
    </row>
    <row r="2155" spans="4:6">
      <c r="D2155" s="48"/>
      <c r="E2155" s="52"/>
      <c r="F2155" s="54"/>
    </row>
    <row r="2156" spans="4:6">
      <c r="D2156" s="48"/>
      <c r="E2156" s="52"/>
      <c r="F2156" s="54"/>
    </row>
    <row r="2157" spans="4:6">
      <c r="D2157" s="48"/>
      <c r="E2157" s="52"/>
      <c r="F2157" s="54"/>
    </row>
    <row r="2158" spans="4:6">
      <c r="D2158" s="48"/>
      <c r="E2158" s="52"/>
      <c r="F2158" s="54"/>
    </row>
    <row r="2159" spans="4:6">
      <c r="D2159" s="48"/>
      <c r="E2159" s="52"/>
      <c r="F2159" s="54"/>
    </row>
    <row r="2160" spans="4:6">
      <c r="D2160" s="48"/>
      <c r="E2160" s="52"/>
      <c r="F2160" s="54"/>
    </row>
    <row r="2161" spans="4:6">
      <c r="D2161" s="48"/>
      <c r="E2161" s="52"/>
      <c r="F2161" s="54"/>
    </row>
    <row r="2162" spans="4:6">
      <c r="D2162" s="48"/>
      <c r="E2162" s="52"/>
      <c r="F2162" s="54"/>
    </row>
    <row r="2163" spans="4:6">
      <c r="D2163" s="48"/>
      <c r="E2163" s="52"/>
      <c r="F2163" s="54"/>
    </row>
    <row r="2164" spans="4:6">
      <c r="D2164" s="48"/>
      <c r="E2164" s="52"/>
      <c r="F2164" s="54"/>
    </row>
    <row r="2165" spans="4:6">
      <c r="D2165" s="48"/>
      <c r="E2165" s="52"/>
      <c r="F2165" s="54"/>
    </row>
    <row r="2166" spans="4:6">
      <c r="D2166" s="48"/>
      <c r="E2166" s="52"/>
      <c r="F2166" s="54"/>
    </row>
    <row r="2167" spans="4:6">
      <c r="D2167" s="48"/>
      <c r="E2167" s="52"/>
      <c r="F2167" s="54"/>
    </row>
    <row r="2168" spans="4:6">
      <c r="D2168" s="48"/>
      <c r="E2168" s="52"/>
      <c r="F2168" s="54"/>
    </row>
    <row r="2169" spans="4:6">
      <c r="D2169" s="48"/>
      <c r="E2169" s="52"/>
      <c r="F2169" s="54"/>
    </row>
    <row r="2170" spans="4:6">
      <c r="D2170" s="48"/>
      <c r="E2170" s="52"/>
      <c r="F2170" s="54"/>
    </row>
    <row r="2171" spans="4:6">
      <c r="D2171" s="48"/>
      <c r="E2171" s="52"/>
      <c r="F2171" s="54"/>
    </row>
    <row r="2172" spans="4:6">
      <c r="D2172" s="48"/>
      <c r="E2172" s="52"/>
      <c r="F2172" s="54"/>
    </row>
    <row r="2173" spans="4:6">
      <c r="D2173" s="48"/>
      <c r="E2173" s="52"/>
      <c r="F2173" s="54"/>
    </row>
    <row r="2174" spans="4:6">
      <c r="D2174" s="48"/>
      <c r="E2174" s="52"/>
      <c r="F2174" s="54"/>
    </row>
    <row r="2175" spans="4:6">
      <c r="D2175" s="48"/>
      <c r="E2175" s="52"/>
      <c r="F2175" s="54"/>
    </row>
    <row r="2176" spans="4:6">
      <c r="D2176" s="48"/>
      <c r="E2176" s="52"/>
      <c r="F2176" s="54"/>
    </row>
    <row r="2177" spans="4:6">
      <c r="D2177" s="48"/>
      <c r="E2177" s="52"/>
      <c r="F2177" s="54"/>
    </row>
    <row r="2178" spans="4:6">
      <c r="D2178" s="48"/>
      <c r="E2178" s="52"/>
      <c r="F2178" s="54"/>
    </row>
    <row r="2179" spans="4:6">
      <c r="D2179" s="48"/>
      <c r="E2179" s="52"/>
      <c r="F2179" s="54"/>
    </row>
    <row r="2180" spans="4:6">
      <c r="D2180" s="48"/>
      <c r="E2180" s="52"/>
      <c r="F2180" s="54"/>
    </row>
    <row r="2181" spans="4:6">
      <c r="D2181" s="48"/>
      <c r="E2181" s="52"/>
      <c r="F2181" s="54"/>
    </row>
    <row r="2182" spans="4:6">
      <c r="D2182" s="48"/>
      <c r="E2182" s="52"/>
      <c r="F2182" s="54"/>
    </row>
    <row r="2183" spans="4:6">
      <c r="D2183" s="48"/>
      <c r="E2183" s="52"/>
      <c r="F2183" s="54"/>
    </row>
    <row r="2184" spans="4:6">
      <c r="D2184" s="48"/>
      <c r="E2184" s="52"/>
      <c r="F2184" s="54"/>
    </row>
    <row r="2185" spans="4:6">
      <c r="D2185" s="48"/>
      <c r="E2185" s="52"/>
      <c r="F2185" s="54"/>
    </row>
    <row r="2186" spans="4:6">
      <c r="D2186" s="48"/>
      <c r="E2186" s="52"/>
      <c r="F2186" s="54"/>
    </row>
    <row r="2187" spans="4:6">
      <c r="D2187" s="48"/>
      <c r="E2187" s="52"/>
      <c r="F2187" s="54"/>
    </row>
    <row r="2188" spans="4:6">
      <c r="D2188" s="48"/>
      <c r="E2188" s="52"/>
      <c r="F2188" s="54"/>
    </row>
    <row r="2189" spans="4:6">
      <c r="D2189" s="48"/>
      <c r="E2189" s="52"/>
      <c r="F2189" s="54"/>
    </row>
    <row r="2190" spans="4:6">
      <c r="D2190" s="48"/>
      <c r="E2190" s="52"/>
      <c r="F2190" s="54"/>
    </row>
    <row r="2191" spans="4:6">
      <c r="D2191" s="48"/>
      <c r="E2191" s="52"/>
      <c r="F2191" s="54"/>
    </row>
    <row r="2192" spans="4:6">
      <c r="D2192" s="48"/>
      <c r="E2192" s="52"/>
      <c r="F2192" s="54"/>
    </row>
    <row r="2193" spans="4:6">
      <c r="D2193" s="48"/>
      <c r="E2193" s="52"/>
      <c r="F2193" s="54"/>
    </row>
    <row r="2194" spans="4:6">
      <c r="D2194" s="48"/>
      <c r="E2194" s="52"/>
      <c r="F2194" s="54"/>
    </row>
    <row r="2195" spans="4:6">
      <c r="D2195" s="48"/>
      <c r="E2195" s="52"/>
      <c r="F2195" s="54"/>
    </row>
    <row r="2196" spans="4:6">
      <c r="D2196" s="48"/>
      <c r="E2196" s="52"/>
      <c r="F2196" s="54"/>
    </row>
    <row r="2197" spans="4:6">
      <c r="D2197" s="48"/>
      <c r="E2197" s="52"/>
      <c r="F2197" s="54"/>
    </row>
    <row r="2198" spans="4:6">
      <c r="D2198" s="48"/>
      <c r="E2198" s="52"/>
      <c r="F2198" s="54"/>
    </row>
    <row r="2199" spans="4:6">
      <c r="D2199" s="48"/>
      <c r="E2199" s="52"/>
      <c r="F2199" s="54"/>
    </row>
    <row r="2200" spans="4:6">
      <c r="D2200" s="48"/>
      <c r="E2200" s="52"/>
      <c r="F2200" s="54"/>
    </row>
    <row r="2201" spans="4:6">
      <c r="D2201" s="48"/>
      <c r="E2201" s="52"/>
      <c r="F2201" s="54"/>
    </row>
    <row r="2202" spans="4:6">
      <c r="D2202" s="48"/>
      <c r="E2202" s="52"/>
      <c r="F2202" s="54"/>
    </row>
    <row r="2203" spans="4:6">
      <c r="D2203" s="48"/>
      <c r="E2203" s="52"/>
      <c r="F2203" s="54"/>
    </row>
    <row r="2204" spans="4:6">
      <c r="D2204" s="48"/>
      <c r="E2204" s="52"/>
      <c r="F2204" s="54"/>
    </row>
    <row r="2205" spans="4:6">
      <c r="D2205" s="48"/>
      <c r="E2205" s="52"/>
      <c r="F2205" s="54"/>
    </row>
    <row r="2206" spans="4:6">
      <c r="D2206" s="48"/>
      <c r="E2206" s="52"/>
      <c r="F2206" s="54"/>
    </row>
    <row r="2207" spans="4:6">
      <c r="D2207" s="48"/>
      <c r="E2207" s="52"/>
      <c r="F2207" s="54"/>
    </row>
    <row r="2208" spans="4:6">
      <c r="D2208" s="48"/>
      <c r="E2208" s="52"/>
      <c r="F2208" s="54"/>
    </row>
    <row r="2209" spans="4:6">
      <c r="D2209" s="48"/>
      <c r="E2209" s="52"/>
      <c r="F2209" s="54"/>
    </row>
    <row r="2210" spans="4:6">
      <c r="D2210" s="48"/>
      <c r="E2210" s="52"/>
      <c r="F2210" s="54"/>
    </row>
    <row r="2211" spans="4:6">
      <c r="D2211" s="48"/>
      <c r="E2211" s="52"/>
      <c r="F2211" s="54"/>
    </row>
    <row r="2212" spans="4:6">
      <c r="D2212" s="48"/>
      <c r="E2212" s="52"/>
      <c r="F2212" s="54"/>
    </row>
    <row r="2213" spans="4:6">
      <c r="D2213" s="48"/>
      <c r="E2213" s="52"/>
      <c r="F2213" s="54"/>
    </row>
    <row r="2214" spans="4:6">
      <c r="D2214" s="48"/>
      <c r="E2214" s="52"/>
      <c r="F2214" s="54"/>
    </row>
    <row r="2215" spans="4:6">
      <c r="D2215" s="48"/>
      <c r="E2215" s="52"/>
      <c r="F2215" s="54"/>
    </row>
    <row r="2216" spans="4:6">
      <c r="D2216" s="48"/>
      <c r="E2216" s="52"/>
      <c r="F2216" s="54"/>
    </row>
    <row r="2217" spans="4:6">
      <c r="D2217" s="48"/>
      <c r="E2217" s="52"/>
      <c r="F2217" s="54"/>
    </row>
    <row r="2218" spans="4:6">
      <c r="D2218" s="48"/>
      <c r="E2218" s="52"/>
      <c r="F2218" s="54"/>
    </row>
    <row r="2219" spans="4:6">
      <c r="D2219" s="48"/>
      <c r="E2219" s="52"/>
      <c r="F2219" s="54"/>
    </row>
    <row r="2220" spans="4:6">
      <c r="D2220" s="48"/>
      <c r="E2220" s="52"/>
      <c r="F2220" s="54"/>
    </row>
    <row r="2221" spans="4:6">
      <c r="D2221" s="48"/>
      <c r="E2221" s="52"/>
      <c r="F2221" s="54"/>
    </row>
    <row r="2222" spans="4:6">
      <c r="D2222" s="48"/>
      <c r="E2222" s="52"/>
      <c r="F2222" s="54"/>
    </row>
    <row r="2223" spans="4:6">
      <c r="D2223" s="48"/>
      <c r="E2223" s="52"/>
      <c r="F2223" s="54"/>
    </row>
    <row r="2224" spans="4:6">
      <c r="D2224" s="48"/>
      <c r="E2224" s="52"/>
      <c r="F2224" s="54"/>
    </row>
    <row r="2225" spans="4:6">
      <c r="D2225" s="48"/>
      <c r="E2225" s="52"/>
      <c r="F2225" s="54"/>
    </row>
    <row r="2226" spans="4:6">
      <c r="D2226" s="48"/>
      <c r="E2226" s="52"/>
      <c r="F2226" s="54"/>
    </row>
    <row r="2227" spans="4:6">
      <c r="D2227" s="48"/>
      <c r="E2227" s="52"/>
      <c r="F2227" s="54"/>
    </row>
    <row r="2228" spans="4:6">
      <c r="D2228" s="48"/>
      <c r="E2228" s="52"/>
      <c r="F2228" s="54"/>
    </row>
    <row r="2229" spans="4:6">
      <c r="D2229" s="48"/>
      <c r="E2229" s="52"/>
      <c r="F2229" s="54"/>
    </row>
    <row r="2230" spans="4:6">
      <c r="D2230" s="48"/>
      <c r="E2230" s="52"/>
      <c r="F2230" s="54"/>
    </row>
    <row r="2231" spans="4:6">
      <c r="D2231" s="48"/>
      <c r="E2231" s="52"/>
      <c r="F2231" s="54"/>
    </row>
    <row r="2232" spans="4:6">
      <c r="D2232" s="48"/>
      <c r="E2232" s="52"/>
      <c r="F2232" s="54"/>
    </row>
    <row r="2233" spans="4:6">
      <c r="D2233" s="48"/>
      <c r="E2233" s="52"/>
      <c r="F2233" s="54"/>
    </row>
    <row r="2234" spans="4:6">
      <c r="D2234" s="48"/>
      <c r="E2234" s="52"/>
      <c r="F2234" s="54"/>
    </row>
    <row r="2235" spans="4:6">
      <c r="D2235" s="48"/>
      <c r="E2235" s="52"/>
      <c r="F2235" s="54"/>
    </row>
    <row r="2236" spans="4:6">
      <c r="D2236" s="48"/>
      <c r="E2236" s="52"/>
      <c r="F2236" s="54"/>
    </row>
    <row r="2237" spans="4:6">
      <c r="D2237" s="48"/>
      <c r="E2237" s="52"/>
      <c r="F2237" s="54"/>
    </row>
    <row r="2238" spans="4:6">
      <c r="D2238" s="48"/>
      <c r="E2238" s="52"/>
      <c r="F2238" s="54"/>
    </row>
    <row r="2239" spans="4:6">
      <c r="D2239" s="48"/>
      <c r="E2239" s="52"/>
      <c r="F2239" s="54"/>
    </row>
    <row r="2240" spans="4:6">
      <c r="D2240" s="48"/>
      <c r="E2240" s="52"/>
      <c r="F2240" s="54"/>
    </row>
    <row r="2241" spans="4:6">
      <c r="D2241" s="48"/>
      <c r="E2241" s="52"/>
      <c r="F2241" s="54"/>
    </row>
    <row r="2242" spans="4:6">
      <c r="D2242" s="48"/>
      <c r="E2242" s="52"/>
      <c r="F2242" s="54"/>
    </row>
    <row r="2243" spans="4:6">
      <c r="D2243" s="48"/>
      <c r="E2243" s="52"/>
      <c r="F2243" s="54"/>
    </row>
    <row r="2244" spans="4:6">
      <c r="D2244" s="48"/>
      <c r="E2244" s="52"/>
      <c r="F2244" s="54"/>
    </row>
    <row r="2245" spans="4:6">
      <c r="D2245" s="48"/>
      <c r="E2245" s="52"/>
      <c r="F2245" s="54"/>
    </row>
    <row r="2246" spans="4:6">
      <c r="D2246" s="48"/>
      <c r="E2246" s="52"/>
      <c r="F2246" s="54"/>
    </row>
    <row r="2247" spans="4:6">
      <c r="D2247" s="48"/>
      <c r="E2247" s="52"/>
      <c r="F2247" s="54"/>
    </row>
    <row r="2248" spans="4:6">
      <c r="D2248" s="48"/>
      <c r="E2248" s="52"/>
      <c r="F2248" s="54"/>
    </row>
    <row r="2249" spans="4:6">
      <c r="D2249" s="48"/>
      <c r="E2249" s="52"/>
      <c r="F2249" s="54"/>
    </row>
    <row r="2250" spans="4:6">
      <c r="D2250" s="48"/>
      <c r="E2250" s="52"/>
      <c r="F2250" s="54"/>
    </row>
    <row r="2251" spans="4:6">
      <c r="D2251" s="48"/>
      <c r="E2251" s="52"/>
      <c r="F2251" s="54"/>
    </row>
    <row r="2252" spans="4:6">
      <c r="D2252" s="48"/>
      <c r="E2252" s="52"/>
      <c r="F2252" s="54"/>
    </row>
    <row r="2253" spans="4:6">
      <c r="D2253" s="48"/>
      <c r="E2253" s="52"/>
      <c r="F2253" s="54"/>
    </row>
    <row r="2254" spans="4:6">
      <c r="D2254" s="48"/>
      <c r="E2254" s="52"/>
      <c r="F2254" s="54"/>
    </row>
    <row r="2255" spans="4:6">
      <c r="D2255" s="48"/>
      <c r="E2255" s="52"/>
      <c r="F2255" s="54"/>
    </row>
    <row r="2256" spans="4:6">
      <c r="D2256" s="48"/>
      <c r="E2256" s="52"/>
      <c r="F2256" s="54"/>
    </row>
    <row r="2257" spans="4:6">
      <c r="D2257" s="48"/>
      <c r="E2257" s="52"/>
      <c r="F2257" s="54"/>
    </row>
    <row r="2258" spans="4:6">
      <c r="D2258" s="48"/>
      <c r="E2258" s="52"/>
      <c r="F2258" s="54"/>
    </row>
    <row r="2259" spans="4:6">
      <c r="D2259" s="48"/>
      <c r="E2259" s="52"/>
      <c r="F2259" s="54"/>
    </row>
    <row r="2260" spans="4:6">
      <c r="D2260" s="48"/>
      <c r="E2260" s="52"/>
      <c r="F2260" s="54"/>
    </row>
    <row r="2261" spans="4:6">
      <c r="D2261" s="48"/>
      <c r="E2261" s="52"/>
      <c r="F2261" s="54"/>
    </row>
    <row r="2262" spans="4:6">
      <c r="D2262" s="48"/>
      <c r="E2262" s="52"/>
      <c r="F2262" s="54"/>
    </row>
    <row r="2263" spans="4:6">
      <c r="D2263" s="48"/>
      <c r="E2263" s="52"/>
      <c r="F2263" s="54"/>
    </row>
    <row r="2264" spans="4:6">
      <c r="D2264" s="48"/>
      <c r="E2264" s="52"/>
      <c r="F2264" s="54"/>
    </row>
    <row r="2265" spans="4:6">
      <c r="D2265" s="48"/>
      <c r="E2265" s="52"/>
      <c r="F2265" s="54"/>
    </row>
    <row r="2266" spans="4:6">
      <c r="D2266" s="48"/>
      <c r="E2266" s="52"/>
      <c r="F2266" s="54"/>
    </row>
    <row r="2267" spans="4:6">
      <c r="D2267" s="48"/>
      <c r="E2267" s="52"/>
      <c r="F2267" s="54"/>
    </row>
    <row r="2268" spans="4:6">
      <c r="D2268" s="48"/>
      <c r="E2268" s="52"/>
      <c r="F2268" s="54"/>
    </row>
    <row r="2269" spans="4:6">
      <c r="D2269" s="48"/>
      <c r="E2269" s="52"/>
      <c r="F2269" s="54"/>
    </row>
    <row r="2270" spans="4:6">
      <c r="D2270" s="48"/>
      <c r="E2270" s="52"/>
      <c r="F2270" s="54"/>
    </row>
    <row r="2271" spans="4:6">
      <c r="D2271" s="48"/>
      <c r="E2271" s="52"/>
      <c r="F2271" s="54"/>
    </row>
    <row r="2272" spans="4:6">
      <c r="D2272" s="48"/>
      <c r="E2272" s="52"/>
      <c r="F2272" s="54"/>
    </row>
    <row r="2273" spans="4:6">
      <c r="D2273" s="48"/>
      <c r="E2273" s="52"/>
      <c r="F2273" s="54"/>
    </row>
    <row r="2274" spans="4:6">
      <c r="D2274" s="48"/>
      <c r="E2274" s="52"/>
      <c r="F2274" s="54"/>
    </row>
    <row r="2275" spans="4:6">
      <c r="D2275" s="48"/>
      <c r="E2275" s="52"/>
      <c r="F2275" s="54"/>
    </row>
    <row r="2276" spans="4:6">
      <c r="D2276" s="48"/>
      <c r="E2276" s="52"/>
      <c r="F2276" s="54"/>
    </row>
    <row r="2277" spans="4:6">
      <c r="D2277" s="48"/>
      <c r="E2277" s="52"/>
      <c r="F2277" s="54"/>
    </row>
    <row r="2278" spans="4:6">
      <c r="D2278" s="48"/>
      <c r="E2278" s="52"/>
      <c r="F2278" s="54"/>
    </row>
    <row r="2279" spans="4:6">
      <c r="D2279" s="48"/>
      <c r="E2279" s="52"/>
      <c r="F2279" s="54"/>
    </row>
    <row r="2280" spans="4:6">
      <c r="D2280" s="48"/>
      <c r="E2280" s="52"/>
      <c r="F2280" s="54"/>
    </row>
    <row r="2281" spans="4:6">
      <c r="D2281" s="48"/>
      <c r="E2281" s="52"/>
      <c r="F2281" s="54"/>
    </row>
    <row r="2282" spans="4:6">
      <c r="D2282" s="48"/>
      <c r="E2282" s="52"/>
      <c r="F2282" s="54"/>
    </row>
    <row r="2283" spans="4:6">
      <c r="D2283" s="48"/>
      <c r="E2283" s="52"/>
      <c r="F2283" s="54"/>
    </row>
    <row r="2284" spans="4:6">
      <c r="D2284" s="48"/>
      <c r="E2284" s="52"/>
      <c r="F2284" s="54"/>
    </row>
    <row r="2285" spans="4:6">
      <c r="D2285" s="48"/>
      <c r="E2285" s="52"/>
      <c r="F2285" s="54"/>
    </row>
    <row r="2286" spans="4:6">
      <c r="D2286" s="48"/>
      <c r="E2286" s="52"/>
      <c r="F2286" s="54"/>
    </row>
    <row r="2287" spans="4:6">
      <c r="D2287" s="48"/>
      <c r="E2287" s="52"/>
      <c r="F2287" s="54"/>
    </row>
    <row r="2288" spans="4:6">
      <c r="D2288" s="48"/>
      <c r="E2288" s="52"/>
      <c r="F2288" s="54"/>
    </row>
    <row r="2289" spans="4:6">
      <c r="D2289" s="48"/>
      <c r="E2289" s="52"/>
      <c r="F2289" s="54"/>
    </row>
    <row r="2290" spans="4:6">
      <c r="D2290" s="48"/>
      <c r="E2290" s="52"/>
      <c r="F2290" s="54"/>
    </row>
    <row r="2291" spans="4:6">
      <c r="D2291" s="48"/>
      <c r="E2291" s="52"/>
      <c r="F2291" s="54"/>
    </row>
    <row r="2292" spans="4:6">
      <c r="D2292" s="48"/>
      <c r="E2292" s="52"/>
      <c r="F2292" s="54"/>
    </row>
    <row r="2293" spans="4:6">
      <c r="D2293" s="48"/>
      <c r="E2293" s="52"/>
      <c r="F2293" s="54"/>
    </row>
    <row r="2294" spans="4:6">
      <c r="D2294" s="48"/>
      <c r="E2294" s="52"/>
      <c r="F2294" s="54"/>
    </row>
    <row r="2295" spans="4:6">
      <c r="D2295" s="48"/>
      <c r="E2295" s="52"/>
      <c r="F2295" s="54"/>
    </row>
    <row r="2296" spans="4:6">
      <c r="D2296" s="48"/>
      <c r="E2296" s="52"/>
      <c r="F2296" s="54"/>
    </row>
    <row r="2297" spans="4:6">
      <c r="D2297" s="48"/>
      <c r="E2297" s="52"/>
      <c r="F2297" s="54"/>
    </row>
    <row r="2298" spans="4:6">
      <c r="D2298" s="48"/>
      <c r="E2298" s="52"/>
      <c r="F2298" s="54"/>
    </row>
    <row r="2299" spans="4:6">
      <c r="D2299" s="48"/>
      <c r="E2299" s="52"/>
      <c r="F2299" s="54"/>
    </row>
    <row r="2300" spans="4:6">
      <c r="D2300" s="48"/>
      <c r="E2300" s="52"/>
      <c r="F2300" s="54"/>
    </row>
    <row r="2301" spans="4:6">
      <c r="D2301" s="48"/>
      <c r="E2301" s="52"/>
      <c r="F2301" s="54"/>
    </row>
    <row r="2302" spans="4:6">
      <c r="D2302" s="48"/>
      <c r="E2302" s="52"/>
      <c r="F2302" s="54"/>
    </row>
    <row r="2303" spans="4:6">
      <c r="D2303" s="48"/>
      <c r="E2303" s="52"/>
      <c r="F2303" s="54"/>
    </row>
    <row r="2304" spans="4:6">
      <c r="D2304" s="48"/>
      <c r="E2304" s="52"/>
      <c r="F2304" s="54"/>
    </row>
    <row r="2305" spans="4:6">
      <c r="D2305" s="48"/>
      <c r="E2305" s="52"/>
      <c r="F2305" s="54"/>
    </row>
    <row r="2306" spans="4:6">
      <c r="D2306" s="48"/>
      <c r="E2306" s="52"/>
      <c r="F2306" s="54"/>
    </row>
    <row r="2307" spans="4:6">
      <c r="D2307" s="48"/>
      <c r="E2307" s="52"/>
      <c r="F2307" s="54"/>
    </row>
    <row r="2308" spans="4:6">
      <c r="D2308" s="48"/>
      <c r="E2308" s="52"/>
      <c r="F2308" s="54"/>
    </row>
    <row r="2309" spans="4:6">
      <c r="D2309" s="48"/>
      <c r="E2309" s="52"/>
      <c r="F2309" s="54"/>
    </row>
    <row r="2310" spans="4:6">
      <c r="D2310" s="48"/>
      <c r="E2310" s="52"/>
      <c r="F2310" s="54"/>
    </row>
    <row r="2311" spans="4:6">
      <c r="D2311" s="48"/>
      <c r="E2311" s="52"/>
      <c r="F2311" s="54"/>
    </row>
    <row r="2312" spans="4:6">
      <c r="D2312" s="48"/>
      <c r="E2312" s="52"/>
      <c r="F2312" s="54"/>
    </row>
    <row r="2313" spans="4:6">
      <c r="D2313" s="48"/>
      <c r="E2313" s="52"/>
      <c r="F2313" s="54"/>
    </row>
    <row r="2314" spans="4:6">
      <c r="D2314" s="48"/>
      <c r="E2314" s="52"/>
      <c r="F2314" s="54"/>
    </row>
    <row r="2315" spans="4:6">
      <c r="D2315" s="48"/>
      <c r="E2315" s="52"/>
      <c r="F2315" s="54"/>
    </row>
    <row r="2316" spans="4:6">
      <c r="D2316" s="48"/>
      <c r="E2316" s="52"/>
      <c r="F2316" s="54"/>
    </row>
    <row r="2317" spans="4:6">
      <c r="D2317" s="48"/>
      <c r="E2317" s="52"/>
      <c r="F2317" s="54"/>
    </row>
    <row r="2318" spans="4:6">
      <c r="D2318" s="48"/>
      <c r="E2318" s="52"/>
      <c r="F2318" s="54"/>
    </row>
    <row r="2319" spans="4:6">
      <c r="D2319" s="48"/>
      <c r="E2319" s="52"/>
      <c r="F2319" s="54"/>
    </row>
    <row r="2320" spans="4:6">
      <c r="D2320" s="48"/>
      <c r="E2320" s="52"/>
      <c r="F2320" s="54"/>
    </row>
    <row r="2321" spans="4:6">
      <c r="D2321" s="48"/>
      <c r="E2321" s="52"/>
      <c r="F2321" s="54"/>
    </row>
    <row r="2322" spans="4:6">
      <c r="D2322" s="48"/>
      <c r="E2322" s="52"/>
      <c r="F2322" s="54"/>
    </row>
    <row r="2323" spans="4:6">
      <c r="D2323" s="48"/>
      <c r="E2323" s="52"/>
      <c r="F2323" s="54"/>
    </row>
    <row r="2324" spans="4:6">
      <c r="D2324" s="48"/>
      <c r="E2324" s="52"/>
      <c r="F2324" s="54"/>
    </row>
    <row r="2325" spans="4:6">
      <c r="D2325" s="48"/>
      <c r="E2325" s="52"/>
      <c r="F2325" s="54"/>
    </row>
    <row r="2326" spans="4:6">
      <c r="D2326" s="48"/>
      <c r="E2326" s="52"/>
      <c r="F2326" s="54"/>
    </row>
    <row r="2327" spans="4:6">
      <c r="D2327" s="48"/>
      <c r="E2327" s="52"/>
      <c r="F2327" s="54"/>
    </row>
    <row r="2328" spans="4:6">
      <c r="D2328" s="48"/>
      <c r="E2328" s="52"/>
      <c r="F2328" s="54"/>
    </row>
    <row r="2329" spans="4:6">
      <c r="D2329" s="48"/>
      <c r="E2329" s="52"/>
      <c r="F2329" s="54"/>
    </row>
    <row r="2330" spans="4:6">
      <c r="D2330" s="48"/>
      <c r="E2330" s="52"/>
      <c r="F2330" s="54"/>
    </row>
    <row r="2331" spans="4:6">
      <c r="D2331" s="48"/>
      <c r="E2331" s="52"/>
      <c r="F2331" s="54"/>
    </row>
    <row r="2332" spans="4:6">
      <c r="D2332" s="48"/>
      <c r="E2332" s="52"/>
      <c r="F2332" s="54"/>
    </row>
    <row r="2333" spans="4:6">
      <c r="D2333" s="48"/>
      <c r="E2333" s="52"/>
      <c r="F2333" s="54"/>
    </row>
    <row r="2334" spans="4:6">
      <c r="D2334" s="48"/>
      <c r="E2334" s="52"/>
      <c r="F2334" s="54"/>
    </row>
    <row r="2335" spans="4:6">
      <c r="D2335" s="48"/>
      <c r="E2335" s="52"/>
      <c r="F2335" s="54"/>
    </row>
    <row r="2336" spans="4:6">
      <c r="D2336" s="48"/>
      <c r="E2336" s="52"/>
      <c r="F2336" s="54"/>
    </row>
    <row r="2337" spans="4:6">
      <c r="D2337" s="48"/>
      <c r="E2337" s="52"/>
      <c r="F2337" s="54"/>
    </row>
    <row r="2338" spans="4:6">
      <c r="D2338" s="48"/>
      <c r="E2338" s="52"/>
      <c r="F2338" s="54"/>
    </row>
    <row r="2339" spans="4:6">
      <c r="D2339" s="48"/>
      <c r="E2339" s="52"/>
      <c r="F2339" s="54"/>
    </row>
    <row r="2340" spans="4:6">
      <c r="D2340" s="48"/>
      <c r="E2340" s="52"/>
      <c r="F2340" s="54"/>
    </row>
    <row r="2341" spans="4:6">
      <c r="D2341" s="48"/>
      <c r="E2341" s="52"/>
      <c r="F2341" s="54"/>
    </row>
    <row r="2342" spans="4:6">
      <c r="D2342" s="48"/>
      <c r="E2342" s="52"/>
      <c r="F2342" s="54"/>
    </row>
    <row r="2343" spans="4:6">
      <c r="D2343" s="48"/>
      <c r="E2343" s="52"/>
      <c r="F2343" s="54"/>
    </row>
    <row r="2344" spans="4:6">
      <c r="D2344" s="48"/>
      <c r="E2344" s="52"/>
      <c r="F2344" s="54"/>
    </row>
    <row r="2345" spans="4:6">
      <c r="D2345" s="48"/>
      <c r="E2345" s="52"/>
      <c r="F2345" s="54"/>
    </row>
    <row r="2346" spans="4:6">
      <c r="D2346" s="48"/>
      <c r="E2346" s="52"/>
      <c r="F2346" s="54"/>
    </row>
    <row r="2347" spans="4:6">
      <c r="D2347" s="48"/>
      <c r="E2347" s="52"/>
      <c r="F2347" s="54"/>
    </row>
    <row r="2348" spans="4:6">
      <c r="D2348" s="48"/>
      <c r="E2348" s="52"/>
      <c r="F2348" s="54"/>
    </row>
    <row r="2349" spans="4:6">
      <c r="D2349" s="48"/>
      <c r="E2349" s="52"/>
      <c r="F2349" s="54"/>
    </row>
    <row r="2350" spans="4:6">
      <c r="D2350" s="48"/>
      <c r="E2350" s="52"/>
      <c r="F2350" s="54"/>
    </row>
    <row r="2351" spans="4:6">
      <c r="D2351" s="48"/>
      <c r="E2351" s="52"/>
      <c r="F2351" s="54"/>
    </row>
    <row r="2352" spans="4:6">
      <c r="D2352" s="48"/>
      <c r="E2352" s="52"/>
      <c r="F2352" s="54"/>
    </row>
    <row r="2353" spans="4:6">
      <c r="D2353" s="48"/>
      <c r="E2353" s="52"/>
      <c r="F2353" s="54"/>
    </row>
    <row r="2354" spans="4:6">
      <c r="D2354" s="48"/>
      <c r="E2354" s="52"/>
      <c r="F2354" s="54"/>
    </row>
    <row r="2355" spans="4:6">
      <c r="D2355" s="48"/>
      <c r="E2355" s="52"/>
      <c r="F2355" s="54"/>
    </row>
    <row r="2356" spans="4:6">
      <c r="D2356" s="48"/>
      <c r="E2356" s="52"/>
      <c r="F2356" s="54"/>
    </row>
    <row r="2357" spans="4:6">
      <c r="D2357" s="48"/>
      <c r="E2357" s="52"/>
      <c r="F2357" s="54"/>
    </row>
    <row r="2358" spans="4:6">
      <c r="D2358" s="48"/>
      <c r="E2358" s="52"/>
      <c r="F2358" s="54"/>
    </row>
    <row r="2359" spans="4:6">
      <c r="D2359" s="48"/>
      <c r="E2359" s="52"/>
      <c r="F2359" s="54"/>
    </row>
    <row r="2360" spans="4:6">
      <c r="D2360" s="48"/>
      <c r="E2360" s="52"/>
      <c r="F2360" s="54"/>
    </row>
    <row r="2361" spans="4:6">
      <c r="D2361" s="48"/>
      <c r="E2361" s="52"/>
      <c r="F2361" s="54"/>
    </row>
    <row r="2362" spans="4:6">
      <c r="D2362" s="48"/>
      <c r="E2362" s="52"/>
      <c r="F2362" s="54"/>
    </row>
    <row r="2363" spans="4:6">
      <c r="D2363" s="48"/>
      <c r="E2363" s="52"/>
      <c r="F2363" s="54"/>
    </row>
    <row r="2364" spans="4:6">
      <c r="D2364" s="48"/>
      <c r="E2364" s="52"/>
      <c r="F2364" s="54"/>
    </row>
    <row r="2365" spans="4:6">
      <c r="D2365" s="48"/>
      <c r="E2365" s="52"/>
      <c r="F2365" s="54"/>
    </row>
    <row r="2366" spans="4:6">
      <c r="D2366" s="48"/>
      <c r="E2366" s="52"/>
      <c r="F2366" s="54"/>
    </row>
    <row r="2367" spans="4:6">
      <c r="D2367" s="48"/>
      <c r="E2367" s="52"/>
      <c r="F2367" s="54"/>
    </row>
    <row r="2368" spans="4:6">
      <c r="D2368" s="48"/>
      <c r="E2368" s="52"/>
      <c r="F2368" s="54"/>
    </row>
    <row r="2369" spans="4:6">
      <c r="D2369" s="48"/>
      <c r="E2369" s="52"/>
      <c r="F2369" s="54"/>
    </row>
    <row r="2370" spans="4:6">
      <c r="D2370" s="48"/>
      <c r="E2370" s="52"/>
      <c r="F2370" s="54"/>
    </row>
    <row r="2371" spans="4:6">
      <c r="D2371" s="48"/>
      <c r="E2371" s="52"/>
      <c r="F2371" s="54"/>
    </row>
    <row r="2372" spans="4:6">
      <c r="D2372" s="48"/>
      <c r="E2372" s="52"/>
      <c r="F2372" s="54"/>
    </row>
    <row r="2373" spans="4:6">
      <c r="D2373" s="48"/>
      <c r="E2373" s="52"/>
      <c r="F2373" s="54"/>
    </row>
    <row r="2374" spans="4:6">
      <c r="D2374" s="48"/>
      <c r="E2374" s="52"/>
      <c r="F2374" s="54"/>
    </row>
    <row r="2375" spans="4:6">
      <c r="D2375" s="48"/>
      <c r="E2375" s="52"/>
      <c r="F2375" s="54"/>
    </row>
    <row r="2376" spans="4:6">
      <c r="D2376" s="48"/>
      <c r="E2376" s="52"/>
      <c r="F2376" s="54"/>
    </row>
    <row r="2377" spans="4:6">
      <c r="D2377" s="48"/>
      <c r="E2377" s="52"/>
      <c r="F2377" s="54"/>
    </row>
    <row r="2378" spans="4:6">
      <c r="D2378" s="48"/>
      <c r="E2378" s="52"/>
      <c r="F2378" s="54"/>
    </row>
    <row r="2379" spans="4:6">
      <c r="D2379" s="48"/>
      <c r="E2379" s="52"/>
      <c r="F2379" s="54"/>
    </row>
    <row r="2380" spans="4:6">
      <c r="D2380" s="48"/>
      <c r="E2380" s="52"/>
      <c r="F2380" s="54"/>
    </row>
    <row r="2381" spans="4:6">
      <c r="D2381" s="48"/>
      <c r="E2381" s="52"/>
      <c r="F2381" s="54"/>
    </row>
    <row r="2382" spans="4:6">
      <c r="D2382" s="48"/>
      <c r="E2382" s="52"/>
      <c r="F2382" s="54"/>
    </row>
    <row r="2383" spans="4:6">
      <c r="D2383" s="48"/>
      <c r="E2383" s="52"/>
      <c r="F2383" s="54"/>
    </row>
    <row r="2384" spans="4:6">
      <c r="D2384" s="48"/>
      <c r="E2384" s="52"/>
      <c r="F2384" s="54"/>
    </row>
    <row r="2385" spans="4:6">
      <c r="D2385" s="48"/>
      <c r="E2385" s="52"/>
      <c r="F2385" s="54"/>
    </row>
    <row r="2386" spans="4:6">
      <c r="D2386" s="48"/>
      <c r="E2386" s="52"/>
      <c r="F2386" s="54"/>
    </row>
    <row r="2387" spans="4:6">
      <c r="D2387" s="48"/>
      <c r="E2387" s="52"/>
      <c r="F2387" s="54"/>
    </row>
    <row r="2388" spans="4:6">
      <c r="D2388" s="48"/>
      <c r="E2388" s="52"/>
      <c r="F2388" s="54"/>
    </row>
    <row r="2389" spans="4:6">
      <c r="D2389" s="48"/>
      <c r="E2389" s="52"/>
      <c r="F2389" s="54"/>
    </row>
    <row r="2390" spans="4:6">
      <c r="D2390" s="48"/>
      <c r="E2390" s="52"/>
      <c r="F2390" s="54"/>
    </row>
    <row r="2391" spans="4:6">
      <c r="D2391" s="48"/>
      <c r="E2391" s="52"/>
      <c r="F2391" s="54"/>
    </row>
    <row r="2392" spans="4:6">
      <c r="D2392" s="48"/>
      <c r="E2392" s="52"/>
      <c r="F2392" s="54"/>
    </row>
    <row r="2393" spans="4:6">
      <c r="D2393" s="48"/>
      <c r="E2393" s="52"/>
      <c r="F2393" s="54"/>
    </row>
    <row r="2394" spans="4:6">
      <c r="D2394" s="48"/>
      <c r="E2394" s="52"/>
      <c r="F2394" s="54"/>
    </row>
    <row r="2395" spans="4:6">
      <c r="D2395" s="48"/>
      <c r="E2395" s="52"/>
      <c r="F2395" s="54"/>
    </row>
    <row r="2396" spans="4:6">
      <c r="D2396" s="48"/>
      <c r="E2396" s="52"/>
      <c r="F2396" s="54"/>
    </row>
    <row r="2397" spans="4:6">
      <c r="D2397" s="48"/>
      <c r="E2397" s="52"/>
      <c r="F2397" s="54"/>
    </row>
    <row r="2398" spans="4:6">
      <c r="D2398" s="48"/>
      <c r="E2398" s="52"/>
      <c r="F2398" s="54"/>
    </row>
    <row r="2399" spans="4:6">
      <c r="D2399" s="48"/>
      <c r="E2399" s="52"/>
      <c r="F2399" s="54"/>
    </row>
    <row r="2400" spans="4:6">
      <c r="D2400" s="48"/>
      <c r="E2400" s="52"/>
      <c r="F2400" s="54"/>
    </row>
    <row r="2401" spans="4:6">
      <c r="D2401" s="48"/>
      <c r="E2401" s="52"/>
      <c r="F2401" s="54"/>
    </row>
    <row r="2402" spans="4:6">
      <c r="D2402" s="48"/>
      <c r="E2402" s="52"/>
      <c r="F2402" s="54"/>
    </row>
    <row r="2403" spans="4:6">
      <c r="D2403" s="48"/>
      <c r="E2403" s="52"/>
      <c r="F2403" s="54"/>
    </row>
    <row r="2404" spans="4:6">
      <c r="D2404" s="48"/>
      <c r="E2404" s="52"/>
      <c r="F2404" s="54"/>
    </row>
    <row r="2405" spans="4:6">
      <c r="D2405" s="48"/>
      <c r="E2405" s="52"/>
      <c r="F2405" s="54"/>
    </row>
    <row r="2406" spans="4:6">
      <c r="D2406" s="48"/>
      <c r="E2406" s="52"/>
      <c r="F2406" s="54"/>
    </row>
    <row r="2407" spans="4:6">
      <c r="D2407" s="48"/>
      <c r="E2407" s="52"/>
      <c r="F2407" s="54"/>
    </row>
    <row r="2408" spans="4:6">
      <c r="D2408" s="48"/>
      <c r="E2408" s="52"/>
      <c r="F2408" s="54"/>
    </row>
    <row r="2409" spans="4:6">
      <c r="D2409" s="48"/>
      <c r="E2409" s="52"/>
      <c r="F2409" s="54"/>
    </row>
    <row r="2410" spans="4:6">
      <c r="D2410" s="48"/>
      <c r="E2410" s="52"/>
      <c r="F2410" s="54"/>
    </row>
    <row r="2411" spans="4:6">
      <c r="D2411" s="48"/>
      <c r="E2411" s="52"/>
      <c r="F2411" s="54"/>
    </row>
    <row r="2412" spans="4:6">
      <c r="D2412" s="48"/>
      <c r="E2412" s="52"/>
      <c r="F2412" s="54"/>
    </row>
    <row r="2413" spans="4:6">
      <c r="D2413" s="48"/>
      <c r="E2413" s="52"/>
      <c r="F2413" s="54"/>
    </row>
    <row r="2414" spans="4:6">
      <c r="D2414" s="48"/>
      <c r="E2414" s="52"/>
      <c r="F2414" s="54"/>
    </row>
    <row r="2415" spans="4:6">
      <c r="D2415" s="48"/>
      <c r="E2415" s="52"/>
      <c r="F2415" s="54"/>
    </row>
    <row r="2416" spans="4:6">
      <c r="D2416" s="48"/>
      <c r="E2416" s="52"/>
      <c r="F2416" s="54"/>
    </row>
    <row r="2417" spans="4:6">
      <c r="D2417" s="48"/>
      <c r="E2417" s="52"/>
      <c r="F2417" s="54"/>
    </row>
    <row r="2418" spans="4:6">
      <c r="D2418" s="48"/>
      <c r="E2418" s="52"/>
      <c r="F2418" s="54"/>
    </row>
    <row r="2419" spans="4:6">
      <c r="D2419" s="48"/>
      <c r="E2419" s="52"/>
      <c r="F2419" s="54"/>
    </row>
    <row r="2420" spans="4:6">
      <c r="D2420" s="48"/>
      <c r="E2420" s="52"/>
      <c r="F2420" s="54"/>
    </row>
    <row r="2421" spans="4:6">
      <c r="D2421" s="48"/>
      <c r="E2421" s="52"/>
      <c r="F2421" s="54"/>
    </row>
    <row r="2422" spans="4:6">
      <c r="D2422" s="48"/>
      <c r="E2422" s="52"/>
      <c r="F2422" s="54"/>
    </row>
    <row r="2423" spans="4:6">
      <c r="D2423" s="48"/>
      <c r="E2423" s="52"/>
      <c r="F2423" s="54"/>
    </row>
    <row r="2424" spans="4:6">
      <c r="D2424" s="48"/>
      <c r="E2424" s="52"/>
      <c r="F2424" s="54"/>
    </row>
    <row r="2425" spans="4:6">
      <c r="D2425" s="48"/>
      <c r="E2425" s="52"/>
      <c r="F2425" s="54"/>
    </row>
    <row r="2426" spans="4:6">
      <c r="D2426" s="48"/>
      <c r="E2426" s="52"/>
      <c r="F2426" s="54"/>
    </row>
    <row r="2427" spans="4:6">
      <c r="D2427" s="48"/>
      <c r="E2427" s="52"/>
      <c r="F2427" s="54"/>
    </row>
    <row r="2428" spans="4:6">
      <c r="D2428" s="48"/>
      <c r="E2428" s="52"/>
      <c r="F2428" s="54"/>
    </row>
    <row r="2429" spans="4:6">
      <c r="D2429" s="48"/>
      <c r="E2429" s="52"/>
      <c r="F2429" s="54"/>
    </row>
    <row r="2430" spans="4:6">
      <c r="D2430" s="48"/>
      <c r="E2430" s="52"/>
      <c r="F2430" s="54"/>
    </row>
    <row r="2431" spans="4:6">
      <c r="D2431" s="48"/>
      <c r="E2431" s="52"/>
      <c r="F2431" s="54"/>
    </row>
    <row r="2432" spans="4:6">
      <c r="D2432" s="48"/>
      <c r="E2432" s="52"/>
      <c r="F2432" s="54"/>
    </row>
    <row r="2433" spans="4:6">
      <c r="D2433" s="48"/>
      <c r="E2433" s="52"/>
      <c r="F2433" s="54"/>
    </row>
    <row r="2434" spans="4:6">
      <c r="D2434" s="48"/>
      <c r="E2434" s="52"/>
      <c r="F2434" s="54"/>
    </row>
    <row r="2435" spans="4:6">
      <c r="D2435" s="48"/>
      <c r="E2435" s="52"/>
      <c r="F2435" s="54"/>
    </row>
    <row r="2436" spans="4:6">
      <c r="D2436" s="48"/>
      <c r="E2436" s="52"/>
      <c r="F2436" s="54"/>
    </row>
    <row r="2437" spans="4:6">
      <c r="D2437" s="48"/>
      <c r="E2437" s="52"/>
      <c r="F2437" s="54"/>
    </row>
    <row r="2438" spans="4:6">
      <c r="D2438" s="48"/>
      <c r="E2438" s="52"/>
      <c r="F2438" s="54"/>
    </row>
    <row r="2439" spans="4:6">
      <c r="D2439" s="48"/>
      <c r="E2439" s="52"/>
      <c r="F2439" s="54"/>
    </row>
    <row r="2440" spans="4:6">
      <c r="D2440" s="48"/>
      <c r="E2440" s="52"/>
      <c r="F2440" s="54"/>
    </row>
    <row r="2441" spans="4:6">
      <c r="D2441" s="48"/>
      <c r="E2441" s="52"/>
      <c r="F2441" s="54"/>
    </row>
    <row r="2442" spans="4:6">
      <c r="D2442" s="48"/>
      <c r="E2442" s="52"/>
      <c r="F2442" s="54"/>
    </row>
    <row r="2443" spans="4:6">
      <c r="D2443" s="48"/>
      <c r="E2443" s="52"/>
      <c r="F2443" s="54"/>
    </row>
    <row r="2444" spans="4:6">
      <c r="D2444" s="48"/>
      <c r="E2444" s="52"/>
      <c r="F2444" s="54"/>
    </row>
    <row r="2445" spans="4:6">
      <c r="D2445" s="48"/>
      <c r="E2445" s="52"/>
      <c r="F2445" s="54"/>
    </row>
    <row r="2446" spans="4:6">
      <c r="D2446" s="48"/>
      <c r="E2446" s="52"/>
      <c r="F2446" s="54"/>
    </row>
    <row r="2447" spans="4:6">
      <c r="D2447" s="48"/>
      <c r="E2447" s="52"/>
      <c r="F2447" s="54"/>
    </row>
    <row r="2448" spans="4:6">
      <c r="D2448" s="48"/>
      <c r="E2448" s="52"/>
      <c r="F2448" s="54"/>
    </row>
    <row r="2449" spans="4:6">
      <c r="D2449" s="48"/>
      <c r="E2449" s="52"/>
      <c r="F2449" s="54"/>
    </row>
    <row r="2450" spans="4:6">
      <c r="D2450" s="48"/>
      <c r="E2450" s="52"/>
      <c r="F2450" s="54"/>
    </row>
    <row r="2451" spans="4:6">
      <c r="D2451" s="48"/>
      <c r="E2451" s="52"/>
      <c r="F2451" s="54"/>
    </row>
    <row r="2452" spans="4:6">
      <c r="D2452" s="48"/>
      <c r="E2452" s="52"/>
      <c r="F2452" s="54"/>
    </row>
    <row r="2453" spans="4:6">
      <c r="D2453" s="48"/>
      <c r="E2453" s="52"/>
      <c r="F2453" s="54"/>
    </row>
    <row r="2454" spans="4:6">
      <c r="D2454" s="48"/>
      <c r="E2454" s="52"/>
      <c r="F2454" s="54"/>
    </row>
    <row r="2455" spans="4:6">
      <c r="D2455" s="48"/>
      <c r="E2455" s="52"/>
      <c r="F2455" s="54"/>
    </row>
    <row r="2456" spans="4:6">
      <c r="D2456" s="48"/>
      <c r="E2456" s="52"/>
      <c r="F2456" s="54"/>
    </row>
    <row r="2457" spans="4:6">
      <c r="D2457" s="48"/>
      <c r="E2457" s="52"/>
      <c r="F2457" s="54"/>
    </row>
    <row r="2458" spans="4:6">
      <c r="D2458" s="48"/>
      <c r="E2458" s="52"/>
      <c r="F2458" s="54"/>
    </row>
    <row r="2459" spans="4:6">
      <c r="D2459" s="48"/>
      <c r="E2459" s="52"/>
      <c r="F2459" s="54"/>
    </row>
    <row r="2460" spans="4:6">
      <c r="D2460" s="48"/>
      <c r="E2460" s="52"/>
      <c r="F2460" s="54"/>
    </row>
    <row r="2461" spans="4:6">
      <c r="D2461" s="48"/>
      <c r="E2461" s="52"/>
      <c r="F2461" s="54"/>
    </row>
    <row r="2462" spans="4:6">
      <c r="D2462" s="48"/>
      <c r="E2462" s="52"/>
      <c r="F2462" s="54"/>
    </row>
    <row r="2463" spans="4:6">
      <c r="D2463" s="48"/>
      <c r="E2463" s="52"/>
      <c r="F2463" s="54"/>
    </row>
    <row r="2464" spans="4:6">
      <c r="D2464" s="48"/>
      <c r="E2464" s="52"/>
      <c r="F2464" s="54"/>
    </row>
    <row r="2465" spans="4:6">
      <c r="D2465" s="48"/>
      <c r="E2465" s="52"/>
      <c r="F2465" s="54"/>
    </row>
    <row r="2466" spans="4:6">
      <c r="D2466" s="48"/>
      <c r="E2466" s="52"/>
      <c r="F2466" s="54"/>
    </row>
    <row r="2467" spans="4:6">
      <c r="D2467" s="48"/>
      <c r="E2467" s="52"/>
      <c r="F2467" s="54"/>
    </row>
    <row r="2468" spans="4:6">
      <c r="D2468" s="48"/>
      <c r="E2468" s="52"/>
      <c r="F2468" s="54"/>
    </row>
    <row r="2469" spans="4:6">
      <c r="D2469" s="48"/>
      <c r="E2469" s="52"/>
      <c r="F2469" s="54"/>
    </row>
    <row r="2470" spans="4:6">
      <c r="D2470" s="48"/>
      <c r="E2470" s="52"/>
      <c r="F2470" s="54"/>
    </row>
    <row r="2471" spans="4:6">
      <c r="D2471" s="48"/>
      <c r="E2471" s="52"/>
      <c r="F2471" s="54"/>
    </row>
    <row r="2472" spans="4:6">
      <c r="D2472" s="48"/>
      <c r="E2472" s="52"/>
      <c r="F2472" s="54"/>
    </row>
    <row r="2473" spans="4:6">
      <c r="D2473" s="48"/>
      <c r="E2473" s="52"/>
      <c r="F2473" s="54"/>
    </row>
    <row r="2474" spans="4:6">
      <c r="D2474" s="48"/>
      <c r="E2474" s="52"/>
      <c r="F2474" s="54"/>
    </row>
    <row r="2475" spans="4:6">
      <c r="D2475" s="48"/>
      <c r="E2475" s="52"/>
      <c r="F2475" s="54"/>
    </row>
    <row r="2476" spans="4:6">
      <c r="D2476" s="48"/>
      <c r="E2476" s="52"/>
      <c r="F2476" s="54"/>
    </row>
    <row r="2477" spans="4:6">
      <c r="D2477" s="48"/>
      <c r="E2477" s="52"/>
      <c r="F2477" s="54"/>
    </row>
    <row r="2478" spans="4:6">
      <c r="D2478" s="48"/>
      <c r="E2478" s="52"/>
      <c r="F2478" s="54"/>
    </row>
    <row r="2479" spans="4:6">
      <c r="D2479" s="48"/>
      <c r="E2479" s="52"/>
      <c r="F2479" s="54"/>
    </row>
    <row r="2480" spans="4:6">
      <c r="D2480" s="48"/>
      <c r="E2480" s="52"/>
      <c r="F2480" s="54"/>
    </row>
    <row r="2481" spans="4:6">
      <c r="D2481" s="48"/>
      <c r="E2481" s="52"/>
      <c r="F2481" s="54"/>
    </row>
    <row r="2482" spans="4:6">
      <c r="D2482" s="48"/>
      <c r="E2482" s="52"/>
      <c r="F2482" s="54"/>
    </row>
    <row r="2483" spans="4:6">
      <c r="D2483" s="48"/>
      <c r="E2483" s="52"/>
      <c r="F2483" s="54"/>
    </row>
    <row r="2484" spans="4:6">
      <c r="D2484" s="48"/>
      <c r="E2484" s="52"/>
      <c r="F2484" s="54"/>
    </row>
    <row r="2485" spans="4:6">
      <c r="D2485" s="48"/>
      <c r="E2485" s="52"/>
      <c r="F2485" s="54"/>
    </row>
    <row r="2486" spans="4:6">
      <c r="D2486" s="48"/>
      <c r="E2486" s="52"/>
      <c r="F2486" s="54"/>
    </row>
    <row r="2487" spans="4:6">
      <c r="D2487" s="48"/>
      <c r="E2487" s="52"/>
      <c r="F2487" s="54"/>
    </row>
    <row r="2488" spans="4:6">
      <c r="D2488" s="48"/>
      <c r="E2488" s="52"/>
      <c r="F2488" s="54"/>
    </row>
    <row r="2489" spans="4:6">
      <c r="D2489" s="48"/>
      <c r="E2489" s="52"/>
      <c r="F2489" s="54"/>
    </row>
    <row r="2490" spans="4:6">
      <c r="D2490" s="48"/>
      <c r="E2490" s="52"/>
      <c r="F2490" s="54"/>
    </row>
    <row r="2491" spans="4:6">
      <c r="D2491" s="48"/>
      <c r="E2491" s="52"/>
      <c r="F2491" s="54"/>
    </row>
    <row r="2492" spans="4:6">
      <c r="D2492" s="48"/>
      <c r="E2492" s="52"/>
      <c r="F2492" s="54"/>
    </row>
    <row r="2493" spans="4:6">
      <c r="D2493" s="48"/>
      <c r="E2493" s="52"/>
      <c r="F2493" s="54"/>
    </row>
    <row r="2494" spans="4:6">
      <c r="D2494" s="48"/>
      <c r="E2494" s="52"/>
      <c r="F2494" s="54"/>
    </row>
    <row r="2495" spans="4:6">
      <c r="D2495" s="48"/>
      <c r="E2495" s="52"/>
      <c r="F2495" s="54"/>
    </row>
    <row r="2496" spans="4:6">
      <c r="D2496" s="48"/>
      <c r="E2496" s="52"/>
      <c r="F2496" s="54"/>
    </row>
    <row r="2497" spans="4:6">
      <c r="D2497" s="48"/>
      <c r="E2497" s="52"/>
      <c r="F2497" s="54"/>
    </row>
    <row r="2498" spans="4:6">
      <c r="D2498" s="48"/>
      <c r="E2498" s="52"/>
      <c r="F2498" s="54"/>
    </row>
    <row r="2499" spans="4:6">
      <c r="D2499" s="48"/>
      <c r="E2499" s="52"/>
      <c r="F2499" s="54"/>
    </row>
    <row r="2500" spans="4:6">
      <c r="D2500" s="48"/>
      <c r="E2500" s="52"/>
      <c r="F2500" s="54"/>
    </row>
    <row r="2501" spans="4:6">
      <c r="D2501" s="48"/>
      <c r="E2501" s="52"/>
      <c r="F2501" s="54"/>
    </row>
    <row r="2502" spans="4:6">
      <c r="D2502" s="48"/>
      <c r="E2502" s="52"/>
      <c r="F2502" s="54"/>
    </row>
    <row r="2503" spans="4:6">
      <c r="D2503" s="48"/>
      <c r="E2503" s="52"/>
      <c r="F2503" s="54"/>
    </row>
    <row r="2504" spans="4:6">
      <c r="D2504" s="48"/>
      <c r="E2504" s="52"/>
      <c r="F2504" s="54"/>
    </row>
    <row r="2505" spans="4:6">
      <c r="D2505" s="48"/>
      <c r="E2505" s="52"/>
      <c r="F2505" s="54"/>
    </row>
    <row r="2506" spans="4:6">
      <c r="D2506" s="48"/>
      <c r="E2506" s="52"/>
      <c r="F2506" s="54"/>
    </row>
    <row r="2507" spans="4:6">
      <c r="D2507" s="48"/>
      <c r="E2507" s="52"/>
      <c r="F2507" s="54"/>
    </row>
    <row r="2508" spans="4:6">
      <c r="D2508" s="48"/>
      <c r="E2508" s="52"/>
      <c r="F2508" s="54"/>
    </row>
    <row r="2509" spans="4:6">
      <c r="D2509" s="48"/>
      <c r="E2509" s="52"/>
      <c r="F2509" s="54"/>
    </row>
    <row r="2510" spans="4:6">
      <c r="D2510" s="48"/>
      <c r="E2510" s="52"/>
      <c r="F2510" s="54"/>
    </row>
    <row r="2511" spans="4:6">
      <c r="D2511" s="48"/>
      <c r="E2511" s="52"/>
      <c r="F2511" s="54"/>
    </row>
    <row r="2512" spans="4:6">
      <c r="D2512" s="48"/>
      <c r="E2512" s="52"/>
      <c r="F2512" s="54"/>
    </row>
    <row r="2513" spans="4:6">
      <c r="D2513" s="48"/>
      <c r="E2513" s="52"/>
      <c r="F2513" s="54"/>
    </row>
    <row r="2514" spans="4:6">
      <c r="D2514" s="48"/>
      <c r="E2514" s="52"/>
      <c r="F2514" s="54"/>
    </row>
    <row r="2515" spans="4:6">
      <c r="D2515" s="48"/>
      <c r="E2515" s="52"/>
      <c r="F2515" s="54"/>
    </row>
    <row r="2516" spans="4:6">
      <c r="D2516" s="48"/>
      <c r="E2516" s="52"/>
      <c r="F2516" s="54"/>
    </row>
    <row r="2517" spans="4:6">
      <c r="D2517" s="48"/>
      <c r="E2517" s="52"/>
      <c r="F2517" s="54"/>
    </row>
    <row r="2518" spans="4:6">
      <c r="D2518" s="48"/>
      <c r="E2518" s="52"/>
      <c r="F2518" s="54"/>
    </row>
    <row r="2519" spans="4:6">
      <c r="D2519" s="48"/>
      <c r="E2519" s="52"/>
      <c r="F2519" s="54"/>
    </row>
    <row r="2520" spans="4:6">
      <c r="D2520" s="48"/>
      <c r="E2520" s="52"/>
      <c r="F2520" s="54"/>
    </row>
    <row r="2521" spans="4:6">
      <c r="D2521" s="48"/>
      <c r="E2521" s="52"/>
      <c r="F2521" s="54"/>
    </row>
    <row r="2522" spans="4:6">
      <c r="D2522" s="48"/>
      <c r="E2522" s="52"/>
      <c r="F2522" s="54"/>
    </row>
    <row r="2523" spans="4:6">
      <c r="D2523" s="48"/>
      <c r="E2523" s="52"/>
      <c r="F2523" s="54"/>
    </row>
    <row r="2524" spans="4:6">
      <c r="D2524" s="48"/>
      <c r="E2524" s="52"/>
      <c r="F2524" s="54"/>
    </row>
    <row r="2525" spans="4:6">
      <c r="D2525" s="48"/>
      <c r="E2525" s="52"/>
      <c r="F2525" s="54"/>
    </row>
    <row r="2526" spans="4:6">
      <c r="D2526" s="48"/>
      <c r="E2526" s="52"/>
      <c r="F2526" s="54"/>
    </row>
    <row r="2527" spans="4:6">
      <c r="D2527" s="48"/>
      <c r="E2527" s="52"/>
      <c r="F2527" s="54"/>
    </row>
    <row r="2528" spans="4:6">
      <c r="D2528" s="48"/>
      <c r="E2528" s="52"/>
      <c r="F2528" s="54"/>
    </row>
    <row r="2529" spans="4:6">
      <c r="D2529" s="48"/>
      <c r="E2529" s="52"/>
      <c r="F2529" s="54"/>
    </row>
    <row r="2530" spans="4:6">
      <c r="D2530" s="48"/>
      <c r="E2530" s="52"/>
      <c r="F2530" s="54"/>
    </row>
    <row r="2531" spans="4:6">
      <c r="D2531" s="48"/>
      <c r="E2531" s="52"/>
      <c r="F2531" s="54"/>
    </row>
    <row r="2532" spans="4:6">
      <c r="D2532" s="48"/>
      <c r="E2532" s="52"/>
      <c r="F2532" s="54"/>
    </row>
    <row r="2533" spans="4:6">
      <c r="D2533" s="48"/>
      <c r="E2533" s="52"/>
      <c r="F2533" s="54"/>
    </row>
    <row r="2534" spans="4:6">
      <c r="D2534" s="48"/>
      <c r="E2534" s="52"/>
      <c r="F2534" s="54"/>
    </row>
    <row r="2535" spans="4:6">
      <c r="D2535" s="48"/>
      <c r="E2535" s="52"/>
      <c r="F2535" s="54"/>
    </row>
    <row r="2536" spans="4:6">
      <c r="D2536" s="48"/>
      <c r="E2536" s="52"/>
      <c r="F2536" s="54"/>
    </row>
    <row r="2537" spans="4:6">
      <c r="D2537" s="48"/>
      <c r="E2537" s="52"/>
      <c r="F2537" s="54"/>
    </row>
    <row r="2538" spans="4:6">
      <c r="D2538" s="48"/>
      <c r="E2538" s="52"/>
      <c r="F2538" s="54"/>
    </row>
    <row r="2539" spans="4:6">
      <c r="D2539" s="48"/>
      <c r="E2539" s="52"/>
      <c r="F2539" s="54"/>
    </row>
    <row r="2540" spans="4:6">
      <c r="D2540" s="48"/>
      <c r="E2540" s="52"/>
      <c r="F2540" s="54"/>
    </row>
    <row r="2541" spans="4:6">
      <c r="D2541" s="48"/>
      <c r="E2541" s="52"/>
      <c r="F2541" s="54"/>
    </row>
    <row r="2542" spans="4:6">
      <c r="D2542" s="48"/>
      <c r="E2542" s="52"/>
      <c r="F2542" s="54"/>
    </row>
    <row r="2543" spans="4:6">
      <c r="D2543" s="48"/>
      <c r="E2543" s="52"/>
      <c r="F2543" s="54"/>
    </row>
    <row r="2544" spans="4:6">
      <c r="D2544" s="48"/>
      <c r="E2544" s="52"/>
      <c r="F2544" s="54"/>
    </row>
    <row r="2545" spans="4:6">
      <c r="D2545" s="48"/>
      <c r="E2545" s="52"/>
      <c r="F2545" s="54"/>
    </row>
    <row r="2546" spans="4:6">
      <c r="D2546" s="48"/>
      <c r="E2546" s="52"/>
      <c r="F2546" s="54"/>
    </row>
    <row r="2547" spans="4:6">
      <c r="D2547" s="48"/>
      <c r="E2547" s="52"/>
      <c r="F2547" s="54"/>
    </row>
    <row r="2548" spans="4:6">
      <c r="D2548" s="48"/>
      <c r="E2548" s="52"/>
      <c r="F2548" s="54"/>
    </row>
    <row r="2549" spans="4:6">
      <c r="D2549" s="48"/>
      <c r="E2549" s="52"/>
      <c r="F2549" s="54"/>
    </row>
    <row r="2550" spans="4:6">
      <c r="D2550" s="48"/>
      <c r="E2550" s="52"/>
      <c r="F2550" s="54"/>
    </row>
    <row r="2551" spans="4:6">
      <c r="D2551" s="48"/>
      <c r="E2551" s="52"/>
      <c r="F2551" s="54"/>
    </row>
    <row r="2552" spans="4:6">
      <c r="D2552" s="48"/>
      <c r="E2552" s="52"/>
      <c r="F2552" s="54"/>
    </row>
    <row r="2553" spans="4:6">
      <c r="D2553" s="48"/>
      <c r="E2553" s="52"/>
      <c r="F2553" s="54"/>
    </row>
    <row r="2554" spans="4:6">
      <c r="D2554" s="48"/>
      <c r="E2554" s="52"/>
      <c r="F2554" s="54"/>
    </row>
    <row r="2555" spans="4:6">
      <c r="D2555" s="48"/>
      <c r="E2555" s="52"/>
      <c r="F2555" s="54"/>
    </row>
    <row r="2556" spans="4:6">
      <c r="D2556" s="48"/>
      <c r="E2556" s="52"/>
      <c r="F2556" s="54"/>
    </row>
    <row r="2557" spans="4:6">
      <c r="D2557" s="48"/>
      <c r="E2557" s="52"/>
      <c r="F2557" s="54"/>
    </row>
    <row r="2558" spans="4:6">
      <c r="D2558" s="48"/>
      <c r="E2558" s="52"/>
      <c r="F2558" s="54"/>
    </row>
    <row r="2559" spans="4:6">
      <c r="D2559" s="48"/>
      <c r="E2559" s="52"/>
      <c r="F2559" s="54"/>
    </row>
    <row r="2560" spans="4:6">
      <c r="D2560" s="48"/>
      <c r="E2560" s="52"/>
      <c r="F2560" s="54"/>
    </row>
    <row r="2561" spans="4:6">
      <c r="D2561" s="48"/>
      <c r="E2561" s="52"/>
      <c r="F2561" s="54"/>
    </row>
    <row r="2562" spans="4:6">
      <c r="D2562" s="48"/>
      <c r="E2562" s="52"/>
      <c r="F2562" s="54"/>
    </row>
    <row r="2563" spans="4:6">
      <c r="D2563" s="48"/>
      <c r="E2563" s="52"/>
      <c r="F2563" s="54"/>
    </row>
    <row r="2564" spans="4:6">
      <c r="D2564" s="48"/>
      <c r="E2564" s="52"/>
      <c r="F2564" s="54"/>
    </row>
    <row r="2565" spans="4:6">
      <c r="D2565" s="48"/>
      <c r="E2565" s="52"/>
      <c r="F2565" s="54"/>
    </row>
    <row r="2566" spans="4:6">
      <c r="D2566" s="48"/>
      <c r="E2566" s="52"/>
      <c r="F2566" s="54"/>
    </row>
    <row r="2567" spans="4:6">
      <c r="D2567" s="48"/>
      <c r="E2567" s="52"/>
      <c r="F2567" s="54"/>
    </row>
    <row r="2568" spans="4:6">
      <c r="D2568" s="48"/>
      <c r="E2568" s="52"/>
      <c r="F2568" s="54"/>
    </row>
    <row r="2569" spans="4:6">
      <c r="D2569" s="48"/>
      <c r="E2569" s="52"/>
      <c r="F2569" s="54"/>
    </row>
    <row r="2570" spans="4:6">
      <c r="D2570" s="48"/>
      <c r="E2570" s="52"/>
      <c r="F2570" s="54"/>
    </row>
    <row r="2571" spans="4:6">
      <c r="D2571" s="48"/>
      <c r="E2571" s="52"/>
      <c r="F2571" s="54"/>
    </row>
    <row r="2572" spans="4:6">
      <c r="D2572" s="48"/>
      <c r="E2572" s="52"/>
      <c r="F2572" s="54"/>
    </row>
    <row r="2573" spans="4:6">
      <c r="D2573" s="48"/>
      <c r="E2573" s="52"/>
      <c r="F2573" s="54"/>
    </row>
    <row r="2574" spans="4:6">
      <c r="D2574" s="48"/>
      <c r="E2574" s="52"/>
      <c r="F2574" s="54"/>
    </row>
    <row r="2575" spans="4:6">
      <c r="D2575" s="48"/>
      <c r="E2575" s="52"/>
      <c r="F2575" s="54"/>
    </row>
    <row r="2576" spans="4:6">
      <c r="D2576" s="48"/>
      <c r="E2576" s="52"/>
      <c r="F2576" s="54"/>
    </row>
    <row r="2577" spans="4:6">
      <c r="D2577" s="48"/>
      <c r="E2577" s="52"/>
      <c r="F2577" s="54"/>
    </row>
    <row r="2578" spans="4:6">
      <c r="D2578" s="48"/>
      <c r="E2578" s="52"/>
      <c r="F2578" s="54"/>
    </row>
    <row r="2579" spans="4:6">
      <c r="D2579" s="48"/>
      <c r="E2579" s="52"/>
      <c r="F2579" s="54"/>
    </row>
    <row r="2580" spans="4:6">
      <c r="D2580" s="48"/>
      <c r="E2580" s="52"/>
      <c r="F2580" s="54"/>
    </row>
    <row r="2581" spans="4:6">
      <c r="D2581" s="48"/>
      <c r="E2581" s="52"/>
      <c r="F2581" s="54"/>
    </row>
    <row r="2582" spans="4:6">
      <c r="D2582" s="48"/>
      <c r="E2582" s="52"/>
      <c r="F2582" s="54"/>
    </row>
    <row r="2583" spans="4:6">
      <c r="D2583" s="48"/>
      <c r="E2583" s="52"/>
      <c r="F2583" s="54"/>
    </row>
    <row r="2584" spans="4:6">
      <c r="D2584" s="48"/>
      <c r="E2584" s="52"/>
      <c r="F2584" s="54"/>
    </row>
    <row r="2585" spans="4:6">
      <c r="D2585" s="48"/>
      <c r="E2585" s="52"/>
      <c r="F2585" s="54"/>
    </row>
    <row r="2586" spans="4:6">
      <c r="D2586" s="48"/>
      <c r="E2586" s="52"/>
      <c r="F2586" s="54"/>
    </row>
    <row r="2587" spans="4:6">
      <c r="D2587" s="48"/>
      <c r="E2587" s="52"/>
      <c r="F2587" s="54"/>
    </row>
    <row r="2588" spans="4:6">
      <c r="D2588" s="48"/>
      <c r="E2588" s="52"/>
      <c r="F2588" s="54"/>
    </row>
    <row r="2589" spans="4:6">
      <c r="D2589" s="48"/>
      <c r="E2589" s="52"/>
      <c r="F2589" s="54"/>
    </row>
    <row r="2590" spans="4:6">
      <c r="D2590" s="48"/>
      <c r="E2590" s="52"/>
      <c r="F2590" s="54"/>
    </row>
    <row r="2591" spans="4:6">
      <c r="D2591" s="48"/>
      <c r="E2591" s="52"/>
      <c r="F2591" s="54"/>
    </row>
    <row r="2592" spans="4:6">
      <c r="D2592" s="48"/>
      <c r="E2592" s="52"/>
      <c r="F2592" s="54"/>
    </row>
    <row r="2593" spans="4:6">
      <c r="D2593" s="48"/>
      <c r="E2593" s="52"/>
      <c r="F2593" s="54"/>
    </row>
    <row r="2594" spans="4:6">
      <c r="D2594" s="48"/>
      <c r="E2594" s="52"/>
      <c r="F2594" s="54"/>
    </row>
    <row r="2595" spans="4:6">
      <c r="D2595" s="48"/>
      <c r="E2595" s="52"/>
      <c r="F2595" s="54"/>
    </row>
    <row r="2596" spans="4:6">
      <c r="D2596" s="48"/>
      <c r="E2596" s="52"/>
      <c r="F2596" s="54"/>
    </row>
    <row r="2597" spans="4:6">
      <c r="D2597" s="48"/>
      <c r="E2597" s="52"/>
      <c r="F2597" s="54"/>
    </row>
    <row r="2598" spans="4:6">
      <c r="D2598" s="48"/>
      <c r="E2598" s="52"/>
      <c r="F2598" s="54"/>
    </row>
    <row r="2599" spans="4:6">
      <c r="D2599" s="48"/>
      <c r="E2599" s="52"/>
      <c r="F2599" s="54"/>
    </row>
    <row r="2600" spans="4:6">
      <c r="D2600" s="48"/>
      <c r="E2600" s="52"/>
      <c r="F2600" s="54"/>
    </row>
    <row r="2601" spans="4:6">
      <c r="D2601" s="48"/>
      <c r="E2601" s="52"/>
      <c r="F2601" s="54"/>
    </row>
    <row r="2602" spans="4:6">
      <c r="D2602" s="48"/>
      <c r="E2602" s="52"/>
      <c r="F2602" s="54"/>
    </row>
    <row r="2603" spans="4:6">
      <c r="D2603" s="48"/>
      <c r="E2603" s="52"/>
      <c r="F2603" s="54"/>
    </row>
    <row r="2604" spans="4:6">
      <c r="D2604" s="48"/>
      <c r="E2604" s="52"/>
      <c r="F2604" s="54"/>
    </row>
    <row r="2605" spans="4:6">
      <c r="D2605" s="48"/>
      <c r="E2605" s="52"/>
      <c r="F2605" s="54"/>
    </row>
    <row r="2606" spans="4:6">
      <c r="D2606" s="48"/>
      <c r="E2606" s="52"/>
      <c r="F2606" s="54"/>
    </row>
    <row r="2607" spans="4:6">
      <c r="D2607" s="48"/>
      <c r="E2607" s="52"/>
      <c r="F2607" s="54"/>
    </row>
    <row r="2608" spans="4:6">
      <c r="D2608" s="48"/>
      <c r="E2608" s="52"/>
      <c r="F2608" s="54"/>
    </row>
    <row r="2609" spans="4:6">
      <c r="D2609" s="48"/>
      <c r="E2609" s="52"/>
      <c r="F2609" s="54"/>
    </row>
    <row r="2610" spans="4:6">
      <c r="D2610" s="48"/>
      <c r="E2610" s="52"/>
      <c r="F2610" s="54"/>
    </row>
    <row r="2611" spans="4:6">
      <c r="D2611" s="48"/>
      <c r="E2611" s="52"/>
      <c r="F2611" s="54"/>
    </row>
    <row r="2612" spans="4:6">
      <c r="D2612" s="48"/>
      <c r="E2612" s="52"/>
      <c r="F2612" s="54"/>
    </row>
    <row r="2613" spans="4:6">
      <c r="D2613" s="48"/>
      <c r="E2613" s="52"/>
      <c r="F2613" s="54"/>
    </row>
    <row r="2614" spans="4:6">
      <c r="D2614" s="48"/>
      <c r="E2614" s="52"/>
      <c r="F2614" s="54"/>
    </row>
    <row r="2615" spans="4:6">
      <c r="D2615" s="48"/>
      <c r="E2615" s="52"/>
      <c r="F2615" s="54"/>
    </row>
    <row r="2616" spans="4:6">
      <c r="D2616" s="48"/>
      <c r="E2616" s="52"/>
      <c r="F2616" s="54"/>
    </row>
    <row r="2617" spans="4:6">
      <c r="D2617" s="48"/>
      <c r="E2617" s="52"/>
      <c r="F2617" s="54"/>
    </row>
    <row r="2618" spans="4:6">
      <c r="D2618" s="48"/>
      <c r="E2618" s="52"/>
      <c r="F2618" s="54"/>
    </row>
    <row r="2619" spans="4:6">
      <c r="D2619" s="48"/>
      <c r="E2619" s="52"/>
      <c r="F2619" s="54"/>
    </row>
    <row r="2620" spans="4:6">
      <c r="D2620" s="48"/>
      <c r="E2620" s="52"/>
      <c r="F2620" s="54"/>
    </row>
    <row r="2621" spans="4:6">
      <c r="D2621" s="48"/>
      <c r="E2621" s="52"/>
      <c r="F2621" s="54"/>
    </row>
    <row r="2622" spans="4:6">
      <c r="D2622" s="48"/>
      <c r="E2622" s="52"/>
      <c r="F2622" s="54"/>
    </row>
    <row r="2623" spans="4:6">
      <c r="D2623" s="48"/>
      <c r="E2623" s="52"/>
      <c r="F2623" s="54"/>
    </row>
    <row r="2624" spans="4:6">
      <c r="D2624" s="48"/>
      <c r="E2624" s="52"/>
      <c r="F2624" s="54"/>
    </row>
    <row r="2625" spans="4:6">
      <c r="D2625" s="48"/>
      <c r="E2625" s="52"/>
      <c r="F2625" s="54"/>
    </row>
    <row r="2626" spans="4:6">
      <c r="D2626" s="48"/>
      <c r="E2626" s="52"/>
      <c r="F2626" s="54"/>
    </row>
    <row r="2627" spans="4:6">
      <c r="D2627" s="48"/>
      <c r="E2627" s="52"/>
      <c r="F2627" s="54"/>
    </row>
    <row r="2628" spans="4:6">
      <c r="D2628" s="48"/>
      <c r="E2628" s="52"/>
      <c r="F2628" s="54"/>
    </row>
    <row r="2629" spans="4:6">
      <c r="D2629" s="48"/>
      <c r="E2629" s="52"/>
      <c r="F2629" s="54"/>
    </row>
  </sheetData>
  <pageMargins left="0.75" right="0.75" top="1" bottom="1" header="0.5" footer="0.5"/>
  <pageSetup orientation="landscape" horizontalDpi="200" verticalDpi="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0</xdr:col>
                    <xdr:colOff>0</xdr:colOff>
                    <xdr:row>57</xdr:row>
                    <xdr:rowOff>127000</xdr:rowOff>
                  </from>
                  <to>
                    <xdr:col>0</xdr:col>
                    <xdr:colOff>1206500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133350</xdr:rowOff>
                  </from>
                  <to>
                    <xdr:col>0</xdr:col>
                    <xdr:colOff>1206500</xdr:colOff>
                    <xdr:row>58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0</xdr:col>
                    <xdr:colOff>0</xdr:colOff>
                    <xdr:row>59</xdr:row>
                    <xdr:rowOff>127000</xdr:rowOff>
                  </from>
                  <to>
                    <xdr:col>0</xdr:col>
                    <xdr:colOff>1206500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133350</xdr:rowOff>
                  </from>
                  <to>
                    <xdr:col>0</xdr:col>
                    <xdr:colOff>1206500</xdr:colOff>
                    <xdr:row>60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HC267"/>
  <sheetViews>
    <sheetView tabSelected="1" workbookViewId="0">
      <selection activeCell="F30" sqref="F30"/>
    </sheetView>
  </sheetViews>
  <sheetFormatPr defaultColWidth="9.1796875" defaultRowHeight="12.5"/>
  <cols>
    <col min="1" max="1" width="19.54296875" style="15" customWidth="1"/>
    <col min="2" max="2" width="7.1796875" style="29" hidden="1" customWidth="1"/>
    <col min="3" max="3" width="56.26953125" style="23" hidden="1" customWidth="1"/>
    <col min="4" max="4" width="26.81640625" style="6" customWidth="1"/>
    <col min="5" max="5" width="16.453125" style="10" customWidth="1"/>
    <col min="6" max="6" width="13" style="1" customWidth="1"/>
    <col min="7" max="9" width="9.1796875" style="1"/>
    <col min="10" max="211" width="9.1796875" style="13"/>
    <col min="212" max="16384" width="9.1796875" style="1"/>
  </cols>
  <sheetData>
    <row r="1" spans="1:211" ht="13.5" thickBot="1">
      <c r="A1" s="65" t="s">
        <v>54</v>
      </c>
      <c r="B1" s="66"/>
      <c r="C1" s="67"/>
      <c r="D1" s="68"/>
      <c r="E1" s="69"/>
      <c r="F1" s="70"/>
      <c r="G1" s="70"/>
      <c r="H1" s="70"/>
      <c r="I1" s="71"/>
    </row>
    <row r="2" spans="1:211" s="15" customFormat="1" ht="13">
      <c r="A2" s="2"/>
      <c r="B2" s="29"/>
      <c r="C2" s="23"/>
      <c r="D2" s="14"/>
      <c r="E2" s="12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</row>
    <row r="3" spans="1:211" ht="13">
      <c r="A3" s="45" t="s">
        <v>2</v>
      </c>
      <c r="C3" s="23" t="str">
        <f>CONCATENATE("&lt;head&gt;&lt;title&gt;",D3,"&lt;/title&gt;&lt;/head&gt;")</f>
        <v>&lt;head&gt;&lt;title&gt;Hristo Aladjov's CV&lt;/title&gt;&lt;/head&gt;</v>
      </c>
      <c r="D3" s="6" t="s">
        <v>162</v>
      </c>
      <c r="E3" s="12"/>
      <c r="F3" s="13"/>
      <c r="G3" s="13"/>
      <c r="H3" s="13"/>
      <c r="I3" s="13"/>
    </row>
    <row r="4" spans="1:211" ht="13" hidden="1">
      <c r="A4" s="32"/>
      <c r="C4" s="23" t="s">
        <v>3</v>
      </c>
      <c r="E4" s="12"/>
      <c r="F4" s="13"/>
      <c r="G4" s="13"/>
      <c r="H4" s="13"/>
      <c r="I4" s="13"/>
    </row>
    <row r="5" spans="1:211" ht="13" hidden="1">
      <c r="A5" s="32"/>
      <c r="C5" s="23" t="s">
        <v>4</v>
      </c>
      <c r="E5" s="12"/>
      <c r="F5" s="13"/>
      <c r="G5" s="13"/>
      <c r="H5" s="13"/>
      <c r="I5" s="13"/>
    </row>
    <row r="6" spans="1:211" ht="13" hidden="1">
      <c r="A6" s="32"/>
      <c r="C6" s="23" t="s">
        <v>5</v>
      </c>
      <c r="E6" s="12"/>
      <c r="F6" s="13"/>
      <c r="G6" s="13"/>
      <c r="H6" s="13"/>
      <c r="I6" s="13"/>
    </row>
    <row r="7" spans="1:211" ht="13" hidden="1">
      <c r="A7" s="32"/>
      <c r="C7" s="23" t="s">
        <v>6</v>
      </c>
      <c r="E7" s="12"/>
      <c r="F7" s="13"/>
      <c r="G7" s="13"/>
      <c r="H7" s="13"/>
      <c r="I7" s="13"/>
    </row>
    <row r="8" spans="1:211" ht="13" hidden="1">
      <c r="A8" s="32"/>
      <c r="C8" s="23" t="s">
        <v>7</v>
      </c>
      <c r="E8" s="12"/>
      <c r="F8" s="13"/>
      <c r="G8" s="13"/>
      <c r="H8" s="13"/>
      <c r="I8" s="13"/>
    </row>
    <row r="9" spans="1:211" ht="13" hidden="1">
      <c r="A9" s="32"/>
      <c r="C9" s="23" t="s">
        <v>8</v>
      </c>
      <c r="E9" s="12"/>
      <c r="F9" s="13"/>
      <c r="G9" s="13"/>
      <c r="H9" s="13"/>
      <c r="I9" s="13"/>
    </row>
    <row r="10" spans="1:211" ht="13" hidden="1">
      <c r="A10" s="32"/>
      <c r="C10" s="23" t="s">
        <v>9</v>
      </c>
      <c r="E10" s="12"/>
      <c r="F10" s="13"/>
      <c r="G10" s="13"/>
      <c r="H10" s="13"/>
      <c r="I10" s="13"/>
    </row>
    <row r="11" spans="1:211" ht="13" hidden="1">
      <c r="A11" s="32"/>
      <c r="E11" s="12"/>
      <c r="F11" s="13"/>
      <c r="G11" s="13"/>
      <c r="H11" s="13"/>
      <c r="I11" s="13"/>
    </row>
    <row r="12" spans="1:211" ht="13" hidden="1">
      <c r="A12" s="32"/>
      <c r="C12" s="24" t="s">
        <v>10</v>
      </c>
      <c r="E12" s="12"/>
      <c r="F12" s="13"/>
      <c r="G12" s="13"/>
      <c r="H12" s="13"/>
      <c r="I12" s="13"/>
    </row>
    <row r="13" spans="1:211" ht="13" hidden="1">
      <c r="A13" s="32"/>
      <c r="E13" s="12"/>
      <c r="F13" s="13"/>
      <c r="G13" s="13"/>
      <c r="H13" s="13"/>
      <c r="I13" s="13"/>
    </row>
    <row r="14" spans="1:211" ht="13" hidden="1">
      <c r="A14" s="32"/>
      <c r="C14" s="23" t="s">
        <v>12</v>
      </c>
      <c r="E14" s="12"/>
      <c r="F14" s="13"/>
      <c r="G14" s="13"/>
      <c r="H14" s="13"/>
      <c r="I14" s="13"/>
    </row>
    <row r="15" spans="1:211" ht="13" hidden="1">
      <c r="A15" s="32"/>
      <c r="C15" s="23" t="s">
        <v>11</v>
      </c>
      <c r="E15" s="12"/>
      <c r="F15" s="13"/>
      <c r="G15" s="13"/>
      <c r="H15" s="13"/>
      <c r="I15" s="13"/>
    </row>
    <row r="16" spans="1:211" ht="13" hidden="1">
      <c r="A16" s="32"/>
      <c r="C16" s="23" t="s">
        <v>13</v>
      </c>
      <c r="E16" s="12"/>
      <c r="F16" s="13"/>
      <c r="G16" s="13"/>
      <c r="H16" s="13"/>
      <c r="I16" s="13"/>
    </row>
    <row r="17" spans="1:9" ht="13">
      <c r="A17" s="45" t="s">
        <v>16</v>
      </c>
      <c r="C17" s="23" t="str">
        <f>CONCATENATE("&lt;td&gt;&lt;img src=",D17," alt='' width='180' height='256' border='0'&gt;&lt;/td&gt;")</f>
        <v>&lt;td&gt;&lt;img src=Xpu100.jpg alt='' width='180' height='256' border='0'&gt;&lt;/td&gt;</v>
      </c>
      <c r="D17" s="6" t="s">
        <v>15</v>
      </c>
      <c r="E17" s="12"/>
      <c r="F17" s="13"/>
      <c r="G17" s="13"/>
      <c r="H17" s="13"/>
      <c r="I17" s="13"/>
    </row>
    <row r="18" spans="1:9" ht="13" hidden="1">
      <c r="A18" s="32"/>
      <c r="C18" s="23" t="s">
        <v>14</v>
      </c>
      <c r="E18" s="12"/>
      <c r="F18" s="13"/>
      <c r="G18" s="13"/>
      <c r="H18" s="13"/>
      <c r="I18" s="13"/>
    </row>
    <row r="19" spans="1:9" ht="13" hidden="1">
      <c r="A19" s="32"/>
      <c r="C19" s="23" t="s">
        <v>19</v>
      </c>
      <c r="E19" s="12"/>
      <c r="F19" s="13"/>
      <c r="G19" s="13"/>
      <c r="H19" s="13"/>
      <c r="I19" s="13"/>
    </row>
    <row r="20" spans="1:9" ht="13" hidden="1">
      <c r="A20" s="32"/>
      <c r="C20" s="23" t="s">
        <v>20</v>
      </c>
      <c r="E20" s="12"/>
      <c r="F20" s="13"/>
      <c r="G20" s="13"/>
      <c r="H20" s="13"/>
      <c r="I20" s="13"/>
    </row>
    <row r="21" spans="1:9" ht="13" hidden="1">
      <c r="A21" s="32"/>
      <c r="C21" s="23" t="s">
        <v>23</v>
      </c>
      <c r="E21" s="12"/>
      <c r="F21" s="13"/>
      <c r="G21" s="13"/>
      <c r="H21" s="13"/>
      <c r="I21" s="13"/>
    </row>
    <row r="22" spans="1:9" ht="13">
      <c r="A22" s="45" t="s">
        <v>21</v>
      </c>
      <c r="C22" s="23" t="str">
        <f>CONCATENATE("         &lt;div align='center'&gt;&lt;br&gt;&lt;font size='+2'&gt;",D22,"&lt;/font&gt;&lt;br&gt;")</f>
        <v xml:space="preserve">         &lt;div align='center'&gt;&lt;br&gt;&lt;font size='+2'&gt;Hristo Tsvetanov Aladjov&lt;/font&gt;&lt;br&gt;</v>
      </c>
      <c r="D22" s="6" t="s">
        <v>17</v>
      </c>
      <c r="E22" s="12"/>
      <c r="F22" s="13"/>
      <c r="G22" s="13"/>
      <c r="H22" s="13"/>
      <c r="I22" s="13"/>
    </row>
    <row r="23" spans="1:9" ht="13">
      <c r="A23" s="45" t="s">
        <v>1</v>
      </c>
      <c r="C23" s="23" t="str">
        <f>CONCATENATE("         ",D23,"&lt;/div&gt;&lt;br&gt;&lt;/td&gt;")</f>
        <v xml:space="preserve">         Res. Assist., MSc, Ph.D.&lt;/div&gt;&lt;br&gt;&lt;/td&gt;</v>
      </c>
      <c r="D23" s="6" t="s">
        <v>18</v>
      </c>
      <c r="E23" s="12"/>
      <c r="F23" s="13"/>
      <c r="G23" s="13"/>
      <c r="H23" s="13"/>
      <c r="I23" s="13"/>
    </row>
    <row r="24" spans="1:9" ht="13" hidden="1">
      <c r="A24" s="32"/>
      <c r="C24" s="23" t="s">
        <v>22</v>
      </c>
      <c r="E24" s="12"/>
      <c r="F24" s="13"/>
      <c r="G24" s="13"/>
      <c r="H24" s="13"/>
      <c r="I24" s="13"/>
    </row>
    <row r="25" spans="1:9" ht="13" hidden="1">
      <c r="A25" s="32"/>
      <c r="C25" s="23" t="s">
        <v>24</v>
      </c>
      <c r="E25" s="12"/>
      <c r="F25" s="13"/>
      <c r="G25" s="13"/>
      <c r="H25" s="13"/>
      <c r="I25" s="13"/>
    </row>
    <row r="26" spans="1:9" hidden="1">
      <c r="A26" s="47"/>
      <c r="C26" s="23" t="s">
        <v>25</v>
      </c>
      <c r="E26" s="12"/>
      <c r="F26" s="13"/>
      <c r="G26" s="13"/>
      <c r="H26" s="13"/>
      <c r="I26" s="13"/>
    </row>
    <row r="27" spans="1:9" ht="13">
      <c r="A27" s="45" t="s">
        <v>28</v>
      </c>
      <c r="C27" s="23" t="str">
        <f>CONCATENATE("         &lt;td &gt;&lt;a href='http://www.clbme.bas.bg/' target='_top'&gt;",D27,"&lt;/a&gt;&lt;br&gt;")</f>
        <v xml:space="preserve">         &lt;td &gt;&lt;a href='http://www.clbme.bas.bg/' target='_top'&gt;Centre of Biomedical Engineering&lt;/a&gt;&lt;br&gt;</v>
      </c>
      <c r="D27" s="6" t="s">
        <v>29</v>
      </c>
      <c r="E27" s="12"/>
      <c r="F27" s="13"/>
      <c r="G27" s="13"/>
      <c r="H27" s="13"/>
      <c r="I27" s="13"/>
    </row>
    <row r="28" spans="1:9" ht="13">
      <c r="A28" s="2"/>
      <c r="C28" s="23" t="str">
        <f>CONCATENATE("         &lt;a href='http://www.bas.bg/' target='_top'&gt;",D28,"&lt;/a&gt;&lt;br&gt;")</f>
        <v xml:space="preserve">         &lt;a href='http://www.bas.bg/' target='_top'&gt;Bulgarian Academy of Science&lt;/a&gt;&lt;br&gt;</v>
      </c>
      <c r="D28" s="6" t="s">
        <v>30</v>
      </c>
      <c r="E28" s="12"/>
      <c r="F28" s="13"/>
      <c r="G28" s="13"/>
      <c r="H28" s="13"/>
      <c r="I28" s="13"/>
    </row>
    <row r="29" spans="1:9" ht="13">
      <c r="A29" s="2"/>
      <c r="C29" s="23" t="str">
        <f>CONCATENATE("          ",D29,"&lt;br&gt;")</f>
        <v xml:space="preserve">          Room 207A, 2th fl., Bl.105&lt;br&gt;</v>
      </c>
      <c r="D29" s="6" t="s">
        <v>31</v>
      </c>
      <c r="E29" s="12"/>
      <c r="F29" s="13"/>
      <c r="G29" s="13"/>
      <c r="H29" s="13"/>
      <c r="I29" s="13"/>
    </row>
    <row r="30" spans="1:9" ht="13">
      <c r="A30" s="2"/>
      <c r="C30" s="23" t="str">
        <f>CONCATENATE("         &lt;a href='../../Address.html'&gt;",D30,"&lt;/a&gt; &lt;br&gt;")</f>
        <v xml:space="preserve">         &lt;a href='../../Address.html'&gt;Acad. George Bonchev Str.&lt;/a&gt; &lt;br&gt;</v>
      </c>
      <c r="D30" s="6" t="s">
        <v>32</v>
      </c>
      <c r="E30" s="12"/>
      <c r="F30" s="13"/>
      <c r="G30" s="13"/>
      <c r="H30" s="13"/>
      <c r="I30" s="13"/>
    </row>
    <row r="31" spans="1:9" ht="13">
      <c r="A31" s="2"/>
      <c r="C31" s="23" t="s">
        <v>26</v>
      </c>
      <c r="D31" s="6" t="s">
        <v>33</v>
      </c>
      <c r="E31" s="12"/>
      <c r="F31" s="13"/>
      <c r="G31" s="13"/>
      <c r="H31" s="13"/>
      <c r="I31" s="13"/>
    </row>
    <row r="32" spans="1:9" ht="13" hidden="1">
      <c r="A32" s="2"/>
      <c r="C32" s="25" t="s">
        <v>27</v>
      </c>
      <c r="E32" s="12"/>
      <c r="F32" s="13"/>
      <c r="G32" s="13"/>
      <c r="H32" s="13"/>
      <c r="I32" s="13"/>
    </row>
    <row r="33" spans="1:9" ht="13" hidden="1">
      <c r="A33" s="2"/>
      <c r="C33" s="23" t="s">
        <v>22</v>
      </c>
      <c r="E33" s="12"/>
      <c r="F33" s="13"/>
      <c r="G33" s="13"/>
      <c r="H33" s="13"/>
      <c r="I33" s="13"/>
    </row>
    <row r="34" spans="1:9" ht="13" hidden="1">
      <c r="A34" s="2"/>
      <c r="C34" s="25" t="s">
        <v>24</v>
      </c>
      <c r="E34" s="12"/>
      <c r="F34" s="13"/>
      <c r="G34" s="13"/>
      <c r="H34" s="13"/>
      <c r="I34" s="13"/>
    </row>
    <row r="35" spans="1:9" ht="13" hidden="1">
      <c r="A35" s="2"/>
      <c r="C35" s="23" t="s">
        <v>35</v>
      </c>
      <c r="E35" s="12"/>
      <c r="F35" s="13"/>
      <c r="G35" s="13"/>
      <c r="H35" s="13"/>
      <c r="I35" s="13"/>
    </row>
    <row r="36" spans="1:9" ht="13">
      <c r="A36" s="45" t="s">
        <v>36</v>
      </c>
      <c r="C36" s="23" t="str">
        <f>CONCATENATE("         &lt;td&gt;",D36,"&lt;/td&gt;")</f>
        <v xml:space="preserve">         &lt;td&gt;(+359 2) 9793654, (+359 2) 8700527&lt;/td&gt;</v>
      </c>
      <c r="D36" s="6" t="s">
        <v>44</v>
      </c>
      <c r="E36" s="12"/>
      <c r="F36" s="13"/>
      <c r="G36" s="13"/>
      <c r="H36" s="13"/>
      <c r="I36" s="13"/>
    </row>
    <row r="37" spans="1:9" ht="13" hidden="1">
      <c r="A37" s="32"/>
      <c r="C37" s="23" t="s">
        <v>22</v>
      </c>
      <c r="E37" s="12"/>
      <c r="F37" s="13"/>
      <c r="G37" s="13"/>
      <c r="H37" s="13"/>
      <c r="I37" s="13"/>
    </row>
    <row r="38" spans="1:9" ht="13" hidden="1">
      <c r="A38" s="32"/>
      <c r="C38" s="23" t="s">
        <v>24</v>
      </c>
      <c r="E38" s="12"/>
      <c r="F38" s="13"/>
      <c r="G38" s="13"/>
      <c r="H38" s="13"/>
      <c r="I38" s="13"/>
    </row>
    <row r="39" spans="1:9" ht="13" hidden="1">
      <c r="A39" s="32"/>
      <c r="C39" s="23" t="s">
        <v>37</v>
      </c>
      <c r="E39" s="12"/>
      <c r="F39" s="13"/>
      <c r="G39" s="13"/>
      <c r="H39" s="13"/>
      <c r="I39" s="13"/>
    </row>
    <row r="40" spans="1:9" ht="13">
      <c r="A40" s="45" t="s">
        <v>40</v>
      </c>
      <c r="C40" s="23" t="str">
        <f>CONCATENATE("         &lt;td&gt;",D40,"&lt;/td&gt;")</f>
        <v xml:space="preserve">         &lt;td&gt;(+359) 2 723787&lt;/td&gt;</v>
      </c>
      <c r="D40" s="6" t="s">
        <v>43</v>
      </c>
      <c r="E40" s="12"/>
      <c r="F40" s="13"/>
      <c r="G40" s="13"/>
      <c r="H40" s="13"/>
      <c r="I40" s="13"/>
    </row>
    <row r="41" spans="1:9" ht="13" hidden="1">
      <c r="A41" s="32"/>
      <c r="C41" s="23" t="s">
        <v>22</v>
      </c>
      <c r="E41" s="12"/>
      <c r="F41" s="13"/>
      <c r="G41" s="13"/>
      <c r="H41" s="13"/>
      <c r="I41" s="13"/>
    </row>
    <row r="42" spans="1:9" ht="13" hidden="1">
      <c r="A42" s="32"/>
      <c r="C42" s="25" t="s">
        <v>24</v>
      </c>
      <c r="E42" s="12"/>
      <c r="F42" s="13"/>
      <c r="G42" s="13"/>
      <c r="H42" s="13"/>
      <c r="I42" s="13"/>
    </row>
    <row r="43" spans="1:9" ht="13" hidden="1">
      <c r="A43" s="32"/>
      <c r="C43" s="23" t="s">
        <v>39</v>
      </c>
      <c r="E43" s="12"/>
      <c r="F43" s="13"/>
      <c r="G43" s="13"/>
      <c r="H43" s="13"/>
      <c r="I43" s="13"/>
    </row>
    <row r="44" spans="1:9" ht="13">
      <c r="A44" s="45" t="s">
        <v>41</v>
      </c>
      <c r="C44" s="23" t="str">
        <f>CONCATENATE("         &lt;td&gt;&lt;a href='mailto:",D44,"'&gt;",D44,"&lt;/a&gt;&lt;/td&gt;")</f>
        <v xml:space="preserve">         &lt;td&gt;&lt;a href='mailto:aladjov@clbme.bas.bg'&gt;aladjov@clbme.bas.bg&lt;/a&gt;&lt;/td&gt;</v>
      </c>
      <c r="D44" s="6" t="s">
        <v>38</v>
      </c>
      <c r="E44" s="12"/>
      <c r="F44" s="13"/>
      <c r="G44" s="13"/>
      <c r="H44" s="13"/>
      <c r="I44" s="13"/>
    </row>
    <row r="45" spans="1:9" ht="13" hidden="1">
      <c r="A45" s="2"/>
      <c r="C45" s="23" t="s">
        <v>22</v>
      </c>
      <c r="D45" s="6">
        <v>0</v>
      </c>
      <c r="E45" s="12"/>
      <c r="F45" s="13"/>
      <c r="G45" s="13"/>
      <c r="H45" s="13"/>
      <c r="I45" s="13"/>
    </row>
    <row r="46" spans="1:9" ht="13" hidden="1">
      <c r="A46" s="2"/>
      <c r="C46" s="25" t="s">
        <v>20</v>
      </c>
      <c r="D46" s="6">
        <v>0</v>
      </c>
      <c r="E46" s="12"/>
      <c r="F46" s="13"/>
      <c r="G46" s="13"/>
      <c r="H46" s="13"/>
      <c r="I46" s="13"/>
    </row>
    <row r="47" spans="1:9" ht="13" hidden="1">
      <c r="A47" s="2"/>
      <c r="C47" s="25" t="s">
        <v>42</v>
      </c>
      <c r="D47" s="6">
        <v>0</v>
      </c>
      <c r="E47" s="12"/>
      <c r="F47" s="13"/>
      <c r="G47" s="13"/>
      <c r="H47" s="13"/>
      <c r="I47" s="13"/>
    </row>
    <row r="48" spans="1:9" ht="13" hidden="1">
      <c r="A48" s="2"/>
      <c r="C48" s="23" t="s">
        <v>42</v>
      </c>
      <c r="D48" s="6">
        <v>0</v>
      </c>
      <c r="E48" s="12"/>
      <c r="F48" s="13"/>
      <c r="G48" s="13"/>
      <c r="H48" s="13"/>
      <c r="I48" s="13"/>
    </row>
    <row r="49" spans="1:211" ht="13" hidden="1">
      <c r="A49" s="2"/>
      <c r="C49" s="23" t="s">
        <v>22</v>
      </c>
      <c r="D49" s="6">
        <v>0</v>
      </c>
      <c r="E49" s="12"/>
      <c r="F49" s="13"/>
      <c r="G49" s="13"/>
      <c r="H49" s="13"/>
      <c r="I49" s="13"/>
    </row>
    <row r="50" spans="1:211" ht="13" hidden="1">
      <c r="A50" s="2"/>
      <c r="C50" s="25" t="s">
        <v>46</v>
      </c>
      <c r="D50" s="6">
        <v>0</v>
      </c>
      <c r="E50" s="12"/>
      <c r="F50" s="13"/>
      <c r="G50" s="13"/>
      <c r="H50" s="13"/>
      <c r="I50" s="13"/>
    </row>
    <row r="51" spans="1:211" ht="13" hidden="1">
      <c r="A51" s="2"/>
      <c r="C51" s="23" t="s">
        <v>47</v>
      </c>
      <c r="D51" s="6">
        <v>0</v>
      </c>
      <c r="E51" s="12"/>
      <c r="F51" s="13"/>
      <c r="G51" s="13"/>
      <c r="H51" s="13"/>
      <c r="I51" s="13"/>
    </row>
    <row r="52" spans="1:211" ht="13" hidden="1">
      <c r="A52" s="2"/>
      <c r="C52" s="23" t="s">
        <v>34</v>
      </c>
      <c r="D52" s="6">
        <v>0</v>
      </c>
      <c r="E52" s="12"/>
      <c r="F52" s="13"/>
      <c r="G52" s="13"/>
      <c r="H52" s="13"/>
      <c r="I52" s="13"/>
    </row>
    <row r="53" spans="1:211" ht="13" hidden="1">
      <c r="A53" s="2"/>
      <c r="C53" s="23" t="s">
        <v>45</v>
      </c>
      <c r="D53" s="6">
        <v>0</v>
      </c>
      <c r="E53" s="12"/>
      <c r="F53" s="13"/>
      <c r="G53" s="13"/>
      <c r="H53" s="13"/>
      <c r="I53" s="13"/>
    </row>
    <row r="54" spans="1:211" ht="13" hidden="1">
      <c r="A54" s="2"/>
      <c r="D54" s="6">
        <v>0</v>
      </c>
      <c r="E54" s="12"/>
      <c r="F54" s="13"/>
      <c r="G54" s="13"/>
      <c r="H54" s="13"/>
      <c r="I54" s="13"/>
    </row>
    <row r="55" spans="1:211" ht="13" hidden="1">
      <c r="A55" s="2"/>
      <c r="C55" s="26" t="s">
        <v>49</v>
      </c>
      <c r="D55" s="6">
        <v>0</v>
      </c>
      <c r="E55" s="12"/>
      <c r="F55" s="13"/>
      <c r="G55" s="13"/>
      <c r="H55" s="13"/>
      <c r="I55" s="13"/>
    </row>
    <row r="56" spans="1:211" ht="13">
      <c r="A56" s="2"/>
      <c r="C56" s="23" t="s">
        <v>13</v>
      </c>
      <c r="E56" s="12"/>
      <c r="F56" s="13"/>
      <c r="G56" s="13"/>
      <c r="H56" s="13"/>
      <c r="I56" s="13"/>
    </row>
    <row r="57" spans="1:211" ht="13">
      <c r="A57" s="46" t="s">
        <v>55</v>
      </c>
      <c r="B57" s="28"/>
      <c r="C57" s="23" t="s">
        <v>50</v>
      </c>
      <c r="E57" s="12"/>
      <c r="F57" s="13"/>
      <c r="G57" s="13"/>
      <c r="H57" s="13"/>
      <c r="I57" s="13"/>
    </row>
    <row r="58" spans="1:211" ht="13">
      <c r="A58" s="45"/>
      <c r="B58" s="28" t="b">
        <v>0</v>
      </c>
      <c r="C58" s="23" t="str">
        <f>IF(B58,CONCATENATE(" &amp;nbsp;&lt;strong&gt;&lt;a href='index.html'&gt;",D58,"&lt;/a&gt;&lt;/strong&gt;&amp;nbsp;"),"")</f>
        <v/>
      </c>
      <c r="D58" s="6" t="s">
        <v>52</v>
      </c>
      <c r="E58" s="12"/>
      <c r="F58" s="13"/>
      <c r="G58" s="13"/>
      <c r="H58" s="13"/>
      <c r="I58" s="13"/>
    </row>
    <row r="59" spans="1:211" ht="13">
      <c r="A59" s="45"/>
      <c r="B59" s="28" t="b">
        <v>1</v>
      </c>
      <c r="C59" s="23" t="str">
        <f>IF(B59,CONCATENATE(" &amp;nbsp;&lt;a href='publications.html'&gt;&lt;strong&gt;",D59,"&lt;/strong&gt;&lt;/a&gt;&amp;nbsp;"),"")</f>
        <v xml:space="preserve"> &amp;nbsp;&lt;a href='publications.html'&gt;&lt;strong&gt;Selected Publications&lt;/strong&gt;&lt;/a&gt;&amp;nbsp;</v>
      </c>
      <c r="D59" s="6" t="s">
        <v>53</v>
      </c>
      <c r="E59" s="79"/>
      <c r="F59" s="13"/>
      <c r="G59" s="13"/>
      <c r="H59" s="13"/>
      <c r="I59" s="13"/>
    </row>
    <row r="60" spans="1:211" ht="13">
      <c r="A60" s="45"/>
      <c r="B60" s="28" t="b">
        <v>0</v>
      </c>
      <c r="C60" s="23" t="str">
        <f>IF(B60,CONCATENATE(" &amp;nbsp;&lt;a href='citations.html'&gt;&lt;strong&gt;",D60,"&lt;/strong&gt;&lt;/a&gt;&amp;nbsp;"),"")</f>
        <v/>
      </c>
      <c r="D60" s="6" t="s">
        <v>48</v>
      </c>
      <c r="E60" s="79"/>
      <c r="F60" s="13"/>
      <c r="G60" s="13"/>
      <c r="H60" s="13"/>
      <c r="I60" s="13"/>
    </row>
    <row r="61" spans="1:211" ht="13">
      <c r="A61" s="45"/>
      <c r="B61" s="28" t="b">
        <v>1</v>
      </c>
      <c r="C61" s="23" t="str">
        <f>IF(B61,CONCATENATE(" &lt;font color=#FF0000&gt;&amp;nbsp;&lt;strong&gt;",D61,"&lt;/strong&gt;&amp;nbsp;&lt;/font&gt;"),"")</f>
        <v xml:space="preserve"> &lt;font color=#FF0000&gt;&amp;nbsp;&lt;strong&gt;Curriculum Vitae&lt;/strong&gt;&amp;nbsp;&lt;/font&gt;</v>
      </c>
      <c r="D61" s="6" t="s">
        <v>54</v>
      </c>
      <c r="E61" s="22"/>
      <c r="F61" s="13"/>
      <c r="G61" s="13"/>
      <c r="H61" s="13"/>
      <c r="I61" s="13"/>
    </row>
    <row r="62" spans="1:211" s="15" customFormat="1" ht="13">
      <c r="A62" s="2"/>
      <c r="B62" s="28"/>
      <c r="C62" s="23" t="s">
        <v>51</v>
      </c>
      <c r="D62" s="6"/>
      <c r="E62" s="79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</row>
    <row r="63" spans="1:211" s="15" customFormat="1" ht="13">
      <c r="A63" s="2"/>
      <c r="B63" s="28"/>
      <c r="C63" s="23" t="s">
        <v>34</v>
      </c>
      <c r="D63" s="6"/>
      <c r="E63" s="12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</row>
    <row r="64" spans="1:211" s="15" customFormat="1">
      <c r="A64" s="8"/>
      <c r="B64" s="29"/>
      <c r="C64" s="23"/>
      <c r="D64" s="14"/>
      <c r="E64" s="12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</row>
    <row r="65" spans="1:211" s="15" customFormat="1">
      <c r="A65" s="8"/>
      <c r="B65" s="29"/>
      <c r="C65" s="23"/>
      <c r="D65" s="14"/>
      <c r="E65" s="12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</row>
    <row r="66" spans="1:211" ht="13">
      <c r="A66" s="62" t="s">
        <v>83</v>
      </c>
      <c r="C66" s="23" t="s">
        <v>132</v>
      </c>
      <c r="D66" s="36" t="s">
        <v>91</v>
      </c>
      <c r="E66" s="37" t="s">
        <v>161</v>
      </c>
      <c r="F66" s="13"/>
      <c r="G66" s="13"/>
      <c r="H66" s="13"/>
      <c r="I66" s="13"/>
    </row>
    <row r="67" spans="1:211">
      <c r="A67" s="61"/>
      <c r="B67" s="29" t="b">
        <v>1</v>
      </c>
      <c r="C67" s="23" t="str">
        <f>IF(B67=TRUE,CONCATENATE("&lt;tr&gt;&lt;td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bgcolor='#EEEEEE'&gt;&lt;tr&gt;&lt;td&gt;&amp;nbsp;&lt;strong&gt;",D67,"&lt;/strong&gt;&lt;/td&gt;&lt;/tr&gt;&lt;/table&gt;&lt;/td&gt;&lt;td width=356 valign='top'&gt;  &lt;table cellspacing=0 cellpadding=1 border=0&gt;"),"")</f>
        <v>&lt;tr&gt;&lt;td colspan=2 valign='bottom'&gt;&lt;img src='../../img/line.gif'  width=536 height=1 border=0&gt;&lt;/td&gt;&lt;/tr&gt;&lt;tr&gt;&lt;td width=180 valign='top' &gt;&lt;table width='100%' bgcolor='#EEEEEE'&gt;&lt;tr&gt;&lt;td&gt;&amp;nbsp;&lt;strong&gt;Personal Information&lt;/strong&gt;&lt;/td&gt;&lt;/tr&gt;&lt;/table&gt;&lt;/td&gt;&lt;td width=356 valign='top'&gt;  &lt;table cellspacing=0 cellpadding=1 border=0&gt;</v>
      </c>
      <c r="D67" s="6" t="s">
        <v>107</v>
      </c>
      <c r="E67" s="10" t="s">
        <v>84</v>
      </c>
      <c r="F67" s="13" t="s">
        <v>84</v>
      </c>
      <c r="G67" s="13"/>
      <c r="H67" s="13"/>
      <c r="I67" s="13"/>
    </row>
    <row r="68" spans="1:211">
      <c r="A68" s="60"/>
      <c r="B68" s="29" t="b">
        <v>1</v>
      </c>
      <c r="C68" s="23" t="str">
        <f>IF(AND(B68,B$67),CONCATENATE("&lt;tr&gt;&lt;td&gt;&lt;em&gt;&lt;strong&gt;",D68,"&lt;/strong&gt;&lt;/em&gt;&lt;/td&gt;&lt;td&gt;",E68,"&lt;/td&gt;&lt;/tr&gt;"),"")</f>
        <v>&lt;tr&gt;&lt;td&gt;&lt;em&gt;&lt;strong&gt;Nationality:&lt;/strong&gt;&lt;/em&gt;&lt;/td&gt;&lt;td&gt;Bulgarian&lt;/td&gt;&lt;/tr&gt;</v>
      </c>
      <c r="D68" s="6" t="s">
        <v>109</v>
      </c>
      <c r="E68" s="11" t="s">
        <v>108</v>
      </c>
      <c r="F68" s="13"/>
      <c r="G68" s="13"/>
      <c r="H68" s="13"/>
      <c r="I68" s="13"/>
    </row>
    <row r="69" spans="1:211" ht="12.75" customHeight="1">
      <c r="A69" s="60"/>
      <c r="B69" s="29" t="b">
        <v>1</v>
      </c>
      <c r="C69" s="23" t="str">
        <f t="shared" ref="C69:C78" si="0">IF(AND(B69,B$67),CONCATENATE("&lt;tr&gt;&lt;td&gt;&lt;em&gt;&lt;strong&gt;",D69,"&lt;/strong&gt;&lt;/em&gt;&lt;/td&gt;&lt;td&gt;",E69,"&lt;/td&gt;&lt;/tr&gt;"),"")</f>
        <v>&lt;tr&gt;&lt;td&gt;&lt;em&gt;&lt;strong&gt;Place of Birth:&lt;/strong&gt;&lt;/em&gt;&lt;/td&gt;&lt;td&gt;5 September 1975&lt;/td&gt;&lt;/tr&gt;</v>
      </c>
      <c r="D69" s="6" t="s">
        <v>110</v>
      </c>
      <c r="E69" s="11" t="s">
        <v>116</v>
      </c>
      <c r="F69" s="13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11">
      <c r="A70" s="60"/>
      <c r="B70" s="29" t="b">
        <v>1</v>
      </c>
      <c r="C70" s="23" t="str">
        <f t="shared" si="0"/>
        <v>&lt;tr&gt;&lt;td&gt;&lt;em&gt;&lt;strong&gt;Date of Birth:&lt;/strong&gt;&lt;/em&gt;&lt;/td&gt;&lt;td&gt;Sofia, Bulgaria&lt;/td&gt;&lt;/tr&gt;</v>
      </c>
      <c r="D70" s="6" t="s">
        <v>111</v>
      </c>
      <c r="E70" s="11" t="s">
        <v>117</v>
      </c>
      <c r="F70" s="13"/>
      <c r="G70" s="19"/>
      <c r="H70" s="18"/>
      <c r="I70" s="18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11">
      <c r="A71" s="60"/>
      <c r="B71" s="29" t="b">
        <v>1</v>
      </c>
      <c r="C71" s="23" t="str">
        <f>IF(AND(B71,B$67),CONCATENATE("&lt;tr&gt;&lt;td&gt;&lt;em&gt;&lt;strong&gt;",D71,"&lt;/strong&gt;&lt;/em&gt;&lt;/td&gt;&lt;td&gt;",E71,"&lt;/td&gt;&lt;/tr&gt;"),"")</f>
        <v>&lt;tr&gt;&lt;td&gt;&lt;em&gt;&lt;strong&gt;Marital Satus:&lt;/strong&gt;&lt;/em&gt;&lt;/td&gt;&lt;td&gt;Single&lt;/td&gt;&lt;/tr&gt;</v>
      </c>
      <c r="D71" s="6" t="s">
        <v>112</v>
      </c>
      <c r="E71" s="3" t="s">
        <v>133</v>
      </c>
      <c r="F71" s="13"/>
      <c r="G71" s="18"/>
      <c r="H71" s="18"/>
      <c r="I71" s="18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11">
      <c r="A72" s="60"/>
      <c r="B72" s="29" t="b">
        <v>1</v>
      </c>
      <c r="C72" s="23" t="str">
        <f>IF(AND(B72,B$67),CONCATENATE("&lt;tr&gt;&lt;td&gt;&lt;em&gt;&lt;strong&gt;",D72,"&lt;/strong&gt;&lt;/em&gt;&lt;/td&gt;&lt;td&gt;",E72,"&lt;/td&gt;&lt;/tr&gt;"),"")</f>
        <v>&lt;tr&gt;&lt;td&gt;&lt;em&gt;&lt;strong&gt;Address:&lt;/strong&gt;&lt;/em&gt;&lt;/td&gt;&lt;td&gt;19 Koziak Str., Bl. Perun, apt. 99 &lt;br&gt; 1407 Sofia, Bulgaria&lt;/td&gt;&lt;/tr&gt;</v>
      </c>
      <c r="D72" s="6" t="s">
        <v>134</v>
      </c>
      <c r="E72" s="11" t="s">
        <v>135</v>
      </c>
      <c r="F72" s="13"/>
      <c r="G72" s="17"/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11">
      <c r="A73" s="60"/>
      <c r="B73" s="29" t="b">
        <v>1</v>
      </c>
      <c r="C73" s="23" t="str">
        <f>IF(AND(B73,B$67),CONCATENATE("&lt;tr&gt;&lt;td&gt;&lt;em&gt;&lt;strong&gt;",D73,"&lt;/strong&gt;&lt;/em&gt;&lt;/td&gt;&lt;td&gt;",E73,"&lt;/td&gt;&lt;/tr&gt;"),"")</f>
        <v>&lt;tr&gt;&lt;td&gt;&lt;em&gt;&lt;strong&gt;Telephone:&lt;/strong&gt;&lt;/em&gt;&lt;/td&gt;&lt;td&gt; +(359)2 626515 &lt;/td&gt;&lt;/tr&gt;</v>
      </c>
      <c r="D73" s="6" t="s">
        <v>113</v>
      </c>
      <c r="E73" s="11" t="s">
        <v>118</v>
      </c>
      <c r="F73" s="13"/>
      <c r="G73" s="13"/>
      <c r="H73" s="13"/>
      <c r="I73" s="13"/>
    </row>
    <row r="74" spans="1:211">
      <c r="A74" s="60"/>
      <c r="B74" s="29" t="b">
        <v>0</v>
      </c>
      <c r="C74" s="23" t="str">
        <f>IF(AND(B74,B$67),CONCATENATE("&lt;tr&gt;&lt;td&gt;&lt;em&gt;&lt;strong&gt;",D74,"&lt;/strong&gt;&lt;/em&gt;&lt;/td&gt;&lt;td&gt;",E74,"&lt;/td&gt;&lt;/tr&gt;"),"")</f>
        <v/>
      </c>
      <c r="D74" s="6" t="s">
        <v>114</v>
      </c>
      <c r="E74" s="11" t="s">
        <v>119</v>
      </c>
      <c r="F74" s="13"/>
      <c r="G74" s="13"/>
      <c r="H74" s="13"/>
      <c r="I74" s="13"/>
    </row>
    <row r="75" spans="1:211">
      <c r="A75" s="60"/>
      <c r="B75" s="29" t="b">
        <v>0</v>
      </c>
      <c r="C75" s="23" t="str">
        <f t="shared" si="0"/>
        <v/>
      </c>
      <c r="D75" s="6" t="s">
        <v>115</v>
      </c>
      <c r="E75" s="11" t="s">
        <v>120</v>
      </c>
      <c r="F75" s="13"/>
      <c r="G75" s="13"/>
      <c r="H75" s="13"/>
      <c r="I75" s="13"/>
    </row>
    <row r="76" spans="1:211">
      <c r="A76" s="60"/>
      <c r="B76" s="29" t="b">
        <v>0</v>
      </c>
      <c r="C76" s="23" t="str">
        <f t="shared" si="0"/>
        <v/>
      </c>
      <c r="E76" s="11"/>
      <c r="F76" s="13"/>
      <c r="G76" s="13"/>
      <c r="H76" s="13"/>
      <c r="I76" s="13"/>
    </row>
    <row r="77" spans="1:211">
      <c r="A77" s="60"/>
      <c r="B77" s="29" t="b">
        <v>0</v>
      </c>
      <c r="C77" s="23" t="str">
        <f t="shared" si="0"/>
        <v/>
      </c>
      <c r="E77" s="11"/>
      <c r="F77" s="13"/>
      <c r="G77" s="13"/>
      <c r="H77" s="13"/>
      <c r="I77" s="13"/>
    </row>
    <row r="78" spans="1:211">
      <c r="A78" s="60"/>
      <c r="B78" s="29" t="b">
        <v>0</v>
      </c>
      <c r="C78" s="23" t="str">
        <f t="shared" si="0"/>
        <v/>
      </c>
      <c r="E78" s="11"/>
      <c r="F78" s="13"/>
      <c r="G78" s="13"/>
      <c r="H78" s="13"/>
      <c r="I78" s="13"/>
    </row>
    <row r="79" spans="1:211">
      <c r="C79" s="23" t="str">
        <f>IF(B67=TRUE,"&lt;/table&gt;&lt;/td&gt;&lt;/tr&gt;","")</f>
        <v>&lt;/table&gt;&lt;/td&gt;&lt;/tr&gt;</v>
      </c>
      <c r="D79" s="36" t="s">
        <v>85</v>
      </c>
      <c r="E79" s="37" t="s">
        <v>86</v>
      </c>
      <c r="F79" s="35" t="s">
        <v>87</v>
      </c>
      <c r="G79" s="35" t="s">
        <v>88</v>
      </c>
      <c r="H79" s="35" t="s">
        <v>89</v>
      </c>
      <c r="I79" s="35" t="s">
        <v>90</v>
      </c>
    </row>
    <row r="80" spans="1:211">
      <c r="A80" s="61"/>
      <c r="B80" s="29" t="b">
        <v>1</v>
      </c>
      <c r="C80" s="23" t="str">
        <f>IF(B80=TRUE,CONCATENATE("&lt;tr&gt;&lt;td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bgcolor='#EEEEEE'&gt;&lt;tr&gt;&lt;td&gt;&amp;nbsp;&lt;strong&gt;",D80,"&lt;/strong&gt;&lt;/td&gt;&lt;/tr&gt;&lt;/table&gt;&lt;/td&gt;&lt;td width=356 valign='top'&gt;  &lt;table width='100%' cellspacing=0 cellpadding=1 border=0&gt;"),"")</f>
        <v>&lt;tr&gt;&lt;td colspan=2 valign='bottom'&gt;&lt;img src='../../img/line.gif'  width=536 height=1 border=0&gt;&lt;/td&gt;&lt;/tr&gt;&lt;tr&gt;&lt;td width=180 valign='top' &gt;&lt;table width='100%' bgcolor='#EEEEEE'&gt;&lt;tr&gt;&lt;td&gt;&amp;nbsp;&lt;strong&gt;Education&lt;/strong&gt;&lt;/td&gt;&lt;/tr&gt;&lt;/table&gt;&lt;/td&gt;&lt;td width=356 valign='top'&gt;  &lt;table width='100%' cellspacing=0 cellpadding=1 border=0&gt;</v>
      </c>
      <c r="D80" s="40" t="s">
        <v>121</v>
      </c>
      <c r="E80" s="41"/>
      <c r="F80" s="42"/>
      <c r="G80" s="42"/>
      <c r="H80" s="42"/>
      <c r="I80" s="42"/>
    </row>
    <row r="81" spans="1:9">
      <c r="A81" s="60"/>
      <c r="B81" s="29" t="b">
        <v>1</v>
      </c>
      <c r="C81" s="23" t="str">
        <f>IF(AND(B$80,B81),CONCATENATE("&lt;tr&gt;&lt;td&gt;",E81," - ",F81,"&lt;/td&gt;&lt;td&gt;",D81,"&lt;/td&gt;&lt;td&gt;",G81,"&lt;/td&gt;&lt;/tr&gt;&lt;tr&gt;&lt;td colspan=3&gt;&lt;strong&gt;",H81,"&lt;/strong&gt;&lt;/td&gt;&lt;/tr&gt;&lt;tr&gt;&lt;td colspan=3&gt;&lt;em&gt;",I81,"&lt;/em&gt;&lt;/td&gt;&lt;/tr&gt;&lt;tr&gt;&lt;td colspan=3&gt;&amp;nbsp;&lt;/td&gt;&lt;/tr&gt;"),"")</f>
        <v>&lt;tr&gt;&lt;td&gt;1993 - 1998&lt;/td&gt;&lt;td&gt;Technical University,&lt;/td&gt;&lt;td&gt;Sofia&lt;/td&gt;&lt;/tr&gt;&lt;tr&gt;&lt;td colspan=3&gt;&lt;strong&gt;Master of Computer Science&lt;/strong&gt;&lt;/td&gt;&lt;/tr&gt;&lt;tr&gt;&lt;td colspan=3&gt;&lt;em&gt;Department of Computer Science.&lt;br&gt;Specialty: Computer Engineering.&lt;br&gt;Graduate thesis: Generalized Nets in Machine Learning.&lt;/em&gt;&lt;/td&gt;&lt;/tr&gt;&lt;tr&gt;&lt;td colspan=3&gt;&amp;nbsp;&lt;/td&gt;&lt;/tr&gt;</v>
      </c>
      <c r="D81" s="40" t="s">
        <v>125</v>
      </c>
      <c r="E81" s="43" t="s">
        <v>122</v>
      </c>
      <c r="F81" s="44" t="s">
        <v>123</v>
      </c>
      <c r="G81" s="44" t="s">
        <v>124</v>
      </c>
      <c r="H81" s="44" t="s">
        <v>126</v>
      </c>
      <c r="I81" s="44" t="s">
        <v>127</v>
      </c>
    </row>
    <row r="82" spans="1:9">
      <c r="A82" s="60"/>
      <c r="B82" s="29" t="b">
        <v>0</v>
      </c>
      <c r="C82" s="23" t="str">
        <f>IF(AND(B$80,B82),CONCATENATE("&lt;tr&gt;&lt;td&gt;",E82," - ",F82,"&lt;/td&gt;&lt;td&gt;",D82,"&lt;/td&gt;&lt;td&gt;",G82,"&lt;/td&gt;&lt;/tr&gt;&lt;tr&gt;&lt;td colspan=3&gt;&lt;strong&gt;",H82,"&lt;/strong&gt;&lt;/td&gt;&lt;/tr&gt;&lt;tr&gt;&lt;td colspan=3&gt;&lt;em&gt;",I82,"&lt;/em&gt;&lt;/td&gt;&lt;/tr&gt;&lt;tr&gt;&lt;td colspan=3&gt;&amp;nbsp;&lt;/td&gt;&lt;/tr&gt;"),"")</f>
        <v/>
      </c>
      <c r="D82" s="40" t="s">
        <v>125</v>
      </c>
      <c r="E82" s="43" t="s">
        <v>128</v>
      </c>
      <c r="F82" s="44" t="s">
        <v>129</v>
      </c>
      <c r="G82" s="44" t="s">
        <v>124</v>
      </c>
      <c r="H82" s="44" t="s">
        <v>130</v>
      </c>
      <c r="I82" s="44" t="s">
        <v>131</v>
      </c>
    </row>
    <row r="83" spans="1:9">
      <c r="A83" s="60"/>
      <c r="B83" s="29" t="b">
        <v>0</v>
      </c>
      <c r="C83" s="23" t="str">
        <f>IF(AND(B$80,B83),CONCATENATE("&lt;tr&gt;&lt;td&gt;",E83," - ",F83,"&lt;/td&gt;&lt;td&gt;",D83,"&lt;/td&gt;&lt;td&gt;",G83,"&lt;/td&gt;&lt;/tr&gt;&lt;tr&gt;&lt;td colspan=3&gt;&lt;strong&gt;",H83,"&lt;/strong&gt;&lt;/td&gt;&lt;/tr&gt;&lt;tr&gt;&lt;td colspan=3&gt;&lt;em&gt;",I83,"&lt;/em&gt;&lt;/td&gt;&lt;/tr&gt;&lt;tr&gt;&lt;td colspan=3&gt;&amp;nbsp;&lt;/td&gt;&lt;/tr&gt;"),"")</f>
        <v/>
      </c>
      <c r="D83" s="40"/>
      <c r="E83" s="43"/>
      <c r="F83" s="44"/>
      <c r="G83" s="44"/>
      <c r="H83" s="44"/>
      <c r="I83" s="44"/>
    </row>
    <row r="84" spans="1:9">
      <c r="A84" s="60"/>
      <c r="B84" s="29" t="b">
        <v>0</v>
      </c>
      <c r="C84" s="23" t="str">
        <f>IF(AND(B$80,B84),CONCATENATE("&lt;tr&gt;&lt;td&gt;",E84," - ",F84,"&lt;/td&gt;&lt;td&gt;",D84,"&lt;/td&gt;&lt;td&gt;",G84,"&lt;/td&gt;&lt;/tr&gt;&lt;tr&gt;&lt;td colspan=3&gt;&lt;strong&gt;",H84,"&lt;/strong&gt;&lt;/td&gt;&lt;/tr&gt;&lt;tr&gt;&lt;td colspan=3&gt;&lt;em&gt;",I84,"&lt;/em&gt;&lt;/td&gt;&lt;/tr&gt;&lt;tr&gt;&lt;td colspan=3&gt;&amp;nbsp;&lt;/td&gt;&lt;/tr&gt;"),"")</f>
        <v/>
      </c>
      <c r="D84" s="40"/>
      <c r="E84" s="43"/>
      <c r="F84" s="44"/>
      <c r="G84" s="44"/>
      <c r="H84" s="44"/>
      <c r="I84" s="44"/>
    </row>
    <row r="85" spans="1:9">
      <c r="A85" s="60"/>
      <c r="B85" s="29" t="b">
        <v>0</v>
      </c>
      <c r="C85" s="23" t="str">
        <f>IF(AND(B$80,B85),CONCATENATE("&lt;tr&gt;&lt;td&gt;",E85," - ",F85,"&lt;/td&gt;&lt;td&gt;",D85,"&lt;/td&gt;&lt;td&gt;",G85,"&lt;/td&gt;&lt;/tr&gt;&lt;tr&gt;&lt;td colspan=3&gt;&lt;strong&gt;",H85,"&lt;/strong&gt;&lt;/td&gt;&lt;/tr&gt;&lt;tr&gt;&lt;td colspan=3&gt;&lt;em&gt;",I85,"&lt;/em&gt;&lt;/td&gt;&lt;/tr&gt;&lt;tr&gt;&lt;td colspan=3&gt;&amp;nbsp;&lt;/td&gt;&lt;/tr&gt;"),"")</f>
        <v/>
      </c>
      <c r="D85" s="40"/>
      <c r="E85" s="43"/>
      <c r="F85" s="44"/>
      <c r="G85" s="44"/>
      <c r="H85" s="44"/>
      <c r="I85" s="44"/>
    </row>
    <row r="86" spans="1:9">
      <c r="C86" s="23" t="str">
        <f>IF(B80=TRUE,"&lt;/table&gt;&lt;/td&gt;&lt;/tr&gt;","")</f>
        <v>&lt;/table&gt;&lt;/td&gt;&lt;/tr&gt;</v>
      </c>
      <c r="D86" s="36" t="s">
        <v>85</v>
      </c>
      <c r="E86" s="37" t="s">
        <v>86</v>
      </c>
      <c r="F86" s="35" t="s">
        <v>87</v>
      </c>
      <c r="G86" s="35" t="s">
        <v>88</v>
      </c>
      <c r="H86" s="35" t="s">
        <v>89</v>
      </c>
      <c r="I86" s="35" t="s">
        <v>90</v>
      </c>
    </row>
    <row r="87" spans="1:9">
      <c r="A87" s="61"/>
      <c r="B87" s="29" t="b">
        <v>0</v>
      </c>
      <c r="C87" s="23" t="str">
        <f>IF(B87=TRUE,CONCATENATE("&lt;tr&gt;&lt;td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bgcolor='#EEEEEE'&gt;&lt;tr&gt;&lt;td&gt;&amp;nbsp;&lt;strong&gt;",D87,"&lt;/strong&gt;&lt;/td&gt;&lt;/tr&gt;&lt;/table&gt;&lt;/td&gt;&lt;td width=356 valign='top'&gt;  &lt;table width='100%' cellspacing=0 cellpadding=1 border=0&gt;"),"")</f>
        <v/>
      </c>
      <c r="D87" s="6" t="s">
        <v>136</v>
      </c>
    </row>
    <row r="88" spans="1:9">
      <c r="A88" s="60"/>
      <c r="B88" s="29" t="b">
        <v>0</v>
      </c>
      <c r="C88" s="23" t="str">
        <f>IF(AND(B$80,B88),CONCATENATE("&lt;tr&gt;&lt;td&gt;",E88," - ",F88,"&lt;/td&gt;&lt;td&gt;",D88,"&lt;/td&gt;&lt;td&gt;",G88,"&lt;/td&gt;&lt;/tr&gt;&lt;tr&gt;&lt;td colspan=3&gt;&lt;strong&gt;",H88,"&lt;/strong&gt;&lt;/td&gt;&lt;/tr&gt;&lt;tr&gt;&lt;td colspan=3&gt;&lt;em&gt;",I88,"&lt;/em&gt;&lt;/td&gt;&lt;/tr&gt;&lt;tr&gt;&lt;td colspan=3&gt;&amp;nbsp;&lt;/td&gt;&lt;/tr&gt;"),"")</f>
        <v/>
      </c>
      <c r="D88" s="6" t="s">
        <v>137</v>
      </c>
      <c r="E88" s="11" t="s">
        <v>138</v>
      </c>
      <c r="F88" s="3" t="s">
        <v>139</v>
      </c>
      <c r="G88" s="3" t="s">
        <v>124</v>
      </c>
      <c r="H88" s="3" t="s">
        <v>140</v>
      </c>
      <c r="I88" s="3" t="s">
        <v>141</v>
      </c>
    </row>
    <row r="89" spans="1:9">
      <c r="A89" s="60"/>
      <c r="B89" s="29" t="b">
        <v>0</v>
      </c>
      <c r="C89" s="23" t="str">
        <f>IF(AND(B$80,B89),CONCATENATE("&lt;tr&gt;&lt;td&gt;",E89," - ",F89,"&lt;/td&gt;&lt;td&gt;",D89,"&lt;/td&gt;&lt;td&gt;",G89,"&lt;/td&gt;&lt;/tr&gt;&lt;tr&gt;&lt;td colspan=3&gt;&lt;strong&gt;",H89,"&lt;/strong&gt;&lt;/td&gt;&lt;/tr&gt;&lt;tr&gt;&lt;td colspan=3&gt;&lt;em&gt;",I89,"&lt;/em&gt;&lt;/td&gt;&lt;/tr&gt;&lt;tr&gt;&lt;td colspan=3&gt;&amp;nbsp;&lt;/td&gt;&lt;/tr&gt;"),"")</f>
        <v/>
      </c>
    </row>
    <row r="90" spans="1:9">
      <c r="A90" s="60"/>
      <c r="B90" s="29" t="b">
        <v>0</v>
      </c>
      <c r="C90" s="23" t="str">
        <f>IF(AND(B$80,B90),CONCATENATE("&lt;tr&gt;&lt;td&gt;",E90," - ",F90,"&lt;/td&gt;&lt;td&gt;",D90,"&lt;/td&gt;&lt;td&gt;",G90,"&lt;/td&gt;&lt;/tr&gt;&lt;tr&gt;&lt;td colspan=3&gt;&lt;strong&gt;",H90,"&lt;/strong&gt;&lt;/td&gt;&lt;/tr&gt;&lt;tr&gt;&lt;td colspan=3&gt;&lt;em&gt;",I90,"&lt;/em&gt;&lt;/td&gt;&lt;/tr&gt;&lt;tr&gt;&lt;td colspan=3&gt;&amp;nbsp;&lt;/td&gt;&lt;/tr&gt;"),"")</f>
        <v/>
      </c>
    </row>
    <row r="91" spans="1:9">
      <c r="A91" s="60"/>
      <c r="B91" s="29" t="b">
        <v>0</v>
      </c>
      <c r="C91" s="23" t="str">
        <f>IF(AND(B$80,B91),CONCATENATE("&lt;tr&gt;&lt;td&gt;",E91," - ",F91,"&lt;/td&gt;&lt;td&gt;",D91,"&lt;/td&gt;&lt;td&gt;",G91,"&lt;/td&gt;&lt;/tr&gt;&lt;tr&gt;&lt;td colspan=3&gt;&lt;strong&gt;",H91,"&lt;/strong&gt;&lt;/td&gt;&lt;/tr&gt;&lt;tr&gt;&lt;td colspan=3&gt;&lt;em&gt;",I91,"&lt;/em&gt;&lt;/td&gt;&lt;/tr&gt;&lt;tr&gt;&lt;td colspan=3&gt;&amp;nbsp;&lt;/td&gt;&lt;/tr&gt;"),"")</f>
        <v/>
      </c>
    </row>
    <row r="92" spans="1:9">
      <c r="A92" s="60"/>
      <c r="B92" s="29" t="b">
        <v>0</v>
      </c>
      <c r="C92" s="23" t="str">
        <f>IF(AND(B$80,B92),CONCATENATE("&lt;tr&gt;&lt;td&gt;",E92," - ",F92,"&lt;/td&gt;&lt;td&gt;",D92,"&lt;/td&gt;&lt;td&gt;",G92,"&lt;/td&gt;&lt;/tr&gt;&lt;tr&gt;&lt;td colspan=3&gt;&lt;strong&gt;",H92,"&lt;/strong&gt;&lt;/td&gt;&lt;/tr&gt;&lt;tr&gt;&lt;td colspan=3&gt;&lt;em&gt;",I92,"&lt;/em&gt;&lt;/td&gt;&lt;/tr&gt;&lt;tr&gt;&lt;td colspan=3&gt;&amp;nbsp;&lt;/td&gt;&lt;/tr&gt;"),"")</f>
        <v/>
      </c>
    </row>
    <row r="93" spans="1:9">
      <c r="C93" s="23" t="str">
        <f>IF(B87=TRUE,"&lt;/table&gt;&lt;/td&gt;&lt;/tr&gt;","")</f>
        <v/>
      </c>
      <c r="D93" s="36" t="s">
        <v>93</v>
      </c>
      <c r="E93" s="37" t="s">
        <v>86</v>
      </c>
      <c r="F93" s="35" t="s">
        <v>87</v>
      </c>
      <c r="G93" s="35" t="s">
        <v>88</v>
      </c>
      <c r="H93" s="35" t="s">
        <v>94</v>
      </c>
      <c r="I93" s="35" t="s">
        <v>95</v>
      </c>
    </row>
    <row r="94" spans="1:9">
      <c r="A94" s="63"/>
      <c r="B94" s="29" t="b">
        <v>1</v>
      </c>
      <c r="C94" s="23" t="str">
        <f>IF(B94=TRUE,CONCATENATE("&lt;tr&gt;&lt;td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bgcolor='#EEEEEE'&gt;&lt;tr&gt;&lt;td&gt;&amp;nbsp;&lt;strong&gt;",D94,"&lt;/strong&gt;&lt;/td&gt;&lt;/tr&gt;&lt;/table&gt;&lt;/td&gt;&lt;td width=356 valign='top'&gt;  &lt;table width='100%' cellspacing=0 cellpadding=1 border=0&gt;"),"")</f>
        <v>&lt;tr&gt;&lt;td colspan=2 valign='bottom'&gt;&lt;img src='../../img/line.gif'  width=536 height=1 border=0&gt;&lt;/td&gt;&lt;/tr&gt;&lt;tr&gt;&lt;td width=180 valign='top' &gt;&lt;table width='100%' bgcolor='#EEEEEE'&gt;&lt;tr&gt;&lt;td&gt;&amp;nbsp;&lt;strong&gt;Work Experience&lt;/strong&gt;&lt;/td&gt;&lt;/tr&gt;&lt;/table&gt;&lt;/td&gt;&lt;td width=356 valign='top'&gt;  &lt;table width='100%' cellspacing=0 cellpadding=1 border=0&gt;</v>
      </c>
      <c r="D94" s="6" t="s">
        <v>92</v>
      </c>
    </row>
    <row r="95" spans="1:9">
      <c r="A95" s="60"/>
      <c r="B95" s="29" t="b">
        <v>1</v>
      </c>
      <c r="C95" s="23" t="str">
        <f>IF(AND(B$80,B95),CONCATENATE("&lt;tr&gt;&lt;td&gt;",E95," - ",F95,"&lt;/td&gt;&lt;td&gt;",D95,"&lt;/td&gt;&lt;td&gt;",G95,"&lt;/td&gt;&lt;/tr&gt;&lt;tr&gt;&lt;td colspan=3&gt;&lt;strong&gt;",H95,"&lt;/strong&gt;&lt;/td&gt;&lt;/tr&gt;&lt;tr&gt;&lt;td colspan=3&gt;&lt;em&gt;",I95,"&lt;/em&gt;&lt;/td&gt;&lt;/tr&gt;&lt;tr&gt;&lt;td colspan=3&gt;&amp;nbsp;&lt;/td&gt;&lt;/tr&gt;"),"")</f>
        <v>&lt;tr&gt;&lt;td&gt;1996 - 1997&lt;/td&gt;&lt;td&gt;Union ''Knowledge''&lt;/td&gt;&lt;td&gt;Sofia&lt;/td&gt;&lt;/tr&gt;&lt;tr&gt;&lt;td colspan=3&gt;&lt;strong&gt;Teacher&lt;/strong&gt;&lt;/td&gt;&lt;/tr&gt;&lt;tr&gt;&lt;td colspan=3&gt;&lt;em&gt;Computer skills teacher&lt;/em&gt;&lt;/td&gt;&lt;/tr&gt;&lt;tr&gt;&lt;td colspan=3&gt;&amp;nbsp;&lt;/td&gt;&lt;/tr&gt;</v>
      </c>
      <c r="D95" s="6" t="s">
        <v>142</v>
      </c>
      <c r="E95" s="11" t="s">
        <v>143</v>
      </c>
      <c r="F95" s="3" t="s">
        <v>129</v>
      </c>
      <c r="G95" s="3" t="s">
        <v>124</v>
      </c>
      <c r="H95" s="3" t="s">
        <v>144</v>
      </c>
      <c r="I95" s="3" t="s">
        <v>145</v>
      </c>
    </row>
    <row r="96" spans="1:9">
      <c r="A96" s="60"/>
      <c r="B96" s="29" t="b">
        <v>1</v>
      </c>
      <c r="C96" s="23" t="str">
        <f t="shared" ref="C96:C104" si="1">IF(AND(B$80,B96),CONCATENATE("&lt;tr&gt;&lt;td&gt;",E96," - ",F96,"&lt;/td&gt;&lt;td&gt;",D96,"&lt;/td&gt;&lt;td&gt;",G96,"&lt;/td&gt;&lt;/tr&gt;&lt;tr&gt;&lt;td colspan=3&gt;&lt;strong&gt;",H96,"&lt;/strong&gt;&lt;/td&gt;&lt;/tr&gt;&lt;tr&gt;&lt;td colspan=3&gt;&lt;em&gt;",I96,"&lt;/em&gt;&lt;/td&gt;&lt;/tr&gt;&lt;tr&gt;&lt;td colspan=3&gt;&amp;nbsp;&lt;/td&gt;&lt;/tr&gt;"),"")</f>
        <v>&lt;tr&gt;&lt;td&gt; - &lt;/td&gt;&lt;td&gt;&lt;/td&gt;&lt;td&gt;&lt;/td&gt;&lt;/tr&gt;&lt;tr&gt;&lt;td colspan=3&gt;&lt;strong&gt;&lt;/strong&gt;&lt;/td&gt;&lt;/tr&gt;&lt;tr&gt;&lt;td colspan=3&gt;&lt;em&gt;&lt;/em&gt;&lt;/td&gt;&lt;/tr&gt;&lt;tr&gt;&lt;td colspan=3&gt;&amp;nbsp;&lt;/td&gt;&lt;/tr&gt;</v>
      </c>
      <c r="E96" s="11"/>
      <c r="F96" s="3"/>
      <c r="G96" s="3"/>
      <c r="H96" s="3"/>
      <c r="I96" s="3"/>
    </row>
    <row r="97" spans="1:9">
      <c r="A97" s="60"/>
      <c r="B97" s="29" t="b">
        <v>1</v>
      </c>
      <c r="C97" s="23" t="str">
        <f t="shared" si="1"/>
        <v>&lt;tr&gt;&lt;td&gt; - &lt;/td&gt;&lt;td&gt;&lt;/td&gt;&lt;td&gt;&lt;/td&gt;&lt;/tr&gt;&lt;tr&gt;&lt;td colspan=3&gt;&lt;strong&gt;&lt;/strong&gt;&lt;/td&gt;&lt;/tr&gt;&lt;tr&gt;&lt;td colspan=3&gt;&lt;em&gt;&lt;/em&gt;&lt;/td&gt;&lt;/tr&gt;&lt;tr&gt;&lt;td colspan=3&gt;&amp;nbsp;&lt;/td&gt;&lt;/tr&gt;</v>
      </c>
      <c r="E97" s="11"/>
      <c r="F97" s="3"/>
      <c r="G97" s="3"/>
      <c r="H97" s="3"/>
      <c r="I97" s="3"/>
    </row>
    <row r="98" spans="1:9">
      <c r="A98" s="60"/>
      <c r="B98" s="29" t="b">
        <v>1</v>
      </c>
      <c r="C98" s="23" t="str">
        <f t="shared" si="1"/>
        <v>&lt;tr&gt;&lt;td&gt; - &lt;/td&gt;&lt;td&gt;&lt;/td&gt;&lt;td&gt;&lt;/td&gt;&lt;/tr&gt;&lt;tr&gt;&lt;td colspan=3&gt;&lt;strong&gt;&lt;/strong&gt;&lt;/td&gt;&lt;/tr&gt;&lt;tr&gt;&lt;td colspan=3&gt;&lt;em&gt;&lt;/em&gt;&lt;/td&gt;&lt;/tr&gt;&lt;tr&gt;&lt;td colspan=3&gt;&amp;nbsp;&lt;/td&gt;&lt;/tr&gt;</v>
      </c>
      <c r="E98" s="11"/>
      <c r="F98" s="3"/>
      <c r="G98" s="3"/>
      <c r="H98" s="3"/>
      <c r="I98" s="3"/>
    </row>
    <row r="99" spans="1:9">
      <c r="A99" s="60"/>
      <c r="B99" s="29" t="b">
        <v>0</v>
      </c>
      <c r="C99" s="23" t="str">
        <f t="shared" si="1"/>
        <v/>
      </c>
      <c r="E99" s="11"/>
      <c r="F99" s="3"/>
      <c r="G99" s="3"/>
      <c r="H99" s="3"/>
      <c r="I99" s="3"/>
    </row>
    <row r="100" spans="1:9">
      <c r="A100" s="60"/>
      <c r="B100" s="29" t="b">
        <v>0</v>
      </c>
      <c r="C100" s="23" t="str">
        <f t="shared" si="1"/>
        <v/>
      </c>
      <c r="E100" s="11"/>
      <c r="F100" s="3"/>
      <c r="G100" s="3"/>
      <c r="H100" s="3"/>
      <c r="I100" s="3"/>
    </row>
    <row r="101" spans="1:9">
      <c r="A101" s="60"/>
      <c r="B101" s="29" t="b">
        <v>0</v>
      </c>
      <c r="C101" s="23" t="str">
        <f t="shared" si="1"/>
        <v/>
      </c>
      <c r="E101" s="11"/>
      <c r="F101" s="3"/>
      <c r="G101" s="3"/>
      <c r="H101" s="3"/>
      <c r="I101" s="3"/>
    </row>
    <row r="102" spans="1:9">
      <c r="A102" s="60"/>
      <c r="B102" s="29" t="b">
        <v>0</v>
      </c>
      <c r="C102" s="23" t="str">
        <f t="shared" si="1"/>
        <v/>
      </c>
      <c r="E102" s="11"/>
      <c r="F102" s="3"/>
      <c r="G102" s="3"/>
      <c r="H102" s="3"/>
      <c r="I102" s="3"/>
    </row>
    <row r="103" spans="1:9">
      <c r="A103" s="60"/>
      <c r="B103" s="29" t="b">
        <v>0</v>
      </c>
      <c r="C103" s="23" t="str">
        <f t="shared" si="1"/>
        <v/>
      </c>
      <c r="E103" s="11"/>
      <c r="F103" s="3"/>
      <c r="G103" s="3"/>
      <c r="H103" s="3"/>
      <c r="I103" s="3"/>
    </row>
    <row r="104" spans="1:9">
      <c r="A104" s="60"/>
      <c r="B104" s="29" t="b">
        <v>0</v>
      </c>
      <c r="C104" s="23" t="str">
        <f t="shared" si="1"/>
        <v/>
      </c>
      <c r="E104" s="11"/>
      <c r="F104" s="3"/>
      <c r="G104" s="3"/>
      <c r="H104" s="3"/>
      <c r="I104" s="3"/>
    </row>
    <row r="105" spans="1:9">
      <c r="C105" s="23" t="str">
        <f>IF(B94=TRUE,"&lt;/table&gt;&lt;/td&gt;&lt;/tr&gt;","")</f>
        <v>&lt;/table&gt;&lt;/td&gt;&lt;/tr&gt;</v>
      </c>
      <c r="D105" s="36" t="s">
        <v>91</v>
      </c>
      <c r="E105" s="37" t="s">
        <v>97</v>
      </c>
      <c r="F105" s="13"/>
      <c r="G105" s="13"/>
      <c r="H105" s="13"/>
      <c r="I105" s="13"/>
    </row>
    <row r="106" spans="1:9">
      <c r="A106" s="63"/>
      <c r="B106" s="29" t="b">
        <v>1</v>
      </c>
      <c r="C106" s="23" t="str">
        <f>IF(B106=TRUE,CONCATENATE("&lt;tr&gt;&lt;td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bgcolor='#EEEEEE'&gt;&lt;tr&gt;&lt;td&gt;&amp;nbsp;&lt;strong&gt;",D106,"&lt;/strong&gt;&lt;/td&gt;&lt;/tr&gt;&lt;/table&gt;&lt;/td&gt;&lt;td width=356 valign='top'&gt;",E106,"&lt;/td&gt;&lt;/tr&gt;"),"")</f>
        <v>&lt;tr&gt;&lt;td colspan=2 valign='bottom'&gt;&lt;img src='../../img/line.gif'  width=536 height=1 border=0&gt;&lt;/td&gt;&lt;/tr&gt;&lt;tr&gt;&lt;td width=180 valign='top' &gt;&lt;table width='100%' bgcolor='#EEEEEE'&gt;&lt;tr&gt;&lt;td&gt;&amp;nbsp;&lt;strong&gt;Research Fields&lt;/strong&gt;&lt;/td&gt;&lt;/tr&gt;&lt;/table&gt;&lt;/td&gt;&lt;td width=356 valign='top'&gt;artificial intelligence, motor control, discrete mathematics, programming&lt;/td&gt;&lt;/tr&gt;</v>
      </c>
      <c r="D106" s="6" t="s">
        <v>96</v>
      </c>
      <c r="E106" s="11" t="s">
        <v>146</v>
      </c>
      <c r="F106" s="13"/>
      <c r="G106" s="13"/>
      <c r="H106" s="13"/>
      <c r="I106" s="13"/>
    </row>
    <row r="107" spans="1:9">
      <c r="A107" s="21"/>
      <c r="E107" s="11"/>
      <c r="F107" s="13"/>
      <c r="G107" s="13"/>
      <c r="H107" s="13"/>
      <c r="I107" s="13"/>
    </row>
    <row r="108" spans="1:9">
      <c r="C108" s="23" t="str">
        <f t="shared" ref="C108:C119" si="2">IF(B108=TRUE,"","")</f>
        <v/>
      </c>
      <c r="D108" s="36" t="s">
        <v>99</v>
      </c>
      <c r="F108" s="13"/>
      <c r="G108" s="13"/>
      <c r="H108" s="13"/>
      <c r="I108" s="13"/>
    </row>
    <row r="109" spans="1:9">
      <c r="A109" s="63"/>
      <c r="B109" s="29" t="b">
        <v>1</v>
      </c>
      <c r="C109" s="23" t="str">
        <f>IF(B109=TRUE,CONCATENATE("&lt;tr&gt;&lt;td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bgcolor='#EEEEEE'&gt;&lt;tr&gt;&lt;td&gt;&amp;nbsp;&lt;strong&gt;",D109,"&lt;/strong&gt;&lt;/td&gt;&lt;/tr&gt;&lt;/table&gt;&lt;/td&gt;&lt;td width=356 valign='top'&gt;  &lt;table width='100%' cellspacing=0 cellpadding=1 border=0&gt;"),"")</f>
        <v>&lt;tr&gt;&lt;td colspan=2 valign='bottom'&gt;&lt;img src='../../img/line.gif'  width=536 height=1 border=0&gt;&lt;/td&gt;&lt;/tr&gt;&lt;tr&gt;&lt;td width=180 valign='top' &gt;&lt;table width='100%' bgcolor='#EEEEEE'&gt;&lt;tr&gt;&lt;td&gt;&amp;nbsp;&lt;strong&gt;Professional Memberships&lt;/strong&gt;&lt;/td&gt;&lt;/tr&gt;&lt;/table&gt;&lt;/td&gt;&lt;td width=356 valign='top'&gt;  &lt;table width='100%' cellspacing=0 cellpadding=1 border=0&gt;</v>
      </c>
      <c r="D109" s="6" t="s">
        <v>98</v>
      </c>
      <c r="F109" s="13"/>
      <c r="G109" s="13"/>
      <c r="H109" s="13"/>
      <c r="I109" s="13"/>
    </row>
    <row r="110" spans="1:9">
      <c r="A110" s="60"/>
      <c r="B110" s="29" t="b">
        <v>1</v>
      </c>
      <c r="C110" s="23" t="str">
        <f>IF(AND(B$80,B110),CONCATENATE("&lt;tr&gt;&lt;td&gt;",D110,"&lt;/td&gt;&lt;/tr&gt;"),"")</f>
        <v>&lt;tr&gt;&lt;td&gt;Union of Bulgarian Mathematicians&lt;/td&gt;&lt;/tr&gt;</v>
      </c>
      <c r="D110" s="6" t="s">
        <v>147</v>
      </c>
      <c r="F110" s="13"/>
      <c r="G110" s="13"/>
      <c r="H110" s="13"/>
      <c r="I110" s="13"/>
    </row>
    <row r="111" spans="1:9">
      <c r="A111" s="60"/>
      <c r="B111" s="29" t="b">
        <v>0</v>
      </c>
      <c r="C111" s="23" t="str">
        <f t="shared" si="2"/>
        <v/>
      </c>
      <c r="F111" s="13"/>
      <c r="G111" s="13"/>
      <c r="H111" s="13"/>
      <c r="I111" s="13"/>
    </row>
    <row r="112" spans="1:9">
      <c r="A112" s="60"/>
      <c r="B112" s="29" t="b">
        <v>0</v>
      </c>
      <c r="C112" s="23" t="str">
        <f t="shared" si="2"/>
        <v/>
      </c>
      <c r="F112" s="13"/>
      <c r="G112" s="13"/>
      <c r="H112" s="13"/>
      <c r="I112" s="13"/>
    </row>
    <row r="113" spans="1:9">
      <c r="A113" s="60"/>
      <c r="B113" s="29" t="b">
        <v>0</v>
      </c>
      <c r="C113" s="23" t="str">
        <f t="shared" si="2"/>
        <v/>
      </c>
      <c r="F113" s="13"/>
      <c r="G113" s="13"/>
      <c r="H113" s="13"/>
      <c r="I113" s="13"/>
    </row>
    <row r="114" spans="1:9">
      <c r="A114" s="60"/>
      <c r="B114" s="29" t="b">
        <v>0</v>
      </c>
      <c r="C114" s="23" t="str">
        <f t="shared" si="2"/>
        <v/>
      </c>
      <c r="F114" s="13"/>
      <c r="G114" s="13"/>
      <c r="H114" s="13"/>
      <c r="I114" s="13"/>
    </row>
    <row r="115" spans="1:9">
      <c r="A115" s="60"/>
      <c r="B115" s="29" t="b">
        <v>0</v>
      </c>
      <c r="C115" s="23" t="str">
        <f t="shared" si="2"/>
        <v/>
      </c>
      <c r="F115" s="13"/>
      <c r="G115" s="13"/>
      <c r="H115" s="13"/>
      <c r="I115" s="13"/>
    </row>
    <row r="116" spans="1:9">
      <c r="A116" s="60"/>
      <c r="B116" s="29" t="b">
        <v>0</v>
      </c>
      <c r="C116" s="23" t="str">
        <f t="shared" si="2"/>
        <v/>
      </c>
      <c r="F116" s="13"/>
      <c r="G116" s="13"/>
      <c r="H116" s="13"/>
      <c r="I116" s="13"/>
    </row>
    <row r="117" spans="1:9">
      <c r="A117" s="60"/>
      <c r="B117" s="29" t="b">
        <v>0</v>
      </c>
      <c r="C117" s="23" t="str">
        <f t="shared" si="2"/>
        <v/>
      </c>
      <c r="D117" s="7"/>
      <c r="F117" s="13"/>
      <c r="G117" s="13"/>
      <c r="H117" s="13"/>
      <c r="I117" s="13"/>
    </row>
    <row r="118" spans="1:9">
      <c r="A118" s="60"/>
      <c r="B118" s="29" t="b">
        <v>0</v>
      </c>
      <c r="C118" s="23" t="str">
        <f t="shared" si="2"/>
        <v/>
      </c>
      <c r="F118" s="13"/>
      <c r="G118" s="13"/>
      <c r="H118" s="13"/>
      <c r="I118" s="13"/>
    </row>
    <row r="119" spans="1:9">
      <c r="A119" s="60"/>
      <c r="B119" s="29" t="b">
        <v>0</v>
      </c>
      <c r="C119" s="23" t="str">
        <f t="shared" si="2"/>
        <v/>
      </c>
      <c r="F119" s="13"/>
      <c r="G119" s="13"/>
      <c r="H119" s="13"/>
      <c r="I119" s="13"/>
    </row>
    <row r="120" spans="1:9">
      <c r="C120" s="23" t="str">
        <f>IF(B109=TRUE,"&lt;/table&gt;&lt;/td&gt;&lt;/tr&gt;","")</f>
        <v>&lt;/table&gt;&lt;/td&gt;&lt;/tr&gt;</v>
      </c>
      <c r="D120" s="36" t="s">
        <v>93</v>
      </c>
      <c r="E120" s="12"/>
      <c r="F120" s="13"/>
      <c r="G120" s="13"/>
      <c r="H120" s="13"/>
      <c r="I120" s="13"/>
    </row>
    <row r="121" spans="1:9">
      <c r="A121" s="63"/>
      <c r="B121" s="29" t="b">
        <v>0</v>
      </c>
      <c r="C121" s="23" t="str">
        <f>IF(B121=TRUE,CONCATENATE("&lt;tr&gt;&lt;td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bgcolor='#EEEEEE'&gt;&lt;tr&gt;&lt;td&gt;&amp;nbsp;&lt;strong&gt;",D121,"&lt;/strong&gt;&lt;/td&gt;&lt;/tr&gt;&lt;/table&gt;&lt;/td&gt;&lt;td width=356 valign='top'&gt;"),"")</f>
        <v/>
      </c>
      <c r="D121" s="6" t="s">
        <v>100</v>
      </c>
      <c r="E121" s="12"/>
      <c r="F121" s="13"/>
      <c r="G121" s="13"/>
      <c r="H121" s="13"/>
      <c r="I121" s="13"/>
    </row>
    <row r="122" spans="1:9">
      <c r="A122" s="60"/>
      <c r="B122" s="29" t="b">
        <v>0</v>
      </c>
      <c r="C122" s="23" t="str">
        <f>IF(AND(B$215,B122),CONCATENATE("",D122,"&lt;br&gt;&lt;br&gt;"),"")</f>
        <v/>
      </c>
      <c r="E122" s="12"/>
      <c r="F122" s="13"/>
      <c r="G122" s="13"/>
      <c r="H122" s="13"/>
      <c r="I122" s="13"/>
    </row>
    <row r="123" spans="1:9">
      <c r="A123" s="60"/>
      <c r="B123" s="29" t="b">
        <v>0</v>
      </c>
      <c r="C123" s="23" t="str">
        <f t="shared" ref="C123:C131" si="3">IF(AND(B$215,B123),CONCATENATE("",D123,"&lt;br&gt;&lt;br&gt;"),"")</f>
        <v/>
      </c>
      <c r="E123" s="12"/>
      <c r="F123" s="13"/>
      <c r="G123" s="13"/>
      <c r="H123" s="13"/>
      <c r="I123" s="13"/>
    </row>
    <row r="124" spans="1:9">
      <c r="A124" s="60"/>
      <c r="B124" s="29" t="b">
        <v>0</v>
      </c>
      <c r="C124" s="23" t="str">
        <f t="shared" si="3"/>
        <v/>
      </c>
      <c r="E124" s="12"/>
      <c r="F124" s="13"/>
      <c r="G124" s="13"/>
      <c r="H124" s="13"/>
      <c r="I124" s="13"/>
    </row>
    <row r="125" spans="1:9">
      <c r="A125" s="60"/>
      <c r="B125" s="29" t="b">
        <v>0</v>
      </c>
      <c r="C125" s="23" t="str">
        <f t="shared" si="3"/>
        <v/>
      </c>
      <c r="E125" s="12"/>
      <c r="F125" s="13"/>
      <c r="G125" s="13"/>
      <c r="H125" s="13"/>
      <c r="I125" s="13"/>
    </row>
    <row r="126" spans="1:9">
      <c r="A126" s="60"/>
      <c r="B126" s="29" t="b">
        <v>0</v>
      </c>
      <c r="C126" s="23" t="str">
        <f t="shared" si="3"/>
        <v/>
      </c>
      <c r="E126" s="12"/>
      <c r="F126" s="13"/>
      <c r="G126" s="13"/>
      <c r="H126" s="13"/>
      <c r="I126" s="13"/>
    </row>
    <row r="127" spans="1:9">
      <c r="A127" s="60"/>
      <c r="B127" s="29" t="b">
        <v>0</v>
      </c>
      <c r="C127" s="23" t="str">
        <f t="shared" si="3"/>
        <v/>
      </c>
      <c r="E127" s="12"/>
      <c r="F127" s="13"/>
      <c r="G127" s="13"/>
      <c r="H127" s="13"/>
      <c r="I127" s="13"/>
    </row>
    <row r="128" spans="1:9">
      <c r="A128" s="60"/>
      <c r="B128" s="29" t="b">
        <v>0</v>
      </c>
      <c r="C128" s="23" t="str">
        <f t="shared" si="3"/>
        <v/>
      </c>
      <c r="E128" s="12"/>
      <c r="F128" s="13"/>
      <c r="G128" s="13"/>
      <c r="H128" s="13"/>
      <c r="I128" s="13"/>
    </row>
    <row r="129" spans="1:9">
      <c r="A129" s="60"/>
      <c r="B129" s="29" t="b">
        <v>0</v>
      </c>
      <c r="C129" s="23" t="str">
        <f t="shared" si="3"/>
        <v/>
      </c>
      <c r="E129" s="12"/>
      <c r="F129" s="13"/>
      <c r="G129" s="13"/>
      <c r="H129" s="13"/>
      <c r="I129" s="13"/>
    </row>
    <row r="130" spans="1:9">
      <c r="A130" s="60"/>
      <c r="B130" s="29" t="b">
        <v>0</v>
      </c>
      <c r="C130" s="23" t="str">
        <f t="shared" si="3"/>
        <v/>
      </c>
      <c r="E130" s="12"/>
      <c r="F130" s="13"/>
      <c r="G130" s="13"/>
      <c r="H130" s="13"/>
      <c r="I130" s="13"/>
    </row>
    <row r="131" spans="1:9">
      <c r="A131" s="60"/>
      <c r="B131" s="29" t="b">
        <v>0</v>
      </c>
      <c r="C131" s="23" t="str">
        <f t="shared" si="3"/>
        <v/>
      </c>
      <c r="E131" s="12"/>
      <c r="F131" s="13"/>
      <c r="G131" s="13"/>
      <c r="H131" s="13"/>
      <c r="I131" s="13"/>
    </row>
    <row r="132" spans="1:9">
      <c r="C132" s="23" t="str">
        <f>IF(B121,"&lt;/td&gt;&lt;/tr&gt;","")</f>
        <v/>
      </c>
      <c r="D132" s="36" t="s">
        <v>91</v>
      </c>
      <c r="E132" s="12"/>
      <c r="F132" s="13"/>
      <c r="G132" s="13"/>
      <c r="H132" s="13"/>
      <c r="I132" s="13"/>
    </row>
    <row r="133" spans="1:9">
      <c r="A133" s="63"/>
      <c r="B133" s="29" t="b">
        <v>0</v>
      </c>
      <c r="C133" s="23" t="str">
        <f>IF(B133=TRUE,CONCATENATE("&lt;tr&gt;&lt;td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bgcolor='#EEEEEE'&gt;&lt;tr&gt;&lt;td&gt;&amp;nbsp;&lt;strong&gt;",D133,"&lt;/strong&gt;&lt;/td&gt;&lt;/tr&gt;&lt;/table&gt;&lt;/td&gt;&lt;td width=356 valign='top'&gt;"),"")</f>
        <v/>
      </c>
      <c r="D133" s="7"/>
      <c r="E133" s="12"/>
      <c r="F133" s="13"/>
      <c r="G133" s="13"/>
      <c r="H133" s="13"/>
      <c r="I133" s="13"/>
    </row>
    <row r="134" spans="1:9">
      <c r="A134" s="60"/>
      <c r="B134" s="29" t="b">
        <v>0</v>
      </c>
      <c r="C134" s="23" t="str">
        <f>IF(AND(B$215,B134),CONCATENATE("",D134,"&lt;br&gt;&lt;br&gt;"),"")</f>
        <v/>
      </c>
      <c r="D134" s="7"/>
      <c r="E134" s="12"/>
      <c r="F134" s="13"/>
      <c r="G134" s="13"/>
      <c r="H134" s="13"/>
      <c r="I134" s="13"/>
    </row>
    <row r="135" spans="1:9">
      <c r="A135" s="60"/>
      <c r="B135" s="29" t="b">
        <v>0</v>
      </c>
      <c r="C135" s="23" t="str">
        <f t="shared" ref="C135:C143" si="4">IF(AND(B$215,B135),CONCATENATE("",D135,"&lt;br&gt;&lt;br&gt;"),"")</f>
        <v/>
      </c>
      <c r="D135" s="7"/>
      <c r="E135" s="12"/>
      <c r="F135" s="13"/>
      <c r="G135" s="13"/>
      <c r="H135" s="13"/>
      <c r="I135" s="13"/>
    </row>
    <row r="136" spans="1:9">
      <c r="A136" s="60"/>
      <c r="B136" s="29" t="b">
        <v>0</v>
      </c>
      <c r="C136" s="23" t="str">
        <f t="shared" si="4"/>
        <v/>
      </c>
      <c r="D136" s="7"/>
      <c r="E136" s="12"/>
      <c r="F136" s="13"/>
      <c r="G136" s="13"/>
      <c r="H136" s="13"/>
      <c r="I136" s="13"/>
    </row>
    <row r="137" spans="1:9">
      <c r="A137" s="60"/>
      <c r="B137" s="29" t="b">
        <v>0</v>
      </c>
      <c r="C137" s="23" t="str">
        <f t="shared" si="4"/>
        <v/>
      </c>
      <c r="D137" s="7"/>
      <c r="E137" s="12"/>
      <c r="F137" s="13"/>
      <c r="G137" s="13"/>
      <c r="H137" s="13"/>
      <c r="I137" s="13"/>
    </row>
    <row r="138" spans="1:9">
      <c r="A138" s="60"/>
      <c r="B138" s="29" t="b">
        <v>0</v>
      </c>
      <c r="C138" s="23" t="str">
        <f t="shared" si="4"/>
        <v/>
      </c>
      <c r="D138" s="7"/>
      <c r="E138" s="12"/>
      <c r="F138" s="13"/>
      <c r="G138" s="13"/>
      <c r="H138" s="13"/>
      <c r="I138" s="13"/>
    </row>
    <row r="139" spans="1:9">
      <c r="A139" s="60"/>
      <c r="B139" s="29" t="b">
        <v>0</v>
      </c>
      <c r="C139" s="23" t="str">
        <f t="shared" si="4"/>
        <v/>
      </c>
      <c r="E139" s="12"/>
      <c r="F139" s="13"/>
      <c r="G139" s="13"/>
      <c r="H139" s="13"/>
      <c r="I139" s="13"/>
    </row>
    <row r="140" spans="1:9">
      <c r="A140" s="60"/>
      <c r="B140" s="29" t="b">
        <v>0</v>
      </c>
      <c r="C140" s="23" t="str">
        <f t="shared" si="4"/>
        <v/>
      </c>
      <c r="E140" s="12"/>
      <c r="F140" s="13"/>
      <c r="G140" s="13"/>
      <c r="H140" s="13"/>
      <c r="I140" s="13"/>
    </row>
    <row r="141" spans="1:9">
      <c r="A141" s="60"/>
      <c r="B141" s="29" t="b">
        <v>0</v>
      </c>
      <c r="C141" s="23" t="str">
        <f t="shared" si="4"/>
        <v/>
      </c>
      <c r="E141" s="12"/>
      <c r="F141" s="13"/>
      <c r="G141" s="13"/>
      <c r="H141" s="13"/>
      <c r="I141" s="13"/>
    </row>
    <row r="142" spans="1:9">
      <c r="A142" s="60"/>
      <c r="B142" s="29" t="b">
        <v>0</v>
      </c>
      <c r="C142" s="23" t="str">
        <f t="shared" si="4"/>
        <v/>
      </c>
      <c r="E142" s="12"/>
      <c r="F142" s="13"/>
      <c r="G142" s="13"/>
      <c r="H142" s="13"/>
      <c r="I142" s="13"/>
    </row>
    <row r="143" spans="1:9">
      <c r="A143" s="60"/>
      <c r="B143" s="29" t="b">
        <v>0</v>
      </c>
      <c r="C143" s="23" t="str">
        <f t="shared" si="4"/>
        <v/>
      </c>
      <c r="D143" s="7"/>
      <c r="E143" s="12"/>
      <c r="F143" s="13"/>
      <c r="G143" s="13"/>
      <c r="H143" s="13"/>
      <c r="I143" s="13"/>
    </row>
    <row r="144" spans="1:9">
      <c r="C144" s="23" t="str">
        <f>IF(B133,"&lt;/td&gt;&lt;/tr&gt;","")</f>
        <v/>
      </c>
      <c r="D144" s="36" t="s">
        <v>91</v>
      </c>
      <c r="E144" s="12"/>
      <c r="F144" s="13"/>
      <c r="G144" s="13"/>
      <c r="H144" s="13"/>
      <c r="I144" s="13"/>
    </row>
    <row r="145" spans="1:9">
      <c r="A145" s="63"/>
      <c r="B145" s="29" t="b">
        <v>0</v>
      </c>
      <c r="C145" s="23" t="str">
        <f>IF(B145=TRUE,CONCATENATE("&lt;tr&gt;&lt;td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bgcolor='#EEEEEE'&gt;&lt;tr&gt;&lt;td&gt;&amp;nbsp;&lt;strong&gt;",D145,"&lt;/strong&gt;&lt;/td&gt;&lt;/tr&gt;&lt;/table&gt;&lt;/td&gt;&lt;td width=356 valign='top'&gt;"),"")</f>
        <v/>
      </c>
      <c r="D145" s="7"/>
      <c r="E145" s="12"/>
      <c r="F145" s="13"/>
      <c r="G145" s="13"/>
      <c r="H145" s="13"/>
      <c r="I145" s="13"/>
    </row>
    <row r="146" spans="1:9">
      <c r="A146" s="60"/>
      <c r="B146" s="29" t="b">
        <v>0</v>
      </c>
      <c r="C146" s="23" t="str">
        <f>IF(AND(B$215,B146),CONCATENATE("",D146,"&lt;br&gt;&lt;br&gt;"),"")</f>
        <v/>
      </c>
      <c r="D146" s="7"/>
      <c r="E146" s="12"/>
      <c r="F146" s="13"/>
      <c r="G146" s="13"/>
      <c r="H146" s="13"/>
      <c r="I146" s="13"/>
    </row>
    <row r="147" spans="1:9">
      <c r="A147" s="60"/>
      <c r="B147" s="29" t="b">
        <v>0</v>
      </c>
      <c r="C147" s="23" t="str">
        <f t="shared" ref="C147:C155" si="5">IF(AND(B$215,B147),CONCATENATE("",D147,"&lt;br&gt;&lt;br&gt;"),"")</f>
        <v/>
      </c>
      <c r="D147" s="7"/>
      <c r="E147" s="12"/>
      <c r="F147" s="13"/>
      <c r="G147" s="13"/>
      <c r="H147" s="13"/>
      <c r="I147" s="13"/>
    </row>
    <row r="148" spans="1:9">
      <c r="A148" s="60"/>
      <c r="B148" s="29" t="b">
        <v>0</v>
      </c>
      <c r="C148" s="23" t="str">
        <f t="shared" si="5"/>
        <v/>
      </c>
      <c r="D148" s="7"/>
      <c r="E148" s="12"/>
      <c r="F148" s="13"/>
      <c r="G148" s="13"/>
      <c r="H148" s="13"/>
      <c r="I148" s="13"/>
    </row>
    <row r="149" spans="1:9">
      <c r="A149" s="60"/>
      <c r="B149" s="29" t="b">
        <v>0</v>
      </c>
      <c r="C149" s="23" t="str">
        <f t="shared" si="5"/>
        <v/>
      </c>
      <c r="D149" s="7"/>
      <c r="E149" s="12"/>
      <c r="F149" s="13"/>
      <c r="G149" s="13"/>
      <c r="H149" s="13"/>
      <c r="I149" s="13"/>
    </row>
    <row r="150" spans="1:9">
      <c r="A150" s="60"/>
      <c r="B150" s="29" t="b">
        <v>0</v>
      </c>
      <c r="C150" s="23" t="str">
        <f t="shared" si="5"/>
        <v/>
      </c>
      <c r="D150" s="7"/>
      <c r="E150" s="12"/>
      <c r="F150" s="13"/>
      <c r="G150" s="13"/>
      <c r="H150" s="13"/>
      <c r="I150" s="13"/>
    </row>
    <row r="151" spans="1:9">
      <c r="A151" s="60"/>
      <c r="B151" s="29" t="b">
        <v>0</v>
      </c>
      <c r="C151" s="23" t="str">
        <f t="shared" si="5"/>
        <v/>
      </c>
      <c r="E151" s="12"/>
      <c r="F151" s="13"/>
      <c r="G151" s="13"/>
      <c r="H151" s="13"/>
      <c r="I151" s="13"/>
    </row>
    <row r="152" spans="1:9">
      <c r="A152" s="60"/>
      <c r="B152" s="29" t="b">
        <v>0</v>
      </c>
      <c r="C152" s="23" t="str">
        <f t="shared" si="5"/>
        <v/>
      </c>
      <c r="E152" s="12"/>
      <c r="F152" s="13"/>
      <c r="G152" s="13"/>
      <c r="H152" s="13"/>
      <c r="I152" s="13"/>
    </row>
    <row r="153" spans="1:9">
      <c r="A153" s="60"/>
      <c r="B153" s="29" t="b">
        <v>0</v>
      </c>
      <c r="C153" s="23" t="str">
        <f t="shared" si="5"/>
        <v/>
      </c>
      <c r="E153" s="12"/>
      <c r="F153" s="13"/>
      <c r="G153" s="13"/>
      <c r="H153" s="13"/>
      <c r="I153" s="13"/>
    </row>
    <row r="154" spans="1:9">
      <c r="A154" s="60"/>
      <c r="B154" s="29" t="b">
        <v>0</v>
      </c>
      <c r="C154" s="23" t="str">
        <f t="shared" si="5"/>
        <v/>
      </c>
      <c r="E154" s="12"/>
      <c r="F154" s="13"/>
      <c r="G154" s="13"/>
      <c r="H154" s="13"/>
      <c r="I154" s="13"/>
    </row>
    <row r="155" spans="1:9">
      <c r="A155" s="60"/>
      <c r="B155" s="29" t="b">
        <v>0</v>
      </c>
      <c r="C155" s="23" t="str">
        <f t="shared" si="5"/>
        <v/>
      </c>
      <c r="D155" s="7"/>
      <c r="E155" s="12"/>
      <c r="F155" s="13"/>
      <c r="G155" s="13"/>
      <c r="H155" s="13"/>
      <c r="I155" s="13"/>
    </row>
    <row r="156" spans="1:9">
      <c r="C156" s="23" t="str">
        <f>IF(B145,"&lt;/td&gt;&lt;/tr&gt;","")</f>
        <v/>
      </c>
      <c r="D156" s="36" t="s">
        <v>91</v>
      </c>
      <c r="E156" s="12"/>
      <c r="F156" s="13"/>
      <c r="G156" s="13"/>
      <c r="H156" s="13"/>
      <c r="I156" s="13"/>
    </row>
    <row r="157" spans="1:9">
      <c r="A157" s="63"/>
      <c r="B157" s="29" t="b">
        <v>0</v>
      </c>
      <c r="C157" s="23" t="str">
        <f>IF(B157=TRUE,CONCATENATE("&lt;tr&gt;&lt;td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bgcolor='#EEEEEE'&gt;&lt;tr&gt;&lt;td&gt;&amp;nbsp;&lt;strong&gt;",D157,"&lt;/strong&gt;&lt;/td&gt;&lt;/tr&gt;&lt;/table&gt;&lt;/td&gt;&lt;td width=356 valign='top'&gt;"),"")</f>
        <v/>
      </c>
      <c r="D157" s="7"/>
      <c r="E157" s="12"/>
      <c r="F157" s="13"/>
      <c r="G157" s="13"/>
      <c r="H157" s="13"/>
      <c r="I157" s="13"/>
    </row>
    <row r="158" spans="1:9">
      <c r="A158" s="60"/>
      <c r="B158" s="29" t="b">
        <v>0</v>
      </c>
      <c r="C158" s="23" t="str">
        <f>IF(AND(B$215,B158),CONCATENATE("",D158,"&lt;br&gt;&lt;br&gt;"),"")</f>
        <v/>
      </c>
      <c r="D158" s="7"/>
      <c r="E158" s="12"/>
      <c r="F158" s="13"/>
      <c r="G158" s="13"/>
      <c r="H158" s="13"/>
      <c r="I158" s="13"/>
    </row>
    <row r="159" spans="1:9">
      <c r="A159" s="60"/>
      <c r="B159" s="29" t="b">
        <v>0</v>
      </c>
      <c r="C159" s="23" t="str">
        <f t="shared" ref="C159:C167" si="6">IF(AND(B$215,B159),CONCATENATE("",D159,"&lt;br&gt;&lt;br&gt;"),"")</f>
        <v/>
      </c>
      <c r="D159" s="7"/>
      <c r="E159" s="12"/>
      <c r="F159" s="13"/>
      <c r="G159" s="13"/>
      <c r="H159" s="13"/>
      <c r="I159" s="13"/>
    </row>
    <row r="160" spans="1:9">
      <c r="A160" s="60"/>
      <c r="B160" s="29" t="b">
        <v>0</v>
      </c>
      <c r="C160" s="23" t="str">
        <f t="shared" si="6"/>
        <v/>
      </c>
      <c r="D160" s="7"/>
      <c r="E160" s="12"/>
      <c r="F160" s="13"/>
      <c r="G160" s="13"/>
      <c r="H160" s="13"/>
      <c r="I160" s="13"/>
    </row>
    <row r="161" spans="1:9">
      <c r="A161" s="60"/>
      <c r="B161" s="29" t="b">
        <v>0</v>
      </c>
      <c r="C161" s="23" t="str">
        <f t="shared" si="6"/>
        <v/>
      </c>
      <c r="D161" s="7"/>
      <c r="E161" s="12"/>
      <c r="F161" s="13"/>
      <c r="G161" s="13"/>
      <c r="H161" s="13"/>
      <c r="I161" s="13"/>
    </row>
    <row r="162" spans="1:9">
      <c r="A162" s="60"/>
      <c r="B162" s="29" t="b">
        <v>0</v>
      </c>
      <c r="C162" s="23" t="str">
        <f t="shared" si="6"/>
        <v/>
      </c>
      <c r="D162" s="7"/>
      <c r="E162" s="12"/>
      <c r="F162" s="13"/>
      <c r="G162" s="13"/>
      <c r="H162" s="13"/>
      <c r="I162" s="13"/>
    </row>
    <row r="163" spans="1:9">
      <c r="A163" s="60"/>
      <c r="B163" s="29" t="b">
        <v>0</v>
      </c>
      <c r="C163" s="23" t="str">
        <f t="shared" si="6"/>
        <v/>
      </c>
      <c r="E163" s="12"/>
      <c r="F163" s="13"/>
      <c r="G163" s="13"/>
      <c r="H163" s="13"/>
      <c r="I163" s="13"/>
    </row>
    <row r="164" spans="1:9">
      <c r="A164" s="60"/>
      <c r="B164" s="29" t="b">
        <v>0</v>
      </c>
      <c r="C164" s="23" t="str">
        <f t="shared" si="6"/>
        <v/>
      </c>
      <c r="E164" s="12"/>
      <c r="F164" s="13"/>
      <c r="G164" s="13"/>
      <c r="H164" s="13"/>
      <c r="I164" s="13"/>
    </row>
    <row r="165" spans="1:9">
      <c r="A165" s="60"/>
      <c r="B165" s="29" t="b">
        <v>0</v>
      </c>
      <c r="C165" s="23" t="str">
        <f t="shared" si="6"/>
        <v/>
      </c>
      <c r="E165" s="12"/>
      <c r="F165" s="13"/>
      <c r="G165" s="13"/>
      <c r="H165" s="13"/>
      <c r="I165" s="13"/>
    </row>
    <row r="166" spans="1:9">
      <c r="A166" s="60"/>
      <c r="B166" s="29" t="b">
        <v>0</v>
      </c>
      <c r="C166" s="23" t="str">
        <f t="shared" si="6"/>
        <v/>
      </c>
      <c r="E166" s="12"/>
      <c r="F166" s="13"/>
      <c r="G166" s="13"/>
      <c r="H166" s="13"/>
      <c r="I166" s="13"/>
    </row>
    <row r="167" spans="1:9">
      <c r="A167" s="60"/>
      <c r="B167" s="29" t="b">
        <v>0</v>
      </c>
      <c r="C167" s="23" t="str">
        <f t="shared" si="6"/>
        <v/>
      </c>
      <c r="D167" s="7"/>
      <c r="E167" s="12"/>
      <c r="F167" s="13"/>
      <c r="G167" s="13"/>
      <c r="H167" s="13"/>
      <c r="I167" s="13"/>
    </row>
    <row r="168" spans="1:9">
      <c r="C168" s="23" t="str">
        <f>IF(B157,"&lt;/td&gt;&lt;/tr&gt;","")</f>
        <v/>
      </c>
      <c r="D168" s="36" t="s">
        <v>91</v>
      </c>
      <c r="E168" s="12"/>
      <c r="F168" s="13"/>
      <c r="G168" s="13"/>
      <c r="H168" s="13"/>
      <c r="I168" s="13"/>
    </row>
    <row r="169" spans="1:9">
      <c r="A169" s="63"/>
      <c r="B169" s="29" t="b">
        <v>0</v>
      </c>
      <c r="C169" s="23" t="str">
        <f>IF(B169=TRUE,CONCATENATE("&lt;tr&gt;&lt;td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bgcolor='#EEEEEE'&gt;&lt;tr&gt;&lt;td&gt;&amp;nbsp;&lt;strong&gt;",D169,"&lt;/strong&gt;&lt;/td&gt;&lt;/tr&gt;&lt;/table&gt;&lt;/td&gt;&lt;td width=356 valign='top'&gt;"),"")</f>
        <v/>
      </c>
      <c r="D169" s="7"/>
      <c r="E169" s="12"/>
      <c r="F169" s="13"/>
      <c r="G169" s="13"/>
      <c r="H169" s="13"/>
      <c r="I169" s="13"/>
    </row>
    <row r="170" spans="1:9">
      <c r="A170" s="60"/>
      <c r="B170" s="29" t="b">
        <v>0</v>
      </c>
      <c r="C170" s="23" t="str">
        <f>IF(AND(B$215,B170),CONCATENATE("",D170,"&lt;br&gt;&lt;br&gt;"),"")</f>
        <v/>
      </c>
      <c r="D170" s="7"/>
      <c r="E170" s="12"/>
      <c r="F170" s="13"/>
      <c r="G170" s="13"/>
      <c r="H170" s="13"/>
      <c r="I170" s="13"/>
    </row>
    <row r="171" spans="1:9">
      <c r="A171" s="60"/>
      <c r="B171" s="29" t="b">
        <v>0</v>
      </c>
      <c r="C171" s="23" t="str">
        <f t="shared" ref="C171:C179" si="7">IF(AND(B$215,B171),CONCATENATE("",D171,"&lt;br&gt;&lt;br&gt;"),"")</f>
        <v/>
      </c>
      <c r="D171" s="7"/>
      <c r="E171" s="12"/>
      <c r="F171" s="13"/>
      <c r="G171" s="13"/>
      <c r="H171" s="13"/>
      <c r="I171" s="13"/>
    </row>
    <row r="172" spans="1:9">
      <c r="A172" s="60"/>
      <c r="B172" s="29" t="b">
        <v>0</v>
      </c>
      <c r="C172" s="23" t="str">
        <f t="shared" si="7"/>
        <v/>
      </c>
      <c r="D172" s="7"/>
      <c r="E172" s="12"/>
      <c r="F172" s="13"/>
      <c r="G172" s="13"/>
      <c r="H172" s="13"/>
      <c r="I172" s="13"/>
    </row>
    <row r="173" spans="1:9">
      <c r="A173" s="60"/>
      <c r="B173" s="29" t="b">
        <v>0</v>
      </c>
      <c r="C173" s="23" t="str">
        <f t="shared" si="7"/>
        <v/>
      </c>
      <c r="D173" s="7"/>
      <c r="E173" s="12"/>
      <c r="F173" s="13"/>
      <c r="G173" s="13"/>
      <c r="H173" s="13"/>
      <c r="I173" s="13"/>
    </row>
    <row r="174" spans="1:9">
      <c r="A174" s="60"/>
      <c r="B174" s="29" t="b">
        <v>0</v>
      </c>
      <c r="C174" s="23" t="str">
        <f t="shared" si="7"/>
        <v/>
      </c>
      <c r="D174" s="7"/>
      <c r="E174" s="12"/>
      <c r="F174" s="13"/>
      <c r="G174" s="13"/>
      <c r="H174" s="13"/>
      <c r="I174" s="13"/>
    </row>
    <row r="175" spans="1:9">
      <c r="A175" s="60"/>
      <c r="B175" s="29" t="b">
        <v>0</v>
      </c>
      <c r="C175" s="23" t="str">
        <f t="shared" si="7"/>
        <v/>
      </c>
      <c r="E175" s="12"/>
      <c r="F175" s="13"/>
      <c r="G175" s="13"/>
      <c r="H175" s="13"/>
      <c r="I175" s="13"/>
    </row>
    <row r="176" spans="1:9">
      <c r="A176" s="60"/>
      <c r="B176" s="29" t="b">
        <v>0</v>
      </c>
      <c r="C176" s="23" t="str">
        <f t="shared" si="7"/>
        <v/>
      </c>
      <c r="E176" s="12"/>
      <c r="F176" s="13"/>
      <c r="G176" s="13"/>
      <c r="H176" s="13"/>
      <c r="I176" s="13"/>
    </row>
    <row r="177" spans="1:9">
      <c r="A177" s="60"/>
      <c r="B177" s="29" t="b">
        <v>0</v>
      </c>
      <c r="C177" s="23" t="str">
        <f t="shared" si="7"/>
        <v/>
      </c>
      <c r="E177" s="12"/>
      <c r="F177" s="13"/>
      <c r="G177" s="13"/>
      <c r="H177" s="13"/>
      <c r="I177" s="13"/>
    </row>
    <row r="178" spans="1:9">
      <c r="A178" s="60"/>
      <c r="B178" s="29" t="b">
        <v>0</v>
      </c>
      <c r="C178" s="23" t="str">
        <f t="shared" si="7"/>
        <v/>
      </c>
      <c r="E178" s="12"/>
      <c r="F178" s="13"/>
      <c r="G178" s="13"/>
      <c r="H178" s="13"/>
      <c r="I178" s="13"/>
    </row>
    <row r="179" spans="1:9">
      <c r="A179" s="60"/>
      <c r="B179" s="29" t="b">
        <v>0</v>
      </c>
      <c r="C179" s="23" t="str">
        <f t="shared" si="7"/>
        <v/>
      </c>
      <c r="D179" s="7"/>
      <c r="E179" s="12"/>
      <c r="F179" s="13"/>
      <c r="G179" s="13"/>
      <c r="H179" s="13"/>
      <c r="I179" s="13"/>
    </row>
    <row r="180" spans="1:9">
      <c r="C180" s="23" t="str">
        <f>IF(B169,"&lt;/td&gt;&lt;/tr&gt;","")</f>
        <v/>
      </c>
      <c r="D180" s="36" t="s">
        <v>91</v>
      </c>
      <c r="E180" s="12"/>
      <c r="F180" s="13"/>
      <c r="G180" s="13"/>
      <c r="H180" s="13"/>
      <c r="I180" s="13"/>
    </row>
    <row r="181" spans="1:9">
      <c r="A181" s="63"/>
      <c r="B181" s="29" t="b">
        <v>0</v>
      </c>
      <c r="C181" s="23" t="str">
        <f>IF(B181=TRUE,CONCATENATE("&lt;tr&gt;&lt;td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bgcolor='#EEEEEE'&gt;&lt;tr&gt;&lt;td&gt;&amp;nbsp;&lt;strong&gt;",D181,"&lt;/strong&gt;&lt;/td&gt;&lt;/tr&gt;&lt;/table&gt;&lt;/td&gt;&lt;td width=356 valign='top'&gt;"),"")</f>
        <v/>
      </c>
      <c r="D181" s="7"/>
      <c r="E181" s="12"/>
      <c r="F181" s="13"/>
      <c r="G181" s="13"/>
      <c r="H181" s="13"/>
      <c r="I181" s="13"/>
    </row>
    <row r="182" spans="1:9">
      <c r="A182" s="60"/>
      <c r="B182" s="29" t="b">
        <v>0</v>
      </c>
      <c r="C182" s="23" t="str">
        <f>IF(AND(B$215,B182),CONCATENATE("",D182,"&lt;br&gt;&lt;br&gt;"),"")</f>
        <v/>
      </c>
      <c r="D182" s="7"/>
      <c r="E182" s="12"/>
      <c r="F182" s="13"/>
      <c r="G182" s="13"/>
      <c r="H182" s="13"/>
      <c r="I182" s="13"/>
    </row>
    <row r="183" spans="1:9">
      <c r="A183" s="60"/>
      <c r="B183" s="29" t="b">
        <v>0</v>
      </c>
      <c r="C183" s="23" t="str">
        <f t="shared" ref="C183:C191" si="8">IF(AND(B$215,B183),CONCATENATE("",D183,"&lt;br&gt;&lt;br&gt;"),"")</f>
        <v/>
      </c>
      <c r="D183" s="7"/>
      <c r="E183" s="12"/>
      <c r="F183" s="13"/>
      <c r="G183" s="13"/>
      <c r="H183" s="13"/>
      <c r="I183" s="13"/>
    </row>
    <row r="184" spans="1:9">
      <c r="A184" s="60"/>
      <c r="B184" s="29" t="b">
        <v>0</v>
      </c>
      <c r="C184" s="23" t="str">
        <f t="shared" si="8"/>
        <v/>
      </c>
      <c r="D184" s="7"/>
      <c r="E184" s="12"/>
      <c r="F184" s="13"/>
      <c r="G184" s="13"/>
      <c r="H184" s="13"/>
      <c r="I184" s="13"/>
    </row>
    <row r="185" spans="1:9">
      <c r="A185" s="60"/>
      <c r="B185" s="29" t="b">
        <v>0</v>
      </c>
      <c r="C185" s="23" t="str">
        <f t="shared" si="8"/>
        <v/>
      </c>
      <c r="D185" s="7"/>
      <c r="E185" s="12"/>
      <c r="F185" s="13"/>
      <c r="G185" s="13"/>
      <c r="H185" s="13"/>
      <c r="I185" s="13"/>
    </row>
    <row r="186" spans="1:9">
      <c r="A186" s="60"/>
      <c r="B186" s="29" t="b">
        <v>0</v>
      </c>
      <c r="C186" s="23" t="str">
        <f t="shared" si="8"/>
        <v/>
      </c>
      <c r="D186" s="7"/>
      <c r="E186" s="12"/>
      <c r="F186" s="13"/>
      <c r="G186" s="13"/>
      <c r="H186" s="13"/>
      <c r="I186" s="13"/>
    </row>
    <row r="187" spans="1:9">
      <c r="A187" s="60"/>
      <c r="B187" s="29" t="b">
        <v>0</v>
      </c>
      <c r="C187" s="23" t="str">
        <f t="shared" si="8"/>
        <v/>
      </c>
      <c r="E187" s="12"/>
      <c r="F187" s="13"/>
      <c r="G187" s="13"/>
      <c r="H187" s="13"/>
      <c r="I187" s="13"/>
    </row>
    <row r="188" spans="1:9">
      <c r="A188" s="60"/>
      <c r="B188" s="29" t="b">
        <v>0</v>
      </c>
      <c r="C188" s="23" t="str">
        <f t="shared" si="8"/>
        <v/>
      </c>
      <c r="E188" s="12"/>
      <c r="F188" s="13"/>
      <c r="G188" s="13"/>
      <c r="H188" s="13"/>
      <c r="I188" s="13"/>
    </row>
    <row r="189" spans="1:9">
      <c r="A189" s="60"/>
      <c r="B189" s="29" t="b">
        <v>0</v>
      </c>
      <c r="C189" s="23" t="str">
        <f t="shared" si="8"/>
        <v/>
      </c>
      <c r="E189" s="12"/>
      <c r="F189" s="13"/>
      <c r="G189" s="13"/>
      <c r="H189" s="13"/>
      <c r="I189" s="13"/>
    </row>
    <row r="190" spans="1:9">
      <c r="A190" s="60"/>
      <c r="B190" s="29" t="b">
        <v>0</v>
      </c>
      <c r="C190" s="23" t="str">
        <f t="shared" si="8"/>
        <v/>
      </c>
      <c r="E190" s="12"/>
      <c r="F190" s="13"/>
      <c r="G190" s="13"/>
      <c r="H190" s="13"/>
      <c r="I190" s="13"/>
    </row>
    <row r="191" spans="1:9">
      <c r="A191" s="60"/>
      <c r="B191" s="29" t="b">
        <v>0</v>
      </c>
      <c r="C191" s="23" t="str">
        <f t="shared" si="8"/>
        <v/>
      </c>
      <c r="D191" s="7"/>
      <c r="E191" s="12"/>
      <c r="F191" s="13"/>
      <c r="G191" s="13"/>
      <c r="H191" s="13"/>
      <c r="I191" s="13"/>
    </row>
    <row r="192" spans="1:9">
      <c r="C192" s="23" t="str">
        <f>IF(B181,"&lt;/td&gt;&lt;/tr&gt;","")</f>
        <v/>
      </c>
      <c r="D192" s="36" t="s">
        <v>91</v>
      </c>
      <c r="E192" s="37" t="s">
        <v>105</v>
      </c>
      <c r="F192" s="13"/>
      <c r="G192" s="13"/>
      <c r="H192" s="13"/>
      <c r="I192" s="13"/>
    </row>
    <row r="193" spans="1:9">
      <c r="A193" s="63"/>
      <c r="B193" s="29" t="b">
        <v>1</v>
      </c>
      <c r="C193" s="23" t="str">
        <f>IF(B193=TRUE,CONCATENATE("&lt;tr&gt;&lt;td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bgcolor='#EEEEEE'&gt;&lt;tr&gt;&lt;td&gt;&amp;nbsp;&lt;strong&gt;",D193,"&lt;/strong&gt;&lt;/td&gt;&lt;/tr&gt;&lt;/table&gt;&lt;/td&gt;&lt;td width=356 valign='top'&gt;  &lt;table width='100%' cellspacing=0 cellpadding=1 border=0&gt;"),"")</f>
        <v>&lt;tr&gt;&lt;td colspan=2 valign='bottom'&gt;&lt;img src='../../img/line.gif'  width=536 height=1 border=0&gt;&lt;/td&gt;&lt;/tr&gt;&lt;tr&gt;&lt;td width=180 valign='top' &gt;&lt;table width='100%' bgcolor='#EEEEEE'&gt;&lt;tr&gt;&lt;td&gt;&amp;nbsp;&lt;strong&gt;Patents and Publications&lt;/strong&gt;&lt;/td&gt;&lt;/tr&gt;&lt;/table&gt;&lt;/td&gt;&lt;td width=356 valign='top'&gt;  &lt;table width='100%' cellspacing=0 cellpadding=1 border=0&gt;</v>
      </c>
      <c r="D193" s="6" t="s">
        <v>101</v>
      </c>
      <c r="F193" s="13"/>
      <c r="G193" s="13"/>
      <c r="H193" s="13"/>
      <c r="I193" s="13"/>
    </row>
    <row r="194" spans="1:9">
      <c r="A194" s="60"/>
      <c r="B194" s="29" t="b">
        <v>1</v>
      </c>
      <c r="C194" s="23" t="str">
        <f>IF(AND(B193,B194),CONCATENATE("&lt;tr&gt;&lt;td colspan=3&gt;",E194," &lt;a href='publications.html'&gt;",D194,"&lt;/a&gt;&lt;/td&gt;&lt;/tr&gt;"),"")</f>
        <v>&lt;tr&gt;&lt;td colspan=3&gt;27 &lt;a href='publications.html'&gt;publications, including:&lt;/a&gt;&lt;/td&gt;&lt;/tr&gt;</v>
      </c>
      <c r="D194" s="6" t="s">
        <v>102</v>
      </c>
      <c r="E194" s="10" t="s">
        <v>103</v>
      </c>
      <c r="F194" s="13"/>
      <c r="G194" s="13"/>
      <c r="H194" s="13"/>
      <c r="I194" s="13"/>
    </row>
    <row r="195" spans="1:9">
      <c r="A195" s="60"/>
      <c r="B195" s="29" t="b">
        <v>1</v>
      </c>
      <c r="C195" s="23" t="str">
        <f>IF(AND(B195,B$193),CONCATENATE("&lt;tr&gt;&lt;td width=20 valign='top'&gt;",E195,"&lt;/td&gt;&lt;td width='10' valign='top'&gt;-&amp;nbsp;&lt;/td&gt;&lt;td&gt;",D195,"&lt;/td&gt;&lt;/tr&gt;"),"")</f>
        <v>&lt;tr&gt;&lt;td width=20 valign='top'&gt;1&lt;/td&gt;&lt;td width='10' valign='top'&gt;-&amp;nbsp;&lt;/td&gt;&lt;td&gt;book published in Bulgaria&lt;/td&gt;&lt;/tr&gt;</v>
      </c>
      <c r="D195" s="6" t="s">
        <v>148</v>
      </c>
      <c r="E195" s="10" t="s">
        <v>104</v>
      </c>
      <c r="F195" s="13"/>
      <c r="G195" s="13"/>
      <c r="H195" s="13"/>
      <c r="I195" s="13"/>
    </row>
    <row r="196" spans="1:9">
      <c r="A196" s="60"/>
      <c r="B196" s="29" t="b">
        <v>1</v>
      </c>
      <c r="C196" s="23" t="str">
        <f>IF(AND(B196,B$193),CONCATENATE("&lt;tr&gt;&lt;td width=20 valign='top'&gt;",E196,"&lt;/td&gt;&lt;td width='10' valign='top'&gt;-&amp;nbsp;&lt;/td&gt;&lt;td&gt;",D196,"&lt;/td&gt;&lt;/tr&gt;"),"")</f>
        <v>&lt;tr&gt;&lt;td width=20 valign='top'&gt;10&lt;/td&gt;&lt;td width='10' valign='top'&gt;-&amp;nbsp;&lt;/td&gt;&lt;td&gt;in international scientific journals&lt;/td&gt;&lt;/tr&gt;</v>
      </c>
      <c r="D196" s="6" t="s">
        <v>149</v>
      </c>
      <c r="E196" s="10" t="s">
        <v>152</v>
      </c>
      <c r="F196" s="13"/>
      <c r="G196" s="13"/>
      <c r="H196" s="13"/>
      <c r="I196" s="13"/>
    </row>
    <row r="197" spans="1:9">
      <c r="A197" s="60"/>
      <c r="B197" s="29" t="b">
        <v>1</v>
      </c>
      <c r="C197" s="23" t="str">
        <f>IF(AND(B197,B$193),CONCATENATE("&lt;tr&gt;&lt;td width=20 valign='top'&gt;",E197,"&lt;/td&gt;&lt;td width='10' valign='top'&gt;-&amp;nbsp;&lt;/td&gt;&lt;td&gt;",D197,"&lt;/td&gt;&lt;/tr&gt;"),"")</f>
        <v>&lt;tr&gt;&lt;td width=20 valign='top'&gt;4&lt;/td&gt;&lt;td width='10' valign='top'&gt;-&amp;nbsp;&lt;/td&gt;&lt;td&gt;in proceedings of foreign international conferences&lt;/td&gt;&lt;/tr&gt;</v>
      </c>
      <c r="D197" s="6" t="s">
        <v>150</v>
      </c>
      <c r="E197" s="10" t="s">
        <v>153</v>
      </c>
      <c r="F197" s="13"/>
      <c r="G197" s="13"/>
      <c r="H197" s="13"/>
      <c r="I197" s="13"/>
    </row>
    <row r="198" spans="1:9">
      <c r="A198" s="60"/>
      <c r="B198" s="29" t="b">
        <v>1</v>
      </c>
      <c r="C198" s="23" t="str">
        <f>IF(AND(B198,B$193),CONCATENATE("&lt;tr&gt;&lt;td width=20 valign='top'&gt;",E198,"&lt;/td&gt;&lt;td width='10' valign='top'&gt;-&amp;nbsp;&lt;/td&gt;&lt;td&gt;",D198,"&lt;/td&gt;&lt;/tr&gt;"),"")</f>
        <v>&lt;tr&gt;&lt;td width=20 valign='top'&gt;13&lt;/td&gt;&lt;td width='10' valign='top'&gt;-&amp;nbsp;&lt;/td&gt;&lt;td&gt;in proceedings of international conferences held in Bulgaria&lt;/td&gt;&lt;/tr&gt;</v>
      </c>
      <c r="D198" s="6" t="s">
        <v>151</v>
      </c>
      <c r="E198" s="10" t="s">
        <v>154</v>
      </c>
      <c r="F198" s="13"/>
      <c r="G198" s="13"/>
      <c r="H198" s="13"/>
      <c r="I198" s="13"/>
    </row>
    <row r="199" spans="1:9">
      <c r="A199" s="60"/>
      <c r="B199" s="29" t="b">
        <v>0</v>
      </c>
      <c r="C199" s="23" t="str">
        <f>IF(AND(B199,B$193),CONCATENATE("&lt;tr&gt;&lt;td width=20 valign='top'&gt;",E199,"&lt;/td&gt;&lt;td width='10' valign='top'&gt;-&amp;nbsp;&lt;/td&gt;
    &lt;td&gt;",D199,"&lt;/td&gt;&lt;/tr&gt;"),"")</f>
        <v/>
      </c>
      <c r="F199" s="13"/>
      <c r="G199" s="13"/>
      <c r="H199" s="13"/>
      <c r="I199" s="13"/>
    </row>
    <row r="200" spans="1:9">
      <c r="A200" s="60"/>
      <c r="B200" s="29" t="b">
        <v>0</v>
      </c>
      <c r="C200" s="23" t="str">
        <f>IF(AND(B200,B$193),CONCATENATE("&lt;tr&gt;&lt;td width=20 valign='top'&gt;",E200,"&lt;/td&gt;&lt;td width='10' valign='top'&gt;-&amp;nbsp;&lt;/td&gt;
    &lt;td&gt;",D200,"&lt;/td&gt;&lt;/tr&gt;"),"")</f>
        <v/>
      </c>
      <c r="F200" s="13"/>
      <c r="G200" s="13"/>
      <c r="H200" s="13"/>
      <c r="I200" s="13"/>
    </row>
    <row r="201" spans="1:9">
      <c r="A201" s="60"/>
      <c r="B201" s="29" t="b">
        <v>0</v>
      </c>
      <c r="C201" s="23" t="str">
        <f>IF(AND(B201,B$193),CONCATENATE("&lt;tr&gt;&lt;td width=20 valign='top'&gt;",E201,"&lt;/td&gt;&lt;td width='10' valign='top'&gt;-&amp;nbsp;&lt;/td&gt;
    &lt;td&gt;",D201,"&lt;/td&gt;&lt;/tr&gt;"),"")</f>
        <v/>
      </c>
      <c r="F201" s="13"/>
      <c r="G201" s="13"/>
      <c r="H201" s="13"/>
      <c r="I201" s="13"/>
    </row>
    <row r="202" spans="1:9">
      <c r="A202" s="60"/>
      <c r="B202" s="29" t="b">
        <v>0</v>
      </c>
      <c r="C202" s="23" t="str">
        <f>IF(AND(B202,B$193),CONCATENATE("&lt;tr&gt;&lt;td width=20 valign='top'&gt;",E202,"&lt;/td&gt;&lt;td width='10' valign='top'&gt;-&amp;nbsp;&lt;/td&gt;
    &lt;td&gt;",D202,"&lt;/td&gt;&lt;/tr&gt;"),"")</f>
        <v/>
      </c>
      <c r="F202" s="13"/>
      <c r="G202" s="13"/>
      <c r="H202" s="13"/>
      <c r="I202" s="13"/>
    </row>
    <row r="203" spans="1:9">
      <c r="C203" s="23" t="str">
        <f>IF(B193,"&lt;/table&gt;&lt;/td&gt;&lt;/tr&gt;","")</f>
        <v>&lt;/table&gt;&lt;/td&gt;&lt;/tr&gt;</v>
      </c>
      <c r="D203" s="36" t="s">
        <v>91</v>
      </c>
      <c r="F203" s="13"/>
      <c r="G203" s="13"/>
      <c r="H203" s="13"/>
      <c r="I203" s="13"/>
    </row>
    <row r="204" spans="1:9">
      <c r="A204" s="63"/>
      <c r="B204" s="29" t="b">
        <v>1</v>
      </c>
      <c r="C204" s="23" t="str">
        <f>IF(B204=TRUE,CONCATENATE("&lt;tr&gt;&lt;td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bgcolor='#EEEEEE'&gt;&lt;tr&gt;&lt;td&gt;&amp;nbsp;&lt;strong&gt;",D204,"&lt;/strong&gt;&lt;/td&gt;&lt;/tr&gt;&lt;/table&gt;&lt;/td&gt;&lt;td width=356 valign='top'&gt;  &lt;table width='100%' cellspacing=0 cellpadding=1 border=0&gt;"),"")</f>
        <v>&lt;tr&gt;&lt;td colspan=2 valign='bottom'&gt;&lt;img src='../../img/line.gif'  width=536 height=1 border=0&gt;&lt;/td&gt;&lt;/tr&gt;&lt;tr&gt;&lt;td width=180 valign='top' &gt;&lt;table width='100%' bgcolor='#EEEEEE'&gt;&lt;tr&gt;&lt;td&gt;&amp;nbsp;&lt;strong&gt;Citations&lt;/strong&gt;&lt;/td&gt;&lt;/tr&gt;&lt;/table&gt;&lt;/td&gt;&lt;td width=356 valign='top'&gt;  &lt;table width='100%' cellspacing=0 cellpadding=1 border=0&gt;</v>
      </c>
      <c r="D204" s="6" t="s">
        <v>48</v>
      </c>
      <c r="F204" s="13"/>
      <c r="G204" s="13"/>
      <c r="H204" s="13"/>
      <c r="I204" s="13"/>
    </row>
    <row r="205" spans="1:9">
      <c r="A205" s="60"/>
      <c r="B205" s="29" t="b">
        <v>1</v>
      </c>
      <c r="C205" s="23" t="str">
        <f>IF(AND(B204,B205),CONCATENATE("&lt;tr&gt;&lt;td colspan=3&gt;",E205," &lt;a href='citations.html'&gt;",D205,"&lt;/a&gt;&lt;/td&gt;&lt;/tr&gt;"),"")</f>
        <v>&lt;tr&gt;&lt;td colspan=3&gt;14 &lt;a href='citations.html'&gt;known citations, including:&lt;/a&gt;&lt;/td&gt;&lt;/tr&gt;</v>
      </c>
      <c r="D205" s="6" t="s">
        <v>155</v>
      </c>
      <c r="E205" s="10" t="s">
        <v>156</v>
      </c>
      <c r="F205" s="13"/>
      <c r="G205" s="13"/>
      <c r="H205" s="13"/>
      <c r="I205" s="13"/>
    </row>
    <row r="206" spans="1:9">
      <c r="A206" s="60"/>
      <c r="B206" s="29" t="b">
        <v>0</v>
      </c>
      <c r="C206" s="23" t="str">
        <f>IF(AND(B206,B$204),CONCATENATE("&lt;tr&gt;&lt;td width=20 valign='top'&gt;",E206,"&lt;/td&gt;&lt;td width='10' valign='top'&gt;-&amp;nbsp;&lt;/td&gt;&lt;td&gt;",D206,"&lt;/td&gt;&lt;/tr&gt;"),"")</f>
        <v/>
      </c>
      <c r="D206" s="6" t="s">
        <v>157</v>
      </c>
      <c r="E206" s="10" t="s">
        <v>160</v>
      </c>
      <c r="F206" s="13"/>
      <c r="G206" s="13"/>
      <c r="H206" s="13"/>
      <c r="I206" s="13"/>
    </row>
    <row r="207" spans="1:9">
      <c r="A207" s="60"/>
      <c r="B207" s="29" t="b">
        <v>0</v>
      </c>
      <c r="C207" s="23" t="str">
        <f t="shared" ref="C207:C213" si="9">IF(AND(B207,B$204),CONCATENATE("&lt;tr&gt;&lt;td width=20 valign='top'&gt;",E207,"&lt;/td&gt;&lt;td width='10' valign='top'&gt;-&amp;nbsp;&lt;/td&gt;&lt;td&gt;",D207,"&lt;/td&gt;&lt;/tr&gt;"),"")</f>
        <v/>
      </c>
      <c r="D207" s="6" t="s">
        <v>158</v>
      </c>
      <c r="E207" s="10" t="s">
        <v>104</v>
      </c>
      <c r="F207" s="13"/>
      <c r="G207" s="13"/>
      <c r="H207" s="13"/>
      <c r="I207" s="13"/>
    </row>
    <row r="208" spans="1:9">
      <c r="A208" s="60"/>
      <c r="B208" s="29" t="b">
        <v>0</v>
      </c>
      <c r="C208" s="23" t="str">
        <f t="shared" si="9"/>
        <v/>
      </c>
      <c r="D208" s="6" t="s">
        <v>159</v>
      </c>
      <c r="E208" s="10" t="s">
        <v>104</v>
      </c>
      <c r="F208" s="13"/>
      <c r="G208" s="13"/>
      <c r="H208" s="13"/>
      <c r="I208" s="13"/>
    </row>
    <row r="209" spans="1:9">
      <c r="A209" s="60"/>
      <c r="B209" s="29" t="b">
        <v>0</v>
      </c>
      <c r="C209" s="23" t="str">
        <f t="shared" si="9"/>
        <v/>
      </c>
      <c r="F209" s="13"/>
      <c r="G209" s="13"/>
      <c r="H209" s="13"/>
      <c r="I209" s="13"/>
    </row>
    <row r="210" spans="1:9">
      <c r="A210" s="60"/>
      <c r="B210" s="29" t="b">
        <v>0</v>
      </c>
      <c r="C210" s="23" t="str">
        <f t="shared" si="9"/>
        <v/>
      </c>
      <c r="F210" s="13"/>
      <c r="G210" s="13"/>
      <c r="H210" s="13"/>
      <c r="I210" s="13"/>
    </row>
    <row r="211" spans="1:9">
      <c r="A211" s="60"/>
      <c r="B211" s="29" t="b">
        <v>0</v>
      </c>
      <c r="C211" s="23" t="str">
        <f t="shared" si="9"/>
        <v/>
      </c>
      <c r="F211" s="13"/>
      <c r="G211" s="13"/>
      <c r="H211" s="13"/>
      <c r="I211" s="13"/>
    </row>
    <row r="212" spans="1:9">
      <c r="A212" s="60"/>
      <c r="B212" s="29" t="b">
        <v>0</v>
      </c>
      <c r="C212" s="23" t="str">
        <f t="shared" si="9"/>
        <v/>
      </c>
      <c r="F212" s="13"/>
      <c r="G212" s="13"/>
      <c r="H212" s="13"/>
      <c r="I212" s="13"/>
    </row>
    <row r="213" spans="1:9">
      <c r="A213" s="60"/>
      <c r="B213" s="29" t="b">
        <v>0</v>
      </c>
      <c r="C213" s="23" t="str">
        <f t="shared" si="9"/>
        <v/>
      </c>
      <c r="F213" s="13"/>
      <c r="G213" s="13"/>
      <c r="H213" s="13"/>
      <c r="I213" s="13"/>
    </row>
    <row r="214" spans="1:9">
      <c r="C214" s="23" t="str">
        <f>IF(B204,"&lt;/table&gt;&lt;/td&gt;&lt;/tr&gt;","")</f>
        <v>&lt;/table&gt;&lt;/td&gt;&lt;/tr&gt;</v>
      </c>
      <c r="D214" s="36" t="s">
        <v>91</v>
      </c>
      <c r="F214" s="13"/>
      <c r="G214" s="13"/>
      <c r="H214" s="13"/>
      <c r="I214" s="13"/>
    </row>
    <row r="215" spans="1:9">
      <c r="A215" s="63"/>
      <c r="B215" s="29" t="b">
        <v>1</v>
      </c>
      <c r="C215" s="23" t="str">
        <f>IF(B215=TRUE,CONCATENATE("&lt;tr&gt;&lt;td colspan=2 valign='bottom'&gt;&lt;img src='../../img/line.gif'  width=536 height=1 border=0&gt;&lt;/td&gt;&lt;/tr&gt;&lt;tr&gt;&lt;td width=180 valign='top' &gt;&lt;table width='100%' bgcolor='#EEEEEE'&gt;&lt;tr&gt;&lt;td&gt;&amp;nbsp;&lt;strong&gt;",D215,"&lt;/strong&gt;&lt;/td&gt;&lt;/tr&gt;&lt;/table&gt;&lt;/td&gt;&lt;td width=356 valign='top'&gt;"),"")</f>
        <v>&lt;tr&gt;&lt;td colspan=2 valign='bottom'&gt;&lt;img src='../../img/line.gif'  width=536 height=1 border=0&gt;&lt;/td&gt;&lt;/tr&gt;&lt;tr&gt;&lt;td width=180 valign='top' &gt;&lt;table width='100%' bgcolor='#EEEEEE'&gt;&lt;tr&gt;&lt;td&gt;&amp;nbsp;&lt;strong&gt;Languages&lt;/strong&gt;&lt;/td&gt;&lt;/tr&gt;&lt;/table&gt;&lt;/td&gt;&lt;td width=356 valign='top'&gt;</v>
      </c>
      <c r="D215" s="6" t="s">
        <v>106</v>
      </c>
      <c r="F215" s="13"/>
      <c r="G215" s="13"/>
      <c r="H215" s="13"/>
      <c r="I215" s="13"/>
    </row>
    <row r="216" spans="1:9">
      <c r="A216" s="60"/>
      <c r="B216" s="29" t="b">
        <v>1</v>
      </c>
      <c r="C216" s="23" t="str">
        <f>IF(AND(B$215,B216),CONCATENATE("",D216,"&lt;br&gt;"),"")</f>
        <v>&lt;br&gt;</v>
      </c>
      <c r="F216" s="13"/>
      <c r="G216" s="13"/>
      <c r="H216" s="13"/>
      <c r="I216" s="13"/>
    </row>
    <row r="217" spans="1:9">
      <c r="A217" s="60"/>
      <c r="B217" s="29" t="b">
        <v>1</v>
      </c>
      <c r="C217" s="23" t="str">
        <f t="shared" ref="C217:C224" si="10">IF(AND(B$215,B217),CONCATENATE("",D217,"&lt;br&gt;"),"")</f>
        <v>&lt;br&gt;</v>
      </c>
      <c r="F217" s="13"/>
      <c r="G217" s="13"/>
      <c r="H217" s="13"/>
      <c r="I217" s="13"/>
    </row>
    <row r="218" spans="1:9">
      <c r="A218" s="60"/>
      <c r="B218" s="29" t="b">
        <v>1</v>
      </c>
      <c r="C218" s="23" t="str">
        <f t="shared" si="10"/>
        <v>&lt;br&gt;</v>
      </c>
      <c r="F218" s="13"/>
      <c r="G218" s="13"/>
      <c r="H218" s="13"/>
      <c r="I218" s="13"/>
    </row>
    <row r="219" spans="1:9">
      <c r="A219" s="60"/>
      <c r="B219" s="29" t="b">
        <v>1</v>
      </c>
      <c r="C219" s="23" t="str">
        <f t="shared" si="10"/>
        <v>&lt;br&gt;</v>
      </c>
      <c r="F219" s="13"/>
      <c r="G219" s="13"/>
      <c r="H219" s="13"/>
      <c r="I219" s="13"/>
    </row>
    <row r="220" spans="1:9">
      <c r="A220" s="60"/>
      <c r="B220" s="29" t="b">
        <v>0</v>
      </c>
      <c r="C220" s="23" t="str">
        <f t="shared" si="10"/>
        <v/>
      </c>
      <c r="F220" s="13"/>
      <c r="G220" s="13"/>
      <c r="H220" s="13"/>
      <c r="I220" s="13"/>
    </row>
    <row r="221" spans="1:9">
      <c r="A221" s="60"/>
      <c r="B221" s="29" t="b">
        <v>0</v>
      </c>
      <c r="C221" s="23" t="str">
        <f t="shared" si="10"/>
        <v/>
      </c>
      <c r="F221" s="13"/>
      <c r="G221" s="13"/>
      <c r="H221" s="13"/>
      <c r="I221" s="13"/>
    </row>
    <row r="222" spans="1:9">
      <c r="A222" s="60"/>
      <c r="B222" s="29" t="b">
        <v>0</v>
      </c>
      <c r="C222" s="23" t="str">
        <f t="shared" si="10"/>
        <v/>
      </c>
      <c r="F222" s="13"/>
      <c r="G222" s="13"/>
      <c r="H222" s="13"/>
      <c r="I222" s="13"/>
    </row>
    <row r="223" spans="1:9">
      <c r="A223" s="60"/>
      <c r="B223" s="29" t="b">
        <v>0</v>
      </c>
      <c r="C223" s="23" t="str">
        <f t="shared" si="10"/>
        <v/>
      </c>
      <c r="F223" s="13"/>
      <c r="G223" s="13"/>
      <c r="H223" s="13"/>
      <c r="I223" s="13"/>
    </row>
    <row r="224" spans="1:9">
      <c r="A224" s="60"/>
      <c r="B224" s="29" t="b">
        <v>0</v>
      </c>
      <c r="C224" s="23" t="str">
        <f t="shared" si="10"/>
        <v/>
      </c>
      <c r="F224" s="13"/>
      <c r="G224" s="13"/>
      <c r="H224" s="13"/>
      <c r="I224" s="13"/>
    </row>
    <row r="225" spans="2:211" s="15" customFormat="1">
      <c r="B225" s="29"/>
      <c r="C225" s="23" t="str">
        <f>IF(B215=TRUE,"&lt;/td&gt;&lt;/tr&gt;&lt;/table&gt;&lt;/td&gt;&lt;/tr&gt;","")</f>
        <v>&lt;/td&gt;&lt;/tr&gt;&lt;/table&gt;&lt;/td&gt;&lt;/tr&gt;</v>
      </c>
      <c r="D225" s="14"/>
      <c r="E225" s="20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</row>
    <row r="226" spans="2:211" s="15" customFormat="1">
      <c r="B226" s="29"/>
      <c r="C226" s="27" t="s">
        <v>45</v>
      </c>
      <c r="D226" s="14"/>
      <c r="E226" s="20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</row>
    <row r="227" spans="2:211" s="15" customFormat="1">
      <c r="B227" s="29"/>
      <c r="C227" s="27" t="s">
        <v>82</v>
      </c>
      <c r="D227" s="14"/>
      <c r="E227" s="20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</row>
    <row r="228" spans="2:211" s="15" customFormat="1">
      <c r="B228" s="29"/>
      <c r="C228" s="27" t="s">
        <v>81</v>
      </c>
      <c r="D228" s="14"/>
      <c r="E228" s="20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</row>
    <row r="229" spans="2:211" s="15" customFormat="1">
      <c r="B229" s="29"/>
      <c r="C229" s="27" t="s">
        <v>80</v>
      </c>
      <c r="D229" s="14"/>
      <c r="E229" s="20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</row>
    <row r="230" spans="2:211" s="15" customFormat="1">
      <c r="B230" s="29"/>
      <c r="C230" s="23"/>
      <c r="D230" s="14"/>
      <c r="E230" s="20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</row>
    <row r="231" spans="2:211" s="15" customFormat="1">
      <c r="B231" s="29"/>
      <c r="C231" s="23"/>
      <c r="D231" s="14"/>
      <c r="E231" s="20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</row>
    <row r="232" spans="2:211" s="15" customFormat="1">
      <c r="B232" s="29"/>
      <c r="C232" s="23"/>
      <c r="D232" s="14"/>
      <c r="E232" s="20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</row>
    <row r="233" spans="2:211" s="15" customFormat="1">
      <c r="B233" s="29"/>
      <c r="C233" s="23"/>
      <c r="D233" s="14"/>
      <c r="E233" s="20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</row>
    <row r="234" spans="2:211" s="15" customFormat="1">
      <c r="B234" s="29"/>
      <c r="C234" s="23"/>
      <c r="D234" s="14"/>
      <c r="E234" s="20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</row>
    <row r="235" spans="2:211" s="15" customFormat="1">
      <c r="B235" s="29"/>
      <c r="C235" s="23"/>
      <c r="D235" s="14"/>
      <c r="E235" s="20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</row>
    <row r="236" spans="2:211" s="15" customFormat="1">
      <c r="B236" s="29"/>
      <c r="C236" s="23"/>
      <c r="D236" s="14"/>
      <c r="E236" s="20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</row>
    <row r="237" spans="2:211" s="15" customFormat="1">
      <c r="B237" s="29"/>
      <c r="C237" s="23"/>
      <c r="D237" s="14"/>
      <c r="E237" s="20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</row>
    <row r="238" spans="2:211" s="15" customFormat="1">
      <c r="B238" s="29"/>
      <c r="C238" s="23"/>
      <c r="D238" s="14"/>
      <c r="E238" s="20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</row>
    <row r="239" spans="2:211" s="15" customFormat="1">
      <c r="B239" s="29"/>
      <c r="C239" s="23"/>
      <c r="D239" s="14"/>
      <c r="E239" s="20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</row>
    <row r="240" spans="2:211" s="15" customFormat="1">
      <c r="B240" s="29"/>
      <c r="C240" s="23"/>
      <c r="D240" s="14"/>
      <c r="E240" s="20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</row>
    <row r="241" spans="4:9">
      <c r="D241" s="8"/>
      <c r="F241" s="13"/>
      <c r="G241" s="13"/>
      <c r="H241" s="13"/>
      <c r="I241" s="13"/>
    </row>
    <row r="242" spans="4:9">
      <c r="D242" s="8"/>
      <c r="F242" s="13"/>
      <c r="G242" s="13"/>
      <c r="H242" s="13"/>
      <c r="I242" s="13"/>
    </row>
    <row r="243" spans="4:9">
      <c r="D243" s="8"/>
      <c r="F243" s="13"/>
      <c r="G243" s="13"/>
      <c r="H243" s="13"/>
      <c r="I243" s="13"/>
    </row>
    <row r="244" spans="4:9">
      <c r="D244" s="8"/>
      <c r="F244" s="13"/>
      <c r="G244" s="13"/>
      <c r="H244" s="13"/>
      <c r="I244" s="13"/>
    </row>
    <row r="245" spans="4:9">
      <c r="D245" s="8"/>
      <c r="F245" s="13"/>
      <c r="G245" s="13"/>
      <c r="H245" s="13"/>
      <c r="I245" s="13"/>
    </row>
    <row r="246" spans="4:9">
      <c r="D246" s="8"/>
      <c r="F246" s="13"/>
      <c r="G246" s="13"/>
      <c r="H246" s="13"/>
      <c r="I246" s="13"/>
    </row>
    <row r="247" spans="4:9">
      <c r="D247" s="8"/>
      <c r="F247" s="13"/>
      <c r="G247" s="13"/>
      <c r="H247" s="13"/>
      <c r="I247" s="13"/>
    </row>
    <row r="248" spans="4:9">
      <c r="D248" s="8"/>
      <c r="F248" s="13"/>
      <c r="G248" s="13"/>
      <c r="H248" s="13"/>
      <c r="I248" s="13"/>
    </row>
    <row r="249" spans="4:9">
      <c r="D249" s="8"/>
      <c r="F249" s="13"/>
      <c r="G249" s="13"/>
      <c r="H249" s="13"/>
      <c r="I249" s="13"/>
    </row>
    <row r="250" spans="4:9">
      <c r="D250" s="8"/>
      <c r="F250" s="13"/>
      <c r="G250" s="13"/>
      <c r="H250" s="13"/>
      <c r="I250" s="13"/>
    </row>
    <row r="251" spans="4:9">
      <c r="D251" s="8"/>
      <c r="F251" s="13"/>
      <c r="G251" s="13"/>
      <c r="H251" s="13"/>
      <c r="I251" s="13"/>
    </row>
    <row r="252" spans="4:9">
      <c r="D252" s="8"/>
      <c r="F252" s="13"/>
      <c r="G252" s="13"/>
      <c r="H252" s="13"/>
      <c r="I252" s="13"/>
    </row>
    <row r="253" spans="4:9">
      <c r="D253" s="8"/>
      <c r="F253" s="13"/>
      <c r="G253" s="13"/>
      <c r="H253" s="13"/>
      <c r="I253" s="13"/>
    </row>
    <row r="254" spans="4:9">
      <c r="D254" s="8"/>
      <c r="F254" s="13"/>
      <c r="G254" s="13"/>
      <c r="H254" s="13"/>
      <c r="I254" s="13"/>
    </row>
    <row r="255" spans="4:9">
      <c r="D255" s="8"/>
      <c r="F255" s="13"/>
      <c r="G255" s="13"/>
      <c r="H255" s="13"/>
      <c r="I255" s="13"/>
    </row>
    <row r="256" spans="4:9">
      <c r="D256" s="8"/>
      <c r="F256" s="13"/>
      <c r="G256" s="13"/>
      <c r="H256" s="13"/>
      <c r="I256" s="13"/>
    </row>
    <row r="257" spans="4:9">
      <c r="D257" s="8"/>
      <c r="F257" s="13"/>
      <c r="G257" s="13"/>
      <c r="H257" s="13"/>
      <c r="I257" s="13"/>
    </row>
    <row r="258" spans="4:9">
      <c r="D258" s="8"/>
      <c r="F258" s="13"/>
      <c r="G258" s="13"/>
      <c r="H258" s="13"/>
      <c r="I258" s="13"/>
    </row>
    <row r="259" spans="4:9">
      <c r="D259" s="8"/>
      <c r="F259" s="13"/>
      <c r="G259" s="13"/>
      <c r="H259" s="13"/>
      <c r="I259" s="13"/>
    </row>
    <row r="260" spans="4:9">
      <c r="D260" s="8"/>
      <c r="F260" s="13"/>
      <c r="G260" s="13"/>
      <c r="H260" s="13"/>
      <c r="I260" s="13"/>
    </row>
    <row r="261" spans="4:9">
      <c r="D261" s="8"/>
      <c r="F261" s="13"/>
      <c r="G261" s="13"/>
      <c r="H261" s="13"/>
      <c r="I261" s="13"/>
    </row>
    <row r="262" spans="4:9">
      <c r="D262" s="8"/>
      <c r="F262" s="13"/>
      <c r="G262" s="13"/>
      <c r="H262" s="13"/>
      <c r="I262" s="13"/>
    </row>
    <row r="263" spans="4:9">
      <c r="D263" s="8"/>
      <c r="F263" s="13"/>
      <c r="G263" s="13"/>
      <c r="H263" s="13"/>
      <c r="I263" s="13"/>
    </row>
    <row r="264" spans="4:9">
      <c r="D264" s="8"/>
      <c r="F264" s="13"/>
      <c r="G264" s="13"/>
      <c r="H264" s="13"/>
      <c r="I264" s="13"/>
    </row>
    <row r="265" spans="4:9">
      <c r="D265" s="8"/>
      <c r="F265" s="13"/>
      <c r="G265" s="13"/>
      <c r="H265" s="13"/>
      <c r="I265" s="13"/>
    </row>
    <row r="266" spans="4:9">
      <c r="D266" s="8"/>
      <c r="F266" s="13"/>
      <c r="G266" s="13"/>
      <c r="H266" s="13"/>
      <c r="I266" s="13"/>
    </row>
    <row r="267" spans="4:9">
      <c r="D267" s="8"/>
      <c r="F267" s="13"/>
      <c r="G267" s="13"/>
      <c r="H267" s="13"/>
      <c r="I267" s="13"/>
    </row>
  </sheetData>
  <pageMargins left="0.75" right="0.75" top="1" bottom="1" header="0.5" footer="0.5"/>
  <pageSetup orientation="portrait" horizontalDpi="200" verticalDpi="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0</xdr:colOff>
                    <xdr:row>65</xdr:row>
                    <xdr:rowOff>127000</xdr:rowOff>
                  </from>
                  <to>
                    <xdr:col>0</xdr:col>
                    <xdr:colOff>1206500</xdr:colOff>
                    <xdr:row>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0</xdr:colOff>
                    <xdr:row>66</xdr:row>
                    <xdr:rowOff>120650</xdr:rowOff>
                  </from>
                  <to>
                    <xdr:col>0</xdr:col>
                    <xdr:colOff>1206500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0</xdr:colOff>
                    <xdr:row>67</xdr:row>
                    <xdr:rowOff>120650</xdr:rowOff>
                  </from>
                  <to>
                    <xdr:col>0</xdr:col>
                    <xdr:colOff>1206500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0</xdr:colOff>
                    <xdr:row>68</xdr:row>
                    <xdr:rowOff>127000</xdr:rowOff>
                  </from>
                  <to>
                    <xdr:col>0</xdr:col>
                    <xdr:colOff>1206500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0</xdr:colOff>
                    <xdr:row>69</xdr:row>
                    <xdr:rowOff>120650</xdr:rowOff>
                  </from>
                  <to>
                    <xdr:col>0</xdr:col>
                    <xdr:colOff>1206500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0</xdr:colOff>
                    <xdr:row>71</xdr:row>
                    <xdr:rowOff>133350</xdr:rowOff>
                  </from>
                  <to>
                    <xdr:col>0</xdr:col>
                    <xdr:colOff>1206500</xdr:colOff>
                    <xdr:row>73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0</xdr:colOff>
                    <xdr:row>72</xdr:row>
                    <xdr:rowOff>120650</xdr:rowOff>
                  </from>
                  <to>
                    <xdr:col>0</xdr:col>
                    <xdr:colOff>1206500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0</xdr:colOff>
                    <xdr:row>73</xdr:row>
                    <xdr:rowOff>120650</xdr:rowOff>
                  </from>
                  <to>
                    <xdr:col>0</xdr:col>
                    <xdr:colOff>1206500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0</xdr:col>
                    <xdr:colOff>0</xdr:colOff>
                    <xdr:row>78</xdr:row>
                    <xdr:rowOff>133350</xdr:rowOff>
                  </from>
                  <to>
                    <xdr:col>0</xdr:col>
                    <xdr:colOff>1206500</xdr:colOff>
                    <xdr:row>80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0</xdr:col>
                    <xdr:colOff>0</xdr:colOff>
                    <xdr:row>80</xdr:row>
                    <xdr:rowOff>120650</xdr:rowOff>
                  </from>
                  <to>
                    <xdr:col>0</xdr:col>
                    <xdr:colOff>1206500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0</xdr:col>
                    <xdr:colOff>0</xdr:colOff>
                    <xdr:row>79</xdr:row>
                    <xdr:rowOff>133350</xdr:rowOff>
                  </from>
                  <to>
                    <xdr:col>0</xdr:col>
                    <xdr:colOff>1206500</xdr:colOff>
                    <xdr:row>81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120650</xdr:rowOff>
                  </from>
                  <to>
                    <xdr:col>0</xdr:col>
                    <xdr:colOff>1206500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0</xdr:col>
                    <xdr:colOff>0</xdr:colOff>
                    <xdr:row>82</xdr:row>
                    <xdr:rowOff>120650</xdr:rowOff>
                  </from>
                  <to>
                    <xdr:col>0</xdr:col>
                    <xdr:colOff>1206500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120650</xdr:rowOff>
                  </from>
                  <to>
                    <xdr:col>0</xdr:col>
                    <xdr:colOff>1206500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133350</xdr:rowOff>
                  </from>
                  <to>
                    <xdr:col>0</xdr:col>
                    <xdr:colOff>1206500</xdr:colOff>
                    <xdr:row>87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120650</xdr:rowOff>
                  </from>
                  <to>
                    <xdr:col>0</xdr:col>
                    <xdr:colOff>1206500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0</xdr:col>
                    <xdr:colOff>0</xdr:colOff>
                    <xdr:row>86</xdr:row>
                    <xdr:rowOff>133350</xdr:rowOff>
                  </from>
                  <to>
                    <xdr:col>0</xdr:col>
                    <xdr:colOff>1206500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0</xdr:col>
                    <xdr:colOff>0</xdr:colOff>
                    <xdr:row>88</xdr:row>
                    <xdr:rowOff>120650</xdr:rowOff>
                  </from>
                  <to>
                    <xdr:col>0</xdr:col>
                    <xdr:colOff>1206500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120650</xdr:rowOff>
                  </from>
                  <to>
                    <xdr:col>0</xdr:col>
                    <xdr:colOff>1206500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0</xdr:col>
                    <xdr:colOff>0</xdr:colOff>
                    <xdr:row>90</xdr:row>
                    <xdr:rowOff>120650</xdr:rowOff>
                  </from>
                  <to>
                    <xdr:col>0</xdr:col>
                    <xdr:colOff>1206500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0</xdr:col>
                    <xdr:colOff>0</xdr:colOff>
                    <xdr:row>92</xdr:row>
                    <xdr:rowOff>133350</xdr:rowOff>
                  </from>
                  <to>
                    <xdr:col>0</xdr:col>
                    <xdr:colOff>1206500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0</xdr:col>
                    <xdr:colOff>0</xdr:colOff>
                    <xdr:row>94</xdr:row>
                    <xdr:rowOff>120650</xdr:rowOff>
                  </from>
                  <to>
                    <xdr:col>0</xdr:col>
                    <xdr:colOff>1206500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133350</xdr:rowOff>
                  </from>
                  <to>
                    <xdr:col>0</xdr:col>
                    <xdr:colOff>1206500</xdr:colOff>
                    <xdr:row>95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0</xdr:col>
                    <xdr:colOff>0</xdr:colOff>
                    <xdr:row>95</xdr:row>
                    <xdr:rowOff>120650</xdr:rowOff>
                  </from>
                  <to>
                    <xdr:col>0</xdr:col>
                    <xdr:colOff>1206500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0</xdr:col>
                    <xdr:colOff>0</xdr:colOff>
                    <xdr:row>96</xdr:row>
                    <xdr:rowOff>120650</xdr:rowOff>
                  </from>
                  <to>
                    <xdr:col>0</xdr:col>
                    <xdr:colOff>1206500</xdr:colOff>
                    <xdr:row>98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 moveWithCells="1">
                  <from>
                    <xdr:col>0</xdr:col>
                    <xdr:colOff>0</xdr:colOff>
                    <xdr:row>97</xdr:row>
                    <xdr:rowOff>120650</xdr:rowOff>
                  </from>
                  <to>
                    <xdr:col>0</xdr:col>
                    <xdr:colOff>1206500</xdr:colOff>
                    <xdr:row>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0</xdr:col>
                    <xdr:colOff>0</xdr:colOff>
                    <xdr:row>99</xdr:row>
                    <xdr:rowOff>120650</xdr:rowOff>
                  </from>
                  <to>
                    <xdr:col>0</xdr:col>
                    <xdr:colOff>1206500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 moveWithCells="1">
                  <from>
                    <xdr:col>0</xdr:col>
                    <xdr:colOff>0</xdr:colOff>
                    <xdr:row>98</xdr:row>
                    <xdr:rowOff>133350</xdr:rowOff>
                  </from>
                  <to>
                    <xdr:col>0</xdr:col>
                    <xdr:colOff>1206500</xdr:colOff>
                    <xdr:row>100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2" name="Check Box 31">
              <controlPr defaultSize="0" autoFill="0" autoLine="0" autoPict="0">
                <anchor moveWithCells="1">
                  <from>
                    <xdr:col>0</xdr:col>
                    <xdr:colOff>0</xdr:colOff>
                    <xdr:row>100</xdr:row>
                    <xdr:rowOff>120650</xdr:rowOff>
                  </from>
                  <to>
                    <xdr:col>0</xdr:col>
                    <xdr:colOff>1206500</xdr:colOff>
                    <xdr:row>102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 moveWithCells="1">
                  <from>
                    <xdr:col>0</xdr:col>
                    <xdr:colOff>0</xdr:colOff>
                    <xdr:row>101</xdr:row>
                    <xdr:rowOff>120650</xdr:rowOff>
                  </from>
                  <to>
                    <xdr:col>0</xdr:col>
                    <xdr:colOff>1206500</xdr:colOff>
                    <xdr:row>103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 moveWithCells="1">
                  <from>
                    <xdr:col>0</xdr:col>
                    <xdr:colOff>0</xdr:colOff>
                    <xdr:row>102</xdr:row>
                    <xdr:rowOff>120650</xdr:rowOff>
                  </from>
                  <to>
                    <xdr:col>0</xdr:col>
                    <xdr:colOff>1206500</xdr:colOff>
                    <xdr:row>104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 moveWithCells="1">
                  <from>
                    <xdr:col>0</xdr:col>
                    <xdr:colOff>0</xdr:colOff>
                    <xdr:row>104</xdr:row>
                    <xdr:rowOff>133350</xdr:rowOff>
                  </from>
                  <to>
                    <xdr:col>0</xdr:col>
                    <xdr:colOff>1206500</xdr:colOff>
                    <xdr:row>106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6" name="Check Box 35">
              <controlPr defaultSize="0" autoFill="0" autoLine="0" autoPict="0">
                <anchor moveWithCells="1">
                  <from>
                    <xdr:col>0</xdr:col>
                    <xdr:colOff>0</xdr:colOff>
                    <xdr:row>107</xdr:row>
                    <xdr:rowOff>133350</xdr:rowOff>
                  </from>
                  <to>
                    <xdr:col>0</xdr:col>
                    <xdr:colOff>1206500</xdr:colOff>
                    <xdr:row>109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 moveWithCells="1">
                  <from>
                    <xdr:col>0</xdr:col>
                    <xdr:colOff>0</xdr:colOff>
                    <xdr:row>109</xdr:row>
                    <xdr:rowOff>120650</xdr:rowOff>
                  </from>
                  <to>
                    <xdr:col>0</xdr:col>
                    <xdr:colOff>1206500</xdr:colOff>
                    <xdr:row>111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 moveWithCells="1">
                  <from>
                    <xdr:col>0</xdr:col>
                    <xdr:colOff>0</xdr:colOff>
                    <xdr:row>108</xdr:row>
                    <xdr:rowOff>133350</xdr:rowOff>
                  </from>
                  <to>
                    <xdr:col>0</xdr:col>
                    <xdr:colOff>1206500</xdr:colOff>
                    <xdr:row>110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 moveWithCells="1">
                  <from>
                    <xdr:col>0</xdr:col>
                    <xdr:colOff>0</xdr:colOff>
                    <xdr:row>110</xdr:row>
                    <xdr:rowOff>120650</xdr:rowOff>
                  </from>
                  <to>
                    <xdr:col>0</xdr:col>
                    <xdr:colOff>1206500</xdr:colOff>
                    <xdr:row>112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 moveWithCells="1">
                  <from>
                    <xdr:col>0</xdr:col>
                    <xdr:colOff>0</xdr:colOff>
                    <xdr:row>111</xdr:row>
                    <xdr:rowOff>120650</xdr:rowOff>
                  </from>
                  <to>
                    <xdr:col>0</xdr:col>
                    <xdr:colOff>1206500</xdr:colOff>
                    <xdr:row>113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 moveWithCells="1">
                  <from>
                    <xdr:col>0</xdr:col>
                    <xdr:colOff>0</xdr:colOff>
                    <xdr:row>112</xdr:row>
                    <xdr:rowOff>120650</xdr:rowOff>
                  </from>
                  <to>
                    <xdr:col>0</xdr:col>
                    <xdr:colOff>1206500</xdr:colOff>
                    <xdr:row>114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 moveWithCells="1">
                  <from>
                    <xdr:col>0</xdr:col>
                    <xdr:colOff>0</xdr:colOff>
                    <xdr:row>114</xdr:row>
                    <xdr:rowOff>120650</xdr:rowOff>
                  </from>
                  <to>
                    <xdr:col>0</xdr:col>
                    <xdr:colOff>1206500</xdr:colOff>
                    <xdr:row>116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 moveWithCells="1">
                  <from>
                    <xdr:col>0</xdr:col>
                    <xdr:colOff>0</xdr:colOff>
                    <xdr:row>113</xdr:row>
                    <xdr:rowOff>133350</xdr:rowOff>
                  </from>
                  <to>
                    <xdr:col>0</xdr:col>
                    <xdr:colOff>1206500</xdr:colOff>
                    <xdr:row>115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4" name="Check Box 43">
              <controlPr defaultSize="0" autoFill="0" autoLine="0" autoPict="0">
                <anchor moveWithCells="1">
                  <from>
                    <xdr:col>0</xdr:col>
                    <xdr:colOff>0</xdr:colOff>
                    <xdr:row>115</xdr:row>
                    <xdr:rowOff>120650</xdr:rowOff>
                  </from>
                  <to>
                    <xdr:col>0</xdr:col>
                    <xdr:colOff>1206500</xdr:colOff>
                    <xdr:row>117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5" name="Check Box 44">
              <controlPr defaultSize="0" autoFill="0" autoLine="0" autoPict="0">
                <anchor moveWithCells="1">
                  <from>
                    <xdr:col>0</xdr:col>
                    <xdr:colOff>0</xdr:colOff>
                    <xdr:row>116</xdr:row>
                    <xdr:rowOff>120650</xdr:rowOff>
                  </from>
                  <to>
                    <xdr:col>0</xdr:col>
                    <xdr:colOff>1206500</xdr:colOff>
                    <xdr:row>118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6" name="Check Box 45">
              <controlPr defaultSize="0" autoFill="0" autoLine="0" autoPict="0">
                <anchor moveWithCells="1">
                  <from>
                    <xdr:col>0</xdr:col>
                    <xdr:colOff>0</xdr:colOff>
                    <xdr:row>117</xdr:row>
                    <xdr:rowOff>120650</xdr:rowOff>
                  </from>
                  <to>
                    <xdr:col>0</xdr:col>
                    <xdr:colOff>1206500</xdr:colOff>
                    <xdr:row>119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7" name="Check Box 46">
              <controlPr defaultSize="0" autoFill="0" autoLine="0" autoPict="0">
                <anchor moveWithCells="1">
                  <from>
                    <xdr:col>0</xdr:col>
                    <xdr:colOff>0</xdr:colOff>
                    <xdr:row>119</xdr:row>
                    <xdr:rowOff>133350</xdr:rowOff>
                  </from>
                  <to>
                    <xdr:col>0</xdr:col>
                    <xdr:colOff>1206500</xdr:colOff>
                    <xdr:row>121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8" name="Check Box 47">
              <controlPr defaultSize="0" autoFill="0" autoLine="0" autoPict="0">
                <anchor moveWithCells="1">
                  <from>
                    <xdr:col>0</xdr:col>
                    <xdr:colOff>0</xdr:colOff>
                    <xdr:row>121</xdr:row>
                    <xdr:rowOff>120650</xdr:rowOff>
                  </from>
                  <to>
                    <xdr:col>0</xdr:col>
                    <xdr:colOff>1206500</xdr:colOff>
                    <xdr:row>123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9" name="Check Box 48">
              <controlPr defaultSize="0" autoFill="0" autoLine="0" autoPict="0">
                <anchor moveWithCells="1">
                  <from>
                    <xdr:col>0</xdr:col>
                    <xdr:colOff>0</xdr:colOff>
                    <xdr:row>120</xdr:row>
                    <xdr:rowOff>133350</xdr:rowOff>
                  </from>
                  <to>
                    <xdr:col>0</xdr:col>
                    <xdr:colOff>1206500</xdr:colOff>
                    <xdr:row>122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0" name="Check Box 4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120650</xdr:rowOff>
                  </from>
                  <to>
                    <xdr:col>0</xdr:col>
                    <xdr:colOff>1206500</xdr:colOff>
                    <xdr:row>124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1" name="Check Box 50">
              <controlPr defaultSize="0" autoFill="0" autoLine="0" autoPict="0">
                <anchor moveWithCells="1">
                  <from>
                    <xdr:col>0</xdr:col>
                    <xdr:colOff>0</xdr:colOff>
                    <xdr:row>123</xdr:row>
                    <xdr:rowOff>120650</xdr:rowOff>
                  </from>
                  <to>
                    <xdr:col>0</xdr:col>
                    <xdr:colOff>1206500</xdr:colOff>
                    <xdr:row>125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2" name="Check Box 5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120650</xdr:rowOff>
                  </from>
                  <to>
                    <xdr:col>0</xdr:col>
                    <xdr:colOff>1206500</xdr:colOff>
                    <xdr:row>126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3" name="Check Box 52">
              <controlPr defaultSize="0" autoFill="0" autoLine="0" autoPict="0">
                <anchor moveWithCells="1">
                  <from>
                    <xdr:col>0</xdr:col>
                    <xdr:colOff>0</xdr:colOff>
                    <xdr:row>126</xdr:row>
                    <xdr:rowOff>120650</xdr:rowOff>
                  </from>
                  <to>
                    <xdr:col>0</xdr:col>
                    <xdr:colOff>1206500</xdr:colOff>
                    <xdr:row>128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4" name="Check Box 53">
              <controlPr defaultSize="0" autoFill="0" autoLine="0" autoPict="0">
                <anchor moveWithCells="1">
                  <from>
                    <xdr:col>0</xdr:col>
                    <xdr:colOff>0</xdr:colOff>
                    <xdr:row>125</xdr:row>
                    <xdr:rowOff>133350</xdr:rowOff>
                  </from>
                  <to>
                    <xdr:col>0</xdr:col>
                    <xdr:colOff>1206500</xdr:colOff>
                    <xdr:row>127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5" name="Check Box 54">
              <controlPr defaultSize="0" autoFill="0" autoLine="0" autoPict="0">
                <anchor moveWithCells="1">
                  <from>
                    <xdr:col>0</xdr:col>
                    <xdr:colOff>0</xdr:colOff>
                    <xdr:row>127</xdr:row>
                    <xdr:rowOff>120650</xdr:rowOff>
                  </from>
                  <to>
                    <xdr:col>0</xdr:col>
                    <xdr:colOff>1206500</xdr:colOff>
                    <xdr:row>129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6" name="Check Box 5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120650</xdr:rowOff>
                  </from>
                  <to>
                    <xdr:col>0</xdr:col>
                    <xdr:colOff>1206500</xdr:colOff>
                    <xdr:row>130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7" name="Check Box 56">
              <controlPr defaultSize="0" autoFill="0" autoLine="0" autoPict="0">
                <anchor moveWithCells="1">
                  <from>
                    <xdr:col>0</xdr:col>
                    <xdr:colOff>0</xdr:colOff>
                    <xdr:row>129</xdr:row>
                    <xdr:rowOff>120650</xdr:rowOff>
                  </from>
                  <to>
                    <xdr:col>0</xdr:col>
                    <xdr:colOff>1206500</xdr:colOff>
                    <xdr:row>131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8" name="Check Box 57">
              <controlPr defaultSize="0" autoFill="0" autoLine="0" autoPict="0">
                <anchor moveWithCells="1">
                  <from>
                    <xdr:col>0</xdr:col>
                    <xdr:colOff>0</xdr:colOff>
                    <xdr:row>131</xdr:row>
                    <xdr:rowOff>133350</xdr:rowOff>
                  </from>
                  <to>
                    <xdr:col>0</xdr:col>
                    <xdr:colOff>1206500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9" name="Check Box 58">
              <controlPr defaultSize="0" autoFill="0" autoLine="0" autoPict="0">
                <anchor moveWithCells="1">
                  <from>
                    <xdr:col>0</xdr:col>
                    <xdr:colOff>0</xdr:colOff>
                    <xdr:row>133</xdr:row>
                    <xdr:rowOff>120650</xdr:rowOff>
                  </from>
                  <to>
                    <xdr:col>0</xdr:col>
                    <xdr:colOff>1206500</xdr:colOff>
                    <xdr:row>135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0" name="Check Box 5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133350</xdr:rowOff>
                  </from>
                  <to>
                    <xdr:col>0</xdr:col>
                    <xdr:colOff>1206500</xdr:colOff>
                    <xdr:row>134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1" name="Check Box 60">
              <controlPr defaultSize="0" autoFill="0" autoLine="0" autoPict="0">
                <anchor moveWithCells="1">
                  <from>
                    <xdr:col>0</xdr:col>
                    <xdr:colOff>0</xdr:colOff>
                    <xdr:row>134</xdr:row>
                    <xdr:rowOff>120650</xdr:rowOff>
                  </from>
                  <to>
                    <xdr:col>0</xdr:col>
                    <xdr:colOff>1206500</xdr:colOff>
                    <xdr:row>136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2" name="Check Box 61">
              <controlPr defaultSize="0" autoFill="0" autoLine="0" autoPict="0">
                <anchor moveWithCells="1">
                  <from>
                    <xdr:col>0</xdr:col>
                    <xdr:colOff>0</xdr:colOff>
                    <xdr:row>135</xdr:row>
                    <xdr:rowOff>120650</xdr:rowOff>
                  </from>
                  <to>
                    <xdr:col>0</xdr:col>
                    <xdr:colOff>1206500</xdr:colOff>
                    <xdr:row>137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3" name="Check Box 6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120650</xdr:rowOff>
                  </from>
                  <to>
                    <xdr:col>0</xdr:col>
                    <xdr:colOff>1206500</xdr:colOff>
                    <xdr:row>138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4" name="Check Box 6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120650</xdr:rowOff>
                  </from>
                  <to>
                    <xdr:col>0</xdr:col>
                    <xdr:colOff>1206500</xdr:colOff>
                    <xdr:row>140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5" name="Check Box 64">
              <controlPr defaultSize="0" autoFill="0" autoLine="0" autoPict="0">
                <anchor moveWithCells="1">
                  <from>
                    <xdr:col>0</xdr:col>
                    <xdr:colOff>0</xdr:colOff>
                    <xdr:row>137</xdr:row>
                    <xdr:rowOff>133350</xdr:rowOff>
                  </from>
                  <to>
                    <xdr:col>0</xdr:col>
                    <xdr:colOff>1206500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6" name="Check Box 65">
              <controlPr defaultSize="0" autoFill="0" autoLine="0" autoPict="0">
                <anchor moveWithCells="1">
                  <from>
                    <xdr:col>0</xdr:col>
                    <xdr:colOff>0</xdr:colOff>
                    <xdr:row>139</xdr:row>
                    <xdr:rowOff>120650</xdr:rowOff>
                  </from>
                  <to>
                    <xdr:col>0</xdr:col>
                    <xdr:colOff>1206500</xdr:colOff>
                    <xdr:row>141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7" name="Check Box 6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120650</xdr:rowOff>
                  </from>
                  <to>
                    <xdr:col>0</xdr:col>
                    <xdr:colOff>1206500</xdr:colOff>
                    <xdr:row>142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8" name="Check Box 67">
              <controlPr defaultSize="0" autoFill="0" autoLine="0" autoPict="0">
                <anchor moveWithCells="1">
                  <from>
                    <xdr:col>0</xdr:col>
                    <xdr:colOff>0</xdr:colOff>
                    <xdr:row>141</xdr:row>
                    <xdr:rowOff>120650</xdr:rowOff>
                  </from>
                  <to>
                    <xdr:col>0</xdr:col>
                    <xdr:colOff>1206500</xdr:colOff>
                    <xdr:row>143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9" name="Check Box 68">
              <controlPr defaultSize="0" autoFill="0" autoLine="0" autoPict="0">
                <anchor moveWithCells="1">
                  <from>
                    <xdr:col>0</xdr:col>
                    <xdr:colOff>0</xdr:colOff>
                    <xdr:row>143</xdr:row>
                    <xdr:rowOff>133350</xdr:rowOff>
                  </from>
                  <to>
                    <xdr:col>0</xdr:col>
                    <xdr:colOff>1206500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0" name="Check Box 69">
              <controlPr defaultSize="0" autoFill="0" autoLine="0" autoPict="0">
                <anchor moveWithCells="1">
                  <from>
                    <xdr:col>0</xdr:col>
                    <xdr:colOff>0</xdr:colOff>
                    <xdr:row>145</xdr:row>
                    <xdr:rowOff>120650</xdr:rowOff>
                  </from>
                  <to>
                    <xdr:col>0</xdr:col>
                    <xdr:colOff>1206500</xdr:colOff>
                    <xdr:row>147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1" name="Check Box 7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133350</xdr:rowOff>
                  </from>
                  <to>
                    <xdr:col>0</xdr:col>
                    <xdr:colOff>1206500</xdr:colOff>
                    <xdr:row>146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2" name="Check Box 71">
              <controlPr defaultSize="0" autoFill="0" autoLine="0" autoPict="0">
                <anchor moveWithCells="1">
                  <from>
                    <xdr:col>0</xdr:col>
                    <xdr:colOff>0</xdr:colOff>
                    <xdr:row>146</xdr:row>
                    <xdr:rowOff>120650</xdr:rowOff>
                  </from>
                  <to>
                    <xdr:col>0</xdr:col>
                    <xdr:colOff>1206500</xdr:colOff>
                    <xdr:row>148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3" name="Check Box 72">
              <controlPr defaultSize="0" autoFill="0" autoLine="0" autoPict="0">
                <anchor moveWithCells="1">
                  <from>
                    <xdr:col>0</xdr:col>
                    <xdr:colOff>0</xdr:colOff>
                    <xdr:row>147</xdr:row>
                    <xdr:rowOff>120650</xdr:rowOff>
                  </from>
                  <to>
                    <xdr:col>0</xdr:col>
                    <xdr:colOff>1206500</xdr:colOff>
                    <xdr:row>149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4" name="Check Box 7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120650</xdr:rowOff>
                  </from>
                  <to>
                    <xdr:col>0</xdr:col>
                    <xdr:colOff>1206500</xdr:colOff>
                    <xdr:row>150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5" name="Check Box 7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120650</xdr:rowOff>
                  </from>
                  <to>
                    <xdr:col>0</xdr:col>
                    <xdr:colOff>1206500</xdr:colOff>
                    <xdr:row>152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6" name="Check Box 75">
              <controlPr defaultSize="0" autoFill="0" autoLine="0" autoPict="0">
                <anchor moveWithCells="1">
                  <from>
                    <xdr:col>0</xdr:col>
                    <xdr:colOff>0</xdr:colOff>
                    <xdr:row>149</xdr:row>
                    <xdr:rowOff>133350</xdr:rowOff>
                  </from>
                  <to>
                    <xdr:col>0</xdr:col>
                    <xdr:colOff>1206500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7" name="Check Box 76">
              <controlPr defaultSize="0" autoFill="0" autoLine="0" autoPict="0">
                <anchor moveWithCells="1">
                  <from>
                    <xdr:col>0</xdr:col>
                    <xdr:colOff>0</xdr:colOff>
                    <xdr:row>151</xdr:row>
                    <xdr:rowOff>120650</xdr:rowOff>
                  </from>
                  <to>
                    <xdr:col>0</xdr:col>
                    <xdr:colOff>1206500</xdr:colOff>
                    <xdr:row>153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8" name="Check Box 7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120650</xdr:rowOff>
                  </from>
                  <to>
                    <xdr:col>0</xdr:col>
                    <xdr:colOff>1206500</xdr:colOff>
                    <xdr:row>154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9" name="Check Box 78">
              <controlPr defaultSize="0" autoFill="0" autoLine="0" autoPict="0">
                <anchor moveWithCells="1">
                  <from>
                    <xdr:col>0</xdr:col>
                    <xdr:colOff>0</xdr:colOff>
                    <xdr:row>153</xdr:row>
                    <xdr:rowOff>120650</xdr:rowOff>
                  </from>
                  <to>
                    <xdr:col>0</xdr:col>
                    <xdr:colOff>1206500</xdr:colOff>
                    <xdr:row>155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0" name="Check Box 90">
              <controlPr defaultSize="0" autoFill="0" autoLine="0" autoPict="0">
                <anchor moveWithCells="1">
                  <from>
                    <xdr:col>0</xdr:col>
                    <xdr:colOff>0</xdr:colOff>
                    <xdr:row>167</xdr:row>
                    <xdr:rowOff>133350</xdr:rowOff>
                  </from>
                  <to>
                    <xdr:col>0</xdr:col>
                    <xdr:colOff>1206500</xdr:colOff>
                    <xdr:row>169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1" name="Check Box 91">
              <controlPr defaultSize="0" autoFill="0" autoLine="0" autoPict="0">
                <anchor moveWithCells="1">
                  <from>
                    <xdr:col>0</xdr:col>
                    <xdr:colOff>0</xdr:colOff>
                    <xdr:row>169</xdr:row>
                    <xdr:rowOff>120650</xdr:rowOff>
                  </from>
                  <to>
                    <xdr:col>0</xdr:col>
                    <xdr:colOff>1206500</xdr:colOff>
                    <xdr:row>171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2" name="Check Box 92">
              <controlPr defaultSize="0" autoFill="0" autoLine="0" autoPict="0">
                <anchor moveWithCells="1">
                  <from>
                    <xdr:col>0</xdr:col>
                    <xdr:colOff>0</xdr:colOff>
                    <xdr:row>168</xdr:row>
                    <xdr:rowOff>133350</xdr:rowOff>
                  </from>
                  <to>
                    <xdr:col>0</xdr:col>
                    <xdr:colOff>1206500</xdr:colOff>
                    <xdr:row>170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3" name="Check Box 93">
              <controlPr defaultSize="0" autoFill="0" autoLine="0" autoPict="0">
                <anchor moveWithCells="1">
                  <from>
                    <xdr:col>0</xdr:col>
                    <xdr:colOff>0</xdr:colOff>
                    <xdr:row>170</xdr:row>
                    <xdr:rowOff>120650</xdr:rowOff>
                  </from>
                  <to>
                    <xdr:col>0</xdr:col>
                    <xdr:colOff>1206500</xdr:colOff>
                    <xdr:row>172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84" name="Check Box 94">
              <controlPr defaultSize="0" autoFill="0" autoLine="0" autoPict="0">
                <anchor moveWithCells="1">
                  <from>
                    <xdr:col>0</xdr:col>
                    <xdr:colOff>0</xdr:colOff>
                    <xdr:row>171</xdr:row>
                    <xdr:rowOff>120650</xdr:rowOff>
                  </from>
                  <to>
                    <xdr:col>0</xdr:col>
                    <xdr:colOff>1206500</xdr:colOff>
                    <xdr:row>173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5" name="Check Box 95">
              <controlPr defaultSize="0" autoFill="0" autoLine="0" autoPict="0">
                <anchor moveWithCells="1">
                  <from>
                    <xdr:col>0</xdr:col>
                    <xdr:colOff>0</xdr:colOff>
                    <xdr:row>172</xdr:row>
                    <xdr:rowOff>120650</xdr:rowOff>
                  </from>
                  <to>
                    <xdr:col>0</xdr:col>
                    <xdr:colOff>1206500</xdr:colOff>
                    <xdr:row>174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6" name="Check Box 96">
              <controlPr defaultSize="0" autoFill="0" autoLine="0" autoPict="0">
                <anchor moveWithCells="1">
                  <from>
                    <xdr:col>0</xdr:col>
                    <xdr:colOff>0</xdr:colOff>
                    <xdr:row>174</xdr:row>
                    <xdr:rowOff>120650</xdr:rowOff>
                  </from>
                  <to>
                    <xdr:col>0</xdr:col>
                    <xdr:colOff>1206500</xdr:colOff>
                    <xdr:row>176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7" name="Check Box 97">
              <controlPr defaultSize="0" autoFill="0" autoLine="0" autoPict="0">
                <anchor moveWithCells="1">
                  <from>
                    <xdr:col>0</xdr:col>
                    <xdr:colOff>0</xdr:colOff>
                    <xdr:row>173</xdr:row>
                    <xdr:rowOff>133350</xdr:rowOff>
                  </from>
                  <to>
                    <xdr:col>0</xdr:col>
                    <xdr:colOff>1206500</xdr:colOff>
                    <xdr:row>175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88" name="Check Box 98">
              <controlPr defaultSize="0" autoFill="0" autoLine="0" autoPict="0">
                <anchor moveWithCells="1">
                  <from>
                    <xdr:col>0</xdr:col>
                    <xdr:colOff>0</xdr:colOff>
                    <xdr:row>175</xdr:row>
                    <xdr:rowOff>120650</xdr:rowOff>
                  </from>
                  <to>
                    <xdr:col>0</xdr:col>
                    <xdr:colOff>1206500</xdr:colOff>
                    <xdr:row>177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89" name="Check Box 99">
              <controlPr defaultSize="0" autoFill="0" autoLine="0" autoPict="0">
                <anchor moveWithCells="1">
                  <from>
                    <xdr:col>0</xdr:col>
                    <xdr:colOff>0</xdr:colOff>
                    <xdr:row>176</xdr:row>
                    <xdr:rowOff>120650</xdr:rowOff>
                  </from>
                  <to>
                    <xdr:col>0</xdr:col>
                    <xdr:colOff>1206500</xdr:colOff>
                    <xdr:row>178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0" name="Check Box 100">
              <controlPr defaultSize="0" autoFill="0" autoLine="0" autoPict="0">
                <anchor moveWithCells="1">
                  <from>
                    <xdr:col>0</xdr:col>
                    <xdr:colOff>0</xdr:colOff>
                    <xdr:row>177</xdr:row>
                    <xdr:rowOff>120650</xdr:rowOff>
                  </from>
                  <to>
                    <xdr:col>0</xdr:col>
                    <xdr:colOff>1206500</xdr:colOff>
                    <xdr:row>179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1" name="Check Box 101">
              <controlPr defaultSize="0" autoFill="0" autoLine="0" autoPict="0">
                <anchor moveWithCells="1">
                  <from>
                    <xdr:col>0</xdr:col>
                    <xdr:colOff>0</xdr:colOff>
                    <xdr:row>179</xdr:row>
                    <xdr:rowOff>133350</xdr:rowOff>
                  </from>
                  <to>
                    <xdr:col>0</xdr:col>
                    <xdr:colOff>1206500</xdr:colOff>
                    <xdr:row>181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92" name="Check Box 102">
              <controlPr defaultSize="0" autoFill="0" autoLine="0" autoPict="0">
                <anchor moveWithCells="1">
                  <from>
                    <xdr:col>0</xdr:col>
                    <xdr:colOff>0</xdr:colOff>
                    <xdr:row>181</xdr:row>
                    <xdr:rowOff>120650</xdr:rowOff>
                  </from>
                  <to>
                    <xdr:col>0</xdr:col>
                    <xdr:colOff>1206500</xdr:colOff>
                    <xdr:row>183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3" name="Check Box 103">
              <controlPr defaultSize="0" autoFill="0" autoLine="0" autoPict="0">
                <anchor moveWithCells="1">
                  <from>
                    <xdr:col>0</xdr:col>
                    <xdr:colOff>0</xdr:colOff>
                    <xdr:row>180</xdr:row>
                    <xdr:rowOff>133350</xdr:rowOff>
                  </from>
                  <to>
                    <xdr:col>0</xdr:col>
                    <xdr:colOff>1206500</xdr:colOff>
                    <xdr:row>182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94" name="Check Box 104">
              <controlPr defaultSize="0" autoFill="0" autoLine="0" autoPict="0">
                <anchor moveWithCells="1">
                  <from>
                    <xdr:col>0</xdr:col>
                    <xdr:colOff>0</xdr:colOff>
                    <xdr:row>182</xdr:row>
                    <xdr:rowOff>120650</xdr:rowOff>
                  </from>
                  <to>
                    <xdr:col>0</xdr:col>
                    <xdr:colOff>1206500</xdr:colOff>
                    <xdr:row>184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95" name="Check Box 105">
              <controlPr defaultSize="0" autoFill="0" autoLine="0" autoPict="0">
                <anchor moveWithCells="1">
                  <from>
                    <xdr:col>0</xdr:col>
                    <xdr:colOff>0</xdr:colOff>
                    <xdr:row>183</xdr:row>
                    <xdr:rowOff>120650</xdr:rowOff>
                  </from>
                  <to>
                    <xdr:col>0</xdr:col>
                    <xdr:colOff>1206500</xdr:colOff>
                    <xdr:row>185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96" name="Check Box 106">
              <controlPr defaultSize="0" autoFill="0" autoLine="0" autoPict="0">
                <anchor moveWithCells="1">
                  <from>
                    <xdr:col>0</xdr:col>
                    <xdr:colOff>0</xdr:colOff>
                    <xdr:row>184</xdr:row>
                    <xdr:rowOff>120650</xdr:rowOff>
                  </from>
                  <to>
                    <xdr:col>0</xdr:col>
                    <xdr:colOff>1206500</xdr:colOff>
                    <xdr:row>186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97" name="Check Box 107">
              <controlPr defaultSize="0" autoFill="0" autoLine="0" autoPict="0">
                <anchor moveWithCells="1">
                  <from>
                    <xdr:col>0</xdr:col>
                    <xdr:colOff>0</xdr:colOff>
                    <xdr:row>186</xdr:row>
                    <xdr:rowOff>120650</xdr:rowOff>
                  </from>
                  <to>
                    <xdr:col>0</xdr:col>
                    <xdr:colOff>1206500</xdr:colOff>
                    <xdr:row>188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98" name="Check Box 108">
              <controlPr defaultSize="0" autoFill="0" autoLine="0" autoPict="0">
                <anchor moveWithCells="1">
                  <from>
                    <xdr:col>0</xdr:col>
                    <xdr:colOff>0</xdr:colOff>
                    <xdr:row>185</xdr:row>
                    <xdr:rowOff>133350</xdr:rowOff>
                  </from>
                  <to>
                    <xdr:col>0</xdr:col>
                    <xdr:colOff>1206500</xdr:colOff>
                    <xdr:row>187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99" name="Check Box 109">
              <controlPr defaultSize="0" autoFill="0" autoLine="0" autoPict="0">
                <anchor moveWithCells="1">
                  <from>
                    <xdr:col>0</xdr:col>
                    <xdr:colOff>0</xdr:colOff>
                    <xdr:row>187</xdr:row>
                    <xdr:rowOff>120650</xdr:rowOff>
                  </from>
                  <to>
                    <xdr:col>0</xdr:col>
                    <xdr:colOff>1206500</xdr:colOff>
                    <xdr:row>189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0" name="Check Box 110">
              <controlPr defaultSize="0" autoFill="0" autoLine="0" autoPict="0">
                <anchor moveWithCells="1">
                  <from>
                    <xdr:col>0</xdr:col>
                    <xdr:colOff>0</xdr:colOff>
                    <xdr:row>188</xdr:row>
                    <xdr:rowOff>120650</xdr:rowOff>
                  </from>
                  <to>
                    <xdr:col>0</xdr:col>
                    <xdr:colOff>1206500</xdr:colOff>
                    <xdr:row>190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01" name="Check Box 111">
              <controlPr defaultSize="0" autoFill="0" autoLine="0" autoPict="0">
                <anchor moveWithCells="1">
                  <from>
                    <xdr:col>0</xdr:col>
                    <xdr:colOff>0</xdr:colOff>
                    <xdr:row>189</xdr:row>
                    <xdr:rowOff>120650</xdr:rowOff>
                  </from>
                  <to>
                    <xdr:col>0</xdr:col>
                    <xdr:colOff>1206500</xdr:colOff>
                    <xdr:row>191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02" name="Check Box 123">
              <controlPr defaultSize="0" autoFill="0" autoLine="0" autoPict="0">
                <anchor moveWithCells="1">
                  <from>
                    <xdr:col>0</xdr:col>
                    <xdr:colOff>0</xdr:colOff>
                    <xdr:row>155</xdr:row>
                    <xdr:rowOff>133350</xdr:rowOff>
                  </from>
                  <to>
                    <xdr:col>0</xdr:col>
                    <xdr:colOff>1206500</xdr:colOff>
                    <xdr:row>157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03" name="Check Box 124">
              <controlPr defaultSize="0" autoFill="0" autoLine="0" autoPict="0">
                <anchor moveWithCells="1">
                  <from>
                    <xdr:col>0</xdr:col>
                    <xdr:colOff>0</xdr:colOff>
                    <xdr:row>157</xdr:row>
                    <xdr:rowOff>120650</xdr:rowOff>
                  </from>
                  <to>
                    <xdr:col>0</xdr:col>
                    <xdr:colOff>1206500</xdr:colOff>
                    <xdr:row>159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04" name="Check Box 125">
              <controlPr defaultSize="0" autoFill="0" autoLine="0" autoPict="0">
                <anchor moveWithCells="1">
                  <from>
                    <xdr:col>0</xdr:col>
                    <xdr:colOff>0</xdr:colOff>
                    <xdr:row>156</xdr:row>
                    <xdr:rowOff>133350</xdr:rowOff>
                  </from>
                  <to>
                    <xdr:col>0</xdr:col>
                    <xdr:colOff>1206500</xdr:colOff>
                    <xdr:row>158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05" name="Check Box 126">
              <controlPr defaultSize="0" autoFill="0" autoLine="0" autoPict="0">
                <anchor moveWithCells="1">
                  <from>
                    <xdr:col>0</xdr:col>
                    <xdr:colOff>0</xdr:colOff>
                    <xdr:row>158</xdr:row>
                    <xdr:rowOff>120650</xdr:rowOff>
                  </from>
                  <to>
                    <xdr:col>0</xdr:col>
                    <xdr:colOff>1206500</xdr:colOff>
                    <xdr:row>160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06" name="Check Box 127">
              <controlPr defaultSize="0" autoFill="0" autoLine="0" autoPict="0">
                <anchor moveWithCells="1">
                  <from>
                    <xdr:col>0</xdr:col>
                    <xdr:colOff>0</xdr:colOff>
                    <xdr:row>159</xdr:row>
                    <xdr:rowOff>120650</xdr:rowOff>
                  </from>
                  <to>
                    <xdr:col>0</xdr:col>
                    <xdr:colOff>1206500</xdr:colOff>
                    <xdr:row>161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07" name="Check Box 128">
              <controlPr defaultSize="0" autoFill="0" autoLine="0" autoPict="0">
                <anchor moveWithCells="1">
                  <from>
                    <xdr:col>0</xdr:col>
                    <xdr:colOff>0</xdr:colOff>
                    <xdr:row>160</xdr:row>
                    <xdr:rowOff>120650</xdr:rowOff>
                  </from>
                  <to>
                    <xdr:col>0</xdr:col>
                    <xdr:colOff>1206500</xdr:colOff>
                    <xdr:row>162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08" name="Check Box 129">
              <controlPr defaultSize="0" autoFill="0" autoLine="0" autoPict="0">
                <anchor moveWithCells="1">
                  <from>
                    <xdr:col>0</xdr:col>
                    <xdr:colOff>0</xdr:colOff>
                    <xdr:row>162</xdr:row>
                    <xdr:rowOff>120650</xdr:rowOff>
                  </from>
                  <to>
                    <xdr:col>0</xdr:col>
                    <xdr:colOff>1206500</xdr:colOff>
                    <xdr:row>164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09" name="Check Box 130">
              <controlPr defaultSize="0" autoFill="0" autoLine="0" autoPict="0">
                <anchor moveWithCells="1">
                  <from>
                    <xdr:col>0</xdr:col>
                    <xdr:colOff>0</xdr:colOff>
                    <xdr:row>161</xdr:row>
                    <xdr:rowOff>133350</xdr:rowOff>
                  </from>
                  <to>
                    <xdr:col>0</xdr:col>
                    <xdr:colOff>1206500</xdr:colOff>
                    <xdr:row>163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10" name="Check Box 131">
              <controlPr defaultSize="0" autoFill="0" autoLine="0" autoPict="0">
                <anchor moveWithCells="1">
                  <from>
                    <xdr:col>0</xdr:col>
                    <xdr:colOff>0</xdr:colOff>
                    <xdr:row>163</xdr:row>
                    <xdr:rowOff>120650</xdr:rowOff>
                  </from>
                  <to>
                    <xdr:col>0</xdr:col>
                    <xdr:colOff>1206500</xdr:colOff>
                    <xdr:row>165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11" name="Check Box 132">
              <controlPr defaultSize="0" autoFill="0" autoLine="0" autoPict="0">
                <anchor moveWithCells="1">
                  <from>
                    <xdr:col>0</xdr:col>
                    <xdr:colOff>0</xdr:colOff>
                    <xdr:row>164</xdr:row>
                    <xdr:rowOff>120650</xdr:rowOff>
                  </from>
                  <to>
                    <xdr:col>0</xdr:col>
                    <xdr:colOff>1206500</xdr:colOff>
                    <xdr:row>166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12" name="Check Box 133">
              <controlPr defaultSize="0" autoFill="0" autoLine="0" autoPict="0">
                <anchor moveWithCells="1">
                  <from>
                    <xdr:col>0</xdr:col>
                    <xdr:colOff>0</xdr:colOff>
                    <xdr:row>165</xdr:row>
                    <xdr:rowOff>120650</xdr:rowOff>
                  </from>
                  <to>
                    <xdr:col>0</xdr:col>
                    <xdr:colOff>1206500</xdr:colOff>
                    <xdr:row>167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13" name="Check Box 134">
              <controlPr defaultSize="0" autoFill="0" autoLine="0" autoPict="0">
                <anchor moveWithCells="1">
                  <from>
                    <xdr:col>0</xdr:col>
                    <xdr:colOff>0</xdr:colOff>
                    <xdr:row>191</xdr:row>
                    <xdr:rowOff>133350</xdr:rowOff>
                  </from>
                  <to>
                    <xdr:col>0</xdr:col>
                    <xdr:colOff>1206500</xdr:colOff>
                    <xdr:row>193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14" name="Check Box 135">
              <controlPr defaultSize="0" autoFill="0" autoLine="0" autoPict="0">
                <anchor moveWithCells="1">
                  <from>
                    <xdr:col>0</xdr:col>
                    <xdr:colOff>0</xdr:colOff>
                    <xdr:row>193</xdr:row>
                    <xdr:rowOff>120650</xdr:rowOff>
                  </from>
                  <to>
                    <xdr:col>0</xdr:col>
                    <xdr:colOff>1206500</xdr:colOff>
                    <xdr:row>195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15" name="Check Box 136">
              <controlPr defaultSize="0" autoFill="0" autoLine="0" autoPict="0">
                <anchor moveWithCells="1">
                  <from>
                    <xdr:col>0</xdr:col>
                    <xdr:colOff>0</xdr:colOff>
                    <xdr:row>192</xdr:row>
                    <xdr:rowOff>133350</xdr:rowOff>
                  </from>
                  <to>
                    <xdr:col>0</xdr:col>
                    <xdr:colOff>1206500</xdr:colOff>
                    <xdr:row>194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16" name="Check Box 137">
              <controlPr defaultSize="0" autoFill="0" autoLine="0" autoPict="0">
                <anchor moveWithCells="1">
                  <from>
                    <xdr:col>0</xdr:col>
                    <xdr:colOff>0</xdr:colOff>
                    <xdr:row>194</xdr:row>
                    <xdr:rowOff>120650</xdr:rowOff>
                  </from>
                  <to>
                    <xdr:col>0</xdr:col>
                    <xdr:colOff>1206500</xdr:colOff>
                    <xdr:row>196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17" name="Check Box 138">
              <controlPr defaultSize="0" autoFill="0" autoLine="0" autoPict="0">
                <anchor moveWithCells="1">
                  <from>
                    <xdr:col>0</xdr:col>
                    <xdr:colOff>0</xdr:colOff>
                    <xdr:row>195</xdr:row>
                    <xdr:rowOff>120650</xdr:rowOff>
                  </from>
                  <to>
                    <xdr:col>0</xdr:col>
                    <xdr:colOff>1206500</xdr:colOff>
                    <xdr:row>197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18" name="Check Box 139">
              <controlPr defaultSize="0" autoFill="0" autoLine="0" autoPict="0">
                <anchor moveWithCells="1">
                  <from>
                    <xdr:col>0</xdr:col>
                    <xdr:colOff>0</xdr:colOff>
                    <xdr:row>196</xdr:row>
                    <xdr:rowOff>120650</xdr:rowOff>
                  </from>
                  <to>
                    <xdr:col>0</xdr:col>
                    <xdr:colOff>1206500</xdr:colOff>
                    <xdr:row>198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19" name="Check Box 140">
              <controlPr defaultSize="0" autoFill="0" autoLine="0" autoPict="0">
                <anchor moveWithCells="1">
                  <from>
                    <xdr:col>0</xdr:col>
                    <xdr:colOff>0</xdr:colOff>
                    <xdr:row>197</xdr:row>
                    <xdr:rowOff>120650</xdr:rowOff>
                  </from>
                  <to>
                    <xdr:col>0</xdr:col>
                    <xdr:colOff>1206500</xdr:colOff>
                    <xdr:row>199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20" name="Check Box 141">
              <controlPr defaultSize="0" autoFill="0" autoLine="0" autoPict="0">
                <anchor moveWithCells="1">
                  <from>
                    <xdr:col>0</xdr:col>
                    <xdr:colOff>0</xdr:colOff>
                    <xdr:row>198</xdr:row>
                    <xdr:rowOff>120650</xdr:rowOff>
                  </from>
                  <to>
                    <xdr:col>0</xdr:col>
                    <xdr:colOff>1206500</xdr:colOff>
                    <xdr:row>200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21" name="Check Box 142">
              <controlPr defaultSize="0" autoFill="0" autoLine="0" autoPict="0">
                <anchor moveWithCells="1">
                  <from>
                    <xdr:col>0</xdr:col>
                    <xdr:colOff>0</xdr:colOff>
                    <xdr:row>199</xdr:row>
                    <xdr:rowOff>120650</xdr:rowOff>
                  </from>
                  <to>
                    <xdr:col>0</xdr:col>
                    <xdr:colOff>1206500</xdr:colOff>
                    <xdr:row>201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22" name="Check Box 143">
              <controlPr defaultSize="0" autoFill="0" autoLine="0" autoPict="0">
                <anchor moveWithCells="1">
                  <from>
                    <xdr:col>0</xdr:col>
                    <xdr:colOff>0</xdr:colOff>
                    <xdr:row>200</xdr:row>
                    <xdr:rowOff>120650</xdr:rowOff>
                  </from>
                  <to>
                    <xdr:col>0</xdr:col>
                    <xdr:colOff>1206500</xdr:colOff>
                    <xdr:row>202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23" name="Check Box 144">
              <controlPr defaultSize="0" autoFill="0" autoLine="0" autoPict="0">
                <anchor moveWithCells="1">
                  <from>
                    <xdr:col>0</xdr:col>
                    <xdr:colOff>0</xdr:colOff>
                    <xdr:row>202</xdr:row>
                    <xdr:rowOff>133350</xdr:rowOff>
                  </from>
                  <to>
                    <xdr:col>0</xdr:col>
                    <xdr:colOff>1206500</xdr:colOff>
                    <xdr:row>204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24" name="Check Box 145">
              <controlPr defaultSize="0" autoFill="0" autoLine="0" autoPict="0">
                <anchor moveWithCells="1">
                  <from>
                    <xdr:col>0</xdr:col>
                    <xdr:colOff>0</xdr:colOff>
                    <xdr:row>204</xdr:row>
                    <xdr:rowOff>120650</xdr:rowOff>
                  </from>
                  <to>
                    <xdr:col>0</xdr:col>
                    <xdr:colOff>1206500</xdr:colOff>
                    <xdr:row>206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25" name="Check Box 146">
              <controlPr defaultSize="0" autoFill="0" autoLine="0" autoPict="0">
                <anchor moveWithCells="1">
                  <from>
                    <xdr:col>0</xdr:col>
                    <xdr:colOff>0</xdr:colOff>
                    <xdr:row>203</xdr:row>
                    <xdr:rowOff>133350</xdr:rowOff>
                  </from>
                  <to>
                    <xdr:col>0</xdr:col>
                    <xdr:colOff>1206500</xdr:colOff>
                    <xdr:row>205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26" name="Check Box 147">
              <controlPr defaultSize="0" autoFill="0" autoLine="0" autoPict="0">
                <anchor moveWithCells="1">
                  <from>
                    <xdr:col>0</xdr:col>
                    <xdr:colOff>0</xdr:colOff>
                    <xdr:row>205</xdr:row>
                    <xdr:rowOff>120650</xdr:rowOff>
                  </from>
                  <to>
                    <xdr:col>0</xdr:col>
                    <xdr:colOff>1206500</xdr:colOff>
                    <xdr:row>207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27" name="Check Box 148">
              <controlPr defaultSize="0" autoFill="0" autoLine="0" autoPict="0">
                <anchor moveWithCells="1">
                  <from>
                    <xdr:col>0</xdr:col>
                    <xdr:colOff>0</xdr:colOff>
                    <xdr:row>206</xdr:row>
                    <xdr:rowOff>120650</xdr:rowOff>
                  </from>
                  <to>
                    <xdr:col>0</xdr:col>
                    <xdr:colOff>1206500</xdr:colOff>
                    <xdr:row>208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28" name="Check Box 149">
              <controlPr defaultSize="0" autoFill="0" autoLine="0" autoPict="0">
                <anchor moveWithCells="1">
                  <from>
                    <xdr:col>0</xdr:col>
                    <xdr:colOff>0</xdr:colOff>
                    <xdr:row>207</xdr:row>
                    <xdr:rowOff>120650</xdr:rowOff>
                  </from>
                  <to>
                    <xdr:col>0</xdr:col>
                    <xdr:colOff>1206500</xdr:colOff>
                    <xdr:row>209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29" name="Check Box 150">
              <controlPr defaultSize="0" autoFill="0" autoLine="0" autoPict="0">
                <anchor moveWithCells="1">
                  <from>
                    <xdr:col>0</xdr:col>
                    <xdr:colOff>0</xdr:colOff>
                    <xdr:row>208</xdr:row>
                    <xdr:rowOff>120650</xdr:rowOff>
                  </from>
                  <to>
                    <xdr:col>0</xdr:col>
                    <xdr:colOff>1206500</xdr:colOff>
                    <xdr:row>210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30" name="Check Box 151">
              <controlPr defaultSize="0" autoFill="0" autoLine="0" autoPict="0">
                <anchor moveWithCells="1">
                  <from>
                    <xdr:col>0</xdr:col>
                    <xdr:colOff>0</xdr:colOff>
                    <xdr:row>209</xdr:row>
                    <xdr:rowOff>120650</xdr:rowOff>
                  </from>
                  <to>
                    <xdr:col>0</xdr:col>
                    <xdr:colOff>1206500</xdr:colOff>
                    <xdr:row>211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31" name="Check Box 152">
              <controlPr defaultSize="0" autoFill="0" autoLine="0" autoPict="0">
                <anchor moveWithCells="1">
                  <from>
                    <xdr:col>0</xdr:col>
                    <xdr:colOff>0</xdr:colOff>
                    <xdr:row>210</xdr:row>
                    <xdr:rowOff>120650</xdr:rowOff>
                  </from>
                  <to>
                    <xdr:col>0</xdr:col>
                    <xdr:colOff>1206500</xdr:colOff>
                    <xdr:row>212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32" name="Check Box 153">
              <controlPr defaultSize="0" autoFill="0" autoLine="0" autoPict="0">
                <anchor moveWithCells="1">
                  <from>
                    <xdr:col>0</xdr:col>
                    <xdr:colOff>0</xdr:colOff>
                    <xdr:row>211</xdr:row>
                    <xdr:rowOff>120650</xdr:rowOff>
                  </from>
                  <to>
                    <xdr:col>0</xdr:col>
                    <xdr:colOff>1206500</xdr:colOff>
                    <xdr:row>213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33" name="Check Box 154">
              <controlPr defaultSize="0" autoFill="0" autoLine="0" autoPict="0">
                <anchor moveWithCells="1">
                  <from>
                    <xdr:col>0</xdr:col>
                    <xdr:colOff>0</xdr:colOff>
                    <xdr:row>213</xdr:row>
                    <xdr:rowOff>133350</xdr:rowOff>
                  </from>
                  <to>
                    <xdr:col>0</xdr:col>
                    <xdr:colOff>1206500</xdr:colOff>
                    <xdr:row>215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34" name="Check Box 155">
              <controlPr defaultSize="0" autoFill="0" autoLine="0" autoPict="0">
                <anchor moveWithCells="1">
                  <from>
                    <xdr:col>0</xdr:col>
                    <xdr:colOff>0</xdr:colOff>
                    <xdr:row>215</xdr:row>
                    <xdr:rowOff>120650</xdr:rowOff>
                  </from>
                  <to>
                    <xdr:col>0</xdr:col>
                    <xdr:colOff>1206500</xdr:colOff>
                    <xdr:row>217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35" name="Check Box 156">
              <controlPr defaultSize="0" autoFill="0" autoLine="0" autoPict="0">
                <anchor moveWithCells="1">
                  <from>
                    <xdr:col>0</xdr:col>
                    <xdr:colOff>0</xdr:colOff>
                    <xdr:row>214</xdr:row>
                    <xdr:rowOff>133350</xdr:rowOff>
                  </from>
                  <to>
                    <xdr:col>0</xdr:col>
                    <xdr:colOff>1206500</xdr:colOff>
                    <xdr:row>216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36" name="Check Box 157">
              <controlPr defaultSize="0" autoFill="0" autoLine="0" autoPict="0">
                <anchor moveWithCells="1">
                  <from>
                    <xdr:col>0</xdr:col>
                    <xdr:colOff>0</xdr:colOff>
                    <xdr:row>216</xdr:row>
                    <xdr:rowOff>120650</xdr:rowOff>
                  </from>
                  <to>
                    <xdr:col>0</xdr:col>
                    <xdr:colOff>1206500</xdr:colOff>
                    <xdr:row>218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37" name="Check Box 158">
              <controlPr defaultSize="0" autoFill="0" autoLine="0" autoPict="0">
                <anchor moveWithCells="1">
                  <from>
                    <xdr:col>0</xdr:col>
                    <xdr:colOff>0</xdr:colOff>
                    <xdr:row>217</xdr:row>
                    <xdr:rowOff>120650</xdr:rowOff>
                  </from>
                  <to>
                    <xdr:col>0</xdr:col>
                    <xdr:colOff>1206500</xdr:colOff>
                    <xdr:row>219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38" name="Check Box 159">
              <controlPr defaultSize="0" autoFill="0" autoLine="0" autoPict="0">
                <anchor moveWithCells="1">
                  <from>
                    <xdr:col>0</xdr:col>
                    <xdr:colOff>0</xdr:colOff>
                    <xdr:row>218</xdr:row>
                    <xdr:rowOff>120650</xdr:rowOff>
                  </from>
                  <to>
                    <xdr:col>0</xdr:col>
                    <xdr:colOff>1206500</xdr:colOff>
                    <xdr:row>220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39" name="Check Box 160">
              <controlPr defaultSize="0" autoFill="0" autoLine="0" autoPict="0">
                <anchor moveWithCells="1">
                  <from>
                    <xdr:col>0</xdr:col>
                    <xdr:colOff>0</xdr:colOff>
                    <xdr:row>219</xdr:row>
                    <xdr:rowOff>120650</xdr:rowOff>
                  </from>
                  <to>
                    <xdr:col>0</xdr:col>
                    <xdr:colOff>1206500</xdr:colOff>
                    <xdr:row>221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40" name="Check Box 161">
              <controlPr defaultSize="0" autoFill="0" autoLine="0" autoPict="0">
                <anchor moveWithCells="1">
                  <from>
                    <xdr:col>0</xdr:col>
                    <xdr:colOff>0</xdr:colOff>
                    <xdr:row>220</xdr:row>
                    <xdr:rowOff>120650</xdr:rowOff>
                  </from>
                  <to>
                    <xdr:col>0</xdr:col>
                    <xdr:colOff>1206500</xdr:colOff>
                    <xdr:row>222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41" name="Check Box 162">
              <controlPr defaultSize="0" autoFill="0" autoLine="0" autoPict="0">
                <anchor moveWithCells="1">
                  <from>
                    <xdr:col>0</xdr:col>
                    <xdr:colOff>0</xdr:colOff>
                    <xdr:row>221</xdr:row>
                    <xdr:rowOff>120650</xdr:rowOff>
                  </from>
                  <to>
                    <xdr:col>0</xdr:col>
                    <xdr:colOff>1206500</xdr:colOff>
                    <xdr:row>223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42" name="Check Box 163">
              <controlPr defaultSize="0" autoFill="0" autoLine="0" autoPict="0">
                <anchor moveWithCells="1">
                  <from>
                    <xdr:col>0</xdr:col>
                    <xdr:colOff>0</xdr:colOff>
                    <xdr:row>222</xdr:row>
                    <xdr:rowOff>120650</xdr:rowOff>
                  </from>
                  <to>
                    <xdr:col>0</xdr:col>
                    <xdr:colOff>1206500</xdr:colOff>
                    <xdr:row>224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43" name="Check Box 165">
              <controlPr defaultSize="0" autoFill="0" autoLine="0" autoPict="0">
                <anchor moveWithCells="1">
                  <from>
                    <xdr:col>0</xdr:col>
                    <xdr:colOff>0</xdr:colOff>
                    <xdr:row>74</xdr:row>
                    <xdr:rowOff>120650</xdr:rowOff>
                  </from>
                  <to>
                    <xdr:col>0</xdr:col>
                    <xdr:colOff>1206500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44" name="Check Box 166">
              <controlPr defaultSize="0" autoFill="0" autoLine="0" autoPict="0">
                <anchor moveWithCells="1">
                  <from>
                    <xdr:col>0</xdr:col>
                    <xdr:colOff>0</xdr:colOff>
                    <xdr:row>75</xdr:row>
                    <xdr:rowOff>120650</xdr:rowOff>
                  </from>
                  <to>
                    <xdr:col>0</xdr:col>
                    <xdr:colOff>1206500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45" name="Check Box 167">
              <controlPr defaultSize="0" autoFill="0" autoLine="0" autoPict="0">
                <anchor moveWithCells="1">
                  <from>
                    <xdr:col>0</xdr:col>
                    <xdr:colOff>0</xdr:colOff>
                    <xdr:row>76</xdr:row>
                    <xdr:rowOff>120650</xdr:rowOff>
                  </from>
                  <to>
                    <xdr:col>0</xdr:col>
                    <xdr:colOff>1206500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46" name="Check Box 168">
              <controlPr defaultSize="0" autoFill="0" autoLine="0" autoPict="0">
                <anchor moveWithCells="1">
                  <from>
                    <xdr:col>0</xdr:col>
                    <xdr:colOff>0</xdr:colOff>
                    <xdr:row>70</xdr:row>
                    <xdr:rowOff>120650</xdr:rowOff>
                  </from>
                  <to>
                    <xdr:col>0</xdr:col>
                    <xdr:colOff>1206500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47" name="Check Box 169">
              <controlPr defaultSize="0" autoFill="0" autoLine="0" autoPict="0">
                <anchor moveWithCells="1">
                  <from>
                    <xdr:col>0</xdr:col>
                    <xdr:colOff>0</xdr:colOff>
                    <xdr:row>57</xdr:row>
                    <xdr:rowOff>127000</xdr:rowOff>
                  </from>
                  <to>
                    <xdr:col>0</xdr:col>
                    <xdr:colOff>1206500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48" name="Check Box 170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133350</xdr:rowOff>
                  </from>
                  <to>
                    <xdr:col>0</xdr:col>
                    <xdr:colOff>1206500</xdr:colOff>
                    <xdr:row>58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49" name="Check Box 171">
              <controlPr defaultSize="0" autoFill="0" autoLine="0" autoPict="0">
                <anchor moveWithCells="1">
                  <from>
                    <xdr:col>0</xdr:col>
                    <xdr:colOff>0</xdr:colOff>
                    <xdr:row>59</xdr:row>
                    <xdr:rowOff>127000</xdr:rowOff>
                  </from>
                  <to>
                    <xdr:col>0</xdr:col>
                    <xdr:colOff>1206500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50" name="Check Box 172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133350</xdr:rowOff>
                  </from>
                  <to>
                    <xdr:col>0</xdr:col>
                    <xdr:colOff>1206500</xdr:colOff>
                    <xdr:row>60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V160"/>
  <sheetViews>
    <sheetView workbookViewId="0">
      <selection activeCell="B71" sqref="B1:C65536"/>
    </sheetView>
  </sheetViews>
  <sheetFormatPr defaultColWidth="9.1796875" defaultRowHeight="13"/>
  <cols>
    <col min="1" max="1" width="18.81640625" style="2" customWidth="1"/>
    <col min="2" max="2" width="7.1796875" style="30" hidden="1" customWidth="1"/>
    <col min="3" max="3" width="48.81640625" style="23" hidden="1" customWidth="1"/>
    <col min="4" max="4" width="30.7265625" style="6" customWidth="1"/>
    <col min="5" max="5" width="37.26953125" style="1" customWidth="1"/>
    <col min="6" max="6" width="27.54296875" style="1" customWidth="1"/>
    <col min="7" max="16384" width="9.1796875" style="1"/>
  </cols>
  <sheetData>
    <row r="1" spans="1:6" ht="13.5" thickBot="1">
      <c r="A1" s="65" t="s">
        <v>48</v>
      </c>
      <c r="B1" s="72"/>
      <c r="C1" s="67"/>
      <c r="D1" s="68"/>
      <c r="E1" s="70"/>
      <c r="F1" s="71"/>
    </row>
    <row r="2" spans="1:6">
      <c r="B2" s="31"/>
    </row>
    <row r="3" spans="1:6">
      <c r="A3" s="45" t="s">
        <v>2</v>
      </c>
      <c r="B3" s="31"/>
      <c r="C3" s="23" t="str">
        <f>CONCATENATE("&lt;head&gt;&lt;title&gt;",D3,"&lt;/title&gt;&lt;/head&gt;")</f>
        <v>&lt;head&gt;&lt;title&gt;Hristo Aladjov's Citations&lt;/title&gt;&lt;/head&gt;</v>
      </c>
      <c r="D3" s="6" t="s">
        <v>166</v>
      </c>
    </row>
    <row r="4" spans="1:6" hidden="1">
      <c r="B4" s="31"/>
      <c r="C4" s="23" t="s">
        <v>3</v>
      </c>
    </row>
    <row r="5" spans="1:6" hidden="1">
      <c r="B5" s="31"/>
      <c r="C5" s="23" t="s">
        <v>4</v>
      </c>
    </row>
    <row r="6" spans="1:6" hidden="1">
      <c r="C6" s="23" t="s">
        <v>5</v>
      </c>
    </row>
    <row r="7" spans="1:6" hidden="1">
      <c r="C7" s="23" t="s">
        <v>6</v>
      </c>
    </row>
    <row r="8" spans="1:6" hidden="1">
      <c r="C8" s="23" t="s">
        <v>7</v>
      </c>
    </row>
    <row r="9" spans="1:6" hidden="1">
      <c r="C9" s="23" t="s">
        <v>8</v>
      </c>
    </row>
    <row r="10" spans="1:6" hidden="1">
      <c r="C10" s="23" t="s">
        <v>9</v>
      </c>
    </row>
    <row r="11" spans="1:6" hidden="1"/>
    <row r="12" spans="1:6" hidden="1">
      <c r="C12" s="24" t="s">
        <v>10</v>
      </c>
    </row>
    <row r="13" spans="1:6" hidden="1"/>
    <row r="14" spans="1:6" hidden="1">
      <c r="C14" s="23" t="s">
        <v>12</v>
      </c>
    </row>
    <row r="15" spans="1:6" hidden="1">
      <c r="C15" s="23" t="s">
        <v>11</v>
      </c>
    </row>
    <row r="16" spans="1:6" hidden="1">
      <c r="C16" s="23" t="s">
        <v>13</v>
      </c>
    </row>
    <row r="17" spans="1:4">
      <c r="A17" s="45" t="s">
        <v>16</v>
      </c>
      <c r="C17" s="23" t="str">
        <f>CONCATENATE("&lt;td&gt;&lt;img src=",D17," alt='' width='180' height='256' border='0'&gt;&lt;/td&gt;")</f>
        <v>&lt;td&gt;&lt;img src=Xpu100.jpg alt='' width='180' height='256' border='0'&gt;&lt;/td&gt;</v>
      </c>
      <c r="D17" s="6" t="str">
        <f>Publications!D17</f>
        <v>Xpu100.jpg</v>
      </c>
    </row>
    <row r="18" spans="1:4" hidden="1">
      <c r="C18" s="23" t="s">
        <v>14</v>
      </c>
    </row>
    <row r="19" spans="1:4" hidden="1">
      <c r="C19" s="23" t="s">
        <v>19</v>
      </c>
    </row>
    <row r="20" spans="1:4" hidden="1">
      <c r="C20" s="23" t="s">
        <v>20</v>
      </c>
    </row>
    <row r="21" spans="1:4" hidden="1">
      <c r="C21" s="23" t="s">
        <v>23</v>
      </c>
    </row>
    <row r="22" spans="1:4">
      <c r="A22" s="45" t="s">
        <v>21</v>
      </c>
      <c r="C22" s="23" t="str">
        <f>CONCATENATE("         &lt;div align='center'&gt;&lt;br&gt;&lt;font size='+2'&gt;",D22,"&lt;/font&gt;&lt;br&gt;")</f>
        <v xml:space="preserve">         &lt;div align='center'&gt;&lt;br&gt;&lt;font size='+2'&gt;Hristo Tsvetanov Aladjov&lt;/font&gt;&lt;br&gt;</v>
      </c>
      <c r="D22" s="6" t="str">
        <f>Publications!D22</f>
        <v>Hristo Tsvetanov Aladjov</v>
      </c>
    </row>
    <row r="23" spans="1:4">
      <c r="A23" s="45" t="s">
        <v>1</v>
      </c>
      <c r="C23" s="23" t="str">
        <f>CONCATENATE("         ",D23,"&lt;/div&gt;&lt;br&gt;&lt;/td&gt;")</f>
        <v xml:space="preserve">         Res. Assist., MSc, Ph.D.&lt;/div&gt;&lt;br&gt;&lt;/td&gt;</v>
      </c>
      <c r="D23" s="6" t="str">
        <f>Publications!D23</f>
        <v>Res. Assist., MSc, Ph.D.</v>
      </c>
    </row>
    <row r="24" spans="1:4" hidden="1">
      <c r="C24" s="23" t="s">
        <v>22</v>
      </c>
    </row>
    <row r="25" spans="1:4" hidden="1">
      <c r="C25" s="23" t="s">
        <v>24</v>
      </c>
    </row>
    <row r="26" spans="1:4" ht="12.5" hidden="1">
      <c r="A26" s="1"/>
      <c r="B26" s="29"/>
      <c r="C26" s="23" t="s">
        <v>25</v>
      </c>
    </row>
    <row r="27" spans="1:4">
      <c r="A27" s="45" t="s">
        <v>28</v>
      </c>
      <c r="C27" s="23" t="str">
        <f>CONCATENATE("         &lt;td &gt;&lt;a href='http://www.clbme.bas.bg/' target='_top'&gt;",D27,"&lt;/a&gt;&lt;br&gt;")</f>
        <v xml:space="preserve">         &lt;td &gt;&lt;a href='http://www.clbme.bas.bg/' target='_top'&gt;Centre of Biomedical Engineering&lt;/a&gt;&lt;br&gt;</v>
      </c>
      <c r="D27" s="6" t="str">
        <f>Publications!D27</f>
        <v>Centre of Biomedical Engineering</v>
      </c>
    </row>
    <row r="28" spans="1:4">
      <c r="C28" s="23" t="str">
        <f>CONCATENATE("         &lt;a href='http://www.bas.bg/' target='_top'&gt;",D28,"&lt;/a&gt;&lt;br&gt;")</f>
        <v xml:space="preserve">         &lt;a href='http://www.bas.bg/' target='_top'&gt;Bulgarian Academy of Science&lt;/a&gt;&lt;br&gt;</v>
      </c>
      <c r="D28" s="6" t="str">
        <f>Publications!D28</f>
        <v>Bulgarian Academy of Science</v>
      </c>
    </row>
    <row r="29" spans="1:4">
      <c r="C29" s="23" t="str">
        <f>CONCATENATE("          ",D29,"&lt;br&gt;")</f>
        <v xml:space="preserve">          Room 207A, 2th fl., Bl.105&lt;br&gt;</v>
      </c>
      <c r="D29" s="6" t="str">
        <f>Publications!D29</f>
        <v>Room 207A, 2th fl., Bl.105</v>
      </c>
    </row>
    <row r="30" spans="1:4">
      <c r="C30" s="23" t="str">
        <f>CONCATENATE("         &lt;a href='../../Address.html'&gt;",D30,"&lt;/a&gt; &lt;br&gt;")</f>
        <v xml:space="preserve">         &lt;a href='../../Address.html'&gt;Acad. George Bonchev Str.&lt;/a&gt; &lt;br&gt;</v>
      </c>
      <c r="D30" s="6" t="str">
        <f>Publications!D30</f>
        <v>Acad. George Bonchev Str.</v>
      </c>
    </row>
    <row r="31" spans="1:4">
      <c r="C31" s="23" t="s">
        <v>26</v>
      </c>
      <c r="D31" s="6" t="str">
        <f>Publications!D31</f>
        <v>1113 Sofia, Bulgaria</v>
      </c>
    </row>
    <row r="32" spans="1:4" hidden="1">
      <c r="C32" s="25" t="s">
        <v>27</v>
      </c>
    </row>
    <row r="33" spans="1:4" hidden="1">
      <c r="C33" s="23" t="s">
        <v>22</v>
      </c>
    </row>
    <row r="34" spans="1:4" hidden="1">
      <c r="C34" s="25" t="s">
        <v>24</v>
      </c>
    </row>
    <row r="35" spans="1:4" hidden="1">
      <c r="C35" s="23" t="s">
        <v>35</v>
      </c>
    </row>
    <row r="36" spans="1:4">
      <c r="A36" s="45" t="s">
        <v>36</v>
      </c>
      <c r="C36" s="23" t="str">
        <f>CONCATENATE("         &lt;td&gt;",D36,"&lt;/td&gt;")</f>
        <v xml:space="preserve">         &lt;td&gt;(+359 2) 9793654, (+359 2) 8700527&lt;/td&gt;</v>
      </c>
      <c r="D36" s="6" t="str">
        <f>Publications!D36</f>
        <v>(+359 2) 9793654, (+359 2) 8700527</v>
      </c>
    </row>
    <row r="37" spans="1:4" hidden="1">
      <c r="C37" s="23" t="s">
        <v>22</v>
      </c>
    </row>
    <row r="38" spans="1:4" hidden="1">
      <c r="C38" s="23" t="s">
        <v>24</v>
      </c>
    </row>
    <row r="39" spans="1:4" hidden="1">
      <c r="C39" s="23" t="s">
        <v>37</v>
      </c>
    </row>
    <row r="40" spans="1:4">
      <c r="A40" s="45" t="s">
        <v>40</v>
      </c>
      <c r="C40" s="23" t="str">
        <f>CONCATENATE("         &lt;td&gt;",D40,"&lt;/td&gt;")</f>
        <v xml:space="preserve">         &lt;td&gt;(+359) 2 723787&lt;/td&gt;</v>
      </c>
      <c r="D40" s="6" t="str">
        <f>Publications!D40</f>
        <v>(+359) 2 723787</v>
      </c>
    </row>
    <row r="41" spans="1:4" hidden="1">
      <c r="C41" s="23" t="s">
        <v>22</v>
      </c>
    </row>
    <row r="42" spans="1:4" hidden="1">
      <c r="C42" s="25" t="s">
        <v>24</v>
      </c>
    </row>
    <row r="43" spans="1:4" hidden="1">
      <c r="C43" s="23" t="s">
        <v>39</v>
      </c>
    </row>
    <row r="44" spans="1:4">
      <c r="A44" s="45" t="s">
        <v>41</v>
      </c>
      <c r="C44" s="23" t="str">
        <f>CONCATENATE("         &lt;td&gt;&lt;a href='mailto:",D44,"'&gt;",D44,"&lt;/a&gt;&lt;/td&gt;")</f>
        <v xml:space="preserve">         &lt;td&gt;&lt;a href='mailto:aladjov@clbme.bas.bg'&gt;aladjov@clbme.bas.bg&lt;/a&gt;&lt;/td&gt;</v>
      </c>
      <c r="D44" s="6" t="str">
        <f>Publications!D44</f>
        <v>aladjov@clbme.bas.bg</v>
      </c>
    </row>
    <row r="45" spans="1:4" hidden="1">
      <c r="C45" s="23" t="s">
        <v>22</v>
      </c>
    </row>
    <row r="46" spans="1:4" hidden="1">
      <c r="C46" s="25" t="s">
        <v>20</v>
      </c>
    </row>
    <row r="47" spans="1:4" hidden="1">
      <c r="C47" s="25" t="s">
        <v>42</v>
      </c>
    </row>
    <row r="48" spans="1:4" hidden="1">
      <c r="C48" s="23" t="s">
        <v>42</v>
      </c>
    </row>
    <row r="49" spans="1:4" hidden="1">
      <c r="C49" s="23" t="s">
        <v>22</v>
      </c>
    </row>
    <row r="50" spans="1:4" hidden="1">
      <c r="C50" s="25" t="s">
        <v>46</v>
      </c>
    </row>
    <row r="51" spans="1:4" hidden="1">
      <c r="C51" s="23" t="s">
        <v>47</v>
      </c>
    </row>
    <row r="52" spans="1:4" hidden="1">
      <c r="C52" s="23" t="s">
        <v>34</v>
      </c>
    </row>
    <row r="53" spans="1:4" hidden="1">
      <c r="C53" s="23" t="s">
        <v>45</v>
      </c>
    </row>
    <row r="54" spans="1:4" hidden="1"/>
    <row r="55" spans="1:4" hidden="1">
      <c r="C55" s="26" t="s">
        <v>49</v>
      </c>
    </row>
    <row r="56" spans="1:4">
      <c r="C56" s="23" t="s">
        <v>13</v>
      </c>
    </row>
    <row r="57" spans="1:4">
      <c r="A57" s="46" t="s">
        <v>55</v>
      </c>
      <c r="B57" s="28"/>
      <c r="C57" s="23" t="s">
        <v>50</v>
      </c>
    </row>
    <row r="58" spans="1:4">
      <c r="A58" s="45"/>
      <c r="B58" s="28" t="b">
        <v>1</v>
      </c>
      <c r="C58" s="23" t="str">
        <f>IF(B58,CONCATENATE(" &amp;nbsp;&lt;strong&gt;&lt;a href='index.html'&gt;",D58,"&lt;/a&gt;&lt;/strong&gt;&amp;nbsp;"),"")</f>
        <v xml:space="preserve"> &amp;nbsp;&lt;strong&gt;&lt;a href='index.html'&gt;Research activities&lt;/a&gt;&lt;/strong&gt;&amp;nbsp;</v>
      </c>
      <c r="D58" s="6" t="s">
        <v>52</v>
      </c>
    </row>
    <row r="59" spans="1:4">
      <c r="A59" s="45"/>
      <c r="B59" s="28" t="b">
        <v>1</v>
      </c>
      <c r="C59" s="23" t="str">
        <f>IF(B59,CONCATENATE(" &amp;nbsp;&lt;a href='publications.html'&gt;&lt;strong&gt;",D59,"&lt;/strong&gt;&lt;/a&gt;&amp;nbsp;"),"")</f>
        <v xml:space="preserve"> &amp;nbsp;&lt;a href='publications.html'&gt;&lt;strong&gt;Selected Publications&lt;/strong&gt;&lt;/a&gt;&amp;nbsp;</v>
      </c>
      <c r="D59" s="6" t="s">
        <v>53</v>
      </c>
    </row>
    <row r="60" spans="1:4">
      <c r="A60" s="45"/>
      <c r="B60" s="28" t="b">
        <v>1</v>
      </c>
      <c r="C60" s="23" t="str">
        <f>IF(B60,CONCATENATE(" &lt;font color=#FF0000&gt;&amp;nbsp;&lt;strong&gt;",D60,"&lt;/strong&gt;&amp;nbsp;&lt;/font&gt;"),"")</f>
        <v xml:space="preserve"> &lt;font color=#FF0000&gt;&amp;nbsp;&lt;strong&gt;Citations&lt;/strong&gt;&amp;nbsp;&lt;/font&gt;</v>
      </c>
      <c r="D60" s="6" t="s">
        <v>48</v>
      </c>
    </row>
    <row r="61" spans="1:4">
      <c r="A61" s="45"/>
      <c r="B61" s="28" t="b">
        <v>1</v>
      </c>
      <c r="C61" s="23" t="str">
        <f>IF(B61,CONCATENATE(" &amp;nbsp;&lt;a href='cv.html'&gt;&lt;strong&gt;",D61,"&lt;/strong&gt;&lt;/a&gt;&amp;nbsp;"),"")</f>
        <v xml:space="preserve"> &amp;nbsp;&lt;a href='cv.html'&gt;&lt;strong&gt;Curriculum Vitae&lt;/strong&gt;&lt;/a&gt;&amp;nbsp;</v>
      </c>
      <c r="D61" s="6" t="s">
        <v>54</v>
      </c>
    </row>
    <row r="62" spans="1:4">
      <c r="B62" s="28"/>
      <c r="C62" s="23" t="s">
        <v>51</v>
      </c>
    </row>
    <row r="63" spans="1:4">
      <c r="B63" s="28"/>
      <c r="C63" s="23" t="s">
        <v>34</v>
      </c>
    </row>
    <row r="65" spans="1:22">
      <c r="A65" s="45" t="s">
        <v>165</v>
      </c>
      <c r="D65" s="38" t="s">
        <v>163</v>
      </c>
      <c r="E65" s="39" t="s">
        <v>163</v>
      </c>
      <c r="F65" s="39" t="s">
        <v>164</v>
      </c>
    </row>
    <row r="67" spans="1:22">
      <c r="A67" s="45" t="s">
        <v>48</v>
      </c>
      <c r="B67" s="30">
        <f>SUM(B70:B89)</f>
        <v>0</v>
      </c>
      <c r="C67" s="95" t="s">
        <v>177</v>
      </c>
      <c r="D67" s="64">
        <f>B67</f>
        <v>0</v>
      </c>
    </row>
    <row r="68" spans="1:22">
      <c r="A68" s="45" t="s">
        <v>72</v>
      </c>
      <c r="D68" s="36" t="s">
        <v>1</v>
      </c>
    </row>
    <row r="69" spans="1:22" ht="12.5">
      <c r="A69" s="1"/>
      <c r="B69" s="29"/>
      <c r="D69" s="7"/>
    </row>
    <row r="70" spans="1:22" ht="12.75" customHeight="1">
      <c r="A70" s="9">
        <f>(A69+B70)*B70</f>
        <v>0</v>
      </c>
      <c r="B70" s="29">
        <f>IF(OR(ISNUMBER(FIND($D$65,D70)),ISNUMBER(FIND($E$65,D70)),ISNUMBER(FIND($F$65,D70)),NOT(D70&lt;&gt;"")),0,1)</f>
        <v>0</v>
      </c>
      <c r="C70" s="26" t="str">
        <f>IF(B70&lt;&gt;1,CONCATENATE("&lt;tr&gt;&lt;td bgcolor='#EEEEEE'&gt;",D70,"&lt;/td&gt;&lt;/tr&gt;"),CONCATENATE("&lt;tr&gt;&lt;td&gt;[",A70,"]. ",D70,"&lt;/td&gt;&lt;/tr&gt;"))</f>
        <v>&lt;tr&gt;&lt;td bgcolor='#EEEEEE'&gt;&lt;/td&gt;&lt;/tr&gt;</v>
      </c>
      <c r="G70" s="103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</row>
    <row r="71" spans="1:22" ht="12.5">
      <c r="A71" s="9">
        <f t="shared" ref="A71:A89" si="0">(A70+B71)*B71</f>
        <v>0</v>
      </c>
      <c r="B71" s="29">
        <f t="shared" ref="B71:B89" si="1">IF(OR(ISNUMBER(FIND($D$65,D71)),ISNUMBER(FIND($E$65,D71)),ISNUMBER(FIND($F$65,D71)),NOT(D71&lt;&gt;"")),0,1)</f>
        <v>0</v>
      </c>
      <c r="C71" s="26" t="str">
        <f t="shared" ref="C71:C89" si="2">IF(B71&lt;&gt;1,CONCATENATE("&lt;tr&gt;&lt;td bgcolor='#EEEEEE'&gt;",D71,"&lt;/td&gt;&lt;/tr&gt;"),CONCATENATE("&lt;tr&gt;&lt;td&gt;[",A71,"]. ",D71,"&lt;/td&gt;&lt;/tr&gt;"))</f>
        <v>&lt;tr&gt;&lt;td bgcolor='#EEEEEE'&gt;&lt;/td&gt;&lt;/tr&gt;</v>
      </c>
      <c r="G71" s="5"/>
      <c r="H71" s="103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 ht="12.5">
      <c r="A72" s="9">
        <f t="shared" si="0"/>
        <v>0</v>
      </c>
      <c r="B72" s="29">
        <f t="shared" si="1"/>
        <v>0</v>
      </c>
      <c r="C72" s="26" t="str">
        <f t="shared" si="2"/>
        <v>&lt;tr&gt;&lt;td bgcolor='#EEEEEE'&gt;&lt;/td&gt;&lt;/tr&gt;</v>
      </c>
      <c r="G72" s="4"/>
      <c r="H72" s="103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 ht="12.5">
      <c r="A73" s="9">
        <f t="shared" si="0"/>
        <v>0</v>
      </c>
      <c r="B73" s="29">
        <f t="shared" si="1"/>
        <v>0</v>
      </c>
      <c r="C73" s="26" t="str">
        <f t="shared" si="2"/>
        <v>&lt;tr&gt;&lt;td bgcolor='#EEEEEE'&gt;&lt;/td&gt;&lt;/tr&gt;</v>
      </c>
    </row>
    <row r="74" spans="1:22" ht="12.5">
      <c r="A74" s="9">
        <f t="shared" si="0"/>
        <v>0</v>
      </c>
      <c r="B74" s="29">
        <f t="shared" si="1"/>
        <v>0</v>
      </c>
      <c r="C74" s="26" t="str">
        <f t="shared" si="2"/>
        <v>&lt;tr&gt;&lt;td bgcolor='#EEEEEE'&gt;&lt;/td&gt;&lt;/tr&gt;</v>
      </c>
    </row>
    <row r="75" spans="1:22" ht="12.5">
      <c r="A75" s="9">
        <f t="shared" si="0"/>
        <v>0</v>
      </c>
      <c r="B75" s="29">
        <f t="shared" si="1"/>
        <v>0</v>
      </c>
      <c r="C75" s="26" t="str">
        <f t="shared" si="2"/>
        <v>&lt;tr&gt;&lt;td bgcolor='#EEEEEE'&gt;&lt;/td&gt;&lt;/tr&gt;</v>
      </c>
    </row>
    <row r="76" spans="1:22" ht="12.5">
      <c r="A76" s="9">
        <f t="shared" si="0"/>
        <v>0</v>
      </c>
      <c r="B76" s="29">
        <f t="shared" si="1"/>
        <v>0</v>
      </c>
      <c r="C76" s="26" t="str">
        <f t="shared" si="2"/>
        <v>&lt;tr&gt;&lt;td bgcolor='#EEEEEE'&gt;&lt;/td&gt;&lt;/tr&gt;</v>
      </c>
    </row>
    <row r="77" spans="1:22" ht="12.5">
      <c r="A77" s="9">
        <f t="shared" si="0"/>
        <v>0</v>
      </c>
      <c r="B77" s="29">
        <f t="shared" si="1"/>
        <v>0</v>
      </c>
      <c r="C77" s="26" t="str">
        <f t="shared" si="2"/>
        <v>&lt;tr&gt;&lt;td bgcolor='#EEEEEE'&gt;&lt;/td&gt;&lt;/tr&gt;</v>
      </c>
    </row>
    <row r="78" spans="1:22" ht="12.5">
      <c r="A78" s="9">
        <f t="shared" si="0"/>
        <v>0</v>
      </c>
      <c r="B78" s="29">
        <f t="shared" si="1"/>
        <v>0</v>
      </c>
      <c r="C78" s="26" t="str">
        <f t="shared" si="2"/>
        <v>&lt;tr&gt;&lt;td bgcolor='#EEEEEE'&gt;&lt;/td&gt;&lt;/tr&gt;</v>
      </c>
    </row>
    <row r="79" spans="1:22" ht="12.5">
      <c r="A79" s="9">
        <f t="shared" si="0"/>
        <v>0</v>
      </c>
      <c r="B79" s="29">
        <f t="shared" si="1"/>
        <v>0</v>
      </c>
      <c r="C79" s="26" t="str">
        <f t="shared" si="2"/>
        <v>&lt;tr&gt;&lt;td bgcolor='#EEEEEE'&gt;&lt;/td&gt;&lt;/tr&gt;</v>
      </c>
    </row>
    <row r="80" spans="1:22" ht="12.5">
      <c r="A80" s="9">
        <f t="shared" si="0"/>
        <v>0</v>
      </c>
      <c r="B80" s="29">
        <f t="shared" si="1"/>
        <v>0</v>
      </c>
      <c r="C80" s="26" t="str">
        <f t="shared" si="2"/>
        <v>&lt;tr&gt;&lt;td bgcolor='#EEEEEE'&gt;&lt;/td&gt;&lt;/tr&gt;</v>
      </c>
    </row>
    <row r="81" spans="1:4" ht="12.5">
      <c r="A81" s="9">
        <f t="shared" si="0"/>
        <v>0</v>
      </c>
      <c r="B81" s="29">
        <f t="shared" si="1"/>
        <v>0</v>
      </c>
      <c r="C81" s="26" t="str">
        <f t="shared" si="2"/>
        <v>&lt;tr&gt;&lt;td bgcolor='#EEEEEE'&gt;&lt;/td&gt;&lt;/tr&gt;</v>
      </c>
    </row>
    <row r="82" spans="1:4" ht="12.5">
      <c r="A82" s="9">
        <f t="shared" si="0"/>
        <v>0</v>
      </c>
      <c r="B82" s="29">
        <f t="shared" si="1"/>
        <v>0</v>
      </c>
      <c r="C82" s="26" t="str">
        <f t="shared" si="2"/>
        <v>&lt;tr&gt;&lt;td bgcolor='#EEEEEE'&gt;&lt;/td&gt;&lt;/tr&gt;</v>
      </c>
    </row>
    <row r="83" spans="1:4" ht="12.5">
      <c r="A83" s="9">
        <f t="shared" si="0"/>
        <v>0</v>
      </c>
      <c r="B83" s="29">
        <f t="shared" si="1"/>
        <v>0</v>
      </c>
      <c r="C83" s="26" t="str">
        <f t="shared" si="2"/>
        <v>&lt;tr&gt;&lt;td bgcolor='#EEEEEE'&gt;&lt;/td&gt;&lt;/tr&gt;</v>
      </c>
    </row>
    <row r="84" spans="1:4" ht="12.5">
      <c r="A84" s="9">
        <f t="shared" si="0"/>
        <v>0</v>
      </c>
      <c r="B84" s="29">
        <f t="shared" si="1"/>
        <v>0</v>
      </c>
      <c r="C84" s="26" t="str">
        <f t="shared" si="2"/>
        <v>&lt;tr&gt;&lt;td bgcolor='#EEEEEE'&gt;&lt;/td&gt;&lt;/tr&gt;</v>
      </c>
    </row>
    <row r="85" spans="1:4" ht="12.5">
      <c r="A85" s="9">
        <f t="shared" si="0"/>
        <v>0</v>
      </c>
      <c r="B85" s="29">
        <f t="shared" si="1"/>
        <v>0</v>
      </c>
      <c r="C85" s="26" t="str">
        <f t="shared" si="2"/>
        <v>&lt;tr&gt;&lt;td bgcolor='#EEEEEE'&gt;&lt;/td&gt;&lt;/tr&gt;</v>
      </c>
    </row>
    <row r="86" spans="1:4" ht="12.5">
      <c r="A86" s="9">
        <f t="shared" si="0"/>
        <v>0</v>
      </c>
      <c r="B86" s="29">
        <f t="shared" si="1"/>
        <v>0</v>
      </c>
      <c r="C86" s="26" t="str">
        <f t="shared" si="2"/>
        <v>&lt;tr&gt;&lt;td bgcolor='#EEEEEE'&gt;&lt;/td&gt;&lt;/tr&gt;</v>
      </c>
    </row>
    <row r="87" spans="1:4" ht="12.5">
      <c r="A87" s="9">
        <f t="shared" si="0"/>
        <v>0</v>
      </c>
      <c r="B87" s="29">
        <f t="shared" si="1"/>
        <v>0</v>
      </c>
      <c r="C87" s="26" t="str">
        <f t="shared" si="2"/>
        <v>&lt;tr&gt;&lt;td bgcolor='#EEEEEE'&gt;&lt;/td&gt;&lt;/tr&gt;</v>
      </c>
    </row>
    <row r="88" spans="1:4" ht="12.5">
      <c r="A88" s="9">
        <f t="shared" si="0"/>
        <v>0</v>
      </c>
      <c r="B88" s="29">
        <f t="shared" si="1"/>
        <v>0</v>
      </c>
      <c r="C88" s="26" t="str">
        <f t="shared" si="2"/>
        <v>&lt;tr&gt;&lt;td bgcolor='#EEEEEE'&gt;&lt;/td&gt;&lt;/tr&gt;</v>
      </c>
    </row>
    <row r="89" spans="1:4" ht="12.5">
      <c r="A89" s="9">
        <f t="shared" si="0"/>
        <v>0</v>
      </c>
      <c r="B89" s="29">
        <f t="shared" si="1"/>
        <v>0</v>
      </c>
      <c r="C89" s="26" t="str">
        <f t="shared" si="2"/>
        <v>&lt;tr&gt;&lt;td bgcolor='#EEEEEE'&gt;&lt;/td&gt;&lt;/tr&gt;</v>
      </c>
    </row>
    <row r="90" spans="1:4" ht="12.5">
      <c r="A90" s="9">
        <f t="shared" ref="A90:A114" si="3">(A89+B90)*B90</f>
        <v>0</v>
      </c>
      <c r="B90" s="29">
        <f t="shared" ref="B90:B114" si="4">IF(OR(ISNUMBER(FIND($D$65,D90)),ISNUMBER(FIND($E$65,D90)),ISNUMBER(FIND($F$65,D90)),NOT(D90&lt;&gt;"")),0,1)</f>
        <v>0</v>
      </c>
      <c r="C90" s="26" t="str">
        <f t="shared" ref="C90:C114" si="5">IF(B90&lt;&gt;1,CONCATENATE("&lt;tr&gt;&lt;td bgcolor='#EEEEEE'&gt;",D90,"&lt;/td&gt;&lt;/tr&gt;"),CONCATENATE("&lt;tr&gt;&lt;td&gt;[",A90,"]. ",D90,"&lt;/td&gt;&lt;/tr&gt;"))</f>
        <v>&lt;tr&gt;&lt;td bgcolor='#EEEEEE'&gt;&lt;/td&gt;&lt;/tr&gt;</v>
      </c>
    </row>
    <row r="91" spans="1:4" ht="12.5">
      <c r="A91" s="9">
        <f t="shared" si="3"/>
        <v>0</v>
      </c>
      <c r="B91" s="29">
        <f t="shared" si="4"/>
        <v>0</v>
      </c>
      <c r="C91" s="26" t="str">
        <f t="shared" si="5"/>
        <v>&lt;tr&gt;&lt;td bgcolor='#EEEEEE'&gt;&lt;/td&gt;&lt;/tr&gt;</v>
      </c>
    </row>
    <row r="92" spans="1:4" ht="12.5">
      <c r="A92" s="9">
        <f t="shared" si="3"/>
        <v>0</v>
      </c>
      <c r="B92" s="29">
        <f t="shared" si="4"/>
        <v>0</v>
      </c>
      <c r="C92" s="26" t="str">
        <f t="shared" si="5"/>
        <v>&lt;tr&gt;&lt;td bgcolor='#EEEEEE'&gt;&lt;/td&gt;&lt;/tr&gt;</v>
      </c>
    </row>
    <row r="93" spans="1:4" ht="12.5">
      <c r="A93" s="9">
        <f t="shared" si="3"/>
        <v>0</v>
      </c>
      <c r="B93" s="29">
        <f t="shared" si="4"/>
        <v>0</v>
      </c>
      <c r="C93" s="26" t="str">
        <f t="shared" si="5"/>
        <v>&lt;tr&gt;&lt;td bgcolor='#EEEEEE'&gt;&lt;/td&gt;&lt;/tr&gt;</v>
      </c>
    </row>
    <row r="94" spans="1:4" ht="12.5">
      <c r="A94" s="9">
        <f t="shared" si="3"/>
        <v>0</v>
      </c>
      <c r="B94" s="29">
        <f t="shared" si="4"/>
        <v>0</v>
      </c>
      <c r="C94" s="26" t="str">
        <f t="shared" si="5"/>
        <v>&lt;tr&gt;&lt;td bgcolor='#EEEEEE'&gt;&lt;/td&gt;&lt;/tr&gt;</v>
      </c>
      <c r="D94" s="7"/>
    </row>
    <row r="95" spans="1:4" ht="12.5">
      <c r="A95" s="9">
        <f t="shared" si="3"/>
        <v>0</v>
      </c>
      <c r="B95" s="29">
        <f t="shared" si="4"/>
        <v>0</v>
      </c>
      <c r="C95" s="26" t="str">
        <f t="shared" si="5"/>
        <v>&lt;tr&gt;&lt;td bgcolor='#EEEEEE'&gt;&lt;/td&gt;&lt;/tr&gt;</v>
      </c>
    </row>
    <row r="96" spans="1:4" ht="12.5">
      <c r="A96" s="9">
        <f t="shared" si="3"/>
        <v>0</v>
      </c>
      <c r="B96" s="29">
        <f t="shared" si="4"/>
        <v>0</v>
      </c>
      <c r="C96" s="26" t="str">
        <f t="shared" si="5"/>
        <v>&lt;tr&gt;&lt;td bgcolor='#EEEEEE'&gt;&lt;/td&gt;&lt;/tr&gt;</v>
      </c>
    </row>
    <row r="97" spans="1:4" ht="12.5">
      <c r="A97" s="9">
        <f t="shared" si="3"/>
        <v>0</v>
      </c>
      <c r="B97" s="29">
        <f t="shared" si="4"/>
        <v>0</v>
      </c>
      <c r="C97" s="26" t="str">
        <f t="shared" si="5"/>
        <v>&lt;tr&gt;&lt;td bgcolor='#EEEEEE'&gt;&lt;/td&gt;&lt;/tr&gt;</v>
      </c>
    </row>
    <row r="98" spans="1:4" ht="12.5">
      <c r="A98" s="9">
        <f t="shared" si="3"/>
        <v>0</v>
      </c>
      <c r="B98" s="29">
        <f t="shared" si="4"/>
        <v>0</v>
      </c>
      <c r="C98" s="26" t="str">
        <f t="shared" si="5"/>
        <v>&lt;tr&gt;&lt;td bgcolor='#EEEEEE'&gt;&lt;/td&gt;&lt;/tr&gt;</v>
      </c>
    </row>
    <row r="99" spans="1:4" ht="12.5">
      <c r="A99" s="9">
        <f t="shared" si="3"/>
        <v>0</v>
      </c>
      <c r="B99" s="29">
        <f t="shared" si="4"/>
        <v>0</v>
      </c>
      <c r="C99" s="26" t="str">
        <f t="shared" si="5"/>
        <v>&lt;tr&gt;&lt;td bgcolor='#EEEEEE'&gt;&lt;/td&gt;&lt;/tr&gt;</v>
      </c>
      <c r="D99" s="7"/>
    </row>
    <row r="100" spans="1:4" ht="12.5">
      <c r="A100" s="9">
        <f t="shared" si="3"/>
        <v>0</v>
      </c>
      <c r="B100" s="29">
        <f t="shared" si="4"/>
        <v>0</v>
      </c>
      <c r="C100" s="26" t="str">
        <f t="shared" si="5"/>
        <v>&lt;tr&gt;&lt;td bgcolor='#EEEEEE'&gt;&lt;/td&gt;&lt;/tr&gt;</v>
      </c>
    </row>
    <row r="101" spans="1:4" ht="12.5">
      <c r="A101" s="9">
        <f t="shared" si="3"/>
        <v>0</v>
      </c>
      <c r="B101" s="29">
        <f t="shared" si="4"/>
        <v>0</v>
      </c>
      <c r="C101" s="26" t="str">
        <f t="shared" si="5"/>
        <v>&lt;tr&gt;&lt;td bgcolor='#EEEEEE'&gt;&lt;/td&gt;&lt;/tr&gt;</v>
      </c>
    </row>
    <row r="102" spans="1:4" ht="12.5">
      <c r="A102" s="9">
        <f t="shared" si="3"/>
        <v>0</v>
      </c>
      <c r="B102" s="29">
        <f t="shared" si="4"/>
        <v>0</v>
      </c>
      <c r="C102" s="26" t="str">
        <f t="shared" si="5"/>
        <v>&lt;tr&gt;&lt;td bgcolor='#EEEEEE'&gt;&lt;/td&gt;&lt;/tr&gt;</v>
      </c>
    </row>
    <row r="103" spans="1:4" ht="12.5">
      <c r="A103" s="9">
        <f t="shared" si="3"/>
        <v>0</v>
      </c>
      <c r="B103" s="29">
        <f t="shared" si="4"/>
        <v>0</v>
      </c>
      <c r="C103" s="26" t="str">
        <f t="shared" si="5"/>
        <v>&lt;tr&gt;&lt;td bgcolor='#EEEEEE'&gt;&lt;/td&gt;&lt;/tr&gt;</v>
      </c>
    </row>
    <row r="104" spans="1:4" ht="12.5">
      <c r="A104" s="9">
        <f t="shared" si="3"/>
        <v>0</v>
      </c>
      <c r="B104" s="29">
        <f t="shared" si="4"/>
        <v>0</v>
      </c>
      <c r="C104" s="26" t="str">
        <f t="shared" si="5"/>
        <v>&lt;tr&gt;&lt;td bgcolor='#EEEEEE'&gt;&lt;/td&gt;&lt;/tr&gt;</v>
      </c>
      <c r="D104" s="7"/>
    </row>
    <row r="105" spans="1:4" ht="12.5">
      <c r="A105" s="9">
        <f t="shared" si="3"/>
        <v>0</v>
      </c>
      <c r="B105" s="29">
        <f t="shared" si="4"/>
        <v>0</v>
      </c>
      <c r="C105" s="26" t="str">
        <f t="shared" si="5"/>
        <v>&lt;tr&gt;&lt;td bgcolor='#EEEEEE'&gt;&lt;/td&gt;&lt;/tr&gt;</v>
      </c>
    </row>
    <row r="106" spans="1:4" ht="12.5">
      <c r="A106" s="9">
        <f t="shared" si="3"/>
        <v>0</v>
      </c>
      <c r="B106" s="29">
        <f t="shared" si="4"/>
        <v>0</v>
      </c>
      <c r="C106" s="26" t="str">
        <f t="shared" si="5"/>
        <v>&lt;tr&gt;&lt;td bgcolor='#EEEEEE'&gt;&lt;/td&gt;&lt;/tr&gt;</v>
      </c>
    </row>
    <row r="107" spans="1:4" ht="12.5">
      <c r="A107" s="9">
        <f t="shared" si="3"/>
        <v>0</v>
      </c>
      <c r="B107" s="29">
        <f t="shared" si="4"/>
        <v>0</v>
      </c>
      <c r="C107" s="26" t="str">
        <f t="shared" si="5"/>
        <v>&lt;tr&gt;&lt;td bgcolor='#EEEEEE'&gt;&lt;/td&gt;&lt;/tr&gt;</v>
      </c>
    </row>
    <row r="108" spans="1:4" ht="12.5">
      <c r="A108" s="9">
        <f t="shared" si="3"/>
        <v>0</v>
      </c>
      <c r="B108" s="29">
        <f t="shared" si="4"/>
        <v>0</v>
      </c>
      <c r="C108" s="26" t="str">
        <f t="shared" si="5"/>
        <v>&lt;tr&gt;&lt;td bgcolor='#EEEEEE'&gt;&lt;/td&gt;&lt;/tr&gt;</v>
      </c>
    </row>
    <row r="109" spans="1:4" ht="12.5">
      <c r="A109" s="9">
        <f t="shared" si="3"/>
        <v>0</v>
      </c>
      <c r="B109" s="29">
        <f t="shared" si="4"/>
        <v>0</v>
      </c>
      <c r="C109" s="26" t="str">
        <f t="shared" si="5"/>
        <v>&lt;tr&gt;&lt;td bgcolor='#EEEEEE'&gt;&lt;/td&gt;&lt;/tr&gt;</v>
      </c>
      <c r="D109" s="7"/>
    </row>
    <row r="110" spans="1:4" ht="12.5">
      <c r="A110" s="9">
        <f t="shared" si="3"/>
        <v>0</v>
      </c>
      <c r="B110" s="29">
        <f t="shared" si="4"/>
        <v>0</v>
      </c>
      <c r="C110" s="26" t="str">
        <f t="shared" si="5"/>
        <v>&lt;tr&gt;&lt;td bgcolor='#EEEEEE'&gt;&lt;/td&gt;&lt;/tr&gt;</v>
      </c>
    </row>
    <row r="111" spans="1:4" ht="12.5">
      <c r="A111" s="9">
        <f t="shared" si="3"/>
        <v>0</v>
      </c>
      <c r="B111" s="29">
        <f t="shared" si="4"/>
        <v>0</v>
      </c>
      <c r="C111" s="26" t="str">
        <f t="shared" si="5"/>
        <v>&lt;tr&gt;&lt;td bgcolor='#EEEEEE'&gt;&lt;/td&gt;&lt;/tr&gt;</v>
      </c>
    </row>
    <row r="112" spans="1:4" ht="12.5">
      <c r="A112" s="9">
        <f t="shared" si="3"/>
        <v>0</v>
      </c>
      <c r="B112" s="29">
        <f t="shared" si="4"/>
        <v>0</v>
      </c>
      <c r="C112" s="26" t="str">
        <f t="shared" si="5"/>
        <v>&lt;tr&gt;&lt;td bgcolor='#EEEEEE'&gt;&lt;/td&gt;&lt;/tr&gt;</v>
      </c>
    </row>
    <row r="113" spans="1:4" ht="12.5">
      <c r="A113" s="9">
        <f t="shared" si="3"/>
        <v>0</v>
      </c>
      <c r="B113" s="29">
        <f t="shared" si="4"/>
        <v>0</v>
      </c>
      <c r="C113" s="26" t="str">
        <f t="shared" si="5"/>
        <v>&lt;tr&gt;&lt;td bgcolor='#EEEEEE'&gt;&lt;/td&gt;&lt;/tr&gt;</v>
      </c>
    </row>
    <row r="114" spans="1:4" ht="12.5">
      <c r="A114" s="9">
        <f t="shared" si="3"/>
        <v>0</v>
      </c>
      <c r="B114" s="29">
        <f t="shared" si="4"/>
        <v>0</v>
      </c>
      <c r="C114" s="26" t="str">
        <f t="shared" si="5"/>
        <v>&lt;tr&gt;&lt;td bgcolor='#EEEEEE'&gt;&lt;/td&gt;&lt;/tr&gt;</v>
      </c>
      <c r="D114" s="7"/>
    </row>
    <row r="115" spans="1:4" ht="12.5">
      <c r="A115" s="9">
        <f t="shared" ref="A115:A121" si="6">(A114+B115)*B115</f>
        <v>0</v>
      </c>
      <c r="B115" s="29">
        <f t="shared" ref="B115:B121" si="7">IF(OR(ISNUMBER(FIND($D$65,D115)),ISNUMBER(FIND($E$65,D115)),ISNUMBER(FIND($F$65,D115)),NOT(D115&lt;&gt;"")),0,1)</f>
        <v>0</v>
      </c>
      <c r="C115" s="26" t="str">
        <f t="shared" ref="C115:C121" si="8">IF(B115&lt;&gt;1,CONCATENATE("&lt;tr&gt;&lt;td bgcolor='#EEEEEE'&gt;",D115,"&lt;/td&gt;&lt;/tr&gt;"),CONCATENATE("&lt;tr&gt;&lt;td&gt;[",A115,"]. ",D115,"&lt;/td&gt;&lt;/tr&gt;"))</f>
        <v>&lt;tr&gt;&lt;td bgcolor='#EEEEEE'&gt;&lt;/td&gt;&lt;/tr&gt;</v>
      </c>
    </row>
    <row r="116" spans="1:4" ht="12.5">
      <c r="A116" s="9">
        <f t="shared" si="6"/>
        <v>0</v>
      </c>
      <c r="B116" s="29">
        <f t="shared" si="7"/>
        <v>0</v>
      </c>
      <c r="C116" s="26" t="str">
        <f t="shared" si="8"/>
        <v>&lt;tr&gt;&lt;td bgcolor='#EEEEEE'&gt;&lt;/td&gt;&lt;/tr&gt;</v>
      </c>
    </row>
    <row r="117" spans="1:4" ht="12.5">
      <c r="A117" s="9">
        <f t="shared" si="6"/>
        <v>0</v>
      </c>
      <c r="B117" s="29">
        <f t="shared" si="7"/>
        <v>0</v>
      </c>
      <c r="C117" s="26" t="str">
        <f t="shared" si="8"/>
        <v>&lt;tr&gt;&lt;td bgcolor='#EEEEEE'&gt;&lt;/td&gt;&lt;/tr&gt;</v>
      </c>
    </row>
    <row r="118" spans="1:4" ht="12.5">
      <c r="A118" s="9">
        <f t="shared" si="6"/>
        <v>0</v>
      </c>
      <c r="B118" s="29">
        <f t="shared" si="7"/>
        <v>0</v>
      </c>
      <c r="C118" s="26" t="str">
        <f t="shared" si="8"/>
        <v>&lt;tr&gt;&lt;td bgcolor='#EEEEEE'&gt;&lt;/td&gt;&lt;/tr&gt;</v>
      </c>
    </row>
    <row r="119" spans="1:4" ht="12.5">
      <c r="A119" s="9">
        <f t="shared" si="6"/>
        <v>0</v>
      </c>
      <c r="B119" s="29">
        <f t="shared" si="7"/>
        <v>0</v>
      </c>
      <c r="C119" s="26" t="str">
        <f t="shared" si="8"/>
        <v>&lt;tr&gt;&lt;td bgcolor='#EEEEEE'&gt;&lt;/td&gt;&lt;/tr&gt;</v>
      </c>
      <c r="D119" s="7"/>
    </row>
    <row r="120" spans="1:4" ht="12.5">
      <c r="A120" s="9">
        <f t="shared" si="6"/>
        <v>0</v>
      </c>
      <c r="B120" s="29">
        <f t="shared" si="7"/>
        <v>0</v>
      </c>
      <c r="C120" s="26" t="str">
        <f t="shared" si="8"/>
        <v>&lt;tr&gt;&lt;td bgcolor='#EEEEEE'&gt;&lt;/td&gt;&lt;/tr&gt;</v>
      </c>
    </row>
    <row r="121" spans="1:4" ht="12.5">
      <c r="A121" s="9">
        <f t="shared" si="6"/>
        <v>0</v>
      </c>
      <c r="B121" s="29">
        <f t="shared" si="7"/>
        <v>0</v>
      </c>
      <c r="C121" s="26" t="str">
        <f t="shared" si="8"/>
        <v>&lt;tr&gt;&lt;td bgcolor='#EEEEEE'&gt;&lt;/td&gt;&lt;/tr&gt;</v>
      </c>
    </row>
    <row r="122" spans="1:4">
      <c r="C122" s="27" t="s">
        <v>45</v>
      </c>
    </row>
    <row r="123" spans="1:4">
      <c r="C123" s="27" t="s">
        <v>82</v>
      </c>
    </row>
    <row r="124" spans="1:4" ht="12.5">
      <c r="A124" s="8"/>
      <c r="B124" s="29"/>
      <c r="C124" s="27" t="s">
        <v>81</v>
      </c>
      <c r="D124" s="7"/>
    </row>
    <row r="125" spans="1:4" ht="12.5">
      <c r="A125" s="8"/>
      <c r="B125" s="29"/>
      <c r="C125" s="27" t="s">
        <v>80</v>
      </c>
    </row>
    <row r="129" spans="1:4" ht="12.5">
      <c r="A129" s="8"/>
      <c r="B129" s="29"/>
      <c r="C129" s="25"/>
      <c r="D129" s="7"/>
    </row>
    <row r="130" spans="1:4" ht="12.5">
      <c r="A130" s="8"/>
      <c r="B130" s="29"/>
      <c r="C130" s="26"/>
    </row>
    <row r="134" spans="1:4" ht="12.5">
      <c r="A134" s="8"/>
      <c r="B134" s="29"/>
      <c r="C134" s="25"/>
      <c r="D134" s="7"/>
    </row>
    <row r="135" spans="1:4" ht="12.5">
      <c r="A135" s="8"/>
      <c r="B135" s="29"/>
      <c r="C135" s="26"/>
    </row>
    <row r="139" spans="1:4" ht="12.5">
      <c r="A139" s="8"/>
      <c r="B139" s="29"/>
      <c r="C139" s="25"/>
      <c r="D139" s="7"/>
    </row>
    <row r="140" spans="1:4" ht="12.5">
      <c r="A140" s="8"/>
      <c r="B140" s="29"/>
      <c r="C140" s="26"/>
    </row>
    <row r="144" spans="1:4" ht="12.5">
      <c r="A144" s="8"/>
      <c r="B144" s="29"/>
      <c r="C144" s="25"/>
      <c r="D144" s="7"/>
    </row>
    <row r="145" spans="1:4" ht="12.5">
      <c r="A145" s="8"/>
      <c r="B145" s="29"/>
      <c r="C145" s="26"/>
    </row>
    <row r="149" spans="1:4" ht="12.5">
      <c r="A149" s="8"/>
      <c r="B149" s="29"/>
      <c r="C149" s="25"/>
      <c r="D149" s="7"/>
    </row>
    <row r="150" spans="1:4" ht="12.5">
      <c r="A150" s="8"/>
      <c r="B150" s="29"/>
      <c r="C150" s="26"/>
    </row>
    <row r="154" spans="1:4" ht="12.5">
      <c r="A154" s="8"/>
      <c r="B154" s="29"/>
      <c r="C154" s="25"/>
      <c r="D154" s="7"/>
    </row>
    <row r="155" spans="1:4" ht="12.5">
      <c r="A155" s="8"/>
      <c r="B155" s="29"/>
      <c r="C155" s="26"/>
    </row>
    <row r="159" spans="1:4" ht="12.5">
      <c r="A159" s="8"/>
      <c r="B159" s="29"/>
      <c r="C159" s="25"/>
      <c r="D159" s="7"/>
    </row>
    <row r="160" spans="1:4" ht="12.5">
      <c r="A160" s="8"/>
      <c r="B160" s="29"/>
      <c r="C160" s="26"/>
    </row>
  </sheetData>
  <mergeCells count="2">
    <mergeCell ref="G70:V70"/>
    <mergeCell ref="H71:H72"/>
  </mergeCells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6" r:id="rId4" name="Check Box 18">
              <controlPr defaultSize="0" autoFill="0" autoLine="0" autoPict="0">
                <anchor moveWithCells="1">
                  <from>
                    <xdr:col>0</xdr:col>
                    <xdr:colOff>0</xdr:colOff>
                    <xdr:row>57</xdr:row>
                    <xdr:rowOff>127000</xdr:rowOff>
                  </from>
                  <to>
                    <xdr:col>0</xdr:col>
                    <xdr:colOff>1206500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5" name="Check Box 19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133350</xdr:rowOff>
                  </from>
                  <to>
                    <xdr:col>0</xdr:col>
                    <xdr:colOff>1206500</xdr:colOff>
                    <xdr:row>58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6" name="Check Box 20">
              <controlPr defaultSize="0" autoFill="0" autoLine="0" autoPict="0">
                <anchor moveWithCells="1">
                  <from>
                    <xdr:col>0</xdr:col>
                    <xdr:colOff>0</xdr:colOff>
                    <xdr:row>59</xdr:row>
                    <xdr:rowOff>127000</xdr:rowOff>
                  </from>
                  <to>
                    <xdr:col>0</xdr:col>
                    <xdr:colOff>1206500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7" name="Check Box 21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133350</xdr:rowOff>
                  </from>
                  <to>
                    <xdr:col>0</xdr:col>
                    <xdr:colOff>1206500</xdr:colOff>
                    <xdr:row>60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69"/>
  <sheetViews>
    <sheetView workbookViewId="0">
      <selection activeCell="A66" sqref="A66"/>
    </sheetView>
  </sheetViews>
  <sheetFormatPr defaultRowHeight="12.5"/>
  <cols>
    <col min="1" max="1" width="18.26953125" customWidth="1"/>
    <col min="2" max="2" width="7.1796875" style="30" hidden="1" customWidth="1"/>
    <col min="3" max="3" width="51" style="26" hidden="1" customWidth="1"/>
    <col min="4" max="4" width="13" style="99" customWidth="1"/>
  </cols>
  <sheetData>
    <row r="1" spans="1:13" ht="13.5" thickBot="1">
      <c r="A1" s="65" t="s">
        <v>192</v>
      </c>
      <c r="B1" s="72"/>
      <c r="C1" s="101"/>
      <c r="D1" s="98"/>
      <c r="E1" s="96"/>
      <c r="F1" s="96"/>
      <c r="G1" s="96"/>
      <c r="H1" s="96"/>
      <c r="I1" s="96"/>
      <c r="J1" s="96"/>
      <c r="K1" s="96"/>
      <c r="L1" s="96"/>
      <c r="M1" s="97"/>
    </row>
    <row r="2" spans="1:13" hidden="1">
      <c r="B2" s="31"/>
    </row>
    <row r="3" spans="1:13" hidden="1">
      <c r="B3" s="31"/>
      <c r="C3" s="26" t="s">
        <v>179</v>
      </c>
    </row>
    <row r="4" spans="1:13" hidden="1">
      <c r="B4" s="31"/>
      <c r="C4" s="26" t="s">
        <v>178</v>
      </c>
    </row>
    <row r="5" spans="1:13">
      <c r="A5" s="100" t="s">
        <v>191</v>
      </c>
      <c r="B5" s="31"/>
      <c r="C5" s="26" t="str">
        <f>CONCATENATE("       &amp;nbsp;&lt;img src='People/",D5,"' width=90 height=112 border=0&gt;&amp;nbsp;")</f>
        <v xml:space="preserve">       &amp;nbsp;&lt;img src='People/krasim.jpg' width=90 height=112 border=0&gt;&amp;nbsp;</v>
      </c>
      <c r="D5" s="99" t="s">
        <v>209</v>
      </c>
    </row>
    <row r="6" spans="1:13" hidden="1">
      <c r="C6" s="26" t="s">
        <v>47</v>
      </c>
    </row>
    <row r="7" spans="1:13" hidden="1">
      <c r="C7" s="26" t="s">
        <v>14</v>
      </c>
    </row>
    <row r="8" spans="1:13" hidden="1">
      <c r="C8" s="26" t="s">
        <v>180</v>
      </c>
    </row>
    <row r="9" spans="1:13" hidden="1">
      <c r="C9" s="26" t="s">
        <v>181</v>
      </c>
    </row>
    <row r="10" spans="1:13" hidden="1">
      <c r="C10" s="26" t="s">
        <v>182</v>
      </c>
    </row>
    <row r="11" spans="1:13" hidden="1">
      <c r="C11" s="26" t="s">
        <v>183</v>
      </c>
    </row>
    <row r="12" spans="1:13" hidden="1">
      <c r="C12" s="102" t="s">
        <v>182</v>
      </c>
    </row>
    <row r="13" spans="1:13" hidden="1">
      <c r="C13" s="26" t="s">
        <v>184</v>
      </c>
    </row>
    <row r="14" spans="1:13" hidden="1">
      <c r="C14" s="26" t="s">
        <v>181</v>
      </c>
    </row>
    <row r="15" spans="1:13" hidden="1">
      <c r="C15" s="26" t="s">
        <v>185</v>
      </c>
    </row>
    <row r="16" spans="1:13" hidden="1">
      <c r="C16" s="26" t="s">
        <v>186</v>
      </c>
    </row>
    <row r="17" spans="1:4" hidden="1">
      <c r="C17" s="26" t="s">
        <v>187</v>
      </c>
    </row>
    <row r="18" spans="1:4" hidden="1">
      <c r="C18" s="26" t="s">
        <v>188</v>
      </c>
    </row>
    <row r="19" spans="1:4">
      <c r="A19" s="100" t="s">
        <v>189</v>
      </c>
      <c r="C19" s="26" t="str">
        <f>CONCATENATE("          &lt;td bordercolor=#022D84&gt;&amp;nbsp;&amp;nbsp;",D19,"&lt;/td&gt;")</f>
        <v xml:space="preserve">          &lt;td bordercolor=#022D84&gt;&amp;nbsp;&amp;nbsp;motor control, artificial intelligence &lt;/td&gt;</v>
      </c>
      <c r="D19" s="99" t="s">
        <v>190</v>
      </c>
    </row>
    <row r="20" spans="1:4" hidden="1">
      <c r="C20" s="26" t="s">
        <v>188</v>
      </c>
    </row>
    <row r="21" spans="1:4" hidden="1">
      <c r="C21" s="26" t="s">
        <v>184</v>
      </c>
    </row>
    <row r="22" spans="1:4" hidden="1">
      <c r="C22" s="26" t="s">
        <v>181</v>
      </c>
    </row>
    <row r="23" spans="1:4" hidden="1">
      <c r="C23" s="26" t="s">
        <v>193</v>
      </c>
    </row>
    <row r="24" spans="1:4" hidden="1">
      <c r="C24" s="26" t="s">
        <v>194</v>
      </c>
    </row>
    <row r="25" spans="1:4" hidden="1">
      <c r="C25" s="26" t="s">
        <v>193</v>
      </c>
    </row>
    <row r="26" spans="1:4" hidden="1">
      <c r="B26" s="29"/>
      <c r="C26" s="26" t="s">
        <v>182</v>
      </c>
    </row>
    <row r="27" spans="1:4">
      <c r="A27" s="100" t="s">
        <v>195</v>
      </c>
      <c r="C27" s="26" t="str">
        <f>CONCATENATE("          &lt;td bordercolor=#022D84&gt;&amp;nbsp;&amp;nbsp;&lt;A href='mailto:",D27,"'&gt;",D27,"&lt;/td&gt;")</f>
        <v xml:space="preserve">          &lt;td bordercolor=#022D84&gt;&amp;nbsp;&amp;nbsp;&lt;A href='mailto:aladjov@clbme.bas.bg'&gt;aladjov@clbme.bas.bg&lt;/td&gt;</v>
      </c>
      <c r="D27" s="99" t="s">
        <v>38</v>
      </c>
    </row>
    <row r="28" spans="1:4" hidden="1">
      <c r="C28" s="26" t="s">
        <v>182</v>
      </c>
    </row>
    <row r="29" spans="1:4" hidden="1">
      <c r="C29" s="26" t="s">
        <v>184</v>
      </c>
    </row>
    <row r="30" spans="1:4" hidden="1">
      <c r="C30" s="26" t="s">
        <v>181</v>
      </c>
    </row>
    <row r="31" spans="1:4" hidden="1">
      <c r="C31" s="26" t="s">
        <v>193</v>
      </c>
    </row>
    <row r="32" spans="1:4" hidden="1">
      <c r="C32" s="26" t="s">
        <v>201</v>
      </c>
    </row>
    <row r="33" spans="1:4" hidden="1">
      <c r="C33" s="26" t="s">
        <v>193</v>
      </c>
    </row>
    <row r="34" spans="1:4" hidden="1">
      <c r="C34" s="26" t="s">
        <v>182</v>
      </c>
    </row>
    <row r="35" spans="1:4">
      <c r="A35" s="100" t="s">
        <v>200</v>
      </c>
      <c r="C35" s="26" t="str">
        <f>CONCATENATE("          &lt;td bordercolor=#022D84&gt;&amp;nbsp;&amp;nbsp;",D35,"&lt;/td&gt;")</f>
        <v xml:space="preserve">          &lt;td bordercolor=#022D84&gt;&amp;nbsp;&amp;nbsp;(+359 2) 9793654, (+359 2) 8700527&lt;/td&gt;</v>
      </c>
      <c r="D35" s="99" t="s">
        <v>44</v>
      </c>
    </row>
    <row r="36" spans="1:4" hidden="1">
      <c r="C36" s="26" t="s">
        <v>182</v>
      </c>
    </row>
    <row r="37" spans="1:4" hidden="1">
      <c r="C37" s="26" t="s">
        <v>184</v>
      </c>
    </row>
    <row r="38" spans="1:4" hidden="1">
      <c r="C38" s="26" t="s">
        <v>181</v>
      </c>
    </row>
    <row r="39" spans="1:4" hidden="1">
      <c r="C39" s="26" t="s">
        <v>193</v>
      </c>
    </row>
    <row r="40" spans="1:4" hidden="1">
      <c r="C40" s="26" t="s">
        <v>196</v>
      </c>
    </row>
    <row r="41" spans="1:4" hidden="1">
      <c r="C41" s="26" t="s">
        <v>193</v>
      </c>
    </row>
    <row r="42" spans="1:4" hidden="1">
      <c r="C42" s="26" t="s">
        <v>197</v>
      </c>
    </row>
    <row r="43" spans="1:4">
      <c r="A43" s="100" t="s">
        <v>199</v>
      </c>
      <c r="C43" s="26" t="str">
        <f>CONCATENATE("          &lt;td bordercolor=#022D84&gt;&amp;nbsp;&amp;nbsp;&lt;a href='pwp/",D43,"' target='_parent'&gt;personal information, publications&lt;/a&gt;&lt;/td&gt;")</f>
        <v xml:space="preserve">          &lt;td bordercolor=#022D84&gt;&amp;nbsp;&amp;nbsp;&lt;a href='pwp/Hristo_Aladjov/Index.html' target='_parent'&gt;personal information, publications&lt;/a&gt;&lt;/td&gt;</v>
      </c>
      <c r="D43" s="99" t="s">
        <v>198</v>
      </c>
    </row>
    <row r="44" spans="1:4" hidden="1">
      <c r="C44" s="26" t="s">
        <v>182</v>
      </c>
    </row>
    <row r="45" spans="1:4" hidden="1">
      <c r="C45" s="26" t="s">
        <v>184</v>
      </c>
    </row>
    <row r="46" spans="1:4" hidden="1">
      <c r="C46" s="26" t="s">
        <v>181</v>
      </c>
    </row>
    <row r="47" spans="1:4" hidden="1">
      <c r="C47" s="26" t="s">
        <v>193</v>
      </c>
    </row>
    <row r="48" spans="1:4" hidden="1">
      <c r="C48" s="26" t="s">
        <v>203</v>
      </c>
    </row>
    <row r="49" spans="1:5" hidden="1">
      <c r="C49" s="26" t="s">
        <v>193</v>
      </c>
    </row>
    <row r="50" spans="1:5" hidden="1">
      <c r="C50" s="26" t="s">
        <v>204</v>
      </c>
    </row>
    <row r="51" spans="1:5">
      <c r="A51" s="100" t="s">
        <v>202</v>
      </c>
      <c r="C51" s="26" t="str">
        <f>CONCATENATE("          &lt;td bordercolor=#022D84&gt;&amp;nbsp;&amp;nbsp;&lt;a href='Address.html'&gt;",D51,"&lt;/a&gt;",E51," &lt;/td&gt;")</f>
        <v xml:space="preserve">          &lt;td bordercolor=#022D84&gt;&amp;nbsp;&amp;nbsp;&lt;a href='Address.html'&gt;CLBME - BAS&lt;/a&gt;2th fl., room 203 &lt;/td&gt;</v>
      </c>
      <c r="D51" s="99" t="s">
        <v>206</v>
      </c>
      <c r="E51" s="99" t="s">
        <v>205</v>
      </c>
    </row>
    <row r="52" spans="1:5" hidden="1">
      <c r="C52" s="26" t="s">
        <v>182</v>
      </c>
    </row>
    <row r="53" spans="1:5" hidden="1">
      <c r="C53" s="26" t="s">
        <v>184</v>
      </c>
    </row>
    <row r="54" spans="1:5" hidden="1">
      <c r="C54" s="26" t="s">
        <v>208</v>
      </c>
    </row>
    <row r="55" spans="1:5" hidden="1">
      <c r="C55" s="26" t="s">
        <v>47</v>
      </c>
    </row>
    <row r="56" spans="1:5" hidden="1">
      <c r="C56" s="26" t="s">
        <v>207</v>
      </c>
    </row>
    <row r="57" spans="1:5" hidden="1"/>
    <row r="58" spans="1:5" hidden="1"/>
    <row r="63" spans="1:5">
      <c r="C63" s="25"/>
    </row>
    <row r="66" spans="2:3">
      <c r="B66" s="28"/>
    </row>
    <row r="67" spans="2:3">
      <c r="B67" s="28"/>
    </row>
    <row r="68" spans="2:3">
      <c r="B68" s="28"/>
    </row>
    <row r="69" spans="2:3">
      <c r="B69" s="28"/>
    </row>
    <row r="70" spans="2:3">
      <c r="B70" s="28"/>
    </row>
    <row r="71" spans="2:3">
      <c r="B71" s="28"/>
    </row>
    <row r="72" spans="2:3">
      <c r="B72" s="28"/>
    </row>
    <row r="76" spans="2:3">
      <c r="C76" s="95"/>
    </row>
    <row r="78" spans="2:3">
      <c r="B78" s="29"/>
    </row>
    <row r="79" spans="2:3">
      <c r="B79" s="29"/>
    </row>
    <row r="80" spans="2:3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  <row r="93" spans="2:2">
      <c r="B93" s="29"/>
    </row>
    <row r="94" spans="2:2">
      <c r="B94" s="29"/>
    </row>
    <row r="95" spans="2:2">
      <c r="B95" s="29"/>
    </row>
    <row r="96" spans="2:2">
      <c r="B96" s="29"/>
    </row>
    <row r="97" spans="2:2">
      <c r="B97" s="29"/>
    </row>
    <row r="98" spans="2:2">
      <c r="B98" s="29"/>
    </row>
    <row r="99" spans="2:2">
      <c r="B99" s="29"/>
    </row>
    <row r="100" spans="2:2">
      <c r="B100" s="29"/>
    </row>
    <row r="101" spans="2:2">
      <c r="B101" s="29"/>
    </row>
    <row r="102" spans="2:2">
      <c r="B102" s="29"/>
    </row>
    <row r="103" spans="2:2">
      <c r="B103" s="29"/>
    </row>
    <row r="104" spans="2:2">
      <c r="B104" s="29"/>
    </row>
    <row r="105" spans="2:2">
      <c r="B105" s="29"/>
    </row>
    <row r="106" spans="2:2">
      <c r="B106" s="29"/>
    </row>
    <row r="107" spans="2:2">
      <c r="B107" s="29"/>
    </row>
    <row r="108" spans="2:2">
      <c r="B108" s="29"/>
    </row>
    <row r="109" spans="2:2">
      <c r="B109" s="29"/>
    </row>
    <row r="110" spans="2:2">
      <c r="B110" s="29"/>
    </row>
    <row r="111" spans="2:2">
      <c r="B111" s="29"/>
    </row>
    <row r="112" spans="2:2">
      <c r="B112" s="29"/>
    </row>
    <row r="113" spans="2:2">
      <c r="B113" s="29"/>
    </row>
    <row r="114" spans="2:2">
      <c r="B114" s="29"/>
    </row>
    <row r="115" spans="2:2">
      <c r="B115" s="29"/>
    </row>
    <row r="116" spans="2:2">
      <c r="B116" s="29"/>
    </row>
    <row r="117" spans="2:2">
      <c r="B117" s="29"/>
    </row>
    <row r="118" spans="2:2">
      <c r="B118" s="29"/>
    </row>
    <row r="119" spans="2:2">
      <c r="B119" s="29"/>
    </row>
    <row r="120" spans="2:2">
      <c r="B120" s="29"/>
    </row>
    <row r="121" spans="2:2">
      <c r="B121" s="29"/>
    </row>
    <row r="122" spans="2:2">
      <c r="B122" s="29"/>
    </row>
    <row r="123" spans="2:2">
      <c r="B123" s="29"/>
    </row>
    <row r="124" spans="2:2">
      <c r="B124" s="29"/>
    </row>
    <row r="125" spans="2:2">
      <c r="B125" s="29"/>
    </row>
    <row r="126" spans="2:2">
      <c r="B126" s="29"/>
    </row>
    <row r="127" spans="2:2">
      <c r="B127" s="29"/>
    </row>
    <row r="128" spans="2:2">
      <c r="B128" s="29"/>
    </row>
    <row r="129" spans="2:3">
      <c r="B129" s="29"/>
    </row>
    <row r="130" spans="2:3">
      <c r="B130" s="29"/>
    </row>
    <row r="131" spans="2:3">
      <c r="C131" s="27"/>
    </row>
    <row r="132" spans="2:3">
      <c r="C132" s="27"/>
    </row>
    <row r="133" spans="2:3">
      <c r="B133" s="29"/>
      <c r="C133" s="27"/>
    </row>
    <row r="134" spans="2:3">
      <c r="B134" s="29"/>
      <c r="C134" s="27"/>
    </row>
    <row r="138" spans="2:3">
      <c r="B138" s="29"/>
    </row>
    <row r="139" spans="2:3">
      <c r="B139" s="29"/>
    </row>
    <row r="143" spans="2:3">
      <c r="B143" s="29"/>
    </row>
    <row r="144" spans="2:3">
      <c r="B144" s="29"/>
    </row>
    <row r="148" spans="2:2">
      <c r="B148" s="29"/>
    </row>
    <row r="149" spans="2:2">
      <c r="B149" s="29"/>
    </row>
    <row r="153" spans="2:2">
      <c r="B153" s="29"/>
    </row>
    <row r="154" spans="2:2">
      <c r="B154" s="29"/>
    </row>
    <row r="158" spans="2:2">
      <c r="B158" s="29"/>
    </row>
    <row r="159" spans="2:2">
      <c r="B159" s="29"/>
    </row>
    <row r="163" spans="2:2">
      <c r="B163" s="29"/>
    </row>
    <row r="164" spans="2:2">
      <c r="B164" s="29"/>
    </row>
    <row r="168" spans="2:2">
      <c r="B168" s="29"/>
    </row>
    <row r="169" spans="2:2">
      <c r="B169" s="29"/>
    </row>
  </sheetData>
  <pageMargins left="0.75" right="0.75" top="1" bottom="1" header="0.5" footer="0.5"/>
  <pageSetup orientation="portrait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Introduction</vt:lpstr>
      <vt:lpstr>Publications</vt:lpstr>
      <vt:lpstr>CV</vt:lpstr>
      <vt:lpstr>Citations</vt:lpstr>
      <vt:lpstr>People Index</vt:lpstr>
      <vt:lpstr>Publications!TABLE_3</vt:lpstr>
    </vt:vector>
  </TitlesOfParts>
  <Company>Imagine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http://www.clbme.bas.bg/PI_AMEBS.html</dc:title>
  <dc:creator>Vital</dc:creator>
  <cp:lastModifiedBy>Carina Negreanu</cp:lastModifiedBy>
  <cp:lastPrinted>2003-09-12T12:26:10Z</cp:lastPrinted>
  <dcterms:created xsi:type="dcterms:W3CDTF">2003-09-02T10:46:34Z</dcterms:created>
  <dcterms:modified xsi:type="dcterms:W3CDTF">2020-01-27T12:00:26Z</dcterms:modified>
</cp:coreProperties>
</file>