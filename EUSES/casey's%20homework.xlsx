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BA5955-C971-4187-A819-E0757F1CE43A}" xr6:coauthVersionLast="45" xr6:coauthVersionMax="45" xr10:uidLastSave="{00000000-0000-0000-0000-000000000000}"/>
  <bookViews>
    <workbookView xWindow="3420" yWindow="3420" windowWidth="28800" windowHeight="15460" activeTab="5"/>
  </bookViews>
  <sheets>
    <sheet name="Chart2" sheetId="1" r:id="rId1"/>
    <sheet name="4" sheetId="2" r:id="rId2"/>
    <sheet name="Chart3" sheetId="3" r:id="rId3"/>
    <sheet name="Chart6" sheetId="4" r:id="rId4"/>
    <sheet name="Chart7" sheetId="5" r:id="rId5"/>
    <sheet name="Chart8" sheetId="6" r:id="rId6"/>
    <sheet name="Sheet1" sheetId="7" r:id="rId7"/>
    <sheet name="Sheet2" sheetId="8" r:id="rId8"/>
    <sheet name="Sheet3" sheetId="9" r:id="rId9"/>
    <sheet name="Sheet4" sheetId="10" r:id="rId10"/>
    <sheet name="Sheet5" sheetId="11" r:id="rId11"/>
    <sheet name="Sheet6" sheetId="12" r:id="rId12"/>
    <sheet name="Sheet7" sheetId="13" r:id="rId13"/>
    <sheet name="Sheet8" sheetId="14" r:id="rId14"/>
    <sheet name="Sheet9" sheetId="15" r:id="rId15"/>
    <sheet name="Sheet10" sheetId="16" r:id="rId16"/>
    <sheet name="Sheet11" sheetId="17" r:id="rId17"/>
    <sheet name="Sheet12" sheetId="18" r:id="rId18"/>
    <sheet name="Sheet13" sheetId="19" r:id="rId19"/>
    <sheet name="Sheet14" sheetId="20" r:id="rId20"/>
    <sheet name="Sheet15" sheetId="21" r:id="rId21"/>
    <sheet name="Sheet16" sheetId="22" r:id="rId22"/>
  </sheets>
  <calcPr calcId="0"/>
</workbook>
</file>

<file path=xl/calcChain.xml><?xml version="1.0" encoding="utf-8"?>
<calcChain xmlns="http://schemas.openxmlformats.org/spreadsheetml/2006/main">
  <c r="L3" i="7" l="1"/>
  <c r="N3" i="7"/>
  <c r="T3" i="7"/>
  <c r="U3" i="7"/>
  <c r="Z3" i="7"/>
  <c r="AA3" i="7"/>
  <c r="AC3" i="7"/>
  <c r="L4" i="7"/>
  <c r="N4" i="7"/>
  <c r="T4" i="7"/>
  <c r="U4" i="7"/>
  <c r="Z4" i="7"/>
  <c r="AA4" i="7"/>
  <c r="AC4" i="7"/>
  <c r="L5" i="7"/>
  <c r="N5" i="7"/>
  <c r="T5" i="7"/>
  <c r="U5" i="7"/>
  <c r="Z5" i="7"/>
  <c r="AA5" i="7"/>
  <c r="AC5" i="7"/>
  <c r="L6" i="7"/>
  <c r="N6" i="7"/>
  <c r="T6" i="7"/>
  <c r="U6" i="7"/>
  <c r="Z6" i="7"/>
  <c r="AA6" i="7"/>
  <c r="AC6" i="7"/>
  <c r="L7" i="7"/>
  <c r="N7" i="7"/>
  <c r="T7" i="7"/>
  <c r="U7" i="7"/>
  <c r="Z7" i="7"/>
  <c r="AA7" i="7"/>
  <c r="AC7" i="7"/>
  <c r="L8" i="7"/>
  <c r="N8" i="7"/>
  <c r="T8" i="7"/>
  <c r="U8" i="7"/>
  <c r="Z8" i="7"/>
  <c r="AA8" i="7"/>
  <c r="AC8" i="7"/>
  <c r="L9" i="7"/>
  <c r="N9" i="7"/>
  <c r="T9" i="7"/>
  <c r="U9" i="7"/>
  <c r="Z9" i="7"/>
  <c r="AA9" i="7"/>
  <c r="AC9" i="7"/>
  <c r="L10" i="7"/>
  <c r="N10" i="7"/>
  <c r="T10" i="7"/>
  <c r="U10" i="7"/>
  <c r="Z10" i="7"/>
  <c r="AA10" i="7"/>
  <c r="AC10" i="7"/>
  <c r="L11" i="7"/>
  <c r="N11" i="7"/>
  <c r="T11" i="7"/>
  <c r="U11" i="7"/>
  <c r="Z11" i="7"/>
  <c r="AA11" i="7"/>
  <c r="AC11" i="7"/>
  <c r="L12" i="7"/>
  <c r="N12" i="7"/>
  <c r="T12" i="7"/>
  <c r="U12" i="7"/>
  <c r="Z12" i="7"/>
  <c r="AA12" i="7"/>
  <c r="AC12" i="7"/>
  <c r="L13" i="7"/>
  <c r="N13" i="7"/>
  <c r="T13" i="7"/>
  <c r="U13" i="7"/>
  <c r="Z13" i="7"/>
  <c r="AA13" i="7"/>
  <c r="AC13" i="7"/>
  <c r="L14" i="7"/>
  <c r="N14" i="7"/>
  <c r="T14" i="7"/>
  <c r="U14" i="7"/>
  <c r="Z14" i="7"/>
  <c r="AA14" i="7"/>
  <c r="AC14" i="7"/>
  <c r="L15" i="7"/>
  <c r="N15" i="7"/>
  <c r="T15" i="7"/>
  <c r="U15" i="7"/>
  <c r="Z15" i="7"/>
  <c r="AA15" i="7"/>
  <c r="AC15" i="7"/>
  <c r="L16" i="7"/>
  <c r="N16" i="7"/>
  <c r="T16" i="7"/>
  <c r="U16" i="7"/>
  <c r="Z16" i="7"/>
  <c r="AA16" i="7"/>
  <c r="AC16" i="7"/>
  <c r="L17" i="7"/>
  <c r="N17" i="7"/>
  <c r="T17" i="7"/>
  <c r="U17" i="7"/>
  <c r="Z17" i="7"/>
  <c r="AA17" i="7"/>
  <c r="AC17" i="7"/>
  <c r="L18" i="7"/>
  <c r="N18" i="7"/>
  <c r="T18" i="7"/>
  <c r="U18" i="7"/>
  <c r="Z18" i="7"/>
  <c r="AA18" i="7"/>
  <c r="AC18" i="7"/>
  <c r="L19" i="7"/>
  <c r="N19" i="7"/>
  <c r="T19" i="7"/>
  <c r="U19" i="7"/>
  <c r="Z19" i="7"/>
  <c r="AA19" i="7"/>
  <c r="AC19" i="7"/>
  <c r="L20" i="7"/>
  <c r="N20" i="7"/>
  <c r="T20" i="7"/>
  <c r="U20" i="7"/>
  <c r="Z20" i="7"/>
  <c r="AA20" i="7"/>
  <c r="AC20" i="7"/>
  <c r="L21" i="7"/>
  <c r="N21" i="7"/>
  <c r="T21" i="7"/>
  <c r="U21" i="7"/>
  <c r="Z21" i="7"/>
  <c r="AA21" i="7"/>
  <c r="AC21" i="7"/>
  <c r="L22" i="7"/>
  <c r="N22" i="7"/>
  <c r="T22" i="7"/>
  <c r="U22" i="7"/>
  <c r="Z22" i="7"/>
  <c r="AA22" i="7"/>
  <c r="AC22" i="7"/>
  <c r="L23" i="7"/>
  <c r="N23" i="7"/>
  <c r="T23" i="7"/>
  <c r="U23" i="7"/>
  <c r="Z23" i="7"/>
  <c r="AA23" i="7"/>
  <c r="AC23" i="7"/>
  <c r="L24" i="7"/>
  <c r="N24" i="7"/>
  <c r="T24" i="7"/>
  <c r="U24" i="7"/>
  <c r="Z24" i="7"/>
  <c r="AA24" i="7"/>
  <c r="AC24" i="7"/>
  <c r="L25" i="7"/>
  <c r="N25" i="7"/>
  <c r="T25" i="7"/>
  <c r="U25" i="7"/>
  <c r="Z25" i="7"/>
  <c r="AA25" i="7"/>
  <c r="AC25" i="7"/>
  <c r="L26" i="7"/>
  <c r="N26" i="7"/>
  <c r="T26" i="7"/>
  <c r="U26" i="7"/>
  <c r="Z26" i="7"/>
  <c r="AA26" i="7"/>
  <c r="AC26" i="7"/>
  <c r="L27" i="7"/>
  <c r="N27" i="7"/>
  <c r="T27" i="7"/>
  <c r="U27" i="7"/>
  <c r="Z27" i="7"/>
  <c r="AA27" i="7"/>
  <c r="AC27" i="7"/>
  <c r="L28" i="7"/>
  <c r="N28" i="7"/>
  <c r="T28" i="7"/>
  <c r="U28" i="7"/>
  <c r="Z28" i="7"/>
  <c r="AA28" i="7"/>
  <c r="AC28" i="7"/>
  <c r="L29" i="7"/>
  <c r="N29" i="7"/>
  <c r="T29" i="7"/>
  <c r="U29" i="7"/>
  <c r="Z29" i="7"/>
  <c r="AA29" i="7"/>
  <c r="AC29" i="7"/>
  <c r="L30" i="7"/>
  <c r="N30" i="7"/>
  <c r="T30" i="7"/>
  <c r="U30" i="7"/>
  <c r="Z30" i="7"/>
  <c r="AA30" i="7"/>
  <c r="AC30" i="7"/>
  <c r="L31" i="7"/>
  <c r="N31" i="7"/>
  <c r="T31" i="7"/>
  <c r="U31" i="7"/>
  <c r="Z31" i="7"/>
  <c r="AA31" i="7"/>
  <c r="AC31" i="7"/>
  <c r="L32" i="7"/>
  <c r="N32" i="7"/>
  <c r="T32" i="7"/>
  <c r="U32" i="7"/>
  <c r="Z32" i="7"/>
  <c r="AA32" i="7"/>
  <c r="AC32" i="7"/>
  <c r="L33" i="7"/>
  <c r="T33" i="7"/>
  <c r="Z33" i="7"/>
  <c r="W34" i="7"/>
  <c r="X34" i="7"/>
  <c r="Y34" i="7"/>
  <c r="W35" i="7"/>
  <c r="X35" i="7"/>
  <c r="Y35" i="7"/>
  <c r="B13" i="11"/>
  <c r="B14" i="11"/>
  <c r="B15" i="11"/>
  <c r="F16" i="11"/>
  <c r="F17" i="11"/>
  <c r="F18" i="11"/>
</calcChain>
</file>

<file path=xl/sharedStrings.xml><?xml version="1.0" encoding="utf-8"?>
<sst xmlns="http://schemas.openxmlformats.org/spreadsheetml/2006/main" count="77" uniqueCount="73">
  <si>
    <t>HOMEWORK</t>
  </si>
  <si>
    <t>EFFORT PARTICIPATION</t>
  </si>
  <si>
    <t>TESTS</t>
  </si>
  <si>
    <t>Students</t>
  </si>
  <si>
    <t>DEC. PV</t>
  </si>
  <si>
    <t>DEC NS</t>
  </si>
  <si>
    <t>DEC COMP</t>
  </si>
  <si>
    <t>FRACT NS</t>
  </si>
  <si>
    <t>FRACT P/H</t>
  </si>
  <si>
    <t>FRACT COMP</t>
  </si>
  <si>
    <t>% SENSE</t>
  </si>
  <si>
    <t>% COMP</t>
  </si>
  <si>
    <t>% APPLY</t>
  </si>
  <si>
    <t>LINKAGE</t>
  </si>
  <si>
    <t>Total Homework</t>
  </si>
  <si>
    <t>Homework%</t>
  </si>
  <si>
    <t>Att/</t>
  </si>
  <si>
    <t>Part.</t>
  </si>
  <si>
    <t>Disp</t>
  </si>
  <si>
    <t>Peer</t>
  </si>
  <si>
    <t xml:space="preserve"> Total E/P</t>
  </si>
  <si>
    <t>E/P %</t>
  </si>
  <si>
    <t>DEC.</t>
  </si>
  <si>
    <t>FRACT</t>
  </si>
  <si>
    <t>%</t>
  </si>
  <si>
    <t>Total Test</t>
  </si>
  <si>
    <t>Test %</t>
  </si>
  <si>
    <t>Overall Grade</t>
  </si>
  <si>
    <t>F</t>
  </si>
  <si>
    <t>D</t>
  </si>
  <si>
    <t>A</t>
  </si>
  <si>
    <t>V</t>
  </si>
  <si>
    <t>N</t>
  </si>
  <si>
    <t>M</t>
  </si>
  <si>
    <t xml:space="preserve">H </t>
  </si>
  <si>
    <t>E</t>
  </si>
  <si>
    <t>P</t>
  </si>
  <si>
    <t>C</t>
  </si>
  <si>
    <t>R</t>
  </si>
  <si>
    <t>CC</t>
  </si>
  <si>
    <t>W</t>
  </si>
  <si>
    <t>J</t>
  </si>
  <si>
    <t>U</t>
  </si>
  <si>
    <t>Q</t>
  </si>
  <si>
    <t>K</t>
  </si>
  <si>
    <t>X</t>
  </si>
  <si>
    <t xml:space="preserve">I </t>
  </si>
  <si>
    <t>B</t>
  </si>
  <si>
    <t>Z</t>
  </si>
  <si>
    <t>O</t>
  </si>
  <si>
    <t>G</t>
  </si>
  <si>
    <t>BB</t>
  </si>
  <si>
    <t>S</t>
  </si>
  <si>
    <t>T</t>
  </si>
  <si>
    <t>L</t>
  </si>
  <si>
    <t>Y</t>
  </si>
  <si>
    <t>DD</t>
  </si>
  <si>
    <t>AA</t>
  </si>
  <si>
    <t>Mean</t>
  </si>
  <si>
    <t>Median</t>
  </si>
  <si>
    <t>Homework Total %</t>
  </si>
  <si>
    <t>E/P Total %</t>
  </si>
  <si>
    <t>Test Total %</t>
  </si>
  <si>
    <t xml:space="preserve">AA's Grade </t>
  </si>
  <si>
    <t>Class Average</t>
  </si>
  <si>
    <t>Decimal</t>
  </si>
  <si>
    <t>Fractions</t>
  </si>
  <si>
    <t>Percent</t>
  </si>
  <si>
    <t>fraction</t>
  </si>
  <si>
    <t>percentages</t>
  </si>
  <si>
    <t>homework average</t>
  </si>
  <si>
    <t>E/P average</t>
  </si>
  <si>
    <t>test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</si>
</sst>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Geneva"/>
    </font>
    <font>
      <sz val="10"/>
      <name val="Geneva"/>
    </font>
    <font>
      <b/>
      <sz val="10"/>
      <name val="Geneva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alcChain" Target="calcChain.xml"/><Relationship Id="rId3" Type="http://schemas.openxmlformats.org/officeDocument/2006/relationships/chartsheet" Target="chartsheets/sheet3.xml"/><Relationship Id="rId21" Type="http://schemas.openxmlformats.org/officeDocument/2006/relationships/worksheet" Target="worksheets/sheet15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styles" Target="styles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9.xml"/><Relationship Id="rId23" Type="http://schemas.openxmlformats.org/officeDocument/2006/relationships/theme" Target="theme/theme1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break down of class vs. class average (%)</a:t>
            </a:r>
          </a:p>
        </c:rich>
      </c:tx>
      <c:layout>
        <c:manualLayout>
          <c:xMode val="edge"/>
          <c:yMode val="edge"/>
          <c:x val="0.3344827586206896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82758620689652E-2"/>
          <c:y val="0.13800904977375567"/>
          <c:w val="0.82275862068965522"/>
          <c:h val="0.75226244343891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Sheet5!$E$16:$E$18</c:f>
              <c:strCache>
                <c:ptCount val="3"/>
                <c:pt idx="0">
                  <c:v>homework average</c:v>
                </c:pt>
                <c:pt idx="1">
                  <c:v>E/P average</c:v>
                </c:pt>
                <c:pt idx="2">
                  <c:v>test average</c:v>
                </c:pt>
              </c:strCache>
            </c:strRef>
          </c:cat>
          <c:val>
            <c:numRef>
              <c:f>Sheet5!$F$16:$F$18</c:f>
              <c:numCache>
                <c:formatCode>0.00%</c:formatCode>
                <c:ptCount val="3"/>
                <c:pt idx="0">
                  <c:v>0.9343999999999999</c:v>
                </c:pt>
                <c:pt idx="1">
                  <c:v>0.95600000000000029</c:v>
                </c:pt>
                <c:pt idx="2">
                  <c:v>0.83592592592592596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3-4AF7-BB56-3D1152F7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215903"/>
        <c:axId val="1"/>
      </c:barChart>
      <c:catAx>
        <c:axId val="78421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Break down of class</a:t>
                </a:r>
              </a:p>
            </c:rich>
          </c:tx>
          <c:layout>
            <c:manualLayout>
              <c:xMode val="edge"/>
              <c:yMode val="edge"/>
              <c:x val="0.43724137931034485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Class average (%)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41402714932126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159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551724137931035"/>
          <c:y val="0.49434389140271495"/>
          <c:w val="6.8965517241379309E-2"/>
          <c:h val="3.39366515837104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Different Tests vs. class average (%)</a:t>
            </a:r>
          </a:p>
        </c:rich>
      </c:tx>
      <c:layout>
        <c:manualLayout>
          <c:xMode val="edge"/>
          <c:yMode val="edge"/>
          <c:x val="0.3451851851851852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888888888888888E-2"/>
          <c:y val="0.13616557734204793"/>
          <c:w val="0.91925925925925922"/>
          <c:h val="0.758169934640522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Sheet5!$C$7:$C$9</c:f>
              <c:strCache>
                <c:ptCount val="3"/>
                <c:pt idx="0">
                  <c:v>DEC.</c:v>
                </c:pt>
                <c:pt idx="1">
                  <c:v>fraction</c:v>
                </c:pt>
                <c:pt idx="2">
                  <c:v>percentages</c:v>
                </c:pt>
              </c:strCache>
            </c:strRef>
          </c:cat>
          <c:val>
            <c:numRef>
              <c:f>Sheet5!$D$7:$D$9</c:f>
              <c:numCache>
                <c:formatCode>General</c:formatCode>
                <c:ptCount val="3"/>
                <c:pt idx="0">
                  <c:v>76.77</c:v>
                </c:pt>
                <c:pt idx="1">
                  <c:v>59.92</c:v>
                </c:pt>
                <c:pt idx="2">
                  <c:v>51.4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B-4BB3-B61F-BC76B18CF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218703"/>
        <c:axId val="1"/>
      </c:barChart>
      <c:catAx>
        <c:axId val="78421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Different Tests</a:t>
                </a:r>
              </a:p>
            </c:rich>
          </c:tx>
          <c:layout>
            <c:manualLayout>
              <c:xMode val="edge"/>
              <c:yMode val="edge"/>
              <c:x val="0.47407407407407409"/>
              <c:y val="0.94335511982570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scores</a:t>
                </a:r>
              </a:p>
            </c:rich>
          </c:tx>
          <c:layout>
            <c:manualLayout>
              <c:xMode val="edge"/>
              <c:yMode val="edge"/>
              <c:x val="1.2592592592592593E-2"/>
              <c:y val="0.46514161220043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187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areas of % unit vs. class scores (out of 10)</a:t>
            </a:r>
          </a:p>
        </c:rich>
      </c:tx>
      <c:layout>
        <c:manualLayout>
          <c:xMode val="edge"/>
          <c:yMode val="edge"/>
          <c:x val="0.331724137931034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82758620689649E-2"/>
          <c:y val="0.13800904977375567"/>
          <c:w val="0.91448275862068962"/>
          <c:h val="0.75226244343891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Sheet5!$A$13:$A$15</c:f>
              <c:strCache>
                <c:ptCount val="3"/>
                <c:pt idx="0">
                  <c:v>% SENSE</c:v>
                </c:pt>
                <c:pt idx="1">
                  <c:v>% COMP</c:v>
                </c:pt>
                <c:pt idx="2">
                  <c:v>% APPLY</c:v>
                </c:pt>
              </c:strCache>
            </c:strRef>
          </c:cat>
          <c:val>
            <c:numRef>
              <c:f>Sheet5!$B$13:$B$15</c:f>
              <c:numCache>
                <c:formatCode>General</c:formatCode>
                <c:ptCount val="3"/>
                <c:pt idx="0">
                  <c:v>9.32</c:v>
                </c:pt>
                <c:pt idx="1">
                  <c:v>9.18</c:v>
                </c:pt>
                <c:pt idx="2">
                  <c:v>9.2399999999999984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C99-9D49-90084A9C4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216703"/>
        <c:axId val="1"/>
      </c:barChart>
      <c:catAx>
        <c:axId val="784216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areas of percentage unit </a:t>
                </a:r>
              </a:p>
            </c:rich>
          </c:tx>
          <c:layout>
            <c:manualLayout>
              <c:xMode val="edge"/>
              <c:yMode val="edge"/>
              <c:x val="0.45034482758620692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class scores (out of 10)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384615384615384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167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AA's Grade Breakdown</a:t>
            </a:r>
          </a:p>
        </c:rich>
      </c:tx>
      <c:layout>
        <c:manualLayout>
          <c:xMode val="edge"/>
          <c:yMode val="edge"/>
          <c:x val="0.4062068965517241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06896551724139"/>
          <c:y val="0.13800904977375567"/>
          <c:w val="0.88689655172413795"/>
          <c:h val="0.75226244343891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Sheet4!$B$7:$B$9</c:f>
              <c:strCache>
                <c:ptCount val="3"/>
                <c:pt idx="0">
                  <c:v>Homework Total %</c:v>
                </c:pt>
                <c:pt idx="1">
                  <c:v>E/P Total %</c:v>
                </c:pt>
                <c:pt idx="2">
                  <c:v>Test Total %</c:v>
                </c:pt>
              </c:strCache>
            </c:strRef>
          </c:cat>
          <c:val>
            <c:numRef>
              <c:f>Sheet4!$C$7:$C$9</c:f>
              <c:numCache>
                <c:formatCode>0.00%</c:formatCode>
                <c:ptCount val="3"/>
                <c:pt idx="0">
                  <c:v>0.89500000000000002</c:v>
                </c:pt>
                <c:pt idx="1">
                  <c:v>0.94</c:v>
                </c:pt>
                <c:pt idx="2">
                  <c:v>0.64439999999999997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4-4D7A-AAC0-1C3E676CE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84217503"/>
        <c:axId val="1"/>
      </c:barChart>
      <c:catAx>
        <c:axId val="784217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Breakdown of the class</a:t>
                </a:r>
              </a:p>
            </c:rich>
          </c:tx>
          <c:layout>
            <c:manualLayout>
              <c:xMode val="edge"/>
              <c:yMode val="edge"/>
              <c:x val="0.46689655172413791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450226244343891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2175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AA's Test Scores Breakdown</a:t>
            </a:r>
          </a:p>
        </c:rich>
      </c:tx>
      <c:layout>
        <c:manualLayout>
          <c:xMode val="edge"/>
          <c:yMode val="edge"/>
          <c:x val="0.3834482758620689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82758620689652E-2"/>
          <c:y val="0.13800904977375567"/>
          <c:w val="0.8944827586206896"/>
          <c:h val="0.752262443438914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Sheet4!$B$13:$B$15</c:f>
              <c:strCache>
                <c:ptCount val="3"/>
                <c:pt idx="0">
                  <c:v>Decimal</c:v>
                </c:pt>
                <c:pt idx="1">
                  <c:v>Fractions</c:v>
                </c:pt>
                <c:pt idx="2">
                  <c:v>Percent</c:v>
                </c:pt>
              </c:strCache>
            </c:strRef>
          </c:cat>
          <c:val>
            <c:numRef>
              <c:f>Sheet4!$C$13:$C$15</c:f>
              <c:numCache>
                <c:formatCode>0.00%</c:formatCode>
                <c:ptCount val="3"/>
                <c:pt idx="0">
                  <c:v>0.83520000000000005</c:v>
                </c:pt>
                <c:pt idx="1">
                  <c:v>0.68</c:v>
                </c:pt>
                <c:pt idx="2">
                  <c:v>0.3538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5-4D3E-9E59-CF1346DF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73234079"/>
        <c:axId val="1"/>
      </c:barChart>
      <c:catAx>
        <c:axId val="87323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subject areas of class</a:t>
                </a:r>
              </a:p>
            </c:rich>
          </c:tx>
          <c:layout>
            <c:manualLayout>
              <c:xMode val="edge"/>
              <c:yMode val="edge"/>
              <c:x val="0.46827586206896554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test percentages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420814479638009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2340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AA's Grade Vs. Class Average Grade</a:t>
            </a:r>
          </a:p>
        </c:rich>
      </c:tx>
      <c:layout>
        <c:manualLayout>
          <c:xMode val="edge"/>
          <c:yMode val="edge"/>
          <c:x val="0.3531034482758620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6206896551725"/>
          <c:y val="0.11990950226244344"/>
          <c:w val="0.82758620689655171"/>
          <c:h val="0.7703619909502262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Sheet4!$D$10:$D$11</c:f>
              <c:strCache>
                <c:ptCount val="2"/>
                <c:pt idx="0">
                  <c:v>AA's Grade </c:v>
                </c:pt>
                <c:pt idx="1">
                  <c:v>Class Average</c:v>
                </c:pt>
              </c:strCache>
            </c:strRef>
          </c:cat>
          <c:val>
            <c:numRef>
              <c:f>Sheet4!$E$10:$E$11</c:f>
              <c:numCache>
                <c:formatCode>0.00%</c:formatCode>
                <c:ptCount val="2"/>
                <c:pt idx="0">
                  <c:v>0.73709999999999998</c:v>
                </c:pt>
                <c:pt idx="1">
                  <c:v>0.87260000000000004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A-4301-88DA-E0075EC4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232879"/>
        <c:axId val="1"/>
      </c:barChart>
      <c:catAx>
        <c:axId val="873232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Grades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46266968325791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Percentages</a:t>
                </a:r>
              </a:p>
            </c:rich>
          </c:tx>
          <c:layout>
            <c:manualLayout>
              <c:xMode val="edge"/>
              <c:yMode val="edge"/>
              <c:x val="0.50689655172413794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2328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4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4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49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49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tabSelected="1" zoomScale="49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73A46-5BFC-46CA-B021-737EF9F0FA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388A3-0052-4143-8E3F-7278E057EA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DA835-C3A8-413A-A0FB-6ED83CBFD6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961CA-A94B-4CBB-9D86-A080B77D9D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03624-B646-4F56-B722-186C0CC774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ECA74-4045-459B-9B9C-291879F6D7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workbookViewId="0">
      <selection activeCell="AB33" sqref="AB33"/>
    </sheetView>
  </sheetViews>
  <sheetFormatPr defaultColWidth="11.453125" defaultRowHeight="12.5"/>
  <cols>
    <col min="1" max="1" width="12" customWidth="1"/>
    <col min="2" max="2" width="8.26953125" customWidth="1"/>
    <col min="3" max="3" width="7.7265625" customWidth="1"/>
    <col min="4" max="4" width="10.81640625" customWidth="1"/>
    <col min="5" max="5" width="9.54296875" customWidth="1"/>
    <col min="6" max="6" width="10.7265625" customWidth="1"/>
    <col min="7" max="7" width="13.26953125" customWidth="1"/>
    <col min="8" max="8" width="9.453125" customWidth="1"/>
    <col min="9" max="9" width="8.81640625" customWidth="1"/>
    <col min="10" max="10" width="8.453125" customWidth="1"/>
    <col min="11" max="12" width="9.26953125" customWidth="1"/>
    <col min="13" max="13" width="5.26953125" customWidth="1"/>
    <col min="14" max="14" width="13.1796875" customWidth="1"/>
    <col min="15" max="15" width="7.54296875" customWidth="1"/>
    <col min="16" max="16" width="3.7265625" customWidth="1"/>
    <col min="17" max="19" width="4.453125" customWidth="1"/>
    <col min="20" max="21" width="10.453125" customWidth="1"/>
    <col min="22" max="22" width="4.453125" customWidth="1"/>
    <col min="23" max="24" width="5.7265625" customWidth="1"/>
    <col min="25" max="25" width="5.81640625" customWidth="1"/>
    <col min="26" max="26" width="9.1796875" customWidth="1"/>
  </cols>
  <sheetData>
    <row r="1" spans="1:29">
      <c r="E1" t="s">
        <v>0</v>
      </c>
      <c r="P1" t="s">
        <v>1</v>
      </c>
      <c r="X1" t="s">
        <v>2</v>
      </c>
    </row>
    <row r="2" spans="1:29" ht="1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s="2" t="s">
        <v>14</v>
      </c>
      <c r="N2" s="2" t="s">
        <v>15</v>
      </c>
      <c r="P2" t="s">
        <v>16</v>
      </c>
      <c r="Q2" t="s">
        <v>17</v>
      </c>
      <c r="R2" t="s">
        <v>18</v>
      </c>
      <c r="S2" t="s">
        <v>19</v>
      </c>
      <c r="T2" s="2" t="s">
        <v>20</v>
      </c>
      <c r="U2" s="2" t="s">
        <v>21</v>
      </c>
      <c r="W2" t="s">
        <v>22</v>
      </c>
      <c r="X2" t="s">
        <v>23</v>
      </c>
      <c r="Y2" t="s">
        <v>24</v>
      </c>
      <c r="Z2" t="s">
        <v>25</v>
      </c>
      <c r="AA2" s="2" t="s">
        <v>26</v>
      </c>
      <c r="AC2" s="2" t="s">
        <v>27</v>
      </c>
    </row>
    <row r="3" spans="1:29" ht="13">
      <c r="A3" t="s">
        <v>28</v>
      </c>
      <c r="B3">
        <v>9.6</v>
      </c>
      <c r="C3">
        <v>9.3000000000000007</v>
      </c>
      <c r="D3">
        <v>9.6</v>
      </c>
      <c r="E3">
        <v>8.9</v>
      </c>
      <c r="F3">
        <v>9.8000000000000007</v>
      </c>
      <c r="G3">
        <v>9.6</v>
      </c>
      <c r="H3">
        <v>9.6</v>
      </c>
      <c r="I3">
        <v>9.6</v>
      </c>
      <c r="J3">
        <v>8.6999999999999993</v>
      </c>
      <c r="K3">
        <v>9.8000000000000007</v>
      </c>
      <c r="L3" s="2">
        <f t="shared" ref="L3:L33" si="0">B3+C3+D3+E3+F3+G3+H3+I3+J3+K3</f>
        <v>94.5</v>
      </c>
      <c r="N3" s="3">
        <f t="shared" ref="N3:N32" si="1">L3/$L$33</f>
        <v>0.94499999999999995</v>
      </c>
      <c r="P3">
        <v>9</v>
      </c>
      <c r="Q3">
        <v>5</v>
      </c>
      <c r="R3">
        <v>5</v>
      </c>
      <c r="S3">
        <v>5</v>
      </c>
      <c r="T3" s="2">
        <f t="shared" ref="T3:T33" si="2">P3+Q3+R3+S3</f>
        <v>24</v>
      </c>
      <c r="U3" s="3">
        <f t="shared" ref="U3:U32" si="3">T3/$T$33</f>
        <v>0.96</v>
      </c>
      <c r="W3">
        <v>79</v>
      </c>
      <c r="X3">
        <v>66.5</v>
      </c>
      <c r="Y3">
        <v>65</v>
      </c>
      <c r="Z3" s="2">
        <f t="shared" ref="Z3:Z33" si="4">W3+X3+Y3</f>
        <v>210.5</v>
      </c>
      <c r="AA3" s="3">
        <f t="shared" ref="AA3:AA32" si="5">Z3/$Z$33</f>
        <v>0.93555555555555558</v>
      </c>
      <c r="AC3" s="3">
        <f>(L3+T3+Z3)/Sheet3!$D$9</f>
        <v>0.94</v>
      </c>
    </row>
    <row r="4" spans="1:29" ht="13">
      <c r="A4" t="s">
        <v>29</v>
      </c>
      <c r="B4">
        <v>9.6</v>
      </c>
      <c r="C4">
        <v>9.3000000000000007</v>
      </c>
      <c r="D4">
        <v>9.6</v>
      </c>
      <c r="E4">
        <v>8.9</v>
      </c>
      <c r="F4">
        <v>9.8000000000000007</v>
      </c>
      <c r="G4">
        <v>9.6</v>
      </c>
      <c r="H4">
        <v>9.6</v>
      </c>
      <c r="I4">
        <v>9.6</v>
      </c>
      <c r="J4">
        <v>8.6999999999999993</v>
      </c>
      <c r="K4">
        <v>9.8000000000000007</v>
      </c>
      <c r="L4" s="2">
        <f t="shared" si="0"/>
        <v>94.5</v>
      </c>
      <c r="N4" s="3">
        <f t="shared" si="1"/>
        <v>0.94499999999999995</v>
      </c>
      <c r="P4">
        <v>10</v>
      </c>
      <c r="Q4">
        <v>4.8</v>
      </c>
      <c r="R4">
        <v>5</v>
      </c>
      <c r="S4">
        <v>4.8</v>
      </c>
      <c r="T4" s="2">
        <f t="shared" si="2"/>
        <v>24.6</v>
      </c>
      <c r="U4" s="3">
        <f t="shared" si="3"/>
        <v>0.9840000000000001</v>
      </c>
      <c r="W4">
        <v>82</v>
      </c>
      <c r="X4">
        <v>63</v>
      </c>
      <c r="Y4">
        <v>63</v>
      </c>
      <c r="Z4" s="2">
        <f t="shared" si="4"/>
        <v>208</v>
      </c>
      <c r="AA4" s="3">
        <f t="shared" si="5"/>
        <v>0.9244444444444444</v>
      </c>
      <c r="AC4" s="3">
        <f>(L4+T4+Z4)/Sheet3!$D$9</f>
        <v>0.93457142857142861</v>
      </c>
    </row>
    <row r="5" spans="1:29" ht="13">
      <c r="A5" t="s">
        <v>30</v>
      </c>
      <c r="B5">
        <v>9.6</v>
      </c>
      <c r="C5">
        <v>9.3000000000000007</v>
      </c>
      <c r="D5">
        <v>9.6</v>
      </c>
      <c r="E5">
        <v>8.9</v>
      </c>
      <c r="F5">
        <v>9.8000000000000007</v>
      </c>
      <c r="G5">
        <v>9.6</v>
      </c>
      <c r="H5">
        <v>9.6</v>
      </c>
      <c r="I5">
        <v>9.6</v>
      </c>
      <c r="J5">
        <v>8.6999999999999993</v>
      </c>
      <c r="K5">
        <v>9.8000000000000007</v>
      </c>
      <c r="L5" s="2">
        <f t="shared" si="0"/>
        <v>94.5</v>
      </c>
      <c r="N5" s="3">
        <f t="shared" si="1"/>
        <v>0.94499999999999995</v>
      </c>
      <c r="P5">
        <v>10</v>
      </c>
      <c r="Q5">
        <v>4</v>
      </c>
      <c r="R5">
        <v>5</v>
      </c>
      <c r="S5">
        <v>4.8</v>
      </c>
      <c r="T5" s="2">
        <f t="shared" si="2"/>
        <v>23.8</v>
      </c>
      <c r="U5" s="3">
        <f t="shared" si="3"/>
        <v>0.95200000000000007</v>
      </c>
      <c r="W5">
        <v>83</v>
      </c>
      <c r="X5">
        <v>64</v>
      </c>
      <c r="Y5">
        <v>61</v>
      </c>
      <c r="Z5" s="2">
        <f t="shared" si="4"/>
        <v>208</v>
      </c>
      <c r="AA5" s="3">
        <f t="shared" si="5"/>
        <v>0.9244444444444444</v>
      </c>
      <c r="AC5" s="3">
        <f>(L5+T5+Z5)/Sheet3!$D$9</f>
        <v>0.93228571428571427</v>
      </c>
    </row>
    <row r="6" spans="1:29" ht="13">
      <c r="A6" t="s">
        <v>31</v>
      </c>
      <c r="B6">
        <v>9.3000000000000007</v>
      </c>
      <c r="C6">
        <v>9.5</v>
      </c>
      <c r="D6">
        <v>8.8000000000000007</v>
      </c>
      <c r="E6">
        <v>9.5</v>
      </c>
      <c r="F6">
        <v>9.1999999999999993</v>
      </c>
      <c r="G6">
        <v>9.8000000000000007</v>
      </c>
      <c r="H6">
        <v>9.9</v>
      </c>
      <c r="I6">
        <v>9.1</v>
      </c>
      <c r="J6">
        <v>9.4</v>
      </c>
      <c r="K6">
        <v>9.6999999999999993</v>
      </c>
      <c r="L6" s="2">
        <f t="shared" si="0"/>
        <v>94.2</v>
      </c>
      <c r="N6" s="3">
        <f t="shared" si="1"/>
        <v>0.94200000000000006</v>
      </c>
      <c r="P6">
        <v>10</v>
      </c>
      <c r="Q6">
        <v>4.5</v>
      </c>
      <c r="R6">
        <v>5</v>
      </c>
      <c r="S6">
        <v>4.5</v>
      </c>
      <c r="T6" s="2">
        <f t="shared" si="2"/>
        <v>24</v>
      </c>
      <c r="U6" s="3">
        <f t="shared" si="3"/>
        <v>0.96</v>
      </c>
      <c r="W6">
        <v>79</v>
      </c>
      <c r="X6">
        <v>66</v>
      </c>
      <c r="Y6">
        <v>63</v>
      </c>
      <c r="Z6" s="2">
        <f t="shared" si="4"/>
        <v>208</v>
      </c>
      <c r="AA6" s="3">
        <f t="shared" si="5"/>
        <v>0.9244444444444444</v>
      </c>
      <c r="AC6" s="3">
        <f>(L6+T6+Z6)/Sheet3!$D$9</f>
        <v>0.93199999999999994</v>
      </c>
    </row>
    <row r="7" spans="1:29" ht="13">
      <c r="A7" t="s">
        <v>32</v>
      </c>
      <c r="B7">
        <v>9.4</v>
      </c>
      <c r="C7">
        <v>9.5</v>
      </c>
      <c r="D7">
        <v>9.8000000000000007</v>
      </c>
      <c r="E7">
        <v>9</v>
      </c>
      <c r="F7">
        <v>9.6</v>
      </c>
      <c r="G7">
        <v>9.9</v>
      </c>
      <c r="H7">
        <v>9.1</v>
      </c>
      <c r="I7">
        <v>9.4</v>
      </c>
      <c r="J7">
        <v>9</v>
      </c>
      <c r="K7">
        <v>9.6</v>
      </c>
      <c r="L7" s="2">
        <f t="shared" si="0"/>
        <v>94.3</v>
      </c>
      <c r="N7" s="3">
        <f t="shared" si="1"/>
        <v>0.94299999999999995</v>
      </c>
      <c r="P7">
        <v>10</v>
      </c>
      <c r="Q7">
        <v>5</v>
      </c>
      <c r="R7">
        <v>5</v>
      </c>
      <c r="S7">
        <v>4.8</v>
      </c>
      <c r="T7" s="2">
        <f t="shared" si="2"/>
        <v>24.8</v>
      </c>
      <c r="U7" s="3">
        <f t="shared" si="3"/>
        <v>0.99199999999999999</v>
      </c>
      <c r="W7">
        <v>80.5</v>
      </c>
      <c r="X7">
        <v>64.5</v>
      </c>
      <c r="Y7">
        <v>62</v>
      </c>
      <c r="Z7" s="2">
        <f t="shared" si="4"/>
        <v>207</v>
      </c>
      <c r="AA7" s="3">
        <f t="shared" si="5"/>
        <v>0.92</v>
      </c>
      <c r="AC7" s="3">
        <f>(L7+T7+Z7)/Sheet3!$D$9</f>
        <v>0.93171428571428583</v>
      </c>
    </row>
    <row r="8" spans="1:29" ht="13">
      <c r="A8" t="s">
        <v>33</v>
      </c>
      <c r="B8">
        <v>9.4</v>
      </c>
      <c r="C8">
        <v>9.5</v>
      </c>
      <c r="D8">
        <v>9.8000000000000007</v>
      </c>
      <c r="E8">
        <v>9</v>
      </c>
      <c r="F8">
        <v>9.6</v>
      </c>
      <c r="G8">
        <v>9.9</v>
      </c>
      <c r="H8">
        <v>9.1</v>
      </c>
      <c r="I8">
        <v>9.4</v>
      </c>
      <c r="J8">
        <v>9</v>
      </c>
      <c r="K8">
        <v>9.6</v>
      </c>
      <c r="L8" s="2">
        <f t="shared" si="0"/>
        <v>94.3</v>
      </c>
      <c r="N8" s="3">
        <f t="shared" si="1"/>
        <v>0.94299999999999995</v>
      </c>
      <c r="P8">
        <v>10</v>
      </c>
      <c r="Q8">
        <v>5</v>
      </c>
      <c r="R8">
        <v>5</v>
      </c>
      <c r="S8">
        <v>4.8</v>
      </c>
      <c r="T8" s="2">
        <f t="shared" si="2"/>
        <v>24.8</v>
      </c>
      <c r="U8" s="3">
        <f t="shared" si="3"/>
        <v>0.99199999999999999</v>
      </c>
      <c r="W8">
        <v>81.5</v>
      </c>
      <c r="X8">
        <v>67</v>
      </c>
      <c r="Y8">
        <v>55.5</v>
      </c>
      <c r="Z8" s="2">
        <f t="shared" si="4"/>
        <v>204</v>
      </c>
      <c r="AA8" s="3">
        <f t="shared" si="5"/>
        <v>0.90666666666666662</v>
      </c>
      <c r="AC8" s="3">
        <f>(L8+T8+Z8)/Sheet3!$D$9</f>
        <v>0.92314285714285715</v>
      </c>
    </row>
    <row r="9" spans="1:29" ht="13">
      <c r="A9" t="s">
        <v>34</v>
      </c>
      <c r="B9">
        <v>9.6</v>
      </c>
      <c r="C9">
        <v>10</v>
      </c>
      <c r="D9">
        <v>9.3000000000000007</v>
      </c>
      <c r="E9">
        <v>9.3000000000000007</v>
      </c>
      <c r="F9">
        <v>9.5</v>
      </c>
      <c r="G9">
        <v>9.6999999999999993</v>
      </c>
      <c r="H9">
        <v>9.5</v>
      </c>
      <c r="I9">
        <v>8.6999999999999993</v>
      </c>
      <c r="J9">
        <v>9.6999999999999993</v>
      </c>
      <c r="K9">
        <v>9.4</v>
      </c>
      <c r="L9" s="2">
        <f t="shared" si="0"/>
        <v>94.700000000000017</v>
      </c>
      <c r="N9" s="3">
        <f t="shared" si="1"/>
        <v>0.94700000000000017</v>
      </c>
      <c r="P9">
        <v>10</v>
      </c>
      <c r="Q9">
        <v>4.8</v>
      </c>
      <c r="R9">
        <v>5</v>
      </c>
      <c r="S9">
        <v>4.8</v>
      </c>
      <c r="T9" s="2">
        <f t="shared" si="2"/>
        <v>24.6</v>
      </c>
      <c r="U9" s="3">
        <f t="shared" si="3"/>
        <v>0.9840000000000001</v>
      </c>
      <c r="W9">
        <v>76.5</v>
      </c>
      <c r="X9">
        <v>63.5</v>
      </c>
      <c r="Y9">
        <v>63.5</v>
      </c>
      <c r="Z9" s="2">
        <f t="shared" si="4"/>
        <v>203.5</v>
      </c>
      <c r="AA9" s="3">
        <f t="shared" si="5"/>
        <v>0.9044444444444445</v>
      </c>
      <c r="AC9" s="3">
        <f>(L9+T9+Z9)/Sheet3!$D$9</f>
        <v>0.92228571428571426</v>
      </c>
    </row>
    <row r="10" spans="1:29" ht="13">
      <c r="A10" t="s">
        <v>35</v>
      </c>
      <c r="B10">
        <v>9.6</v>
      </c>
      <c r="C10">
        <v>9.3000000000000007</v>
      </c>
      <c r="D10">
        <v>9.6</v>
      </c>
      <c r="E10">
        <v>8.9</v>
      </c>
      <c r="F10">
        <v>9.8000000000000007</v>
      </c>
      <c r="G10">
        <v>9.6</v>
      </c>
      <c r="H10">
        <v>9.6</v>
      </c>
      <c r="I10">
        <v>9.6</v>
      </c>
      <c r="J10">
        <v>8.6999999999999993</v>
      </c>
      <c r="K10">
        <v>9.8000000000000007</v>
      </c>
      <c r="L10" s="2">
        <f t="shared" si="0"/>
        <v>94.5</v>
      </c>
      <c r="N10" s="3">
        <f t="shared" si="1"/>
        <v>0.94499999999999995</v>
      </c>
      <c r="P10">
        <v>10</v>
      </c>
      <c r="Q10">
        <v>4.5</v>
      </c>
      <c r="R10">
        <v>5</v>
      </c>
      <c r="S10">
        <v>4.8</v>
      </c>
      <c r="T10" s="2">
        <f t="shared" si="2"/>
        <v>24.3</v>
      </c>
      <c r="U10" s="3">
        <f t="shared" si="3"/>
        <v>0.97199999999999998</v>
      </c>
      <c r="W10">
        <v>81</v>
      </c>
      <c r="X10">
        <v>60.5</v>
      </c>
      <c r="Y10">
        <v>60.5</v>
      </c>
      <c r="Z10" s="2">
        <f t="shared" si="4"/>
        <v>202</v>
      </c>
      <c r="AA10" s="3">
        <f t="shared" si="5"/>
        <v>0.89777777777777779</v>
      </c>
      <c r="AC10" s="3">
        <f>(L10+T10+Z10)/Sheet3!$D$9</f>
        <v>0.91657142857142859</v>
      </c>
    </row>
    <row r="11" spans="1:29" ht="13">
      <c r="A11" t="s">
        <v>36</v>
      </c>
      <c r="B11">
        <v>9.4</v>
      </c>
      <c r="C11">
        <v>9.5</v>
      </c>
      <c r="D11">
        <v>9.8000000000000007</v>
      </c>
      <c r="E11">
        <v>9</v>
      </c>
      <c r="F11">
        <v>9.6</v>
      </c>
      <c r="G11">
        <v>9.9</v>
      </c>
      <c r="H11">
        <v>9.1</v>
      </c>
      <c r="I11">
        <v>9.4</v>
      </c>
      <c r="J11">
        <v>9</v>
      </c>
      <c r="K11">
        <v>9.6</v>
      </c>
      <c r="L11" s="2">
        <f t="shared" si="0"/>
        <v>94.3</v>
      </c>
      <c r="N11" s="3">
        <f t="shared" si="1"/>
        <v>0.94299999999999995</v>
      </c>
      <c r="P11">
        <v>9</v>
      </c>
      <c r="Q11">
        <v>5</v>
      </c>
      <c r="R11">
        <v>5</v>
      </c>
      <c r="S11">
        <v>4.8</v>
      </c>
      <c r="T11" s="2">
        <f t="shared" si="2"/>
        <v>23.8</v>
      </c>
      <c r="U11" s="3">
        <f t="shared" si="3"/>
        <v>0.95200000000000007</v>
      </c>
      <c r="W11">
        <v>72</v>
      </c>
      <c r="X11">
        <v>68.5</v>
      </c>
      <c r="Y11">
        <v>59.5</v>
      </c>
      <c r="Z11" s="2">
        <f t="shared" si="4"/>
        <v>200</v>
      </c>
      <c r="AA11" s="3">
        <f t="shared" si="5"/>
        <v>0.88888888888888884</v>
      </c>
      <c r="AC11" s="3">
        <f>(L11+T11+Z11)/Sheet3!$D$9</f>
        <v>0.90885714285714292</v>
      </c>
    </row>
    <row r="12" spans="1:29" ht="13">
      <c r="A12" t="s">
        <v>37</v>
      </c>
      <c r="B12">
        <v>9.6</v>
      </c>
      <c r="C12">
        <v>9.3000000000000007</v>
      </c>
      <c r="D12">
        <v>9.6</v>
      </c>
      <c r="E12">
        <v>8.9</v>
      </c>
      <c r="F12">
        <v>9.8000000000000007</v>
      </c>
      <c r="G12">
        <v>9.6</v>
      </c>
      <c r="H12">
        <v>9.6</v>
      </c>
      <c r="I12">
        <v>9.6</v>
      </c>
      <c r="J12">
        <v>8.6999999999999993</v>
      </c>
      <c r="K12">
        <v>9.8000000000000007</v>
      </c>
      <c r="L12" s="2">
        <f t="shared" si="0"/>
        <v>94.5</v>
      </c>
      <c r="N12" s="3">
        <f t="shared" si="1"/>
        <v>0.94499999999999995</v>
      </c>
      <c r="P12">
        <v>10</v>
      </c>
      <c r="Q12">
        <v>4.5</v>
      </c>
      <c r="R12">
        <v>5</v>
      </c>
      <c r="S12">
        <v>4.8</v>
      </c>
      <c r="T12" s="2">
        <f t="shared" si="2"/>
        <v>24.3</v>
      </c>
      <c r="U12" s="3">
        <f t="shared" si="3"/>
        <v>0.97199999999999998</v>
      </c>
      <c r="W12">
        <v>78</v>
      </c>
      <c r="X12">
        <v>65.5</v>
      </c>
      <c r="Y12">
        <v>55</v>
      </c>
      <c r="Z12" s="2">
        <f t="shared" si="4"/>
        <v>198.5</v>
      </c>
      <c r="AA12" s="3">
        <f t="shared" si="5"/>
        <v>0.88222222222222224</v>
      </c>
      <c r="AC12" s="3">
        <f>(L12+T12+Z12)/Sheet3!$D$9</f>
        <v>0.90657142857142858</v>
      </c>
    </row>
    <row r="13" spans="1:29" ht="13">
      <c r="A13" t="s">
        <v>38</v>
      </c>
      <c r="B13">
        <v>9.4</v>
      </c>
      <c r="C13">
        <v>9.5</v>
      </c>
      <c r="D13">
        <v>9.8000000000000007</v>
      </c>
      <c r="E13">
        <v>9</v>
      </c>
      <c r="F13">
        <v>9.6</v>
      </c>
      <c r="G13">
        <v>9.9</v>
      </c>
      <c r="H13">
        <v>9.1</v>
      </c>
      <c r="I13">
        <v>9.4</v>
      </c>
      <c r="J13">
        <v>9</v>
      </c>
      <c r="K13">
        <v>9.6</v>
      </c>
      <c r="L13" s="2">
        <f t="shared" si="0"/>
        <v>94.3</v>
      </c>
      <c r="N13" s="3">
        <f t="shared" si="1"/>
        <v>0.94299999999999995</v>
      </c>
      <c r="P13">
        <v>10</v>
      </c>
      <c r="Q13">
        <v>5</v>
      </c>
      <c r="R13">
        <v>5</v>
      </c>
      <c r="S13">
        <v>4.8</v>
      </c>
      <c r="T13" s="2">
        <f t="shared" si="2"/>
        <v>24.8</v>
      </c>
      <c r="U13" s="3">
        <f t="shared" si="3"/>
        <v>0.99199999999999999</v>
      </c>
      <c r="W13">
        <v>81.5</v>
      </c>
      <c r="X13">
        <v>58</v>
      </c>
      <c r="Y13">
        <v>57.5</v>
      </c>
      <c r="Z13" s="2">
        <f t="shared" si="4"/>
        <v>197</v>
      </c>
      <c r="AA13" s="3">
        <f t="shared" si="5"/>
        <v>0.87555555555555553</v>
      </c>
      <c r="AC13" s="3">
        <f>(L13+T13+Z13)/Sheet3!$D$9</f>
        <v>0.90314285714285725</v>
      </c>
    </row>
    <row r="14" spans="1:29" ht="13">
      <c r="A14" t="s">
        <v>39</v>
      </c>
      <c r="B14">
        <v>8.5</v>
      </c>
      <c r="C14">
        <v>9.1999999999999993</v>
      </c>
      <c r="D14">
        <v>9.6</v>
      </c>
      <c r="E14">
        <v>9.3000000000000007</v>
      </c>
      <c r="F14">
        <v>8.5</v>
      </c>
      <c r="G14">
        <v>8.9</v>
      </c>
      <c r="H14">
        <v>8.5</v>
      </c>
      <c r="I14">
        <v>9.1</v>
      </c>
      <c r="J14">
        <v>9.4</v>
      </c>
      <c r="K14">
        <v>8.5</v>
      </c>
      <c r="L14" s="2">
        <f t="shared" si="0"/>
        <v>89.5</v>
      </c>
      <c r="N14" s="3">
        <f t="shared" si="1"/>
        <v>0.89500000000000002</v>
      </c>
      <c r="P14">
        <v>10</v>
      </c>
      <c r="Q14">
        <v>4.8</v>
      </c>
      <c r="R14">
        <v>5</v>
      </c>
      <c r="S14">
        <v>5</v>
      </c>
      <c r="T14" s="2">
        <f t="shared" si="2"/>
        <v>24.8</v>
      </c>
      <c r="U14" s="3">
        <f t="shared" si="3"/>
        <v>0.99199999999999999</v>
      </c>
      <c r="W14">
        <v>80.5</v>
      </c>
      <c r="X14">
        <v>64</v>
      </c>
      <c r="Y14">
        <v>56</v>
      </c>
      <c r="Z14" s="2">
        <f t="shared" si="4"/>
        <v>200.5</v>
      </c>
      <c r="AA14" s="3">
        <f t="shared" si="5"/>
        <v>0.89111111111111108</v>
      </c>
      <c r="AC14" s="3">
        <f>(L14+T14+Z14)/Sheet3!$D$9</f>
        <v>0.89942857142857147</v>
      </c>
    </row>
    <row r="15" spans="1:29" ht="13">
      <c r="A15" t="s">
        <v>40</v>
      </c>
      <c r="B15">
        <v>9.3000000000000007</v>
      </c>
      <c r="C15">
        <v>9.5</v>
      </c>
      <c r="D15">
        <v>8.8000000000000007</v>
      </c>
      <c r="E15">
        <v>9.5</v>
      </c>
      <c r="F15">
        <v>9.1999999999999993</v>
      </c>
      <c r="G15">
        <v>9.8000000000000007</v>
      </c>
      <c r="H15">
        <v>9.9</v>
      </c>
      <c r="I15">
        <v>9.1</v>
      </c>
      <c r="J15">
        <v>9.4</v>
      </c>
      <c r="K15">
        <v>9.6999999999999993</v>
      </c>
      <c r="L15" s="2">
        <f t="shared" si="0"/>
        <v>94.2</v>
      </c>
      <c r="N15" s="3">
        <f t="shared" si="1"/>
        <v>0.94200000000000006</v>
      </c>
      <c r="P15">
        <v>10</v>
      </c>
      <c r="Q15">
        <v>4</v>
      </c>
      <c r="R15">
        <v>5</v>
      </c>
      <c r="S15">
        <v>5</v>
      </c>
      <c r="T15" s="2">
        <f t="shared" si="2"/>
        <v>24</v>
      </c>
      <c r="U15" s="3">
        <f t="shared" si="3"/>
        <v>0.96</v>
      </c>
      <c r="W15">
        <v>77</v>
      </c>
      <c r="X15">
        <v>67.5</v>
      </c>
      <c r="Y15">
        <v>52</v>
      </c>
      <c r="Z15" s="2">
        <f t="shared" si="4"/>
        <v>196.5</v>
      </c>
      <c r="AA15" s="3">
        <f t="shared" si="5"/>
        <v>0.87333333333333329</v>
      </c>
      <c r="AC15" s="3">
        <f>(L15+T15+Z15)/Sheet3!$D$9</f>
        <v>0.89914285714285713</v>
      </c>
    </row>
    <row r="16" spans="1:29" ht="13">
      <c r="A16" t="s">
        <v>41</v>
      </c>
      <c r="B16">
        <v>9.6</v>
      </c>
      <c r="C16">
        <v>10</v>
      </c>
      <c r="D16">
        <v>9.3000000000000007</v>
      </c>
      <c r="E16">
        <v>9.3000000000000007</v>
      </c>
      <c r="F16">
        <v>9.5</v>
      </c>
      <c r="G16">
        <v>9.6999999999999993</v>
      </c>
      <c r="H16">
        <v>9.5</v>
      </c>
      <c r="I16">
        <v>8.6999999999999993</v>
      </c>
      <c r="J16">
        <v>9.6999999999999993</v>
      </c>
      <c r="K16">
        <v>9.4</v>
      </c>
      <c r="L16" s="2">
        <f t="shared" si="0"/>
        <v>94.700000000000017</v>
      </c>
      <c r="N16" s="3">
        <f t="shared" si="1"/>
        <v>0.94700000000000017</v>
      </c>
      <c r="P16">
        <v>10</v>
      </c>
      <c r="Q16">
        <v>4.5</v>
      </c>
      <c r="R16">
        <v>5</v>
      </c>
      <c r="S16">
        <v>4.8</v>
      </c>
      <c r="T16" s="2">
        <f t="shared" si="2"/>
        <v>24.3</v>
      </c>
      <c r="U16" s="3">
        <f t="shared" si="3"/>
        <v>0.97199999999999998</v>
      </c>
      <c r="W16">
        <v>77</v>
      </c>
      <c r="X16">
        <v>61.5</v>
      </c>
      <c r="Y16">
        <v>56</v>
      </c>
      <c r="Z16" s="2">
        <f t="shared" si="4"/>
        <v>194.5</v>
      </c>
      <c r="AA16" s="3">
        <f t="shared" si="5"/>
        <v>0.86444444444444446</v>
      </c>
      <c r="AC16" s="3">
        <f>(L16+T16+Z16)/Sheet3!$D$9</f>
        <v>0.89571428571428569</v>
      </c>
    </row>
    <row r="17" spans="1:29" ht="13">
      <c r="A17" t="s">
        <v>42</v>
      </c>
      <c r="B17">
        <v>9.3000000000000007</v>
      </c>
      <c r="C17">
        <v>9.5</v>
      </c>
      <c r="D17">
        <v>8.8000000000000007</v>
      </c>
      <c r="E17">
        <v>9.5</v>
      </c>
      <c r="F17">
        <v>9.1999999999999993</v>
      </c>
      <c r="G17">
        <v>9.8000000000000007</v>
      </c>
      <c r="H17">
        <v>9.9</v>
      </c>
      <c r="I17">
        <v>9.1</v>
      </c>
      <c r="J17">
        <v>9.4</v>
      </c>
      <c r="K17">
        <v>9.6999999999999993</v>
      </c>
      <c r="L17" s="2">
        <f t="shared" si="0"/>
        <v>94.2</v>
      </c>
      <c r="N17" s="3">
        <f t="shared" si="1"/>
        <v>0.94200000000000006</v>
      </c>
      <c r="P17">
        <v>10</v>
      </c>
      <c r="Q17">
        <v>5</v>
      </c>
      <c r="R17">
        <v>5</v>
      </c>
      <c r="S17">
        <v>5</v>
      </c>
      <c r="T17" s="2">
        <f t="shared" si="2"/>
        <v>25</v>
      </c>
      <c r="U17" s="3">
        <f t="shared" si="3"/>
        <v>1</v>
      </c>
      <c r="W17">
        <v>77</v>
      </c>
      <c r="X17">
        <v>61.5</v>
      </c>
      <c r="Y17">
        <v>53</v>
      </c>
      <c r="Z17" s="2">
        <f t="shared" si="4"/>
        <v>191.5</v>
      </c>
      <c r="AA17" s="3">
        <f t="shared" si="5"/>
        <v>0.85111111111111115</v>
      </c>
      <c r="AC17" s="3">
        <f>(L17+T17+Z17)/Sheet3!$D$9</f>
        <v>0.88771428571428568</v>
      </c>
    </row>
    <row r="18" spans="1:29" ht="13">
      <c r="A18" t="s">
        <v>43</v>
      </c>
      <c r="B18">
        <v>9.4</v>
      </c>
      <c r="C18">
        <v>9.5</v>
      </c>
      <c r="D18">
        <v>9.8000000000000007</v>
      </c>
      <c r="E18">
        <v>9</v>
      </c>
      <c r="F18">
        <v>9.6</v>
      </c>
      <c r="G18">
        <v>9.9</v>
      </c>
      <c r="H18">
        <v>9.1</v>
      </c>
      <c r="I18">
        <v>9.4</v>
      </c>
      <c r="J18">
        <v>9</v>
      </c>
      <c r="K18">
        <v>9.6</v>
      </c>
      <c r="L18" s="2">
        <f t="shared" si="0"/>
        <v>94.3</v>
      </c>
      <c r="N18" s="3">
        <f t="shared" si="1"/>
        <v>0.94299999999999995</v>
      </c>
      <c r="P18">
        <v>10</v>
      </c>
      <c r="Q18">
        <v>4.5</v>
      </c>
      <c r="R18">
        <v>5</v>
      </c>
      <c r="S18">
        <v>4.8</v>
      </c>
      <c r="T18" s="2">
        <f t="shared" si="2"/>
        <v>24.3</v>
      </c>
      <c r="U18" s="3">
        <f t="shared" si="3"/>
        <v>0.97199999999999998</v>
      </c>
      <c r="W18">
        <v>77</v>
      </c>
      <c r="X18">
        <v>59</v>
      </c>
      <c r="Y18">
        <v>55</v>
      </c>
      <c r="Z18" s="2">
        <f t="shared" si="4"/>
        <v>191</v>
      </c>
      <c r="AA18" s="3">
        <f t="shared" si="5"/>
        <v>0.84888888888888892</v>
      </c>
      <c r="AC18" s="3">
        <f>(L18+T18+Z18)/Sheet3!$D$9</f>
        <v>0.88457142857142868</v>
      </c>
    </row>
    <row r="19" spans="1:29" ht="13">
      <c r="A19" t="s">
        <v>44</v>
      </c>
      <c r="B19">
        <v>9.6</v>
      </c>
      <c r="C19">
        <v>10</v>
      </c>
      <c r="D19">
        <v>9.3000000000000007</v>
      </c>
      <c r="E19">
        <v>9.3000000000000007</v>
      </c>
      <c r="F19">
        <v>9.5</v>
      </c>
      <c r="G19">
        <v>9.6999999999999993</v>
      </c>
      <c r="H19">
        <v>9.5</v>
      </c>
      <c r="I19">
        <v>8.6999999999999993</v>
      </c>
      <c r="J19">
        <v>9.6999999999999993</v>
      </c>
      <c r="K19">
        <v>9.4</v>
      </c>
      <c r="L19" s="2">
        <f t="shared" si="0"/>
        <v>94.700000000000017</v>
      </c>
      <c r="N19" s="3">
        <f t="shared" si="1"/>
        <v>0.94700000000000017</v>
      </c>
      <c r="P19">
        <v>9</v>
      </c>
      <c r="Q19">
        <v>4.5</v>
      </c>
      <c r="R19">
        <v>5</v>
      </c>
      <c r="S19">
        <v>4.8</v>
      </c>
      <c r="T19" s="2">
        <f t="shared" si="2"/>
        <v>23.3</v>
      </c>
      <c r="U19" s="3">
        <f t="shared" si="3"/>
        <v>0.93200000000000005</v>
      </c>
      <c r="W19">
        <v>71</v>
      </c>
      <c r="X19">
        <v>62.5</v>
      </c>
      <c r="Y19">
        <v>57</v>
      </c>
      <c r="Z19" s="2">
        <f t="shared" si="4"/>
        <v>190.5</v>
      </c>
      <c r="AA19" s="3">
        <f t="shared" si="5"/>
        <v>0.84666666666666668</v>
      </c>
      <c r="AC19" s="3">
        <f>(L19+T19+Z19)/Sheet3!$D$9</f>
        <v>0.88142857142857145</v>
      </c>
    </row>
    <row r="20" spans="1:29" ht="13">
      <c r="A20" t="s">
        <v>45</v>
      </c>
      <c r="B20">
        <v>9.3000000000000007</v>
      </c>
      <c r="C20">
        <v>9.5</v>
      </c>
      <c r="D20">
        <v>8.8000000000000007</v>
      </c>
      <c r="E20">
        <v>9.5</v>
      </c>
      <c r="F20">
        <v>9.1999999999999993</v>
      </c>
      <c r="G20">
        <v>9.8000000000000007</v>
      </c>
      <c r="H20">
        <v>9.9</v>
      </c>
      <c r="I20">
        <v>9.1</v>
      </c>
      <c r="J20">
        <v>9.4</v>
      </c>
      <c r="K20">
        <v>9.6999999999999993</v>
      </c>
      <c r="L20" s="2">
        <f t="shared" si="0"/>
        <v>94.2</v>
      </c>
      <c r="N20" s="3">
        <f t="shared" si="1"/>
        <v>0.94200000000000006</v>
      </c>
      <c r="P20">
        <v>9</v>
      </c>
      <c r="Q20">
        <v>5</v>
      </c>
      <c r="R20">
        <v>5</v>
      </c>
      <c r="S20">
        <v>4.5</v>
      </c>
      <c r="T20" s="2">
        <f t="shared" si="2"/>
        <v>23.5</v>
      </c>
      <c r="U20" s="3">
        <f t="shared" si="3"/>
        <v>0.94</v>
      </c>
      <c r="W20">
        <v>78.5</v>
      </c>
      <c r="X20">
        <v>61</v>
      </c>
      <c r="Y20">
        <v>47</v>
      </c>
      <c r="Z20" s="2">
        <f t="shared" si="4"/>
        <v>186.5</v>
      </c>
      <c r="AA20" s="3">
        <f t="shared" si="5"/>
        <v>0.8288888888888889</v>
      </c>
      <c r="AC20" s="3">
        <f>(L20+T20+Z20)/Sheet3!$D$9</f>
        <v>0.86914285714285711</v>
      </c>
    </row>
    <row r="21" spans="1:29" ht="13">
      <c r="A21" t="s">
        <v>46</v>
      </c>
      <c r="B21">
        <v>9.6</v>
      </c>
      <c r="C21">
        <v>10</v>
      </c>
      <c r="D21">
        <v>9.3000000000000007</v>
      </c>
      <c r="E21">
        <v>9.3000000000000007</v>
      </c>
      <c r="F21">
        <v>9.5</v>
      </c>
      <c r="G21">
        <v>9.6999999999999993</v>
      </c>
      <c r="H21">
        <v>9.5</v>
      </c>
      <c r="I21">
        <v>8.6999999999999993</v>
      </c>
      <c r="J21">
        <v>9.6999999999999993</v>
      </c>
      <c r="K21">
        <v>9.4</v>
      </c>
      <c r="L21" s="2">
        <f t="shared" si="0"/>
        <v>94.700000000000017</v>
      </c>
      <c r="N21" s="3">
        <f t="shared" si="1"/>
        <v>0.94700000000000017</v>
      </c>
      <c r="P21">
        <v>10</v>
      </c>
      <c r="Q21">
        <v>4.8</v>
      </c>
      <c r="R21">
        <v>5</v>
      </c>
      <c r="S21">
        <v>4.8</v>
      </c>
      <c r="T21" s="2">
        <f t="shared" si="2"/>
        <v>24.6</v>
      </c>
      <c r="U21" s="3">
        <f t="shared" si="3"/>
        <v>0.9840000000000001</v>
      </c>
      <c r="W21">
        <v>73</v>
      </c>
      <c r="X21">
        <v>60.5</v>
      </c>
      <c r="Y21">
        <v>50.5</v>
      </c>
      <c r="Z21" s="2">
        <f t="shared" si="4"/>
        <v>184</v>
      </c>
      <c r="AA21" s="3">
        <f t="shared" si="5"/>
        <v>0.81777777777777783</v>
      </c>
      <c r="AC21" s="3">
        <f>(L21+T21+Z21)/Sheet3!$D$9</f>
        <v>0.86657142857142866</v>
      </c>
    </row>
    <row r="22" spans="1:29" ht="13">
      <c r="A22" t="s">
        <v>47</v>
      </c>
      <c r="B22">
        <v>9.6</v>
      </c>
      <c r="C22">
        <v>9.3000000000000007</v>
      </c>
      <c r="D22">
        <v>9.6</v>
      </c>
      <c r="E22">
        <v>8.9</v>
      </c>
      <c r="F22">
        <v>9.8000000000000007</v>
      </c>
      <c r="G22">
        <v>9.6</v>
      </c>
      <c r="H22">
        <v>9.6</v>
      </c>
      <c r="I22">
        <v>9.6</v>
      </c>
      <c r="J22">
        <v>8.6999999999999993</v>
      </c>
      <c r="K22">
        <v>9.8000000000000007</v>
      </c>
      <c r="L22" s="2">
        <f t="shared" si="0"/>
        <v>94.5</v>
      </c>
      <c r="N22" s="3">
        <f t="shared" si="1"/>
        <v>0.94499999999999995</v>
      </c>
      <c r="P22">
        <v>10</v>
      </c>
      <c r="Q22">
        <v>4</v>
      </c>
      <c r="R22">
        <v>5</v>
      </c>
      <c r="S22">
        <v>4.8</v>
      </c>
      <c r="T22" s="2">
        <f t="shared" si="2"/>
        <v>23.8</v>
      </c>
      <c r="U22" s="3">
        <f t="shared" si="3"/>
        <v>0.95200000000000007</v>
      </c>
      <c r="W22">
        <v>78</v>
      </c>
      <c r="X22">
        <v>50.5</v>
      </c>
      <c r="Y22">
        <v>55.5</v>
      </c>
      <c r="Z22" s="2">
        <f t="shared" si="4"/>
        <v>184</v>
      </c>
      <c r="AA22" s="3">
        <f t="shared" si="5"/>
        <v>0.81777777777777783</v>
      </c>
      <c r="AC22" s="3">
        <f>(L22+T22+Z22)/Sheet3!$D$9</f>
        <v>0.86371428571428577</v>
      </c>
    </row>
    <row r="23" spans="1:29" ht="13">
      <c r="A23" t="s">
        <v>48</v>
      </c>
      <c r="B23">
        <v>8.5</v>
      </c>
      <c r="C23">
        <v>9.1999999999999993</v>
      </c>
      <c r="D23">
        <v>9.6</v>
      </c>
      <c r="E23">
        <v>9.3000000000000007</v>
      </c>
      <c r="F23">
        <v>8.5</v>
      </c>
      <c r="G23">
        <v>8.9</v>
      </c>
      <c r="H23">
        <v>8.5</v>
      </c>
      <c r="I23">
        <v>9.1</v>
      </c>
      <c r="J23">
        <v>9.4</v>
      </c>
      <c r="K23">
        <v>8.5</v>
      </c>
      <c r="L23" s="2">
        <f t="shared" si="0"/>
        <v>89.5</v>
      </c>
      <c r="N23" s="3">
        <f t="shared" si="1"/>
        <v>0.89500000000000002</v>
      </c>
      <c r="P23">
        <v>8</v>
      </c>
      <c r="Q23">
        <v>4.7</v>
      </c>
      <c r="R23">
        <v>5</v>
      </c>
      <c r="S23">
        <v>4.8</v>
      </c>
      <c r="T23" s="2">
        <f t="shared" si="2"/>
        <v>22.5</v>
      </c>
      <c r="U23" s="3">
        <f t="shared" si="3"/>
        <v>0.9</v>
      </c>
      <c r="W23">
        <v>80.5</v>
      </c>
      <c r="X23">
        <v>63.5</v>
      </c>
      <c r="Y23">
        <v>44</v>
      </c>
      <c r="Z23" s="2">
        <f t="shared" si="4"/>
        <v>188</v>
      </c>
      <c r="AA23" s="3">
        <f t="shared" si="5"/>
        <v>0.83555555555555561</v>
      </c>
      <c r="AC23" s="3">
        <f>(L23+T23+Z23)/Sheet3!$D$9</f>
        <v>0.8571428571428571</v>
      </c>
    </row>
    <row r="24" spans="1:29" ht="13">
      <c r="A24" t="s">
        <v>49</v>
      </c>
      <c r="B24">
        <v>9.4</v>
      </c>
      <c r="C24">
        <v>9.5</v>
      </c>
      <c r="D24">
        <v>9.8000000000000007</v>
      </c>
      <c r="E24">
        <v>9</v>
      </c>
      <c r="F24">
        <v>9.6</v>
      </c>
      <c r="G24">
        <v>9.9</v>
      </c>
      <c r="H24">
        <v>9.1</v>
      </c>
      <c r="I24">
        <v>9.4</v>
      </c>
      <c r="J24">
        <v>9</v>
      </c>
      <c r="K24">
        <v>9.6</v>
      </c>
      <c r="L24" s="2">
        <f t="shared" si="0"/>
        <v>94.3</v>
      </c>
      <c r="N24" s="3">
        <f t="shared" si="1"/>
        <v>0.94299999999999995</v>
      </c>
      <c r="P24">
        <v>10</v>
      </c>
      <c r="Q24">
        <v>4.5</v>
      </c>
      <c r="R24">
        <v>5</v>
      </c>
      <c r="S24">
        <v>4.8</v>
      </c>
      <c r="T24" s="2">
        <f t="shared" si="2"/>
        <v>24.3</v>
      </c>
      <c r="U24" s="3">
        <f t="shared" si="3"/>
        <v>0.97199999999999998</v>
      </c>
      <c r="W24">
        <v>76</v>
      </c>
      <c r="X24">
        <v>59.5</v>
      </c>
      <c r="Y24">
        <v>43</v>
      </c>
      <c r="Z24" s="2">
        <f t="shared" si="4"/>
        <v>178.5</v>
      </c>
      <c r="AA24" s="3">
        <f t="shared" si="5"/>
        <v>0.79333333333333333</v>
      </c>
      <c r="AC24" s="3">
        <f>(L24+T24+Z24)/Sheet3!$D$9</f>
        <v>0.84885714285714298</v>
      </c>
    </row>
    <row r="25" spans="1:29" ht="13">
      <c r="A25" t="s">
        <v>50</v>
      </c>
      <c r="B25">
        <v>9.6</v>
      </c>
      <c r="C25">
        <v>10</v>
      </c>
      <c r="D25">
        <v>9.3000000000000007</v>
      </c>
      <c r="E25">
        <v>9.3000000000000007</v>
      </c>
      <c r="F25">
        <v>9.5</v>
      </c>
      <c r="G25">
        <v>9.6999999999999993</v>
      </c>
      <c r="H25">
        <v>9.5</v>
      </c>
      <c r="I25">
        <v>8.6999999999999993</v>
      </c>
      <c r="J25">
        <v>9.6999999999999993</v>
      </c>
      <c r="K25">
        <v>9.4</v>
      </c>
      <c r="L25" s="2">
        <f t="shared" si="0"/>
        <v>94.700000000000017</v>
      </c>
      <c r="N25" s="3">
        <f t="shared" si="1"/>
        <v>0.94700000000000017</v>
      </c>
      <c r="P25">
        <v>10</v>
      </c>
      <c r="Q25">
        <v>4.5</v>
      </c>
      <c r="R25">
        <v>5</v>
      </c>
      <c r="S25">
        <v>4.8</v>
      </c>
      <c r="T25" s="2">
        <f t="shared" si="2"/>
        <v>24.3</v>
      </c>
      <c r="U25" s="3">
        <f t="shared" si="3"/>
        <v>0.97199999999999998</v>
      </c>
      <c r="W25">
        <v>76</v>
      </c>
      <c r="X25">
        <v>52</v>
      </c>
      <c r="Y25">
        <v>48.5</v>
      </c>
      <c r="Z25" s="2">
        <f t="shared" si="4"/>
        <v>176.5</v>
      </c>
      <c r="AA25" s="3">
        <f t="shared" si="5"/>
        <v>0.7844444444444445</v>
      </c>
      <c r="AC25" s="3">
        <f>(L25+T25+Z25)/Sheet3!$D$9</f>
        <v>0.84428571428571431</v>
      </c>
    </row>
    <row r="26" spans="1:29" ht="13">
      <c r="A26" t="s">
        <v>51</v>
      </c>
      <c r="B26">
        <v>8.5</v>
      </c>
      <c r="C26">
        <v>9.1999999999999993</v>
      </c>
      <c r="D26">
        <v>9.6</v>
      </c>
      <c r="E26">
        <v>9.3000000000000007</v>
      </c>
      <c r="F26">
        <v>8.5</v>
      </c>
      <c r="G26">
        <v>8.9</v>
      </c>
      <c r="H26">
        <v>8.5</v>
      </c>
      <c r="I26">
        <v>9.1</v>
      </c>
      <c r="J26">
        <v>9.4</v>
      </c>
      <c r="K26">
        <v>8.5</v>
      </c>
      <c r="L26" s="2">
        <f t="shared" si="0"/>
        <v>89.5</v>
      </c>
      <c r="N26" s="3">
        <f t="shared" si="1"/>
        <v>0.89500000000000002</v>
      </c>
      <c r="P26">
        <v>8</v>
      </c>
      <c r="Q26">
        <v>4</v>
      </c>
      <c r="R26">
        <v>5</v>
      </c>
      <c r="S26">
        <v>4.5</v>
      </c>
      <c r="T26" s="2">
        <f t="shared" si="2"/>
        <v>21.5</v>
      </c>
      <c r="U26" s="3">
        <f t="shared" si="3"/>
        <v>0.86</v>
      </c>
      <c r="W26">
        <v>72.5</v>
      </c>
      <c r="X26">
        <v>61.5</v>
      </c>
      <c r="Y26">
        <v>43.5</v>
      </c>
      <c r="Z26" s="2">
        <f t="shared" si="4"/>
        <v>177.5</v>
      </c>
      <c r="AA26" s="3">
        <f t="shared" si="5"/>
        <v>0.78888888888888886</v>
      </c>
      <c r="AC26" s="3">
        <f>(L26+T26+Z26)/Sheet3!$D$9</f>
        <v>0.82428571428571429</v>
      </c>
    </row>
    <row r="27" spans="1:29" ht="13">
      <c r="A27" t="s">
        <v>52</v>
      </c>
      <c r="B27">
        <v>9.3000000000000007</v>
      </c>
      <c r="C27">
        <v>9.5</v>
      </c>
      <c r="D27">
        <v>8.8000000000000007</v>
      </c>
      <c r="E27">
        <v>9.5</v>
      </c>
      <c r="F27">
        <v>9.1999999999999993</v>
      </c>
      <c r="G27">
        <v>9.8000000000000007</v>
      </c>
      <c r="H27">
        <v>9.9</v>
      </c>
      <c r="I27">
        <v>9.1</v>
      </c>
      <c r="J27">
        <v>9.4</v>
      </c>
      <c r="K27">
        <v>9.6999999999999993</v>
      </c>
      <c r="L27" s="2">
        <f t="shared" si="0"/>
        <v>94.2</v>
      </c>
      <c r="N27" s="3">
        <f t="shared" si="1"/>
        <v>0.94200000000000006</v>
      </c>
      <c r="P27">
        <v>9</v>
      </c>
      <c r="Q27">
        <v>4.5</v>
      </c>
      <c r="R27">
        <v>5</v>
      </c>
      <c r="S27">
        <v>4.5</v>
      </c>
      <c r="T27" s="2">
        <f t="shared" si="2"/>
        <v>23</v>
      </c>
      <c r="U27" s="3">
        <f t="shared" si="3"/>
        <v>0.92</v>
      </c>
      <c r="W27">
        <v>69</v>
      </c>
      <c r="X27">
        <v>46</v>
      </c>
      <c r="Y27">
        <v>51.5</v>
      </c>
      <c r="Z27" s="2">
        <f t="shared" si="4"/>
        <v>166.5</v>
      </c>
      <c r="AA27" s="3">
        <f t="shared" si="5"/>
        <v>0.74</v>
      </c>
      <c r="AC27" s="3">
        <f>(L27+T27+Z27)/Sheet3!$D$9</f>
        <v>0.8105714285714285</v>
      </c>
    </row>
    <row r="28" spans="1:29" ht="13">
      <c r="A28" t="s">
        <v>53</v>
      </c>
      <c r="B28">
        <v>9.3000000000000007</v>
      </c>
      <c r="C28">
        <v>9.5</v>
      </c>
      <c r="D28">
        <v>8.8000000000000007</v>
      </c>
      <c r="E28">
        <v>9.5</v>
      </c>
      <c r="F28">
        <v>9.1999999999999993</v>
      </c>
      <c r="G28">
        <v>9.8000000000000007</v>
      </c>
      <c r="H28">
        <v>9.9</v>
      </c>
      <c r="I28">
        <v>9.1</v>
      </c>
      <c r="J28">
        <v>9.4</v>
      </c>
      <c r="K28">
        <v>9.6999999999999993</v>
      </c>
      <c r="L28" s="2">
        <f t="shared" si="0"/>
        <v>94.2</v>
      </c>
      <c r="N28" s="3">
        <f t="shared" si="1"/>
        <v>0.94200000000000006</v>
      </c>
      <c r="P28">
        <v>10</v>
      </c>
      <c r="Q28">
        <v>4</v>
      </c>
      <c r="R28">
        <v>5</v>
      </c>
      <c r="S28">
        <v>4.5</v>
      </c>
      <c r="T28" s="2">
        <f t="shared" si="2"/>
        <v>23.5</v>
      </c>
      <c r="U28" s="3">
        <f t="shared" si="3"/>
        <v>0.94</v>
      </c>
      <c r="W28">
        <v>74</v>
      </c>
      <c r="X28">
        <v>56.5</v>
      </c>
      <c r="Y28">
        <v>34.5</v>
      </c>
      <c r="Z28" s="2">
        <f t="shared" si="4"/>
        <v>165</v>
      </c>
      <c r="AA28" s="3">
        <f t="shared" si="5"/>
        <v>0.73333333333333328</v>
      </c>
      <c r="AC28" s="3">
        <f>(L28+T28+Z28)/Sheet3!$D$9</f>
        <v>0.80771428571428572</v>
      </c>
    </row>
    <row r="29" spans="1:29" ht="13">
      <c r="A29" t="s">
        <v>54</v>
      </c>
      <c r="B29">
        <v>9.6</v>
      </c>
      <c r="C29">
        <v>10</v>
      </c>
      <c r="D29">
        <v>9.3000000000000007</v>
      </c>
      <c r="E29">
        <v>9.3000000000000007</v>
      </c>
      <c r="F29">
        <v>9.5</v>
      </c>
      <c r="G29">
        <v>9.6999999999999993</v>
      </c>
      <c r="H29">
        <v>9.5</v>
      </c>
      <c r="I29">
        <v>8.6999999999999993</v>
      </c>
      <c r="J29">
        <v>9.6999999999999993</v>
      </c>
      <c r="K29">
        <v>9.4</v>
      </c>
      <c r="L29" s="2">
        <f t="shared" si="0"/>
        <v>94.700000000000017</v>
      </c>
      <c r="N29" s="3">
        <f t="shared" si="1"/>
        <v>0.94700000000000017</v>
      </c>
      <c r="P29">
        <v>10</v>
      </c>
      <c r="Q29">
        <v>4.5</v>
      </c>
      <c r="R29">
        <v>5</v>
      </c>
      <c r="S29">
        <v>4.8</v>
      </c>
      <c r="T29" s="2">
        <f t="shared" si="2"/>
        <v>24.3</v>
      </c>
      <c r="U29" s="3">
        <f t="shared" si="3"/>
        <v>0.97199999999999998</v>
      </c>
      <c r="W29">
        <v>65.5</v>
      </c>
      <c r="X29">
        <v>55</v>
      </c>
      <c r="Y29">
        <v>38.5</v>
      </c>
      <c r="Z29" s="2">
        <f t="shared" si="4"/>
        <v>159</v>
      </c>
      <c r="AA29" s="3">
        <f t="shared" si="5"/>
        <v>0.70666666666666667</v>
      </c>
      <c r="AC29" s="3">
        <f>(L29+T29+Z29)/Sheet3!$D$9</f>
        <v>0.79428571428571426</v>
      </c>
    </row>
    <row r="30" spans="1:29" ht="13">
      <c r="A30" t="s">
        <v>55</v>
      </c>
      <c r="B30">
        <v>8.5</v>
      </c>
      <c r="C30">
        <v>9.1999999999999993</v>
      </c>
      <c r="D30">
        <v>9.6</v>
      </c>
      <c r="E30">
        <v>9.3000000000000007</v>
      </c>
      <c r="F30">
        <v>8.5</v>
      </c>
      <c r="G30">
        <v>8.9</v>
      </c>
      <c r="H30">
        <v>8.5</v>
      </c>
      <c r="I30">
        <v>9.1</v>
      </c>
      <c r="J30">
        <v>9.4</v>
      </c>
      <c r="K30">
        <v>8.5</v>
      </c>
      <c r="L30" s="2">
        <f t="shared" si="0"/>
        <v>89.5</v>
      </c>
      <c r="N30" s="3">
        <f t="shared" si="1"/>
        <v>0.89500000000000002</v>
      </c>
      <c r="P30">
        <v>10</v>
      </c>
      <c r="Q30">
        <v>4</v>
      </c>
      <c r="R30">
        <v>5</v>
      </c>
      <c r="S30">
        <v>4</v>
      </c>
      <c r="T30" s="2">
        <f t="shared" si="2"/>
        <v>23</v>
      </c>
      <c r="U30" s="3">
        <f t="shared" si="3"/>
        <v>0.92</v>
      </c>
      <c r="W30">
        <v>75.5</v>
      </c>
      <c r="X30">
        <v>53</v>
      </c>
      <c r="Y30">
        <v>32</v>
      </c>
      <c r="Z30" s="2">
        <f t="shared" si="4"/>
        <v>160.5</v>
      </c>
      <c r="AA30" s="3">
        <f t="shared" si="5"/>
        <v>0.71333333333333337</v>
      </c>
      <c r="AC30" s="3">
        <f>(L30+T30+Z30)/Sheet3!$D$9</f>
        <v>0.78</v>
      </c>
    </row>
    <row r="31" spans="1:29" ht="13">
      <c r="A31" t="s">
        <v>56</v>
      </c>
      <c r="B31">
        <v>8.5</v>
      </c>
      <c r="C31">
        <v>9.1999999999999993</v>
      </c>
      <c r="D31">
        <v>9.6</v>
      </c>
      <c r="E31">
        <v>9.3000000000000007</v>
      </c>
      <c r="F31">
        <v>8.5</v>
      </c>
      <c r="G31">
        <v>8.9</v>
      </c>
      <c r="H31">
        <v>8.5</v>
      </c>
      <c r="I31">
        <v>9.1</v>
      </c>
      <c r="J31">
        <v>9.4</v>
      </c>
      <c r="K31">
        <v>8.5</v>
      </c>
      <c r="L31" s="2">
        <f t="shared" si="0"/>
        <v>89.5</v>
      </c>
      <c r="N31" s="3">
        <f t="shared" si="1"/>
        <v>0.89500000000000002</v>
      </c>
      <c r="P31">
        <v>8</v>
      </c>
      <c r="Q31">
        <v>4.5</v>
      </c>
      <c r="R31">
        <v>5</v>
      </c>
      <c r="S31">
        <v>4.2</v>
      </c>
      <c r="T31" s="2">
        <f t="shared" si="2"/>
        <v>21.7</v>
      </c>
      <c r="U31" s="3">
        <f t="shared" si="3"/>
        <v>0.86799999999999999</v>
      </c>
      <c r="W31">
        <v>80</v>
      </c>
      <c r="X31">
        <v>44.5</v>
      </c>
      <c r="Y31">
        <v>36</v>
      </c>
      <c r="Z31" s="2">
        <f t="shared" si="4"/>
        <v>160.5</v>
      </c>
      <c r="AA31" s="3">
        <f t="shared" si="5"/>
        <v>0.71333333333333337</v>
      </c>
      <c r="AC31" s="3">
        <f>(L31+T31+Z31)/Sheet3!$D$9</f>
        <v>0.77628571428571425</v>
      </c>
    </row>
    <row r="32" spans="1:29" ht="13">
      <c r="A32" t="s">
        <v>57</v>
      </c>
      <c r="B32">
        <v>8.5</v>
      </c>
      <c r="C32">
        <v>9.1999999999999993</v>
      </c>
      <c r="D32">
        <v>9.6</v>
      </c>
      <c r="E32">
        <v>9.3000000000000007</v>
      </c>
      <c r="F32">
        <v>8.5</v>
      </c>
      <c r="G32">
        <v>8.9</v>
      </c>
      <c r="H32">
        <v>8.5</v>
      </c>
      <c r="I32">
        <v>9.1</v>
      </c>
      <c r="J32">
        <v>9.4</v>
      </c>
      <c r="K32">
        <v>8.5</v>
      </c>
      <c r="L32" s="2">
        <f t="shared" si="0"/>
        <v>89.5</v>
      </c>
      <c r="N32" s="3">
        <f t="shared" si="1"/>
        <v>0.89500000000000002</v>
      </c>
      <c r="P32">
        <v>10</v>
      </c>
      <c r="Q32">
        <v>4.5</v>
      </c>
      <c r="R32">
        <v>5</v>
      </c>
      <c r="S32">
        <v>4</v>
      </c>
      <c r="T32" s="2">
        <f t="shared" si="2"/>
        <v>23.5</v>
      </c>
      <c r="U32" s="3">
        <f t="shared" si="3"/>
        <v>0.94</v>
      </c>
      <c r="W32">
        <v>71</v>
      </c>
      <c r="X32">
        <v>51</v>
      </c>
      <c r="Y32">
        <v>23</v>
      </c>
      <c r="Z32" s="2">
        <f t="shared" si="4"/>
        <v>145</v>
      </c>
      <c r="AA32" s="3">
        <f t="shared" si="5"/>
        <v>0.64444444444444449</v>
      </c>
      <c r="AC32" s="3">
        <f>(L32+T32+Z32)/Sheet3!$D$9</f>
        <v>0.7371428571428571</v>
      </c>
    </row>
    <row r="33" spans="1:29" ht="13"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 s="2">
        <f t="shared" si="0"/>
        <v>100</v>
      </c>
      <c r="P33">
        <v>10</v>
      </c>
      <c r="Q33">
        <v>5</v>
      </c>
      <c r="R33">
        <v>5</v>
      </c>
      <c r="S33">
        <v>5</v>
      </c>
      <c r="T33" s="2">
        <f t="shared" si="2"/>
        <v>25</v>
      </c>
      <c r="W33">
        <v>85</v>
      </c>
      <c r="X33">
        <v>75</v>
      </c>
      <c r="Y33">
        <v>65</v>
      </c>
      <c r="Z33" s="2">
        <f t="shared" si="4"/>
        <v>225</v>
      </c>
    </row>
    <row r="34" spans="1:29" ht="13">
      <c r="A34" s="2" t="s">
        <v>58</v>
      </c>
      <c r="U34" s="1"/>
      <c r="W34" s="2">
        <f>AVERAGE(W3:W32)</f>
        <v>76.766666666666666</v>
      </c>
      <c r="X34" s="2">
        <f>AVERAGE(X3:X32)</f>
        <v>59.916666666666664</v>
      </c>
      <c r="Y34" s="2">
        <f>AVERAGE(Y3:Y32)</f>
        <v>51.4</v>
      </c>
      <c r="AA34" s="1"/>
      <c r="AC34" s="1"/>
    </row>
    <row r="35" spans="1:29" ht="13">
      <c r="A35" s="2" t="s">
        <v>59</v>
      </c>
      <c r="O35" s="1"/>
      <c r="R35" s="2"/>
      <c r="W35" s="2">
        <f>MEDIAN(W3:W32)</f>
        <v>77</v>
      </c>
      <c r="X35" s="2">
        <f>MEDIAN(X3:X32)</f>
        <v>61.5</v>
      </c>
      <c r="Y35" s="2">
        <f>MEDIAN(Y3:Y32)</f>
        <v>55</v>
      </c>
    </row>
    <row r="36" spans="1:29">
      <c r="O36" s="1"/>
    </row>
    <row r="37" spans="1:29">
      <c r="O37" s="1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"/>
  <sheetViews>
    <sheetView workbookViewId="0">
      <selection activeCell="D9" sqref="D9"/>
    </sheetView>
  </sheetViews>
  <sheetFormatPr defaultColWidth="11.453125" defaultRowHeight="12.5"/>
  <sheetData>
    <row r="9" spans="4:4">
      <c r="D9">
        <v>350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15"/>
  <sheetViews>
    <sheetView workbookViewId="0">
      <selection activeCell="D10" sqref="D10:E11"/>
    </sheetView>
  </sheetViews>
  <sheetFormatPr defaultColWidth="11.453125" defaultRowHeight="12.5"/>
  <sheetData>
    <row r="7" spans="2:5">
      <c r="B7" t="s">
        <v>60</v>
      </c>
      <c r="C7" s="4">
        <v>0.89500000000000002</v>
      </c>
    </row>
    <row r="8" spans="2:5">
      <c r="B8" t="s">
        <v>61</v>
      </c>
      <c r="C8" s="1">
        <v>0.94</v>
      </c>
    </row>
    <row r="9" spans="2:5">
      <c r="B9" t="s">
        <v>62</v>
      </c>
      <c r="C9" s="1">
        <v>0.64439999999999997</v>
      </c>
    </row>
    <row r="10" spans="2:5">
      <c r="D10" t="s">
        <v>63</v>
      </c>
      <c r="E10" s="1">
        <v>0.73709999999999998</v>
      </c>
    </row>
    <row r="11" spans="2:5">
      <c r="D11" t="s">
        <v>64</v>
      </c>
      <c r="E11" s="1">
        <v>0.87260000000000004</v>
      </c>
    </row>
    <row r="13" spans="2:5">
      <c r="B13" t="s">
        <v>65</v>
      </c>
      <c r="C13" s="1">
        <v>0.83520000000000005</v>
      </c>
    </row>
    <row r="14" spans="2:5">
      <c r="B14" t="s">
        <v>66</v>
      </c>
      <c r="C14" s="1">
        <v>0.68</v>
      </c>
    </row>
    <row r="15" spans="2:5">
      <c r="B15" t="s">
        <v>67</v>
      </c>
      <c r="C15" s="1">
        <v>0.3538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18"/>
  <sheetViews>
    <sheetView topLeftCell="A3" workbookViewId="0">
      <selection activeCell="A13" sqref="A13:B15"/>
    </sheetView>
  </sheetViews>
  <sheetFormatPr defaultColWidth="11.453125" defaultRowHeight="12.5"/>
  <sheetData>
    <row r="7" spans="1:6" ht="13">
      <c r="C7" t="s">
        <v>22</v>
      </c>
      <c r="D7" s="2">
        <v>76.77</v>
      </c>
    </row>
    <row r="8" spans="1:6">
      <c r="C8" t="s">
        <v>68</v>
      </c>
      <c r="D8">
        <v>59.92</v>
      </c>
    </row>
    <row r="9" spans="1:6">
      <c r="C9" t="s">
        <v>69</v>
      </c>
      <c r="D9">
        <v>51.4</v>
      </c>
    </row>
    <row r="13" spans="1:6">
      <c r="A13" t="s">
        <v>10</v>
      </c>
      <c r="B13">
        <f>AVERAGE(Sheet1!H3:H32)</f>
        <v>9.32</v>
      </c>
    </row>
    <row r="14" spans="1:6">
      <c r="A14" t="s">
        <v>11</v>
      </c>
      <c r="B14">
        <f>AVERAGE(Sheet1!I3:I32)</f>
        <v>9.18</v>
      </c>
    </row>
    <row r="15" spans="1:6">
      <c r="A15" t="s">
        <v>12</v>
      </c>
      <c r="B15">
        <f>AVERAGE(Sheet1!J3:J32)</f>
        <v>9.2399999999999984</v>
      </c>
    </row>
    <row r="16" spans="1:6">
      <c r="E16" t="s">
        <v>70</v>
      </c>
      <c r="F16" s="1">
        <f>AVERAGE(Sheet1!N3:N32)</f>
        <v>0.9343999999999999</v>
      </c>
    </row>
    <row r="17" spans="5:6">
      <c r="E17" t="s">
        <v>71</v>
      </c>
      <c r="F17" s="4">
        <f>AVERAGE(Sheet1!U3:U32)</f>
        <v>0.95600000000000029</v>
      </c>
    </row>
    <row r="18" spans="5:6">
      <c r="E18" t="s">
        <v>72</v>
      </c>
      <c r="F18" s="1">
        <f>AVERAGE(Sheet1!AA3:AA33)</f>
        <v>0.83592592592592596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6</vt:i4>
      </vt:variant>
    </vt:vector>
  </HeadingPairs>
  <TitlesOfParts>
    <vt:vector size="2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4</vt:lpstr>
      <vt:lpstr>Chart3</vt:lpstr>
      <vt:lpstr>Chart6</vt:lpstr>
      <vt:lpstr>Chart7</vt:lpstr>
      <vt:lpstr>Chart8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Stofflett</dc:creator>
  <cp:lastModifiedBy>Carina Negreanu</cp:lastModifiedBy>
  <cp:lastPrinted>2003-02-11T04:04:12Z</cp:lastPrinted>
  <dcterms:created xsi:type="dcterms:W3CDTF">2003-01-21T20:24:17Z</dcterms:created>
  <dcterms:modified xsi:type="dcterms:W3CDTF">2020-01-27T11:18:08Z</dcterms:modified>
</cp:coreProperties>
</file>