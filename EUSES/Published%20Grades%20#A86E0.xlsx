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26EF68A-2D71-4D28-BD22-4176C25A38A4}" xr6:coauthVersionLast="45" xr6:coauthVersionMax="45" xr10:uidLastSave="{00000000-0000-0000-0000-000000000000}"/>
  <bookViews>
    <workbookView xWindow="3800" yWindow="3800" windowWidth="28800" windowHeight="15460"/>
  </bookViews>
  <sheets>
    <sheet name="List" sheetId="1" r:id="rId1"/>
    <sheet name="Summary" sheetId="2" r:id="rId2"/>
  </sheets>
  <definedNames>
    <definedName name="_xlnm._FilterDatabase" localSheetId="0" hidden="1">List!$A$2:$P$17</definedName>
    <definedName name="_xlnm.Print_Area" localSheetId="0">List!$1:$1048576</definedName>
    <definedName name="_xlnm.Print_Titles" localSheetId="0">List!$1:$2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4" i="2" l="1" a="1"/>
  <c r="C24" i="2" s="1"/>
  <c r="B24" i="2" a="1"/>
  <c r="B24" i="2" s="1"/>
  <c r="C22" i="2" a="1"/>
  <c r="C22" i="2" s="1"/>
  <c r="B22" i="2" a="1"/>
  <c r="B22" i="2" s="1"/>
  <c r="C21" i="2" a="1"/>
  <c r="C21" i="2" s="1"/>
  <c r="B21" i="2" a="1"/>
  <c r="B21" i="2" s="1"/>
  <c r="C19" i="2" a="1"/>
  <c r="C19" i="2" s="1"/>
  <c r="B19" i="2" a="1"/>
  <c r="B19" i="2" s="1"/>
  <c r="B27" i="2"/>
  <c r="C27" i="2"/>
  <c r="C25" i="2"/>
  <c r="C18" i="2" a="1"/>
  <c r="C18" i="2" s="1"/>
  <c r="B18" i="2" a="1"/>
  <c r="B18" i="2"/>
  <c r="C17" i="2" a="1"/>
  <c r="C17" i="2"/>
  <c r="B17" i="2" a="1"/>
  <c r="B17" i="2"/>
  <c r="C16" i="2" a="1"/>
  <c r="C16" i="2" s="1"/>
  <c r="B16" i="2" a="1"/>
  <c r="B16" i="2"/>
  <c r="C15" i="2" a="1"/>
  <c r="C15" i="2" s="1"/>
  <c r="B15" i="2" a="1"/>
  <c r="B15" i="2" s="1"/>
  <c r="B5" i="2"/>
  <c r="G5" i="2" s="1"/>
  <c r="F5" i="2"/>
  <c r="E5" i="2"/>
  <c r="E7" i="2" s="1"/>
  <c r="D5" i="2"/>
  <c r="C5" i="2"/>
  <c r="C7" i="2" s="1"/>
  <c r="F10" i="2"/>
  <c r="E10" i="2"/>
  <c r="D10" i="2"/>
  <c r="C10" i="2"/>
  <c r="B10" i="2"/>
  <c r="F9" i="2"/>
  <c r="E9" i="2"/>
  <c r="D9" i="2"/>
  <c r="C9" i="2"/>
  <c r="B9" i="2"/>
  <c r="G9" i="2" s="1"/>
  <c r="F8" i="2"/>
  <c r="E8" i="2"/>
  <c r="D8" i="2"/>
  <c r="C8" i="2"/>
  <c r="B8" i="2"/>
  <c r="G8" i="2" s="1"/>
  <c r="F6" i="2"/>
  <c r="E6" i="2"/>
  <c r="D6" i="2"/>
  <c r="C6" i="2"/>
  <c r="G6" i="2" s="1"/>
  <c r="B6" i="2"/>
  <c r="F4" i="2"/>
  <c r="E4" i="2"/>
  <c r="D4" i="2"/>
  <c r="C4" i="2"/>
  <c r="B4" i="2"/>
  <c r="G4" i="2" s="1"/>
  <c r="F3" i="2"/>
  <c r="E3" i="2"/>
  <c r="D3" i="2"/>
  <c r="C3" i="2"/>
  <c r="B3" i="2"/>
  <c r="G3" i="2" s="1"/>
  <c r="G10" i="2"/>
  <c r="D7" i="2"/>
  <c r="F7" i="2"/>
  <c r="B7" i="2" l="1"/>
  <c r="G7" i="2" s="1"/>
</calcChain>
</file>

<file path=xl/sharedStrings.xml><?xml version="1.0" encoding="utf-8"?>
<sst xmlns="http://schemas.openxmlformats.org/spreadsheetml/2006/main" count="76" uniqueCount="70">
  <si>
    <t>Code</t>
  </si>
  <si>
    <t>Provider</t>
  </si>
  <si>
    <t>Information &amp; communications technology</t>
  </si>
  <si>
    <t>Leadership &amp; management</t>
  </si>
  <si>
    <t>Equal opportunities</t>
  </si>
  <si>
    <t>Quality Assurance</t>
  </si>
  <si>
    <t>Sector</t>
  </si>
  <si>
    <t>Grade 1</t>
  </si>
  <si>
    <t>Grade 2</t>
  </si>
  <si>
    <t>Grade 3</t>
  </si>
  <si>
    <t>Grade 4</t>
  </si>
  <si>
    <t>Grade 5</t>
  </si>
  <si>
    <t>Total</t>
  </si>
  <si>
    <t>All Areas of Learning</t>
  </si>
  <si>
    <t>Leadership and Management</t>
  </si>
  <si>
    <t>Equal Opportunities</t>
  </si>
  <si>
    <t>Publication Date</t>
  </si>
  <si>
    <t>Inspection Grades: All Published</t>
  </si>
  <si>
    <t>Published Inspection Grades</t>
  </si>
  <si>
    <t>All Learndirect Provision</t>
  </si>
  <si>
    <t>Other Learndirect Provision</t>
  </si>
  <si>
    <t>Birmingham and Solihull Hub</t>
  </si>
  <si>
    <t>County Durham Hub</t>
  </si>
  <si>
    <t>Greater Nottingham Hub</t>
  </si>
  <si>
    <t>North and West Lancashire Hub</t>
  </si>
  <si>
    <t>North West London Hub</t>
  </si>
  <si>
    <t>Foundation programmes</t>
  </si>
  <si>
    <t>The Essex Learning Hub</t>
  </si>
  <si>
    <t>Trade Union Sector Hub</t>
  </si>
  <si>
    <t>Devon and Cornwall Hub</t>
  </si>
  <si>
    <t>West London Hub</t>
  </si>
  <si>
    <t>Barnsley, Rotherham &amp; Doncaster Hub</t>
  </si>
  <si>
    <t>Lincolnshire and Rutland Hub</t>
  </si>
  <si>
    <t>ASSA Hub</t>
  </si>
  <si>
    <t>York and North Yorkshire Hub</t>
  </si>
  <si>
    <t>Herefordshire and Worcestershire Hub</t>
  </si>
  <si>
    <t>Reinspection Rates</t>
  </si>
  <si>
    <t>Partial</t>
  </si>
  <si>
    <t>Full</t>
  </si>
  <si>
    <t>Year 2</t>
  </si>
  <si>
    <t>Year 2 Quarter 1</t>
  </si>
  <si>
    <t>Year 2 Quarter 2</t>
  </si>
  <si>
    <t>Year 2 Quarter 3</t>
  </si>
  <si>
    <t>Year 2 Quarter 4</t>
  </si>
  <si>
    <t xml:space="preserve">Year 3 </t>
  </si>
  <si>
    <t>Year 3 Quarter 1</t>
  </si>
  <si>
    <t>Year 3 Quarter 2</t>
  </si>
  <si>
    <t>Year 3 Quarter 3</t>
  </si>
  <si>
    <t>Year 3 Quarter 4</t>
  </si>
  <si>
    <t>Overall</t>
  </si>
  <si>
    <t>Environment and Landbased Hub</t>
  </si>
  <si>
    <t>Hampshire and Solent Hub</t>
  </si>
  <si>
    <t>Wigan and Leigh Learning Hub</t>
  </si>
  <si>
    <t>Business administration, management &amp; professional</t>
  </si>
  <si>
    <t>Cheshire and Warrington Hub</t>
  </si>
  <si>
    <t>The Open Learning Partnership Hub</t>
  </si>
  <si>
    <t>Army Torch Hub</t>
  </si>
  <si>
    <t>Coventry and Warwickshire Hub</t>
  </si>
  <si>
    <t>West of England Hub</t>
  </si>
  <si>
    <t>Cross River Partnership</t>
  </si>
  <si>
    <t>Leicestershire Hub</t>
  </si>
  <si>
    <t>Northumberland Hub</t>
  </si>
  <si>
    <t>Shropshire, Telford &amp; Wrekin Hub</t>
  </si>
  <si>
    <t>Suffolk Ufi Hub</t>
  </si>
  <si>
    <t>Black Country Hub</t>
  </si>
  <si>
    <t>n/a</t>
  </si>
  <si>
    <t>Dorset Hub</t>
  </si>
  <si>
    <t>BLWY Enterprises Ltd</t>
  </si>
  <si>
    <t>Northamptonshire Hub</t>
  </si>
  <si>
    <t>Tees Valley Ufi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</si>
</sst>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b/>
      <u/>
      <sz val="14"/>
      <name val="Times New Roman"/>
      <family val="1"/>
    </font>
    <font>
      <b/>
      <sz val="13.5"/>
      <name val="Times New Roman"/>
      <family val="1"/>
    </font>
    <font>
      <sz val="10"/>
      <name val="Optimum"/>
    </font>
    <font>
      <i/>
      <sz val="10"/>
      <name val="Optimum"/>
    </font>
    <font>
      <b/>
      <sz val="24"/>
      <name val="Optimum"/>
    </font>
    <font>
      <sz val="14"/>
      <color indexed="10"/>
      <name val="Optimum"/>
    </font>
    <font>
      <sz val="8.5"/>
      <name val="Optimum"/>
    </font>
    <font>
      <b/>
      <sz val="10"/>
      <name val="Optimum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right"/>
    </xf>
    <xf numFmtId="0" fontId="2" fillId="2" borderId="0" xfId="0" applyFont="1" applyFill="1"/>
    <xf numFmtId="0" fontId="5" fillId="0" borderId="0" xfId="0" applyFont="1"/>
    <xf numFmtId="15" fontId="5" fillId="0" borderId="0" xfId="0" applyNumberFormat="1" applyFont="1"/>
    <xf numFmtId="0" fontId="5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15" fontId="7" fillId="0" borderId="0" xfId="0" applyNumberFormat="1" applyFont="1"/>
    <xf numFmtId="0" fontId="8" fillId="0" borderId="0" xfId="0" applyFont="1" applyFill="1" applyAlignment="1">
      <alignment horizontal="right"/>
    </xf>
    <xf numFmtId="15" fontId="5" fillId="0" borderId="0" xfId="0" applyNumberFormat="1" applyFont="1" applyAlignment="1">
      <alignment wrapText="1"/>
    </xf>
    <xf numFmtId="0" fontId="9" fillId="0" borderId="1" xfId="0" applyFont="1" applyBorder="1" applyAlignment="1">
      <alignment horizontal="center" textRotation="90" wrapText="1"/>
    </xf>
    <xf numFmtId="0" fontId="9" fillId="2" borderId="1" xfId="0" applyFont="1" applyFill="1" applyBorder="1" applyAlignment="1">
      <alignment horizontal="center" textRotation="90" wrapText="1"/>
    </xf>
    <xf numFmtId="0" fontId="9" fillId="0" borderId="1" xfId="0" applyFont="1" applyFill="1" applyBorder="1" applyAlignment="1">
      <alignment horizontal="center" textRotation="90" wrapText="1"/>
    </xf>
    <xf numFmtId="2" fontId="0" fillId="0" borderId="0" xfId="0" applyNumberFormat="1"/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 textRotation="90"/>
    </xf>
    <xf numFmtId="9" fontId="5" fillId="0" borderId="0" xfId="0" applyNumberFormat="1" applyFont="1"/>
    <xf numFmtId="0" fontId="11" fillId="0" borderId="0" xfId="0" applyFont="1" applyAlignment="1">
      <alignment horizontal="center"/>
    </xf>
    <xf numFmtId="0" fontId="11" fillId="2" borderId="0" xfId="0" applyFont="1" applyFill="1"/>
    <xf numFmtId="9" fontId="0" fillId="2" borderId="0" xfId="0" applyNumberFormat="1" applyFill="1" applyAlignment="1">
      <alignment horizontal="center"/>
    </xf>
    <xf numFmtId="0" fontId="12" fillId="0" borderId="0" xfId="0" applyFont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55"/>
  <sheetViews>
    <sheetView tabSelected="1" zoomScale="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2" sqref="L2:N2"/>
    </sheetView>
  </sheetViews>
  <sheetFormatPr defaultColWidth="9.1796875" defaultRowHeight="12.5"/>
  <cols>
    <col min="1" max="1" width="5.81640625" style="12" customWidth="1"/>
    <col min="2" max="2" width="35.1796875" style="13" customWidth="1"/>
    <col min="3" max="3" width="13.453125" style="13" bestFit="1" customWidth="1"/>
    <col min="4" max="8" width="5.26953125" style="14" customWidth="1"/>
    <col min="9" max="9" width="3.26953125" style="14" bestFit="1" customWidth="1"/>
    <col min="10" max="11" width="3.26953125" style="16" bestFit="1" customWidth="1"/>
    <col min="12" max="12" width="12.81640625" style="12" bestFit="1" customWidth="1"/>
    <col min="13" max="16384" width="9.1796875" style="12"/>
  </cols>
  <sheetData>
    <row r="1" spans="1:16" ht="30">
      <c r="A1" s="18" t="s">
        <v>17</v>
      </c>
      <c r="B1" s="19"/>
      <c r="K1" s="20"/>
    </row>
    <row r="2" spans="1:16" ht="126" customHeight="1">
      <c r="A2" s="12" t="s">
        <v>0</v>
      </c>
      <c r="B2" s="13" t="s">
        <v>1</v>
      </c>
      <c r="C2" s="21" t="s">
        <v>16</v>
      </c>
      <c r="D2" s="22" t="s">
        <v>19</v>
      </c>
      <c r="E2" s="22" t="s">
        <v>53</v>
      </c>
      <c r="F2" s="22" t="s">
        <v>2</v>
      </c>
      <c r="G2" s="22" t="s">
        <v>26</v>
      </c>
      <c r="H2" s="22" t="s">
        <v>20</v>
      </c>
      <c r="I2" s="23" t="s">
        <v>3</v>
      </c>
      <c r="J2" s="24" t="s">
        <v>4</v>
      </c>
      <c r="K2" s="24" t="s">
        <v>5</v>
      </c>
      <c r="L2" s="27"/>
      <c r="N2" s="27"/>
      <c r="O2" s="27"/>
      <c r="P2" s="27"/>
    </row>
    <row r="3" spans="1:16" ht="13">
      <c r="A3" s="12">
        <v>2875</v>
      </c>
      <c r="B3" s="13" t="s">
        <v>21</v>
      </c>
      <c r="C3" s="13">
        <v>37372</v>
      </c>
      <c r="D3" s="14">
        <v>3</v>
      </c>
      <c r="E3" s="26"/>
      <c r="G3" s="26"/>
      <c r="I3" s="15">
        <v>4</v>
      </c>
      <c r="J3" s="16">
        <v>3</v>
      </c>
      <c r="K3" s="16">
        <v>4</v>
      </c>
      <c r="P3" s="28"/>
    </row>
    <row r="4" spans="1:16" ht="13">
      <c r="A4" s="12">
        <v>2877</v>
      </c>
      <c r="B4" s="13" t="s">
        <v>22</v>
      </c>
      <c r="C4" s="13">
        <v>37372</v>
      </c>
      <c r="D4" s="14">
        <v>3</v>
      </c>
      <c r="E4" s="26"/>
      <c r="G4" s="26"/>
      <c r="I4" s="15">
        <v>4</v>
      </c>
      <c r="J4" s="16">
        <v>4</v>
      </c>
      <c r="K4" s="16">
        <v>4</v>
      </c>
    </row>
    <row r="5" spans="1:16" ht="13">
      <c r="A5" s="12">
        <v>2878</v>
      </c>
      <c r="B5" s="13" t="s">
        <v>23</v>
      </c>
      <c r="C5" s="13">
        <v>37372</v>
      </c>
      <c r="E5" s="26"/>
      <c r="F5" s="14">
        <v>3</v>
      </c>
      <c r="G5" s="26"/>
      <c r="I5" s="15">
        <v>5</v>
      </c>
      <c r="J5" s="16">
        <v>4</v>
      </c>
      <c r="K5" s="16">
        <v>5</v>
      </c>
    </row>
    <row r="6" spans="1:16" ht="13">
      <c r="A6" s="12">
        <v>2879</v>
      </c>
      <c r="B6" s="13" t="s">
        <v>24</v>
      </c>
      <c r="C6" s="13">
        <v>37372</v>
      </c>
      <c r="D6" s="14">
        <v>2</v>
      </c>
      <c r="E6" s="26"/>
      <c r="G6" s="26"/>
      <c r="I6" s="15">
        <v>3</v>
      </c>
      <c r="J6" s="16">
        <v>3</v>
      </c>
      <c r="K6" s="16">
        <v>3</v>
      </c>
    </row>
    <row r="7" spans="1:16" ht="13">
      <c r="A7" s="12">
        <v>2876</v>
      </c>
      <c r="B7" s="13" t="s">
        <v>25</v>
      </c>
      <c r="C7" s="13">
        <v>37400</v>
      </c>
      <c r="E7" s="26"/>
      <c r="F7" s="14">
        <v>2</v>
      </c>
      <c r="G7" s="14">
        <v>4</v>
      </c>
      <c r="I7" s="15">
        <v>3</v>
      </c>
      <c r="J7" s="16">
        <v>2</v>
      </c>
      <c r="K7" s="16">
        <v>4</v>
      </c>
    </row>
    <row r="8" spans="1:16" ht="13">
      <c r="A8" s="12">
        <v>3190</v>
      </c>
      <c r="B8" s="13" t="s">
        <v>27</v>
      </c>
      <c r="C8" s="13">
        <v>37463</v>
      </c>
      <c r="E8" s="26"/>
      <c r="G8" s="14">
        <v>4</v>
      </c>
      <c r="H8" s="14">
        <v>3</v>
      </c>
      <c r="I8" s="15">
        <v>3</v>
      </c>
      <c r="J8" s="16">
        <v>3</v>
      </c>
      <c r="K8" s="16">
        <v>3</v>
      </c>
    </row>
    <row r="9" spans="1:16" ht="13">
      <c r="A9" s="12">
        <v>3191</v>
      </c>
      <c r="B9" s="13" t="s">
        <v>28</v>
      </c>
      <c r="C9" s="13">
        <v>37470</v>
      </c>
      <c r="E9" s="26"/>
      <c r="F9" s="14">
        <v>2</v>
      </c>
      <c r="I9" s="15">
        <v>3</v>
      </c>
      <c r="J9" s="16">
        <v>3</v>
      </c>
      <c r="K9" s="16">
        <v>3</v>
      </c>
    </row>
    <row r="10" spans="1:16" ht="13">
      <c r="A10" s="12">
        <v>3187</v>
      </c>
      <c r="B10" s="13" t="s">
        <v>29</v>
      </c>
      <c r="C10" s="13">
        <v>37484</v>
      </c>
      <c r="E10" s="26"/>
      <c r="F10" s="14">
        <v>3</v>
      </c>
      <c r="G10" s="14">
        <v>3</v>
      </c>
      <c r="I10" s="15">
        <v>4</v>
      </c>
      <c r="J10" s="16">
        <v>4</v>
      </c>
      <c r="K10" s="16">
        <v>4</v>
      </c>
    </row>
    <row r="11" spans="1:16" ht="13">
      <c r="A11" s="12">
        <v>3188</v>
      </c>
      <c r="B11" s="13" t="s">
        <v>30</v>
      </c>
      <c r="C11" s="13">
        <v>37491</v>
      </c>
      <c r="D11" s="14">
        <v>3</v>
      </c>
      <c r="E11" s="26"/>
      <c r="I11" s="15">
        <v>5</v>
      </c>
      <c r="J11" s="16">
        <v>5</v>
      </c>
      <c r="K11" s="16">
        <v>5</v>
      </c>
    </row>
    <row r="12" spans="1:16" ht="13">
      <c r="A12" s="12">
        <v>3189</v>
      </c>
      <c r="B12" s="13" t="s">
        <v>31</v>
      </c>
      <c r="C12" s="13">
        <v>37519</v>
      </c>
      <c r="E12" s="26"/>
      <c r="F12" s="14">
        <v>3</v>
      </c>
      <c r="I12" s="15">
        <v>3</v>
      </c>
      <c r="J12" s="16">
        <v>3</v>
      </c>
      <c r="K12" s="16">
        <v>4</v>
      </c>
    </row>
    <row r="13" spans="1:16" ht="13">
      <c r="A13" s="12">
        <v>3578</v>
      </c>
      <c r="B13" s="13" t="s">
        <v>32</v>
      </c>
      <c r="C13" s="13">
        <v>37519</v>
      </c>
      <c r="E13" s="26"/>
      <c r="F13" s="14">
        <v>2</v>
      </c>
      <c r="G13" s="14">
        <v>3</v>
      </c>
      <c r="I13" s="15">
        <v>2</v>
      </c>
      <c r="J13" s="16">
        <v>2</v>
      </c>
      <c r="K13" s="16">
        <v>3</v>
      </c>
    </row>
    <row r="14" spans="1:16" ht="13">
      <c r="A14" s="12">
        <v>3579</v>
      </c>
      <c r="B14" s="13" t="s">
        <v>33</v>
      </c>
      <c r="C14" s="13">
        <v>37526</v>
      </c>
      <c r="D14" s="14">
        <v>2</v>
      </c>
      <c r="E14" s="26"/>
      <c r="I14" s="15">
        <v>2</v>
      </c>
      <c r="J14" s="16">
        <v>3</v>
      </c>
      <c r="K14" s="16">
        <v>3</v>
      </c>
    </row>
    <row r="15" spans="1:16" ht="13">
      <c r="A15" s="12">
        <v>3582</v>
      </c>
      <c r="B15" s="13" t="s">
        <v>34</v>
      </c>
      <c r="C15" s="13">
        <v>37582</v>
      </c>
      <c r="D15" s="14">
        <v>3</v>
      </c>
      <c r="E15" s="26"/>
      <c r="I15" s="15">
        <v>3</v>
      </c>
      <c r="J15" s="16">
        <v>3</v>
      </c>
      <c r="K15" s="16">
        <v>3</v>
      </c>
    </row>
    <row r="16" spans="1:16" ht="13">
      <c r="A16" s="12">
        <v>3580</v>
      </c>
      <c r="B16" s="13" t="s">
        <v>35</v>
      </c>
      <c r="C16" s="13">
        <v>37589</v>
      </c>
      <c r="D16" s="14">
        <v>2</v>
      </c>
      <c r="E16" s="26"/>
      <c r="I16" s="15">
        <v>2</v>
      </c>
      <c r="J16" s="16">
        <v>3</v>
      </c>
      <c r="K16" s="16">
        <v>3</v>
      </c>
    </row>
    <row r="17" spans="1:11" ht="13">
      <c r="A17" s="12">
        <v>3581</v>
      </c>
      <c r="B17" s="13" t="s">
        <v>50</v>
      </c>
      <c r="C17" s="13">
        <v>37596</v>
      </c>
      <c r="D17" s="14">
        <v>3</v>
      </c>
      <c r="E17" s="26"/>
      <c r="I17" s="15">
        <v>3</v>
      </c>
      <c r="J17" s="16">
        <v>4</v>
      </c>
      <c r="K17" s="16">
        <v>3</v>
      </c>
    </row>
    <row r="18" spans="1:11" ht="13">
      <c r="A18" s="12">
        <v>3872</v>
      </c>
      <c r="B18" s="13" t="s">
        <v>51</v>
      </c>
      <c r="C18" s="13">
        <v>37610</v>
      </c>
      <c r="E18" s="26"/>
      <c r="F18" s="14">
        <v>3</v>
      </c>
      <c r="G18" s="14">
        <v>3</v>
      </c>
      <c r="I18" s="15">
        <v>2</v>
      </c>
      <c r="J18" s="16">
        <v>3</v>
      </c>
      <c r="K18" s="16">
        <v>4</v>
      </c>
    </row>
    <row r="19" spans="1:11">
      <c r="A19" s="12">
        <v>3870</v>
      </c>
      <c r="B19" s="13" t="s">
        <v>52</v>
      </c>
      <c r="C19" s="13">
        <v>37645</v>
      </c>
      <c r="G19" s="14">
        <v>2</v>
      </c>
      <c r="H19" s="14">
        <v>2</v>
      </c>
      <c r="I19" s="15">
        <v>2</v>
      </c>
      <c r="J19" s="16">
        <v>3</v>
      </c>
      <c r="K19" s="16">
        <v>3</v>
      </c>
    </row>
    <row r="20" spans="1:11">
      <c r="A20" s="12">
        <v>3869</v>
      </c>
      <c r="B20" s="13" t="s">
        <v>54</v>
      </c>
      <c r="C20" s="13">
        <v>37673</v>
      </c>
      <c r="D20" s="14">
        <v>3</v>
      </c>
      <c r="I20" s="15">
        <v>3</v>
      </c>
      <c r="J20" s="16">
        <v>3</v>
      </c>
      <c r="K20" s="16">
        <v>3</v>
      </c>
    </row>
    <row r="21" spans="1:11">
      <c r="A21" s="12">
        <v>3871</v>
      </c>
      <c r="B21" s="13" t="s">
        <v>55</v>
      </c>
      <c r="C21" s="13">
        <v>37673</v>
      </c>
      <c r="F21" s="14">
        <v>2</v>
      </c>
      <c r="G21" s="14">
        <v>3</v>
      </c>
      <c r="I21" s="15">
        <v>2</v>
      </c>
      <c r="J21" s="16">
        <v>2</v>
      </c>
      <c r="K21" s="16">
        <v>3</v>
      </c>
    </row>
    <row r="22" spans="1:11">
      <c r="A22" s="12">
        <v>3873</v>
      </c>
      <c r="B22" s="13" t="s">
        <v>56</v>
      </c>
      <c r="C22" s="13">
        <v>37701</v>
      </c>
      <c r="E22" s="14">
        <v>3</v>
      </c>
      <c r="F22" s="14">
        <v>3</v>
      </c>
      <c r="G22" s="14">
        <v>3</v>
      </c>
      <c r="I22" s="15">
        <v>2</v>
      </c>
      <c r="J22" s="16">
        <v>3</v>
      </c>
      <c r="K22" s="16">
        <v>3</v>
      </c>
    </row>
    <row r="23" spans="1:11">
      <c r="A23" s="12">
        <v>4357</v>
      </c>
      <c r="B23" s="13" t="s">
        <v>57</v>
      </c>
      <c r="C23" s="13">
        <v>37708</v>
      </c>
      <c r="D23" s="14">
        <v>3</v>
      </c>
      <c r="I23" s="15">
        <v>2</v>
      </c>
      <c r="J23" s="16">
        <v>2</v>
      </c>
      <c r="K23" s="16">
        <v>3</v>
      </c>
    </row>
    <row r="24" spans="1:11">
      <c r="A24" s="12">
        <v>4356</v>
      </c>
      <c r="B24" s="13" t="s">
        <v>58</v>
      </c>
      <c r="C24" s="13">
        <v>37728</v>
      </c>
      <c r="F24" s="14">
        <v>2</v>
      </c>
      <c r="G24" s="14">
        <v>2</v>
      </c>
      <c r="I24" s="15">
        <v>2</v>
      </c>
      <c r="J24" s="16">
        <v>3</v>
      </c>
      <c r="K24" s="16">
        <v>2</v>
      </c>
    </row>
    <row r="25" spans="1:11">
      <c r="A25" s="12">
        <v>4355</v>
      </c>
      <c r="B25" s="13" t="s">
        <v>59</v>
      </c>
      <c r="C25" s="13">
        <v>37728</v>
      </c>
      <c r="F25" s="14">
        <v>3</v>
      </c>
      <c r="G25" s="14">
        <v>3</v>
      </c>
      <c r="I25" s="15">
        <v>2</v>
      </c>
      <c r="J25" s="16">
        <v>2</v>
      </c>
      <c r="K25" s="16">
        <v>3</v>
      </c>
    </row>
    <row r="26" spans="1:11">
      <c r="A26" s="12">
        <v>4354</v>
      </c>
      <c r="B26" s="13" t="s">
        <v>60</v>
      </c>
      <c r="C26" s="13">
        <v>37757</v>
      </c>
      <c r="F26" s="14">
        <v>2</v>
      </c>
      <c r="I26" s="15">
        <v>3</v>
      </c>
      <c r="J26" s="16">
        <v>3</v>
      </c>
      <c r="K26" s="16">
        <v>3</v>
      </c>
    </row>
    <row r="27" spans="1:11">
      <c r="A27" s="12">
        <v>4358</v>
      </c>
      <c r="B27" s="13" t="s">
        <v>61</v>
      </c>
      <c r="C27" s="13">
        <v>37764</v>
      </c>
      <c r="D27" s="14">
        <v>4</v>
      </c>
      <c r="I27" s="15">
        <v>5</v>
      </c>
      <c r="J27" s="16">
        <v>4</v>
      </c>
      <c r="K27" s="16">
        <v>4</v>
      </c>
    </row>
    <row r="28" spans="1:11">
      <c r="A28" s="12">
        <v>4673</v>
      </c>
      <c r="B28" s="13" t="s">
        <v>62</v>
      </c>
      <c r="C28" s="13">
        <v>37785</v>
      </c>
      <c r="G28" s="14">
        <v>3</v>
      </c>
      <c r="H28" s="14">
        <v>3</v>
      </c>
      <c r="I28" s="15">
        <v>3</v>
      </c>
      <c r="J28" s="16">
        <v>3</v>
      </c>
      <c r="K28" s="16">
        <v>3</v>
      </c>
    </row>
    <row r="29" spans="1:11">
      <c r="A29" s="12">
        <v>4670</v>
      </c>
      <c r="B29" s="13" t="s">
        <v>63</v>
      </c>
      <c r="C29" s="13">
        <v>37785</v>
      </c>
      <c r="D29" s="14">
        <v>3</v>
      </c>
      <c r="I29" s="15">
        <v>3</v>
      </c>
      <c r="J29" s="16">
        <v>3</v>
      </c>
      <c r="K29" s="16">
        <v>4</v>
      </c>
    </row>
    <row r="30" spans="1:11">
      <c r="A30" s="12">
        <v>4953</v>
      </c>
      <c r="B30" s="13" t="s">
        <v>64</v>
      </c>
      <c r="C30" s="13">
        <v>37932</v>
      </c>
      <c r="G30" s="14">
        <v>3</v>
      </c>
      <c r="H30" s="14">
        <v>3</v>
      </c>
      <c r="I30" s="15">
        <v>3</v>
      </c>
      <c r="J30" s="16">
        <v>2</v>
      </c>
      <c r="K30" s="16">
        <v>3</v>
      </c>
    </row>
    <row r="31" spans="1:11">
      <c r="A31" s="12">
        <v>4919</v>
      </c>
      <c r="B31" s="13" t="s">
        <v>66</v>
      </c>
      <c r="C31" s="13">
        <v>37939</v>
      </c>
      <c r="G31" s="14">
        <v>3</v>
      </c>
      <c r="H31" s="14">
        <v>3</v>
      </c>
      <c r="I31" s="15">
        <v>3</v>
      </c>
      <c r="J31" s="16">
        <v>2</v>
      </c>
      <c r="K31" s="16">
        <v>3</v>
      </c>
    </row>
    <row r="32" spans="1:11">
      <c r="A32" s="12">
        <v>4920</v>
      </c>
      <c r="B32" s="13" t="s">
        <v>67</v>
      </c>
      <c r="C32" s="13">
        <v>37946</v>
      </c>
      <c r="G32" s="14">
        <v>3</v>
      </c>
      <c r="H32" s="14">
        <v>3</v>
      </c>
      <c r="I32" s="15">
        <v>2</v>
      </c>
      <c r="J32" s="16">
        <v>2</v>
      </c>
      <c r="K32" s="16">
        <v>3</v>
      </c>
    </row>
    <row r="33" spans="1:11">
      <c r="A33" s="12">
        <v>5196</v>
      </c>
      <c r="B33" s="13" t="s">
        <v>68</v>
      </c>
      <c r="C33" s="13">
        <v>37967</v>
      </c>
      <c r="G33" s="14">
        <v>3</v>
      </c>
      <c r="H33" s="14">
        <v>3</v>
      </c>
      <c r="I33" s="15">
        <v>2</v>
      </c>
      <c r="J33" s="16">
        <v>2</v>
      </c>
      <c r="K33" s="16">
        <v>3</v>
      </c>
    </row>
    <row r="34" spans="1:11">
      <c r="A34" s="12">
        <v>4921</v>
      </c>
      <c r="B34" s="13" t="s">
        <v>69</v>
      </c>
      <c r="C34" s="13">
        <v>37974</v>
      </c>
      <c r="D34" s="14">
        <v>3</v>
      </c>
      <c r="I34" s="15">
        <v>2</v>
      </c>
      <c r="J34" s="16">
        <v>2</v>
      </c>
      <c r="K34" s="16">
        <v>3</v>
      </c>
    </row>
    <row r="35" spans="1:11">
      <c r="I35"/>
    </row>
    <row r="36" spans="1:11">
      <c r="I36"/>
    </row>
    <row r="37" spans="1:11">
      <c r="I37"/>
    </row>
    <row r="38" spans="1:11">
      <c r="I38"/>
    </row>
    <row r="39" spans="1:11">
      <c r="I39"/>
    </row>
    <row r="40" spans="1:11">
      <c r="I40"/>
    </row>
    <row r="41" spans="1:11">
      <c r="I41"/>
    </row>
    <row r="42" spans="1:11">
      <c r="I42"/>
    </row>
    <row r="43" spans="1:11">
      <c r="I43"/>
    </row>
    <row r="44" spans="1:11">
      <c r="I44"/>
    </row>
    <row r="45" spans="1:11">
      <c r="I45"/>
    </row>
    <row r="46" spans="1:11">
      <c r="I46"/>
    </row>
    <row r="47" spans="1:11">
      <c r="I47"/>
    </row>
    <row r="48" spans="1:11">
      <c r="I48"/>
    </row>
    <row r="49" spans="4:9">
      <c r="I49"/>
    </row>
    <row r="50" spans="4:9">
      <c r="I50"/>
    </row>
    <row r="51" spans="4:9">
      <c r="I51"/>
    </row>
    <row r="52" spans="4:9">
      <c r="I52"/>
    </row>
    <row r="53" spans="4:9">
      <c r="I53"/>
    </row>
    <row r="54" spans="4:9">
      <c r="I54"/>
    </row>
    <row r="55" spans="4:9">
      <c r="I55"/>
    </row>
    <row r="56" spans="4:9">
      <c r="I56"/>
    </row>
    <row r="57" spans="4:9">
      <c r="I57"/>
    </row>
    <row r="58" spans="4:9">
      <c r="I58"/>
    </row>
    <row r="59" spans="4:9">
      <c r="I59"/>
    </row>
    <row r="60" spans="4:9">
      <c r="I60"/>
    </row>
    <row r="61" spans="4:9">
      <c r="I61"/>
    </row>
    <row r="62" spans="4:9">
      <c r="I62"/>
    </row>
    <row r="63" spans="4:9" ht="13">
      <c r="D63" s="17"/>
      <c r="E63" s="17"/>
      <c r="I63"/>
    </row>
    <row r="64" spans="4:9">
      <c r="I64"/>
    </row>
    <row r="65" spans="9:9">
      <c r="I65"/>
    </row>
    <row r="66" spans="9:9">
      <c r="I66"/>
    </row>
    <row r="67" spans="9:9">
      <c r="I67"/>
    </row>
    <row r="68" spans="9:9">
      <c r="I68"/>
    </row>
    <row r="69" spans="9:9">
      <c r="I69"/>
    </row>
    <row r="70" spans="9:9">
      <c r="I70"/>
    </row>
    <row r="71" spans="9:9">
      <c r="I71"/>
    </row>
    <row r="72" spans="9:9">
      <c r="I72"/>
    </row>
    <row r="73" spans="9:9">
      <c r="I73"/>
    </row>
    <row r="74" spans="9:9">
      <c r="I74"/>
    </row>
    <row r="75" spans="9:9">
      <c r="I75"/>
    </row>
    <row r="76" spans="9:9">
      <c r="I76"/>
    </row>
    <row r="77" spans="9:9">
      <c r="I77"/>
    </row>
    <row r="78" spans="9:9">
      <c r="I78"/>
    </row>
    <row r="79" spans="9:9">
      <c r="I79"/>
    </row>
    <row r="80" spans="9:9">
      <c r="I80"/>
    </row>
    <row r="81" spans="9:9">
      <c r="I81"/>
    </row>
    <row r="82" spans="9:9">
      <c r="I82"/>
    </row>
    <row r="83" spans="9:9">
      <c r="I83"/>
    </row>
    <row r="84" spans="9:9">
      <c r="I84"/>
    </row>
    <row r="85" spans="9:9">
      <c r="I85"/>
    </row>
    <row r="86" spans="9:9">
      <c r="I86"/>
    </row>
    <row r="87" spans="9:9">
      <c r="I87"/>
    </row>
    <row r="88" spans="9:9">
      <c r="I88"/>
    </row>
    <row r="89" spans="9:9">
      <c r="I89"/>
    </row>
    <row r="90" spans="9:9">
      <c r="I90"/>
    </row>
    <row r="91" spans="9:9">
      <c r="I91"/>
    </row>
    <row r="92" spans="9:9">
      <c r="I92"/>
    </row>
    <row r="93" spans="9:9">
      <c r="I93"/>
    </row>
    <row r="94" spans="9:9">
      <c r="I94"/>
    </row>
    <row r="95" spans="9:9">
      <c r="I95"/>
    </row>
    <row r="96" spans="9:9">
      <c r="I96"/>
    </row>
    <row r="97" spans="9:9">
      <c r="I97"/>
    </row>
    <row r="98" spans="9:9">
      <c r="I98"/>
    </row>
    <row r="99" spans="9:9">
      <c r="I99"/>
    </row>
    <row r="100" spans="9:9">
      <c r="I100"/>
    </row>
    <row r="101" spans="9:9">
      <c r="I101"/>
    </row>
    <row r="102" spans="9:9">
      <c r="I102"/>
    </row>
    <row r="103" spans="9:9">
      <c r="I103"/>
    </row>
    <row r="104" spans="9:9">
      <c r="I104"/>
    </row>
    <row r="105" spans="9:9">
      <c r="I105"/>
    </row>
    <row r="106" spans="9:9">
      <c r="I106"/>
    </row>
    <row r="107" spans="9:9">
      <c r="I107"/>
    </row>
    <row r="108" spans="9:9">
      <c r="I108"/>
    </row>
    <row r="109" spans="9:9">
      <c r="I109"/>
    </row>
    <row r="110" spans="9:9">
      <c r="I110"/>
    </row>
    <row r="111" spans="9:9">
      <c r="I111"/>
    </row>
    <row r="112" spans="9:9">
      <c r="I112"/>
    </row>
    <row r="113" spans="4:9">
      <c r="I113"/>
    </row>
    <row r="114" spans="4:9">
      <c r="I114"/>
    </row>
    <row r="115" spans="4:9">
      <c r="I115"/>
    </row>
    <row r="116" spans="4:9">
      <c r="I116"/>
    </row>
    <row r="117" spans="4:9">
      <c r="I117"/>
    </row>
    <row r="118" spans="4:9">
      <c r="I118"/>
    </row>
    <row r="119" spans="4:9">
      <c r="I119"/>
    </row>
    <row r="120" spans="4:9">
      <c r="I120"/>
    </row>
    <row r="121" spans="4:9" ht="13">
      <c r="D121" s="17"/>
      <c r="E121" s="17"/>
      <c r="F121" s="17"/>
      <c r="G121" s="17"/>
      <c r="H121" s="17"/>
      <c r="I121"/>
    </row>
    <row r="122" spans="4:9">
      <c r="I122"/>
    </row>
    <row r="123" spans="4:9">
      <c r="I123"/>
    </row>
    <row r="124" spans="4:9">
      <c r="I124"/>
    </row>
    <row r="125" spans="4:9">
      <c r="I125"/>
    </row>
    <row r="126" spans="4:9">
      <c r="I126"/>
    </row>
    <row r="127" spans="4:9">
      <c r="I127"/>
    </row>
    <row r="128" spans="4:9">
      <c r="I128"/>
    </row>
    <row r="129" spans="4:9">
      <c r="I129"/>
    </row>
    <row r="130" spans="4:9">
      <c r="I130"/>
    </row>
    <row r="131" spans="4:9">
      <c r="I131"/>
    </row>
    <row r="132" spans="4:9">
      <c r="I132"/>
    </row>
    <row r="133" spans="4:9">
      <c r="I133"/>
    </row>
    <row r="134" spans="4:9">
      <c r="I134"/>
    </row>
    <row r="135" spans="4:9">
      <c r="I135"/>
    </row>
    <row r="136" spans="4:9">
      <c r="I136"/>
    </row>
    <row r="137" spans="4:9">
      <c r="I137"/>
    </row>
    <row r="138" spans="4:9">
      <c r="I138"/>
    </row>
    <row r="139" spans="4:9">
      <c r="I139"/>
    </row>
    <row r="140" spans="4:9">
      <c r="I140"/>
    </row>
    <row r="141" spans="4:9" ht="13">
      <c r="D141" s="17"/>
      <c r="E141" s="17"/>
      <c r="I141"/>
    </row>
    <row r="142" spans="4:9">
      <c r="I142"/>
    </row>
    <row r="143" spans="4:9">
      <c r="I143"/>
    </row>
    <row r="144" spans="4:9">
      <c r="I144"/>
    </row>
    <row r="145" spans="9:9">
      <c r="I145"/>
    </row>
    <row r="146" spans="9:9">
      <c r="I146"/>
    </row>
    <row r="147" spans="9:9">
      <c r="I147"/>
    </row>
    <row r="148" spans="9:9">
      <c r="I148"/>
    </row>
    <row r="149" spans="9:9">
      <c r="I149"/>
    </row>
    <row r="150" spans="9:9">
      <c r="I150"/>
    </row>
    <row r="151" spans="9:9">
      <c r="I151"/>
    </row>
    <row r="152" spans="9:9">
      <c r="I152"/>
    </row>
    <row r="153" spans="9:9">
      <c r="I153"/>
    </row>
    <row r="154" spans="9:9">
      <c r="I154"/>
    </row>
    <row r="155" spans="9:9">
      <c r="I155"/>
    </row>
    <row r="156" spans="9:9">
      <c r="I156"/>
    </row>
    <row r="157" spans="9:9">
      <c r="I157"/>
    </row>
    <row r="158" spans="9:9">
      <c r="I158"/>
    </row>
    <row r="159" spans="9:9">
      <c r="I159"/>
    </row>
    <row r="160" spans="9:9">
      <c r="I160"/>
    </row>
    <row r="161" spans="9:9">
      <c r="I161"/>
    </row>
    <row r="162" spans="9:9">
      <c r="I162"/>
    </row>
    <row r="163" spans="9:9">
      <c r="I163"/>
    </row>
    <row r="164" spans="9:9">
      <c r="I164"/>
    </row>
    <row r="165" spans="9:9">
      <c r="I165"/>
    </row>
    <row r="166" spans="9:9">
      <c r="I166"/>
    </row>
    <row r="167" spans="9:9">
      <c r="I167"/>
    </row>
    <row r="168" spans="9:9">
      <c r="I168"/>
    </row>
    <row r="169" spans="9:9">
      <c r="I169"/>
    </row>
    <row r="170" spans="9:9">
      <c r="I170"/>
    </row>
    <row r="171" spans="9:9">
      <c r="I171"/>
    </row>
    <row r="172" spans="9:9">
      <c r="I172"/>
    </row>
    <row r="173" spans="9:9">
      <c r="I173"/>
    </row>
    <row r="174" spans="9:9">
      <c r="I174"/>
    </row>
    <row r="175" spans="9:9">
      <c r="I175"/>
    </row>
    <row r="176" spans="9:9">
      <c r="I176"/>
    </row>
    <row r="177" spans="9:9">
      <c r="I177"/>
    </row>
    <row r="178" spans="9:9">
      <c r="I178"/>
    </row>
    <row r="179" spans="9:9">
      <c r="I179"/>
    </row>
    <row r="180" spans="9:9">
      <c r="I180"/>
    </row>
    <row r="181" spans="9:9">
      <c r="I181"/>
    </row>
    <row r="182" spans="9:9">
      <c r="I182"/>
    </row>
    <row r="183" spans="9:9">
      <c r="I183"/>
    </row>
    <row r="184" spans="9:9">
      <c r="I184"/>
    </row>
    <row r="185" spans="9:9">
      <c r="I185"/>
    </row>
    <row r="186" spans="9:9">
      <c r="I186"/>
    </row>
    <row r="187" spans="9:9">
      <c r="I187"/>
    </row>
    <row r="188" spans="9:9">
      <c r="I188"/>
    </row>
    <row r="189" spans="9:9">
      <c r="I189"/>
    </row>
    <row r="190" spans="9:9">
      <c r="I190"/>
    </row>
    <row r="191" spans="9:9">
      <c r="I191"/>
    </row>
    <row r="192" spans="9:9">
      <c r="I192"/>
    </row>
    <row r="193" spans="9:9">
      <c r="I193"/>
    </row>
    <row r="194" spans="9:9">
      <c r="I194"/>
    </row>
    <row r="195" spans="9:9">
      <c r="I195"/>
    </row>
    <row r="196" spans="9:9">
      <c r="I196"/>
    </row>
    <row r="197" spans="9:9">
      <c r="I197"/>
    </row>
    <row r="198" spans="9:9">
      <c r="I198"/>
    </row>
    <row r="199" spans="9:9">
      <c r="I199"/>
    </row>
    <row r="200" spans="9:9">
      <c r="I200"/>
    </row>
    <row r="201" spans="9:9">
      <c r="I201"/>
    </row>
    <row r="202" spans="9:9">
      <c r="I202"/>
    </row>
    <row r="203" spans="9:9">
      <c r="I203"/>
    </row>
    <row r="204" spans="9:9">
      <c r="I204"/>
    </row>
    <row r="205" spans="9:9">
      <c r="I205"/>
    </row>
    <row r="206" spans="9:9">
      <c r="I206"/>
    </row>
    <row r="207" spans="9:9">
      <c r="I207"/>
    </row>
    <row r="208" spans="9:9">
      <c r="I208"/>
    </row>
    <row r="209" spans="9:9">
      <c r="I209"/>
    </row>
    <row r="210" spans="9:9">
      <c r="I210"/>
    </row>
    <row r="211" spans="9:9">
      <c r="I211"/>
    </row>
    <row r="212" spans="9:9">
      <c r="I212"/>
    </row>
    <row r="213" spans="9:9">
      <c r="I213"/>
    </row>
    <row r="214" spans="9:9">
      <c r="I214"/>
    </row>
    <row r="215" spans="9:9">
      <c r="I215"/>
    </row>
    <row r="216" spans="9:9">
      <c r="I216"/>
    </row>
    <row r="217" spans="9:9">
      <c r="I217"/>
    </row>
    <row r="218" spans="9:9">
      <c r="I218"/>
    </row>
    <row r="219" spans="9:9">
      <c r="I219"/>
    </row>
    <row r="220" spans="9:9">
      <c r="I220"/>
    </row>
    <row r="221" spans="9:9">
      <c r="I221"/>
    </row>
    <row r="222" spans="9:9">
      <c r="I222"/>
    </row>
    <row r="223" spans="9:9">
      <c r="I223"/>
    </row>
    <row r="224" spans="9:9">
      <c r="I224"/>
    </row>
    <row r="225" spans="9:9">
      <c r="I225"/>
    </row>
    <row r="226" spans="9:9">
      <c r="I226"/>
    </row>
    <row r="227" spans="9:9">
      <c r="I227"/>
    </row>
    <row r="228" spans="9:9">
      <c r="I228"/>
    </row>
    <row r="229" spans="9:9">
      <c r="I229"/>
    </row>
    <row r="230" spans="9:9">
      <c r="I230"/>
    </row>
    <row r="231" spans="9:9">
      <c r="I231"/>
    </row>
    <row r="232" spans="9:9">
      <c r="I232"/>
    </row>
    <row r="233" spans="9:9">
      <c r="I233"/>
    </row>
    <row r="234" spans="9:9">
      <c r="I234"/>
    </row>
    <row r="235" spans="9:9">
      <c r="I235"/>
    </row>
    <row r="236" spans="9:9">
      <c r="I236"/>
    </row>
    <row r="237" spans="9:9">
      <c r="I237"/>
    </row>
    <row r="238" spans="9:9">
      <c r="I238"/>
    </row>
    <row r="239" spans="9:9">
      <c r="I239"/>
    </row>
    <row r="240" spans="9:9">
      <c r="I240"/>
    </row>
    <row r="241" spans="9:9">
      <c r="I241"/>
    </row>
    <row r="242" spans="9:9">
      <c r="I242"/>
    </row>
    <row r="243" spans="9:9">
      <c r="I243"/>
    </row>
    <row r="244" spans="9:9">
      <c r="I244"/>
    </row>
    <row r="245" spans="9:9">
      <c r="I245"/>
    </row>
    <row r="246" spans="9:9">
      <c r="I246"/>
    </row>
    <row r="247" spans="9:9">
      <c r="I247"/>
    </row>
    <row r="248" spans="9:9">
      <c r="I248"/>
    </row>
    <row r="249" spans="9:9">
      <c r="I249"/>
    </row>
    <row r="250" spans="9:9">
      <c r="I250"/>
    </row>
    <row r="251" spans="9:9">
      <c r="I251"/>
    </row>
    <row r="252" spans="9:9">
      <c r="I252"/>
    </row>
    <row r="253" spans="9:9">
      <c r="I253"/>
    </row>
    <row r="254" spans="9:9">
      <c r="I254"/>
    </row>
    <row r="255" spans="9:9">
      <c r="I255"/>
    </row>
  </sheetData>
  <phoneticPr fontId="0" type="noConversion"/>
  <pageMargins left="0.36" right="0.33" top="0.51" bottom="0.48" header="0.5" footer="0.5"/>
  <pageSetup paperSize="9" scale="60" fitToHeight="10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7"/>
  <sheetViews>
    <sheetView workbookViewId="0">
      <selection activeCell="B24" sqref="B24"/>
    </sheetView>
  </sheetViews>
  <sheetFormatPr defaultRowHeight="12.5"/>
  <cols>
    <col min="1" max="1" width="41.453125" bestFit="1" customWidth="1"/>
  </cols>
  <sheetData>
    <row r="1" spans="1:8" s="2" customFormat="1" ht="17.5">
      <c r="A1" s="6" t="s">
        <v>18</v>
      </c>
      <c r="G1" s="7"/>
    </row>
    <row r="2" spans="1:8" ht="34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10" t="s">
        <v>12</v>
      </c>
    </row>
    <row r="3" spans="1:8" ht="13">
      <c r="A3" s="2" t="s">
        <v>19</v>
      </c>
      <c r="B3" s="1">
        <f>COUNTIF(List!$D$3:$D$4806,1)</f>
        <v>0</v>
      </c>
      <c r="C3" s="1">
        <f>COUNTIF(List!$D$3:$D$4806,2)</f>
        <v>3</v>
      </c>
      <c r="D3" s="1">
        <f>COUNTIF(List!$D$3:$D$4806,3)</f>
        <v>9</v>
      </c>
      <c r="E3" s="1">
        <f>COUNTIF(List!$D$3:$D$4806,4)</f>
        <v>1</v>
      </c>
      <c r="F3" s="1">
        <f>COUNTIF(List!$D$3:$D$4806,5)</f>
        <v>0</v>
      </c>
      <c r="G3" s="1">
        <f t="shared" ref="G3:G10" si="0">SUM(B3:F3)</f>
        <v>13</v>
      </c>
      <c r="H3" s="25"/>
    </row>
    <row r="4" spans="1:8" ht="13">
      <c r="A4" s="2" t="s">
        <v>2</v>
      </c>
      <c r="B4" s="1">
        <f>COUNTIF(List!$F$3:$F$4806,1)</f>
        <v>0</v>
      </c>
      <c r="C4" s="1">
        <f>COUNTIF(List!$F$3:$F$4806,2)</f>
        <v>6</v>
      </c>
      <c r="D4" s="1">
        <f>COUNTIF(List!$F$3:$F$4806,3)</f>
        <v>6</v>
      </c>
      <c r="E4" s="1">
        <f>COUNTIF(List!$F$3:$F$4806,4)</f>
        <v>0</v>
      </c>
      <c r="F4" s="1">
        <f>COUNTIF(List!$F$3:$F$4806,5)</f>
        <v>0</v>
      </c>
      <c r="G4" s="1">
        <f t="shared" si="0"/>
        <v>12</v>
      </c>
      <c r="H4" s="25"/>
    </row>
    <row r="5" spans="1:8" ht="13">
      <c r="A5" s="2" t="s">
        <v>26</v>
      </c>
      <c r="B5" s="1">
        <f>COUNTIF(List!$G$3:$G$4806,1)</f>
        <v>0</v>
      </c>
      <c r="C5" s="1">
        <f>COUNTIF(List!$G$3:$G$4806,2)</f>
        <v>2</v>
      </c>
      <c r="D5" s="1">
        <f>COUNTIF(List!$G$3:$G$4806,3)</f>
        <v>11</v>
      </c>
      <c r="E5" s="1">
        <f>COUNTIF(List!$G$3:$G$4806,4)</f>
        <v>2</v>
      </c>
      <c r="F5" s="1">
        <f>COUNTIF(List!$G$3:$G$4806,5)</f>
        <v>0</v>
      </c>
      <c r="G5" s="1">
        <f>SUM(B5:F5)</f>
        <v>15</v>
      </c>
      <c r="H5" s="25"/>
    </row>
    <row r="6" spans="1:8" ht="13">
      <c r="A6" s="2" t="s">
        <v>20</v>
      </c>
      <c r="B6" s="1">
        <f>COUNTIF(List!$H$3:$H$4806,1)</f>
        <v>0</v>
      </c>
      <c r="C6" s="1">
        <f>COUNTIF(List!$H$3:$H$4806,2)</f>
        <v>1</v>
      </c>
      <c r="D6" s="1">
        <f>COUNTIF(List!$H$3:$H$4806,3)</f>
        <v>6</v>
      </c>
      <c r="E6" s="1">
        <f>COUNTIF(List!$H$3:$H$4806,4)</f>
        <v>0</v>
      </c>
      <c r="F6" s="1">
        <f>COUNTIF(List!$H$3:$H$4806,5)</f>
        <v>0</v>
      </c>
      <c r="G6" s="1">
        <f t="shared" si="0"/>
        <v>7</v>
      </c>
      <c r="H6" s="25"/>
    </row>
    <row r="7" spans="1:8" ht="13">
      <c r="A7" s="3" t="s">
        <v>13</v>
      </c>
      <c r="B7" s="4">
        <f>SUM(B3:B6)</f>
        <v>0</v>
      </c>
      <c r="C7" s="4">
        <f>SUM(C3:C6)</f>
        <v>12</v>
      </c>
      <c r="D7" s="4">
        <f>SUM(D3:D6)</f>
        <v>32</v>
      </c>
      <c r="E7" s="4">
        <f>SUM(E3:E6)</f>
        <v>3</v>
      </c>
      <c r="F7" s="4">
        <f>SUM(F3:F6)</f>
        <v>0</v>
      </c>
      <c r="G7" s="4">
        <f t="shared" si="0"/>
        <v>47</v>
      </c>
      <c r="H7" s="25"/>
    </row>
    <row r="8" spans="1:8" ht="13">
      <c r="A8" s="11" t="s">
        <v>14</v>
      </c>
      <c r="B8" s="5">
        <f>COUNTIF(List!$I$3:$I$4806,1)</f>
        <v>0</v>
      </c>
      <c r="C8" s="5">
        <f>COUNTIF(List!$I$3:$I$4806,2)</f>
        <v>13</v>
      </c>
      <c r="D8" s="5">
        <f>COUNTIF(List!$I$3:$I$4806,3)</f>
        <v>13</v>
      </c>
      <c r="E8" s="5">
        <f>COUNTIF(List!$I$3:$I$4806,4)</f>
        <v>3</v>
      </c>
      <c r="F8" s="5">
        <f>COUNTIF(List!$I$3:$I$4806,5)</f>
        <v>3</v>
      </c>
      <c r="G8" s="5">
        <f t="shared" si="0"/>
        <v>32</v>
      </c>
      <c r="H8" s="25"/>
    </row>
    <row r="9" spans="1:8" ht="13">
      <c r="A9" s="2" t="s">
        <v>15</v>
      </c>
      <c r="B9" s="1">
        <f>COUNTIF(List!$J$3:$J$4806,1)</f>
        <v>0</v>
      </c>
      <c r="C9" s="1">
        <f>COUNTIF(List!$J$3:$J$4806,2)</f>
        <v>10</v>
      </c>
      <c r="D9" s="1">
        <f>COUNTIF(List!$J$3:$J$4806,3)</f>
        <v>16</v>
      </c>
      <c r="E9" s="1">
        <f>COUNTIF(List!$J$3:$J$4806,4)</f>
        <v>5</v>
      </c>
      <c r="F9" s="1">
        <f>COUNTIF(List!$J$3:$J$4806,5)</f>
        <v>1</v>
      </c>
      <c r="G9" s="1">
        <f t="shared" si="0"/>
        <v>32</v>
      </c>
      <c r="H9" s="25"/>
    </row>
    <row r="10" spans="1:8" ht="13">
      <c r="A10" s="2" t="s">
        <v>5</v>
      </c>
      <c r="B10" s="1">
        <f>COUNTIF(List!$K$3:$K$4806,1)</f>
        <v>0</v>
      </c>
      <c r="C10" s="1">
        <f>COUNTIF(List!$K$3:$K$4806,2)</f>
        <v>1</v>
      </c>
      <c r="D10" s="1">
        <f>COUNTIF(List!$K$3:$K$4806,3)</f>
        <v>21</v>
      </c>
      <c r="E10" s="1">
        <f>COUNTIF(List!$K$3:$K$4806,4)</f>
        <v>8</v>
      </c>
      <c r="F10" s="1">
        <f>COUNTIF(List!$K$3:$K$4806,5)</f>
        <v>2</v>
      </c>
      <c r="G10" s="1">
        <f t="shared" si="0"/>
        <v>32</v>
      </c>
      <c r="H10" s="25"/>
    </row>
    <row r="11" spans="1:8">
      <c r="H11" s="25"/>
    </row>
    <row r="12" spans="1:8">
      <c r="H12" s="25"/>
    </row>
    <row r="13" spans="1:8" ht="17.5">
      <c r="A13" s="6" t="s">
        <v>36</v>
      </c>
      <c r="H13" s="25"/>
    </row>
    <row r="14" spans="1:8" ht="13">
      <c r="B14" s="29" t="s">
        <v>37</v>
      </c>
      <c r="C14" s="29" t="s">
        <v>38</v>
      </c>
      <c r="H14" s="25"/>
    </row>
    <row r="15" spans="1:8" ht="13">
      <c r="A15" s="30" t="s">
        <v>39</v>
      </c>
      <c r="B15" s="31" t="e">
        <f t="array" ref="B15">(SUM(IF(List!#REF!="Partial",IF(List!#REF!="2Q01",1,0)))+SUM(IF(List!#REF!="Partial",IF(List!#REF!="2Q02",1,0)))+SUM(IF(List!#REF!="Partial",IF(List!#REF!="2Q03",1,0)))+SUM(IF(List!#REF!="Partial",IF(List!#REF!="2Q04",1,0))))/(COUNTIF(List!#REF!,"2Q01")+COUNTIF(List!#REF!,"2Q02")+COUNTIF(List!#REF!,"2Q03")+COUNTIF(List!#REF!,"2Q04"))</f>
        <v>#REF!</v>
      </c>
      <c r="C15" s="31" t="e">
        <f t="array" ref="C15">(SUM(IF(List!#REF!="Full",IF(List!#REF!="2Q01",1,0)))+SUM(IF(List!#REF!="Full",IF(List!#REF!="2Q02",1,0)))+SUM(IF(List!#REF!="Full",IF(List!#REF!="2Q03",1,0)))+SUM(IF(List!#REF!="Full",IF(List!#REF!="2Q04",1,0))))/(COUNTIF(List!#REF!,"2Q01")+COUNTIF(List!#REF!,"2Q02")+COUNTIF(List!#REF!,"2Q03")+COUNTIF(List!#REF!,"2Q04"))</f>
        <v>#REF!</v>
      </c>
    </row>
    <row r="16" spans="1:8">
      <c r="A16" s="32" t="s">
        <v>40</v>
      </c>
      <c r="B16" s="33" t="e">
        <f t="array" ref="B16">SUM(IF(List!#REF!="Partial",IF(List!#REF!="2Q01",1,0)))/COUNTIF(List!#REF!,"2Q01")</f>
        <v>#REF!</v>
      </c>
      <c r="C16" s="33" t="e">
        <f t="array" ref="C16">SUM(IF(List!#REF!="Full",IF(List!#REF!="2Q01",1,0)))/COUNTIF(List!#REF!,"2Q01")</f>
        <v>#REF!</v>
      </c>
    </row>
    <row r="17" spans="1:3">
      <c r="A17" s="32" t="s">
        <v>41</v>
      </c>
      <c r="B17" s="33" t="e">
        <f t="array" ref="B17">SUM(IF(List!#REF!="Partial",IF(List!#REF!="2Q02",1,0)))/COUNTIF(List!#REF!,"2Q02")</f>
        <v>#REF!</v>
      </c>
      <c r="C17" s="33" t="e">
        <f t="array" ref="C17">SUM(IF(List!#REF!="Full",IF(List!#REF!="2Q02",1,0)))/COUNTIF(List!#REF!,"2Q02")</f>
        <v>#REF!</v>
      </c>
    </row>
    <row r="18" spans="1:3">
      <c r="A18" s="32" t="s">
        <v>42</v>
      </c>
      <c r="B18" s="33" t="e">
        <f t="array" ref="B18">SUM(IF(List!#REF!="Partial",IF(List!#REF!="2Q03",1,0)))/COUNTIF(List!#REF!,"2Q03")</f>
        <v>#REF!</v>
      </c>
      <c r="C18" s="33" t="e">
        <f t="array" ref="C18">SUM(IF(List!#REF!="Full",IF(List!#REF!="2Q03",1,0)))/COUNTIF(List!#REF!,"2Q03")</f>
        <v>#REF!</v>
      </c>
    </row>
    <row r="19" spans="1:3">
      <c r="A19" s="32" t="s">
        <v>43</v>
      </c>
      <c r="B19" s="33" t="e">
        <f t="array" ref="B19">SUM(IF(List!#REF!="Partial",IF(List!#REF!="2Q04",1,0)))/COUNTIF(List!#REF!,"2Q04")</f>
        <v>#REF!</v>
      </c>
      <c r="C19" s="33" t="e">
        <f t="array" ref="C19">SUM(IF(List!#REF!="Full",IF(List!#REF!="2Q04",1,0)))/COUNTIF(List!#REF!,"2Q04")</f>
        <v>#REF!</v>
      </c>
    </row>
    <row r="20" spans="1:3">
      <c r="A20" s="32"/>
      <c r="B20" s="33"/>
      <c r="C20" s="33"/>
    </row>
    <row r="21" spans="1:3" ht="13">
      <c r="A21" s="30" t="s">
        <v>44</v>
      </c>
      <c r="B21" s="31" t="e">
        <f t="array" ref="B21">(SUM(IF(List!#REF!="Partial",IF(List!#REF!="3Q01",1,0)))+SUM(IF(List!#REF!="Partial",IF(List!#REF!="3Q02",1,0)))+SUM(IF(List!#REF!="Partial",IF(List!#REF!="3Q03",1,0)))+SUM(IF(List!#REF!="Partial",IF(List!#REF!="3Q04",1,0))))/(COUNTIF(List!#REF!,"3Q01")+COUNTIF(List!#REF!,"3Q02")+COUNTIF(List!#REF!,"3Q03")+COUNTIF(List!#REF!,"3Q04"))</f>
        <v>#REF!</v>
      </c>
      <c r="C21" s="31" t="e">
        <f t="array" ref="C21">(SUM(IF(List!#REF!="Full",IF(List!#REF!="3Q01",1,0)))+SUM(IF(List!#REF!="Full",IF(List!#REF!="3Q02",1,0)))+SUM(IF(List!#REF!="Full",IF(List!#REF!="3Q03",1,0)))+SUM(IF(List!#REF!="Full",IF(List!#REF!="3Q04",1,0))))/(COUNTIF(List!#REF!,"3Q01")+COUNTIF(List!#REF!,"3Q02")+COUNTIF(List!#REF!,"3Q03")+COUNTIF(List!#REF!,"3Q04"))</f>
        <v>#REF!</v>
      </c>
    </row>
    <row r="22" spans="1:3">
      <c r="A22" s="32" t="s">
        <v>45</v>
      </c>
      <c r="B22" s="33" t="e">
        <f t="array" ref="B22">SUM(IF(List!#REF!="Partial",IF(List!#REF!="3Q01",1,0)))/COUNTIF(List!#REF!,"3Q01")</f>
        <v>#REF!</v>
      </c>
      <c r="C22" s="33" t="e">
        <f t="array" ref="C22">SUM(IF(List!#REF!="Full",IF(List!#REF!="3Q01",1,0)))/COUNTIF(List!#REF!,"3Q01")</f>
        <v>#REF!</v>
      </c>
    </row>
    <row r="23" spans="1:3">
      <c r="A23" s="32" t="s">
        <v>46</v>
      </c>
      <c r="B23" s="33" t="s">
        <v>65</v>
      </c>
      <c r="C23" s="33" t="s">
        <v>65</v>
      </c>
    </row>
    <row r="24" spans="1:3">
      <c r="A24" s="32" t="s">
        <v>47</v>
      </c>
      <c r="B24" s="33" t="e">
        <f t="array" ref="B24">SUM(IF(List!#REF!="Partial",IF(List!#REF!="3Q03",1,0)))/COUNTIF(List!#REF!,"3Q03")</f>
        <v>#REF!</v>
      </c>
      <c r="C24" s="33" t="e">
        <f t="array" ref="C24">SUM(IF(List!#REF!="Full",IF(List!#REF!="3Q03",1,0)))/COUNTIF(List!#REF!,"3Q03")</f>
        <v>#REF!</v>
      </c>
    </row>
    <row r="25" spans="1:3">
      <c r="A25" s="32" t="s">
        <v>48</v>
      </c>
      <c r="B25" s="33">
        <v>0</v>
      </c>
      <c r="C25" s="33" t="e">
        <f>SUM(IF(List!#REF!="Full",IF(List!#REF!="2Q01",1,0)))/COUNTIF(List!#REF!,"2Q01")</f>
        <v>#REF!</v>
      </c>
    </row>
    <row r="26" spans="1:3">
      <c r="B26" s="34"/>
      <c r="C26" s="34"/>
    </row>
    <row r="27" spans="1:3" ht="13">
      <c r="A27" s="30" t="s">
        <v>49</v>
      </c>
      <c r="B27" s="31" t="e">
        <f>COUNTIF(List!#REF!,"Partial")/COUNTA(List!I3:I999)</f>
        <v>#REF!</v>
      </c>
      <c r="C27" s="31" t="e">
        <f>COUNTIF(List!#REF!,"Full")/COUNTA(List!I3:I999)</f>
        <v>#REF!</v>
      </c>
    </row>
  </sheetData>
  <phoneticPr fontId="0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List</vt:lpstr>
      <vt:lpstr>Summary</vt:lpstr>
      <vt:lpstr>List!Print_Area</vt:lpstr>
      <vt:lpstr>List!Print_Titles</vt:lpstr>
    </vt:vector>
  </TitlesOfParts>
  <Company>Training Standards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Authorised Users Only</dc:creator>
  <cp:lastModifiedBy>Carina Negreanu</cp:lastModifiedBy>
  <dcterms:created xsi:type="dcterms:W3CDTF">2001-06-28T11:21:12Z</dcterms:created>
  <dcterms:modified xsi:type="dcterms:W3CDTF">2020-01-27T12:00:09Z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-618588655</vt:i4>
  </property>
  <property fmtid="{D5CDD505-2E9C-101B-9397-08002B2CF9AE}" pid="3" name="_EmailSubject">
    <vt:lpwstr>Published Statistics</vt:lpwstr>
  </property>
  <property fmtid="{D5CDD505-2E9C-101B-9397-08002B2CF9AE}" pid="4" name="_AuthorEmail">
    <vt:lpwstr>Stephen.Howarth@ali.gov.uk</vt:lpwstr>
  </property>
  <property fmtid="{D5CDD505-2E9C-101B-9397-08002B2CF9AE}" pid="5" name="_AuthorEmailDisplayName">
    <vt:lpwstr>Stephen Howarth (ALI QA)</vt:lpwstr>
  </property>
  <property fmtid="{D5CDD505-2E9C-101B-9397-08002B2CF9AE}" pid="6" name="_ReviewingToolsShownOnce">
    <vt:lpwstr/>
  </property>
</Properties>
</file>