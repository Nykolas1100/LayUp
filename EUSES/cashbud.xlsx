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637A055-7C03-4E14-ABAB-47A98CC4037E}" xr6:coauthVersionLast="45" xr6:coauthVersionMax="45" xr10:uidLastSave="{00000000-0000-0000-0000-000000000000}"/>
  <bookViews>
    <workbookView xWindow="3420" yWindow="3420" windowWidth="28800" windowHeight="15460" tabRatio="28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cash">Sheet1!$B$14</definedName>
    <definedName name="collect1">Sheet1!$B$17</definedName>
    <definedName name="collect2">Sheet1!$B$18</definedName>
    <definedName name="collect3">Sheet1!$B$19</definedName>
    <definedName name="exp0">Sheet1!$B$41</definedName>
    <definedName name="_exp1">Sheet1!$B$42</definedName>
    <definedName name="_exp2">Sheet1!$B$43</definedName>
    <definedName name="exptotal">Sheet1!$B$39</definedName>
    <definedName name="_inv1">Sheet1!$B$24</definedName>
    <definedName name="_inv2">Sheet1!$B$25</definedName>
    <definedName name="_inv3">Sheet1!$B$26</definedName>
    <definedName name="invtotal">Sheet1!$B$22</definedName>
    <definedName name="pay0">Sheet1!$B$29</definedName>
    <definedName name="_pay1">Sheet1!$B$30</definedName>
    <definedName name="_pay2">Sheet1!$B$31</definedName>
    <definedName name="_pay3">Sheet1!$B$32</definedName>
    <definedName name="wage1">Sheet1!$B$36</definedName>
    <definedName name="wage2">Sheet1!$B$37</definedName>
    <definedName name="wagetot">Sheet1!$B$34</definedName>
    <definedName name="year">Sheet1!$B$13</definedName>
  </definedNames>
  <calcPr calcId="0"/>
</workbook>
</file>

<file path=xl/calcChain.xml><?xml version="1.0" encoding="utf-8"?>
<calcChain xmlns="http://schemas.openxmlformats.org/spreadsheetml/2006/main">
  <c r="M19" i="1" l="1"/>
  <c r="B20" i="1"/>
  <c r="M20" i="1"/>
  <c r="M21" i="1"/>
  <c r="B23" i="1"/>
  <c r="B35" i="1"/>
  <c r="B40" i="1"/>
  <c r="B47" i="1"/>
  <c r="E47" i="1"/>
  <c r="Q47" i="1"/>
  <c r="E51" i="1"/>
  <c r="F51" i="1"/>
  <c r="G51" i="1"/>
  <c r="H51" i="1"/>
  <c r="I51" i="1"/>
  <c r="J51" i="1"/>
  <c r="K51" i="1"/>
  <c r="L51" i="1"/>
  <c r="M51" i="1"/>
  <c r="N51" i="1"/>
  <c r="O51" i="1"/>
  <c r="P51" i="1"/>
  <c r="E52" i="1"/>
  <c r="F52" i="1"/>
  <c r="G52" i="1"/>
  <c r="H52" i="1"/>
  <c r="I52" i="1"/>
  <c r="J52" i="1"/>
  <c r="K52" i="1"/>
  <c r="L52" i="1"/>
  <c r="M52" i="1"/>
  <c r="N52" i="1"/>
  <c r="O52" i="1"/>
  <c r="P52" i="1"/>
  <c r="E53" i="1"/>
  <c r="F53" i="1"/>
  <c r="G53" i="1"/>
  <c r="H53" i="1"/>
  <c r="I53" i="1"/>
  <c r="J53" i="1"/>
  <c r="K53" i="1"/>
  <c r="L53" i="1"/>
  <c r="M53" i="1"/>
  <c r="N53" i="1"/>
  <c r="O53" i="1"/>
  <c r="P53" i="1"/>
  <c r="E54" i="1"/>
  <c r="F54" i="1"/>
  <c r="G54" i="1"/>
  <c r="H54" i="1"/>
  <c r="I54" i="1"/>
  <c r="J54" i="1"/>
  <c r="K54" i="1"/>
  <c r="L54" i="1"/>
  <c r="M54" i="1"/>
  <c r="N54" i="1"/>
  <c r="O54" i="1"/>
  <c r="P54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E63" i="1"/>
  <c r="F63" i="1"/>
  <c r="G63" i="1"/>
  <c r="H63" i="1"/>
  <c r="I63" i="1"/>
  <c r="J63" i="1"/>
  <c r="K63" i="1"/>
  <c r="L63" i="1"/>
  <c r="M63" i="1"/>
  <c r="N63" i="1"/>
  <c r="O63" i="1"/>
  <c r="P63" i="1"/>
  <c r="E64" i="1"/>
  <c r="F64" i="1"/>
  <c r="G64" i="1"/>
  <c r="H64" i="1"/>
  <c r="I64" i="1"/>
  <c r="J64" i="1"/>
  <c r="K64" i="1"/>
  <c r="L64" i="1"/>
  <c r="M64" i="1"/>
  <c r="N64" i="1"/>
  <c r="O64" i="1"/>
  <c r="P64" i="1"/>
  <c r="E65" i="1"/>
  <c r="F65" i="1"/>
  <c r="G65" i="1"/>
  <c r="H65" i="1"/>
  <c r="I65" i="1"/>
  <c r="J65" i="1"/>
  <c r="K65" i="1"/>
  <c r="L65" i="1"/>
  <c r="M65" i="1"/>
  <c r="N65" i="1"/>
  <c r="O65" i="1"/>
  <c r="P65" i="1"/>
  <c r="E66" i="1"/>
  <c r="F66" i="1"/>
  <c r="G66" i="1"/>
  <c r="H66" i="1"/>
  <c r="I66" i="1"/>
  <c r="J66" i="1"/>
  <c r="K66" i="1"/>
  <c r="L66" i="1"/>
  <c r="M66" i="1"/>
  <c r="N66" i="1"/>
  <c r="O66" i="1"/>
  <c r="P66" i="1"/>
  <c r="E67" i="1"/>
  <c r="F67" i="1"/>
  <c r="G67" i="1"/>
  <c r="H67" i="1"/>
  <c r="I67" i="1"/>
  <c r="J67" i="1"/>
  <c r="K67" i="1"/>
  <c r="L67" i="1"/>
  <c r="M67" i="1"/>
  <c r="N67" i="1"/>
  <c r="O67" i="1"/>
  <c r="P67" i="1"/>
  <c r="E70" i="1"/>
  <c r="F70" i="1"/>
  <c r="G70" i="1"/>
  <c r="H70" i="1"/>
  <c r="I70" i="1"/>
  <c r="J70" i="1"/>
  <c r="K70" i="1"/>
  <c r="L70" i="1"/>
  <c r="M70" i="1"/>
  <c r="N70" i="1"/>
  <c r="O70" i="1"/>
  <c r="P70" i="1"/>
  <c r="E71" i="1"/>
  <c r="F71" i="1"/>
  <c r="G71" i="1"/>
  <c r="H71" i="1"/>
  <c r="I71" i="1"/>
  <c r="J71" i="1"/>
  <c r="K71" i="1"/>
  <c r="L71" i="1"/>
  <c r="M71" i="1"/>
  <c r="N71" i="1"/>
  <c r="O71" i="1"/>
  <c r="P71" i="1"/>
  <c r="E72" i="1"/>
  <c r="F72" i="1"/>
  <c r="G72" i="1"/>
  <c r="H72" i="1"/>
  <c r="I72" i="1"/>
  <c r="J72" i="1"/>
  <c r="K72" i="1"/>
  <c r="L72" i="1"/>
  <c r="M72" i="1"/>
  <c r="N72" i="1"/>
  <c r="O72" i="1"/>
  <c r="P72" i="1"/>
  <c r="E75" i="1"/>
  <c r="F75" i="1"/>
  <c r="G75" i="1"/>
  <c r="H75" i="1"/>
  <c r="I75" i="1"/>
  <c r="J75" i="1"/>
  <c r="K75" i="1"/>
  <c r="L75" i="1"/>
  <c r="M75" i="1"/>
  <c r="N75" i="1"/>
  <c r="O75" i="1"/>
  <c r="P75" i="1"/>
  <c r="E76" i="1"/>
  <c r="F76" i="1"/>
  <c r="G76" i="1"/>
  <c r="H76" i="1"/>
  <c r="I76" i="1"/>
  <c r="J76" i="1"/>
  <c r="K76" i="1"/>
  <c r="L76" i="1"/>
  <c r="M76" i="1"/>
  <c r="N76" i="1"/>
  <c r="O76" i="1"/>
  <c r="P76" i="1"/>
  <c r="E77" i="1"/>
  <c r="F77" i="1"/>
  <c r="G77" i="1"/>
  <c r="H77" i="1"/>
  <c r="I77" i="1"/>
  <c r="J77" i="1"/>
  <c r="K77" i="1"/>
  <c r="L77" i="1"/>
  <c r="M77" i="1"/>
  <c r="N77" i="1"/>
  <c r="O77" i="1"/>
  <c r="P77" i="1"/>
  <c r="E78" i="1"/>
  <c r="F78" i="1"/>
  <c r="G78" i="1"/>
  <c r="H78" i="1"/>
  <c r="I78" i="1"/>
  <c r="J78" i="1"/>
  <c r="K78" i="1"/>
  <c r="L78" i="1"/>
  <c r="M78" i="1"/>
  <c r="N78" i="1"/>
  <c r="O78" i="1"/>
  <c r="P78" i="1"/>
  <c r="A82" i="1"/>
  <c r="E82" i="1"/>
  <c r="E84" i="1"/>
  <c r="F84" i="1"/>
  <c r="G84" i="1"/>
  <c r="H84" i="1"/>
  <c r="I84" i="1"/>
  <c r="J84" i="1"/>
  <c r="K84" i="1"/>
  <c r="L84" i="1"/>
  <c r="M84" i="1"/>
  <c r="N84" i="1"/>
  <c r="O84" i="1"/>
  <c r="P84" i="1"/>
  <c r="E85" i="1"/>
  <c r="F85" i="1"/>
  <c r="G85" i="1"/>
  <c r="H85" i="1"/>
  <c r="I85" i="1"/>
  <c r="J85" i="1"/>
  <c r="K85" i="1"/>
  <c r="L85" i="1"/>
  <c r="M85" i="1"/>
  <c r="N85" i="1"/>
  <c r="O85" i="1"/>
  <c r="P85" i="1"/>
  <c r="E86" i="1"/>
  <c r="F86" i="1"/>
  <c r="G86" i="1"/>
  <c r="H86" i="1"/>
  <c r="I86" i="1"/>
  <c r="J86" i="1"/>
  <c r="K86" i="1"/>
  <c r="L86" i="1"/>
  <c r="M86" i="1"/>
  <c r="N86" i="1"/>
  <c r="O86" i="1"/>
  <c r="P86" i="1"/>
  <c r="E87" i="1"/>
  <c r="F87" i="1"/>
  <c r="G87" i="1"/>
  <c r="H87" i="1"/>
  <c r="I87" i="1"/>
  <c r="J87" i="1"/>
  <c r="K87" i="1"/>
  <c r="L87" i="1"/>
  <c r="M87" i="1"/>
  <c r="N87" i="1"/>
  <c r="O87" i="1"/>
  <c r="P87" i="1"/>
  <c r="E88" i="1"/>
  <c r="F88" i="1"/>
  <c r="G88" i="1"/>
  <c r="H88" i="1"/>
  <c r="I88" i="1"/>
  <c r="J88" i="1"/>
  <c r="K88" i="1"/>
  <c r="L88" i="1"/>
  <c r="M88" i="1"/>
  <c r="N88" i="1"/>
  <c r="O88" i="1"/>
  <c r="P88" i="1"/>
  <c r="E93" i="1"/>
  <c r="F93" i="1"/>
  <c r="G93" i="1"/>
  <c r="H93" i="1"/>
  <c r="I93" i="1"/>
  <c r="J93" i="1"/>
  <c r="K93" i="1"/>
  <c r="L93" i="1"/>
  <c r="M93" i="1"/>
  <c r="N93" i="1"/>
  <c r="O93" i="1"/>
  <c r="P93" i="1"/>
  <c r="E95" i="1"/>
  <c r="F95" i="1"/>
  <c r="G95" i="1"/>
  <c r="H95" i="1"/>
  <c r="I95" i="1"/>
  <c r="J95" i="1"/>
  <c r="K95" i="1"/>
  <c r="L95" i="1"/>
  <c r="M95" i="1"/>
  <c r="N95" i="1"/>
  <c r="O95" i="1"/>
  <c r="P95" i="1"/>
  <c r="E96" i="1"/>
  <c r="F96" i="1"/>
  <c r="G96" i="1"/>
  <c r="H96" i="1"/>
  <c r="I96" i="1"/>
  <c r="J96" i="1"/>
  <c r="K96" i="1"/>
  <c r="L96" i="1"/>
  <c r="M96" i="1"/>
  <c r="N96" i="1"/>
  <c r="O96" i="1"/>
  <c r="P96" i="1"/>
</calcChain>
</file>

<file path=xl/sharedStrings.xml><?xml version="1.0" encoding="utf-8"?>
<sst xmlns="http://schemas.openxmlformats.org/spreadsheetml/2006/main" count="117" uniqueCount="85">
  <si>
    <t>Hickman, Hunter, Byrd,  Foundations of Corporate Finance.  Copyright 1996</t>
  </si>
  <si>
    <t>Cash Budgeting</t>
  </si>
  <si>
    <t>This sheet contains a template for estimating monthly cash flows for a calendar year.</t>
  </si>
  <si>
    <t>Instructions:</t>
  </si>
  <si>
    <t>1. Enter data in shaded cells</t>
  </si>
  <si>
    <t>2. Enter percentage values as decimals, e.g. 3% as .03.</t>
  </si>
  <si>
    <t>3. Fill in your estimates in the first section below.</t>
  </si>
  <si>
    <t>4. Fill in monthly sales where indicated.</t>
  </si>
  <si>
    <t>5. In the cash budget, fill in other expenses where indicated.</t>
  </si>
  <si>
    <t>Estimates of Collections and Sales-Related Payments</t>
  </si>
  <si>
    <t>Cash budget for year</t>
  </si>
  <si>
    <t>Beginning cash</t>
  </si>
  <si>
    <t>Cash balance at start of year</t>
  </si>
  <si>
    <t>Collections on Sales</t>
  </si>
  <si>
    <t xml:space="preserve">     % in first month</t>
  </si>
  <si>
    <t>Sales are collected in the following month.</t>
  </si>
  <si>
    <t xml:space="preserve">     % in second month</t>
  </si>
  <si>
    <t>Sales are collected two months following.</t>
  </si>
  <si>
    <t xml:space="preserve">     % in third month</t>
  </si>
  <si>
    <t>Sales are collected three months following.</t>
  </si>
  <si>
    <t>Your estimates indicate that</t>
  </si>
  <si>
    <t>of sales are uncollectable.</t>
  </si>
  <si>
    <t>Inventory purchases % of sales</t>
  </si>
  <si>
    <t xml:space="preserve">What proportion of the </t>
  </si>
  <si>
    <t>is purchased 1, 2, 3 months prior to sales?</t>
  </si>
  <si>
    <t xml:space="preserve">      one month</t>
  </si>
  <si>
    <t xml:space="preserve">      two months</t>
  </si>
  <si>
    <t xml:space="preserve">      three months</t>
  </si>
  <si>
    <t>Payment for inventory</t>
  </si>
  <si>
    <t xml:space="preserve">     % in current month</t>
  </si>
  <si>
    <t>Payment is made in the current month.</t>
  </si>
  <si>
    <t>Payment is made in the following month.</t>
  </si>
  <si>
    <t>Payment is made two months following.</t>
  </si>
  <si>
    <t>Payment is made three months following.</t>
  </si>
  <si>
    <t>Wages % of sales</t>
  </si>
  <si>
    <t>What proportion of the</t>
  </si>
  <si>
    <t>is tied to sales 1 and 2 months ahead?</t>
  </si>
  <si>
    <t xml:space="preserve">     % one month ahead</t>
  </si>
  <si>
    <t xml:space="preserve">     % two months ahead</t>
  </si>
  <si>
    <t>Other Sales-Related Expenses</t>
  </si>
  <si>
    <t xml:space="preserve">is tied to sales in current month, 1 month and 2 months ahead? </t>
  </si>
  <si>
    <t>Scheduling Sales Receipts and Sales-Related Payments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</si>
  <si>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</si>
  <si>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</si>
  <si>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</si>
  <si>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</si>
  <si>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</si>
  <si>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</si>
  <si>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</si>
  <si>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</si>
  <si>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</si>
  <si>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</si>
  <si>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</si>
  <si>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</si>
  <si>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Sales</t>
  </si>
  <si>
    <t xml:space="preserve">     first month</t>
  </si>
  <si>
    <t xml:space="preserve">     second month</t>
  </si>
  <si>
    <t xml:space="preserve">     third month</t>
  </si>
  <si>
    <t xml:space="preserve">          Total Receipts</t>
  </si>
  <si>
    <t>Inventory Purchases</t>
  </si>
  <si>
    <t xml:space="preserve">     one month ahead</t>
  </si>
  <si>
    <t xml:space="preserve">     two months ahead</t>
  </si>
  <si>
    <t xml:space="preserve">     three month ahead</t>
  </si>
  <si>
    <t xml:space="preserve">          Total Purchases</t>
  </si>
  <si>
    <t>Payments</t>
  </si>
  <si>
    <t xml:space="preserve">     in current month</t>
  </si>
  <si>
    <t xml:space="preserve">     in first month</t>
  </si>
  <si>
    <t xml:space="preserve">     in second month</t>
  </si>
  <si>
    <t xml:space="preserve">     in third month</t>
  </si>
  <si>
    <t xml:space="preserve">          Total Payments</t>
  </si>
  <si>
    <t>Wages</t>
  </si>
  <si>
    <t xml:space="preserve">          Total Wages</t>
  </si>
  <si>
    <t>Other Sales-Related Exp.</t>
  </si>
  <si>
    <t xml:space="preserve">          Total Other Exp.</t>
  </si>
  <si>
    <t>Cash Budget</t>
  </si>
  <si>
    <t>Sales Receipts</t>
  </si>
  <si>
    <t>Inventory Payments</t>
  </si>
  <si>
    <t>Other Expenses</t>
  </si>
  <si>
    <t>Net Operating Cash Flow</t>
  </si>
  <si>
    <t>Capital Expenditures</t>
  </si>
  <si>
    <t>Dividends</t>
  </si>
  <si>
    <t>Taxes</t>
  </si>
  <si>
    <t>Net Cash Flow</t>
  </si>
  <si>
    <t>Beginning Cash</t>
  </si>
  <si>
    <t>Ending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</si>
</sst>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_);\(&quot;$&quot;#,##0\)"/>
    <numFmt numFmtId="170" formatCode="_(&quot;$&quot;* #,##0.00_);_(&quot;$&quot;* \(#,##0.00\);_(&quot;$&quot;* &quot;-&quot;??_);_(@_)"/>
    <numFmt numFmtId="172" formatCode="_(&quot;$&quot;* #,##0_);_(&quot;$&quot;* \(#,##0\);_(&quot;$&quot;* &quot;-&quot;??_);_(@_)"/>
    <numFmt numFmtId="173" formatCode="_(&quot;$&quot;* #,##0.0_);_(&quot;$&quot;* \(#,##0.0\);_(&quot;$&quot;* &quot;-&quot;??_);_(@_)"/>
  </numFmts>
  <fonts count="11" x14ac:knownFonts="1">
    <font>
      <sz val="10"/>
      <name val="Arial"/>
    </font>
    <font>
      <b/>
      <sz val="10"/>
      <name val="Arial"/>
    </font>
    <font>
      <sz val="10"/>
      <name val="Arial"/>
    </font>
    <font>
      <b/>
      <sz val="14"/>
      <name val="Arial"/>
      <family val="2"/>
    </font>
    <font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2"/>
      <name val="Arial"/>
    </font>
    <font>
      <b/>
      <sz val="12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/>
    <xf numFmtId="173" fontId="0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73" fontId="0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1" applyNumberFormat="1" applyFont="1" applyAlignment="1">
      <alignment horizontal="left"/>
    </xf>
    <xf numFmtId="172" fontId="0" fillId="0" borderId="0" xfId="1" applyNumberFormat="1" applyFont="1" applyAlignment="1">
      <alignment horizontal="center"/>
    </xf>
    <xf numFmtId="49" fontId="6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72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9" fontId="0" fillId="0" borderId="0" xfId="2" applyFont="1"/>
    <xf numFmtId="0" fontId="6" fillId="0" borderId="0" xfId="0" applyFont="1" applyBorder="1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1" fillId="0" borderId="0" xfId="0" applyFont="1"/>
    <xf numFmtId="0" fontId="8" fillId="0" borderId="0" xfId="0" applyFont="1"/>
    <xf numFmtId="0" fontId="0" fillId="0" borderId="0" xfId="0" applyBorder="1" applyAlignment="1">
      <alignment horizontal="right"/>
    </xf>
    <xf numFmtId="9" fontId="0" fillId="0" borderId="0" xfId="2" applyNumberFormat="1" applyFont="1" applyAlignment="1">
      <alignment horizontal="center"/>
    </xf>
    <xf numFmtId="0" fontId="9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1" xfId="0" applyBorder="1"/>
    <xf numFmtId="0" fontId="0" fillId="0" borderId="0" xfId="0" applyAlignment="1">
      <alignment horizontal="right"/>
    </xf>
    <xf numFmtId="9" fontId="0" fillId="0" borderId="0" xfId="2" applyFont="1" applyFill="1" applyAlignment="1">
      <alignment horizontal="right"/>
    </xf>
    <xf numFmtId="0" fontId="6" fillId="0" borderId="0" xfId="0" applyFont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center"/>
    </xf>
    <xf numFmtId="9" fontId="0" fillId="0" borderId="2" xfId="2" applyFont="1" applyBorder="1"/>
    <xf numFmtId="9" fontId="0" fillId="0" borderId="1" xfId="2" applyFont="1" applyBorder="1"/>
    <xf numFmtId="164" fontId="0" fillId="0" borderId="0" xfId="1" applyNumberFormat="1" applyFont="1" applyBorder="1" applyAlignment="1">
      <alignment horizontal="center"/>
    </xf>
    <xf numFmtId="164" fontId="5" fillId="0" borderId="0" xfId="1" applyNumberFormat="1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0" borderId="2" xfId="0" applyNumberFormat="1" applyBorder="1"/>
    <xf numFmtId="164" fontId="0" fillId="0" borderId="0" xfId="0" applyNumberFormat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3" fontId="0" fillId="0" borderId="1" xfId="1" applyNumberFormat="1" applyFont="1" applyBorder="1" applyAlignment="1">
      <alignment horizontal="center"/>
    </xf>
    <xf numFmtId="0" fontId="8" fillId="0" borderId="0" xfId="0" applyFont="1" applyAlignment="1">
      <alignment horizontal="left"/>
    </xf>
    <xf numFmtId="0" fontId="10" fillId="0" borderId="1" xfId="0" applyFont="1" applyBorder="1"/>
    <xf numFmtId="0" fontId="0" fillId="2" borderId="0" xfId="0" applyFill="1" applyProtection="1">
      <protection locked="0"/>
    </xf>
    <xf numFmtId="164" fontId="0" fillId="2" borderId="0" xfId="0" applyNumberFormat="1" applyFill="1" applyProtection="1">
      <protection locked="0"/>
    </xf>
    <xf numFmtId="9" fontId="0" fillId="2" borderId="0" xfId="2" applyNumberFormat="1" applyFont="1" applyFill="1" applyProtection="1">
      <protection locked="0"/>
    </xf>
    <xf numFmtId="9" fontId="0" fillId="2" borderId="0" xfId="2" applyFont="1" applyFill="1" applyProtection="1">
      <protection locked="0"/>
    </xf>
    <xf numFmtId="164" fontId="0" fillId="2" borderId="0" xfId="1" applyNumberFormat="1" applyFont="1" applyFill="1" applyAlignment="1" applyProtection="1">
      <alignment horizontal="center"/>
      <protection locked="0"/>
    </xf>
    <xf numFmtId="164" fontId="0" fillId="2" borderId="0" xfId="0" applyNumberFormat="1" applyFill="1" applyAlignment="1" applyProtection="1">
      <alignment horizontal="center"/>
      <protection locked="0"/>
    </xf>
    <xf numFmtId="164" fontId="0" fillId="2" borderId="2" xfId="1" applyNumberFormat="1" applyFont="1" applyFill="1" applyBorder="1" applyAlignment="1" applyProtection="1">
      <alignment horizontal="center"/>
      <protection locked="0"/>
    </xf>
    <xf numFmtId="164" fontId="0" fillId="2" borderId="2" xfId="0" applyNumberFormat="1" applyFill="1" applyBorder="1" applyProtection="1"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"/>
  <sheetViews>
    <sheetView showGridLines="0" tabSelected="1" workbookViewId="0"/>
  </sheetViews>
  <sheetFormatPr defaultRowHeight="12.5" x14ac:dyDescent="0.25"/>
  <cols>
    <col min="1" max="1" width="26.453125" customWidth="1"/>
    <col min="2" max="20" width="9.1796875" customWidth="1"/>
  </cols>
  <sheetData>
    <row r="1" spans="1:7" ht="13" thickBot="1" x14ac:dyDescent="0.3">
      <c r="A1" s="45" t="s">
        <v>0</v>
      </c>
      <c r="B1" s="27"/>
      <c r="C1" s="27"/>
      <c r="D1" s="27"/>
      <c r="E1" s="27"/>
      <c r="F1" s="27"/>
      <c r="G1" s="27"/>
    </row>
    <row r="2" spans="1:7" ht="18" x14ac:dyDescent="0.4">
      <c r="A2" s="1" t="s">
        <v>1</v>
      </c>
    </row>
    <row r="3" spans="1:7" ht="14" x14ac:dyDescent="0.3">
      <c r="A3" s="19" t="s">
        <v>2</v>
      </c>
    </row>
    <row r="5" spans="1:7" ht="13" customHeight="1" x14ac:dyDescent="0.3">
      <c r="A5" s="20" t="s">
        <v>3</v>
      </c>
    </row>
    <row r="6" spans="1:7" ht="13" customHeight="1" x14ac:dyDescent="0.25">
      <c r="A6" t="s">
        <v>4</v>
      </c>
    </row>
    <row r="7" spans="1:7" ht="13" customHeight="1" x14ac:dyDescent="0.25">
      <c r="A7" s="4" t="s">
        <v>5</v>
      </c>
    </row>
    <row r="8" spans="1:7" ht="13" customHeight="1" x14ac:dyDescent="0.25">
      <c r="A8" t="s">
        <v>6</v>
      </c>
    </row>
    <row r="9" spans="1:7" ht="13" customHeight="1" x14ac:dyDescent="0.25">
      <c r="A9" t="s">
        <v>7</v>
      </c>
    </row>
    <row r="10" spans="1:7" ht="13" customHeight="1" x14ac:dyDescent="0.25">
      <c r="A10" t="s">
        <v>8</v>
      </c>
      <c r="B10" s="4"/>
      <c r="C10" s="4"/>
      <c r="D10" s="4"/>
      <c r="E10" s="4"/>
    </row>
    <row r="11" spans="1:7" ht="13" customHeight="1" thickBot="1" x14ac:dyDescent="0.3">
      <c r="A11" s="27"/>
      <c r="B11" s="27"/>
      <c r="C11" s="27"/>
      <c r="D11" s="27"/>
      <c r="E11" s="27"/>
    </row>
    <row r="12" spans="1:7" ht="15.5" x14ac:dyDescent="0.35">
      <c r="A12" s="21" t="s">
        <v>9</v>
      </c>
    </row>
    <row r="13" spans="1:7" ht="15" customHeight="1" x14ac:dyDescent="0.25">
      <c r="A13" t="s">
        <v>10</v>
      </c>
      <c r="B13" s="46"/>
    </row>
    <row r="14" spans="1:7" ht="15" customHeight="1" x14ac:dyDescent="0.25">
      <c r="A14" t="s">
        <v>11</v>
      </c>
      <c r="B14" s="47"/>
      <c r="C14" t="s">
        <v>12</v>
      </c>
    </row>
    <row r="15" spans="1:7" ht="15" customHeight="1" x14ac:dyDescent="0.25">
      <c r="A15" s="31"/>
      <c r="B15" s="31"/>
      <c r="C15" s="31"/>
      <c r="D15" s="31"/>
      <c r="E15" s="31"/>
      <c r="F15" s="31"/>
    </row>
    <row r="16" spans="1:7" ht="15" customHeight="1" x14ac:dyDescent="0.25">
      <c r="A16" s="4" t="s">
        <v>13</v>
      </c>
    </row>
    <row r="17" spans="1:13" ht="15" customHeight="1" x14ac:dyDescent="0.25">
      <c r="A17" s="4" t="s">
        <v>14</v>
      </c>
      <c r="B17" s="48"/>
      <c r="C17" t="s">
        <v>15</v>
      </c>
    </row>
    <row r="18" spans="1:13" ht="15" customHeight="1" x14ac:dyDescent="0.25">
      <c r="A18" s="4" t="s">
        <v>16</v>
      </c>
      <c r="B18" s="48"/>
      <c r="C18" t="s">
        <v>17</v>
      </c>
    </row>
    <row r="19" spans="1:13" ht="15" customHeight="1" x14ac:dyDescent="0.25">
      <c r="A19" s="4" t="s">
        <v>18</v>
      </c>
      <c r="B19" s="48"/>
      <c r="C19" t="s">
        <v>19</v>
      </c>
      <c r="L19">
        <v>1</v>
      </c>
      <c r="M19">
        <f>invtotal</f>
        <v>0</v>
      </c>
    </row>
    <row r="20" spans="1:13" ht="15" customHeight="1" x14ac:dyDescent="0.25">
      <c r="A20" s="22" t="s">
        <v>20</v>
      </c>
      <c r="B20" s="23">
        <f>1-SUM(B17:B19)</f>
        <v>1</v>
      </c>
      <c r="C20" t="s">
        <v>21</v>
      </c>
      <c r="L20">
        <v>2</v>
      </c>
      <c r="M20">
        <f t="shared" ref="M20:M21" si="0">invtotal</f>
        <v>0</v>
      </c>
    </row>
    <row r="21" spans="1:13" ht="15" customHeight="1" x14ac:dyDescent="0.25">
      <c r="A21" s="31"/>
      <c r="B21" s="32"/>
      <c r="C21" s="31"/>
      <c r="D21" s="31"/>
      <c r="E21" s="31"/>
      <c r="F21" s="31"/>
      <c r="L21">
        <v>3</v>
      </c>
      <c r="M21">
        <f t="shared" si="0"/>
        <v>0</v>
      </c>
    </row>
    <row r="22" spans="1:13" ht="15" customHeight="1" x14ac:dyDescent="0.25">
      <c r="A22" t="s">
        <v>22</v>
      </c>
      <c r="B22" s="49"/>
    </row>
    <row r="23" spans="1:13" ht="15" customHeight="1" x14ac:dyDescent="0.25">
      <c r="A23" s="28" t="s">
        <v>23</v>
      </c>
      <c r="B23" s="29">
        <f>invtotal</f>
        <v>0</v>
      </c>
      <c r="C23" t="s">
        <v>24</v>
      </c>
    </row>
    <row r="24" spans="1:13" ht="15" customHeight="1" x14ac:dyDescent="0.25">
      <c r="A24" s="12" t="s">
        <v>25</v>
      </c>
      <c r="B24" s="49"/>
    </row>
    <row r="25" spans="1:13" ht="15" customHeight="1" x14ac:dyDescent="0.25">
      <c r="A25" s="12" t="s">
        <v>26</v>
      </c>
      <c r="B25" s="49"/>
    </row>
    <row r="26" spans="1:13" ht="15" customHeight="1" x14ac:dyDescent="0.25">
      <c r="A26" s="12" t="s">
        <v>27</v>
      </c>
      <c r="B26" s="49"/>
    </row>
    <row r="27" spans="1:13" ht="15" customHeight="1" x14ac:dyDescent="0.25">
      <c r="A27" s="31"/>
      <c r="B27" s="33"/>
      <c r="C27" s="31"/>
      <c r="D27" s="31"/>
      <c r="E27" s="31"/>
      <c r="F27" s="31"/>
    </row>
    <row r="28" spans="1:13" ht="15" customHeight="1" x14ac:dyDescent="0.25">
      <c r="A28" t="s">
        <v>28</v>
      </c>
      <c r="B28" s="15"/>
    </row>
    <row r="29" spans="1:13" ht="15" customHeight="1" x14ac:dyDescent="0.25">
      <c r="A29" t="s">
        <v>29</v>
      </c>
      <c r="B29" s="49"/>
      <c r="C29" t="s">
        <v>30</v>
      </c>
    </row>
    <row r="30" spans="1:13" ht="15" customHeight="1" x14ac:dyDescent="0.25">
      <c r="A30" s="4" t="s">
        <v>14</v>
      </c>
      <c r="B30" s="49"/>
      <c r="C30" t="s">
        <v>31</v>
      </c>
    </row>
    <row r="31" spans="1:13" ht="15" customHeight="1" x14ac:dyDescent="0.25">
      <c r="A31" s="4" t="s">
        <v>16</v>
      </c>
      <c r="B31" s="49"/>
      <c r="C31" t="s">
        <v>32</v>
      </c>
    </row>
    <row r="32" spans="1:13" ht="15" customHeight="1" x14ac:dyDescent="0.25">
      <c r="A32" s="4" t="s">
        <v>18</v>
      </c>
      <c r="B32" s="49"/>
      <c r="C32" t="s">
        <v>33</v>
      </c>
    </row>
    <row r="33" spans="1:20" ht="15" customHeight="1" x14ac:dyDescent="0.25">
      <c r="A33" s="31"/>
      <c r="B33" s="33"/>
      <c r="C33" s="31"/>
      <c r="D33" s="31"/>
      <c r="E33" s="31"/>
      <c r="F33" s="31"/>
    </row>
    <row r="34" spans="1:20" ht="15" customHeight="1" x14ac:dyDescent="0.25">
      <c r="A34" t="s">
        <v>34</v>
      </c>
      <c r="B34" s="49"/>
    </row>
    <row r="35" spans="1:20" ht="15" customHeight="1" x14ac:dyDescent="0.25">
      <c r="A35" s="28" t="s">
        <v>35</v>
      </c>
      <c r="B35" s="15">
        <f>wagetot</f>
        <v>0</v>
      </c>
      <c r="C35" t="s">
        <v>36</v>
      </c>
    </row>
    <row r="36" spans="1:20" ht="15" customHeight="1" x14ac:dyDescent="0.25">
      <c r="A36" t="s">
        <v>37</v>
      </c>
      <c r="B36" s="49"/>
    </row>
    <row r="37" spans="1:20" ht="15" customHeight="1" x14ac:dyDescent="0.25">
      <c r="A37" t="s">
        <v>38</v>
      </c>
      <c r="B37" s="49"/>
    </row>
    <row r="38" spans="1:20" ht="15" customHeight="1" x14ac:dyDescent="0.25">
      <c r="A38" s="31"/>
      <c r="B38" s="33"/>
      <c r="C38" s="31"/>
      <c r="D38" s="31"/>
      <c r="E38" s="31"/>
      <c r="F38" s="31"/>
    </row>
    <row r="39" spans="1:20" ht="15" customHeight="1" x14ac:dyDescent="0.25">
      <c r="A39" s="17" t="s">
        <v>39</v>
      </c>
      <c r="B39" s="49"/>
    </row>
    <row r="40" spans="1:20" ht="15" customHeight="1" x14ac:dyDescent="0.25">
      <c r="A40" s="30" t="s">
        <v>35</v>
      </c>
      <c r="B40" s="15">
        <f>exptotal</f>
        <v>0</v>
      </c>
      <c r="C40" t="s">
        <v>40</v>
      </c>
    </row>
    <row r="41" spans="1:20" ht="15" customHeight="1" x14ac:dyDescent="0.25">
      <c r="A41" t="s">
        <v>29</v>
      </c>
      <c r="B41" s="49"/>
    </row>
    <row r="42" spans="1:20" ht="15" customHeight="1" x14ac:dyDescent="0.25">
      <c r="A42" t="s">
        <v>37</v>
      </c>
      <c r="B42" s="49"/>
    </row>
    <row r="43" spans="1:20" ht="15" customHeight="1" x14ac:dyDescent="0.25">
      <c r="A43" t="s">
        <v>38</v>
      </c>
      <c r="B43" s="49"/>
    </row>
    <row r="44" spans="1:20" ht="15" customHeight="1" thickBot="1" x14ac:dyDescent="0.3">
      <c r="A44" s="27"/>
      <c r="B44" s="34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</row>
    <row r="45" spans="1:20" ht="15.5" x14ac:dyDescent="0.35">
      <c r="A45" s="24" t="s">
        <v>41</v>
      </c>
      <c r="B45" s="15"/>
    </row>
    <row r="46" spans="1:20" ht="15" customHeight="1" x14ac:dyDescent="0.25"/>
    <row r="47" spans="1:20" ht="15" customHeight="1" x14ac:dyDescent="0.3">
      <c r="A47" s="2"/>
      <c r="B47" s="3">
        <f>year-1</f>
        <v>-1</v>
      </c>
      <c r="C47" s="3"/>
      <c r="D47" s="3"/>
      <c r="E47" s="3">
        <f>year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>
        <f>year+1</f>
        <v>1</v>
      </c>
      <c r="R47" s="3"/>
    </row>
    <row r="48" spans="1:20" ht="15" customHeight="1" x14ac:dyDescent="0.25">
      <c r="A48" s="4"/>
      <c r="B48" s="3" t="s">
        <v>42</v>
      </c>
      <c r="C48" s="3" t="s">
        <v>43</v>
      </c>
      <c r="D48" s="3" t="s">
        <v>44</v>
      </c>
      <c r="E48" s="3" t="s">
        <v>45</v>
      </c>
      <c r="F48" s="3" t="s">
        <v>46</v>
      </c>
      <c r="G48" s="3" t="s">
        <v>47</v>
      </c>
      <c r="H48" s="3" t="s">
        <v>48</v>
      </c>
      <c r="I48" s="3" t="s">
        <v>49</v>
      </c>
      <c r="J48" s="3" t="s">
        <v>50</v>
      </c>
      <c r="K48" s="3" t="s">
        <v>51</v>
      </c>
      <c r="L48" s="3" t="s">
        <v>52</v>
      </c>
      <c r="M48" s="3" t="s">
        <v>53</v>
      </c>
      <c r="N48" s="3" t="s">
        <v>42</v>
      </c>
      <c r="O48" s="3" t="s">
        <v>43</v>
      </c>
      <c r="P48" s="3" t="s">
        <v>44</v>
      </c>
      <c r="Q48" s="3" t="s">
        <v>45</v>
      </c>
      <c r="R48" s="3" t="s">
        <v>46</v>
      </c>
      <c r="S48" s="3" t="s">
        <v>47</v>
      </c>
    </row>
    <row r="49" spans="1:19" ht="15" customHeight="1" x14ac:dyDescent="0.25">
      <c r="A49" s="31" t="s">
        <v>54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3"/>
    </row>
    <row r="50" spans="1:19" ht="15" customHeight="1" x14ac:dyDescent="0.25">
      <c r="A50" s="4" t="s">
        <v>13</v>
      </c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</row>
    <row r="51" spans="1:19" ht="15" customHeight="1" x14ac:dyDescent="0.25">
      <c r="A51" s="4" t="s">
        <v>55</v>
      </c>
      <c r="B51" s="35"/>
      <c r="C51" s="35"/>
      <c r="D51" s="35"/>
      <c r="E51" s="35">
        <f t="shared" ref="E51:P51" si="1">D49*collect1</f>
        <v>0</v>
      </c>
      <c r="F51" s="35">
        <f t="shared" si="1"/>
        <v>0</v>
      </c>
      <c r="G51" s="35">
        <f t="shared" si="1"/>
        <v>0</v>
      </c>
      <c r="H51" s="35">
        <f t="shared" si="1"/>
        <v>0</v>
      </c>
      <c r="I51" s="35">
        <f t="shared" si="1"/>
        <v>0</v>
      </c>
      <c r="J51" s="35">
        <f t="shared" si="1"/>
        <v>0</v>
      </c>
      <c r="K51" s="35">
        <f t="shared" si="1"/>
        <v>0</v>
      </c>
      <c r="L51" s="35">
        <f t="shared" si="1"/>
        <v>0</v>
      </c>
      <c r="M51" s="35">
        <f t="shared" si="1"/>
        <v>0</v>
      </c>
      <c r="N51" s="35">
        <f t="shared" si="1"/>
        <v>0</v>
      </c>
      <c r="O51" s="35">
        <f t="shared" si="1"/>
        <v>0</v>
      </c>
      <c r="P51" s="35">
        <f t="shared" si="1"/>
        <v>0</v>
      </c>
      <c r="Q51" s="35"/>
      <c r="R51" s="35"/>
    </row>
    <row r="52" spans="1:19" ht="15" customHeight="1" x14ac:dyDescent="0.25">
      <c r="A52" s="4" t="s">
        <v>56</v>
      </c>
      <c r="B52" s="35"/>
      <c r="C52" s="35"/>
      <c r="D52" s="35"/>
      <c r="E52" s="35">
        <f t="shared" ref="E52:P52" si="2">C49*collect2</f>
        <v>0</v>
      </c>
      <c r="F52" s="35">
        <f t="shared" si="2"/>
        <v>0</v>
      </c>
      <c r="G52" s="35">
        <f t="shared" si="2"/>
        <v>0</v>
      </c>
      <c r="H52" s="35">
        <f t="shared" si="2"/>
        <v>0</v>
      </c>
      <c r="I52" s="35">
        <f t="shared" si="2"/>
        <v>0</v>
      </c>
      <c r="J52" s="35">
        <f t="shared" si="2"/>
        <v>0</v>
      </c>
      <c r="K52" s="35">
        <f t="shared" si="2"/>
        <v>0</v>
      </c>
      <c r="L52" s="35">
        <f t="shared" si="2"/>
        <v>0</v>
      </c>
      <c r="M52" s="35">
        <f t="shared" si="2"/>
        <v>0</v>
      </c>
      <c r="N52" s="35">
        <f t="shared" si="2"/>
        <v>0</v>
      </c>
      <c r="O52" s="35">
        <f t="shared" si="2"/>
        <v>0</v>
      </c>
      <c r="P52" s="35">
        <f t="shared" si="2"/>
        <v>0</v>
      </c>
      <c r="Q52" s="35"/>
      <c r="R52" s="35"/>
    </row>
    <row r="53" spans="1:19" ht="15" customHeight="1" x14ac:dyDescent="0.25">
      <c r="A53" s="4" t="s">
        <v>57</v>
      </c>
      <c r="B53" s="35"/>
      <c r="C53" s="35"/>
      <c r="D53" s="35"/>
      <c r="E53" s="35">
        <f t="shared" ref="E53:P53" si="3">B49*collect3</f>
        <v>0</v>
      </c>
      <c r="F53" s="35">
        <f t="shared" si="3"/>
        <v>0</v>
      </c>
      <c r="G53" s="35">
        <f t="shared" si="3"/>
        <v>0</v>
      </c>
      <c r="H53" s="35">
        <f t="shared" si="3"/>
        <v>0</v>
      </c>
      <c r="I53" s="35">
        <f t="shared" si="3"/>
        <v>0</v>
      </c>
      <c r="J53" s="35">
        <f t="shared" si="3"/>
        <v>0</v>
      </c>
      <c r="K53" s="35">
        <f t="shared" si="3"/>
        <v>0</v>
      </c>
      <c r="L53" s="35">
        <f t="shared" si="3"/>
        <v>0</v>
      </c>
      <c r="M53" s="35">
        <f t="shared" si="3"/>
        <v>0</v>
      </c>
      <c r="N53" s="35">
        <f t="shared" si="3"/>
        <v>0</v>
      </c>
      <c r="O53" s="35">
        <f t="shared" si="3"/>
        <v>0</v>
      </c>
      <c r="P53" s="35">
        <f t="shared" si="3"/>
        <v>0</v>
      </c>
      <c r="Q53" s="35"/>
      <c r="R53" s="35"/>
    </row>
    <row r="54" spans="1:19" ht="15" customHeight="1" x14ac:dyDescent="0.25">
      <c r="A54" s="31" t="s">
        <v>58</v>
      </c>
      <c r="B54" s="38"/>
      <c r="C54" s="38"/>
      <c r="D54" s="38"/>
      <c r="E54" s="38">
        <f t="shared" ref="E54:P54" si="4">SUM(E51:E53)</f>
        <v>0</v>
      </c>
      <c r="F54" s="38">
        <f t="shared" si="4"/>
        <v>0</v>
      </c>
      <c r="G54" s="38">
        <f t="shared" si="4"/>
        <v>0</v>
      </c>
      <c r="H54" s="38">
        <f t="shared" si="4"/>
        <v>0</v>
      </c>
      <c r="I54" s="38">
        <f t="shared" si="4"/>
        <v>0</v>
      </c>
      <c r="J54" s="38">
        <f t="shared" si="4"/>
        <v>0</v>
      </c>
      <c r="K54" s="38">
        <f t="shared" si="4"/>
        <v>0</v>
      </c>
      <c r="L54" s="38">
        <f t="shared" si="4"/>
        <v>0</v>
      </c>
      <c r="M54" s="38">
        <f t="shared" si="4"/>
        <v>0</v>
      </c>
      <c r="N54" s="38">
        <f t="shared" si="4"/>
        <v>0</v>
      </c>
      <c r="O54" s="38">
        <f t="shared" si="4"/>
        <v>0</v>
      </c>
      <c r="P54" s="38">
        <f t="shared" si="4"/>
        <v>0</v>
      </c>
      <c r="Q54" s="39"/>
      <c r="R54" s="38"/>
      <c r="S54" s="31"/>
    </row>
    <row r="55" spans="1:19" ht="15" customHeight="1" x14ac:dyDescent="0.25">
      <c r="A55" s="4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</row>
    <row r="56" spans="1:19" ht="15" customHeight="1" x14ac:dyDescent="0.25">
      <c r="A56" s="4" t="s">
        <v>59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</row>
    <row r="57" spans="1:19" ht="15" customHeight="1" x14ac:dyDescent="0.25">
      <c r="A57" t="s">
        <v>60</v>
      </c>
      <c r="B57" s="35">
        <f t="shared" ref="B57:P57" si="5">invtotal*_inv1*C49</f>
        <v>0</v>
      </c>
      <c r="C57" s="35">
        <f t="shared" si="5"/>
        <v>0</v>
      </c>
      <c r="D57" s="35">
        <f t="shared" si="5"/>
        <v>0</v>
      </c>
      <c r="E57" s="35">
        <f t="shared" si="5"/>
        <v>0</v>
      </c>
      <c r="F57" s="35">
        <f t="shared" si="5"/>
        <v>0</v>
      </c>
      <c r="G57" s="35">
        <f t="shared" si="5"/>
        <v>0</v>
      </c>
      <c r="H57" s="35">
        <f t="shared" si="5"/>
        <v>0</v>
      </c>
      <c r="I57" s="35">
        <f t="shared" si="5"/>
        <v>0</v>
      </c>
      <c r="J57" s="35">
        <f t="shared" si="5"/>
        <v>0</v>
      </c>
      <c r="K57" s="35">
        <f t="shared" si="5"/>
        <v>0</v>
      </c>
      <c r="L57" s="35">
        <f t="shared" si="5"/>
        <v>0</v>
      </c>
      <c r="M57" s="35">
        <f t="shared" si="5"/>
        <v>0</v>
      </c>
      <c r="N57" s="35">
        <f t="shared" si="5"/>
        <v>0</v>
      </c>
      <c r="O57" s="35">
        <f t="shared" si="5"/>
        <v>0</v>
      </c>
      <c r="P57" s="35">
        <f t="shared" si="5"/>
        <v>0</v>
      </c>
      <c r="Q57" s="35"/>
      <c r="R57" s="35"/>
    </row>
    <row r="58" spans="1:19" ht="15" customHeight="1" x14ac:dyDescent="0.25">
      <c r="A58" t="s">
        <v>61</v>
      </c>
      <c r="B58" s="35">
        <f t="shared" ref="B58:P58" si="6">invtotal*_inv2*D49</f>
        <v>0</v>
      </c>
      <c r="C58" s="35">
        <f t="shared" si="6"/>
        <v>0</v>
      </c>
      <c r="D58" s="35">
        <f t="shared" si="6"/>
        <v>0</v>
      </c>
      <c r="E58" s="35">
        <f t="shared" si="6"/>
        <v>0</v>
      </c>
      <c r="F58" s="35">
        <f t="shared" si="6"/>
        <v>0</v>
      </c>
      <c r="G58" s="35">
        <f t="shared" si="6"/>
        <v>0</v>
      </c>
      <c r="H58" s="35">
        <f t="shared" si="6"/>
        <v>0</v>
      </c>
      <c r="I58" s="35">
        <f t="shared" si="6"/>
        <v>0</v>
      </c>
      <c r="J58" s="35">
        <f t="shared" si="6"/>
        <v>0</v>
      </c>
      <c r="K58" s="35">
        <f t="shared" si="6"/>
        <v>0</v>
      </c>
      <c r="L58" s="35">
        <f t="shared" si="6"/>
        <v>0</v>
      </c>
      <c r="M58" s="35">
        <f t="shared" si="6"/>
        <v>0</v>
      </c>
      <c r="N58" s="35">
        <f t="shared" si="6"/>
        <v>0</v>
      </c>
      <c r="O58" s="35">
        <f t="shared" si="6"/>
        <v>0</v>
      </c>
      <c r="P58" s="35">
        <f t="shared" si="6"/>
        <v>0</v>
      </c>
      <c r="Q58" s="35"/>
      <c r="R58" s="35"/>
    </row>
    <row r="59" spans="1:19" ht="15" customHeight="1" x14ac:dyDescent="0.25">
      <c r="A59" s="4" t="s">
        <v>62</v>
      </c>
      <c r="B59" s="35">
        <f t="shared" ref="B59:P59" si="7">invtotal*_inv3*E49</f>
        <v>0</v>
      </c>
      <c r="C59" s="35">
        <f t="shared" si="7"/>
        <v>0</v>
      </c>
      <c r="D59" s="35">
        <f t="shared" si="7"/>
        <v>0</v>
      </c>
      <c r="E59" s="35">
        <f t="shared" si="7"/>
        <v>0</v>
      </c>
      <c r="F59" s="35">
        <f t="shared" si="7"/>
        <v>0</v>
      </c>
      <c r="G59" s="35">
        <f t="shared" si="7"/>
        <v>0</v>
      </c>
      <c r="H59" s="35">
        <f t="shared" si="7"/>
        <v>0</v>
      </c>
      <c r="I59" s="35">
        <f t="shared" si="7"/>
        <v>0</v>
      </c>
      <c r="J59" s="35">
        <f t="shared" si="7"/>
        <v>0</v>
      </c>
      <c r="K59" s="35">
        <f t="shared" si="7"/>
        <v>0</v>
      </c>
      <c r="L59" s="35">
        <f t="shared" si="7"/>
        <v>0</v>
      </c>
      <c r="M59" s="35">
        <f t="shared" si="7"/>
        <v>0</v>
      </c>
      <c r="N59" s="35">
        <f t="shared" si="7"/>
        <v>0</v>
      </c>
      <c r="O59" s="35">
        <f t="shared" si="7"/>
        <v>0</v>
      </c>
      <c r="P59" s="35">
        <f t="shared" si="7"/>
        <v>0</v>
      </c>
      <c r="Q59" s="35"/>
      <c r="R59" s="35"/>
      <c r="S59" s="4"/>
    </row>
    <row r="60" spans="1:19" ht="15" customHeight="1" x14ac:dyDescent="0.25">
      <c r="A60" s="31" t="s">
        <v>63</v>
      </c>
      <c r="B60" s="38">
        <f t="shared" ref="B60:P60" si="8">SUM(B57:B59)</f>
        <v>0</v>
      </c>
      <c r="C60" s="38">
        <f t="shared" si="8"/>
        <v>0</v>
      </c>
      <c r="D60" s="38">
        <f t="shared" si="8"/>
        <v>0</v>
      </c>
      <c r="E60" s="38">
        <f t="shared" si="8"/>
        <v>0</v>
      </c>
      <c r="F60" s="38">
        <f t="shared" si="8"/>
        <v>0</v>
      </c>
      <c r="G60" s="38">
        <f t="shared" si="8"/>
        <v>0</v>
      </c>
      <c r="H60" s="38">
        <f t="shared" si="8"/>
        <v>0</v>
      </c>
      <c r="I60" s="38">
        <f t="shared" si="8"/>
        <v>0</v>
      </c>
      <c r="J60" s="38">
        <f t="shared" si="8"/>
        <v>0</v>
      </c>
      <c r="K60" s="38">
        <f t="shared" si="8"/>
        <v>0</v>
      </c>
      <c r="L60" s="38">
        <f t="shared" si="8"/>
        <v>0</v>
      </c>
      <c r="M60" s="38">
        <f t="shared" si="8"/>
        <v>0</v>
      </c>
      <c r="N60" s="38">
        <f t="shared" si="8"/>
        <v>0</v>
      </c>
      <c r="O60" s="38">
        <f t="shared" si="8"/>
        <v>0</v>
      </c>
      <c r="P60" s="38">
        <f t="shared" si="8"/>
        <v>0</v>
      </c>
      <c r="Q60" s="38"/>
      <c r="R60" s="38"/>
      <c r="S60" s="31"/>
    </row>
    <row r="61" spans="1:19" ht="15" customHeight="1" x14ac:dyDescent="0.25">
      <c r="A61" s="4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</row>
    <row r="62" spans="1:19" ht="15" customHeight="1" x14ac:dyDescent="0.25">
      <c r="A62" s="4" t="s">
        <v>64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</row>
    <row r="63" spans="1:19" ht="15" customHeight="1" x14ac:dyDescent="0.25">
      <c r="A63" s="4" t="s">
        <v>65</v>
      </c>
      <c r="B63" s="35"/>
      <c r="C63" s="35"/>
      <c r="D63" s="35"/>
      <c r="E63" s="35">
        <f t="shared" ref="E63:P63" si="9">E60*pay0</f>
        <v>0</v>
      </c>
      <c r="F63" s="35">
        <f t="shared" si="9"/>
        <v>0</v>
      </c>
      <c r="G63" s="35">
        <f t="shared" si="9"/>
        <v>0</v>
      </c>
      <c r="H63" s="35">
        <f t="shared" si="9"/>
        <v>0</v>
      </c>
      <c r="I63" s="35">
        <f t="shared" si="9"/>
        <v>0</v>
      </c>
      <c r="J63" s="35">
        <f t="shared" si="9"/>
        <v>0</v>
      </c>
      <c r="K63" s="35">
        <f t="shared" si="9"/>
        <v>0</v>
      </c>
      <c r="L63" s="35">
        <f t="shared" si="9"/>
        <v>0</v>
      </c>
      <c r="M63" s="35">
        <f t="shared" si="9"/>
        <v>0</v>
      </c>
      <c r="N63" s="35">
        <f t="shared" si="9"/>
        <v>0</v>
      </c>
      <c r="O63" s="35">
        <f t="shared" si="9"/>
        <v>0</v>
      </c>
      <c r="P63" s="35">
        <f t="shared" si="9"/>
        <v>0</v>
      </c>
      <c r="Q63" s="35"/>
      <c r="R63" s="35"/>
    </row>
    <row r="64" spans="1:19" ht="15" customHeight="1" x14ac:dyDescent="0.25">
      <c r="A64" s="4" t="s">
        <v>66</v>
      </c>
      <c r="B64" s="35"/>
      <c r="C64" s="35"/>
      <c r="D64" s="35"/>
      <c r="E64" s="35">
        <f t="shared" ref="E64:P64" si="10">D60*_pay1</f>
        <v>0</v>
      </c>
      <c r="F64" s="35">
        <f t="shared" si="10"/>
        <v>0</v>
      </c>
      <c r="G64" s="35">
        <f t="shared" si="10"/>
        <v>0</v>
      </c>
      <c r="H64" s="35">
        <f t="shared" si="10"/>
        <v>0</v>
      </c>
      <c r="I64" s="35">
        <f t="shared" si="10"/>
        <v>0</v>
      </c>
      <c r="J64" s="35">
        <f t="shared" si="10"/>
        <v>0</v>
      </c>
      <c r="K64" s="35">
        <f t="shared" si="10"/>
        <v>0</v>
      </c>
      <c r="L64" s="35">
        <f t="shared" si="10"/>
        <v>0</v>
      </c>
      <c r="M64" s="35">
        <f t="shared" si="10"/>
        <v>0</v>
      </c>
      <c r="N64" s="35">
        <f t="shared" si="10"/>
        <v>0</v>
      </c>
      <c r="O64" s="35">
        <f t="shared" si="10"/>
        <v>0</v>
      </c>
      <c r="P64" s="35">
        <f t="shared" si="10"/>
        <v>0</v>
      </c>
      <c r="Q64" s="35"/>
      <c r="R64" s="35"/>
    </row>
    <row r="65" spans="1:19" ht="15" customHeight="1" x14ac:dyDescent="0.25">
      <c r="A65" s="4" t="s">
        <v>67</v>
      </c>
      <c r="B65" s="35"/>
      <c r="C65" s="35"/>
      <c r="D65" s="35"/>
      <c r="E65" s="35">
        <f t="shared" ref="E65:P65" si="11">C60*_pay2</f>
        <v>0</v>
      </c>
      <c r="F65" s="35">
        <f t="shared" si="11"/>
        <v>0</v>
      </c>
      <c r="G65" s="35">
        <f t="shared" si="11"/>
        <v>0</v>
      </c>
      <c r="H65" s="35">
        <f t="shared" si="11"/>
        <v>0</v>
      </c>
      <c r="I65" s="35">
        <f t="shared" si="11"/>
        <v>0</v>
      </c>
      <c r="J65" s="35">
        <f t="shared" si="11"/>
        <v>0</v>
      </c>
      <c r="K65" s="35">
        <f t="shared" si="11"/>
        <v>0</v>
      </c>
      <c r="L65" s="35">
        <f t="shared" si="11"/>
        <v>0</v>
      </c>
      <c r="M65" s="35">
        <f t="shared" si="11"/>
        <v>0</v>
      </c>
      <c r="N65" s="35">
        <f t="shared" si="11"/>
        <v>0</v>
      </c>
      <c r="O65" s="35">
        <f t="shared" si="11"/>
        <v>0</v>
      </c>
      <c r="P65" s="35">
        <f t="shared" si="11"/>
        <v>0</v>
      </c>
      <c r="Q65" s="35"/>
      <c r="R65" s="35"/>
    </row>
    <row r="66" spans="1:19" ht="15" customHeight="1" x14ac:dyDescent="0.25">
      <c r="A66" s="4" t="s">
        <v>68</v>
      </c>
      <c r="B66" s="35"/>
      <c r="C66" s="35"/>
      <c r="D66" s="35"/>
      <c r="E66" s="35">
        <f t="shared" ref="E66:P66" si="12">B60*_pay3</f>
        <v>0</v>
      </c>
      <c r="F66" s="35">
        <f t="shared" si="12"/>
        <v>0</v>
      </c>
      <c r="G66" s="35">
        <f t="shared" si="12"/>
        <v>0</v>
      </c>
      <c r="H66" s="35">
        <f t="shared" si="12"/>
        <v>0</v>
      </c>
      <c r="I66" s="35">
        <f t="shared" si="12"/>
        <v>0</v>
      </c>
      <c r="J66" s="35">
        <f t="shared" si="12"/>
        <v>0</v>
      </c>
      <c r="K66" s="35">
        <f t="shared" si="12"/>
        <v>0</v>
      </c>
      <c r="L66" s="35">
        <f t="shared" si="12"/>
        <v>0</v>
      </c>
      <c r="M66" s="35">
        <f t="shared" si="12"/>
        <v>0</v>
      </c>
      <c r="N66" s="35">
        <f t="shared" si="12"/>
        <v>0</v>
      </c>
      <c r="O66" s="35">
        <f t="shared" si="12"/>
        <v>0</v>
      </c>
      <c r="P66" s="35">
        <f t="shared" si="12"/>
        <v>0</v>
      </c>
      <c r="Q66" s="35"/>
      <c r="R66" s="35"/>
    </row>
    <row r="67" spans="1:19" ht="15" customHeight="1" x14ac:dyDescent="0.25">
      <c r="A67" s="31" t="s">
        <v>69</v>
      </c>
      <c r="B67" s="38"/>
      <c r="C67" s="38"/>
      <c r="D67" s="38"/>
      <c r="E67" s="38">
        <f t="shared" ref="E67:P67" si="13">SUM(E63:E66)</f>
        <v>0</v>
      </c>
      <c r="F67" s="38">
        <f t="shared" si="13"/>
        <v>0</v>
      </c>
      <c r="G67" s="38">
        <f t="shared" si="13"/>
        <v>0</v>
      </c>
      <c r="H67" s="38">
        <f t="shared" si="13"/>
        <v>0</v>
      </c>
      <c r="I67" s="38">
        <f t="shared" si="13"/>
        <v>0</v>
      </c>
      <c r="J67" s="38">
        <f t="shared" si="13"/>
        <v>0</v>
      </c>
      <c r="K67" s="38">
        <f t="shared" si="13"/>
        <v>0</v>
      </c>
      <c r="L67" s="38">
        <f t="shared" si="13"/>
        <v>0</v>
      </c>
      <c r="M67" s="38">
        <f t="shared" si="13"/>
        <v>0</v>
      </c>
      <c r="N67" s="38">
        <f t="shared" si="13"/>
        <v>0</v>
      </c>
      <c r="O67" s="38">
        <f t="shared" si="13"/>
        <v>0</v>
      </c>
      <c r="P67" s="38">
        <f t="shared" si="13"/>
        <v>0</v>
      </c>
      <c r="Q67" s="38"/>
      <c r="R67" s="38"/>
      <c r="S67" s="31"/>
    </row>
    <row r="68" spans="1:19" ht="15" customHeight="1" x14ac:dyDescent="0.25">
      <c r="A68" s="4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</row>
    <row r="69" spans="1:19" ht="15" customHeight="1" x14ac:dyDescent="0.25">
      <c r="A69" s="16" t="s">
        <v>70</v>
      </c>
      <c r="B69" s="36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</row>
    <row r="70" spans="1:19" ht="15" customHeight="1" x14ac:dyDescent="0.25">
      <c r="A70" t="s">
        <v>60</v>
      </c>
      <c r="B70" s="36"/>
      <c r="C70" s="35"/>
      <c r="D70" s="35"/>
      <c r="E70" s="35">
        <f t="shared" ref="E70:P70" si="14">F49*wagetot*wage1</f>
        <v>0</v>
      </c>
      <c r="F70" s="35">
        <f t="shared" si="14"/>
        <v>0</v>
      </c>
      <c r="G70" s="35">
        <f t="shared" si="14"/>
        <v>0</v>
      </c>
      <c r="H70" s="35">
        <f t="shared" si="14"/>
        <v>0</v>
      </c>
      <c r="I70" s="35">
        <f t="shared" si="14"/>
        <v>0</v>
      </c>
      <c r="J70" s="35">
        <f t="shared" si="14"/>
        <v>0</v>
      </c>
      <c r="K70" s="35">
        <f t="shared" si="14"/>
        <v>0</v>
      </c>
      <c r="L70" s="35">
        <f t="shared" si="14"/>
        <v>0</v>
      </c>
      <c r="M70" s="35">
        <f t="shared" si="14"/>
        <v>0</v>
      </c>
      <c r="N70" s="35">
        <f t="shared" si="14"/>
        <v>0</v>
      </c>
      <c r="O70" s="35">
        <f t="shared" si="14"/>
        <v>0</v>
      </c>
      <c r="P70" s="35">
        <f t="shared" si="14"/>
        <v>0</v>
      </c>
      <c r="Q70" s="35"/>
      <c r="R70" s="35"/>
    </row>
    <row r="71" spans="1:19" ht="15" customHeight="1" x14ac:dyDescent="0.25">
      <c r="A71" t="s">
        <v>61</v>
      </c>
      <c r="B71" s="35"/>
      <c r="C71" s="35"/>
      <c r="D71" s="35"/>
      <c r="E71" s="35">
        <f t="shared" ref="E71:P71" si="15">G49*wagetot*wage2</f>
        <v>0</v>
      </c>
      <c r="F71" s="35">
        <f t="shared" si="15"/>
        <v>0</v>
      </c>
      <c r="G71" s="35">
        <f t="shared" si="15"/>
        <v>0</v>
      </c>
      <c r="H71" s="35">
        <f t="shared" si="15"/>
        <v>0</v>
      </c>
      <c r="I71" s="35">
        <f t="shared" si="15"/>
        <v>0</v>
      </c>
      <c r="J71" s="35">
        <f t="shared" si="15"/>
        <v>0</v>
      </c>
      <c r="K71" s="35">
        <f t="shared" si="15"/>
        <v>0</v>
      </c>
      <c r="L71" s="35">
        <f t="shared" si="15"/>
        <v>0</v>
      </c>
      <c r="M71" s="35">
        <f t="shared" si="15"/>
        <v>0</v>
      </c>
      <c r="N71" s="35">
        <f t="shared" si="15"/>
        <v>0</v>
      </c>
      <c r="O71" s="35">
        <f t="shared" si="15"/>
        <v>0</v>
      </c>
      <c r="P71" s="35">
        <f t="shared" si="15"/>
        <v>0</v>
      </c>
      <c r="Q71" s="35"/>
      <c r="R71" s="35"/>
    </row>
    <row r="72" spans="1:19" ht="15" customHeight="1" x14ac:dyDescent="0.25">
      <c r="A72" s="31" t="s">
        <v>71</v>
      </c>
      <c r="B72" s="38"/>
      <c r="C72" s="38"/>
      <c r="D72" s="38"/>
      <c r="E72" s="38">
        <f t="shared" ref="E72:P72" si="16">SUM(E70:E71)</f>
        <v>0</v>
      </c>
      <c r="F72" s="38">
        <f t="shared" si="16"/>
        <v>0</v>
      </c>
      <c r="G72" s="38">
        <f t="shared" si="16"/>
        <v>0</v>
      </c>
      <c r="H72" s="38">
        <f t="shared" si="16"/>
        <v>0</v>
      </c>
      <c r="I72" s="38">
        <f t="shared" si="16"/>
        <v>0</v>
      </c>
      <c r="J72" s="38">
        <f t="shared" si="16"/>
        <v>0</v>
      </c>
      <c r="K72" s="38">
        <f t="shared" si="16"/>
        <v>0</v>
      </c>
      <c r="L72" s="38">
        <f t="shared" si="16"/>
        <v>0</v>
      </c>
      <c r="M72" s="38">
        <f t="shared" si="16"/>
        <v>0</v>
      </c>
      <c r="N72" s="38">
        <f t="shared" si="16"/>
        <v>0</v>
      </c>
      <c r="O72" s="38">
        <f t="shared" si="16"/>
        <v>0</v>
      </c>
      <c r="P72" s="38">
        <f t="shared" si="16"/>
        <v>0</v>
      </c>
      <c r="Q72" s="38"/>
      <c r="R72" s="38"/>
      <c r="S72" s="31"/>
    </row>
    <row r="73" spans="1:19" ht="15" customHeight="1" x14ac:dyDescent="0.25">
      <c r="A73" s="4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</row>
    <row r="74" spans="1:19" ht="15" customHeight="1" x14ac:dyDescent="0.25">
      <c r="A74" s="17" t="s">
        <v>72</v>
      </c>
      <c r="B74" s="37"/>
      <c r="C74" s="37"/>
      <c r="D74" s="37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37"/>
      <c r="R74" s="37"/>
    </row>
    <row r="75" spans="1:19" ht="15" customHeight="1" x14ac:dyDescent="0.25">
      <c r="A75" t="s">
        <v>65</v>
      </c>
      <c r="B75" s="37"/>
      <c r="C75" s="37"/>
      <c r="D75" s="37"/>
      <c r="E75" s="40">
        <f t="shared" ref="E75:P75" si="17">E49*exptotal*exp0</f>
        <v>0</v>
      </c>
      <c r="F75" s="40">
        <f t="shared" si="17"/>
        <v>0</v>
      </c>
      <c r="G75" s="40">
        <f t="shared" si="17"/>
        <v>0</v>
      </c>
      <c r="H75" s="40">
        <f t="shared" si="17"/>
        <v>0</v>
      </c>
      <c r="I75" s="40">
        <f t="shared" si="17"/>
        <v>0</v>
      </c>
      <c r="J75" s="40">
        <f t="shared" si="17"/>
        <v>0</v>
      </c>
      <c r="K75" s="40">
        <f t="shared" si="17"/>
        <v>0</v>
      </c>
      <c r="L75" s="40">
        <f t="shared" si="17"/>
        <v>0</v>
      </c>
      <c r="M75" s="40">
        <f t="shared" si="17"/>
        <v>0</v>
      </c>
      <c r="N75" s="40">
        <f t="shared" si="17"/>
        <v>0</v>
      </c>
      <c r="O75" s="40">
        <f t="shared" si="17"/>
        <v>0</v>
      </c>
      <c r="P75" s="40">
        <f t="shared" si="17"/>
        <v>0</v>
      </c>
      <c r="Q75" s="37"/>
      <c r="R75" s="37"/>
    </row>
    <row r="76" spans="1:19" ht="15" customHeight="1" x14ac:dyDescent="0.25">
      <c r="A76" t="s">
        <v>60</v>
      </c>
      <c r="B76" s="37"/>
      <c r="C76" s="37"/>
      <c r="D76" s="37"/>
      <c r="E76" s="40">
        <f t="shared" ref="E76:P76" si="18">F49*exptotal*_exp1</f>
        <v>0</v>
      </c>
      <c r="F76" s="40">
        <f t="shared" si="18"/>
        <v>0</v>
      </c>
      <c r="G76" s="40">
        <f t="shared" si="18"/>
        <v>0</v>
      </c>
      <c r="H76" s="40">
        <f t="shared" si="18"/>
        <v>0</v>
      </c>
      <c r="I76" s="40">
        <f t="shared" si="18"/>
        <v>0</v>
      </c>
      <c r="J76" s="40">
        <f t="shared" si="18"/>
        <v>0</v>
      </c>
      <c r="K76" s="40">
        <f t="shared" si="18"/>
        <v>0</v>
      </c>
      <c r="L76" s="40">
        <f t="shared" si="18"/>
        <v>0</v>
      </c>
      <c r="M76" s="40">
        <f t="shared" si="18"/>
        <v>0</v>
      </c>
      <c r="N76" s="40">
        <f t="shared" si="18"/>
        <v>0</v>
      </c>
      <c r="O76" s="40">
        <f t="shared" si="18"/>
        <v>0</v>
      </c>
      <c r="P76" s="40">
        <f t="shared" si="18"/>
        <v>0</v>
      </c>
      <c r="Q76" s="37"/>
      <c r="R76" s="37"/>
    </row>
    <row r="77" spans="1:19" ht="15" customHeight="1" x14ac:dyDescent="0.25">
      <c r="A77" t="s">
        <v>61</v>
      </c>
      <c r="B77" s="37"/>
      <c r="C77" s="37"/>
      <c r="D77" s="37"/>
      <c r="E77" s="40">
        <f t="shared" ref="E77:P77" si="19">G49*exptotal*_exp2</f>
        <v>0</v>
      </c>
      <c r="F77" s="40">
        <f t="shared" si="19"/>
        <v>0</v>
      </c>
      <c r="G77" s="40">
        <f t="shared" si="19"/>
        <v>0</v>
      </c>
      <c r="H77" s="40">
        <f t="shared" si="19"/>
        <v>0</v>
      </c>
      <c r="I77" s="40">
        <f t="shared" si="19"/>
        <v>0</v>
      </c>
      <c r="J77" s="40">
        <f t="shared" si="19"/>
        <v>0</v>
      </c>
      <c r="K77" s="40">
        <f t="shared" si="19"/>
        <v>0</v>
      </c>
      <c r="L77" s="40">
        <f t="shared" si="19"/>
        <v>0</v>
      </c>
      <c r="M77" s="40">
        <f t="shared" si="19"/>
        <v>0</v>
      </c>
      <c r="N77" s="40">
        <f t="shared" si="19"/>
        <v>0</v>
      </c>
      <c r="O77" s="40">
        <f t="shared" si="19"/>
        <v>0</v>
      </c>
      <c r="P77" s="40">
        <f t="shared" si="19"/>
        <v>0</v>
      </c>
      <c r="Q77" s="37"/>
      <c r="R77" s="37"/>
    </row>
    <row r="78" spans="1:19" ht="15" customHeight="1" x14ac:dyDescent="0.25">
      <c r="A78" s="4" t="s">
        <v>73</v>
      </c>
      <c r="B78" s="5"/>
      <c r="C78" s="5"/>
      <c r="D78" s="5"/>
      <c r="E78" s="41">
        <f t="shared" ref="E78:P78" si="20">SUM(E75:E77)</f>
        <v>0</v>
      </c>
      <c r="F78" s="41">
        <f t="shared" si="20"/>
        <v>0</v>
      </c>
      <c r="G78" s="41">
        <f t="shared" si="20"/>
        <v>0</v>
      </c>
      <c r="H78" s="41">
        <f t="shared" si="20"/>
        <v>0</v>
      </c>
      <c r="I78" s="41">
        <f t="shared" si="20"/>
        <v>0</v>
      </c>
      <c r="J78" s="41">
        <f t="shared" si="20"/>
        <v>0</v>
      </c>
      <c r="K78" s="41">
        <f t="shared" si="20"/>
        <v>0</v>
      </c>
      <c r="L78" s="41">
        <f t="shared" si="20"/>
        <v>0</v>
      </c>
      <c r="M78" s="41">
        <f t="shared" si="20"/>
        <v>0</v>
      </c>
      <c r="N78" s="41">
        <f t="shared" si="20"/>
        <v>0</v>
      </c>
      <c r="O78" s="41">
        <f t="shared" si="20"/>
        <v>0</v>
      </c>
      <c r="P78" s="41">
        <f t="shared" si="20"/>
        <v>0</v>
      </c>
      <c r="Q78" s="7"/>
      <c r="R78" s="7"/>
    </row>
    <row r="79" spans="1:19" ht="15" customHeight="1" thickBot="1" x14ac:dyDescent="0.3">
      <c r="A79" s="27"/>
      <c r="B79" s="43"/>
      <c r="C79" s="43"/>
      <c r="D79" s="43"/>
      <c r="E79" s="27"/>
      <c r="F79" s="43"/>
      <c r="G79" s="43"/>
      <c r="H79" s="27"/>
      <c r="I79" s="27"/>
      <c r="J79" s="27"/>
      <c r="K79" s="43"/>
      <c r="L79" s="43"/>
      <c r="M79" s="43"/>
      <c r="N79" s="43"/>
      <c r="O79" s="43"/>
      <c r="P79" s="43"/>
      <c r="Q79" s="43"/>
      <c r="R79" s="43"/>
      <c r="S79" s="27"/>
    </row>
    <row r="80" spans="1:19" x14ac:dyDescent="0.25">
      <c r="B80" s="7"/>
      <c r="C80" s="7"/>
      <c r="D80" s="7"/>
      <c r="F80" s="7"/>
      <c r="G80" s="7"/>
      <c r="K80" s="7"/>
      <c r="L80" s="7"/>
      <c r="M80" s="7"/>
      <c r="N80" s="7"/>
      <c r="O80" s="7"/>
      <c r="P80" s="7"/>
      <c r="Q80" s="7"/>
      <c r="R80" s="7"/>
    </row>
    <row r="81" spans="1:18" ht="15.5" x14ac:dyDescent="0.35">
      <c r="A81" s="26" t="s">
        <v>74</v>
      </c>
      <c r="B81" s="7"/>
      <c r="C81" s="7"/>
      <c r="D81" s="7"/>
      <c r="F81" s="7"/>
      <c r="G81" s="7"/>
      <c r="K81" s="7"/>
      <c r="L81" s="7"/>
      <c r="M81" s="7"/>
      <c r="N81" s="7"/>
      <c r="O81" s="7"/>
      <c r="P81" s="7"/>
      <c r="Q81" s="7"/>
      <c r="R81" s="7"/>
    </row>
    <row r="82" spans="1:18" ht="15" customHeight="1" x14ac:dyDescent="0.35">
      <c r="A82" s="44">
        <f>year</f>
        <v>0</v>
      </c>
      <c r="B82" s="7"/>
      <c r="C82" s="7"/>
      <c r="D82" s="7"/>
      <c r="E82" s="8">
        <f>year</f>
        <v>0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7"/>
      <c r="R82" s="7"/>
    </row>
    <row r="83" spans="1:18" ht="15" customHeight="1" x14ac:dyDescent="0.25">
      <c r="B83" s="7"/>
      <c r="C83" s="7"/>
      <c r="D83" s="7"/>
      <c r="E83" s="6" t="s">
        <v>45</v>
      </c>
      <c r="F83" s="6" t="s">
        <v>46</v>
      </c>
      <c r="G83" s="6" t="s">
        <v>47</v>
      </c>
      <c r="H83" s="6" t="s">
        <v>48</v>
      </c>
      <c r="I83" s="6" t="s">
        <v>49</v>
      </c>
      <c r="J83" s="6" t="s">
        <v>50</v>
      </c>
      <c r="K83" s="6" t="s">
        <v>51</v>
      </c>
      <c r="L83" s="6" t="s">
        <v>52</v>
      </c>
      <c r="M83" s="6" t="s">
        <v>53</v>
      </c>
      <c r="N83" s="6" t="s">
        <v>42</v>
      </c>
      <c r="O83" s="6" t="s">
        <v>43</v>
      </c>
      <c r="P83" s="6" t="s">
        <v>44</v>
      </c>
      <c r="Q83" s="7"/>
      <c r="R83" s="7"/>
    </row>
    <row r="84" spans="1:18" ht="15" customHeight="1" x14ac:dyDescent="0.25">
      <c r="B84" s="9" t="s">
        <v>75</v>
      </c>
      <c r="D84" s="7"/>
      <c r="E84" s="37">
        <f t="shared" ref="E84:P84" si="21">E54</f>
        <v>0</v>
      </c>
      <c r="F84" s="37">
        <f t="shared" si="21"/>
        <v>0</v>
      </c>
      <c r="G84" s="37">
        <f t="shared" si="21"/>
        <v>0</v>
      </c>
      <c r="H84" s="37">
        <f t="shared" si="21"/>
        <v>0</v>
      </c>
      <c r="I84" s="37">
        <f t="shared" si="21"/>
        <v>0</v>
      </c>
      <c r="J84" s="37">
        <f t="shared" si="21"/>
        <v>0</v>
      </c>
      <c r="K84" s="37">
        <f t="shared" si="21"/>
        <v>0</v>
      </c>
      <c r="L84" s="37">
        <f t="shared" si="21"/>
        <v>0</v>
      </c>
      <c r="M84" s="37">
        <f t="shared" si="21"/>
        <v>0</v>
      </c>
      <c r="N84" s="37">
        <f t="shared" si="21"/>
        <v>0</v>
      </c>
      <c r="O84" s="37">
        <f t="shared" si="21"/>
        <v>0</v>
      </c>
      <c r="P84" s="37">
        <f t="shared" si="21"/>
        <v>0</v>
      </c>
      <c r="Q84" s="10"/>
      <c r="R84" s="10"/>
    </row>
    <row r="85" spans="1:18" ht="15" customHeight="1" x14ac:dyDescent="0.25">
      <c r="B85" s="9" t="s">
        <v>76</v>
      </c>
      <c r="D85" s="7"/>
      <c r="E85" s="37">
        <f t="shared" ref="E85:P85" si="22">E67</f>
        <v>0</v>
      </c>
      <c r="F85" s="37">
        <f t="shared" si="22"/>
        <v>0</v>
      </c>
      <c r="G85" s="37">
        <f t="shared" si="22"/>
        <v>0</v>
      </c>
      <c r="H85" s="37">
        <f t="shared" si="22"/>
        <v>0</v>
      </c>
      <c r="I85" s="37">
        <f t="shared" si="22"/>
        <v>0</v>
      </c>
      <c r="J85" s="37">
        <f t="shared" si="22"/>
        <v>0</v>
      </c>
      <c r="K85" s="37">
        <f t="shared" si="22"/>
        <v>0</v>
      </c>
      <c r="L85" s="37">
        <f t="shared" si="22"/>
        <v>0</v>
      </c>
      <c r="M85" s="37">
        <f t="shared" si="22"/>
        <v>0</v>
      </c>
      <c r="N85" s="37">
        <f t="shared" si="22"/>
        <v>0</v>
      </c>
      <c r="O85" s="37">
        <f t="shared" si="22"/>
        <v>0</v>
      </c>
      <c r="P85" s="37">
        <f t="shared" si="22"/>
        <v>0</v>
      </c>
      <c r="Q85" s="10"/>
      <c r="R85" s="10"/>
    </row>
    <row r="86" spans="1:18" ht="15" customHeight="1" x14ac:dyDescent="0.25">
      <c r="B86" s="11" t="s">
        <v>70</v>
      </c>
      <c r="D86" s="7"/>
      <c r="E86" s="37">
        <f t="shared" ref="E86:P86" si="23">E72</f>
        <v>0</v>
      </c>
      <c r="F86" s="37">
        <f t="shared" si="23"/>
        <v>0</v>
      </c>
      <c r="G86" s="37">
        <f t="shared" si="23"/>
        <v>0</v>
      </c>
      <c r="H86" s="37">
        <f t="shared" si="23"/>
        <v>0</v>
      </c>
      <c r="I86" s="37">
        <f t="shared" si="23"/>
        <v>0</v>
      </c>
      <c r="J86" s="37">
        <f t="shared" si="23"/>
        <v>0</v>
      </c>
      <c r="K86" s="37">
        <f t="shared" si="23"/>
        <v>0</v>
      </c>
      <c r="L86" s="37">
        <f t="shared" si="23"/>
        <v>0</v>
      </c>
      <c r="M86" s="37">
        <f t="shared" si="23"/>
        <v>0</v>
      </c>
      <c r="N86" s="37">
        <f t="shared" si="23"/>
        <v>0</v>
      </c>
      <c r="O86" s="37">
        <f t="shared" si="23"/>
        <v>0</v>
      </c>
      <c r="P86" s="37">
        <f t="shared" si="23"/>
        <v>0</v>
      </c>
      <c r="Q86" s="10"/>
      <c r="R86" s="10"/>
    </row>
    <row r="87" spans="1:18" ht="15" customHeight="1" x14ac:dyDescent="0.25">
      <c r="B87" s="12" t="s">
        <v>77</v>
      </c>
      <c r="D87" s="6"/>
      <c r="E87" s="38">
        <f t="shared" ref="E87:P87" si="24">E78</f>
        <v>0</v>
      </c>
      <c r="F87" s="38">
        <f t="shared" si="24"/>
        <v>0</v>
      </c>
      <c r="G87" s="38">
        <f t="shared" si="24"/>
        <v>0</v>
      </c>
      <c r="H87" s="38">
        <f t="shared" si="24"/>
        <v>0</v>
      </c>
      <c r="I87" s="38">
        <f t="shared" si="24"/>
        <v>0</v>
      </c>
      <c r="J87" s="38">
        <f t="shared" si="24"/>
        <v>0</v>
      </c>
      <c r="K87" s="38">
        <f t="shared" si="24"/>
        <v>0</v>
      </c>
      <c r="L87" s="38">
        <f t="shared" si="24"/>
        <v>0</v>
      </c>
      <c r="M87" s="38">
        <f t="shared" si="24"/>
        <v>0</v>
      </c>
      <c r="N87" s="38">
        <f t="shared" si="24"/>
        <v>0</v>
      </c>
      <c r="O87" s="38">
        <f t="shared" si="24"/>
        <v>0</v>
      </c>
      <c r="P87" s="38">
        <f t="shared" si="24"/>
        <v>0</v>
      </c>
      <c r="Q87" s="13"/>
      <c r="R87" s="13"/>
    </row>
    <row r="88" spans="1:18" ht="15" customHeight="1" x14ac:dyDescent="0.3">
      <c r="B88" s="25" t="s">
        <v>78</v>
      </c>
      <c r="D88" s="6"/>
      <c r="E88" s="37">
        <f t="shared" ref="E88:P88" si="25">E84-E85-E86-E87</f>
        <v>0</v>
      </c>
      <c r="F88" s="37">
        <f t="shared" si="25"/>
        <v>0</v>
      </c>
      <c r="G88" s="37">
        <f t="shared" si="25"/>
        <v>0</v>
      </c>
      <c r="H88" s="37">
        <f t="shared" si="25"/>
        <v>0</v>
      </c>
      <c r="I88" s="37">
        <f t="shared" si="25"/>
        <v>0</v>
      </c>
      <c r="J88" s="37">
        <f t="shared" si="25"/>
        <v>0</v>
      </c>
      <c r="K88" s="37">
        <f t="shared" si="25"/>
        <v>0</v>
      </c>
      <c r="L88" s="37">
        <f t="shared" si="25"/>
        <v>0</v>
      </c>
      <c r="M88" s="37">
        <f t="shared" si="25"/>
        <v>0</v>
      </c>
      <c r="N88" s="37">
        <f t="shared" si="25"/>
        <v>0</v>
      </c>
      <c r="O88" s="37">
        <f t="shared" si="25"/>
        <v>0</v>
      </c>
      <c r="P88" s="37">
        <f t="shared" si="25"/>
        <v>0</v>
      </c>
      <c r="Q88" s="13"/>
      <c r="R88" s="13"/>
    </row>
    <row r="89" spans="1:18" ht="15" customHeight="1" x14ac:dyDescent="0.25">
      <c r="B89" s="6"/>
      <c r="D89" s="6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13"/>
      <c r="R89" s="13"/>
    </row>
    <row r="90" spans="1:18" ht="15" customHeight="1" x14ac:dyDescent="0.25">
      <c r="B90" s="12" t="s">
        <v>79</v>
      </c>
      <c r="D90" s="6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13"/>
      <c r="R90" s="13"/>
    </row>
    <row r="91" spans="1:18" ht="15" customHeight="1" x14ac:dyDescent="0.25">
      <c r="B91" s="12" t="s">
        <v>80</v>
      </c>
      <c r="D91" s="6"/>
      <c r="E91" s="50"/>
      <c r="F91" s="50"/>
      <c r="G91" s="50"/>
      <c r="H91" s="50"/>
      <c r="I91" s="50"/>
      <c r="J91" s="50"/>
      <c r="K91" s="50"/>
      <c r="L91" s="51"/>
      <c r="M91" s="50"/>
      <c r="N91" s="51"/>
      <c r="O91" s="50"/>
      <c r="P91" s="50"/>
      <c r="Q91" s="13"/>
      <c r="R91" s="13"/>
    </row>
    <row r="92" spans="1:18" ht="15" customHeight="1" x14ac:dyDescent="0.25">
      <c r="B92" s="12" t="s">
        <v>81</v>
      </c>
      <c r="D92" s="6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13"/>
      <c r="R92" s="13"/>
    </row>
    <row r="93" spans="1:18" ht="15" customHeight="1" x14ac:dyDescent="0.3">
      <c r="B93" s="25" t="s">
        <v>82</v>
      </c>
      <c r="D93" s="6"/>
      <c r="E93" s="37">
        <f t="shared" ref="E93:P93" si="26">E88-E90-E91-E92</f>
        <v>0</v>
      </c>
      <c r="F93" s="37">
        <f t="shared" si="26"/>
        <v>0</v>
      </c>
      <c r="G93" s="37">
        <f t="shared" si="26"/>
        <v>0</v>
      </c>
      <c r="H93" s="37">
        <f t="shared" si="26"/>
        <v>0</v>
      </c>
      <c r="I93" s="37">
        <f t="shared" si="26"/>
        <v>0</v>
      </c>
      <c r="J93" s="37">
        <f t="shared" si="26"/>
        <v>0</v>
      </c>
      <c r="K93" s="37">
        <f t="shared" si="26"/>
        <v>0</v>
      </c>
      <c r="L93" s="37">
        <f t="shared" si="26"/>
        <v>0</v>
      </c>
      <c r="M93" s="37">
        <f t="shared" si="26"/>
        <v>0</v>
      </c>
      <c r="N93" s="37">
        <f t="shared" si="26"/>
        <v>0</v>
      </c>
      <c r="O93" s="37">
        <f t="shared" si="26"/>
        <v>0</v>
      </c>
      <c r="P93" s="37">
        <f t="shared" si="26"/>
        <v>0</v>
      </c>
      <c r="Q93" s="13"/>
      <c r="R93" s="13"/>
    </row>
    <row r="94" spans="1:18" ht="15" customHeight="1" x14ac:dyDescent="0.25">
      <c r="B94" s="6"/>
      <c r="D94" s="6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13"/>
      <c r="R94" s="13"/>
    </row>
    <row r="95" spans="1:18" ht="15" customHeight="1" x14ac:dyDescent="0.25">
      <c r="B95" s="12" t="s">
        <v>83</v>
      </c>
      <c r="D95" s="6"/>
      <c r="E95" s="37">
        <f>cash</f>
        <v>0</v>
      </c>
      <c r="F95" s="37">
        <f t="shared" ref="F95:P95" si="27">E96</f>
        <v>0</v>
      </c>
      <c r="G95" s="37">
        <f t="shared" si="27"/>
        <v>0</v>
      </c>
      <c r="H95" s="37">
        <f t="shared" si="27"/>
        <v>0</v>
      </c>
      <c r="I95" s="37">
        <f t="shared" si="27"/>
        <v>0</v>
      </c>
      <c r="J95" s="37">
        <f t="shared" si="27"/>
        <v>0</v>
      </c>
      <c r="K95" s="37">
        <f t="shared" si="27"/>
        <v>0</v>
      </c>
      <c r="L95" s="37">
        <f t="shared" si="27"/>
        <v>0</v>
      </c>
      <c r="M95" s="37">
        <f t="shared" si="27"/>
        <v>0</v>
      </c>
      <c r="N95" s="37">
        <f t="shared" si="27"/>
        <v>0</v>
      </c>
      <c r="O95" s="37">
        <f t="shared" si="27"/>
        <v>0</v>
      </c>
      <c r="P95" s="37">
        <f t="shared" si="27"/>
        <v>0</v>
      </c>
      <c r="Q95" s="13"/>
      <c r="R95" s="13"/>
    </row>
    <row r="96" spans="1:18" ht="15" customHeight="1" x14ac:dyDescent="0.3">
      <c r="B96" s="25" t="s">
        <v>84</v>
      </c>
      <c r="D96" s="6"/>
      <c r="E96" s="37">
        <f t="shared" ref="E96:P96" si="28">E93+E95</f>
        <v>0</v>
      </c>
      <c r="F96" s="37">
        <f t="shared" si="28"/>
        <v>0</v>
      </c>
      <c r="G96" s="37">
        <f t="shared" si="28"/>
        <v>0</v>
      </c>
      <c r="H96" s="37">
        <f t="shared" si="28"/>
        <v>0</v>
      </c>
      <c r="I96" s="37">
        <f t="shared" si="28"/>
        <v>0</v>
      </c>
      <c r="J96" s="37">
        <f t="shared" si="28"/>
        <v>0</v>
      </c>
      <c r="K96" s="37">
        <f t="shared" si="28"/>
        <v>0</v>
      </c>
      <c r="L96" s="37">
        <f t="shared" si="28"/>
        <v>0</v>
      </c>
      <c r="M96" s="37">
        <f t="shared" si="28"/>
        <v>0</v>
      </c>
      <c r="N96" s="37">
        <f t="shared" si="28"/>
        <v>0</v>
      </c>
      <c r="O96" s="37">
        <f t="shared" si="28"/>
        <v>0</v>
      </c>
      <c r="P96" s="37">
        <f t="shared" si="28"/>
        <v>0</v>
      </c>
      <c r="Q96" s="13"/>
      <c r="R96" s="13"/>
    </row>
    <row r="97" spans="1:19" ht="15" customHeight="1" thickBot="1" x14ac:dyDescent="0.3">
      <c r="A97" s="27"/>
      <c r="B97" s="42"/>
      <c r="C97" s="42"/>
      <c r="D97" s="42"/>
      <c r="E97" s="42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6"/>
      <c r="S97" s="6"/>
    </row>
    <row r="98" spans="1:19" ht="14.5" x14ac:dyDescent="0.25">
      <c r="B98" s="6"/>
      <c r="C98" s="6"/>
      <c r="D98" s="14"/>
      <c r="E98" s="6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6"/>
      <c r="S98" s="6"/>
    </row>
    <row r="99" spans="1:19" ht="14.5" x14ac:dyDescent="0.25">
      <c r="B99" s="6"/>
      <c r="C99" s="6"/>
      <c r="D99" s="14"/>
      <c r="E99" s="6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6"/>
      <c r="S99" s="6"/>
    </row>
    <row r="100" spans="1:19" x14ac:dyDescent="0.25">
      <c r="B100" s="6"/>
      <c r="C100" s="6"/>
      <c r="D100" s="6"/>
      <c r="E100" s="6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6"/>
      <c r="S100" s="6"/>
    </row>
  </sheetData>
  <sheetProtection sheet="1" objects="1" scenarios="1"/>
  <printOptions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20</vt:i4>
      </vt:variant>
    </vt:vector>
  </HeadingPairs>
  <TitlesOfParts>
    <vt:vector size="3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cash</vt:lpstr>
      <vt:lpstr>collect1</vt:lpstr>
      <vt:lpstr>collect2</vt:lpstr>
      <vt:lpstr>collect3</vt:lpstr>
      <vt:lpstr>exp0</vt:lpstr>
      <vt:lpstr>exp1</vt:lpstr>
      <vt:lpstr>exp2</vt:lpstr>
      <vt:lpstr>exptotal</vt:lpstr>
      <vt:lpstr>inv1</vt:lpstr>
      <vt:lpstr>inv2</vt:lpstr>
      <vt:lpstr>inv3</vt:lpstr>
      <vt:lpstr>invtotal</vt:lpstr>
      <vt:lpstr>pay0</vt:lpstr>
      <vt:lpstr>pay1</vt:lpstr>
      <vt:lpstr>pay2</vt:lpstr>
      <vt:lpstr>pay3</vt:lpstr>
      <vt:lpstr>wage1</vt:lpstr>
      <vt:lpstr>wage2</vt:lpstr>
      <vt:lpstr>wagetot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Hugh Hunter</dc:creator>
  <cp:keywords/>
  <dc:description/>
  <cp:lastModifiedBy>Carina Negreanu</cp:lastModifiedBy>
  <dcterms:created xsi:type="dcterms:W3CDTF">2020-01-27T10:27:28Z</dcterms:created>
  <dcterms:modified xsi:type="dcterms:W3CDTF">2020-01-27T10:27:34Z</dcterms:modified>
</cp:coreProperties>
</file>