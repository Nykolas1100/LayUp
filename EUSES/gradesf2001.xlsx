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84CB57-E95B-4DCF-BD18-E4949DE38399}" xr6:coauthVersionLast="45" xr6:coauthVersionMax="45" xr10:uidLastSave="{00000000-0000-0000-0000-000000000000}"/>
  <bookViews>
    <workbookView xWindow="380" yWindow="380" windowWidth="28800" windowHeight="15460" activeTab="2"/>
  </bookViews>
  <sheets>
    <sheet name="Sheet1" sheetId="4" r:id="rId1"/>
    <sheet name="355" sheetId="1" r:id="rId2"/>
    <sheet name="462" sheetId="2" r:id="rId3"/>
    <sheet name="110" sheetId="3" r:id="rId4"/>
  </sheets>
  <definedNames>
    <definedName name="Final">'355'!$AF:$AF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2" l="1"/>
  <c r="AF4" i="2"/>
  <c r="AF2" i="2"/>
  <c r="AF3" i="2"/>
  <c r="E6" i="1"/>
  <c r="E11" i="1"/>
  <c r="F11" i="1" s="1"/>
  <c r="AF11" i="1" s="1"/>
  <c r="E4" i="1"/>
  <c r="E8" i="1"/>
  <c r="E10" i="1"/>
  <c r="E5" i="1"/>
  <c r="E7" i="1"/>
  <c r="F7" i="1" s="1"/>
  <c r="AF7" i="1" s="1"/>
  <c r="F3" i="1"/>
  <c r="AF3" i="1" s="1"/>
  <c r="AG3" i="1" s="1"/>
  <c r="F4" i="1"/>
  <c r="AF4" i="1" s="1"/>
  <c r="AG4" i="1" s="1"/>
  <c r="F5" i="1"/>
  <c r="F6" i="1"/>
  <c r="F8" i="1"/>
  <c r="F9" i="1"/>
  <c r="AF9" i="1" s="1"/>
  <c r="F10" i="1"/>
  <c r="AF10" i="1" s="1"/>
  <c r="AG10" i="1" s="1"/>
  <c r="AM10" i="1" s="1"/>
  <c r="E2" i="1"/>
  <c r="E13" i="1" s="1"/>
  <c r="F13" i="1" s="1"/>
  <c r="E9" i="1"/>
  <c r="E3" i="1"/>
  <c r="E12" i="1"/>
  <c r="F12" i="1" s="1"/>
  <c r="AF12" i="1" s="1"/>
  <c r="AG12" i="1" s="1"/>
  <c r="AL12" i="1"/>
  <c r="AF11" i="2"/>
  <c r="AF12" i="2"/>
  <c r="AF13" i="2"/>
  <c r="AF14" i="2"/>
  <c r="AF15" i="2"/>
  <c r="AF5" i="2"/>
  <c r="AF6" i="2"/>
  <c r="AF8" i="2"/>
  <c r="AF9" i="2"/>
  <c r="R56" i="3"/>
  <c r="S56" i="3"/>
  <c r="T56" i="3"/>
  <c r="R6" i="3"/>
  <c r="R3" i="3"/>
  <c r="R4" i="3"/>
  <c r="R5" i="3"/>
  <c r="R8" i="3"/>
  <c r="R9" i="3"/>
  <c r="R10" i="3"/>
  <c r="R11" i="3"/>
  <c r="T11" i="3" s="1"/>
  <c r="R12" i="3"/>
  <c r="T12" i="3" s="1"/>
  <c r="R13" i="3"/>
  <c r="R14" i="3"/>
  <c r="R15" i="3"/>
  <c r="R16" i="3"/>
  <c r="T16" i="3" s="1"/>
  <c r="R17" i="3"/>
  <c r="T17" i="3" s="1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T32" i="3" s="1"/>
  <c r="R33" i="3"/>
  <c r="T33" i="3" s="1"/>
  <c r="R34" i="3"/>
  <c r="R35" i="3"/>
  <c r="T35" i="3" s="1"/>
  <c r="R36" i="3"/>
  <c r="T36" i="3" s="1"/>
  <c r="R37" i="3"/>
  <c r="T37" i="3" s="1"/>
  <c r="R38" i="3"/>
  <c r="R39" i="3"/>
  <c r="R40" i="3"/>
  <c r="R41" i="3"/>
  <c r="R42" i="3"/>
  <c r="R43" i="3"/>
  <c r="R44" i="3"/>
  <c r="R45" i="3"/>
  <c r="R46" i="3"/>
  <c r="R47" i="3"/>
  <c r="R48" i="3"/>
  <c r="S6" i="3"/>
  <c r="R7" i="3"/>
  <c r="R2" i="3"/>
  <c r="T2" i="3" s="1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2" i="3"/>
  <c r="S3" i="3"/>
  <c r="S4" i="3"/>
  <c r="T4" i="3" s="1"/>
  <c r="S5" i="3"/>
  <c r="T5" i="3" s="1"/>
  <c r="S7" i="3"/>
  <c r="T7" i="3" s="1"/>
  <c r="S8" i="3"/>
  <c r="S9" i="3"/>
  <c r="T9" i="3" s="1"/>
  <c r="S10" i="3"/>
  <c r="T10" i="3" s="1"/>
  <c r="S11" i="3"/>
  <c r="AF10" i="2"/>
  <c r="AC21" i="2"/>
  <c r="AC6" i="2"/>
  <c r="AG6" i="2" s="1"/>
  <c r="AI6" i="2" s="1"/>
  <c r="AC7" i="2"/>
  <c r="AC8" i="2"/>
  <c r="AA21" i="2"/>
  <c r="AA6" i="2"/>
  <c r="AA11" i="2"/>
  <c r="AA13" i="2"/>
  <c r="AA14" i="2"/>
  <c r="AA15" i="2"/>
  <c r="Z4" i="2"/>
  <c r="O5" i="2"/>
  <c r="P7" i="2"/>
  <c r="P3" i="2"/>
  <c r="P16" i="2" s="1"/>
  <c r="P8" i="2"/>
  <c r="P5" i="2"/>
  <c r="O15" i="2"/>
  <c r="O8" i="2"/>
  <c r="O2" i="2"/>
  <c r="O16" i="2" s="1"/>
  <c r="O3" i="2"/>
  <c r="O7" i="2"/>
  <c r="X11" i="2"/>
  <c r="X3" i="2"/>
  <c r="P11" i="2"/>
  <c r="N15" i="2"/>
  <c r="P9" i="2"/>
  <c r="AL3" i="1"/>
  <c r="AL4" i="1"/>
  <c r="AF5" i="1"/>
  <c r="AG5" i="1" s="1"/>
  <c r="AM5" i="1" s="1"/>
  <c r="AL5" i="1"/>
  <c r="AF6" i="1"/>
  <c r="AL6" i="1"/>
  <c r="AL7" i="1"/>
  <c r="AF8" i="1"/>
  <c r="AL8" i="1"/>
  <c r="AL9" i="1"/>
  <c r="AL13" i="1" s="1"/>
  <c r="AL10" i="1"/>
  <c r="AL11" i="1"/>
  <c r="AL2" i="1"/>
  <c r="AC9" i="1"/>
  <c r="T28" i="3"/>
  <c r="T29" i="3"/>
  <c r="T26" i="3"/>
  <c r="T15" i="3"/>
  <c r="T38" i="3"/>
  <c r="T34" i="3"/>
  <c r="T24" i="3"/>
  <c r="T8" i="3"/>
  <c r="T22" i="3"/>
  <c r="T25" i="3"/>
  <c r="T3" i="3"/>
  <c r="T13" i="3"/>
  <c r="T14" i="3"/>
  <c r="T18" i="3"/>
  <c r="T19" i="3"/>
  <c r="T20" i="3"/>
  <c r="T21" i="3"/>
  <c r="T23" i="3"/>
  <c r="T27" i="3"/>
  <c r="T30" i="3"/>
  <c r="T31" i="3"/>
  <c r="T39" i="3"/>
  <c r="T40" i="3"/>
  <c r="T41" i="3"/>
  <c r="T42" i="3"/>
  <c r="T43" i="3"/>
  <c r="T44" i="3"/>
  <c r="T45" i="3"/>
  <c r="T46" i="3"/>
  <c r="T47" i="3"/>
  <c r="T48" i="3"/>
  <c r="Q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C49" i="3"/>
  <c r="AA4" i="1"/>
  <c r="AI5" i="1"/>
  <c r="AH3" i="1"/>
  <c r="AH13" i="1" s="1"/>
  <c r="AH4" i="1"/>
  <c r="AH5" i="1"/>
  <c r="AH6" i="1"/>
  <c r="AH7" i="1"/>
  <c r="AH8" i="1"/>
  <c r="AH9" i="1"/>
  <c r="AH10" i="1"/>
  <c r="AH11" i="1"/>
  <c r="AH12" i="1"/>
  <c r="AE3" i="1"/>
  <c r="AE4" i="1"/>
  <c r="AE12" i="1"/>
  <c r="AJ13" i="1"/>
  <c r="AB2" i="1"/>
  <c r="AC2" i="1"/>
  <c r="Y12" i="1"/>
  <c r="AC7" i="1"/>
  <c r="AC13" i="1" s="1"/>
  <c r="AA7" i="1"/>
  <c r="Z9" i="1"/>
  <c r="AB9" i="1"/>
  <c r="AC6" i="1"/>
  <c r="AA6" i="1"/>
  <c r="X13" i="2"/>
  <c r="X8" i="2"/>
  <c r="AA8" i="2" s="1"/>
  <c r="X7" i="2"/>
  <c r="X4" i="2"/>
  <c r="AA4" i="2" s="1"/>
  <c r="X2" i="2"/>
  <c r="X10" i="2"/>
  <c r="AA10" i="2" s="1"/>
  <c r="X5" i="2"/>
  <c r="AA5" i="2" s="1"/>
  <c r="Y7" i="1"/>
  <c r="P10" i="2"/>
  <c r="O10" i="2"/>
  <c r="O11" i="2"/>
  <c r="W7" i="2"/>
  <c r="V7" i="2"/>
  <c r="AA7" i="2" s="1"/>
  <c r="N8" i="2"/>
  <c r="M8" i="2"/>
  <c r="N11" i="2"/>
  <c r="M11" i="2"/>
  <c r="Q16" i="2"/>
  <c r="R16" i="2"/>
  <c r="S16" i="2"/>
  <c r="T16" i="2"/>
  <c r="U16" i="2"/>
  <c r="J16" i="2"/>
  <c r="K16" i="2"/>
  <c r="L16" i="2"/>
  <c r="M7" i="2"/>
  <c r="N7" i="2"/>
  <c r="C2" i="2"/>
  <c r="C16" i="2" s="1"/>
  <c r="D2" i="2"/>
  <c r="AC2" i="2" s="1"/>
  <c r="E2" i="2"/>
  <c r="Z2" i="2" s="1"/>
  <c r="F2" i="2"/>
  <c r="G2" i="2"/>
  <c r="H2" i="2"/>
  <c r="I2" i="2"/>
  <c r="K2" i="2"/>
  <c r="M2" i="2"/>
  <c r="M16" i="2" s="1"/>
  <c r="N2" i="2"/>
  <c r="N16" i="2" s="1"/>
  <c r="V2" i="2"/>
  <c r="V16" i="2" s="1"/>
  <c r="C3" i="2"/>
  <c r="D3" i="2"/>
  <c r="F3" i="2"/>
  <c r="F16" i="2" s="1"/>
  <c r="G3" i="2"/>
  <c r="G16" i="2" s="1"/>
  <c r="I3" i="2"/>
  <c r="J3" i="2"/>
  <c r="K3" i="2"/>
  <c r="M3" i="2"/>
  <c r="V3" i="2"/>
  <c r="AA3" i="2" s="1"/>
  <c r="W3" i="2"/>
  <c r="W16" i="2" s="1"/>
  <c r="C4" i="2"/>
  <c r="D4" i="2"/>
  <c r="AC4" i="2" s="1"/>
  <c r="E4" i="2"/>
  <c r="I4" i="2"/>
  <c r="K4" i="2"/>
  <c r="M4" i="2"/>
  <c r="C5" i="2"/>
  <c r="D5" i="2"/>
  <c r="AC5" i="2" s="1"/>
  <c r="E5" i="2"/>
  <c r="Z5" i="2" s="1"/>
  <c r="AB5" i="2" s="1"/>
  <c r="F5" i="2"/>
  <c r="G5" i="2"/>
  <c r="H5" i="2"/>
  <c r="H16" i="2" s="1"/>
  <c r="I5" i="2"/>
  <c r="I16" i="2" s="1"/>
  <c r="M5" i="2"/>
  <c r="V5" i="2"/>
  <c r="C6" i="2"/>
  <c r="D6" i="2"/>
  <c r="E6" i="2"/>
  <c r="Z6" i="2" s="1"/>
  <c r="AB6" i="2" s="1"/>
  <c r="G6" i="2"/>
  <c r="H6" i="2"/>
  <c r="C7" i="2"/>
  <c r="D7" i="2"/>
  <c r="E7" i="2"/>
  <c r="Z7" i="2" s="1"/>
  <c r="G7" i="2"/>
  <c r="H7" i="2"/>
  <c r="I7" i="2"/>
  <c r="C8" i="2"/>
  <c r="D8" i="2"/>
  <c r="E8" i="2"/>
  <c r="Z8" i="2" s="1"/>
  <c r="AB8" i="2" s="1"/>
  <c r="F8" i="2"/>
  <c r="G8" i="2"/>
  <c r="D9" i="2"/>
  <c r="AC9" i="2" s="1"/>
  <c r="E9" i="2"/>
  <c r="Z9" i="2" s="1"/>
  <c r="F9" i="2"/>
  <c r="G9" i="2"/>
  <c r="H9" i="2"/>
  <c r="M9" i="2"/>
  <c r="N9" i="2"/>
  <c r="V9" i="2"/>
  <c r="AA9" i="2" s="1"/>
  <c r="W9" i="2"/>
  <c r="C10" i="2"/>
  <c r="D10" i="2"/>
  <c r="AC10" i="2" s="1"/>
  <c r="E10" i="2"/>
  <c r="Z10" i="2" s="1"/>
  <c r="AB10" i="2" s="1"/>
  <c r="F10" i="2"/>
  <c r="G10" i="2"/>
  <c r="H10" i="2"/>
  <c r="I10" i="2"/>
  <c r="N10" i="2"/>
  <c r="C11" i="2"/>
  <c r="C22" i="2" s="1"/>
  <c r="E11" i="2"/>
  <c r="Z11" i="2" s="1"/>
  <c r="AB11" i="2" s="1"/>
  <c r="F11" i="2"/>
  <c r="G11" i="2"/>
  <c r="H11" i="2"/>
  <c r="K11" i="2"/>
  <c r="C12" i="2"/>
  <c r="D12" i="2"/>
  <c r="AC12" i="2" s="1"/>
  <c r="E12" i="2"/>
  <c r="Z12" i="2" s="1"/>
  <c r="F12" i="2"/>
  <c r="I12" i="2"/>
  <c r="K12" i="2"/>
  <c r="N12" i="2"/>
  <c r="V12" i="2"/>
  <c r="AA12" i="2" s="1"/>
  <c r="W12" i="2"/>
  <c r="C13" i="2"/>
  <c r="D13" i="2"/>
  <c r="AC13" i="2" s="1"/>
  <c r="E13" i="2"/>
  <c r="Z13" i="2" s="1"/>
  <c r="AB13" i="2" s="1"/>
  <c r="F13" i="2"/>
  <c r="G13" i="2"/>
  <c r="H13" i="2"/>
  <c r="I13" i="2"/>
  <c r="J13" i="2"/>
  <c r="K13" i="2"/>
  <c r="M13" i="2"/>
  <c r="N13" i="2"/>
  <c r="C14" i="2"/>
  <c r="D14" i="2"/>
  <c r="AC14" i="2" s="1"/>
  <c r="E14" i="2"/>
  <c r="Z14" i="2" s="1"/>
  <c r="AB14" i="2" s="1"/>
  <c r="F14" i="2"/>
  <c r="G14" i="2"/>
  <c r="K14" i="2"/>
  <c r="C15" i="2"/>
  <c r="D15" i="2" s="1"/>
  <c r="AC15" i="2" s="1"/>
  <c r="E15" i="2"/>
  <c r="Z15" i="2" s="1"/>
  <c r="AB15" i="2" s="1"/>
  <c r="F15" i="2"/>
  <c r="H15" i="2"/>
  <c r="I15" i="2"/>
  <c r="J15" i="2"/>
  <c r="M15" i="2"/>
  <c r="M21" i="2"/>
  <c r="AA3" i="1"/>
  <c r="AC8" i="1"/>
  <c r="AB8" i="1"/>
  <c r="AB4" i="1"/>
  <c r="AB13" i="1" s="1"/>
  <c r="AC4" i="1"/>
  <c r="AA10" i="1"/>
  <c r="AH2" i="1"/>
  <c r="AE2" i="1"/>
  <c r="M13" i="1"/>
  <c r="O13" i="1"/>
  <c r="N13" i="1"/>
  <c r="AA2" i="1"/>
  <c r="AA13" i="1" s="1"/>
  <c r="AC3" i="1"/>
  <c r="AB3" i="1"/>
  <c r="AC5" i="1"/>
  <c r="AB5" i="1"/>
  <c r="K21" i="2"/>
  <c r="AC10" i="1"/>
  <c r="AB10" i="1"/>
  <c r="AB11" i="1"/>
  <c r="Z11" i="1"/>
  <c r="Z2" i="1"/>
  <c r="Z13" i="1" s="1"/>
  <c r="Z8" i="1"/>
  <c r="Z12" i="1"/>
  <c r="Z3" i="1"/>
  <c r="Z6" i="1"/>
  <c r="Z10" i="1"/>
  <c r="Z5" i="1"/>
  <c r="Y11" i="1"/>
  <c r="X7" i="1"/>
  <c r="Z4" i="1"/>
  <c r="Y5" i="1"/>
  <c r="Y10" i="1"/>
  <c r="Y9" i="1"/>
  <c r="Y4" i="1"/>
  <c r="X4" i="1"/>
  <c r="Y8" i="1"/>
  <c r="X5" i="1"/>
  <c r="X9" i="1"/>
  <c r="X3" i="1"/>
  <c r="V7" i="1"/>
  <c r="X10" i="1"/>
  <c r="X2" i="1"/>
  <c r="X13" i="1" s="1"/>
  <c r="X8" i="1"/>
  <c r="W2" i="1"/>
  <c r="W3" i="1"/>
  <c r="W6" i="1"/>
  <c r="W8" i="1"/>
  <c r="W9" i="1"/>
  <c r="W10" i="1"/>
  <c r="W13" i="1" s="1"/>
  <c r="W11" i="1"/>
  <c r="W12" i="1"/>
  <c r="Y3" i="1"/>
  <c r="Y2" i="1"/>
  <c r="Y13" i="1" s="1"/>
  <c r="K13" i="1"/>
  <c r="L13" i="1"/>
  <c r="V2" i="1"/>
  <c r="V13" i="1" s="1"/>
  <c r="U2" i="1"/>
  <c r="AI2" i="1" s="1"/>
  <c r="V11" i="1"/>
  <c r="V10" i="1"/>
  <c r="V6" i="1"/>
  <c r="V9" i="1"/>
  <c r="V4" i="1"/>
  <c r="AI4" i="1" s="1"/>
  <c r="V5" i="1"/>
  <c r="C2" i="1"/>
  <c r="D2" i="1"/>
  <c r="C3" i="1"/>
  <c r="D3" i="1"/>
  <c r="C4" i="1"/>
  <c r="C13" i="1" s="1"/>
  <c r="D4" i="1"/>
  <c r="C5" i="1"/>
  <c r="D5" i="1" s="1"/>
  <c r="AE5" i="1" s="1"/>
  <c r="C6" i="1"/>
  <c r="D6" i="1"/>
  <c r="AE6" i="1" s="1"/>
  <c r="AG6" i="1" s="1"/>
  <c r="C7" i="1"/>
  <c r="D7" i="1"/>
  <c r="AE7" i="1" s="1"/>
  <c r="C8" i="1"/>
  <c r="D8" i="1"/>
  <c r="AE8" i="1" s="1"/>
  <c r="AG8" i="1" s="1"/>
  <c r="AM8" i="1" s="1"/>
  <c r="C9" i="1"/>
  <c r="D9" i="1" s="1"/>
  <c r="AE9" i="1" s="1"/>
  <c r="C10" i="1"/>
  <c r="D10" i="1"/>
  <c r="AE10" i="1" s="1"/>
  <c r="C11" i="1"/>
  <c r="D11" i="1" s="1"/>
  <c r="AE11" i="1" s="1"/>
  <c r="C12" i="1"/>
  <c r="D12" i="1"/>
  <c r="V3" i="1"/>
  <c r="V8" i="1"/>
  <c r="U4" i="1"/>
  <c r="U6" i="1"/>
  <c r="U8" i="1"/>
  <c r="U7" i="1"/>
  <c r="U5" i="1"/>
  <c r="U10" i="1"/>
  <c r="U12" i="1"/>
  <c r="U3" i="1"/>
  <c r="U11" i="1"/>
  <c r="T8" i="1"/>
  <c r="T11" i="1"/>
  <c r="T10" i="1"/>
  <c r="T6" i="1"/>
  <c r="T13" i="1" s="1"/>
  <c r="T9" i="1"/>
  <c r="T3" i="1"/>
  <c r="T2" i="1"/>
  <c r="T12" i="1"/>
  <c r="T5" i="1"/>
  <c r="J13" i="1"/>
  <c r="S6" i="1"/>
  <c r="I13" i="1"/>
  <c r="S12" i="1"/>
  <c r="AI12" i="1" s="1"/>
  <c r="S11" i="1"/>
  <c r="AI11" i="1" s="1"/>
  <c r="S10" i="1"/>
  <c r="AI10" i="1" s="1"/>
  <c r="S9" i="1"/>
  <c r="AI9" i="1" s="1"/>
  <c r="S8" i="1"/>
  <c r="AI8" i="1" s="1"/>
  <c r="S7" i="1"/>
  <c r="AI7" i="1" s="1"/>
  <c r="S5" i="1"/>
  <c r="S3" i="1"/>
  <c r="S13" i="1" s="1"/>
  <c r="Q13" i="1"/>
  <c r="H13" i="1"/>
  <c r="S2" i="1"/>
  <c r="R13" i="1"/>
  <c r="G13" i="1"/>
  <c r="C21" i="2"/>
  <c r="D21" i="2"/>
  <c r="E21" i="2"/>
  <c r="Z21" i="2" s="1"/>
  <c r="AB21" i="2" s="1"/>
  <c r="T6" i="3"/>
  <c r="AG9" i="1" l="1"/>
  <c r="AM9" i="1" s="1"/>
  <c r="AG5" i="2"/>
  <c r="AI5" i="2" s="1"/>
  <c r="AG13" i="2"/>
  <c r="AI13" i="2" s="1"/>
  <c r="AM4" i="1"/>
  <c r="AG21" i="2"/>
  <c r="AI21" i="2" s="1"/>
  <c r="AG15" i="2"/>
  <c r="AI15" i="2" s="1"/>
  <c r="AG14" i="2"/>
  <c r="AI14" i="2" s="1"/>
  <c r="AG10" i="2"/>
  <c r="AI10" i="2" s="1"/>
  <c r="AG11" i="1"/>
  <c r="AM11" i="1" s="1"/>
  <c r="AE13" i="1"/>
  <c r="AG12" i="2"/>
  <c r="AI12" i="2" s="1"/>
  <c r="AB7" i="2"/>
  <c r="AG7" i="2" s="1"/>
  <c r="AI7" i="2" s="1"/>
  <c r="AG11" i="2"/>
  <c r="AI11" i="2" s="1"/>
  <c r="AG8" i="2"/>
  <c r="AI8" i="2" s="1"/>
  <c r="AG7" i="1"/>
  <c r="AM7" i="1" s="1"/>
  <c r="T49" i="3"/>
  <c r="D13" i="1"/>
  <c r="AM12" i="1"/>
  <c r="AB12" i="2"/>
  <c r="AB9" i="2"/>
  <c r="AG9" i="2"/>
  <c r="AI9" i="2" s="1"/>
  <c r="AB4" i="2"/>
  <c r="AG4" i="2" s="1"/>
  <c r="AI4" i="2" s="1"/>
  <c r="AI3" i="1"/>
  <c r="AM3" i="1" s="1"/>
  <c r="AA2" i="2"/>
  <c r="AB2" i="2" s="1"/>
  <c r="AG2" i="2" s="1"/>
  <c r="Z3" i="2"/>
  <c r="AB3" i="2" s="1"/>
  <c r="D11" i="2"/>
  <c r="AC11" i="2" s="1"/>
  <c r="S49" i="3"/>
  <c r="AC3" i="2"/>
  <c r="AG3" i="2" s="1"/>
  <c r="AI3" i="2" s="1"/>
  <c r="D16" i="2"/>
  <c r="E16" i="2"/>
  <c r="R49" i="3"/>
  <c r="AI6" i="1"/>
  <c r="AM6" i="1" s="1"/>
  <c r="U13" i="1"/>
  <c r="F2" i="1"/>
  <c r="AF2" i="1" s="1"/>
  <c r="AG16" i="2" l="1"/>
  <c r="AI2" i="2"/>
  <c r="AI16" i="2" s="1"/>
  <c r="AI13" i="1"/>
  <c r="D22" i="2"/>
  <c r="AG2" i="1"/>
  <c r="AF13" i="1"/>
  <c r="AM2" i="1" l="1"/>
  <c r="AM13" i="1" s="1"/>
  <c r="AG13" i="1"/>
</calcChain>
</file>

<file path=xl/sharedStrings.xml><?xml version="1.0" encoding="utf-8"?>
<sst xmlns="http://schemas.openxmlformats.org/spreadsheetml/2006/main" count="394" uniqueCount="204">
  <si>
    <t>Name</t>
  </si>
  <si>
    <t>Badge, Brandi</t>
  </si>
  <si>
    <t>Connolly, John</t>
  </si>
  <si>
    <t>Domitrovich, Donald</t>
  </si>
  <si>
    <t>Dubose, William</t>
  </si>
  <si>
    <t>Dusak, Russell</t>
  </si>
  <si>
    <t>Dysinger, Stephanie</t>
  </si>
  <si>
    <t>Glogowski, Amy</t>
  </si>
  <si>
    <t>Grund, Michelle</t>
  </si>
  <si>
    <t>Kassin, Russell</t>
  </si>
  <si>
    <t>Scott, Christopher</t>
  </si>
  <si>
    <t>Spaulding, Brandon</t>
  </si>
  <si>
    <t>Quiz 1</t>
  </si>
  <si>
    <t>Average</t>
  </si>
  <si>
    <t>Bartels, Mark</t>
  </si>
  <si>
    <t>Brandemuehl, Casey</t>
  </si>
  <si>
    <t>Carter, John</t>
  </si>
  <si>
    <t>Champion, Deborah</t>
  </si>
  <si>
    <t>Clark-Johnson, Becca</t>
  </si>
  <si>
    <t>Curry, Nathan</t>
  </si>
  <si>
    <t>Daggett, Nicole</t>
  </si>
  <si>
    <t>Diedrick, Rebecca</t>
  </si>
  <si>
    <t>Douglass, Sarah</t>
  </si>
  <si>
    <t>Dreher, Easton</t>
  </si>
  <si>
    <t>Ellis, Britnee</t>
  </si>
  <si>
    <t>Ellis, Ian</t>
  </si>
  <si>
    <t>Erickson, stacy</t>
  </si>
  <si>
    <t>Ervin, Matthew</t>
  </si>
  <si>
    <t>Falotico, Joseph</t>
  </si>
  <si>
    <t>Fitting, Eric</t>
  </si>
  <si>
    <t>Fortin, Brent</t>
  </si>
  <si>
    <t>Gallino, Jeffrey</t>
  </si>
  <si>
    <t>Geborkoff, Marc</t>
  </si>
  <si>
    <t>Graham, Joseph</t>
  </si>
  <si>
    <t>Graves-Wesolosky, Alexandra</t>
  </si>
  <si>
    <t>Guy, Kalli</t>
  </si>
  <si>
    <t>Hawley, Sabrina</t>
  </si>
  <si>
    <t>Kurtz, Pamela</t>
  </si>
  <si>
    <t>Lazur, John</t>
  </si>
  <si>
    <t>LeClaire, Craig</t>
  </si>
  <si>
    <t>Lemke, Michael</t>
  </si>
  <si>
    <t>Miron, Stefanie</t>
  </si>
  <si>
    <t>Moskwa, Jarett</t>
  </si>
  <si>
    <t>Murphy, Peter</t>
  </si>
  <si>
    <t>Oliverio, Gregory</t>
  </si>
  <si>
    <t>Pepin, Kimberley</t>
  </si>
  <si>
    <t>Peitrzak, John</t>
  </si>
  <si>
    <t>Rounds, Angela</t>
  </si>
  <si>
    <t>Rowe, Bradley</t>
  </si>
  <si>
    <t>Ruleau, Robert</t>
  </si>
  <si>
    <t>Schall, Robert</t>
  </si>
  <si>
    <t>Schimnich, Craig</t>
  </si>
  <si>
    <t>Schumann, Kayla</t>
  </si>
  <si>
    <t>Sherman, Randi</t>
  </si>
  <si>
    <t>Spence, Elizabeth</t>
  </si>
  <si>
    <t>Stevenson, Patrick</t>
  </si>
  <si>
    <t>Sullivan, James</t>
  </si>
  <si>
    <t>Thomas, Larry</t>
  </si>
  <si>
    <t>Ungrodt, Daniel</t>
  </si>
  <si>
    <t>Williford, Travis</t>
  </si>
  <si>
    <t>Yates, Katelyn</t>
  </si>
  <si>
    <t>Young, Eric</t>
  </si>
  <si>
    <t>Assignment 1</t>
  </si>
  <si>
    <t>Assignment 3</t>
  </si>
  <si>
    <t>Patrick, Amanda</t>
  </si>
  <si>
    <t>Hetzner, Michael</t>
  </si>
  <si>
    <t>Hill, Peter</t>
  </si>
  <si>
    <t>Kayser, David</t>
  </si>
  <si>
    <t>Matacz, Damian</t>
  </si>
  <si>
    <t>Ostola, Adam</t>
  </si>
  <si>
    <t>White, Bryan</t>
  </si>
  <si>
    <t>Dickson, Keith</t>
  </si>
  <si>
    <t>Chapter1</t>
  </si>
  <si>
    <t>Chapter2</t>
  </si>
  <si>
    <t>Chapter3</t>
  </si>
  <si>
    <t>Decker, Joe</t>
  </si>
  <si>
    <t>Quiz 2</t>
  </si>
  <si>
    <t>Quiz 3</t>
  </si>
  <si>
    <t>red means late</t>
  </si>
  <si>
    <t>red &amp; italicized means late and wrong</t>
  </si>
  <si>
    <t>Assignment 2WD.2</t>
  </si>
  <si>
    <t>Quiz 4</t>
  </si>
  <si>
    <t>problem checked</t>
  </si>
  <si>
    <t>Chapter6&amp;7</t>
  </si>
  <si>
    <t>Chapter8&amp;9</t>
  </si>
  <si>
    <t>Exam1</t>
  </si>
  <si>
    <t>sent email</t>
  </si>
  <si>
    <t>Chapter19&amp;10</t>
  </si>
  <si>
    <t>WORDExam2</t>
  </si>
  <si>
    <t>Melnick, Rachel</t>
  </si>
  <si>
    <t>Assignment 1C9</t>
  </si>
  <si>
    <t>Assignment 2C6</t>
  </si>
  <si>
    <t>Assignment 3C7</t>
  </si>
  <si>
    <t>midterm-raw</t>
  </si>
  <si>
    <t>midterm-adj</t>
  </si>
  <si>
    <t>** will count beginning homework less</t>
  </si>
  <si>
    <t>MidTerm</t>
  </si>
  <si>
    <t>Homework 3C6</t>
  </si>
  <si>
    <t>Homework 4C7</t>
  </si>
  <si>
    <t>Homework 5C8</t>
  </si>
  <si>
    <t>Homework 6C9</t>
  </si>
  <si>
    <t>Homework 7C14</t>
  </si>
  <si>
    <t>Homework 8C12</t>
  </si>
  <si>
    <t>Homework9C10</t>
  </si>
  <si>
    <t>Homework10C11</t>
  </si>
  <si>
    <t>Homework11C16</t>
  </si>
  <si>
    <t>Homework12C17</t>
  </si>
  <si>
    <t>Homework 1TVM</t>
  </si>
  <si>
    <t>Homework 2 C13</t>
  </si>
  <si>
    <t>wrong assignment</t>
  </si>
  <si>
    <r>
      <t>Wakeham</t>
    </r>
    <r>
      <rPr>
        <b/>
        <sz val="10"/>
        <color indexed="10"/>
        <rFont val="Arial"/>
        <family val="2"/>
      </rPr>
      <t>**</t>
    </r>
    <r>
      <rPr>
        <b/>
        <sz val="10"/>
        <color indexed="17"/>
        <rFont val="Arial"/>
        <family val="2"/>
      </rPr>
      <t>, Crystal</t>
    </r>
  </si>
  <si>
    <t>Assignment 4C8-9</t>
  </si>
  <si>
    <t>Quiz annuities</t>
  </si>
  <si>
    <t>Chapter14</t>
  </si>
  <si>
    <t>Chapter11</t>
  </si>
  <si>
    <t>Chapter13&amp;16</t>
  </si>
  <si>
    <t>Chapter15</t>
  </si>
  <si>
    <t>EXCELExam3</t>
  </si>
  <si>
    <t>Assignment 6Excel3</t>
  </si>
  <si>
    <t>Assignment 5E2</t>
  </si>
  <si>
    <t>Assignment 4E1</t>
  </si>
  <si>
    <t>Assignment 7Access1</t>
  </si>
  <si>
    <t>Assignment 8 Access 2</t>
  </si>
  <si>
    <t>Red means not correct</t>
  </si>
  <si>
    <t>Esposito, Joseph</t>
  </si>
  <si>
    <t>none</t>
  </si>
  <si>
    <t>number</t>
  </si>
  <si>
    <t>QuizC15</t>
  </si>
  <si>
    <t>Chapter23</t>
  </si>
  <si>
    <t>Chapter24</t>
  </si>
  <si>
    <t>late</t>
  </si>
  <si>
    <t>Chapter22</t>
  </si>
  <si>
    <t>QuizC22</t>
  </si>
  <si>
    <t>QuizC23</t>
  </si>
  <si>
    <t>not taken</t>
  </si>
  <si>
    <t>Final</t>
  </si>
  <si>
    <t>Quiz</t>
  </si>
  <si>
    <t>Homework</t>
  </si>
  <si>
    <t>Final-Raw</t>
  </si>
  <si>
    <t>Final Score</t>
  </si>
  <si>
    <t xml:space="preserve">20% of the grade will come from a comprehensive final, the other 80% will come from </t>
  </si>
  <si>
    <t>quizzes (25%), homework (25%), and a project and project presentation (30%) </t>
  </si>
  <si>
    <t>Assignment 9 PP 1</t>
  </si>
  <si>
    <t>Assignment10 PP 2</t>
  </si>
  <si>
    <t>Assignment 6c2</t>
  </si>
  <si>
    <t>Assignment 7c3</t>
  </si>
  <si>
    <t>all</t>
  </si>
  <si>
    <t>project presn</t>
  </si>
  <si>
    <t>AccessExam4</t>
  </si>
  <si>
    <t>Left saying she would turn in test later.  I said nope.</t>
  </si>
  <si>
    <t>Assignment 8c14</t>
  </si>
  <si>
    <t>project</t>
  </si>
  <si>
    <t>not turned in</t>
  </si>
  <si>
    <t>Test Score</t>
  </si>
  <si>
    <t>combined</t>
  </si>
  <si>
    <t>0% put in to average for final grade</t>
  </si>
  <si>
    <t>Homework AVG</t>
  </si>
  <si>
    <t>Test AVG</t>
  </si>
  <si>
    <t>PPExam</t>
  </si>
  <si>
    <t>A</t>
  </si>
  <si>
    <t>93-100</t>
  </si>
  <si>
    <t>B</t>
  </si>
  <si>
    <t>83-86</t>
  </si>
  <si>
    <t>C</t>
  </si>
  <si>
    <t>73-76</t>
  </si>
  <si>
    <t>D</t>
  </si>
  <si>
    <t>63-66</t>
  </si>
  <si>
    <t>A-</t>
  </si>
  <si>
    <t>90-92</t>
  </si>
  <si>
    <t>B-</t>
  </si>
  <si>
    <t>80-82</t>
  </si>
  <si>
    <t>C-</t>
  </si>
  <si>
    <t>70-72</t>
  </si>
  <si>
    <t>D-</t>
  </si>
  <si>
    <t>60-62</t>
  </si>
  <si>
    <t>B+</t>
  </si>
  <si>
    <t>87-89</t>
  </si>
  <si>
    <t>C+</t>
  </si>
  <si>
    <t>77-79</t>
  </si>
  <si>
    <t>D+</t>
  </si>
  <si>
    <t>67-69</t>
  </si>
  <si>
    <t>F</t>
  </si>
  <si>
    <t>00-59</t>
  </si>
  <si>
    <t>Homework13C18--extra credit</t>
  </si>
  <si>
    <t>Homwork Avg</t>
  </si>
  <si>
    <t>Asgn Avg</t>
  </si>
  <si>
    <t>30% of the grade will come from a comprehensive final, the other 70% will come from a mid-term (15%), homework (55%)</t>
  </si>
  <si>
    <t>HWAVG</t>
  </si>
  <si>
    <t>MidTrm</t>
  </si>
  <si>
    <t xml:space="preserve">score </t>
  </si>
  <si>
    <t>grade</t>
  </si>
  <si>
    <t>Final 70%</t>
  </si>
  <si>
    <t>Final30%</t>
  </si>
  <si>
    <t>Final Avg</t>
  </si>
  <si>
    <t>Avg</t>
  </si>
  <si>
    <t>Grade</t>
  </si>
  <si>
    <t>I</t>
  </si>
  <si>
    <t xml:space="preserve">C </t>
  </si>
  <si>
    <t xml:space="preserve"> B</t>
  </si>
  <si>
    <t>HAVE</t>
  </si>
  <si>
    <t xml:space="preserve">A </t>
  </si>
  <si>
    <t>ADJSCORE</t>
  </si>
  <si>
    <t xml:space="preserve">D </t>
  </si>
  <si>
    <t xml:space="preserve">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</si>
</sst>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17" x14ac:knownFonts="1">
    <font>
      <sz val="10"/>
      <name val="Arial"/>
    </font>
    <font>
      <sz val="10"/>
      <name val="Arial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i/>
      <sz val="10"/>
      <color indexed="10"/>
      <name val="Arial"/>
      <family val="2"/>
    </font>
    <font>
      <b/>
      <i/>
      <sz val="10"/>
      <color indexed="10"/>
      <name val="Arial"/>
      <family val="2"/>
    </font>
    <font>
      <sz val="10"/>
      <name val="Arial"/>
      <family val="2"/>
    </font>
    <font>
      <b/>
      <sz val="10"/>
      <color indexed="17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0"/>
      <color indexed="57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b/>
      <i/>
      <u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8"/>
      <name val="Arial"/>
      <family val="2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9" fontId="0" fillId="0" borderId="0" xfId="0" applyNumberFormat="1"/>
    <xf numFmtId="9" fontId="0" fillId="0" borderId="0" xfId="1" applyFont="1"/>
    <xf numFmtId="9" fontId="2" fillId="0" borderId="0" xfId="1" applyFont="1"/>
    <xf numFmtId="0" fontId="3" fillId="0" borderId="0" xfId="0" applyFont="1"/>
    <xf numFmtId="9" fontId="4" fillId="0" borderId="0" xfId="1" applyFont="1"/>
    <xf numFmtId="0" fontId="5" fillId="0" borderId="0" xfId="0" applyFont="1"/>
    <xf numFmtId="0" fontId="0" fillId="2" borderId="0" xfId="0" applyFill="1"/>
    <xf numFmtId="9" fontId="0" fillId="2" borderId="0" xfId="1" applyFont="1" applyFill="1"/>
    <xf numFmtId="9" fontId="6" fillId="0" borderId="0" xfId="1" applyFont="1"/>
    <xf numFmtId="0" fontId="7" fillId="0" borderId="0" xfId="0" applyFont="1"/>
    <xf numFmtId="0" fontId="7" fillId="2" borderId="0" xfId="0" applyFont="1" applyFill="1"/>
    <xf numFmtId="15" fontId="0" fillId="0" borderId="0" xfId="0" applyNumberFormat="1"/>
    <xf numFmtId="9" fontId="3" fillId="2" borderId="0" xfId="1" applyFont="1" applyFill="1"/>
    <xf numFmtId="172" fontId="7" fillId="0" borderId="0" xfId="1" applyNumberFormat="1" applyFont="1"/>
    <xf numFmtId="172" fontId="0" fillId="0" borderId="0" xfId="0" applyNumberFormat="1"/>
    <xf numFmtId="0" fontId="0" fillId="0" borderId="0" xfId="0" applyFill="1"/>
    <xf numFmtId="9" fontId="0" fillId="0" borderId="0" xfId="1" applyFont="1" applyFill="1"/>
    <xf numFmtId="0" fontId="8" fillId="0" borderId="0" xfId="0" applyFont="1"/>
    <xf numFmtId="172" fontId="8" fillId="0" borderId="0" xfId="0" applyNumberFormat="1" applyFont="1"/>
    <xf numFmtId="0" fontId="7" fillId="0" borderId="0" xfId="0" applyFont="1" applyFill="1"/>
    <xf numFmtId="172" fontId="7" fillId="0" borderId="0" xfId="0" applyNumberFormat="1" applyFont="1" applyFill="1"/>
    <xf numFmtId="172" fontId="9" fillId="0" borderId="0" xfId="1" applyNumberFormat="1" applyFont="1"/>
    <xf numFmtId="172" fontId="9" fillId="0" borderId="0" xfId="0" applyNumberFormat="1" applyFont="1"/>
    <xf numFmtId="9" fontId="3" fillId="0" borderId="0" xfId="1" applyFont="1"/>
    <xf numFmtId="0" fontId="10" fillId="0" borderId="0" xfId="0" applyFont="1"/>
    <xf numFmtId="9" fontId="10" fillId="0" borderId="0" xfId="0" applyNumberFormat="1" applyFont="1"/>
    <xf numFmtId="9" fontId="2" fillId="0" borderId="0" xfId="1" applyFont="1" applyFill="1"/>
    <xf numFmtId="2" fontId="0" fillId="0" borderId="0" xfId="0" applyNumberFormat="1"/>
    <xf numFmtId="9" fontId="5" fillId="0" borderId="0" xfId="0" applyNumberFormat="1" applyFont="1"/>
    <xf numFmtId="9" fontId="11" fillId="0" borderId="0" xfId="1" applyFont="1"/>
    <xf numFmtId="9" fontId="8" fillId="0" borderId="0" xfId="1" applyFont="1"/>
    <xf numFmtId="0" fontId="6" fillId="0" borderId="0" xfId="0" applyFont="1"/>
    <xf numFmtId="172" fontId="6" fillId="0" borderId="0" xfId="1" applyNumberFormat="1" applyFont="1"/>
    <xf numFmtId="172" fontId="6" fillId="0" borderId="0" xfId="0" applyNumberFormat="1" applyFont="1"/>
    <xf numFmtId="9" fontId="6" fillId="0" borderId="0" xfId="0" applyNumberFormat="1" applyFont="1"/>
    <xf numFmtId="0" fontId="12" fillId="0" borderId="0" xfId="0" applyFont="1"/>
    <xf numFmtId="9" fontId="12" fillId="0" borderId="0" xfId="0" applyNumberFormat="1" applyFont="1"/>
    <xf numFmtId="9" fontId="10" fillId="0" borderId="0" xfId="1" applyFont="1"/>
    <xf numFmtId="10" fontId="0" fillId="0" borderId="0" xfId="1" applyNumberFormat="1" applyFont="1"/>
    <xf numFmtId="10" fontId="0" fillId="0" borderId="0" xfId="1" applyNumberFormat="1" applyFont="1" applyFill="1"/>
    <xf numFmtId="9" fontId="12" fillId="2" borderId="0" xfId="1" applyFont="1" applyFill="1"/>
    <xf numFmtId="0" fontId="13" fillId="2" borderId="0" xfId="0" applyFont="1" applyFill="1"/>
    <xf numFmtId="10" fontId="6" fillId="0" borderId="0" xfId="1" applyNumberFormat="1" applyFont="1"/>
    <xf numFmtId="0" fontId="12" fillId="2" borderId="0" xfId="0" applyFont="1" applyFill="1"/>
    <xf numFmtId="9" fontId="4" fillId="2" borderId="0" xfId="0" applyNumberFormat="1" applyFont="1" applyFill="1"/>
    <xf numFmtId="9" fontId="1" fillId="0" borderId="0" xfId="1" applyFont="1"/>
    <xf numFmtId="9" fontId="12" fillId="0" borderId="0" xfId="1" applyFont="1"/>
    <xf numFmtId="0" fontId="14" fillId="0" borderId="0" xfId="0" applyFont="1"/>
    <xf numFmtId="9" fontId="14" fillId="0" borderId="0" xfId="0" applyNumberFormat="1" applyFont="1"/>
    <xf numFmtId="172" fontId="0" fillId="0" borderId="0" xfId="1" applyNumberFormat="1" applyFont="1"/>
    <xf numFmtId="0" fontId="15" fillId="2" borderId="0" xfId="0" applyFont="1" applyFill="1"/>
    <xf numFmtId="9" fontId="15" fillId="2" borderId="0" xfId="0" applyNumberFormat="1" applyFont="1" applyFill="1"/>
    <xf numFmtId="0" fontId="16" fillId="0" borderId="1" xfId="0" applyFont="1" applyBorder="1" applyAlignment="1">
      <alignment horizontal="justify" vertical="top" wrapText="1"/>
    </xf>
    <xf numFmtId="0" fontId="16" fillId="0" borderId="2" xfId="0" applyFont="1" applyBorder="1" applyAlignment="1">
      <alignment horizontal="justify" vertical="top" wrapText="1"/>
    </xf>
    <xf numFmtId="0" fontId="16" fillId="0" borderId="3" xfId="0" applyFont="1" applyBorder="1" applyAlignment="1">
      <alignment horizontal="justify" vertical="top" wrapText="1"/>
    </xf>
    <xf numFmtId="0" fontId="16" fillId="0" borderId="4" xfId="0" applyFont="1" applyBorder="1" applyAlignment="1">
      <alignment horizontal="justify" vertical="top" wrapText="1"/>
    </xf>
    <xf numFmtId="9" fontId="5" fillId="3" borderId="0" xfId="1" applyFont="1" applyFill="1"/>
    <xf numFmtId="9" fontId="5" fillId="0" borderId="0" xfId="1" applyFont="1" applyFill="1"/>
    <xf numFmtId="9" fontId="0" fillId="4" borderId="0" xfId="1" applyFont="1" applyFill="1"/>
    <xf numFmtId="10" fontId="0" fillId="0" borderId="0" xfId="0" applyNumberFormat="1"/>
    <xf numFmtId="10" fontId="8" fillId="0" borderId="0" xfId="1" applyNumberFormat="1" applyFont="1"/>
    <xf numFmtId="10" fontId="0" fillId="2" borderId="0" xfId="1" applyNumberFormat="1" applyFont="1" applyFill="1"/>
    <xf numFmtId="0" fontId="9" fillId="0" borderId="0" xfId="0" applyFont="1"/>
    <xf numFmtId="9" fontId="9" fillId="0" borderId="0" xfId="1" applyFont="1"/>
    <xf numFmtId="0" fontId="6" fillId="2" borderId="0" xfId="0" applyFont="1" applyFill="1"/>
    <xf numFmtId="172" fontId="9" fillId="2" borderId="0" xfId="1" applyNumberFormat="1" applyFont="1" applyFill="1"/>
    <xf numFmtId="0" fontId="16" fillId="0" borderId="5" xfId="0" applyFont="1" applyBorder="1" applyAlignment="1">
      <alignment horizontal="justify" vertical="top" wrapText="1"/>
    </xf>
    <xf numFmtId="0" fontId="16" fillId="0" borderId="6" xfId="0" applyFont="1" applyBorder="1" applyAlignment="1">
      <alignment horizontal="justify" vertical="top" wrapText="1"/>
    </xf>
    <xf numFmtId="0" fontId="16" fillId="0" borderId="7" xfId="0" applyFont="1" applyBorder="1" applyAlignment="1">
      <alignment horizontal="justify" vertical="top" wrapText="1"/>
    </xf>
    <xf numFmtId="0" fontId="16" fillId="0" borderId="8" xfId="0" applyFont="1" applyBorder="1" applyAlignment="1">
      <alignment horizontal="justify" vertical="top" wrapText="1"/>
    </xf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666750</xdr:colOff>
      <xdr:row>20</xdr:row>
      <xdr:rowOff>0</xdr:rowOff>
    </xdr:from>
    <xdr:to>
      <xdr:col>18</xdr:col>
      <xdr:colOff>806450</xdr:colOff>
      <xdr:row>20</xdr:row>
      <xdr:rowOff>107950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C629EB99-ACD0-4457-801C-AFDAF434125B}"/>
            </a:ext>
          </a:extLst>
        </xdr:cNvPr>
        <xdr:cNvSpPr>
          <a:spLocks noChangeShapeType="1"/>
        </xdr:cNvSpPr>
      </xdr:nvSpPr>
      <xdr:spPr bwMode="auto">
        <a:xfrm flipH="1">
          <a:off x="16789400" y="3378200"/>
          <a:ext cx="139700" cy="107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654050</xdr:colOff>
      <xdr:row>23</xdr:row>
      <xdr:rowOff>0</xdr:rowOff>
    </xdr:from>
    <xdr:to>
      <xdr:col>18</xdr:col>
      <xdr:colOff>787400</xdr:colOff>
      <xdr:row>24</xdr:row>
      <xdr:rowOff>95250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AA51C62E-FBA6-45B3-9841-208028E0C25D}"/>
            </a:ext>
          </a:extLst>
        </xdr:cNvPr>
        <xdr:cNvSpPr>
          <a:spLocks noChangeShapeType="1"/>
        </xdr:cNvSpPr>
      </xdr:nvSpPr>
      <xdr:spPr bwMode="auto">
        <a:xfrm flipH="1">
          <a:off x="16776700" y="3867150"/>
          <a:ext cx="133350" cy="254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546100</xdr:colOff>
      <xdr:row>17</xdr:row>
      <xdr:rowOff>114300</xdr:rowOff>
    </xdr:from>
    <xdr:to>
      <xdr:col>2</xdr:col>
      <xdr:colOff>12700</xdr:colOff>
      <xdr:row>17</xdr:row>
      <xdr:rowOff>127000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E0196CDB-157F-426C-AF83-9B2CBD7B42D0}"/>
            </a:ext>
          </a:extLst>
        </xdr:cNvPr>
        <xdr:cNvSpPr>
          <a:spLocks noChangeShapeType="1"/>
        </xdr:cNvSpPr>
      </xdr:nvSpPr>
      <xdr:spPr bwMode="auto">
        <a:xfrm flipV="1">
          <a:off x="546100" y="2997200"/>
          <a:ext cx="1314450" cy="12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xSplit="2" ySplit="1" topLeftCell="R2" activePane="bottomRight" state="frozenSplit"/>
      <selection pane="topRight" activeCell="C1" sqref="C1"/>
      <selection pane="bottomLeft" activeCell="A2" sqref="A2"/>
      <selection pane="bottomRight" sqref="A1:IV65536"/>
    </sheetView>
  </sheetViews>
  <sheetFormatPr defaultColWidth="9.1796875" defaultRowHeight="12.5" x14ac:dyDescent="0.25"/>
  <sheetData>
    <row r="1" spans="1:2" ht="13" thickBot="1" x14ac:dyDescent="0.3">
      <c r="A1" s="67" t="s">
        <v>159</v>
      </c>
      <c r="B1" s="68" t="s">
        <v>160</v>
      </c>
    </row>
    <row r="2" spans="1:2" ht="13" thickBot="1" x14ac:dyDescent="0.3">
      <c r="A2" s="69" t="s">
        <v>167</v>
      </c>
      <c r="B2" s="70" t="s">
        <v>168</v>
      </c>
    </row>
    <row r="3" spans="1:2" ht="13" thickBot="1" x14ac:dyDescent="0.3">
      <c r="A3" s="69" t="s">
        <v>175</v>
      </c>
      <c r="B3" s="70" t="s">
        <v>176</v>
      </c>
    </row>
    <row r="4" spans="1:2" ht="13" thickBot="1" x14ac:dyDescent="0.3">
      <c r="A4" s="68" t="s">
        <v>161</v>
      </c>
      <c r="B4" s="68" t="s">
        <v>162</v>
      </c>
    </row>
    <row r="5" spans="1:2" ht="13" thickBot="1" x14ac:dyDescent="0.3">
      <c r="A5" s="70" t="s">
        <v>169</v>
      </c>
      <c r="B5" s="70" t="s">
        <v>170</v>
      </c>
    </row>
    <row r="6" spans="1:2" ht="13" thickBot="1" x14ac:dyDescent="0.3">
      <c r="A6" s="70" t="s">
        <v>177</v>
      </c>
      <c r="B6" s="70" t="s">
        <v>178</v>
      </c>
    </row>
    <row r="7" spans="1:2" ht="13" thickBot="1" x14ac:dyDescent="0.3">
      <c r="A7" s="68" t="s">
        <v>163</v>
      </c>
      <c r="B7" s="68" t="s">
        <v>164</v>
      </c>
    </row>
    <row r="8" spans="1:2" ht="13" thickBot="1" x14ac:dyDescent="0.3">
      <c r="A8" s="70" t="s">
        <v>171</v>
      </c>
      <c r="B8" s="70" t="s">
        <v>172</v>
      </c>
    </row>
    <row r="9" spans="1:2" ht="13" thickBot="1" x14ac:dyDescent="0.3">
      <c r="A9" s="70" t="s">
        <v>179</v>
      </c>
      <c r="B9" s="70" t="s">
        <v>180</v>
      </c>
    </row>
    <row r="10" spans="1:2" ht="13" thickBot="1" x14ac:dyDescent="0.3">
      <c r="A10" s="68" t="s">
        <v>165</v>
      </c>
      <c r="B10" s="68" t="s">
        <v>166</v>
      </c>
    </row>
    <row r="11" spans="1:2" ht="13" thickBot="1" x14ac:dyDescent="0.3">
      <c r="A11" s="70" t="s">
        <v>173</v>
      </c>
      <c r="B11" s="70" t="s">
        <v>174</v>
      </c>
    </row>
    <row r="12" spans="1:2" ht="13" thickBot="1" x14ac:dyDescent="0.3">
      <c r="A12" s="70" t="s">
        <v>181</v>
      </c>
      <c r="B12" s="70" t="s">
        <v>182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"/>
  <sheetViews>
    <sheetView workbookViewId="0">
      <pane xSplit="2" ySplit="1" topLeftCell="AH2" activePane="bottomRight" state="frozenSplit"/>
      <selection pane="topRight" activeCell="AH1" sqref="AH1"/>
      <selection pane="bottomLeft"/>
      <selection pane="bottomRight" activeCell="AN12" sqref="AN12"/>
    </sheetView>
  </sheetViews>
  <sheetFormatPr defaultRowHeight="12.5" x14ac:dyDescent="0.25"/>
  <cols>
    <col min="2" max="2" width="18" bestFit="1" customWidth="1"/>
    <col min="3" max="4" width="8" style="32" customWidth="1"/>
    <col min="5" max="5" width="9.26953125" style="32" customWidth="1"/>
    <col min="6" max="6" width="8" style="32" customWidth="1"/>
    <col min="7" max="10" width="9.1796875" style="32" customWidth="1"/>
    <col min="11" max="11" width="9.26953125" style="32" customWidth="1"/>
    <col min="12" max="16" width="9.1796875" style="32" customWidth="1"/>
    <col min="20" max="20" width="10.1796875" customWidth="1"/>
    <col min="21" max="21" width="10.7265625" bestFit="1" customWidth="1"/>
    <col min="22" max="22" width="12.7265625" bestFit="1" customWidth="1"/>
    <col min="24" max="24" width="12.7265625" bestFit="1" customWidth="1"/>
    <col min="32" max="32" width="6.26953125" bestFit="1" customWidth="1"/>
    <col min="39" max="39" width="9.7265625" customWidth="1"/>
  </cols>
  <sheetData>
    <row r="1" spans="1:41" x14ac:dyDescent="0.25">
      <c r="B1" t="s">
        <v>0</v>
      </c>
      <c r="C1" s="32" t="s">
        <v>96</v>
      </c>
      <c r="E1" s="65" t="s">
        <v>138</v>
      </c>
      <c r="F1" s="65" t="s">
        <v>135</v>
      </c>
      <c r="G1" s="32" t="s">
        <v>12</v>
      </c>
      <c r="H1" s="32" t="s">
        <v>76</v>
      </c>
      <c r="I1" s="32" t="s">
        <v>77</v>
      </c>
      <c r="J1" s="32" t="s">
        <v>81</v>
      </c>
      <c r="K1" s="32" t="s">
        <v>87</v>
      </c>
      <c r="L1" s="32" t="s">
        <v>112</v>
      </c>
      <c r="M1" s="32" t="s">
        <v>127</v>
      </c>
      <c r="N1" s="32" t="s">
        <v>132</v>
      </c>
      <c r="O1" s="32" t="s">
        <v>133</v>
      </c>
      <c r="Q1" t="s">
        <v>72</v>
      </c>
      <c r="R1" t="s">
        <v>73</v>
      </c>
      <c r="S1" t="s">
        <v>74</v>
      </c>
      <c r="T1" t="s">
        <v>83</v>
      </c>
      <c r="U1" t="s">
        <v>84</v>
      </c>
      <c r="V1" t="s">
        <v>87</v>
      </c>
      <c r="W1" t="s">
        <v>114</v>
      </c>
      <c r="X1" t="s">
        <v>115</v>
      </c>
      <c r="Y1" t="s">
        <v>113</v>
      </c>
      <c r="Z1" t="s">
        <v>116</v>
      </c>
      <c r="AA1" t="s">
        <v>131</v>
      </c>
      <c r="AB1" t="s">
        <v>128</v>
      </c>
      <c r="AC1" t="s">
        <v>129</v>
      </c>
      <c r="AE1" t="s">
        <v>96</v>
      </c>
      <c r="AF1" t="s">
        <v>135</v>
      </c>
      <c r="AG1" t="s">
        <v>153</v>
      </c>
      <c r="AH1" t="s">
        <v>136</v>
      </c>
      <c r="AI1" t="s">
        <v>137</v>
      </c>
      <c r="AJ1" t="s">
        <v>147</v>
      </c>
      <c r="AK1" t="s">
        <v>151</v>
      </c>
      <c r="AL1" t="s">
        <v>154</v>
      </c>
      <c r="AM1" t="s">
        <v>139</v>
      </c>
    </row>
    <row r="2" spans="1:41" ht="13" x14ac:dyDescent="0.3">
      <c r="A2" s="28">
        <v>0.44330715116929675</v>
      </c>
      <c r="B2" t="s">
        <v>1</v>
      </c>
      <c r="C2" s="33">
        <f>1-24/60</f>
        <v>0.6</v>
      </c>
      <c r="D2" s="22">
        <f>0.125+C2</f>
        <v>0.72499999999999998</v>
      </c>
      <c r="E2" s="66">
        <f>(75-21)/75</f>
        <v>0.72</v>
      </c>
      <c r="F2" s="66">
        <f>E2</f>
        <v>0.72</v>
      </c>
      <c r="G2" s="9">
        <v>0.8</v>
      </c>
      <c r="H2" s="9">
        <v>0.5</v>
      </c>
      <c r="I2" s="9">
        <v>0.5</v>
      </c>
      <c r="J2" s="9">
        <v>0.4</v>
      </c>
      <c r="K2" s="9">
        <v>0.5</v>
      </c>
      <c r="L2" s="9">
        <v>0</v>
      </c>
      <c r="M2" s="9">
        <v>0.8</v>
      </c>
      <c r="N2" s="9">
        <v>0.4</v>
      </c>
      <c r="O2" s="9">
        <v>0.6</v>
      </c>
      <c r="P2" s="9"/>
      <c r="Q2" s="2">
        <v>1</v>
      </c>
      <c r="R2" s="2">
        <v>1</v>
      </c>
      <c r="S2" s="2">
        <f t="shared" ref="S2:W6" si="0">0.8*15/15+0.2*1</f>
        <v>1</v>
      </c>
      <c r="T2" s="2">
        <f t="shared" si="0"/>
        <v>1</v>
      </c>
      <c r="U2" s="2">
        <f t="shared" si="0"/>
        <v>1</v>
      </c>
      <c r="V2" s="2">
        <f t="shared" si="0"/>
        <v>1</v>
      </c>
      <c r="W2" s="2">
        <f t="shared" si="0"/>
        <v>1</v>
      </c>
      <c r="X2" s="2">
        <f t="shared" ref="X2:AC5" si="1">0.8*15/15+0.2*1</f>
        <v>1</v>
      </c>
      <c r="Y2" s="2">
        <f t="shared" si="1"/>
        <v>1</v>
      </c>
      <c r="Z2" s="2">
        <f t="shared" si="1"/>
        <v>1</v>
      </c>
      <c r="AA2" s="2">
        <f t="shared" si="1"/>
        <v>1</v>
      </c>
      <c r="AB2" s="2">
        <f t="shared" si="1"/>
        <v>1</v>
      </c>
      <c r="AC2" s="2">
        <f t="shared" si="1"/>
        <v>1</v>
      </c>
      <c r="AE2" s="15">
        <f>D2</f>
        <v>0.72499999999999998</v>
      </c>
      <c r="AF2" s="15">
        <f>F2</f>
        <v>0.72</v>
      </c>
      <c r="AG2" s="15">
        <f>IF(AVERAGE(AE2:AF2)&gt;AF2,AVERAGE(AE2:AF2),AF2)</f>
        <v>0.72249999999999992</v>
      </c>
      <c r="AH2" s="1">
        <f>AVERAGE(G2:O2)</f>
        <v>0.5</v>
      </c>
      <c r="AI2" s="1">
        <f>AVERAGE(Q2:AC2)</f>
        <v>1</v>
      </c>
      <c r="AJ2" s="2">
        <v>0.9</v>
      </c>
      <c r="AK2" s="2">
        <v>0.8</v>
      </c>
      <c r="AL2" s="2">
        <f>0.4*AJ2+0.6*AK2</f>
        <v>0.84000000000000008</v>
      </c>
      <c r="AM2" s="71">
        <f>0.2*AG2+0.25*AH2+0.25*AI2+0.3*AL2</f>
        <v>0.77149999999999996</v>
      </c>
      <c r="AN2" t="s">
        <v>177</v>
      </c>
    </row>
    <row r="3" spans="1:41" ht="13" x14ac:dyDescent="0.3">
      <c r="A3" s="28">
        <v>0.85738251722549652</v>
      </c>
      <c r="B3" t="s">
        <v>2</v>
      </c>
      <c r="C3" s="33">
        <f>1-23/60</f>
        <v>0.6166666666666667</v>
      </c>
      <c r="D3" s="22">
        <f t="shared" ref="D3:D12" si="2">0.125+C3</f>
        <v>0.7416666666666667</v>
      </c>
      <c r="E3" s="66">
        <f>59/75</f>
        <v>0.78666666666666663</v>
      </c>
      <c r="F3" s="66">
        <f t="shared" ref="F3:F13" si="3">E3</f>
        <v>0.78666666666666663</v>
      </c>
      <c r="G3" s="9">
        <v>1</v>
      </c>
      <c r="H3" s="9">
        <v>0.8</v>
      </c>
      <c r="I3" s="9">
        <v>0.7</v>
      </c>
      <c r="J3" s="9">
        <v>0.8</v>
      </c>
      <c r="K3" s="9">
        <v>0.8</v>
      </c>
      <c r="L3" s="9">
        <v>0.5</v>
      </c>
      <c r="M3" s="9">
        <v>0.8</v>
      </c>
      <c r="N3" s="9">
        <v>0.6</v>
      </c>
      <c r="O3" s="9">
        <v>0.5</v>
      </c>
      <c r="P3" s="9"/>
      <c r="Q3" s="2">
        <v>1</v>
      </c>
      <c r="R3" s="2">
        <v>1</v>
      </c>
      <c r="S3" s="2">
        <f t="shared" si="0"/>
        <v>1</v>
      </c>
      <c r="T3" s="2">
        <f t="shared" si="0"/>
        <v>1</v>
      </c>
      <c r="U3" s="2">
        <f t="shared" si="0"/>
        <v>1</v>
      </c>
      <c r="V3" s="2">
        <f t="shared" si="0"/>
        <v>1</v>
      </c>
      <c r="W3" s="2">
        <f t="shared" si="0"/>
        <v>1</v>
      </c>
      <c r="X3" s="2">
        <f t="shared" si="1"/>
        <v>1</v>
      </c>
      <c r="Y3" s="2">
        <f t="shared" si="1"/>
        <v>1</v>
      </c>
      <c r="Z3" s="2">
        <f t="shared" si="1"/>
        <v>1</v>
      </c>
      <c r="AA3" s="2">
        <f t="shared" si="1"/>
        <v>1</v>
      </c>
      <c r="AB3" s="2">
        <f>21/22</f>
        <v>0.95454545454545459</v>
      </c>
      <c r="AC3" s="2">
        <f>0.8*15/15+0.2*1</f>
        <v>1</v>
      </c>
      <c r="AE3" s="15">
        <f t="shared" ref="AE3:AE12" si="4">D3</f>
        <v>0.7416666666666667</v>
      </c>
      <c r="AF3" s="15">
        <f>F3</f>
        <v>0.78666666666666663</v>
      </c>
      <c r="AG3" s="15">
        <f t="shared" ref="AG3:AG12" si="5">IF(AVERAGE(AE3:AF3)&gt;AF3,AVERAGE(AE3:AF3),AF3)</f>
        <v>0.78666666666666663</v>
      </c>
      <c r="AH3" s="1">
        <f t="shared" ref="AH3:AH12" si="6">AVERAGE(G3:O3)</f>
        <v>0.7222222222222221</v>
      </c>
      <c r="AI3" s="1">
        <f t="shared" ref="AI3:AI12" si="7">AVERAGE(Q3:AC3)</f>
        <v>0.99650349650349657</v>
      </c>
      <c r="AJ3" s="2">
        <v>0.92</v>
      </c>
      <c r="AK3" s="2">
        <v>0.8</v>
      </c>
      <c r="AL3" s="2">
        <f t="shared" ref="AL3:AL12" si="8">0.4*AJ3+0.6*AK3</f>
        <v>0.84800000000000009</v>
      </c>
      <c r="AM3" s="71">
        <f t="shared" ref="AM3:AM11" si="9">0.2*AG3+0.25*AH3+0.25*AI3+0.3*AL3</f>
        <v>0.84141476301476303</v>
      </c>
      <c r="AN3" t="s">
        <v>203</v>
      </c>
    </row>
    <row r="4" spans="1:41" ht="13" x14ac:dyDescent="0.3">
      <c r="A4" s="28">
        <v>0.56502867160133263</v>
      </c>
      <c r="B4" t="s">
        <v>3</v>
      </c>
      <c r="C4" s="33">
        <f>1-24/60</f>
        <v>0.6</v>
      </c>
      <c r="D4" s="22">
        <f t="shared" si="2"/>
        <v>0.72499999999999998</v>
      </c>
      <c r="E4" s="66">
        <f>(75-15)/75</f>
        <v>0.8</v>
      </c>
      <c r="F4" s="66">
        <f t="shared" si="3"/>
        <v>0.8</v>
      </c>
      <c r="G4" s="9">
        <v>1</v>
      </c>
      <c r="H4" s="9">
        <v>0</v>
      </c>
      <c r="I4" s="9">
        <v>0.9</v>
      </c>
      <c r="J4" s="9">
        <v>0.6</v>
      </c>
      <c r="K4" s="38">
        <v>0</v>
      </c>
      <c r="L4" s="9">
        <v>0.75</v>
      </c>
      <c r="M4" s="9">
        <v>0.6</v>
      </c>
      <c r="N4" s="9">
        <v>0.6</v>
      </c>
      <c r="O4" s="9">
        <v>0.7</v>
      </c>
      <c r="P4" s="9"/>
      <c r="Q4" s="2">
        <v>0</v>
      </c>
      <c r="R4" s="2">
        <v>0</v>
      </c>
      <c r="S4" s="2">
        <v>0</v>
      </c>
      <c r="T4" s="2">
        <v>0</v>
      </c>
      <c r="U4" s="2">
        <f t="shared" si="0"/>
        <v>1</v>
      </c>
      <c r="V4" s="2">
        <f t="shared" si="0"/>
        <v>1</v>
      </c>
      <c r="W4" s="49">
        <v>0</v>
      </c>
      <c r="X4" s="2">
        <f>0.5*23/25+0.5*0-0.2</f>
        <v>0.26</v>
      </c>
      <c r="Y4" s="2">
        <f t="shared" si="1"/>
        <v>1</v>
      </c>
      <c r="Z4" s="2">
        <f t="shared" si="1"/>
        <v>1</v>
      </c>
      <c r="AA4" s="2">
        <f t="shared" si="1"/>
        <v>1</v>
      </c>
      <c r="AB4" s="2">
        <f>0.8*15/15+0.2*1</f>
        <v>1</v>
      </c>
      <c r="AC4" s="2">
        <f>0.8*15/15+0.2*1</f>
        <v>1</v>
      </c>
      <c r="AE4" s="15">
        <f t="shared" si="4"/>
        <v>0.72499999999999998</v>
      </c>
      <c r="AF4" s="15">
        <f t="shared" ref="AF4:AF12" si="10">F4</f>
        <v>0.8</v>
      </c>
      <c r="AG4" s="15">
        <f t="shared" si="5"/>
        <v>0.8</v>
      </c>
      <c r="AH4" s="1">
        <f t="shared" si="6"/>
        <v>0.5722222222222223</v>
      </c>
      <c r="AI4" s="1">
        <f t="shared" si="7"/>
        <v>0.55846153846153845</v>
      </c>
      <c r="AJ4" s="2">
        <v>0.93</v>
      </c>
      <c r="AK4" s="2">
        <v>0.8</v>
      </c>
      <c r="AL4" s="2">
        <f t="shared" si="8"/>
        <v>0.85200000000000009</v>
      </c>
      <c r="AM4" s="71">
        <f t="shared" si="9"/>
        <v>0.69827094017094016</v>
      </c>
      <c r="AN4" t="s">
        <v>171</v>
      </c>
    </row>
    <row r="5" spans="1:41" ht="13" x14ac:dyDescent="0.3">
      <c r="A5" s="28">
        <v>0.35791079668778547</v>
      </c>
      <c r="B5" t="s">
        <v>4</v>
      </c>
      <c r="C5" s="33">
        <f>1-18.5/60</f>
        <v>0.69166666666666665</v>
      </c>
      <c r="D5" s="22">
        <f t="shared" si="2"/>
        <v>0.81666666666666665</v>
      </c>
      <c r="E5" s="66">
        <f>(75-16)/75</f>
        <v>0.78666666666666663</v>
      </c>
      <c r="F5" s="66">
        <f t="shared" si="3"/>
        <v>0.78666666666666663</v>
      </c>
      <c r="G5" s="9">
        <v>1</v>
      </c>
      <c r="H5" s="9">
        <v>0.8</v>
      </c>
      <c r="I5" s="9">
        <v>0.9</v>
      </c>
      <c r="J5" s="9">
        <v>0.8</v>
      </c>
      <c r="K5" s="9">
        <v>0.5</v>
      </c>
      <c r="L5" s="38">
        <v>0</v>
      </c>
      <c r="M5" s="9">
        <v>0.4</v>
      </c>
      <c r="N5" s="9">
        <v>0.4</v>
      </c>
      <c r="O5" s="9">
        <v>0.7</v>
      </c>
      <c r="P5" s="9"/>
      <c r="Q5" s="2">
        <v>1</v>
      </c>
      <c r="R5" s="2">
        <v>1</v>
      </c>
      <c r="S5" s="2">
        <f>0.8*15/15+0.2*1</f>
        <v>1</v>
      </c>
      <c r="T5" s="2">
        <f>0.8*15/15+0.2*1</f>
        <v>1</v>
      </c>
      <c r="U5" s="2">
        <f>25/37</f>
        <v>0.67567567567567566</v>
      </c>
      <c r="V5" s="2">
        <f t="shared" si="0"/>
        <v>1</v>
      </c>
      <c r="W5" s="49">
        <v>0</v>
      </c>
      <c r="X5" s="2">
        <f t="shared" si="1"/>
        <v>1</v>
      </c>
      <c r="Y5" s="2">
        <f t="shared" si="1"/>
        <v>1</v>
      </c>
      <c r="Z5" s="2">
        <f t="shared" si="1"/>
        <v>1</v>
      </c>
      <c r="AA5" s="49">
        <v>0</v>
      </c>
      <c r="AB5" s="2">
        <f>0.8*15/15+0.2*1</f>
        <v>1</v>
      </c>
      <c r="AC5" s="2">
        <f>0.8*15/15+0.2*1</f>
        <v>1</v>
      </c>
      <c r="AE5" s="15">
        <f t="shared" si="4"/>
        <v>0.81666666666666665</v>
      </c>
      <c r="AF5" s="15">
        <f t="shared" si="10"/>
        <v>0.78666666666666663</v>
      </c>
      <c r="AG5" s="15">
        <f t="shared" si="5"/>
        <v>0.80166666666666664</v>
      </c>
      <c r="AH5" s="1">
        <f t="shared" si="6"/>
        <v>0.61111111111111116</v>
      </c>
      <c r="AI5" s="1">
        <f t="shared" si="7"/>
        <v>0.8212058212058212</v>
      </c>
      <c r="AJ5" s="2">
        <v>0.9</v>
      </c>
      <c r="AK5" s="2">
        <v>0.8</v>
      </c>
      <c r="AL5" s="2">
        <f t="shared" si="8"/>
        <v>0.84000000000000008</v>
      </c>
      <c r="AM5" s="71">
        <f t="shared" si="9"/>
        <v>0.77041256641256639</v>
      </c>
      <c r="AN5" t="s">
        <v>177</v>
      </c>
    </row>
    <row r="6" spans="1:41" ht="13" x14ac:dyDescent="0.3">
      <c r="A6" s="28">
        <v>0.25326127074110816</v>
      </c>
      <c r="B6" t="s">
        <v>5</v>
      </c>
      <c r="C6" s="33">
        <f>1-23.5/60</f>
        <v>0.60833333333333339</v>
      </c>
      <c r="D6" s="22">
        <f t="shared" si="2"/>
        <v>0.73333333333333339</v>
      </c>
      <c r="E6" s="66">
        <f>(75-20)/75</f>
        <v>0.73333333333333328</v>
      </c>
      <c r="F6" s="66">
        <f t="shared" si="3"/>
        <v>0.73333333333333328</v>
      </c>
      <c r="G6" s="9">
        <v>1</v>
      </c>
      <c r="H6" s="9">
        <v>0.9</v>
      </c>
      <c r="I6" s="9">
        <v>0.8</v>
      </c>
      <c r="J6" s="9">
        <v>0.7</v>
      </c>
      <c r="K6" s="38">
        <v>0</v>
      </c>
      <c r="L6" s="9">
        <v>0.5</v>
      </c>
      <c r="M6" s="38">
        <v>0</v>
      </c>
      <c r="N6" s="9">
        <v>0.6</v>
      </c>
      <c r="O6" s="9">
        <v>0.6</v>
      </c>
      <c r="P6" s="9"/>
      <c r="Q6" s="2">
        <v>1</v>
      </c>
      <c r="R6" s="2">
        <v>1</v>
      </c>
      <c r="S6" s="2">
        <f>0.8*15/15+0.2*1</f>
        <v>1</v>
      </c>
      <c r="T6" s="2">
        <f>0.8*15/15+0.2*1</f>
        <v>1</v>
      </c>
      <c r="U6" s="2">
        <f>0.8*15/15+0.2*1</f>
        <v>1</v>
      </c>
      <c r="V6" s="2">
        <f t="shared" si="0"/>
        <v>1</v>
      </c>
      <c r="W6" s="2">
        <f t="shared" si="0"/>
        <v>1</v>
      </c>
      <c r="X6" s="49">
        <v>0</v>
      </c>
      <c r="Y6" s="2">
        <v>1</v>
      </c>
      <c r="Z6" s="2">
        <f>23/27</f>
        <v>0.85185185185185186</v>
      </c>
      <c r="AA6" s="2">
        <f>0.8*15/15+0.2*1</f>
        <v>1</v>
      </c>
      <c r="AB6" s="49">
        <v>0</v>
      </c>
      <c r="AC6" s="2">
        <f>0.8*15/15+0.2*1</f>
        <v>1</v>
      </c>
      <c r="AE6" s="15">
        <f t="shared" si="4"/>
        <v>0.73333333333333339</v>
      </c>
      <c r="AF6" s="15">
        <f t="shared" si="10"/>
        <v>0.73333333333333328</v>
      </c>
      <c r="AG6" s="15">
        <f t="shared" si="5"/>
        <v>0.73333333333333328</v>
      </c>
      <c r="AH6" s="1">
        <f t="shared" si="6"/>
        <v>0.56666666666666665</v>
      </c>
      <c r="AI6" s="1">
        <f t="shared" si="7"/>
        <v>0.83475783475783472</v>
      </c>
      <c r="AJ6" s="2">
        <v>0.9</v>
      </c>
      <c r="AK6" s="2">
        <v>0.8</v>
      </c>
      <c r="AL6" s="2">
        <f t="shared" si="8"/>
        <v>0.84000000000000008</v>
      </c>
      <c r="AM6" s="71">
        <f t="shared" si="9"/>
        <v>0.74902279202279198</v>
      </c>
      <c r="AN6" t="s">
        <v>163</v>
      </c>
      <c r="AO6" t="s">
        <v>140</v>
      </c>
    </row>
    <row r="7" spans="1:41" ht="13" x14ac:dyDescent="0.3">
      <c r="A7" s="28">
        <v>0.49026694842321605</v>
      </c>
      <c r="B7" t="s">
        <v>6</v>
      </c>
      <c r="C7" s="33">
        <f>1-24/60</f>
        <v>0.6</v>
      </c>
      <c r="D7" s="22">
        <f t="shared" si="2"/>
        <v>0.72499999999999998</v>
      </c>
      <c r="E7" s="66">
        <f>(75-20)/75</f>
        <v>0.73333333333333328</v>
      </c>
      <c r="F7" s="66">
        <f t="shared" si="3"/>
        <v>0.73333333333333328</v>
      </c>
      <c r="G7" s="9">
        <v>0.8</v>
      </c>
      <c r="H7" s="9">
        <v>0.6</v>
      </c>
      <c r="I7" s="9">
        <v>0.7</v>
      </c>
      <c r="J7" s="9">
        <v>0.9</v>
      </c>
      <c r="K7" s="9">
        <v>0.5</v>
      </c>
      <c r="L7" s="9">
        <v>0.25</v>
      </c>
      <c r="M7" s="9">
        <v>0.4</v>
      </c>
      <c r="N7" s="9">
        <v>0.4</v>
      </c>
      <c r="O7" s="9">
        <v>0.6</v>
      </c>
      <c r="P7" s="9"/>
      <c r="Q7" s="2">
        <v>1</v>
      </c>
      <c r="R7" s="2">
        <v>1</v>
      </c>
      <c r="S7" s="2">
        <f t="shared" ref="S7:S12" si="11">0.8*15/15+0.2*1</f>
        <v>1</v>
      </c>
      <c r="T7" s="2">
        <v>0</v>
      </c>
      <c r="U7" s="2">
        <f>19/25</f>
        <v>0.76</v>
      </c>
      <c r="V7" s="2">
        <f>29/29</f>
        <v>1</v>
      </c>
      <c r="W7" s="37">
        <v>0.9</v>
      </c>
      <c r="X7" s="3">
        <f>0.8*15/15+0.2*1-10%</f>
        <v>0.9</v>
      </c>
      <c r="Y7" s="2">
        <f>18/19</f>
        <v>0.94736842105263153</v>
      </c>
      <c r="Z7" s="1">
        <v>1</v>
      </c>
      <c r="AA7" s="2">
        <f>7/23</f>
        <v>0.30434782608695654</v>
      </c>
      <c r="AB7" s="1">
        <v>1</v>
      </c>
      <c r="AC7" s="2">
        <f>22/23</f>
        <v>0.95652173913043481</v>
      </c>
      <c r="AE7" s="15">
        <f t="shared" si="4"/>
        <v>0.72499999999999998</v>
      </c>
      <c r="AF7" s="15">
        <f t="shared" si="10"/>
        <v>0.73333333333333328</v>
      </c>
      <c r="AG7" s="15">
        <f t="shared" si="5"/>
        <v>0.73333333333333328</v>
      </c>
      <c r="AH7" s="1">
        <f t="shared" si="6"/>
        <v>0.57222222222222219</v>
      </c>
      <c r="AI7" s="1">
        <f t="shared" si="7"/>
        <v>0.82832599894384806</v>
      </c>
      <c r="AJ7" s="2">
        <v>0.9</v>
      </c>
      <c r="AK7" s="2">
        <v>0.8</v>
      </c>
      <c r="AL7" s="2">
        <f t="shared" si="8"/>
        <v>0.84000000000000008</v>
      </c>
      <c r="AM7" s="71">
        <f t="shared" si="9"/>
        <v>0.74880372195818423</v>
      </c>
      <c r="AN7" t="s">
        <v>163</v>
      </c>
      <c r="AO7" t="s">
        <v>141</v>
      </c>
    </row>
    <row r="8" spans="1:41" ht="13" x14ac:dyDescent="0.3">
      <c r="A8" s="28">
        <v>0.12302746440486123</v>
      </c>
      <c r="B8" t="s">
        <v>7</v>
      </c>
      <c r="C8" s="33">
        <f>1-19/60</f>
        <v>0.68333333333333335</v>
      </c>
      <c r="D8" s="22">
        <f t="shared" si="2"/>
        <v>0.80833333333333335</v>
      </c>
      <c r="E8" s="66">
        <f>(75-14)/75</f>
        <v>0.81333333333333335</v>
      </c>
      <c r="F8" s="66">
        <f t="shared" si="3"/>
        <v>0.81333333333333335</v>
      </c>
      <c r="G8" s="9">
        <v>0.8</v>
      </c>
      <c r="H8" s="9">
        <v>0.9</v>
      </c>
      <c r="I8" s="9">
        <v>0.8</v>
      </c>
      <c r="J8" s="9">
        <v>0.9</v>
      </c>
      <c r="K8" s="9">
        <v>0.5</v>
      </c>
      <c r="L8" s="9">
        <v>1</v>
      </c>
      <c r="M8" s="9">
        <v>0.4</v>
      </c>
      <c r="N8" s="9">
        <v>0.2</v>
      </c>
      <c r="O8" s="9">
        <v>0.8</v>
      </c>
      <c r="P8" s="9"/>
      <c r="Q8" s="2">
        <v>1</v>
      </c>
      <c r="R8" s="2">
        <v>1</v>
      </c>
      <c r="S8" s="2">
        <f t="shared" si="11"/>
        <v>1</v>
      </c>
      <c r="T8" s="2">
        <f>0.8*15/15+0.2*1</f>
        <v>1</v>
      </c>
      <c r="U8" s="2">
        <f>0.5*25/37+0.5</f>
        <v>0.83783783783783783</v>
      </c>
      <c r="V8" s="2">
        <f>0.8*15/15+0.2*1</f>
        <v>1</v>
      </c>
      <c r="W8" s="2">
        <f>0.8*15/15+0.2*1</f>
        <v>1</v>
      </c>
      <c r="X8" s="2">
        <f>0.8*15/15+0.2*1</f>
        <v>1</v>
      </c>
      <c r="Y8" s="2">
        <f>0.8*15/15+0.2*1</f>
        <v>1</v>
      </c>
      <c r="Z8" s="2">
        <f>0.8*15/15+0.2*1</f>
        <v>1</v>
      </c>
      <c r="AA8" s="2">
        <v>1</v>
      </c>
      <c r="AB8" s="2">
        <f t="shared" ref="AB8:AC10" si="12">0.8*15/15+0.2*1</f>
        <v>1</v>
      </c>
      <c r="AC8" s="2">
        <f t="shared" si="12"/>
        <v>1</v>
      </c>
      <c r="AE8" s="15">
        <f t="shared" si="4"/>
        <v>0.80833333333333335</v>
      </c>
      <c r="AF8" s="15">
        <f t="shared" si="10"/>
        <v>0.81333333333333335</v>
      </c>
      <c r="AG8" s="15">
        <f t="shared" si="5"/>
        <v>0.81333333333333335</v>
      </c>
      <c r="AH8" s="1">
        <f t="shared" si="6"/>
        <v>0.70000000000000007</v>
      </c>
      <c r="AI8" s="1">
        <f t="shared" si="7"/>
        <v>0.98752598752598764</v>
      </c>
      <c r="AJ8" s="2">
        <v>0.92</v>
      </c>
      <c r="AK8" s="2">
        <v>0.8</v>
      </c>
      <c r="AL8" s="2">
        <f t="shared" si="8"/>
        <v>0.84800000000000009</v>
      </c>
      <c r="AM8" s="71">
        <f t="shared" si="9"/>
        <v>0.83894816354816348</v>
      </c>
      <c r="AN8" t="s">
        <v>161</v>
      </c>
    </row>
    <row r="9" spans="1:41" ht="13" x14ac:dyDescent="0.3">
      <c r="A9" s="28">
        <v>0.46405492014214889</v>
      </c>
      <c r="B9" t="s">
        <v>8</v>
      </c>
      <c r="C9" s="33">
        <f>1-23/60</f>
        <v>0.6166666666666667</v>
      </c>
      <c r="D9" s="22">
        <f t="shared" si="2"/>
        <v>0.7416666666666667</v>
      </c>
      <c r="E9" s="66">
        <f>55/75</f>
        <v>0.73333333333333328</v>
      </c>
      <c r="F9" s="66">
        <f t="shared" si="3"/>
        <v>0.73333333333333328</v>
      </c>
      <c r="G9" s="9">
        <v>0.8</v>
      </c>
      <c r="H9" s="9">
        <v>0.7</v>
      </c>
      <c r="I9" s="9">
        <v>0.8</v>
      </c>
      <c r="J9" s="9">
        <v>0.5</v>
      </c>
      <c r="K9" s="9">
        <v>0.2</v>
      </c>
      <c r="L9" s="9">
        <v>0.5</v>
      </c>
      <c r="M9" s="9">
        <v>0.8</v>
      </c>
      <c r="N9" s="9">
        <v>0.4</v>
      </c>
      <c r="O9" s="9">
        <v>0.6</v>
      </c>
      <c r="P9" s="9"/>
      <c r="Q9" s="2">
        <v>1</v>
      </c>
      <c r="R9" s="2">
        <v>1</v>
      </c>
      <c r="S9" s="2">
        <f t="shared" si="11"/>
        <v>1</v>
      </c>
      <c r="T9" s="2">
        <f>0.8*15/15+0.2*1</f>
        <v>1</v>
      </c>
      <c r="U9" s="3">
        <v>0.5</v>
      </c>
      <c r="V9" s="2">
        <f t="shared" ref="V9:Y10" si="13">0.8*15/15+0.2*1</f>
        <v>1</v>
      </c>
      <c r="W9" s="2">
        <f t="shared" si="13"/>
        <v>1</v>
      </c>
      <c r="X9" s="2">
        <f t="shared" si="13"/>
        <v>1</v>
      </c>
      <c r="Y9" s="2">
        <f t="shared" si="13"/>
        <v>1</v>
      </c>
      <c r="Z9" s="2">
        <f>0.8*15/15+0.2*1</f>
        <v>1</v>
      </c>
      <c r="AA9" s="2">
        <v>1</v>
      </c>
      <c r="AB9" s="2">
        <f t="shared" si="12"/>
        <v>1</v>
      </c>
      <c r="AC9" s="2">
        <f t="shared" si="12"/>
        <v>1</v>
      </c>
      <c r="AE9" s="15">
        <f t="shared" si="4"/>
        <v>0.7416666666666667</v>
      </c>
      <c r="AF9" s="15">
        <f t="shared" si="10"/>
        <v>0.73333333333333328</v>
      </c>
      <c r="AG9" s="15">
        <f t="shared" si="5"/>
        <v>0.73750000000000004</v>
      </c>
      <c r="AH9" s="1">
        <f t="shared" si="6"/>
        <v>0.58888888888888891</v>
      </c>
      <c r="AI9" s="1">
        <f t="shared" si="7"/>
        <v>0.96153846153846156</v>
      </c>
      <c r="AJ9" s="2">
        <v>0.9</v>
      </c>
      <c r="AK9" s="2">
        <v>0.8</v>
      </c>
      <c r="AL9" s="2">
        <f t="shared" si="8"/>
        <v>0.84000000000000008</v>
      </c>
      <c r="AM9" s="71">
        <f t="shared" si="9"/>
        <v>0.78710683760683764</v>
      </c>
      <c r="AN9" t="s">
        <v>177</v>
      </c>
    </row>
    <row r="10" spans="1:41" ht="13" x14ac:dyDescent="0.3">
      <c r="A10" s="28">
        <v>0.69469771604420583</v>
      </c>
      <c r="B10" t="s">
        <v>9</v>
      </c>
      <c r="C10" s="33">
        <f>1-19/60</f>
        <v>0.68333333333333335</v>
      </c>
      <c r="D10" s="22">
        <f t="shared" si="2"/>
        <v>0.80833333333333335</v>
      </c>
      <c r="E10" s="66">
        <f>(75-16)/75</f>
        <v>0.78666666666666663</v>
      </c>
      <c r="F10" s="66">
        <f t="shared" si="3"/>
        <v>0.78666666666666663</v>
      </c>
      <c r="G10" s="9">
        <v>1</v>
      </c>
      <c r="H10" s="9">
        <v>0.9</v>
      </c>
      <c r="I10" s="9">
        <v>0.9</v>
      </c>
      <c r="J10" s="9">
        <v>0.7</v>
      </c>
      <c r="K10" s="9">
        <v>0.5</v>
      </c>
      <c r="L10" s="9">
        <v>1</v>
      </c>
      <c r="M10" s="9">
        <v>0.8</v>
      </c>
      <c r="N10" s="9">
        <v>1</v>
      </c>
      <c r="O10" s="9">
        <v>0.6</v>
      </c>
      <c r="P10" s="9"/>
      <c r="Q10" s="2">
        <v>1</v>
      </c>
      <c r="R10" s="2">
        <v>1</v>
      </c>
      <c r="S10" s="2">
        <f t="shared" si="11"/>
        <v>1</v>
      </c>
      <c r="T10" s="2">
        <f>0.8*15/15+0.2*1</f>
        <v>1</v>
      </c>
      <c r="U10" s="2">
        <f>0.8*15/15+0.2*1</f>
        <v>1</v>
      </c>
      <c r="V10" s="2">
        <f t="shared" si="13"/>
        <v>1</v>
      </c>
      <c r="W10" s="2">
        <f t="shared" si="13"/>
        <v>1</v>
      </c>
      <c r="X10" s="2">
        <f t="shared" si="13"/>
        <v>1</v>
      </c>
      <c r="Y10" s="2">
        <f t="shared" si="13"/>
        <v>1</v>
      </c>
      <c r="Z10" s="2">
        <f>0.8*15/15+0.2*1</f>
        <v>1</v>
      </c>
      <c r="AA10" s="2">
        <f>0.8*15/15+0.2*1</f>
        <v>1</v>
      </c>
      <c r="AB10" s="2">
        <f t="shared" si="12"/>
        <v>1</v>
      </c>
      <c r="AC10" s="2">
        <f t="shared" si="12"/>
        <v>1</v>
      </c>
      <c r="AE10" s="15">
        <f t="shared" si="4"/>
        <v>0.80833333333333335</v>
      </c>
      <c r="AF10" s="15">
        <f t="shared" si="10"/>
        <v>0.78666666666666663</v>
      </c>
      <c r="AG10" s="15">
        <f t="shared" si="5"/>
        <v>0.79749999999999999</v>
      </c>
      <c r="AH10" s="1">
        <f t="shared" si="6"/>
        <v>0.82222222222222219</v>
      </c>
      <c r="AI10" s="1">
        <f t="shared" si="7"/>
        <v>1</v>
      </c>
      <c r="AJ10" s="2">
        <v>0.95</v>
      </c>
      <c r="AK10" s="2">
        <v>0.8</v>
      </c>
      <c r="AL10" s="2">
        <f t="shared" si="8"/>
        <v>0.86</v>
      </c>
      <c r="AM10" s="71">
        <f t="shared" si="9"/>
        <v>0.87305555555555558</v>
      </c>
      <c r="AN10" t="s">
        <v>175</v>
      </c>
    </row>
    <row r="11" spans="1:41" ht="13" x14ac:dyDescent="0.3">
      <c r="A11" s="28">
        <v>0.83759627014542026</v>
      </c>
      <c r="B11" t="s">
        <v>10</v>
      </c>
      <c r="C11" s="33">
        <f>1-27.5/60</f>
        <v>0.54166666666666674</v>
      </c>
      <c r="D11" s="22">
        <f t="shared" si="2"/>
        <v>0.66666666666666674</v>
      </c>
      <c r="E11" s="66">
        <f>(75-20)/75</f>
        <v>0.73333333333333328</v>
      </c>
      <c r="F11" s="66">
        <f t="shared" si="3"/>
        <v>0.73333333333333328</v>
      </c>
      <c r="G11" s="9">
        <v>0.9</v>
      </c>
      <c r="H11" s="9">
        <v>0.8</v>
      </c>
      <c r="I11" s="9">
        <v>0.8</v>
      </c>
      <c r="J11" s="9">
        <v>1</v>
      </c>
      <c r="K11" s="9">
        <v>0.6</v>
      </c>
      <c r="L11" s="9">
        <v>0.5</v>
      </c>
      <c r="M11" s="9">
        <v>0.8</v>
      </c>
      <c r="N11" s="9">
        <v>0.8</v>
      </c>
      <c r="O11" s="9">
        <v>0.8</v>
      </c>
      <c r="P11" s="9"/>
      <c r="Q11" s="2">
        <v>1</v>
      </c>
      <c r="R11" s="2">
        <v>1</v>
      </c>
      <c r="S11" s="2">
        <f t="shared" si="11"/>
        <v>1</v>
      </c>
      <c r="T11" s="2">
        <f>0.8*15/15+0.2*1</f>
        <v>1</v>
      </c>
      <c r="U11" s="2">
        <f>34/37</f>
        <v>0.91891891891891897</v>
      </c>
      <c r="V11" s="2">
        <f>0.8*15/15+0.2*1</f>
        <v>1</v>
      </c>
      <c r="W11" s="2">
        <f>0.8*15/15+0.2*1</f>
        <v>1</v>
      </c>
      <c r="X11" s="9">
        <v>1</v>
      </c>
      <c r="Y11" s="2">
        <f>0.8*15/15+0.2*1</f>
        <v>1</v>
      </c>
      <c r="Z11" s="2">
        <f>0.8*15/15+0.2*1</f>
        <v>1</v>
      </c>
      <c r="AA11" s="49">
        <v>0</v>
      </c>
      <c r="AB11" s="2">
        <f>0.8*15/15+0.2*1</f>
        <v>1</v>
      </c>
      <c r="AC11" s="49">
        <v>0</v>
      </c>
      <c r="AE11" s="15">
        <f t="shared" si="4"/>
        <v>0.66666666666666674</v>
      </c>
      <c r="AF11" s="15">
        <f t="shared" si="10"/>
        <v>0.73333333333333328</v>
      </c>
      <c r="AG11" s="15">
        <f t="shared" si="5"/>
        <v>0.73333333333333328</v>
      </c>
      <c r="AH11" s="1">
        <f t="shared" si="6"/>
        <v>0.77777777777777768</v>
      </c>
      <c r="AI11" s="1">
        <f t="shared" si="7"/>
        <v>0.83991683991683996</v>
      </c>
      <c r="AJ11" s="2">
        <v>0.92</v>
      </c>
      <c r="AK11" s="2">
        <v>0.8</v>
      </c>
      <c r="AL11" s="2">
        <f t="shared" si="8"/>
        <v>0.84800000000000009</v>
      </c>
      <c r="AM11" s="71">
        <f t="shared" si="9"/>
        <v>0.80549032109032104</v>
      </c>
      <c r="AN11" t="s">
        <v>169</v>
      </c>
    </row>
    <row r="12" spans="1:41" ht="13" x14ac:dyDescent="0.3">
      <c r="A12" s="28">
        <v>0.24429609817240294</v>
      </c>
      <c r="B12" t="s">
        <v>11</v>
      </c>
      <c r="C12" s="33">
        <f>1-22/60</f>
        <v>0.6333333333333333</v>
      </c>
      <c r="D12" s="22">
        <f t="shared" si="2"/>
        <v>0.7583333333333333</v>
      </c>
      <c r="E12" s="66">
        <f>(75-23)/75</f>
        <v>0.69333333333333336</v>
      </c>
      <c r="F12" s="66">
        <f t="shared" si="3"/>
        <v>0.69333333333333336</v>
      </c>
      <c r="G12" s="9">
        <v>0.9</v>
      </c>
      <c r="H12" s="9">
        <v>0.8</v>
      </c>
      <c r="I12" s="9">
        <v>0.7</v>
      </c>
      <c r="J12" s="9">
        <v>0.5</v>
      </c>
      <c r="K12" s="38">
        <v>0</v>
      </c>
      <c r="L12" s="38">
        <v>0</v>
      </c>
      <c r="M12" s="38">
        <v>0</v>
      </c>
      <c r="N12" s="9">
        <v>0.6</v>
      </c>
      <c r="O12" s="9">
        <v>0.3</v>
      </c>
      <c r="P12" s="9"/>
      <c r="Q12" s="2">
        <v>1</v>
      </c>
      <c r="R12" s="2">
        <v>1</v>
      </c>
      <c r="S12" s="2">
        <f t="shared" si="11"/>
        <v>1</v>
      </c>
      <c r="T12" s="2">
        <f>0.8*15/15+0.2*1</f>
        <v>1</v>
      </c>
      <c r="U12" s="2">
        <f>25/37</f>
        <v>0.67567567567567566</v>
      </c>
      <c r="V12" s="49">
        <v>0</v>
      </c>
      <c r="W12" s="2">
        <f>0.8*15/15+0.2*1</f>
        <v>1</v>
      </c>
      <c r="X12" s="49">
        <v>0</v>
      </c>
      <c r="Y12" s="2">
        <f>0.8*15/15+0.2*1</f>
        <v>1</v>
      </c>
      <c r="Z12" s="2">
        <f>13/27</f>
        <v>0.48148148148148145</v>
      </c>
      <c r="AA12" s="49">
        <v>0</v>
      </c>
      <c r="AB12" s="49">
        <v>0</v>
      </c>
      <c r="AC12" s="49">
        <v>0</v>
      </c>
      <c r="AE12" s="15">
        <f t="shared" si="4"/>
        <v>0.7583333333333333</v>
      </c>
      <c r="AF12" s="15">
        <f t="shared" si="10"/>
        <v>0.69333333333333336</v>
      </c>
      <c r="AG12" s="15">
        <f t="shared" si="5"/>
        <v>0.72583333333333333</v>
      </c>
      <c r="AH12" s="1">
        <f t="shared" si="6"/>
        <v>0.42222222222222228</v>
      </c>
      <c r="AI12" s="1">
        <f t="shared" si="7"/>
        <v>0.55055055055055058</v>
      </c>
      <c r="AJ12" s="2">
        <v>0.9</v>
      </c>
      <c r="AK12" s="2">
        <v>0.8</v>
      </c>
      <c r="AL12" s="2">
        <f t="shared" si="8"/>
        <v>0.84000000000000008</v>
      </c>
      <c r="AM12" s="71">
        <f>0.2*AG12+0.25*AH12+0.25*AI12+0.3*AL12</f>
        <v>0.64035985985985988</v>
      </c>
      <c r="AN12" t="s">
        <v>202</v>
      </c>
    </row>
    <row r="13" spans="1:41" ht="13.5" thickBot="1" x14ac:dyDescent="0.35">
      <c r="B13" t="s">
        <v>13</v>
      </c>
      <c r="C13" s="34">
        <f>AVERAGE(C2:C12)</f>
        <v>0.62500000000000011</v>
      </c>
      <c r="D13" s="23">
        <f>AVERAGE(D2:D12)</f>
        <v>0.75000000000000011</v>
      </c>
      <c r="E13" s="23">
        <f>AVERAGE(E2:E12)</f>
        <v>0.75636363636363635</v>
      </c>
      <c r="F13" s="66">
        <f t="shared" si="3"/>
        <v>0.75636363636363635</v>
      </c>
      <c r="G13" s="35">
        <f t="shared" ref="G13:O13" si="14">AVERAGE(G2:G12)</f>
        <v>0.90909090909090906</v>
      </c>
      <c r="H13" s="35">
        <f t="shared" si="14"/>
        <v>0.70000000000000007</v>
      </c>
      <c r="I13" s="35">
        <f t="shared" si="14"/>
        <v>0.77272727272727271</v>
      </c>
      <c r="J13" s="35">
        <f t="shared" si="14"/>
        <v>0.70909090909090922</v>
      </c>
      <c r="K13" s="35">
        <f t="shared" si="14"/>
        <v>0.37272727272727268</v>
      </c>
      <c r="L13" s="35">
        <f t="shared" si="14"/>
        <v>0.45454545454545453</v>
      </c>
      <c r="M13" s="9">
        <f t="shared" si="14"/>
        <v>0.52727272727272723</v>
      </c>
      <c r="N13" s="9">
        <f t="shared" si="14"/>
        <v>0.54545454545454541</v>
      </c>
      <c r="O13" s="9">
        <f t="shared" si="14"/>
        <v>0.61818181818181805</v>
      </c>
      <c r="P13" s="9"/>
      <c r="Q13" s="1">
        <f t="shared" ref="Q13:W13" si="15">AVERAGE(Q2:Q12)</f>
        <v>0.90909090909090906</v>
      </c>
      <c r="R13" s="1">
        <f t="shared" si="15"/>
        <v>0.90909090909090906</v>
      </c>
      <c r="S13" s="1">
        <f t="shared" si="15"/>
        <v>0.90909090909090906</v>
      </c>
      <c r="T13" s="1">
        <f t="shared" si="15"/>
        <v>0.81818181818181823</v>
      </c>
      <c r="U13" s="2">
        <f t="shared" si="15"/>
        <v>0.85164619164619149</v>
      </c>
      <c r="V13" s="2">
        <f t="shared" si="15"/>
        <v>0.90909090909090906</v>
      </c>
      <c r="W13" s="2">
        <f t="shared" si="15"/>
        <v>0.80909090909090908</v>
      </c>
      <c r="X13" s="2">
        <f t="shared" ref="X13:AI13" si="16">AVERAGE(X2:X12)</f>
        <v>0.74181818181818182</v>
      </c>
      <c r="Y13" s="2">
        <f t="shared" si="16"/>
        <v>0.99521531100478466</v>
      </c>
      <c r="Z13" s="2">
        <f t="shared" si="16"/>
        <v>0.93939393939393934</v>
      </c>
      <c r="AA13" s="2">
        <f t="shared" si="16"/>
        <v>0.66403162055335974</v>
      </c>
      <c r="AB13" s="2">
        <f t="shared" si="16"/>
        <v>0.81404958677685957</v>
      </c>
      <c r="AC13" s="2">
        <f t="shared" si="16"/>
        <v>0.81422924901185756</v>
      </c>
      <c r="AE13" s="2">
        <f t="shared" si="16"/>
        <v>0.75000000000000011</v>
      </c>
      <c r="AF13" s="50">
        <f>AVERAGE(AF2:AF12)</f>
        <v>0.75636363636363635</v>
      </c>
      <c r="AG13" s="2">
        <f t="shared" si="16"/>
        <v>0.76227272727272721</v>
      </c>
      <c r="AH13" s="2">
        <f t="shared" si="16"/>
        <v>0.62323232323232325</v>
      </c>
      <c r="AI13" s="2">
        <f t="shared" si="16"/>
        <v>0.85261695721858</v>
      </c>
      <c r="AJ13" s="2">
        <f>AVERAGE(AJ2:AJ12)</f>
        <v>0.91272727272727283</v>
      </c>
      <c r="AK13" s="2">
        <v>0.8</v>
      </c>
      <c r="AL13" s="2">
        <f>AVERAGE(AL2:AL12)</f>
        <v>0.845090909090909</v>
      </c>
      <c r="AM13" s="71">
        <f>AVERAGE(AM2:AM12)</f>
        <v>0.77494413829454389</v>
      </c>
      <c r="AN13" t="s">
        <v>163</v>
      </c>
    </row>
    <row r="14" spans="1:41" ht="13.5" thickBot="1" x14ac:dyDescent="0.35">
      <c r="D14" s="23"/>
      <c r="E14" s="23"/>
      <c r="F14" s="23"/>
      <c r="AK14" s="67" t="s">
        <v>159</v>
      </c>
      <c r="AL14" s="68" t="s">
        <v>160</v>
      </c>
    </row>
    <row r="15" spans="1:41" ht="13" thickBot="1" x14ac:dyDescent="0.3">
      <c r="B15" s="36" t="s">
        <v>130</v>
      </c>
      <c r="AK15" s="69" t="s">
        <v>167</v>
      </c>
      <c r="AL15" s="70" t="s">
        <v>168</v>
      </c>
    </row>
    <row r="16" spans="1:41" ht="13.5" thickBot="1" x14ac:dyDescent="0.35">
      <c r="B16" s="25" t="s">
        <v>134</v>
      </c>
      <c r="AK16" s="69" t="s">
        <v>175</v>
      </c>
      <c r="AL16" s="70" t="s">
        <v>176</v>
      </c>
    </row>
    <row r="17" spans="2:38" ht="13.5" thickBot="1" x14ac:dyDescent="0.35">
      <c r="B17" s="48" t="s">
        <v>152</v>
      </c>
      <c r="C17" s="49">
        <v>0</v>
      </c>
      <c r="H17" s="9"/>
      <c r="AK17" s="68" t="s">
        <v>161</v>
      </c>
      <c r="AL17" s="68" t="s">
        <v>162</v>
      </c>
    </row>
    <row r="18" spans="2:38" ht="13" thickBot="1" x14ac:dyDescent="0.3">
      <c r="AK18" s="70" t="s">
        <v>169</v>
      </c>
      <c r="AL18" s="70" t="s">
        <v>170</v>
      </c>
    </row>
    <row r="19" spans="2:38" ht="13" thickBot="1" x14ac:dyDescent="0.3">
      <c r="AK19" s="70" t="s">
        <v>177</v>
      </c>
      <c r="AL19" s="70" t="s">
        <v>178</v>
      </c>
    </row>
    <row r="20" spans="2:38" ht="13" thickBot="1" x14ac:dyDescent="0.3">
      <c r="AK20" s="68" t="s">
        <v>163</v>
      </c>
      <c r="AL20" s="68" t="s">
        <v>164</v>
      </c>
    </row>
    <row r="21" spans="2:38" ht="13" thickBot="1" x14ac:dyDescent="0.3">
      <c r="AK21" s="70" t="s">
        <v>171</v>
      </c>
      <c r="AL21" s="70" t="s">
        <v>172</v>
      </c>
    </row>
    <row r="22" spans="2:38" ht="13" thickBot="1" x14ac:dyDescent="0.3">
      <c r="AK22" s="70" t="s">
        <v>179</v>
      </c>
      <c r="AL22" s="70" t="s">
        <v>180</v>
      </c>
    </row>
    <row r="23" spans="2:38" ht="13" thickBot="1" x14ac:dyDescent="0.3">
      <c r="AK23" s="68" t="s">
        <v>165</v>
      </c>
      <c r="AL23" s="68" t="s">
        <v>166</v>
      </c>
    </row>
    <row r="24" spans="2:38" ht="13" thickBot="1" x14ac:dyDescent="0.3">
      <c r="AK24" s="70" t="s">
        <v>173</v>
      </c>
      <c r="AL24" s="70" t="s">
        <v>174</v>
      </c>
    </row>
    <row r="25" spans="2:38" ht="13" thickBot="1" x14ac:dyDescent="0.3">
      <c r="AK25" s="70" t="s">
        <v>181</v>
      </c>
      <c r="AL25" s="70" t="s">
        <v>182</v>
      </c>
    </row>
  </sheetData>
  <phoneticPr fontId="0" type="noConversion"/>
  <pageMargins left="0.75" right="0.75" top="1" bottom="1" header="0.5" footer="0.5"/>
  <pageSetup orientation="portrait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tabSelected="1" workbookViewId="0">
      <pane xSplit="2" ySplit="1" topLeftCell="AD2" activePane="bottomRight" state="frozenSplit"/>
      <selection pane="topRight" activeCell="B1" sqref="B1"/>
      <selection pane="bottomLeft"/>
      <selection pane="bottomRight" activeCell="AJ15" sqref="AJ15"/>
    </sheetView>
  </sheetViews>
  <sheetFormatPr defaultRowHeight="12.5" x14ac:dyDescent="0.25"/>
  <cols>
    <col min="2" max="2" width="17.7265625" bestFit="1" customWidth="1"/>
    <col min="3" max="4" width="7.81640625" customWidth="1"/>
    <col min="5" max="6" width="5.453125" customWidth="1"/>
    <col min="7" max="7" width="13.7265625" bestFit="1" customWidth="1"/>
    <col min="8" max="9" width="14.81640625" bestFit="1" customWidth="1"/>
    <col min="10" max="10" width="15.26953125" customWidth="1"/>
    <col min="11" max="12" width="14.7265625" bestFit="1" customWidth="1"/>
    <col min="13" max="13" width="14.1796875" bestFit="1" customWidth="1"/>
    <col min="14" max="17" width="15.1796875" bestFit="1" customWidth="1"/>
    <col min="18" max="19" width="14.81640625" bestFit="1" customWidth="1"/>
    <col min="20" max="20" width="14.453125" customWidth="1"/>
    <col min="21" max="21" width="16.453125" bestFit="1" customWidth="1"/>
    <col min="22" max="22" width="14.453125" customWidth="1"/>
    <col min="23" max="24" width="14.81640625" customWidth="1"/>
    <col min="26" max="26" width="9.1796875" style="39" customWidth="1"/>
    <col min="35" max="35" width="10.1796875" customWidth="1"/>
  </cols>
  <sheetData>
    <row r="1" spans="1:38" ht="13" thickBot="1" x14ac:dyDescent="0.3">
      <c r="B1" t="s">
        <v>0</v>
      </c>
      <c r="C1" t="s">
        <v>93</v>
      </c>
      <c r="D1" t="s">
        <v>94</v>
      </c>
      <c r="E1" t="s">
        <v>107</v>
      </c>
      <c r="F1" t="s">
        <v>108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183</v>
      </c>
      <c r="R1" t="s">
        <v>90</v>
      </c>
      <c r="S1" t="s">
        <v>91</v>
      </c>
      <c r="T1" t="s">
        <v>92</v>
      </c>
      <c r="U1" t="s">
        <v>111</v>
      </c>
      <c r="V1" t="s">
        <v>144</v>
      </c>
      <c r="W1" t="s">
        <v>145</v>
      </c>
      <c r="X1" t="s">
        <v>150</v>
      </c>
      <c r="Z1" s="39" t="s">
        <v>184</v>
      </c>
      <c r="AA1" t="s">
        <v>185</v>
      </c>
      <c r="AB1" t="s">
        <v>187</v>
      </c>
      <c r="AC1" t="s">
        <v>188</v>
      </c>
      <c r="AD1" t="s">
        <v>191</v>
      </c>
      <c r="AE1" t="s">
        <v>192</v>
      </c>
      <c r="AF1" t="s">
        <v>193</v>
      </c>
      <c r="AG1" t="s">
        <v>189</v>
      </c>
      <c r="AH1" t="s">
        <v>190</v>
      </c>
      <c r="AI1" t="s">
        <v>201</v>
      </c>
      <c r="AK1" t="s">
        <v>186</v>
      </c>
    </row>
    <row r="2" spans="1:38" ht="13.5" thickBot="1" x14ac:dyDescent="0.35">
      <c r="A2" s="28">
        <v>0.81114434067381236</v>
      </c>
      <c r="B2" s="10" t="s">
        <v>75</v>
      </c>
      <c r="C2" s="14">
        <f>1-9/35</f>
        <v>0.74285714285714288</v>
      </c>
      <c r="D2" s="14">
        <f>0.05+C2</f>
        <v>0.79285714285714293</v>
      </c>
      <c r="E2" s="3">
        <f>21/21*0.8+0.2*0-0.1</f>
        <v>0.70000000000000007</v>
      </c>
      <c r="F2" s="5">
        <f>10/10*0.8+0.2*0.33-0.05</f>
        <v>0.81600000000000006</v>
      </c>
      <c r="G2" s="9">
        <f>4/4*0.8+0.2*0</f>
        <v>0.8</v>
      </c>
      <c r="H2" s="9">
        <f>6/6*0.8+0.2*0</f>
        <v>0.8</v>
      </c>
      <c r="I2" s="9">
        <f>7/7*0.8+0.2*0</f>
        <v>0.8</v>
      </c>
      <c r="J2" s="1">
        <v>1</v>
      </c>
      <c r="K2" s="2">
        <f>0.8*5/5+0.2*0</f>
        <v>0.8</v>
      </c>
      <c r="L2" s="1">
        <v>0.6</v>
      </c>
      <c r="M2" s="2">
        <f>0.8*6/8+0.2*0</f>
        <v>0.60000000000000009</v>
      </c>
      <c r="N2" s="39">
        <f>1/8</f>
        <v>0.125</v>
      </c>
      <c r="O2" s="17">
        <f>4/6</f>
        <v>0.66666666666666663</v>
      </c>
      <c r="P2" s="59">
        <v>0</v>
      </c>
      <c r="R2" s="2">
        <v>0.9</v>
      </c>
      <c r="S2" s="2">
        <v>0.7</v>
      </c>
      <c r="T2" s="1">
        <v>1</v>
      </c>
      <c r="U2" s="2">
        <v>1</v>
      </c>
      <c r="V2" s="39">
        <f>0.25*0.8+0.25*0.7+0.25*0.6+0.25*0.6</f>
        <v>0.67500000000000004</v>
      </c>
      <c r="W2" s="1">
        <v>1</v>
      </c>
      <c r="X2" s="2">
        <f>3.4/4</f>
        <v>0.85</v>
      </c>
      <c r="Z2" s="39">
        <f>SUM(E2:Q2)/12</f>
        <v>0.64230555555555546</v>
      </c>
      <c r="AA2" s="39">
        <f>SUM(R2:X2)/7</f>
        <v>0.875</v>
      </c>
      <c r="AB2" s="60">
        <f>AVERAGE(Z2:AA2)</f>
        <v>0.75865277777777773</v>
      </c>
      <c r="AC2" s="15">
        <f>D2</f>
        <v>0.79285714285714293</v>
      </c>
      <c r="AD2" s="40">
        <v>0.5</v>
      </c>
      <c r="AE2" s="39">
        <v>0.9</v>
      </c>
      <c r="AF2" s="39">
        <f t="shared" ref="AF2:AF15" si="0">0.7*AD2+0.3*AE2</f>
        <v>0.62</v>
      </c>
      <c r="AG2" s="71">
        <f>0.3*AF2+0.15*AC2+0.55*AB2</f>
        <v>0.72218759920634923</v>
      </c>
      <c r="AI2" s="1">
        <f>0.1+AG2</f>
        <v>0.82218759920634921</v>
      </c>
      <c r="AJ2" t="s">
        <v>169</v>
      </c>
      <c r="AK2" s="67" t="s">
        <v>159</v>
      </c>
      <c r="AL2" s="68" t="s">
        <v>160</v>
      </c>
    </row>
    <row r="3" spans="1:38" ht="13.5" thickBot="1" x14ac:dyDescent="0.35">
      <c r="A3" s="28">
        <v>0.74275363861319565</v>
      </c>
      <c r="B3" s="10" t="s">
        <v>71</v>
      </c>
      <c r="C3" s="14">
        <f>1-10/35</f>
        <v>0.7142857142857143</v>
      </c>
      <c r="D3" s="14">
        <f t="shared" ref="D3:D15" si="1">0.05+C3</f>
        <v>0.76428571428571435</v>
      </c>
      <c r="E3" s="2">
        <v>1</v>
      </c>
      <c r="F3" s="5">
        <f>10/10*0.8+0.2*0.33-0.05</f>
        <v>0.81600000000000006</v>
      </c>
      <c r="G3" s="9">
        <f>4/5*0.8+0.2*1</f>
        <v>0.84000000000000008</v>
      </c>
      <c r="H3" s="1">
        <v>0.9</v>
      </c>
      <c r="I3" s="9">
        <f>7/7*0.8+0.2*0.333</f>
        <v>0.86660000000000004</v>
      </c>
      <c r="J3" s="9">
        <f>5/5*0.8+0.2*0</f>
        <v>0.8</v>
      </c>
      <c r="K3" s="2">
        <f>0.8*5/5+0.2*0</f>
        <v>0.8</v>
      </c>
      <c r="L3" s="1">
        <v>1</v>
      </c>
      <c r="M3" s="2">
        <f>4/8</f>
        <v>0.5</v>
      </c>
      <c r="N3" s="59">
        <v>0</v>
      </c>
      <c r="O3" s="17">
        <f>4.5/6</f>
        <v>0.75</v>
      </c>
      <c r="P3" s="17">
        <f>4.75/7</f>
        <v>0.6785714285714286</v>
      </c>
      <c r="R3" s="2">
        <v>1</v>
      </c>
      <c r="S3" s="2">
        <v>0.85</v>
      </c>
      <c r="T3" s="1">
        <v>1</v>
      </c>
      <c r="U3" s="2">
        <v>1</v>
      </c>
      <c r="V3" s="39">
        <f>0.2*1+0.2*1+0.2*0.75+0.2*0.75+0.2*1</f>
        <v>0.90000000000000013</v>
      </c>
      <c r="W3" s="39">
        <f>3.5/4</f>
        <v>0.875</v>
      </c>
      <c r="X3" s="2">
        <f>3/5</f>
        <v>0.6</v>
      </c>
      <c r="Z3" s="39">
        <f t="shared" ref="Z3:Z15" si="2">SUM(E3:Q3)/12</f>
        <v>0.74593095238095242</v>
      </c>
      <c r="AA3" s="39">
        <f t="shared" ref="AA3:AA15" si="3">SUM(R3:X3)/7</f>
        <v>0.88928571428571423</v>
      </c>
      <c r="AB3" s="60">
        <f t="shared" ref="AB3:AB15" si="4">AVERAGE(Z3:AA3)</f>
        <v>0.81760833333333327</v>
      </c>
      <c r="AC3" s="15">
        <f t="shared" ref="AC3:AC15" si="5">D3</f>
        <v>0.76428571428571435</v>
      </c>
      <c r="AD3" s="40">
        <v>0.7</v>
      </c>
      <c r="AE3" s="39">
        <v>0.5</v>
      </c>
      <c r="AF3" s="39">
        <f t="shared" si="0"/>
        <v>0.6399999999999999</v>
      </c>
      <c r="AG3" s="71">
        <f t="shared" ref="AG3:AG15" si="6">0.3*AF3+0.15*AC3+0.55*AB3</f>
        <v>0.75632744047619038</v>
      </c>
      <c r="AH3" t="s">
        <v>177</v>
      </c>
      <c r="AI3" s="1">
        <f t="shared" ref="AI3:AI15" si="7">0.1+AG3</f>
        <v>0.85632744047619036</v>
      </c>
      <c r="AJ3" t="s">
        <v>175</v>
      </c>
      <c r="AK3" s="69" t="s">
        <v>167</v>
      </c>
      <c r="AL3" s="70" t="s">
        <v>168</v>
      </c>
    </row>
    <row r="4" spans="1:38" ht="13.5" thickBot="1" x14ac:dyDescent="0.35">
      <c r="A4" s="28">
        <v>0.56502867160133263</v>
      </c>
      <c r="B4" s="10" t="s">
        <v>3</v>
      </c>
      <c r="C4" s="14">
        <f>1-10.5/35</f>
        <v>0.7</v>
      </c>
      <c r="D4" s="14">
        <f>0.05+C4</f>
        <v>0.75</v>
      </c>
      <c r="E4" s="2">
        <f>4/21*0.8</f>
        <v>0.15238095238095239</v>
      </c>
      <c r="F4" s="27">
        <v>0.5</v>
      </c>
      <c r="G4" s="27">
        <v>0.5</v>
      </c>
      <c r="H4" s="17">
        <v>0.7</v>
      </c>
      <c r="I4" s="24">
        <f>7/7*0.8+0.2*0-0.3</f>
        <v>0.5</v>
      </c>
      <c r="J4" s="2">
        <v>0</v>
      </c>
      <c r="K4" s="2">
        <f>0.8*5/5+0.2*0</f>
        <v>0.8</v>
      </c>
      <c r="L4" s="2">
        <v>0</v>
      </c>
      <c r="M4" s="2">
        <f>2/8</f>
        <v>0.25</v>
      </c>
      <c r="N4" s="59">
        <v>0</v>
      </c>
      <c r="O4" s="59">
        <v>0</v>
      </c>
      <c r="P4" s="59">
        <v>0</v>
      </c>
      <c r="R4" s="2">
        <v>1</v>
      </c>
      <c r="S4" s="2">
        <v>0.5</v>
      </c>
      <c r="T4">
        <v>0</v>
      </c>
      <c r="U4" s="30">
        <v>0.8</v>
      </c>
      <c r="V4" s="39">
        <v>0.7</v>
      </c>
      <c r="W4" s="39">
        <v>0.7</v>
      </c>
      <c r="X4" s="2">
        <f>2.75/4</f>
        <v>0.6875</v>
      </c>
      <c r="Z4" s="39">
        <f t="shared" si="2"/>
        <v>0.28353174603174597</v>
      </c>
      <c r="AA4" s="39">
        <f t="shared" si="3"/>
        <v>0.62678571428571428</v>
      </c>
      <c r="AB4" s="60">
        <f t="shared" si="4"/>
        <v>0.4551587301587301</v>
      </c>
      <c r="AC4" s="15">
        <f t="shared" si="5"/>
        <v>0.75</v>
      </c>
      <c r="AD4" s="40">
        <v>0.35</v>
      </c>
      <c r="AE4" s="39">
        <v>0.8</v>
      </c>
      <c r="AF4" s="39">
        <f t="shared" si="0"/>
        <v>0.48499999999999999</v>
      </c>
      <c r="AG4" s="71">
        <f t="shared" si="6"/>
        <v>0.50833730158730162</v>
      </c>
      <c r="AI4" s="1">
        <f t="shared" si="7"/>
        <v>0.60833730158730159</v>
      </c>
      <c r="AJ4" t="s">
        <v>165</v>
      </c>
      <c r="AK4" s="69" t="s">
        <v>175</v>
      </c>
      <c r="AL4" s="70" t="s">
        <v>176</v>
      </c>
    </row>
    <row r="5" spans="1:38" ht="13.5" thickBot="1" x14ac:dyDescent="0.35">
      <c r="A5" s="28">
        <v>0.35791079668778547</v>
      </c>
      <c r="B5" s="10" t="s">
        <v>4</v>
      </c>
      <c r="C5" s="14">
        <f>1-10/35</f>
        <v>0.7142857142857143</v>
      </c>
      <c r="D5" s="14">
        <f t="shared" si="1"/>
        <v>0.76428571428571435</v>
      </c>
      <c r="E5" s="2">
        <f>21/21*0.8+0.2</f>
        <v>1</v>
      </c>
      <c r="F5" s="2">
        <f>6/10*0.8+0.2*0</f>
        <v>0.48</v>
      </c>
      <c r="G5" s="9">
        <f>3.5/4*0.8+0.2*0.5</f>
        <v>0.8</v>
      </c>
      <c r="H5" s="9">
        <f>6/6*0.8+0.2*0.5</f>
        <v>0.9</v>
      </c>
      <c r="I5" s="9">
        <f>7/7*0.8+0.2*0</f>
        <v>0.8</v>
      </c>
      <c r="J5" s="2">
        <v>1</v>
      </c>
      <c r="K5" s="2">
        <v>0</v>
      </c>
      <c r="L5" s="1">
        <v>1</v>
      </c>
      <c r="M5" s="2">
        <f>4/8</f>
        <v>0.5</v>
      </c>
      <c r="N5" s="59">
        <v>0</v>
      </c>
      <c r="O5" s="39">
        <f>0.25/6+0.5</f>
        <v>0.54166666666666663</v>
      </c>
      <c r="P5" s="17">
        <f>3/7</f>
        <v>0.42857142857142855</v>
      </c>
      <c r="R5" s="2">
        <v>0.9</v>
      </c>
      <c r="S5" s="2">
        <v>0.7</v>
      </c>
      <c r="T5">
        <v>0</v>
      </c>
      <c r="U5" s="2">
        <v>0.8</v>
      </c>
      <c r="V5" s="39">
        <f>0.2*0.5+0.2*0.5+0.2*0.5+0.2*1+0.2*0.5</f>
        <v>0.6</v>
      </c>
      <c r="W5" s="2">
        <v>1</v>
      </c>
      <c r="X5" s="2">
        <f>2.75/4</f>
        <v>0.6875</v>
      </c>
      <c r="Z5" s="39">
        <f t="shared" si="2"/>
        <v>0.62085317460317468</v>
      </c>
      <c r="AA5" s="39">
        <f t="shared" si="3"/>
        <v>0.6696428571428571</v>
      </c>
      <c r="AB5" s="60">
        <f t="shared" si="4"/>
        <v>0.64524801587301583</v>
      </c>
      <c r="AC5" s="15">
        <f t="shared" si="5"/>
        <v>0.76428571428571435</v>
      </c>
      <c r="AD5" s="40">
        <v>0.38</v>
      </c>
      <c r="AE5" s="39">
        <v>0.8</v>
      </c>
      <c r="AF5" s="39">
        <f t="shared" si="0"/>
        <v>0.50600000000000001</v>
      </c>
      <c r="AG5" s="71">
        <f t="shared" si="6"/>
        <v>0.62132926587301585</v>
      </c>
      <c r="AH5" t="s">
        <v>173</v>
      </c>
      <c r="AI5" s="1">
        <f t="shared" si="7"/>
        <v>0.72132926587301582</v>
      </c>
      <c r="AJ5" t="s">
        <v>171</v>
      </c>
      <c r="AK5" s="68" t="s">
        <v>161</v>
      </c>
      <c r="AL5" s="68" t="s">
        <v>162</v>
      </c>
    </row>
    <row r="6" spans="1:38" ht="13.5" thickBot="1" x14ac:dyDescent="0.35">
      <c r="A6" s="28">
        <v>0.25326127074110816</v>
      </c>
      <c r="B6" s="10" t="s">
        <v>5</v>
      </c>
      <c r="C6" s="14">
        <f>1-16/35</f>
        <v>0.54285714285714293</v>
      </c>
      <c r="D6" s="14">
        <f t="shared" si="1"/>
        <v>0.59285714285714297</v>
      </c>
      <c r="E6" s="2">
        <f>17/21*0.8</f>
        <v>0.64761904761904765</v>
      </c>
      <c r="F6" s="3">
        <v>0</v>
      </c>
      <c r="G6" s="9">
        <f>3.5/4*0.8+0.2*0</f>
        <v>0.70000000000000007</v>
      </c>
      <c r="H6" s="9">
        <f>6/6*0.8+0.2*0.5</f>
        <v>0.9</v>
      </c>
      <c r="I6" s="2">
        <v>0</v>
      </c>
      <c r="J6" s="2">
        <v>0</v>
      </c>
      <c r="K6" s="2">
        <v>0</v>
      </c>
      <c r="L6" s="2">
        <v>0.8</v>
      </c>
      <c r="M6" s="59">
        <v>0</v>
      </c>
      <c r="N6" s="59">
        <v>0</v>
      </c>
      <c r="O6" s="59">
        <v>0</v>
      </c>
      <c r="P6" s="59">
        <v>0</v>
      </c>
      <c r="R6" s="2">
        <v>1</v>
      </c>
      <c r="S6" s="3">
        <v>0.5</v>
      </c>
      <c r="T6" s="29">
        <v>0.7</v>
      </c>
      <c r="U6" s="2">
        <v>1</v>
      </c>
      <c r="V6" s="39">
        <v>0.8</v>
      </c>
      <c r="W6" s="2">
        <v>0.8</v>
      </c>
      <c r="X6" s="2">
        <v>0</v>
      </c>
      <c r="Z6" s="39">
        <f t="shared" si="2"/>
        <v>0.25396825396825395</v>
      </c>
      <c r="AA6" s="39">
        <f t="shared" si="3"/>
        <v>0.68571428571428572</v>
      </c>
      <c r="AB6" s="60">
        <f>AVERAGE(Z6:AA6)</f>
        <v>0.46984126984126984</v>
      </c>
      <c r="AC6" s="15">
        <f t="shared" si="5"/>
        <v>0.59285714285714297</v>
      </c>
      <c r="AD6" s="40">
        <v>0.28000000000000003</v>
      </c>
      <c r="AE6" s="39">
        <v>0.3</v>
      </c>
      <c r="AF6" s="39">
        <f t="shared" si="0"/>
        <v>0.28600000000000003</v>
      </c>
      <c r="AG6" s="71">
        <f t="shared" si="6"/>
        <v>0.43314126984126988</v>
      </c>
      <c r="AH6" t="s">
        <v>181</v>
      </c>
      <c r="AI6" s="1">
        <f t="shared" si="7"/>
        <v>0.53314126984126986</v>
      </c>
      <c r="AJ6" t="s">
        <v>181</v>
      </c>
      <c r="AK6" s="70" t="s">
        <v>169</v>
      </c>
      <c r="AL6" s="70" t="s">
        <v>170</v>
      </c>
    </row>
    <row r="7" spans="1:38" ht="13.5" thickBot="1" x14ac:dyDescent="0.35">
      <c r="A7" s="28">
        <v>0.12302746440486123</v>
      </c>
      <c r="B7" s="10" t="s">
        <v>7</v>
      </c>
      <c r="C7" s="14">
        <f>1-8.5/35</f>
        <v>0.75714285714285712</v>
      </c>
      <c r="D7" s="14">
        <f t="shared" si="1"/>
        <v>0.80714285714285716</v>
      </c>
      <c r="E7" s="31">
        <f>0.8*17/21</f>
        <v>0.64761904761904765</v>
      </c>
      <c r="F7" s="3">
        <v>0.5</v>
      </c>
      <c r="G7" s="9">
        <f>4/4*0.8+0.2*1</f>
        <v>1</v>
      </c>
      <c r="H7" s="9">
        <f>6/6*0.8+0.2*0</f>
        <v>0.8</v>
      </c>
      <c r="I7" s="9">
        <f>7/7*0.8+0.2*0</f>
        <v>0.8</v>
      </c>
      <c r="J7" s="26">
        <v>0.8</v>
      </c>
      <c r="K7" s="2">
        <v>1</v>
      </c>
      <c r="L7" s="2">
        <v>1</v>
      </c>
      <c r="M7" s="2">
        <f>4/8</f>
        <v>0.5</v>
      </c>
      <c r="N7" s="2">
        <f>(0.25+0.33)/8</f>
        <v>7.2500000000000009E-2</v>
      </c>
      <c r="O7" s="17">
        <f>4/6</f>
        <v>0.66666666666666663</v>
      </c>
      <c r="P7" s="17">
        <f>4/7</f>
        <v>0.5714285714285714</v>
      </c>
      <c r="R7" s="2">
        <v>0.85</v>
      </c>
      <c r="S7" s="2">
        <v>1</v>
      </c>
      <c r="T7" s="2">
        <v>1</v>
      </c>
      <c r="U7" s="2">
        <v>1</v>
      </c>
      <c r="V7" s="43">
        <f>3.75/4</f>
        <v>0.9375</v>
      </c>
      <c r="W7" s="9">
        <f>2.9/4</f>
        <v>0.72499999999999998</v>
      </c>
      <c r="X7" s="2">
        <f>3.7/4</f>
        <v>0.92500000000000004</v>
      </c>
      <c r="Z7" s="39">
        <f t="shared" si="2"/>
        <v>0.69651785714285719</v>
      </c>
      <c r="AA7" s="39">
        <f t="shared" si="3"/>
        <v>0.91964285714285698</v>
      </c>
      <c r="AB7" s="60">
        <f t="shared" si="4"/>
        <v>0.80808035714285709</v>
      </c>
      <c r="AC7" s="15">
        <f t="shared" si="5"/>
        <v>0.80714285714285716</v>
      </c>
      <c r="AD7" s="40">
        <v>0.65</v>
      </c>
      <c r="AE7" s="39">
        <v>0.8</v>
      </c>
      <c r="AF7" s="39">
        <f t="shared" si="0"/>
        <v>0.69499999999999995</v>
      </c>
      <c r="AG7" s="71">
        <f t="shared" si="6"/>
        <v>0.77401562499999998</v>
      </c>
      <c r="AH7" t="s">
        <v>177</v>
      </c>
      <c r="AI7" s="1">
        <f t="shared" si="7"/>
        <v>0.87401562499999996</v>
      </c>
      <c r="AJ7" t="s">
        <v>175</v>
      </c>
      <c r="AK7" s="70" t="s">
        <v>177</v>
      </c>
      <c r="AL7" s="70" t="s">
        <v>178</v>
      </c>
    </row>
    <row r="8" spans="1:38" ht="13.5" thickBot="1" x14ac:dyDescent="0.35">
      <c r="A8" s="28">
        <v>0.4354663953599518</v>
      </c>
      <c r="B8" s="10" t="s">
        <v>65</v>
      </c>
      <c r="C8" s="14">
        <f>1-3/35</f>
        <v>0.91428571428571426</v>
      </c>
      <c r="D8" s="14">
        <f t="shared" si="1"/>
        <v>0.9642857142857143</v>
      </c>
      <c r="E8" s="2">
        <f>21/21*0.8+0</f>
        <v>0.8</v>
      </c>
      <c r="F8" s="2">
        <f>10/10*0.8+0.2*1</f>
        <v>1</v>
      </c>
      <c r="G8" s="9">
        <f>3/4*0.8+0.2*0</f>
        <v>0.60000000000000009</v>
      </c>
      <c r="H8" s="1">
        <v>0.9</v>
      </c>
      <c r="I8" s="2">
        <v>1</v>
      </c>
      <c r="J8" s="2">
        <v>1</v>
      </c>
      <c r="K8" s="2">
        <v>1</v>
      </c>
      <c r="L8" s="2">
        <v>1</v>
      </c>
      <c r="M8" s="39">
        <f>5/8</f>
        <v>0.625</v>
      </c>
      <c r="N8" s="39">
        <f>4.75/8</f>
        <v>0.59375</v>
      </c>
      <c r="O8" s="17">
        <f>5.5/6</f>
        <v>0.91666666666666663</v>
      </c>
      <c r="P8" s="17">
        <f>5.67/7</f>
        <v>0.80999999999999994</v>
      </c>
      <c r="R8" s="2">
        <v>1</v>
      </c>
      <c r="S8" s="2">
        <v>0.9</v>
      </c>
      <c r="T8" s="2">
        <v>1</v>
      </c>
      <c r="U8" s="2">
        <v>1</v>
      </c>
      <c r="V8" s="39">
        <v>1</v>
      </c>
      <c r="W8" s="39">
        <v>1</v>
      </c>
      <c r="X8" s="2">
        <f>3.7/4</f>
        <v>0.92500000000000004</v>
      </c>
      <c r="Z8" s="39">
        <f t="shared" si="2"/>
        <v>0.85378472222222224</v>
      </c>
      <c r="AA8" s="39">
        <f t="shared" si="3"/>
        <v>0.97499999999999998</v>
      </c>
      <c r="AB8" s="60">
        <f t="shared" si="4"/>
        <v>0.91439236111111111</v>
      </c>
      <c r="AC8" s="15">
        <f t="shared" si="5"/>
        <v>0.9642857142857143</v>
      </c>
      <c r="AD8" s="40">
        <v>0.92</v>
      </c>
      <c r="AE8" s="39">
        <v>0.8</v>
      </c>
      <c r="AF8" s="39">
        <f t="shared" si="0"/>
        <v>0.88400000000000001</v>
      </c>
      <c r="AG8" s="71">
        <f t="shared" si="6"/>
        <v>0.9127586557539682</v>
      </c>
      <c r="AH8" t="s">
        <v>167</v>
      </c>
      <c r="AI8" s="1">
        <f t="shared" si="7"/>
        <v>1.0127586557539683</v>
      </c>
      <c r="AJ8" t="s">
        <v>159</v>
      </c>
      <c r="AK8" s="68" t="s">
        <v>163</v>
      </c>
      <c r="AL8" s="68" t="s">
        <v>164</v>
      </c>
    </row>
    <row r="9" spans="1:38" ht="13.5" thickBot="1" x14ac:dyDescent="0.35">
      <c r="A9" s="28">
        <v>0.92679583008659527</v>
      </c>
      <c r="B9" s="10" t="s">
        <v>66</v>
      </c>
      <c r="C9" s="14">
        <v>1</v>
      </c>
      <c r="D9" s="14">
        <f t="shared" si="1"/>
        <v>1.05</v>
      </c>
      <c r="E9" s="2">
        <f>21/21*0.8+0.2</f>
        <v>1</v>
      </c>
      <c r="F9" s="2">
        <f>10/10*0.8+0.2*0.33</f>
        <v>0.8660000000000001</v>
      </c>
      <c r="G9" s="9">
        <f>4/4*0.8+0.2*1</f>
        <v>1</v>
      </c>
      <c r="H9" s="9">
        <f>6/6*0.8+0.2*0</f>
        <v>0.8</v>
      </c>
      <c r="I9" s="2">
        <v>1</v>
      </c>
      <c r="J9" s="2">
        <v>1</v>
      </c>
      <c r="K9" s="2">
        <v>1</v>
      </c>
      <c r="L9" s="2">
        <v>1</v>
      </c>
      <c r="M9" s="2">
        <f>7/8</f>
        <v>0.875</v>
      </c>
      <c r="N9" s="39">
        <f>5/8</f>
        <v>0.625</v>
      </c>
      <c r="O9" s="2">
        <v>0.85</v>
      </c>
      <c r="P9" s="1">
        <f>7/8</f>
        <v>0.875</v>
      </c>
      <c r="R9" s="2">
        <v>1</v>
      </c>
      <c r="S9" s="2">
        <v>1</v>
      </c>
      <c r="T9" s="2">
        <v>1</v>
      </c>
      <c r="U9" s="2">
        <v>1</v>
      </c>
      <c r="V9" s="39">
        <f>3.5/4</f>
        <v>0.875</v>
      </c>
      <c r="W9" s="39">
        <f>3.5/4</f>
        <v>0.875</v>
      </c>
      <c r="X9" s="39">
        <v>1</v>
      </c>
      <c r="Z9" s="39">
        <f t="shared" si="2"/>
        <v>0.9075833333333333</v>
      </c>
      <c r="AA9" s="39">
        <f t="shared" si="3"/>
        <v>0.9642857142857143</v>
      </c>
      <c r="AB9" s="60">
        <f t="shared" si="4"/>
        <v>0.9359345238095238</v>
      </c>
      <c r="AC9" s="15">
        <f t="shared" si="5"/>
        <v>1.05</v>
      </c>
      <c r="AD9" s="40">
        <v>0.9</v>
      </c>
      <c r="AE9" s="39">
        <v>1</v>
      </c>
      <c r="AF9" s="39">
        <f t="shared" si="0"/>
        <v>0.92999999999999994</v>
      </c>
      <c r="AG9" s="71">
        <f t="shared" si="6"/>
        <v>0.95126398809523816</v>
      </c>
      <c r="AH9" t="s">
        <v>200</v>
      </c>
      <c r="AI9" s="1">
        <f t="shared" si="7"/>
        <v>1.0512639880952381</v>
      </c>
      <c r="AJ9" t="s">
        <v>159</v>
      </c>
      <c r="AK9" s="70" t="s">
        <v>171</v>
      </c>
      <c r="AL9" s="70" t="s">
        <v>172</v>
      </c>
    </row>
    <row r="10" spans="1:38" ht="13.5" thickBot="1" x14ac:dyDescent="0.35">
      <c r="A10" s="28">
        <v>0.69469771604420583</v>
      </c>
      <c r="B10" s="10" t="s">
        <v>9</v>
      </c>
      <c r="C10" s="14">
        <f>1-11/35</f>
        <v>0.68571428571428572</v>
      </c>
      <c r="D10" s="14">
        <f t="shared" si="1"/>
        <v>0.73571428571428577</v>
      </c>
      <c r="E10" s="2">
        <f>21/21*0.8+0.2</f>
        <v>1</v>
      </c>
      <c r="F10" s="2">
        <f>9.333/10*0.8+0.2*0</f>
        <v>0.74664000000000008</v>
      </c>
      <c r="G10" s="9">
        <f>4/4*0.8+0.2*1</f>
        <v>1</v>
      </c>
      <c r="H10" s="9">
        <f>6/6*0.8+0.2*0.5</f>
        <v>0.9</v>
      </c>
      <c r="I10" s="9">
        <f>7/7*0.8+0.2*0</f>
        <v>0.8</v>
      </c>
      <c r="J10" s="2">
        <v>1</v>
      </c>
      <c r="K10" s="2">
        <v>1</v>
      </c>
      <c r="L10" s="1">
        <v>1</v>
      </c>
      <c r="M10" s="2">
        <v>0.5</v>
      </c>
      <c r="N10" s="39">
        <f>1.92/8</f>
        <v>0.24</v>
      </c>
      <c r="O10" s="39">
        <f>4/6</f>
        <v>0.66666666666666663</v>
      </c>
      <c r="P10" s="2">
        <f>5.25/7</f>
        <v>0.75</v>
      </c>
      <c r="Q10" s="1">
        <v>1</v>
      </c>
      <c r="R10" s="2">
        <v>1</v>
      </c>
      <c r="S10" s="2">
        <v>0.95</v>
      </c>
      <c r="T10" s="2">
        <v>1</v>
      </c>
      <c r="U10" s="2">
        <v>1</v>
      </c>
      <c r="V10" s="39">
        <v>1</v>
      </c>
      <c r="W10" s="39">
        <v>1</v>
      </c>
      <c r="X10" s="2">
        <f>3.5/4</f>
        <v>0.875</v>
      </c>
      <c r="Z10" s="39">
        <f t="shared" si="2"/>
        <v>0.88360888888888889</v>
      </c>
      <c r="AA10" s="39">
        <f t="shared" si="3"/>
        <v>0.97499999999999998</v>
      </c>
      <c r="AB10" s="60">
        <f t="shared" si="4"/>
        <v>0.92930444444444449</v>
      </c>
      <c r="AC10" s="15">
        <f t="shared" si="5"/>
        <v>0.73571428571428577</v>
      </c>
      <c r="AD10" s="40">
        <v>0.94</v>
      </c>
      <c r="AE10" s="39">
        <v>0.8</v>
      </c>
      <c r="AF10" s="39">
        <f>0.7*AD10+0.3*AE10</f>
        <v>0.89799999999999991</v>
      </c>
      <c r="AG10" s="71">
        <f t="shared" si="6"/>
        <v>0.89087458730158731</v>
      </c>
      <c r="AH10" t="s">
        <v>167</v>
      </c>
      <c r="AI10" s="1">
        <f t="shared" si="7"/>
        <v>0.99087458730158728</v>
      </c>
      <c r="AJ10" t="s">
        <v>159</v>
      </c>
      <c r="AK10" s="70" t="s">
        <v>179</v>
      </c>
      <c r="AL10" s="70" t="s">
        <v>180</v>
      </c>
    </row>
    <row r="11" spans="1:38" ht="13.5" thickBot="1" x14ac:dyDescent="0.35">
      <c r="A11" s="28">
        <v>5.5935320883293338E-2</v>
      </c>
      <c r="B11" s="10" t="s">
        <v>68</v>
      </c>
      <c r="C11" s="14">
        <f>1-3/35</f>
        <v>0.91428571428571426</v>
      </c>
      <c r="D11" s="14">
        <f t="shared" si="1"/>
        <v>0.9642857142857143</v>
      </c>
      <c r="E11" s="2">
        <f>12/21*0.8</f>
        <v>0.45714285714285713</v>
      </c>
      <c r="F11" s="5">
        <f>10/10*0.8+0.2*0*0.67-0.05</f>
        <v>0.75</v>
      </c>
      <c r="G11" s="9">
        <f>4/4*0.8+0.2*1</f>
        <v>1</v>
      </c>
      <c r="H11" s="9">
        <f>6/6*0.8+0.2*0.5</f>
        <v>0.9</v>
      </c>
      <c r="I11" s="2">
        <v>1</v>
      </c>
      <c r="J11" s="2">
        <v>1</v>
      </c>
      <c r="K11" s="2">
        <f>0.8*5/5+0.2*0</f>
        <v>0.8</v>
      </c>
      <c r="L11" s="2">
        <v>1</v>
      </c>
      <c r="M11" s="2">
        <f>7/8</f>
        <v>0.875</v>
      </c>
      <c r="N11" s="39">
        <f>1-1.67/8</f>
        <v>0.79125000000000001</v>
      </c>
      <c r="O11" s="39">
        <f>5.5/6</f>
        <v>0.91666666666666663</v>
      </c>
      <c r="P11" s="2">
        <f>5.84/7</f>
        <v>0.8342857142857143</v>
      </c>
      <c r="R11" s="2">
        <v>1</v>
      </c>
      <c r="S11" s="2">
        <v>1</v>
      </c>
      <c r="T11" s="2">
        <v>1</v>
      </c>
      <c r="U11" s="2">
        <v>1</v>
      </c>
      <c r="V11" s="39">
        <v>1</v>
      </c>
      <c r="W11" s="39">
        <v>1</v>
      </c>
      <c r="X11" s="2">
        <f>4.7/5</f>
        <v>0.94000000000000006</v>
      </c>
      <c r="Z11" s="39">
        <f t="shared" si="2"/>
        <v>0.86036210317460327</v>
      </c>
      <c r="AA11" s="39">
        <f t="shared" si="3"/>
        <v>0.99142857142857144</v>
      </c>
      <c r="AB11" s="60">
        <f t="shared" si="4"/>
        <v>0.92589533730158735</v>
      </c>
      <c r="AC11" s="15">
        <f t="shared" si="5"/>
        <v>0.9642857142857143</v>
      </c>
      <c r="AD11" s="40">
        <v>0.84</v>
      </c>
      <c r="AE11" s="39">
        <v>0.6</v>
      </c>
      <c r="AF11" s="39">
        <f t="shared" si="0"/>
        <v>0.76800000000000002</v>
      </c>
      <c r="AG11" s="71">
        <f t="shared" si="6"/>
        <v>0.88428529265873024</v>
      </c>
      <c r="AH11" t="s">
        <v>175</v>
      </c>
      <c r="AI11" s="1">
        <f t="shared" si="7"/>
        <v>0.98428529265873022</v>
      </c>
      <c r="AJ11" t="s">
        <v>159</v>
      </c>
      <c r="AK11" s="68" t="s">
        <v>165</v>
      </c>
      <c r="AL11" s="68" t="s">
        <v>166</v>
      </c>
    </row>
    <row r="12" spans="1:38" ht="13.5" thickBot="1" x14ac:dyDescent="0.35">
      <c r="A12" s="28">
        <v>0.55211339482387212</v>
      </c>
      <c r="B12" s="10" t="s">
        <v>69</v>
      </c>
      <c r="C12" s="14">
        <f>1-19.5/35</f>
        <v>0.44285714285714284</v>
      </c>
      <c r="D12" s="14">
        <f t="shared" si="1"/>
        <v>0.49285714285714283</v>
      </c>
      <c r="E12" s="2">
        <f>17/21*0.8+0.2</f>
        <v>0.84761904761904772</v>
      </c>
      <c r="F12" s="5">
        <f>8/10*0.8+0.2*0*0.33-0.05</f>
        <v>0.59000000000000008</v>
      </c>
      <c r="G12" s="3">
        <v>0</v>
      </c>
      <c r="H12" s="2">
        <v>0</v>
      </c>
      <c r="I12" s="9">
        <f>6/7*0.8+0.2*0.5</f>
        <v>0.7857142857142857</v>
      </c>
      <c r="J12" s="2">
        <v>1</v>
      </c>
      <c r="K12" s="2">
        <f>0.8*5/5+0.2*0</f>
        <v>0.8</v>
      </c>
      <c r="L12" s="2">
        <v>1</v>
      </c>
      <c r="M12" s="2">
        <v>0.5</v>
      </c>
      <c r="N12" s="39">
        <f>1-1.67/8</f>
        <v>0.79125000000000001</v>
      </c>
      <c r="O12" s="39">
        <v>0.5</v>
      </c>
      <c r="P12" s="59">
        <v>0</v>
      </c>
      <c r="R12" s="2">
        <v>1</v>
      </c>
      <c r="S12" s="2">
        <v>0.9</v>
      </c>
      <c r="T12" s="2">
        <v>1</v>
      </c>
      <c r="U12" s="2"/>
      <c r="V12" s="39">
        <f>3.5/4</f>
        <v>0.875</v>
      </c>
      <c r="W12" s="39">
        <f>3.5/4</f>
        <v>0.875</v>
      </c>
      <c r="X12" s="2">
        <v>0.5</v>
      </c>
      <c r="Z12" s="39">
        <f t="shared" si="2"/>
        <v>0.5678819444444444</v>
      </c>
      <c r="AA12" s="39">
        <f t="shared" si="3"/>
        <v>0.73571428571428577</v>
      </c>
      <c r="AB12" s="60">
        <f t="shared" si="4"/>
        <v>0.65179811507936503</v>
      </c>
      <c r="AC12" s="15">
        <f t="shared" si="5"/>
        <v>0.49285714285714283</v>
      </c>
      <c r="AD12" s="40">
        <v>0.4</v>
      </c>
      <c r="AE12" s="39">
        <v>0.1</v>
      </c>
      <c r="AF12" s="39">
        <f t="shared" si="0"/>
        <v>0.30999999999999994</v>
      </c>
      <c r="AG12" s="71">
        <f t="shared" si="6"/>
        <v>0.5254175347222223</v>
      </c>
      <c r="AH12" t="s">
        <v>181</v>
      </c>
      <c r="AI12" s="1">
        <f t="shared" si="7"/>
        <v>0.62541753472222228</v>
      </c>
      <c r="AJ12" t="s">
        <v>165</v>
      </c>
      <c r="AK12" s="70" t="s">
        <v>173</v>
      </c>
      <c r="AL12" s="70" t="s">
        <v>174</v>
      </c>
    </row>
    <row r="13" spans="1:38" ht="13.5" thickBot="1" x14ac:dyDescent="0.35">
      <c r="A13" s="28">
        <v>0.83759627014542026</v>
      </c>
      <c r="B13" s="10" t="s">
        <v>10</v>
      </c>
      <c r="C13" s="14">
        <f>1-16.5/35</f>
        <v>0.52857142857142858</v>
      </c>
      <c r="D13" s="14">
        <f t="shared" si="1"/>
        <v>0.57857142857142863</v>
      </c>
      <c r="E13" s="2">
        <f>21/21*0.8+0.2*0</f>
        <v>0.8</v>
      </c>
      <c r="F13" s="5">
        <f>8/10*0.8+0.2*0.33-0.05</f>
        <v>0.65600000000000014</v>
      </c>
      <c r="G13" s="9">
        <f>3/4*0.8+0.2*0.75</f>
        <v>0.75000000000000011</v>
      </c>
      <c r="H13" s="9">
        <f>6/6*0.8+0.2*0</f>
        <v>0.8</v>
      </c>
      <c r="I13" s="9">
        <f>7/7*0.8+0.2*0</f>
        <v>0.8</v>
      </c>
      <c r="J13" s="9">
        <f>5/6*0.8+0.2*1</f>
        <v>0.8666666666666667</v>
      </c>
      <c r="K13" s="2">
        <f>0.8*4.5/5+0.2*0</f>
        <v>0.72</v>
      </c>
      <c r="L13" s="29">
        <v>0.5</v>
      </c>
      <c r="M13" s="2">
        <f>3/8</f>
        <v>0.375</v>
      </c>
      <c r="N13" s="39">
        <f>5/8</f>
        <v>0.625</v>
      </c>
      <c r="O13" s="59">
        <v>0</v>
      </c>
      <c r="P13" s="59">
        <v>0</v>
      </c>
      <c r="R13" s="5">
        <v>0.85</v>
      </c>
      <c r="S13" s="2">
        <v>0.7</v>
      </c>
      <c r="T13" s="2">
        <v>1</v>
      </c>
      <c r="U13" s="57">
        <v>0.5</v>
      </c>
      <c r="V13" s="58">
        <v>0.5</v>
      </c>
      <c r="W13" s="58">
        <v>0.5</v>
      </c>
      <c r="X13" s="2">
        <f>3.5/4</f>
        <v>0.875</v>
      </c>
      <c r="Z13" s="39">
        <f t="shared" si="2"/>
        <v>0.57438888888888884</v>
      </c>
      <c r="AA13" s="39">
        <f t="shared" si="3"/>
        <v>0.70357142857142851</v>
      </c>
      <c r="AB13" s="60">
        <f t="shared" si="4"/>
        <v>0.63898015873015868</v>
      </c>
      <c r="AC13" s="15">
        <f t="shared" si="5"/>
        <v>0.57857142857142863</v>
      </c>
      <c r="AD13" s="40">
        <v>0.25</v>
      </c>
      <c r="AE13" s="39">
        <v>0.8</v>
      </c>
      <c r="AF13" s="39">
        <f t="shared" si="0"/>
        <v>0.41499999999999998</v>
      </c>
      <c r="AG13" s="71">
        <f t="shared" si="6"/>
        <v>0.56272480158730154</v>
      </c>
      <c r="AH13" t="s">
        <v>173</v>
      </c>
      <c r="AI13" s="1">
        <f t="shared" si="7"/>
        <v>0.66272480158730152</v>
      </c>
      <c r="AJ13" t="s">
        <v>165</v>
      </c>
      <c r="AK13" s="70" t="s">
        <v>181</v>
      </c>
      <c r="AL13" s="70" t="s">
        <v>182</v>
      </c>
    </row>
    <row r="14" spans="1:38" s="16" customFormat="1" ht="13" x14ac:dyDescent="0.3">
      <c r="A14" s="28">
        <v>0.44799530118134401</v>
      </c>
      <c r="B14" s="20" t="s">
        <v>110</v>
      </c>
      <c r="C14" s="21">
        <f>34.5/35</f>
        <v>0.98571428571428577</v>
      </c>
      <c r="D14" s="14">
        <f t="shared" si="1"/>
        <v>1.0357142857142858</v>
      </c>
      <c r="E14" s="17">
        <f>0.8*17/21</f>
        <v>0.64761904761904765</v>
      </c>
      <c r="F14" s="17">
        <f>0%</f>
        <v>0</v>
      </c>
      <c r="G14" s="17">
        <f>0%</f>
        <v>0</v>
      </c>
      <c r="H14" s="2">
        <v>0</v>
      </c>
      <c r="I14" s="2">
        <v>0</v>
      </c>
      <c r="J14" s="2">
        <v>0</v>
      </c>
      <c r="K14" s="2">
        <f>0.8*5/5+0.2*0</f>
        <v>0.8</v>
      </c>
      <c r="L14" s="2">
        <v>0</v>
      </c>
      <c r="M14" s="2">
        <v>0</v>
      </c>
      <c r="N14" s="2">
        <v>0</v>
      </c>
      <c r="O14" s="59">
        <v>0</v>
      </c>
      <c r="P14" s="59">
        <v>0</v>
      </c>
      <c r="R14" s="17"/>
      <c r="S14" s="16" t="s">
        <v>86</v>
      </c>
      <c r="U14" s="2">
        <v>1</v>
      </c>
      <c r="V14" s="40"/>
      <c r="W14" s="17"/>
      <c r="X14" s="17"/>
      <c r="Z14" s="39">
        <f t="shared" si="2"/>
        <v>0.12063492063492065</v>
      </c>
      <c r="AA14" s="39">
        <f t="shared" si="3"/>
        <v>0.14285714285714285</v>
      </c>
      <c r="AB14" s="60">
        <f t="shared" si="4"/>
        <v>0.13174603174603175</v>
      </c>
      <c r="AC14" s="15">
        <f t="shared" si="5"/>
        <v>1.0357142857142858</v>
      </c>
      <c r="AD14" s="40"/>
      <c r="AE14" s="40"/>
      <c r="AF14" s="39">
        <f t="shared" si="0"/>
        <v>0</v>
      </c>
      <c r="AG14" s="71">
        <f t="shared" si="6"/>
        <v>0.22781746031746034</v>
      </c>
      <c r="AH14" s="16" t="s">
        <v>181</v>
      </c>
      <c r="AI14" s="1">
        <f t="shared" si="7"/>
        <v>0.32781746031746034</v>
      </c>
      <c r="AJ14" s="16" t="s">
        <v>181</v>
      </c>
    </row>
    <row r="15" spans="1:38" ht="13" x14ac:dyDescent="0.3">
      <c r="A15" s="28">
        <v>0.97317990197950044</v>
      </c>
      <c r="B15" s="10" t="s">
        <v>70</v>
      </c>
      <c r="C15" s="14">
        <f>1-13.5/35</f>
        <v>0.61428571428571432</v>
      </c>
      <c r="D15" s="14">
        <f t="shared" si="1"/>
        <v>0.66428571428571437</v>
      </c>
      <c r="E15" s="2">
        <f>20/21*0.8+0.2</f>
        <v>0.96190476190476182</v>
      </c>
      <c r="F15" s="5">
        <f>6.67/10*0.8+0.2*0*0.33-0.05</f>
        <v>0.48360000000000009</v>
      </c>
      <c r="G15" s="3">
        <v>0</v>
      </c>
      <c r="H15" s="9">
        <f>6/6*0.8+0.2*0</f>
        <v>0.8</v>
      </c>
      <c r="I15" s="9">
        <f>6/7*0.8+0.2*0</f>
        <v>0.68571428571428572</v>
      </c>
      <c r="J15" s="9">
        <f>3/6*0.8+0.2*0.5</f>
        <v>0.5</v>
      </c>
      <c r="K15" s="2">
        <v>1</v>
      </c>
      <c r="L15" s="2">
        <v>0</v>
      </c>
      <c r="M15" s="2">
        <f>4/8</f>
        <v>0.5</v>
      </c>
      <c r="N15" s="39">
        <f>2.83/7</f>
        <v>0.4042857142857143</v>
      </c>
      <c r="O15" s="17">
        <f>4/6</f>
        <v>0.66666666666666663</v>
      </c>
      <c r="P15" s="59">
        <v>0</v>
      </c>
      <c r="R15" s="2">
        <v>1</v>
      </c>
      <c r="S15" s="2">
        <v>0.4</v>
      </c>
      <c r="U15" s="2"/>
      <c r="V15" s="39">
        <v>0.7</v>
      </c>
      <c r="W15" s="39">
        <v>0.7</v>
      </c>
      <c r="X15" s="2"/>
      <c r="Z15" s="39">
        <f t="shared" si="2"/>
        <v>0.50018095238095239</v>
      </c>
      <c r="AA15" s="39">
        <f t="shared" si="3"/>
        <v>0.39999999999999997</v>
      </c>
      <c r="AB15" s="60">
        <f t="shared" si="4"/>
        <v>0.45009047619047615</v>
      </c>
      <c r="AC15" s="15">
        <f t="shared" si="5"/>
        <v>0.66428571428571437</v>
      </c>
      <c r="AD15" s="40">
        <v>0.43</v>
      </c>
      <c r="AE15" s="39">
        <v>0.8</v>
      </c>
      <c r="AF15" s="39">
        <f t="shared" si="0"/>
        <v>0.54099999999999993</v>
      </c>
      <c r="AG15" s="71">
        <f t="shared" si="6"/>
        <v>0.509492619047619</v>
      </c>
      <c r="AH15" s="16" t="s">
        <v>181</v>
      </c>
      <c r="AI15" s="1">
        <f t="shared" si="7"/>
        <v>0.60949261904761898</v>
      </c>
      <c r="AJ15" s="16" t="s">
        <v>165</v>
      </c>
    </row>
    <row r="16" spans="1:38" s="18" customFormat="1" ht="13" x14ac:dyDescent="0.3">
      <c r="B16" s="18" t="s">
        <v>13</v>
      </c>
      <c r="C16" s="19">
        <f>AVERAGE(C2:C15)</f>
        <v>0.73265306122448981</v>
      </c>
      <c r="D16" s="19">
        <f t="shared" ref="D16:M16" si="8">AVERAGE(D2:D15)</f>
        <v>0.78265306122448985</v>
      </c>
      <c r="E16" s="19">
        <f t="shared" si="8"/>
        <v>0.76156462585034024</v>
      </c>
      <c r="F16" s="19">
        <f t="shared" si="8"/>
        <v>0.5860171428571429</v>
      </c>
      <c r="G16" s="19">
        <f t="shared" si="8"/>
        <v>0.64214285714285713</v>
      </c>
      <c r="H16" s="19">
        <f t="shared" si="8"/>
        <v>0.72142857142857153</v>
      </c>
      <c r="I16" s="19">
        <f t="shared" si="8"/>
        <v>0.70271632653061222</v>
      </c>
      <c r="J16" s="19">
        <f t="shared" si="8"/>
        <v>0.71190476190476193</v>
      </c>
      <c r="K16" s="19">
        <f t="shared" si="8"/>
        <v>0.75142857142857156</v>
      </c>
      <c r="L16" s="19">
        <f t="shared" si="8"/>
        <v>0.70714285714285718</v>
      </c>
      <c r="M16" s="19">
        <f t="shared" si="8"/>
        <v>0.47142857142857142</v>
      </c>
      <c r="N16" s="19">
        <f t="shared" ref="N16:W16" si="9">AVERAGE(N2:N15)</f>
        <v>0.30485969387755096</v>
      </c>
      <c r="O16" s="19">
        <f t="shared" si="9"/>
        <v>0.51011904761904758</v>
      </c>
      <c r="P16" s="19">
        <f t="shared" si="9"/>
        <v>0.35341836734693877</v>
      </c>
      <c r="Q16" s="19">
        <f t="shared" si="9"/>
        <v>1</v>
      </c>
      <c r="R16" s="19">
        <f t="shared" si="9"/>
        <v>0.96153846153846145</v>
      </c>
      <c r="S16" s="19">
        <f t="shared" si="9"/>
        <v>0.77692307692307705</v>
      </c>
      <c r="T16" s="19">
        <f t="shared" si="9"/>
        <v>0.80833333333333324</v>
      </c>
      <c r="U16" s="19">
        <f t="shared" si="9"/>
        <v>0.92499999999999993</v>
      </c>
      <c r="V16" s="19">
        <f t="shared" si="9"/>
        <v>0.8125</v>
      </c>
      <c r="W16" s="19">
        <f t="shared" si="9"/>
        <v>0.84999999999999987</v>
      </c>
      <c r="Z16" s="61"/>
      <c r="AD16" s="61"/>
      <c r="AE16" s="61"/>
      <c r="AF16" s="61"/>
      <c r="AG16" s="61">
        <f>AVERAGE(AG2:AG15)</f>
        <v>0.66285524581916089</v>
      </c>
      <c r="AI16" s="61">
        <f>AVERAGE(AI2:AI15)</f>
        <v>0.7628552458191612</v>
      </c>
    </row>
    <row r="17" spans="2:36" ht="13" x14ac:dyDescent="0.3">
      <c r="B17" s="4" t="s">
        <v>78</v>
      </c>
      <c r="C17" s="4"/>
      <c r="D17" s="4"/>
      <c r="N17" s="39"/>
      <c r="W17" s="2"/>
      <c r="AD17" s="39"/>
      <c r="AE17" s="39"/>
      <c r="AF17" s="39"/>
      <c r="AG17" s="39"/>
    </row>
    <row r="18" spans="2:36" ht="13" x14ac:dyDescent="0.3">
      <c r="B18" t="s">
        <v>82</v>
      </c>
      <c r="E18">
        <v>16</v>
      </c>
      <c r="F18">
        <v>11</v>
      </c>
      <c r="G18">
        <v>10</v>
      </c>
      <c r="H18">
        <v>9</v>
      </c>
      <c r="I18">
        <v>18</v>
      </c>
      <c r="J18">
        <v>9</v>
      </c>
      <c r="K18">
        <v>10</v>
      </c>
      <c r="L18" t="s">
        <v>125</v>
      </c>
      <c r="M18" s="42" t="s">
        <v>146</v>
      </c>
      <c r="N18" s="42" t="s">
        <v>146</v>
      </c>
      <c r="O18" s="42" t="s">
        <v>146</v>
      </c>
      <c r="P18" s="42" t="s">
        <v>146</v>
      </c>
      <c r="AD18" s="39"/>
      <c r="AE18" s="39"/>
      <c r="AF18" s="39"/>
      <c r="AG18" s="39"/>
    </row>
    <row r="19" spans="2:36" ht="13" x14ac:dyDescent="0.3">
      <c r="B19" s="6" t="s">
        <v>79</v>
      </c>
      <c r="C19" s="6"/>
      <c r="D19" s="6"/>
      <c r="AD19" s="39"/>
      <c r="AE19" s="39"/>
      <c r="AF19" s="39"/>
      <c r="AG19" s="39"/>
    </row>
    <row r="20" spans="2:36" ht="13" x14ac:dyDescent="0.3">
      <c r="B20" s="25" t="s">
        <v>109</v>
      </c>
      <c r="S20" s="12">
        <v>37168</v>
      </c>
      <c r="AD20" s="39"/>
      <c r="AE20" s="39"/>
      <c r="AF20" s="39"/>
      <c r="AG20" s="39"/>
    </row>
    <row r="21" spans="2:36" s="7" customFormat="1" ht="13" x14ac:dyDescent="0.3">
      <c r="B21" s="11" t="s">
        <v>67</v>
      </c>
      <c r="C21" s="14">
        <f>1-25/35</f>
        <v>0.2857142857142857</v>
      </c>
      <c r="D21" s="14">
        <f>0.05+C21</f>
        <v>0.33571428571428569</v>
      </c>
      <c r="E21" s="8">
        <f>0.8*17/21+0.2</f>
        <v>0.84761904761904772</v>
      </c>
      <c r="F21" s="8">
        <v>0.5</v>
      </c>
      <c r="G21" s="8">
        <v>0.5</v>
      </c>
      <c r="J21" s="45">
        <v>0.65</v>
      </c>
      <c r="K21" s="2">
        <f>0.8*5/5+0.2*0</f>
        <v>0.8</v>
      </c>
      <c r="L21" s="2">
        <v>1</v>
      </c>
      <c r="M21" s="2">
        <f>2/8</f>
        <v>0.25</v>
      </c>
      <c r="R21" s="13">
        <v>0.75</v>
      </c>
      <c r="S21" t="s">
        <v>86</v>
      </c>
      <c r="Z21" s="39">
        <f>SUM(E21:Q21)/12</f>
        <v>0.37896825396825395</v>
      </c>
      <c r="AA21" s="39">
        <f>SUM(R21:X21)/7</f>
        <v>0.10714285714285714</v>
      </c>
      <c r="AB21" s="60">
        <f>AVERAGE(Z21:AA21)</f>
        <v>0.24305555555555555</v>
      </c>
      <c r="AC21" s="15">
        <f>D21</f>
        <v>0.33571428571428569</v>
      </c>
      <c r="AD21" s="62" t="s">
        <v>199</v>
      </c>
      <c r="AE21" s="62">
        <v>0.4</v>
      </c>
      <c r="AF21" s="62"/>
      <c r="AG21" s="39">
        <f>0.3*AF21+0.15*AC21+0.55*AB21</f>
        <v>0.1840376984126984</v>
      </c>
      <c r="AH21" s="7" t="s">
        <v>181</v>
      </c>
      <c r="AI21" s="60">
        <f>0.1+AG21</f>
        <v>0.28403769841269844</v>
      </c>
      <c r="AJ21" s="7" t="s">
        <v>181</v>
      </c>
    </row>
    <row r="22" spans="2:36" x14ac:dyDescent="0.25">
      <c r="C22" s="15">
        <f>AVERAGE(C2:C21)</f>
        <v>0.70471938775510212</v>
      </c>
      <c r="D22" s="15">
        <f>AVERAGE(D2:D21)</f>
        <v>0.75471938775510206</v>
      </c>
    </row>
    <row r="23" spans="2:36" ht="13" x14ac:dyDescent="0.3">
      <c r="B23" s="4" t="s">
        <v>95</v>
      </c>
    </row>
  </sheetData>
  <phoneticPr fontId="0" type="noConversion"/>
  <pageMargins left="0.75" right="0.75" top="1" bottom="1" header="0.5" footer="0.5"/>
  <pageSetup orientation="portrait" horizont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="75" workbookViewId="0">
      <pane xSplit="2" ySplit="1" topLeftCell="C28" activePane="bottomRight" state="frozenSplit"/>
      <selection pane="topRight" activeCell="B1" sqref="B1"/>
      <selection pane="bottomLeft"/>
      <selection pane="bottomRight" activeCell="B1" sqref="B1:B65536"/>
    </sheetView>
  </sheetViews>
  <sheetFormatPr defaultRowHeight="12.5" x14ac:dyDescent="0.25"/>
  <cols>
    <col min="2" max="2" width="26.54296875" bestFit="1" customWidth="1"/>
    <col min="3" max="5" width="12.453125" style="2" bestFit="1" customWidth="1"/>
    <col min="6" max="7" width="14.81640625" style="2" bestFit="1" customWidth="1"/>
    <col min="8" max="8" width="18.453125" style="2" bestFit="1" customWidth="1"/>
    <col min="9" max="9" width="20" style="2" bestFit="1" customWidth="1"/>
    <col min="10" max="10" width="21.1796875" style="2" bestFit="1" customWidth="1"/>
    <col min="11" max="11" width="12.453125" style="2" bestFit="1" customWidth="1"/>
    <col min="12" max="12" width="12.453125" style="2" customWidth="1"/>
    <col min="13" max="13" width="6.81640625" style="2" bestFit="1" customWidth="1"/>
    <col min="14" max="15" width="12.7265625" style="2" bestFit="1" customWidth="1"/>
    <col min="16" max="16" width="13.26953125" style="2" bestFit="1" customWidth="1"/>
    <col min="17" max="17" width="13.26953125" style="2" customWidth="1"/>
    <col min="18" max="18" width="15.54296875" customWidth="1"/>
    <col min="19" max="19" width="12.7265625" customWidth="1"/>
    <col min="20" max="20" width="10.453125" bestFit="1" customWidth="1"/>
    <col min="21" max="21" width="6" bestFit="1" customWidth="1"/>
    <col min="22" max="23" width="2.453125" hidden="1" customWidth="1"/>
    <col min="24" max="26" width="9.54296875" hidden="1" customWidth="1"/>
    <col min="27" max="28" width="9.54296875" customWidth="1"/>
    <col min="29" max="29" width="7" customWidth="1"/>
    <col min="30" max="30" width="5.7265625" bestFit="1" customWidth="1"/>
    <col min="31" max="31" width="5.54296875" customWidth="1"/>
    <col min="32" max="32" width="5.7265625" bestFit="1" customWidth="1"/>
    <col min="33" max="33" width="4.1796875" customWidth="1"/>
    <col min="34" max="34" width="5.7265625" bestFit="1" customWidth="1"/>
    <col min="35" max="43" width="2.453125" customWidth="1"/>
    <col min="44" max="44" width="2.26953125" customWidth="1"/>
    <col min="45" max="53" width="2.453125" customWidth="1"/>
  </cols>
  <sheetData>
    <row r="1" spans="1:34" x14ac:dyDescent="0.25">
      <c r="A1" t="s">
        <v>126</v>
      </c>
      <c r="B1" t="s">
        <v>0</v>
      </c>
      <c r="C1" s="2" t="s">
        <v>62</v>
      </c>
      <c r="D1" s="2" t="s">
        <v>80</v>
      </c>
      <c r="E1" s="2" t="s">
        <v>63</v>
      </c>
      <c r="F1" s="2" t="s">
        <v>120</v>
      </c>
      <c r="G1" s="2" t="s">
        <v>119</v>
      </c>
      <c r="H1" s="2" t="s">
        <v>118</v>
      </c>
      <c r="I1" s="2" t="s">
        <v>121</v>
      </c>
      <c r="J1" s="2" t="s">
        <v>122</v>
      </c>
      <c r="K1" s="2" t="s">
        <v>142</v>
      </c>
      <c r="L1" s="2" t="s">
        <v>143</v>
      </c>
      <c r="M1" s="2" t="s">
        <v>85</v>
      </c>
      <c r="N1" s="2" t="s">
        <v>88</v>
      </c>
      <c r="O1" s="2" t="s">
        <v>117</v>
      </c>
      <c r="P1" s="2" t="s">
        <v>148</v>
      </c>
      <c r="Q1" s="2" t="s">
        <v>158</v>
      </c>
      <c r="R1" s="2" t="s">
        <v>156</v>
      </c>
      <c r="S1" s="2" t="s">
        <v>157</v>
      </c>
      <c r="T1" s="2" t="s">
        <v>139</v>
      </c>
      <c r="U1" s="2" t="s">
        <v>195</v>
      </c>
    </row>
    <row r="2" spans="1:34" x14ac:dyDescent="0.25">
      <c r="A2">
        <v>15</v>
      </c>
      <c r="B2" t="s">
        <v>14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1">
        <f>SUM(C2:L2)/10</f>
        <v>1</v>
      </c>
      <c r="S2" s="1">
        <f t="shared" ref="S2:S10" si="0">SUM(M2:Q2)/5</f>
        <v>1</v>
      </c>
      <c r="T2" s="1">
        <f>AVERAGE(R2:S2)</f>
        <v>1</v>
      </c>
      <c r="U2" t="s">
        <v>159</v>
      </c>
    </row>
    <row r="3" spans="1:34" ht="13.5" customHeight="1" x14ac:dyDescent="0.3">
      <c r="A3">
        <v>41</v>
      </c>
      <c r="B3" t="s">
        <v>15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0.25</v>
      </c>
      <c r="I3" s="2">
        <v>0.5</v>
      </c>
      <c r="J3" s="52">
        <v>0.5</v>
      </c>
      <c r="K3" s="2">
        <v>1</v>
      </c>
      <c r="L3" s="2">
        <v>1</v>
      </c>
      <c r="M3" s="2">
        <v>1</v>
      </c>
      <c r="N3" s="2">
        <v>1</v>
      </c>
      <c r="O3" s="2">
        <v>0.87</v>
      </c>
      <c r="P3" s="2">
        <v>1</v>
      </c>
      <c r="Q3" s="2">
        <v>1</v>
      </c>
      <c r="R3" s="1">
        <f t="shared" ref="R3:R48" si="1">SUM(C3:L3)/10</f>
        <v>0.82499999999999996</v>
      </c>
      <c r="S3" s="1">
        <f t="shared" si="0"/>
        <v>0.97399999999999998</v>
      </c>
      <c r="T3" s="1">
        <f t="shared" ref="T3:T48" si="2">AVERAGE(R3:S3)</f>
        <v>0.89949999999999997</v>
      </c>
      <c r="U3" t="s">
        <v>167</v>
      </c>
      <c r="AA3" s="53" t="s">
        <v>159</v>
      </c>
      <c r="AB3" s="54" t="s">
        <v>160</v>
      </c>
      <c r="AC3" s="54" t="s">
        <v>161</v>
      </c>
      <c r="AD3" s="54" t="s">
        <v>162</v>
      </c>
      <c r="AE3" s="54" t="s">
        <v>163</v>
      </c>
      <c r="AF3" s="54" t="s">
        <v>164</v>
      </c>
      <c r="AG3" s="54" t="s">
        <v>165</v>
      </c>
      <c r="AH3" s="54" t="s">
        <v>166</v>
      </c>
    </row>
    <row r="4" spans="1:34" ht="12.75" customHeight="1" x14ac:dyDescent="0.3">
      <c r="A4">
        <v>50</v>
      </c>
      <c r="B4" t="s">
        <v>16</v>
      </c>
      <c r="C4" s="2">
        <v>1</v>
      </c>
      <c r="D4" s="52">
        <v>0.25</v>
      </c>
      <c r="E4" s="52">
        <v>0</v>
      </c>
      <c r="F4" s="2">
        <v>1</v>
      </c>
      <c r="G4" s="2">
        <v>1</v>
      </c>
      <c r="H4" s="52">
        <v>0</v>
      </c>
      <c r="I4" s="2">
        <v>1</v>
      </c>
      <c r="J4" s="2">
        <v>1</v>
      </c>
      <c r="K4" s="2">
        <v>1</v>
      </c>
      <c r="L4" s="52">
        <v>0</v>
      </c>
      <c r="M4" s="2">
        <v>1</v>
      </c>
      <c r="N4" s="2">
        <v>1</v>
      </c>
      <c r="O4" s="2">
        <v>0.85</v>
      </c>
      <c r="P4" s="2">
        <v>1</v>
      </c>
      <c r="Q4" s="2">
        <v>1</v>
      </c>
      <c r="R4" s="1">
        <f t="shared" si="1"/>
        <v>0.625</v>
      </c>
      <c r="S4" s="1">
        <f t="shared" si="0"/>
        <v>0.97</v>
      </c>
      <c r="T4" s="1">
        <f t="shared" si="2"/>
        <v>0.79749999999999999</v>
      </c>
      <c r="U4" t="s">
        <v>169</v>
      </c>
      <c r="AA4" s="55" t="s">
        <v>167</v>
      </c>
      <c r="AB4" s="56" t="s">
        <v>168</v>
      </c>
      <c r="AC4" s="56" t="s">
        <v>169</v>
      </c>
      <c r="AD4" s="56" t="s">
        <v>170</v>
      </c>
      <c r="AE4" s="56" t="s">
        <v>171</v>
      </c>
      <c r="AF4" s="56" t="s">
        <v>172</v>
      </c>
      <c r="AG4" s="56" t="s">
        <v>173</v>
      </c>
      <c r="AH4" s="56" t="s">
        <v>174</v>
      </c>
    </row>
    <row r="5" spans="1:34" ht="12.75" customHeight="1" x14ac:dyDescent="0.25">
      <c r="A5">
        <v>12</v>
      </c>
      <c r="B5" s="7" t="s">
        <v>17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0.5</v>
      </c>
      <c r="I5" s="2">
        <v>1</v>
      </c>
      <c r="J5" s="2">
        <v>0.5</v>
      </c>
      <c r="K5" s="2">
        <v>1</v>
      </c>
      <c r="L5" s="2">
        <v>0.9</v>
      </c>
      <c r="M5" s="2">
        <v>1</v>
      </c>
      <c r="N5" s="2">
        <v>1</v>
      </c>
      <c r="O5" s="2">
        <v>0.87</v>
      </c>
      <c r="P5" s="2">
        <v>1</v>
      </c>
      <c r="Q5" s="2">
        <v>1</v>
      </c>
      <c r="R5" s="1">
        <f t="shared" si="1"/>
        <v>0.89</v>
      </c>
      <c r="S5" s="1">
        <f t="shared" si="0"/>
        <v>0.97399999999999998</v>
      </c>
      <c r="T5" s="60">
        <f t="shared" si="2"/>
        <v>0.93199999999999994</v>
      </c>
      <c r="U5" t="s">
        <v>159</v>
      </c>
      <c r="AA5" s="55" t="s">
        <v>175</v>
      </c>
      <c r="AB5" s="56" t="s">
        <v>176</v>
      </c>
      <c r="AC5" s="56" t="s">
        <v>177</v>
      </c>
      <c r="AD5" s="56" t="s">
        <v>178</v>
      </c>
      <c r="AE5" s="56" t="s">
        <v>179</v>
      </c>
      <c r="AF5" s="56" t="s">
        <v>180</v>
      </c>
      <c r="AG5" s="56" t="s">
        <v>181</v>
      </c>
      <c r="AH5" s="56" t="s">
        <v>182</v>
      </c>
    </row>
    <row r="6" spans="1:34" x14ac:dyDescent="0.25">
      <c r="A6">
        <v>37</v>
      </c>
      <c r="B6" t="s">
        <v>18</v>
      </c>
      <c r="C6" s="2">
        <v>1</v>
      </c>
      <c r="K6" s="2">
        <v>1</v>
      </c>
      <c r="L6" s="2">
        <v>1</v>
      </c>
      <c r="M6" s="2">
        <v>1</v>
      </c>
      <c r="N6" s="2">
        <v>0.9</v>
      </c>
      <c r="O6" s="2">
        <v>0.75</v>
      </c>
      <c r="Q6" s="2">
        <v>1</v>
      </c>
      <c r="R6" s="1">
        <f t="shared" si="1"/>
        <v>0.3</v>
      </c>
      <c r="S6" s="1">
        <f>SUM(M6:Q6)/5</f>
        <v>0.73</v>
      </c>
      <c r="T6" s="1">
        <f>AVERAGE(R6:S6)</f>
        <v>0.51500000000000001</v>
      </c>
      <c r="U6" t="s">
        <v>181</v>
      </c>
    </row>
    <row r="7" spans="1:34" ht="13" x14ac:dyDescent="0.3">
      <c r="A7">
        <v>27</v>
      </c>
      <c r="B7" t="s">
        <v>20</v>
      </c>
      <c r="C7" s="2">
        <v>1</v>
      </c>
      <c r="D7" s="2">
        <v>1</v>
      </c>
      <c r="E7" s="52">
        <v>0</v>
      </c>
      <c r="F7" s="2">
        <v>0.5</v>
      </c>
      <c r="G7" s="2">
        <v>0.5</v>
      </c>
      <c r="H7" s="2">
        <v>0.5</v>
      </c>
      <c r="I7" s="2">
        <v>0.5</v>
      </c>
      <c r="J7" s="2">
        <v>0.5</v>
      </c>
      <c r="K7" s="52">
        <v>1</v>
      </c>
      <c r="L7" s="52">
        <v>0.5</v>
      </c>
      <c r="M7" s="2">
        <v>1</v>
      </c>
      <c r="N7" s="2">
        <v>1</v>
      </c>
      <c r="O7" s="52">
        <v>0</v>
      </c>
      <c r="P7" s="2">
        <v>1</v>
      </c>
      <c r="Q7" s="2">
        <v>1</v>
      </c>
      <c r="R7" s="1">
        <f t="shared" si="1"/>
        <v>0.6</v>
      </c>
      <c r="S7" s="1">
        <f t="shared" si="0"/>
        <v>0.8</v>
      </c>
      <c r="T7" s="1">
        <f t="shared" si="2"/>
        <v>0.7</v>
      </c>
      <c r="U7" t="s">
        <v>171</v>
      </c>
    </row>
    <row r="8" spans="1:34" x14ac:dyDescent="0.25">
      <c r="A8">
        <v>21</v>
      </c>
      <c r="B8" t="s">
        <v>21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0.85</v>
      </c>
      <c r="P8" s="2">
        <v>1</v>
      </c>
      <c r="Q8" s="2">
        <v>1</v>
      </c>
      <c r="R8" s="1">
        <f t="shared" si="1"/>
        <v>1</v>
      </c>
      <c r="S8" s="1">
        <f t="shared" si="0"/>
        <v>0.97</v>
      </c>
      <c r="T8" s="1">
        <f t="shared" si="2"/>
        <v>0.98499999999999999</v>
      </c>
      <c r="U8" t="s">
        <v>159</v>
      </c>
    </row>
    <row r="9" spans="1:34" x14ac:dyDescent="0.25">
      <c r="A9">
        <v>52</v>
      </c>
      <c r="B9" t="s">
        <v>22</v>
      </c>
      <c r="C9" s="2">
        <v>1</v>
      </c>
      <c r="D9" s="2">
        <v>1</v>
      </c>
      <c r="E9" s="2">
        <v>1</v>
      </c>
      <c r="F9" s="2">
        <v>0.9</v>
      </c>
      <c r="G9" s="2">
        <v>0.9</v>
      </c>
      <c r="H9" s="2">
        <v>0.9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0.87</v>
      </c>
      <c r="P9" s="2">
        <v>1</v>
      </c>
      <c r="Q9" s="2">
        <v>1</v>
      </c>
      <c r="R9" s="1">
        <f t="shared" si="1"/>
        <v>0.97</v>
      </c>
      <c r="S9" s="1">
        <f t="shared" si="0"/>
        <v>0.97399999999999998</v>
      </c>
      <c r="T9" s="1">
        <f t="shared" si="2"/>
        <v>0.97199999999999998</v>
      </c>
      <c r="U9" t="s">
        <v>159</v>
      </c>
      <c r="Y9" s="2"/>
      <c r="Z9" s="2"/>
      <c r="AA9" s="2"/>
    </row>
    <row r="10" spans="1:34" x14ac:dyDescent="0.25">
      <c r="A10">
        <v>71</v>
      </c>
      <c r="B10" t="s">
        <v>23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0.9</v>
      </c>
      <c r="P10" s="2">
        <v>1</v>
      </c>
      <c r="Q10" s="2">
        <v>1</v>
      </c>
      <c r="R10" s="1">
        <f t="shared" si="1"/>
        <v>1</v>
      </c>
      <c r="S10" s="1">
        <f t="shared" si="0"/>
        <v>0.98000000000000009</v>
      </c>
      <c r="T10" s="1">
        <f t="shared" si="2"/>
        <v>0.99</v>
      </c>
      <c r="U10" t="s">
        <v>159</v>
      </c>
      <c r="Y10" s="2"/>
      <c r="Z10" s="2"/>
      <c r="AA10" s="2"/>
    </row>
    <row r="11" spans="1:34" x14ac:dyDescent="0.25">
      <c r="A11">
        <v>11</v>
      </c>
      <c r="B11" t="s">
        <v>24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0.75</v>
      </c>
      <c r="K11" s="2">
        <v>1</v>
      </c>
      <c r="L11" s="2">
        <v>1</v>
      </c>
      <c r="M11" s="2">
        <v>1</v>
      </c>
      <c r="N11" s="2">
        <v>1</v>
      </c>
      <c r="O11" s="2">
        <v>0.87</v>
      </c>
      <c r="P11" s="2">
        <v>1</v>
      </c>
      <c r="Q11" s="2">
        <v>1</v>
      </c>
      <c r="R11" s="1">
        <f t="shared" si="1"/>
        <v>0.97499999999999998</v>
      </c>
      <c r="S11" s="1">
        <f>SUM(M11:Q11)/5</f>
        <v>0.97399999999999998</v>
      </c>
      <c r="T11" s="1">
        <f t="shared" si="2"/>
        <v>0.97449999999999992</v>
      </c>
      <c r="U11" t="s">
        <v>159</v>
      </c>
    </row>
    <row r="12" spans="1:34" ht="13" x14ac:dyDescent="0.3">
      <c r="A12">
        <v>5</v>
      </c>
      <c r="B12" t="s">
        <v>25</v>
      </c>
      <c r="C12" s="2">
        <v>1</v>
      </c>
      <c r="D12" s="2">
        <v>1</v>
      </c>
      <c r="E12" s="2">
        <v>1</v>
      </c>
      <c r="F12" s="2">
        <v>0</v>
      </c>
      <c r="G12" s="2">
        <v>0.5</v>
      </c>
      <c r="H12" s="2">
        <v>1</v>
      </c>
      <c r="I12" s="2">
        <v>0.5</v>
      </c>
      <c r="J12" s="2">
        <v>0.5</v>
      </c>
      <c r="K12" s="52">
        <v>0</v>
      </c>
      <c r="L12" s="2">
        <v>0.5</v>
      </c>
      <c r="M12" s="2">
        <v>1</v>
      </c>
      <c r="N12" s="2">
        <v>1</v>
      </c>
      <c r="O12" s="2">
        <v>0.8</v>
      </c>
      <c r="P12" s="2">
        <v>1</v>
      </c>
      <c r="Q12" s="2">
        <v>1</v>
      </c>
      <c r="R12" s="1">
        <f t="shared" si="1"/>
        <v>0.6</v>
      </c>
      <c r="S12" s="1">
        <f t="shared" ref="S12:S48" si="3">SUM(M12:Q12)/5</f>
        <v>0.96</v>
      </c>
      <c r="T12" s="1">
        <f t="shared" si="2"/>
        <v>0.78</v>
      </c>
      <c r="U12" t="s">
        <v>177</v>
      </c>
    </row>
    <row r="13" spans="1:34" ht="13" x14ac:dyDescent="0.3">
      <c r="A13">
        <v>19</v>
      </c>
      <c r="B13" t="s">
        <v>26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0.5</v>
      </c>
      <c r="I13" s="52">
        <v>0.5</v>
      </c>
      <c r="J13" s="52">
        <v>0.5</v>
      </c>
      <c r="K13" s="2">
        <v>1</v>
      </c>
      <c r="L13" s="2">
        <v>1</v>
      </c>
      <c r="M13" s="2">
        <v>1</v>
      </c>
      <c r="N13" s="2">
        <v>1</v>
      </c>
      <c r="O13" s="2">
        <v>0.87</v>
      </c>
      <c r="P13" s="2">
        <v>1</v>
      </c>
      <c r="Q13" s="2">
        <v>1</v>
      </c>
      <c r="R13" s="1">
        <f t="shared" si="1"/>
        <v>0.85</v>
      </c>
      <c r="S13" s="1">
        <f t="shared" si="3"/>
        <v>0.97399999999999998</v>
      </c>
      <c r="T13" s="1">
        <f t="shared" si="2"/>
        <v>0.91199999999999992</v>
      </c>
      <c r="U13" t="s">
        <v>167</v>
      </c>
    </row>
    <row r="14" spans="1:34" x14ac:dyDescent="0.25">
      <c r="A14">
        <v>40</v>
      </c>
      <c r="B14" t="s">
        <v>27</v>
      </c>
      <c r="C14" s="2">
        <v>1</v>
      </c>
      <c r="D14" s="2">
        <v>1</v>
      </c>
      <c r="E14" s="2">
        <v>1</v>
      </c>
      <c r="F14" s="2">
        <v>1</v>
      </c>
      <c r="G14" s="2">
        <v>0.9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0.85</v>
      </c>
      <c r="P14" s="2">
        <v>1</v>
      </c>
      <c r="Q14" s="2">
        <v>1</v>
      </c>
      <c r="R14" s="1">
        <f t="shared" si="1"/>
        <v>0.99</v>
      </c>
      <c r="S14" s="1">
        <f t="shared" si="3"/>
        <v>0.97</v>
      </c>
      <c r="T14" s="1">
        <f t="shared" si="2"/>
        <v>0.98</v>
      </c>
      <c r="U14" t="s">
        <v>159</v>
      </c>
    </row>
    <row r="15" spans="1:34" ht="13" x14ac:dyDescent="0.3">
      <c r="A15">
        <v>90</v>
      </c>
      <c r="B15" t="s">
        <v>124</v>
      </c>
      <c r="C15" s="2">
        <v>1</v>
      </c>
      <c r="D15" s="52">
        <v>0</v>
      </c>
      <c r="E15" s="2">
        <v>1</v>
      </c>
      <c r="F15" s="2">
        <v>1</v>
      </c>
      <c r="G15" s="2">
        <v>1</v>
      </c>
      <c r="H15" s="2">
        <v>1</v>
      </c>
      <c r="I15" s="52">
        <v>0</v>
      </c>
      <c r="J15" s="52">
        <v>0</v>
      </c>
      <c r="K15" s="52">
        <v>0</v>
      </c>
      <c r="L15" s="52">
        <v>0</v>
      </c>
      <c r="M15" s="2">
        <v>1</v>
      </c>
      <c r="N15" s="2">
        <v>1</v>
      </c>
      <c r="O15" s="2">
        <v>0.87</v>
      </c>
      <c r="P15" s="2">
        <v>1</v>
      </c>
      <c r="Q15" s="2">
        <v>1</v>
      </c>
      <c r="R15" s="1">
        <f t="shared" si="1"/>
        <v>0.5</v>
      </c>
      <c r="S15" s="1">
        <f t="shared" si="3"/>
        <v>0.97399999999999998</v>
      </c>
      <c r="T15" s="1">
        <f t="shared" si="2"/>
        <v>0.73699999999999999</v>
      </c>
      <c r="U15" t="s">
        <v>197</v>
      </c>
    </row>
    <row r="16" spans="1:34" x14ac:dyDescent="0.25">
      <c r="A16">
        <v>77</v>
      </c>
      <c r="B16" t="s">
        <v>28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0.8</v>
      </c>
      <c r="I16" s="2">
        <v>1</v>
      </c>
      <c r="J16" s="2">
        <v>0.5</v>
      </c>
      <c r="K16" s="2">
        <v>1</v>
      </c>
      <c r="L16" s="2">
        <v>1</v>
      </c>
      <c r="M16" s="2">
        <v>1</v>
      </c>
      <c r="N16" s="2">
        <v>1</v>
      </c>
      <c r="O16" s="2">
        <v>0.85</v>
      </c>
      <c r="P16" s="2">
        <v>1</v>
      </c>
      <c r="Q16" s="2">
        <v>1</v>
      </c>
      <c r="R16" s="1">
        <f t="shared" si="1"/>
        <v>0.93</v>
      </c>
      <c r="S16" s="1">
        <f t="shared" si="3"/>
        <v>0.97</v>
      </c>
      <c r="T16" s="1">
        <f t="shared" si="2"/>
        <v>0.95</v>
      </c>
      <c r="U16" t="s">
        <v>159</v>
      </c>
    </row>
    <row r="17" spans="1:21" x14ac:dyDescent="0.25">
      <c r="A17">
        <v>84.1</v>
      </c>
      <c r="B17" t="s">
        <v>29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0.75</v>
      </c>
      <c r="K17" s="2">
        <v>1</v>
      </c>
      <c r="L17" s="2">
        <v>1</v>
      </c>
      <c r="M17" s="2">
        <v>1</v>
      </c>
      <c r="N17" s="2">
        <v>1</v>
      </c>
      <c r="O17" s="2">
        <v>0.87</v>
      </c>
      <c r="P17" s="2">
        <v>1</v>
      </c>
      <c r="Q17" s="2">
        <v>1</v>
      </c>
      <c r="R17" s="1">
        <f t="shared" si="1"/>
        <v>0.97499999999999998</v>
      </c>
      <c r="S17" s="1">
        <f t="shared" si="3"/>
        <v>0.97399999999999998</v>
      </c>
      <c r="T17" s="1">
        <f t="shared" si="2"/>
        <v>0.97449999999999992</v>
      </c>
      <c r="U17" t="s">
        <v>159</v>
      </c>
    </row>
    <row r="18" spans="1:21" x14ac:dyDescent="0.25">
      <c r="A18">
        <v>32</v>
      </c>
      <c r="B18" t="s">
        <v>31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0.5</v>
      </c>
      <c r="I18" s="2">
        <v>0.9</v>
      </c>
      <c r="J18" s="2">
        <v>0.9</v>
      </c>
      <c r="K18" s="46">
        <v>1</v>
      </c>
      <c r="L18" s="46">
        <v>1</v>
      </c>
      <c r="M18" s="2">
        <v>1</v>
      </c>
      <c r="N18" s="2">
        <v>1</v>
      </c>
      <c r="O18" s="2">
        <v>0.87</v>
      </c>
      <c r="P18" s="2">
        <v>1</v>
      </c>
      <c r="Q18" s="2">
        <v>1</v>
      </c>
      <c r="R18" s="1">
        <f t="shared" si="1"/>
        <v>0.93</v>
      </c>
      <c r="S18" s="1">
        <f t="shared" si="3"/>
        <v>0.97399999999999998</v>
      </c>
      <c r="T18" s="1">
        <f t="shared" si="2"/>
        <v>0.95199999999999996</v>
      </c>
      <c r="U18" t="s">
        <v>159</v>
      </c>
    </row>
    <row r="19" spans="1:21" ht="13" x14ac:dyDescent="0.3">
      <c r="A19">
        <v>31</v>
      </c>
      <c r="B19" t="s">
        <v>32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46">
        <v>1</v>
      </c>
      <c r="J19" s="46">
        <v>1</v>
      </c>
      <c r="K19" s="46">
        <v>1</v>
      </c>
      <c r="L19" s="46">
        <v>1</v>
      </c>
      <c r="M19" s="2">
        <v>1</v>
      </c>
      <c r="N19" s="2">
        <v>1</v>
      </c>
      <c r="O19" s="2">
        <v>0.87</v>
      </c>
      <c r="P19" s="52">
        <v>1</v>
      </c>
      <c r="Q19" s="52">
        <v>1</v>
      </c>
      <c r="R19" s="1">
        <f t="shared" si="1"/>
        <v>1</v>
      </c>
      <c r="S19" s="1">
        <f t="shared" si="3"/>
        <v>0.97399999999999998</v>
      </c>
      <c r="T19" s="1">
        <f t="shared" si="2"/>
        <v>0.98699999999999999</v>
      </c>
      <c r="U19" t="s">
        <v>159</v>
      </c>
    </row>
    <row r="20" spans="1:21" x14ac:dyDescent="0.25">
      <c r="A20">
        <v>2</v>
      </c>
      <c r="B20" t="s">
        <v>33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46">
        <v>1</v>
      </c>
      <c r="J20" s="46">
        <v>1</v>
      </c>
      <c r="K20" s="46">
        <v>1</v>
      </c>
      <c r="L20" s="46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1">
        <f t="shared" si="1"/>
        <v>1</v>
      </c>
      <c r="S20" s="1">
        <f t="shared" si="3"/>
        <v>1</v>
      </c>
      <c r="T20" s="1">
        <f t="shared" si="2"/>
        <v>1</v>
      </c>
      <c r="U20" t="s">
        <v>159</v>
      </c>
    </row>
    <row r="21" spans="1:21" ht="13" x14ac:dyDescent="0.3">
      <c r="A21">
        <v>83</v>
      </c>
      <c r="B21" t="s">
        <v>34</v>
      </c>
      <c r="C21" s="2">
        <v>1</v>
      </c>
      <c r="D21" s="2">
        <v>1</v>
      </c>
      <c r="E21" s="2">
        <v>1</v>
      </c>
      <c r="F21" s="52">
        <v>0</v>
      </c>
      <c r="G21" s="52">
        <v>0</v>
      </c>
      <c r="H21" s="52">
        <v>0.25</v>
      </c>
      <c r="I21" s="52">
        <v>0</v>
      </c>
      <c r="J21" s="52">
        <v>0</v>
      </c>
      <c r="K21" s="52">
        <v>0</v>
      </c>
      <c r="L21" s="52">
        <v>0</v>
      </c>
      <c r="M21" s="2">
        <v>1</v>
      </c>
      <c r="N21" s="2">
        <v>1</v>
      </c>
      <c r="O21" s="2">
        <v>0.87</v>
      </c>
      <c r="P21" s="2">
        <v>1</v>
      </c>
      <c r="Q21" s="2">
        <v>1</v>
      </c>
      <c r="R21" s="1">
        <f t="shared" si="1"/>
        <v>0.32500000000000001</v>
      </c>
      <c r="S21" s="1">
        <f t="shared" si="3"/>
        <v>0.97399999999999998</v>
      </c>
      <c r="T21" s="1">
        <f t="shared" si="2"/>
        <v>0.64949999999999997</v>
      </c>
      <c r="U21" t="s">
        <v>165</v>
      </c>
    </row>
    <row r="22" spans="1:21" x14ac:dyDescent="0.25">
      <c r="A22">
        <v>3</v>
      </c>
      <c r="B22" t="s">
        <v>35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0.87</v>
      </c>
      <c r="P22" s="2">
        <v>1</v>
      </c>
      <c r="Q22" s="2">
        <v>1</v>
      </c>
      <c r="R22" s="1">
        <f t="shared" si="1"/>
        <v>1</v>
      </c>
      <c r="S22" s="1">
        <f t="shared" si="3"/>
        <v>0.97399999999999998</v>
      </c>
      <c r="T22" s="1">
        <f t="shared" si="2"/>
        <v>0.98699999999999999</v>
      </c>
      <c r="U22" t="s">
        <v>159</v>
      </c>
    </row>
    <row r="23" spans="1:21" ht="13" x14ac:dyDescent="0.3">
      <c r="A23">
        <v>9</v>
      </c>
      <c r="B23" t="s">
        <v>36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52">
        <v>0</v>
      </c>
      <c r="I23" s="52">
        <v>0</v>
      </c>
      <c r="J23" s="52">
        <v>0</v>
      </c>
      <c r="K23" s="2">
        <v>1</v>
      </c>
      <c r="L23" s="2">
        <v>0.5</v>
      </c>
      <c r="M23" s="2">
        <v>1</v>
      </c>
      <c r="N23" s="52">
        <v>0</v>
      </c>
      <c r="O23" s="2">
        <v>0.85</v>
      </c>
      <c r="P23" s="2">
        <v>1</v>
      </c>
      <c r="Q23" s="2">
        <v>1</v>
      </c>
      <c r="R23" s="1">
        <f t="shared" si="1"/>
        <v>0.65</v>
      </c>
      <c r="S23" s="1">
        <f t="shared" si="3"/>
        <v>0.77</v>
      </c>
      <c r="T23" s="1">
        <f t="shared" si="2"/>
        <v>0.71</v>
      </c>
      <c r="U23" t="s">
        <v>171</v>
      </c>
    </row>
    <row r="24" spans="1:21" ht="13" x14ac:dyDescent="0.3">
      <c r="A24">
        <v>33</v>
      </c>
      <c r="B24" t="s">
        <v>37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52">
        <v>1</v>
      </c>
      <c r="M24" s="2">
        <v>1</v>
      </c>
      <c r="N24" s="2">
        <v>1</v>
      </c>
      <c r="O24" s="2">
        <v>0.87</v>
      </c>
      <c r="P24" s="2">
        <v>1</v>
      </c>
      <c r="Q24" s="2">
        <v>1</v>
      </c>
      <c r="R24" s="1">
        <f t="shared" si="1"/>
        <v>1</v>
      </c>
      <c r="S24" s="1">
        <f t="shared" si="3"/>
        <v>0.97399999999999998</v>
      </c>
      <c r="T24" s="1">
        <f t="shared" si="2"/>
        <v>0.98699999999999999</v>
      </c>
      <c r="U24" t="s">
        <v>159</v>
      </c>
    </row>
    <row r="25" spans="1:21" ht="13" x14ac:dyDescent="0.3">
      <c r="A25">
        <v>90.5</v>
      </c>
      <c r="B25" t="s">
        <v>38</v>
      </c>
      <c r="C25" s="2">
        <v>1</v>
      </c>
      <c r="D25" s="2">
        <v>1</v>
      </c>
      <c r="E25" s="2">
        <v>1</v>
      </c>
      <c r="F25" s="47">
        <v>0.5</v>
      </c>
      <c r="G25" s="47">
        <v>0.5</v>
      </c>
      <c r="H25" s="2">
        <v>1</v>
      </c>
      <c r="I25" s="2">
        <v>1</v>
      </c>
      <c r="J25" s="52">
        <v>0.5</v>
      </c>
      <c r="K25" s="52">
        <v>1</v>
      </c>
      <c r="L25" s="52">
        <v>1</v>
      </c>
      <c r="M25" s="2">
        <v>1</v>
      </c>
      <c r="N25" s="2">
        <v>1</v>
      </c>
      <c r="O25" s="2">
        <v>0.87</v>
      </c>
      <c r="P25" s="2">
        <v>1</v>
      </c>
      <c r="Q25" s="2">
        <v>1</v>
      </c>
      <c r="R25" s="1">
        <f t="shared" si="1"/>
        <v>0.85</v>
      </c>
      <c r="S25" s="1">
        <f t="shared" si="3"/>
        <v>0.97399999999999998</v>
      </c>
      <c r="T25" s="1">
        <f t="shared" si="2"/>
        <v>0.91199999999999992</v>
      </c>
      <c r="U25" t="s">
        <v>167</v>
      </c>
    </row>
    <row r="26" spans="1:21" ht="13" x14ac:dyDescent="0.3">
      <c r="A26">
        <v>15.5</v>
      </c>
      <c r="B26" t="s">
        <v>39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0.8</v>
      </c>
      <c r="I26" s="2">
        <v>0.5</v>
      </c>
      <c r="J26" s="52">
        <v>0.5</v>
      </c>
      <c r="K26" s="2">
        <v>1</v>
      </c>
      <c r="L26" s="2">
        <v>0.5</v>
      </c>
      <c r="M26" s="2">
        <v>1</v>
      </c>
      <c r="N26" s="2">
        <v>1</v>
      </c>
      <c r="O26" s="2">
        <v>0.87</v>
      </c>
      <c r="P26" s="2">
        <v>1</v>
      </c>
      <c r="Q26" s="2">
        <v>1</v>
      </c>
      <c r="R26" s="1">
        <f t="shared" si="1"/>
        <v>0.83000000000000007</v>
      </c>
      <c r="S26" s="1">
        <f t="shared" si="3"/>
        <v>0.97399999999999998</v>
      </c>
      <c r="T26" s="1">
        <f t="shared" si="2"/>
        <v>0.90200000000000002</v>
      </c>
      <c r="U26" t="s">
        <v>167</v>
      </c>
    </row>
    <row r="27" spans="1:21" ht="13" x14ac:dyDescent="0.3">
      <c r="A27">
        <v>47</v>
      </c>
      <c r="B27" t="s">
        <v>40</v>
      </c>
      <c r="C27" s="2">
        <v>1</v>
      </c>
      <c r="D27" s="52">
        <v>0.8</v>
      </c>
      <c r="E27" s="52">
        <v>0.8</v>
      </c>
      <c r="F27" s="2">
        <v>1</v>
      </c>
      <c r="G27" s="52">
        <v>0.8</v>
      </c>
      <c r="H27" s="52">
        <v>0.8</v>
      </c>
      <c r="I27" s="52">
        <v>0.8</v>
      </c>
      <c r="J27" s="52">
        <v>0.8</v>
      </c>
      <c r="K27" s="52">
        <v>0.8</v>
      </c>
      <c r="L27" s="52">
        <v>0.8</v>
      </c>
      <c r="M27" s="2">
        <v>1</v>
      </c>
      <c r="N27" s="52">
        <v>0</v>
      </c>
      <c r="O27" s="2">
        <v>0.87</v>
      </c>
      <c r="P27" s="2">
        <v>1</v>
      </c>
      <c r="Q27" s="2">
        <v>1</v>
      </c>
      <c r="R27" s="1">
        <f t="shared" si="1"/>
        <v>0.84000000000000008</v>
      </c>
      <c r="S27" s="1">
        <f t="shared" si="3"/>
        <v>0.77400000000000002</v>
      </c>
      <c r="T27" s="1">
        <f t="shared" si="2"/>
        <v>0.80700000000000005</v>
      </c>
      <c r="U27" t="s">
        <v>169</v>
      </c>
    </row>
    <row r="28" spans="1:21" x14ac:dyDescent="0.25">
      <c r="A28">
        <v>38</v>
      </c>
      <c r="B28" t="s">
        <v>89</v>
      </c>
      <c r="C28" s="2">
        <v>1</v>
      </c>
      <c r="D28" s="2">
        <v>1</v>
      </c>
      <c r="E28" s="2">
        <v>1</v>
      </c>
      <c r="F28" s="47">
        <v>0.75</v>
      </c>
      <c r="G28" s="47">
        <v>0.75</v>
      </c>
      <c r="H28" s="47">
        <v>0.75</v>
      </c>
      <c r="I28" s="47">
        <v>1</v>
      </c>
      <c r="J28" s="47">
        <v>0.74</v>
      </c>
      <c r="K28" s="47">
        <v>1</v>
      </c>
      <c r="L28" s="47">
        <v>1</v>
      </c>
      <c r="M28" s="2">
        <v>1</v>
      </c>
      <c r="N28" s="2">
        <v>1</v>
      </c>
      <c r="O28" s="2">
        <v>0.87</v>
      </c>
      <c r="P28" s="2">
        <v>1</v>
      </c>
      <c r="Q28" s="2">
        <v>1</v>
      </c>
      <c r="R28" s="1">
        <f t="shared" si="1"/>
        <v>0.89900000000000002</v>
      </c>
      <c r="S28" s="1">
        <f t="shared" si="3"/>
        <v>0.97399999999999998</v>
      </c>
      <c r="T28" s="1">
        <f t="shared" si="2"/>
        <v>0.9365</v>
      </c>
      <c r="U28" t="s">
        <v>159</v>
      </c>
    </row>
    <row r="29" spans="1:21" ht="13" x14ac:dyDescent="0.3">
      <c r="A29">
        <v>51</v>
      </c>
      <c r="B29" t="s">
        <v>41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52">
        <v>0</v>
      </c>
      <c r="I29" s="2">
        <v>1</v>
      </c>
      <c r="J29" s="2">
        <v>0.5</v>
      </c>
      <c r="K29" s="2">
        <v>1</v>
      </c>
      <c r="L29" s="2">
        <v>1</v>
      </c>
      <c r="M29" s="2">
        <v>1</v>
      </c>
      <c r="N29" s="2">
        <v>1</v>
      </c>
      <c r="O29" s="2">
        <v>0.85</v>
      </c>
      <c r="P29" s="2">
        <v>1</v>
      </c>
      <c r="Q29" s="2">
        <v>1</v>
      </c>
      <c r="R29" s="1">
        <f t="shared" si="1"/>
        <v>0.85</v>
      </c>
      <c r="S29" s="1">
        <f t="shared" si="3"/>
        <v>0.97</v>
      </c>
      <c r="T29" s="1">
        <f t="shared" si="2"/>
        <v>0.90999999999999992</v>
      </c>
      <c r="U29" t="s">
        <v>167</v>
      </c>
    </row>
    <row r="30" spans="1:21" ht="13" x14ac:dyDescent="0.3">
      <c r="A30">
        <v>6</v>
      </c>
      <c r="B30" t="s">
        <v>42</v>
      </c>
      <c r="C30" s="2">
        <v>1</v>
      </c>
      <c r="D30" s="2">
        <v>1</v>
      </c>
      <c r="E30" s="2">
        <v>1</v>
      </c>
      <c r="F30" s="2">
        <v>0.8</v>
      </c>
      <c r="G30" s="2">
        <v>0.9</v>
      </c>
      <c r="H30" s="2">
        <v>1</v>
      </c>
      <c r="I30" s="52">
        <v>0</v>
      </c>
      <c r="J30" s="52">
        <v>0</v>
      </c>
      <c r="K30" s="52">
        <v>0</v>
      </c>
      <c r="L30" s="52">
        <v>0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1">
        <f t="shared" si="1"/>
        <v>0.57000000000000006</v>
      </c>
      <c r="S30" s="1">
        <f t="shared" si="3"/>
        <v>1</v>
      </c>
      <c r="T30" s="1">
        <f t="shared" si="2"/>
        <v>0.78500000000000003</v>
      </c>
      <c r="U30" t="s">
        <v>177</v>
      </c>
    </row>
    <row r="31" spans="1:21" ht="13" x14ac:dyDescent="0.3">
      <c r="A31">
        <v>17</v>
      </c>
      <c r="B31" t="s">
        <v>43</v>
      </c>
      <c r="C31" s="2">
        <v>1</v>
      </c>
      <c r="D31" s="52">
        <v>0</v>
      </c>
      <c r="E31" s="2">
        <v>1</v>
      </c>
      <c r="F31" s="2">
        <v>1</v>
      </c>
      <c r="G31" s="2">
        <v>1</v>
      </c>
      <c r="H31" s="52">
        <v>0</v>
      </c>
      <c r="I31" s="52">
        <v>0</v>
      </c>
      <c r="J31" s="52">
        <v>0</v>
      </c>
      <c r="K31" s="52">
        <v>0</v>
      </c>
      <c r="L31" s="2">
        <v>0.5</v>
      </c>
      <c r="M31" s="2">
        <v>1</v>
      </c>
      <c r="N31" s="2">
        <v>1</v>
      </c>
      <c r="O31" s="52">
        <v>0.87</v>
      </c>
      <c r="P31" s="2">
        <v>1</v>
      </c>
      <c r="Q31" s="2">
        <v>1</v>
      </c>
      <c r="R31" s="1">
        <f t="shared" si="1"/>
        <v>0.45</v>
      </c>
      <c r="S31" s="1">
        <f t="shared" si="3"/>
        <v>0.97399999999999998</v>
      </c>
      <c r="T31" s="1">
        <f t="shared" si="2"/>
        <v>0.71199999999999997</v>
      </c>
      <c r="U31" t="s">
        <v>171</v>
      </c>
    </row>
    <row r="32" spans="1:21" ht="13" x14ac:dyDescent="0.3">
      <c r="A32">
        <v>65</v>
      </c>
      <c r="B32" t="s">
        <v>44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0.75</v>
      </c>
      <c r="I32" s="52">
        <v>0</v>
      </c>
      <c r="J32" s="52">
        <v>0</v>
      </c>
      <c r="K32" s="2">
        <v>1</v>
      </c>
      <c r="L32" s="2">
        <v>1</v>
      </c>
      <c r="M32" s="2">
        <v>1</v>
      </c>
      <c r="N32" s="2">
        <v>1</v>
      </c>
      <c r="O32" s="2">
        <v>0.87</v>
      </c>
      <c r="P32" s="2">
        <v>1</v>
      </c>
      <c r="Q32" s="2">
        <v>1</v>
      </c>
      <c r="R32" s="1">
        <f t="shared" si="1"/>
        <v>0.77500000000000002</v>
      </c>
      <c r="S32" s="1">
        <f t="shared" si="3"/>
        <v>0.97399999999999998</v>
      </c>
      <c r="T32" s="1">
        <f t="shared" si="2"/>
        <v>0.87450000000000006</v>
      </c>
      <c r="U32" t="s">
        <v>175</v>
      </c>
    </row>
    <row r="33" spans="1:33" ht="13" x14ac:dyDescent="0.3">
      <c r="A33">
        <v>86</v>
      </c>
      <c r="B33" s="44" t="s">
        <v>64</v>
      </c>
      <c r="C33" s="2">
        <v>1</v>
      </c>
      <c r="D33" s="2">
        <v>1</v>
      </c>
      <c r="E33" s="2">
        <v>1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2">
        <v>1</v>
      </c>
      <c r="N33" s="2">
        <v>1</v>
      </c>
      <c r="O33" s="2">
        <v>0.87</v>
      </c>
      <c r="P33" s="41">
        <v>0</v>
      </c>
      <c r="R33" s="1">
        <f t="shared" si="1"/>
        <v>0.3</v>
      </c>
      <c r="S33" s="1">
        <f t="shared" si="3"/>
        <v>0.57400000000000007</v>
      </c>
      <c r="T33" s="1">
        <f t="shared" si="2"/>
        <v>0.43700000000000006</v>
      </c>
      <c r="U33" t="s">
        <v>181</v>
      </c>
      <c r="V33" t="s">
        <v>149</v>
      </c>
    </row>
    <row r="34" spans="1:33" ht="13" x14ac:dyDescent="0.3">
      <c r="A34">
        <v>11.5</v>
      </c>
      <c r="B34" t="s">
        <v>45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0.75</v>
      </c>
      <c r="I34" s="2">
        <v>1</v>
      </c>
      <c r="J34" s="52">
        <v>0</v>
      </c>
      <c r="K34" s="2">
        <v>1</v>
      </c>
      <c r="L34" s="2">
        <v>0.5</v>
      </c>
      <c r="M34" s="2">
        <v>1</v>
      </c>
      <c r="N34" s="2">
        <v>1</v>
      </c>
      <c r="O34" s="2">
        <v>0.87</v>
      </c>
      <c r="P34" s="2">
        <v>1</v>
      </c>
      <c r="Q34" s="2">
        <v>1</v>
      </c>
      <c r="R34" s="1">
        <f t="shared" si="1"/>
        <v>0.82499999999999996</v>
      </c>
      <c r="S34" s="1">
        <f t="shared" si="3"/>
        <v>0.97399999999999998</v>
      </c>
      <c r="T34" s="1">
        <f t="shared" si="2"/>
        <v>0.89949999999999997</v>
      </c>
      <c r="U34" t="s">
        <v>167</v>
      </c>
    </row>
    <row r="35" spans="1:33" x14ac:dyDescent="0.25">
      <c r="A35">
        <v>49</v>
      </c>
      <c r="B35" t="s">
        <v>47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0.85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0.87</v>
      </c>
      <c r="P35" s="2">
        <v>1</v>
      </c>
      <c r="Q35" s="2">
        <v>1</v>
      </c>
      <c r="R35" s="1">
        <f t="shared" si="1"/>
        <v>0.98499999999999999</v>
      </c>
      <c r="S35" s="1">
        <f t="shared" si="3"/>
        <v>0.97399999999999998</v>
      </c>
      <c r="T35" s="1">
        <f t="shared" si="2"/>
        <v>0.97950000000000004</v>
      </c>
      <c r="U35" t="s">
        <v>159</v>
      </c>
    </row>
    <row r="36" spans="1:33" ht="14.25" customHeight="1" x14ac:dyDescent="0.3">
      <c r="A36">
        <v>61</v>
      </c>
      <c r="B36" t="s">
        <v>48</v>
      </c>
      <c r="C36" s="2">
        <v>1</v>
      </c>
      <c r="D36" s="2">
        <v>1</v>
      </c>
      <c r="E36" s="2">
        <v>1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2">
        <v>1</v>
      </c>
      <c r="N36" s="2">
        <v>1</v>
      </c>
      <c r="O36" s="2">
        <v>0.87</v>
      </c>
      <c r="P36" s="2">
        <v>1</v>
      </c>
      <c r="Q36" s="2">
        <v>1</v>
      </c>
      <c r="R36" s="1">
        <f t="shared" si="1"/>
        <v>0.3</v>
      </c>
      <c r="S36" s="1">
        <f t="shared" si="3"/>
        <v>0.97399999999999998</v>
      </c>
      <c r="T36" s="1">
        <f t="shared" si="2"/>
        <v>0.63700000000000001</v>
      </c>
      <c r="U36" t="s">
        <v>165</v>
      </c>
      <c r="AB36" s="53" t="s">
        <v>159</v>
      </c>
      <c r="AC36" s="54" t="s">
        <v>160</v>
      </c>
      <c r="AD36" s="54" t="s">
        <v>161</v>
      </c>
      <c r="AE36" s="54" t="s">
        <v>162</v>
      </c>
      <c r="AF36" s="54" t="s">
        <v>163</v>
      </c>
      <c r="AG36" s="54" t="s">
        <v>164</v>
      </c>
    </row>
    <row r="37" spans="1:33" ht="14.25" customHeight="1" x14ac:dyDescent="0.3">
      <c r="A37">
        <v>80</v>
      </c>
      <c r="B37" t="s">
        <v>49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52">
        <v>0</v>
      </c>
      <c r="I37" s="52">
        <v>1</v>
      </c>
      <c r="J37" s="52">
        <v>0.75</v>
      </c>
      <c r="K37" s="52">
        <v>1</v>
      </c>
      <c r="L37" s="52">
        <v>1</v>
      </c>
      <c r="M37" s="2">
        <v>1</v>
      </c>
      <c r="N37" s="2">
        <v>1</v>
      </c>
      <c r="O37" s="2">
        <v>0.87</v>
      </c>
      <c r="P37" s="2">
        <v>1</v>
      </c>
      <c r="Q37" s="2">
        <v>1</v>
      </c>
      <c r="R37" s="1">
        <f t="shared" si="1"/>
        <v>0.875</v>
      </c>
      <c r="S37" s="1">
        <f t="shared" si="3"/>
        <v>0.97399999999999998</v>
      </c>
      <c r="T37" s="1">
        <f t="shared" si="2"/>
        <v>0.92449999999999999</v>
      </c>
      <c r="U37" t="s">
        <v>167</v>
      </c>
      <c r="AB37" s="55" t="s">
        <v>167</v>
      </c>
      <c r="AC37" s="56" t="s">
        <v>168</v>
      </c>
      <c r="AD37" s="56" t="s">
        <v>169</v>
      </c>
      <c r="AE37" s="56" t="s">
        <v>170</v>
      </c>
      <c r="AF37" s="56" t="s">
        <v>171</v>
      </c>
      <c r="AG37" s="56" t="s">
        <v>172</v>
      </c>
    </row>
    <row r="38" spans="1:33" ht="14.25" customHeight="1" x14ac:dyDescent="0.3">
      <c r="A38">
        <v>75</v>
      </c>
      <c r="B38" t="s">
        <v>50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52">
        <v>1</v>
      </c>
      <c r="J38" s="52">
        <v>0</v>
      </c>
      <c r="K38" s="52">
        <v>1</v>
      </c>
      <c r="L38" s="52">
        <v>1</v>
      </c>
      <c r="M38" s="2">
        <v>1</v>
      </c>
      <c r="N38" s="2">
        <v>1</v>
      </c>
      <c r="O38" s="2">
        <v>0.87</v>
      </c>
      <c r="P38" s="2">
        <v>1</v>
      </c>
      <c r="Q38" s="2">
        <v>1.1000000000000001</v>
      </c>
      <c r="R38" s="1">
        <f t="shared" si="1"/>
        <v>0.9</v>
      </c>
      <c r="S38" s="1">
        <f t="shared" si="3"/>
        <v>0.99400000000000011</v>
      </c>
      <c r="T38" s="1">
        <f t="shared" si="2"/>
        <v>0.94700000000000006</v>
      </c>
      <c r="U38" t="s">
        <v>159</v>
      </c>
      <c r="AB38" s="55" t="s">
        <v>175</v>
      </c>
      <c r="AC38" s="56" t="s">
        <v>176</v>
      </c>
      <c r="AD38" s="56" t="s">
        <v>177</v>
      </c>
      <c r="AE38" s="56" t="s">
        <v>178</v>
      </c>
      <c r="AF38" s="56" t="s">
        <v>179</v>
      </c>
      <c r="AG38" s="56" t="s">
        <v>180</v>
      </c>
    </row>
    <row r="39" spans="1:33" x14ac:dyDescent="0.25">
      <c r="A39">
        <v>1</v>
      </c>
      <c r="B39" t="s">
        <v>51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47">
        <v>1</v>
      </c>
      <c r="I39" s="46">
        <v>1</v>
      </c>
      <c r="J39" s="46">
        <v>1</v>
      </c>
      <c r="K39" s="46">
        <v>1</v>
      </c>
      <c r="L39" s="46">
        <v>1</v>
      </c>
      <c r="M39" s="2">
        <v>1</v>
      </c>
      <c r="N39" s="2">
        <v>1</v>
      </c>
      <c r="O39" s="2">
        <v>0.87</v>
      </c>
      <c r="P39" s="2">
        <v>1</v>
      </c>
      <c r="Q39" s="2">
        <v>1</v>
      </c>
      <c r="R39" s="1">
        <f t="shared" si="1"/>
        <v>1</v>
      </c>
      <c r="S39" s="1">
        <f t="shared" si="3"/>
        <v>0.97399999999999998</v>
      </c>
      <c r="T39" s="1">
        <f t="shared" si="2"/>
        <v>0.98699999999999999</v>
      </c>
      <c r="U39" t="s">
        <v>159</v>
      </c>
    </row>
    <row r="40" spans="1:33" ht="13" x14ac:dyDescent="0.3">
      <c r="A40">
        <v>23</v>
      </c>
      <c r="B40" t="s">
        <v>53</v>
      </c>
      <c r="C40" s="2">
        <v>1</v>
      </c>
      <c r="D40" s="2">
        <v>1</v>
      </c>
      <c r="E40" s="2">
        <v>1</v>
      </c>
      <c r="F40" s="2">
        <v>1</v>
      </c>
      <c r="G40" s="2">
        <v>0.5</v>
      </c>
      <c r="H40" s="52">
        <v>0.5</v>
      </c>
      <c r="I40" s="2">
        <v>1</v>
      </c>
      <c r="J40" s="52">
        <v>1</v>
      </c>
      <c r="K40" s="2">
        <v>1</v>
      </c>
      <c r="L40" s="52">
        <v>0.5</v>
      </c>
      <c r="M40" s="2">
        <v>1</v>
      </c>
      <c r="N40" s="2">
        <v>1</v>
      </c>
      <c r="O40" s="2">
        <v>0.87</v>
      </c>
      <c r="P40" s="2">
        <v>1</v>
      </c>
      <c r="Q40" s="2">
        <v>1</v>
      </c>
      <c r="R40" s="1">
        <f t="shared" si="1"/>
        <v>0.85</v>
      </c>
      <c r="S40" s="1">
        <f t="shared" si="3"/>
        <v>0.97399999999999998</v>
      </c>
      <c r="T40" s="1">
        <f t="shared" si="2"/>
        <v>0.91199999999999992</v>
      </c>
      <c r="U40" t="s">
        <v>167</v>
      </c>
    </row>
    <row r="41" spans="1:33" x14ac:dyDescent="0.25">
      <c r="A41">
        <v>12.5</v>
      </c>
      <c r="B41" t="s">
        <v>54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0.87</v>
      </c>
      <c r="P41" s="2">
        <v>1</v>
      </c>
      <c r="Q41" s="2">
        <v>1</v>
      </c>
      <c r="R41" s="1">
        <f t="shared" si="1"/>
        <v>1</v>
      </c>
      <c r="S41" s="1">
        <f t="shared" si="3"/>
        <v>0.97399999999999998</v>
      </c>
      <c r="T41" s="1">
        <f t="shared" si="2"/>
        <v>0.98699999999999999</v>
      </c>
      <c r="U41" t="s">
        <v>159</v>
      </c>
    </row>
    <row r="42" spans="1:33" ht="13" x14ac:dyDescent="0.3">
      <c r="A42">
        <v>74</v>
      </c>
      <c r="B42" t="s">
        <v>55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47">
        <v>0.5</v>
      </c>
      <c r="I42" s="52">
        <v>0</v>
      </c>
      <c r="J42" s="52">
        <v>0</v>
      </c>
      <c r="K42" s="2">
        <v>1</v>
      </c>
      <c r="L42" s="2">
        <v>0.5</v>
      </c>
      <c r="M42" s="2">
        <v>1</v>
      </c>
      <c r="N42" s="2">
        <v>1</v>
      </c>
      <c r="O42" s="2">
        <v>0.87</v>
      </c>
      <c r="P42" s="2">
        <v>1</v>
      </c>
      <c r="Q42" s="2">
        <v>1</v>
      </c>
      <c r="R42" s="1">
        <f t="shared" si="1"/>
        <v>0.7</v>
      </c>
      <c r="S42" s="1">
        <f t="shared" si="3"/>
        <v>0.97399999999999998</v>
      </c>
      <c r="T42" s="1">
        <f t="shared" si="2"/>
        <v>0.83699999999999997</v>
      </c>
      <c r="U42" t="s">
        <v>175</v>
      </c>
    </row>
    <row r="43" spans="1:33" ht="13" x14ac:dyDescent="0.3">
      <c r="A43">
        <v>71.5</v>
      </c>
      <c r="B43" t="s">
        <v>56</v>
      </c>
      <c r="C43" s="2">
        <v>1</v>
      </c>
      <c r="D43" s="52">
        <v>0</v>
      </c>
      <c r="E43" s="2">
        <v>1</v>
      </c>
      <c r="F43" s="52">
        <v>0.5</v>
      </c>
      <c r="G43" s="52">
        <v>0.5</v>
      </c>
      <c r="H43" s="52">
        <v>0.5</v>
      </c>
      <c r="I43" s="52">
        <v>0.25</v>
      </c>
      <c r="J43" s="52">
        <v>0.25</v>
      </c>
      <c r="K43" s="52">
        <v>0</v>
      </c>
      <c r="L43" s="52">
        <v>0</v>
      </c>
      <c r="M43" s="2">
        <v>1</v>
      </c>
      <c r="N43" s="2">
        <v>1</v>
      </c>
      <c r="O43" s="2">
        <v>0.87</v>
      </c>
      <c r="P43" s="2">
        <v>1</v>
      </c>
      <c r="Q43" s="2">
        <v>1</v>
      </c>
      <c r="R43" s="1">
        <f t="shared" si="1"/>
        <v>0.4</v>
      </c>
      <c r="S43" s="1">
        <f t="shared" si="3"/>
        <v>0.97399999999999998</v>
      </c>
      <c r="T43" s="1">
        <f t="shared" si="2"/>
        <v>0.68700000000000006</v>
      </c>
      <c r="U43" t="s">
        <v>179</v>
      </c>
    </row>
    <row r="44" spans="1:33" ht="13" x14ac:dyDescent="0.3">
      <c r="A44">
        <v>95</v>
      </c>
      <c r="B44" t="s">
        <v>57</v>
      </c>
      <c r="C44" s="2">
        <v>1</v>
      </c>
      <c r="D44" s="52">
        <v>0.75</v>
      </c>
      <c r="E44" s="52">
        <v>0.75</v>
      </c>
      <c r="F44" s="52">
        <v>0.5</v>
      </c>
      <c r="G44" s="52">
        <v>0.5</v>
      </c>
      <c r="H44" s="52">
        <v>0.5</v>
      </c>
      <c r="I44" s="52">
        <v>0</v>
      </c>
      <c r="J44" s="52">
        <v>0</v>
      </c>
      <c r="K44" s="52">
        <v>0.75</v>
      </c>
      <c r="L44" s="2">
        <v>0.75</v>
      </c>
      <c r="M44" s="2">
        <v>1</v>
      </c>
      <c r="N44" s="52">
        <v>1.1000000000000001</v>
      </c>
      <c r="O44" s="2">
        <v>0.87</v>
      </c>
      <c r="P44" s="2">
        <v>0.9</v>
      </c>
      <c r="Q44" s="2">
        <v>1</v>
      </c>
      <c r="R44" s="1">
        <f t="shared" si="1"/>
        <v>0.55000000000000004</v>
      </c>
      <c r="S44" s="1">
        <f t="shared" si="3"/>
        <v>0.97399999999999998</v>
      </c>
      <c r="T44" s="1">
        <f t="shared" si="2"/>
        <v>0.76200000000000001</v>
      </c>
      <c r="U44" t="s">
        <v>163</v>
      </c>
    </row>
    <row r="45" spans="1:33" ht="13" x14ac:dyDescent="0.3">
      <c r="A45">
        <v>27</v>
      </c>
      <c r="B45" t="s">
        <v>58</v>
      </c>
      <c r="C45" s="52">
        <v>0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52">
        <v>0</v>
      </c>
      <c r="K45" s="2">
        <v>1</v>
      </c>
      <c r="L45" s="2">
        <v>1</v>
      </c>
      <c r="M45" s="2">
        <v>1</v>
      </c>
      <c r="N45" s="2">
        <v>1</v>
      </c>
      <c r="O45" s="2">
        <v>0.87</v>
      </c>
      <c r="P45" s="2">
        <v>1</v>
      </c>
      <c r="Q45" s="2">
        <v>1</v>
      </c>
      <c r="R45" s="1">
        <f t="shared" si="1"/>
        <v>0.8</v>
      </c>
      <c r="S45" s="1">
        <f t="shared" si="3"/>
        <v>0.97399999999999998</v>
      </c>
      <c r="T45" s="1">
        <f t="shared" si="2"/>
        <v>0.88700000000000001</v>
      </c>
      <c r="U45" t="s">
        <v>175</v>
      </c>
    </row>
    <row r="46" spans="1:33" ht="13" x14ac:dyDescent="0.3">
      <c r="A46">
        <v>99</v>
      </c>
      <c r="B46" t="s">
        <v>59</v>
      </c>
      <c r="C46" s="2">
        <v>1</v>
      </c>
      <c r="D46" s="2">
        <v>1</v>
      </c>
      <c r="E46" s="52">
        <v>0</v>
      </c>
      <c r="F46" s="2">
        <v>1</v>
      </c>
      <c r="G46" s="2">
        <v>0.8</v>
      </c>
      <c r="H46" s="2">
        <v>0.8</v>
      </c>
      <c r="I46" s="2">
        <v>1</v>
      </c>
      <c r="J46" s="2">
        <v>1</v>
      </c>
      <c r="K46" s="52">
        <v>0</v>
      </c>
      <c r="L46" s="52">
        <v>0.4</v>
      </c>
      <c r="M46" s="2">
        <v>1</v>
      </c>
      <c r="N46" s="2">
        <v>1</v>
      </c>
      <c r="O46" s="52">
        <v>0</v>
      </c>
      <c r="P46" s="2">
        <v>1</v>
      </c>
      <c r="Q46" s="2">
        <v>1</v>
      </c>
      <c r="R46" s="1">
        <f t="shared" si="1"/>
        <v>0.7</v>
      </c>
      <c r="S46" s="1">
        <f t="shared" si="3"/>
        <v>0.8</v>
      </c>
      <c r="T46" s="1">
        <f t="shared" si="2"/>
        <v>0.75</v>
      </c>
      <c r="U46" t="s">
        <v>163</v>
      </c>
    </row>
    <row r="47" spans="1:33" ht="13" x14ac:dyDescent="0.3">
      <c r="A47">
        <v>84.25</v>
      </c>
      <c r="B47" t="s">
        <v>60</v>
      </c>
      <c r="C47" s="2">
        <v>1</v>
      </c>
      <c r="D47" s="2">
        <v>1</v>
      </c>
      <c r="E47" s="2">
        <v>0.85</v>
      </c>
      <c r="F47" s="2">
        <v>0.7</v>
      </c>
      <c r="G47" s="2">
        <v>0.5</v>
      </c>
      <c r="H47" s="52">
        <v>0</v>
      </c>
      <c r="I47" s="52">
        <v>0</v>
      </c>
      <c r="J47" s="52">
        <v>0</v>
      </c>
      <c r="K47" s="52">
        <v>0.5</v>
      </c>
      <c r="L47" s="2">
        <v>0.5</v>
      </c>
      <c r="M47" s="2">
        <v>1</v>
      </c>
      <c r="N47" s="2">
        <v>1</v>
      </c>
      <c r="O47" s="2">
        <v>0.75</v>
      </c>
      <c r="P47" s="2">
        <v>1</v>
      </c>
      <c r="Q47" s="2">
        <v>1</v>
      </c>
      <c r="R47" s="1">
        <f t="shared" si="1"/>
        <v>0.505</v>
      </c>
      <c r="S47" s="1">
        <f t="shared" si="3"/>
        <v>0.95</v>
      </c>
      <c r="T47" s="1">
        <f t="shared" si="2"/>
        <v>0.72750000000000004</v>
      </c>
      <c r="U47" t="s">
        <v>163</v>
      </c>
    </row>
    <row r="48" spans="1:33" x14ac:dyDescent="0.25">
      <c r="A48">
        <v>84.5</v>
      </c>
      <c r="B48" t="s">
        <v>61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0.25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0.87</v>
      </c>
      <c r="P48" s="2">
        <v>1</v>
      </c>
      <c r="Q48" s="2">
        <v>1</v>
      </c>
      <c r="R48" s="1">
        <f t="shared" si="1"/>
        <v>0.92500000000000004</v>
      </c>
      <c r="S48" s="1">
        <f t="shared" si="3"/>
        <v>0.97399999999999998</v>
      </c>
      <c r="T48" s="1">
        <f t="shared" si="2"/>
        <v>0.94950000000000001</v>
      </c>
      <c r="U48" t="s">
        <v>159</v>
      </c>
    </row>
    <row r="49" spans="1:21" s="63" customFormat="1" ht="13" x14ac:dyDescent="0.3">
      <c r="A49" s="63" t="s">
        <v>194</v>
      </c>
      <c r="B49" s="4" t="s">
        <v>123</v>
      </c>
      <c r="C49" s="64">
        <f>AVERAGE(C2:C48)</f>
        <v>0.97872340425531912</v>
      </c>
      <c r="D49" s="64">
        <f t="shared" ref="D49:P49" si="4">AVERAGE(D2:D48)</f>
        <v>0.90869565217391302</v>
      </c>
      <c r="E49" s="64">
        <f t="shared" si="4"/>
        <v>0.92173913043478262</v>
      </c>
      <c r="F49" s="64">
        <f t="shared" si="4"/>
        <v>0.85108695652173927</v>
      </c>
      <c r="G49" s="64">
        <f t="shared" si="4"/>
        <v>0.83804347826086956</v>
      </c>
      <c r="H49" s="64">
        <f t="shared" si="4"/>
        <v>0.65108695652173931</v>
      </c>
      <c r="I49" s="64">
        <f t="shared" si="4"/>
        <v>0.68369565217391304</v>
      </c>
      <c r="J49" s="64">
        <f t="shared" si="4"/>
        <v>0.55304347826086953</v>
      </c>
      <c r="K49" s="64">
        <f t="shared" si="4"/>
        <v>0.78829787234042548</v>
      </c>
      <c r="L49" s="64">
        <f t="shared" si="4"/>
        <v>0.73085106382978726</v>
      </c>
      <c r="M49" s="64">
        <f t="shared" si="4"/>
        <v>1</v>
      </c>
      <c r="N49" s="64">
        <f t="shared" si="4"/>
        <v>0.95744680851063835</v>
      </c>
      <c r="O49" s="64">
        <f t="shared" si="4"/>
        <v>0.83276595744680837</v>
      </c>
      <c r="P49" s="64">
        <f t="shared" si="4"/>
        <v>0.97608695652173905</v>
      </c>
      <c r="Q49" s="64">
        <f>AVERAGE(Q2:Q48)</f>
        <v>1.0021739130434784</v>
      </c>
      <c r="R49" s="64">
        <f>AVERAGE(R2:R48)</f>
        <v>0.77902127659574483</v>
      </c>
      <c r="S49" s="64">
        <f>AVERAGE(S2:S48)</f>
        <v>0.94527659574468037</v>
      </c>
      <c r="T49" s="64">
        <f>AVERAGE(T2:T48)</f>
        <v>0.86214893617021282</v>
      </c>
      <c r="U49" s="63" t="s">
        <v>198</v>
      </c>
    </row>
    <row r="50" spans="1:21" ht="13" x14ac:dyDescent="0.3">
      <c r="B50" s="51" t="s">
        <v>155</v>
      </c>
    </row>
    <row r="51" spans="1:21" ht="13" x14ac:dyDescent="0.3">
      <c r="B51" s="52">
        <v>0</v>
      </c>
    </row>
    <row r="52" spans="1:21" x14ac:dyDescent="0.25">
      <c r="A52">
        <v>53</v>
      </c>
      <c r="B52" t="s">
        <v>30</v>
      </c>
    </row>
    <row r="53" spans="1:21" x14ac:dyDescent="0.25">
      <c r="A53">
        <v>69</v>
      </c>
      <c r="B53" t="s">
        <v>19</v>
      </c>
    </row>
    <row r="55" spans="1:21" x14ac:dyDescent="0.25">
      <c r="A55">
        <v>44</v>
      </c>
      <c r="B55" t="s">
        <v>46</v>
      </c>
    </row>
    <row r="56" spans="1:21" ht="13" x14ac:dyDescent="0.3">
      <c r="A56">
        <v>89</v>
      </c>
      <c r="B56" t="s">
        <v>52</v>
      </c>
      <c r="C56" s="2">
        <v>1</v>
      </c>
      <c r="M56" s="2">
        <v>1</v>
      </c>
      <c r="N56" s="2">
        <v>1</v>
      </c>
      <c r="Q56" s="2">
        <v>1</v>
      </c>
      <c r="R56" s="1">
        <f>SUM(C56:L56)/10</f>
        <v>0.1</v>
      </c>
      <c r="S56" s="1">
        <f>SUM(M56:Q56)/5</f>
        <v>0.6</v>
      </c>
      <c r="T56" s="1">
        <f>AVERAGE(R56:S56)</f>
        <v>0.35</v>
      </c>
      <c r="U56" s="63" t="s">
        <v>196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355</vt:lpstr>
      <vt:lpstr>462</vt:lpstr>
      <vt:lpstr>110</vt:lpstr>
      <vt:lpstr>Final</vt:lpstr>
    </vt:vector>
  </TitlesOfParts>
  <Company>Northern Michigan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Carina Negreanu</cp:lastModifiedBy>
  <cp:lastPrinted>2001-12-14T16:14:07Z</cp:lastPrinted>
  <dcterms:created xsi:type="dcterms:W3CDTF">2001-09-06T10:28:21Z</dcterms:created>
  <dcterms:modified xsi:type="dcterms:W3CDTF">2020-01-27T11:39:56Z</dcterms:modified>
</cp:coreProperties>
</file>