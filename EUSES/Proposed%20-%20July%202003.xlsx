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3DC2DC8-588D-4E7A-A1F3-089726BC1B02}" xr6:coauthVersionLast="45" xr6:coauthVersionMax="45" xr10:uidLastSave="{00000000-0000-0000-0000-000000000000}"/>
  <bookViews>
    <workbookView xWindow="2660" yWindow="2660" windowWidth="28800" windowHeight="15460" tabRatio="150"/>
  </bookViews>
  <sheets>
    <sheet name="MPR_BudgetByColleg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1" l="1"/>
  <c r="B35" i="1"/>
  <c r="B40" i="1"/>
  <c r="B44" i="1"/>
  <c r="B49" i="1"/>
  <c r="B107" i="1"/>
  <c r="B114" i="1"/>
  <c r="B125" i="1"/>
  <c r="B140" i="1"/>
  <c r="B144" i="1"/>
  <c r="B162" i="1"/>
  <c r="B164" i="1" s="1"/>
</calcChain>
</file>

<file path=xl/sharedStrings.xml><?xml version="1.0" encoding="utf-8"?>
<sst xmlns="http://schemas.openxmlformats.org/spreadsheetml/2006/main" count="541" uniqueCount="244">
  <si>
    <t>Title</t>
  </si>
  <si>
    <t>Advanced Materials Processing &amp; Analysis Center (AMPAC)</t>
  </si>
  <si>
    <t>CAREER: Fundamental Studies on Amorphous Silicoaluminium Carbonitride for Ultrahigh Temperature Applications: Research and Educ</t>
  </si>
  <si>
    <t>PI</t>
  </si>
  <si>
    <t xml:space="preserve">An, Linan </t>
  </si>
  <si>
    <t>National Science Foundation</t>
  </si>
  <si>
    <t>Acquisition of a Special Sieverts System for Materials Testing &amp; Characterization of Hydrogen</t>
  </si>
  <si>
    <t>Co-PI</t>
  </si>
  <si>
    <t xml:space="preserve">Seal, Sudipta </t>
  </si>
  <si>
    <t>Planning Reform in Mechanical Engineering at UCF</t>
  </si>
  <si>
    <t>SBIR Phase 1 - A Self Cleaning Nano-Titania Coated Medical Cathetar</t>
  </si>
  <si>
    <t>McWhite Scientific</t>
  </si>
  <si>
    <t xml:space="preserve">Vaidyanathan, Rajan </t>
  </si>
  <si>
    <t>Arts &amp; Sciences (A&amp;S)</t>
  </si>
  <si>
    <t>Laser Communications in Space</t>
  </si>
  <si>
    <t>CO-PI</t>
  </si>
  <si>
    <t>Andrews, Larry C.</t>
  </si>
  <si>
    <t>US Department of Defense</t>
  </si>
  <si>
    <t>A Career Proposal in Soft Condensed Matter Physics</t>
  </si>
  <si>
    <t xml:space="preserve">Bhattacharya, Aniket </t>
  </si>
  <si>
    <t>Development of Chemical Receptors for Proteins</t>
  </si>
  <si>
    <t>Campiglia, Andres D.</t>
  </si>
  <si>
    <t>North Dakota State University</t>
  </si>
  <si>
    <t>Novel Instrumentation and Experimental for Absorption and Multidimensional Luminescence Spectroscopy at Liquid Nitrogen and Hel</t>
  </si>
  <si>
    <t>CAREER: Electron Injection-Induced Effects in III-Nitrides: Physics and Applications</t>
  </si>
  <si>
    <t xml:space="preserve">Chernyak, Leonid </t>
  </si>
  <si>
    <t>Dechlorination of Polychlorinated Biphenyls in Soils and Sediments Usinig Fe/Pd Bimetallic Emulsions</t>
  </si>
  <si>
    <t>Geiger, Cherie L.</t>
  </si>
  <si>
    <t>NASA</t>
  </si>
  <si>
    <t>Hampton, Michael D.</t>
  </si>
  <si>
    <t>CAREER: Enhancement of Nonlinear Absorption Processes by Surface Plasmon in Nano and Biophotonics</t>
  </si>
  <si>
    <t>Hernandez, Florencio E.</t>
  </si>
  <si>
    <t>Biodiversity in Spatially Isolated Ephemeral Wetlands: Discovering the Unknown Around Us</t>
  </si>
  <si>
    <t>Jenkins, David G.</t>
  </si>
  <si>
    <t>Oklahoma State University</t>
  </si>
  <si>
    <t>Return Period Analysis</t>
  </si>
  <si>
    <t>Johnson, Mark E.</t>
  </si>
  <si>
    <t>Kinetic Data Analysis Corporation</t>
  </si>
  <si>
    <t>New Applications of Soliton Theory in Nonlinear Optics</t>
  </si>
  <si>
    <t xml:space="preserve">Kaup, David </t>
  </si>
  <si>
    <t>Molecular Phylogenetics and Trait Evolution in the pitvipers(Sepentes:Viperidae:Crotalinae)</t>
  </si>
  <si>
    <t xml:space="preserve">Parkinson, Christopher </t>
  </si>
  <si>
    <t>Making Childbirth Safer</t>
  </si>
  <si>
    <t xml:space="preserve">Salas, Eduardo </t>
  </si>
  <si>
    <t>University of Miami</t>
  </si>
  <si>
    <t>Beyond VR: Simulating Identities</t>
  </si>
  <si>
    <t xml:space="preserve">Saper, Craig </t>
  </si>
  <si>
    <t>PEOSTRI</t>
  </si>
  <si>
    <t>Selective Adsorbents by Molecular Surface-Imprinting Into Nanostructured Polymer Thin Films</t>
  </si>
  <si>
    <t>Sigman, Michael E.</t>
  </si>
  <si>
    <t>FDOT 402 Grant: Elder Driver Statewide Safety Resources Centers</t>
  </si>
  <si>
    <t>Smither, Janan A.</t>
  </si>
  <si>
    <t>FL Department of Highway Safety &amp; Motor Vehicles</t>
  </si>
  <si>
    <t>Relating Crash Occurrence to Freeway Loop Detectors Data, Weather Conditions and Geometric Factors</t>
  </si>
  <si>
    <t xml:space="preserve">Uddin, Nizam </t>
  </si>
  <si>
    <t>FL Department of Transportation</t>
  </si>
  <si>
    <t>Maximizing Success of Coral Reef Restoration Efforts through Education, Outreach, and Understanding the Impact of Nusiance Macr</t>
  </si>
  <si>
    <t>Walters, Linda J.</t>
  </si>
  <si>
    <t>Florida Sea Grant College Program</t>
  </si>
  <si>
    <t>Understanding Essential Habitat for the Calico Scallop Argopecten gibbus: Is Recruitment Substrate Limited?</t>
  </si>
  <si>
    <t>Assessing Cognitive Ability in Zoo Animals</t>
  </si>
  <si>
    <t>Weishampel, John F.</t>
  </si>
  <si>
    <t>Disney Animal Kingdom</t>
  </si>
  <si>
    <t>National Center for Forensic Science</t>
  </si>
  <si>
    <t>Whitcomb, Carrie M</t>
  </si>
  <si>
    <t>National Institute of Justice</t>
  </si>
  <si>
    <t>Efficient Si-based Light Emitting Diodes and Lasers via Wafer-Bonded Quantum Dots</t>
  </si>
  <si>
    <t>Winningham, Thomas A.</t>
  </si>
  <si>
    <t xml:space="preserve">Thermoregulation in Foraging Steller Sea Lions:  A Comprehensive Experimental and Modeling Approach Part II
</t>
  </si>
  <si>
    <t>Worthy, Graham A.</t>
  </si>
  <si>
    <t>Hubbs-Sea World Research Institute</t>
  </si>
  <si>
    <t>Biomolecular Science Center</t>
  </si>
  <si>
    <t>Single Molecule Microscopy and Tracking for Cytochrome C Intracellular Dynamics and Interactions</t>
  </si>
  <si>
    <t>Zervos, Antonis S.</t>
  </si>
  <si>
    <t>Single Molecule Microscopy for Live Cell Imaging</t>
  </si>
  <si>
    <t>National Institutes of Health</t>
  </si>
  <si>
    <t>Business Administration (BA)</t>
  </si>
  <si>
    <t>Small Business Development Center, UCF</t>
  </si>
  <si>
    <t>Polfer, Aloyse T.</t>
  </si>
  <si>
    <t>University of West Florida</t>
  </si>
  <si>
    <t>Education (ED)</t>
  </si>
  <si>
    <t>Bringing Engineering to Tangelo Park</t>
  </si>
  <si>
    <t>Dziuban, Charles D.</t>
  </si>
  <si>
    <t>Florida Marriage and Family Research Institute - Stronger Marriages and Stronger Families Program</t>
  </si>
  <si>
    <t>Young, Mark E.</t>
  </si>
  <si>
    <t>FL Department of Children &amp; Families</t>
  </si>
  <si>
    <t>Engineering &amp; Computer Science (COECS)</t>
  </si>
  <si>
    <t>Red-light Running and Limited Visibility Due to LTV's Using the UCF Driving Simulator</t>
  </si>
  <si>
    <t>Abdel-Aty, Mohamed A.</t>
  </si>
  <si>
    <t xml:space="preserve">Using the UCF Driving Simulator as a Test Bed for High Risk Locations: Part I: Signalized Intersections and Toll Plazas
</t>
  </si>
  <si>
    <t>Eveluation of Benefits to Traffic Operations at the OOCE Holland West Mainline Toll Plaza on State Road 408 from Structural Ren</t>
  </si>
  <si>
    <t>Al-Deek, Haitham M.</t>
  </si>
  <si>
    <t>Orlando-Orange County Expressway Authority</t>
  </si>
  <si>
    <t>Using a Java Applet to Provide a Learning Tool for Internal Truck Traffic Generated from Freight Activity at Seaports</t>
  </si>
  <si>
    <t>Federal Highway Administration</t>
  </si>
  <si>
    <t>CAREER: Mutable and Reconfigurable Agents</t>
  </si>
  <si>
    <t xml:space="preserve">Boloni, Ladislau </t>
  </si>
  <si>
    <t>CAREER: Designing Frameworks for Data Service Provisioning in Wireless Networks Based on Subjective Measures</t>
  </si>
  <si>
    <t xml:space="preserve">Chatterjee, Mainak </t>
  </si>
  <si>
    <t>CAREER: Addressable Super Multifunctional Carbon Nanotube Reinforce Matellic Composites for MEMS/NEMS</t>
  </si>
  <si>
    <t xml:space="preserve">Chen, Quanfang </t>
  </si>
  <si>
    <t>Chew, Larry P.</t>
  </si>
  <si>
    <t>CAREER: A Micro SPR Sensor with Integrated Microfluidic Components for In-situ Monitoring of Biomole</t>
  </si>
  <si>
    <t xml:space="preserve">Cho, Hyoung Jin </t>
  </si>
  <si>
    <t xml:space="preserve">Conway, Ted </t>
  </si>
  <si>
    <t>Reengineering The Undergraduate Industrial Engineering Program</t>
  </si>
  <si>
    <t>Crumpton-Young, Lesia L</t>
  </si>
  <si>
    <t>CAREER: Inverse Problems in Computational Imaging</t>
  </si>
  <si>
    <t xml:space="preserve">Foroosh, Hassan </t>
  </si>
  <si>
    <t xml:space="preserve">Georgiopoulos, Michael </t>
  </si>
  <si>
    <t>Hampton, Edward E.</t>
  </si>
  <si>
    <t>Kapat, Jayanta S.</t>
  </si>
  <si>
    <t xml:space="preserve">Klee, Harold </t>
  </si>
  <si>
    <t>Traffic Engineering Studies Using a Driving Simulator … Year 2</t>
  </si>
  <si>
    <t>CAREER: New Directions for Networking Hardware Design</t>
  </si>
  <si>
    <t xml:space="preserve">Kocak, Taskin </t>
  </si>
  <si>
    <t xml:space="preserve">Kumar, Ranganathan </t>
  </si>
  <si>
    <t>Framework For Modeling Emergency Evacuation</t>
  </si>
  <si>
    <t>Mollaghasemi, Mansooreh A.</t>
  </si>
  <si>
    <t>USCG Port Security Preparedness, Response, and Evaluation through Port Incident Training and Exercis</t>
  </si>
  <si>
    <t>Transportation Security Administration (TSA)</t>
  </si>
  <si>
    <t>Wekiva River Stormwater Management Manual of Practice</t>
  </si>
  <si>
    <t>Nnadi, Fidelia N.</t>
  </si>
  <si>
    <t>Passenger Demand Infrastructure System</t>
  </si>
  <si>
    <t>Oloufa, Amr A.</t>
  </si>
  <si>
    <t>CAREER: Flame Synthesis of Nanoparticles and Related Analyses, Optical Diagnostics, and Laboratory Facilities</t>
  </si>
  <si>
    <t>Petersen, Eric L.</t>
  </si>
  <si>
    <t>Phillips, Ronald L.</t>
  </si>
  <si>
    <t xml:space="preserve">Rabelo, Luis </t>
  </si>
  <si>
    <t>CATSS Center (4th acct)</t>
  </si>
  <si>
    <t>Radwan, Ahmed E.</t>
  </si>
  <si>
    <t>US Department of Transportation</t>
  </si>
  <si>
    <t>I-4 CORRIDOR TRAFFIC SIMULATION AND VISUALIZATION</t>
  </si>
  <si>
    <t>TRAFFIC SIMULATION AND VISUALIZATION OF I-4 CORRIDOR IN ORLANDO, FLORIDA</t>
  </si>
  <si>
    <t xml:space="preserve">Ramasamy, Shankar </t>
  </si>
  <si>
    <t>CAREER: Development and Validation of Tone Reproduction Algorithms</t>
  </si>
  <si>
    <t xml:space="preserve">Reinhard, Erik </t>
  </si>
  <si>
    <t>Bioreactor Landfill Gas Prediction -Phase II</t>
  </si>
  <si>
    <t>Reinhart, Debra R.</t>
  </si>
  <si>
    <t>Arcadis</t>
  </si>
  <si>
    <t xml:space="preserve">Modeling Quality in Software Development Using Spatial Data Analysis Techniques
</t>
  </si>
  <si>
    <t>Schiavone, Guy A.</t>
  </si>
  <si>
    <t>Lunar Astrobiology: Searching for Planetary Micrometeorites in Apollo Lunar Regolith Samples</t>
  </si>
  <si>
    <t xml:space="preserve">Sellar, R. Glenn </t>
  </si>
  <si>
    <t>Weber State University</t>
  </si>
  <si>
    <t>Automated Video Surveillance at Night</t>
  </si>
  <si>
    <t>Shah, Mubarak A.</t>
  </si>
  <si>
    <t>Percep Tek</t>
  </si>
  <si>
    <t>PROOF OF CONCEPT FOR SIMULATION BASED RE-CERTIFICATION of COMMERCIAL DRIVER LICENSE 
The Virtual Ch</t>
  </si>
  <si>
    <t xml:space="preserve">Tarr, Ronald </t>
  </si>
  <si>
    <t>Review of Lake Butler Water Quality preformed by the SJRWMD</t>
  </si>
  <si>
    <t>Wanielista, Martin P.</t>
  </si>
  <si>
    <t>Orange County/Dept of Env Prot</t>
  </si>
  <si>
    <t>Stormwater Intelligent Controller System</t>
  </si>
  <si>
    <t>FL Department of Environmental Protection</t>
  </si>
  <si>
    <t>Watson, Stephen M</t>
  </si>
  <si>
    <t>Air Transportation Center of Excellence</t>
  </si>
  <si>
    <t>Wayson, Roger L.</t>
  </si>
  <si>
    <t>Massachusetts Institute of Technology</t>
  </si>
  <si>
    <t>Williams, Kent E.</t>
  </si>
  <si>
    <t>2.5MW High Power Synchronous Generator System Modeling</t>
  </si>
  <si>
    <t>Wu, Thomas X.</t>
  </si>
  <si>
    <t>Electrodynamics Associates, Inc.</t>
  </si>
  <si>
    <t>Modeling of a Synchronous Generator System</t>
  </si>
  <si>
    <t>On the Unified Soot Growth Mechanism</t>
  </si>
  <si>
    <t xml:space="preserve">Xu, Fang </t>
  </si>
  <si>
    <t xml:space="preserve">Yeh, Gour-Tsyh </t>
  </si>
  <si>
    <t>Florida Solar Energy Center (FSEC)</t>
  </si>
  <si>
    <t>Linkous, Clovis A.</t>
  </si>
  <si>
    <t>Slattery, Darlene K.</t>
  </si>
  <si>
    <t>Redefining Market Strategies for Promoting Solar to Commercial Key Account in Florida</t>
  </si>
  <si>
    <t>Szaro, Jennifer M.</t>
  </si>
  <si>
    <t>US Department of Energy</t>
  </si>
  <si>
    <t xml:space="preserve">T-Raissi, Ali </t>
  </si>
  <si>
    <t>Health &amp; Public Affairs (H&amp;PA)</t>
  </si>
  <si>
    <t>Nasal Innate Immunity in Leprosy Patients</t>
  </si>
  <si>
    <t>Cole, Alexander M.</t>
  </si>
  <si>
    <t>FIP Foundation for Education and Research</t>
  </si>
  <si>
    <t>STEPS Evaluation</t>
  </si>
  <si>
    <t>Dennis, Karen E.</t>
  </si>
  <si>
    <t>Centers for Disease Control</t>
  </si>
  <si>
    <t>Development of Training Materials fro Fall Hazards in Wireless Communication</t>
  </si>
  <si>
    <t>Hamby, Eileen F.</t>
  </si>
  <si>
    <t>US Department of Labor</t>
  </si>
  <si>
    <t>Incorporating Realistic Cues into Homeland Security Field Excercises</t>
  </si>
  <si>
    <t>Koleszar, William L.</t>
  </si>
  <si>
    <t>McCarthy, Bernard J.</t>
  </si>
  <si>
    <t>Web-Based Victim Advocate Training</t>
  </si>
  <si>
    <t>Russo, Charles W.</t>
  </si>
  <si>
    <t>US Department of Justice</t>
  </si>
  <si>
    <t>Using Interactive Performance as a Strategy</t>
  </si>
  <si>
    <t>Turnage, Barbara F.</t>
  </si>
  <si>
    <t>The Harry Frank Guggenheim Foundation</t>
  </si>
  <si>
    <t>Nurse Staffing and Nurse Care Quality in Nursing Homes</t>
  </si>
  <si>
    <t xml:space="preserve">Wan, Thomas </t>
  </si>
  <si>
    <t>Institute for Simulation &amp; Training (IST)</t>
  </si>
  <si>
    <t xml:space="preserve">Burke, Shawn </t>
  </si>
  <si>
    <t>Cortes, Arsenio C.</t>
  </si>
  <si>
    <t>Dolezal, Michael J.</t>
  </si>
  <si>
    <t>Mathematical Foundations for Modeling and Simulation</t>
  </si>
  <si>
    <t>Goldiez, Brian F.</t>
  </si>
  <si>
    <t>NAVAIR Orlando TSD</t>
  </si>
  <si>
    <t>Kaup, David J.</t>
  </si>
  <si>
    <t>Air Force Agency for Modeling and Simulation Information Technology Support</t>
  </si>
  <si>
    <t xml:space="preserve">McClellan, Tammie </t>
  </si>
  <si>
    <t>GSA, FEDSIM</t>
  </si>
  <si>
    <t>Mullally, Daniel E.</t>
  </si>
  <si>
    <t>Reed, Robert W.</t>
  </si>
  <si>
    <t xml:space="preserve">Shumaker, Randall </t>
  </si>
  <si>
    <t>Joint Advanced Distributed Learning Collaborative Laboratory (JOINT ADL Co-Lab) Infrastructure and R</t>
  </si>
  <si>
    <t>Smart, Ernest A.</t>
  </si>
  <si>
    <t xml:space="preserve">Stapleton, Christopher </t>
  </si>
  <si>
    <t>President's Office</t>
  </si>
  <si>
    <t>Moskal, Patsy D.</t>
  </si>
  <si>
    <t>School of Optics (CREOL)</t>
  </si>
  <si>
    <t xml:space="preserve">Berezhna, Svitlana </t>
  </si>
  <si>
    <t>Chip-Scale Wavelength Division Multiplexed Technology</t>
  </si>
  <si>
    <t>Delfyett, Peter J.</t>
  </si>
  <si>
    <t>Sarnoff Corporation</t>
  </si>
  <si>
    <t>Laser Materials Testing - DO3 - Infrared Materials Research</t>
  </si>
  <si>
    <t>Hagan, David J.</t>
  </si>
  <si>
    <t>Anteon Corporation</t>
  </si>
  <si>
    <t>CAREER: Three Dimensional Nano-Optical Elements (3DNOES): An Integrated Approach to Research and Education</t>
  </si>
  <si>
    <t>Johnson, Eric G.</t>
  </si>
  <si>
    <t>Laser Direct Write for Intrinsic Metallization of SiC</t>
  </si>
  <si>
    <t xml:space="preserve">Kar, Aravinda </t>
  </si>
  <si>
    <t>Applicote Associates</t>
  </si>
  <si>
    <t>ZnO-Based Deep Green LED</t>
  </si>
  <si>
    <t>Sensors World, Inc.</t>
  </si>
  <si>
    <t>Advanced Technology for JTRS Antenna Remoting</t>
  </si>
  <si>
    <t xml:space="preserve">Li, Guifang </t>
  </si>
  <si>
    <t>Northrop Grumman Corporation</t>
  </si>
  <si>
    <t>Millimeter Wave Optical Carrier and Signal Modulation</t>
  </si>
  <si>
    <t>Harris Corporation</t>
  </si>
  <si>
    <t>CAREER: Nanoscale Thermal Dynamics in Femto-Laser Machining</t>
  </si>
  <si>
    <t xml:space="preserve">Siders, Craig </t>
  </si>
  <si>
    <t>Vanstryland, Eric W.</t>
  </si>
  <si>
    <t>Total Proposed</t>
  </si>
  <si>
    <t>Total Proposed - July 2003 (FY 2004)</t>
  </si>
  <si>
    <t>Amount</t>
  </si>
  <si>
    <t>Type</t>
  </si>
  <si>
    <t>%</t>
  </si>
  <si>
    <t>Investigator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</si>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</sst>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&quot;$&quot;#,##0.00;\(&quot;$&quot;#,##0.00\)"/>
  </numFmts>
  <fonts count="8" x14ac:knownFonts="1">
    <font>
      <sz val="10"/>
      <color indexed="8"/>
      <name val="Arial"/>
    </font>
    <font>
      <sz val="10"/>
      <color indexed="8"/>
      <name val="Arial Narrow"/>
      <family val="2"/>
    </font>
    <font>
      <u/>
      <sz val="10"/>
      <color indexed="8"/>
      <name val="Arial Narrow"/>
      <family val="2"/>
    </font>
    <font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b/>
      <sz val="10"/>
      <color indexed="8"/>
      <name val="Arial Narrow"/>
      <family val="2"/>
    </font>
    <font>
      <b/>
      <u/>
      <sz val="10"/>
      <color indexed="8"/>
      <name val="Arial Narrow"/>
      <family val="2"/>
    </font>
    <font>
      <b/>
      <sz val="8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5" fillId="0" borderId="0" xfId="0" applyFont="1" applyBorder="1"/>
    <xf numFmtId="0" fontId="1" fillId="0" borderId="0" xfId="0" applyFont="1" applyBorder="1" applyAlignment="1">
      <alignment horizontal="left"/>
    </xf>
    <xf numFmtId="173" fontId="3" fillId="0" borderId="0" xfId="0" applyNumberFormat="1" applyFont="1" applyFill="1" applyBorder="1" applyAlignment="1">
      <alignment horizontal="left"/>
    </xf>
    <xf numFmtId="173" fontId="7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173" fontId="5" fillId="0" borderId="0" xfId="0" applyNumberFormat="1" applyFont="1" applyBorder="1" applyAlignment="1">
      <alignment horizontal="left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4"/>
  <sheetViews>
    <sheetView tabSelected="1" workbookViewId="0">
      <selection activeCell="C13" sqref="C13"/>
    </sheetView>
  </sheetViews>
  <sheetFormatPr defaultColWidth="9.1796875" defaultRowHeight="13" outlineLevelRow="1" x14ac:dyDescent="0.3"/>
  <cols>
    <col min="1" max="1" width="3" style="7" customWidth="1"/>
    <col min="2" max="2" width="12.453125" style="8" customWidth="1"/>
    <col min="3" max="3" width="53" style="1" customWidth="1"/>
    <col min="4" max="4" width="5.81640625" style="1" customWidth="1"/>
    <col min="5" max="5" width="4.81640625" style="1" customWidth="1"/>
    <col min="6" max="6" width="16" style="1" customWidth="1"/>
    <col min="7" max="7" width="31.54296875" style="1" customWidth="1"/>
    <col min="8" max="16384" width="9.1796875" style="1"/>
  </cols>
  <sheetData>
    <row r="1" spans="1:7" x14ac:dyDescent="0.3">
      <c r="A1" s="5"/>
    </row>
    <row r="2" spans="1:7" s="13" customFormat="1" x14ac:dyDescent="0.3">
      <c r="A2" s="6"/>
      <c r="B2" s="2" t="s">
        <v>239</v>
      </c>
      <c r="C2" s="2" t="s">
        <v>0</v>
      </c>
      <c r="D2" s="2" t="s">
        <v>240</v>
      </c>
      <c r="E2" s="2" t="s">
        <v>241</v>
      </c>
      <c r="F2" s="2" t="s">
        <v>242</v>
      </c>
      <c r="G2" s="2" t="s">
        <v>243</v>
      </c>
    </row>
    <row r="3" spans="1:7" x14ac:dyDescent="0.3">
      <c r="A3" s="6" t="s">
        <v>1</v>
      </c>
    </row>
    <row r="4" spans="1:7" outlineLevel="1" x14ac:dyDescent="0.3">
      <c r="B4" s="9">
        <v>500094</v>
      </c>
      <c r="C4" s="3" t="s">
        <v>2</v>
      </c>
      <c r="D4" s="3" t="s">
        <v>3</v>
      </c>
      <c r="E4" s="4">
        <v>100</v>
      </c>
      <c r="F4" s="3" t="s">
        <v>4</v>
      </c>
      <c r="G4" s="3" t="s">
        <v>5</v>
      </c>
    </row>
    <row r="5" spans="1:7" outlineLevel="1" x14ac:dyDescent="0.3">
      <c r="B5" s="9">
        <v>21454</v>
      </c>
      <c r="C5" s="3" t="s">
        <v>6</v>
      </c>
      <c r="D5" s="3" t="s">
        <v>7</v>
      </c>
      <c r="E5" s="4">
        <v>16</v>
      </c>
      <c r="F5" s="3" t="s">
        <v>8</v>
      </c>
      <c r="G5" s="3" t="s">
        <v>5</v>
      </c>
    </row>
    <row r="6" spans="1:7" outlineLevel="1" x14ac:dyDescent="0.3">
      <c r="B6" s="9">
        <v>15000</v>
      </c>
      <c r="C6" s="3" t="s">
        <v>9</v>
      </c>
      <c r="D6" s="3" t="s">
        <v>7</v>
      </c>
      <c r="E6" s="4">
        <v>15</v>
      </c>
      <c r="F6" s="3" t="s">
        <v>8</v>
      </c>
      <c r="G6" s="3" t="s">
        <v>5</v>
      </c>
    </row>
    <row r="7" spans="1:7" outlineLevel="1" x14ac:dyDescent="0.3">
      <c r="B7" s="9">
        <v>52689</v>
      </c>
      <c r="C7" s="3" t="s">
        <v>10</v>
      </c>
      <c r="D7" s="3" t="s">
        <v>3</v>
      </c>
      <c r="E7" s="4">
        <v>100</v>
      </c>
      <c r="F7" s="3" t="s">
        <v>8</v>
      </c>
      <c r="G7" s="3" t="s">
        <v>11</v>
      </c>
    </row>
    <row r="8" spans="1:7" outlineLevel="1" x14ac:dyDescent="0.3">
      <c r="B8" s="9">
        <v>21454</v>
      </c>
      <c r="C8" s="3" t="s">
        <v>6</v>
      </c>
      <c r="D8" s="3" t="s">
        <v>7</v>
      </c>
      <c r="E8" s="4">
        <v>16</v>
      </c>
      <c r="F8" s="3" t="s">
        <v>12</v>
      </c>
      <c r="G8" s="3" t="s">
        <v>5</v>
      </c>
    </row>
    <row r="9" spans="1:7" outlineLevel="1" x14ac:dyDescent="0.3">
      <c r="B9" s="10">
        <f>SUM(B4:B8)</f>
        <v>610691</v>
      </c>
      <c r="C9" s="11" t="s">
        <v>237</v>
      </c>
      <c r="D9" s="3"/>
      <c r="E9" s="4"/>
      <c r="F9" s="3"/>
      <c r="G9" s="3"/>
    </row>
    <row r="10" spans="1:7" outlineLevel="1" x14ac:dyDescent="0.3">
      <c r="B10" s="9"/>
      <c r="C10" s="3"/>
      <c r="D10" s="3"/>
      <c r="E10" s="4"/>
      <c r="F10" s="3"/>
      <c r="G10" s="3"/>
    </row>
    <row r="11" spans="1:7" x14ac:dyDescent="0.3">
      <c r="A11" s="6" t="s">
        <v>13</v>
      </c>
    </row>
    <row r="12" spans="1:7" outlineLevel="1" x14ac:dyDescent="0.3">
      <c r="B12" s="9">
        <v>0</v>
      </c>
      <c r="C12" s="3" t="s">
        <v>14</v>
      </c>
      <c r="D12" s="3" t="s">
        <v>15</v>
      </c>
      <c r="E12" s="4">
        <v>0</v>
      </c>
      <c r="F12" s="3" t="s">
        <v>16</v>
      </c>
      <c r="G12" s="3" t="s">
        <v>17</v>
      </c>
    </row>
    <row r="13" spans="1:7" outlineLevel="1" x14ac:dyDescent="0.3">
      <c r="B13" s="9">
        <v>450728</v>
      </c>
      <c r="C13" s="3" t="s">
        <v>18</v>
      </c>
      <c r="D13" s="3" t="s">
        <v>3</v>
      </c>
      <c r="E13" s="4">
        <v>100</v>
      </c>
      <c r="F13" s="3" t="s">
        <v>19</v>
      </c>
      <c r="G13" s="3" t="s">
        <v>5</v>
      </c>
    </row>
    <row r="14" spans="1:7" outlineLevel="1" x14ac:dyDescent="0.3">
      <c r="B14" s="9">
        <v>97264</v>
      </c>
      <c r="C14" s="3" t="s">
        <v>20</v>
      </c>
      <c r="D14" s="3" t="s">
        <v>3</v>
      </c>
      <c r="E14" s="4">
        <v>100</v>
      </c>
      <c r="F14" s="3" t="s">
        <v>21</v>
      </c>
      <c r="G14" s="3" t="s">
        <v>22</v>
      </c>
    </row>
    <row r="15" spans="1:7" outlineLevel="1" x14ac:dyDescent="0.3">
      <c r="B15" s="9">
        <v>168322</v>
      </c>
      <c r="C15" s="3" t="s">
        <v>23</v>
      </c>
      <c r="D15" s="3" t="s">
        <v>3</v>
      </c>
      <c r="E15" s="4">
        <v>100</v>
      </c>
      <c r="F15" s="3" t="s">
        <v>21</v>
      </c>
      <c r="G15" s="3" t="s">
        <v>5</v>
      </c>
    </row>
    <row r="16" spans="1:7" outlineLevel="1" x14ac:dyDescent="0.3">
      <c r="B16" s="9">
        <v>452256</v>
      </c>
      <c r="C16" s="3" t="s">
        <v>24</v>
      </c>
      <c r="D16" s="3" t="s">
        <v>3</v>
      </c>
      <c r="E16" s="4">
        <v>100</v>
      </c>
      <c r="F16" s="3" t="s">
        <v>25</v>
      </c>
      <c r="G16" s="3" t="s">
        <v>5</v>
      </c>
    </row>
    <row r="17" spans="2:7" outlineLevel="1" x14ac:dyDescent="0.3">
      <c r="B17" s="9">
        <v>24000</v>
      </c>
      <c r="C17" s="3" t="s">
        <v>26</v>
      </c>
      <c r="D17" s="3" t="s">
        <v>3</v>
      </c>
      <c r="E17" s="4">
        <v>100</v>
      </c>
      <c r="F17" s="3" t="s">
        <v>27</v>
      </c>
      <c r="G17" s="3" t="s">
        <v>28</v>
      </c>
    </row>
    <row r="18" spans="2:7" outlineLevel="1" x14ac:dyDescent="0.3">
      <c r="B18" s="9">
        <v>21454</v>
      </c>
      <c r="C18" s="3" t="s">
        <v>6</v>
      </c>
      <c r="D18" s="3" t="s">
        <v>7</v>
      </c>
      <c r="E18" s="4">
        <v>16</v>
      </c>
      <c r="F18" s="3" t="s">
        <v>29</v>
      </c>
      <c r="G18" s="3" t="s">
        <v>5</v>
      </c>
    </row>
    <row r="19" spans="2:7" outlineLevel="1" x14ac:dyDescent="0.3">
      <c r="B19" s="9">
        <v>453740</v>
      </c>
      <c r="C19" s="3" t="s">
        <v>30</v>
      </c>
      <c r="D19" s="3" t="s">
        <v>3</v>
      </c>
      <c r="E19" s="4">
        <v>100</v>
      </c>
      <c r="F19" s="3" t="s">
        <v>31</v>
      </c>
      <c r="G19" s="3" t="s">
        <v>5</v>
      </c>
    </row>
    <row r="20" spans="2:7" outlineLevel="1" x14ac:dyDescent="0.3">
      <c r="B20" s="9">
        <v>280750</v>
      </c>
      <c r="C20" s="3" t="s">
        <v>32</v>
      </c>
      <c r="D20" s="3" t="s">
        <v>3</v>
      </c>
      <c r="E20" s="4">
        <v>100</v>
      </c>
      <c r="F20" s="3" t="s">
        <v>33</v>
      </c>
      <c r="G20" s="3" t="s">
        <v>34</v>
      </c>
    </row>
    <row r="21" spans="2:7" outlineLevel="1" x14ac:dyDescent="0.3">
      <c r="B21" s="9">
        <v>24000</v>
      </c>
      <c r="C21" s="3" t="s">
        <v>35</v>
      </c>
      <c r="D21" s="3" t="s">
        <v>3</v>
      </c>
      <c r="E21" s="4">
        <v>100</v>
      </c>
      <c r="F21" s="3" t="s">
        <v>36</v>
      </c>
      <c r="G21" s="3" t="s">
        <v>37</v>
      </c>
    </row>
    <row r="22" spans="2:7" outlineLevel="1" x14ac:dyDescent="0.3">
      <c r="B22" s="9">
        <v>28689</v>
      </c>
      <c r="C22" s="3" t="s">
        <v>38</v>
      </c>
      <c r="D22" s="3" t="s">
        <v>3</v>
      </c>
      <c r="E22" s="4">
        <v>100</v>
      </c>
      <c r="F22" s="3" t="s">
        <v>39</v>
      </c>
      <c r="G22" s="3" t="s">
        <v>5</v>
      </c>
    </row>
    <row r="23" spans="2:7" outlineLevel="1" x14ac:dyDescent="0.3">
      <c r="B23" s="9">
        <v>426082</v>
      </c>
      <c r="C23" s="3" t="s">
        <v>40</v>
      </c>
      <c r="D23" s="3" t="s">
        <v>3</v>
      </c>
      <c r="E23" s="4">
        <v>100</v>
      </c>
      <c r="F23" s="3" t="s">
        <v>41</v>
      </c>
      <c r="G23" s="3" t="s">
        <v>5</v>
      </c>
    </row>
    <row r="24" spans="2:7" outlineLevel="1" x14ac:dyDescent="0.3">
      <c r="B24" s="9">
        <v>50000</v>
      </c>
      <c r="C24" s="3" t="s">
        <v>42</v>
      </c>
      <c r="D24" s="3" t="s">
        <v>7</v>
      </c>
      <c r="E24" s="4">
        <v>25</v>
      </c>
      <c r="F24" s="3" t="s">
        <v>43</v>
      </c>
      <c r="G24" s="3" t="s">
        <v>44</v>
      </c>
    </row>
    <row r="25" spans="2:7" outlineLevel="1" x14ac:dyDescent="0.3">
      <c r="B25" s="9">
        <v>6598</v>
      </c>
      <c r="C25" s="3" t="s">
        <v>45</v>
      </c>
      <c r="D25" s="3" t="s">
        <v>7</v>
      </c>
      <c r="E25" s="4">
        <v>33</v>
      </c>
      <c r="F25" s="3" t="s">
        <v>46</v>
      </c>
      <c r="G25" s="3" t="s">
        <v>47</v>
      </c>
    </row>
    <row r="26" spans="2:7" outlineLevel="1" x14ac:dyDescent="0.3">
      <c r="B26" s="9">
        <v>84059</v>
      </c>
      <c r="C26" s="3" t="s">
        <v>48</v>
      </c>
      <c r="D26" s="3" t="s">
        <v>3</v>
      </c>
      <c r="E26" s="4">
        <v>100</v>
      </c>
      <c r="F26" s="3" t="s">
        <v>49</v>
      </c>
      <c r="G26" s="3" t="s">
        <v>5</v>
      </c>
    </row>
    <row r="27" spans="2:7" outlineLevel="1" x14ac:dyDescent="0.3">
      <c r="B27" s="9">
        <v>67080</v>
      </c>
      <c r="C27" s="3" t="s">
        <v>50</v>
      </c>
      <c r="D27" s="3" t="s">
        <v>3</v>
      </c>
      <c r="E27" s="4">
        <v>100</v>
      </c>
      <c r="F27" s="3" t="s">
        <v>51</v>
      </c>
      <c r="G27" s="3" t="s">
        <v>52</v>
      </c>
    </row>
    <row r="28" spans="2:7" outlineLevel="1" x14ac:dyDescent="0.3">
      <c r="B28" s="9">
        <v>18398</v>
      </c>
      <c r="C28" s="3" t="s">
        <v>53</v>
      </c>
      <c r="D28" s="3" t="s">
        <v>7</v>
      </c>
      <c r="E28" s="4">
        <v>15</v>
      </c>
      <c r="F28" s="3" t="s">
        <v>54</v>
      </c>
      <c r="G28" s="3" t="s">
        <v>55</v>
      </c>
    </row>
    <row r="29" spans="2:7" outlineLevel="1" x14ac:dyDescent="0.3">
      <c r="B29" s="9">
        <v>135430</v>
      </c>
      <c r="C29" s="3" t="s">
        <v>56</v>
      </c>
      <c r="D29" s="3" t="s">
        <v>3</v>
      </c>
      <c r="E29" s="4">
        <v>100</v>
      </c>
      <c r="F29" s="3" t="s">
        <v>57</v>
      </c>
      <c r="G29" s="3" t="s">
        <v>58</v>
      </c>
    </row>
    <row r="30" spans="2:7" outlineLevel="1" x14ac:dyDescent="0.3">
      <c r="B30" s="9">
        <v>72366</v>
      </c>
      <c r="C30" s="3" t="s">
        <v>59</v>
      </c>
      <c r="D30" s="3" t="s">
        <v>3</v>
      </c>
      <c r="E30" s="4">
        <v>100</v>
      </c>
      <c r="F30" s="3" t="s">
        <v>57</v>
      </c>
      <c r="G30" s="3" t="s">
        <v>58</v>
      </c>
    </row>
    <row r="31" spans="2:7" outlineLevel="1" x14ac:dyDescent="0.3">
      <c r="B31" s="9">
        <v>45914</v>
      </c>
      <c r="C31" s="3" t="s">
        <v>60</v>
      </c>
      <c r="D31" s="3" t="s">
        <v>3</v>
      </c>
      <c r="E31" s="4">
        <v>100</v>
      </c>
      <c r="F31" s="3" t="s">
        <v>61</v>
      </c>
      <c r="G31" s="3" t="s">
        <v>62</v>
      </c>
    </row>
    <row r="32" spans="2:7" outlineLevel="1" x14ac:dyDescent="0.3">
      <c r="B32" s="9">
        <v>1000038</v>
      </c>
      <c r="C32" s="3" t="s">
        <v>63</v>
      </c>
      <c r="D32" s="3" t="s">
        <v>3</v>
      </c>
      <c r="E32" s="4">
        <v>100</v>
      </c>
      <c r="F32" s="3" t="s">
        <v>64</v>
      </c>
      <c r="G32" s="3" t="s">
        <v>65</v>
      </c>
    </row>
    <row r="33" spans="1:7" outlineLevel="1" x14ac:dyDescent="0.3">
      <c r="B33" s="9">
        <v>249973</v>
      </c>
      <c r="C33" s="3" t="s">
        <v>66</v>
      </c>
      <c r="D33" s="3" t="s">
        <v>3</v>
      </c>
      <c r="E33" s="4">
        <v>100</v>
      </c>
      <c r="F33" s="3" t="s">
        <v>67</v>
      </c>
      <c r="G33" s="3" t="s">
        <v>5</v>
      </c>
    </row>
    <row r="34" spans="1:7" outlineLevel="1" x14ac:dyDescent="0.3">
      <c r="B34" s="9">
        <v>14400</v>
      </c>
      <c r="C34" s="3" t="s">
        <v>68</v>
      </c>
      <c r="D34" s="3" t="s">
        <v>3</v>
      </c>
      <c r="E34" s="4">
        <v>100</v>
      </c>
      <c r="F34" s="3" t="s">
        <v>69</v>
      </c>
      <c r="G34" s="3" t="s">
        <v>70</v>
      </c>
    </row>
    <row r="35" spans="1:7" outlineLevel="1" x14ac:dyDescent="0.3">
      <c r="B35" s="10">
        <f>SUM(B12:B34)</f>
        <v>4171541</v>
      </c>
      <c r="C35" s="11" t="s">
        <v>237</v>
      </c>
      <c r="D35" s="3"/>
      <c r="E35" s="4"/>
      <c r="F35" s="3"/>
      <c r="G35" s="3"/>
    </row>
    <row r="36" spans="1:7" outlineLevel="1" x14ac:dyDescent="0.3">
      <c r="B36" s="9"/>
      <c r="C36" s="3"/>
      <c r="D36" s="3"/>
      <c r="E36" s="4"/>
      <c r="F36" s="3"/>
      <c r="G36" s="3"/>
    </row>
    <row r="37" spans="1:7" x14ac:dyDescent="0.3">
      <c r="A37" s="6" t="s">
        <v>71</v>
      </c>
    </row>
    <row r="38" spans="1:7" outlineLevel="1" x14ac:dyDescent="0.3">
      <c r="B38" s="9">
        <v>70659</v>
      </c>
      <c r="C38" s="3" t="s">
        <v>72</v>
      </c>
      <c r="D38" s="3" t="s">
        <v>7</v>
      </c>
      <c r="E38" s="4">
        <v>15</v>
      </c>
      <c r="F38" s="3" t="s">
        <v>73</v>
      </c>
      <c r="G38" s="3" t="s">
        <v>5</v>
      </c>
    </row>
    <row r="39" spans="1:7" outlineLevel="1" x14ac:dyDescent="0.3">
      <c r="B39" s="9">
        <v>127293</v>
      </c>
      <c r="C39" s="3" t="s">
        <v>74</v>
      </c>
      <c r="D39" s="3" t="s">
        <v>7</v>
      </c>
      <c r="E39" s="4">
        <v>15</v>
      </c>
      <c r="F39" s="3" t="s">
        <v>73</v>
      </c>
      <c r="G39" s="3" t="s">
        <v>75</v>
      </c>
    </row>
    <row r="40" spans="1:7" outlineLevel="1" x14ac:dyDescent="0.3">
      <c r="B40" s="10">
        <f>SUM(B38:B39)</f>
        <v>197952</v>
      </c>
      <c r="C40" s="11" t="s">
        <v>237</v>
      </c>
      <c r="D40" s="3"/>
      <c r="E40" s="4"/>
      <c r="F40" s="3"/>
      <c r="G40" s="3"/>
    </row>
    <row r="41" spans="1:7" outlineLevel="1" x14ac:dyDescent="0.3">
      <c r="B41" s="9"/>
      <c r="C41" s="3"/>
      <c r="D41" s="3"/>
      <c r="E41" s="4"/>
      <c r="F41" s="3"/>
      <c r="G41" s="3"/>
    </row>
    <row r="42" spans="1:7" x14ac:dyDescent="0.3">
      <c r="A42" s="6" t="s">
        <v>76</v>
      </c>
    </row>
    <row r="43" spans="1:7" outlineLevel="1" x14ac:dyDescent="0.3">
      <c r="B43" s="9">
        <v>620176</v>
      </c>
      <c r="C43" s="3" t="s">
        <v>77</v>
      </c>
      <c r="D43" s="3" t="s">
        <v>3</v>
      </c>
      <c r="E43" s="4">
        <v>100</v>
      </c>
      <c r="F43" s="3" t="s">
        <v>78</v>
      </c>
      <c r="G43" s="3" t="s">
        <v>79</v>
      </c>
    </row>
    <row r="44" spans="1:7" outlineLevel="1" x14ac:dyDescent="0.3">
      <c r="B44" s="10">
        <f>SUM(B43)</f>
        <v>620176</v>
      </c>
      <c r="C44" s="11" t="s">
        <v>237</v>
      </c>
      <c r="D44" s="3"/>
      <c r="E44" s="4"/>
      <c r="F44" s="3"/>
      <c r="G44" s="3"/>
    </row>
    <row r="45" spans="1:7" outlineLevel="1" x14ac:dyDescent="0.3">
      <c r="B45" s="9"/>
      <c r="C45" s="3"/>
      <c r="D45" s="3"/>
      <c r="E45" s="4"/>
      <c r="F45" s="3"/>
      <c r="G45" s="3"/>
    </row>
    <row r="46" spans="1:7" x14ac:dyDescent="0.3">
      <c r="A46" s="6" t="s">
        <v>80</v>
      </c>
    </row>
    <row r="47" spans="1:7" outlineLevel="1" x14ac:dyDescent="0.3">
      <c r="B47" s="9">
        <v>25000</v>
      </c>
      <c r="C47" s="3" t="s">
        <v>81</v>
      </c>
      <c r="D47" s="3" t="s">
        <v>15</v>
      </c>
      <c r="E47" s="4">
        <v>25</v>
      </c>
      <c r="F47" s="3" t="s">
        <v>82</v>
      </c>
      <c r="G47" s="3" t="s">
        <v>5</v>
      </c>
    </row>
    <row r="48" spans="1:7" outlineLevel="1" x14ac:dyDescent="0.3">
      <c r="B48" s="9">
        <v>543035</v>
      </c>
      <c r="C48" s="3" t="s">
        <v>83</v>
      </c>
      <c r="D48" s="3" t="s">
        <v>3</v>
      </c>
      <c r="E48" s="4">
        <v>100</v>
      </c>
      <c r="F48" s="3" t="s">
        <v>84</v>
      </c>
      <c r="G48" s="3" t="s">
        <v>85</v>
      </c>
    </row>
    <row r="49" spans="1:7" outlineLevel="1" x14ac:dyDescent="0.3">
      <c r="B49" s="10">
        <f>SUM(B47:B48)</f>
        <v>568035</v>
      </c>
      <c r="C49" s="11" t="s">
        <v>237</v>
      </c>
      <c r="D49" s="3"/>
      <c r="E49" s="4"/>
      <c r="F49" s="3"/>
      <c r="G49" s="3"/>
    </row>
    <row r="50" spans="1:7" outlineLevel="1" x14ac:dyDescent="0.3">
      <c r="B50" s="9"/>
      <c r="C50" s="3"/>
      <c r="D50" s="3"/>
      <c r="E50" s="4"/>
      <c r="F50" s="3"/>
      <c r="G50" s="3"/>
    </row>
    <row r="51" spans="1:7" x14ac:dyDescent="0.3">
      <c r="A51" s="6" t="s">
        <v>86</v>
      </c>
    </row>
    <row r="52" spans="1:7" outlineLevel="1" x14ac:dyDescent="0.3">
      <c r="B52" s="9">
        <v>49500</v>
      </c>
      <c r="C52" s="3" t="s">
        <v>87</v>
      </c>
      <c r="D52" s="3" t="s">
        <v>15</v>
      </c>
      <c r="E52" s="4">
        <v>33</v>
      </c>
      <c r="F52" s="3" t="s">
        <v>88</v>
      </c>
      <c r="G52" s="3" t="s">
        <v>55</v>
      </c>
    </row>
    <row r="53" spans="1:7" outlineLevel="1" x14ac:dyDescent="0.3">
      <c r="B53" s="9">
        <v>104253</v>
      </c>
      <c r="C53" s="3" t="s">
        <v>53</v>
      </c>
      <c r="D53" s="3" t="s">
        <v>3</v>
      </c>
      <c r="E53" s="4">
        <v>85</v>
      </c>
      <c r="F53" s="3" t="s">
        <v>88</v>
      </c>
      <c r="G53" s="3" t="s">
        <v>55</v>
      </c>
    </row>
    <row r="54" spans="1:7" outlineLevel="1" x14ac:dyDescent="0.3">
      <c r="B54" s="9">
        <v>59952</v>
      </c>
      <c r="C54" s="3" t="s">
        <v>89</v>
      </c>
      <c r="D54" s="3" t="s">
        <v>3</v>
      </c>
      <c r="E54" s="4">
        <v>40</v>
      </c>
      <c r="F54" s="3" t="s">
        <v>88</v>
      </c>
      <c r="G54" s="3" t="s">
        <v>55</v>
      </c>
    </row>
    <row r="55" spans="1:7" outlineLevel="1" x14ac:dyDescent="0.3">
      <c r="B55" s="9">
        <v>24999</v>
      </c>
      <c r="C55" s="3" t="s">
        <v>90</v>
      </c>
      <c r="D55" s="3" t="s">
        <v>3</v>
      </c>
      <c r="E55" s="4">
        <v>100</v>
      </c>
      <c r="F55" s="3" t="s">
        <v>91</v>
      </c>
      <c r="G55" s="3" t="s">
        <v>92</v>
      </c>
    </row>
    <row r="56" spans="1:7" outlineLevel="1" x14ac:dyDescent="0.3">
      <c r="B56" s="9">
        <v>40000</v>
      </c>
      <c r="C56" s="3" t="s">
        <v>93</v>
      </c>
      <c r="D56" s="3" t="s">
        <v>3</v>
      </c>
      <c r="E56" s="4">
        <v>50</v>
      </c>
      <c r="F56" s="3" t="s">
        <v>91</v>
      </c>
      <c r="G56" s="3" t="s">
        <v>94</v>
      </c>
    </row>
    <row r="57" spans="1:7" outlineLevel="1" x14ac:dyDescent="0.3">
      <c r="B57" s="9">
        <v>498408</v>
      </c>
      <c r="C57" s="3" t="s">
        <v>95</v>
      </c>
      <c r="D57" s="3" t="s">
        <v>3</v>
      </c>
      <c r="E57" s="4">
        <v>100</v>
      </c>
      <c r="F57" s="3" t="s">
        <v>96</v>
      </c>
      <c r="G57" s="3" t="s">
        <v>5</v>
      </c>
    </row>
    <row r="58" spans="1:7" outlineLevel="1" x14ac:dyDescent="0.3">
      <c r="B58" s="9">
        <v>536920</v>
      </c>
      <c r="C58" s="3" t="s">
        <v>97</v>
      </c>
      <c r="D58" s="3" t="s">
        <v>3</v>
      </c>
      <c r="E58" s="4">
        <v>100</v>
      </c>
      <c r="F58" s="3" t="s">
        <v>98</v>
      </c>
      <c r="G58" s="3" t="s">
        <v>5</v>
      </c>
    </row>
    <row r="59" spans="1:7" outlineLevel="1" x14ac:dyDescent="0.3">
      <c r="B59" s="9">
        <v>613431</v>
      </c>
      <c r="C59" s="3" t="s">
        <v>99</v>
      </c>
      <c r="D59" s="3" t="s">
        <v>3</v>
      </c>
      <c r="E59" s="4">
        <v>100</v>
      </c>
      <c r="F59" s="3" t="s">
        <v>100</v>
      </c>
      <c r="G59" s="3" t="s">
        <v>5</v>
      </c>
    </row>
    <row r="60" spans="1:7" outlineLevel="1" x14ac:dyDescent="0.3">
      <c r="B60" s="9">
        <v>15000</v>
      </c>
      <c r="C60" s="3" t="s">
        <v>9</v>
      </c>
      <c r="D60" s="3" t="s">
        <v>7</v>
      </c>
      <c r="E60" s="4">
        <v>15</v>
      </c>
      <c r="F60" s="3" t="s">
        <v>101</v>
      </c>
      <c r="G60" s="3" t="s">
        <v>5</v>
      </c>
    </row>
    <row r="61" spans="1:7" outlineLevel="1" x14ac:dyDescent="0.3">
      <c r="B61" s="9">
        <v>451170</v>
      </c>
      <c r="C61" s="3" t="s">
        <v>102</v>
      </c>
      <c r="D61" s="3" t="s">
        <v>3</v>
      </c>
      <c r="E61" s="4">
        <v>100</v>
      </c>
      <c r="F61" s="3" t="s">
        <v>103</v>
      </c>
      <c r="G61" s="3" t="s">
        <v>5</v>
      </c>
    </row>
    <row r="62" spans="1:7" outlineLevel="1" x14ac:dyDescent="0.3">
      <c r="B62" s="9">
        <v>15000</v>
      </c>
      <c r="C62" s="3" t="s">
        <v>9</v>
      </c>
      <c r="D62" s="3" t="s">
        <v>7</v>
      </c>
      <c r="E62" s="4">
        <v>15</v>
      </c>
      <c r="F62" s="3" t="s">
        <v>104</v>
      </c>
      <c r="G62" s="3" t="s">
        <v>5</v>
      </c>
    </row>
    <row r="63" spans="1:7" outlineLevel="1" x14ac:dyDescent="0.3">
      <c r="B63" s="9">
        <v>237647</v>
      </c>
      <c r="C63" s="3" t="s">
        <v>105</v>
      </c>
      <c r="D63" s="3" t="s">
        <v>3</v>
      </c>
      <c r="E63" s="4">
        <v>25</v>
      </c>
      <c r="F63" s="3" t="s">
        <v>106</v>
      </c>
      <c r="G63" s="3" t="s">
        <v>5</v>
      </c>
    </row>
    <row r="64" spans="1:7" outlineLevel="1" x14ac:dyDescent="0.3">
      <c r="B64" s="9">
        <v>499130</v>
      </c>
      <c r="C64" s="3" t="s">
        <v>107</v>
      </c>
      <c r="D64" s="3" t="s">
        <v>3</v>
      </c>
      <c r="E64" s="4">
        <v>100</v>
      </c>
      <c r="F64" s="3" t="s">
        <v>108</v>
      </c>
      <c r="G64" s="3" t="s">
        <v>5</v>
      </c>
    </row>
    <row r="65" spans="2:7" outlineLevel="1" x14ac:dyDescent="0.3">
      <c r="B65" s="9">
        <v>40000</v>
      </c>
      <c r="C65" s="3" t="s">
        <v>93</v>
      </c>
      <c r="D65" s="3" t="s">
        <v>7</v>
      </c>
      <c r="E65" s="4">
        <v>50</v>
      </c>
      <c r="F65" s="3" t="s">
        <v>109</v>
      </c>
      <c r="G65" s="3" t="s">
        <v>94</v>
      </c>
    </row>
    <row r="66" spans="2:7" outlineLevel="1" x14ac:dyDescent="0.3">
      <c r="B66" s="9">
        <v>237647</v>
      </c>
      <c r="C66" s="3" t="s">
        <v>105</v>
      </c>
      <c r="D66" s="3" t="s">
        <v>7</v>
      </c>
      <c r="E66" s="4">
        <v>25</v>
      </c>
      <c r="F66" s="3" t="s">
        <v>110</v>
      </c>
      <c r="G66" s="3" t="s">
        <v>5</v>
      </c>
    </row>
    <row r="67" spans="2:7" outlineLevel="1" x14ac:dyDescent="0.3">
      <c r="B67" s="9">
        <v>15000</v>
      </c>
      <c r="C67" s="3" t="s">
        <v>9</v>
      </c>
      <c r="D67" s="3" t="s">
        <v>7</v>
      </c>
      <c r="E67" s="4">
        <v>15</v>
      </c>
      <c r="F67" s="3" t="s">
        <v>111</v>
      </c>
      <c r="G67" s="3" t="s">
        <v>5</v>
      </c>
    </row>
    <row r="68" spans="2:7" outlineLevel="1" x14ac:dyDescent="0.3">
      <c r="B68" s="9">
        <v>49500</v>
      </c>
      <c r="C68" s="3" t="s">
        <v>87</v>
      </c>
      <c r="D68" s="3" t="s">
        <v>15</v>
      </c>
      <c r="E68" s="4">
        <v>33</v>
      </c>
      <c r="F68" s="3" t="s">
        <v>112</v>
      </c>
      <c r="G68" s="3" t="s">
        <v>55</v>
      </c>
    </row>
    <row r="69" spans="2:7" outlineLevel="1" x14ac:dyDescent="0.3">
      <c r="B69" s="9">
        <v>60601</v>
      </c>
      <c r="C69" s="3" t="s">
        <v>113</v>
      </c>
      <c r="D69" s="3" t="s">
        <v>3</v>
      </c>
      <c r="E69" s="4">
        <v>50</v>
      </c>
      <c r="F69" s="3" t="s">
        <v>112</v>
      </c>
      <c r="G69" s="3" t="s">
        <v>55</v>
      </c>
    </row>
    <row r="70" spans="2:7" outlineLevel="1" x14ac:dyDescent="0.3">
      <c r="B70" s="9">
        <v>44964</v>
      </c>
      <c r="C70" s="3" t="s">
        <v>89</v>
      </c>
      <c r="D70" s="3" t="s">
        <v>15</v>
      </c>
      <c r="E70" s="4">
        <v>30</v>
      </c>
      <c r="F70" s="3" t="s">
        <v>112</v>
      </c>
      <c r="G70" s="3" t="s">
        <v>55</v>
      </c>
    </row>
    <row r="71" spans="2:7" outlineLevel="1" x14ac:dyDescent="0.3">
      <c r="B71" s="9">
        <v>463434</v>
      </c>
      <c r="C71" s="3" t="s">
        <v>114</v>
      </c>
      <c r="D71" s="3" t="s">
        <v>3</v>
      </c>
      <c r="E71" s="4">
        <v>100</v>
      </c>
      <c r="F71" s="3" t="s">
        <v>115</v>
      </c>
      <c r="G71" s="3" t="s">
        <v>5</v>
      </c>
    </row>
    <row r="72" spans="2:7" outlineLevel="1" x14ac:dyDescent="0.3">
      <c r="B72" s="9">
        <v>40000</v>
      </c>
      <c r="C72" s="3" t="s">
        <v>9</v>
      </c>
      <c r="D72" s="3" t="s">
        <v>3</v>
      </c>
      <c r="E72" s="4">
        <v>40</v>
      </c>
      <c r="F72" s="3" t="s">
        <v>116</v>
      </c>
      <c r="G72" s="3" t="s">
        <v>5</v>
      </c>
    </row>
    <row r="73" spans="2:7" outlineLevel="1" x14ac:dyDescent="0.3">
      <c r="B73" s="9">
        <v>50432</v>
      </c>
      <c r="C73" s="3" t="s">
        <v>117</v>
      </c>
      <c r="D73" s="3" t="s">
        <v>15</v>
      </c>
      <c r="E73" s="4">
        <v>50</v>
      </c>
      <c r="F73" s="3" t="s">
        <v>118</v>
      </c>
      <c r="G73" s="3" t="s">
        <v>55</v>
      </c>
    </row>
    <row r="74" spans="2:7" outlineLevel="1" x14ac:dyDescent="0.3">
      <c r="B74" s="9">
        <v>0</v>
      </c>
      <c r="C74" s="3" t="s">
        <v>119</v>
      </c>
      <c r="D74" s="3" t="s">
        <v>15</v>
      </c>
      <c r="E74" s="4">
        <v>56</v>
      </c>
      <c r="F74" s="3" t="s">
        <v>118</v>
      </c>
      <c r="G74" s="3" t="s">
        <v>120</v>
      </c>
    </row>
    <row r="75" spans="2:7" outlineLevel="1" x14ac:dyDescent="0.3">
      <c r="B75" s="9">
        <v>0</v>
      </c>
      <c r="C75" s="3" t="s">
        <v>121</v>
      </c>
      <c r="D75" s="3" t="s">
        <v>7</v>
      </c>
      <c r="E75" s="4">
        <v>0</v>
      </c>
      <c r="F75" s="3" t="s">
        <v>122</v>
      </c>
      <c r="G75" s="3" t="s">
        <v>55</v>
      </c>
    </row>
    <row r="76" spans="2:7" outlineLevel="1" x14ac:dyDescent="0.3">
      <c r="B76" s="9">
        <v>24900</v>
      </c>
      <c r="C76" s="3" t="s">
        <v>123</v>
      </c>
      <c r="D76" s="3" t="s">
        <v>15</v>
      </c>
      <c r="E76" s="4">
        <v>10</v>
      </c>
      <c r="F76" s="3" t="s">
        <v>124</v>
      </c>
      <c r="G76" s="3" t="s">
        <v>55</v>
      </c>
    </row>
    <row r="77" spans="2:7" outlineLevel="1" x14ac:dyDescent="0.3">
      <c r="B77" s="9">
        <v>489587</v>
      </c>
      <c r="C77" s="3" t="s">
        <v>125</v>
      </c>
      <c r="D77" s="3" t="s">
        <v>3</v>
      </c>
      <c r="E77" s="4">
        <v>100</v>
      </c>
      <c r="F77" s="3" t="s">
        <v>126</v>
      </c>
      <c r="G77" s="3" t="s">
        <v>5</v>
      </c>
    </row>
    <row r="78" spans="2:7" outlineLevel="1" x14ac:dyDescent="0.3">
      <c r="B78" s="9">
        <v>117178</v>
      </c>
      <c r="C78" s="3" t="s">
        <v>14</v>
      </c>
      <c r="D78" s="3" t="s">
        <v>3</v>
      </c>
      <c r="E78" s="4">
        <v>50</v>
      </c>
      <c r="F78" s="3" t="s">
        <v>127</v>
      </c>
      <c r="G78" s="3" t="s">
        <v>17</v>
      </c>
    </row>
    <row r="79" spans="2:7" outlineLevel="1" x14ac:dyDescent="0.3">
      <c r="B79" s="9">
        <v>237647</v>
      </c>
      <c r="C79" s="3" t="s">
        <v>105</v>
      </c>
      <c r="D79" s="3" t="s">
        <v>7</v>
      </c>
      <c r="E79" s="4">
        <v>25</v>
      </c>
      <c r="F79" s="3" t="s">
        <v>128</v>
      </c>
      <c r="G79" s="3" t="s">
        <v>5</v>
      </c>
    </row>
    <row r="80" spans="2:7" outlineLevel="1" x14ac:dyDescent="0.3">
      <c r="B80" s="9">
        <v>906000</v>
      </c>
      <c r="C80" s="3" t="s">
        <v>129</v>
      </c>
      <c r="D80" s="3" t="s">
        <v>3</v>
      </c>
      <c r="E80" s="4">
        <v>100</v>
      </c>
      <c r="F80" s="3" t="s">
        <v>130</v>
      </c>
      <c r="G80" s="3" t="s">
        <v>131</v>
      </c>
    </row>
    <row r="81" spans="2:7" outlineLevel="1" x14ac:dyDescent="0.3">
      <c r="B81" s="9">
        <v>50432</v>
      </c>
      <c r="C81" s="3" t="s">
        <v>117</v>
      </c>
      <c r="D81" s="3" t="s">
        <v>3</v>
      </c>
      <c r="E81" s="4">
        <v>50</v>
      </c>
      <c r="F81" s="3" t="s">
        <v>130</v>
      </c>
      <c r="G81" s="3" t="s">
        <v>55</v>
      </c>
    </row>
    <row r="82" spans="2:7" outlineLevel="1" x14ac:dyDescent="0.3">
      <c r="B82" s="9">
        <v>172281</v>
      </c>
      <c r="C82" s="3" t="s">
        <v>132</v>
      </c>
      <c r="D82" s="3" t="s">
        <v>3</v>
      </c>
      <c r="E82" s="4">
        <v>100</v>
      </c>
      <c r="F82" s="3" t="s">
        <v>130</v>
      </c>
      <c r="G82" s="3" t="s">
        <v>55</v>
      </c>
    </row>
    <row r="83" spans="2:7" outlineLevel="1" x14ac:dyDescent="0.3">
      <c r="B83" s="9">
        <v>0</v>
      </c>
      <c r="C83" s="3" t="s">
        <v>123</v>
      </c>
      <c r="D83" s="3" t="s">
        <v>3</v>
      </c>
      <c r="E83" s="4">
        <v>0</v>
      </c>
      <c r="F83" s="3" t="s">
        <v>130</v>
      </c>
      <c r="G83" s="3" t="s">
        <v>55</v>
      </c>
    </row>
    <row r="84" spans="2:7" outlineLevel="1" x14ac:dyDescent="0.3">
      <c r="B84" s="9">
        <v>51000</v>
      </c>
      <c r="C84" s="3" t="s">
        <v>87</v>
      </c>
      <c r="D84" s="3" t="s">
        <v>3</v>
      </c>
      <c r="E84" s="4">
        <v>34</v>
      </c>
      <c r="F84" s="3" t="s">
        <v>130</v>
      </c>
      <c r="G84" s="3" t="s">
        <v>55</v>
      </c>
    </row>
    <row r="85" spans="2:7" outlineLevel="1" x14ac:dyDescent="0.3">
      <c r="B85" s="9">
        <v>60601</v>
      </c>
      <c r="C85" s="3" t="s">
        <v>113</v>
      </c>
      <c r="D85" s="3" t="s">
        <v>15</v>
      </c>
      <c r="E85" s="4">
        <v>50</v>
      </c>
      <c r="F85" s="3" t="s">
        <v>130</v>
      </c>
      <c r="G85" s="3" t="s">
        <v>55</v>
      </c>
    </row>
    <row r="86" spans="2:7" outlineLevel="1" x14ac:dyDescent="0.3">
      <c r="B86" s="9">
        <v>0</v>
      </c>
      <c r="C86" s="3" t="s">
        <v>133</v>
      </c>
      <c r="D86" s="3" t="s">
        <v>3</v>
      </c>
      <c r="E86" s="4">
        <v>0</v>
      </c>
      <c r="F86" s="3" t="s">
        <v>130</v>
      </c>
      <c r="G86" s="3" t="s">
        <v>94</v>
      </c>
    </row>
    <row r="87" spans="2:7" outlineLevel="1" x14ac:dyDescent="0.3">
      <c r="B87" s="9">
        <v>44964</v>
      </c>
      <c r="C87" s="3" t="s">
        <v>89</v>
      </c>
      <c r="D87" s="3" t="s">
        <v>15</v>
      </c>
      <c r="E87" s="4">
        <v>30</v>
      </c>
      <c r="F87" s="3" t="s">
        <v>130</v>
      </c>
      <c r="G87" s="3" t="s">
        <v>55</v>
      </c>
    </row>
    <row r="88" spans="2:7" outlineLevel="1" x14ac:dyDescent="0.3">
      <c r="B88" s="9">
        <v>224100</v>
      </c>
      <c r="C88" s="3" t="s">
        <v>123</v>
      </c>
      <c r="D88" s="3" t="s">
        <v>15</v>
      </c>
      <c r="E88" s="4">
        <v>90</v>
      </c>
      <c r="F88" s="3" t="s">
        <v>134</v>
      </c>
      <c r="G88" s="3" t="s">
        <v>55</v>
      </c>
    </row>
    <row r="89" spans="2:7" outlineLevel="1" x14ac:dyDescent="0.3">
      <c r="B89" s="9">
        <v>80013</v>
      </c>
      <c r="C89" s="3" t="s">
        <v>133</v>
      </c>
      <c r="D89" s="3" t="s">
        <v>15</v>
      </c>
      <c r="E89" s="4">
        <v>100</v>
      </c>
      <c r="F89" s="3" t="s">
        <v>134</v>
      </c>
      <c r="G89" s="3" t="s">
        <v>94</v>
      </c>
    </row>
    <row r="90" spans="2:7" outlineLevel="1" x14ac:dyDescent="0.3">
      <c r="B90" s="9">
        <v>596669</v>
      </c>
      <c r="C90" s="3" t="s">
        <v>135</v>
      </c>
      <c r="D90" s="3" t="s">
        <v>3</v>
      </c>
      <c r="E90" s="4">
        <v>100</v>
      </c>
      <c r="F90" s="3" t="s">
        <v>136</v>
      </c>
      <c r="G90" s="3" t="s">
        <v>5</v>
      </c>
    </row>
    <row r="91" spans="2:7" outlineLevel="1" x14ac:dyDescent="0.3">
      <c r="B91" s="9">
        <v>21593</v>
      </c>
      <c r="C91" s="3" t="s">
        <v>137</v>
      </c>
      <c r="D91" s="3" t="s">
        <v>3</v>
      </c>
      <c r="E91" s="4">
        <v>100</v>
      </c>
      <c r="F91" s="3" t="s">
        <v>138</v>
      </c>
      <c r="G91" s="3" t="s">
        <v>139</v>
      </c>
    </row>
    <row r="92" spans="2:7" outlineLevel="1" x14ac:dyDescent="0.3">
      <c r="B92" s="9">
        <v>50000</v>
      </c>
      <c r="C92" s="3" t="s">
        <v>81</v>
      </c>
      <c r="D92" s="3" t="s">
        <v>3</v>
      </c>
      <c r="E92" s="4">
        <v>50</v>
      </c>
      <c r="F92" s="3" t="s">
        <v>138</v>
      </c>
      <c r="G92" s="3" t="s">
        <v>5</v>
      </c>
    </row>
    <row r="93" spans="2:7" outlineLevel="1" x14ac:dyDescent="0.3">
      <c r="B93" s="9">
        <v>252000</v>
      </c>
      <c r="C93" s="3" t="s">
        <v>140</v>
      </c>
      <c r="D93" s="3" t="s">
        <v>3</v>
      </c>
      <c r="E93" s="4">
        <v>70</v>
      </c>
      <c r="F93" s="3" t="s">
        <v>141</v>
      </c>
      <c r="G93" s="3" t="s">
        <v>28</v>
      </c>
    </row>
    <row r="94" spans="2:7" outlineLevel="1" x14ac:dyDescent="0.3">
      <c r="B94" s="9">
        <v>49403</v>
      </c>
      <c r="C94" s="3" t="s">
        <v>142</v>
      </c>
      <c r="D94" s="3" t="s">
        <v>3</v>
      </c>
      <c r="E94" s="4">
        <v>100</v>
      </c>
      <c r="F94" s="3" t="s">
        <v>143</v>
      </c>
      <c r="G94" s="3" t="s">
        <v>144</v>
      </c>
    </row>
    <row r="95" spans="2:7" outlineLevel="1" x14ac:dyDescent="0.3">
      <c r="B95" s="9">
        <v>34500</v>
      </c>
      <c r="C95" s="3" t="s">
        <v>145</v>
      </c>
      <c r="D95" s="3" t="s">
        <v>3</v>
      </c>
      <c r="E95" s="4">
        <v>100</v>
      </c>
      <c r="F95" s="3" t="s">
        <v>146</v>
      </c>
      <c r="G95" s="3" t="s">
        <v>147</v>
      </c>
    </row>
    <row r="96" spans="2:7" outlineLevel="1" x14ac:dyDescent="0.3">
      <c r="B96" s="9">
        <v>98261</v>
      </c>
      <c r="C96" s="3" t="s">
        <v>148</v>
      </c>
      <c r="D96" s="3" t="s">
        <v>3</v>
      </c>
      <c r="E96" s="4">
        <v>100</v>
      </c>
      <c r="F96" s="3" t="s">
        <v>149</v>
      </c>
      <c r="G96" s="3" t="s">
        <v>55</v>
      </c>
    </row>
    <row r="97" spans="1:7" outlineLevel="1" x14ac:dyDescent="0.3">
      <c r="B97" s="9">
        <v>10000</v>
      </c>
      <c r="C97" s="3" t="s">
        <v>150</v>
      </c>
      <c r="D97" s="3" t="s">
        <v>3</v>
      </c>
      <c r="E97" s="4">
        <v>100</v>
      </c>
      <c r="F97" s="3" t="s">
        <v>151</v>
      </c>
      <c r="G97" s="3" t="s">
        <v>152</v>
      </c>
    </row>
    <row r="98" spans="1:7" outlineLevel="1" x14ac:dyDescent="0.3">
      <c r="B98" s="9">
        <v>120862</v>
      </c>
      <c r="C98" s="3" t="s">
        <v>153</v>
      </c>
      <c r="D98" s="3" t="s">
        <v>3</v>
      </c>
      <c r="E98" s="4">
        <v>100</v>
      </c>
      <c r="F98" s="3" t="s">
        <v>151</v>
      </c>
      <c r="G98" s="3" t="s">
        <v>154</v>
      </c>
    </row>
    <row r="99" spans="1:7" outlineLevel="1" x14ac:dyDescent="0.3">
      <c r="B99" s="9">
        <v>27160</v>
      </c>
      <c r="C99" s="3" t="s">
        <v>121</v>
      </c>
      <c r="D99" s="3" t="s">
        <v>3</v>
      </c>
      <c r="E99" s="4">
        <v>50</v>
      </c>
      <c r="F99" s="3" t="s">
        <v>151</v>
      </c>
      <c r="G99" s="3" t="s">
        <v>55</v>
      </c>
    </row>
    <row r="100" spans="1:7" outlineLevel="1" x14ac:dyDescent="0.3">
      <c r="B100" s="9">
        <v>117178</v>
      </c>
      <c r="C100" s="3" t="s">
        <v>14</v>
      </c>
      <c r="D100" s="3" t="s">
        <v>15</v>
      </c>
      <c r="E100" s="4">
        <v>50</v>
      </c>
      <c r="F100" s="3" t="s">
        <v>155</v>
      </c>
      <c r="G100" s="3" t="s">
        <v>17</v>
      </c>
    </row>
    <row r="101" spans="1:7" outlineLevel="1" x14ac:dyDescent="0.3">
      <c r="B101" s="9">
        <v>581354</v>
      </c>
      <c r="C101" s="3" t="s">
        <v>156</v>
      </c>
      <c r="D101" s="3" t="s">
        <v>3</v>
      </c>
      <c r="E101" s="4">
        <v>100</v>
      </c>
      <c r="F101" s="3" t="s">
        <v>157</v>
      </c>
      <c r="G101" s="3" t="s">
        <v>158</v>
      </c>
    </row>
    <row r="102" spans="1:7" outlineLevel="1" x14ac:dyDescent="0.3">
      <c r="B102" s="9">
        <v>237647</v>
      </c>
      <c r="C102" s="3" t="s">
        <v>105</v>
      </c>
      <c r="D102" s="3" t="s">
        <v>7</v>
      </c>
      <c r="E102" s="4">
        <v>25</v>
      </c>
      <c r="F102" s="3" t="s">
        <v>159</v>
      </c>
      <c r="G102" s="3" t="s">
        <v>5</v>
      </c>
    </row>
    <row r="103" spans="1:7" outlineLevel="1" x14ac:dyDescent="0.3">
      <c r="B103" s="9">
        <v>12244</v>
      </c>
      <c r="C103" s="3" t="s">
        <v>160</v>
      </c>
      <c r="D103" s="3" t="s">
        <v>3</v>
      </c>
      <c r="E103" s="4">
        <v>100</v>
      </c>
      <c r="F103" s="3" t="s">
        <v>161</v>
      </c>
      <c r="G103" s="3" t="s">
        <v>162</v>
      </c>
    </row>
    <row r="104" spans="1:7" outlineLevel="1" x14ac:dyDescent="0.3">
      <c r="B104" s="9">
        <v>3000</v>
      </c>
      <c r="C104" s="3" t="s">
        <v>163</v>
      </c>
      <c r="D104" s="3" t="s">
        <v>3</v>
      </c>
      <c r="E104" s="4">
        <v>100</v>
      </c>
      <c r="F104" s="3" t="s">
        <v>161</v>
      </c>
      <c r="G104" s="3" t="s">
        <v>162</v>
      </c>
    </row>
    <row r="105" spans="1:7" outlineLevel="1" x14ac:dyDescent="0.3">
      <c r="B105" s="9">
        <v>413755</v>
      </c>
      <c r="C105" s="3" t="s">
        <v>164</v>
      </c>
      <c r="D105" s="3" t="s">
        <v>3</v>
      </c>
      <c r="E105" s="4">
        <v>100</v>
      </c>
      <c r="F105" s="3" t="s">
        <v>165</v>
      </c>
      <c r="G105" s="3" t="s">
        <v>5</v>
      </c>
    </row>
    <row r="106" spans="1:7" outlineLevel="1" x14ac:dyDescent="0.3">
      <c r="B106" s="9">
        <v>27160</v>
      </c>
      <c r="C106" s="3" t="s">
        <v>121</v>
      </c>
      <c r="D106" s="3" t="s">
        <v>7</v>
      </c>
      <c r="E106" s="4">
        <v>50</v>
      </c>
      <c r="F106" s="3" t="s">
        <v>166</v>
      </c>
      <c r="G106" s="3" t="s">
        <v>55</v>
      </c>
    </row>
    <row r="107" spans="1:7" outlineLevel="1" x14ac:dyDescent="0.3">
      <c r="B107" s="10">
        <f>SUM(B52:B106)</f>
        <v>9258477</v>
      </c>
      <c r="C107" s="11" t="s">
        <v>237</v>
      </c>
      <c r="D107" s="3"/>
      <c r="E107" s="4"/>
      <c r="F107" s="3"/>
      <c r="G107" s="3"/>
    </row>
    <row r="108" spans="1:7" outlineLevel="1" x14ac:dyDescent="0.3">
      <c r="B108" s="9"/>
      <c r="C108" s="3"/>
      <c r="D108" s="3"/>
      <c r="E108" s="4"/>
      <c r="F108" s="3"/>
      <c r="G108" s="3"/>
    </row>
    <row r="109" spans="1:7" x14ac:dyDescent="0.3">
      <c r="A109" s="6" t="s">
        <v>167</v>
      </c>
    </row>
    <row r="110" spans="1:7" outlineLevel="1" x14ac:dyDescent="0.3">
      <c r="B110" s="9">
        <v>21454</v>
      </c>
      <c r="C110" s="3" t="s">
        <v>6</v>
      </c>
      <c r="D110" s="3" t="s">
        <v>7</v>
      </c>
      <c r="E110" s="4">
        <v>16</v>
      </c>
      <c r="F110" s="3" t="s">
        <v>168</v>
      </c>
      <c r="G110" s="3" t="s">
        <v>5</v>
      </c>
    </row>
    <row r="111" spans="1:7" outlineLevel="1" x14ac:dyDescent="0.3">
      <c r="B111" s="9">
        <v>21454</v>
      </c>
      <c r="C111" s="3" t="s">
        <v>6</v>
      </c>
      <c r="D111" s="3" t="s">
        <v>7</v>
      </c>
      <c r="E111" s="4">
        <v>16</v>
      </c>
      <c r="F111" s="3" t="s">
        <v>169</v>
      </c>
      <c r="G111" s="3" t="s">
        <v>5</v>
      </c>
    </row>
    <row r="112" spans="1:7" outlineLevel="1" x14ac:dyDescent="0.3">
      <c r="B112" s="9">
        <v>49972</v>
      </c>
      <c r="C112" s="3" t="s">
        <v>170</v>
      </c>
      <c r="D112" s="3" t="s">
        <v>3</v>
      </c>
      <c r="E112" s="4">
        <v>100</v>
      </c>
      <c r="F112" s="3" t="s">
        <v>171</v>
      </c>
      <c r="G112" s="3" t="s">
        <v>172</v>
      </c>
    </row>
    <row r="113" spans="1:7" outlineLevel="1" x14ac:dyDescent="0.3">
      <c r="B113" s="9">
        <v>26818</v>
      </c>
      <c r="C113" s="3" t="s">
        <v>6</v>
      </c>
      <c r="D113" s="3" t="s">
        <v>3</v>
      </c>
      <c r="E113" s="4">
        <v>20</v>
      </c>
      <c r="F113" s="3" t="s">
        <v>173</v>
      </c>
      <c r="G113" s="3" t="s">
        <v>5</v>
      </c>
    </row>
    <row r="114" spans="1:7" outlineLevel="1" x14ac:dyDescent="0.3">
      <c r="B114" s="10">
        <f>SUM(B110:B113)</f>
        <v>119698</v>
      </c>
      <c r="C114" s="11" t="s">
        <v>237</v>
      </c>
      <c r="D114" s="3"/>
      <c r="E114" s="4"/>
      <c r="F114" s="3"/>
      <c r="G114" s="3"/>
    </row>
    <row r="115" spans="1:7" outlineLevel="1" x14ac:dyDescent="0.3">
      <c r="B115" s="9"/>
      <c r="C115" s="3"/>
      <c r="D115" s="3"/>
      <c r="E115" s="4"/>
      <c r="F115" s="3"/>
      <c r="G115" s="3"/>
    </row>
    <row r="116" spans="1:7" x14ac:dyDescent="0.3">
      <c r="A116" s="6" t="s">
        <v>174</v>
      </c>
    </row>
    <row r="117" spans="1:7" outlineLevel="1" x14ac:dyDescent="0.3">
      <c r="B117" s="9">
        <v>4000</v>
      </c>
      <c r="C117" s="3" t="s">
        <v>175</v>
      </c>
      <c r="D117" s="3" t="s">
        <v>3</v>
      </c>
      <c r="E117" s="4">
        <v>100</v>
      </c>
      <c r="F117" s="3" t="s">
        <v>176</v>
      </c>
      <c r="G117" s="3" t="s">
        <v>177</v>
      </c>
    </row>
    <row r="118" spans="1:7" outlineLevel="1" x14ac:dyDescent="0.3">
      <c r="B118" s="9">
        <v>487917</v>
      </c>
      <c r="C118" s="3" t="s">
        <v>178</v>
      </c>
      <c r="D118" s="3" t="s">
        <v>3</v>
      </c>
      <c r="E118" s="4">
        <v>100</v>
      </c>
      <c r="F118" s="3" t="s">
        <v>179</v>
      </c>
      <c r="G118" s="3" t="s">
        <v>180</v>
      </c>
    </row>
    <row r="119" spans="1:7" outlineLevel="1" x14ac:dyDescent="0.3">
      <c r="B119" s="9">
        <v>200000</v>
      </c>
      <c r="C119" s="3" t="s">
        <v>181</v>
      </c>
      <c r="D119" s="3" t="s">
        <v>3</v>
      </c>
      <c r="E119" s="4">
        <v>100</v>
      </c>
      <c r="F119" s="3" t="s">
        <v>182</v>
      </c>
      <c r="G119" s="3" t="s">
        <v>183</v>
      </c>
    </row>
    <row r="120" spans="1:7" outlineLevel="1" x14ac:dyDescent="0.3">
      <c r="B120" s="9">
        <v>2000000</v>
      </c>
      <c r="C120" s="3" t="s">
        <v>184</v>
      </c>
      <c r="D120" s="3" t="s">
        <v>3</v>
      </c>
      <c r="E120" s="4">
        <v>100</v>
      </c>
      <c r="F120" s="3" t="s">
        <v>185</v>
      </c>
      <c r="G120" s="3" t="s">
        <v>17</v>
      </c>
    </row>
    <row r="121" spans="1:7" outlineLevel="1" x14ac:dyDescent="0.3">
      <c r="B121" s="9">
        <v>0</v>
      </c>
      <c r="C121" s="3" t="s">
        <v>184</v>
      </c>
      <c r="D121" s="3" t="s">
        <v>7</v>
      </c>
      <c r="E121" s="4">
        <v>0</v>
      </c>
      <c r="F121" s="3" t="s">
        <v>186</v>
      </c>
      <c r="G121" s="3" t="s">
        <v>17</v>
      </c>
    </row>
    <row r="122" spans="1:7" outlineLevel="1" x14ac:dyDescent="0.3">
      <c r="B122" s="9">
        <v>277066</v>
      </c>
      <c r="C122" s="3" t="s">
        <v>187</v>
      </c>
      <c r="D122" s="3" t="s">
        <v>3</v>
      </c>
      <c r="E122" s="4">
        <v>100</v>
      </c>
      <c r="F122" s="3" t="s">
        <v>188</v>
      </c>
      <c r="G122" s="3" t="s">
        <v>189</v>
      </c>
    </row>
    <row r="123" spans="1:7" outlineLevel="1" x14ac:dyDescent="0.3">
      <c r="B123" s="9">
        <v>30839</v>
      </c>
      <c r="C123" s="3" t="s">
        <v>190</v>
      </c>
      <c r="D123" s="3" t="s">
        <v>3</v>
      </c>
      <c r="E123" s="4">
        <v>100</v>
      </c>
      <c r="F123" s="3" t="s">
        <v>191</v>
      </c>
      <c r="G123" s="3" t="s">
        <v>192</v>
      </c>
    </row>
    <row r="124" spans="1:7" outlineLevel="1" x14ac:dyDescent="0.3">
      <c r="B124" s="9">
        <v>625000</v>
      </c>
      <c r="C124" s="3" t="s">
        <v>193</v>
      </c>
      <c r="D124" s="3" t="s">
        <v>3</v>
      </c>
      <c r="E124" s="4">
        <v>100</v>
      </c>
      <c r="F124" s="3" t="s">
        <v>194</v>
      </c>
      <c r="G124" s="3" t="s">
        <v>75</v>
      </c>
    </row>
    <row r="125" spans="1:7" outlineLevel="1" x14ac:dyDescent="0.3">
      <c r="B125" s="10">
        <f>SUM(B117:B124)</f>
        <v>3624822</v>
      </c>
      <c r="C125" s="11" t="s">
        <v>237</v>
      </c>
      <c r="D125" s="3"/>
      <c r="E125" s="4"/>
      <c r="F125" s="3"/>
      <c r="G125" s="3"/>
    </row>
    <row r="126" spans="1:7" outlineLevel="1" x14ac:dyDescent="0.3">
      <c r="B126" s="9"/>
      <c r="C126" s="3"/>
      <c r="D126" s="3"/>
      <c r="E126" s="4"/>
      <c r="F126" s="3"/>
      <c r="G126" s="3"/>
    </row>
    <row r="127" spans="1:7" x14ac:dyDescent="0.3">
      <c r="A127" s="6" t="s">
        <v>195</v>
      </c>
    </row>
    <row r="128" spans="1:7" outlineLevel="1" x14ac:dyDescent="0.3">
      <c r="B128" s="9">
        <v>100000</v>
      </c>
      <c r="C128" s="3" t="s">
        <v>42</v>
      </c>
      <c r="D128" s="3" t="s">
        <v>7</v>
      </c>
      <c r="E128" s="4">
        <v>50</v>
      </c>
      <c r="F128" s="3" t="s">
        <v>196</v>
      </c>
      <c r="G128" s="3" t="s">
        <v>44</v>
      </c>
    </row>
    <row r="129" spans="1:7" outlineLevel="1" x14ac:dyDescent="0.3">
      <c r="B129" s="9">
        <v>108000</v>
      </c>
      <c r="C129" s="3" t="s">
        <v>140</v>
      </c>
      <c r="D129" s="3" t="s">
        <v>15</v>
      </c>
      <c r="E129" s="4">
        <v>30</v>
      </c>
      <c r="F129" s="3" t="s">
        <v>197</v>
      </c>
      <c r="G129" s="3" t="s">
        <v>28</v>
      </c>
    </row>
    <row r="130" spans="1:7" outlineLevel="1" x14ac:dyDescent="0.3">
      <c r="B130" s="9">
        <v>0</v>
      </c>
      <c r="C130" s="3" t="s">
        <v>119</v>
      </c>
      <c r="D130" s="3" t="s">
        <v>3</v>
      </c>
      <c r="E130" s="4">
        <v>22</v>
      </c>
      <c r="F130" s="3" t="s">
        <v>198</v>
      </c>
      <c r="G130" s="3" t="s">
        <v>120</v>
      </c>
    </row>
    <row r="131" spans="1:7" outlineLevel="1" x14ac:dyDescent="0.3">
      <c r="B131" s="9">
        <v>174996</v>
      </c>
      <c r="C131" s="3" t="s">
        <v>199</v>
      </c>
      <c r="D131" s="3" t="s">
        <v>15</v>
      </c>
      <c r="E131" s="4">
        <v>50</v>
      </c>
      <c r="F131" s="3" t="s">
        <v>200</v>
      </c>
      <c r="G131" s="3" t="s">
        <v>201</v>
      </c>
    </row>
    <row r="132" spans="1:7" outlineLevel="1" x14ac:dyDescent="0.3">
      <c r="B132" s="9">
        <v>174996</v>
      </c>
      <c r="C132" s="3" t="s">
        <v>199</v>
      </c>
      <c r="D132" s="3" t="s">
        <v>3</v>
      </c>
      <c r="E132" s="4">
        <v>50</v>
      </c>
      <c r="F132" s="3" t="s">
        <v>202</v>
      </c>
      <c r="G132" s="3" t="s">
        <v>201</v>
      </c>
    </row>
    <row r="133" spans="1:7" outlineLevel="1" x14ac:dyDescent="0.3">
      <c r="B133" s="9">
        <v>0</v>
      </c>
      <c r="C133" s="3" t="s">
        <v>203</v>
      </c>
      <c r="D133" s="3" t="s">
        <v>15</v>
      </c>
      <c r="E133" s="4">
        <v>50</v>
      </c>
      <c r="F133" s="3" t="s">
        <v>204</v>
      </c>
      <c r="G133" s="3" t="s">
        <v>205</v>
      </c>
    </row>
    <row r="134" spans="1:7" outlineLevel="1" x14ac:dyDescent="0.3">
      <c r="B134" s="9">
        <v>0</v>
      </c>
      <c r="C134" s="3" t="s">
        <v>119</v>
      </c>
      <c r="D134" s="3" t="s">
        <v>15</v>
      </c>
      <c r="E134" s="4">
        <v>22</v>
      </c>
      <c r="F134" s="3" t="s">
        <v>206</v>
      </c>
      <c r="G134" s="3" t="s">
        <v>120</v>
      </c>
    </row>
    <row r="135" spans="1:7" outlineLevel="1" x14ac:dyDescent="0.3">
      <c r="B135" s="9">
        <v>0</v>
      </c>
      <c r="C135" s="3" t="s">
        <v>203</v>
      </c>
      <c r="D135" s="3" t="s">
        <v>3</v>
      </c>
      <c r="E135" s="4">
        <v>50</v>
      </c>
      <c r="F135" s="3" t="s">
        <v>207</v>
      </c>
      <c r="G135" s="3" t="s">
        <v>205</v>
      </c>
    </row>
    <row r="136" spans="1:7" outlineLevel="1" x14ac:dyDescent="0.3">
      <c r="B136" s="9">
        <v>50000</v>
      </c>
      <c r="C136" s="3" t="s">
        <v>42</v>
      </c>
      <c r="D136" s="3" t="s">
        <v>3</v>
      </c>
      <c r="E136" s="4">
        <v>25</v>
      </c>
      <c r="F136" s="3" t="s">
        <v>43</v>
      </c>
      <c r="G136" s="3" t="s">
        <v>44</v>
      </c>
    </row>
    <row r="137" spans="1:7" outlineLevel="1" x14ac:dyDescent="0.3">
      <c r="B137" s="9">
        <v>0</v>
      </c>
      <c r="C137" s="3" t="s">
        <v>45</v>
      </c>
      <c r="D137" s="3" t="s">
        <v>7</v>
      </c>
      <c r="E137" s="4">
        <v>0</v>
      </c>
      <c r="F137" s="3" t="s">
        <v>208</v>
      </c>
      <c r="G137" s="3" t="s">
        <v>47</v>
      </c>
    </row>
    <row r="138" spans="1:7" outlineLevel="1" x14ac:dyDescent="0.3">
      <c r="B138" s="9">
        <v>104979</v>
      </c>
      <c r="C138" s="3" t="s">
        <v>209</v>
      </c>
      <c r="D138" s="3" t="s">
        <v>3</v>
      </c>
      <c r="E138" s="4">
        <v>100</v>
      </c>
      <c r="F138" s="3" t="s">
        <v>210</v>
      </c>
      <c r="G138" s="3" t="s">
        <v>47</v>
      </c>
    </row>
    <row r="139" spans="1:7" outlineLevel="1" x14ac:dyDescent="0.3">
      <c r="B139" s="9">
        <v>13396</v>
      </c>
      <c r="C139" s="3" t="s">
        <v>45</v>
      </c>
      <c r="D139" s="3" t="s">
        <v>3</v>
      </c>
      <c r="E139" s="4">
        <v>67</v>
      </c>
      <c r="F139" s="3" t="s">
        <v>211</v>
      </c>
      <c r="G139" s="3" t="s">
        <v>47</v>
      </c>
    </row>
    <row r="140" spans="1:7" outlineLevel="1" x14ac:dyDescent="0.3">
      <c r="B140" s="10">
        <f>SUM(B128:B139)</f>
        <v>726367</v>
      </c>
      <c r="C140" s="11" t="s">
        <v>237</v>
      </c>
      <c r="D140" s="3"/>
      <c r="E140" s="4"/>
      <c r="F140" s="3"/>
      <c r="G140" s="3"/>
    </row>
    <row r="141" spans="1:7" outlineLevel="1" x14ac:dyDescent="0.3">
      <c r="B141" s="9"/>
      <c r="C141" s="3"/>
      <c r="D141" s="3"/>
      <c r="E141" s="4"/>
      <c r="F141" s="3"/>
      <c r="G141" s="3"/>
    </row>
    <row r="142" spans="1:7" x14ac:dyDescent="0.3">
      <c r="A142" s="6" t="s">
        <v>212</v>
      </c>
    </row>
    <row r="143" spans="1:7" outlineLevel="1" x14ac:dyDescent="0.3">
      <c r="B143" s="9">
        <v>25000</v>
      </c>
      <c r="C143" s="3" t="s">
        <v>81</v>
      </c>
      <c r="D143" s="3" t="s">
        <v>15</v>
      </c>
      <c r="E143" s="4">
        <v>25</v>
      </c>
      <c r="F143" s="3" t="s">
        <v>213</v>
      </c>
      <c r="G143" s="3" t="s">
        <v>5</v>
      </c>
    </row>
    <row r="144" spans="1:7" outlineLevel="1" x14ac:dyDescent="0.3">
      <c r="B144" s="10">
        <f>SUM(B143)</f>
        <v>25000</v>
      </c>
      <c r="C144" s="11" t="s">
        <v>237</v>
      </c>
      <c r="D144" s="3"/>
      <c r="E144" s="4"/>
      <c r="F144" s="3"/>
      <c r="G144" s="3"/>
    </row>
    <row r="145" spans="1:7" outlineLevel="1" x14ac:dyDescent="0.3">
      <c r="B145" s="9"/>
      <c r="C145" s="3"/>
      <c r="D145" s="3"/>
      <c r="E145" s="4"/>
      <c r="F145" s="3"/>
      <c r="G145" s="3"/>
    </row>
    <row r="146" spans="1:7" x14ac:dyDescent="0.3">
      <c r="A146" s="6" t="s">
        <v>214</v>
      </c>
    </row>
    <row r="147" spans="1:7" outlineLevel="1" x14ac:dyDescent="0.3">
      <c r="B147" s="9">
        <v>211977</v>
      </c>
      <c r="C147" s="3" t="s">
        <v>72</v>
      </c>
      <c r="D147" s="3" t="s">
        <v>7</v>
      </c>
      <c r="E147" s="4">
        <v>45</v>
      </c>
      <c r="F147" s="3" t="s">
        <v>215</v>
      </c>
      <c r="G147" s="3" t="s">
        <v>5</v>
      </c>
    </row>
    <row r="148" spans="1:7" outlineLevel="1" x14ac:dyDescent="0.3">
      <c r="B148" s="9">
        <v>381879</v>
      </c>
      <c r="C148" s="3" t="s">
        <v>74</v>
      </c>
      <c r="D148" s="3" t="s">
        <v>7</v>
      </c>
      <c r="E148" s="4">
        <v>45</v>
      </c>
      <c r="F148" s="3" t="s">
        <v>215</v>
      </c>
      <c r="G148" s="3" t="s">
        <v>75</v>
      </c>
    </row>
    <row r="149" spans="1:7" outlineLevel="1" x14ac:dyDescent="0.3">
      <c r="B149" s="9">
        <v>645000</v>
      </c>
      <c r="C149" s="3" t="s">
        <v>216</v>
      </c>
      <c r="D149" s="3" t="s">
        <v>3</v>
      </c>
      <c r="E149" s="4">
        <v>100</v>
      </c>
      <c r="F149" s="3" t="s">
        <v>217</v>
      </c>
      <c r="G149" s="3" t="s">
        <v>218</v>
      </c>
    </row>
    <row r="150" spans="1:7" outlineLevel="1" x14ac:dyDescent="0.3">
      <c r="B150" s="9">
        <v>153387</v>
      </c>
      <c r="C150" s="3" t="s">
        <v>219</v>
      </c>
      <c r="D150" s="3" t="s">
        <v>7</v>
      </c>
      <c r="E150" s="4">
        <v>50</v>
      </c>
      <c r="F150" s="3" t="s">
        <v>220</v>
      </c>
      <c r="G150" s="3" t="s">
        <v>221</v>
      </c>
    </row>
    <row r="151" spans="1:7" outlineLevel="1" x14ac:dyDescent="0.3">
      <c r="B151" s="9">
        <v>117765</v>
      </c>
      <c r="C151" s="3" t="s">
        <v>72</v>
      </c>
      <c r="D151" s="3" t="s">
        <v>3</v>
      </c>
      <c r="E151" s="4">
        <v>25</v>
      </c>
      <c r="F151" s="3" t="s">
        <v>220</v>
      </c>
      <c r="G151" s="3" t="s">
        <v>5</v>
      </c>
    </row>
    <row r="152" spans="1:7" outlineLevel="1" x14ac:dyDescent="0.3">
      <c r="B152" s="9">
        <v>212155</v>
      </c>
      <c r="C152" s="3" t="s">
        <v>74</v>
      </c>
      <c r="D152" s="3" t="s">
        <v>7</v>
      </c>
      <c r="E152" s="4">
        <v>25</v>
      </c>
      <c r="F152" s="3" t="s">
        <v>220</v>
      </c>
      <c r="G152" s="3" t="s">
        <v>75</v>
      </c>
    </row>
    <row r="153" spans="1:7" outlineLevel="1" x14ac:dyDescent="0.3">
      <c r="B153" s="9">
        <v>444598</v>
      </c>
      <c r="C153" s="3" t="s">
        <v>222</v>
      </c>
      <c r="D153" s="3" t="s">
        <v>3</v>
      </c>
      <c r="E153" s="4">
        <v>100</v>
      </c>
      <c r="F153" s="3" t="s">
        <v>223</v>
      </c>
      <c r="G153" s="3" t="s">
        <v>5</v>
      </c>
    </row>
    <row r="154" spans="1:7" outlineLevel="1" x14ac:dyDescent="0.3">
      <c r="B154" s="9">
        <v>33000</v>
      </c>
      <c r="C154" s="3" t="s">
        <v>224</v>
      </c>
      <c r="D154" s="3" t="s">
        <v>3</v>
      </c>
      <c r="E154" s="4">
        <v>100</v>
      </c>
      <c r="F154" s="3" t="s">
        <v>225</v>
      </c>
      <c r="G154" s="3" t="s">
        <v>226</v>
      </c>
    </row>
    <row r="155" spans="1:7" outlineLevel="1" x14ac:dyDescent="0.3">
      <c r="B155" s="9">
        <v>30000</v>
      </c>
      <c r="C155" s="3" t="s">
        <v>227</v>
      </c>
      <c r="D155" s="3" t="s">
        <v>3</v>
      </c>
      <c r="E155" s="4">
        <v>100</v>
      </c>
      <c r="F155" s="3" t="s">
        <v>225</v>
      </c>
      <c r="G155" s="3" t="s">
        <v>228</v>
      </c>
    </row>
    <row r="156" spans="1:7" outlineLevel="1" x14ac:dyDescent="0.3">
      <c r="B156" s="9">
        <v>60000</v>
      </c>
      <c r="C156" s="3" t="s">
        <v>229</v>
      </c>
      <c r="D156" s="3" t="s">
        <v>3</v>
      </c>
      <c r="E156" s="4">
        <v>100</v>
      </c>
      <c r="F156" s="3" t="s">
        <v>230</v>
      </c>
      <c r="G156" s="3" t="s">
        <v>231</v>
      </c>
    </row>
    <row r="157" spans="1:7" outlineLevel="1" x14ac:dyDescent="0.3">
      <c r="B157" s="9">
        <v>60000</v>
      </c>
      <c r="C157" s="3" t="s">
        <v>232</v>
      </c>
      <c r="D157" s="3" t="s">
        <v>3</v>
      </c>
      <c r="E157" s="4">
        <v>100</v>
      </c>
      <c r="F157" s="3" t="s">
        <v>230</v>
      </c>
      <c r="G157" s="3" t="s">
        <v>233</v>
      </c>
    </row>
    <row r="158" spans="1:7" outlineLevel="1" x14ac:dyDescent="0.3">
      <c r="B158" s="9">
        <v>473917</v>
      </c>
      <c r="C158" s="3" t="s">
        <v>234</v>
      </c>
      <c r="D158" s="3" t="s">
        <v>3</v>
      </c>
      <c r="E158" s="4">
        <v>100</v>
      </c>
      <c r="F158" s="3" t="s">
        <v>235</v>
      </c>
      <c r="G158" s="3" t="s">
        <v>5</v>
      </c>
    </row>
    <row r="159" spans="1:7" outlineLevel="1" x14ac:dyDescent="0.3">
      <c r="B159" s="9">
        <v>153387</v>
      </c>
      <c r="C159" s="3" t="s">
        <v>219</v>
      </c>
      <c r="D159" s="3" t="s">
        <v>3</v>
      </c>
      <c r="E159" s="4">
        <v>50</v>
      </c>
      <c r="F159" s="3" t="s">
        <v>236</v>
      </c>
      <c r="G159" s="3" t="s">
        <v>221</v>
      </c>
    </row>
    <row r="160" spans="1:7" outlineLevel="1" x14ac:dyDescent="0.3">
      <c r="B160" s="9">
        <v>70659</v>
      </c>
      <c r="C160" s="3" t="s">
        <v>72</v>
      </c>
      <c r="D160" s="3" t="s">
        <v>7</v>
      </c>
      <c r="E160" s="4">
        <v>15</v>
      </c>
      <c r="F160" s="3" t="s">
        <v>236</v>
      </c>
      <c r="G160" s="3" t="s">
        <v>5</v>
      </c>
    </row>
    <row r="161" spans="2:7" outlineLevel="1" x14ac:dyDescent="0.3">
      <c r="B161" s="9">
        <v>127293</v>
      </c>
      <c r="C161" s="3" t="s">
        <v>74</v>
      </c>
      <c r="D161" s="3" t="s">
        <v>3</v>
      </c>
      <c r="E161" s="4">
        <v>15</v>
      </c>
      <c r="F161" s="3" t="s">
        <v>236</v>
      </c>
      <c r="G161" s="3" t="s">
        <v>75</v>
      </c>
    </row>
    <row r="162" spans="2:7" outlineLevel="1" x14ac:dyDescent="0.3">
      <c r="B162" s="10">
        <f>SUM(B147:B161)</f>
        <v>3175017</v>
      </c>
      <c r="C162" s="11" t="s">
        <v>237</v>
      </c>
      <c r="D162" s="3"/>
      <c r="E162" s="4"/>
      <c r="F162" s="3"/>
      <c r="G162" s="3"/>
    </row>
    <row r="163" spans="2:7" outlineLevel="1" x14ac:dyDescent="0.3">
      <c r="B163" s="9"/>
      <c r="C163" s="3"/>
      <c r="D163" s="3"/>
      <c r="E163" s="4"/>
      <c r="F163" s="3"/>
      <c r="G163" s="3"/>
    </row>
    <row r="164" spans="2:7" x14ac:dyDescent="0.3">
      <c r="B164" s="12">
        <f>SUM(B162+B144+B140+B125+B114+B107+B49+B44+B40+B35+B9)</f>
        <v>23097776</v>
      </c>
      <c r="C164" s="7" t="s">
        <v>238</v>
      </c>
    </row>
  </sheetData>
  <phoneticPr fontId="0" type="noConversion"/>
  <pageMargins left="0.25" right="0.25" top="0.5" bottom="0.5" header="0.25" footer="0.25"/>
  <pageSetup orientation="landscape" r:id="rId1"/>
  <headerFooter alignWithMargins="0">
    <oddHeader>&amp;COOR Monthly Proposed Report
July 2003 (FY2004)</oddHeader>
    <oddFooter>&amp;L&amp;6Monday, August 25, 2003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MPR_BudgetByCollege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2003-08-25T14:18:58Z</cp:lastPrinted>
  <dcterms:created xsi:type="dcterms:W3CDTF">2003-08-25T14:01:40Z</dcterms:created>
  <dcterms:modified xsi:type="dcterms:W3CDTF">2020-01-27T11:59:41Z</dcterms:modified>
</cp:coreProperties>
</file>