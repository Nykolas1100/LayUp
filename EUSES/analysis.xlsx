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9EB699C-8D5B-4CC4-832F-7FAC5E21059C}" xr6:coauthVersionLast="45" xr6:coauthVersionMax="45" xr10:uidLastSave="{00000000-0000-0000-0000-000000000000}"/>
  <bookViews>
    <workbookView xWindow="3420" yWindow="3420" windowWidth="28800" windowHeight="15460" tabRatio="311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ca">Sheet1!$B$33</definedName>
    <definedName name="cgs">Sheet1!$B$16</definedName>
    <definedName name="cliab">Sheet1!$B$46</definedName>
    <definedName name="equip">Sheet1!$B$37</definedName>
    <definedName name="equity">Sheet1!$B$52</definedName>
    <definedName name="inv">Sheet1!$B$32</definedName>
    <definedName name="ltd">Sheet1!$B$48</definedName>
    <definedName name="ni">Sheet1!$B$23</definedName>
    <definedName name="rev">Sheet1!$B$15</definedName>
    <definedName name="sga">Sheet1!$B$17</definedName>
    <definedName name="ta">Sheet1!$B$40</definedName>
    <definedName name="year">Sheet1!$B$12</definedName>
  </definedNames>
  <calcPr calcId="0"/>
</workbook>
</file>

<file path=xl/calcChain.xml><?xml version="1.0" encoding="utf-8"?>
<calcChain xmlns="http://schemas.openxmlformats.org/spreadsheetml/2006/main">
  <c r="B14" i="1" l="1"/>
  <c r="C14" i="1"/>
  <c r="D14" i="1"/>
  <c r="E14" i="1"/>
  <c r="F14" i="1"/>
  <c r="G14" i="1"/>
  <c r="H14" i="1"/>
  <c r="I14" i="1"/>
  <c r="J14" i="1"/>
  <c r="K14" i="1"/>
  <c r="B19" i="1"/>
  <c r="C19" i="1"/>
  <c r="D19" i="1"/>
  <c r="E19" i="1"/>
  <c r="F19" i="1"/>
  <c r="G19" i="1"/>
  <c r="H19" i="1"/>
  <c r="I19" i="1"/>
  <c r="J19" i="1"/>
  <c r="K19" i="1"/>
  <c r="B21" i="1"/>
  <c r="C21" i="1"/>
  <c r="D21" i="1"/>
  <c r="E21" i="1"/>
  <c r="F21" i="1"/>
  <c r="G21" i="1"/>
  <c r="H21" i="1"/>
  <c r="I21" i="1"/>
  <c r="J21" i="1"/>
  <c r="K21" i="1"/>
  <c r="B23" i="1"/>
  <c r="C23" i="1"/>
  <c r="D23" i="1"/>
  <c r="E23" i="1"/>
  <c r="F23" i="1"/>
  <c r="G23" i="1"/>
  <c r="H23" i="1"/>
  <c r="I23" i="1"/>
  <c r="J23" i="1"/>
  <c r="K23" i="1"/>
  <c r="B25" i="1"/>
  <c r="C25" i="1"/>
  <c r="D25" i="1"/>
  <c r="E25" i="1"/>
  <c r="F25" i="1"/>
  <c r="G25" i="1"/>
  <c r="H25" i="1"/>
  <c r="I25" i="1"/>
  <c r="J25" i="1"/>
  <c r="K25" i="1"/>
  <c r="B27" i="1"/>
  <c r="C27" i="1"/>
  <c r="D27" i="1"/>
  <c r="E27" i="1"/>
  <c r="F27" i="1"/>
  <c r="G27" i="1"/>
  <c r="H27" i="1"/>
  <c r="I27" i="1"/>
  <c r="J27" i="1"/>
  <c r="K27" i="1"/>
  <c r="B33" i="1"/>
  <c r="C33" i="1"/>
  <c r="D33" i="1"/>
  <c r="E33" i="1"/>
  <c r="F33" i="1"/>
  <c r="G33" i="1"/>
  <c r="H33" i="1"/>
  <c r="I33" i="1"/>
  <c r="J33" i="1"/>
  <c r="K33" i="1"/>
  <c r="B37" i="1"/>
  <c r="C37" i="1"/>
  <c r="D37" i="1"/>
  <c r="E37" i="1"/>
  <c r="F37" i="1"/>
  <c r="G37" i="1"/>
  <c r="H37" i="1"/>
  <c r="I37" i="1"/>
  <c r="J37" i="1"/>
  <c r="K37" i="1"/>
  <c r="B39" i="1"/>
  <c r="C39" i="1"/>
  <c r="D39" i="1"/>
  <c r="E39" i="1"/>
  <c r="F39" i="1"/>
  <c r="G39" i="1"/>
  <c r="H39" i="1"/>
  <c r="I39" i="1"/>
  <c r="J39" i="1"/>
  <c r="K39" i="1"/>
  <c r="B40" i="1"/>
  <c r="C40" i="1"/>
  <c r="D40" i="1"/>
  <c r="E40" i="1"/>
  <c r="F40" i="1"/>
  <c r="G40" i="1"/>
  <c r="H40" i="1"/>
  <c r="I40" i="1"/>
  <c r="J40" i="1"/>
  <c r="K40" i="1"/>
  <c r="B46" i="1"/>
  <c r="C46" i="1"/>
  <c r="D46" i="1"/>
  <c r="E46" i="1"/>
  <c r="F46" i="1"/>
  <c r="G46" i="1"/>
  <c r="H46" i="1"/>
  <c r="I46" i="1"/>
  <c r="J46" i="1"/>
  <c r="K46" i="1"/>
  <c r="B52" i="1"/>
  <c r="C52" i="1"/>
  <c r="D52" i="1"/>
  <c r="E52" i="1"/>
  <c r="F52" i="1"/>
  <c r="G52" i="1"/>
  <c r="H52" i="1"/>
  <c r="I52" i="1"/>
  <c r="J52" i="1"/>
  <c r="K52" i="1"/>
  <c r="B53" i="1"/>
  <c r="C53" i="1"/>
  <c r="D53" i="1"/>
  <c r="E53" i="1"/>
  <c r="F53" i="1"/>
  <c r="G53" i="1"/>
  <c r="H53" i="1"/>
  <c r="I53" i="1"/>
  <c r="J53" i="1"/>
  <c r="K53" i="1"/>
  <c r="B57" i="1"/>
  <c r="C57" i="1"/>
  <c r="D57" i="1"/>
  <c r="E57" i="1"/>
  <c r="F57" i="1"/>
  <c r="G57" i="1"/>
  <c r="H57" i="1"/>
  <c r="I57" i="1"/>
  <c r="J57" i="1"/>
  <c r="K57" i="1"/>
  <c r="B59" i="1"/>
  <c r="C59" i="1"/>
  <c r="D59" i="1"/>
  <c r="E59" i="1"/>
  <c r="F59" i="1"/>
  <c r="G59" i="1"/>
  <c r="H59" i="1"/>
  <c r="I59" i="1"/>
  <c r="J59" i="1"/>
  <c r="K59" i="1"/>
  <c r="B60" i="1"/>
  <c r="C60" i="1"/>
  <c r="D60" i="1"/>
  <c r="E60" i="1"/>
  <c r="F60" i="1"/>
  <c r="G60" i="1"/>
  <c r="H60" i="1"/>
  <c r="I60" i="1"/>
  <c r="J60" i="1"/>
  <c r="K60" i="1"/>
  <c r="B61" i="1"/>
  <c r="C61" i="1"/>
  <c r="D61" i="1"/>
  <c r="E61" i="1"/>
  <c r="F61" i="1"/>
  <c r="G61" i="1"/>
  <c r="H61" i="1"/>
  <c r="I61" i="1"/>
  <c r="J61" i="1"/>
  <c r="K61" i="1"/>
  <c r="B62" i="1"/>
  <c r="C62" i="1"/>
  <c r="D62" i="1"/>
  <c r="E62" i="1"/>
  <c r="F62" i="1"/>
  <c r="G62" i="1"/>
  <c r="H62" i="1"/>
  <c r="I62" i="1"/>
  <c r="J62" i="1"/>
  <c r="K62" i="1"/>
  <c r="B65" i="1"/>
  <c r="C65" i="1"/>
  <c r="D65" i="1"/>
  <c r="E65" i="1"/>
  <c r="F65" i="1"/>
  <c r="G65" i="1"/>
  <c r="H65" i="1"/>
  <c r="I65" i="1"/>
  <c r="J65" i="1"/>
  <c r="K65" i="1"/>
  <c r="B66" i="1"/>
  <c r="C66" i="1"/>
  <c r="D66" i="1"/>
  <c r="E66" i="1"/>
  <c r="F66" i="1"/>
  <c r="G66" i="1"/>
  <c r="H66" i="1"/>
  <c r="I66" i="1"/>
  <c r="J66" i="1"/>
  <c r="K66" i="1"/>
  <c r="B67" i="1"/>
  <c r="C67" i="1"/>
  <c r="D67" i="1"/>
  <c r="E67" i="1"/>
  <c r="F67" i="1"/>
  <c r="G67" i="1"/>
  <c r="H67" i="1"/>
  <c r="I67" i="1"/>
  <c r="J67" i="1"/>
  <c r="K67" i="1"/>
  <c r="B68" i="1"/>
  <c r="C68" i="1"/>
  <c r="D68" i="1"/>
  <c r="E68" i="1"/>
  <c r="F68" i="1"/>
  <c r="G68" i="1"/>
  <c r="H68" i="1"/>
  <c r="I68" i="1"/>
  <c r="J68" i="1"/>
  <c r="K68" i="1"/>
  <c r="B69" i="1"/>
  <c r="C69" i="1"/>
  <c r="D69" i="1"/>
  <c r="E69" i="1"/>
  <c r="F69" i="1"/>
  <c r="G69" i="1"/>
  <c r="H69" i="1"/>
  <c r="I69" i="1"/>
  <c r="J69" i="1"/>
  <c r="K69" i="1"/>
  <c r="B70" i="1"/>
  <c r="C70" i="1"/>
  <c r="D70" i="1"/>
  <c r="E70" i="1"/>
  <c r="F70" i="1"/>
  <c r="G70" i="1"/>
  <c r="H70" i="1"/>
  <c r="I70" i="1"/>
  <c r="J70" i="1"/>
  <c r="K70" i="1"/>
  <c r="B71" i="1"/>
  <c r="C71" i="1"/>
  <c r="D71" i="1"/>
  <c r="E71" i="1"/>
  <c r="F71" i="1"/>
  <c r="G71" i="1"/>
  <c r="H71" i="1"/>
  <c r="I71" i="1"/>
  <c r="J71" i="1"/>
  <c r="K71" i="1"/>
  <c r="B74" i="1"/>
  <c r="C74" i="1"/>
  <c r="D74" i="1"/>
  <c r="E74" i="1"/>
  <c r="F74" i="1"/>
  <c r="G74" i="1"/>
  <c r="H74" i="1"/>
  <c r="I74" i="1"/>
  <c r="J74" i="1"/>
  <c r="K74" i="1"/>
  <c r="B76" i="1"/>
  <c r="C76" i="1"/>
  <c r="D76" i="1"/>
  <c r="E76" i="1"/>
  <c r="F76" i="1"/>
  <c r="G76" i="1"/>
  <c r="H76" i="1"/>
  <c r="I76" i="1"/>
  <c r="J76" i="1"/>
  <c r="K76" i="1"/>
  <c r="B77" i="1"/>
  <c r="C77" i="1"/>
  <c r="D77" i="1"/>
  <c r="E77" i="1"/>
  <c r="F77" i="1"/>
  <c r="G77" i="1"/>
  <c r="H77" i="1"/>
  <c r="I77" i="1"/>
  <c r="J77" i="1"/>
  <c r="K77" i="1"/>
  <c r="B78" i="1"/>
  <c r="C78" i="1"/>
  <c r="D78" i="1"/>
  <c r="E78" i="1"/>
  <c r="F78" i="1"/>
  <c r="G78" i="1"/>
  <c r="H78" i="1"/>
  <c r="I78" i="1"/>
  <c r="J78" i="1"/>
  <c r="K78" i="1"/>
  <c r="B79" i="1"/>
  <c r="C79" i="1"/>
  <c r="D79" i="1"/>
  <c r="E79" i="1"/>
  <c r="F79" i="1"/>
  <c r="G79" i="1"/>
  <c r="H79" i="1"/>
  <c r="I79" i="1"/>
  <c r="J79" i="1"/>
  <c r="K79" i="1"/>
  <c r="B80" i="1"/>
  <c r="C80" i="1"/>
  <c r="D80" i="1"/>
  <c r="E80" i="1"/>
  <c r="F80" i="1"/>
  <c r="G80" i="1"/>
  <c r="H80" i="1"/>
  <c r="I80" i="1"/>
  <c r="J80" i="1"/>
  <c r="K80" i="1"/>
  <c r="B81" i="1"/>
  <c r="C81" i="1"/>
  <c r="D81" i="1"/>
  <c r="E81" i="1"/>
  <c r="F81" i="1"/>
  <c r="G81" i="1"/>
  <c r="H81" i="1"/>
  <c r="I81" i="1"/>
  <c r="J81" i="1"/>
  <c r="K81" i="1"/>
  <c r="B84" i="1"/>
  <c r="C84" i="1"/>
  <c r="D84" i="1"/>
  <c r="E84" i="1"/>
  <c r="F84" i="1"/>
  <c r="G84" i="1"/>
  <c r="H84" i="1"/>
  <c r="I84" i="1"/>
  <c r="J84" i="1"/>
  <c r="K84" i="1"/>
  <c r="B85" i="1"/>
  <c r="C85" i="1"/>
  <c r="D85" i="1"/>
  <c r="E85" i="1"/>
  <c r="F85" i="1"/>
  <c r="G85" i="1"/>
  <c r="H85" i="1"/>
  <c r="I85" i="1"/>
  <c r="J85" i="1"/>
  <c r="K85" i="1"/>
  <c r="B86" i="1"/>
  <c r="C86" i="1"/>
  <c r="D86" i="1"/>
  <c r="E86" i="1"/>
  <c r="F86" i="1"/>
  <c r="G86" i="1"/>
  <c r="H86" i="1"/>
  <c r="I86" i="1"/>
  <c r="J86" i="1"/>
  <c r="K86" i="1"/>
  <c r="B87" i="1"/>
  <c r="C87" i="1"/>
  <c r="D87" i="1"/>
  <c r="E87" i="1"/>
  <c r="F87" i="1"/>
  <c r="G87" i="1"/>
  <c r="H87" i="1"/>
  <c r="I87" i="1"/>
  <c r="J87" i="1"/>
  <c r="K87" i="1"/>
  <c r="B88" i="1"/>
  <c r="C88" i="1"/>
  <c r="D88" i="1"/>
  <c r="E88" i="1"/>
  <c r="F88" i="1"/>
  <c r="G88" i="1"/>
  <c r="H88" i="1"/>
  <c r="I88" i="1"/>
  <c r="J88" i="1"/>
  <c r="K88" i="1"/>
  <c r="B89" i="1"/>
  <c r="C89" i="1"/>
  <c r="D89" i="1"/>
  <c r="E89" i="1"/>
  <c r="F89" i="1"/>
  <c r="G89" i="1"/>
  <c r="H89" i="1"/>
  <c r="I89" i="1"/>
  <c r="J89" i="1"/>
  <c r="K89" i="1"/>
  <c r="B90" i="1"/>
  <c r="C90" i="1"/>
  <c r="D90" i="1"/>
  <c r="E90" i="1"/>
  <c r="F90" i="1"/>
  <c r="G90" i="1"/>
  <c r="H90" i="1"/>
  <c r="I90" i="1"/>
  <c r="J90" i="1"/>
  <c r="K90" i="1"/>
  <c r="B91" i="1"/>
  <c r="C91" i="1"/>
  <c r="D91" i="1"/>
  <c r="E91" i="1"/>
  <c r="F91" i="1"/>
  <c r="G91" i="1"/>
  <c r="H91" i="1"/>
  <c r="I91" i="1"/>
  <c r="J91" i="1"/>
  <c r="K91" i="1"/>
  <c r="B94" i="1"/>
  <c r="C94" i="1"/>
  <c r="D94" i="1"/>
  <c r="E94" i="1"/>
  <c r="F94" i="1"/>
  <c r="G94" i="1"/>
  <c r="H94" i="1"/>
  <c r="I94" i="1"/>
  <c r="J94" i="1"/>
  <c r="K94" i="1"/>
  <c r="B95" i="1"/>
  <c r="C95" i="1"/>
  <c r="D95" i="1"/>
  <c r="E95" i="1"/>
  <c r="F95" i="1"/>
  <c r="G95" i="1"/>
  <c r="H95" i="1"/>
  <c r="I95" i="1"/>
  <c r="J95" i="1"/>
  <c r="K95" i="1"/>
  <c r="B97" i="1"/>
  <c r="C97" i="1"/>
  <c r="D97" i="1"/>
  <c r="E97" i="1"/>
  <c r="F97" i="1"/>
  <c r="G97" i="1"/>
  <c r="H97" i="1"/>
  <c r="I97" i="1"/>
  <c r="J97" i="1"/>
  <c r="K97" i="1"/>
</calcChain>
</file>

<file path=xl/sharedStrings.xml><?xml version="1.0" encoding="utf-8"?>
<sst xmlns="http://schemas.openxmlformats.org/spreadsheetml/2006/main" count="89" uniqueCount="53">
  <si>
    <t>Hickman, Hunter, Byrd,  Foundations of Corporate Finance.  Copyright 1996</t>
  </si>
  <si>
    <t>Financial Statement Analysis</t>
  </si>
  <si>
    <t>On this sheet are templates for performing trend and common size analyses.</t>
  </si>
  <si>
    <t>Instructions:</t>
  </si>
  <si>
    <t>1. Enter data in shaded cells</t>
  </si>
  <si>
    <t>2. Enter percentage values as decimals, e.g. 3% as .03.</t>
  </si>
  <si>
    <t>3. Enter financial statement data into the income statement and balance sheet below.</t>
  </si>
  <si>
    <t>4. If you wish to estimate taxes by applying a tax rate to EBT, use the tax estimator.</t>
  </si>
  <si>
    <t xml:space="preserve">   at the bottom of the sheet.</t>
  </si>
  <si>
    <t>Financial Statements</t>
  </si>
  <si>
    <t>Beginning year of financial statements</t>
  </si>
  <si>
    <t>Income Statement</t>
  </si>
  <si>
    <t>year</t>
  </si>
  <si>
    <t>Revenue</t>
  </si>
  <si>
    <t>Cost of goods sold</t>
  </si>
  <si>
    <t>Selling, general &amp; administrative</t>
  </si>
  <si>
    <t>Depreciation</t>
  </si>
  <si>
    <t>EBIT</t>
  </si>
  <si>
    <t>Interest expense</t>
  </si>
  <si>
    <t>EBT</t>
  </si>
  <si>
    <t>Taxes</t>
  </si>
  <si>
    <t>Net income</t>
  </si>
  <si>
    <t>Dividends</t>
  </si>
  <si>
    <t>Retained earnings</t>
  </si>
  <si>
    <t>Balance Sheet</t>
  </si>
  <si>
    <t>Assets</t>
  </si>
  <si>
    <t>Cash</t>
  </si>
  <si>
    <t>Marketable securities</t>
  </si>
  <si>
    <t>Accounts receivable</t>
  </si>
  <si>
    <t>Inventory</t>
  </si>
  <si>
    <t>Current assets</t>
  </si>
  <si>
    <t>Equipment and buildings</t>
  </si>
  <si>
    <t>Less accumulated depreciation</t>
  </si>
  <si>
    <t>Net equipment &amp; buildings</t>
  </si>
  <si>
    <t>Land</t>
  </si>
  <si>
    <t>Fixed assets</t>
  </si>
  <si>
    <t>Total assets</t>
  </si>
  <si>
    <t>Liabilities &amp; owners equity</t>
  </si>
  <si>
    <t>Accounts payable</t>
  </si>
  <si>
    <t>Wages payable</t>
  </si>
  <si>
    <t>Notes payable</t>
  </si>
  <si>
    <t>Current liabilities</t>
  </si>
  <si>
    <t>Long term debt</t>
  </si>
  <si>
    <t>Common stock</t>
  </si>
  <si>
    <t>Paid-in surplus</t>
  </si>
  <si>
    <t>Total equity</t>
  </si>
  <si>
    <t>Total liabilities &amp; owners equity</t>
  </si>
  <si>
    <t>Trend Analysis</t>
  </si>
  <si>
    <t>benchmark</t>
  </si>
  <si>
    <t>Common Size Analysis</t>
  </si>
  <si>
    <t>Tax Estimator</t>
  </si>
  <si>
    <t>tax rate</t>
  </si>
  <si>
    <t>Copy to income statement        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</si>
</sst>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_);\(&quot;$&quot;#,##0\)"/>
    <numFmt numFmtId="170" formatCode="_(&quot;$&quot;* #,##0.00_);_(&quot;$&quot;* \(#,##0.00\);_(&quot;$&quot;* &quot;-&quot;??_);_(@_)"/>
    <numFmt numFmtId="173" formatCode="0.000"/>
  </numFmts>
  <fonts count="9" x14ac:knownFonts="1">
    <font>
      <sz val="10"/>
      <name val="Arial"/>
    </font>
    <font>
      <b/>
      <sz val="10"/>
      <name val="Arial"/>
    </font>
    <font>
      <sz val="10"/>
      <name val="Arial"/>
    </font>
    <font>
      <b/>
      <sz val="14"/>
      <name val="Arial"/>
    </font>
    <font>
      <b/>
      <sz val="12"/>
      <name val="Arial"/>
      <family val="2"/>
    </font>
    <font>
      <b/>
      <sz val="12"/>
      <name val="Arial"/>
    </font>
    <font>
      <sz val="11"/>
      <name val="Arial"/>
    </font>
    <font>
      <b/>
      <sz val="9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70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9" fontId="0" fillId="0" borderId="0" xfId="2" applyFont="1" applyAlignment="1">
      <alignment horizontal="center"/>
    </xf>
    <xf numFmtId="0" fontId="2" fillId="0" borderId="0" xfId="0" applyFont="1"/>
    <xf numFmtId="173" fontId="0" fillId="0" borderId="0" xfId="0" applyNumberFormat="1" applyAlignment="1">
      <alignment horizontal="center"/>
    </xf>
    <xf numFmtId="0" fontId="5" fillId="0" borderId="0" xfId="0" applyFont="1"/>
    <xf numFmtId="0" fontId="0" fillId="0" borderId="0" xfId="0" applyAlignment="1">
      <alignment horizontal="left"/>
    </xf>
    <xf numFmtId="164" fontId="0" fillId="0" borderId="0" xfId="1" applyNumberFormat="1" applyFont="1" applyAlignment="1">
      <alignment horizontal="center"/>
    </xf>
    <xf numFmtId="3" fontId="0" fillId="0" borderId="0" xfId="1" applyNumberFormat="1" applyFont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6" fillId="0" borderId="0" xfId="0" applyFont="1"/>
    <xf numFmtId="0" fontId="7" fillId="0" borderId="1" xfId="0" applyFont="1" applyBorder="1"/>
    <xf numFmtId="0" fontId="3" fillId="0" borderId="0" xfId="0" applyFont="1" applyAlignment="1">
      <alignment vertical="center"/>
    </xf>
    <xf numFmtId="0" fontId="0" fillId="0" borderId="0" xfId="0" applyBorder="1"/>
    <xf numFmtId="0" fontId="8" fillId="0" borderId="0" xfId="0" applyFont="1"/>
    <xf numFmtId="0" fontId="1" fillId="0" borderId="0" xfId="0" applyFont="1" applyAlignment="1">
      <alignment horizontal="left"/>
    </xf>
    <xf numFmtId="0" fontId="5" fillId="0" borderId="0" xfId="0" applyFont="1" applyBorder="1"/>
    <xf numFmtId="0" fontId="0" fillId="0" borderId="0" xfId="0" applyBorder="1" applyAlignment="1">
      <alignment horizontal="right"/>
    </xf>
    <xf numFmtId="164" fontId="0" fillId="0" borderId="0" xfId="0" applyNumberFormat="1" applyAlignment="1">
      <alignment horizontal="center"/>
    </xf>
    <xf numFmtId="9" fontId="0" fillId="2" borderId="0" xfId="2" applyFont="1" applyFill="1" applyAlignment="1" applyProtection="1">
      <alignment horizontal="center"/>
      <protection locked="0"/>
    </xf>
    <xf numFmtId="3" fontId="0" fillId="0" borderId="2" xfId="1" applyNumberFormat="1" applyFont="1" applyFill="1" applyBorder="1" applyAlignment="1" applyProtection="1">
      <alignment horizontal="right"/>
    </xf>
    <xf numFmtId="164" fontId="0" fillId="2" borderId="0" xfId="1" applyNumberFormat="1" applyFont="1" applyFill="1" applyAlignment="1" applyProtection="1">
      <alignment horizontal="right"/>
      <protection locked="0"/>
    </xf>
    <xf numFmtId="3" fontId="0" fillId="2" borderId="0" xfId="1" applyNumberFormat="1" applyFont="1" applyFill="1" applyAlignment="1" applyProtection="1">
      <alignment horizontal="right"/>
      <protection locked="0"/>
    </xf>
    <xf numFmtId="3" fontId="0" fillId="2" borderId="2" xfId="1" applyNumberFormat="1" applyFont="1" applyFill="1" applyBorder="1" applyAlignment="1" applyProtection="1">
      <alignment horizontal="right"/>
      <protection locked="0"/>
    </xf>
    <xf numFmtId="3" fontId="0" fillId="0" borderId="0" xfId="1" applyNumberFormat="1" applyFont="1" applyFill="1" applyAlignment="1" applyProtection="1">
      <alignment horizontal="right"/>
    </xf>
    <xf numFmtId="0" fontId="0" fillId="0" borderId="0" xfId="0" applyAlignment="1">
      <alignment horizontal="center" vertical="top"/>
    </xf>
    <xf numFmtId="0" fontId="0" fillId="2" borderId="0" xfId="0" applyFill="1" applyAlignment="1" applyProtection="1">
      <alignment horizontal="center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Views>
    <sheetView showGridLines="0" tabSelected="1" workbookViewId="0"/>
  </sheetViews>
  <sheetFormatPr defaultRowHeight="12.5" x14ac:dyDescent="0.25"/>
  <cols>
    <col min="1" max="1" width="32.1796875" customWidth="1"/>
    <col min="2" max="2" width="9.81640625" style="4" customWidth="1"/>
    <col min="3" max="11" width="8.7265625" style="4"/>
  </cols>
  <sheetData>
    <row r="1" spans="1:11" ht="13" thickBot="1" x14ac:dyDescent="0.3">
      <c r="A1" s="17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22" customHeight="1" x14ac:dyDescent="0.25">
      <c r="A2" s="18" t="s">
        <v>1</v>
      </c>
    </row>
    <row r="3" spans="1:11" ht="13" customHeight="1" x14ac:dyDescent="0.3">
      <c r="A3" s="16" t="s">
        <v>2</v>
      </c>
    </row>
    <row r="4" spans="1:11" ht="13" customHeight="1" x14ac:dyDescent="0.3">
      <c r="H4" s="21"/>
    </row>
    <row r="5" spans="1:11" ht="13" customHeight="1" x14ac:dyDescent="0.3">
      <c r="A5" s="1" t="s">
        <v>3</v>
      </c>
      <c r="H5" s="5"/>
    </row>
    <row r="6" spans="1:11" ht="13" customHeight="1" x14ac:dyDescent="0.25">
      <c r="A6" t="s">
        <v>4</v>
      </c>
      <c r="H6" s="5"/>
    </row>
    <row r="7" spans="1:11" ht="13" customHeight="1" x14ac:dyDescent="0.25">
      <c r="A7" s="19" t="s">
        <v>5</v>
      </c>
      <c r="H7" s="5"/>
    </row>
    <row r="8" spans="1:11" ht="13" customHeight="1" x14ac:dyDescent="0.25">
      <c r="A8" s="7" t="s">
        <v>6</v>
      </c>
      <c r="H8" s="5"/>
    </row>
    <row r="9" spans="1:11" ht="13" customHeight="1" x14ac:dyDescent="0.25">
      <c r="A9" s="7" t="s">
        <v>7</v>
      </c>
    </row>
    <row r="10" spans="1:11" ht="13" customHeight="1" thickBot="1" x14ac:dyDescent="0.3">
      <c r="A10" s="13" t="s">
        <v>8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.5" x14ac:dyDescent="0.35">
      <c r="A11" s="9" t="s">
        <v>9</v>
      </c>
      <c r="B11"/>
    </row>
    <row r="12" spans="1:11" x14ac:dyDescent="0.25">
      <c r="A12" s="7" t="s">
        <v>10</v>
      </c>
      <c r="B12" s="32"/>
      <c r="C12"/>
    </row>
    <row r="13" spans="1:11" ht="18" customHeight="1" x14ac:dyDescent="0.3">
      <c r="A13" s="20" t="s">
        <v>11</v>
      </c>
      <c r="B13" s="5"/>
      <c r="C13" s="6"/>
      <c r="D13"/>
      <c r="E13"/>
      <c r="F13"/>
      <c r="G13"/>
      <c r="H13"/>
      <c r="I13"/>
      <c r="J13"/>
      <c r="K13"/>
    </row>
    <row r="14" spans="1:11" ht="15" customHeight="1" x14ac:dyDescent="0.25">
      <c r="A14" s="5" t="s">
        <v>12</v>
      </c>
      <c r="B14" s="4">
        <f>year</f>
        <v>0</v>
      </c>
      <c r="C14" s="4">
        <f>year+1</f>
        <v>1</v>
      </c>
      <c r="D14" s="4">
        <f>year+2</f>
        <v>2</v>
      </c>
      <c r="E14" s="4">
        <f>year+3</f>
        <v>3</v>
      </c>
      <c r="F14" s="4">
        <f>year+4</f>
        <v>4</v>
      </c>
      <c r="G14" s="4">
        <f>year+5</f>
        <v>5</v>
      </c>
      <c r="H14" s="4">
        <f>year+6</f>
        <v>6</v>
      </c>
      <c r="I14" s="4">
        <f>year+7</f>
        <v>7</v>
      </c>
      <c r="J14" s="4">
        <f>year+8</f>
        <v>8</v>
      </c>
      <c r="K14" s="4">
        <f>year+9</f>
        <v>9</v>
      </c>
    </row>
    <row r="15" spans="1:11" ht="15" customHeight="1" x14ac:dyDescent="0.25">
      <c r="A15" s="10" t="s">
        <v>13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</row>
    <row r="16" spans="1:11" ht="15" customHeight="1" x14ac:dyDescent="0.25">
      <c r="A16" t="s">
        <v>14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</row>
    <row r="17" spans="1:11" ht="15" customHeight="1" x14ac:dyDescent="0.25">
      <c r="A17" t="s">
        <v>15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</row>
    <row r="18" spans="1:11" ht="15" customHeight="1" x14ac:dyDescent="0.25">
      <c r="A18" t="s">
        <v>16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</row>
    <row r="19" spans="1:11" ht="15" customHeight="1" x14ac:dyDescent="0.3">
      <c r="A19" s="1" t="s">
        <v>17</v>
      </c>
      <c r="B19" s="30">
        <f>B15-B16-B17-B18</f>
        <v>0</v>
      </c>
      <c r="C19" s="30">
        <f t="shared" ref="C19:K19" si="0">C15-C16-C17-C18</f>
        <v>0</v>
      </c>
      <c r="D19" s="30">
        <f t="shared" si="0"/>
        <v>0</v>
      </c>
      <c r="E19" s="30">
        <f t="shared" si="0"/>
        <v>0</v>
      </c>
      <c r="F19" s="30">
        <f t="shared" si="0"/>
        <v>0</v>
      </c>
      <c r="G19" s="30">
        <f t="shared" si="0"/>
        <v>0</v>
      </c>
      <c r="H19" s="30">
        <f t="shared" si="0"/>
        <v>0</v>
      </c>
      <c r="I19" s="30">
        <f t="shared" si="0"/>
        <v>0</v>
      </c>
      <c r="J19" s="30">
        <f t="shared" si="0"/>
        <v>0</v>
      </c>
      <c r="K19" s="30">
        <f t="shared" si="0"/>
        <v>0</v>
      </c>
    </row>
    <row r="20" spans="1:11" ht="15" customHeight="1" x14ac:dyDescent="0.25">
      <c r="A20" t="s">
        <v>18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</row>
    <row r="21" spans="1:11" ht="15" customHeight="1" x14ac:dyDescent="0.3">
      <c r="A21" s="1" t="s">
        <v>19</v>
      </c>
      <c r="B21" s="30">
        <f>B19-B20</f>
        <v>0</v>
      </c>
      <c r="C21" s="30">
        <f t="shared" ref="C21:K21" si="1">C19-C20</f>
        <v>0</v>
      </c>
      <c r="D21" s="30">
        <f t="shared" si="1"/>
        <v>0</v>
      </c>
      <c r="E21" s="30">
        <f t="shared" si="1"/>
        <v>0</v>
      </c>
      <c r="F21" s="30">
        <f t="shared" si="1"/>
        <v>0</v>
      </c>
      <c r="G21" s="30">
        <f>G19-G20</f>
        <v>0</v>
      </c>
      <c r="H21" s="30">
        <f t="shared" si="1"/>
        <v>0</v>
      </c>
      <c r="I21" s="30">
        <f t="shared" si="1"/>
        <v>0</v>
      </c>
      <c r="J21" s="30">
        <f t="shared" si="1"/>
        <v>0</v>
      </c>
      <c r="K21" s="30">
        <f t="shared" si="1"/>
        <v>0</v>
      </c>
    </row>
    <row r="22" spans="1:11" ht="15" customHeight="1" x14ac:dyDescent="0.25">
      <c r="A22" t="s">
        <v>20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</row>
    <row r="23" spans="1:11" ht="15" customHeight="1" x14ac:dyDescent="0.3">
      <c r="A23" s="1" t="s">
        <v>21</v>
      </c>
      <c r="B23" s="30">
        <f>B21-B22</f>
        <v>0</v>
      </c>
      <c r="C23" s="30">
        <f t="shared" ref="C23:K23" si="2">C21-C22</f>
        <v>0</v>
      </c>
      <c r="D23" s="30">
        <f t="shared" si="2"/>
        <v>0</v>
      </c>
      <c r="E23" s="30">
        <f t="shared" si="2"/>
        <v>0</v>
      </c>
      <c r="F23" s="30">
        <f t="shared" si="2"/>
        <v>0</v>
      </c>
      <c r="G23" s="30">
        <f t="shared" si="2"/>
        <v>0</v>
      </c>
      <c r="H23" s="30">
        <f>H21-H22</f>
        <v>0</v>
      </c>
      <c r="I23" s="30">
        <f t="shared" si="2"/>
        <v>0</v>
      </c>
      <c r="J23" s="30">
        <f t="shared" si="2"/>
        <v>0</v>
      </c>
      <c r="K23" s="30">
        <f t="shared" si="2"/>
        <v>0</v>
      </c>
    </row>
    <row r="24" spans="1:11" ht="15" customHeight="1" x14ac:dyDescent="0.25">
      <c r="A24" t="s">
        <v>22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</row>
    <row r="25" spans="1:11" ht="15" customHeight="1" x14ac:dyDescent="0.25">
      <c r="A25" s="15" t="s">
        <v>23</v>
      </c>
      <c r="B25" s="26">
        <f>B23-B24</f>
        <v>0</v>
      </c>
      <c r="C25" s="26">
        <f t="shared" ref="C25:K25" si="3">C23-C24</f>
        <v>0</v>
      </c>
      <c r="D25" s="26">
        <f t="shared" si="3"/>
        <v>0</v>
      </c>
      <c r="E25" s="26">
        <f t="shared" si="3"/>
        <v>0</v>
      </c>
      <c r="F25" s="26">
        <f t="shared" si="3"/>
        <v>0</v>
      </c>
      <c r="G25" s="26">
        <f t="shared" si="3"/>
        <v>0</v>
      </c>
      <c r="H25" s="26">
        <f>H23-H24</f>
        <v>0</v>
      </c>
      <c r="I25" s="26">
        <f t="shared" si="3"/>
        <v>0</v>
      </c>
      <c r="J25" s="26">
        <f t="shared" si="3"/>
        <v>0</v>
      </c>
      <c r="K25" s="26">
        <f t="shared" si="3"/>
        <v>0</v>
      </c>
    </row>
    <row r="26" spans="1:11" ht="18" customHeight="1" x14ac:dyDescent="0.3">
      <c r="A26" s="20" t="s">
        <v>24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1:11" ht="15" customHeight="1" x14ac:dyDescent="0.25">
      <c r="A27" s="5" t="s">
        <v>12</v>
      </c>
      <c r="B27" s="4">
        <f>year</f>
        <v>0</v>
      </c>
      <c r="C27" s="4">
        <f>year+1</f>
        <v>1</v>
      </c>
      <c r="D27" s="4">
        <f>year+2</f>
        <v>2</v>
      </c>
      <c r="E27" s="4">
        <f>year+3</f>
        <v>3</v>
      </c>
      <c r="F27" s="4">
        <f>year+4</f>
        <v>4</v>
      </c>
      <c r="G27" s="4">
        <f>year+5</f>
        <v>5</v>
      </c>
      <c r="H27" s="4">
        <f>year+6</f>
        <v>6</v>
      </c>
      <c r="I27" s="4">
        <f>year+7</f>
        <v>7</v>
      </c>
      <c r="J27" s="4">
        <f>year+8</f>
        <v>8</v>
      </c>
      <c r="K27" s="4">
        <f>year+9</f>
        <v>9</v>
      </c>
    </row>
    <row r="28" spans="1:11" ht="15" customHeight="1" x14ac:dyDescent="0.3">
      <c r="A28" s="20" t="s">
        <v>25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spans="1:11" ht="15" customHeight="1" x14ac:dyDescent="0.25">
      <c r="A29" s="7" t="s">
        <v>26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5" customHeight="1" x14ac:dyDescent="0.25">
      <c r="A30" s="7" t="s">
        <v>27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</row>
    <row r="31" spans="1:11" ht="15" customHeight="1" x14ac:dyDescent="0.25">
      <c r="A31" s="7" t="s">
        <v>28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</row>
    <row r="32" spans="1:11" ht="15" customHeight="1" x14ac:dyDescent="0.25">
      <c r="A32" t="s">
        <v>29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</row>
    <row r="33" spans="1:11" ht="15" customHeight="1" x14ac:dyDescent="0.3">
      <c r="A33" s="1" t="s">
        <v>30</v>
      </c>
      <c r="B33" s="12">
        <f>SUM(B29:B32)</f>
        <v>0</v>
      </c>
      <c r="C33" s="12">
        <f t="shared" ref="C33:K33" si="4">SUM(C29:C32)</f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2">
        <f t="shared" si="4"/>
        <v>0</v>
      </c>
      <c r="H33" s="12">
        <f>SUM(H29:H32)</f>
        <v>0</v>
      </c>
      <c r="I33" s="12">
        <f t="shared" si="4"/>
        <v>0</v>
      </c>
      <c r="J33" s="12">
        <f t="shared" si="4"/>
        <v>0</v>
      </c>
      <c r="K33" s="12">
        <f t="shared" si="4"/>
        <v>0</v>
      </c>
    </row>
    <row r="34" spans="1:11" ht="15" customHeight="1" x14ac:dyDescent="0.25"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spans="1:11" ht="15" customHeight="1" x14ac:dyDescent="0.25">
      <c r="A35" t="s">
        <v>31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</row>
    <row r="36" spans="1:11" ht="15" customHeight="1" x14ac:dyDescent="0.25">
      <c r="A36" t="s">
        <v>32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</row>
    <row r="37" spans="1:11" ht="15" customHeight="1" x14ac:dyDescent="0.3">
      <c r="A37" s="1" t="s">
        <v>33</v>
      </c>
      <c r="B37" s="12">
        <f>B35-B36</f>
        <v>0</v>
      </c>
      <c r="C37" s="12">
        <f t="shared" ref="C37:K37" si="5">C35-C36</f>
        <v>0</v>
      </c>
      <c r="D37" s="12">
        <f t="shared" si="5"/>
        <v>0</v>
      </c>
      <c r="E37" s="12">
        <f t="shared" si="5"/>
        <v>0</v>
      </c>
      <c r="F37" s="12">
        <f t="shared" si="5"/>
        <v>0</v>
      </c>
      <c r="G37" s="12">
        <f>G35-G36</f>
        <v>0</v>
      </c>
      <c r="H37" s="12">
        <f t="shared" si="5"/>
        <v>0</v>
      </c>
      <c r="I37" s="12">
        <f t="shared" si="5"/>
        <v>0</v>
      </c>
      <c r="J37" s="12">
        <f t="shared" si="5"/>
        <v>0</v>
      </c>
      <c r="K37" s="12">
        <f t="shared" si="5"/>
        <v>0</v>
      </c>
    </row>
    <row r="38" spans="1:11" ht="15" customHeight="1" x14ac:dyDescent="0.25">
      <c r="A38" t="s">
        <v>34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</row>
    <row r="39" spans="1:11" ht="15" customHeight="1" x14ac:dyDescent="0.3">
      <c r="A39" s="1" t="s">
        <v>35</v>
      </c>
      <c r="B39" s="12">
        <f>B37+B38</f>
        <v>0</v>
      </c>
      <c r="C39" s="12">
        <f t="shared" ref="C39:K39" si="6">C37+C38</f>
        <v>0</v>
      </c>
      <c r="D39" s="12">
        <f t="shared" si="6"/>
        <v>0</v>
      </c>
      <c r="E39" s="12">
        <f t="shared" si="6"/>
        <v>0</v>
      </c>
      <c r="F39" s="12">
        <f t="shared" si="6"/>
        <v>0</v>
      </c>
      <c r="G39" s="12">
        <f>G37+G38</f>
        <v>0</v>
      </c>
      <c r="H39" s="12">
        <f t="shared" si="6"/>
        <v>0</v>
      </c>
      <c r="I39" s="12">
        <f t="shared" si="6"/>
        <v>0</v>
      </c>
      <c r="J39" s="12">
        <f t="shared" si="6"/>
        <v>0</v>
      </c>
      <c r="K39" s="12">
        <f t="shared" si="6"/>
        <v>0</v>
      </c>
    </row>
    <row r="40" spans="1:11" ht="15" customHeight="1" x14ac:dyDescent="0.3">
      <c r="A40" s="1" t="s">
        <v>36</v>
      </c>
      <c r="B40" s="12">
        <f>B33+B39</f>
        <v>0</v>
      </c>
      <c r="C40" s="12">
        <f t="shared" ref="C40:K40" si="7">C33+C39</f>
        <v>0</v>
      </c>
      <c r="D40" s="12">
        <f t="shared" si="7"/>
        <v>0</v>
      </c>
      <c r="E40" s="12">
        <f t="shared" si="7"/>
        <v>0</v>
      </c>
      <c r="F40" s="12">
        <f t="shared" si="7"/>
        <v>0</v>
      </c>
      <c r="G40" s="12">
        <f>G33+G39</f>
        <v>0</v>
      </c>
      <c r="H40" s="12">
        <f t="shared" si="7"/>
        <v>0</v>
      </c>
      <c r="I40" s="12">
        <f t="shared" si="7"/>
        <v>0</v>
      </c>
      <c r="J40" s="12">
        <f t="shared" si="7"/>
        <v>0</v>
      </c>
      <c r="K40" s="12">
        <f t="shared" si="7"/>
        <v>0</v>
      </c>
    </row>
    <row r="41" spans="1:11" ht="15" customHeight="1" x14ac:dyDescent="0.25"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 spans="1:11" ht="15" customHeight="1" x14ac:dyDescent="0.3">
      <c r="A42" s="20" t="s">
        <v>37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</row>
    <row r="43" spans="1:11" ht="15" customHeight="1" x14ac:dyDescent="0.25">
      <c r="A43" s="7" t="s">
        <v>38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</row>
    <row r="44" spans="1:11" ht="15" customHeight="1" x14ac:dyDescent="0.25">
      <c r="A44" s="7" t="s">
        <v>39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</row>
    <row r="45" spans="1:11" ht="15" customHeight="1" x14ac:dyDescent="0.25">
      <c r="A45" s="7" t="s">
        <v>40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</row>
    <row r="46" spans="1:11" ht="15" customHeight="1" x14ac:dyDescent="0.3">
      <c r="A46" s="1" t="s">
        <v>41</v>
      </c>
      <c r="B46" s="12">
        <f>B43+B44+B45</f>
        <v>0</v>
      </c>
      <c r="C46" s="12">
        <f t="shared" ref="C46:K46" si="8">C43+C44+C45</f>
        <v>0</v>
      </c>
      <c r="D46" s="12">
        <f t="shared" si="8"/>
        <v>0</v>
      </c>
      <c r="E46" s="12">
        <f t="shared" si="8"/>
        <v>0</v>
      </c>
      <c r="F46" s="12">
        <f t="shared" si="8"/>
        <v>0</v>
      </c>
      <c r="G46" s="12">
        <f t="shared" si="8"/>
        <v>0</v>
      </c>
      <c r="H46" s="12">
        <f>H43+H44+H45</f>
        <v>0</v>
      </c>
      <c r="I46" s="12">
        <f t="shared" si="8"/>
        <v>0</v>
      </c>
      <c r="J46" s="12">
        <f t="shared" si="8"/>
        <v>0</v>
      </c>
      <c r="K46" s="12">
        <f t="shared" si="8"/>
        <v>0</v>
      </c>
    </row>
    <row r="47" spans="1:11" ht="15" customHeight="1" x14ac:dyDescent="0.3">
      <c r="A47" s="1"/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 spans="1:11" ht="15" customHeight="1" x14ac:dyDescent="0.3">
      <c r="A48" s="1" t="s">
        <v>42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</row>
    <row r="49" spans="1:11" ht="15" customHeight="1" x14ac:dyDescent="0.25">
      <c r="A49" t="s">
        <v>43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</row>
    <row r="50" spans="1:11" ht="15" customHeight="1" x14ac:dyDescent="0.25">
      <c r="A50" t="s">
        <v>44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</row>
    <row r="51" spans="1:11" ht="15" customHeight="1" x14ac:dyDescent="0.25">
      <c r="A51" t="s">
        <v>23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</row>
    <row r="52" spans="1:11" ht="15" customHeight="1" x14ac:dyDescent="0.3">
      <c r="A52" s="1" t="s">
        <v>45</v>
      </c>
      <c r="B52" s="12">
        <f>B49+B50+B51</f>
        <v>0</v>
      </c>
      <c r="C52" s="12">
        <f t="shared" ref="C52:K52" si="9">C49+C50+C51</f>
        <v>0</v>
      </c>
      <c r="D52" s="12">
        <f t="shared" si="9"/>
        <v>0</v>
      </c>
      <c r="E52" s="12">
        <f t="shared" si="9"/>
        <v>0</v>
      </c>
      <c r="F52" s="12">
        <f t="shared" si="9"/>
        <v>0</v>
      </c>
      <c r="G52" s="12">
        <f t="shared" si="9"/>
        <v>0</v>
      </c>
      <c r="H52" s="12">
        <f>H49+H50+H51</f>
        <v>0</v>
      </c>
      <c r="I52" s="12">
        <f t="shared" si="9"/>
        <v>0</v>
      </c>
      <c r="J52" s="12">
        <f t="shared" si="9"/>
        <v>0</v>
      </c>
      <c r="K52" s="12">
        <f t="shared" si="9"/>
        <v>0</v>
      </c>
    </row>
    <row r="53" spans="1:11" ht="15" customHeight="1" x14ac:dyDescent="0.3">
      <c r="A53" s="1" t="s">
        <v>46</v>
      </c>
      <c r="B53" s="12">
        <f>B46+B48+B52</f>
        <v>0</v>
      </c>
      <c r="C53" s="12">
        <f t="shared" ref="C53:K53" si="10">C46+C48+C52</f>
        <v>0</v>
      </c>
      <c r="D53" s="12">
        <f t="shared" si="10"/>
        <v>0</v>
      </c>
      <c r="E53" s="12">
        <f t="shared" si="10"/>
        <v>0</v>
      </c>
      <c r="F53" s="12">
        <f t="shared" si="10"/>
        <v>0</v>
      </c>
      <c r="G53" s="12">
        <f t="shared" si="10"/>
        <v>0</v>
      </c>
      <c r="H53" s="12">
        <f>H46+H48+H52</f>
        <v>0</v>
      </c>
      <c r="I53" s="12">
        <f t="shared" si="10"/>
        <v>0</v>
      </c>
      <c r="J53" s="12">
        <f t="shared" si="10"/>
        <v>0</v>
      </c>
      <c r="K53" s="12">
        <f t="shared" si="10"/>
        <v>0</v>
      </c>
    </row>
    <row r="54" spans="1:11" ht="15" customHeight="1" thickBot="1" x14ac:dyDescent="0.3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</row>
    <row r="55" spans="1:11" ht="15.5" x14ac:dyDescent="0.35">
      <c r="A55" s="2" t="s">
        <v>47</v>
      </c>
      <c r="B55" s="4" t="s">
        <v>48</v>
      </c>
    </row>
    <row r="56" spans="1:11" ht="15" customHeight="1" x14ac:dyDescent="0.25">
      <c r="B56" s="31" t="s">
        <v>12</v>
      </c>
    </row>
    <row r="57" spans="1:11" ht="15" customHeight="1" x14ac:dyDescent="0.25">
      <c r="A57" s="3" t="s">
        <v>12</v>
      </c>
      <c r="B57" s="4">
        <f>year</f>
        <v>0</v>
      </c>
      <c r="C57" s="4">
        <f>year+1</f>
        <v>1</v>
      </c>
      <c r="D57" s="4">
        <f>year+2</f>
        <v>2</v>
      </c>
      <c r="E57" s="4">
        <f>year+3</f>
        <v>3</v>
      </c>
      <c r="F57" s="4">
        <f>year+4</f>
        <v>4</v>
      </c>
      <c r="G57" s="4">
        <f>year+5</f>
        <v>5</v>
      </c>
      <c r="H57" s="4">
        <f>year+6</f>
        <v>6</v>
      </c>
      <c r="I57" s="4">
        <f>year+7</f>
        <v>7</v>
      </c>
      <c r="J57" s="4">
        <f>year+8</f>
        <v>8</v>
      </c>
      <c r="K57" s="4">
        <f>year+9</f>
        <v>9</v>
      </c>
    </row>
    <row r="58" spans="1:11" ht="15" customHeight="1" x14ac:dyDescent="0.3">
      <c r="A58" s="1" t="s">
        <v>11</v>
      </c>
    </row>
    <row r="59" spans="1:11" ht="15" customHeight="1" x14ac:dyDescent="0.25">
      <c r="A59" t="s">
        <v>13</v>
      </c>
      <c r="B59" s="8" t="e">
        <f>B15/rev</f>
        <v>#DIV/0!</v>
      </c>
      <c r="C59" s="8" t="e">
        <f t="shared" ref="C59:K59" si="11">C15/rev</f>
        <v>#DIV/0!</v>
      </c>
      <c r="D59" s="8" t="e">
        <f t="shared" si="11"/>
        <v>#DIV/0!</v>
      </c>
      <c r="E59" s="8" t="e">
        <f t="shared" si="11"/>
        <v>#DIV/0!</v>
      </c>
      <c r="F59" s="8" t="e">
        <f t="shared" si="11"/>
        <v>#DIV/0!</v>
      </c>
      <c r="G59" s="8" t="e">
        <f>G15/rev</f>
        <v>#DIV/0!</v>
      </c>
      <c r="H59" s="8" t="e">
        <f t="shared" si="11"/>
        <v>#DIV/0!</v>
      </c>
      <c r="I59" s="8" t="e">
        <f t="shared" si="11"/>
        <v>#DIV/0!</v>
      </c>
      <c r="J59" s="8" t="e">
        <f t="shared" si="11"/>
        <v>#DIV/0!</v>
      </c>
      <c r="K59" s="8" t="e">
        <f t="shared" si="11"/>
        <v>#DIV/0!</v>
      </c>
    </row>
    <row r="60" spans="1:11" ht="15" customHeight="1" x14ac:dyDescent="0.25">
      <c r="A60" t="s">
        <v>14</v>
      </c>
      <c r="B60" s="8" t="e">
        <f>B16/cgs</f>
        <v>#DIV/0!</v>
      </c>
      <c r="C60" s="8" t="e">
        <f t="shared" ref="C60:K60" si="12">C16/cgs</f>
        <v>#DIV/0!</v>
      </c>
      <c r="D60" s="8" t="e">
        <f t="shared" si="12"/>
        <v>#DIV/0!</v>
      </c>
      <c r="E60" s="8" t="e">
        <f t="shared" si="12"/>
        <v>#DIV/0!</v>
      </c>
      <c r="F60" s="8" t="e">
        <f t="shared" si="12"/>
        <v>#DIV/0!</v>
      </c>
      <c r="G60" s="8" t="e">
        <f>G16/cgs</f>
        <v>#DIV/0!</v>
      </c>
      <c r="H60" s="8" t="e">
        <f t="shared" si="12"/>
        <v>#DIV/0!</v>
      </c>
      <c r="I60" s="8" t="e">
        <f t="shared" si="12"/>
        <v>#DIV/0!</v>
      </c>
      <c r="J60" s="8" t="e">
        <f t="shared" si="12"/>
        <v>#DIV/0!</v>
      </c>
      <c r="K60" s="8" t="e">
        <f t="shared" si="12"/>
        <v>#DIV/0!</v>
      </c>
    </row>
    <row r="61" spans="1:11" ht="15" customHeight="1" x14ac:dyDescent="0.25">
      <c r="A61" t="s">
        <v>15</v>
      </c>
      <c r="B61" s="8" t="e">
        <f>B17/sga</f>
        <v>#DIV/0!</v>
      </c>
      <c r="C61" s="8" t="e">
        <f t="shared" ref="C61:K61" si="13">C17/sga</f>
        <v>#DIV/0!</v>
      </c>
      <c r="D61" s="8" t="e">
        <f t="shared" si="13"/>
        <v>#DIV/0!</v>
      </c>
      <c r="E61" s="8" t="e">
        <f t="shared" si="13"/>
        <v>#DIV/0!</v>
      </c>
      <c r="F61" s="8" t="e">
        <f t="shared" si="13"/>
        <v>#DIV/0!</v>
      </c>
      <c r="G61" s="8" t="e">
        <f>G17/sga</f>
        <v>#DIV/0!</v>
      </c>
      <c r="H61" s="8" t="e">
        <f t="shared" si="13"/>
        <v>#DIV/0!</v>
      </c>
      <c r="I61" s="8" t="e">
        <f t="shared" si="13"/>
        <v>#DIV/0!</v>
      </c>
      <c r="J61" s="8" t="e">
        <f t="shared" si="13"/>
        <v>#DIV/0!</v>
      </c>
      <c r="K61" s="8" t="e">
        <f t="shared" si="13"/>
        <v>#DIV/0!</v>
      </c>
    </row>
    <row r="62" spans="1:11" ht="15" customHeight="1" x14ac:dyDescent="0.25">
      <c r="A62" t="s">
        <v>21</v>
      </c>
      <c r="B62" s="8" t="e">
        <f>B23/ni</f>
        <v>#DIV/0!</v>
      </c>
      <c r="C62" s="8" t="e">
        <f t="shared" ref="C62:K62" si="14">C23/ni</f>
        <v>#DIV/0!</v>
      </c>
      <c r="D62" s="8" t="e">
        <f t="shared" si="14"/>
        <v>#DIV/0!</v>
      </c>
      <c r="E62" s="8" t="e">
        <f t="shared" si="14"/>
        <v>#DIV/0!</v>
      </c>
      <c r="F62" s="8" t="e">
        <f t="shared" si="14"/>
        <v>#DIV/0!</v>
      </c>
      <c r="G62" s="8" t="e">
        <f>G23/ni</f>
        <v>#DIV/0!</v>
      </c>
      <c r="H62" s="8" t="e">
        <f t="shared" si="14"/>
        <v>#DIV/0!</v>
      </c>
      <c r="I62" s="8" t="e">
        <f t="shared" si="14"/>
        <v>#DIV/0!</v>
      </c>
      <c r="J62" s="8" t="e">
        <f t="shared" si="14"/>
        <v>#DIV/0!</v>
      </c>
      <c r="K62" s="8" t="e">
        <f t="shared" si="14"/>
        <v>#DIV/0!</v>
      </c>
    </row>
    <row r="63" spans="1:11" ht="15" customHeight="1" x14ac:dyDescent="0.25"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 ht="15" customHeight="1" x14ac:dyDescent="0.3">
      <c r="A64" s="1" t="s">
        <v>24</v>
      </c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ht="15" customHeight="1" x14ac:dyDescent="0.25">
      <c r="A65" t="s">
        <v>29</v>
      </c>
      <c r="B65" s="8" t="e">
        <f>B32/inv</f>
        <v>#DIV/0!</v>
      </c>
      <c r="C65" s="8" t="e">
        <f t="shared" ref="C65:K65" si="15">C32/inv</f>
        <v>#DIV/0!</v>
      </c>
      <c r="D65" s="8" t="e">
        <f t="shared" si="15"/>
        <v>#DIV/0!</v>
      </c>
      <c r="E65" s="8" t="e">
        <f t="shared" si="15"/>
        <v>#DIV/0!</v>
      </c>
      <c r="F65" s="8" t="e">
        <f t="shared" si="15"/>
        <v>#DIV/0!</v>
      </c>
      <c r="G65" s="8" t="e">
        <f>G32/inv</f>
        <v>#DIV/0!</v>
      </c>
      <c r="H65" s="8" t="e">
        <f t="shared" si="15"/>
        <v>#DIV/0!</v>
      </c>
      <c r="I65" s="8" t="e">
        <f t="shared" si="15"/>
        <v>#DIV/0!</v>
      </c>
      <c r="J65" s="8" t="e">
        <f t="shared" si="15"/>
        <v>#DIV/0!</v>
      </c>
      <c r="K65" s="8" t="e">
        <f t="shared" si="15"/>
        <v>#DIV/0!</v>
      </c>
    </row>
    <row r="66" spans="1:11" ht="15" customHeight="1" x14ac:dyDescent="0.25">
      <c r="A66" t="s">
        <v>30</v>
      </c>
      <c r="B66" s="8" t="e">
        <f>B33/ca</f>
        <v>#DIV/0!</v>
      </c>
      <c r="C66" s="8" t="e">
        <f t="shared" ref="C66:K66" si="16">C33/ca</f>
        <v>#DIV/0!</v>
      </c>
      <c r="D66" s="8" t="e">
        <f t="shared" si="16"/>
        <v>#DIV/0!</v>
      </c>
      <c r="E66" s="8" t="e">
        <f t="shared" si="16"/>
        <v>#DIV/0!</v>
      </c>
      <c r="F66" s="8" t="e">
        <f t="shared" si="16"/>
        <v>#DIV/0!</v>
      </c>
      <c r="G66" s="8" t="e">
        <f>G33/ca</f>
        <v>#DIV/0!</v>
      </c>
      <c r="H66" s="8" t="e">
        <f t="shared" si="16"/>
        <v>#DIV/0!</v>
      </c>
      <c r="I66" s="8" t="e">
        <f t="shared" si="16"/>
        <v>#DIV/0!</v>
      </c>
      <c r="J66" s="8" t="e">
        <f t="shared" si="16"/>
        <v>#DIV/0!</v>
      </c>
      <c r="K66" s="8" t="e">
        <f t="shared" si="16"/>
        <v>#DIV/0!</v>
      </c>
    </row>
    <row r="67" spans="1:11" ht="15" customHeight="1" x14ac:dyDescent="0.25">
      <c r="A67" t="s">
        <v>33</v>
      </c>
      <c r="B67" s="8" t="e">
        <f>B37/equip</f>
        <v>#DIV/0!</v>
      </c>
      <c r="C67" s="8" t="e">
        <f t="shared" ref="C67:K67" si="17">C37/equip</f>
        <v>#DIV/0!</v>
      </c>
      <c r="D67" s="8" t="e">
        <f t="shared" si="17"/>
        <v>#DIV/0!</v>
      </c>
      <c r="E67" s="8" t="e">
        <f t="shared" si="17"/>
        <v>#DIV/0!</v>
      </c>
      <c r="F67" s="8" t="e">
        <f t="shared" si="17"/>
        <v>#DIV/0!</v>
      </c>
      <c r="G67" s="8" t="e">
        <f>G37/equip</f>
        <v>#DIV/0!</v>
      </c>
      <c r="H67" s="8" t="e">
        <f t="shared" si="17"/>
        <v>#DIV/0!</v>
      </c>
      <c r="I67" s="8" t="e">
        <f t="shared" si="17"/>
        <v>#DIV/0!</v>
      </c>
      <c r="J67" s="8" t="e">
        <f t="shared" si="17"/>
        <v>#DIV/0!</v>
      </c>
      <c r="K67" s="8" t="e">
        <f t="shared" si="17"/>
        <v>#DIV/0!</v>
      </c>
    </row>
    <row r="68" spans="1:11" ht="15" customHeight="1" x14ac:dyDescent="0.3">
      <c r="A68" s="1" t="s">
        <v>36</v>
      </c>
      <c r="B68" s="8" t="e">
        <f>B40/ta</f>
        <v>#DIV/0!</v>
      </c>
      <c r="C68" s="8" t="e">
        <f t="shared" ref="C68:K68" si="18">C40/ta</f>
        <v>#DIV/0!</v>
      </c>
      <c r="D68" s="8" t="e">
        <f t="shared" si="18"/>
        <v>#DIV/0!</v>
      </c>
      <c r="E68" s="8" t="e">
        <f t="shared" si="18"/>
        <v>#DIV/0!</v>
      </c>
      <c r="F68" s="8" t="e">
        <f t="shared" si="18"/>
        <v>#DIV/0!</v>
      </c>
      <c r="G68" s="8" t="e">
        <f>G40/ta</f>
        <v>#DIV/0!</v>
      </c>
      <c r="H68" s="8" t="e">
        <f t="shared" si="18"/>
        <v>#DIV/0!</v>
      </c>
      <c r="I68" s="8" t="e">
        <f t="shared" si="18"/>
        <v>#DIV/0!</v>
      </c>
      <c r="J68" s="8" t="e">
        <f t="shared" si="18"/>
        <v>#DIV/0!</v>
      </c>
      <c r="K68" s="8" t="e">
        <f t="shared" si="18"/>
        <v>#DIV/0!</v>
      </c>
    </row>
    <row r="69" spans="1:11" ht="15" customHeight="1" x14ac:dyDescent="0.25">
      <c r="A69" t="s">
        <v>41</v>
      </c>
      <c r="B69" s="8" t="e">
        <f>B46/cliab</f>
        <v>#DIV/0!</v>
      </c>
      <c r="C69" s="8" t="e">
        <f t="shared" ref="C69:K69" si="19">C46/cliab</f>
        <v>#DIV/0!</v>
      </c>
      <c r="D69" s="8" t="e">
        <f t="shared" si="19"/>
        <v>#DIV/0!</v>
      </c>
      <c r="E69" s="8" t="e">
        <f t="shared" si="19"/>
        <v>#DIV/0!</v>
      </c>
      <c r="F69" s="8" t="e">
        <f t="shared" si="19"/>
        <v>#DIV/0!</v>
      </c>
      <c r="G69" s="8" t="e">
        <f>G46/cliab</f>
        <v>#DIV/0!</v>
      </c>
      <c r="H69" s="8" t="e">
        <f t="shared" si="19"/>
        <v>#DIV/0!</v>
      </c>
      <c r="I69" s="8" t="e">
        <f t="shared" si="19"/>
        <v>#DIV/0!</v>
      </c>
      <c r="J69" s="8" t="e">
        <f t="shared" si="19"/>
        <v>#DIV/0!</v>
      </c>
      <c r="K69" s="8" t="e">
        <f t="shared" si="19"/>
        <v>#DIV/0!</v>
      </c>
    </row>
    <row r="70" spans="1:11" ht="15" customHeight="1" x14ac:dyDescent="0.25">
      <c r="A70" t="s">
        <v>42</v>
      </c>
      <c r="B70" s="8" t="e">
        <f>B48/ltd</f>
        <v>#DIV/0!</v>
      </c>
      <c r="C70" s="8" t="e">
        <f t="shared" ref="C70:K70" si="20">C48/ltd</f>
        <v>#DIV/0!</v>
      </c>
      <c r="D70" s="8" t="e">
        <f t="shared" si="20"/>
        <v>#DIV/0!</v>
      </c>
      <c r="E70" s="8" t="e">
        <f t="shared" si="20"/>
        <v>#DIV/0!</v>
      </c>
      <c r="F70" s="8" t="e">
        <f t="shared" si="20"/>
        <v>#DIV/0!</v>
      </c>
      <c r="G70" s="8" t="e">
        <f>G48/ltd</f>
        <v>#DIV/0!</v>
      </c>
      <c r="H70" s="8" t="e">
        <f t="shared" si="20"/>
        <v>#DIV/0!</v>
      </c>
      <c r="I70" s="8" t="e">
        <f t="shared" si="20"/>
        <v>#DIV/0!</v>
      </c>
      <c r="J70" s="8" t="e">
        <f t="shared" si="20"/>
        <v>#DIV/0!</v>
      </c>
      <c r="K70" s="8" t="e">
        <f t="shared" si="20"/>
        <v>#DIV/0!</v>
      </c>
    </row>
    <row r="71" spans="1:11" ht="15" customHeight="1" x14ac:dyDescent="0.25">
      <c r="A71" t="s">
        <v>45</v>
      </c>
      <c r="B71" s="8" t="e">
        <f>B52/equity</f>
        <v>#DIV/0!</v>
      </c>
      <c r="C71" s="8" t="e">
        <f t="shared" ref="C71:K71" si="21">C52/equity</f>
        <v>#DIV/0!</v>
      </c>
      <c r="D71" s="8" t="e">
        <f t="shared" si="21"/>
        <v>#DIV/0!</v>
      </c>
      <c r="E71" s="8" t="e">
        <f t="shared" si="21"/>
        <v>#DIV/0!</v>
      </c>
      <c r="F71" s="8" t="e">
        <f t="shared" si="21"/>
        <v>#DIV/0!</v>
      </c>
      <c r="G71" s="8" t="e">
        <f>G52/equity</f>
        <v>#DIV/0!</v>
      </c>
      <c r="H71" s="8" t="e">
        <f t="shared" si="21"/>
        <v>#DIV/0!</v>
      </c>
      <c r="I71" s="8" t="e">
        <f t="shared" si="21"/>
        <v>#DIV/0!</v>
      </c>
      <c r="J71" s="8" t="e">
        <f t="shared" si="21"/>
        <v>#DIV/0!</v>
      </c>
      <c r="K71" s="8" t="e">
        <f t="shared" si="21"/>
        <v>#DIV/0!</v>
      </c>
    </row>
    <row r="72" spans="1:11" ht="15" customHeight="1" thickBot="1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</row>
    <row r="73" spans="1:11" ht="15.5" x14ac:dyDescent="0.35">
      <c r="A73" s="9" t="s">
        <v>49</v>
      </c>
    </row>
    <row r="74" spans="1:11" ht="15" customHeight="1" x14ac:dyDescent="0.25">
      <c r="A74" s="3" t="s">
        <v>12</v>
      </c>
      <c r="B74" s="4">
        <f>year</f>
        <v>0</v>
      </c>
      <c r="C74" s="4">
        <f>year+1</f>
        <v>1</v>
      </c>
      <c r="D74" s="4">
        <f>year+2</f>
        <v>2</v>
      </c>
      <c r="E74" s="4">
        <f>year+3</f>
        <v>3</v>
      </c>
      <c r="F74" s="4">
        <f>year+4</f>
        <v>4</v>
      </c>
      <c r="G74" s="4">
        <f>year+5</f>
        <v>5</v>
      </c>
      <c r="H74" s="4">
        <f>year+6</f>
        <v>6</v>
      </c>
      <c r="I74" s="4">
        <f>year+7</f>
        <v>7</v>
      </c>
      <c r="J74" s="4">
        <f>year+8</f>
        <v>8</v>
      </c>
      <c r="K74" s="4">
        <f>year+9</f>
        <v>9</v>
      </c>
    </row>
    <row r="75" spans="1:11" ht="15" customHeight="1" x14ac:dyDescent="0.3">
      <c r="A75" s="1" t="s">
        <v>11</v>
      </c>
    </row>
    <row r="76" spans="1:11" ht="15" customHeight="1" x14ac:dyDescent="0.25">
      <c r="A76" s="10" t="s">
        <v>13</v>
      </c>
      <c r="B76" s="8" t="e">
        <f>B15/B15</f>
        <v>#DIV/0!</v>
      </c>
      <c r="C76" s="8" t="e">
        <f t="shared" ref="C76:K76" si="22">C15/C15</f>
        <v>#DIV/0!</v>
      </c>
      <c r="D76" s="8" t="e">
        <f t="shared" si="22"/>
        <v>#DIV/0!</v>
      </c>
      <c r="E76" s="8" t="e">
        <f t="shared" si="22"/>
        <v>#DIV/0!</v>
      </c>
      <c r="F76" s="8" t="e">
        <f t="shared" si="22"/>
        <v>#DIV/0!</v>
      </c>
      <c r="G76" s="8" t="e">
        <f>G15/G15</f>
        <v>#DIV/0!</v>
      </c>
      <c r="H76" s="8" t="e">
        <f t="shared" si="22"/>
        <v>#DIV/0!</v>
      </c>
      <c r="I76" s="8" t="e">
        <f t="shared" si="22"/>
        <v>#DIV/0!</v>
      </c>
      <c r="J76" s="8" t="e">
        <f t="shared" si="22"/>
        <v>#DIV/0!</v>
      </c>
      <c r="K76" s="8" t="e">
        <f t="shared" si="22"/>
        <v>#DIV/0!</v>
      </c>
    </row>
    <row r="77" spans="1:11" ht="15" customHeight="1" x14ac:dyDescent="0.25">
      <c r="A77" t="s">
        <v>14</v>
      </c>
      <c r="B77" s="8" t="e">
        <f>B16/B15</f>
        <v>#DIV/0!</v>
      </c>
      <c r="C77" s="8" t="e">
        <f t="shared" ref="C77:K77" si="23">C16/C15</f>
        <v>#DIV/0!</v>
      </c>
      <c r="D77" s="8" t="e">
        <f t="shared" si="23"/>
        <v>#DIV/0!</v>
      </c>
      <c r="E77" s="8" t="e">
        <f t="shared" si="23"/>
        <v>#DIV/0!</v>
      </c>
      <c r="F77" s="8" t="e">
        <f t="shared" si="23"/>
        <v>#DIV/0!</v>
      </c>
      <c r="G77" s="8" t="e">
        <f>G16/G15</f>
        <v>#DIV/0!</v>
      </c>
      <c r="H77" s="8" t="e">
        <f t="shared" si="23"/>
        <v>#DIV/0!</v>
      </c>
      <c r="I77" s="8" t="e">
        <f t="shared" si="23"/>
        <v>#DIV/0!</v>
      </c>
      <c r="J77" s="8" t="e">
        <f t="shared" si="23"/>
        <v>#DIV/0!</v>
      </c>
      <c r="K77" s="8" t="e">
        <f t="shared" si="23"/>
        <v>#DIV/0!</v>
      </c>
    </row>
    <row r="78" spans="1:11" ht="15" customHeight="1" x14ac:dyDescent="0.25">
      <c r="A78" t="s">
        <v>15</v>
      </c>
      <c r="B78" s="8" t="e">
        <f>B17/B15</f>
        <v>#DIV/0!</v>
      </c>
      <c r="C78" s="8" t="e">
        <f t="shared" ref="C78:K78" si="24">C17/C15</f>
        <v>#DIV/0!</v>
      </c>
      <c r="D78" s="8" t="e">
        <f t="shared" si="24"/>
        <v>#DIV/0!</v>
      </c>
      <c r="E78" s="8" t="e">
        <f t="shared" si="24"/>
        <v>#DIV/0!</v>
      </c>
      <c r="F78" s="8" t="e">
        <f t="shared" si="24"/>
        <v>#DIV/0!</v>
      </c>
      <c r="G78" s="8" t="e">
        <f>G17/G15</f>
        <v>#DIV/0!</v>
      </c>
      <c r="H78" s="8" t="e">
        <f t="shared" si="24"/>
        <v>#DIV/0!</v>
      </c>
      <c r="I78" s="8" t="e">
        <f t="shared" si="24"/>
        <v>#DIV/0!</v>
      </c>
      <c r="J78" s="8" t="e">
        <f t="shared" si="24"/>
        <v>#DIV/0!</v>
      </c>
      <c r="K78" s="8" t="e">
        <f t="shared" si="24"/>
        <v>#DIV/0!</v>
      </c>
    </row>
    <row r="79" spans="1:11" ht="15" customHeight="1" x14ac:dyDescent="0.25">
      <c r="A79" s="7" t="s">
        <v>17</v>
      </c>
      <c r="B79" s="8" t="e">
        <f>B19/B15</f>
        <v>#DIV/0!</v>
      </c>
      <c r="C79" s="8" t="e">
        <f t="shared" ref="C79:K79" si="25">C19/C15</f>
        <v>#DIV/0!</v>
      </c>
      <c r="D79" s="8" t="e">
        <f t="shared" si="25"/>
        <v>#DIV/0!</v>
      </c>
      <c r="E79" s="8" t="e">
        <f t="shared" si="25"/>
        <v>#DIV/0!</v>
      </c>
      <c r="F79" s="8" t="e">
        <f t="shared" si="25"/>
        <v>#DIV/0!</v>
      </c>
      <c r="G79" s="8" t="e">
        <f>G19/G15</f>
        <v>#DIV/0!</v>
      </c>
      <c r="H79" s="8" t="e">
        <f t="shared" si="25"/>
        <v>#DIV/0!</v>
      </c>
      <c r="I79" s="8" t="e">
        <f t="shared" si="25"/>
        <v>#DIV/0!</v>
      </c>
      <c r="J79" s="8" t="e">
        <f t="shared" si="25"/>
        <v>#DIV/0!</v>
      </c>
      <c r="K79" s="8" t="e">
        <f t="shared" si="25"/>
        <v>#DIV/0!</v>
      </c>
    </row>
    <row r="80" spans="1:11" ht="15" customHeight="1" x14ac:dyDescent="0.25">
      <c r="A80" s="7" t="s">
        <v>19</v>
      </c>
      <c r="B80" s="8" t="e">
        <f>B21/B15</f>
        <v>#DIV/0!</v>
      </c>
      <c r="C80" s="8" t="e">
        <f t="shared" ref="C80:K80" si="26">C21/C15</f>
        <v>#DIV/0!</v>
      </c>
      <c r="D80" s="8" t="e">
        <f t="shared" si="26"/>
        <v>#DIV/0!</v>
      </c>
      <c r="E80" s="8" t="e">
        <f t="shared" si="26"/>
        <v>#DIV/0!</v>
      </c>
      <c r="F80" s="8" t="e">
        <f t="shared" si="26"/>
        <v>#DIV/0!</v>
      </c>
      <c r="G80" s="8" t="e">
        <f>G21/G15</f>
        <v>#DIV/0!</v>
      </c>
      <c r="H80" s="8" t="e">
        <f t="shared" si="26"/>
        <v>#DIV/0!</v>
      </c>
      <c r="I80" s="8" t="e">
        <f t="shared" si="26"/>
        <v>#DIV/0!</v>
      </c>
      <c r="J80" s="8" t="e">
        <f t="shared" si="26"/>
        <v>#DIV/0!</v>
      </c>
      <c r="K80" s="8" t="e">
        <f t="shared" si="26"/>
        <v>#DIV/0!</v>
      </c>
    </row>
    <row r="81" spans="1:11" ht="15" customHeight="1" x14ac:dyDescent="0.25">
      <c r="A81" s="7" t="s">
        <v>21</v>
      </c>
      <c r="B81" s="8" t="e">
        <f>B23/B15</f>
        <v>#DIV/0!</v>
      </c>
      <c r="C81" s="8" t="e">
        <f t="shared" ref="C81:K81" si="27">C23/C15</f>
        <v>#DIV/0!</v>
      </c>
      <c r="D81" s="8" t="e">
        <f t="shared" si="27"/>
        <v>#DIV/0!</v>
      </c>
      <c r="E81" s="8" t="e">
        <f t="shared" si="27"/>
        <v>#DIV/0!</v>
      </c>
      <c r="F81" s="8" t="e">
        <f t="shared" si="27"/>
        <v>#DIV/0!</v>
      </c>
      <c r="G81" s="8" t="e">
        <f>G23/G15</f>
        <v>#DIV/0!</v>
      </c>
      <c r="H81" s="8" t="e">
        <f t="shared" si="27"/>
        <v>#DIV/0!</v>
      </c>
      <c r="I81" s="8" t="e">
        <f t="shared" si="27"/>
        <v>#DIV/0!</v>
      </c>
      <c r="J81" s="8" t="e">
        <f t="shared" si="27"/>
        <v>#DIV/0!</v>
      </c>
      <c r="K81" s="8" t="e">
        <f t="shared" si="27"/>
        <v>#DIV/0!</v>
      </c>
    </row>
    <row r="82" spans="1:11" ht="15" customHeight="1" x14ac:dyDescent="0.25"/>
    <row r="83" spans="1:11" ht="15" customHeight="1" x14ac:dyDescent="0.3">
      <c r="A83" s="1" t="s">
        <v>24</v>
      </c>
    </row>
    <row r="84" spans="1:11" ht="15" customHeight="1" x14ac:dyDescent="0.25">
      <c r="A84" s="7" t="s">
        <v>36</v>
      </c>
      <c r="B84" s="8" t="e">
        <f>B40/B40</f>
        <v>#DIV/0!</v>
      </c>
      <c r="C84" s="8" t="e">
        <f t="shared" ref="C84:K84" si="28">C40/C40</f>
        <v>#DIV/0!</v>
      </c>
      <c r="D84" s="8" t="e">
        <f t="shared" si="28"/>
        <v>#DIV/0!</v>
      </c>
      <c r="E84" s="8" t="e">
        <f t="shared" si="28"/>
        <v>#DIV/0!</v>
      </c>
      <c r="F84" s="8" t="e">
        <f t="shared" si="28"/>
        <v>#DIV/0!</v>
      </c>
      <c r="G84" s="8" t="e">
        <f>G40/G40</f>
        <v>#DIV/0!</v>
      </c>
      <c r="H84" s="8" t="e">
        <f t="shared" si="28"/>
        <v>#DIV/0!</v>
      </c>
      <c r="I84" s="8" t="e">
        <f t="shared" si="28"/>
        <v>#DIV/0!</v>
      </c>
      <c r="J84" s="8" t="e">
        <f t="shared" si="28"/>
        <v>#DIV/0!</v>
      </c>
      <c r="K84" s="8" t="e">
        <f t="shared" si="28"/>
        <v>#DIV/0!</v>
      </c>
    </row>
    <row r="85" spans="1:11" ht="15" customHeight="1" x14ac:dyDescent="0.25">
      <c r="A85" s="7" t="s">
        <v>26</v>
      </c>
      <c r="B85" s="8" t="e">
        <f>B29/B40</f>
        <v>#DIV/0!</v>
      </c>
      <c r="C85" s="8" t="e">
        <f t="shared" ref="C85:K85" si="29">C29/C40</f>
        <v>#DIV/0!</v>
      </c>
      <c r="D85" s="8" t="e">
        <f t="shared" si="29"/>
        <v>#DIV/0!</v>
      </c>
      <c r="E85" s="8" t="e">
        <f t="shared" si="29"/>
        <v>#DIV/0!</v>
      </c>
      <c r="F85" s="8" t="e">
        <f t="shared" si="29"/>
        <v>#DIV/0!</v>
      </c>
      <c r="G85" s="8" t="e">
        <f>G29/G40</f>
        <v>#DIV/0!</v>
      </c>
      <c r="H85" s="8" t="e">
        <f t="shared" si="29"/>
        <v>#DIV/0!</v>
      </c>
      <c r="I85" s="8" t="e">
        <f t="shared" si="29"/>
        <v>#DIV/0!</v>
      </c>
      <c r="J85" s="8" t="e">
        <f t="shared" si="29"/>
        <v>#DIV/0!</v>
      </c>
      <c r="K85" s="8" t="e">
        <f t="shared" si="29"/>
        <v>#DIV/0!</v>
      </c>
    </row>
    <row r="86" spans="1:11" ht="15" customHeight="1" x14ac:dyDescent="0.25">
      <c r="A86" s="7" t="s">
        <v>28</v>
      </c>
      <c r="B86" s="8" t="e">
        <f>B31/B40</f>
        <v>#DIV/0!</v>
      </c>
      <c r="C86" s="8" t="e">
        <f t="shared" ref="C86:K86" si="30">C31/C40</f>
        <v>#DIV/0!</v>
      </c>
      <c r="D86" s="8" t="e">
        <f t="shared" si="30"/>
        <v>#DIV/0!</v>
      </c>
      <c r="E86" s="8" t="e">
        <f t="shared" si="30"/>
        <v>#DIV/0!</v>
      </c>
      <c r="F86" s="8" t="e">
        <f t="shared" si="30"/>
        <v>#DIV/0!</v>
      </c>
      <c r="G86" s="8" t="e">
        <f>G31/G40</f>
        <v>#DIV/0!</v>
      </c>
      <c r="H86" s="8" t="e">
        <f t="shared" si="30"/>
        <v>#DIV/0!</v>
      </c>
      <c r="I86" s="8" t="e">
        <f t="shared" si="30"/>
        <v>#DIV/0!</v>
      </c>
      <c r="J86" s="8" t="e">
        <f t="shared" si="30"/>
        <v>#DIV/0!</v>
      </c>
      <c r="K86" s="8" t="e">
        <f t="shared" si="30"/>
        <v>#DIV/0!</v>
      </c>
    </row>
    <row r="87" spans="1:11" ht="15" customHeight="1" x14ac:dyDescent="0.25">
      <c r="A87" t="s">
        <v>29</v>
      </c>
      <c r="B87" s="8" t="e">
        <f>B32/B40</f>
        <v>#DIV/0!</v>
      </c>
      <c r="C87" s="8" t="e">
        <f t="shared" ref="C87:K87" si="31">C32/C40</f>
        <v>#DIV/0!</v>
      </c>
      <c r="D87" s="8" t="e">
        <f t="shared" si="31"/>
        <v>#DIV/0!</v>
      </c>
      <c r="E87" s="8" t="e">
        <f t="shared" si="31"/>
        <v>#DIV/0!</v>
      </c>
      <c r="F87" s="8" t="e">
        <f t="shared" si="31"/>
        <v>#DIV/0!</v>
      </c>
      <c r="G87" s="8" t="e">
        <f>G32/G40</f>
        <v>#DIV/0!</v>
      </c>
      <c r="H87" s="8" t="e">
        <f t="shared" si="31"/>
        <v>#DIV/0!</v>
      </c>
      <c r="I87" s="8" t="e">
        <f t="shared" si="31"/>
        <v>#DIV/0!</v>
      </c>
      <c r="J87" s="8" t="e">
        <f t="shared" si="31"/>
        <v>#DIV/0!</v>
      </c>
      <c r="K87" s="8" t="e">
        <f t="shared" si="31"/>
        <v>#DIV/0!</v>
      </c>
    </row>
    <row r="88" spans="1:11" ht="15" customHeight="1" x14ac:dyDescent="0.25">
      <c r="A88" t="s">
        <v>35</v>
      </c>
      <c r="B88" s="8" t="e">
        <f>B39/B40</f>
        <v>#DIV/0!</v>
      </c>
      <c r="C88" s="8" t="e">
        <f t="shared" ref="C88:K88" si="32">C39/C40</f>
        <v>#DIV/0!</v>
      </c>
      <c r="D88" s="8" t="e">
        <f t="shared" si="32"/>
        <v>#DIV/0!</v>
      </c>
      <c r="E88" s="8" t="e">
        <f t="shared" si="32"/>
        <v>#DIV/0!</v>
      </c>
      <c r="F88" s="8" t="e">
        <f t="shared" si="32"/>
        <v>#DIV/0!</v>
      </c>
      <c r="G88" s="8" t="e">
        <f>G39/G40</f>
        <v>#DIV/0!</v>
      </c>
      <c r="H88" s="8" t="e">
        <f t="shared" si="32"/>
        <v>#DIV/0!</v>
      </c>
      <c r="I88" s="8" t="e">
        <f t="shared" si="32"/>
        <v>#DIV/0!</v>
      </c>
      <c r="J88" s="8" t="e">
        <f t="shared" si="32"/>
        <v>#DIV/0!</v>
      </c>
      <c r="K88" s="8" t="e">
        <f t="shared" si="32"/>
        <v>#DIV/0!</v>
      </c>
    </row>
    <row r="89" spans="1:11" ht="15" customHeight="1" x14ac:dyDescent="0.25">
      <c r="A89" t="s">
        <v>41</v>
      </c>
      <c r="B89" s="8" t="e">
        <f>B46/B40</f>
        <v>#DIV/0!</v>
      </c>
      <c r="C89" s="8" t="e">
        <f t="shared" ref="C89:K89" si="33">C46/C40</f>
        <v>#DIV/0!</v>
      </c>
      <c r="D89" s="8" t="e">
        <f t="shared" si="33"/>
        <v>#DIV/0!</v>
      </c>
      <c r="E89" s="8" t="e">
        <f t="shared" si="33"/>
        <v>#DIV/0!</v>
      </c>
      <c r="F89" s="8" t="e">
        <f t="shared" si="33"/>
        <v>#DIV/0!</v>
      </c>
      <c r="G89" s="8" t="e">
        <f>G46/G40</f>
        <v>#DIV/0!</v>
      </c>
      <c r="H89" s="8" t="e">
        <f t="shared" si="33"/>
        <v>#DIV/0!</v>
      </c>
      <c r="I89" s="8" t="e">
        <f t="shared" si="33"/>
        <v>#DIV/0!</v>
      </c>
      <c r="J89" s="8" t="e">
        <f t="shared" si="33"/>
        <v>#DIV/0!</v>
      </c>
      <c r="K89" s="8" t="e">
        <f t="shared" si="33"/>
        <v>#DIV/0!</v>
      </c>
    </row>
    <row r="90" spans="1:11" ht="15" customHeight="1" x14ac:dyDescent="0.25">
      <c r="A90" t="s">
        <v>42</v>
      </c>
      <c r="B90" s="8" t="e">
        <f>B48/B40</f>
        <v>#DIV/0!</v>
      </c>
      <c r="C90" s="8" t="e">
        <f t="shared" ref="C90:K90" si="34">C48/C40</f>
        <v>#DIV/0!</v>
      </c>
      <c r="D90" s="8" t="e">
        <f t="shared" si="34"/>
        <v>#DIV/0!</v>
      </c>
      <c r="E90" s="8" t="e">
        <f t="shared" si="34"/>
        <v>#DIV/0!</v>
      </c>
      <c r="F90" s="8" t="e">
        <f t="shared" si="34"/>
        <v>#DIV/0!</v>
      </c>
      <c r="G90" s="8" t="e">
        <f>G48/G40</f>
        <v>#DIV/0!</v>
      </c>
      <c r="H90" s="8" t="e">
        <f t="shared" si="34"/>
        <v>#DIV/0!</v>
      </c>
      <c r="I90" s="8" t="e">
        <f t="shared" si="34"/>
        <v>#DIV/0!</v>
      </c>
      <c r="J90" s="8" t="e">
        <f t="shared" si="34"/>
        <v>#DIV/0!</v>
      </c>
      <c r="K90" s="8" t="e">
        <f t="shared" si="34"/>
        <v>#DIV/0!</v>
      </c>
    </row>
    <row r="91" spans="1:11" ht="15" customHeight="1" x14ac:dyDescent="0.25">
      <c r="A91" t="s">
        <v>45</v>
      </c>
      <c r="B91" s="8" t="e">
        <f>B52/B40</f>
        <v>#DIV/0!</v>
      </c>
      <c r="C91" s="8" t="e">
        <f t="shared" ref="C91:K91" si="35">C52/C40</f>
        <v>#DIV/0!</v>
      </c>
      <c r="D91" s="8" t="e">
        <f t="shared" si="35"/>
        <v>#DIV/0!</v>
      </c>
      <c r="E91" s="8" t="e">
        <f t="shared" si="35"/>
        <v>#DIV/0!</v>
      </c>
      <c r="F91" s="8" t="e">
        <f t="shared" si="35"/>
        <v>#DIV/0!</v>
      </c>
      <c r="G91" s="8" t="e">
        <f>G52/G40</f>
        <v>#DIV/0!</v>
      </c>
      <c r="H91" s="8" t="e">
        <f t="shared" si="35"/>
        <v>#DIV/0!</v>
      </c>
      <c r="I91" s="8" t="e">
        <f t="shared" si="35"/>
        <v>#DIV/0!</v>
      </c>
      <c r="J91" s="8" t="e">
        <f t="shared" si="35"/>
        <v>#DIV/0!</v>
      </c>
      <c r="K91" s="8" t="e">
        <f t="shared" si="35"/>
        <v>#DIV/0!</v>
      </c>
    </row>
    <row r="92" spans="1:11" ht="15" customHeight="1" thickBot="1" x14ac:dyDescent="0.3">
      <c r="A92" s="13"/>
      <c r="B92" s="14"/>
      <c r="C92" s="14"/>
      <c r="D92" s="14"/>
      <c r="E92" s="14"/>
      <c r="F92" s="14"/>
      <c r="G92" s="14"/>
      <c r="H92" s="14"/>
      <c r="I92" s="14"/>
      <c r="J92" s="14"/>
      <c r="K92" s="14"/>
    </row>
    <row r="93" spans="1:11" ht="18" customHeight="1" x14ac:dyDescent="0.35">
      <c r="A93" s="22" t="s">
        <v>50</v>
      </c>
    </row>
    <row r="94" spans="1:11" ht="15" customHeight="1" x14ac:dyDescent="0.25">
      <c r="A94" s="23" t="s">
        <v>12</v>
      </c>
      <c r="B94" s="4">
        <f>year</f>
        <v>0</v>
      </c>
      <c r="C94" s="4">
        <f>year+1</f>
        <v>1</v>
      </c>
      <c r="D94" s="4">
        <f>year+2</f>
        <v>2</v>
      </c>
      <c r="E94" s="4">
        <f>year+3</f>
        <v>3</v>
      </c>
      <c r="F94" s="4">
        <f>year+4</f>
        <v>4</v>
      </c>
      <c r="G94" s="4">
        <f>year+5</f>
        <v>5</v>
      </c>
      <c r="H94" s="4">
        <f>year+6</f>
        <v>6</v>
      </c>
      <c r="I94" s="4">
        <f>year+7</f>
        <v>7</v>
      </c>
      <c r="J94" s="4">
        <f>year+8</f>
        <v>8</v>
      </c>
      <c r="K94" s="4">
        <f>year+9</f>
        <v>9</v>
      </c>
    </row>
    <row r="95" spans="1:11" ht="15" customHeight="1" x14ac:dyDescent="0.25">
      <c r="A95" s="5" t="s">
        <v>19</v>
      </c>
      <c r="B95" s="24">
        <f t="shared" ref="B95:K95" si="36">B21</f>
        <v>0</v>
      </c>
      <c r="C95" s="24">
        <f t="shared" si="36"/>
        <v>0</v>
      </c>
      <c r="D95" s="24">
        <f t="shared" si="36"/>
        <v>0</v>
      </c>
      <c r="E95" s="24">
        <f t="shared" si="36"/>
        <v>0</v>
      </c>
      <c r="F95" s="24">
        <f t="shared" si="36"/>
        <v>0</v>
      </c>
      <c r="G95" s="24">
        <f t="shared" si="36"/>
        <v>0</v>
      </c>
      <c r="H95" s="24">
        <f t="shared" si="36"/>
        <v>0</v>
      </c>
      <c r="I95" s="24">
        <f t="shared" si="36"/>
        <v>0</v>
      </c>
      <c r="J95" s="24">
        <f t="shared" si="36"/>
        <v>0</v>
      </c>
      <c r="K95" s="24">
        <f t="shared" si="36"/>
        <v>0</v>
      </c>
    </row>
    <row r="96" spans="1:11" ht="15" customHeight="1" x14ac:dyDescent="0.25">
      <c r="A96" s="5" t="s">
        <v>51</v>
      </c>
      <c r="B96" s="25"/>
      <c r="C96" s="25"/>
      <c r="D96" s="25"/>
      <c r="E96" s="25"/>
      <c r="F96" s="25"/>
      <c r="G96" s="25"/>
      <c r="H96" s="25"/>
      <c r="I96" s="25"/>
      <c r="J96" s="25"/>
      <c r="K96" s="25"/>
    </row>
    <row r="97" spans="1:11" ht="15" customHeight="1" x14ac:dyDescent="0.25">
      <c r="A97" s="5" t="s">
        <v>52</v>
      </c>
      <c r="B97" s="24">
        <f>B95*B96</f>
        <v>0</v>
      </c>
      <c r="C97" s="24">
        <f t="shared" ref="C97:K97" si="37">C95*C96</f>
        <v>0</v>
      </c>
      <c r="D97" s="24">
        <f t="shared" si="37"/>
        <v>0</v>
      </c>
      <c r="E97" s="24">
        <f t="shared" si="37"/>
        <v>0</v>
      </c>
      <c r="F97" s="24">
        <f t="shared" si="37"/>
        <v>0</v>
      </c>
      <c r="G97" s="24">
        <f>G95*G96</f>
        <v>0</v>
      </c>
      <c r="H97" s="24">
        <f t="shared" si="37"/>
        <v>0</v>
      </c>
      <c r="I97" s="24">
        <f t="shared" si="37"/>
        <v>0</v>
      </c>
      <c r="J97" s="24">
        <f t="shared" si="37"/>
        <v>0</v>
      </c>
      <c r="K97" s="24">
        <f t="shared" si="37"/>
        <v>0</v>
      </c>
    </row>
    <row r="98" spans="1:11" ht="15" customHeight="1" thickBot="1" x14ac:dyDescent="0.3">
      <c r="A98" s="13"/>
      <c r="B98" s="14"/>
      <c r="C98" s="14"/>
      <c r="D98" s="14"/>
      <c r="E98" s="14"/>
      <c r="F98" s="14"/>
      <c r="G98" s="14"/>
      <c r="H98" s="14"/>
      <c r="I98" s="14"/>
      <c r="J98" s="14"/>
      <c r="K98" s="14"/>
    </row>
  </sheetData>
  <sheetProtection sheet="1" objects="1" scenarios="1"/>
  <printOptions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ca</vt:lpstr>
      <vt:lpstr>cgs</vt:lpstr>
      <vt:lpstr>cliab</vt:lpstr>
      <vt:lpstr>equip</vt:lpstr>
      <vt:lpstr>equity</vt:lpstr>
      <vt:lpstr>inv</vt:lpstr>
      <vt:lpstr>ltd</vt:lpstr>
      <vt:lpstr>ni</vt:lpstr>
      <vt:lpstr>rev</vt:lpstr>
      <vt:lpstr>sga</vt:lpstr>
      <vt:lpstr>ta</vt:lpstr>
      <vt:lpstr>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Hugh Hunter</dc:creator>
  <cp:keywords/>
  <dc:description/>
  <cp:lastModifiedBy>Carina Negreanu</cp:lastModifiedBy>
  <dcterms:created xsi:type="dcterms:W3CDTF">2020-01-27T10:25:25Z</dcterms:created>
  <dcterms:modified xsi:type="dcterms:W3CDTF">2020-01-27T10:25:25Z</dcterms:modified>
</cp:coreProperties>
</file>