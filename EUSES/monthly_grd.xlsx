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A6F1B1-18A8-4A74-98BB-9EE201A8D8A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calcChain.xml><?xml version="1.0" encoding="utf-8"?>
<calcChain xmlns="http://schemas.openxmlformats.org/spreadsheetml/2006/main">
  <c r="G4" i="1" l="1"/>
  <c r="I4" i="1"/>
  <c r="K4" i="1"/>
  <c r="M4" i="1"/>
  <c r="O4" i="1"/>
  <c r="S4" i="1"/>
  <c r="U4" i="1"/>
  <c r="G5" i="1"/>
  <c r="I5" i="1"/>
  <c r="K5" i="1"/>
  <c r="M5" i="1"/>
  <c r="O5" i="1"/>
  <c r="Q5" i="1"/>
  <c r="S5" i="1"/>
  <c r="U5" i="1"/>
  <c r="G6" i="1"/>
  <c r="I6" i="1"/>
  <c r="K6" i="1"/>
  <c r="M6" i="1"/>
  <c r="O6" i="1"/>
  <c r="Q6" i="1"/>
  <c r="S6" i="1"/>
  <c r="U6" i="1"/>
  <c r="G8" i="1"/>
  <c r="I8" i="1"/>
  <c r="K8" i="1"/>
  <c r="M8" i="1"/>
  <c r="O8" i="1"/>
  <c r="Q8" i="1"/>
  <c r="S8" i="1"/>
  <c r="U8" i="1"/>
  <c r="G9" i="1"/>
  <c r="I9" i="1"/>
  <c r="K9" i="1"/>
  <c r="M9" i="1"/>
  <c r="O9" i="1"/>
  <c r="Q9" i="1"/>
  <c r="S9" i="1"/>
  <c r="U9" i="1"/>
  <c r="G10" i="1"/>
  <c r="I10" i="1"/>
  <c r="K10" i="1"/>
  <c r="M10" i="1"/>
  <c r="O10" i="1"/>
  <c r="Q10" i="1"/>
  <c r="S10" i="1"/>
  <c r="U10" i="1"/>
  <c r="G12" i="1"/>
  <c r="I12" i="1"/>
  <c r="K12" i="1"/>
  <c r="M12" i="1"/>
  <c r="O12" i="1"/>
  <c r="Q12" i="1"/>
  <c r="S12" i="1"/>
  <c r="U12" i="1"/>
  <c r="G13" i="1"/>
  <c r="I13" i="1"/>
  <c r="K13" i="1"/>
  <c r="M13" i="1"/>
  <c r="O13" i="1"/>
  <c r="Q13" i="1"/>
  <c r="S13" i="1"/>
  <c r="U13" i="1"/>
  <c r="G14" i="1"/>
  <c r="I14" i="1"/>
  <c r="K14" i="1"/>
  <c r="M14" i="1"/>
  <c r="O14" i="1"/>
  <c r="Q14" i="1"/>
  <c r="S14" i="1"/>
  <c r="U14" i="1"/>
  <c r="G16" i="1"/>
  <c r="I16" i="1"/>
  <c r="K16" i="1"/>
  <c r="M16" i="1"/>
  <c r="O16" i="1"/>
  <c r="Q16" i="1"/>
  <c r="S16" i="1"/>
  <c r="U16" i="1"/>
  <c r="G17" i="1"/>
  <c r="I17" i="1"/>
  <c r="K17" i="1"/>
  <c r="M17" i="1"/>
  <c r="O17" i="1"/>
  <c r="Q17" i="1"/>
  <c r="S17" i="1"/>
  <c r="U17" i="1"/>
  <c r="G18" i="1"/>
  <c r="K18" i="1"/>
  <c r="M18" i="1"/>
  <c r="O18" i="1"/>
  <c r="Q18" i="1"/>
  <c r="S18" i="1"/>
  <c r="U18" i="1"/>
  <c r="G20" i="1"/>
  <c r="I20" i="1"/>
  <c r="K20" i="1"/>
  <c r="M20" i="1"/>
  <c r="O20" i="1"/>
  <c r="Q20" i="1"/>
  <c r="S20" i="1"/>
  <c r="U20" i="1"/>
  <c r="G21" i="1"/>
  <c r="I21" i="1"/>
  <c r="K21" i="1"/>
  <c r="M21" i="1"/>
  <c r="Q21" i="1"/>
  <c r="S21" i="1"/>
  <c r="U21" i="1"/>
  <c r="G22" i="1"/>
  <c r="I22" i="1"/>
  <c r="K22" i="1"/>
  <c r="M22" i="1"/>
  <c r="O22" i="1"/>
  <c r="Q22" i="1"/>
  <c r="S22" i="1"/>
  <c r="U22" i="1"/>
  <c r="G23" i="1"/>
  <c r="I23" i="1"/>
  <c r="K23" i="1"/>
  <c r="M23" i="1"/>
  <c r="O23" i="1"/>
  <c r="Q23" i="1"/>
  <c r="S23" i="1"/>
  <c r="U23" i="1"/>
  <c r="F24" i="1"/>
  <c r="H24" i="1"/>
  <c r="J24" i="1"/>
  <c r="L24" i="1"/>
  <c r="N24" i="1"/>
  <c r="P24" i="1"/>
  <c r="R24" i="1"/>
  <c r="T24" i="1"/>
  <c r="F32" i="1"/>
  <c r="H32" i="1"/>
  <c r="J32" i="1"/>
  <c r="L32" i="1"/>
  <c r="N32" i="1"/>
  <c r="P32" i="1"/>
  <c r="R32" i="1"/>
  <c r="T32" i="1"/>
  <c r="F33" i="1"/>
  <c r="H33" i="1"/>
  <c r="J33" i="1"/>
  <c r="L33" i="1"/>
  <c r="N33" i="1"/>
  <c r="P33" i="1"/>
  <c r="R33" i="1"/>
  <c r="T33" i="1"/>
  <c r="F35" i="1"/>
  <c r="H35" i="1"/>
  <c r="J35" i="1"/>
  <c r="L35" i="1"/>
  <c r="N35" i="1"/>
  <c r="P35" i="1"/>
  <c r="R35" i="1"/>
  <c r="T35" i="1"/>
  <c r="G39" i="1"/>
  <c r="I39" i="1"/>
  <c r="K39" i="1"/>
  <c r="M39" i="1"/>
  <c r="O39" i="1"/>
  <c r="S39" i="1"/>
  <c r="U39" i="1"/>
  <c r="G40" i="1"/>
  <c r="I40" i="1"/>
  <c r="K40" i="1"/>
  <c r="M40" i="1"/>
  <c r="O40" i="1"/>
  <c r="Q40" i="1"/>
  <c r="S40" i="1"/>
  <c r="U40" i="1"/>
  <c r="G41" i="1"/>
  <c r="I41" i="1"/>
  <c r="K41" i="1"/>
  <c r="M41" i="1"/>
  <c r="O41" i="1"/>
  <c r="Q41" i="1"/>
  <c r="S41" i="1"/>
  <c r="U41" i="1"/>
  <c r="G43" i="1"/>
  <c r="I43" i="1"/>
  <c r="K43" i="1"/>
  <c r="M43" i="1"/>
  <c r="O43" i="1"/>
  <c r="Q43" i="1"/>
  <c r="S43" i="1"/>
  <c r="U43" i="1"/>
  <c r="G44" i="1"/>
  <c r="I44" i="1"/>
  <c r="K44" i="1"/>
  <c r="M44" i="1"/>
  <c r="O44" i="1"/>
  <c r="Q44" i="1"/>
  <c r="S44" i="1"/>
  <c r="U44" i="1"/>
  <c r="G45" i="1"/>
  <c r="I45" i="1"/>
  <c r="K45" i="1"/>
  <c r="M45" i="1"/>
  <c r="O45" i="1"/>
  <c r="Q45" i="1"/>
  <c r="S45" i="1"/>
  <c r="U45" i="1"/>
  <c r="G47" i="1"/>
  <c r="I47" i="1"/>
  <c r="K47" i="1"/>
  <c r="M47" i="1"/>
  <c r="O47" i="1"/>
  <c r="Q47" i="1"/>
  <c r="S47" i="1"/>
  <c r="U47" i="1"/>
  <c r="G48" i="1"/>
  <c r="I48" i="1"/>
  <c r="K48" i="1"/>
  <c r="M48" i="1"/>
  <c r="O48" i="1"/>
  <c r="Q48" i="1"/>
  <c r="S48" i="1"/>
  <c r="U48" i="1"/>
  <c r="G49" i="1"/>
  <c r="I49" i="1"/>
  <c r="K49" i="1"/>
  <c r="M49" i="1"/>
  <c r="O49" i="1"/>
  <c r="Q49" i="1"/>
  <c r="S49" i="1"/>
  <c r="U49" i="1"/>
  <c r="G51" i="1"/>
  <c r="I51" i="1"/>
  <c r="K51" i="1"/>
  <c r="M51" i="1"/>
  <c r="O51" i="1"/>
  <c r="Q51" i="1"/>
  <c r="S51" i="1"/>
  <c r="U51" i="1"/>
  <c r="G52" i="1"/>
  <c r="I52" i="1"/>
  <c r="K52" i="1"/>
  <c r="M52" i="1"/>
  <c r="O52" i="1"/>
  <c r="Q52" i="1"/>
  <c r="S52" i="1"/>
  <c r="U52" i="1"/>
  <c r="G53" i="1"/>
  <c r="I53" i="1"/>
  <c r="K53" i="1"/>
  <c r="M53" i="1"/>
  <c r="O53" i="1"/>
  <c r="Q53" i="1"/>
  <c r="S53" i="1"/>
  <c r="U53" i="1"/>
  <c r="G55" i="1"/>
  <c r="I55" i="1"/>
  <c r="K55" i="1"/>
  <c r="M55" i="1"/>
  <c r="O55" i="1"/>
  <c r="Q55" i="1"/>
  <c r="S55" i="1"/>
  <c r="U55" i="1"/>
  <c r="G56" i="1"/>
  <c r="I56" i="1"/>
  <c r="K56" i="1"/>
  <c r="M56" i="1"/>
  <c r="Q56" i="1"/>
  <c r="S56" i="1"/>
  <c r="U56" i="1"/>
  <c r="G57" i="1"/>
  <c r="I57" i="1"/>
  <c r="K57" i="1"/>
  <c r="M57" i="1"/>
  <c r="O57" i="1"/>
  <c r="Q57" i="1"/>
  <c r="S57" i="1"/>
  <c r="U57" i="1"/>
  <c r="G58" i="1"/>
  <c r="I58" i="1"/>
  <c r="K58" i="1"/>
  <c r="M58" i="1"/>
  <c r="O58" i="1"/>
  <c r="Q58" i="1"/>
  <c r="S58" i="1"/>
  <c r="U58" i="1"/>
  <c r="F59" i="1"/>
  <c r="H59" i="1"/>
  <c r="J59" i="1"/>
  <c r="L59" i="1"/>
  <c r="N59" i="1"/>
  <c r="P59" i="1"/>
  <c r="R59" i="1"/>
  <c r="T59" i="1"/>
  <c r="F67" i="1"/>
  <c r="H67" i="1"/>
  <c r="J67" i="1"/>
  <c r="L67" i="1"/>
  <c r="N67" i="1"/>
  <c r="P67" i="1"/>
  <c r="R67" i="1"/>
  <c r="T67" i="1"/>
  <c r="F68" i="1"/>
  <c r="H68" i="1"/>
  <c r="J68" i="1"/>
  <c r="L68" i="1"/>
  <c r="N68" i="1"/>
  <c r="P68" i="1"/>
  <c r="R68" i="1"/>
  <c r="T68" i="1"/>
  <c r="F70" i="1"/>
  <c r="H70" i="1"/>
  <c r="J70" i="1"/>
  <c r="L70" i="1"/>
  <c r="N70" i="1"/>
  <c r="P70" i="1"/>
  <c r="R70" i="1"/>
  <c r="T70" i="1"/>
</calcChain>
</file>

<file path=xl/sharedStrings.xml><?xml version="1.0" encoding="utf-8"?>
<sst xmlns="http://schemas.openxmlformats.org/spreadsheetml/2006/main" count="156" uniqueCount="46">
  <si>
    <t>Generated: 28/05/2001 14:29</t>
  </si>
  <si>
    <t>Grading Report for Canadian Cattle February 2001</t>
  </si>
  <si>
    <t>REVISED</t>
  </si>
  <si>
    <t>Federal and Provincial Inspected Packing Plants</t>
  </si>
  <si>
    <t>Grades</t>
  </si>
  <si>
    <t>AB</t>
  </si>
  <si>
    <t>%</t>
  </si>
  <si>
    <t>BC/SK/MN</t>
  </si>
  <si>
    <t>West</t>
  </si>
  <si>
    <t>ON</t>
  </si>
  <si>
    <t>QC</t>
  </si>
  <si>
    <t>AP</t>
  </si>
  <si>
    <t>East</t>
  </si>
  <si>
    <t>Totals</t>
  </si>
  <si>
    <t xml:space="preserve">APR </t>
  </si>
  <si>
    <t>&gt;=59%</t>
  </si>
  <si>
    <t>54-58%</t>
  </si>
  <si>
    <t>&lt;=53%</t>
  </si>
  <si>
    <t xml:space="preserve">AAA </t>
  </si>
  <si>
    <t xml:space="preserve">AA  </t>
  </si>
  <si>
    <t xml:space="preserve">A   </t>
  </si>
  <si>
    <t xml:space="preserve">B1  </t>
  </si>
  <si>
    <t xml:space="preserve">  </t>
  </si>
  <si>
    <t xml:space="preserve"> </t>
  </si>
  <si>
    <t xml:space="preserve">B2  </t>
  </si>
  <si>
    <t xml:space="preserve">B3  </t>
  </si>
  <si>
    <t xml:space="preserve">B4  </t>
  </si>
  <si>
    <t>Youthful (Maturity 1)</t>
  </si>
  <si>
    <t xml:space="preserve">D1  </t>
  </si>
  <si>
    <t xml:space="preserve">D2  </t>
  </si>
  <si>
    <t xml:space="preserve">D3  </t>
  </si>
  <si>
    <t xml:space="preserve">D4  </t>
  </si>
  <si>
    <t xml:space="preserve">E   </t>
  </si>
  <si>
    <t>Mature (Maturity 2)</t>
  </si>
  <si>
    <t xml:space="preserve"> Graded Total</t>
  </si>
  <si>
    <t>Ungraded</t>
  </si>
  <si>
    <t xml:space="preserve"> Total Slaughter</t>
  </si>
  <si>
    <t>Carcass Basis</t>
  </si>
  <si>
    <t>YTD - 03/03/2001</t>
  </si>
  <si>
    <t>Jan - February 2001 Cumulative Totals To Date</t>
  </si>
  <si>
    <t>February 2001 Average Warm Carcass Weights Federal and Provincial Inspected Packing Plants</t>
  </si>
  <si>
    <t xml:space="preserve">Steer                         </t>
  </si>
  <si>
    <t>Year to Date</t>
  </si>
  <si>
    <t xml:space="preserve">Heifer                        </t>
  </si>
  <si>
    <t xml:space="preserve">Cow                           </t>
  </si>
  <si>
    <t xml:space="preserve">Bull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</si>
</sst>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right"/>
    </xf>
    <xf numFmtId="17" fontId="3" fillId="0" borderId="0" xfId="0" applyNumberFormat="1" applyFont="1"/>
    <xf numFmtId="0" fontId="0" fillId="0" borderId="2" xfId="0" applyBorder="1"/>
    <xf numFmtId="0" fontId="4" fillId="0" borderId="1" xfId="0" applyFont="1" applyBorder="1"/>
    <xf numFmtId="0" fontId="0" fillId="0" borderId="1" xfId="0" applyBorder="1"/>
    <xf numFmtId="172" fontId="1" fillId="0" borderId="0" xfId="0" applyNumberFormat="1" applyFont="1"/>
    <xf numFmtId="172" fontId="1" fillId="0" borderId="2" xfId="0" applyNumberFormat="1" applyFont="1" applyBorder="1"/>
    <xf numFmtId="172" fontId="1" fillId="0" borderId="1" xfId="0" applyNumberFormat="1" applyFont="1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1" xfId="0" applyNumberFormat="1" applyBorder="1"/>
    <xf numFmtId="17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workbookViewId="0"/>
  </sheetViews>
  <sheetFormatPr defaultRowHeight="12.5" x14ac:dyDescent="0.25"/>
  <cols>
    <col min="2" max="2" width="3.7265625" customWidth="1"/>
    <col min="3" max="3" width="7" customWidth="1"/>
    <col min="5" max="5" width="4.7265625" customWidth="1"/>
    <col min="7" max="7" width="4.7265625" customWidth="1"/>
    <col min="9" max="9" width="4.7265625" customWidth="1"/>
    <col min="11" max="11" width="4.7265625" customWidth="1"/>
    <col min="13" max="13" width="4.7265625" customWidth="1"/>
    <col min="15" max="15" width="4.7265625" customWidth="1"/>
    <col min="17" max="17" width="4.7265625" customWidth="1"/>
    <col min="19" max="19" width="4.7265625" customWidth="1"/>
    <col min="21" max="21" width="4.7265625" customWidth="1"/>
  </cols>
  <sheetData>
    <row r="1" spans="1:21" ht="20" x14ac:dyDescent="0.4">
      <c r="A1" s="1" t="s">
        <v>0</v>
      </c>
      <c r="H1" s="2" t="s">
        <v>1</v>
      </c>
      <c r="R1" s="17" t="s">
        <v>2</v>
      </c>
    </row>
    <row r="2" spans="1:21" ht="14" x14ac:dyDescent="0.3">
      <c r="A2" s="6">
        <v>36923</v>
      </c>
      <c r="B2" s="4"/>
      <c r="C2" s="4"/>
      <c r="D2" s="4"/>
      <c r="E2" s="3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3.5" thickBot="1" x14ac:dyDescent="0.35">
      <c r="A3" s="5" t="s">
        <v>4</v>
      </c>
      <c r="B3" s="5"/>
      <c r="C3" s="5"/>
      <c r="D3" s="5"/>
      <c r="E3" s="5"/>
      <c r="F3" s="5" t="s">
        <v>5</v>
      </c>
      <c r="G3" s="5" t="s">
        <v>6</v>
      </c>
      <c r="H3" s="5" t="s">
        <v>7</v>
      </c>
      <c r="I3" s="5" t="s">
        <v>6</v>
      </c>
      <c r="J3" s="5" t="s">
        <v>8</v>
      </c>
      <c r="K3" s="5" t="s">
        <v>6</v>
      </c>
      <c r="L3" s="5" t="s">
        <v>9</v>
      </c>
      <c r="M3" s="5" t="s">
        <v>6</v>
      </c>
      <c r="N3" s="5" t="s">
        <v>10</v>
      </c>
      <c r="O3" s="5" t="s">
        <v>6</v>
      </c>
      <c r="P3" s="5" t="s">
        <v>11</v>
      </c>
      <c r="Q3" s="5" t="s">
        <v>6</v>
      </c>
      <c r="R3" s="5" t="s">
        <v>12</v>
      </c>
      <c r="S3" s="5" t="s">
        <v>6</v>
      </c>
      <c r="T3" s="5" t="s">
        <v>13</v>
      </c>
      <c r="U3" s="5" t="s">
        <v>6</v>
      </c>
    </row>
    <row r="4" spans="1:21" ht="13" x14ac:dyDescent="0.3">
      <c r="A4" s="4" t="s">
        <v>14</v>
      </c>
      <c r="B4" s="4">
        <v>1</v>
      </c>
      <c r="C4" s="4" t="s">
        <v>15</v>
      </c>
      <c r="E4" s="10"/>
      <c r="F4">
        <v>280</v>
      </c>
      <c r="G4" s="10">
        <f>F4/$F$24*100</f>
        <v>0.19468509685583568</v>
      </c>
      <c r="H4">
        <v>10</v>
      </c>
      <c r="I4" s="10">
        <f>H4/$H$24*100</f>
        <v>0.18460402436773121</v>
      </c>
      <c r="J4">
        <v>290</v>
      </c>
      <c r="K4" s="10">
        <f>J4/$J$24*100</f>
        <v>0.19431917930299722</v>
      </c>
      <c r="L4">
        <v>26</v>
      </c>
      <c r="M4" s="10">
        <f>L4/$L$24*100</f>
        <v>6.9051602793934075E-2</v>
      </c>
      <c r="N4">
        <v>3</v>
      </c>
      <c r="O4" s="10">
        <f>N4/$N$24*100</f>
        <v>9.9370652533951651E-2</v>
      </c>
      <c r="P4">
        <v>0</v>
      </c>
      <c r="Q4" s="10"/>
      <c r="R4">
        <v>29</v>
      </c>
      <c r="S4" s="10">
        <f>R4/$R$24*100</f>
        <v>6.8704098554844828E-2</v>
      </c>
      <c r="T4">
        <v>319</v>
      </c>
      <c r="U4" s="10">
        <f>T4/$T$24*100</f>
        <v>0.16662400952734149</v>
      </c>
    </row>
    <row r="5" spans="1:21" ht="13" x14ac:dyDescent="0.3">
      <c r="A5" s="4"/>
      <c r="B5" s="4">
        <v>2</v>
      </c>
      <c r="C5" s="4" t="s">
        <v>16</v>
      </c>
      <c r="E5" s="10"/>
      <c r="F5">
        <v>686</v>
      </c>
      <c r="G5" s="10">
        <f>F5/$F$24*100</f>
        <v>0.47697848729679737</v>
      </c>
      <c r="H5">
        <v>5</v>
      </c>
      <c r="I5" s="10">
        <f>H5/$H$24*100</f>
        <v>9.2302012183865606E-2</v>
      </c>
      <c r="J5">
        <v>691</v>
      </c>
      <c r="K5" s="10">
        <f>J5/$J$24*100</f>
        <v>0.46301569964955541</v>
      </c>
      <c r="L5">
        <v>63</v>
      </c>
      <c r="M5" s="10">
        <f>L5/$L$24*100</f>
        <v>0.16731734523145567</v>
      </c>
      <c r="N5">
        <v>5</v>
      </c>
      <c r="O5" s="10">
        <f>N5/$N$24*100</f>
        <v>0.16561775422325273</v>
      </c>
      <c r="P5">
        <v>5</v>
      </c>
      <c r="Q5" s="10">
        <f>P5/$P$24*100</f>
        <v>0.32509752925877761</v>
      </c>
      <c r="R5">
        <v>73</v>
      </c>
      <c r="S5" s="10">
        <f>R5/$R$24*100</f>
        <v>0.17294479981047145</v>
      </c>
      <c r="T5">
        <v>764</v>
      </c>
      <c r="U5" s="10">
        <f>T5/$T$24*100</f>
        <v>0.39906189115639151</v>
      </c>
    </row>
    <row r="6" spans="1:21" ht="13" x14ac:dyDescent="0.3">
      <c r="A6" s="4"/>
      <c r="B6" s="4">
        <v>3</v>
      </c>
      <c r="C6" s="4" t="s">
        <v>17</v>
      </c>
      <c r="E6" s="10"/>
      <c r="F6">
        <v>519</v>
      </c>
      <c r="G6" s="10">
        <f>F6/$F$24*100</f>
        <v>0.36086273310063832</v>
      </c>
      <c r="H6">
        <v>1</v>
      </c>
      <c r="I6" s="10">
        <f>H6/$H$24*100</f>
        <v>1.8460402436773122E-2</v>
      </c>
      <c r="J6">
        <v>520</v>
      </c>
      <c r="K6" s="10">
        <f>J6/$J$24*100</f>
        <v>0.34843439047433983</v>
      </c>
      <c r="L6">
        <v>67</v>
      </c>
      <c r="M6" s="10">
        <f>L6/$L$24*100</f>
        <v>0.17794066873821476</v>
      </c>
      <c r="N6">
        <v>5</v>
      </c>
      <c r="O6" s="10">
        <f>N6/$N$24*100</f>
        <v>0.16561775422325273</v>
      </c>
      <c r="P6">
        <v>11</v>
      </c>
      <c r="Q6" s="10">
        <f>P6/$P$24*100</f>
        <v>0.71521456436931075</v>
      </c>
      <c r="R6">
        <v>83</v>
      </c>
      <c r="S6" s="10">
        <f>R6/$R$24*100</f>
        <v>0.1966358682776593</v>
      </c>
      <c r="T6">
        <v>603</v>
      </c>
      <c r="U6" s="10">
        <f>T6/$T$24*100</f>
        <v>0.31496638791531945</v>
      </c>
    </row>
    <row r="7" spans="1:21" x14ac:dyDescent="0.25">
      <c r="E7" s="10"/>
      <c r="G7" s="10"/>
      <c r="I7" s="10"/>
      <c r="K7" s="10"/>
      <c r="M7" s="10"/>
      <c r="O7" s="10"/>
      <c r="Q7" s="10"/>
      <c r="S7" s="10"/>
      <c r="U7" s="10"/>
    </row>
    <row r="8" spans="1:21" ht="13" x14ac:dyDescent="0.3">
      <c r="A8" s="4" t="s">
        <v>18</v>
      </c>
      <c r="B8" s="4">
        <v>1</v>
      </c>
      <c r="C8" s="4" t="s">
        <v>15</v>
      </c>
      <c r="E8" s="10"/>
      <c r="F8">
        <v>33091</v>
      </c>
      <c r="G8" s="10">
        <f>F8/$F$24*100</f>
        <v>23.008301928773069</v>
      </c>
      <c r="H8">
        <v>1344</v>
      </c>
      <c r="I8" s="10">
        <f>H8/$H$24*100</f>
        <v>24.810780875023074</v>
      </c>
      <c r="J8">
        <v>34435</v>
      </c>
      <c r="K8" s="10">
        <f>J8/$J$24*100</f>
        <v>23.073727376892101</v>
      </c>
      <c r="L8">
        <v>9609</v>
      </c>
      <c r="M8" s="10">
        <f>L8/$L$24*100</f>
        <v>25.519878894112026</v>
      </c>
      <c r="N8">
        <v>674</v>
      </c>
      <c r="O8" s="10">
        <f>N8/$N$24*100</f>
        <v>22.325273269294467</v>
      </c>
      <c r="P8">
        <v>211</v>
      </c>
      <c r="Q8" s="10">
        <f>P8/$P$24*100</f>
        <v>13.719115734720416</v>
      </c>
      <c r="R8">
        <v>10494</v>
      </c>
      <c r="S8" s="10">
        <f>R8/$R$24*100</f>
        <v>24.861407249466954</v>
      </c>
      <c r="T8">
        <v>44929</v>
      </c>
      <c r="U8" s="10">
        <f>T8/$T$24*100</f>
        <v>23.467868727441772</v>
      </c>
    </row>
    <row r="9" spans="1:21" ht="13" x14ac:dyDescent="0.3">
      <c r="A9" s="4"/>
      <c r="B9" s="4">
        <v>2</v>
      </c>
      <c r="C9" s="4" t="s">
        <v>16</v>
      </c>
      <c r="E9" s="10"/>
      <c r="F9">
        <v>33301</v>
      </c>
      <c r="G9" s="10">
        <f>F9/$F$24*100</f>
        <v>23.154315751414945</v>
      </c>
      <c r="H9">
        <v>661</v>
      </c>
      <c r="I9" s="10">
        <f>H9/$H$24*100</f>
        <v>12.202326010707033</v>
      </c>
      <c r="J9">
        <v>33962</v>
      </c>
      <c r="K9" s="10">
        <f>J9/$J$24*100</f>
        <v>22.756786094787557</v>
      </c>
      <c r="L9">
        <v>7829</v>
      </c>
      <c r="M9" s="10">
        <f>L9/$L$24*100</f>
        <v>20.792499933604226</v>
      </c>
      <c r="N9">
        <v>337</v>
      </c>
      <c r="O9" s="10">
        <f>N9/$N$24*100</f>
        <v>11.162636634647233</v>
      </c>
      <c r="P9">
        <v>203</v>
      </c>
      <c r="Q9" s="10">
        <f>P9/$P$24*100</f>
        <v>13.198959687906372</v>
      </c>
      <c r="R9">
        <v>8369</v>
      </c>
      <c r="S9" s="10">
        <f>R9/$R$24*100</f>
        <v>19.827055200189527</v>
      </c>
      <c r="T9">
        <v>42331</v>
      </c>
      <c r="U9" s="10">
        <f>T9/$T$24*100</f>
        <v>22.110849364582734</v>
      </c>
    </row>
    <row r="10" spans="1:21" ht="13" x14ac:dyDescent="0.3">
      <c r="A10" s="4"/>
      <c r="B10" s="4">
        <v>3</v>
      </c>
      <c r="C10" s="4" t="s">
        <v>17</v>
      </c>
      <c r="E10" s="10"/>
      <c r="F10">
        <v>15413</v>
      </c>
      <c r="G10" s="10">
        <f>F10/$F$24*100</f>
        <v>10.716719277996411</v>
      </c>
      <c r="H10">
        <v>134</v>
      </c>
      <c r="I10" s="10">
        <f>H10/$H$24*100</f>
        <v>2.4736939265275986</v>
      </c>
      <c r="J10">
        <v>15547</v>
      </c>
      <c r="K10" s="10">
        <f>J10/$J$24*100</f>
        <v>10.417518209047232</v>
      </c>
      <c r="L10">
        <v>3000</v>
      </c>
      <c r="M10" s="10">
        <f>L10/$L$24*100</f>
        <v>7.9674926300693176</v>
      </c>
      <c r="N10">
        <v>142</v>
      </c>
      <c r="O10" s="10">
        <f>N10/$N$24*100</f>
        <v>4.7035442199403779</v>
      </c>
      <c r="P10">
        <v>86</v>
      </c>
      <c r="Q10" s="10">
        <f>P10/$P$24*100</f>
        <v>5.5916775032509758</v>
      </c>
      <c r="R10">
        <v>3228</v>
      </c>
      <c r="S10" s="10">
        <f>R10/$R$24*100</f>
        <v>7.6474769012082442</v>
      </c>
      <c r="T10">
        <v>18775</v>
      </c>
      <c r="U10" s="10">
        <f>T10/$T$24*100</f>
        <v>9.8067892754728412</v>
      </c>
    </row>
    <row r="11" spans="1:21" x14ac:dyDescent="0.25">
      <c r="E11" s="10"/>
      <c r="G11" s="10"/>
      <c r="I11" s="10"/>
      <c r="K11" s="10"/>
      <c r="M11" s="10"/>
      <c r="O11" s="10"/>
      <c r="Q11" s="10"/>
      <c r="S11" s="10"/>
      <c r="U11" s="10"/>
    </row>
    <row r="12" spans="1:21" ht="13" x14ac:dyDescent="0.3">
      <c r="A12" s="4" t="s">
        <v>19</v>
      </c>
      <c r="B12" s="4">
        <v>1</v>
      </c>
      <c r="C12" s="4" t="s">
        <v>15</v>
      </c>
      <c r="E12" s="10"/>
      <c r="F12">
        <v>39351</v>
      </c>
      <c r="G12" s="10">
        <f>F12/$F$24*100</f>
        <v>27.360904451335678</v>
      </c>
      <c r="H12">
        <v>1970</v>
      </c>
      <c r="I12" s="10">
        <f>H12/$H$24*100</f>
        <v>36.36699280044305</v>
      </c>
      <c r="J12">
        <v>41321</v>
      </c>
      <c r="K12" s="10">
        <f>J12/$J$24*100</f>
        <v>27.687802786134991</v>
      </c>
      <c r="L12">
        <v>10357</v>
      </c>
      <c r="M12" s="10">
        <f>L12/$L$24*100</f>
        <v>27.506440389875976</v>
      </c>
      <c r="N12">
        <v>1250</v>
      </c>
      <c r="O12" s="10">
        <f>N12/$N$24*100</f>
        <v>41.404438555813186</v>
      </c>
      <c r="P12">
        <v>496</v>
      </c>
      <c r="Q12" s="10">
        <f>P12/$P$24*100</f>
        <v>32.249674902470744</v>
      </c>
      <c r="R12">
        <v>12103</v>
      </c>
      <c r="S12" s="10">
        <f>R12/$R$24*100</f>
        <v>28.673300165837478</v>
      </c>
      <c r="T12">
        <v>53424</v>
      </c>
      <c r="U12" s="10">
        <f>T12/$T$24*100</f>
        <v>27.905081771124422</v>
      </c>
    </row>
    <row r="13" spans="1:21" ht="13" x14ac:dyDescent="0.3">
      <c r="A13" s="4"/>
      <c r="B13" s="4">
        <v>2</v>
      </c>
      <c r="C13" s="4" t="s">
        <v>16</v>
      </c>
      <c r="E13" s="10"/>
      <c r="F13">
        <v>14747</v>
      </c>
      <c r="G13" s="10">
        <f>F13/$F$24*100</f>
        <v>10.253646869046461</v>
      </c>
      <c r="H13">
        <v>516</v>
      </c>
      <c r="I13" s="10">
        <f>H13/$H$24*100</f>
        <v>9.5255676573749302</v>
      </c>
      <c r="J13">
        <v>15263</v>
      </c>
      <c r="K13" s="10">
        <f>J13/$J$24*100</f>
        <v>10.227219426557403</v>
      </c>
      <c r="L13">
        <v>3782</v>
      </c>
      <c r="M13" s="10">
        <f>L13/$L$24*100</f>
        <v>10.04435237564072</v>
      </c>
      <c r="N13">
        <v>230</v>
      </c>
      <c r="O13" s="10">
        <f>N13/$N$24*100</f>
        <v>7.6184166942696248</v>
      </c>
      <c r="P13">
        <v>223</v>
      </c>
      <c r="Q13" s="10">
        <f>P13/$P$24*100</f>
        <v>14.499349804941483</v>
      </c>
      <c r="R13">
        <v>4235</v>
      </c>
      <c r="S13" s="10">
        <f>R13/$R$24*100</f>
        <v>10.033167495854062</v>
      </c>
      <c r="T13">
        <v>19498</v>
      </c>
      <c r="U13" s="10">
        <f>T13/$T$24*100</f>
        <v>10.184435541580264</v>
      </c>
    </row>
    <row r="14" spans="1:21" ht="13" x14ac:dyDescent="0.3">
      <c r="A14" s="4"/>
      <c r="B14" s="4">
        <v>3</v>
      </c>
      <c r="C14" s="4" t="s">
        <v>17</v>
      </c>
      <c r="E14" s="10"/>
      <c r="F14">
        <v>3264</v>
      </c>
      <c r="G14" s="10">
        <f>F14/$F$24*100</f>
        <v>2.2694719862051702</v>
      </c>
      <c r="H14">
        <v>74</v>
      </c>
      <c r="I14" s="10">
        <f>H14/$H$24*100</f>
        <v>1.3660697803212112</v>
      </c>
      <c r="J14">
        <v>3338</v>
      </c>
      <c r="K14" s="10">
        <f>J14/$J$24*100</f>
        <v>2.2366807603910508</v>
      </c>
      <c r="L14">
        <v>933</v>
      </c>
      <c r="M14" s="10">
        <f>L14/$L$24*100</f>
        <v>2.4778902079515577</v>
      </c>
      <c r="N14">
        <v>58</v>
      </c>
      <c r="O14" s="10">
        <f>N14/$N$24*100</f>
        <v>1.9211659489897317</v>
      </c>
      <c r="P14">
        <v>47</v>
      </c>
      <c r="Q14" s="10">
        <f>P14/$P$24*100</f>
        <v>3.05591677503251</v>
      </c>
      <c r="R14">
        <v>1038</v>
      </c>
      <c r="S14" s="10">
        <f>R14/$R$24*100</f>
        <v>2.4591329068941006</v>
      </c>
      <c r="T14">
        <v>4376</v>
      </c>
      <c r="U14" s="10">
        <f>T14/$T$24*100</f>
        <v>2.2857262247387036</v>
      </c>
    </row>
    <row r="15" spans="1:21" x14ac:dyDescent="0.25">
      <c r="E15" s="10"/>
      <c r="G15" s="10"/>
      <c r="I15" s="10"/>
      <c r="K15" s="10"/>
      <c r="M15" s="10"/>
      <c r="O15" s="10"/>
      <c r="Q15" s="10"/>
      <c r="S15" s="10"/>
      <c r="U15" s="10"/>
    </row>
    <row r="16" spans="1:21" ht="13" x14ac:dyDescent="0.3">
      <c r="A16" s="4" t="s">
        <v>20</v>
      </c>
      <c r="B16" s="4">
        <v>1</v>
      </c>
      <c r="C16" s="4" t="s">
        <v>15</v>
      </c>
      <c r="E16" s="10"/>
      <c r="F16">
        <v>2147</v>
      </c>
      <c r="G16" s="10">
        <f>F16/$F$24*100</f>
        <v>1.4928175105338544</v>
      </c>
      <c r="H16">
        <v>409</v>
      </c>
      <c r="I16" s="10">
        <f>H16/$H$24*100</f>
        <v>7.5503045966402071</v>
      </c>
      <c r="J16">
        <v>2556</v>
      </c>
      <c r="K16" s="10">
        <f>J16/$J$24*100</f>
        <v>1.7126890424084857</v>
      </c>
      <c r="L16">
        <v>1217</v>
      </c>
      <c r="M16" s="10">
        <f>L16/$L$24*100</f>
        <v>3.2321461769314532</v>
      </c>
      <c r="N16">
        <v>235</v>
      </c>
      <c r="O16" s="10">
        <f>N16/$N$24*100</f>
        <v>7.7840344484928785</v>
      </c>
      <c r="P16">
        <v>163</v>
      </c>
      <c r="Q16" s="10">
        <f>P16/$P$24*100</f>
        <v>10.598179453836151</v>
      </c>
      <c r="R16">
        <v>1615</v>
      </c>
      <c r="S16" s="10">
        <f>R16/$R$24*100</f>
        <v>3.826107557450841</v>
      </c>
      <c r="T16">
        <v>4171</v>
      </c>
      <c r="U16" s="10">
        <f>T16/$T$24*100</f>
        <v>2.1786480994938602</v>
      </c>
    </row>
    <row r="17" spans="1:21" ht="13" x14ac:dyDescent="0.3">
      <c r="A17" s="4"/>
      <c r="B17" s="4">
        <v>2</v>
      </c>
      <c r="C17" s="4" t="s">
        <v>16</v>
      </c>
      <c r="E17" s="10"/>
      <c r="F17">
        <v>100</v>
      </c>
      <c r="G17" s="10">
        <f>F17/$F$24*100</f>
        <v>6.9530391734227023E-2</v>
      </c>
      <c r="H17">
        <v>61</v>
      </c>
      <c r="I17" s="10">
        <f>H17/$H$24*100</f>
        <v>1.1260845486431603</v>
      </c>
      <c r="J17">
        <v>161</v>
      </c>
      <c r="K17" s="10">
        <f>J17/$J$24*100</f>
        <v>0.10788064781993983</v>
      </c>
      <c r="L17">
        <v>57</v>
      </c>
      <c r="M17" s="10">
        <f>L17/$L$24*100</f>
        <v>0.15138235997131702</v>
      </c>
      <c r="N17">
        <v>25</v>
      </c>
      <c r="O17" s="10">
        <f>N17/$N$24*100</f>
        <v>0.82808877111626367</v>
      </c>
      <c r="P17">
        <v>10</v>
      </c>
      <c r="Q17" s="10">
        <f>P17/$P$24*100</f>
        <v>0.65019505851755521</v>
      </c>
      <c r="R17">
        <v>92</v>
      </c>
      <c r="S17" s="10">
        <f>R17/$R$24*100</f>
        <v>0.2179578298981284</v>
      </c>
      <c r="T17">
        <v>253</v>
      </c>
      <c r="U17" s="10">
        <f>T17/$T$24*100</f>
        <v>0.13215007652168462</v>
      </c>
    </row>
    <row r="18" spans="1:21" ht="13" x14ac:dyDescent="0.3">
      <c r="A18" s="4"/>
      <c r="B18" s="4">
        <v>3</v>
      </c>
      <c r="C18" s="4" t="s">
        <v>17</v>
      </c>
      <c r="E18" s="10"/>
      <c r="F18">
        <v>15</v>
      </c>
      <c r="G18" s="10">
        <f>F18/$F$24*100</f>
        <v>1.0429558760134055E-2</v>
      </c>
      <c r="H18">
        <v>0</v>
      </c>
      <c r="I18" s="10"/>
      <c r="J18">
        <v>15</v>
      </c>
      <c r="K18" s="10">
        <f>J18/$J$24*100</f>
        <v>1.0050992032913649E-2</v>
      </c>
      <c r="L18">
        <v>13</v>
      </c>
      <c r="M18" s="10">
        <f>L18/$L$24*100</f>
        <v>3.4525801396967037E-2</v>
      </c>
      <c r="N18">
        <v>3</v>
      </c>
      <c r="O18" s="10">
        <f>N18/$N$24*100</f>
        <v>9.9370652533951651E-2</v>
      </c>
      <c r="P18">
        <v>1</v>
      </c>
      <c r="Q18" s="10">
        <f>P18/$P$24*100</f>
        <v>6.5019505851755532E-2</v>
      </c>
      <c r="R18">
        <v>17</v>
      </c>
      <c r="S18" s="10">
        <f>R18/$R$24*100</f>
        <v>4.0274816394219377E-2</v>
      </c>
      <c r="T18">
        <v>32</v>
      </c>
      <c r="U18" s="10">
        <f>T18/$T$24*100</f>
        <v>1.67146341845609E-2</v>
      </c>
    </row>
    <row r="19" spans="1:21" x14ac:dyDescent="0.25">
      <c r="E19" s="10"/>
      <c r="G19" s="10"/>
      <c r="I19" s="10"/>
      <c r="K19" s="10"/>
      <c r="M19" s="10"/>
      <c r="O19" s="10"/>
      <c r="Q19" s="10"/>
      <c r="S19" s="10"/>
      <c r="U19" s="10"/>
    </row>
    <row r="20" spans="1:21" ht="13" x14ac:dyDescent="0.3">
      <c r="A20" s="4" t="s">
        <v>21</v>
      </c>
      <c r="B20" s="4" t="s">
        <v>22</v>
      </c>
      <c r="C20" s="4" t="s">
        <v>23</v>
      </c>
      <c r="E20" s="10"/>
      <c r="F20">
        <v>168</v>
      </c>
      <c r="G20" s="10">
        <f>F20/$F$24*100</f>
        <v>0.1168110581135014</v>
      </c>
      <c r="H20">
        <v>106</v>
      </c>
      <c r="I20" s="10">
        <f>H20/$H$24*100</f>
        <v>1.956802658297951</v>
      </c>
      <c r="J20">
        <v>274</v>
      </c>
      <c r="K20" s="10">
        <f>J20/$J$24*100</f>
        <v>0.18359812113455598</v>
      </c>
      <c r="L20">
        <v>207</v>
      </c>
      <c r="M20" s="10">
        <f>L20/$L$24*100</f>
        <v>0.54975699147478285</v>
      </c>
      <c r="N20">
        <v>29</v>
      </c>
      <c r="O20" s="10">
        <f>N20/$N$24*100</f>
        <v>0.96058297449486585</v>
      </c>
      <c r="P20">
        <v>15</v>
      </c>
      <c r="Q20" s="10">
        <f>P20/$P$24*100</f>
        <v>0.97529258777633299</v>
      </c>
      <c r="R20">
        <v>251</v>
      </c>
      <c r="S20" s="10">
        <f>R20/$R$24*100</f>
        <v>0.59464581852641551</v>
      </c>
      <c r="T20">
        <v>525</v>
      </c>
      <c r="U20" s="10">
        <f>T20/$T$24*100</f>
        <v>0.27422446709045228</v>
      </c>
    </row>
    <row r="21" spans="1:21" ht="13" x14ac:dyDescent="0.3">
      <c r="A21" s="4" t="s">
        <v>24</v>
      </c>
      <c r="B21" s="4" t="s">
        <v>22</v>
      </c>
      <c r="C21" s="4" t="s">
        <v>23</v>
      </c>
      <c r="E21" s="10"/>
      <c r="F21">
        <v>30</v>
      </c>
      <c r="G21" s="10">
        <f>F21/$F$24*100</f>
        <v>2.085911752026811E-2</v>
      </c>
      <c r="H21">
        <v>36</v>
      </c>
      <c r="I21" s="10">
        <f>H21/$H$24*100</f>
        <v>0.66457448772383243</v>
      </c>
      <c r="J21">
        <v>66</v>
      </c>
      <c r="K21" s="10">
        <f>J21/$J$24*100</f>
        <v>4.4224364944820058E-2</v>
      </c>
      <c r="L21">
        <v>9</v>
      </c>
      <c r="M21" s="10">
        <f>L21/$L$24*100</f>
        <v>2.3902477890207951E-2</v>
      </c>
      <c r="N21">
        <v>0</v>
      </c>
      <c r="O21" s="10"/>
      <c r="P21">
        <v>1</v>
      </c>
      <c r="Q21" s="10">
        <f>P21/$P$24*100</f>
        <v>6.5019505851755532E-2</v>
      </c>
      <c r="R21">
        <v>10</v>
      </c>
      <c r="S21" s="10">
        <f>R21/$R$24*100</f>
        <v>2.3691068467187871E-2</v>
      </c>
      <c r="T21">
        <v>76</v>
      </c>
      <c r="U21" s="10">
        <f>T21/$T$24*100</f>
        <v>3.9697256188332142E-2</v>
      </c>
    </row>
    <row r="22" spans="1:21" ht="13" x14ac:dyDescent="0.3">
      <c r="A22" s="4" t="s">
        <v>25</v>
      </c>
      <c r="B22" s="4" t="s">
        <v>22</v>
      </c>
      <c r="C22" s="4" t="s">
        <v>23</v>
      </c>
      <c r="E22" s="10"/>
      <c r="F22">
        <v>160</v>
      </c>
      <c r="G22" s="10">
        <f>F22/$F$24*100</f>
        <v>0.11124862677476324</v>
      </c>
      <c r="H22">
        <v>29</v>
      </c>
      <c r="I22" s="10">
        <f>H22/$H$24*100</f>
        <v>0.53535167066642053</v>
      </c>
      <c r="J22">
        <v>189</v>
      </c>
      <c r="K22" s="10">
        <f>J22/$J$24*100</f>
        <v>0.12664249961471197</v>
      </c>
      <c r="L22">
        <v>81</v>
      </c>
      <c r="M22" s="10">
        <f>L22/$L$24*100</f>
        <v>0.21512230101187158</v>
      </c>
      <c r="N22">
        <v>15</v>
      </c>
      <c r="O22" s="10">
        <f>N22/$N$24*100</f>
        <v>0.49685326266975821</v>
      </c>
      <c r="P22">
        <v>50</v>
      </c>
      <c r="Q22" s="10">
        <f>P22/$P$24*100</f>
        <v>3.2509752925877766</v>
      </c>
      <c r="R22">
        <v>146</v>
      </c>
      <c r="S22" s="10">
        <f>R22/$R$24*100</f>
        <v>0.3458895996209429</v>
      </c>
      <c r="T22">
        <v>335</v>
      </c>
      <c r="U22" s="10">
        <f>T22/$T$24*100</f>
        <v>0.17498132661962193</v>
      </c>
    </row>
    <row r="23" spans="1:21" ht="13" x14ac:dyDescent="0.3">
      <c r="A23" s="4" t="s">
        <v>26</v>
      </c>
      <c r="B23" s="4" t="s">
        <v>22</v>
      </c>
      <c r="C23" s="4" t="s">
        <v>23</v>
      </c>
      <c r="D23" s="7"/>
      <c r="E23" s="11"/>
      <c r="F23" s="7">
        <v>550</v>
      </c>
      <c r="G23" s="11">
        <f>F23/$F$24*100</f>
        <v>0.38241715453824865</v>
      </c>
      <c r="H23" s="7">
        <v>61</v>
      </c>
      <c r="I23" s="11">
        <f>H23/$H$24*100</f>
        <v>1.1260845486431603</v>
      </c>
      <c r="J23" s="7">
        <v>611</v>
      </c>
      <c r="K23" s="11">
        <f>J23/$J$24*100</f>
        <v>0.4094104088073493</v>
      </c>
      <c r="L23" s="7">
        <v>403</v>
      </c>
      <c r="M23" s="11">
        <f>L23/$L$24*100</f>
        <v>1.0702998433059783</v>
      </c>
      <c r="N23" s="7">
        <v>8</v>
      </c>
      <c r="O23" s="11">
        <f>N23/$N$24*100</f>
        <v>0.26498840675720436</v>
      </c>
      <c r="P23" s="7">
        <v>16</v>
      </c>
      <c r="Q23" s="11">
        <f>P23/$P$24*100</f>
        <v>1.0403120936280885</v>
      </c>
      <c r="R23" s="7">
        <v>427</v>
      </c>
      <c r="S23" s="11">
        <f>R23/$R$24*100</f>
        <v>1.0116086235489219</v>
      </c>
      <c r="T23" s="7">
        <v>1038</v>
      </c>
      <c r="U23" s="11">
        <f>T23/$T$24*100</f>
        <v>0.54218094636169423</v>
      </c>
    </row>
    <row r="24" spans="1:21" ht="13" x14ac:dyDescent="0.3">
      <c r="A24" s="4" t="s">
        <v>27</v>
      </c>
      <c r="E24" s="10"/>
      <c r="F24">
        <f>SUM(F4:F23)</f>
        <v>143822</v>
      </c>
      <c r="G24" s="10"/>
      <c r="H24">
        <f>SUM(H4:H23)</f>
        <v>5417</v>
      </c>
      <c r="I24" s="10"/>
      <c r="J24">
        <f>SUM(J4:J23)</f>
        <v>149239</v>
      </c>
      <c r="K24" s="10"/>
      <c r="L24">
        <f>SUM(L4:L23)</f>
        <v>37653</v>
      </c>
      <c r="M24" s="10"/>
      <c r="N24">
        <f>SUM(N4:N23)</f>
        <v>3019</v>
      </c>
      <c r="O24" s="10"/>
      <c r="P24">
        <f>SUM(P4:P23)</f>
        <v>1538</v>
      </c>
      <c r="Q24" s="10"/>
      <c r="R24">
        <f>SUM(R4:R23)</f>
        <v>42210</v>
      </c>
      <c r="S24" s="10"/>
      <c r="T24">
        <f>SUM(T4:T23)</f>
        <v>191449</v>
      </c>
      <c r="U24" s="10"/>
    </row>
    <row r="25" spans="1:21" x14ac:dyDescent="0.25">
      <c r="E25" s="10"/>
      <c r="G25" s="10"/>
      <c r="I25" s="10"/>
      <c r="K25" s="10"/>
      <c r="M25" s="10"/>
      <c r="O25" s="10"/>
      <c r="Q25" s="10"/>
      <c r="S25" s="10"/>
      <c r="U25" s="10"/>
    </row>
    <row r="26" spans="1:21" ht="13" x14ac:dyDescent="0.3">
      <c r="A26" s="4" t="s">
        <v>28</v>
      </c>
      <c r="B26" s="4" t="s">
        <v>22</v>
      </c>
      <c r="C26" s="4" t="s">
        <v>23</v>
      </c>
      <c r="E26" s="10"/>
      <c r="F26">
        <v>2472</v>
      </c>
      <c r="G26" s="10"/>
      <c r="H26">
        <v>1242</v>
      </c>
      <c r="I26" s="10"/>
      <c r="J26">
        <v>3714</v>
      </c>
      <c r="K26" s="10"/>
      <c r="L26">
        <v>70</v>
      </c>
      <c r="M26" s="10"/>
      <c r="N26">
        <v>27</v>
      </c>
      <c r="O26" s="10"/>
      <c r="P26">
        <v>1</v>
      </c>
      <c r="Q26" s="10"/>
      <c r="R26">
        <v>98</v>
      </c>
      <c r="S26" s="10"/>
      <c r="T26">
        <v>3812</v>
      </c>
      <c r="U26" s="10"/>
    </row>
    <row r="27" spans="1:21" ht="13" x14ac:dyDescent="0.3">
      <c r="A27" s="4" t="s">
        <v>29</v>
      </c>
      <c r="B27" s="4" t="s">
        <v>22</v>
      </c>
      <c r="C27" s="4" t="s">
        <v>23</v>
      </c>
      <c r="E27" s="10"/>
      <c r="F27">
        <v>3736</v>
      </c>
      <c r="G27" s="10"/>
      <c r="H27">
        <v>2085</v>
      </c>
      <c r="I27" s="10"/>
      <c r="J27">
        <v>5821</v>
      </c>
      <c r="K27" s="10"/>
      <c r="L27">
        <v>36</v>
      </c>
      <c r="M27" s="10"/>
      <c r="N27">
        <v>0</v>
      </c>
      <c r="O27" s="10"/>
      <c r="P27">
        <v>55</v>
      </c>
      <c r="Q27" s="10"/>
      <c r="R27">
        <v>91</v>
      </c>
      <c r="S27" s="10"/>
      <c r="T27">
        <v>5912</v>
      </c>
      <c r="U27" s="10"/>
    </row>
    <row r="28" spans="1:21" ht="13" x14ac:dyDescent="0.3">
      <c r="A28" s="4" t="s">
        <v>30</v>
      </c>
      <c r="B28" s="4" t="s">
        <v>22</v>
      </c>
      <c r="C28" s="4" t="s">
        <v>23</v>
      </c>
      <c r="E28" s="10"/>
      <c r="F28">
        <v>675</v>
      </c>
      <c r="G28" s="10"/>
      <c r="H28">
        <v>356</v>
      </c>
      <c r="I28" s="10"/>
      <c r="J28">
        <v>1031</v>
      </c>
      <c r="K28" s="10"/>
      <c r="L28">
        <v>29</v>
      </c>
      <c r="M28" s="10"/>
      <c r="N28">
        <v>0</v>
      </c>
      <c r="O28" s="10"/>
      <c r="P28">
        <v>61</v>
      </c>
      <c r="Q28" s="10"/>
      <c r="R28">
        <v>90</v>
      </c>
      <c r="S28" s="10"/>
      <c r="T28">
        <v>1121</v>
      </c>
      <c r="U28" s="10"/>
    </row>
    <row r="29" spans="1:21" ht="13" x14ac:dyDescent="0.3">
      <c r="A29" s="4" t="s">
        <v>31</v>
      </c>
      <c r="B29" s="4" t="s">
        <v>22</v>
      </c>
      <c r="C29" s="4" t="s">
        <v>23</v>
      </c>
      <c r="E29" s="10"/>
      <c r="F29">
        <v>974</v>
      </c>
      <c r="G29" s="10"/>
      <c r="H29">
        <v>178</v>
      </c>
      <c r="I29" s="10"/>
      <c r="J29">
        <v>1152</v>
      </c>
      <c r="K29" s="10"/>
      <c r="L29">
        <v>19</v>
      </c>
      <c r="M29" s="10"/>
      <c r="N29">
        <v>2</v>
      </c>
      <c r="O29" s="10"/>
      <c r="P29">
        <v>11</v>
      </c>
      <c r="Q29" s="10"/>
      <c r="R29">
        <v>32</v>
      </c>
      <c r="S29" s="10"/>
      <c r="T29">
        <v>1184</v>
      </c>
      <c r="U29" s="10"/>
    </row>
    <row r="30" spans="1:21" x14ac:dyDescent="0.25">
      <c r="E30" s="10"/>
      <c r="G30" s="10"/>
      <c r="I30" s="10"/>
      <c r="K30" s="10"/>
      <c r="M30" s="10"/>
      <c r="O30" s="10"/>
      <c r="Q30" s="10"/>
      <c r="S30" s="10"/>
      <c r="U30" s="10"/>
    </row>
    <row r="31" spans="1:21" ht="13" x14ac:dyDescent="0.3">
      <c r="A31" s="4" t="s">
        <v>32</v>
      </c>
      <c r="B31" s="4" t="s">
        <v>22</v>
      </c>
      <c r="C31" s="4" t="s">
        <v>23</v>
      </c>
      <c r="D31" s="7"/>
      <c r="E31" s="11"/>
      <c r="F31" s="7">
        <v>93</v>
      </c>
      <c r="G31" s="11"/>
      <c r="H31" s="7">
        <v>146</v>
      </c>
      <c r="I31" s="11"/>
      <c r="J31" s="7">
        <v>239</v>
      </c>
      <c r="K31" s="11"/>
      <c r="L31" s="7">
        <v>10</v>
      </c>
      <c r="M31" s="11"/>
      <c r="N31" s="7">
        <v>7</v>
      </c>
      <c r="O31" s="11"/>
      <c r="P31" s="7">
        <v>25</v>
      </c>
      <c r="Q31" s="11"/>
      <c r="R31" s="7">
        <v>42</v>
      </c>
      <c r="S31" s="11"/>
      <c r="T31" s="7">
        <v>281</v>
      </c>
      <c r="U31" s="11"/>
    </row>
    <row r="32" spans="1:21" ht="13.5" thickBot="1" x14ac:dyDescent="0.35">
      <c r="A32" s="8" t="s">
        <v>33</v>
      </c>
      <c r="B32" s="9"/>
      <c r="C32" s="9"/>
      <c r="D32" s="9"/>
      <c r="E32" s="12"/>
      <c r="F32" s="9">
        <f>SUM(F25:F31)</f>
        <v>7950</v>
      </c>
      <c r="G32" s="12"/>
      <c r="H32" s="9">
        <f>SUM(H25:H31)</f>
        <v>4007</v>
      </c>
      <c r="I32" s="12"/>
      <c r="J32" s="9">
        <f>SUM(J25:J31)</f>
        <v>11957</v>
      </c>
      <c r="K32" s="12"/>
      <c r="L32" s="9">
        <f>SUM(L25:L31)</f>
        <v>164</v>
      </c>
      <c r="M32" s="12"/>
      <c r="N32" s="9">
        <f>SUM(N25:N31)</f>
        <v>36</v>
      </c>
      <c r="O32" s="12"/>
      <c r="P32" s="9">
        <f>SUM(P25:P31)</f>
        <v>153</v>
      </c>
      <c r="Q32" s="12"/>
      <c r="R32" s="9">
        <f>SUM(R25:R31)</f>
        <v>353</v>
      </c>
      <c r="S32" s="12"/>
      <c r="T32" s="9">
        <f>SUM(T25:T31)</f>
        <v>12310</v>
      </c>
      <c r="U32" s="12"/>
    </row>
    <row r="33" spans="1:21" ht="13" x14ac:dyDescent="0.3">
      <c r="A33" s="4" t="s">
        <v>34</v>
      </c>
      <c r="E33" s="10"/>
      <c r="F33">
        <f>SUM(F4:F32) - (F24 + F32)</f>
        <v>151772</v>
      </c>
      <c r="G33" s="10"/>
      <c r="H33">
        <f>SUM(H4:H32) - (H24 + H32)</f>
        <v>9424</v>
      </c>
      <c r="I33" s="10"/>
      <c r="J33">
        <f>SUM(J4:J32) - (J24 + J32)</f>
        <v>161196</v>
      </c>
      <c r="K33" s="10"/>
      <c r="L33">
        <f>SUM(L4:L32) - (L24 + L32)</f>
        <v>37817</v>
      </c>
      <c r="M33" s="10"/>
      <c r="N33">
        <f>SUM(N4:N32) - (N24 + N32)</f>
        <v>3055</v>
      </c>
      <c r="O33" s="10"/>
      <c r="P33">
        <f>SUM(P4:P32) - (P24 + P32)</f>
        <v>1691</v>
      </c>
      <c r="Q33" s="10"/>
      <c r="R33">
        <f>SUM(R4:R32) - (R24 + R32)</f>
        <v>42563</v>
      </c>
      <c r="S33" s="10"/>
      <c r="T33">
        <f>SUM(T4:T32) - (T24 + T32)</f>
        <v>203759</v>
      </c>
      <c r="U33" s="10"/>
    </row>
    <row r="34" spans="1:21" ht="13.5" thickBot="1" x14ac:dyDescent="0.35">
      <c r="A34" s="8" t="s">
        <v>35</v>
      </c>
      <c r="B34" s="9"/>
      <c r="C34" s="9"/>
      <c r="D34" s="9"/>
      <c r="E34" s="9"/>
      <c r="F34" s="9">
        <v>13392</v>
      </c>
      <c r="G34" s="9"/>
      <c r="H34" s="9">
        <v>4988</v>
      </c>
      <c r="I34" s="9"/>
      <c r="J34" s="9">
        <v>18380</v>
      </c>
      <c r="K34" s="9"/>
      <c r="L34" s="9">
        <v>3334</v>
      </c>
      <c r="M34" s="9"/>
      <c r="N34" s="9">
        <v>12852</v>
      </c>
      <c r="O34" s="9"/>
      <c r="P34" s="9">
        <v>1278</v>
      </c>
      <c r="Q34" s="9"/>
      <c r="R34" s="9">
        <v>17464</v>
      </c>
      <c r="S34" s="9"/>
      <c r="T34" s="9">
        <v>35844</v>
      </c>
      <c r="U34" s="9"/>
    </row>
    <row r="35" spans="1:21" ht="13" x14ac:dyDescent="0.3">
      <c r="A35" s="4" t="s">
        <v>36</v>
      </c>
      <c r="F35">
        <f>SUM(F33:F34)</f>
        <v>165164</v>
      </c>
      <c r="H35">
        <f>SUM(H33:H34)</f>
        <v>14412</v>
      </c>
      <c r="J35">
        <f>SUM(J33:J34)</f>
        <v>179576</v>
      </c>
      <c r="L35">
        <f>SUM(L33:L34)</f>
        <v>41151</v>
      </c>
      <c r="N35">
        <f>SUM(N33:N34)</f>
        <v>15907</v>
      </c>
      <c r="P35">
        <f>SUM(P33:P34)</f>
        <v>2969</v>
      </c>
      <c r="R35">
        <f>SUM(R33:R34)</f>
        <v>60027</v>
      </c>
      <c r="T35">
        <f>SUM(T33:T34)</f>
        <v>239603</v>
      </c>
    </row>
    <row r="36" spans="1:21" ht="13" x14ac:dyDescent="0.3">
      <c r="A36" s="4" t="s">
        <v>37</v>
      </c>
      <c r="F36">
        <v>77995</v>
      </c>
      <c r="H36">
        <v>7722</v>
      </c>
      <c r="J36">
        <v>85717</v>
      </c>
      <c r="L36">
        <v>30518</v>
      </c>
      <c r="N36">
        <v>1071</v>
      </c>
      <c r="P36">
        <v>1283</v>
      </c>
      <c r="R36">
        <v>32872</v>
      </c>
      <c r="T36">
        <v>118589</v>
      </c>
    </row>
    <row r="37" spans="1:21" ht="14" x14ac:dyDescent="0.3">
      <c r="A37" s="3" t="s">
        <v>38</v>
      </c>
      <c r="B37" s="4"/>
      <c r="C37" s="4"/>
      <c r="D37" s="4"/>
      <c r="E37" s="4"/>
      <c r="F37" s="4"/>
      <c r="G37" s="4"/>
      <c r="H37" s="4"/>
      <c r="I37" s="4"/>
      <c r="J37" s="4" t="s">
        <v>39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3.5" thickBot="1" x14ac:dyDescent="0.35">
      <c r="A38" s="5" t="s">
        <v>4</v>
      </c>
      <c r="B38" s="5"/>
      <c r="C38" s="5"/>
      <c r="D38" s="5"/>
      <c r="E38" s="5"/>
      <c r="F38" s="5" t="s">
        <v>5</v>
      </c>
      <c r="G38" s="5" t="s">
        <v>6</v>
      </c>
      <c r="H38" s="5" t="s">
        <v>7</v>
      </c>
      <c r="I38" s="5" t="s">
        <v>6</v>
      </c>
      <c r="J38" s="5" t="s">
        <v>8</v>
      </c>
      <c r="K38" s="5" t="s">
        <v>6</v>
      </c>
      <c r="L38" s="5" t="s">
        <v>9</v>
      </c>
      <c r="M38" s="5" t="s">
        <v>6</v>
      </c>
      <c r="N38" s="5" t="s">
        <v>10</v>
      </c>
      <c r="O38" s="5" t="s">
        <v>6</v>
      </c>
      <c r="P38" s="5" t="s">
        <v>11</v>
      </c>
      <c r="Q38" s="5" t="s">
        <v>6</v>
      </c>
      <c r="R38" s="5" t="s">
        <v>12</v>
      </c>
      <c r="S38" s="5" t="s">
        <v>6</v>
      </c>
      <c r="T38" s="5" t="s">
        <v>13</v>
      </c>
      <c r="U38" s="5" t="s">
        <v>6</v>
      </c>
    </row>
    <row r="39" spans="1:21" ht="13" x14ac:dyDescent="0.3">
      <c r="A39" s="4" t="s">
        <v>14</v>
      </c>
      <c r="B39" s="4">
        <v>1</v>
      </c>
      <c r="C39" s="4" t="s">
        <v>15</v>
      </c>
      <c r="E39" s="10"/>
      <c r="F39">
        <v>622</v>
      </c>
      <c r="G39" s="10">
        <f>F39/$F$59*100</f>
        <v>0.19489268369105436</v>
      </c>
      <c r="H39">
        <v>26</v>
      </c>
      <c r="I39" s="10">
        <f>H39/$H$59*100</f>
        <v>0.21600066461742959</v>
      </c>
      <c r="J39">
        <v>648</v>
      </c>
      <c r="K39" s="10">
        <f>J39/$J$59*100</f>
        <v>0.19565985379860923</v>
      </c>
      <c r="L39">
        <v>78</v>
      </c>
      <c r="M39" s="10">
        <f>L39/$L$59*100</f>
        <v>8.9248935878072228E-2</v>
      </c>
      <c r="N39">
        <v>5</v>
      </c>
      <c r="O39" s="10">
        <f>N39/$N$59*100</f>
        <v>7.8914141414141409E-2</v>
      </c>
      <c r="P39">
        <v>0</v>
      </c>
      <c r="Q39" s="10"/>
      <c r="R39">
        <v>83</v>
      </c>
      <c r="S39" s="10">
        <f>R39/$R$59*100</f>
        <v>8.5108128338955938E-2</v>
      </c>
      <c r="T39">
        <v>731</v>
      </c>
      <c r="U39" s="10">
        <f>T39/$T$59*100</f>
        <v>0.17051153460381144</v>
      </c>
    </row>
    <row r="40" spans="1:21" ht="13" x14ac:dyDescent="0.3">
      <c r="A40" s="4"/>
      <c r="B40" s="4">
        <v>2</v>
      </c>
      <c r="C40" s="4" t="s">
        <v>16</v>
      </c>
      <c r="E40" s="10"/>
      <c r="F40">
        <v>1337</v>
      </c>
      <c r="G40" s="10">
        <f>F40/$F$59*100</f>
        <v>0.41892527024909915</v>
      </c>
      <c r="H40">
        <v>6</v>
      </c>
      <c r="I40" s="10">
        <f>H40/$H$59*100</f>
        <v>4.9846307219406832E-2</v>
      </c>
      <c r="J40">
        <v>1343</v>
      </c>
      <c r="K40" s="10">
        <f>J40/$J$59*100</f>
        <v>0.40551108588199419</v>
      </c>
      <c r="L40">
        <v>214</v>
      </c>
      <c r="M40" s="10">
        <f>L40/$L$59*100</f>
        <v>0.24486246510137763</v>
      </c>
      <c r="N40">
        <v>9</v>
      </c>
      <c r="O40" s="10">
        <f>N40/$N$59*100</f>
        <v>0.14204545454545456</v>
      </c>
      <c r="P40">
        <v>8</v>
      </c>
      <c r="Q40" s="10">
        <f>P40/$P$59*100</f>
        <v>0.21102611448166714</v>
      </c>
      <c r="R40">
        <v>231</v>
      </c>
      <c r="S40" s="10">
        <f>R40/$R$59*100</f>
        <v>0.23686720055781713</v>
      </c>
      <c r="T40">
        <v>1574</v>
      </c>
      <c r="U40" s="10">
        <f>T40/$T$59*100</f>
        <v>0.36714795549439017</v>
      </c>
    </row>
    <row r="41" spans="1:21" ht="13" x14ac:dyDescent="0.3">
      <c r="A41" s="4"/>
      <c r="B41" s="4">
        <v>3</v>
      </c>
      <c r="C41" s="4" t="s">
        <v>17</v>
      </c>
      <c r="E41" s="10"/>
      <c r="F41">
        <v>1020</v>
      </c>
      <c r="G41" s="10">
        <f>F41/$F$59*100</f>
        <v>0.31959893467021777</v>
      </c>
      <c r="H41">
        <v>5</v>
      </c>
      <c r="I41" s="10">
        <f>H41/$H$59*100</f>
        <v>4.1538589349505689E-2</v>
      </c>
      <c r="J41">
        <v>1025</v>
      </c>
      <c r="K41" s="10">
        <f>J41/$J$59*100</f>
        <v>0.30949282429563962</v>
      </c>
      <c r="L41">
        <v>226</v>
      </c>
      <c r="M41" s="10">
        <f>L41/$L$59*100</f>
        <v>0.25859307062108106</v>
      </c>
      <c r="N41">
        <v>12</v>
      </c>
      <c r="O41" s="10">
        <f>N41/$N$59*100</f>
        <v>0.18939393939393939</v>
      </c>
      <c r="P41">
        <v>25</v>
      </c>
      <c r="Q41" s="10">
        <f>P41/$P$59*100</f>
        <v>0.65945660775520976</v>
      </c>
      <c r="R41">
        <v>263</v>
      </c>
      <c r="S41" s="10">
        <f>R41/$R$59*100</f>
        <v>0.26967997292946277</v>
      </c>
      <c r="T41">
        <v>1288</v>
      </c>
      <c r="U41" s="10">
        <f>T41/$T$59*100</f>
        <v>0.3004361922978237</v>
      </c>
    </row>
    <row r="42" spans="1:21" x14ac:dyDescent="0.25">
      <c r="E42" s="10"/>
      <c r="G42" s="10"/>
      <c r="I42" s="10"/>
      <c r="K42" s="10"/>
      <c r="M42" s="10"/>
      <c r="O42" s="10"/>
      <c r="Q42" s="10"/>
      <c r="S42" s="10"/>
      <c r="U42" s="10"/>
    </row>
    <row r="43" spans="1:21" ht="13" x14ac:dyDescent="0.3">
      <c r="A43" s="4" t="s">
        <v>18</v>
      </c>
      <c r="B43" s="4">
        <v>1</v>
      </c>
      <c r="C43" s="4" t="s">
        <v>15</v>
      </c>
      <c r="E43" s="10"/>
      <c r="F43">
        <v>71747</v>
      </c>
      <c r="G43" s="10">
        <f>F43/$F$59*100</f>
        <v>22.480651731160897</v>
      </c>
      <c r="H43">
        <v>3501</v>
      </c>
      <c r="I43" s="10">
        <f>H43/$H$59*100</f>
        <v>29.085320262523883</v>
      </c>
      <c r="J43">
        <v>75248</v>
      </c>
      <c r="K43" s="10">
        <f>J43/$J$59*100</f>
        <v>22.720698578144674</v>
      </c>
      <c r="L43">
        <v>22005</v>
      </c>
      <c r="M43" s="10">
        <f>L43/$L$59*100</f>
        <v>25.178497871756143</v>
      </c>
      <c r="N43">
        <v>1316</v>
      </c>
      <c r="O43" s="10">
        <f>N43/$N$59*100</f>
        <v>20.770202020202021</v>
      </c>
      <c r="P43">
        <v>537</v>
      </c>
      <c r="Q43" s="10">
        <f>P43/$P$59*100</f>
        <v>14.165127934581905</v>
      </c>
      <c r="R43">
        <v>23858</v>
      </c>
      <c r="S43" s="10">
        <f>R43/$R$59*100</f>
        <v>24.463972601335069</v>
      </c>
      <c r="T43">
        <v>99106</v>
      </c>
      <c r="U43" s="10">
        <f>T43/$T$59*100</f>
        <v>23.117258753003195</v>
      </c>
    </row>
    <row r="44" spans="1:21" ht="13" x14ac:dyDescent="0.3">
      <c r="A44" s="4"/>
      <c r="B44" s="4">
        <v>2</v>
      </c>
      <c r="C44" s="4" t="s">
        <v>16</v>
      </c>
      <c r="E44" s="10"/>
      <c r="F44">
        <v>70925</v>
      </c>
      <c r="G44" s="10">
        <f>F44/$F$59*100</f>
        <v>22.223092589691369</v>
      </c>
      <c r="H44">
        <v>1308</v>
      </c>
      <c r="I44" s="10">
        <f>H44/$H$59*100</f>
        <v>10.866494973830688</v>
      </c>
      <c r="J44">
        <v>72233</v>
      </c>
      <c r="K44" s="10">
        <f>J44/$J$59*100</f>
        <v>21.810336758387255</v>
      </c>
      <c r="L44">
        <v>18570</v>
      </c>
      <c r="M44" s="10">
        <f>L44/$L$59*100</f>
        <v>21.248112041741042</v>
      </c>
      <c r="N44">
        <v>632</v>
      </c>
      <c r="O44" s="10">
        <f>N44/$N$59*100</f>
        <v>9.9747474747474758</v>
      </c>
      <c r="P44">
        <v>492</v>
      </c>
      <c r="Q44" s="10">
        <f>P44/$P$59*100</f>
        <v>12.978106040622528</v>
      </c>
      <c r="R44">
        <v>19694</v>
      </c>
      <c r="S44" s="10">
        <f>R44/$R$59*100</f>
        <v>20.194210596474676</v>
      </c>
      <c r="T44">
        <v>91927</v>
      </c>
      <c r="U44" s="10">
        <f>T44/$T$59*100</f>
        <v>21.442700193604068</v>
      </c>
    </row>
    <row r="45" spans="1:21" ht="13" x14ac:dyDescent="0.3">
      <c r="A45" s="4"/>
      <c r="B45" s="4">
        <v>3</v>
      </c>
      <c r="C45" s="4" t="s">
        <v>17</v>
      </c>
      <c r="E45" s="10"/>
      <c r="F45">
        <v>31873</v>
      </c>
      <c r="G45" s="10">
        <f>F45/$F$59*100</f>
        <v>9.9868400438665219</v>
      </c>
      <c r="H45">
        <v>208</v>
      </c>
      <c r="I45" s="10">
        <f>H45/$H$59*100</f>
        <v>1.7280053169394367</v>
      </c>
      <c r="J45">
        <v>32081</v>
      </c>
      <c r="K45" s="10">
        <f>J45/$J$59*100</f>
        <v>9.6866724841252836</v>
      </c>
      <c r="L45">
        <v>7444</v>
      </c>
      <c r="M45" s="10">
        <f>L45/$L$59*100</f>
        <v>8.5175522907226888</v>
      </c>
      <c r="N45">
        <v>249</v>
      </c>
      <c r="O45" s="10">
        <f>N45/$N$59*100</f>
        <v>3.9299242424242422</v>
      </c>
      <c r="P45">
        <v>226</v>
      </c>
      <c r="Q45" s="10">
        <f>P45/$P$59*100</f>
        <v>5.961487734107096</v>
      </c>
      <c r="R45">
        <v>7919</v>
      </c>
      <c r="S45" s="10">
        <f>R45/$R$59*100</f>
        <v>8.1201357628456865</v>
      </c>
      <c r="T45">
        <v>40000</v>
      </c>
      <c r="U45" s="10">
        <f>T45/$T$59*100</f>
        <v>9.3303165309883145</v>
      </c>
    </row>
    <row r="46" spans="1:21" x14ac:dyDescent="0.25">
      <c r="E46" s="10"/>
      <c r="G46" s="10"/>
      <c r="I46" s="10"/>
      <c r="K46" s="10"/>
      <c r="M46" s="10"/>
      <c r="O46" s="10"/>
      <c r="Q46" s="10"/>
      <c r="S46" s="10"/>
      <c r="U46" s="10"/>
    </row>
    <row r="47" spans="1:21" ht="13" x14ac:dyDescent="0.3">
      <c r="A47" s="4" t="s">
        <v>19</v>
      </c>
      <c r="B47" s="4">
        <v>1</v>
      </c>
      <c r="C47" s="4" t="s">
        <v>15</v>
      </c>
      <c r="E47" s="10"/>
      <c r="F47">
        <v>92267</v>
      </c>
      <c r="G47" s="10">
        <f>F47/$F$59*100</f>
        <v>28.910230299232335</v>
      </c>
      <c r="H47">
        <v>4385</v>
      </c>
      <c r="I47" s="10">
        <f>H47/$H$59*100</f>
        <v>36.429342859516488</v>
      </c>
      <c r="J47">
        <v>96652</v>
      </c>
      <c r="K47" s="10">
        <f>J47/$J$59*100</f>
        <v>29.183512637875282</v>
      </c>
      <c r="L47">
        <v>23754</v>
      </c>
      <c r="M47" s="10">
        <f>L47/$L$59*100</f>
        <v>27.179733626252915</v>
      </c>
      <c r="N47">
        <v>2938</v>
      </c>
      <c r="O47" s="10">
        <f>N47/$N$59*100</f>
        <v>46.369949494949495</v>
      </c>
      <c r="P47">
        <v>1253</v>
      </c>
      <c r="Q47" s="10">
        <f>P47/$P$59*100</f>
        <v>33.051965180691113</v>
      </c>
      <c r="R47">
        <v>27945</v>
      </c>
      <c r="S47" s="10">
        <f>R47/$R$59*100</f>
        <v>28.654778872676189</v>
      </c>
      <c r="T47">
        <v>124597</v>
      </c>
      <c r="U47" s="10">
        <f>T47/$T$59*100</f>
        <v>29.063236220288776</v>
      </c>
    </row>
    <row r="48" spans="1:21" ht="13" x14ac:dyDescent="0.3">
      <c r="A48" s="4"/>
      <c r="B48" s="4">
        <v>2</v>
      </c>
      <c r="C48" s="4" t="s">
        <v>16</v>
      </c>
      <c r="E48" s="10"/>
      <c r="F48">
        <v>35049</v>
      </c>
      <c r="G48" s="10">
        <f>F48/$F$59*100</f>
        <v>10.981983393388688</v>
      </c>
      <c r="H48">
        <v>1047</v>
      </c>
      <c r="I48" s="10">
        <f>H48/$H$59*100</f>
        <v>8.6981806097864922</v>
      </c>
      <c r="J48">
        <v>36096</v>
      </c>
      <c r="K48" s="10">
        <f>J48/$J$59*100</f>
        <v>10.898978522707715</v>
      </c>
      <c r="L48">
        <v>8517</v>
      </c>
      <c r="M48" s="10">
        <f>L48/$L$59*100</f>
        <v>9.7452972676095015</v>
      </c>
      <c r="N48">
        <v>510</v>
      </c>
      <c r="O48" s="10">
        <f>N48/$N$59*100</f>
        <v>8.0492424242424239</v>
      </c>
      <c r="P48">
        <v>536</v>
      </c>
      <c r="Q48" s="10">
        <f>P48/$P$59*100</f>
        <v>14.138749670271697</v>
      </c>
      <c r="R48">
        <v>9563</v>
      </c>
      <c r="S48" s="10">
        <f>R48/$R$59*100</f>
        <v>9.8058919434389846</v>
      </c>
      <c r="T48">
        <v>45659</v>
      </c>
      <c r="U48" s="10">
        <f>T48/$T$59*100</f>
        <v>10.650323062209885</v>
      </c>
    </row>
    <row r="49" spans="1:21" ht="13" x14ac:dyDescent="0.3">
      <c r="A49" s="4"/>
      <c r="B49" s="4">
        <v>3</v>
      </c>
      <c r="C49" s="4" t="s">
        <v>17</v>
      </c>
      <c r="E49" s="10"/>
      <c r="F49">
        <v>7617</v>
      </c>
      <c r="G49" s="10">
        <f>F49/$F$59*100</f>
        <v>2.3866520444931849</v>
      </c>
      <c r="H49">
        <v>120</v>
      </c>
      <c r="I49" s="10">
        <f>H49/$H$59*100</f>
        <v>0.99692614438813654</v>
      </c>
      <c r="J49">
        <v>7737</v>
      </c>
      <c r="K49" s="10">
        <f>J49/$J$59*100</f>
        <v>2.3361424210491353</v>
      </c>
      <c r="L49">
        <v>1893</v>
      </c>
      <c r="M49" s="10">
        <f>L49/$L$59*100</f>
        <v>2.1660030207332146</v>
      </c>
      <c r="N49">
        <v>110</v>
      </c>
      <c r="O49" s="10">
        <f>N49/$N$59*100</f>
        <v>1.7361111111111112</v>
      </c>
      <c r="P49">
        <v>139</v>
      </c>
      <c r="Q49" s="10">
        <f>P49/$P$59*100</f>
        <v>3.6665787391189664</v>
      </c>
      <c r="R49">
        <v>2142</v>
      </c>
      <c r="S49" s="10">
        <f>R49/$R$59*100</f>
        <v>2.1964049506270316</v>
      </c>
      <c r="T49">
        <v>9879</v>
      </c>
      <c r="U49" s="10">
        <f>T49/$T$59*100</f>
        <v>2.3043549252408391</v>
      </c>
    </row>
    <row r="50" spans="1:21" x14ac:dyDescent="0.25">
      <c r="E50" s="10"/>
      <c r="G50" s="10"/>
      <c r="I50" s="10"/>
      <c r="K50" s="10"/>
      <c r="M50" s="10"/>
      <c r="O50" s="10"/>
      <c r="Q50" s="10"/>
      <c r="S50" s="10"/>
      <c r="U50" s="10"/>
    </row>
    <row r="51" spans="1:21" ht="13" x14ac:dyDescent="0.3">
      <c r="A51" s="4" t="s">
        <v>20</v>
      </c>
      <c r="B51" s="4">
        <v>1</v>
      </c>
      <c r="C51" s="4" t="s">
        <v>15</v>
      </c>
      <c r="E51" s="10"/>
      <c r="F51">
        <v>4551</v>
      </c>
      <c r="G51" s="10">
        <f>F51/$F$59*100</f>
        <v>1.4259752467491775</v>
      </c>
      <c r="H51">
        <v>840</v>
      </c>
      <c r="I51" s="10">
        <f>H51/$H$59*100</f>
        <v>6.978483010716956</v>
      </c>
      <c r="J51">
        <v>5391</v>
      </c>
      <c r="K51" s="10">
        <f>J51/$J$59*100</f>
        <v>1.627781283685652</v>
      </c>
      <c r="L51">
        <v>2995</v>
      </c>
      <c r="M51" s="10">
        <f>L51/$L$59*100</f>
        <v>3.4269302942926445</v>
      </c>
      <c r="N51">
        <v>384</v>
      </c>
      <c r="O51" s="10">
        <f>N51/$N$59*100</f>
        <v>6.0606060606060606</v>
      </c>
      <c r="P51">
        <v>348</v>
      </c>
      <c r="Q51" s="10">
        <f>P51/$P$59*100</f>
        <v>9.1796359799525185</v>
      </c>
      <c r="R51">
        <v>3727</v>
      </c>
      <c r="S51" s="10">
        <f>R51/$R$59*100</f>
        <v>3.8216625821601053</v>
      </c>
      <c r="T51">
        <v>9118</v>
      </c>
      <c r="U51" s="10">
        <f>T51/$T$59*100</f>
        <v>2.126845653238786</v>
      </c>
    </row>
    <row r="52" spans="1:21" ht="13" x14ac:dyDescent="0.3">
      <c r="A52" s="4"/>
      <c r="B52" s="4">
        <v>2</v>
      </c>
      <c r="C52" s="4" t="s">
        <v>16</v>
      </c>
      <c r="E52" s="10"/>
      <c r="F52">
        <v>239</v>
      </c>
      <c r="G52" s="10">
        <f>F52/$F$59*100</f>
        <v>7.4886417045276515E-2</v>
      </c>
      <c r="H52">
        <v>115</v>
      </c>
      <c r="I52" s="10">
        <f>H52/$H$59*100</f>
        <v>0.95538755503863093</v>
      </c>
      <c r="J52">
        <v>354</v>
      </c>
      <c r="K52" s="10">
        <f>J52/$J$59*100</f>
        <v>0.10688825346405505</v>
      </c>
      <c r="L52">
        <v>126</v>
      </c>
      <c r="M52" s="10">
        <f>L52/$L$59*100</f>
        <v>0.1441713579568859</v>
      </c>
      <c r="N52">
        <v>51</v>
      </c>
      <c r="O52" s="10">
        <f>N52/$N$59*100</f>
        <v>0.80492424242424243</v>
      </c>
      <c r="P52">
        <v>29</v>
      </c>
      <c r="Q52" s="10">
        <f>P52/$P$59*100</f>
        <v>0.76496966499604324</v>
      </c>
      <c r="R52">
        <v>206</v>
      </c>
      <c r="S52" s="10">
        <f>R52/$R$59*100</f>
        <v>0.21123222214246895</v>
      </c>
      <c r="T52">
        <v>560</v>
      </c>
      <c r="U52" s="10">
        <f>T52/$T$59*100</f>
        <v>0.1306244314338364</v>
      </c>
    </row>
    <row r="53" spans="1:21" ht="13" x14ac:dyDescent="0.3">
      <c r="A53" s="4"/>
      <c r="B53" s="4">
        <v>3</v>
      </c>
      <c r="C53" s="4" t="s">
        <v>17</v>
      </c>
      <c r="E53" s="10"/>
      <c r="F53">
        <v>25</v>
      </c>
      <c r="G53" s="10">
        <f>F53/$F$59*100</f>
        <v>7.833307222309259E-3</v>
      </c>
      <c r="H53">
        <v>4</v>
      </c>
      <c r="I53" s="10">
        <f>H53/$H$59*100</f>
        <v>3.3230871479604553E-2</v>
      </c>
      <c r="J53">
        <v>29</v>
      </c>
      <c r="K53" s="10">
        <f>J53/$J$59*100</f>
        <v>8.7563823459254134E-3</v>
      </c>
      <c r="L53">
        <v>23</v>
      </c>
      <c r="M53" s="10">
        <f>L53/$L$59*100</f>
        <v>2.6316993912764885E-2</v>
      </c>
      <c r="N53">
        <v>7</v>
      </c>
      <c r="O53" s="10">
        <f>N53/$N$59*100</f>
        <v>0.11047979797979797</v>
      </c>
      <c r="P53">
        <v>21</v>
      </c>
      <c r="Q53" s="10">
        <f>P53/$P$59*100</f>
        <v>0.55394355051437616</v>
      </c>
      <c r="R53">
        <v>51</v>
      </c>
      <c r="S53" s="10">
        <f>R53/$R$59*100</f>
        <v>5.2295355967310275E-2</v>
      </c>
      <c r="T53">
        <v>80</v>
      </c>
      <c r="U53" s="10">
        <f>T53/$T$59*100</f>
        <v>1.8660633061976628E-2</v>
      </c>
    </row>
    <row r="54" spans="1:21" x14ac:dyDescent="0.25">
      <c r="E54" s="10"/>
      <c r="G54" s="10"/>
      <c r="I54" s="10"/>
      <c r="K54" s="10"/>
      <c r="M54" s="10"/>
      <c r="O54" s="10"/>
      <c r="Q54" s="10"/>
      <c r="S54" s="10"/>
      <c r="U54" s="10"/>
    </row>
    <row r="55" spans="1:21" ht="13" x14ac:dyDescent="0.3">
      <c r="A55" s="4" t="s">
        <v>21</v>
      </c>
      <c r="B55" s="4" t="s">
        <v>22</v>
      </c>
      <c r="C55" s="4" t="s">
        <v>23</v>
      </c>
      <c r="E55" s="10"/>
      <c r="F55">
        <v>348</v>
      </c>
      <c r="G55" s="10">
        <f>F55/$F$59*100</f>
        <v>0.10903963653454488</v>
      </c>
      <c r="H55">
        <v>211</v>
      </c>
      <c r="I55" s="10">
        <f>H55/$H$59*100</f>
        <v>1.7529284705491401</v>
      </c>
      <c r="J55">
        <v>559</v>
      </c>
      <c r="K55" s="10">
        <f>J55/$J$59*100</f>
        <v>0.16878681832318299</v>
      </c>
      <c r="L55">
        <v>420</v>
      </c>
      <c r="M55" s="10">
        <f>L55/$L$59*100</f>
        <v>0.48057119318961961</v>
      </c>
      <c r="N55">
        <v>53</v>
      </c>
      <c r="O55" s="10">
        <f>N55/$N$59*100</f>
        <v>0.83648989898989901</v>
      </c>
      <c r="P55">
        <v>35</v>
      </c>
      <c r="Q55" s="10">
        <f>P55/$P$59*100</f>
        <v>0.92323925085729364</v>
      </c>
      <c r="R55">
        <v>508</v>
      </c>
      <c r="S55" s="10">
        <f>R55/$R$59*100</f>
        <v>0.5209027613998749</v>
      </c>
      <c r="T55">
        <v>1067</v>
      </c>
      <c r="U55" s="10">
        <f>T55/$T$59*100</f>
        <v>0.24888619346411328</v>
      </c>
    </row>
    <row r="56" spans="1:21" ht="13" x14ac:dyDescent="0.3">
      <c r="A56" s="4" t="s">
        <v>24</v>
      </c>
      <c r="B56" s="4" t="s">
        <v>22</v>
      </c>
      <c r="C56" s="4" t="s">
        <v>23</v>
      </c>
      <c r="E56" s="10"/>
      <c r="F56">
        <v>74</v>
      </c>
      <c r="G56" s="10">
        <f>F56/$F$59*100</f>
        <v>2.3186589378035406E-2</v>
      </c>
      <c r="H56">
        <v>63</v>
      </c>
      <c r="I56" s="10">
        <f>H56/$H$59*100</f>
        <v>0.5233862258037717</v>
      </c>
      <c r="J56">
        <v>137</v>
      </c>
      <c r="K56" s="10">
        <f>J56/$J$59*100</f>
        <v>4.1366357979026956E-2</v>
      </c>
      <c r="L56">
        <v>14</v>
      </c>
      <c r="M56" s="10">
        <f>L56/$L$59*100</f>
        <v>1.6019039772987322E-2</v>
      </c>
      <c r="N56">
        <v>0</v>
      </c>
      <c r="O56" s="10"/>
      <c r="P56">
        <v>2</v>
      </c>
      <c r="Q56" s="10">
        <f>P56/$P$59*100</f>
        <v>5.2756528620416784E-2</v>
      </c>
      <c r="R56">
        <v>16</v>
      </c>
      <c r="S56" s="10">
        <f>R56/$R$59*100</f>
        <v>1.6406386185822831E-2</v>
      </c>
      <c r="T56">
        <v>153</v>
      </c>
      <c r="U56" s="10">
        <f>T56/$T$59*100</f>
        <v>3.5688460731030297E-2</v>
      </c>
    </row>
    <row r="57" spans="1:21" ht="13" x14ac:dyDescent="0.3">
      <c r="A57" s="4" t="s">
        <v>25</v>
      </c>
      <c r="B57" s="4" t="s">
        <v>22</v>
      </c>
      <c r="C57" s="4" t="s">
        <v>23</v>
      </c>
      <c r="E57" s="10"/>
      <c r="F57">
        <v>308</v>
      </c>
      <c r="G57" s="10">
        <f>F57/$F$59*100</f>
        <v>9.6506344978850064E-2</v>
      </c>
      <c r="H57">
        <v>68</v>
      </c>
      <c r="I57" s="10">
        <f>H57/$H$59*100</f>
        <v>0.56492481515327742</v>
      </c>
      <c r="J57">
        <v>376</v>
      </c>
      <c r="K57" s="10">
        <f>J57/$J$59*100</f>
        <v>0.11353102627820535</v>
      </c>
      <c r="L57">
        <v>141</v>
      </c>
      <c r="M57" s="10">
        <f>L57/$L$59*100</f>
        <v>0.16133461485651518</v>
      </c>
      <c r="N57">
        <v>39</v>
      </c>
      <c r="O57" s="10">
        <f>N57/$N$59*100</f>
        <v>0.61553030303030298</v>
      </c>
      <c r="P57">
        <v>104</v>
      </c>
      <c r="Q57" s="10">
        <f>P57/$P$59*100</f>
        <v>2.7433394882616722</v>
      </c>
      <c r="R57">
        <v>284</v>
      </c>
      <c r="S57" s="10">
        <f>R57/$R$59*100</f>
        <v>0.29121335479835525</v>
      </c>
      <c r="T57">
        <v>660</v>
      </c>
      <c r="U57" s="10">
        <f>T57/$T$59*100</f>
        <v>0.15395022276130718</v>
      </c>
    </row>
    <row r="58" spans="1:21" ht="13" x14ac:dyDescent="0.3">
      <c r="A58" s="4" t="s">
        <v>26</v>
      </c>
      <c r="B58" s="4" t="s">
        <v>22</v>
      </c>
      <c r="C58" s="4" t="s">
        <v>23</v>
      </c>
      <c r="D58" s="7"/>
      <c r="E58" s="11"/>
      <c r="F58" s="7">
        <v>1148</v>
      </c>
      <c r="G58" s="11">
        <f>F58/$F$59*100</f>
        <v>0.35970546764844114</v>
      </c>
      <c r="H58" s="7">
        <v>130</v>
      </c>
      <c r="I58" s="11">
        <f>H58/$H$59*100</f>
        <v>1.080003323087148</v>
      </c>
      <c r="J58" s="7">
        <v>1278</v>
      </c>
      <c r="K58" s="11">
        <f>J58/$J$59*100</f>
        <v>0.38588471165836824</v>
      </c>
      <c r="L58" s="7">
        <v>976</v>
      </c>
      <c r="M58" s="11">
        <f>L58/$L$59*100</f>
        <v>1.1167559156025446</v>
      </c>
      <c r="N58" s="7">
        <v>21</v>
      </c>
      <c r="O58" s="11">
        <f>N58/$N$59*100</f>
        <v>0.33143939393939392</v>
      </c>
      <c r="P58" s="7">
        <v>36</v>
      </c>
      <c r="Q58" s="11">
        <f>P58/$P$59*100</f>
        <v>0.94961751516750204</v>
      </c>
      <c r="R58" s="7">
        <v>1033</v>
      </c>
      <c r="S58" s="11">
        <f>R58/$R$59*100</f>
        <v>1.0592373081221866</v>
      </c>
      <c r="T58" s="7">
        <v>2311</v>
      </c>
      <c r="U58" s="11">
        <f>T58/$T$59*100</f>
        <v>0.53905903757784979</v>
      </c>
    </row>
    <row r="59" spans="1:21" ht="13" x14ac:dyDescent="0.3">
      <c r="A59" s="4" t="s">
        <v>27</v>
      </c>
      <c r="E59" s="10"/>
      <c r="F59">
        <f>SUM(F39:F58)</f>
        <v>319150</v>
      </c>
      <c r="G59" s="10"/>
      <c r="H59">
        <f>SUM(H39:H58)</f>
        <v>12037</v>
      </c>
      <c r="I59" s="10"/>
      <c r="J59">
        <f>SUM(J39:J58)</f>
        <v>331187</v>
      </c>
      <c r="K59" s="10"/>
      <c r="L59">
        <f>SUM(L39:L58)</f>
        <v>87396</v>
      </c>
      <c r="M59" s="10"/>
      <c r="N59">
        <f>SUM(N39:N58)</f>
        <v>6336</v>
      </c>
      <c r="O59" s="10"/>
      <c r="P59">
        <f>SUM(P39:P58)</f>
        <v>3791</v>
      </c>
      <c r="Q59" s="10"/>
      <c r="R59">
        <f>SUM(R39:R58)</f>
        <v>97523</v>
      </c>
      <c r="S59" s="10"/>
      <c r="T59">
        <f>SUM(T39:T58)</f>
        <v>428710</v>
      </c>
      <c r="U59" s="10"/>
    </row>
    <row r="60" spans="1:21" x14ac:dyDescent="0.25">
      <c r="E60" s="10"/>
      <c r="G60" s="10"/>
      <c r="I60" s="10"/>
      <c r="K60" s="10"/>
      <c r="M60" s="10"/>
      <c r="O60" s="10"/>
      <c r="Q60" s="10"/>
      <c r="S60" s="10"/>
      <c r="U60" s="10"/>
    </row>
    <row r="61" spans="1:21" ht="13" x14ac:dyDescent="0.3">
      <c r="A61" s="4" t="s">
        <v>28</v>
      </c>
      <c r="B61" s="4" t="s">
        <v>22</v>
      </c>
      <c r="C61" s="4" t="s">
        <v>23</v>
      </c>
      <c r="E61" s="10"/>
      <c r="F61">
        <v>4670</v>
      </c>
      <c r="G61" s="10"/>
      <c r="H61">
        <v>2851</v>
      </c>
      <c r="I61" s="10"/>
      <c r="J61">
        <v>7521</v>
      </c>
      <c r="K61" s="10"/>
      <c r="L61">
        <v>187</v>
      </c>
      <c r="M61" s="10"/>
      <c r="N61">
        <v>39</v>
      </c>
      <c r="O61" s="10"/>
      <c r="P61">
        <v>3</v>
      </c>
      <c r="Q61" s="10"/>
      <c r="R61">
        <v>229</v>
      </c>
      <c r="S61" s="10"/>
      <c r="T61">
        <v>7750</v>
      </c>
      <c r="U61" s="10"/>
    </row>
    <row r="62" spans="1:21" ht="13" x14ac:dyDescent="0.3">
      <c r="A62" s="4" t="s">
        <v>29</v>
      </c>
      <c r="B62" s="4" t="s">
        <v>22</v>
      </c>
      <c r="C62" s="4" t="s">
        <v>23</v>
      </c>
      <c r="E62" s="10"/>
      <c r="F62">
        <v>9814</v>
      </c>
      <c r="G62" s="10"/>
      <c r="H62">
        <v>5366</v>
      </c>
      <c r="I62" s="10"/>
      <c r="J62">
        <v>15180</v>
      </c>
      <c r="K62" s="10"/>
      <c r="L62">
        <v>61</v>
      </c>
      <c r="M62" s="10"/>
      <c r="N62">
        <v>1</v>
      </c>
      <c r="O62" s="10"/>
      <c r="P62">
        <v>150</v>
      </c>
      <c r="Q62" s="10"/>
      <c r="R62">
        <v>212</v>
      </c>
      <c r="S62" s="10"/>
      <c r="T62">
        <v>15392</v>
      </c>
      <c r="U62" s="10"/>
    </row>
    <row r="63" spans="1:21" ht="13" x14ac:dyDescent="0.3">
      <c r="A63" s="4" t="s">
        <v>30</v>
      </c>
      <c r="B63" s="4" t="s">
        <v>22</v>
      </c>
      <c r="C63" s="4" t="s">
        <v>23</v>
      </c>
      <c r="E63" s="10"/>
      <c r="F63">
        <v>1427</v>
      </c>
      <c r="G63" s="10"/>
      <c r="H63">
        <v>945</v>
      </c>
      <c r="I63" s="10"/>
      <c r="J63">
        <v>2372</v>
      </c>
      <c r="K63" s="10"/>
      <c r="L63">
        <v>54</v>
      </c>
      <c r="M63" s="10"/>
      <c r="N63">
        <v>0</v>
      </c>
      <c r="O63" s="10"/>
      <c r="P63">
        <v>114</v>
      </c>
      <c r="Q63" s="10"/>
      <c r="R63">
        <v>168</v>
      </c>
      <c r="S63" s="10"/>
      <c r="T63">
        <v>2540</v>
      </c>
      <c r="U63" s="10"/>
    </row>
    <row r="64" spans="1:21" ht="13" x14ac:dyDescent="0.3">
      <c r="A64" s="4" t="s">
        <v>31</v>
      </c>
      <c r="B64" s="4" t="s">
        <v>22</v>
      </c>
      <c r="C64" s="4" t="s">
        <v>23</v>
      </c>
      <c r="E64" s="10"/>
      <c r="F64">
        <v>2372</v>
      </c>
      <c r="G64" s="10"/>
      <c r="H64">
        <v>342</v>
      </c>
      <c r="I64" s="10"/>
      <c r="J64">
        <v>2714</v>
      </c>
      <c r="K64" s="10"/>
      <c r="L64">
        <v>43</v>
      </c>
      <c r="M64" s="10"/>
      <c r="N64">
        <v>2</v>
      </c>
      <c r="O64" s="10"/>
      <c r="P64">
        <v>32</v>
      </c>
      <c r="Q64" s="10"/>
      <c r="R64">
        <v>77</v>
      </c>
      <c r="S64" s="10"/>
      <c r="T64">
        <v>2791</v>
      </c>
      <c r="U64" s="10"/>
    </row>
    <row r="65" spans="1:21" x14ac:dyDescent="0.25">
      <c r="E65" s="10"/>
      <c r="G65" s="10"/>
      <c r="I65" s="10"/>
      <c r="K65" s="10"/>
      <c r="M65" s="10"/>
      <c r="O65" s="10"/>
      <c r="Q65" s="10"/>
      <c r="S65" s="10"/>
      <c r="U65" s="10"/>
    </row>
    <row r="66" spans="1:21" ht="13" x14ac:dyDescent="0.3">
      <c r="A66" s="4" t="s">
        <v>32</v>
      </c>
      <c r="B66" s="4" t="s">
        <v>22</v>
      </c>
      <c r="C66" s="4" t="s">
        <v>23</v>
      </c>
      <c r="D66" s="7"/>
      <c r="E66" s="11"/>
      <c r="F66" s="7">
        <v>226</v>
      </c>
      <c r="G66" s="11"/>
      <c r="H66" s="7">
        <v>303</v>
      </c>
      <c r="I66" s="11"/>
      <c r="J66" s="7">
        <v>529</v>
      </c>
      <c r="K66" s="11"/>
      <c r="L66" s="7">
        <v>21</v>
      </c>
      <c r="M66" s="11"/>
      <c r="N66" s="7">
        <v>12</v>
      </c>
      <c r="O66" s="11"/>
      <c r="P66" s="7">
        <v>74</v>
      </c>
      <c r="Q66" s="11"/>
      <c r="R66" s="7">
        <v>107</v>
      </c>
      <c r="S66" s="11"/>
      <c r="T66" s="7">
        <v>636</v>
      </c>
      <c r="U66" s="11"/>
    </row>
    <row r="67" spans="1:21" ht="13.5" thickBot="1" x14ac:dyDescent="0.35">
      <c r="A67" s="8" t="s">
        <v>33</v>
      </c>
      <c r="B67" s="9"/>
      <c r="C67" s="9"/>
      <c r="D67" s="9"/>
      <c r="E67" s="12"/>
      <c r="F67" s="9">
        <f>SUM(F60:F66)</f>
        <v>18509</v>
      </c>
      <c r="G67" s="12"/>
      <c r="H67" s="9">
        <f>SUM(H60:H66)</f>
        <v>9807</v>
      </c>
      <c r="I67" s="12"/>
      <c r="J67" s="9">
        <f>SUM(J60:J66)</f>
        <v>28316</v>
      </c>
      <c r="K67" s="12"/>
      <c r="L67" s="9">
        <f>SUM(L60:L66)</f>
        <v>366</v>
      </c>
      <c r="M67" s="12"/>
      <c r="N67" s="9">
        <f>SUM(N60:N66)</f>
        <v>54</v>
      </c>
      <c r="O67" s="12"/>
      <c r="P67" s="9">
        <f>SUM(P60:P66)</f>
        <v>373</v>
      </c>
      <c r="Q67" s="12"/>
      <c r="R67" s="9">
        <f>SUM(R60:R66)</f>
        <v>793</v>
      </c>
      <c r="S67" s="12"/>
      <c r="T67" s="9">
        <f>SUM(T60:T66)</f>
        <v>29109</v>
      </c>
      <c r="U67" s="12"/>
    </row>
    <row r="68" spans="1:21" ht="13" x14ac:dyDescent="0.3">
      <c r="A68" s="4" t="s">
        <v>34</v>
      </c>
      <c r="E68" s="10"/>
      <c r="F68">
        <f>SUM(F39:F67) - (F59 + F67)</f>
        <v>337659</v>
      </c>
      <c r="G68" s="10"/>
      <c r="H68">
        <f>SUM(H39:H67) - (H59 + H67)</f>
        <v>21844</v>
      </c>
      <c r="I68" s="10"/>
      <c r="J68">
        <f>SUM(J39:J67) - (J59 + J67)</f>
        <v>359503</v>
      </c>
      <c r="K68" s="10"/>
      <c r="L68">
        <f>SUM(L39:L67) - (L59 + L67)</f>
        <v>87762</v>
      </c>
      <c r="M68" s="10"/>
      <c r="N68">
        <f>SUM(N39:N67) - (N59 + N67)</f>
        <v>6390</v>
      </c>
      <c r="O68" s="10"/>
      <c r="P68">
        <f>SUM(P39:P67) - (P59 + P67)</f>
        <v>4164</v>
      </c>
      <c r="Q68" s="10"/>
      <c r="R68">
        <f>SUM(R39:R67) - (R59 + R67)</f>
        <v>98316</v>
      </c>
      <c r="S68" s="10"/>
      <c r="T68">
        <f>SUM(T39:T67) - (T59 + T67)</f>
        <v>457819</v>
      </c>
      <c r="U68" s="10"/>
    </row>
    <row r="69" spans="1:21" ht="13.5" thickBot="1" x14ac:dyDescent="0.35">
      <c r="A69" s="8" t="s">
        <v>35</v>
      </c>
      <c r="B69" s="9"/>
      <c r="C69" s="9"/>
      <c r="D69" s="9"/>
      <c r="E69" s="9"/>
      <c r="F69" s="9">
        <v>29526</v>
      </c>
      <c r="G69" s="9"/>
      <c r="H69" s="9">
        <v>10954</v>
      </c>
      <c r="I69" s="9"/>
      <c r="J69" s="9">
        <v>40480</v>
      </c>
      <c r="K69" s="9"/>
      <c r="L69" s="9">
        <v>7951</v>
      </c>
      <c r="M69" s="9"/>
      <c r="N69" s="9">
        <v>28194</v>
      </c>
      <c r="O69" s="9"/>
      <c r="P69" s="9">
        <v>3052</v>
      </c>
      <c r="Q69" s="9"/>
      <c r="R69" s="9">
        <v>39197</v>
      </c>
      <c r="S69" s="9"/>
      <c r="T69" s="9">
        <v>79677</v>
      </c>
      <c r="U69" s="9"/>
    </row>
    <row r="70" spans="1:21" ht="13" x14ac:dyDescent="0.3">
      <c r="A70" s="4" t="s">
        <v>36</v>
      </c>
      <c r="F70">
        <f>SUM(F68:F69)</f>
        <v>367185</v>
      </c>
      <c r="H70">
        <f>SUM(H68:H69)</f>
        <v>32798</v>
      </c>
      <c r="J70">
        <f>SUM(J68:J69)</f>
        <v>399983</v>
      </c>
      <c r="L70">
        <f>SUM(L68:L69)</f>
        <v>95713</v>
      </c>
      <c r="N70">
        <f>SUM(N68:N69)</f>
        <v>34584</v>
      </c>
      <c r="P70">
        <f>SUM(P68:P69)</f>
        <v>7216</v>
      </c>
      <c r="R70">
        <f>SUM(R68:R69)</f>
        <v>137513</v>
      </c>
      <c r="T70">
        <f>SUM(T68:T69)</f>
        <v>537496</v>
      </c>
    </row>
    <row r="71" spans="1:21" ht="13" x14ac:dyDescent="0.3">
      <c r="A71" s="4" t="s">
        <v>37</v>
      </c>
      <c r="F71">
        <v>179429</v>
      </c>
      <c r="H71">
        <v>18339</v>
      </c>
      <c r="J71">
        <v>197768</v>
      </c>
      <c r="L71">
        <v>72284</v>
      </c>
      <c r="N71">
        <v>4475</v>
      </c>
      <c r="P71">
        <v>3197</v>
      </c>
      <c r="R71">
        <v>79956</v>
      </c>
      <c r="T71">
        <v>277724</v>
      </c>
    </row>
    <row r="73" spans="1:21" ht="13" x14ac:dyDescent="0.3">
      <c r="A73" s="4"/>
      <c r="B73" s="4"/>
      <c r="C73" s="4"/>
      <c r="D73" s="4"/>
      <c r="E73" s="4"/>
      <c r="F73" s="4" t="s">
        <v>40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.5" thickBot="1" x14ac:dyDescent="0.35">
      <c r="A74" s="5"/>
      <c r="B74" s="5"/>
      <c r="C74" s="5"/>
      <c r="D74" s="5"/>
      <c r="E74" s="5"/>
      <c r="F74" s="5" t="s">
        <v>5</v>
      </c>
      <c r="G74" s="5"/>
      <c r="H74" s="5" t="s">
        <v>7</v>
      </c>
      <c r="I74" s="5"/>
      <c r="J74" s="5" t="s">
        <v>8</v>
      </c>
      <c r="K74" s="5"/>
      <c r="L74" s="5" t="s">
        <v>9</v>
      </c>
      <c r="M74" s="5"/>
      <c r="N74" s="5" t="s">
        <v>10</v>
      </c>
      <c r="O74" s="5"/>
      <c r="P74" s="5" t="s">
        <v>11</v>
      </c>
      <c r="Q74" s="5"/>
      <c r="R74" s="5" t="s">
        <v>12</v>
      </c>
      <c r="S74" s="5"/>
      <c r="T74" s="5" t="s">
        <v>13</v>
      </c>
      <c r="U74" s="5"/>
    </row>
    <row r="75" spans="1:21" ht="13" x14ac:dyDescent="0.3">
      <c r="A75" s="4" t="s">
        <v>41</v>
      </c>
      <c r="D75" s="14"/>
      <c r="F75" s="14">
        <v>815.55716277741374</v>
      </c>
      <c r="H75" s="14">
        <v>766.78475935828874</v>
      </c>
      <c r="J75" s="14">
        <v>813.78525749995947</v>
      </c>
      <c r="L75" s="14">
        <v>857.44797564687974</v>
      </c>
      <c r="N75" s="14">
        <v>810.3572669368848</v>
      </c>
      <c r="P75" s="14">
        <v>756.60815402038509</v>
      </c>
      <c r="R75" s="14">
        <v>848.49776727081689</v>
      </c>
      <c r="T75" s="14">
        <v>821.96268656716416</v>
      </c>
    </row>
    <row r="76" spans="1:21" ht="13" x14ac:dyDescent="0.3">
      <c r="A76" s="4" t="s">
        <v>42</v>
      </c>
      <c r="D76" s="13"/>
      <c r="F76" s="13">
        <v>820.59299499739382</v>
      </c>
      <c r="H76" s="13">
        <v>790.46796085858591</v>
      </c>
      <c r="J76" s="13">
        <v>819.35403968609432</v>
      </c>
      <c r="L76" s="13">
        <v>861.25093272057916</v>
      </c>
      <c r="N76" s="13">
        <v>807.88083441981746</v>
      </c>
      <c r="P76" s="13">
        <v>765.55218687872764</v>
      </c>
      <c r="R76" s="13">
        <v>852.67536701208985</v>
      </c>
      <c r="T76" s="13">
        <v>827.05666262432692</v>
      </c>
    </row>
    <row r="77" spans="1:21" ht="13" x14ac:dyDescent="0.3">
      <c r="A77" s="4" t="s">
        <v>43</v>
      </c>
      <c r="D77" s="14"/>
      <c r="F77" s="14">
        <v>772.43764626041377</v>
      </c>
      <c r="H77" s="14">
        <v>710.36062015503876</v>
      </c>
      <c r="J77" s="14">
        <v>770.18033803515652</v>
      </c>
      <c r="L77" s="14">
        <v>760.10718483690857</v>
      </c>
      <c r="N77" s="14">
        <v>751.58165997322624</v>
      </c>
      <c r="P77" s="14">
        <v>694.20941558441564</v>
      </c>
      <c r="R77" s="14">
        <v>756.71511258109661</v>
      </c>
      <c r="T77" s="14">
        <v>768.15277125973319</v>
      </c>
    </row>
    <row r="78" spans="1:21" ht="13" x14ac:dyDescent="0.3">
      <c r="A78" s="4" t="s">
        <v>42</v>
      </c>
      <c r="D78" s="13"/>
      <c r="F78" s="13">
        <v>773.79861817294341</v>
      </c>
      <c r="H78" s="13">
        <v>715.86149631912349</v>
      </c>
      <c r="J78" s="13">
        <v>771.89670773104331</v>
      </c>
      <c r="L78" s="13">
        <v>763.7434398458779</v>
      </c>
      <c r="N78" s="13">
        <v>751.45985650837031</v>
      </c>
      <c r="P78" s="13">
        <v>692.56882352941182</v>
      </c>
      <c r="R78" s="13">
        <v>759.2246566665707</v>
      </c>
      <c r="T78" s="13">
        <v>769.82707544729976</v>
      </c>
    </row>
    <row r="79" spans="1:21" ht="13" x14ac:dyDescent="0.3">
      <c r="A79" s="4" t="s">
        <v>44</v>
      </c>
      <c r="D79" s="14"/>
      <c r="F79" s="14">
        <v>790.93438625014517</v>
      </c>
      <c r="H79" s="14">
        <v>784.70066002329497</v>
      </c>
      <c r="J79" s="14">
        <v>789.00372760431276</v>
      </c>
      <c r="L79" s="14">
        <v>702.05839416058393</v>
      </c>
      <c r="N79" s="14">
        <v>603.48713720316618</v>
      </c>
      <c r="P79" s="14">
        <v>629.84162895927602</v>
      </c>
      <c r="R79" s="14">
        <v>606.67531787584142</v>
      </c>
      <c r="T79" s="14">
        <v>725.38696208147394</v>
      </c>
    </row>
    <row r="80" spans="1:21" ht="13" x14ac:dyDescent="0.3">
      <c r="A80" s="4" t="s">
        <v>42</v>
      </c>
      <c r="D80" s="13"/>
      <c r="F80" s="13">
        <v>777.07139416372991</v>
      </c>
      <c r="H80" s="13">
        <v>770.95472013366748</v>
      </c>
      <c r="J80" s="13">
        <v>775.15800202097637</v>
      </c>
      <c r="L80" s="13">
        <v>747.9487179487179</v>
      </c>
      <c r="N80" s="13">
        <v>602.88719969969975</v>
      </c>
      <c r="P80" s="13">
        <v>627.49315575286721</v>
      </c>
      <c r="R80" s="13">
        <v>606.47011750405181</v>
      </c>
      <c r="T80" s="13">
        <v>717.74355850782638</v>
      </c>
    </row>
    <row r="81" spans="1:21" ht="13" x14ac:dyDescent="0.3">
      <c r="A81" s="4" t="s">
        <v>45</v>
      </c>
      <c r="D81" s="14"/>
      <c r="F81" s="14">
        <v>987.2967032967033</v>
      </c>
      <c r="H81" s="14">
        <v>1049.0545454545454</v>
      </c>
      <c r="J81" s="14">
        <v>1016.6628242074928</v>
      </c>
      <c r="L81" s="14">
        <v>1162.7777777777778</v>
      </c>
      <c r="N81" s="14">
        <v>907.6289855072464</v>
      </c>
      <c r="P81" s="14">
        <v>919.58974358974353</v>
      </c>
      <c r="R81" s="14">
        <v>914.65903307888038</v>
      </c>
      <c r="T81" s="14">
        <v>962.49054054054056</v>
      </c>
    </row>
    <row r="82" spans="1:21" ht="13.5" thickBot="1" x14ac:dyDescent="0.35">
      <c r="A82" s="8" t="s">
        <v>42</v>
      </c>
      <c r="B82" s="9"/>
      <c r="C82" s="9"/>
      <c r="D82" s="15"/>
      <c r="E82" s="9"/>
      <c r="F82" s="15">
        <v>980.39148936170216</v>
      </c>
      <c r="G82" s="9"/>
      <c r="H82" s="15">
        <v>1039.1899441340781</v>
      </c>
      <c r="I82" s="9"/>
      <c r="J82" s="15">
        <v>1005.8140096618357</v>
      </c>
      <c r="K82" s="9"/>
      <c r="L82" s="15">
        <v>1160.4615384615386</v>
      </c>
      <c r="M82" s="9"/>
      <c r="N82" s="15">
        <v>885.04403409090912</v>
      </c>
      <c r="O82" s="9"/>
      <c r="P82" s="15">
        <v>883.67567567567562</v>
      </c>
      <c r="Q82" s="9"/>
      <c r="R82" s="15">
        <v>889.18478260869563</v>
      </c>
      <c r="S82" s="9"/>
      <c r="T82" s="15">
        <v>947.49939613526567</v>
      </c>
      <c r="U82" s="9"/>
    </row>
    <row r="83" spans="1:21" ht="13" x14ac:dyDescent="0.3">
      <c r="A83" s="16">
        <v>36923</v>
      </c>
      <c r="D83" s="14"/>
      <c r="F83" s="14">
        <v>790.44515398020826</v>
      </c>
      <c r="H83" s="14">
        <v>767.01249906444127</v>
      </c>
      <c r="J83" s="14">
        <v>788.66375916063544</v>
      </c>
      <c r="L83" s="14">
        <v>812.93473147135808</v>
      </c>
      <c r="N83" s="14">
        <v>647.03542755193064</v>
      </c>
      <c r="P83" s="14">
        <v>691.4706772606886</v>
      </c>
      <c r="R83" s="14">
        <v>752.65746084089039</v>
      </c>
      <c r="T83" s="14">
        <v>780.8739967539417</v>
      </c>
    </row>
    <row r="84" spans="1:21" ht="13" x14ac:dyDescent="0.3">
      <c r="A84" s="4" t="s">
        <v>42</v>
      </c>
      <c r="D84" s="13"/>
      <c r="F84" s="13">
        <v>793.64364365199162</v>
      </c>
      <c r="H84" s="13">
        <v>767.60491964578546</v>
      </c>
      <c r="J84" s="13">
        <v>791.60908161356372</v>
      </c>
      <c r="L84" s="13">
        <v>819.44466238622738</v>
      </c>
      <c r="N84" s="13">
        <v>644.51216794698882</v>
      </c>
      <c r="P84" s="13">
        <v>691.36684033098379</v>
      </c>
      <c r="R84" s="13">
        <v>758.43778756379095</v>
      </c>
      <c r="T84" s="13">
        <v>784.23735235612321</v>
      </c>
    </row>
  </sheetData>
  <printOptions horizontalCentered="1" verticalCentered="1"/>
  <pageMargins left="0.75" right="0.75" top="0.5" bottom="1" header="0.5" footer="0.5"/>
  <pageSetup scale="80" orientation="landscape" horizontalDpi="300" verticalDpi="300" copies="0" r:id="rId1"/>
  <headerFooter alignWithMargins="0"/>
  <rowBreaks count="1" manualBreakCount="1">
    <brk id="36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Canadian Beef Grading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</dc:creator>
  <cp:lastModifiedBy>Carina Negreanu</cp:lastModifiedBy>
  <cp:lastPrinted>2001-05-28T20:32:27Z</cp:lastPrinted>
  <dcterms:created xsi:type="dcterms:W3CDTF">2001-05-28T20:29:56Z</dcterms:created>
  <dcterms:modified xsi:type="dcterms:W3CDTF">2020-01-27T11:52:03Z</dcterms:modified>
</cp:coreProperties>
</file>