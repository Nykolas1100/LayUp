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1D532B4-A2A1-4394-AD34-5DFA569C8AE6}" xr6:coauthVersionLast="45" xr6:coauthVersionMax="45" xr10:uidLastSave="{00000000-0000-0000-0000-000000000000}"/>
  <bookViews>
    <workbookView xWindow="1140" yWindow="114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2" i="1" l="1"/>
  <c r="D2" i="1" s="1"/>
  <c r="C2" i="1" s="1"/>
  <c r="B2" i="1" s="1"/>
  <c r="AE2" i="1"/>
  <c r="AI2" i="1"/>
  <c r="AM2" i="1"/>
  <c r="AN2" i="1"/>
  <c r="AL2" i="1" s="1"/>
  <c r="W3" i="1"/>
  <c r="D3" i="1" s="1"/>
  <c r="C3" i="1" s="1"/>
  <c r="B3" i="1" s="1"/>
  <c r="AE3" i="1"/>
  <c r="AI3" i="1"/>
  <c r="AM3" i="1"/>
  <c r="AN3" i="1"/>
  <c r="AL3" i="1" s="1"/>
  <c r="W4" i="1"/>
  <c r="D4" i="1" s="1"/>
  <c r="C4" i="1" s="1"/>
  <c r="B4" i="1" s="1"/>
  <c r="AE4" i="1"/>
  <c r="AI4" i="1"/>
  <c r="AM4" i="1"/>
  <c r="AN4" i="1"/>
  <c r="AL4" i="1" s="1"/>
  <c r="W5" i="1"/>
  <c r="D5" i="1" s="1"/>
  <c r="C5" i="1" s="1"/>
  <c r="B5" i="1" s="1"/>
  <c r="AE5" i="1"/>
  <c r="AH5" i="1"/>
  <c r="AI5" i="1"/>
  <c r="AM5" i="1"/>
  <c r="AN5" i="1"/>
  <c r="AL5" i="1" s="1"/>
  <c r="D6" i="1"/>
  <c r="C6" i="1" s="1"/>
  <c r="B6" i="1" s="1"/>
  <c r="W6" i="1"/>
  <c r="AE6" i="1"/>
  <c r="AI6" i="1"/>
  <c r="AM6" i="1"/>
  <c r="AN6" i="1"/>
  <c r="AL6" i="1" s="1"/>
  <c r="W7" i="1"/>
  <c r="D7" i="1" s="1"/>
  <c r="C7" i="1" s="1"/>
  <c r="B7" i="1" s="1"/>
  <c r="AE7" i="1"/>
  <c r="AI7" i="1"/>
  <c r="AM7" i="1"/>
  <c r="AN7" i="1"/>
  <c r="AL7" i="1" s="1"/>
  <c r="W8" i="1"/>
  <c r="D8" i="1" s="1"/>
  <c r="C8" i="1" s="1"/>
  <c r="B8" i="1" s="1"/>
  <c r="AE8" i="1"/>
  <c r="AI8" i="1"/>
  <c r="AL8" i="1"/>
  <c r="AM8" i="1"/>
  <c r="AN8" i="1"/>
  <c r="W9" i="1"/>
  <c r="D9" i="1" s="1"/>
  <c r="C9" i="1" s="1"/>
  <c r="B9" i="1" s="1"/>
  <c r="AE9" i="1"/>
  <c r="AI9" i="1"/>
  <c r="AM9" i="1"/>
  <c r="AN9" i="1"/>
  <c r="AL9" i="1" s="1"/>
  <c r="W10" i="1"/>
  <c r="D10" i="1" s="1"/>
  <c r="C10" i="1" s="1"/>
  <c r="B10" i="1" s="1"/>
  <c r="AE10" i="1"/>
  <c r="AI10" i="1"/>
  <c r="AL10" i="1"/>
  <c r="AM10" i="1"/>
  <c r="AN10" i="1"/>
  <c r="W11" i="1"/>
  <c r="D11" i="1" s="1"/>
  <c r="C11" i="1" s="1"/>
  <c r="B11" i="1" s="1"/>
  <c r="AE11" i="1"/>
  <c r="AI11" i="1"/>
  <c r="AM11" i="1"/>
  <c r="AN11" i="1"/>
  <c r="AL11" i="1" s="1"/>
  <c r="W12" i="1"/>
  <c r="D12" i="1" s="1"/>
  <c r="C12" i="1" s="1"/>
  <c r="B12" i="1" s="1"/>
  <c r="AE12" i="1"/>
  <c r="AI12" i="1"/>
  <c r="AM12" i="1"/>
  <c r="AN12" i="1"/>
  <c r="AL12" i="1" s="1"/>
  <c r="W13" i="1"/>
  <c r="D13" i="1" s="1"/>
  <c r="C13" i="1" s="1"/>
  <c r="B13" i="1" s="1"/>
  <c r="AE13" i="1"/>
  <c r="AI13" i="1"/>
  <c r="AM13" i="1"/>
  <c r="AN13" i="1"/>
  <c r="AL13" i="1" s="1"/>
  <c r="W14" i="1"/>
  <c r="D14" i="1" s="1"/>
  <c r="C14" i="1" s="1"/>
  <c r="B14" i="1" s="1"/>
  <c r="AE14" i="1"/>
  <c r="AI14" i="1"/>
  <c r="AM14" i="1"/>
  <c r="AN14" i="1"/>
  <c r="AL14" i="1" s="1"/>
  <c r="W15" i="1"/>
  <c r="D15" i="1" s="1"/>
  <c r="C15" i="1" s="1"/>
  <c r="B15" i="1" s="1"/>
  <c r="AE15" i="1"/>
  <c r="AI15" i="1"/>
  <c r="AM15" i="1"/>
  <c r="AN15" i="1"/>
  <c r="AL15" i="1" s="1"/>
  <c r="W16" i="1"/>
  <c r="D16" i="1" s="1"/>
  <c r="C16" i="1" s="1"/>
  <c r="B16" i="1" s="1"/>
  <c r="AE16" i="1"/>
  <c r="AI16" i="1"/>
  <c r="AM16" i="1"/>
  <c r="AN16" i="1"/>
  <c r="AL16" i="1" s="1"/>
  <c r="W17" i="1"/>
  <c r="D17" i="1" s="1"/>
  <c r="C17" i="1" s="1"/>
  <c r="B17" i="1" s="1"/>
  <c r="AE17" i="1"/>
  <c r="AI17" i="1"/>
  <c r="AM17" i="1"/>
  <c r="AN17" i="1"/>
  <c r="AL17" i="1" s="1"/>
  <c r="W18" i="1"/>
  <c r="D18" i="1" s="1"/>
  <c r="C18" i="1" s="1"/>
  <c r="B18" i="1" s="1"/>
  <c r="AE18" i="1"/>
  <c r="AI18" i="1"/>
  <c r="AM18" i="1"/>
  <c r="AN18" i="1"/>
  <c r="AL18" i="1" s="1"/>
  <c r="W19" i="1"/>
  <c r="D19" i="1" s="1"/>
  <c r="C19" i="1" s="1"/>
  <c r="B19" i="1" s="1"/>
  <c r="AE19" i="1"/>
  <c r="AI19" i="1"/>
  <c r="AM19" i="1"/>
  <c r="AN19" i="1"/>
  <c r="AL19" i="1" s="1"/>
  <c r="W20" i="1"/>
  <c r="D20" i="1" s="1"/>
  <c r="C20" i="1" s="1"/>
  <c r="B20" i="1" s="1"/>
  <c r="AE20" i="1"/>
  <c r="AI20" i="1"/>
  <c r="AM20" i="1"/>
  <c r="AN20" i="1"/>
  <c r="AL20" i="1" s="1"/>
  <c r="W21" i="1"/>
  <c r="D21" i="1" s="1"/>
  <c r="C21" i="1" s="1"/>
  <c r="B21" i="1" s="1"/>
  <c r="AE21" i="1"/>
  <c r="AI21" i="1"/>
  <c r="AM21" i="1"/>
  <c r="AL21" i="1" s="1"/>
  <c r="AN21" i="1"/>
  <c r="W22" i="1"/>
  <c r="D22" i="1" s="1"/>
  <c r="C22" i="1" s="1"/>
  <c r="B22" i="1" s="1"/>
  <c r="AE22" i="1"/>
  <c r="AI22" i="1"/>
  <c r="AM22" i="1"/>
  <c r="AN22" i="1"/>
  <c r="AL22" i="1" s="1"/>
  <c r="W23" i="1"/>
  <c r="D23" i="1" s="1"/>
  <c r="C23" i="1" s="1"/>
  <c r="B23" i="1" s="1"/>
  <c r="AE23" i="1"/>
  <c r="AI23" i="1"/>
  <c r="AM23" i="1"/>
  <c r="AN23" i="1"/>
  <c r="AL23" i="1" s="1"/>
  <c r="W24" i="1"/>
  <c r="AE24" i="1"/>
  <c r="AI24" i="1"/>
  <c r="D24" i="1" s="1"/>
  <c r="C24" i="1" s="1"/>
  <c r="B24" i="1" s="1"/>
  <c r="AM24" i="1"/>
  <c r="AN24" i="1"/>
  <c r="AL24" i="1" s="1"/>
  <c r="W25" i="1"/>
  <c r="D25" i="1" s="1"/>
  <c r="C25" i="1" s="1"/>
  <c r="B25" i="1" s="1"/>
  <c r="AE25" i="1"/>
  <c r="AI25" i="1"/>
  <c r="AM25" i="1"/>
  <c r="AN25" i="1"/>
  <c r="AL25" i="1" s="1"/>
  <c r="D26" i="1"/>
  <c r="C26" i="1" s="1"/>
  <c r="B26" i="1" s="1"/>
  <c r="W26" i="1"/>
  <c r="AE26" i="1"/>
  <c r="AI26" i="1"/>
  <c r="AM26" i="1"/>
  <c r="AN26" i="1"/>
  <c r="AL26" i="1" s="1"/>
  <c r="W27" i="1"/>
  <c r="D27" i="1" s="1"/>
  <c r="C27" i="1" s="1"/>
  <c r="B27" i="1" s="1"/>
  <c r="AE27" i="1"/>
  <c r="AI27" i="1"/>
  <c r="AM27" i="1"/>
  <c r="AN27" i="1"/>
  <c r="AL27" i="1" s="1"/>
  <c r="W28" i="1"/>
  <c r="D28" i="1" s="1"/>
  <c r="C28" i="1" s="1"/>
  <c r="B28" i="1" s="1"/>
  <c r="AE28" i="1"/>
  <c r="AG28" i="1"/>
  <c r="AI28" i="1"/>
  <c r="AM28" i="1"/>
  <c r="AN28" i="1"/>
  <c r="AL28" i="1" s="1"/>
  <c r="W29" i="1"/>
  <c r="D29" i="1" s="1"/>
  <c r="C29" i="1" s="1"/>
  <c r="B29" i="1" s="1"/>
  <c r="AE29" i="1"/>
  <c r="AI29" i="1"/>
  <c r="AM29" i="1"/>
  <c r="AN29" i="1"/>
  <c r="AL29" i="1" s="1"/>
  <c r="W30" i="1"/>
  <c r="D30" i="1" s="1"/>
  <c r="C30" i="1" s="1"/>
  <c r="B30" i="1" s="1"/>
  <c r="AE30" i="1"/>
  <c r="AI30" i="1"/>
  <c r="AM30" i="1"/>
  <c r="AL30" i="1" s="1"/>
  <c r="AN30" i="1"/>
  <c r="W31" i="1"/>
  <c r="D31" i="1" s="1"/>
  <c r="C31" i="1" s="1"/>
  <c r="B31" i="1" s="1"/>
  <c r="AE31" i="1"/>
  <c r="AI31" i="1"/>
  <c r="AM31" i="1"/>
  <c r="AN31" i="1"/>
  <c r="AL31" i="1" s="1"/>
  <c r="W32" i="1"/>
  <c r="D32" i="1" s="1"/>
  <c r="C32" i="1" s="1"/>
  <c r="B32" i="1" s="1"/>
  <c r="AE32" i="1"/>
  <c r="AI32" i="1"/>
  <c r="AM32" i="1"/>
  <c r="AL32" i="1" s="1"/>
  <c r="AN32" i="1"/>
  <c r="W33" i="1"/>
  <c r="D33" i="1" s="1"/>
  <c r="C33" i="1" s="1"/>
  <c r="B33" i="1" s="1"/>
  <c r="AE33" i="1"/>
  <c r="AI33" i="1"/>
  <c r="AM33" i="1"/>
  <c r="AN33" i="1"/>
  <c r="AL33" i="1" s="1"/>
  <c r="W34" i="1"/>
  <c r="D34" i="1" s="1"/>
  <c r="C34" i="1" s="1"/>
  <c r="B34" i="1" s="1"/>
  <c r="AE34" i="1"/>
  <c r="AI34" i="1"/>
  <c r="AM34" i="1"/>
  <c r="AN34" i="1"/>
  <c r="AL34" i="1" s="1"/>
  <c r="W35" i="1"/>
  <c r="AE35" i="1"/>
  <c r="AI35" i="1"/>
  <c r="D35" i="1" s="1"/>
  <c r="C35" i="1" s="1"/>
  <c r="B35" i="1" s="1"/>
  <c r="AM35" i="1"/>
  <c r="AN35" i="1"/>
  <c r="AL35" i="1" s="1"/>
  <c r="W36" i="1"/>
  <c r="D36" i="1" s="1"/>
  <c r="C36" i="1" s="1"/>
  <c r="B36" i="1" s="1"/>
  <c r="AE36" i="1"/>
  <c r="AI36" i="1"/>
  <c r="AM36" i="1"/>
  <c r="AN36" i="1"/>
  <c r="AL36" i="1" s="1"/>
  <c r="D37" i="1"/>
  <c r="C37" i="1" s="1"/>
  <c r="B37" i="1" s="1"/>
  <c r="W37" i="1"/>
  <c r="AE37" i="1"/>
  <c r="AI37" i="1"/>
  <c r="AM37" i="1"/>
  <c r="AN37" i="1"/>
  <c r="AL37" i="1" s="1"/>
  <c r="W38" i="1"/>
  <c r="D38" i="1" s="1"/>
  <c r="C38" i="1" s="1"/>
  <c r="B38" i="1" s="1"/>
  <c r="AE38" i="1"/>
  <c r="AI38" i="1"/>
  <c r="AM38" i="1"/>
  <c r="AN38" i="1"/>
  <c r="AL38" i="1" s="1"/>
  <c r="W39" i="1"/>
  <c r="D39" i="1" s="1"/>
  <c r="C39" i="1" s="1"/>
  <c r="B39" i="1" s="1"/>
  <c r="AE39" i="1"/>
  <c r="AI39" i="1"/>
  <c r="AL39" i="1"/>
  <c r="AM39" i="1"/>
  <c r="AN39" i="1"/>
  <c r="W40" i="1"/>
  <c r="D40" i="1" s="1"/>
  <c r="C40" i="1" s="1"/>
  <c r="B40" i="1" s="1"/>
  <c r="AE40" i="1"/>
  <c r="AI40" i="1"/>
  <c r="AM40" i="1"/>
  <c r="AN40" i="1"/>
  <c r="AL40" i="1" s="1"/>
  <c r="W41" i="1"/>
  <c r="D41" i="1" s="1"/>
  <c r="C41" i="1" s="1"/>
  <c r="B41" i="1" s="1"/>
  <c r="AE41" i="1"/>
  <c r="AI41" i="1"/>
  <c r="AL41" i="1"/>
  <c r="AM41" i="1"/>
  <c r="AN41" i="1"/>
  <c r="W42" i="1"/>
  <c r="D42" i="1" s="1"/>
  <c r="C42" i="1" s="1"/>
  <c r="B42" i="1" s="1"/>
  <c r="AE42" i="1"/>
  <c r="AI42" i="1"/>
  <c r="AM42" i="1"/>
  <c r="AN42" i="1"/>
  <c r="AL42" i="1" s="1"/>
  <c r="W43" i="1"/>
  <c r="D43" i="1" s="1"/>
  <c r="C43" i="1" s="1"/>
  <c r="B43" i="1" s="1"/>
  <c r="AE43" i="1"/>
  <c r="AI43" i="1"/>
  <c r="AM43" i="1"/>
  <c r="AN43" i="1"/>
  <c r="AL43" i="1" s="1"/>
  <c r="W44" i="1"/>
  <c r="D44" i="1" s="1"/>
  <c r="C44" i="1" s="1"/>
  <c r="B44" i="1" s="1"/>
  <c r="AE44" i="1"/>
  <c r="AI44" i="1"/>
  <c r="AM44" i="1"/>
  <c r="AN44" i="1"/>
  <c r="AL44" i="1" s="1"/>
  <c r="W45" i="1"/>
  <c r="D45" i="1" s="1"/>
  <c r="C45" i="1" s="1"/>
  <c r="B45" i="1" s="1"/>
  <c r="AE45" i="1"/>
  <c r="AI45" i="1"/>
  <c r="AM45" i="1"/>
  <c r="AN45" i="1"/>
  <c r="AL45" i="1" s="1"/>
  <c r="C46" i="1"/>
  <c r="B46" i="1" s="1"/>
  <c r="D46" i="1"/>
  <c r="W46" i="1"/>
  <c r="AE46" i="1"/>
  <c r="AI46" i="1"/>
  <c r="AM46" i="1"/>
  <c r="AN46" i="1"/>
  <c r="AL46" i="1" s="1"/>
  <c r="W47" i="1"/>
  <c r="D47" i="1" s="1"/>
  <c r="C47" i="1" s="1"/>
  <c r="B47" i="1" s="1"/>
  <c r="AE47" i="1"/>
  <c r="AI47" i="1"/>
  <c r="AM47" i="1"/>
  <c r="AN47" i="1"/>
  <c r="AL47" i="1" s="1"/>
  <c r="W48" i="1"/>
  <c r="D48" i="1" s="1"/>
  <c r="C48" i="1" s="1"/>
  <c r="B48" i="1" s="1"/>
  <c r="AE48" i="1"/>
  <c r="AI48" i="1"/>
  <c r="AM48" i="1"/>
  <c r="AN48" i="1"/>
  <c r="AL48" i="1" s="1"/>
  <c r="W49" i="1"/>
  <c r="D49" i="1" s="1"/>
  <c r="C49" i="1" s="1"/>
  <c r="B49" i="1" s="1"/>
  <c r="AE49" i="1"/>
  <c r="AI49" i="1"/>
  <c r="AM49" i="1"/>
  <c r="AN49" i="1"/>
  <c r="AL49" i="1" s="1"/>
  <c r="W50" i="1"/>
  <c r="D50" i="1" s="1"/>
  <c r="C50" i="1" s="1"/>
  <c r="B50" i="1" s="1"/>
  <c r="AE50" i="1"/>
  <c r="AI50" i="1"/>
  <c r="AL50" i="1"/>
  <c r="AM50" i="1"/>
  <c r="AN50" i="1"/>
</calcChain>
</file>

<file path=xl/sharedStrings.xml><?xml version="1.0" encoding="utf-8"?>
<sst xmlns="http://schemas.openxmlformats.org/spreadsheetml/2006/main" count="69" uniqueCount="69">
  <si>
    <t>Student Number</t>
  </si>
  <si>
    <t>FINAL GRADE</t>
  </si>
  <si>
    <t>Adjusted pre final</t>
  </si>
  <si>
    <t>Unadjusted pre final</t>
  </si>
  <si>
    <t>Algebra Review</t>
  </si>
  <si>
    <t>Web Chapter Aa</t>
  </si>
  <si>
    <t>Web Chapter Ab</t>
  </si>
  <si>
    <t>Chapter 3b</t>
  </si>
  <si>
    <t>Chapter 4b</t>
  </si>
  <si>
    <t>Chapter 4c</t>
  </si>
  <si>
    <t>Chapter 4d</t>
  </si>
  <si>
    <t>Chapter 7c</t>
  </si>
  <si>
    <t>Chapter 8a</t>
  </si>
  <si>
    <t>Chapter 8b</t>
  </si>
  <si>
    <t>In Class Average</t>
  </si>
  <si>
    <t>HW Average</t>
  </si>
  <si>
    <t>Exam 1</t>
  </si>
  <si>
    <t>Exam 2</t>
  </si>
  <si>
    <t>Exam 3</t>
  </si>
  <si>
    <t>Final Exam</t>
  </si>
  <si>
    <t>Excused Absences</t>
  </si>
  <si>
    <t>Unexcused Absenses</t>
  </si>
  <si>
    <t>September 3rd</t>
  </si>
  <si>
    <t>September 5th</t>
  </si>
  <si>
    <t>September 10th</t>
  </si>
  <si>
    <t>September 12th</t>
  </si>
  <si>
    <t>Chapter 2A</t>
  </si>
  <si>
    <t>September 17th</t>
  </si>
  <si>
    <t>September 19th</t>
  </si>
  <si>
    <t>September 26th</t>
  </si>
  <si>
    <t>September 24th</t>
  </si>
  <si>
    <t>October 1st</t>
  </si>
  <si>
    <t>October 3rd</t>
  </si>
  <si>
    <t>October 8th</t>
  </si>
  <si>
    <t>October 10th</t>
  </si>
  <si>
    <t>October 15th</t>
  </si>
  <si>
    <t>October 17th</t>
  </si>
  <si>
    <t>Chapter 2B</t>
  </si>
  <si>
    <t>Homework Ch. 2</t>
  </si>
  <si>
    <t>Homework Web Ch.</t>
  </si>
  <si>
    <t>Chapter 3c</t>
  </si>
  <si>
    <t>Homework - Demand Analysis</t>
  </si>
  <si>
    <t>October 22nd</t>
  </si>
  <si>
    <t>October 24th</t>
  </si>
  <si>
    <t>October 29th</t>
  </si>
  <si>
    <t>October 31st</t>
  </si>
  <si>
    <t>Chapter 4e</t>
  </si>
  <si>
    <t>Homework Ch. 4</t>
  </si>
  <si>
    <t>Chapter 5a</t>
  </si>
  <si>
    <t>Chapter 5b</t>
  </si>
  <si>
    <t>Chapter 7</t>
  </si>
  <si>
    <t>November 5th</t>
  </si>
  <si>
    <t>November 7th</t>
  </si>
  <si>
    <t>November 12th</t>
  </si>
  <si>
    <t>November 14th</t>
  </si>
  <si>
    <t>November 19th</t>
  </si>
  <si>
    <t>November 21st</t>
  </si>
  <si>
    <t>Homework Ch. 5</t>
  </si>
  <si>
    <t>Chapter 7b</t>
  </si>
  <si>
    <t>Homework Ch 7</t>
  </si>
  <si>
    <t>Homework Ch 8</t>
  </si>
  <si>
    <t>Exam Average</t>
  </si>
  <si>
    <t>November 26st</t>
  </si>
  <si>
    <t>November 28th</t>
  </si>
  <si>
    <t>December 3rd</t>
  </si>
  <si>
    <t>Decmber 5th</t>
  </si>
  <si>
    <t>December 10th</t>
  </si>
  <si>
    <t>December 13th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</si>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</sst>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5" formatCode="00000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Fill="1" applyAlignment="1">
      <alignment wrapText="1"/>
    </xf>
    <xf numFmtId="0" fontId="0" fillId="0" borderId="0" xfId="0" applyFill="1"/>
    <xf numFmtId="175" fontId="1" fillId="0" borderId="0" xfId="0" quotePrefix="1" applyNumberFormat="1" applyFont="1" applyFill="1" applyAlignment="1">
      <alignment wrapText="1"/>
    </xf>
    <xf numFmtId="0" fontId="2" fillId="0" borderId="0" xfId="0" applyFont="1" applyFill="1" applyAlignment="1">
      <alignment horizontal="center"/>
    </xf>
    <xf numFmtId="49" fontId="2" fillId="0" borderId="1" xfId="0" applyNumberFormat="1" applyFont="1" applyFill="1" applyBorder="1" applyAlignment="1">
      <alignment horizontal="center" textRotation="90"/>
    </xf>
    <xf numFmtId="1" fontId="2" fillId="0" borderId="1" xfId="0" applyNumberFormat="1" applyFont="1" applyFill="1" applyBorder="1" applyAlignment="1">
      <alignment horizontal="right" textRotation="90"/>
    </xf>
    <xf numFmtId="0" fontId="1" fillId="0" borderId="1" xfId="0" applyFont="1" applyFill="1" applyBorder="1" applyAlignment="1">
      <alignment horizontal="right" textRotation="90"/>
    </xf>
    <xf numFmtId="0" fontId="2" fillId="0" borderId="1" xfId="0" applyFont="1" applyFill="1" applyBorder="1" applyAlignment="1">
      <alignment horizontal="right" textRotation="90"/>
    </xf>
    <xf numFmtId="0" fontId="2" fillId="0" borderId="0" xfId="0" applyFont="1" applyFill="1"/>
    <xf numFmtId="1" fontId="1" fillId="0" borderId="1" xfId="0" applyNumberFormat="1" applyFont="1" applyFill="1" applyBorder="1" applyAlignment="1">
      <alignment horizontal="right" textRotation="90"/>
    </xf>
    <xf numFmtId="0" fontId="1" fillId="0" borderId="0" xfId="0" applyFont="1" applyFill="1" applyAlignment="1">
      <alignment textRotation="90"/>
    </xf>
    <xf numFmtId="0" fontId="0" fillId="0" borderId="0" xfId="0" applyFill="1" applyBorder="1"/>
    <xf numFmtId="1" fontId="2" fillId="0" borderId="0" xfId="0" applyNumberFormat="1" applyFont="1" applyFill="1"/>
    <xf numFmtId="1" fontId="0" fillId="0" borderId="0" xfId="0" applyNumberFormat="1" applyFill="1"/>
    <xf numFmtId="1" fontId="0" fillId="0" borderId="0" xfId="0" applyNumberFormat="1" applyFill="1" applyBorder="1"/>
    <xf numFmtId="0" fontId="1" fillId="0" borderId="0" xfId="0" applyFont="1" applyFill="1" applyAlignment="1">
      <alignment horizontal="center" textRotation="90"/>
    </xf>
    <xf numFmtId="0" fontId="2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1796875" defaultRowHeight="14.15" customHeight="1" x14ac:dyDescent="0.3"/>
  <cols>
    <col min="1" max="1" width="6.7265625" style="2" customWidth="1"/>
    <col min="2" max="12" width="3.7265625" style="2" customWidth="1"/>
    <col min="13" max="13" width="4.1796875" style="2" customWidth="1"/>
    <col min="14" max="22" width="3.7265625" style="2" customWidth="1"/>
    <col min="23" max="23" width="3.7265625" style="9" customWidth="1"/>
    <col min="24" max="24" width="3.7265625" style="2" customWidth="1"/>
    <col min="25" max="30" width="4.1796875" style="2" customWidth="1"/>
    <col min="31" max="31" width="4.1796875" style="9" customWidth="1"/>
    <col min="32" max="34" width="4.1796875" style="2" customWidth="1"/>
    <col min="35" max="36" width="4.1796875" style="9" customWidth="1"/>
    <col min="37" max="64" width="3.7265625" style="2" customWidth="1"/>
    <col min="65" max="65" width="3.54296875" style="2" customWidth="1"/>
    <col min="66" max="70" width="4.26953125" style="2" bestFit="1" customWidth="1"/>
    <col min="71" max="16384" width="9.1796875" style="2"/>
  </cols>
  <sheetData>
    <row r="1" spans="1:70" s="4" customFormat="1" ht="138.5" x14ac:dyDescent="0.3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26</v>
      </c>
      <c r="G1" s="7" t="s">
        <v>37</v>
      </c>
      <c r="H1" s="7" t="s">
        <v>5</v>
      </c>
      <c r="I1" s="7" t="s">
        <v>6</v>
      </c>
      <c r="J1" s="7" t="s">
        <v>7</v>
      </c>
      <c r="K1" s="7" t="s">
        <v>40</v>
      </c>
      <c r="L1" s="7" t="s">
        <v>8</v>
      </c>
      <c r="M1" s="7" t="s">
        <v>9</v>
      </c>
      <c r="N1" s="7" t="s">
        <v>10</v>
      </c>
      <c r="O1" s="7" t="s">
        <v>46</v>
      </c>
      <c r="P1" s="7" t="s">
        <v>48</v>
      </c>
      <c r="Q1" s="7" t="s">
        <v>49</v>
      </c>
      <c r="R1" s="7" t="s">
        <v>50</v>
      </c>
      <c r="S1" s="7" t="s">
        <v>58</v>
      </c>
      <c r="T1" s="7" t="s">
        <v>11</v>
      </c>
      <c r="U1" s="7" t="s">
        <v>12</v>
      </c>
      <c r="V1" s="7" t="s">
        <v>13</v>
      </c>
      <c r="W1" s="8" t="s">
        <v>14</v>
      </c>
      <c r="X1" s="7" t="s">
        <v>38</v>
      </c>
      <c r="Y1" s="7" t="s">
        <v>39</v>
      </c>
      <c r="Z1" s="7" t="s">
        <v>41</v>
      </c>
      <c r="AA1" s="7" t="s">
        <v>47</v>
      </c>
      <c r="AB1" s="7" t="s">
        <v>57</v>
      </c>
      <c r="AC1" s="7" t="s">
        <v>59</v>
      </c>
      <c r="AD1" s="7" t="s">
        <v>60</v>
      </c>
      <c r="AE1" s="6" t="s">
        <v>15</v>
      </c>
      <c r="AF1" s="7" t="s">
        <v>16</v>
      </c>
      <c r="AG1" s="7" t="s">
        <v>17</v>
      </c>
      <c r="AH1" s="7" t="s">
        <v>18</v>
      </c>
      <c r="AI1" s="6" t="s">
        <v>61</v>
      </c>
      <c r="AJ1" s="8" t="s">
        <v>19</v>
      </c>
      <c r="AK1" s="7"/>
      <c r="AL1" s="8" t="s">
        <v>20</v>
      </c>
      <c r="AM1" s="8" t="s">
        <v>21</v>
      </c>
      <c r="AN1" s="8" t="s">
        <v>68</v>
      </c>
      <c r="AO1" s="10" t="s">
        <v>22</v>
      </c>
      <c r="AP1" s="10" t="s">
        <v>23</v>
      </c>
      <c r="AQ1" s="10" t="s">
        <v>24</v>
      </c>
      <c r="AR1" s="10" t="s">
        <v>25</v>
      </c>
      <c r="AS1" s="10" t="s">
        <v>27</v>
      </c>
      <c r="AT1" s="10" t="s">
        <v>28</v>
      </c>
      <c r="AU1" s="10" t="s">
        <v>30</v>
      </c>
      <c r="AV1" s="10" t="s">
        <v>29</v>
      </c>
      <c r="AW1" s="10" t="s">
        <v>31</v>
      </c>
      <c r="AX1" s="10" t="s">
        <v>32</v>
      </c>
      <c r="AY1" s="10" t="s">
        <v>33</v>
      </c>
      <c r="AZ1" s="10" t="s">
        <v>34</v>
      </c>
      <c r="BA1" s="10" t="s">
        <v>35</v>
      </c>
      <c r="BB1" s="10" t="s">
        <v>36</v>
      </c>
      <c r="BC1" s="10" t="s">
        <v>42</v>
      </c>
      <c r="BD1" s="10" t="s">
        <v>43</v>
      </c>
      <c r="BE1" s="10" t="s">
        <v>44</v>
      </c>
      <c r="BF1" s="10" t="s">
        <v>45</v>
      </c>
      <c r="BG1" s="10" t="s">
        <v>51</v>
      </c>
      <c r="BH1" s="10" t="s">
        <v>52</v>
      </c>
      <c r="BI1" s="10" t="s">
        <v>53</v>
      </c>
      <c r="BJ1" s="10" t="s">
        <v>54</v>
      </c>
      <c r="BK1" s="11" t="s">
        <v>55</v>
      </c>
      <c r="BL1" s="11" t="s">
        <v>56</v>
      </c>
      <c r="BM1" s="11" t="s">
        <v>62</v>
      </c>
      <c r="BN1" s="16" t="s">
        <v>63</v>
      </c>
      <c r="BO1" s="16" t="s">
        <v>64</v>
      </c>
      <c r="BP1" s="16" t="s">
        <v>65</v>
      </c>
      <c r="BQ1" s="16" t="s">
        <v>66</v>
      </c>
      <c r="BR1" s="16" t="s">
        <v>67</v>
      </c>
    </row>
    <row r="2" spans="1:70" ht="14.15" customHeight="1" x14ac:dyDescent="0.3">
      <c r="A2" s="3">
        <v>1734</v>
      </c>
      <c r="B2" s="17">
        <f t="shared" ref="B2:B50" si="0">C2*0.8+AJ2*0.2</f>
        <v>96.074126984126991</v>
      </c>
      <c r="C2" s="1">
        <f t="shared" ref="C2:C50" si="1">IF(AJ2&gt;84,D2*1.1,D2)</f>
        <v>96.592658730158732</v>
      </c>
      <c r="D2" s="1">
        <f t="shared" ref="D2:D50" si="2">W2*0.25+AE2*0.125+AI2*0.625</f>
        <v>87.811507936507937</v>
      </c>
      <c r="E2" s="12">
        <v>95</v>
      </c>
      <c r="F2" s="12">
        <v>98</v>
      </c>
      <c r="G2" s="2">
        <v>100</v>
      </c>
      <c r="H2" s="12">
        <v>92</v>
      </c>
      <c r="I2" s="12">
        <v>86</v>
      </c>
      <c r="J2" s="12">
        <v>100</v>
      </c>
      <c r="K2" s="12">
        <v>100</v>
      </c>
      <c r="L2" s="12">
        <v>100</v>
      </c>
      <c r="M2" s="12">
        <v>100</v>
      </c>
      <c r="N2" s="12">
        <v>96</v>
      </c>
      <c r="O2" s="12">
        <v>98</v>
      </c>
      <c r="P2" s="12">
        <v>100</v>
      </c>
      <c r="Q2" s="12">
        <v>100</v>
      </c>
      <c r="R2" s="12">
        <v>100</v>
      </c>
      <c r="S2" s="12">
        <v>100</v>
      </c>
      <c r="T2" s="12">
        <v>100</v>
      </c>
      <c r="U2" s="12">
        <v>100</v>
      </c>
      <c r="V2" s="12">
        <v>100</v>
      </c>
      <c r="W2" s="9">
        <f t="shared" ref="W2:W33" si="3">AVERAGE(E2:V2)</f>
        <v>98.055555555555557</v>
      </c>
      <c r="X2" s="12">
        <v>58</v>
      </c>
      <c r="Y2" s="12">
        <v>58</v>
      </c>
      <c r="Z2" s="12">
        <v>98</v>
      </c>
      <c r="AA2" s="12">
        <v>0</v>
      </c>
      <c r="AB2" s="12">
        <v>0</v>
      </c>
      <c r="AC2" s="12">
        <v>0</v>
      </c>
      <c r="AD2" s="12">
        <v>99</v>
      </c>
      <c r="AE2" s="13">
        <f t="shared" ref="AE2:AE33" si="4">AVERAGE(X2:AD2)</f>
        <v>44.714285714285715</v>
      </c>
      <c r="AF2" s="15">
        <v>94</v>
      </c>
      <c r="AG2" s="15">
        <v>89</v>
      </c>
      <c r="AH2" s="14">
        <v>94</v>
      </c>
      <c r="AI2" s="13">
        <f t="shared" ref="AI2:AI50" si="5">AVERAGE(AF2:AH2)</f>
        <v>92.333333333333329</v>
      </c>
      <c r="AJ2" s="9">
        <v>94</v>
      </c>
      <c r="AL2">
        <f t="shared" ref="AL2:AL50" si="6">AN2-AM2</f>
        <v>0</v>
      </c>
      <c r="AM2">
        <f t="shared" ref="AM2:AM50" si="7">SUM(AO2:BS2)</f>
        <v>0</v>
      </c>
      <c r="AN2">
        <f t="shared" ref="AN2:AN50" si="8">COUNT(AO2:BS2)</f>
        <v>0</v>
      </c>
    </row>
    <row r="3" spans="1:70" ht="14.15" customHeight="1" x14ac:dyDescent="0.3">
      <c r="A3" s="1">
        <v>10349</v>
      </c>
      <c r="B3" s="17">
        <f t="shared" si="0"/>
        <v>97.394920634920624</v>
      </c>
      <c r="C3" s="1">
        <f t="shared" si="1"/>
        <v>98.493650793650787</v>
      </c>
      <c r="D3" s="1">
        <f t="shared" si="2"/>
        <v>89.539682539682531</v>
      </c>
      <c r="E3" s="12">
        <v>96</v>
      </c>
      <c r="F3" s="12">
        <v>92</v>
      </c>
      <c r="G3" s="12">
        <v>100</v>
      </c>
      <c r="H3" s="12">
        <v>86</v>
      </c>
      <c r="I3" s="12">
        <v>98</v>
      </c>
      <c r="J3" s="12">
        <v>100</v>
      </c>
      <c r="K3" s="12">
        <v>100</v>
      </c>
      <c r="L3" s="12">
        <v>100</v>
      </c>
      <c r="M3" s="12">
        <v>98</v>
      </c>
      <c r="N3" s="12">
        <v>100</v>
      </c>
      <c r="O3" s="12">
        <v>100</v>
      </c>
      <c r="P3" s="12">
        <v>100</v>
      </c>
      <c r="Q3" s="2">
        <v>100</v>
      </c>
      <c r="R3" s="12">
        <v>98</v>
      </c>
      <c r="S3" s="2">
        <v>100</v>
      </c>
      <c r="T3" s="12">
        <v>98</v>
      </c>
      <c r="U3" s="12">
        <v>100</v>
      </c>
      <c r="V3" s="12">
        <v>100</v>
      </c>
      <c r="W3" s="9">
        <f t="shared" si="3"/>
        <v>98.111111111111114</v>
      </c>
      <c r="X3" s="12">
        <v>79</v>
      </c>
      <c r="Y3" s="12">
        <v>93</v>
      </c>
      <c r="Z3" s="12">
        <v>100</v>
      </c>
      <c r="AA3" s="12">
        <v>93</v>
      </c>
      <c r="AB3" s="12">
        <v>100</v>
      </c>
      <c r="AC3" s="12">
        <v>93</v>
      </c>
      <c r="AD3" s="12">
        <v>96</v>
      </c>
      <c r="AE3" s="13">
        <f t="shared" si="4"/>
        <v>93.428571428571431</v>
      </c>
      <c r="AF3" s="15">
        <v>78</v>
      </c>
      <c r="AG3" s="15">
        <v>85</v>
      </c>
      <c r="AH3" s="14">
        <v>93</v>
      </c>
      <c r="AI3" s="13">
        <f t="shared" si="5"/>
        <v>85.333333333333329</v>
      </c>
      <c r="AJ3" s="9">
        <v>93</v>
      </c>
      <c r="AL3">
        <f t="shared" si="6"/>
        <v>0</v>
      </c>
      <c r="AM3">
        <f t="shared" si="7"/>
        <v>0</v>
      </c>
      <c r="AN3">
        <f t="shared" si="8"/>
        <v>0</v>
      </c>
    </row>
    <row r="4" spans="1:70" ht="14.15" customHeight="1" x14ac:dyDescent="0.3">
      <c r="A4" s="1">
        <v>10995</v>
      </c>
      <c r="B4" s="17">
        <f t="shared" si="0"/>
        <v>60.546031746031751</v>
      </c>
      <c r="C4" s="1">
        <f t="shared" si="1"/>
        <v>63.182539682539684</v>
      </c>
      <c r="D4" s="1">
        <f t="shared" si="2"/>
        <v>63.182539682539684</v>
      </c>
      <c r="E4" s="12">
        <v>95</v>
      </c>
      <c r="F4" s="12">
        <v>92</v>
      </c>
      <c r="G4" s="12">
        <v>0</v>
      </c>
      <c r="H4" s="12">
        <v>92</v>
      </c>
      <c r="I4" s="12">
        <v>90</v>
      </c>
      <c r="J4" s="12">
        <v>100</v>
      </c>
      <c r="K4" s="12">
        <v>0</v>
      </c>
      <c r="L4" s="12">
        <v>100</v>
      </c>
      <c r="M4" s="12">
        <v>0</v>
      </c>
      <c r="N4" s="12">
        <v>96</v>
      </c>
      <c r="O4" s="12">
        <v>98</v>
      </c>
      <c r="P4" s="12">
        <v>100</v>
      </c>
      <c r="Q4" s="12">
        <v>100</v>
      </c>
      <c r="R4" s="12">
        <v>100</v>
      </c>
      <c r="S4" s="12">
        <v>90</v>
      </c>
      <c r="T4" s="12">
        <v>0</v>
      </c>
      <c r="U4" s="12">
        <v>100</v>
      </c>
      <c r="V4" s="12">
        <v>0</v>
      </c>
      <c r="W4" s="9">
        <f t="shared" si="3"/>
        <v>69.611111111111114</v>
      </c>
      <c r="X4" s="12">
        <v>98</v>
      </c>
      <c r="Y4" s="12">
        <v>71</v>
      </c>
      <c r="Z4" s="12">
        <v>98</v>
      </c>
      <c r="AA4" s="12">
        <v>40</v>
      </c>
      <c r="AB4" s="12">
        <v>100</v>
      </c>
      <c r="AC4" s="12">
        <v>80</v>
      </c>
      <c r="AD4" s="12">
        <v>0</v>
      </c>
      <c r="AE4" s="13">
        <f t="shared" si="4"/>
        <v>69.571428571428569</v>
      </c>
      <c r="AF4" s="15">
        <v>37</v>
      </c>
      <c r="AG4" s="15">
        <v>73</v>
      </c>
      <c r="AH4" s="14">
        <v>68</v>
      </c>
      <c r="AI4" s="13">
        <f t="shared" si="5"/>
        <v>59.333333333333336</v>
      </c>
      <c r="AJ4" s="9">
        <v>50</v>
      </c>
      <c r="AL4">
        <f t="shared" si="6"/>
        <v>1</v>
      </c>
      <c r="AM4">
        <f t="shared" si="7"/>
        <v>8</v>
      </c>
      <c r="AN4">
        <f t="shared" si="8"/>
        <v>9</v>
      </c>
      <c r="AR4" s="2">
        <v>1</v>
      </c>
      <c r="AU4" s="2">
        <v>0</v>
      </c>
      <c r="AW4" s="2">
        <v>1</v>
      </c>
      <c r="BA4" s="2">
        <v>1</v>
      </c>
      <c r="BB4" s="2">
        <v>1</v>
      </c>
      <c r="BI4" s="2">
        <v>1</v>
      </c>
      <c r="BJ4" s="2">
        <v>1</v>
      </c>
      <c r="BK4" s="2">
        <v>1</v>
      </c>
      <c r="BM4" s="2">
        <v>1</v>
      </c>
    </row>
    <row r="5" spans="1:70" ht="14.15" customHeight="1" x14ac:dyDescent="0.3">
      <c r="A5" s="1">
        <v>13994</v>
      </c>
      <c r="B5" s="17">
        <f t="shared" si="0"/>
        <v>80.278571428571439</v>
      </c>
      <c r="C5" s="1">
        <f t="shared" si="1"/>
        <v>82.098214285714292</v>
      </c>
      <c r="D5" s="1">
        <f t="shared" si="2"/>
        <v>82.098214285714292</v>
      </c>
      <c r="E5" s="12">
        <v>96</v>
      </c>
      <c r="F5" s="12">
        <v>96</v>
      </c>
      <c r="G5" s="2">
        <v>100</v>
      </c>
      <c r="H5" s="12">
        <v>96</v>
      </c>
      <c r="I5" s="12">
        <v>100</v>
      </c>
      <c r="J5" s="12">
        <v>90</v>
      </c>
      <c r="K5" s="12">
        <v>100</v>
      </c>
      <c r="L5" s="12">
        <v>100</v>
      </c>
      <c r="M5" s="12">
        <v>98</v>
      </c>
      <c r="N5" s="12">
        <v>100</v>
      </c>
      <c r="O5" s="12">
        <v>98</v>
      </c>
      <c r="P5" s="12">
        <v>100</v>
      </c>
      <c r="Q5" s="12">
        <v>100</v>
      </c>
      <c r="R5" s="12">
        <v>98</v>
      </c>
      <c r="S5" s="12">
        <v>100</v>
      </c>
      <c r="T5" s="12">
        <v>98</v>
      </c>
      <c r="U5" s="12">
        <v>100</v>
      </c>
      <c r="V5" s="12">
        <v>100</v>
      </c>
      <c r="W5" s="9">
        <f t="shared" si="3"/>
        <v>98.333333333333329</v>
      </c>
      <c r="X5" s="12">
        <v>98</v>
      </c>
      <c r="Y5" s="12">
        <v>70.5</v>
      </c>
      <c r="Z5" s="12">
        <v>90</v>
      </c>
      <c r="AA5" s="12">
        <v>76</v>
      </c>
      <c r="AB5" s="12">
        <v>95</v>
      </c>
      <c r="AC5" s="12">
        <v>78</v>
      </c>
      <c r="AD5" s="12">
        <v>65</v>
      </c>
      <c r="AE5" s="13">
        <f t="shared" si="4"/>
        <v>81.785714285714292</v>
      </c>
      <c r="AF5" s="15">
        <v>73</v>
      </c>
      <c r="AG5" s="15">
        <v>81</v>
      </c>
      <c r="AH5" s="14">
        <f>AJ5</f>
        <v>73</v>
      </c>
      <c r="AI5" s="13">
        <f t="shared" si="5"/>
        <v>75.666666666666671</v>
      </c>
      <c r="AJ5" s="9">
        <v>73</v>
      </c>
      <c r="AL5">
        <f t="shared" si="6"/>
        <v>0</v>
      </c>
      <c r="AM5">
        <f t="shared" si="7"/>
        <v>2</v>
      </c>
      <c r="AN5">
        <f t="shared" si="8"/>
        <v>2</v>
      </c>
      <c r="AO5" s="2">
        <v>1</v>
      </c>
      <c r="BM5" s="2">
        <v>1</v>
      </c>
    </row>
    <row r="6" spans="1:70" ht="14.15" customHeight="1" x14ac:dyDescent="0.3">
      <c r="A6" s="1">
        <v>15794</v>
      </c>
      <c r="B6" s="17">
        <f t="shared" si="0"/>
        <v>79.993650793650801</v>
      </c>
      <c r="C6" s="1">
        <f t="shared" si="1"/>
        <v>81.992063492063494</v>
      </c>
      <c r="D6" s="1">
        <f t="shared" si="2"/>
        <v>81.992063492063494</v>
      </c>
      <c r="E6" s="12">
        <v>95</v>
      </c>
      <c r="F6" s="12">
        <v>96</v>
      </c>
      <c r="G6" s="2">
        <v>100</v>
      </c>
      <c r="H6" s="12">
        <v>96</v>
      </c>
      <c r="I6" s="12">
        <v>90</v>
      </c>
      <c r="J6" s="12">
        <v>100</v>
      </c>
      <c r="K6" s="12">
        <v>100</v>
      </c>
      <c r="L6" s="12">
        <v>100</v>
      </c>
      <c r="M6" s="12">
        <v>96</v>
      </c>
      <c r="N6" s="12">
        <v>100</v>
      </c>
      <c r="O6" s="12">
        <v>96</v>
      </c>
      <c r="P6" s="12">
        <v>100</v>
      </c>
      <c r="Q6" s="12">
        <v>100</v>
      </c>
      <c r="R6" s="12">
        <v>98</v>
      </c>
      <c r="S6" s="12">
        <v>98</v>
      </c>
      <c r="T6" s="12">
        <v>98</v>
      </c>
      <c r="U6" s="12">
        <v>100</v>
      </c>
      <c r="V6" s="12">
        <v>100</v>
      </c>
      <c r="W6" s="9">
        <f t="shared" si="3"/>
        <v>97.944444444444443</v>
      </c>
      <c r="X6" s="12">
        <v>68</v>
      </c>
      <c r="Y6" s="12">
        <v>53</v>
      </c>
      <c r="Z6" s="12">
        <v>78</v>
      </c>
      <c r="AA6" s="12">
        <v>76</v>
      </c>
      <c r="AB6" s="12">
        <v>0</v>
      </c>
      <c r="AC6" s="12">
        <v>47</v>
      </c>
      <c r="AD6" s="12">
        <v>75</v>
      </c>
      <c r="AE6" s="13">
        <f t="shared" si="4"/>
        <v>56.714285714285715</v>
      </c>
      <c r="AF6" s="15">
        <v>80</v>
      </c>
      <c r="AG6" s="15">
        <v>80</v>
      </c>
      <c r="AH6" s="14">
        <v>82</v>
      </c>
      <c r="AI6" s="13">
        <f t="shared" si="5"/>
        <v>80.666666666666671</v>
      </c>
      <c r="AJ6" s="9">
        <v>72</v>
      </c>
      <c r="AL6">
        <f t="shared" si="6"/>
        <v>0</v>
      </c>
      <c r="AM6">
        <f t="shared" si="7"/>
        <v>2</v>
      </c>
      <c r="AN6">
        <f t="shared" si="8"/>
        <v>2</v>
      </c>
      <c r="AO6" s="2">
        <v>1</v>
      </c>
      <c r="BM6" s="2">
        <v>1</v>
      </c>
    </row>
    <row r="7" spans="1:70" ht="14.15" customHeight="1" x14ac:dyDescent="0.3">
      <c r="A7" s="1">
        <v>16580</v>
      </c>
      <c r="B7" s="17">
        <f t="shared" si="0"/>
        <v>101.84825396825397</v>
      </c>
      <c r="C7" s="1">
        <f t="shared" si="1"/>
        <v>103.81031746031746</v>
      </c>
      <c r="D7" s="1">
        <f t="shared" si="2"/>
        <v>94.373015873015873</v>
      </c>
      <c r="E7" s="12">
        <v>93</v>
      </c>
      <c r="F7" s="12">
        <v>92</v>
      </c>
      <c r="G7" s="2">
        <v>100</v>
      </c>
      <c r="H7" s="12">
        <v>100</v>
      </c>
      <c r="I7" s="12">
        <v>80</v>
      </c>
      <c r="J7" s="12">
        <v>100</v>
      </c>
      <c r="K7" s="12">
        <v>100</v>
      </c>
      <c r="L7" s="12">
        <v>100</v>
      </c>
      <c r="M7" s="12">
        <v>92</v>
      </c>
      <c r="N7" s="12">
        <v>98</v>
      </c>
      <c r="O7" s="12">
        <v>100</v>
      </c>
      <c r="P7" s="12">
        <v>100</v>
      </c>
      <c r="Q7" s="12">
        <v>100</v>
      </c>
      <c r="R7" s="12">
        <v>94</v>
      </c>
      <c r="S7" s="12">
        <v>100</v>
      </c>
      <c r="T7" s="12">
        <v>100</v>
      </c>
      <c r="U7" s="12">
        <v>100</v>
      </c>
      <c r="V7" s="12">
        <v>0</v>
      </c>
      <c r="W7" s="9">
        <f t="shared" si="3"/>
        <v>91.611111111111114</v>
      </c>
      <c r="X7" s="12">
        <v>100</v>
      </c>
      <c r="Y7" s="12">
        <v>100</v>
      </c>
      <c r="Z7" s="12">
        <v>100</v>
      </c>
      <c r="AA7" s="12">
        <v>94</v>
      </c>
      <c r="AB7" s="12">
        <v>100</v>
      </c>
      <c r="AC7" s="12">
        <v>90</v>
      </c>
      <c r="AD7" s="12">
        <v>70</v>
      </c>
      <c r="AE7" s="13">
        <f t="shared" si="4"/>
        <v>93.428571428571431</v>
      </c>
      <c r="AF7" s="15">
        <v>98</v>
      </c>
      <c r="AG7" s="15">
        <v>95</v>
      </c>
      <c r="AH7" s="14">
        <v>94</v>
      </c>
      <c r="AI7" s="13">
        <f t="shared" si="5"/>
        <v>95.666666666666671</v>
      </c>
      <c r="AJ7" s="9">
        <v>94</v>
      </c>
      <c r="AL7">
        <f t="shared" si="6"/>
        <v>0</v>
      </c>
      <c r="AM7">
        <f t="shared" si="7"/>
        <v>0</v>
      </c>
      <c r="AN7">
        <f t="shared" si="8"/>
        <v>0</v>
      </c>
    </row>
    <row r="8" spans="1:70" ht="14.15" customHeight="1" x14ac:dyDescent="0.3">
      <c r="A8" s="1">
        <v>17035</v>
      </c>
      <c r="B8" s="17">
        <f t="shared" si="0"/>
        <v>81.577777777777783</v>
      </c>
      <c r="C8" s="1">
        <f t="shared" si="1"/>
        <v>81.972222222222229</v>
      </c>
      <c r="D8" s="1">
        <f t="shared" si="2"/>
        <v>81.972222222222229</v>
      </c>
      <c r="E8" s="12">
        <v>96</v>
      </c>
      <c r="F8" s="12">
        <v>0</v>
      </c>
      <c r="G8" s="2">
        <v>98</v>
      </c>
      <c r="H8" s="12">
        <v>100</v>
      </c>
      <c r="I8" s="12">
        <v>90</v>
      </c>
      <c r="J8" s="12">
        <v>100</v>
      </c>
      <c r="K8" s="12">
        <v>100</v>
      </c>
      <c r="L8" s="12">
        <v>100</v>
      </c>
      <c r="M8" s="12">
        <v>94</v>
      </c>
      <c r="N8" s="12">
        <v>100</v>
      </c>
      <c r="O8" s="12">
        <v>100</v>
      </c>
      <c r="P8" s="12">
        <v>100</v>
      </c>
      <c r="Q8" s="12">
        <v>100</v>
      </c>
      <c r="R8" s="12">
        <v>98</v>
      </c>
      <c r="S8" s="12">
        <v>100</v>
      </c>
      <c r="T8" s="12">
        <v>98</v>
      </c>
      <c r="U8" s="12">
        <v>100</v>
      </c>
      <c r="V8" s="12">
        <v>98</v>
      </c>
      <c r="W8" s="9">
        <f t="shared" si="3"/>
        <v>92.888888888888886</v>
      </c>
      <c r="X8" s="12">
        <v>50</v>
      </c>
      <c r="Y8" s="12">
        <v>58</v>
      </c>
      <c r="Z8" s="12">
        <v>86</v>
      </c>
      <c r="AA8" s="12">
        <v>77</v>
      </c>
      <c r="AB8" s="12">
        <v>100</v>
      </c>
      <c r="AC8" s="12">
        <v>90</v>
      </c>
      <c r="AD8" s="12">
        <v>99</v>
      </c>
      <c r="AE8" s="13">
        <f t="shared" si="4"/>
        <v>80</v>
      </c>
      <c r="AF8" s="15">
        <v>80</v>
      </c>
      <c r="AG8" s="15">
        <v>78</v>
      </c>
      <c r="AH8" s="14">
        <v>76</v>
      </c>
      <c r="AI8" s="13">
        <f t="shared" si="5"/>
        <v>78</v>
      </c>
      <c r="AJ8" s="9">
        <v>80</v>
      </c>
      <c r="AL8">
        <f t="shared" si="6"/>
        <v>1</v>
      </c>
      <c r="AM8">
        <f t="shared" si="7"/>
        <v>1</v>
      </c>
      <c r="AN8">
        <f t="shared" si="8"/>
        <v>2</v>
      </c>
      <c r="AQ8" s="2">
        <v>1</v>
      </c>
      <c r="BE8" s="2">
        <v>0</v>
      </c>
    </row>
    <row r="9" spans="1:70" ht="14.15" customHeight="1" x14ac:dyDescent="0.3">
      <c r="A9" s="1">
        <v>17823</v>
      </c>
      <c r="B9" s="17">
        <f t="shared" si="0"/>
        <v>95.287301587301613</v>
      </c>
      <c r="C9" s="1">
        <f t="shared" si="1"/>
        <v>96.359126984127002</v>
      </c>
      <c r="D9" s="1">
        <f t="shared" si="2"/>
        <v>87.599206349206355</v>
      </c>
      <c r="E9" s="12">
        <v>90</v>
      </c>
      <c r="F9" s="12">
        <v>86</v>
      </c>
      <c r="G9" s="12">
        <v>94</v>
      </c>
      <c r="H9" s="12">
        <v>96</v>
      </c>
      <c r="I9" s="12">
        <v>0</v>
      </c>
      <c r="J9" s="12">
        <v>100</v>
      </c>
      <c r="K9" s="12">
        <v>100</v>
      </c>
      <c r="L9" s="12">
        <v>100</v>
      </c>
      <c r="M9" s="12">
        <v>94</v>
      </c>
      <c r="N9" s="12">
        <v>100</v>
      </c>
      <c r="O9" s="12">
        <v>100</v>
      </c>
      <c r="P9" s="12">
        <v>100</v>
      </c>
      <c r="Q9" s="2">
        <v>100</v>
      </c>
      <c r="R9" s="12">
        <v>100</v>
      </c>
      <c r="S9" s="2">
        <v>100</v>
      </c>
      <c r="T9" s="12">
        <v>98</v>
      </c>
      <c r="U9" s="12">
        <v>100</v>
      </c>
      <c r="V9" s="12">
        <v>100</v>
      </c>
      <c r="W9" s="9">
        <f t="shared" si="3"/>
        <v>92.111111111111114</v>
      </c>
      <c r="X9" s="12">
        <v>76</v>
      </c>
      <c r="Y9" s="12">
        <v>82</v>
      </c>
      <c r="Z9" s="12">
        <v>90</v>
      </c>
      <c r="AA9" s="12">
        <v>81</v>
      </c>
      <c r="AB9" s="12">
        <v>95</v>
      </c>
      <c r="AC9" s="12">
        <v>87</v>
      </c>
      <c r="AD9" s="12">
        <v>95</v>
      </c>
      <c r="AE9" s="13">
        <f t="shared" si="4"/>
        <v>86.571428571428569</v>
      </c>
      <c r="AF9" s="15">
        <v>91</v>
      </c>
      <c r="AG9" s="15">
        <v>86</v>
      </c>
      <c r="AH9" s="14">
        <v>81</v>
      </c>
      <c r="AI9" s="13">
        <f t="shared" si="5"/>
        <v>86</v>
      </c>
      <c r="AJ9" s="9">
        <v>91</v>
      </c>
      <c r="AL9">
        <f t="shared" si="6"/>
        <v>0</v>
      </c>
      <c r="AM9">
        <f t="shared" si="7"/>
        <v>1</v>
      </c>
      <c r="AN9">
        <f t="shared" si="8"/>
        <v>1</v>
      </c>
      <c r="AT9" s="2">
        <v>1</v>
      </c>
    </row>
    <row r="10" spans="1:70" ht="14.15" customHeight="1" x14ac:dyDescent="0.3">
      <c r="A10" s="1">
        <v>19879</v>
      </c>
      <c r="B10" s="17">
        <f t="shared" si="0"/>
        <v>93.64126984126986</v>
      </c>
      <c r="C10" s="1">
        <f t="shared" si="1"/>
        <v>95.551587301587318</v>
      </c>
      <c r="D10" s="1">
        <f t="shared" si="2"/>
        <v>86.865079365079367</v>
      </c>
      <c r="E10" s="12">
        <v>96</v>
      </c>
      <c r="F10" s="12">
        <v>94</v>
      </c>
      <c r="G10" s="12">
        <v>100</v>
      </c>
      <c r="H10" s="12">
        <v>96</v>
      </c>
      <c r="I10" s="12">
        <v>90</v>
      </c>
      <c r="J10" s="12">
        <v>100</v>
      </c>
      <c r="K10" s="12">
        <v>100</v>
      </c>
      <c r="L10" s="12">
        <v>100</v>
      </c>
      <c r="M10" s="12">
        <v>96</v>
      </c>
      <c r="N10" s="12">
        <v>94</v>
      </c>
      <c r="O10" s="12">
        <v>100</v>
      </c>
      <c r="P10" s="12">
        <v>100</v>
      </c>
      <c r="Q10" s="2">
        <v>100</v>
      </c>
      <c r="R10" s="12">
        <v>98</v>
      </c>
      <c r="S10" s="2">
        <v>100</v>
      </c>
      <c r="T10" s="12">
        <v>100</v>
      </c>
      <c r="U10" s="12">
        <v>100</v>
      </c>
      <c r="V10" s="12">
        <v>98</v>
      </c>
      <c r="W10" s="9">
        <f t="shared" si="3"/>
        <v>97.888888888888886</v>
      </c>
      <c r="X10" s="12">
        <v>91</v>
      </c>
      <c r="Y10" s="12">
        <v>92</v>
      </c>
      <c r="Z10" s="12">
        <v>95</v>
      </c>
      <c r="AA10" s="12">
        <v>91</v>
      </c>
      <c r="AB10" s="12">
        <v>100</v>
      </c>
      <c r="AC10" s="12">
        <v>90</v>
      </c>
      <c r="AD10" s="12">
        <v>100</v>
      </c>
      <c r="AE10" s="13">
        <f t="shared" si="4"/>
        <v>94.142857142857139</v>
      </c>
      <c r="AF10" s="15">
        <v>86</v>
      </c>
      <c r="AG10" s="15">
        <v>87</v>
      </c>
      <c r="AH10" s="14">
        <v>70</v>
      </c>
      <c r="AI10" s="13">
        <f t="shared" si="5"/>
        <v>81</v>
      </c>
      <c r="AJ10" s="9">
        <v>86</v>
      </c>
      <c r="AL10">
        <f t="shared" si="6"/>
        <v>0</v>
      </c>
      <c r="AM10">
        <f t="shared" si="7"/>
        <v>0</v>
      </c>
      <c r="AN10">
        <f t="shared" si="8"/>
        <v>0</v>
      </c>
    </row>
    <row r="11" spans="1:70" ht="14.15" customHeight="1" x14ac:dyDescent="0.3">
      <c r="A11" s="1">
        <v>26166</v>
      </c>
      <c r="B11" s="17">
        <f t="shared" si="0"/>
        <v>83.592063492063502</v>
      </c>
      <c r="C11" s="1">
        <f t="shared" si="1"/>
        <v>84.490079365079367</v>
      </c>
      <c r="D11" s="1">
        <f t="shared" si="2"/>
        <v>84.490079365079367</v>
      </c>
      <c r="E11" s="12">
        <v>95</v>
      </c>
      <c r="F11" s="12">
        <v>96</v>
      </c>
      <c r="G11" s="2">
        <v>100</v>
      </c>
      <c r="H11" s="12">
        <v>96</v>
      </c>
      <c r="I11" s="12">
        <v>100</v>
      </c>
      <c r="J11" s="12">
        <v>100</v>
      </c>
      <c r="K11" s="12">
        <v>100</v>
      </c>
      <c r="L11" s="12">
        <v>100</v>
      </c>
      <c r="M11" s="12">
        <v>98</v>
      </c>
      <c r="N11" s="12">
        <v>100</v>
      </c>
      <c r="O11" s="12">
        <v>98</v>
      </c>
      <c r="P11" s="12">
        <v>100</v>
      </c>
      <c r="Q11" s="12">
        <v>100</v>
      </c>
      <c r="R11" s="12">
        <v>98</v>
      </c>
      <c r="S11" s="12">
        <v>87.5</v>
      </c>
      <c r="T11" s="12">
        <v>98</v>
      </c>
      <c r="U11" s="12">
        <v>100</v>
      </c>
      <c r="V11" s="12">
        <v>100</v>
      </c>
      <c r="W11" s="9">
        <f t="shared" si="3"/>
        <v>98.138888888888886</v>
      </c>
      <c r="X11" s="12">
        <v>48</v>
      </c>
      <c r="Y11" s="12">
        <v>70.5</v>
      </c>
      <c r="Z11" s="12">
        <v>90</v>
      </c>
      <c r="AA11" s="12">
        <v>76</v>
      </c>
      <c r="AB11" s="12">
        <v>95</v>
      </c>
      <c r="AC11" s="12">
        <v>78</v>
      </c>
      <c r="AD11" s="12">
        <v>65</v>
      </c>
      <c r="AE11" s="13">
        <f t="shared" si="4"/>
        <v>74.642857142857139</v>
      </c>
      <c r="AF11" s="15">
        <v>86</v>
      </c>
      <c r="AG11" s="15">
        <v>80</v>
      </c>
      <c r="AH11" s="14">
        <v>77</v>
      </c>
      <c r="AI11" s="13">
        <f t="shared" si="5"/>
        <v>81</v>
      </c>
      <c r="AJ11" s="9">
        <v>80</v>
      </c>
      <c r="AL11">
        <f t="shared" si="6"/>
        <v>0</v>
      </c>
      <c r="AM11">
        <f t="shared" si="7"/>
        <v>1</v>
      </c>
      <c r="AN11">
        <f t="shared" si="8"/>
        <v>1</v>
      </c>
      <c r="AO11" s="2">
        <v>1</v>
      </c>
    </row>
    <row r="12" spans="1:70" ht="14.15" customHeight="1" x14ac:dyDescent="0.3">
      <c r="A12" s="1">
        <v>29978</v>
      </c>
      <c r="B12" s="17">
        <f t="shared" si="0"/>
        <v>98.709365079365085</v>
      </c>
      <c r="C12" s="1">
        <f t="shared" si="1"/>
        <v>101.13670634920635</v>
      </c>
      <c r="D12" s="1">
        <f t="shared" si="2"/>
        <v>91.942460317460316</v>
      </c>
      <c r="E12" s="12">
        <v>90</v>
      </c>
      <c r="F12" s="12">
        <v>92</v>
      </c>
      <c r="G12" s="2">
        <v>100</v>
      </c>
      <c r="H12" s="12">
        <v>86</v>
      </c>
      <c r="I12" s="12">
        <v>100</v>
      </c>
      <c r="J12" s="12">
        <v>100</v>
      </c>
      <c r="K12" s="12">
        <v>100</v>
      </c>
      <c r="L12" s="12">
        <v>100</v>
      </c>
      <c r="M12" s="12">
        <v>95</v>
      </c>
      <c r="N12" s="12">
        <v>100</v>
      </c>
      <c r="O12" s="12">
        <v>100</v>
      </c>
      <c r="P12" s="12">
        <v>100</v>
      </c>
      <c r="Q12" s="12">
        <v>100</v>
      </c>
      <c r="R12" s="12">
        <v>98</v>
      </c>
      <c r="S12" s="12">
        <v>100</v>
      </c>
      <c r="T12" s="12">
        <v>98</v>
      </c>
      <c r="U12" s="12">
        <v>100</v>
      </c>
      <c r="V12" s="12">
        <v>100</v>
      </c>
      <c r="W12" s="9">
        <f t="shared" si="3"/>
        <v>97.722222222222229</v>
      </c>
      <c r="X12" s="12">
        <v>68</v>
      </c>
      <c r="Y12" s="12">
        <v>78</v>
      </c>
      <c r="Z12" s="12">
        <v>98</v>
      </c>
      <c r="AA12" s="12">
        <v>91</v>
      </c>
      <c r="AB12" s="12">
        <v>100</v>
      </c>
      <c r="AC12" s="12">
        <v>87</v>
      </c>
      <c r="AD12" s="12">
        <v>97</v>
      </c>
      <c r="AE12" s="13">
        <f t="shared" si="4"/>
        <v>88.428571428571431</v>
      </c>
      <c r="AF12" s="15">
        <v>91</v>
      </c>
      <c r="AG12" s="15">
        <v>91</v>
      </c>
      <c r="AH12" s="14">
        <v>89</v>
      </c>
      <c r="AI12" s="13">
        <f t="shared" si="5"/>
        <v>90.333333333333329</v>
      </c>
      <c r="AJ12" s="9">
        <v>89</v>
      </c>
      <c r="AL12">
        <f t="shared" si="6"/>
        <v>0</v>
      </c>
      <c r="AM12">
        <f t="shared" si="7"/>
        <v>1</v>
      </c>
      <c r="AN12">
        <f t="shared" si="8"/>
        <v>1</v>
      </c>
      <c r="BM12" s="2">
        <v>1</v>
      </c>
    </row>
    <row r="13" spans="1:70" ht="14.15" customHeight="1" x14ac:dyDescent="0.3">
      <c r="A13" s="1">
        <v>32402</v>
      </c>
      <c r="B13" s="17">
        <f t="shared" si="0"/>
        <v>97.418412698412709</v>
      </c>
      <c r="C13" s="1">
        <f t="shared" si="1"/>
        <v>98.773015873015879</v>
      </c>
      <c r="D13" s="1">
        <f t="shared" si="2"/>
        <v>89.793650793650798</v>
      </c>
      <c r="E13" s="12">
        <v>100</v>
      </c>
      <c r="F13" s="12">
        <v>92</v>
      </c>
      <c r="G13" s="12">
        <v>98</v>
      </c>
      <c r="H13" s="12">
        <v>92</v>
      </c>
      <c r="I13" s="12">
        <v>0</v>
      </c>
      <c r="J13" s="12">
        <v>100</v>
      </c>
      <c r="K13" s="12">
        <v>100</v>
      </c>
      <c r="L13" s="12">
        <v>100</v>
      </c>
      <c r="M13" s="12">
        <v>100</v>
      </c>
      <c r="N13" s="12">
        <v>100</v>
      </c>
      <c r="O13" s="12">
        <v>98</v>
      </c>
      <c r="P13" s="12">
        <v>100</v>
      </c>
      <c r="Q13" s="2">
        <v>100</v>
      </c>
      <c r="R13" s="12">
        <v>100</v>
      </c>
      <c r="S13" s="2">
        <v>100</v>
      </c>
      <c r="T13" s="12">
        <v>100</v>
      </c>
      <c r="U13" s="12">
        <v>100</v>
      </c>
      <c r="V13" s="12">
        <v>98</v>
      </c>
      <c r="W13" s="9">
        <f t="shared" si="3"/>
        <v>93.222222222222229</v>
      </c>
      <c r="X13" s="12">
        <v>69</v>
      </c>
      <c r="Y13" s="12">
        <v>87</v>
      </c>
      <c r="Z13" s="12">
        <v>100</v>
      </c>
      <c r="AA13" s="12">
        <v>84</v>
      </c>
      <c r="AB13" s="12">
        <v>95</v>
      </c>
      <c r="AC13" s="12">
        <v>90</v>
      </c>
      <c r="AD13" s="12">
        <v>95</v>
      </c>
      <c r="AE13" s="13">
        <f t="shared" si="4"/>
        <v>88.571428571428569</v>
      </c>
      <c r="AF13" s="15">
        <v>85</v>
      </c>
      <c r="AG13" s="15">
        <v>89</v>
      </c>
      <c r="AH13" s="14">
        <v>92</v>
      </c>
      <c r="AI13" s="13">
        <f t="shared" si="5"/>
        <v>88.666666666666671</v>
      </c>
      <c r="AJ13" s="9">
        <v>92</v>
      </c>
      <c r="AL13">
        <f t="shared" si="6"/>
        <v>1</v>
      </c>
      <c r="AM13">
        <f t="shared" si="7"/>
        <v>2</v>
      </c>
      <c r="AN13">
        <f t="shared" si="8"/>
        <v>3</v>
      </c>
      <c r="AT13" s="2">
        <v>1</v>
      </c>
      <c r="BC13" s="2">
        <v>0</v>
      </c>
      <c r="BM13" s="2">
        <v>1</v>
      </c>
    </row>
    <row r="14" spans="1:70" ht="14.15" customHeight="1" x14ac:dyDescent="0.3">
      <c r="A14" s="1">
        <v>35769</v>
      </c>
      <c r="B14" s="17">
        <f t="shared" si="0"/>
        <v>98.225238095238112</v>
      </c>
      <c r="C14" s="1">
        <f t="shared" si="1"/>
        <v>99.281547619047629</v>
      </c>
      <c r="D14" s="1">
        <f t="shared" si="2"/>
        <v>90.25595238095238</v>
      </c>
      <c r="E14" s="12">
        <v>96</v>
      </c>
      <c r="F14" s="12">
        <v>92</v>
      </c>
      <c r="G14" s="2">
        <v>100</v>
      </c>
      <c r="H14" s="12">
        <v>86</v>
      </c>
      <c r="I14" s="12">
        <v>0</v>
      </c>
      <c r="J14" s="12">
        <v>100</v>
      </c>
      <c r="K14" s="12">
        <v>100</v>
      </c>
      <c r="L14" s="12">
        <v>100</v>
      </c>
      <c r="M14" s="12">
        <v>98</v>
      </c>
      <c r="N14" s="12">
        <v>100</v>
      </c>
      <c r="O14" s="12">
        <v>100</v>
      </c>
      <c r="P14" s="12">
        <v>100</v>
      </c>
      <c r="Q14" s="12">
        <v>100</v>
      </c>
      <c r="R14" s="12">
        <v>98</v>
      </c>
      <c r="S14" s="12">
        <v>100</v>
      </c>
      <c r="T14" s="12">
        <v>98</v>
      </c>
      <c r="U14" s="12">
        <v>100</v>
      </c>
      <c r="V14" s="12">
        <v>100</v>
      </c>
      <c r="W14" s="9">
        <f t="shared" si="3"/>
        <v>92.666666666666671</v>
      </c>
      <c r="X14" s="12">
        <v>79</v>
      </c>
      <c r="Y14" s="12">
        <v>55</v>
      </c>
      <c r="Z14" s="12">
        <v>98</v>
      </c>
      <c r="AA14" s="12">
        <v>91</v>
      </c>
      <c r="AB14" s="12">
        <v>100</v>
      </c>
      <c r="AC14" s="12">
        <v>87</v>
      </c>
      <c r="AD14" s="12">
        <v>97</v>
      </c>
      <c r="AE14" s="13">
        <f t="shared" si="4"/>
        <v>86.714285714285708</v>
      </c>
      <c r="AF14" s="15">
        <v>94</v>
      </c>
      <c r="AG14" s="15">
        <v>82</v>
      </c>
      <c r="AH14" s="14">
        <v>94</v>
      </c>
      <c r="AI14" s="13">
        <f t="shared" si="5"/>
        <v>90</v>
      </c>
      <c r="AJ14" s="9">
        <v>94</v>
      </c>
      <c r="AL14">
        <f t="shared" si="6"/>
        <v>0</v>
      </c>
      <c r="AM14">
        <f t="shared" si="7"/>
        <v>1</v>
      </c>
      <c r="AN14">
        <f t="shared" si="8"/>
        <v>1</v>
      </c>
      <c r="AT14" s="2">
        <v>1</v>
      </c>
    </row>
    <row r="15" spans="1:70" ht="14.15" customHeight="1" x14ac:dyDescent="0.3">
      <c r="A15" s="1">
        <v>37017</v>
      </c>
      <c r="B15" s="17">
        <f t="shared" si="0"/>
        <v>71.323809523809516</v>
      </c>
      <c r="C15" s="1">
        <f t="shared" si="1"/>
        <v>75.654761904761898</v>
      </c>
      <c r="D15" s="1">
        <f t="shared" si="2"/>
        <v>75.654761904761898</v>
      </c>
      <c r="E15" s="12">
        <v>96</v>
      </c>
      <c r="F15" s="12">
        <v>94</v>
      </c>
      <c r="G15" s="2">
        <v>100</v>
      </c>
      <c r="H15" s="12">
        <v>96</v>
      </c>
      <c r="I15" s="12">
        <v>90</v>
      </c>
      <c r="J15" s="12">
        <v>100</v>
      </c>
      <c r="K15" s="12">
        <v>100</v>
      </c>
      <c r="L15" s="12">
        <v>90</v>
      </c>
      <c r="M15" s="12">
        <v>96</v>
      </c>
      <c r="N15" s="12">
        <v>94</v>
      </c>
      <c r="O15" s="12">
        <v>100</v>
      </c>
      <c r="P15" s="12">
        <v>100</v>
      </c>
      <c r="Q15" s="12">
        <v>100</v>
      </c>
      <c r="R15" s="12">
        <v>98</v>
      </c>
      <c r="S15" s="12">
        <v>100</v>
      </c>
      <c r="T15" s="12">
        <v>100</v>
      </c>
      <c r="U15" s="12">
        <v>100</v>
      </c>
      <c r="V15" s="12">
        <v>98</v>
      </c>
      <c r="W15" s="9">
        <f t="shared" si="3"/>
        <v>97.333333333333329</v>
      </c>
      <c r="X15" s="12">
        <v>98</v>
      </c>
      <c r="Y15" s="12">
        <v>92</v>
      </c>
      <c r="Z15" s="12">
        <v>98</v>
      </c>
      <c r="AA15" s="12">
        <v>91</v>
      </c>
      <c r="AB15" s="12">
        <v>100</v>
      </c>
      <c r="AC15" s="12">
        <v>90</v>
      </c>
      <c r="AD15" s="12">
        <v>100</v>
      </c>
      <c r="AE15" s="13">
        <f t="shared" si="4"/>
        <v>95.571428571428569</v>
      </c>
      <c r="AF15" s="15">
        <v>60</v>
      </c>
      <c r="AG15" s="15">
        <v>73</v>
      </c>
      <c r="AH15" s="14">
        <v>56</v>
      </c>
      <c r="AI15" s="13">
        <f t="shared" si="5"/>
        <v>63</v>
      </c>
      <c r="AJ15" s="9">
        <v>54</v>
      </c>
      <c r="AL15">
        <f t="shared" si="6"/>
        <v>0</v>
      </c>
      <c r="AM15">
        <f t="shared" si="7"/>
        <v>0</v>
      </c>
      <c r="AN15">
        <f t="shared" si="8"/>
        <v>0</v>
      </c>
    </row>
    <row r="16" spans="1:70" ht="14.15" customHeight="1" x14ac:dyDescent="0.3">
      <c r="A16" s="1">
        <v>37093</v>
      </c>
      <c r="B16" s="17">
        <f t="shared" si="0"/>
        <v>82.617460317460313</v>
      </c>
      <c r="C16" s="1">
        <f t="shared" si="1"/>
        <v>84.521825396825392</v>
      </c>
      <c r="D16" s="1">
        <f t="shared" si="2"/>
        <v>84.521825396825392</v>
      </c>
      <c r="E16" s="12">
        <v>88</v>
      </c>
      <c r="F16" s="12">
        <v>98</v>
      </c>
      <c r="G16" s="2">
        <v>98</v>
      </c>
      <c r="H16" s="12">
        <v>100</v>
      </c>
      <c r="I16" s="12">
        <v>100</v>
      </c>
      <c r="J16" s="12">
        <v>100</v>
      </c>
      <c r="K16" s="12">
        <v>100</v>
      </c>
      <c r="L16" s="12">
        <v>100</v>
      </c>
      <c r="M16" s="12">
        <v>98</v>
      </c>
      <c r="N16" s="12">
        <v>98</v>
      </c>
      <c r="O16" s="12">
        <v>100</v>
      </c>
      <c r="P16" s="12">
        <v>100</v>
      </c>
      <c r="Q16" s="12">
        <v>100</v>
      </c>
      <c r="R16" s="12">
        <v>94</v>
      </c>
      <c r="S16" s="12">
        <v>100</v>
      </c>
      <c r="T16" s="12">
        <v>100</v>
      </c>
      <c r="U16" s="12">
        <v>100</v>
      </c>
      <c r="V16" s="12">
        <v>98</v>
      </c>
      <c r="W16" s="9">
        <f t="shared" si="3"/>
        <v>98.444444444444443</v>
      </c>
      <c r="X16" s="12">
        <v>98</v>
      </c>
      <c r="Y16" s="12">
        <v>69</v>
      </c>
      <c r="Z16" s="12">
        <v>88</v>
      </c>
      <c r="AA16" s="12">
        <v>80</v>
      </c>
      <c r="AB16" s="12">
        <v>100</v>
      </c>
      <c r="AC16" s="12">
        <v>90</v>
      </c>
      <c r="AD16" s="12">
        <v>100</v>
      </c>
      <c r="AE16" s="13">
        <f t="shared" si="4"/>
        <v>89.285714285714292</v>
      </c>
      <c r="AF16" s="15">
        <v>77</v>
      </c>
      <c r="AG16" s="15">
        <v>76</v>
      </c>
      <c r="AH16" s="14">
        <v>81</v>
      </c>
      <c r="AI16" s="13">
        <f t="shared" si="5"/>
        <v>78</v>
      </c>
      <c r="AJ16" s="9">
        <v>75</v>
      </c>
      <c r="AL16">
        <f t="shared" si="6"/>
        <v>0</v>
      </c>
      <c r="AM16">
        <f t="shared" si="7"/>
        <v>0</v>
      </c>
      <c r="AN16">
        <f t="shared" si="8"/>
        <v>0</v>
      </c>
    </row>
    <row r="17" spans="1:65" ht="14.15" customHeight="1" x14ac:dyDescent="0.3">
      <c r="A17" s="1">
        <v>39714</v>
      </c>
      <c r="B17" s="17">
        <f t="shared" si="0"/>
        <v>106.44079365079367</v>
      </c>
      <c r="C17" s="1">
        <f t="shared" si="1"/>
        <v>108.05099206349207</v>
      </c>
      <c r="D17" s="1">
        <f t="shared" si="2"/>
        <v>98.228174603174608</v>
      </c>
      <c r="E17" s="12">
        <v>96</v>
      </c>
      <c r="F17" s="12">
        <v>92</v>
      </c>
      <c r="G17" s="2">
        <v>100</v>
      </c>
      <c r="H17" s="12">
        <v>96</v>
      </c>
      <c r="I17" s="12">
        <v>80</v>
      </c>
      <c r="J17" s="12">
        <v>100</v>
      </c>
      <c r="K17" s="12">
        <v>100</v>
      </c>
      <c r="L17" s="12">
        <v>100</v>
      </c>
      <c r="M17" s="12">
        <v>100</v>
      </c>
      <c r="N17" s="12">
        <v>100</v>
      </c>
      <c r="O17" s="12">
        <v>100</v>
      </c>
      <c r="P17" s="12">
        <v>100</v>
      </c>
      <c r="Q17" s="12">
        <v>100</v>
      </c>
      <c r="R17" s="12">
        <v>98</v>
      </c>
      <c r="S17" s="12">
        <v>100</v>
      </c>
      <c r="T17" s="12">
        <v>100</v>
      </c>
      <c r="U17" s="12">
        <v>100</v>
      </c>
      <c r="V17" s="12">
        <v>100</v>
      </c>
      <c r="W17" s="9">
        <f t="shared" si="3"/>
        <v>97.888888888888886</v>
      </c>
      <c r="X17" s="12">
        <v>67</v>
      </c>
      <c r="Y17" s="12">
        <v>93</v>
      </c>
      <c r="Z17" s="12">
        <v>100</v>
      </c>
      <c r="AA17" s="12">
        <v>93</v>
      </c>
      <c r="AB17" s="12">
        <v>100</v>
      </c>
      <c r="AC17" s="12">
        <v>93</v>
      </c>
      <c r="AD17" s="12">
        <v>96</v>
      </c>
      <c r="AE17" s="13">
        <f t="shared" si="4"/>
        <v>91.714285714285708</v>
      </c>
      <c r="AF17" s="15">
        <v>99</v>
      </c>
      <c r="AG17" s="15">
        <v>100</v>
      </c>
      <c r="AH17" s="14">
        <v>100</v>
      </c>
      <c r="AI17" s="13">
        <f t="shared" si="5"/>
        <v>99.666666666666671</v>
      </c>
      <c r="AJ17" s="9">
        <v>100</v>
      </c>
      <c r="AL17">
        <f t="shared" si="6"/>
        <v>0</v>
      </c>
      <c r="AM17">
        <f t="shared" si="7"/>
        <v>0</v>
      </c>
      <c r="AN17">
        <f t="shared" si="8"/>
        <v>0</v>
      </c>
    </row>
    <row r="18" spans="1:65" ht="14.15" customHeight="1" x14ac:dyDescent="0.3">
      <c r="A18" s="1">
        <v>39985</v>
      </c>
      <c r="B18" s="17">
        <f t="shared" si="0"/>
        <v>81.233253968253976</v>
      </c>
      <c r="C18" s="1">
        <f t="shared" si="1"/>
        <v>79.541567460317466</v>
      </c>
      <c r="D18" s="1">
        <f t="shared" si="2"/>
        <v>72.310515873015873</v>
      </c>
      <c r="E18" s="12">
        <v>95</v>
      </c>
      <c r="F18" s="12">
        <v>95</v>
      </c>
      <c r="G18" s="2">
        <v>100</v>
      </c>
      <c r="H18" s="12">
        <v>96</v>
      </c>
      <c r="I18" s="12">
        <v>80</v>
      </c>
      <c r="J18" s="12">
        <v>98</v>
      </c>
      <c r="K18" s="12">
        <v>98</v>
      </c>
      <c r="L18" s="12">
        <v>96</v>
      </c>
      <c r="M18" s="12">
        <v>98</v>
      </c>
      <c r="N18" s="12">
        <v>96</v>
      </c>
      <c r="O18" s="12">
        <v>0</v>
      </c>
      <c r="P18" s="12">
        <v>90</v>
      </c>
      <c r="Q18" s="12">
        <v>100</v>
      </c>
      <c r="R18" s="12">
        <v>98</v>
      </c>
      <c r="S18" s="12">
        <v>100</v>
      </c>
      <c r="T18" s="12">
        <v>0</v>
      </c>
      <c r="U18" s="12">
        <v>100</v>
      </c>
      <c r="V18" s="12">
        <v>98</v>
      </c>
      <c r="W18" s="9">
        <f t="shared" si="3"/>
        <v>85.444444444444443</v>
      </c>
      <c r="X18" s="12">
        <v>78</v>
      </c>
      <c r="Y18" s="12">
        <v>83</v>
      </c>
      <c r="Z18" s="12">
        <v>99</v>
      </c>
      <c r="AA18" s="12">
        <v>91</v>
      </c>
      <c r="AB18" s="12">
        <v>95</v>
      </c>
      <c r="AC18" s="12">
        <v>74</v>
      </c>
      <c r="AD18" s="12">
        <v>99</v>
      </c>
      <c r="AE18" s="13">
        <f t="shared" si="4"/>
        <v>88.428571428571431</v>
      </c>
      <c r="AF18" s="15">
        <v>72</v>
      </c>
      <c r="AG18" s="15">
        <v>66</v>
      </c>
      <c r="AH18" s="14">
        <v>53.5</v>
      </c>
      <c r="AI18" s="13">
        <f t="shared" si="5"/>
        <v>63.833333333333336</v>
      </c>
      <c r="AJ18" s="9">
        <v>88</v>
      </c>
      <c r="AL18">
        <f t="shared" si="6"/>
        <v>1</v>
      </c>
      <c r="AM18">
        <f t="shared" si="7"/>
        <v>3</v>
      </c>
      <c r="AN18">
        <f t="shared" si="8"/>
        <v>4</v>
      </c>
      <c r="AQ18" s="2">
        <v>0</v>
      </c>
      <c r="BD18" s="2">
        <v>1</v>
      </c>
      <c r="BJ18" s="2">
        <v>1</v>
      </c>
      <c r="BM18" s="2">
        <v>1</v>
      </c>
    </row>
    <row r="19" spans="1:65" ht="14.15" customHeight="1" x14ac:dyDescent="0.3">
      <c r="A19" s="1">
        <v>47395</v>
      </c>
      <c r="B19" s="17">
        <f t="shared" si="0"/>
        <v>81.242857142857162</v>
      </c>
      <c r="C19" s="1">
        <f t="shared" si="1"/>
        <v>80.803571428571431</v>
      </c>
      <c r="D19" s="1">
        <f t="shared" si="2"/>
        <v>80.803571428571431</v>
      </c>
      <c r="E19" s="12">
        <v>100</v>
      </c>
      <c r="F19" s="12">
        <v>96</v>
      </c>
      <c r="G19" s="2">
        <v>100</v>
      </c>
      <c r="H19" s="12">
        <v>76</v>
      </c>
      <c r="I19" s="12">
        <v>90</v>
      </c>
      <c r="J19" s="12">
        <v>100</v>
      </c>
      <c r="K19" s="12">
        <v>98</v>
      </c>
      <c r="L19" s="12">
        <v>100</v>
      </c>
      <c r="M19" s="12">
        <v>96</v>
      </c>
      <c r="N19" s="12">
        <v>100</v>
      </c>
      <c r="O19" s="12">
        <v>96</v>
      </c>
      <c r="P19" s="12">
        <v>100</v>
      </c>
      <c r="Q19" s="12">
        <v>100</v>
      </c>
      <c r="R19" s="12">
        <v>98</v>
      </c>
      <c r="S19" s="12">
        <v>98</v>
      </c>
      <c r="T19" s="12">
        <v>98</v>
      </c>
      <c r="U19" s="12">
        <v>100</v>
      </c>
      <c r="V19" s="12">
        <v>100</v>
      </c>
      <c r="W19" s="9">
        <f t="shared" si="3"/>
        <v>97</v>
      </c>
      <c r="X19" s="12">
        <v>82</v>
      </c>
      <c r="Y19" s="12">
        <v>32</v>
      </c>
      <c r="Z19" s="12">
        <v>68</v>
      </c>
      <c r="AA19" s="12">
        <v>76</v>
      </c>
      <c r="AB19" s="12">
        <v>0</v>
      </c>
      <c r="AC19" s="12">
        <v>74</v>
      </c>
      <c r="AD19" s="12">
        <v>0</v>
      </c>
      <c r="AE19" s="13">
        <f t="shared" si="4"/>
        <v>47.428571428571431</v>
      </c>
      <c r="AF19" s="15">
        <v>83</v>
      </c>
      <c r="AG19" s="15">
        <v>77</v>
      </c>
      <c r="AH19" s="14">
        <v>83</v>
      </c>
      <c r="AI19" s="13">
        <f t="shared" si="5"/>
        <v>81</v>
      </c>
      <c r="AJ19" s="9">
        <v>83</v>
      </c>
      <c r="AL19">
        <f t="shared" si="6"/>
        <v>1</v>
      </c>
      <c r="AM19">
        <f t="shared" si="7"/>
        <v>1</v>
      </c>
      <c r="AN19">
        <f t="shared" si="8"/>
        <v>2</v>
      </c>
      <c r="AO19" s="2">
        <v>1</v>
      </c>
      <c r="BE19" s="2">
        <v>0</v>
      </c>
    </row>
    <row r="20" spans="1:65" ht="14.15" customHeight="1" x14ac:dyDescent="0.3">
      <c r="A20" s="1">
        <v>50260</v>
      </c>
      <c r="B20" s="17">
        <f t="shared" si="0"/>
        <v>83.850793650793662</v>
      </c>
      <c r="C20" s="1">
        <f t="shared" si="1"/>
        <v>84.813492063492077</v>
      </c>
      <c r="D20" s="1">
        <f t="shared" si="2"/>
        <v>84.813492063492077</v>
      </c>
      <c r="E20" s="12">
        <v>91</v>
      </c>
      <c r="F20" s="12">
        <v>100</v>
      </c>
      <c r="G20" s="12">
        <v>94</v>
      </c>
      <c r="H20" s="12">
        <v>98</v>
      </c>
      <c r="I20" s="12">
        <v>100</v>
      </c>
      <c r="J20" s="12">
        <v>100</v>
      </c>
      <c r="K20" s="12">
        <v>100</v>
      </c>
      <c r="L20" s="12">
        <v>100</v>
      </c>
      <c r="M20" s="12">
        <v>100</v>
      </c>
      <c r="N20" s="12">
        <v>98</v>
      </c>
      <c r="O20" s="12">
        <v>100</v>
      </c>
      <c r="P20" s="12">
        <v>100</v>
      </c>
      <c r="Q20" s="2">
        <v>100</v>
      </c>
      <c r="R20" s="12">
        <v>100</v>
      </c>
      <c r="S20" s="2">
        <v>100</v>
      </c>
      <c r="T20" s="12">
        <v>100</v>
      </c>
      <c r="U20" s="12">
        <v>100</v>
      </c>
      <c r="V20" s="12">
        <v>100</v>
      </c>
      <c r="W20" s="9">
        <f t="shared" si="3"/>
        <v>98.944444444444443</v>
      </c>
      <c r="X20" s="12">
        <v>71</v>
      </c>
      <c r="Y20" s="12">
        <v>79</v>
      </c>
      <c r="Z20" s="12">
        <v>96</v>
      </c>
      <c r="AA20" s="12">
        <v>78</v>
      </c>
      <c r="AB20" s="12">
        <v>95</v>
      </c>
      <c r="AC20" s="12">
        <v>60</v>
      </c>
      <c r="AD20" s="12">
        <v>97</v>
      </c>
      <c r="AE20" s="13">
        <f t="shared" si="4"/>
        <v>82.285714285714292</v>
      </c>
      <c r="AF20" s="15">
        <v>81</v>
      </c>
      <c r="AG20" s="15">
        <v>78</v>
      </c>
      <c r="AH20" s="14">
        <v>80</v>
      </c>
      <c r="AI20" s="13">
        <f t="shared" si="5"/>
        <v>79.666666666666671</v>
      </c>
      <c r="AJ20" s="9">
        <v>80</v>
      </c>
      <c r="AL20">
        <f t="shared" si="6"/>
        <v>0</v>
      </c>
      <c r="AM20">
        <f t="shared" si="7"/>
        <v>0</v>
      </c>
      <c r="AN20">
        <f t="shared" si="8"/>
        <v>0</v>
      </c>
    </row>
    <row r="21" spans="1:65" ht="14.15" customHeight="1" x14ac:dyDescent="0.3">
      <c r="A21" s="1">
        <v>51129</v>
      </c>
      <c r="B21" s="17">
        <f t="shared" si="0"/>
        <v>75.774603174603186</v>
      </c>
      <c r="C21" s="1">
        <f t="shared" si="1"/>
        <v>80.218253968253975</v>
      </c>
      <c r="D21" s="1">
        <f t="shared" si="2"/>
        <v>80.218253968253975</v>
      </c>
      <c r="E21" s="12">
        <v>100</v>
      </c>
      <c r="F21" s="12">
        <v>98</v>
      </c>
      <c r="G21" s="2">
        <v>100</v>
      </c>
      <c r="H21" s="12">
        <v>76</v>
      </c>
      <c r="I21" s="12">
        <v>100</v>
      </c>
      <c r="J21" s="12">
        <v>100</v>
      </c>
      <c r="K21" s="12">
        <v>100</v>
      </c>
      <c r="L21" s="12">
        <v>100</v>
      </c>
      <c r="M21" s="12">
        <v>84</v>
      </c>
      <c r="N21" s="12">
        <v>90</v>
      </c>
      <c r="O21" s="12">
        <v>100</v>
      </c>
      <c r="P21" s="12">
        <v>100</v>
      </c>
      <c r="Q21" s="12">
        <v>100</v>
      </c>
      <c r="R21" s="12">
        <v>98</v>
      </c>
      <c r="S21" s="12">
        <v>98</v>
      </c>
      <c r="T21" s="12">
        <v>98</v>
      </c>
      <c r="U21" s="12">
        <v>100</v>
      </c>
      <c r="V21" s="12">
        <v>100</v>
      </c>
      <c r="W21" s="9">
        <f t="shared" si="3"/>
        <v>96.777777777777771</v>
      </c>
      <c r="X21" s="12">
        <v>72</v>
      </c>
      <c r="Y21" s="12">
        <v>91</v>
      </c>
      <c r="Z21" s="12">
        <v>99</v>
      </c>
      <c r="AA21" s="12">
        <v>81</v>
      </c>
      <c r="AB21" s="12">
        <v>100</v>
      </c>
      <c r="AC21" s="12">
        <v>90</v>
      </c>
      <c r="AD21" s="12">
        <v>96</v>
      </c>
      <c r="AE21" s="13">
        <f t="shared" si="4"/>
        <v>89.857142857142861</v>
      </c>
      <c r="AF21" s="15">
        <v>65</v>
      </c>
      <c r="AG21" s="15">
        <v>82</v>
      </c>
      <c r="AH21" s="14">
        <v>68</v>
      </c>
      <c r="AI21" s="13">
        <f t="shared" si="5"/>
        <v>71.666666666666671</v>
      </c>
      <c r="AJ21" s="9">
        <v>58</v>
      </c>
      <c r="AL21">
        <f t="shared" si="6"/>
        <v>0</v>
      </c>
      <c r="AM21">
        <f t="shared" si="7"/>
        <v>0</v>
      </c>
      <c r="AN21">
        <f t="shared" si="8"/>
        <v>0</v>
      </c>
    </row>
    <row r="22" spans="1:65" ht="14.15" customHeight="1" x14ac:dyDescent="0.3">
      <c r="A22" s="1">
        <v>51223</v>
      </c>
      <c r="B22" s="17">
        <f t="shared" si="0"/>
        <v>80.267460317460319</v>
      </c>
      <c r="C22" s="1">
        <f t="shared" si="1"/>
        <v>82.084325396825392</v>
      </c>
      <c r="D22" s="1">
        <f t="shared" si="2"/>
        <v>82.084325396825392</v>
      </c>
      <c r="E22" s="12">
        <v>96</v>
      </c>
      <c r="F22" s="12">
        <v>94</v>
      </c>
      <c r="G22" s="2">
        <v>100</v>
      </c>
      <c r="H22" s="12">
        <v>88</v>
      </c>
      <c r="I22" s="12">
        <v>90</v>
      </c>
      <c r="J22" s="12">
        <v>100</v>
      </c>
      <c r="K22" s="12">
        <v>100</v>
      </c>
      <c r="L22" s="12">
        <v>100</v>
      </c>
      <c r="M22" s="12">
        <v>96</v>
      </c>
      <c r="N22" s="12">
        <v>94</v>
      </c>
      <c r="O22" s="12">
        <v>100</v>
      </c>
      <c r="P22" s="12">
        <v>100</v>
      </c>
      <c r="Q22" s="12">
        <v>100</v>
      </c>
      <c r="R22" s="12">
        <v>98</v>
      </c>
      <c r="S22" s="12">
        <v>100</v>
      </c>
      <c r="T22" s="12">
        <v>100</v>
      </c>
      <c r="U22" s="12">
        <v>100</v>
      </c>
      <c r="V22" s="12">
        <v>98</v>
      </c>
      <c r="W22" s="9">
        <f t="shared" si="3"/>
        <v>97.444444444444443</v>
      </c>
      <c r="X22" s="12">
        <v>62</v>
      </c>
      <c r="Y22" s="12">
        <v>92</v>
      </c>
      <c r="Z22" s="12">
        <v>95</v>
      </c>
      <c r="AA22" s="12">
        <v>86</v>
      </c>
      <c r="AB22" s="12">
        <v>100</v>
      </c>
      <c r="AC22" s="12">
        <v>90</v>
      </c>
      <c r="AD22" s="12">
        <v>100</v>
      </c>
      <c r="AE22" s="13">
        <f t="shared" si="4"/>
        <v>89.285714285714292</v>
      </c>
      <c r="AF22" s="15">
        <v>73</v>
      </c>
      <c r="AG22" s="15">
        <v>74</v>
      </c>
      <c r="AH22" s="14">
        <v>76.5</v>
      </c>
      <c r="AI22" s="13">
        <f t="shared" si="5"/>
        <v>74.5</v>
      </c>
      <c r="AJ22" s="9">
        <v>73</v>
      </c>
      <c r="AL22">
        <f t="shared" si="6"/>
        <v>0</v>
      </c>
      <c r="AM22">
        <f t="shared" si="7"/>
        <v>0</v>
      </c>
      <c r="AN22">
        <f t="shared" si="8"/>
        <v>0</v>
      </c>
    </row>
    <row r="23" spans="1:65" ht="14.15" customHeight="1" x14ac:dyDescent="0.3">
      <c r="A23" s="1">
        <v>52237</v>
      </c>
      <c r="B23" s="17">
        <f t="shared" si="0"/>
        <v>84.536507936507931</v>
      </c>
      <c r="C23" s="1">
        <f t="shared" si="1"/>
        <v>85.92063492063491</v>
      </c>
      <c r="D23" s="1">
        <f t="shared" si="2"/>
        <v>85.92063492063491</v>
      </c>
      <c r="E23" s="12">
        <v>98</v>
      </c>
      <c r="F23" s="12">
        <v>92</v>
      </c>
      <c r="G23" s="2">
        <v>100</v>
      </c>
      <c r="H23" s="12">
        <v>100</v>
      </c>
      <c r="I23" s="12">
        <v>80</v>
      </c>
      <c r="J23" s="12">
        <v>100</v>
      </c>
      <c r="K23" s="12">
        <v>100</v>
      </c>
      <c r="L23" s="12">
        <v>100</v>
      </c>
      <c r="M23" s="12">
        <v>92</v>
      </c>
      <c r="N23" s="12">
        <v>98</v>
      </c>
      <c r="O23" s="12">
        <v>100</v>
      </c>
      <c r="P23" s="12">
        <v>100</v>
      </c>
      <c r="Q23" s="12">
        <v>100</v>
      </c>
      <c r="R23" s="12">
        <v>100</v>
      </c>
      <c r="S23" s="12">
        <v>100</v>
      </c>
      <c r="T23" s="12">
        <v>100</v>
      </c>
      <c r="U23" s="12">
        <v>100</v>
      </c>
      <c r="V23" s="12">
        <v>100</v>
      </c>
      <c r="W23" s="9">
        <f t="shared" si="3"/>
        <v>97.777777777777771</v>
      </c>
      <c r="X23" s="12">
        <v>60</v>
      </c>
      <c r="Y23" s="12">
        <v>98</v>
      </c>
      <c r="Z23" s="12">
        <v>98</v>
      </c>
      <c r="AA23" s="12">
        <v>82</v>
      </c>
      <c r="AB23" s="12">
        <v>100</v>
      </c>
      <c r="AC23" s="12">
        <v>95</v>
      </c>
      <c r="AD23" s="12">
        <v>98</v>
      </c>
      <c r="AE23" s="13">
        <f t="shared" si="4"/>
        <v>90.142857142857139</v>
      </c>
      <c r="AF23" s="15">
        <v>79</v>
      </c>
      <c r="AG23" s="15">
        <v>83</v>
      </c>
      <c r="AH23" s="14">
        <v>79</v>
      </c>
      <c r="AI23" s="13">
        <f t="shared" si="5"/>
        <v>80.333333333333329</v>
      </c>
      <c r="AJ23" s="9">
        <v>79</v>
      </c>
      <c r="AL23">
        <f t="shared" si="6"/>
        <v>0</v>
      </c>
      <c r="AM23">
        <f t="shared" si="7"/>
        <v>0</v>
      </c>
      <c r="AN23">
        <f t="shared" si="8"/>
        <v>0</v>
      </c>
    </row>
    <row r="24" spans="1:65" ht="14.15" customHeight="1" x14ac:dyDescent="0.3">
      <c r="A24" s="1">
        <v>53659</v>
      </c>
      <c r="B24" s="17">
        <f t="shared" si="0"/>
        <v>78.411111111111111</v>
      </c>
      <c r="C24" s="1">
        <f t="shared" si="1"/>
        <v>78.513888888888886</v>
      </c>
      <c r="D24" s="1">
        <f t="shared" si="2"/>
        <v>78.513888888888886</v>
      </c>
      <c r="E24" s="12">
        <v>0</v>
      </c>
      <c r="F24" s="12">
        <v>94</v>
      </c>
      <c r="G24" s="2">
        <v>96</v>
      </c>
      <c r="H24" s="12">
        <v>76</v>
      </c>
      <c r="I24" s="12">
        <v>90</v>
      </c>
      <c r="J24" s="12">
        <v>98</v>
      </c>
      <c r="K24" s="12">
        <v>80</v>
      </c>
      <c r="L24" s="12">
        <v>96</v>
      </c>
      <c r="M24" s="12">
        <v>0</v>
      </c>
      <c r="N24" s="12">
        <v>95</v>
      </c>
      <c r="O24" s="12">
        <v>100</v>
      </c>
      <c r="P24" s="12">
        <v>100</v>
      </c>
      <c r="Q24" s="12">
        <v>100</v>
      </c>
      <c r="R24" s="12">
        <v>96</v>
      </c>
      <c r="S24" s="12">
        <v>100</v>
      </c>
      <c r="T24" s="12">
        <v>98</v>
      </c>
      <c r="U24" s="12">
        <v>100</v>
      </c>
      <c r="V24" s="12">
        <v>100</v>
      </c>
      <c r="W24" s="9">
        <f t="shared" si="3"/>
        <v>84.388888888888886</v>
      </c>
      <c r="X24" s="12">
        <v>89</v>
      </c>
      <c r="Y24" s="12">
        <v>82</v>
      </c>
      <c r="Z24" s="12">
        <v>89</v>
      </c>
      <c r="AA24" s="12">
        <v>89</v>
      </c>
      <c r="AB24" s="12">
        <v>95</v>
      </c>
      <c r="AC24" s="12">
        <v>63</v>
      </c>
      <c r="AD24" s="12">
        <v>60</v>
      </c>
      <c r="AE24" s="13">
        <f t="shared" si="4"/>
        <v>81</v>
      </c>
      <c r="AF24" s="15">
        <v>68</v>
      </c>
      <c r="AG24" s="15">
        <v>81</v>
      </c>
      <c r="AH24" s="14">
        <v>78</v>
      </c>
      <c r="AI24" s="13">
        <f t="shared" si="5"/>
        <v>75.666666666666671</v>
      </c>
      <c r="AJ24" s="9">
        <v>78</v>
      </c>
      <c r="AL24">
        <f t="shared" si="6"/>
        <v>2</v>
      </c>
      <c r="AM24">
        <f t="shared" si="7"/>
        <v>2</v>
      </c>
      <c r="AN24">
        <f t="shared" si="8"/>
        <v>4</v>
      </c>
      <c r="AP24" s="2">
        <v>1</v>
      </c>
      <c r="AY24" s="2">
        <v>1</v>
      </c>
      <c r="BB24" s="2">
        <v>0</v>
      </c>
      <c r="BC24" s="2">
        <v>0</v>
      </c>
    </row>
    <row r="25" spans="1:65" ht="14.15" customHeight="1" x14ac:dyDescent="0.3">
      <c r="A25" s="1">
        <v>54212</v>
      </c>
      <c r="B25" s="17">
        <f t="shared" si="0"/>
        <v>102.34531746031749</v>
      </c>
      <c r="C25" s="1">
        <f t="shared" si="1"/>
        <v>103.43164682539684</v>
      </c>
      <c r="D25" s="1">
        <f t="shared" si="2"/>
        <v>94.028769841269849</v>
      </c>
      <c r="E25" s="12">
        <v>89</v>
      </c>
      <c r="F25" s="12">
        <v>100</v>
      </c>
      <c r="G25" s="2">
        <v>98</v>
      </c>
      <c r="H25" s="12">
        <v>100</v>
      </c>
      <c r="I25" s="12">
        <v>90</v>
      </c>
      <c r="J25" s="12">
        <v>100</v>
      </c>
      <c r="K25" s="12">
        <v>100</v>
      </c>
      <c r="L25" s="12">
        <v>100</v>
      </c>
      <c r="M25" s="12">
        <v>84.5</v>
      </c>
      <c r="N25" s="12">
        <v>100</v>
      </c>
      <c r="O25" s="12">
        <v>100</v>
      </c>
      <c r="P25" s="12">
        <v>100</v>
      </c>
      <c r="Q25" s="12">
        <v>100</v>
      </c>
      <c r="R25" s="12">
        <v>88</v>
      </c>
      <c r="S25" s="12">
        <v>100</v>
      </c>
      <c r="T25" s="12">
        <v>98</v>
      </c>
      <c r="U25" s="12">
        <v>100</v>
      </c>
      <c r="V25" s="12">
        <v>98</v>
      </c>
      <c r="W25" s="9">
        <f t="shared" si="3"/>
        <v>96.972222222222229</v>
      </c>
      <c r="X25" s="12">
        <v>60</v>
      </c>
      <c r="Y25" s="12">
        <v>58</v>
      </c>
      <c r="Z25" s="12">
        <v>95</v>
      </c>
      <c r="AA25" s="12">
        <v>77</v>
      </c>
      <c r="AB25" s="12">
        <v>100</v>
      </c>
      <c r="AC25" s="12">
        <v>94</v>
      </c>
      <c r="AD25" s="12">
        <v>99</v>
      </c>
      <c r="AE25" s="13">
        <f t="shared" si="4"/>
        <v>83.285714285714292</v>
      </c>
      <c r="AF25" s="15">
        <v>94</v>
      </c>
      <c r="AG25" s="15">
        <v>93</v>
      </c>
      <c r="AH25" s="14">
        <v>98</v>
      </c>
      <c r="AI25" s="13">
        <f t="shared" si="5"/>
        <v>95</v>
      </c>
      <c r="AJ25" s="9">
        <v>98</v>
      </c>
      <c r="AL25">
        <f t="shared" si="6"/>
        <v>0</v>
      </c>
      <c r="AM25">
        <f t="shared" si="7"/>
        <v>0</v>
      </c>
      <c r="AN25">
        <f t="shared" si="8"/>
        <v>0</v>
      </c>
    </row>
    <row r="26" spans="1:65" ht="14.15" customHeight="1" x14ac:dyDescent="0.3">
      <c r="A26" s="1">
        <v>54418</v>
      </c>
      <c r="B26" s="17">
        <f t="shared" si="0"/>
        <v>89.509761904761916</v>
      </c>
      <c r="C26" s="1">
        <f t="shared" si="1"/>
        <v>88.887202380952388</v>
      </c>
      <c r="D26" s="1">
        <f t="shared" si="2"/>
        <v>80.80654761904762</v>
      </c>
      <c r="E26" s="12">
        <v>95</v>
      </c>
      <c r="F26" s="12">
        <v>0</v>
      </c>
      <c r="G26" s="2">
        <v>0</v>
      </c>
      <c r="H26" s="12">
        <v>96</v>
      </c>
      <c r="I26" s="12">
        <v>100</v>
      </c>
      <c r="J26" s="12">
        <v>100</v>
      </c>
      <c r="K26" s="12">
        <v>100</v>
      </c>
      <c r="L26" s="12">
        <v>100</v>
      </c>
      <c r="M26" s="12">
        <v>98</v>
      </c>
      <c r="N26" s="12">
        <v>0</v>
      </c>
      <c r="O26" s="12">
        <v>0</v>
      </c>
      <c r="P26" s="12">
        <v>100</v>
      </c>
      <c r="Q26" s="12">
        <v>100</v>
      </c>
      <c r="R26" s="12">
        <v>0</v>
      </c>
      <c r="S26" s="12">
        <v>100</v>
      </c>
      <c r="T26" s="12">
        <v>98</v>
      </c>
      <c r="U26" s="12">
        <v>100</v>
      </c>
      <c r="V26" s="12">
        <v>100</v>
      </c>
      <c r="W26" s="9">
        <f t="shared" si="3"/>
        <v>71.5</v>
      </c>
      <c r="X26" s="12">
        <v>98</v>
      </c>
      <c r="Y26" s="12">
        <v>70.5</v>
      </c>
      <c r="Z26" s="12">
        <v>90</v>
      </c>
      <c r="AA26" s="12">
        <v>76</v>
      </c>
      <c r="AB26" s="12">
        <v>95</v>
      </c>
      <c r="AC26" s="12">
        <v>78</v>
      </c>
      <c r="AD26" s="12">
        <v>65</v>
      </c>
      <c r="AE26" s="13">
        <f t="shared" si="4"/>
        <v>81.785714285714292</v>
      </c>
      <c r="AF26" s="15">
        <v>82</v>
      </c>
      <c r="AG26" s="15">
        <v>81</v>
      </c>
      <c r="AH26" s="14">
        <v>90</v>
      </c>
      <c r="AI26" s="13">
        <f t="shared" si="5"/>
        <v>84.333333333333329</v>
      </c>
      <c r="AJ26" s="9">
        <v>92</v>
      </c>
      <c r="AL26">
        <f t="shared" si="6"/>
        <v>0</v>
      </c>
      <c r="AM26">
        <f t="shared" si="7"/>
        <v>4</v>
      </c>
      <c r="AN26">
        <f t="shared" si="8"/>
        <v>4</v>
      </c>
      <c r="AQ26" s="2">
        <v>1</v>
      </c>
      <c r="BC26" s="2">
        <v>1</v>
      </c>
      <c r="BD26" s="2">
        <v>1</v>
      </c>
      <c r="BG26" s="2">
        <v>1</v>
      </c>
    </row>
    <row r="27" spans="1:65" ht="14.15" customHeight="1" x14ac:dyDescent="0.3">
      <c r="A27" s="1">
        <v>56014</v>
      </c>
      <c r="B27" s="17">
        <f t="shared" si="0"/>
        <v>94.472777777777793</v>
      </c>
      <c r="C27" s="1">
        <f t="shared" si="1"/>
        <v>95.340972222222234</v>
      </c>
      <c r="D27" s="1">
        <f t="shared" si="2"/>
        <v>86.673611111111114</v>
      </c>
      <c r="E27" s="12">
        <v>100</v>
      </c>
      <c r="F27" s="12">
        <v>92</v>
      </c>
      <c r="G27" s="2">
        <v>100</v>
      </c>
      <c r="H27" s="12">
        <v>92</v>
      </c>
      <c r="I27" s="12">
        <v>88</v>
      </c>
      <c r="J27" s="12">
        <v>96</v>
      </c>
      <c r="K27" s="12">
        <v>100</v>
      </c>
      <c r="L27" s="12">
        <v>95</v>
      </c>
      <c r="M27" s="12">
        <v>88</v>
      </c>
      <c r="N27" s="12">
        <v>88</v>
      </c>
      <c r="O27" s="12">
        <v>96</v>
      </c>
      <c r="P27" s="12">
        <v>100</v>
      </c>
      <c r="Q27" s="12">
        <v>100</v>
      </c>
      <c r="R27" s="12">
        <v>98</v>
      </c>
      <c r="S27" s="12">
        <v>100</v>
      </c>
      <c r="T27" s="12">
        <v>100</v>
      </c>
      <c r="U27" s="12">
        <v>100</v>
      </c>
      <c r="V27" s="12">
        <v>100</v>
      </c>
      <c r="W27" s="9">
        <f t="shared" si="3"/>
        <v>96.277777777777771</v>
      </c>
      <c r="X27" s="12">
        <v>59</v>
      </c>
      <c r="Y27" s="12">
        <v>30</v>
      </c>
      <c r="Z27" s="12">
        <v>100</v>
      </c>
      <c r="AA27" s="12">
        <v>88</v>
      </c>
      <c r="AB27" s="12">
        <v>100</v>
      </c>
      <c r="AC27" s="12">
        <v>86</v>
      </c>
      <c r="AD27" s="12">
        <v>97</v>
      </c>
      <c r="AE27" s="13">
        <f t="shared" si="4"/>
        <v>80</v>
      </c>
      <c r="AF27" s="15">
        <v>91</v>
      </c>
      <c r="AG27" s="15">
        <v>88</v>
      </c>
      <c r="AH27" s="14">
        <v>73.5</v>
      </c>
      <c r="AI27" s="13">
        <f t="shared" si="5"/>
        <v>84.166666666666671</v>
      </c>
      <c r="AJ27" s="9">
        <v>91</v>
      </c>
      <c r="AL27">
        <f t="shared" si="6"/>
        <v>0</v>
      </c>
      <c r="AM27">
        <f t="shared" si="7"/>
        <v>0</v>
      </c>
      <c r="AN27">
        <f t="shared" si="8"/>
        <v>0</v>
      </c>
    </row>
    <row r="28" spans="1:65" ht="14.15" customHeight="1" x14ac:dyDescent="0.3">
      <c r="A28" s="1">
        <v>56710</v>
      </c>
      <c r="B28" s="17">
        <f t="shared" si="0"/>
        <v>78.719841269841282</v>
      </c>
      <c r="C28" s="1">
        <f t="shared" si="1"/>
        <v>78.399801587301596</v>
      </c>
      <c r="D28" s="1">
        <f t="shared" si="2"/>
        <v>78.399801587301596</v>
      </c>
      <c r="E28" s="12">
        <v>96</v>
      </c>
      <c r="F28" s="12">
        <v>0</v>
      </c>
      <c r="G28" s="2">
        <v>100</v>
      </c>
      <c r="H28" s="12">
        <v>96</v>
      </c>
      <c r="I28" s="12">
        <v>80</v>
      </c>
      <c r="J28" s="12">
        <v>98</v>
      </c>
      <c r="K28" s="12">
        <v>100</v>
      </c>
      <c r="L28" s="12">
        <v>100</v>
      </c>
      <c r="M28" s="12">
        <v>100</v>
      </c>
      <c r="N28" s="12">
        <v>100</v>
      </c>
      <c r="O28" s="12">
        <v>0</v>
      </c>
      <c r="P28" s="12">
        <v>100</v>
      </c>
      <c r="Q28" s="12">
        <v>100</v>
      </c>
      <c r="R28" s="12">
        <v>98</v>
      </c>
      <c r="S28" s="12">
        <v>100</v>
      </c>
      <c r="T28" s="12">
        <v>100</v>
      </c>
      <c r="U28" s="12">
        <v>100</v>
      </c>
      <c r="V28" s="12">
        <v>100</v>
      </c>
      <c r="W28" s="9">
        <f t="shared" si="3"/>
        <v>87.111111111111114</v>
      </c>
      <c r="X28" s="12">
        <v>67</v>
      </c>
      <c r="Y28" s="12">
        <v>93</v>
      </c>
      <c r="Z28" s="12">
        <v>100</v>
      </c>
      <c r="AA28" s="12">
        <v>0</v>
      </c>
      <c r="AB28" s="12">
        <v>100</v>
      </c>
      <c r="AC28" s="12">
        <v>40</v>
      </c>
      <c r="AD28" s="12">
        <v>0</v>
      </c>
      <c r="AE28" s="13">
        <f t="shared" si="4"/>
        <v>57.142857142857146</v>
      </c>
      <c r="AF28" s="15">
        <v>80</v>
      </c>
      <c r="AG28" s="15">
        <f>AJ28</f>
        <v>80</v>
      </c>
      <c r="AH28" s="14">
        <v>77.5</v>
      </c>
      <c r="AI28" s="13">
        <f t="shared" si="5"/>
        <v>79.166666666666671</v>
      </c>
      <c r="AJ28" s="9">
        <v>80</v>
      </c>
      <c r="AL28">
        <f t="shared" si="6"/>
        <v>0</v>
      </c>
      <c r="AM28">
        <f t="shared" si="7"/>
        <v>2</v>
      </c>
      <c r="AN28">
        <f t="shared" si="8"/>
        <v>2</v>
      </c>
      <c r="AQ28" s="2">
        <v>1</v>
      </c>
      <c r="BD28" s="2">
        <v>1</v>
      </c>
    </row>
    <row r="29" spans="1:65" ht="14.15" customHeight="1" x14ac:dyDescent="0.3">
      <c r="A29" s="1">
        <v>57043</v>
      </c>
      <c r="B29" s="17">
        <f t="shared" si="0"/>
        <v>93.298095238095257</v>
      </c>
      <c r="C29" s="1">
        <f t="shared" si="1"/>
        <v>95.372619047619068</v>
      </c>
      <c r="D29" s="1">
        <f t="shared" si="2"/>
        <v>86.702380952380963</v>
      </c>
      <c r="E29" s="12">
        <v>98</v>
      </c>
      <c r="F29" s="12">
        <v>88</v>
      </c>
      <c r="G29" s="2">
        <v>100</v>
      </c>
      <c r="H29" s="12">
        <v>76</v>
      </c>
      <c r="I29" s="12">
        <v>100</v>
      </c>
      <c r="J29" s="12">
        <v>0</v>
      </c>
      <c r="K29" s="12">
        <v>100</v>
      </c>
      <c r="L29" s="12">
        <v>100</v>
      </c>
      <c r="M29" s="12">
        <v>84</v>
      </c>
      <c r="N29" s="12">
        <v>90</v>
      </c>
      <c r="O29" s="12">
        <v>100</v>
      </c>
      <c r="P29" s="12">
        <v>100</v>
      </c>
      <c r="Q29" s="12">
        <v>100</v>
      </c>
      <c r="R29" s="12">
        <v>98</v>
      </c>
      <c r="S29" s="12">
        <v>98</v>
      </c>
      <c r="T29" s="12">
        <v>98</v>
      </c>
      <c r="U29" s="12">
        <v>0</v>
      </c>
      <c r="V29" s="12">
        <v>100</v>
      </c>
      <c r="W29" s="9">
        <f t="shared" si="3"/>
        <v>85</v>
      </c>
      <c r="X29" s="12">
        <v>75</v>
      </c>
      <c r="Y29" s="12">
        <v>91</v>
      </c>
      <c r="Z29" s="12">
        <v>99</v>
      </c>
      <c r="AA29" s="12">
        <v>81</v>
      </c>
      <c r="AB29" s="12">
        <v>100</v>
      </c>
      <c r="AC29" s="12">
        <v>90</v>
      </c>
      <c r="AD29" s="12">
        <v>96</v>
      </c>
      <c r="AE29" s="13">
        <f t="shared" si="4"/>
        <v>90.285714285714292</v>
      </c>
      <c r="AF29" s="15">
        <v>92</v>
      </c>
      <c r="AG29" s="15">
        <v>83</v>
      </c>
      <c r="AH29" s="14">
        <v>85</v>
      </c>
      <c r="AI29" s="13">
        <f t="shared" si="5"/>
        <v>86.666666666666671</v>
      </c>
      <c r="AJ29" s="9">
        <v>85</v>
      </c>
      <c r="AL29">
        <f t="shared" si="6"/>
        <v>0</v>
      </c>
      <c r="AM29">
        <f t="shared" si="7"/>
        <v>1</v>
      </c>
      <c r="AN29">
        <f t="shared" si="8"/>
        <v>1</v>
      </c>
      <c r="AV29" s="2">
        <v>1</v>
      </c>
    </row>
    <row r="30" spans="1:65" ht="14.15" customHeight="1" x14ac:dyDescent="0.3">
      <c r="A30" s="1">
        <v>57687</v>
      </c>
      <c r="B30" s="17">
        <f t="shared" si="0"/>
        <v>96.321746031746045</v>
      </c>
      <c r="C30" s="1">
        <f t="shared" si="1"/>
        <v>97.902182539682542</v>
      </c>
      <c r="D30" s="1">
        <f t="shared" si="2"/>
        <v>89.001984126984127</v>
      </c>
      <c r="E30" s="12">
        <v>96</v>
      </c>
      <c r="F30" s="12">
        <v>86</v>
      </c>
      <c r="G30" s="2">
        <v>94</v>
      </c>
      <c r="H30" s="12">
        <v>96</v>
      </c>
      <c r="I30" s="12">
        <v>95</v>
      </c>
      <c r="J30" s="12">
        <v>100</v>
      </c>
      <c r="K30" s="12">
        <v>100</v>
      </c>
      <c r="L30" s="12">
        <v>100</v>
      </c>
      <c r="M30" s="12">
        <v>94</v>
      </c>
      <c r="N30" s="12">
        <v>100</v>
      </c>
      <c r="O30" s="12">
        <v>100</v>
      </c>
      <c r="P30" s="12">
        <v>100</v>
      </c>
      <c r="Q30" s="12">
        <v>100</v>
      </c>
      <c r="R30" s="12">
        <v>100</v>
      </c>
      <c r="S30" s="12">
        <v>100</v>
      </c>
      <c r="T30" s="12">
        <v>98</v>
      </c>
      <c r="U30" s="12">
        <v>100</v>
      </c>
      <c r="V30" s="12">
        <v>100</v>
      </c>
      <c r="W30" s="9">
        <f t="shared" si="3"/>
        <v>97.722222222222229</v>
      </c>
      <c r="X30" s="12">
        <v>76</v>
      </c>
      <c r="Y30" s="12">
        <v>82</v>
      </c>
      <c r="Z30" s="12">
        <v>90</v>
      </c>
      <c r="AA30" s="12">
        <v>81</v>
      </c>
      <c r="AB30" s="12">
        <v>95</v>
      </c>
      <c r="AC30" s="12">
        <v>87</v>
      </c>
      <c r="AD30" s="12">
        <v>95</v>
      </c>
      <c r="AE30" s="13">
        <f t="shared" si="4"/>
        <v>86.571428571428569</v>
      </c>
      <c r="AF30" s="15">
        <v>90</v>
      </c>
      <c r="AG30" s="15">
        <v>78</v>
      </c>
      <c r="AH30" s="14">
        <v>90</v>
      </c>
      <c r="AI30" s="13">
        <f t="shared" si="5"/>
        <v>86</v>
      </c>
      <c r="AJ30" s="9">
        <v>90</v>
      </c>
      <c r="AL30">
        <f t="shared" si="6"/>
        <v>0</v>
      </c>
      <c r="AM30">
        <f t="shared" si="7"/>
        <v>1</v>
      </c>
      <c r="AN30">
        <f t="shared" si="8"/>
        <v>1</v>
      </c>
      <c r="AT30" s="2">
        <v>1</v>
      </c>
    </row>
    <row r="31" spans="1:65" ht="14.15" customHeight="1" x14ac:dyDescent="0.3">
      <c r="A31" s="1">
        <v>58458</v>
      </c>
      <c r="B31" s="17">
        <f t="shared" si="0"/>
        <v>102.72380952380954</v>
      </c>
      <c r="C31" s="1">
        <f t="shared" si="1"/>
        <v>105.1547619047619</v>
      </c>
      <c r="D31" s="1">
        <f t="shared" si="2"/>
        <v>95.595238095238088</v>
      </c>
      <c r="E31" s="12">
        <v>100</v>
      </c>
      <c r="F31" s="12">
        <v>100</v>
      </c>
      <c r="G31" s="12">
        <v>100</v>
      </c>
      <c r="H31" s="12">
        <v>96</v>
      </c>
      <c r="I31" s="12">
        <v>80</v>
      </c>
      <c r="J31" s="12">
        <v>98</v>
      </c>
      <c r="K31" s="12">
        <v>98</v>
      </c>
      <c r="L31" s="12">
        <v>100</v>
      </c>
      <c r="M31" s="12">
        <v>98</v>
      </c>
      <c r="N31" s="12">
        <v>96</v>
      </c>
      <c r="O31" s="12">
        <v>100</v>
      </c>
      <c r="P31" s="12">
        <v>90</v>
      </c>
      <c r="Q31" s="2">
        <v>100</v>
      </c>
      <c r="R31" s="12">
        <v>98</v>
      </c>
      <c r="S31" s="2">
        <v>100</v>
      </c>
      <c r="T31" s="12">
        <v>100</v>
      </c>
      <c r="U31" s="12">
        <v>100</v>
      </c>
      <c r="V31" s="12">
        <v>98</v>
      </c>
      <c r="W31" s="9">
        <f t="shared" si="3"/>
        <v>97.333333333333329</v>
      </c>
      <c r="X31" s="12">
        <v>78</v>
      </c>
      <c r="Y31" s="12">
        <v>83</v>
      </c>
      <c r="Z31" s="12">
        <v>99</v>
      </c>
      <c r="AA31" s="12">
        <v>91</v>
      </c>
      <c r="AB31" s="12">
        <v>95</v>
      </c>
      <c r="AC31" s="12">
        <v>74</v>
      </c>
      <c r="AD31" s="12">
        <v>99</v>
      </c>
      <c r="AE31" s="13">
        <f t="shared" si="4"/>
        <v>88.428571428571431</v>
      </c>
      <c r="AF31" s="15">
        <v>93</v>
      </c>
      <c r="AG31" s="15">
        <v>98</v>
      </c>
      <c r="AH31" s="14">
        <v>98</v>
      </c>
      <c r="AI31" s="13">
        <f t="shared" si="5"/>
        <v>96.333333333333329</v>
      </c>
      <c r="AJ31" s="9">
        <v>93</v>
      </c>
      <c r="AL31">
        <f t="shared" si="6"/>
        <v>0</v>
      </c>
      <c r="AM31">
        <f t="shared" si="7"/>
        <v>0</v>
      </c>
      <c r="AN31">
        <f t="shared" si="8"/>
        <v>0</v>
      </c>
    </row>
    <row r="32" spans="1:65" ht="14.15" customHeight="1" x14ac:dyDescent="0.3">
      <c r="A32" s="1">
        <v>58901</v>
      </c>
      <c r="B32" s="17">
        <f t="shared" si="0"/>
        <v>90.911428571428587</v>
      </c>
      <c r="C32" s="1">
        <f t="shared" si="1"/>
        <v>91.88928571428572</v>
      </c>
      <c r="D32" s="1">
        <f t="shared" si="2"/>
        <v>83.535714285714278</v>
      </c>
      <c r="E32" s="12">
        <v>88</v>
      </c>
      <c r="F32" s="12">
        <v>98</v>
      </c>
      <c r="G32" s="2">
        <v>98</v>
      </c>
      <c r="H32" s="12">
        <v>100</v>
      </c>
      <c r="I32" s="12">
        <v>100</v>
      </c>
      <c r="J32" s="12">
        <v>100</v>
      </c>
      <c r="K32" s="12">
        <v>100</v>
      </c>
      <c r="L32" s="12">
        <v>100</v>
      </c>
      <c r="M32" s="12">
        <v>98</v>
      </c>
      <c r="N32" s="12">
        <v>98</v>
      </c>
      <c r="O32" s="12">
        <v>100</v>
      </c>
      <c r="P32" s="12">
        <v>100</v>
      </c>
      <c r="Q32" s="12">
        <v>100</v>
      </c>
      <c r="R32" s="12">
        <v>98</v>
      </c>
      <c r="S32" s="12">
        <v>100</v>
      </c>
      <c r="T32" s="12">
        <v>100</v>
      </c>
      <c r="U32" s="12">
        <v>100</v>
      </c>
      <c r="V32" s="12">
        <v>98</v>
      </c>
      <c r="W32" s="9">
        <f t="shared" si="3"/>
        <v>98.666666666666671</v>
      </c>
      <c r="X32" s="12">
        <v>98</v>
      </c>
      <c r="Y32" s="12">
        <v>69</v>
      </c>
      <c r="Z32" s="12">
        <v>88</v>
      </c>
      <c r="AA32" s="12">
        <v>80</v>
      </c>
      <c r="AB32" s="12">
        <v>100</v>
      </c>
      <c r="AC32" s="12">
        <v>90</v>
      </c>
      <c r="AD32" s="12">
        <v>100</v>
      </c>
      <c r="AE32" s="13">
        <f t="shared" si="4"/>
        <v>89.285714285714292</v>
      </c>
      <c r="AF32" s="15">
        <v>87</v>
      </c>
      <c r="AG32" s="15">
        <v>75</v>
      </c>
      <c r="AH32" s="14">
        <v>67</v>
      </c>
      <c r="AI32" s="13">
        <f t="shared" si="5"/>
        <v>76.333333333333329</v>
      </c>
      <c r="AJ32" s="9">
        <v>87</v>
      </c>
      <c r="AL32">
        <f t="shared" si="6"/>
        <v>0</v>
      </c>
      <c r="AM32">
        <f t="shared" si="7"/>
        <v>0</v>
      </c>
      <c r="AN32">
        <f t="shared" si="8"/>
        <v>0</v>
      </c>
    </row>
    <row r="33" spans="1:65" ht="14.15" customHeight="1" x14ac:dyDescent="0.3">
      <c r="A33" s="1">
        <v>70075</v>
      </c>
      <c r="B33" s="17">
        <f t="shared" si="0"/>
        <v>100.5607142857143</v>
      </c>
      <c r="C33" s="1">
        <f t="shared" si="1"/>
        <v>101.70089285714286</v>
      </c>
      <c r="D33" s="1">
        <f t="shared" si="2"/>
        <v>92.455357142857139</v>
      </c>
      <c r="E33" s="12">
        <v>100</v>
      </c>
      <c r="F33" s="12">
        <v>98</v>
      </c>
      <c r="G33" s="2">
        <v>100</v>
      </c>
      <c r="H33" s="12">
        <v>92</v>
      </c>
      <c r="I33" s="12">
        <v>86</v>
      </c>
      <c r="J33" s="12">
        <v>98</v>
      </c>
      <c r="K33" s="12">
        <v>100</v>
      </c>
      <c r="L33" s="12">
        <v>90</v>
      </c>
      <c r="M33" s="12">
        <v>100</v>
      </c>
      <c r="N33" s="12">
        <v>96</v>
      </c>
      <c r="O33" s="12">
        <v>98</v>
      </c>
      <c r="P33" s="12">
        <v>100</v>
      </c>
      <c r="Q33" s="12">
        <v>100</v>
      </c>
      <c r="R33" s="12">
        <v>100</v>
      </c>
      <c r="S33" s="12">
        <v>100</v>
      </c>
      <c r="T33" s="12">
        <v>100</v>
      </c>
      <c r="U33" s="12">
        <v>100</v>
      </c>
      <c r="V33" s="12">
        <v>100</v>
      </c>
      <c r="W33" s="9">
        <f t="shared" si="3"/>
        <v>97.666666666666671</v>
      </c>
      <c r="X33" s="12">
        <v>60</v>
      </c>
      <c r="Y33" s="12">
        <v>98</v>
      </c>
      <c r="Z33" s="12">
        <v>98</v>
      </c>
      <c r="AA33" s="12">
        <v>82</v>
      </c>
      <c r="AB33" s="12">
        <v>100</v>
      </c>
      <c r="AC33" s="12">
        <v>95</v>
      </c>
      <c r="AD33" s="12">
        <v>98</v>
      </c>
      <c r="AE33" s="13">
        <f t="shared" si="4"/>
        <v>90.142857142857139</v>
      </c>
      <c r="AF33" s="15">
        <v>96</v>
      </c>
      <c r="AG33" s="15">
        <v>86</v>
      </c>
      <c r="AH33" s="14">
        <v>90.5</v>
      </c>
      <c r="AI33" s="13">
        <f t="shared" si="5"/>
        <v>90.833333333333329</v>
      </c>
      <c r="AJ33" s="9">
        <v>96</v>
      </c>
      <c r="AL33">
        <f t="shared" si="6"/>
        <v>0</v>
      </c>
      <c r="AM33">
        <f t="shared" si="7"/>
        <v>0</v>
      </c>
      <c r="AN33">
        <f t="shared" si="8"/>
        <v>0</v>
      </c>
    </row>
    <row r="34" spans="1:65" ht="14.15" customHeight="1" x14ac:dyDescent="0.3">
      <c r="A34" s="1">
        <v>72898</v>
      </c>
      <c r="B34" s="17">
        <f t="shared" si="0"/>
        <v>97.922539682539707</v>
      </c>
      <c r="C34" s="1">
        <f t="shared" si="1"/>
        <v>100.90317460317462</v>
      </c>
      <c r="D34" s="1">
        <f t="shared" si="2"/>
        <v>91.730158730158735</v>
      </c>
      <c r="E34" s="12">
        <v>100</v>
      </c>
      <c r="F34" s="12">
        <v>92</v>
      </c>
      <c r="G34" s="12">
        <v>100</v>
      </c>
      <c r="H34" s="12">
        <v>92</v>
      </c>
      <c r="I34" s="12">
        <v>90</v>
      </c>
      <c r="J34" s="12">
        <v>96</v>
      </c>
      <c r="K34" s="12">
        <v>100</v>
      </c>
      <c r="L34" s="12">
        <v>95</v>
      </c>
      <c r="M34" s="12">
        <v>98</v>
      </c>
      <c r="N34" s="12">
        <v>88</v>
      </c>
      <c r="O34" s="12">
        <v>96</v>
      </c>
      <c r="P34" s="12">
        <v>100</v>
      </c>
      <c r="Q34" s="12">
        <v>100</v>
      </c>
      <c r="R34" s="12">
        <v>98</v>
      </c>
      <c r="S34" s="12">
        <v>100</v>
      </c>
      <c r="T34" s="12">
        <v>100</v>
      </c>
      <c r="U34" s="12">
        <v>100</v>
      </c>
      <c r="V34" s="12">
        <v>100</v>
      </c>
      <c r="W34" s="9">
        <f t="shared" ref="W34:W50" si="9">AVERAGE(E34:V34)</f>
        <v>96.944444444444443</v>
      </c>
      <c r="X34" s="12">
        <v>71</v>
      </c>
      <c r="Y34" s="12">
        <v>76</v>
      </c>
      <c r="Z34" s="12">
        <v>100</v>
      </c>
      <c r="AA34" s="12">
        <v>88</v>
      </c>
      <c r="AB34" s="12">
        <v>100</v>
      </c>
      <c r="AC34" s="12">
        <v>86</v>
      </c>
      <c r="AD34" s="12">
        <v>97</v>
      </c>
      <c r="AE34" s="13">
        <f t="shared" ref="AE34:AE50" si="10">AVERAGE(X34:AD34)</f>
        <v>88.285714285714292</v>
      </c>
      <c r="AF34" s="15">
        <v>95</v>
      </c>
      <c r="AG34" s="15">
        <v>86</v>
      </c>
      <c r="AH34" s="14">
        <v>90</v>
      </c>
      <c r="AI34" s="13">
        <f t="shared" si="5"/>
        <v>90.333333333333329</v>
      </c>
      <c r="AJ34" s="9">
        <v>86</v>
      </c>
      <c r="AL34">
        <f t="shared" si="6"/>
        <v>0</v>
      </c>
      <c r="AM34">
        <f t="shared" si="7"/>
        <v>0</v>
      </c>
      <c r="AN34">
        <f t="shared" si="8"/>
        <v>0</v>
      </c>
    </row>
    <row r="35" spans="1:65" ht="14.15" customHeight="1" x14ac:dyDescent="0.3">
      <c r="A35" s="1">
        <v>73173</v>
      </c>
      <c r="B35" s="17">
        <f t="shared" si="0"/>
        <v>103.5298412698413</v>
      </c>
      <c r="C35" s="1">
        <f t="shared" si="1"/>
        <v>105.41230158730161</v>
      </c>
      <c r="D35" s="1">
        <f t="shared" si="2"/>
        <v>95.82936507936509</v>
      </c>
      <c r="E35" s="12">
        <v>96</v>
      </c>
      <c r="F35" s="12">
        <v>100</v>
      </c>
      <c r="G35" s="12">
        <v>94</v>
      </c>
      <c r="H35" s="12">
        <v>98</v>
      </c>
      <c r="I35" s="12">
        <v>100</v>
      </c>
      <c r="J35" s="12">
        <v>100</v>
      </c>
      <c r="K35" s="12">
        <v>100</v>
      </c>
      <c r="L35" s="12">
        <v>100</v>
      </c>
      <c r="M35" s="12">
        <v>100</v>
      </c>
      <c r="N35" s="12">
        <v>98</v>
      </c>
      <c r="O35" s="12">
        <v>100</v>
      </c>
      <c r="P35" s="12">
        <v>100</v>
      </c>
      <c r="Q35" s="2">
        <v>100</v>
      </c>
      <c r="R35" s="12">
        <v>100</v>
      </c>
      <c r="S35" s="2">
        <v>100</v>
      </c>
      <c r="T35" s="12">
        <v>100</v>
      </c>
      <c r="U35" s="12">
        <v>100</v>
      </c>
      <c r="V35" s="12">
        <v>100</v>
      </c>
      <c r="W35" s="9">
        <f t="shared" si="9"/>
        <v>99.222222222222229</v>
      </c>
      <c r="X35" s="12">
        <v>72</v>
      </c>
      <c r="Y35" s="12">
        <v>91</v>
      </c>
      <c r="Z35" s="12">
        <v>99</v>
      </c>
      <c r="AA35" s="12">
        <v>81</v>
      </c>
      <c r="AB35" s="12">
        <v>100</v>
      </c>
      <c r="AC35" s="12">
        <v>90</v>
      </c>
      <c r="AD35" s="12">
        <v>96</v>
      </c>
      <c r="AE35" s="13">
        <f t="shared" si="10"/>
        <v>89.857142857142861</v>
      </c>
      <c r="AF35" s="15">
        <v>97</v>
      </c>
      <c r="AG35" s="15">
        <v>96</v>
      </c>
      <c r="AH35" s="14">
        <v>94</v>
      </c>
      <c r="AI35" s="13">
        <f t="shared" si="5"/>
        <v>95.666666666666671</v>
      </c>
      <c r="AJ35" s="9">
        <v>96</v>
      </c>
      <c r="AL35">
        <f t="shared" si="6"/>
        <v>0</v>
      </c>
      <c r="AM35">
        <f t="shared" si="7"/>
        <v>0</v>
      </c>
      <c r="AN35">
        <f t="shared" si="8"/>
        <v>0</v>
      </c>
    </row>
    <row r="36" spans="1:65" ht="14.15" customHeight="1" x14ac:dyDescent="0.3">
      <c r="A36" s="1">
        <v>73925</v>
      </c>
      <c r="B36" s="17">
        <f t="shared" si="0"/>
        <v>93.06634920634923</v>
      </c>
      <c r="C36" s="1">
        <f t="shared" si="1"/>
        <v>93.582936507936523</v>
      </c>
      <c r="D36" s="1">
        <f t="shared" si="2"/>
        <v>85.075396825396837</v>
      </c>
      <c r="E36" s="12">
        <v>94</v>
      </c>
      <c r="F36" s="12">
        <v>92</v>
      </c>
      <c r="G36" s="2">
        <v>100</v>
      </c>
      <c r="H36" s="12">
        <v>96</v>
      </c>
      <c r="I36" s="12">
        <v>80</v>
      </c>
      <c r="J36" s="12">
        <v>100</v>
      </c>
      <c r="K36" s="12">
        <v>100</v>
      </c>
      <c r="L36" s="12">
        <v>100</v>
      </c>
      <c r="M36" s="12">
        <v>100</v>
      </c>
      <c r="N36" s="12">
        <v>100</v>
      </c>
      <c r="O36" s="12">
        <v>100</v>
      </c>
      <c r="P36" s="12">
        <v>100</v>
      </c>
      <c r="Q36" s="12">
        <v>100</v>
      </c>
      <c r="R36" s="12">
        <v>98</v>
      </c>
      <c r="S36" s="12">
        <v>100</v>
      </c>
      <c r="T36" s="12">
        <v>100</v>
      </c>
      <c r="U36" s="12">
        <v>100</v>
      </c>
      <c r="V36" s="12">
        <v>100</v>
      </c>
      <c r="W36" s="9">
        <f t="shared" si="9"/>
        <v>97.777777777777771</v>
      </c>
      <c r="X36" s="12">
        <v>67</v>
      </c>
      <c r="Y36" s="12">
        <v>93</v>
      </c>
      <c r="Z36" s="12">
        <v>100</v>
      </c>
      <c r="AA36" s="12">
        <v>93</v>
      </c>
      <c r="AB36" s="12">
        <v>100</v>
      </c>
      <c r="AC36" s="12">
        <v>93</v>
      </c>
      <c r="AD36" s="12">
        <v>96</v>
      </c>
      <c r="AE36" s="13">
        <f t="shared" si="10"/>
        <v>91.714285714285708</v>
      </c>
      <c r="AF36" s="15">
        <v>91</v>
      </c>
      <c r="AG36" s="15">
        <v>84</v>
      </c>
      <c r="AH36" s="14">
        <v>61</v>
      </c>
      <c r="AI36" s="13">
        <f t="shared" si="5"/>
        <v>78.666666666666671</v>
      </c>
      <c r="AJ36" s="9">
        <v>91</v>
      </c>
      <c r="AL36">
        <f t="shared" si="6"/>
        <v>1</v>
      </c>
      <c r="AM36">
        <f t="shared" si="7"/>
        <v>0</v>
      </c>
      <c r="AN36">
        <f t="shared" si="8"/>
        <v>1</v>
      </c>
      <c r="AP36" s="2">
        <v>0</v>
      </c>
    </row>
    <row r="37" spans="1:65" ht="14.15" customHeight="1" x14ac:dyDescent="0.3">
      <c r="A37" s="1">
        <v>74753</v>
      </c>
      <c r="B37" s="17">
        <f t="shared" si="0"/>
        <v>90.778253968253992</v>
      </c>
      <c r="C37" s="1">
        <f t="shared" si="1"/>
        <v>90.472817460317472</v>
      </c>
      <c r="D37" s="1">
        <f t="shared" si="2"/>
        <v>82.248015873015873</v>
      </c>
      <c r="E37" s="12">
        <v>85</v>
      </c>
      <c r="F37" s="12">
        <v>96</v>
      </c>
      <c r="G37" s="2">
        <v>85</v>
      </c>
      <c r="H37" s="12">
        <v>96</v>
      </c>
      <c r="I37" s="12">
        <v>100</v>
      </c>
      <c r="J37" s="12">
        <v>90</v>
      </c>
      <c r="K37" s="12">
        <v>100</v>
      </c>
      <c r="L37" s="12">
        <v>80</v>
      </c>
      <c r="M37" s="12">
        <v>98</v>
      </c>
      <c r="N37" s="12">
        <v>100</v>
      </c>
      <c r="O37" s="12">
        <v>98</v>
      </c>
      <c r="P37" s="12">
        <v>100</v>
      </c>
      <c r="Q37" s="12">
        <v>100</v>
      </c>
      <c r="R37" s="12">
        <v>98</v>
      </c>
      <c r="S37" s="12">
        <v>100</v>
      </c>
      <c r="T37" s="12">
        <v>98</v>
      </c>
      <c r="U37" s="12">
        <v>100</v>
      </c>
      <c r="V37" s="12">
        <v>100</v>
      </c>
      <c r="W37" s="9">
        <f t="shared" si="9"/>
        <v>95.777777777777771</v>
      </c>
      <c r="X37" s="12">
        <v>71</v>
      </c>
      <c r="Y37" s="12">
        <v>25</v>
      </c>
      <c r="Z37" s="12">
        <v>90</v>
      </c>
      <c r="AA37" s="12">
        <v>76</v>
      </c>
      <c r="AB37" s="12">
        <v>95</v>
      </c>
      <c r="AC37" s="12">
        <v>78</v>
      </c>
      <c r="AD37" s="12">
        <v>65</v>
      </c>
      <c r="AE37" s="13">
        <f t="shared" si="10"/>
        <v>71.428571428571431</v>
      </c>
      <c r="AF37" s="15">
        <v>92</v>
      </c>
      <c r="AG37" s="15">
        <v>70</v>
      </c>
      <c r="AH37" s="14">
        <v>75</v>
      </c>
      <c r="AI37" s="13">
        <f t="shared" si="5"/>
        <v>79</v>
      </c>
      <c r="AJ37" s="9">
        <v>92</v>
      </c>
      <c r="AL37">
        <f t="shared" si="6"/>
        <v>3</v>
      </c>
      <c r="AM37">
        <f t="shared" si="7"/>
        <v>0</v>
      </c>
      <c r="AN37">
        <f t="shared" si="8"/>
        <v>3</v>
      </c>
      <c r="AO37" s="2">
        <v>0</v>
      </c>
      <c r="AP37" s="2">
        <v>0</v>
      </c>
      <c r="AR37" s="2">
        <v>0</v>
      </c>
    </row>
    <row r="38" spans="1:65" ht="14.15" customHeight="1" x14ac:dyDescent="0.3">
      <c r="A38" s="1">
        <v>75864</v>
      </c>
      <c r="B38" s="17">
        <f>C38*0.8+AJ38*0.2</f>
        <v>92.753650793650792</v>
      </c>
      <c r="C38" s="1">
        <f>IF(AJ38&gt;84,D38*1.1,D38)</f>
        <v>93.692063492063497</v>
      </c>
      <c r="D38" s="1">
        <f>W38*0.25+AE38*0.125+AI38*0.625</f>
        <v>85.174603174603178</v>
      </c>
      <c r="E38" s="2">
        <v>90</v>
      </c>
      <c r="F38" s="2">
        <v>98</v>
      </c>
      <c r="G38" s="2">
        <v>98</v>
      </c>
      <c r="H38" s="2">
        <v>100</v>
      </c>
      <c r="I38" s="2">
        <v>100</v>
      </c>
      <c r="J38" s="2">
        <v>100</v>
      </c>
      <c r="K38" s="2">
        <v>100</v>
      </c>
      <c r="L38" s="2">
        <v>100</v>
      </c>
      <c r="M38" s="2">
        <v>98</v>
      </c>
      <c r="N38" s="2">
        <v>98</v>
      </c>
      <c r="O38" s="2">
        <v>100</v>
      </c>
      <c r="P38" s="2">
        <v>100</v>
      </c>
      <c r="Q38" s="2">
        <v>100</v>
      </c>
      <c r="R38" s="2">
        <v>94</v>
      </c>
      <c r="S38" s="2">
        <v>100</v>
      </c>
      <c r="T38" s="2">
        <v>100</v>
      </c>
      <c r="U38" s="2">
        <v>100</v>
      </c>
      <c r="V38" s="2">
        <v>98</v>
      </c>
      <c r="W38" s="9">
        <f t="shared" si="9"/>
        <v>98.555555555555557</v>
      </c>
      <c r="X38" s="2">
        <v>98</v>
      </c>
      <c r="Y38" s="2">
        <v>69</v>
      </c>
      <c r="Z38" s="2">
        <v>88</v>
      </c>
      <c r="AA38" s="2">
        <v>80</v>
      </c>
      <c r="AB38" s="2">
        <v>100</v>
      </c>
      <c r="AC38" s="2">
        <v>90</v>
      </c>
      <c r="AD38" s="2">
        <v>100</v>
      </c>
      <c r="AE38" s="13">
        <f t="shared" si="10"/>
        <v>89.285714285714292</v>
      </c>
      <c r="AF38" s="14">
        <v>64</v>
      </c>
      <c r="AG38" s="14">
        <v>98</v>
      </c>
      <c r="AH38" s="14">
        <v>75</v>
      </c>
      <c r="AI38" s="13">
        <f>AVERAGE(AF38:AH38)</f>
        <v>79</v>
      </c>
      <c r="AJ38" s="9">
        <v>89</v>
      </c>
      <c r="AL38">
        <f>AN38-AM38</f>
        <v>0</v>
      </c>
      <c r="AM38">
        <f>SUM(AO38:BS38)</f>
        <v>0</v>
      </c>
      <c r="AN38">
        <f>COUNT(AO38:BS38)</f>
        <v>0</v>
      </c>
    </row>
    <row r="39" spans="1:65" ht="14.15" customHeight="1" x14ac:dyDescent="0.3">
      <c r="A39" s="1">
        <v>75897</v>
      </c>
      <c r="B39" s="17">
        <f t="shared" si="0"/>
        <v>6.3476190476190482</v>
      </c>
      <c r="C39" s="1">
        <f t="shared" si="1"/>
        <v>7.9345238095238102</v>
      </c>
      <c r="D39" s="1">
        <f t="shared" si="2"/>
        <v>7.9345238095238102</v>
      </c>
      <c r="E39" s="12">
        <v>91</v>
      </c>
      <c r="F39" s="12">
        <v>92</v>
      </c>
      <c r="G39" s="2">
        <v>100</v>
      </c>
      <c r="H39" s="12">
        <v>100</v>
      </c>
      <c r="I39" s="12">
        <v>78</v>
      </c>
      <c r="J39" s="12">
        <v>100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9">
        <f t="shared" si="9"/>
        <v>31.166666666666668</v>
      </c>
      <c r="X39" s="12">
        <v>0</v>
      </c>
      <c r="Y39" s="12">
        <v>8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3">
        <f t="shared" si="10"/>
        <v>1.1428571428571428</v>
      </c>
      <c r="AF39" s="15">
        <v>0</v>
      </c>
      <c r="AG39" s="15">
        <v>0</v>
      </c>
      <c r="AH39" s="14">
        <v>0</v>
      </c>
      <c r="AI39" s="13">
        <f t="shared" si="5"/>
        <v>0</v>
      </c>
      <c r="AJ39" s="9">
        <v>0</v>
      </c>
      <c r="AL39">
        <f t="shared" si="6"/>
        <v>0</v>
      </c>
      <c r="AM39">
        <f t="shared" si="7"/>
        <v>13</v>
      </c>
      <c r="AN39">
        <f t="shared" si="8"/>
        <v>13</v>
      </c>
      <c r="BA39" s="2">
        <v>1</v>
      </c>
      <c r="BB39" s="2">
        <v>1</v>
      </c>
      <c r="BC39" s="2">
        <v>1</v>
      </c>
      <c r="BD39" s="2">
        <v>1</v>
      </c>
      <c r="BE39" s="2">
        <v>1</v>
      </c>
      <c r="BF39" s="2">
        <v>1</v>
      </c>
      <c r="BG39" s="2">
        <v>1</v>
      </c>
      <c r="BH39" s="2">
        <v>1</v>
      </c>
      <c r="BI39" s="2">
        <v>1</v>
      </c>
      <c r="BJ39" s="2">
        <v>1</v>
      </c>
      <c r="BK39" s="2">
        <v>1</v>
      </c>
      <c r="BL39" s="2">
        <v>1</v>
      </c>
      <c r="BM39" s="2">
        <v>1</v>
      </c>
    </row>
    <row r="40" spans="1:65" ht="14.15" customHeight="1" x14ac:dyDescent="0.3">
      <c r="A40" s="1">
        <v>76050</v>
      </c>
      <c r="B40" s="17">
        <f t="shared" si="0"/>
        <v>29.028571428571436</v>
      </c>
      <c r="C40" s="1">
        <f t="shared" si="1"/>
        <v>36.285714285714292</v>
      </c>
      <c r="D40" s="1">
        <f t="shared" si="2"/>
        <v>36.285714285714292</v>
      </c>
      <c r="E40" s="12">
        <v>0</v>
      </c>
      <c r="F40" s="12">
        <v>96</v>
      </c>
      <c r="G40" s="2">
        <v>98</v>
      </c>
      <c r="H40" s="12">
        <v>100</v>
      </c>
      <c r="I40" s="12">
        <v>90</v>
      </c>
      <c r="J40" s="12">
        <v>100</v>
      </c>
      <c r="K40" s="12">
        <v>98</v>
      </c>
      <c r="L40" s="12">
        <v>100</v>
      </c>
      <c r="M40" s="12">
        <v>0</v>
      </c>
      <c r="N40" s="12">
        <v>0</v>
      </c>
      <c r="O40" s="12">
        <v>96</v>
      </c>
      <c r="P40" s="12">
        <v>0</v>
      </c>
      <c r="Q40" s="12">
        <v>0</v>
      </c>
      <c r="R40" s="12">
        <v>98</v>
      </c>
      <c r="S40" s="12">
        <v>0</v>
      </c>
      <c r="T40" s="12">
        <v>0</v>
      </c>
      <c r="U40" s="12">
        <v>0</v>
      </c>
      <c r="V40" s="12">
        <v>0</v>
      </c>
      <c r="W40" s="9">
        <f t="shared" si="9"/>
        <v>48.666666666666664</v>
      </c>
      <c r="X40" s="12">
        <v>66</v>
      </c>
      <c r="Y40" s="12">
        <v>35</v>
      </c>
      <c r="Z40" s="12">
        <v>48</v>
      </c>
      <c r="AA40" s="12">
        <v>0</v>
      </c>
      <c r="AB40" s="12">
        <v>0</v>
      </c>
      <c r="AC40" s="12">
        <v>0</v>
      </c>
      <c r="AD40" s="12">
        <v>0</v>
      </c>
      <c r="AE40" s="13">
        <f t="shared" si="10"/>
        <v>21.285714285714285</v>
      </c>
      <c r="AF40" s="15">
        <v>51</v>
      </c>
      <c r="AG40" s="15">
        <v>52</v>
      </c>
      <c r="AH40" s="14">
        <v>0</v>
      </c>
      <c r="AI40" s="13">
        <f t="shared" si="5"/>
        <v>34.333333333333336</v>
      </c>
      <c r="AJ40" s="9">
        <v>0</v>
      </c>
      <c r="AL40">
        <f t="shared" si="6"/>
        <v>0</v>
      </c>
      <c r="AM40">
        <f t="shared" si="7"/>
        <v>11</v>
      </c>
      <c r="AN40">
        <f t="shared" si="8"/>
        <v>11</v>
      </c>
      <c r="AO40" s="2">
        <v>1</v>
      </c>
      <c r="AP40" s="2">
        <v>1</v>
      </c>
      <c r="BA40" s="2">
        <v>1</v>
      </c>
      <c r="BC40" s="2">
        <v>1</v>
      </c>
      <c r="BE40" s="2">
        <v>1</v>
      </c>
      <c r="BF40" s="2">
        <v>1</v>
      </c>
      <c r="BI40" s="2">
        <v>1</v>
      </c>
      <c r="BJ40" s="2">
        <v>1</v>
      </c>
      <c r="BK40" s="2">
        <v>1</v>
      </c>
      <c r="BL40" s="2">
        <v>1</v>
      </c>
      <c r="BM40" s="2">
        <v>1</v>
      </c>
    </row>
    <row r="41" spans="1:65" ht="14.15" customHeight="1" x14ac:dyDescent="0.3">
      <c r="A41" s="1">
        <v>79689</v>
      </c>
      <c r="B41" s="17">
        <f t="shared" si="0"/>
        <v>92.408730158730179</v>
      </c>
      <c r="C41" s="1">
        <f t="shared" si="1"/>
        <v>93.51091269841271</v>
      </c>
      <c r="D41" s="1">
        <f t="shared" si="2"/>
        <v>85.009920634920633</v>
      </c>
      <c r="E41" s="12">
        <v>95</v>
      </c>
      <c r="F41" s="12">
        <v>92</v>
      </c>
      <c r="G41" s="2">
        <v>98</v>
      </c>
      <c r="H41" s="12">
        <v>92</v>
      </c>
      <c r="I41" s="12">
        <v>90</v>
      </c>
      <c r="J41" s="12">
        <v>100</v>
      </c>
      <c r="K41" s="12">
        <v>0</v>
      </c>
      <c r="L41" s="12">
        <v>100</v>
      </c>
      <c r="M41" s="12">
        <v>100</v>
      </c>
      <c r="N41" s="12">
        <v>96</v>
      </c>
      <c r="O41" s="12">
        <v>98</v>
      </c>
      <c r="P41" s="12">
        <v>0</v>
      </c>
      <c r="Q41" s="12">
        <v>100</v>
      </c>
      <c r="R41" s="12">
        <v>100</v>
      </c>
      <c r="S41" s="12">
        <v>100</v>
      </c>
      <c r="T41" s="12">
        <v>100</v>
      </c>
      <c r="U41" s="12">
        <v>100</v>
      </c>
      <c r="V41" s="12">
        <v>98</v>
      </c>
      <c r="W41" s="9">
        <f t="shared" si="9"/>
        <v>86.611111111111114</v>
      </c>
      <c r="X41" s="12">
        <v>69</v>
      </c>
      <c r="Y41" s="12">
        <v>87</v>
      </c>
      <c r="Z41" s="12">
        <v>98</v>
      </c>
      <c r="AA41" s="12">
        <v>84</v>
      </c>
      <c r="AB41" s="12">
        <v>95</v>
      </c>
      <c r="AC41" s="12">
        <v>0</v>
      </c>
      <c r="AD41" s="12">
        <v>0</v>
      </c>
      <c r="AE41" s="13">
        <f t="shared" si="10"/>
        <v>61.857142857142854</v>
      </c>
      <c r="AF41" s="15">
        <v>88</v>
      </c>
      <c r="AG41" s="15">
        <v>98</v>
      </c>
      <c r="AH41" s="14">
        <v>81</v>
      </c>
      <c r="AI41" s="13">
        <f t="shared" si="5"/>
        <v>89</v>
      </c>
      <c r="AJ41" s="9">
        <v>88</v>
      </c>
      <c r="AL41">
        <f t="shared" si="6"/>
        <v>0</v>
      </c>
      <c r="AM41">
        <f t="shared" si="7"/>
        <v>2</v>
      </c>
      <c r="AN41">
        <f t="shared" si="8"/>
        <v>2</v>
      </c>
      <c r="AW41" s="2">
        <v>1</v>
      </c>
      <c r="BE41" s="2">
        <v>1</v>
      </c>
    </row>
    <row r="42" spans="1:65" ht="14.15" customHeight="1" x14ac:dyDescent="0.3">
      <c r="A42" s="1">
        <v>90491</v>
      </c>
      <c r="B42" s="17">
        <f t="shared" si="0"/>
        <v>95.998333333333349</v>
      </c>
      <c r="C42" s="1">
        <f t="shared" si="1"/>
        <v>98.747916666666683</v>
      </c>
      <c r="D42" s="1">
        <f t="shared" si="2"/>
        <v>89.770833333333343</v>
      </c>
      <c r="E42" s="12">
        <v>92</v>
      </c>
      <c r="F42" s="12">
        <v>94</v>
      </c>
      <c r="G42" s="12">
        <v>96</v>
      </c>
      <c r="H42" s="12">
        <v>88</v>
      </c>
      <c r="I42" s="12">
        <v>90</v>
      </c>
      <c r="J42" s="12">
        <v>94</v>
      </c>
      <c r="K42" s="12">
        <v>90</v>
      </c>
      <c r="L42" s="12">
        <v>100</v>
      </c>
      <c r="M42" s="12">
        <v>98</v>
      </c>
      <c r="N42" s="12">
        <v>94</v>
      </c>
      <c r="O42" s="12">
        <v>100</v>
      </c>
      <c r="P42" s="12">
        <v>100</v>
      </c>
      <c r="Q42" s="2">
        <v>100</v>
      </c>
      <c r="R42" s="12">
        <v>96</v>
      </c>
      <c r="S42" s="2">
        <v>100</v>
      </c>
      <c r="T42" s="12">
        <v>0</v>
      </c>
      <c r="U42" s="12">
        <v>100</v>
      </c>
      <c r="V42" s="12">
        <v>100</v>
      </c>
      <c r="W42" s="9">
        <f t="shared" si="9"/>
        <v>90.666666666666671</v>
      </c>
      <c r="X42" s="12">
        <v>89</v>
      </c>
      <c r="Y42" s="12">
        <v>82</v>
      </c>
      <c r="Z42" s="12">
        <v>89</v>
      </c>
      <c r="AA42" s="12">
        <v>89</v>
      </c>
      <c r="AB42" s="12">
        <v>95</v>
      </c>
      <c r="AC42" s="12">
        <v>63</v>
      </c>
      <c r="AD42" s="12">
        <v>60</v>
      </c>
      <c r="AE42" s="13">
        <f t="shared" si="10"/>
        <v>81</v>
      </c>
      <c r="AF42" s="15">
        <v>95</v>
      </c>
      <c r="AG42" s="15">
        <v>92</v>
      </c>
      <c r="AH42" s="14">
        <v>86.5</v>
      </c>
      <c r="AI42" s="13">
        <f t="shared" si="5"/>
        <v>91.166666666666671</v>
      </c>
      <c r="AJ42" s="9">
        <v>85</v>
      </c>
      <c r="AL42">
        <f t="shared" si="6"/>
        <v>0</v>
      </c>
      <c r="AM42">
        <f t="shared" si="7"/>
        <v>1</v>
      </c>
      <c r="AN42">
        <f t="shared" si="8"/>
        <v>1</v>
      </c>
      <c r="BJ42" s="2">
        <v>1</v>
      </c>
    </row>
    <row r="43" spans="1:65" ht="14.15" customHeight="1" x14ac:dyDescent="0.3">
      <c r="A43" s="1">
        <v>91062</v>
      </c>
      <c r="B43" s="17">
        <f t="shared" si="0"/>
        <v>95.074523809523811</v>
      </c>
      <c r="C43" s="1">
        <f t="shared" si="1"/>
        <v>95.343154761904771</v>
      </c>
      <c r="D43" s="1">
        <f t="shared" si="2"/>
        <v>86.675595238095241</v>
      </c>
      <c r="E43" s="12">
        <v>96</v>
      </c>
      <c r="F43" s="12">
        <v>86</v>
      </c>
      <c r="G43" s="2">
        <v>94</v>
      </c>
      <c r="H43" s="12">
        <v>96</v>
      </c>
      <c r="I43" s="12">
        <v>100</v>
      </c>
      <c r="J43" s="12">
        <v>100</v>
      </c>
      <c r="K43" s="12">
        <v>100</v>
      </c>
      <c r="L43" s="12">
        <v>100</v>
      </c>
      <c r="M43" s="12">
        <v>94</v>
      </c>
      <c r="N43" s="12">
        <v>100</v>
      </c>
      <c r="O43" s="12">
        <v>100</v>
      </c>
      <c r="P43" s="12">
        <v>100</v>
      </c>
      <c r="Q43" s="12">
        <v>100</v>
      </c>
      <c r="R43" s="12">
        <v>100</v>
      </c>
      <c r="S43" s="12">
        <v>100</v>
      </c>
      <c r="T43" s="12">
        <v>98</v>
      </c>
      <c r="U43" s="12">
        <v>100</v>
      </c>
      <c r="V43" s="12">
        <v>100</v>
      </c>
      <c r="W43" s="9">
        <f t="shared" si="9"/>
        <v>98</v>
      </c>
      <c r="X43" s="12">
        <v>76</v>
      </c>
      <c r="Y43" s="12">
        <v>82</v>
      </c>
      <c r="Z43" s="12">
        <v>90</v>
      </c>
      <c r="AA43" s="12">
        <v>81</v>
      </c>
      <c r="AB43" s="12">
        <v>95</v>
      </c>
      <c r="AC43" s="12">
        <v>87</v>
      </c>
      <c r="AD43" s="12">
        <v>95</v>
      </c>
      <c r="AE43" s="13">
        <f t="shared" si="10"/>
        <v>86.571428571428569</v>
      </c>
      <c r="AF43" s="15">
        <v>94</v>
      </c>
      <c r="AG43" s="15">
        <v>74</v>
      </c>
      <c r="AH43" s="14">
        <v>78.5</v>
      </c>
      <c r="AI43" s="13">
        <f t="shared" si="5"/>
        <v>82.166666666666671</v>
      </c>
      <c r="AJ43" s="9">
        <v>94</v>
      </c>
      <c r="AL43">
        <f t="shared" si="6"/>
        <v>0</v>
      </c>
      <c r="AM43">
        <f t="shared" si="7"/>
        <v>0</v>
      </c>
      <c r="AN43">
        <f t="shared" si="8"/>
        <v>0</v>
      </c>
    </row>
    <row r="44" spans="1:65" ht="14.15" customHeight="1" x14ac:dyDescent="0.3">
      <c r="A44" s="1">
        <v>91811</v>
      </c>
      <c r="B44" s="17">
        <f t="shared" si="0"/>
        <v>95.639523809523823</v>
      </c>
      <c r="C44" s="1">
        <f t="shared" si="1"/>
        <v>95.549404761904768</v>
      </c>
      <c r="D44" s="1">
        <f t="shared" si="2"/>
        <v>86.863095238095241</v>
      </c>
      <c r="E44" s="12">
        <v>100</v>
      </c>
      <c r="F44" s="12">
        <v>98</v>
      </c>
      <c r="G44" s="2">
        <v>100</v>
      </c>
      <c r="H44" s="12">
        <v>92</v>
      </c>
      <c r="I44" s="12">
        <v>86</v>
      </c>
      <c r="J44" s="12">
        <v>100</v>
      </c>
      <c r="K44" s="12">
        <v>100</v>
      </c>
      <c r="L44" s="12">
        <v>100</v>
      </c>
      <c r="M44" s="12">
        <v>100</v>
      </c>
      <c r="N44" s="12">
        <v>96</v>
      </c>
      <c r="O44" s="12">
        <v>98</v>
      </c>
      <c r="P44" s="12">
        <v>100</v>
      </c>
      <c r="Q44" s="12">
        <v>100</v>
      </c>
      <c r="R44" s="12">
        <v>100</v>
      </c>
      <c r="S44" s="12">
        <v>100</v>
      </c>
      <c r="T44" s="12">
        <v>100</v>
      </c>
      <c r="U44" s="12">
        <v>100</v>
      </c>
      <c r="V44" s="12">
        <v>100</v>
      </c>
      <c r="W44" s="9">
        <f t="shared" si="9"/>
        <v>98.333333333333329</v>
      </c>
      <c r="X44" s="12">
        <v>66</v>
      </c>
      <c r="Y44" s="12">
        <v>71</v>
      </c>
      <c r="Z44" s="12">
        <v>85</v>
      </c>
      <c r="AA44" s="12">
        <v>84</v>
      </c>
      <c r="AB44" s="12">
        <v>100</v>
      </c>
      <c r="AC44" s="12">
        <v>60</v>
      </c>
      <c r="AD44" s="12">
        <v>0</v>
      </c>
      <c r="AE44" s="13">
        <f t="shared" si="10"/>
        <v>66.571428571428569</v>
      </c>
      <c r="AF44" s="15">
        <v>96</v>
      </c>
      <c r="AG44" s="15">
        <v>84</v>
      </c>
      <c r="AH44" s="14">
        <v>79</v>
      </c>
      <c r="AI44" s="13">
        <f t="shared" si="5"/>
        <v>86.333333333333329</v>
      </c>
      <c r="AJ44" s="9">
        <v>96</v>
      </c>
      <c r="AL44">
        <f t="shared" si="6"/>
        <v>0</v>
      </c>
      <c r="AM44">
        <f t="shared" si="7"/>
        <v>0</v>
      </c>
      <c r="AN44">
        <f t="shared" si="8"/>
        <v>0</v>
      </c>
    </row>
    <row r="45" spans="1:65" ht="14.15" customHeight="1" x14ac:dyDescent="0.3">
      <c r="A45" s="1">
        <v>91839</v>
      </c>
      <c r="B45" s="17">
        <f t="shared" si="0"/>
        <v>99.781984126984142</v>
      </c>
      <c r="C45" s="1">
        <f t="shared" si="1"/>
        <v>100.72748015873016</v>
      </c>
      <c r="D45" s="1">
        <f t="shared" si="2"/>
        <v>91.570436507936506</v>
      </c>
      <c r="E45" s="12">
        <v>98</v>
      </c>
      <c r="F45" s="12">
        <v>100</v>
      </c>
      <c r="G45" s="2">
        <v>94</v>
      </c>
      <c r="H45" s="12">
        <v>98</v>
      </c>
      <c r="I45" s="12">
        <v>98</v>
      </c>
      <c r="J45" s="12">
        <v>100</v>
      </c>
      <c r="K45" s="12">
        <v>100</v>
      </c>
      <c r="L45" s="12">
        <v>100</v>
      </c>
      <c r="M45" s="12">
        <v>100</v>
      </c>
      <c r="N45" s="12">
        <v>98</v>
      </c>
      <c r="O45" s="12">
        <v>100</v>
      </c>
      <c r="P45" s="12">
        <v>100</v>
      </c>
      <c r="Q45" s="12">
        <v>100</v>
      </c>
      <c r="R45" s="12">
        <v>100</v>
      </c>
      <c r="S45" s="12">
        <v>100</v>
      </c>
      <c r="T45" s="12">
        <v>100</v>
      </c>
      <c r="U45" s="12">
        <v>100</v>
      </c>
      <c r="V45" s="12">
        <v>100</v>
      </c>
      <c r="W45" s="9">
        <f t="shared" si="9"/>
        <v>99.222222222222229</v>
      </c>
      <c r="X45" s="12">
        <v>50</v>
      </c>
      <c r="Y45" s="12">
        <v>72.5</v>
      </c>
      <c r="Z45" s="12">
        <v>97</v>
      </c>
      <c r="AA45" s="12">
        <v>96</v>
      </c>
      <c r="AB45" s="12">
        <v>95</v>
      </c>
      <c r="AC45" s="12">
        <v>90</v>
      </c>
      <c r="AD45" s="12">
        <v>100</v>
      </c>
      <c r="AE45" s="13">
        <f t="shared" si="10"/>
        <v>85.785714285714292</v>
      </c>
      <c r="AF45" s="15">
        <v>96</v>
      </c>
      <c r="AG45" s="15">
        <v>91</v>
      </c>
      <c r="AH45" s="14">
        <v>82</v>
      </c>
      <c r="AI45" s="13">
        <f t="shared" si="5"/>
        <v>89.666666666666671</v>
      </c>
      <c r="AJ45" s="9">
        <v>96</v>
      </c>
      <c r="AL45">
        <f t="shared" si="6"/>
        <v>0</v>
      </c>
      <c r="AM45">
        <f t="shared" si="7"/>
        <v>0</v>
      </c>
      <c r="AN45">
        <f t="shared" si="8"/>
        <v>0</v>
      </c>
    </row>
    <row r="46" spans="1:65" ht="14.15" customHeight="1" x14ac:dyDescent="0.3">
      <c r="A46" s="1">
        <v>96061</v>
      </c>
      <c r="B46" s="17">
        <f t="shared" si="0"/>
        <v>9.7873015873015881</v>
      </c>
      <c r="C46" s="1">
        <f t="shared" si="1"/>
        <v>12.234126984126984</v>
      </c>
      <c r="D46" s="1">
        <f t="shared" si="2"/>
        <v>12.234126984126984</v>
      </c>
      <c r="E46" s="12">
        <v>88</v>
      </c>
      <c r="F46" s="12">
        <v>94</v>
      </c>
      <c r="G46" s="12">
        <v>0</v>
      </c>
      <c r="H46" s="12">
        <v>88</v>
      </c>
      <c r="I46" s="12">
        <v>90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100</v>
      </c>
      <c r="P46" s="12">
        <v>0</v>
      </c>
      <c r="Q46" s="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9">
        <f t="shared" si="9"/>
        <v>25.555555555555557</v>
      </c>
      <c r="X46" s="12">
        <v>0</v>
      </c>
      <c r="Y46" s="12">
        <v>2</v>
      </c>
      <c r="Z46" s="12">
        <v>57</v>
      </c>
      <c r="AA46" s="12">
        <v>0</v>
      </c>
      <c r="AB46" s="12">
        <v>0</v>
      </c>
      <c r="AC46" s="12">
        <v>0</v>
      </c>
      <c r="AD46" s="12">
        <v>0</v>
      </c>
      <c r="AE46" s="13">
        <f t="shared" si="10"/>
        <v>8.4285714285714288</v>
      </c>
      <c r="AF46" s="15">
        <v>23</v>
      </c>
      <c r="AG46" s="15">
        <v>0</v>
      </c>
      <c r="AH46" s="14">
        <v>0</v>
      </c>
      <c r="AI46" s="13">
        <f t="shared" si="5"/>
        <v>7.666666666666667</v>
      </c>
      <c r="AJ46" s="9">
        <v>0</v>
      </c>
      <c r="AL46">
        <f t="shared" si="6"/>
        <v>0</v>
      </c>
      <c r="AM46">
        <f t="shared" si="7"/>
        <v>14</v>
      </c>
      <c r="AN46">
        <f t="shared" si="8"/>
        <v>14</v>
      </c>
      <c r="AR46" s="2">
        <v>1</v>
      </c>
      <c r="AV46" s="2">
        <v>1</v>
      </c>
      <c r="AW46" s="2">
        <v>1</v>
      </c>
      <c r="BB46" s="2">
        <v>1</v>
      </c>
      <c r="BC46" s="2">
        <v>1</v>
      </c>
      <c r="BE46" s="2">
        <v>1</v>
      </c>
      <c r="BF46" s="2">
        <v>1</v>
      </c>
      <c r="BG46" s="2">
        <v>1</v>
      </c>
      <c r="BH46" s="2">
        <v>1</v>
      </c>
      <c r="BI46" s="2">
        <v>1</v>
      </c>
      <c r="BJ46" s="2">
        <v>1</v>
      </c>
      <c r="BK46" s="2">
        <v>1</v>
      </c>
      <c r="BL46" s="2">
        <v>1</v>
      </c>
      <c r="BM46" s="2">
        <v>1</v>
      </c>
    </row>
    <row r="47" spans="1:65" ht="14.15" customHeight="1" x14ac:dyDescent="0.3">
      <c r="A47" s="1">
        <v>96190</v>
      </c>
      <c r="B47" s="17">
        <f t="shared" si="0"/>
        <v>81.854761904761901</v>
      </c>
      <c r="C47" s="1">
        <f t="shared" si="1"/>
        <v>83.81845238095238</v>
      </c>
      <c r="D47" s="1">
        <f t="shared" si="2"/>
        <v>83.81845238095238</v>
      </c>
      <c r="E47" s="2">
        <v>96</v>
      </c>
      <c r="F47" s="2">
        <v>100</v>
      </c>
      <c r="G47" s="2">
        <v>98</v>
      </c>
      <c r="H47" s="2">
        <v>100</v>
      </c>
      <c r="I47" s="2">
        <v>90</v>
      </c>
      <c r="J47" s="2">
        <v>100</v>
      </c>
      <c r="K47" s="2">
        <v>100</v>
      </c>
      <c r="L47" s="2">
        <v>100</v>
      </c>
      <c r="M47" s="2">
        <v>94</v>
      </c>
      <c r="N47" s="2">
        <v>100</v>
      </c>
      <c r="O47" s="2">
        <v>100</v>
      </c>
      <c r="P47" s="2">
        <v>100</v>
      </c>
      <c r="Q47" s="2">
        <v>100</v>
      </c>
      <c r="R47" s="2">
        <v>98</v>
      </c>
      <c r="S47" s="2">
        <v>100</v>
      </c>
      <c r="T47" s="2">
        <v>98</v>
      </c>
      <c r="U47" s="2">
        <v>100</v>
      </c>
      <c r="V47" s="2">
        <v>0</v>
      </c>
      <c r="W47" s="9">
        <f t="shared" si="9"/>
        <v>93</v>
      </c>
      <c r="X47" s="2">
        <v>47</v>
      </c>
      <c r="Y47" s="2">
        <v>58</v>
      </c>
      <c r="Z47" s="2">
        <v>94</v>
      </c>
      <c r="AA47" s="2">
        <v>94</v>
      </c>
      <c r="AB47" s="2">
        <v>100</v>
      </c>
      <c r="AC47" s="2">
        <v>94</v>
      </c>
      <c r="AD47" s="2">
        <v>99</v>
      </c>
      <c r="AE47" s="13">
        <f t="shared" si="10"/>
        <v>83.714285714285708</v>
      </c>
      <c r="AF47" s="14">
        <v>74</v>
      </c>
      <c r="AG47" s="14">
        <v>87</v>
      </c>
      <c r="AH47" s="14">
        <v>79.5</v>
      </c>
      <c r="AI47" s="13">
        <f t="shared" si="5"/>
        <v>80.166666666666671</v>
      </c>
      <c r="AJ47" s="9">
        <v>74</v>
      </c>
      <c r="AL47">
        <f t="shared" si="6"/>
        <v>0</v>
      </c>
      <c r="AM47">
        <f t="shared" si="7"/>
        <v>1</v>
      </c>
      <c r="AN47">
        <f t="shared" si="8"/>
        <v>1</v>
      </c>
      <c r="BL47" s="2">
        <v>1</v>
      </c>
    </row>
    <row r="48" spans="1:65" ht="14.15" customHeight="1" x14ac:dyDescent="0.3">
      <c r="A48" s="1">
        <v>97558</v>
      </c>
      <c r="B48" s="17">
        <f t="shared" si="0"/>
        <v>84.106349206349208</v>
      </c>
      <c r="C48" s="1">
        <f t="shared" si="1"/>
        <v>85.132936507936506</v>
      </c>
      <c r="D48" s="1">
        <f t="shared" si="2"/>
        <v>85.132936507936506</v>
      </c>
      <c r="E48" s="2">
        <v>100</v>
      </c>
      <c r="F48" s="2">
        <v>92</v>
      </c>
      <c r="G48" s="2">
        <v>100</v>
      </c>
      <c r="H48" s="2">
        <v>92</v>
      </c>
      <c r="I48" s="2">
        <v>90</v>
      </c>
      <c r="J48" s="2">
        <v>96</v>
      </c>
      <c r="K48" s="2">
        <v>100</v>
      </c>
      <c r="L48" s="2">
        <v>95</v>
      </c>
      <c r="M48" s="2">
        <v>88</v>
      </c>
      <c r="N48" s="2">
        <v>88</v>
      </c>
      <c r="O48" s="2">
        <v>96</v>
      </c>
      <c r="P48" s="2">
        <v>100</v>
      </c>
      <c r="Q48" s="2">
        <v>100</v>
      </c>
      <c r="R48" s="2">
        <v>98</v>
      </c>
      <c r="S48" s="2">
        <v>100</v>
      </c>
      <c r="T48" s="2">
        <v>100</v>
      </c>
      <c r="U48" s="2">
        <v>100</v>
      </c>
      <c r="V48" s="2">
        <v>100</v>
      </c>
      <c r="W48" s="9">
        <f t="shared" si="9"/>
        <v>96.388888888888886</v>
      </c>
      <c r="X48" s="2">
        <v>71</v>
      </c>
      <c r="Y48" s="2">
        <v>76</v>
      </c>
      <c r="Z48" s="2">
        <v>100</v>
      </c>
      <c r="AA48" s="2">
        <v>88</v>
      </c>
      <c r="AB48" s="2">
        <v>100</v>
      </c>
      <c r="AC48" s="2">
        <v>86</v>
      </c>
      <c r="AD48" s="2">
        <v>97</v>
      </c>
      <c r="AE48" s="13">
        <f t="shared" si="10"/>
        <v>88.285714285714292</v>
      </c>
      <c r="AF48" s="14">
        <v>87</v>
      </c>
      <c r="AG48" s="14">
        <v>73</v>
      </c>
      <c r="AH48" s="14">
        <v>80</v>
      </c>
      <c r="AI48" s="13">
        <f t="shared" si="5"/>
        <v>80</v>
      </c>
      <c r="AJ48" s="9">
        <v>80</v>
      </c>
      <c r="AL48">
        <f t="shared" si="6"/>
        <v>0</v>
      </c>
      <c r="AM48">
        <f t="shared" si="7"/>
        <v>0</v>
      </c>
      <c r="AN48">
        <f t="shared" si="8"/>
        <v>0</v>
      </c>
    </row>
    <row r="49" spans="1:62" ht="14.15" customHeight="1" x14ac:dyDescent="0.3">
      <c r="A49" s="1">
        <v>97667</v>
      </c>
      <c r="B49" s="17">
        <f t="shared" si="0"/>
        <v>83.459523809523816</v>
      </c>
      <c r="C49" s="1">
        <f t="shared" si="1"/>
        <v>85.324404761904759</v>
      </c>
      <c r="D49" s="1">
        <f t="shared" si="2"/>
        <v>85.324404761904759</v>
      </c>
      <c r="E49" s="12">
        <v>100</v>
      </c>
      <c r="F49" s="12">
        <v>100</v>
      </c>
      <c r="G49" s="12">
        <v>100</v>
      </c>
      <c r="H49" s="12">
        <v>96</v>
      </c>
      <c r="I49" s="12">
        <v>80</v>
      </c>
      <c r="J49" s="12">
        <v>0</v>
      </c>
      <c r="K49" s="12">
        <v>98</v>
      </c>
      <c r="L49" s="12">
        <v>96</v>
      </c>
      <c r="M49" s="12">
        <v>98</v>
      </c>
      <c r="N49" s="12">
        <v>96</v>
      </c>
      <c r="O49" s="12">
        <v>100</v>
      </c>
      <c r="P49" s="12">
        <v>90</v>
      </c>
      <c r="Q49" s="2">
        <v>100</v>
      </c>
      <c r="R49" s="12">
        <v>98</v>
      </c>
      <c r="S49" s="2">
        <v>100</v>
      </c>
      <c r="T49" s="12">
        <v>100</v>
      </c>
      <c r="U49" s="12">
        <v>100</v>
      </c>
      <c r="V49" s="12">
        <v>98</v>
      </c>
      <c r="W49" s="9">
        <f t="shared" si="9"/>
        <v>91.666666666666671</v>
      </c>
      <c r="X49" s="12">
        <v>78</v>
      </c>
      <c r="Y49" s="12">
        <v>83</v>
      </c>
      <c r="Z49" s="12">
        <v>99</v>
      </c>
      <c r="AA49" s="12">
        <v>91</v>
      </c>
      <c r="AB49" s="12">
        <v>95</v>
      </c>
      <c r="AC49" s="12">
        <v>74</v>
      </c>
      <c r="AD49" s="12">
        <v>99</v>
      </c>
      <c r="AE49" s="13">
        <f t="shared" si="10"/>
        <v>88.428571428571431</v>
      </c>
      <c r="AF49" s="15">
        <v>82</v>
      </c>
      <c r="AG49" s="15">
        <v>83</v>
      </c>
      <c r="AH49" s="14">
        <v>81.5</v>
      </c>
      <c r="AI49" s="13">
        <f t="shared" si="5"/>
        <v>82.166666666666671</v>
      </c>
      <c r="AJ49" s="9">
        <v>76</v>
      </c>
      <c r="AL49">
        <f t="shared" si="6"/>
        <v>1</v>
      </c>
      <c r="AM49">
        <f t="shared" si="7"/>
        <v>1</v>
      </c>
      <c r="AN49">
        <f t="shared" si="8"/>
        <v>2</v>
      </c>
      <c r="AV49" s="2">
        <v>1</v>
      </c>
      <c r="BJ49" s="2">
        <v>0</v>
      </c>
    </row>
    <row r="50" spans="1:62" ht="14.15" customHeight="1" x14ac:dyDescent="0.3">
      <c r="A50" s="1">
        <v>97983</v>
      </c>
      <c r="B50" s="17">
        <f t="shared" si="0"/>
        <v>82.585714285714289</v>
      </c>
      <c r="C50" s="1">
        <f t="shared" si="1"/>
        <v>84.732142857142861</v>
      </c>
      <c r="D50" s="1">
        <f t="shared" si="2"/>
        <v>84.732142857142861</v>
      </c>
      <c r="E50" s="12">
        <v>100</v>
      </c>
      <c r="F50" s="12">
        <v>88</v>
      </c>
      <c r="G50" s="2">
        <v>100</v>
      </c>
      <c r="H50" s="12">
        <v>96</v>
      </c>
      <c r="I50" s="12">
        <v>100</v>
      </c>
      <c r="J50" s="12">
        <v>100</v>
      </c>
      <c r="K50" s="12">
        <v>100</v>
      </c>
      <c r="L50" s="12">
        <v>100</v>
      </c>
      <c r="M50" s="12">
        <v>84</v>
      </c>
      <c r="N50" s="12">
        <v>90</v>
      </c>
      <c r="O50" s="12">
        <v>100</v>
      </c>
      <c r="P50" s="12">
        <v>100</v>
      </c>
      <c r="Q50" s="12">
        <v>100</v>
      </c>
      <c r="R50" s="12">
        <v>98</v>
      </c>
      <c r="S50" s="12">
        <v>98</v>
      </c>
      <c r="T50" s="12">
        <v>98</v>
      </c>
      <c r="U50" s="12">
        <v>100</v>
      </c>
      <c r="V50" s="12">
        <v>100</v>
      </c>
      <c r="W50" s="9">
        <f t="shared" si="9"/>
        <v>97.333333333333329</v>
      </c>
      <c r="X50" s="12">
        <v>72</v>
      </c>
      <c r="Y50" s="12">
        <v>91</v>
      </c>
      <c r="Z50" s="12">
        <v>99</v>
      </c>
      <c r="AA50" s="12">
        <v>81</v>
      </c>
      <c r="AB50" s="12">
        <v>100</v>
      </c>
      <c r="AC50" s="12">
        <v>90</v>
      </c>
      <c r="AD50" s="12">
        <v>96</v>
      </c>
      <c r="AE50" s="13">
        <f t="shared" si="10"/>
        <v>89.857142857142861</v>
      </c>
      <c r="AF50" s="15">
        <v>81</v>
      </c>
      <c r="AG50" s="15">
        <v>74</v>
      </c>
      <c r="AH50" s="14">
        <v>81</v>
      </c>
      <c r="AI50" s="13">
        <f t="shared" si="5"/>
        <v>78.666666666666671</v>
      </c>
      <c r="AJ50" s="9">
        <v>74</v>
      </c>
      <c r="AL50">
        <f t="shared" si="6"/>
        <v>0</v>
      </c>
      <c r="AM50">
        <f t="shared" si="7"/>
        <v>0</v>
      </c>
      <c r="AN50">
        <f t="shared" si="8"/>
        <v>0</v>
      </c>
    </row>
    <row r="51" spans="1:62" ht="14.15" customHeight="1" x14ac:dyDescent="0.3">
      <c r="X51" s="12"/>
    </row>
  </sheetData>
  <phoneticPr fontId="0" type="noConversion"/>
  <pageMargins left="0.75" right="0.75" top="0.75" bottom="0.75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Agricultural Economics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Weichert</dc:creator>
  <cp:lastModifiedBy>Carina Negreanu</cp:lastModifiedBy>
  <cp:lastPrinted>2002-09-03T14:54:42Z</cp:lastPrinted>
  <dcterms:created xsi:type="dcterms:W3CDTF">2002-08-27T13:55:43Z</dcterms:created>
  <dcterms:modified xsi:type="dcterms:W3CDTF">2020-01-27T12:39:30Z</dcterms:modified>
</cp:coreProperties>
</file>