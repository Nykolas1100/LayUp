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26DCFE-E43D-4DDA-8FCB-88EC5A1BFF2C}" xr6:coauthVersionLast="45" xr6:coauthVersionMax="45" xr10:uidLastSave="{00000000-0000-0000-0000-000000000000}"/>
  <bookViews>
    <workbookView xWindow="380" yWindow="380" windowWidth="28800" windowHeight="15460"/>
  </bookViews>
  <sheets>
    <sheet name="stat.abstract.XL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1" l="1"/>
  <c r="A7" i="1"/>
  <c r="B44" i="1"/>
</calcChain>
</file>

<file path=xl/sharedStrings.xml><?xml version="1.0" encoding="utf-8"?>
<sst xmlns="http://schemas.openxmlformats.org/spreadsheetml/2006/main" count="196" uniqueCount="159">
  <si>
    <t>WI</t>
  </si>
  <si>
    <t>WY</t>
  </si>
  <si>
    <t>STATE PROFILES</t>
  </si>
  <si>
    <t>POPULATION</t>
  </si>
  <si>
    <t xml:space="preserve"> Total persons: (July 1)</t>
  </si>
  <si>
    <t xml:space="preserve"> Percent increase:</t>
  </si>
  <si>
    <t xml:space="preserve">  1990 to 1993</t>
  </si>
  <si>
    <t xml:space="preserve">  1990 to 2000 (1)</t>
  </si>
  <si>
    <t xml:space="preserve"> 65 yrs and over, 1993</t>
  </si>
  <si>
    <t xml:space="preserve"> Residing in a metro area, 1992</t>
  </si>
  <si>
    <t>VITAL STATISTICS AND HEALTH</t>
  </si>
  <si>
    <t xml:space="preserve"> Birth rate per 1,000 people, 1991</t>
  </si>
  <si>
    <t xml:space="preserve"> Infant deaths per 1,000 live births,</t>
  </si>
  <si>
    <t xml:space="preserve"> Death rate per 100,000 people, 1991:</t>
  </si>
  <si>
    <t xml:space="preserve">  Heart disease</t>
  </si>
  <si>
    <t xml:space="preserve">  Cancer</t>
  </si>
  <si>
    <t xml:space="preserve"> Persons without health insurance</t>
  </si>
  <si>
    <t xml:space="preserve"> Community hospitals, 1992:</t>
  </si>
  <si>
    <t xml:space="preserve">  Occupancy rate (2)</t>
  </si>
  <si>
    <t xml:space="preserve">  Avg cost per patient per day (3) </t>
  </si>
  <si>
    <t>EDUCATION</t>
  </si>
  <si>
    <t xml:space="preserve"> Public elem and secondary schools:</t>
  </si>
  <si>
    <t xml:space="preserve">  Enrollment, percent increase, 1990-93:</t>
  </si>
  <si>
    <t xml:space="preserve">   Grades K-8</t>
  </si>
  <si>
    <t xml:space="preserve">   Grades 9-12</t>
  </si>
  <si>
    <t xml:space="preserve">  Teachers' avg salaries, 1993</t>
  </si>
  <si>
    <t xml:space="preserve"> Educ attainmt, persons 25 and older, 1990:</t>
  </si>
  <si>
    <t xml:space="preserve">  High school or higher</t>
  </si>
  <si>
    <t xml:space="preserve">  Bachelor's degree or higher</t>
  </si>
  <si>
    <t xml:space="preserve"> College enrollment, 1991:</t>
  </si>
  <si>
    <t xml:space="preserve">  Full-time</t>
  </si>
  <si>
    <t xml:space="preserve">  Minority</t>
  </si>
  <si>
    <t>CRIME</t>
  </si>
  <si>
    <t xml:space="preserve"> Violent crime rate per 100,000 people (4)</t>
  </si>
  <si>
    <t xml:space="preserve"> Federal &amp; State prisoners per 1,000</t>
  </si>
  <si>
    <t xml:space="preserve"> Child abuse cases reported (5)</t>
  </si>
  <si>
    <t>FEDERAL FUNDS AND SOCIAL INSURANCE</t>
  </si>
  <si>
    <t xml:space="preserve"> Federal funds, 1993</t>
  </si>
  <si>
    <t xml:space="preserve">  Defense</t>
  </si>
  <si>
    <t xml:space="preserve">  Grants to State &amp; local govt:</t>
  </si>
  <si>
    <t xml:space="preserve">   Total</t>
  </si>
  <si>
    <t xml:space="preserve">   Per person</t>
  </si>
  <si>
    <t xml:space="preserve"> Percent of population receiving, 1992:</t>
  </si>
  <si>
    <t xml:space="preserve">   Social Security</t>
  </si>
  <si>
    <t xml:space="preserve">  AFDC and/or SSI</t>
  </si>
  <si>
    <t>LABOR FORCE</t>
  </si>
  <si>
    <t xml:space="preserve"> Civilian labor force, 1993:</t>
  </si>
  <si>
    <t xml:space="preserve">  Participation rates:</t>
  </si>
  <si>
    <t xml:space="preserve">   Male</t>
  </si>
  <si>
    <t xml:space="preserve">   Female</t>
  </si>
  <si>
    <t xml:space="preserve">  Unemployment rate</t>
  </si>
  <si>
    <t xml:space="preserve"> Nonfarm employment, 1993:</t>
  </si>
  <si>
    <t xml:space="preserve">  Services</t>
  </si>
  <si>
    <t xml:space="preserve">  Manufacturing</t>
  </si>
  <si>
    <t>INCOME</t>
  </si>
  <si>
    <t xml:space="preserve"> Gross State product, 1990</t>
  </si>
  <si>
    <t xml:space="preserve"> Disposable personal income per person:</t>
  </si>
  <si>
    <t xml:space="preserve">  Total, 1993</t>
  </si>
  <si>
    <t xml:space="preserve">  Percent change, 1990-93</t>
  </si>
  <si>
    <t>BUSINESS</t>
  </si>
  <si>
    <t xml:space="preserve"> Business failures per 10,000 concern</t>
  </si>
  <si>
    <t xml:space="preserve"> Construction, percent increase, 1992-93:</t>
  </si>
  <si>
    <t xml:space="preserve">  Housing starts</t>
  </si>
  <si>
    <t xml:space="preserve">  Existing home sales</t>
  </si>
  <si>
    <t xml:space="preserve"> Avg hourly earnings of production workers</t>
  </si>
  <si>
    <t xml:space="preserve"> Retail sales per household, 1992: </t>
  </si>
  <si>
    <t xml:space="preserve">  Total </t>
  </si>
  <si>
    <t xml:space="preserve">  Percent increase from 1991</t>
  </si>
  <si>
    <t xml:space="preserve"> U.S. exports by state of origin, per</t>
  </si>
  <si>
    <t>MISCELLANEOUS</t>
  </si>
  <si>
    <t xml:space="preserve"> Energy expends per person, 1991</t>
  </si>
  <si>
    <t xml:space="preserve"> Motor vehicles, 1992:</t>
  </si>
  <si>
    <t xml:space="preserve">  Auto insurance, avg expenditures p</t>
  </si>
  <si>
    <t xml:space="preserve">  Deaths per 100 million vehicle mil</t>
  </si>
  <si>
    <t xml:space="preserve">  Miles of travel per mile of road</t>
  </si>
  <si>
    <t xml:space="preserve"> Farm land, percent increase in avg v</t>
  </si>
  <si>
    <t xml:space="preserve"> Hazardous waste sites, 1993</t>
  </si>
  <si>
    <t>NA Not available; X Not applicable.</t>
  </si>
  <si>
    <t xml:space="preserve">       (1) Series A (the preferred series model).</t>
  </si>
  <si>
    <t xml:space="preserve">       (2) Ratio of average daily census to every</t>
  </si>
  <si>
    <t xml:space="preserve">            100 beds.</t>
  </si>
  <si>
    <t xml:space="preserve">       (3) Average cost to community hospitals;</t>
  </si>
  <si>
    <t xml:space="preserve">             based on total hospital expenses</t>
  </si>
  <si>
    <t xml:space="preserve">             (payroll, employee benefits,    </t>
  </si>
  <si>
    <t xml:space="preserve">             professional fees, supplies, etc.)   </t>
  </si>
  <si>
    <t xml:space="preserve">       (4) Based on offenses known to the police.</t>
  </si>
  <si>
    <t xml:space="preserve">       (5) Based on reports alleging child abuse</t>
  </si>
  <si>
    <t xml:space="preserve">             and neglect that were referred for </t>
  </si>
  <si>
    <t xml:space="preserve">             investigation by child protective</t>
  </si>
  <si>
    <t xml:space="preserve">             services.</t>
  </si>
  <si>
    <t>Unit</t>
  </si>
  <si>
    <t>1000's</t>
  </si>
  <si>
    <t>Percent</t>
  </si>
  <si>
    <t>Rate</t>
  </si>
  <si>
    <t>Dollars</t>
  </si>
  <si>
    <t xml:space="preserve">Percent </t>
  </si>
  <si>
    <t xml:space="preserve">Rate </t>
  </si>
  <si>
    <t>$Billion</t>
  </si>
  <si>
    <t xml:space="preserve">Percent  </t>
  </si>
  <si>
    <t xml:space="preserve">$Billion </t>
  </si>
  <si>
    <t xml:space="preserve">Dollars </t>
  </si>
  <si>
    <t>Number</t>
  </si>
  <si>
    <t>U.S.</t>
  </si>
  <si>
    <t>AL</t>
  </si>
  <si>
    <t>AK</t>
  </si>
  <si>
    <t xml:space="preserve">  (NA)  </t>
  </si>
  <si>
    <t>(NA)</t>
  </si>
  <si>
    <t>AZ</t>
  </si>
  <si>
    <t>AR</t>
  </si>
  <si>
    <t>CA</t>
  </si>
  <si>
    <t>CO</t>
  </si>
  <si>
    <t>CT</t>
  </si>
  <si>
    <t>DE</t>
  </si>
  <si>
    <t xml:space="preserve">  (Z)     </t>
  </si>
  <si>
    <t>DC</t>
  </si>
  <si>
    <t xml:space="preserve">(NA) </t>
  </si>
  <si>
    <t>(X)</t>
  </si>
  <si>
    <t>FL</t>
  </si>
  <si>
    <t>GA</t>
  </si>
  <si>
    <t xml:space="preserve"> (NA)    </t>
  </si>
  <si>
    <t>HI</t>
  </si>
  <si>
    <t xml:space="preserve"> (NA)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</si>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</sst>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9"/>
      <color indexed="8"/>
      <name val="Geneva"/>
    </font>
    <font>
      <b/>
      <sz val="10"/>
      <color indexed="8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>
      <alignment vertical="justify" textRotation="180"/>
    </xf>
  </cellStyleXfs>
  <cellXfs count="2">
    <xf numFmtId="0" fontId="0" fillId="0" borderId="0" xfId="0" applyAlignment="1">
      <alignment vertical="top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8"/>
  <sheetViews>
    <sheetView tabSelected="1" workbookViewId="0"/>
  </sheetViews>
  <sheetFormatPr defaultColWidth="10.296875" defaultRowHeight="28" customHeight="1"/>
  <cols>
    <col min="1" max="1" width="31.09765625" customWidth="1"/>
    <col min="2" max="54" width="7.09765625" customWidth="1"/>
  </cols>
  <sheetData>
    <row r="1" spans="1:54" ht="14.15" customHeight="1">
      <c r="A1" s="1" t="s">
        <v>2</v>
      </c>
    </row>
    <row r="2" spans="1:54" ht="14.15" customHeight="1"/>
    <row r="3" spans="1:54" ht="14.15" customHeight="1">
      <c r="B3" t="s">
        <v>90</v>
      </c>
      <c r="C3" t="s">
        <v>102</v>
      </c>
      <c r="D3" t="s">
        <v>103</v>
      </c>
      <c r="E3" t="s">
        <v>104</v>
      </c>
      <c r="F3" t="s">
        <v>107</v>
      </c>
      <c r="G3" t="s">
        <v>108</v>
      </c>
      <c r="H3" t="s">
        <v>109</v>
      </c>
      <c r="I3" t="s">
        <v>110</v>
      </c>
      <c r="J3" t="s">
        <v>111</v>
      </c>
      <c r="K3" t="s">
        <v>112</v>
      </c>
      <c r="L3" t="s">
        <v>114</v>
      </c>
      <c r="M3" t="s">
        <v>117</v>
      </c>
      <c r="N3" t="s">
        <v>118</v>
      </c>
      <c r="O3" t="s">
        <v>120</v>
      </c>
      <c r="P3" t="s">
        <v>122</v>
      </c>
      <c r="Q3" t="s">
        <v>123</v>
      </c>
      <c r="R3" t="s">
        <v>124</v>
      </c>
      <c r="S3" t="s">
        <v>125</v>
      </c>
      <c r="T3" t="s">
        <v>126</v>
      </c>
      <c r="U3" t="s">
        <v>127</v>
      </c>
      <c r="V3" t="s">
        <v>128</v>
      </c>
      <c r="W3" t="s">
        <v>129</v>
      </c>
      <c r="X3" t="s">
        <v>130</v>
      </c>
      <c r="Y3" t="s">
        <v>131</v>
      </c>
      <c r="Z3" t="s">
        <v>132</v>
      </c>
      <c r="AA3" t="s">
        <v>133</v>
      </c>
      <c r="AB3" t="s">
        <v>134</v>
      </c>
      <c r="AC3" t="s">
        <v>135</v>
      </c>
      <c r="AD3" t="s">
        <v>136</v>
      </c>
      <c r="AE3" t="s">
        <v>137</v>
      </c>
      <c r="AF3" t="s">
        <v>138</v>
      </c>
      <c r="AG3" t="s">
        <v>139</v>
      </c>
      <c r="AH3" t="s">
        <v>140</v>
      </c>
      <c r="AI3" t="s">
        <v>141</v>
      </c>
      <c r="AJ3" t="s">
        <v>142</v>
      </c>
      <c r="AK3" t="s">
        <v>143</v>
      </c>
      <c r="AL3" t="s">
        <v>144</v>
      </c>
      <c r="AM3" t="s">
        <v>145</v>
      </c>
      <c r="AN3" t="s">
        <v>146</v>
      </c>
      <c r="AO3" t="s">
        <v>147</v>
      </c>
      <c r="AP3" t="s">
        <v>148</v>
      </c>
      <c r="AQ3" t="s">
        <v>149</v>
      </c>
      <c r="AR3" t="s">
        <v>150</v>
      </c>
      <c r="AS3" t="s">
        <v>151</v>
      </c>
      <c r="AT3" t="s">
        <v>152</v>
      </c>
      <c r="AU3" t="s">
        <v>153</v>
      </c>
      <c r="AV3" t="s">
        <v>154</v>
      </c>
      <c r="AW3" t="s">
        <v>155</v>
      </c>
      <c r="AX3" t="s">
        <v>156</v>
      </c>
      <c r="AY3" t="s">
        <v>157</v>
      </c>
      <c r="AZ3" t="s">
        <v>158</v>
      </c>
      <c r="BA3" t="s">
        <v>0</v>
      </c>
      <c r="BB3" t="s">
        <v>1</v>
      </c>
    </row>
    <row r="4" spans="1:54" ht="14.15" customHeight="1">
      <c r="A4" t="s">
        <v>3</v>
      </c>
    </row>
    <row r="5" spans="1:54" ht="14.15" customHeight="1">
      <c r="A5" t="s">
        <v>4</v>
      </c>
    </row>
    <row r="6" spans="1:54" ht="14.15" customHeight="1">
      <c r="A6" t="str">
        <f>"   1993"</f>
        <v xml:space="preserve">   1993</v>
      </c>
      <c r="B6" t="s">
        <v>91</v>
      </c>
      <c r="C6">
        <v>257908</v>
      </c>
      <c r="D6">
        <v>4187</v>
      </c>
      <c r="E6">
        <v>599</v>
      </c>
      <c r="F6">
        <v>3936</v>
      </c>
      <c r="G6">
        <v>2424</v>
      </c>
      <c r="H6">
        <v>31211</v>
      </c>
      <c r="I6">
        <v>3566</v>
      </c>
      <c r="J6">
        <v>3277</v>
      </c>
      <c r="K6">
        <v>700</v>
      </c>
      <c r="L6">
        <v>578</v>
      </c>
      <c r="M6">
        <v>13679</v>
      </c>
      <c r="N6">
        <v>6917</v>
      </c>
      <c r="O6">
        <v>1172</v>
      </c>
      <c r="P6">
        <v>1099</v>
      </c>
      <c r="Q6">
        <v>11697</v>
      </c>
      <c r="R6">
        <v>5713</v>
      </c>
      <c r="S6">
        <v>2814</v>
      </c>
      <c r="T6">
        <v>2531</v>
      </c>
      <c r="U6">
        <v>3789</v>
      </c>
      <c r="V6">
        <v>4295</v>
      </c>
      <c r="W6">
        <v>1239</v>
      </c>
      <c r="X6">
        <v>4965</v>
      </c>
      <c r="Y6">
        <v>6012</v>
      </c>
      <c r="Z6">
        <v>9478</v>
      </c>
      <c r="AA6">
        <v>4517</v>
      </c>
      <c r="AB6">
        <v>2643</v>
      </c>
      <c r="AC6">
        <v>5234</v>
      </c>
      <c r="AD6">
        <v>839</v>
      </c>
      <c r="AE6">
        <v>1607</v>
      </c>
      <c r="AF6">
        <v>1389</v>
      </c>
      <c r="AG6">
        <v>1125</v>
      </c>
      <c r="AH6">
        <v>7879</v>
      </c>
      <c r="AI6">
        <v>1616</v>
      </c>
      <c r="AJ6">
        <v>18197</v>
      </c>
      <c r="AK6">
        <v>6945</v>
      </c>
      <c r="AL6">
        <v>635</v>
      </c>
      <c r="AM6">
        <v>11091</v>
      </c>
      <c r="AN6">
        <v>3231</v>
      </c>
      <c r="AO6">
        <v>3032</v>
      </c>
      <c r="AP6">
        <v>12048</v>
      </c>
      <c r="AQ6">
        <v>1000</v>
      </c>
      <c r="AR6">
        <v>3643</v>
      </c>
      <c r="AS6">
        <v>715</v>
      </c>
      <c r="AT6">
        <v>5099</v>
      </c>
      <c r="AU6">
        <v>18031</v>
      </c>
      <c r="AV6">
        <v>1860</v>
      </c>
      <c r="AW6">
        <v>576</v>
      </c>
      <c r="AX6">
        <v>6491</v>
      </c>
      <c r="AY6">
        <v>5255</v>
      </c>
      <c r="AZ6">
        <v>1820</v>
      </c>
      <c r="BA6">
        <v>5038</v>
      </c>
      <c r="BB6">
        <v>470</v>
      </c>
    </row>
    <row r="7" spans="1:54" ht="14.15" customHeight="1">
      <c r="A7" t="str">
        <f>"   2000"</f>
        <v xml:space="preserve">   2000</v>
      </c>
      <c r="B7" t="s">
        <v>91</v>
      </c>
      <c r="C7">
        <v>276242</v>
      </c>
      <c r="D7">
        <v>4485</v>
      </c>
      <c r="E7">
        <v>699</v>
      </c>
      <c r="F7">
        <v>4437</v>
      </c>
      <c r="G7">
        <v>2578</v>
      </c>
      <c r="H7">
        <v>34888</v>
      </c>
      <c r="I7">
        <v>4059</v>
      </c>
      <c r="J7">
        <v>3271</v>
      </c>
      <c r="K7">
        <v>759</v>
      </c>
      <c r="L7">
        <v>537</v>
      </c>
      <c r="M7">
        <v>15313</v>
      </c>
      <c r="N7">
        <v>7637</v>
      </c>
      <c r="O7">
        <v>1327</v>
      </c>
      <c r="P7">
        <v>1290</v>
      </c>
      <c r="Q7">
        <v>12168</v>
      </c>
      <c r="R7">
        <v>6045</v>
      </c>
      <c r="S7">
        <v>2930</v>
      </c>
      <c r="T7">
        <v>2722</v>
      </c>
      <c r="U7">
        <v>3989</v>
      </c>
      <c r="V7">
        <v>4478</v>
      </c>
      <c r="W7">
        <v>1240</v>
      </c>
      <c r="X7">
        <v>5322</v>
      </c>
      <c r="Y7">
        <v>5950</v>
      </c>
      <c r="Z7">
        <v>9759</v>
      </c>
      <c r="AA7">
        <v>4824</v>
      </c>
      <c r="AB7">
        <v>2750</v>
      </c>
      <c r="AC7">
        <v>5437</v>
      </c>
      <c r="AD7">
        <v>920</v>
      </c>
      <c r="AE7">
        <v>1704</v>
      </c>
      <c r="AF7">
        <v>1691</v>
      </c>
      <c r="AG7">
        <v>1165</v>
      </c>
      <c r="AH7">
        <v>8135</v>
      </c>
      <c r="AI7">
        <v>1823</v>
      </c>
      <c r="AJ7">
        <v>18237</v>
      </c>
      <c r="AK7">
        <v>7617</v>
      </c>
      <c r="AL7">
        <v>643</v>
      </c>
      <c r="AM7">
        <v>11453</v>
      </c>
      <c r="AN7">
        <v>3382</v>
      </c>
      <c r="AO7">
        <v>3404</v>
      </c>
      <c r="AP7">
        <v>12296</v>
      </c>
      <c r="AQ7">
        <v>998</v>
      </c>
      <c r="AR7">
        <v>3932</v>
      </c>
      <c r="AS7">
        <v>770</v>
      </c>
      <c r="AT7">
        <v>5538</v>
      </c>
      <c r="AU7">
        <v>20039</v>
      </c>
      <c r="AV7">
        <v>2148</v>
      </c>
      <c r="AW7">
        <v>592</v>
      </c>
      <c r="AX7">
        <v>7048</v>
      </c>
      <c r="AY7">
        <v>6070</v>
      </c>
      <c r="AZ7">
        <v>1840</v>
      </c>
      <c r="BA7">
        <v>5381</v>
      </c>
      <c r="BB7">
        <v>522</v>
      </c>
    </row>
    <row r="8" spans="1:54" ht="14.15" customHeight="1">
      <c r="A8" t="s">
        <v>5</v>
      </c>
    </row>
    <row r="9" spans="1:54" ht="14.15" customHeight="1">
      <c r="A9" t="s">
        <v>6</v>
      </c>
      <c r="B9" t="s">
        <v>92</v>
      </c>
      <c r="C9">
        <v>3.7</v>
      </c>
      <c r="D9">
        <v>3.6</v>
      </c>
      <c r="E9">
        <v>8.9</v>
      </c>
      <c r="F9">
        <v>7.4</v>
      </c>
      <c r="G9">
        <v>3.1</v>
      </c>
      <c r="H9">
        <v>4.9000000000000004</v>
      </c>
      <c r="I9">
        <v>8.1999999999999993</v>
      </c>
      <c r="J9">
        <v>-0.3</v>
      </c>
      <c r="K9">
        <v>5.0999999999999996</v>
      </c>
      <c r="L9">
        <v>-4.7</v>
      </c>
      <c r="M9">
        <v>5.7</v>
      </c>
      <c r="N9">
        <v>6.8</v>
      </c>
      <c r="O9">
        <v>5.7</v>
      </c>
      <c r="P9">
        <v>9.1999999999999993</v>
      </c>
      <c r="Q9">
        <v>2.2999999999999998</v>
      </c>
      <c r="R9">
        <v>3</v>
      </c>
      <c r="S9">
        <v>1.3</v>
      </c>
      <c r="T9">
        <v>2</v>
      </c>
      <c r="U9">
        <v>2.8</v>
      </c>
      <c r="V9">
        <v>1.8</v>
      </c>
      <c r="W9">
        <v>0.9</v>
      </c>
      <c r="X9">
        <v>3.8</v>
      </c>
      <c r="Y9">
        <v>-0.1</v>
      </c>
      <c r="Z9">
        <v>2</v>
      </c>
      <c r="AA9">
        <v>3.3</v>
      </c>
      <c r="AB9">
        <v>2.7</v>
      </c>
      <c r="AC9">
        <v>2.2999999999999998</v>
      </c>
      <c r="AD9">
        <v>5.0999999999999996</v>
      </c>
      <c r="AE9">
        <v>1.8</v>
      </c>
      <c r="AF9">
        <v>15.6</v>
      </c>
      <c r="AG9">
        <v>1.4</v>
      </c>
      <c r="AH9">
        <v>1.9</v>
      </c>
      <c r="AI9">
        <v>6.7</v>
      </c>
      <c r="AJ9">
        <v>1.1000000000000001</v>
      </c>
      <c r="AK9">
        <v>4.8</v>
      </c>
      <c r="AL9">
        <v>-0.6</v>
      </c>
      <c r="AM9">
        <v>2.2999999999999998</v>
      </c>
      <c r="AN9">
        <v>2.7</v>
      </c>
      <c r="AO9">
        <v>6.7</v>
      </c>
      <c r="AP9">
        <v>1.4</v>
      </c>
      <c r="AQ9">
        <v>-0.3</v>
      </c>
      <c r="AR9">
        <v>4.5</v>
      </c>
      <c r="AS9">
        <v>2.8</v>
      </c>
      <c r="AT9">
        <v>4.5</v>
      </c>
      <c r="AU9">
        <v>6.2</v>
      </c>
      <c r="AV9">
        <v>7.9</v>
      </c>
      <c r="AW9">
        <v>2.2999999999999998</v>
      </c>
      <c r="AX9">
        <v>4.9000000000000004</v>
      </c>
      <c r="AY9">
        <v>8</v>
      </c>
      <c r="AZ9">
        <v>1.5</v>
      </c>
      <c r="BA9">
        <v>3</v>
      </c>
      <c r="BB9">
        <v>3.7</v>
      </c>
    </row>
    <row r="10" spans="1:54" ht="14.15" customHeight="1">
      <c r="A10" t="s">
        <v>7</v>
      </c>
      <c r="B10" t="s">
        <v>92</v>
      </c>
      <c r="C10">
        <v>11.1</v>
      </c>
      <c r="D10">
        <v>11</v>
      </c>
      <c r="E10">
        <v>27.1</v>
      </c>
      <c r="F10">
        <v>21.1</v>
      </c>
      <c r="G10">
        <v>9.6999999999999993</v>
      </c>
      <c r="H10">
        <v>17.2</v>
      </c>
      <c r="I10">
        <v>23.2</v>
      </c>
      <c r="J10">
        <v>-0.5</v>
      </c>
      <c r="K10">
        <v>13.9</v>
      </c>
      <c r="L10">
        <v>-11.5</v>
      </c>
      <c r="M10">
        <v>18.399999999999999</v>
      </c>
      <c r="N10">
        <v>17.899999999999999</v>
      </c>
      <c r="O10">
        <v>19.7</v>
      </c>
      <c r="P10">
        <v>28.1</v>
      </c>
      <c r="Q10">
        <v>6.5</v>
      </c>
      <c r="R10">
        <v>9</v>
      </c>
      <c r="S10">
        <v>5.5</v>
      </c>
      <c r="T10">
        <v>9.9</v>
      </c>
      <c r="U10">
        <v>8.1999999999999993</v>
      </c>
      <c r="V10">
        <v>6.1</v>
      </c>
      <c r="W10">
        <v>1</v>
      </c>
      <c r="X10">
        <v>11.3</v>
      </c>
      <c r="Y10">
        <v>-1.1000000000000001</v>
      </c>
      <c r="Z10">
        <v>5</v>
      </c>
      <c r="AA10">
        <v>10.3</v>
      </c>
      <c r="AB10">
        <v>6.9</v>
      </c>
      <c r="AC10">
        <v>6.3</v>
      </c>
      <c r="AD10">
        <v>15.1</v>
      </c>
      <c r="AE10">
        <v>8</v>
      </c>
      <c r="AF10">
        <v>40.700000000000003</v>
      </c>
      <c r="AG10">
        <v>5</v>
      </c>
      <c r="AH10">
        <v>5.2</v>
      </c>
      <c r="AI10">
        <v>20.3</v>
      </c>
      <c r="AJ10">
        <v>1.4</v>
      </c>
      <c r="AK10">
        <v>14.9</v>
      </c>
      <c r="AL10">
        <v>0.7</v>
      </c>
      <c r="AM10">
        <v>5.6</v>
      </c>
      <c r="AN10">
        <v>7.5</v>
      </c>
      <c r="AO10">
        <v>19.8</v>
      </c>
      <c r="AP10">
        <v>3.5</v>
      </c>
      <c r="AQ10">
        <v>-0.5</v>
      </c>
      <c r="AR10">
        <v>12.8</v>
      </c>
      <c r="AS10">
        <v>10.6</v>
      </c>
      <c r="AT10">
        <v>13.5</v>
      </c>
      <c r="AU10">
        <v>18</v>
      </c>
      <c r="AV10">
        <v>24.7</v>
      </c>
      <c r="AW10">
        <v>5.2</v>
      </c>
      <c r="AX10">
        <v>13.9</v>
      </c>
      <c r="AY10">
        <v>24.7</v>
      </c>
      <c r="AZ10">
        <v>2.6</v>
      </c>
      <c r="BA10">
        <v>10</v>
      </c>
      <c r="BB10">
        <v>15.1</v>
      </c>
    </row>
    <row r="11" spans="1:54" ht="14.15" customHeight="1"/>
    <row r="12" spans="1:54" ht="14.15" customHeight="1">
      <c r="A12" t="s">
        <v>8</v>
      </c>
      <c r="B12" t="s">
        <v>92</v>
      </c>
      <c r="C12">
        <v>12.7</v>
      </c>
      <c r="D12">
        <v>13</v>
      </c>
      <c r="E12">
        <v>4.4000000000000004</v>
      </c>
      <c r="F12">
        <v>13.4</v>
      </c>
      <c r="G12">
        <v>15</v>
      </c>
      <c r="H12">
        <v>10.6</v>
      </c>
      <c r="I12">
        <v>10</v>
      </c>
      <c r="J12">
        <v>14.1</v>
      </c>
      <c r="K12">
        <v>12.4</v>
      </c>
      <c r="L12">
        <v>13.3</v>
      </c>
      <c r="M12">
        <v>18.600000000000001</v>
      </c>
      <c r="N12">
        <v>10.1</v>
      </c>
      <c r="O12">
        <v>11.7</v>
      </c>
      <c r="P12">
        <v>11.8</v>
      </c>
      <c r="Q12">
        <v>12.6</v>
      </c>
      <c r="R12">
        <v>12.7</v>
      </c>
      <c r="S12">
        <v>15.5</v>
      </c>
      <c r="T12">
        <v>13.9</v>
      </c>
      <c r="U12">
        <v>12.7</v>
      </c>
      <c r="V12">
        <v>11.3</v>
      </c>
      <c r="W12">
        <v>13.7</v>
      </c>
      <c r="X12">
        <v>11.1</v>
      </c>
      <c r="Y12">
        <v>14</v>
      </c>
      <c r="Z12">
        <v>12.4</v>
      </c>
      <c r="AA12">
        <v>12.6</v>
      </c>
      <c r="AB12">
        <v>12.5</v>
      </c>
      <c r="AC12">
        <v>14.2</v>
      </c>
      <c r="AD12">
        <v>13.4</v>
      </c>
      <c r="AE12">
        <v>14.2</v>
      </c>
      <c r="AF12">
        <v>11.1</v>
      </c>
      <c r="AG12">
        <v>11.9</v>
      </c>
      <c r="AH12">
        <v>13.6</v>
      </c>
      <c r="AI12">
        <v>11</v>
      </c>
      <c r="AJ12">
        <v>13.1</v>
      </c>
      <c r="AK12">
        <v>12.5</v>
      </c>
      <c r="AL12">
        <v>14.8</v>
      </c>
      <c r="AM12">
        <v>13.3</v>
      </c>
      <c r="AN12">
        <v>13.6</v>
      </c>
      <c r="AO12">
        <v>13.8</v>
      </c>
      <c r="AP12">
        <v>15.8</v>
      </c>
      <c r="AQ12">
        <v>15.5</v>
      </c>
      <c r="AR12">
        <v>11.7</v>
      </c>
      <c r="AS12">
        <v>14.7</v>
      </c>
      <c r="AT12">
        <v>12.8</v>
      </c>
      <c r="AU12">
        <v>10.199999999999999</v>
      </c>
      <c r="AV12">
        <v>8.9</v>
      </c>
      <c r="AW12">
        <v>12</v>
      </c>
      <c r="AX12">
        <v>11</v>
      </c>
      <c r="AY12">
        <v>11.6</v>
      </c>
      <c r="AZ12">
        <v>15.3</v>
      </c>
      <c r="BA12">
        <v>13.4</v>
      </c>
      <c r="BB12">
        <v>10.9</v>
      </c>
    </row>
    <row r="13" spans="1:54" ht="14.15" customHeight="1">
      <c r="A13" t="s">
        <v>9</v>
      </c>
      <c r="B13" t="s">
        <v>92</v>
      </c>
      <c r="C13">
        <v>79.7</v>
      </c>
      <c r="D13">
        <v>67.400000000000006</v>
      </c>
      <c r="E13">
        <v>41.8</v>
      </c>
      <c r="F13">
        <v>84.7</v>
      </c>
      <c r="G13">
        <v>44.7</v>
      </c>
      <c r="H13">
        <v>96.7</v>
      </c>
      <c r="I13">
        <v>81.8</v>
      </c>
      <c r="J13">
        <v>95.7</v>
      </c>
      <c r="K13">
        <v>82.7</v>
      </c>
      <c r="L13">
        <v>100</v>
      </c>
      <c r="M13">
        <v>93</v>
      </c>
      <c r="N13">
        <v>67.7</v>
      </c>
      <c r="O13">
        <v>74.7</v>
      </c>
      <c r="P13">
        <v>30</v>
      </c>
      <c r="Q13">
        <v>84</v>
      </c>
      <c r="R13">
        <v>71.599999999999994</v>
      </c>
      <c r="S13">
        <v>43.8</v>
      </c>
      <c r="T13">
        <v>54.6</v>
      </c>
      <c r="U13">
        <v>48.5</v>
      </c>
      <c r="V13">
        <v>75</v>
      </c>
      <c r="W13">
        <v>35.700000000000003</v>
      </c>
      <c r="X13">
        <v>92.8</v>
      </c>
      <c r="Y13">
        <v>96.2</v>
      </c>
      <c r="Z13">
        <v>82.7</v>
      </c>
      <c r="AA13">
        <v>69.3</v>
      </c>
      <c r="AB13">
        <v>30.7</v>
      </c>
      <c r="AC13">
        <v>68.3</v>
      </c>
      <c r="AD13">
        <v>24</v>
      </c>
      <c r="AE13">
        <v>50.6</v>
      </c>
      <c r="AF13">
        <v>84.8</v>
      </c>
      <c r="AG13">
        <v>59.4</v>
      </c>
      <c r="AH13">
        <v>100</v>
      </c>
      <c r="AI13">
        <v>56</v>
      </c>
      <c r="AJ13">
        <v>91.7</v>
      </c>
      <c r="AK13">
        <v>66.3</v>
      </c>
      <c r="AL13">
        <v>41.6</v>
      </c>
      <c r="AM13">
        <v>81.3</v>
      </c>
      <c r="AN13">
        <v>60.1</v>
      </c>
      <c r="AO13">
        <v>70</v>
      </c>
      <c r="AP13">
        <v>84.8</v>
      </c>
      <c r="AQ13">
        <v>93.6</v>
      </c>
      <c r="AR13">
        <v>69.8</v>
      </c>
      <c r="AS13">
        <v>32.6</v>
      </c>
      <c r="AT13">
        <v>67.7</v>
      </c>
      <c r="AU13">
        <v>83.9</v>
      </c>
      <c r="AV13">
        <v>77.5</v>
      </c>
      <c r="AW13">
        <v>27</v>
      </c>
      <c r="AX13">
        <v>77.5</v>
      </c>
      <c r="AY13">
        <v>83</v>
      </c>
      <c r="AZ13">
        <v>41.8</v>
      </c>
      <c r="BA13">
        <v>68.099999999999994</v>
      </c>
      <c r="BB13">
        <v>29.7</v>
      </c>
    </row>
    <row r="14" spans="1:54" ht="14.15" customHeight="1"/>
    <row r="15" spans="1:54" ht="14.15" customHeight="1">
      <c r="A15" t="s">
        <v>10</v>
      </c>
    </row>
    <row r="16" spans="1:54" ht="14.15" customHeight="1">
      <c r="A16" t="s">
        <v>11</v>
      </c>
      <c r="B16" t="s">
        <v>93</v>
      </c>
      <c r="C16">
        <v>16.3</v>
      </c>
      <c r="D16">
        <v>15.4</v>
      </c>
      <c r="E16">
        <v>20.5</v>
      </c>
      <c r="F16">
        <v>18.2</v>
      </c>
      <c r="G16">
        <v>15</v>
      </c>
      <c r="H16">
        <v>20.100000000000001</v>
      </c>
      <c r="I16">
        <v>15.9</v>
      </c>
      <c r="J16">
        <v>14.8</v>
      </c>
      <c r="K16">
        <v>16.5</v>
      </c>
      <c r="L16">
        <v>19.7</v>
      </c>
      <c r="M16">
        <v>14.6</v>
      </c>
      <c r="N16">
        <v>16.7</v>
      </c>
      <c r="O16">
        <v>17.600000000000001</v>
      </c>
      <c r="P16">
        <v>16.2</v>
      </c>
      <c r="Q16">
        <v>16.8</v>
      </c>
      <c r="R16">
        <v>15.3</v>
      </c>
      <c r="S16">
        <v>13.9</v>
      </c>
      <c r="T16">
        <v>15.2</v>
      </c>
      <c r="U16">
        <v>14.6</v>
      </c>
      <c r="V16">
        <v>17</v>
      </c>
      <c r="W16">
        <v>13.6</v>
      </c>
      <c r="X16">
        <v>16.3</v>
      </c>
      <c r="Y16">
        <v>14.7</v>
      </c>
      <c r="Z16">
        <v>16</v>
      </c>
      <c r="AA16">
        <v>15.1</v>
      </c>
      <c r="AB16">
        <v>16.7</v>
      </c>
      <c r="AC16">
        <v>15.3</v>
      </c>
      <c r="AD16">
        <v>14.2</v>
      </c>
      <c r="AE16">
        <v>15.1</v>
      </c>
      <c r="AF16">
        <v>17.2</v>
      </c>
      <c r="AG16">
        <v>14.8</v>
      </c>
      <c r="AH16">
        <v>15.6</v>
      </c>
      <c r="AI16">
        <v>18</v>
      </c>
      <c r="AJ16">
        <v>16.2</v>
      </c>
      <c r="AK16">
        <v>15.2</v>
      </c>
      <c r="AL16">
        <v>14</v>
      </c>
      <c r="AM16">
        <v>15.2</v>
      </c>
      <c r="AN16">
        <v>15.1</v>
      </c>
      <c r="AO16">
        <v>14.5</v>
      </c>
      <c r="AP16">
        <v>14.1</v>
      </c>
      <c r="AQ16">
        <v>14.7</v>
      </c>
      <c r="AR16">
        <v>16.2</v>
      </c>
      <c r="AS16">
        <v>15.6</v>
      </c>
      <c r="AT16">
        <v>15</v>
      </c>
      <c r="AU16">
        <v>18.3</v>
      </c>
      <c r="AV16">
        <v>20.399999999999999</v>
      </c>
      <c r="AW16">
        <v>14</v>
      </c>
      <c r="AX16">
        <v>15.5</v>
      </c>
      <c r="AY16">
        <v>15.9</v>
      </c>
      <c r="AZ16">
        <v>12.5</v>
      </c>
      <c r="BA16">
        <v>14.5</v>
      </c>
      <c r="BB16">
        <v>14.6</v>
      </c>
    </row>
    <row r="17" spans="1:54" ht="14.15" customHeight="1">
      <c r="A17" t="s">
        <v>12</v>
      </c>
      <c r="B17" t="s">
        <v>93</v>
      </c>
      <c r="C17">
        <v>8.9</v>
      </c>
      <c r="D17">
        <v>11.2</v>
      </c>
      <c r="E17">
        <v>8.9</v>
      </c>
      <c r="F17">
        <v>8.6</v>
      </c>
      <c r="G17">
        <v>10.199999999999999</v>
      </c>
      <c r="H17">
        <v>7.6</v>
      </c>
      <c r="I17">
        <v>8.9</v>
      </c>
      <c r="J17">
        <v>7.4</v>
      </c>
      <c r="K17">
        <v>11.8</v>
      </c>
      <c r="L17">
        <v>21</v>
      </c>
      <c r="M17">
        <v>9</v>
      </c>
      <c r="O17">
        <v>7.4</v>
      </c>
      <c r="P17">
        <v>8.6999999999999993</v>
      </c>
      <c r="Q17">
        <v>10.7</v>
      </c>
      <c r="R17">
        <v>9.1</v>
      </c>
      <c r="S17">
        <v>8</v>
      </c>
      <c r="T17">
        <v>8.9</v>
      </c>
      <c r="U17">
        <v>8.9</v>
      </c>
      <c r="V17">
        <v>10.5</v>
      </c>
      <c r="W17">
        <v>6.7</v>
      </c>
      <c r="X17">
        <v>9.1999999999999993</v>
      </c>
      <c r="Y17">
        <v>6.6</v>
      </c>
      <c r="Z17">
        <v>10.4</v>
      </c>
      <c r="AA17">
        <v>7.5</v>
      </c>
      <c r="AB17">
        <v>11.4</v>
      </c>
      <c r="AC17">
        <v>10.199999999999999</v>
      </c>
      <c r="AD17">
        <v>7</v>
      </c>
      <c r="AE17">
        <v>7.6</v>
      </c>
      <c r="AF17">
        <v>9.1999999999999993</v>
      </c>
      <c r="AG17">
        <v>6.1</v>
      </c>
      <c r="AH17">
        <v>8.6999999999999993</v>
      </c>
      <c r="AI17">
        <v>8.1</v>
      </c>
      <c r="AJ17">
        <v>9.4</v>
      </c>
      <c r="AK17">
        <v>10.8</v>
      </c>
      <c r="AL17">
        <v>8.1</v>
      </c>
      <c r="AM17">
        <v>9.4</v>
      </c>
      <c r="AN17">
        <v>9.6</v>
      </c>
      <c r="AO17">
        <v>7.3</v>
      </c>
      <c r="AP17">
        <v>9.1</v>
      </c>
      <c r="AQ17">
        <v>8</v>
      </c>
      <c r="AR17">
        <v>11.3</v>
      </c>
      <c r="AS17">
        <v>9.4</v>
      </c>
      <c r="AT17">
        <v>10</v>
      </c>
      <c r="AU17">
        <v>7.7</v>
      </c>
      <c r="AV17">
        <v>6.1</v>
      </c>
      <c r="AW17">
        <v>5.8</v>
      </c>
      <c r="AX17">
        <v>9.9</v>
      </c>
      <c r="AY17">
        <v>7.5</v>
      </c>
      <c r="AZ17">
        <v>8.1999999999999993</v>
      </c>
      <c r="BA17">
        <v>8.3000000000000007</v>
      </c>
      <c r="BB17">
        <v>7.9</v>
      </c>
    </row>
    <row r="18" spans="1:54" ht="14.15" customHeight="1"/>
    <row r="19" spans="1:54" ht="14.15" customHeight="1">
      <c r="A19" t="s">
        <v>13</v>
      </c>
    </row>
    <row r="20" spans="1:54" ht="14.15" customHeight="1">
      <c r="A20" t="s">
        <v>14</v>
      </c>
      <c r="B20" t="s">
        <v>93</v>
      </c>
      <c r="C20">
        <v>286</v>
      </c>
      <c r="D20">
        <v>322</v>
      </c>
      <c r="E20">
        <v>83</v>
      </c>
      <c r="F20">
        <v>234</v>
      </c>
      <c r="G20">
        <v>346</v>
      </c>
      <c r="H20">
        <v>222</v>
      </c>
      <c r="I20">
        <v>182</v>
      </c>
      <c r="J20">
        <v>291</v>
      </c>
      <c r="K20">
        <v>283</v>
      </c>
      <c r="L20">
        <v>312</v>
      </c>
      <c r="M20">
        <v>348</v>
      </c>
      <c r="N20">
        <v>249</v>
      </c>
      <c r="O20">
        <v>180</v>
      </c>
      <c r="P20">
        <v>225</v>
      </c>
      <c r="Q20">
        <v>309</v>
      </c>
      <c r="R20">
        <v>299</v>
      </c>
      <c r="S20">
        <v>346</v>
      </c>
      <c r="T20">
        <v>301</v>
      </c>
      <c r="U20">
        <v>322</v>
      </c>
      <c r="V20">
        <v>293</v>
      </c>
      <c r="W20">
        <v>300</v>
      </c>
      <c r="X20">
        <v>242</v>
      </c>
      <c r="Y20">
        <v>285</v>
      </c>
      <c r="Z20">
        <v>295</v>
      </c>
      <c r="AA20">
        <v>241</v>
      </c>
      <c r="AB20">
        <v>372</v>
      </c>
      <c r="AC20">
        <v>345</v>
      </c>
      <c r="AD20">
        <v>241</v>
      </c>
      <c r="AE20">
        <v>322</v>
      </c>
      <c r="AF20">
        <v>250</v>
      </c>
      <c r="AG20">
        <v>246</v>
      </c>
      <c r="AH20">
        <v>301</v>
      </c>
      <c r="AI20">
        <v>200</v>
      </c>
      <c r="AJ20">
        <v>353</v>
      </c>
      <c r="AK20">
        <v>281</v>
      </c>
      <c r="AL20">
        <v>286</v>
      </c>
      <c r="AM20">
        <v>320</v>
      </c>
      <c r="AN20">
        <v>340</v>
      </c>
      <c r="AO20">
        <v>246</v>
      </c>
      <c r="AP20">
        <v>363</v>
      </c>
      <c r="AQ20">
        <v>323</v>
      </c>
      <c r="AR20">
        <v>268</v>
      </c>
      <c r="AS20">
        <v>331</v>
      </c>
      <c r="AT20">
        <v>313</v>
      </c>
      <c r="AU20">
        <v>227</v>
      </c>
      <c r="AV20">
        <v>157</v>
      </c>
      <c r="AW20">
        <v>259</v>
      </c>
      <c r="AX20">
        <v>250</v>
      </c>
      <c r="AY20">
        <v>223</v>
      </c>
      <c r="AZ20">
        <v>393</v>
      </c>
      <c r="BA20">
        <v>290</v>
      </c>
      <c r="BB20">
        <v>198</v>
      </c>
    </row>
    <row r="21" spans="1:54" ht="14.15" customHeight="1">
      <c r="A21" t="s">
        <v>15</v>
      </c>
      <c r="B21" t="s">
        <v>93</v>
      </c>
      <c r="C21">
        <v>204</v>
      </c>
      <c r="D21">
        <v>216</v>
      </c>
      <c r="E21">
        <v>88</v>
      </c>
      <c r="F21">
        <v>191</v>
      </c>
      <c r="G21">
        <v>236</v>
      </c>
      <c r="H21">
        <v>165</v>
      </c>
      <c r="I21">
        <v>154</v>
      </c>
      <c r="J21">
        <v>214</v>
      </c>
      <c r="K21">
        <v>224</v>
      </c>
      <c r="L21">
        <v>259</v>
      </c>
      <c r="M21">
        <v>260</v>
      </c>
      <c r="N21">
        <v>175</v>
      </c>
      <c r="O21">
        <v>146</v>
      </c>
      <c r="P21">
        <v>165</v>
      </c>
      <c r="Q21">
        <v>212</v>
      </c>
      <c r="R21">
        <v>214</v>
      </c>
      <c r="S21">
        <v>228</v>
      </c>
      <c r="T21">
        <v>206</v>
      </c>
      <c r="U21">
        <v>230</v>
      </c>
      <c r="V21">
        <v>209</v>
      </c>
      <c r="W21">
        <v>238</v>
      </c>
      <c r="X21">
        <v>201</v>
      </c>
      <c r="Y21">
        <v>230</v>
      </c>
      <c r="Z21">
        <v>206</v>
      </c>
      <c r="AA21">
        <v>189</v>
      </c>
      <c r="AB21">
        <v>213</v>
      </c>
      <c r="AC21">
        <v>229</v>
      </c>
      <c r="AD21">
        <v>203</v>
      </c>
      <c r="AE21">
        <v>200</v>
      </c>
      <c r="AF21">
        <v>186</v>
      </c>
      <c r="AG21">
        <v>203</v>
      </c>
      <c r="AH21">
        <v>234</v>
      </c>
      <c r="AI21">
        <v>152</v>
      </c>
      <c r="AJ21">
        <v>213</v>
      </c>
      <c r="AK21">
        <v>198</v>
      </c>
      <c r="AL21">
        <v>216</v>
      </c>
      <c r="AM21">
        <v>222</v>
      </c>
      <c r="AN21">
        <v>215</v>
      </c>
      <c r="AO21">
        <v>213</v>
      </c>
      <c r="AP21">
        <v>251</v>
      </c>
      <c r="AQ21">
        <v>236</v>
      </c>
      <c r="AR21">
        <v>190</v>
      </c>
      <c r="AS21">
        <v>215</v>
      </c>
      <c r="AT21">
        <v>213</v>
      </c>
      <c r="AU21">
        <v>168</v>
      </c>
      <c r="AV21">
        <v>112</v>
      </c>
      <c r="AW21">
        <v>197</v>
      </c>
      <c r="AX21">
        <v>191</v>
      </c>
      <c r="AY21">
        <v>183</v>
      </c>
      <c r="AZ21">
        <v>257</v>
      </c>
      <c r="BA21">
        <v>209</v>
      </c>
      <c r="BB21">
        <v>154</v>
      </c>
    </row>
    <row r="22" spans="1:54" ht="14.15" customHeight="1">
      <c r="A22" t="s">
        <v>16</v>
      </c>
      <c r="B22" t="s">
        <v>92</v>
      </c>
      <c r="C22">
        <v>14.2</v>
      </c>
      <c r="D22">
        <v>17.3</v>
      </c>
      <c r="E22">
        <v>14.9</v>
      </c>
      <c r="F22">
        <v>15.8</v>
      </c>
      <c r="G22">
        <v>17.600000000000001</v>
      </c>
      <c r="H22">
        <v>19</v>
      </c>
      <c r="I22">
        <v>12.4</v>
      </c>
      <c r="J22">
        <v>7.5</v>
      </c>
      <c r="K22">
        <v>12.7</v>
      </c>
      <c r="L22">
        <v>22</v>
      </c>
      <c r="M22">
        <v>18.7</v>
      </c>
      <c r="N22">
        <v>16.100000000000001</v>
      </c>
      <c r="O22">
        <v>6.8</v>
      </c>
      <c r="P22">
        <v>16.399999999999999</v>
      </c>
      <c r="Q22">
        <v>11.8</v>
      </c>
      <c r="R22">
        <v>11.5</v>
      </c>
      <c r="S22">
        <v>9</v>
      </c>
      <c r="T22">
        <v>11</v>
      </c>
      <c r="U22">
        <v>13.6</v>
      </c>
      <c r="V22">
        <v>20.8</v>
      </c>
      <c r="W22">
        <v>11.1</v>
      </c>
      <c r="X22">
        <v>12.3</v>
      </c>
      <c r="Y22">
        <v>10.1</v>
      </c>
      <c r="Z22">
        <v>9.4</v>
      </c>
      <c r="AA22">
        <v>8.8000000000000007</v>
      </c>
      <c r="AB22">
        <v>19.3</v>
      </c>
      <c r="AC22">
        <v>13.1</v>
      </c>
      <c r="AD22">
        <v>12</v>
      </c>
      <c r="AE22">
        <v>8.6999999999999993</v>
      </c>
      <c r="AF22">
        <v>19.3</v>
      </c>
      <c r="AG22">
        <v>10.9</v>
      </c>
      <c r="AH22">
        <v>11.3</v>
      </c>
      <c r="AI22">
        <v>21</v>
      </c>
      <c r="AJ22">
        <v>12.6</v>
      </c>
      <c r="AK22">
        <v>14.2</v>
      </c>
      <c r="AL22">
        <v>7.4</v>
      </c>
      <c r="AM22">
        <v>10.5</v>
      </c>
      <c r="AN22">
        <v>19.5</v>
      </c>
      <c r="AO22">
        <v>13.3</v>
      </c>
      <c r="AP22">
        <v>8.8000000000000007</v>
      </c>
      <c r="AQ22">
        <v>10.199999999999999</v>
      </c>
      <c r="AR22">
        <v>15.4</v>
      </c>
      <c r="AS22">
        <v>12.2</v>
      </c>
      <c r="AT22">
        <v>13.6</v>
      </c>
      <c r="AU22">
        <v>21.9</v>
      </c>
      <c r="AV22">
        <v>11.5</v>
      </c>
      <c r="AW22">
        <v>10.6</v>
      </c>
      <c r="AX22">
        <v>15.5</v>
      </c>
      <c r="AY22">
        <v>10.7</v>
      </c>
      <c r="AZ22">
        <v>15</v>
      </c>
      <c r="BA22">
        <v>7.9</v>
      </c>
      <c r="BB22">
        <v>11.9</v>
      </c>
    </row>
    <row r="23" spans="1:54" ht="14.15" customHeight="1"/>
    <row r="24" spans="1:54" ht="14.15" customHeight="1">
      <c r="A24" t="s">
        <v>17</v>
      </c>
    </row>
    <row r="25" spans="1:54" ht="14.15" customHeight="1">
      <c r="A25" t="s">
        <v>18</v>
      </c>
      <c r="B25" t="s">
        <v>93</v>
      </c>
      <c r="C25">
        <v>65.599999999999994</v>
      </c>
      <c r="D25">
        <v>62.1</v>
      </c>
      <c r="E25">
        <v>53.7</v>
      </c>
      <c r="F25">
        <v>60.2</v>
      </c>
      <c r="G25">
        <v>59.1</v>
      </c>
      <c r="H25">
        <v>62.5</v>
      </c>
      <c r="I25">
        <v>61.6</v>
      </c>
      <c r="J25">
        <v>75.599999999999994</v>
      </c>
      <c r="K25">
        <v>70.2</v>
      </c>
      <c r="L25">
        <v>74.400000000000006</v>
      </c>
      <c r="M25">
        <v>61.2</v>
      </c>
      <c r="N25">
        <v>65.3</v>
      </c>
      <c r="O25">
        <v>81.7</v>
      </c>
      <c r="P25">
        <v>57.3</v>
      </c>
      <c r="Q25">
        <v>64.900000000000006</v>
      </c>
      <c r="R25">
        <v>59.4</v>
      </c>
      <c r="S25">
        <v>59.6</v>
      </c>
      <c r="T25">
        <v>54.2</v>
      </c>
      <c r="U25">
        <v>62.8</v>
      </c>
      <c r="V25">
        <v>58.2</v>
      </c>
      <c r="W25">
        <v>68.2</v>
      </c>
      <c r="X25">
        <v>75.5</v>
      </c>
      <c r="Y25">
        <v>72.3</v>
      </c>
      <c r="Z25">
        <v>64.8</v>
      </c>
      <c r="AA25">
        <v>66.599999999999994</v>
      </c>
      <c r="AB25">
        <v>59.6</v>
      </c>
      <c r="AC25">
        <v>60.4</v>
      </c>
      <c r="AD25">
        <v>63.7</v>
      </c>
      <c r="AE25">
        <v>56.3</v>
      </c>
      <c r="AF25">
        <v>60.4</v>
      </c>
      <c r="AG25">
        <v>66.099999999999994</v>
      </c>
      <c r="AH25">
        <v>79.5</v>
      </c>
      <c r="AI25">
        <v>55.1</v>
      </c>
      <c r="AJ25">
        <v>84.2</v>
      </c>
      <c r="AK25">
        <v>71.2</v>
      </c>
      <c r="AL25">
        <v>65.400000000000006</v>
      </c>
      <c r="AM25">
        <v>61</v>
      </c>
      <c r="AN25">
        <v>56.2</v>
      </c>
      <c r="AO25">
        <v>54.1</v>
      </c>
      <c r="AP25">
        <v>72.599999999999994</v>
      </c>
      <c r="AQ25">
        <v>76.900000000000006</v>
      </c>
      <c r="AR25">
        <v>67.900000000000006</v>
      </c>
      <c r="AS25">
        <v>62.1</v>
      </c>
      <c r="AT25">
        <v>61.9</v>
      </c>
      <c r="AU25">
        <v>56.3</v>
      </c>
      <c r="AV25">
        <v>55.2</v>
      </c>
      <c r="AW25">
        <v>65</v>
      </c>
      <c r="AX25">
        <v>65.8</v>
      </c>
      <c r="AY25">
        <v>61.9</v>
      </c>
      <c r="AZ25">
        <v>64.400000000000006</v>
      </c>
      <c r="BA25">
        <v>63.9</v>
      </c>
      <c r="BB25">
        <v>49.9</v>
      </c>
    </row>
    <row r="26" spans="1:54" ht="14.15" customHeight="1">
      <c r="A26" t="s">
        <v>19</v>
      </c>
      <c r="B26" t="s">
        <v>94</v>
      </c>
      <c r="C26">
        <v>820</v>
      </c>
      <c r="D26">
        <v>729</v>
      </c>
      <c r="E26">
        <v>1116</v>
      </c>
      <c r="F26">
        <v>1051</v>
      </c>
      <c r="G26">
        <v>633</v>
      </c>
      <c r="H26">
        <v>1134</v>
      </c>
      <c r="I26">
        <v>904</v>
      </c>
      <c r="J26">
        <v>1012</v>
      </c>
      <c r="K26">
        <v>920</v>
      </c>
      <c r="L26">
        <v>1124</v>
      </c>
      <c r="M26">
        <v>886</v>
      </c>
      <c r="N26">
        <v>721</v>
      </c>
      <c r="O26">
        <v>761</v>
      </c>
      <c r="P26">
        <v>618</v>
      </c>
      <c r="Q26">
        <v>849</v>
      </c>
      <c r="R26">
        <v>822</v>
      </c>
      <c r="S26">
        <v>588</v>
      </c>
      <c r="T26">
        <v>661</v>
      </c>
      <c r="U26">
        <v>674</v>
      </c>
      <c r="V26">
        <v>836</v>
      </c>
      <c r="W26">
        <v>674</v>
      </c>
      <c r="X26">
        <v>806</v>
      </c>
      <c r="Y26">
        <v>937</v>
      </c>
      <c r="Z26">
        <v>847</v>
      </c>
      <c r="AA26">
        <v>618</v>
      </c>
      <c r="AB26">
        <v>516</v>
      </c>
      <c r="AC26">
        <v>792</v>
      </c>
      <c r="AD26">
        <v>474</v>
      </c>
      <c r="AE26">
        <v>600</v>
      </c>
      <c r="AF26">
        <v>952</v>
      </c>
      <c r="AG26">
        <v>776</v>
      </c>
      <c r="AH26">
        <v>737</v>
      </c>
      <c r="AI26">
        <v>950</v>
      </c>
      <c r="AJ26">
        <v>744</v>
      </c>
      <c r="AK26">
        <v>711</v>
      </c>
      <c r="AL26">
        <v>484</v>
      </c>
      <c r="AM26">
        <v>875</v>
      </c>
      <c r="AN26">
        <v>740</v>
      </c>
      <c r="AO26">
        <v>1011</v>
      </c>
      <c r="AP26">
        <v>793</v>
      </c>
      <c r="AQ26">
        <v>801</v>
      </c>
      <c r="AR26">
        <v>782</v>
      </c>
      <c r="AS26">
        <v>457</v>
      </c>
      <c r="AT26">
        <v>796</v>
      </c>
      <c r="AU26">
        <v>933</v>
      </c>
      <c r="AV26">
        <v>1036</v>
      </c>
      <c r="AW26">
        <v>726</v>
      </c>
      <c r="AX26">
        <v>774</v>
      </c>
      <c r="AY26">
        <v>974</v>
      </c>
      <c r="AZ26">
        <v>655</v>
      </c>
      <c r="BA26">
        <v>674</v>
      </c>
      <c r="BB26">
        <v>515</v>
      </c>
    </row>
    <row r="27" spans="1:54" ht="14.15" customHeight="1"/>
    <row r="28" spans="1:54" ht="14.15" customHeight="1">
      <c r="A28" t="s">
        <v>20</v>
      </c>
    </row>
    <row r="29" spans="1:54" ht="14.15" customHeight="1">
      <c r="A29" t="s">
        <v>21</v>
      </c>
    </row>
    <row r="30" spans="1:54" ht="14.15" customHeight="1">
      <c r="A30" t="s">
        <v>22</v>
      </c>
    </row>
    <row r="31" spans="1:54" ht="14.15" customHeight="1">
      <c r="A31" t="s">
        <v>23</v>
      </c>
      <c r="B31" t="s">
        <v>92</v>
      </c>
      <c r="C31">
        <v>4.0999999999999996</v>
      </c>
      <c r="D31">
        <v>1.7</v>
      </c>
      <c r="E31">
        <v>0.8</v>
      </c>
      <c r="F31">
        <v>10.6</v>
      </c>
      <c r="G31">
        <v>0.8</v>
      </c>
      <c r="H31">
        <v>9.6999999999999993</v>
      </c>
      <c r="I31">
        <v>2.9</v>
      </c>
      <c r="J31">
        <v>8.8000000000000007</v>
      </c>
      <c r="K31">
        <v>8.8000000000000007</v>
      </c>
      <c r="L31">
        <v>4.4000000000000004</v>
      </c>
      <c r="M31">
        <v>12.8</v>
      </c>
      <c r="N31">
        <v>8.4</v>
      </c>
      <c r="O31">
        <v>12.3</v>
      </c>
      <c r="P31">
        <v>-6.9</v>
      </c>
      <c r="Q31">
        <v>0.6</v>
      </c>
      <c r="R31">
        <v>0.6</v>
      </c>
      <c r="S31">
        <v>-6.3</v>
      </c>
      <c r="T31">
        <v>1.3</v>
      </c>
      <c r="U31">
        <v>-5.5</v>
      </c>
      <c r="V31">
        <v>-3.3</v>
      </c>
      <c r="W31">
        <v>5</v>
      </c>
      <c r="X31">
        <v>12.7</v>
      </c>
      <c r="Y31">
        <v>8.4</v>
      </c>
      <c r="Z31">
        <v>1.8</v>
      </c>
      <c r="AA31">
        <v>2.5</v>
      </c>
      <c r="AB31">
        <v>-2.9</v>
      </c>
      <c r="AC31">
        <v>3</v>
      </c>
      <c r="AD31">
        <v>-4.7</v>
      </c>
      <c r="AE31">
        <v>-1.6</v>
      </c>
      <c r="AF31">
        <v>8.1</v>
      </c>
      <c r="AG31">
        <v>16.399999999999999</v>
      </c>
      <c r="AH31">
        <v>8.6999999999999993</v>
      </c>
      <c r="AI31">
        <v>6.2</v>
      </c>
      <c r="AJ31">
        <v>2.9</v>
      </c>
      <c r="AK31">
        <v>6.8</v>
      </c>
      <c r="AL31">
        <v>-3.5</v>
      </c>
      <c r="AM31">
        <v>0.9</v>
      </c>
      <c r="AN31">
        <v>-4</v>
      </c>
      <c r="AO31">
        <v>2</v>
      </c>
      <c r="AP31">
        <v>3.5</v>
      </c>
      <c r="AQ31">
        <v>4.0999999999999996</v>
      </c>
      <c r="AR31">
        <v>3.3</v>
      </c>
      <c r="AS31">
        <v>0.9</v>
      </c>
      <c r="AT31">
        <v>2.2999999999999998</v>
      </c>
      <c r="AU31">
        <v>0.8</v>
      </c>
      <c r="AV31">
        <v>-4.3</v>
      </c>
      <c r="AW31">
        <v>4.4000000000000004</v>
      </c>
      <c r="AX31">
        <v>11.5</v>
      </c>
      <c r="AY31">
        <v>4.3</v>
      </c>
      <c r="AZ31">
        <v>-9</v>
      </c>
      <c r="BA31">
        <v>0.1</v>
      </c>
      <c r="BB31">
        <v>-9.8000000000000007</v>
      </c>
    </row>
    <row r="32" spans="1:54" ht="14.15" customHeight="1">
      <c r="A32" t="s">
        <v>24</v>
      </c>
      <c r="B32" t="s">
        <v>92</v>
      </c>
      <c r="C32">
        <v>4.8</v>
      </c>
      <c r="D32">
        <v>2.2000000000000002</v>
      </c>
      <c r="E32">
        <v>4.9000000000000004</v>
      </c>
      <c r="F32">
        <v>11.3</v>
      </c>
      <c r="G32">
        <v>3.4</v>
      </c>
      <c r="H32">
        <v>8.5</v>
      </c>
      <c r="I32">
        <v>5.6</v>
      </c>
      <c r="J32">
        <v>0.2</v>
      </c>
      <c r="K32">
        <v>7.2</v>
      </c>
      <c r="L32">
        <v>3</v>
      </c>
      <c r="M32">
        <v>2.5</v>
      </c>
      <c r="N32">
        <v>5.4</v>
      </c>
      <c r="O32">
        <v>6.4</v>
      </c>
      <c r="P32">
        <v>7</v>
      </c>
      <c r="Q32">
        <v>3.8</v>
      </c>
      <c r="R32">
        <v>4.0999999999999996</v>
      </c>
      <c r="S32">
        <v>6.6</v>
      </c>
      <c r="T32">
        <v>9.1</v>
      </c>
      <c r="U32">
        <v>3.8</v>
      </c>
      <c r="V32">
        <v>2.2000000000000002</v>
      </c>
      <c r="W32">
        <v>5.0999999999999996</v>
      </c>
      <c r="X32">
        <v>7.8</v>
      </c>
      <c r="Y32">
        <v>0</v>
      </c>
      <c r="Z32">
        <v>2.1</v>
      </c>
      <c r="AA32">
        <v>9.1</v>
      </c>
      <c r="AB32">
        <v>4</v>
      </c>
      <c r="AC32">
        <v>6.8</v>
      </c>
      <c r="AD32">
        <v>2.9</v>
      </c>
      <c r="AE32">
        <v>3.9</v>
      </c>
      <c r="AF32">
        <v>16.7</v>
      </c>
      <c r="AG32">
        <v>7.6</v>
      </c>
      <c r="AH32">
        <v>1</v>
      </c>
      <c r="AI32">
        <v>3.4</v>
      </c>
      <c r="AJ32">
        <v>2.9</v>
      </c>
      <c r="AK32">
        <v>3.4</v>
      </c>
      <c r="AL32">
        <v>6.4</v>
      </c>
      <c r="AM32">
        <v>3</v>
      </c>
      <c r="AN32">
        <v>5.0999999999999996</v>
      </c>
      <c r="AO32">
        <v>9</v>
      </c>
      <c r="AP32">
        <v>2.7</v>
      </c>
      <c r="AQ32">
        <v>2.7</v>
      </c>
      <c r="AR32">
        <v>5.2</v>
      </c>
      <c r="AS32">
        <v>8.8000000000000007</v>
      </c>
      <c r="AT32">
        <v>2.9</v>
      </c>
      <c r="AU32">
        <v>3.4</v>
      </c>
      <c r="AV32">
        <v>15.1</v>
      </c>
      <c r="AW32">
        <v>4.4000000000000004</v>
      </c>
      <c r="AX32">
        <v>4.7</v>
      </c>
      <c r="AY32">
        <v>10.1</v>
      </c>
      <c r="AZ32">
        <v>-2.4</v>
      </c>
      <c r="BA32">
        <v>6.9</v>
      </c>
      <c r="BB32">
        <v>2.6</v>
      </c>
    </row>
    <row r="33" spans="1:54" ht="14.15" customHeight="1">
      <c r="A33" t="s">
        <v>25</v>
      </c>
      <c r="B33" t="s">
        <v>94</v>
      </c>
      <c r="C33">
        <v>35000</v>
      </c>
      <c r="D33">
        <v>27000</v>
      </c>
      <c r="E33">
        <v>46000</v>
      </c>
      <c r="F33">
        <v>31400</v>
      </c>
      <c r="G33">
        <v>27400</v>
      </c>
      <c r="H33">
        <v>40000</v>
      </c>
      <c r="I33">
        <v>33500</v>
      </c>
      <c r="J33">
        <v>48300</v>
      </c>
      <c r="K33">
        <v>36200</v>
      </c>
      <c r="L33">
        <v>38700</v>
      </c>
      <c r="M33">
        <v>31200</v>
      </c>
      <c r="N33">
        <v>30100</v>
      </c>
      <c r="O33">
        <v>36500</v>
      </c>
      <c r="P33">
        <v>27000</v>
      </c>
      <c r="Q33">
        <v>38600</v>
      </c>
      <c r="R33">
        <v>35100</v>
      </c>
      <c r="S33">
        <v>30100</v>
      </c>
      <c r="T33">
        <v>32900</v>
      </c>
      <c r="U33">
        <v>31100</v>
      </c>
      <c r="V33">
        <v>27600</v>
      </c>
      <c r="W33">
        <v>30300</v>
      </c>
      <c r="X33">
        <v>38800</v>
      </c>
      <c r="Y33">
        <v>38200</v>
      </c>
      <c r="Z33">
        <v>43600</v>
      </c>
      <c r="AA33">
        <v>35100</v>
      </c>
      <c r="AB33">
        <v>24400</v>
      </c>
      <c r="AC33">
        <v>29400</v>
      </c>
      <c r="AD33">
        <v>27600</v>
      </c>
      <c r="AE33">
        <v>28800</v>
      </c>
      <c r="AF33">
        <v>34100</v>
      </c>
      <c r="AG33">
        <v>33900</v>
      </c>
      <c r="AH33">
        <v>42700</v>
      </c>
      <c r="AI33">
        <v>26500</v>
      </c>
      <c r="AJ33">
        <v>45000</v>
      </c>
      <c r="AK33">
        <v>29300</v>
      </c>
      <c r="AL33">
        <v>25200</v>
      </c>
      <c r="AM33">
        <v>34500</v>
      </c>
      <c r="AN33">
        <v>25900</v>
      </c>
      <c r="AO33">
        <v>35900</v>
      </c>
      <c r="AP33">
        <v>41200</v>
      </c>
      <c r="AQ33">
        <v>37900</v>
      </c>
      <c r="AR33">
        <v>29200</v>
      </c>
      <c r="AS33">
        <v>24300</v>
      </c>
      <c r="AT33">
        <v>29000</v>
      </c>
      <c r="AU33">
        <v>29900</v>
      </c>
      <c r="AV33">
        <v>27200</v>
      </c>
      <c r="AW33">
        <v>34800</v>
      </c>
      <c r="AX33">
        <v>32300</v>
      </c>
      <c r="AY33">
        <v>35800</v>
      </c>
      <c r="AZ33">
        <v>30300</v>
      </c>
      <c r="BA33">
        <v>35900</v>
      </c>
      <c r="BB33">
        <v>30100</v>
      </c>
    </row>
    <row r="34" spans="1:54" ht="14.15" customHeight="1">
      <c r="A34" t="s">
        <v>26</v>
      </c>
    </row>
    <row r="35" spans="1:54" ht="14.15" customHeight="1">
      <c r="A35" t="s">
        <v>27</v>
      </c>
      <c r="B35" t="s">
        <v>92</v>
      </c>
      <c r="C35">
        <v>75.2</v>
      </c>
      <c r="D35">
        <v>66.900000000000006</v>
      </c>
      <c r="E35">
        <v>86.6</v>
      </c>
      <c r="F35">
        <v>78.7</v>
      </c>
      <c r="G35">
        <v>66.3</v>
      </c>
      <c r="H35">
        <v>76.2</v>
      </c>
      <c r="I35">
        <v>84.4</v>
      </c>
      <c r="J35">
        <v>79.2</v>
      </c>
      <c r="K35">
        <v>77.5</v>
      </c>
      <c r="L35">
        <v>73.099999999999994</v>
      </c>
      <c r="M35">
        <v>74.400000000000006</v>
      </c>
      <c r="N35">
        <v>70.900000000000006</v>
      </c>
      <c r="O35">
        <v>80.099999999999994</v>
      </c>
      <c r="P35">
        <v>79.7</v>
      </c>
      <c r="Q35">
        <v>76.2</v>
      </c>
      <c r="R35">
        <v>75.599999999999994</v>
      </c>
      <c r="S35">
        <v>80.099999999999994</v>
      </c>
      <c r="T35">
        <v>81.3</v>
      </c>
      <c r="U35">
        <v>64.599999999999994</v>
      </c>
      <c r="V35">
        <v>68.3</v>
      </c>
      <c r="W35">
        <v>78.8</v>
      </c>
      <c r="X35">
        <v>78.400000000000006</v>
      </c>
      <c r="Y35">
        <v>80</v>
      </c>
      <c r="Z35">
        <v>76.8</v>
      </c>
      <c r="AA35">
        <v>82.4</v>
      </c>
      <c r="AB35">
        <v>64.3</v>
      </c>
      <c r="AC35">
        <v>73.900000000000006</v>
      </c>
      <c r="AD35">
        <v>81</v>
      </c>
      <c r="AE35">
        <v>81.8</v>
      </c>
      <c r="AF35">
        <v>78.8</v>
      </c>
      <c r="AG35">
        <v>82.2</v>
      </c>
      <c r="AH35">
        <v>76.7</v>
      </c>
      <c r="AI35">
        <v>75.099999999999994</v>
      </c>
      <c r="AJ35">
        <v>74.8</v>
      </c>
      <c r="AK35">
        <v>70</v>
      </c>
      <c r="AL35">
        <v>76.7</v>
      </c>
      <c r="AM35">
        <v>75.7</v>
      </c>
      <c r="AN35">
        <v>74.599999999999994</v>
      </c>
      <c r="AO35">
        <v>81.5</v>
      </c>
      <c r="AP35">
        <v>74.7</v>
      </c>
      <c r="AQ35">
        <v>72</v>
      </c>
      <c r="AR35">
        <v>68.3</v>
      </c>
      <c r="AS35">
        <v>77.099999999999994</v>
      </c>
      <c r="AT35">
        <v>67.099999999999994</v>
      </c>
      <c r="AU35">
        <v>72.099999999999994</v>
      </c>
      <c r="AV35">
        <v>85.1</v>
      </c>
      <c r="AW35">
        <v>80.8</v>
      </c>
      <c r="AX35">
        <v>75.2</v>
      </c>
      <c r="AY35">
        <v>83.8</v>
      </c>
      <c r="AZ35">
        <v>66</v>
      </c>
      <c r="BA35">
        <v>78.599999999999994</v>
      </c>
      <c r="BB35">
        <v>83</v>
      </c>
    </row>
    <row r="36" spans="1:54" ht="14.15" customHeight="1">
      <c r="A36" t="s">
        <v>28</v>
      </c>
      <c r="B36" t="s">
        <v>92</v>
      </c>
      <c r="C36">
        <v>20.3</v>
      </c>
      <c r="D36">
        <v>15.7</v>
      </c>
      <c r="E36">
        <v>23</v>
      </c>
      <c r="F36">
        <v>20.3</v>
      </c>
      <c r="G36">
        <v>13.3</v>
      </c>
      <c r="H36">
        <v>23.4</v>
      </c>
      <c r="I36">
        <v>27</v>
      </c>
      <c r="J36">
        <v>27.2</v>
      </c>
      <c r="K36">
        <v>21.4</v>
      </c>
      <c r="L36">
        <v>33.299999999999997</v>
      </c>
      <c r="M36">
        <v>18.3</v>
      </c>
      <c r="N36">
        <v>19.3</v>
      </c>
      <c r="O36">
        <v>22.9</v>
      </c>
      <c r="P36">
        <v>17.7</v>
      </c>
      <c r="Q36">
        <v>21</v>
      </c>
      <c r="R36">
        <v>15.6</v>
      </c>
      <c r="S36">
        <v>16.899999999999999</v>
      </c>
      <c r="T36">
        <v>21.1</v>
      </c>
      <c r="U36">
        <v>13.6</v>
      </c>
      <c r="V36">
        <v>16.100000000000001</v>
      </c>
      <c r="W36">
        <v>18.8</v>
      </c>
      <c r="X36">
        <v>26.5</v>
      </c>
      <c r="Y36">
        <v>27.2</v>
      </c>
      <c r="Z36">
        <v>17.399999999999999</v>
      </c>
      <c r="AA36">
        <v>21.8</v>
      </c>
      <c r="AB36">
        <v>14.7</v>
      </c>
      <c r="AC36">
        <v>17.8</v>
      </c>
      <c r="AD36">
        <v>19.8</v>
      </c>
      <c r="AE36">
        <v>18.899999999999999</v>
      </c>
      <c r="AF36">
        <v>15.3</v>
      </c>
      <c r="AG36">
        <v>24.4</v>
      </c>
      <c r="AH36">
        <v>24.9</v>
      </c>
      <c r="AI36">
        <v>20.399999999999999</v>
      </c>
      <c r="AJ36">
        <v>23.1</v>
      </c>
      <c r="AK36">
        <v>17.399999999999999</v>
      </c>
      <c r="AL36">
        <v>18.100000000000001</v>
      </c>
      <c r="AM36">
        <v>17</v>
      </c>
      <c r="AN36">
        <v>17.8</v>
      </c>
      <c r="AO36">
        <v>20.6</v>
      </c>
      <c r="AP36">
        <v>17.899999999999999</v>
      </c>
      <c r="AQ36">
        <v>21.3</v>
      </c>
      <c r="AR36">
        <v>16.600000000000001</v>
      </c>
      <c r="AS36">
        <v>17.2</v>
      </c>
      <c r="AT36">
        <v>16</v>
      </c>
      <c r="AU36">
        <v>20.3</v>
      </c>
      <c r="AV36">
        <v>22.3</v>
      </c>
      <c r="AW36">
        <v>24.3</v>
      </c>
      <c r="AX36">
        <v>24.5</v>
      </c>
      <c r="AY36">
        <v>22.9</v>
      </c>
      <c r="AZ36">
        <v>12.3</v>
      </c>
      <c r="BA36">
        <v>17.7</v>
      </c>
      <c r="BB36">
        <v>18.8</v>
      </c>
    </row>
    <row r="37" spans="1:54" ht="14.15" customHeight="1">
      <c r="A37" t="s">
        <v>29</v>
      </c>
    </row>
    <row r="38" spans="1:54" ht="14.15" customHeight="1">
      <c r="A38" t="s">
        <v>30</v>
      </c>
      <c r="B38" t="s">
        <v>95</v>
      </c>
      <c r="C38">
        <v>56.3</v>
      </c>
      <c r="D38">
        <v>67.2</v>
      </c>
      <c r="E38">
        <v>39.1</v>
      </c>
      <c r="F38">
        <v>44.9</v>
      </c>
      <c r="G38">
        <v>70.3</v>
      </c>
      <c r="H38">
        <v>43.6</v>
      </c>
      <c r="I38">
        <v>52.5</v>
      </c>
      <c r="J38">
        <v>50</v>
      </c>
      <c r="K38">
        <v>59.8</v>
      </c>
      <c r="L38">
        <v>61.4</v>
      </c>
      <c r="M38">
        <v>48.3</v>
      </c>
      <c r="N38">
        <v>66.2</v>
      </c>
      <c r="O38">
        <v>55.1</v>
      </c>
      <c r="P38">
        <v>66.900000000000006</v>
      </c>
      <c r="Q38">
        <v>50.1</v>
      </c>
      <c r="R38">
        <v>65.3</v>
      </c>
      <c r="S38">
        <v>70.099999999999994</v>
      </c>
      <c r="T38">
        <v>57.5</v>
      </c>
      <c r="U38">
        <v>64.3</v>
      </c>
      <c r="V38">
        <v>70.400000000000006</v>
      </c>
      <c r="W38">
        <v>55.9</v>
      </c>
      <c r="X38">
        <v>46.3</v>
      </c>
      <c r="Y38">
        <v>63</v>
      </c>
      <c r="Z38">
        <v>51.5</v>
      </c>
      <c r="AA38">
        <v>58.5</v>
      </c>
      <c r="AB38">
        <v>75.8</v>
      </c>
      <c r="AC38">
        <v>56.8</v>
      </c>
      <c r="AD38">
        <v>74.900000000000006</v>
      </c>
      <c r="AE38">
        <v>56.1</v>
      </c>
      <c r="AF38">
        <v>33.1</v>
      </c>
      <c r="AG38">
        <v>63.2</v>
      </c>
      <c r="AH38">
        <v>50.4</v>
      </c>
      <c r="AI38">
        <v>49.7</v>
      </c>
      <c r="AJ38">
        <v>63</v>
      </c>
      <c r="AK38">
        <v>61.7</v>
      </c>
      <c r="AL38">
        <v>78.400000000000006</v>
      </c>
      <c r="AM38">
        <v>61.7</v>
      </c>
      <c r="AN38">
        <v>63.8</v>
      </c>
      <c r="AO38">
        <v>56.2</v>
      </c>
      <c r="AP38">
        <v>62.7</v>
      </c>
      <c r="AQ38">
        <v>62</v>
      </c>
      <c r="AR38">
        <v>64.400000000000006</v>
      </c>
      <c r="AS38">
        <v>69.5</v>
      </c>
      <c r="AT38">
        <v>64.400000000000006</v>
      </c>
      <c r="AU38">
        <v>54.5</v>
      </c>
      <c r="AV38">
        <v>68.099999999999994</v>
      </c>
      <c r="AW38">
        <v>67.2</v>
      </c>
      <c r="AX38">
        <v>56.3</v>
      </c>
      <c r="AY38">
        <v>57.4</v>
      </c>
      <c r="AZ38">
        <v>67.5</v>
      </c>
      <c r="BA38">
        <v>60.3</v>
      </c>
      <c r="BB38">
        <v>54.8</v>
      </c>
    </row>
    <row r="39" spans="1:54" ht="14.15" customHeight="1">
      <c r="A39" t="s">
        <v>31</v>
      </c>
      <c r="B39" t="s">
        <v>92</v>
      </c>
      <c r="C39">
        <v>21.8</v>
      </c>
      <c r="D39">
        <v>23.3</v>
      </c>
      <c r="E39">
        <v>17.899999999999999</v>
      </c>
      <c r="F39">
        <v>21.5</v>
      </c>
      <c r="G39">
        <v>16.600000000000001</v>
      </c>
      <c r="H39">
        <v>38.6</v>
      </c>
      <c r="I39">
        <v>15.4</v>
      </c>
      <c r="J39">
        <v>13.8</v>
      </c>
      <c r="K39">
        <v>15.7</v>
      </c>
      <c r="L39">
        <v>38.799999999999997</v>
      </c>
      <c r="M39">
        <v>26.8</v>
      </c>
      <c r="N39">
        <v>25.8</v>
      </c>
      <c r="O39">
        <v>63.8</v>
      </c>
      <c r="P39">
        <v>5.4</v>
      </c>
      <c r="Q39">
        <v>25</v>
      </c>
      <c r="R39">
        <v>9.6</v>
      </c>
      <c r="S39">
        <v>6.4</v>
      </c>
      <c r="T39">
        <v>10.3</v>
      </c>
      <c r="U39">
        <v>8.1</v>
      </c>
      <c r="V39">
        <v>28.9</v>
      </c>
      <c r="W39">
        <v>4.3</v>
      </c>
      <c r="X39">
        <v>26.5</v>
      </c>
      <c r="Y39">
        <v>13.6</v>
      </c>
      <c r="Z39">
        <v>14.9</v>
      </c>
      <c r="AA39">
        <v>6.6</v>
      </c>
      <c r="AB39">
        <v>29.2</v>
      </c>
      <c r="AC39">
        <v>12.2</v>
      </c>
      <c r="AD39">
        <v>12.5</v>
      </c>
      <c r="AE39">
        <v>7</v>
      </c>
      <c r="AF39">
        <v>18.3</v>
      </c>
      <c r="AG39">
        <v>5.4</v>
      </c>
      <c r="AH39">
        <v>23.8</v>
      </c>
      <c r="AI39">
        <v>38.9</v>
      </c>
      <c r="AJ39">
        <v>25.9</v>
      </c>
      <c r="AK39">
        <v>22.3</v>
      </c>
      <c r="AL39">
        <v>7</v>
      </c>
      <c r="AM39">
        <v>11.7</v>
      </c>
      <c r="AN39">
        <v>17.2</v>
      </c>
      <c r="AO39">
        <v>10.199999999999999</v>
      </c>
      <c r="AP39">
        <v>12.2</v>
      </c>
      <c r="AQ39">
        <v>9.9</v>
      </c>
      <c r="AR39">
        <v>23.3</v>
      </c>
      <c r="AS39">
        <v>7.4</v>
      </c>
      <c r="AT39">
        <v>16.8</v>
      </c>
      <c r="AU39">
        <v>31.4</v>
      </c>
      <c r="AV39">
        <v>5.6</v>
      </c>
      <c r="AW39">
        <v>3.9</v>
      </c>
      <c r="AX39">
        <v>20.9</v>
      </c>
      <c r="AY39">
        <v>14.5</v>
      </c>
      <c r="AZ39">
        <v>5.3</v>
      </c>
      <c r="BA39">
        <v>8.5</v>
      </c>
      <c r="BB39">
        <v>7.1</v>
      </c>
    </row>
    <row r="40" spans="1:54" ht="14.15" customHeight="1"/>
    <row r="41" spans="1:54" ht="14.15" customHeight="1">
      <c r="A41" t="s">
        <v>32</v>
      </c>
    </row>
    <row r="42" spans="1:54" ht="14.15" customHeight="1">
      <c r="A42" t="s">
        <v>33</v>
      </c>
      <c r="B42" t="s">
        <v>96</v>
      </c>
      <c r="C42">
        <v>758</v>
      </c>
      <c r="D42">
        <v>872</v>
      </c>
      <c r="E42">
        <v>660</v>
      </c>
      <c r="F42">
        <v>671</v>
      </c>
      <c r="G42">
        <v>577</v>
      </c>
      <c r="H42">
        <v>1120</v>
      </c>
      <c r="I42">
        <v>579</v>
      </c>
      <c r="J42">
        <v>495</v>
      </c>
      <c r="K42">
        <v>621</v>
      </c>
      <c r="L42">
        <v>2833</v>
      </c>
      <c r="M42">
        <v>1207</v>
      </c>
      <c r="N42">
        <v>733</v>
      </c>
      <c r="O42">
        <v>258</v>
      </c>
      <c r="P42">
        <v>281</v>
      </c>
      <c r="Q42">
        <v>977</v>
      </c>
      <c r="R42">
        <v>508</v>
      </c>
      <c r="S42">
        <v>278</v>
      </c>
      <c r="T42">
        <v>511</v>
      </c>
      <c r="U42">
        <v>535</v>
      </c>
      <c r="V42">
        <v>985</v>
      </c>
      <c r="W42">
        <v>131</v>
      </c>
      <c r="X42">
        <v>1000</v>
      </c>
      <c r="Y42">
        <v>779</v>
      </c>
      <c r="Z42">
        <v>770</v>
      </c>
      <c r="AA42">
        <v>338</v>
      </c>
      <c r="AB42">
        <v>412</v>
      </c>
      <c r="AC42">
        <v>740</v>
      </c>
      <c r="AD42">
        <v>170</v>
      </c>
      <c r="AE42">
        <v>349</v>
      </c>
      <c r="AF42">
        <v>697</v>
      </c>
      <c r="AG42">
        <v>126</v>
      </c>
      <c r="AH42">
        <v>626</v>
      </c>
      <c r="AI42">
        <v>935</v>
      </c>
      <c r="AJ42">
        <v>1122</v>
      </c>
      <c r="AK42">
        <v>681</v>
      </c>
      <c r="AL42">
        <v>83</v>
      </c>
      <c r="AM42">
        <v>526</v>
      </c>
      <c r="AN42">
        <v>623</v>
      </c>
      <c r="AO42">
        <v>510</v>
      </c>
      <c r="AP42">
        <v>427</v>
      </c>
      <c r="AQ42">
        <v>395</v>
      </c>
      <c r="AR42">
        <v>944</v>
      </c>
      <c r="AS42">
        <v>195</v>
      </c>
      <c r="AT42">
        <v>746</v>
      </c>
      <c r="AU42">
        <v>806</v>
      </c>
      <c r="AV42">
        <v>291</v>
      </c>
      <c r="AW42">
        <v>109</v>
      </c>
      <c r="AX42">
        <v>375</v>
      </c>
      <c r="AY42">
        <v>535</v>
      </c>
      <c r="AZ42">
        <v>212</v>
      </c>
      <c r="BA42">
        <v>276</v>
      </c>
      <c r="BB42">
        <v>320</v>
      </c>
    </row>
    <row r="43" spans="1:54" ht="14.15" customHeight="1">
      <c r="A43" t="s">
        <v>34</v>
      </c>
      <c r="B43" t="s">
        <v>93</v>
      </c>
      <c r="C43">
        <v>3.5</v>
      </c>
      <c r="D43">
        <v>4.2</v>
      </c>
      <c r="E43">
        <v>4.9000000000000004</v>
      </c>
      <c r="F43">
        <v>4.3</v>
      </c>
      <c r="G43">
        <v>3.5</v>
      </c>
      <c r="H43">
        <v>3.5</v>
      </c>
      <c r="I43">
        <v>2.6</v>
      </c>
      <c r="J43">
        <v>3.5</v>
      </c>
      <c r="K43">
        <v>5.9</v>
      </c>
      <c r="L43">
        <v>18.600000000000001</v>
      </c>
      <c r="M43">
        <v>3.6</v>
      </c>
      <c r="N43">
        <v>3.7</v>
      </c>
      <c r="O43">
        <v>2.5</v>
      </c>
      <c r="P43">
        <v>2.1</v>
      </c>
      <c r="Q43">
        <v>2.7</v>
      </c>
      <c r="R43">
        <v>2.5</v>
      </c>
      <c r="S43">
        <v>1.6</v>
      </c>
      <c r="T43">
        <v>2.4</v>
      </c>
      <c r="U43">
        <v>2.8</v>
      </c>
      <c r="V43">
        <v>4.9000000000000004</v>
      </c>
      <c r="W43">
        <v>1.2</v>
      </c>
      <c r="X43">
        <v>4.0999999999999996</v>
      </c>
      <c r="Y43">
        <v>1.7</v>
      </c>
      <c r="Z43">
        <v>4.0999999999999996</v>
      </c>
      <c r="AA43">
        <v>0.9</v>
      </c>
      <c r="AB43">
        <v>3.4</v>
      </c>
      <c r="AC43">
        <v>3.1</v>
      </c>
      <c r="AD43">
        <v>1.8</v>
      </c>
      <c r="AE43">
        <v>1.6</v>
      </c>
      <c r="AF43">
        <v>4.5</v>
      </c>
      <c r="AG43">
        <v>1.6</v>
      </c>
      <c r="AH43">
        <v>2.9</v>
      </c>
      <c r="AI43">
        <v>2.1</v>
      </c>
      <c r="AJ43">
        <v>3.4</v>
      </c>
      <c r="AK43">
        <v>3</v>
      </c>
      <c r="AL43">
        <v>0.8</v>
      </c>
      <c r="AM43">
        <v>3.5</v>
      </c>
      <c r="AN43">
        <v>4.5999999999999996</v>
      </c>
      <c r="AO43">
        <v>2.2000000000000002</v>
      </c>
      <c r="AP43">
        <v>2.1</v>
      </c>
      <c r="AQ43">
        <v>2.8</v>
      </c>
      <c r="AR43">
        <v>5.2</v>
      </c>
      <c r="AS43">
        <v>2.1</v>
      </c>
      <c r="AT43">
        <v>2.4</v>
      </c>
      <c r="AU43">
        <v>3.5</v>
      </c>
      <c r="AV43">
        <v>1.5</v>
      </c>
      <c r="AW43">
        <v>2.2000000000000002</v>
      </c>
      <c r="AX43">
        <v>3.3</v>
      </c>
      <c r="AY43">
        <v>1.9</v>
      </c>
      <c r="AZ43">
        <v>0.9</v>
      </c>
      <c r="BA43">
        <v>1.8</v>
      </c>
      <c r="BB43">
        <v>2.2999999999999998</v>
      </c>
    </row>
    <row r="44" spans="1:54" ht="14.15" customHeight="1">
      <c r="A44" t="s">
        <v>35</v>
      </c>
      <c r="B44" t="str">
        <f>"1000's"</f>
        <v>1000's</v>
      </c>
      <c r="C44">
        <v>1899</v>
      </c>
      <c r="D44">
        <v>28</v>
      </c>
      <c r="E44">
        <v>10</v>
      </c>
      <c r="F44">
        <v>29</v>
      </c>
      <c r="G44">
        <v>17</v>
      </c>
      <c r="H44">
        <v>326</v>
      </c>
      <c r="I44">
        <v>34</v>
      </c>
      <c r="J44">
        <v>14</v>
      </c>
      <c r="K44">
        <v>5</v>
      </c>
      <c r="L44">
        <v>6</v>
      </c>
      <c r="M44">
        <v>116</v>
      </c>
      <c r="N44">
        <v>51</v>
      </c>
      <c r="O44">
        <v>5</v>
      </c>
      <c r="P44">
        <v>12</v>
      </c>
      <c r="Q44">
        <v>74</v>
      </c>
      <c r="R44">
        <v>39</v>
      </c>
      <c r="S44">
        <v>19</v>
      </c>
      <c r="T44">
        <v>22</v>
      </c>
      <c r="U44">
        <v>36</v>
      </c>
      <c r="V44">
        <v>26</v>
      </c>
      <c r="W44">
        <v>5</v>
      </c>
      <c r="X44">
        <v>30</v>
      </c>
      <c r="Y44">
        <v>32</v>
      </c>
      <c r="Z44">
        <v>52</v>
      </c>
      <c r="AA44">
        <v>18</v>
      </c>
      <c r="AB44">
        <v>18</v>
      </c>
      <c r="AC44">
        <v>49</v>
      </c>
      <c r="AD44">
        <v>10</v>
      </c>
      <c r="AE44">
        <v>8</v>
      </c>
      <c r="AF44">
        <v>14</v>
      </c>
      <c r="AG44">
        <v>7</v>
      </c>
      <c r="AH44">
        <v>50</v>
      </c>
      <c r="AI44">
        <v>27</v>
      </c>
      <c r="AJ44">
        <v>138</v>
      </c>
      <c r="AK44">
        <v>55</v>
      </c>
      <c r="AL44">
        <v>5</v>
      </c>
      <c r="AM44">
        <v>95</v>
      </c>
      <c r="AN44">
        <v>24</v>
      </c>
      <c r="AO44">
        <v>26</v>
      </c>
      <c r="AP44">
        <v>26</v>
      </c>
      <c r="AQ44">
        <v>8</v>
      </c>
      <c r="AR44">
        <v>20</v>
      </c>
      <c r="AS44">
        <v>10</v>
      </c>
      <c r="AT44">
        <v>31</v>
      </c>
      <c r="AU44">
        <v>111</v>
      </c>
      <c r="AV44">
        <v>16</v>
      </c>
      <c r="AW44">
        <v>3</v>
      </c>
      <c r="AX44">
        <v>36</v>
      </c>
      <c r="AY44">
        <v>40</v>
      </c>
      <c r="AZ44">
        <v>13</v>
      </c>
      <c r="BA44">
        <v>48</v>
      </c>
      <c r="BB44">
        <v>3</v>
      </c>
    </row>
    <row r="45" spans="1:54" ht="14.15" customHeight="1"/>
    <row r="46" spans="1:54" ht="14.15" customHeight="1">
      <c r="A46" t="s">
        <v>36</v>
      </c>
    </row>
    <row r="47" spans="1:54" ht="14.15" customHeight="1">
      <c r="A47" t="s">
        <v>37</v>
      </c>
      <c r="B47" t="s">
        <v>97</v>
      </c>
      <c r="C47">
        <v>1260</v>
      </c>
      <c r="D47">
        <v>21</v>
      </c>
      <c r="E47">
        <v>5</v>
      </c>
      <c r="F47">
        <v>18</v>
      </c>
      <c r="G47">
        <v>11</v>
      </c>
      <c r="H47">
        <v>147</v>
      </c>
      <c r="I47">
        <v>18</v>
      </c>
      <c r="J47">
        <v>16</v>
      </c>
      <c r="K47">
        <v>3</v>
      </c>
      <c r="L47">
        <v>20</v>
      </c>
      <c r="M47">
        <v>69</v>
      </c>
      <c r="N47">
        <v>30</v>
      </c>
      <c r="O47">
        <v>7</v>
      </c>
      <c r="P47">
        <v>5</v>
      </c>
      <c r="Q47">
        <v>48</v>
      </c>
      <c r="R47">
        <v>22</v>
      </c>
      <c r="S47">
        <v>12</v>
      </c>
      <c r="T47">
        <v>12</v>
      </c>
      <c r="U47">
        <v>17</v>
      </c>
      <c r="V47">
        <v>20</v>
      </c>
      <c r="W47">
        <v>7</v>
      </c>
      <c r="X47">
        <v>34</v>
      </c>
      <c r="Y47">
        <v>34</v>
      </c>
      <c r="Z47">
        <v>37</v>
      </c>
      <c r="AA47">
        <v>18</v>
      </c>
      <c r="AB47">
        <v>13</v>
      </c>
      <c r="AC47">
        <v>29</v>
      </c>
      <c r="AD47">
        <v>4</v>
      </c>
      <c r="AE47">
        <v>8</v>
      </c>
      <c r="AF47">
        <v>6</v>
      </c>
      <c r="AG47">
        <v>4</v>
      </c>
      <c r="AH47">
        <v>36</v>
      </c>
      <c r="AI47">
        <v>11</v>
      </c>
      <c r="AJ47">
        <v>87</v>
      </c>
      <c r="AK47">
        <v>27</v>
      </c>
      <c r="AL47">
        <v>4</v>
      </c>
      <c r="AM47">
        <v>46</v>
      </c>
      <c r="AN47">
        <v>15</v>
      </c>
      <c r="AO47">
        <v>12</v>
      </c>
      <c r="AP47">
        <v>58</v>
      </c>
      <c r="AQ47">
        <v>5</v>
      </c>
      <c r="AR47">
        <v>16</v>
      </c>
      <c r="AS47">
        <v>4</v>
      </c>
      <c r="AT47">
        <v>24</v>
      </c>
      <c r="AU47">
        <v>75</v>
      </c>
      <c r="AV47">
        <v>7</v>
      </c>
      <c r="AW47">
        <v>2</v>
      </c>
      <c r="AX47">
        <v>44</v>
      </c>
      <c r="AY47">
        <v>25</v>
      </c>
      <c r="AZ47">
        <v>9</v>
      </c>
      <c r="BA47">
        <v>19</v>
      </c>
      <c r="BB47">
        <v>2</v>
      </c>
    </row>
    <row r="48" spans="1:54" ht="14.15" customHeight="1">
      <c r="A48" t="s">
        <v>38</v>
      </c>
      <c r="B48" t="s">
        <v>92</v>
      </c>
      <c r="C48">
        <v>18.3</v>
      </c>
      <c r="D48">
        <v>19</v>
      </c>
      <c r="E48">
        <v>37.4</v>
      </c>
      <c r="F48">
        <v>22.9</v>
      </c>
      <c r="G48">
        <v>9.4</v>
      </c>
      <c r="H48">
        <v>25</v>
      </c>
      <c r="I48">
        <v>26.6</v>
      </c>
      <c r="J48">
        <v>21.3</v>
      </c>
      <c r="K48">
        <v>14.6</v>
      </c>
      <c r="L48">
        <v>14</v>
      </c>
      <c r="M48">
        <v>18.600000000000001</v>
      </c>
      <c r="N48">
        <v>27.2</v>
      </c>
      <c r="O48">
        <v>41.5</v>
      </c>
      <c r="P48">
        <v>8.3000000000000007</v>
      </c>
      <c r="Q48">
        <v>6.8</v>
      </c>
      <c r="R48">
        <v>13</v>
      </c>
      <c r="S48">
        <v>4.9000000000000004</v>
      </c>
      <c r="T48">
        <v>15.4</v>
      </c>
      <c r="U48">
        <v>15.7</v>
      </c>
      <c r="V48">
        <v>14.3</v>
      </c>
      <c r="W48">
        <v>25.9</v>
      </c>
      <c r="X48">
        <v>21.2</v>
      </c>
      <c r="Y48">
        <v>20.6</v>
      </c>
      <c r="Z48">
        <v>6.4</v>
      </c>
      <c r="AA48">
        <v>10.7</v>
      </c>
      <c r="AB48">
        <v>20.8</v>
      </c>
      <c r="AC48">
        <v>23.6</v>
      </c>
      <c r="AD48">
        <v>7.6</v>
      </c>
      <c r="AE48">
        <v>12.2</v>
      </c>
      <c r="AF48">
        <v>14.3</v>
      </c>
      <c r="AG48">
        <v>15.2</v>
      </c>
      <c r="AH48">
        <v>11.7</v>
      </c>
      <c r="AI48">
        <v>16.899999999999999</v>
      </c>
      <c r="AJ48">
        <v>7.4</v>
      </c>
      <c r="AK48">
        <v>19.3</v>
      </c>
      <c r="AL48">
        <v>14.1</v>
      </c>
      <c r="AM48">
        <v>12.3</v>
      </c>
      <c r="AN48">
        <v>17.7</v>
      </c>
      <c r="AO48">
        <v>5.0999999999999996</v>
      </c>
      <c r="AP48">
        <v>9.6999999999999993</v>
      </c>
      <c r="AQ48">
        <v>15.5</v>
      </c>
      <c r="AR48">
        <v>19.899999999999999</v>
      </c>
      <c r="AS48">
        <v>9.8000000000000007</v>
      </c>
      <c r="AT48">
        <v>8.1999999999999993</v>
      </c>
      <c r="AU48">
        <v>21.4</v>
      </c>
      <c r="AV48">
        <v>20.6</v>
      </c>
      <c r="AW48">
        <v>6.3</v>
      </c>
      <c r="AX48">
        <v>42</v>
      </c>
      <c r="AY48">
        <v>21</v>
      </c>
      <c r="AZ48">
        <v>4</v>
      </c>
      <c r="BA48">
        <v>6.8</v>
      </c>
      <c r="BB48">
        <v>11</v>
      </c>
    </row>
    <row r="49" spans="1:54" ht="14.15" customHeight="1">
      <c r="A49" t="s">
        <v>39</v>
      </c>
    </row>
    <row r="50" spans="1:54" ht="14.15" customHeight="1">
      <c r="A50" t="s">
        <v>40</v>
      </c>
      <c r="B50" t="s">
        <v>97</v>
      </c>
      <c r="C50">
        <v>195</v>
      </c>
      <c r="D50">
        <v>3</v>
      </c>
      <c r="E50">
        <v>1</v>
      </c>
      <c r="F50">
        <v>3</v>
      </c>
      <c r="G50">
        <v>2</v>
      </c>
      <c r="H50">
        <v>22</v>
      </c>
      <c r="I50">
        <v>2</v>
      </c>
      <c r="J50">
        <v>3</v>
      </c>
      <c r="K50" t="s">
        <v>113</v>
      </c>
      <c r="L50">
        <v>2</v>
      </c>
      <c r="M50">
        <v>8</v>
      </c>
      <c r="N50">
        <v>4</v>
      </c>
      <c r="O50">
        <v>1</v>
      </c>
      <c r="P50">
        <v>1</v>
      </c>
      <c r="Q50">
        <v>8</v>
      </c>
      <c r="R50">
        <v>4</v>
      </c>
      <c r="S50">
        <v>2</v>
      </c>
      <c r="T50">
        <v>2</v>
      </c>
      <c r="U50">
        <v>3</v>
      </c>
      <c r="V50">
        <v>5</v>
      </c>
      <c r="W50">
        <v>1</v>
      </c>
      <c r="X50">
        <v>3</v>
      </c>
      <c r="Y50">
        <v>6</v>
      </c>
      <c r="Z50">
        <v>7</v>
      </c>
      <c r="AA50">
        <v>3</v>
      </c>
      <c r="AB50">
        <v>2</v>
      </c>
      <c r="AC50">
        <v>4</v>
      </c>
      <c r="AD50">
        <v>1</v>
      </c>
      <c r="AE50">
        <v>1</v>
      </c>
      <c r="AF50">
        <v>1</v>
      </c>
      <c r="AG50">
        <v>1</v>
      </c>
      <c r="AH50">
        <v>6</v>
      </c>
      <c r="AI50">
        <v>2</v>
      </c>
      <c r="AJ50">
        <v>21</v>
      </c>
      <c r="AK50">
        <v>4</v>
      </c>
      <c r="AL50">
        <v>1</v>
      </c>
      <c r="AM50">
        <v>8</v>
      </c>
      <c r="AN50">
        <v>2</v>
      </c>
      <c r="AO50">
        <v>2</v>
      </c>
      <c r="AP50">
        <v>9</v>
      </c>
      <c r="AQ50">
        <v>1</v>
      </c>
      <c r="AR50">
        <v>3</v>
      </c>
      <c r="AS50">
        <v>1</v>
      </c>
      <c r="AT50">
        <v>4</v>
      </c>
      <c r="AU50">
        <v>11</v>
      </c>
      <c r="AV50">
        <v>1</v>
      </c>
      <c r="AW50">
        <v>1</v>
      </c>
      <c r="AX50">
        <v>3</v>
      </c>
      <c r="AY50">
        <v>4</v>
      </c>
      <c r="AZ50">
        <v>1884</v>
      </c>
      <c r="BA50">
        <v>3</v>
      </c>
      <c r="BB50">
        <v>1</v>
      </c>
    </row>
    <row r="51" spans="1:54" ht="14.15" customHeight="1">
      <c r="A51" t="s">
        <v>41</v>
      </c>
      <c r="B51" t="s">
        <v>94</v>
      </c>
      <c r="C51">
        <v>746</v>
      </c>
      <c r="D51">
        <v>736</v>
      </c>
      <c r="E51">
        <v>1583</v>
      </c>
      <c r="F51">
        <v>671</v>
      </c>
      <c r="G51">
        <v>765</v>
      </c>
      <c r="H51">
        <v>693</v>
      </c>
      <c r="I51">
        <v>592</v>
      </c>
      <c r="J51">
        <v>821</v>
      </c>
      <c r="K51">
        <v>650</v>
      </c>
      <c r="L51">
        <v>3392</v>
      </c>
      <c r="M51">
        <v>554</v>
      </c>
      <c r="N51">
        <v>637</v>
      </c>
      <c r="O51">
        <v>840</v>
      </c>
      <c r="P51">
        <v>648</v>
      </c>
      <c r="Q51">
        <v>671</v>
      </c>
      <c r="R51">
        <v>653</v>
      </c>
      <c r="S51">
        <v>617</v>
      </c>
      <c r="T51">
        <v>635</v>
      </c>
      <c r="U51">
        <v>802</v>
      </c>
      <c r="V51">
        <v>1122</v>
      </c>
      <c r="W51">
        <v>941</v>
      </c>
      <c r="X51">
        <v>667</v>
      </c>
      <c r="Y51">
        <v>918</v>
      </c>
      <c r="Z51">
        <v>702</v>
      </c>
      <c r="AA51">
        <v>730</v>
      </c>
      <c r="AB51">
        <v>864</v>
      </c>
      <c r="AC51">
        <v>681</v>
      </c>
      <c r="AD51">
        <v>990</v>
      </c>
      <c r="AE51">
        <v>690</v>
      </c>
      <c r="AF51">
        <v>552</v>
      </c>
      <c r="AG51">
        <v>579</v>
      </c>
      <c r="AH51">
        <v>786</v>
      </c>
      <c r="AI51">
        <v>949</v>
      </c>
      <c r="AJ51">
        <v>1163</v>
      </c>
      <c r="AK51">
        <v>648</v>
      </c>
      <c r="AL51">
        <v>1008</v>
      </c>
      <c r="AM51">
        <v>696</v>
      </c>
      <c r="AN51">
        <v>653</v>
      </c>
      <c r="AO51">
        <v>692</v>
      </c>
      <c r="AP51">
        <v>707</v>
      </c>
      <c r="AQ51">
        <v>1107</v>
      </c>
      <c r="AR51">
        <v>692</v>
      </c>
      <c r="AS51">
        <v>915</v>
      </c>
      <c r="AT51">
        <v>770</v>
      </c>
      <c r="AU51">
        <v>612</v>
      </c>
      <c r="AV51">
        <v>631</v>
      </c>
      <c r="AW51">
        <v>967</v>
      </c>
      <c r="AX51">
        <v>454</v>
      </c>
      <c r="AY51">
        <v>708</v>
      </c>
      <c r="AZ51">
        <v>1035</v>
      </c>
      <c r="BA51">
        <v>674</v>
      </c>
      <c r="BB51">
        <v>1372</v>
      </c>
    </row>
    <row r="52" spans="1:54" ht="14.15" customHeight="1">
      <c r="A52" t="s">
        <v>42</v>
      </c>
    </row>
    <row r="53" spans="1:54" ht="14.15" customHeight="1">
      <c r="A53" t="s">
        <v>43</v>
      </c>
      <c r="B53" t="s">
        <v>95</v>
      </c>
      <c r="C53">
        <v>15.9</v>
      </c>
      <c r="D53">
        <v>17.899999999999999</v>
      </c>
      <c r="E53">
        <v>6.3</v>
      </c>
      <c r="F53">
        <v>16.600000000000001</v>
      </c>
      <c r="G53">
        <v>20.100000000000001</v>
      </c>
      <c r="H53">
        <v>12.4</v>
      </c>
      <c r="I53">
        <v>13.1</v>
      </c>
      <c r="J53">
        <v>16.7</v>
      </c>
      <c r="K53">
        <v>16.2</v>
      </c>
      <c r="L53">
        <v>13.5</v>
      </c>
      <c r="M53">
        <v>20.8</v>
      </c>
      <c r="N53">
        <v>13.8</v>
      </c>
      <c r="O53">
        <v>13.4</v>
      </c>
      <c r="P53">
        <v>15.6</v>
      </c>
      <c r="Q53">
        <v>15.5</v>
      </c>
      <c r="R53">
        <v>16.600000000000001</v>
      </c>
      <c r="S53">
        <v>19</v>
      </c>
      <c r="T53">
        <v>16.7</v>
      </c>
      <c r="U53">
        <v>18</v>
      </c>
      <c r="V53">
        <v>15.9</v>
      </c>
      <c r="W53">
        <v>18.100000000000001</v>
      </c>
      <c r="X53">
        <v>13</v>
      </c>
      <c r="Y53">
        <v>16.899999999999999</v>
      </c>
      <c r="Z53">
        <v>16.399999999999999</v>
      </c>
      <c r="AA53">
        <v>15.4</v>
      </c>
      <c r="AB53">
        <v>17.899999999999999</v>
      </c>
      <c r="AC53">
        <v>18.100000000000001</v>
      </c>
      <c r="AD53">
        <v>17.8</v>
      </c>
      <c r="AE53">
        <v>17.2</v>
      </c>
      <c r="AF53">
        <v>14.4</v>
      </c>
      <c r="AG53">
        <v>15.4</v>
      </c>
      <c r="AH53">
        <v>16.2</v>
      </c>
      <c r="AI53">
        <v>14.9</v>
      </c>
      <c r="AJ53">
        <v>16.100000000000001</v>
      </c>
      <c r="AK53">
        <v>16.7</v>
      </c>
      <c r="AL53">
        <v>18</v>
      </c>
      <c r="AM53">
        <v>16.899999999999999</v>
      </c>
      <c r="AN53">
        <v>17.2</v>
      </c>
      <c r="AO53">
        <v>17.5</v>
      </c>
      <c r="AP53">
        <v>19.100000000000001</v>
      </c>
      <c r="AQ53">
        <v>18.600000000000001</v>
      </c>
      <c r="AR53">
        <v>16</v>
      </c>
      <c r="AS53">
        <v>18.600000000000001</v>
      </c>
      <c r="AT53">
        <v>17.3</v>
      </c>
      <c r="AU53">
        <v>13.1</v>
      </c>
      <c r="AV53">
        <v>11.3</v>
      </c>
      <c r="AW53">
        <v>16.100000000000001</v>
      </c>
      <c r="AX53">
        <v>13.8</v>
      </c>
      <c r="AY53">
        <v>14.5</v>
      </c>
      <c r="AZ53">
        <v>20.8</v>
      </c>
      <c r="BA53">
        <v>17.3</v>
      </c>
      <c r="BB53">
        <v>14.2</v>
      </c>
    </row>
    <row r="54" spans="1:54" ht="14.15" customHeight="1">
      <c r="A54" t="s">
        <v>44</v>
      </c>
      <c r="B54" t="s">
        <v>98</v>
      </c>
      <c r="C54">
        <v>7.6</v>
      </c>
      <c r="D54">
        <v>7.1</v>
      </c>
      <c r="E54">
        <v>6.7</v>
      </c>
      <c r="F54">
        <v>6.4</v>
      </c>
      <c r="G54">
        <v>6.8</v>
      </c>
      <c r="H54">
        <v>10.7</v>
      </c>
      <c r="I54">
        <v>5</v>
      </c>
      <c r="J54">
        <v>6</v>
      </c>
      <c r="K54">
        <v>5.2</v>
      </c>
      <c r="L54">
        <v>13.3</v>
      </c>
      <c r="M54">
        <v>6.8</v>
      </c>
      <c r="N54">
        <v>8.5</v>
      </c>
      <c r="O54">
        <v>5.9</v>
      </c>
      <c r="P54">
        <v>3.2</v>
      </c>
      <c r="Q54">
        <v>7.9</v>
      </c>
      <c r="R54">
        <v>5</v>
      </c>
      <c r="S54">
        <v>5</v>
      </c>
      <c r="T54">
        <v>4.5999999999999996</v>
      </c>
      <c r="U54">
        <v>9.8000000000000007</v>
      </c>
      <c r="V54">
        <v>10.199999999999999</v>
      </c>
      <c r="W54">
        <v>7.6</v>
      </c>
      <c r="X54">
        <v>6</v>
      </c>
      <c r="Y54">
        <v>7.5</v>
      </c>
      <c r="Z54">
        <v>9</v>
      </c>
      <c r="AA54">
        <v>5.7</v>
      </c>
      <c r="AB54">
        <v>11.8</v>
      </c>
      <c r="AC54">
        <v>6.8</v>
      </c>
      <c r="AD54">
        <v>5.4</v>
      </c>
      <c r="AE54">
        <v>4.2</v>
      </c>
      <c r="AF54">
        <v>3.6</v>
      </c>
      <c r="AG54">
        <v>3.4</v>
      </c>
      <c r="AH54">
        <v>6.1</v>
      </c>
      <c r="AI54">
        <v>8</v>
      </c>
      <c r="AJ54">
        <v>9</v>
      </c>
      <c r="AK54">
        <v>7.2</v>
      </c>
      <c r="AL54">
        <v>4.3</v>
      </c>
      <c r="AM54">
        <v>8.6999999999999993</v>
      </c>
      <c r="AN54">
        <v>6.4</v>
      </c>
      <c r="AO54">
        <v>5.2</v>
      </c>
      <c r="AP54">
        <v>6.9</v>
      </c>
      <c r="AQ54">
        <v>8</v>
      </c>
      <c r="AR54">
        <v>6.7</v>
      </c>
      <c r="AS54">
        <v>4.5999999999999996</v>
      </c>
      <c r="AT54">
        <v>8.6</v>
      </c>
      <c r="AU54">
        <v>6.3</v>
      </c>
      <c r="AV54">
        <v>3.8</v>
      </c>
      <c r="AW54">
        <v>7.2</v>
      </c>
      <c r="AX54">
        <v>4.8</v>
      </c>
      <c r="AY54">
        <v>6.9</v>
      </c>
      <c r="AZ54">
        <v>9.6999999999999993</v>
      </c>
      <c r="BA54">
        <v>6.9</v>
      </c>
      <c r="BB54">
        <v>5.2</v>
      </c>
    </row>
    <row r="55" spans="1:54" ht="14.15" customHeight="1"/>
    <row r="56" spans="1:54" ht="14.15" customHeight="1">
      <c r="A56" t="s">
        <v>45</v>
      </c>
    </row>
    <row r="57" spans="1:54" ht="14.15" customHeight="1">
      <c r="A57" t="s">
        <v>46</v>
      </c>
    </row>
    <row r="58" spans="1:54" ht="14.15" customHeight="1">
      <c r="A58" t="s">
        <v>47</v>
      </c>
    </row>
    <row r="59" spans="1:54" ht="14.15" customHeight="1">
      <c r="A59" t="s">
        <v>48</v>
      </c>
      <c r="B59" t="s">
        <v>93</v>
      </c>
      <c r="C59">
        <v>75.2</v>
      </c>
      <c r="D59">
        <v>72.2</v>
      </c>
      <c r="E59">
        <v>81.2</v>
      </c>
      <c r="F59">
        <v>71.8</v>
      </c>
      <c r="G59">
        <v>72</v>
      </c>
      <c r="H59">
        <v>75.8</v>
      </c>
      <c r="I59">
        <v>78.5</v>
      </c>
      <c r="J59">
        <v>78.7</v>
      </c>
      <c r="K59">
        <v>77.5</v>
      </c>
      <c r="L59">
        <v>73.099999999999994</v>
      </c>
      <c r="M59">
        <v>70.5</v>
      </c>
      <c r="N59">
        <v>75.400000000000006</v>
      </c>
      <c r="O59">
        <v>75.400000000000006</v>
      </c>
      <c r="P59">
        <v>77.599999999999994</v>
      </c>
      <c r="Q59">
        <v>76.900000000000006</v>
      </c>
      <c r="R59">
        <v>77.7</v>
      </c>
      <c r="S59">
        <v>81.8</v>
      </c>
      <c r="T59">
        <v>78.599999999999994</v>
      </c>
      <c r="U59">
        <v>71.2</v>
      </c>
      <c r="V59">
        <v>70.8</v>
      </c>
      <c r="W59">
        <v>72.3</v>
      </c>
      <c r="X59">
        <v>76.8</v>
      </c>
      <c r="Y59">
        <v>76.400000000000006</v>
      </c>
      <c r="Z59">
        <v>75.2</v>
      </c>
      <c r="AA59">
        <v>81</v>
      </c>
      <c r="AB59">
        <v>72.099999999999994</v>
      </c>
      <c r="AC59">
        <v>75.5</v>
      </c>
      <c r="AD59">
        <v>74.5</v>
      </c>
      <c r="AE59">
        <v>78.8</v>
      </c>
      <c r="AF59">
        <v>77.3</v>
      </c>
      <c r="AG59">
        <v>80</v>
      </c>
      <c r="AH59">
        <v>75.599999999999994</v>
      </c>
      <c r="AI59">
        <v>73.5</v>
      </c>
      <c r="AJ59">
        <v>70.8</v>
      </c>
      <c r="AK59">
        <v>74.8</v>
      </c>
      <c r="AL59">
        <v>76.3</v>
      </c>
      <c r="AM59">
        <v>74.7</v>
      </c>
      <c r="AN59">
        <v>74</v>
      </c>
      <c r="AO59">
        <v>75.400000000000006</v>
      </c>
      <c r="AP59">
        <v>73.2</v>
      </c>
      <c r="AQ59">
        <v>74.7</v>
      </c>
      <c r="AR59">
        <v>76.8</v>
      </c>
      <c r="AS59">
        <v>78.099999999999994</v>
      </c>
      <c r="AT59">
        <v>72.3</v>
      </c>
      <c r="AU59">
        <v>79</v>
      </c>
      <c r="AV59">
        <v>81.2</v>
      </c>
      <c r="AW59">
        <v>77.7</v>
      </c>
      <c r="AX59">
        <v>76.900000000000006</v>
      </c>
      <c r="AY59">
        <v>76.2</v>
      </c>
      <c r="AZ59">
        <v>66</v>
      </c>
      <c r="BA59">
        <v>78.400000000000006</v>
      </c>
      <c r="BB59">
        <v>77.599999999999994</v>
      </c>
    </row>
    <row r="60" spans="1:54" ht="14.15" customHeight="1">
      <c r="A60" t="s">
        <v>49</v>
      </c>
      <c r="B60" t="s">
        <v>93</v>
      </c>
      <c r="C60">
        <v>57.9</v>
      </c>
      <c r="D60">
        <v>53.6</v>
      </c>
      <c r="E60">
        <v>66.2</v>
      </c>
      <c r="F60">
        <v>53.4</v>
      </c>
      <c r="G60">
        <v>55.2</v>
      </c>
      <c r="H60">
        <v>55.8</v>
      </c>
      <c r="I60">
        <v>63.7</v>
      </c>
      <c r="J60">
        <v>62.6</v>
      </c>
      <c r="K60">
        <v>62.7</v>
      </c>
      <c r="L60">
        <v>61.5</v>
      </c>
      <c r="M60">
        <v>54.4</v>
      </c>
      <c r="N60">
        <v>59.6</v>
      </c>
      <c r="O60">
        <v>61.8</v>
      </c>
      <c r="P60">
        <v>59.2</v>
      </c>
      <c r="Q60">
        <v>59.4</v>
      </c>
      <c r="R60">
        <v>59.6</v>
      </c>
      <c r="S60">
        <v>65.099999999999994</v>
      </c>
      <c r="T60">
        <v>63.6</v>
      </c>
      <c r="U60">
        <v>54</v>
      </c>
      <c r="V60">
        <v>50.2</v>
      </c>
      <c r="W60">
        <v>60.8</v>
      </c>
      <c r="X60">
        <v>64.599999999999994</v>
      </c>
      <c r="Y60">
        <v>60.3</v>
      </c>
      <c r="Z60">
        <v>57.3</v>
      </c>
      <c r="AA60">
        <v>66.7</v>
      </c>
      <c r="AB60">
        <v>52.9</v>
      </c>
      <c r="AC60">
        <v>60.3</v>
      </c>
      <c r="AD60">
        <v>61.3</v>
      </c>
      <c r="AE60">
        <v>65.8</v>
      </c>
      <c r="AF60">
        <v>62.8</v>
      </c>
      <c r="AG60">
        <v>64.5</v>
      </c>
      <c r="AH60">
        <v>56.4</v>
      </c>
      <c r="AI60">
        <v>54.6</v>
      </c>
      <c r="AJ60">
        <v>53.5</v>
      </c>
      <c r="AK60">
        <v>60.4</v>
      </c>
      <c r="AL60">
        <v>61.8</v>
      </c>
      <c r="AM60">
        <v>56.9</v>
      </c>
      <c r="AN60">
        <v>53.9</v>
      </c>
      <c r="AO60">
        <v>61.1</v>
      </c>
      <c r="AP60">
        <v>54.7</v>
      </c>
      <c r="AQ60">
        <v>60.6</v>
      </c>
      <c r="AR60">
        <v>57.9</v>
      </c>
      <c r="AS60">
        <v>62.4</v>
      </c>
      <c r="AT60">
        <v>56.2</v>
      </c>
      <c r="AU60">
        <v>59.2</v>
      </c>
      <c r="AV60">
        <v>63.5</v>
      </c>
      <c r="AW60">
        <v>66.400000000000006</v>
      </c>
      <c r="AX60">
        <v>62.5</v>
      </c>
      <c r="AY60">
        <v>60.9</v>
      </c>
      <c r="AZ60">
        <v>45</v>
      </c>
      <c r="BA60">
        <v>65.900000000000006</v>
      </c>
      <c r="BB60">
        <v>62.2</v>
      </c>
    </row>
    <row r="61" spans="1:54" ht="14.15" customHeight="1">
      <c r="A61" t="s">
        <v>50</v>
      </c>
      <c r="B61" t="s">
        <v>92</v>
      </c>
      <c r="C61">
        <v>6.8</v>
      </c>
      <c r="D61">
        <v>7.5</v>
      </c>
      <c r="E61">
        <v>7.6</v>
      </c>
      <c r="F61">
        <v>6.2</v>
      </c>
      <c r="G61">
        <v>6.2</v>
      </c>
      <c r="H61">
        <v>9.1999999999999993</v>
      </c>
      <c r="I61">
        <v>5.2</v>
      </c>
      <c r="J61">
        <v>6.2</v>
      </c>
      <c r="K61">
        <v>5.3</v>
      </c>
      <c r="L61">
        <v>8.5</v>
      </c>
      <c r="M61">
        <v>7</v>
      </c>
      <c r="N61">
        <v>5.8</v>
      </c>
      <c r="O61">
        <v>4.2</v>
      </c>
      <c r="P61">
        <v>6.1</v>
      </c>
      <c r="Q61">
        <v>7.4</v>
      </c>
      <c r="R61">
        <v>5.3</v>
      </c>
      <c r="S61">
        <v>4</v>
      </c>
      <c r="T61">
        <v>5</v>
      </c>
      <c r="U61">
        <v>6.2</v>
      </c>
      <c r="V61">
        <v>7.4</v>
      </c>
      <c r="W61">
        <v>7.9</v>
      </c>
      <c r="X61">
        <v>6.2</v>
      </c>
      <c r="Y61">
        <v>6.9</v>
      </c>
      <c r="Z61">
        <v>7</v>
      </c>
      <c r="AA61">
        <v>5.0999999999999996</v>
      </c>
      <c r="AB61">
        <v>6.3</v>
      </c>
      <c r="AC61">
        <v>6.4</v>
      </c>
      <c r="AD61">
        <v>6</v>
      </c>
      <c r="AE61">
        <v>2.6</v>
      </c>
      <c r="AF61">
        <v>7.2</v>
      </c>
      <c r="AG61">
        <v>6.6</v>
      </c>
      <c r="AH61">
        <v>7.4</v>
      </c>
      <c r="AI61">
        <v>7.5</v>
      </c>
      <c r="AJ61">
        <v>7.7</v>
      </c>
      <c r="AK61">
        <v>4.9000000000000004</v>
      </c>
      <c r="AL61">
        <v>4.3</v>
      </c>
      <c r="AM61">
        <v>6.5</v>
      </c>
      <c r="AN61">
        <v>6</v>
      </c>
      <c r="AO61">
        <v>7.2</v>
      </c>
      <c r="AP61">
        <v>7</v>
      </c>
      <c r="AQ61">
        <v>7.7</v>
      </c>
      <c r="AR61">
        <v>7.5</v>
      </c>
      <c r="AS61">
        <v>3.5</v>
      </c>
      <c r="AT61">
        <v>5.7</v>
      </c>
      <c r="AU61">
        <v>7</v>
      </c>
      <c r="AV61">
        <v>3.9</v>
      </c>
      <c r="AW61">
        <v>5.4</v>
      </c>
      <c r="AX61">
        <v>5</v>
      </c>
      <c r="AY61">
        <v>7.5</v>
      </c>
      <c r="AZ61">
        <v>10.8</v>
      </c>
      <c r="BA61">
        <v>4.7</v>
      </c>
      <c r="BB61">
        <v>5.4</v>
      </c>
    </row>
    <row r="62" spans="1:54" ht="14.15" customHeight="1">
      <c r="A62" t="s">
        <v>51</v>
      </c>
    </row>
    <row r="63" spans="1:54" ht="14.15" customHeight="1">
      <c r="A63" t="s">
        <v>52</v>
      </c>
      <c r="B63" t="s">
        <v>95</v>
      </c>
      <c r="C63">
        <v>27.4</v>
      </c>
      <c r="D63">
        <v>21.2</v>
      </c>
      <c r="E63">
        <v>22.5</v>
      </c>
      <c r="F63">
        <v>28.5</v>
      </c>
      <c r="G63">
        <v>22.2</v>
      </c>
      <c r="H63">
        <v>28.9</v>
      </c>
      <c r="I63">
        <v>28.1</v>
      </c>
      <c r="J63">
        <v>29</v>
      </c>
      <c r="K63">
        <v>25.7</v>
      </c>
      <c r="L63">
        <v>38.1</v>
      </c>
      <c r="M63">
        <v>32.6</v>
      </c>
      <c r="N63">
        <v>23.5</v>
      </c>
      <c r="O63">
        <v>30.3</v>
      </c>
      <c r="P63">
        <v>22.3</v>
      </c>
      <c r="Q63">
        <v>27.6</v>
      </c>
      <c r="R63">
        <v>21.7</v>
      </c>
      <c r="S63">
        <v>24.9</v>
      </c>
      <c r="T63">
        <v>23.7</v>
      </c>
      <c r="U63">
        <v>23.7</v>
      </c>
      <c r="V63">
        <v>24.9</v>
      </c>
      <c r="W63">
        <v>25.8</v>
      </c>
      <c r="X63">
        <v>31.2</v>
      </c>
      <c r="Y63">
        <v>33.5</v>
      </c>
      <c r="Z63">
        <v>25.5</v>
      </c>
      <c r="AA63">
        <v>27.4</v>
      </c>
      <c r="AB63">
        <v>19.600000000000001</v>
      </c>
      <c r="AC63">
        <v>26.9</v>
      </c>
      <c r="AD63">
        <v>26.8</v>
      </c>
      <c r="AE63">
        <v>24.6</v>
      </c>
      <c r="AF63">
        <v>43.9</v>
      </c>
      <c r="AG63">
        <v>27.3</v>
      </c>
      <c r="AH63">
        <v>29.1</v>
      </c>
      <c r="AI63">
        <v>26.8</v>
      </c>
      <c r="AJ63">
        <v>31.1</v>
      </c>
      <c r="AK63">
        <v>21.2</v>
      </c>
      <c r="AL63">
        <v>26.9</v>
      </c>
      <c r="AM63">
        <v>26</v>
      </c>
      <c r="AN63">
        <v>24.5</v>
      </c>
      <c r="AO63">
        <v>24.9</v>
      </c>
      <c r="AP63">
        <v>29.9</v>
      </c>
      <c r="AQ63">
        <v>31.5</v>
      </c>
      <c r="AR63">
        <v>21.2</v>
      </c>
      <c r="AS63">
        <v>25.9</v>
      </c>
      <c r="AT63">
        <v>24.7</v>
      </c>
      <c r="AU63">
        <v>25.7</v>
      </c>
      <c r="AV63">
        <v>26.2</v>
      </c>
      <c r="AW63">
        <v>28.8</v>
      </c>
      <c r="AX63">
        <v>27.3</v>
      </c>
      <c r="AY63">
        <v>25.7</v>
      </c>
      <c r="AZ63">
        <v>25.5</v>
      </c>
      <c r="BA63">
        <v>24.7</v>
      </c>
      <c r="BB63">
        <v>20.5</v>
      </c>
    </row>
    <row r="64" spans="1:54" ht="14.15" customHeight="1">
      <c r="A64" t="s">
        <v>53</v>
      </c>
      <c r="B64" t="s">
        <v>92</v>
      </c>
      <c r="C64">
        <v>16.2</v>
      </c>
      <c r="D64">
        <v>22.4</v>
      </c>
      <c r="E64">
        <v>6.8</v>
      </c>
      <c r="F64">
        <v>11.1</v>
      </c>
      <c r="G64">
        <v>24.6</v>
      </c>
      <c r="H64">
        <v>15</v>
      </c>
      <c r="I64">
        <v>11.3</v>
      </c>
      <c r="J64">
        <v>19.2</v>
      </c>
      <c r="K64">
        <v>18.8</v>
      </c>
      <c r="L64">
        <v>2.1</v>
      </c>
      <c r="M64">
        <v>8.6999999999999993</v>
      </c>
      <c r="N64">
        <v>17.899999999999999</v>
      </c>
      <c r="O64">
        <v>3.5</v>
      </c>
      <c r="P64">
        <v>15.9</v>
      </c>
      <c r="Q64">
        <v>17.5</v>
      </c>
      <c r="R64">
        <v>24.7</v>
      </c>
      <c r="S64">
        <v>18.5</v>
      </c>
      <c r="T64">
        <v>16.100000000000001</v>
      </c>
      <c r="U64">
        <v>19.100000000000001</v>
      </c>
      <c r="V64">
        <v>11.3</v>
      </c>
      <c r="W64">
        <v>17.600000000000001</v>
      </c>
      <c r="X64">
        <v>8.5</v>
      </c>
      <c r="Y64">
        <v>16</v>
      </c>
      <c r="Z64">
        <v>22.6</v>
      </c>
      <c r="AA64">
        <v>18.100000000000001</v>
      </c>
      <c r="AB64">
        <v>25.5</v>
      </c>
      <c r="AC64">
        <v>17.2</v>
      </c>
      <c r="AD64">
        <v>7</v>
      </c>
      <c r="AE64">
        <v>13.5</v>
      </c>
      <c r="AF64">
        <v>4.4000000000000004</v>
      </c>
      <c r="AG64">
        <v>19.399999999999999</v>
      </c>
      <c r="AH64">
        <v>14.8</v>
      </c>
      <c r="AI64">
        <v>6.8</v>
      </c>
      <c r="AJ64">
        <v>12.7</v>
      </c>
      <c r="AK64">
        <v>26.1</v>
      </c>
      <c r="AL64">
        <v>6.8</v>
      </c>
      <c r="AM64">
        <v>21.4</v>
      </c>
      <c r="AN64">
        <v>13.5</v>
      </c>
      <c r="AO64">
        <v>16.100000000000001</v>
      </c>
      <c r="AP64">
        <v>18.399999999999999</v>
      </c>
      <c r="AQ64">
        <v>20.399999999999999</v>
      </c>
      <c r="AR64">
        <v>23.8</v>
      </c>
      <c r="AS64">
        <v>12.4</v>
      </c>
      <c r="AT64">
        <v>22.7</v>
      </c>
      <c r="AU64">
        <v>13.2</v>
      </c>
      <c r="AV64">
        <v>13.6</v>
      </c>
      <c r="AW64">
        <v>16.899999999999999</v>
      </c>
      <c r="AX64">
        <v>13.9</v>
      </c>
      <c r="AY64">
        <v>15.1</v>
      </c>
      <c r="AZ64">
        <v>12.7</v>
      </c>
      <c r="BA64">
        <v>23.2</v>
      </c>
      <c r="BB64">
        <v>4.5</v>
      </c>
    </row>
    <row r="65" spans="1:54" ht="14.15" customHeight="1"/>
    <row r="66" spans="1:54" ht="14.15" customHeight="1">
      <c r="A66" t="s">
        <v>54</v>
      </c>
    </row>
    <row r="67" spans="1:54" ht="14.15" customHeight="1">
      <c r="A67" t="s">
        <v>55</v>
      </c>
      <c r="B67" t="s">
        <v>99</v>
      </c>
      <c r="C67">
        <v>5499</v>
      </c>
      <c r="D67">
        <v>70</v>
      </c>
      <c r="E67">
        <v>26</v>
      </c>
      <c r="F67">
        <v>67</v>
      </c>
      <c r="G67">
        <v>39</v>
      </c>
      <c r="H67">
        <v>745</v>
      </c>
      <c r="I67">
        <v>71</v>
      </c>
      <c r="J67">
        <v>94</v>
      </c>
      <c r="K67">
        <v>20</v>
      </c>
      <c r="L67">
        <v>36</v>
      </c>
      <c r="M67">
        <v>245</v>
      </c>
      <c r="N67">
        <v>137</v>
      </c>
      <c r="O67">
        <v>29</v>
      </c>
      <c r="P67">
        <v>19</v>
      </c>
      <c r="Q67">
        <v>272</v>
      </c>
      <c r="R67">
        <v>112</v>
      </c>
      <c r="S67">
        <v>56</v>
      </c>
      <c r="T67">
        <v>51</v>
      </c>
      <c r="U67">
        <v>67</v>
      </c>
      <c r="V67">
        <v>91</v>
      </c>
      <c r="W67">
        <v>23</v>
      </c>
      <c r="X67">
        <v>109</v>
      </c>
      <c r="Y67">
        <v>154</v>
      </c>
      <c r="Z67">
        <v>188</v>
      </c>
      <c r="AA67">
        <v>100</v>
      </c>
      <c r="AB67">
        <v>40</v>
      </c>
      <c r="AC67">
        <v>104</v>
      </c>
      <c r="AD67">
        <v>13</v>
      </c>
      <c r="AE67">
        <v>33</v>
      </c>
      <c r="AF67">
        <v>31</v>
      </c>
      <c r="AG67">
        <v>24</v>
      </c>
      <c r="AH67">
        <v>208</v>
      </c>
      <c r="AI67">
        <v>27</v>
      </c>
      <c r="AJ67">
        <v>467</v>
      </c>
      <c r="AK67">
        <v>141</v>
      </c>
      <c r="AL67">
        <v>12</v>
      </c>
      <c r="AM67">
        <v>222</v>
      </c>
      <c r="AN67">
        <v>56</v>
      </c>
      <c r="AO67">
        <v>55</v>
      </c>
      <c r="AP67">
        <v>245</v>
      </c>
      <c r="AQ67">
        <v>21</v>
      </c>
      <c r="AR67">
        <v>64</v>
      </c>
      <c r="AS67">
        <v>13</v>
      </c>
      <c r="AT67">
        <v>95</v>
      </c>
      <c r="AU67">
        <v>372</v>
      </c>
      <c r="AV67">
        <v>30</v>
      </c>
      <c r="AW67">
        <v>11</v>
      </c>
      <c r="AX67">
        <v>142</v>
      </c>
      <c r="AY67">
        <v>109</v>
      </c>
      <c r="AZ67">
        <v>28</v>
      </c>
      <c r="BA67">
        <v>101</v>
      </c>
      <c r="BB67">
        <v>13</v>
      </c>
    </row>
    <row r="68" spans="1:54" ht="14.15" customHeight="1">
      <c r="A68" t="s">
        <v>56</v>
      </c>
    </row>
    <row r="69" spans="1:54" ht="14.15" customHeight="1">
      <c r="A69" t="s">
        <v>57</v>
      </c>
      <c r="B69" t="s">
        <v>94</v>
      </c>
      <c r="C69">
        <v>18177</v>
      </c>
      <c r="D69">
        <v>15332</v>
      </c>
      <c r="E69">
        <v>20306</v>
      </c>
      <c r="F69">
        <v>15921</v>
      </c>
      <c r="G69">
        <v>14424</v>
      </c>
      <c r="H69">
        <v>18997</v>
      </c>
      <c r="I69">
        <v>18628</v>
      </c>
      <c r="J69">
        <v>23776</v>
      </c>
      <c r="K69">
        <v>18374</v>
      </c>
      <c r="L69">
        <v>24595</v>
      </c>
      <c r="M69">
        <v>18513</v>
      </c>
      <c r="N69">
        <v>16871</v>
      </c>
      <c r="O69">
        <v>20038</v>
      </c>
      <c r="P69">
        <v>15974</v>
      </c>
      <c r="Q69">
        <v>19648</v>
      </c>
      <c r="R69">
        <v>16824</v>
      </c>
      <c r="S69">
        <v>15782</v>
      </c>
      <c r="T69">
        <v>17635</v>
      </c>
      <c r="U69">
        <v>15010</v>
      </c>
      <c r="V69">
        <v>14947</v>
      </c>
      <c r="W69">
        <v>16898</v>
      </c>
      <c r="X69">
        <v>20552</v>
      </c>
      <c r="Y69">
        <v>20985</v>
      </c>
      <c r="Z69">
        <v>17886</v>
      </c>
      <c r="AA69">
        <v>17907</v>
      </c>
      <c r="AB69">
        <v>13631</v>
      </c>
      <c r="AC69">
        <v>17158</v>
      </c>
      <c r="AD69">
        <v>15128</v>
      </c>
      <c r="AE69">
        <v>17416</v>
      </c>
      <c r="AF69">
        <v>19781</v>
      </c>
      <c r="AG69">
        <v>20278</v>
      </c>
      <c r="AH69">
        <v>23354</v>
      </c>
      <c r="AI69">
        <v>14587</v>
      </c>
      <c r="AJ69">
        <v>20948</v>
      </c>
      <c r="AK69">
        <v>16421</v>
      </c>
      <c r="AL69">
        <v>15688</v>
      </c>
      <c r="AM69">
        <v>17180</v>
      </c>
      <c r="AN69">
        <v>15060</v>
      </c>
      <c r="AO69">
        <v>16731</v>
      </c>
      <c r="AP69">
        <v>18632</v>
      </c>
      <c r="AQ69">
        <v>18384</v>
      </c>
      <c r="AR69">
        <v>15071</v>
      </c>
      <c r="AS69">
        <v>15981</v>
      </c>
      <c r="AT69">
        <v>16705</v>
      </c>
      <c r="AU69">
        <v>17116</v>
      </c>
      <c r="AV69">
        <v>14066</v>
      </c>
      <c r="AW69">
        <v>17076</v>
      </c>
      <c r="AX69">
        <v>18762</v>
      </c>
      <c r="AY69">
        <v>19290</v>
      </c>
      <c r="AZ69">
        <v>14552</v>
      </c>
      <c r="BA69">
        <v>17196</v>
      </c>
      <c r="BB69">
        <v>17504</v>
      </c>
    </row>
    <row r="70" spans="1:54" ht="14.15" customHeight="1">
      <c r="A70" t="s">
        <v>58</v>
      </c>
      <c r="B70" t="s">
        <v>92</v>
      </c>
      <c r="C70">
        <v>12.4</v>
      </c>
      <c r="D70">
        <v>15.9</v>
      </c>
      <c r="E70">
        <v>10.6</v>
      </c>
      <c r="F70">
        <v>11</v>
      </c>
      <c r="G70">
        <v>17.899999999999999</v>
      </c>
      <c r="H70">
        <v>7.4</v>
      </c>
      <c r="I70">
        <v>14.8</v>
      </c>
      <c r="J70">
        <v>10.1</v>
      </c>
      <c r="K70">
        <v>11.1</v>
      </c>
      <c r="L70">
        <v>21.1</v>
      </c>
      <c r="M70">
        <v>12</v>
      </c>
      <c r="N70">
        <v>13.3</v>
      </c>
      <c r="O70">
        <v>13.3</v>
      </c>
      <c r="P70">
        <v>15.5</v>
      </c>
      <c r="Q70">
        <v>12.8</v>
      </c>
      <c r="R70">
        <v>14.9</v>
      </c>
      <c r="S70">
        <v>8.6999999999999993</v>
      </c>
      <c r="T70">
        <v>15.6</v>
      </c>
      <c r="U70">
        <v>16.3</v>
      </c>
      <c r="V70">
        <v>17.399999999999999</v>
      </c>
      <c r="W70">
        <v>12.2</v>
      </c>
      <c r="X70">
        <v>9.9</v>
      </c>
      <c r="Y70">
        <v>10.9</v>
      </c>
      <c r="Z70">
        <v>12.9</v>
      </c>
      <c r="AA70">
        <v>12</v>
      </c>
      <c r="AB70">
        <v>18.600000000000001</v>
      </c>
      <c r="AC70">
        <v>12.5</v>
      </c>
      <c r="AD70">
        <v>17.899999999999999</v>
      </c>
      <c r="AE70">
        <v>13.5</v>
      </c>
      <c r="AF70">
        <v>12.5</v>
      </c>
      <c r="AG70">
        <v>11.9</v>
      </c>
      <c r="AH70">
        <v>12</v>
      </c>
      <c r="AI70">
        <v>15.2</v>
      </c>
      <c r="AJ70">
        <v>11.8</v>
      </c>
      <c r="AK70">
        <v>15.3</v>
      </c>
      <c r="AL70">
        <v>13.4</v>
      </c>
      <c r="AM70">
        <v>12.7</v>
      </c>
      <c r="AN70">
        <v>13.3</v>
      </c>
      <c r="AO70">
        <v>13.7</v>
      </c>
      <c r="AP70">
        <v>13.5</v>
      </c>
      <c r="AQ70">
        <v>10.9</v>
      </c>
      <c r="AR70">
        <v>13.1</v>
      </c>
      <c r="AS70">
        <v>13.2</v>
      </c>
      <c r="AT70">
        <v>16.7</v>
      </c>
      <c r="AU70">
        <v>15.8</v>
      </c>
      <c r="AV70">
        <v>15.7</v>
      </c>
      <c r="AW70">
        <v>12.2</v>
      </c>
      <c r="AX70">
        <v>11.1</v>
      </c>
      <c r="AY70">
        <v>14.2</v>
      </c>
      <c r="AZ70">
        <v>16.600000000000001</v>
      </c>
      <c r="BA70">
        <v>14.3</v>
      </c>
      <c r="BB70">
        <v>15.8</v>
      </c>
    </row>
    <row r="71" spans="1:54" ht="14.15" customHeight="1"/>
    <row r="72" spans="1:54" ht="14.15" customHeight="1">
      <c r="A72" t="s">
        <v>59</v>
      </c>
    </row>
    <row r="73" spans="1:54" ht="14.15" customHeight="1">
      <c r="A73" t="s">
        <v>60</v>
      </c>
      <c r="B73" t="s">
        <v>93</v>
      </c>
      <c r="C73">
        <v>96</v>
      </c>
      <c r="D73">
        <v>80</v>
      </c>
      <c r="E73">
        <v>52</v>
      </c>
      <c r="F73">
        <v>148</v>
      </c>
      <c r="G73">
        <v>23</v>
      </c>
      <c r="H73">
        <v>166</v>
      </c>
      <c r="I73">
        <v>102</v>
      </c>
      <c r="J73">
        <v>77</v>
      </c>
      <c r="K73">
        <v>56</v>
      </c>
      <c r="L73">
        <v>58</v>
      </c>
      <c r="M73">
        <v>121</v>
      </c>
      <c r="N73">
        <v>138</v>
      </c>
      <c r="O73">
        <v>95</v>
      </c>
      <c r="P73">
        <v>75</v>
      </c>
      <c r="Q73">
        <v>49</v>
      </c>
      <c r="R73">
        <v>66</v>
      </c>
      <c r="S73">
        <v>33</v>
      </c>
      <c r="T73">
        <v>97</v>
      </c>
      <c r="U73">
        <v>81</v>
      </c>
      <c r="V73">
        <v>117</v>
      </c>
      <c r="W73">
        <v>76</v>
      </c>
      <c r="X73">
        <v>95</v>
      </c>
      <c r="Y73">
        <v>121</v>
      </c>
      <c r="Z73">
        <v>79</v>
      </c>
      <c r="AA73">
        <v>52</v>
      </c>
      <c r="AB73">
        <v>46</v>
      </c>
      <c r="AC73">
        <v>70</v>
      </c>
      <c r="AD73">
        <v>42</v>
      </c>
      <c r="AE73">
        <v>57</v>
      </c>
      <c r="AF73">
        <v>125</v>
      </c>
      <c r="AG73">
        <v>124</v>
      </c>
      <c r="AH73">
        <v>100</v>
      </c>
      <c r="AI73">
        <v>83</v>
      </c>
      <c r="AJ73">
        <v>101</v>
      </c>
      <c r="AK73">
        <v>62</v>
      </c>
      <c r="AL73">
        <v>49</v>
      </c>
      <c r="AM73">
        <v>63</v>
      </c>
      <c r="AN73">
        <v>57</v>
      </c>
      <c r="AO73">
        <v>74</v>
      </c>
      <c r="AP73">
        <v>79</v>
      </c>
      <c r="AQ73">
        <v>89</v>
      </c>
      <c r="AR73">
        <v>42</v>
      </c>
      <c r="AS73">
        <v>47</v>
      </c>
      <c r="AT73">
        <v>88</v>
      </c>
      <c r="AU73">
        <v>102</v>
      </c>
      <c r="AV73">
        <v>62</v>
      </c>
      <c r="AW73">
        <v>62</v>
      </c>
      <c r="AX73">
        <v>87</v>
      </c>
      <c r="AY73">
        <v>105</v>
      </c>
      <c r="AZ73">
        <v>64</v>
      </c>
      <c r="BA73">
        <v>71</v>
      </c>
      <c r="BB73">
        <v>39</v>
      </c>
    </row>
    <row r="74" spans="1:54" ht="14.15" customHeight="1">
      <c r="A74" t="s">
        <v>61</v>
      </c>
    </row>
    <row r="75" spans="1:54" ht="14.15" customHeight="1">
      <c r="A75" t="s">
        <v>62</v>
      </c>
      <c r="B75" t="s">
        <v>92</v>
      </c>
      <c r="C75">
        <v>3.4</v>
      </c>
      <c r="D75">
        <v>12.9</v>
      </c>
      <c r="E75">
        <v>12.5</v>
      </c>
      <c r="F75">
        <v>11.1</v>
      </c>
      <c r="G75">
        <v>15.1</v>
      </c>
      <c r="H75">
        <v>-15.1</v>
      </c>
      <c r="I75">
        <v>20.399999999999999</v>
      </c>
      <c r="J75">
        <v>-10.6</v>
      </c>
      <c r="K75">
        <v>8.6</v>
      </c>
      <c r="L75">
        <v>0</v>
      </c>
      <c r="M75">
        <v>15.6</v>
      </c>
      <c r="N75">
        <v>7.5</v>
      </c>
      <c r="O75">
        <v>-1.5</v>
      </c>
      <c r="P75">
        <v>-6</v>
      </c>
      <c r="Q75">
        <v>6</v>
      </c>
      <c r="R75">
        <v>0.3</v>
      </c>
      <c r="S75">
        <v>-1.6</v>
      </c>
      <c r="T75">
        <v>-0.9</v>
      </c>
      <c r="U75">
        <v>5.4</v>
      </c>
      <c r="V75">
        <v>8.5</v>
      </c>
      <c r="W75">
        <v>-8.9</v>
      </c>
      <c r="X75">
        <v>8.5</v>
      </c>
      <c r="Y75">
        <v>-1.1000000000000001</v>
      </c>
      <c r="Z75">
        <v>-4.7</v>
      </c>
      <c r="AA75">
        <v>-3.9</v>
      </c>
      <c r="AB75">
        <v>17.600000000000001</v>
      </c>
      <c r="AC75">
        <v>3.3</v>
      </c>
      <c r="AD75">
        <v>2.9</v>
      </c>
      <c r="AE75">
        <v>-1.2</v>
      </c>
      <c r="AF75">
        <v>-7.6</v>
      </c>
      <c r="AG75">
        <v>18.2</v>
      </c>
      <c r="AH75">
        <v>-1.1000000000000001</v>
      </c>
      <c r="AI75">
        <v>-1.6</v>
      </c>
      <c r="AJ75">
        <v>-7.9</v>
      </c>
      <c r="AK75">
        <v>13.3</v>
      </c>
      <c r="AL75">
        <v>6.9</v>
      </c>
      <c r="AM75">
        <v>-7.3</v>
      </c>
      <c r="AN75">
        <v>19.5</v>
      </c>
      <c r="AO75">
        <v>-3</v>
      </c>
      <c r="AP75">
        <v>1.8</v>
      </c>
      <c r="AQ75">
        <v>-3.2</v>
      </c>
      <c r="AR75">
        <v>0.9</v>
      </c>
      <c r="AS75">
        <v>5.4</v>
      </c>
      <c r="AT75">
        <v>10.199999999999999</v>
      </c>
      <c r="AU75">
        <v>16.100000000000001</v>
      </c>
      <c r="AV75">
        <v>15.6</v>
      </c>
      <c r="AW75">
        <v>0</v>
      </c>
      <c r="AX75">
        <v>7.2</v>
      </c>
      <c r="AY75">
        <v>-4.2</v>
      </c>
      <c r="AZ75">
        <v>10.3</v>
      </c>
      <c r="BA75">
        <v>-1.9</v>
      </c>
      <c r="BB75">
        <v>0</v>
      </c>
    </row>
    <row r="76" spans="1:54" ht="14.15" customHeight="1">
      <c r="A76" t="s">
        <v>63</v>
      </c>
      <c r="B76" t="s">
        <v>95</v>
      </c>
      <c r="C76">
        <v>8</v>
      </c>
      <c r="D76">
        <v>7.4</v>
      </c>
      <c r="E76" t="s">
        <v>105</v>
      </c>
      <c r="F76">
        <v>20.2</v>
      </c>
      <c r="G76">
        <v>10.5</v>
      </c>
      <c r="H76">
        <v>2.2000000000000002</v>
      </c>
      <c r="I76">
        <v>15</v>
      </c>
      <c r="J76">
        <v>14.8</v>
      </c>
      <c r="K76">
        <v>-6</v>
      </c>
      <c r="L76">
        <v>-0.8</v>
      </c>
      <c r="M76">
        <v>16.600000000000001</v>
      </c>
      <c r="N76" t="s">
        <v>119</v>
      </c>
      <c r="O76">
        <v>7.8</v>
      </c>
      <c r="P76">
        <v>8.3000000000000007</v>
      </c>
      <c r="Q76">
        <v>4.0999999999999996</v>
      </c>
      <c r="R76">
        <v>18.899999999999999</v>
      </c>
      <c r="S76">
        <v>0.8</v>
      </c>
      <c r="T76">
        <v>16.2</v>
      </c>
      <c r="U76">
        <v>5.8</v>
      </c>
      <c r="V76">
        <v>4.9000000000000004</v>
      </c>
      <c r="W76">
        <v>12.6</v>
      </c>
      <c r="X76">
        <v>6.4</v>
      </c>
      <c r="Y76">
        <v>14.6</v>
      </c>
      <c r="Z76">
        <v>8.5</v>
      </c>
      <c r="AA76">
        <v>8.1</v>
      </c>
      <c r="AB76">
        <v>11.2</v>
      </c>
      <c r="AC76">
        <v>7.7</v>
      </c>
      <c r="AD76">
        <v>-2.4</v>
      </c>
      <c r="AE76">
        <v>3.6</v>
      </c>
      <c r="AF76">
        <v>19.100000000000001</v>
      </c>
      <c r="AG76">
        <v>13.3</v>
      </c>
      <c r="AH76">
        <v>5.2</v>
      </c>
      <c r="AI76">
        <v>6.2</v>
      </c>
      <c r="AJ76">
        <v>4.9000000000000004</v>
      </c>
      <c r="AK76">
        <v>15.5</v>
      </c>
      <c r="AL76">
        <v>-0.8</v>
      </c>
      <c r="AM76">
        <v>7</v>
      </c>
      <c r="AN76">
        <v>6.8</v>
      </c>
      <c r="AO76">
        <v>12</v>
      </c>
      <c r="AP76">
        <v>5.7</v>
      </c>
      <c r="AQ76">
        <v>10</v>
      </c>
      <c r="AR76">
        <v>5.6</v>
      </c>
      <c r="AS76">
        <v>7.9</v>
      </c>
      <c r="AT76">
        <v>17.899999999999999</v>
      </c>
      <c r="AU76">
        <v>6.6</v>
      </c>
      <c r="AV76">
        <v>-1</v>
      </c>
      <c r="AW76">
        <v>15.8</v>
      </c>
      <c r="AX76">
        <v>2.9</v>
      </c>
      <c r="AY76">
        <v>6.2</v>
      </c>
      <c r="AZ76">
        <v>-2.4</v>
      </c>
      <c r="BA76">
        <v>3.4</v>
      </c>
      <c r="BB76">
        <v>10.1</v>
      </c>
    </row>
    <row r="77" spans="1:54" ht="14.15" customHeight="1">
      <c r="A77" t="s">
        <v>64</v>
      </c>
      <c r="B77" t="s">
        <v>94</v>
      </c>
      <c r="C77">
        <v>11.76</v>
      </c>
      <c r="D77">
        <v>10.36</v>
      </c>
      <c r="E77">
        <v>11.14</v>
      </c>
      <c r="F77">
        <v>11.07</v>
      </c>
      <c r="G77">
        <v>9.36</v>
      </c>
      <c r="H77">
        <v>12.37</v>
      </c>
      <c r="I77">
        <v>12.02</v>
      </c>
      <c r="J77">
        <v>13.01</v>
      </c>
      <c r="K77">
        <v>13.31</v>
      </c>
      <c r="L77">
        <v>13.18</v>
      </c>
      <c r="M77">
        <v>9.76</v>
      </c>
      <c r="N77">
        <v>10.08</v>
      </c>
      <c r="O77">
        <v>11.98</v>
      </c>
      <c r="P77">
        <v>11.88</v>
      </c>
      <c r="Q77">
        <v>12.04</v>
      </c>
      <c r="R77">
        <v>13.17</v>
      </c>
      <c r="S77">
        <v>12.22</v>
      </c>
      <c r="T77">
        <v>11.99</v>
      </c>
      <c r="U77">
        <v>11.48</v>
      </c>
      <c r="V77">
        <v>12.66</v>
      </c>
      <c r="W77">
        <v>11.4</v>
      </c>
      <c r="X77">
        <v>12.83</v>
      </c>
      <c r="Y77">
        <v>12.36</v>
      </c>
      <c r="Z77">
        <v>15.36</v>
      </c>
      <c r="AA77">
        <v>12.23</v>
      </c>
      <c r="AB77">
        <v>9.16</v>
      </c>
      <c r="AC77">
        <v>11.54</v>
      </c>
      <c r="AD77">
        <v>12.38</v>
      </c>
      <c r="AE77">
        <v>10.46</v>
      </c>
      <c r="AF77">
        <v>11.65</v>
      </c>
      <c r="AG77">
        <v>11.61</v>
      </c>
      <c r="AH77">
        <v>12.98</v>
      </c>
      <c r="AI77">
        <v>9.74</v>
      </c>
      <c r="AJ77">
        <v>11.97</v>
      </c>
      <c r="AK77">
        <v>9.8000000000000007</v>
      </c>
      <c r="AL77">
        <v>9.8699999999999992</v>
      </c>
      <c r="AM77">
        <v>14.05</v>
      </c>
      <c r="AN77">
        <v>11.41</v>
      </c>
      <c r="AO77">
        <v>12.18</v>
      </c>
      <c r="AP77">
        <v>12.09</v>
      </c>
      <c r="AQ77">
        <v>10.220000000000001</v>
      </c>
      <c r="AR77">
        <v>9.8000000000000007</v>
      </c>
      <c r="AS77">
        <v>8.89</v>
      </c>
      <c r="AT77">
        <v>10.33</v>
      </c>
      <c r="AU77">
        <v>11.02</v>
      </c>
      <c r="AV77">
        <v>11.1</v>
      </c>
      <c r="AW77">
        <v>11.81</v>
      </c>
      <c r="AX77">
        <v>10.85</v>
      </c>
      <c r="AY77">
        <v>13.97</v>
      </c>
      <c r="AZ77">
        <v>12.27</v>
      </c>
      <c r="BA77">
        <v>12.17</v>
      </c>
      <c r="BB77">
        <v>11.54</v>
      </c>
    </row>
    <row r="78" spans="1:54" ht="14.15" customHeight="1">
      <c r="A78" t="s">
        <v>65</v>
      </c>
    </row>
    <row r="79" spans="1:54" ht="14.15" customHeight="1">
      <c r="A79" t="s">
        <v>66</v>
      </c>
      <c r="B79" t="s">
        <v>100</v>
      </c>
      <c r="C79">
        <v>20710</v>
      </c>
      <c r="D79">
        <v>17808</v>
      </c>
      <c r="E79">
        <v>24818</v>
      </c>
      <c r="F79">
        <v>20673</v>
      </c>
      <c r="G79">
        <v>17194</v>
      </c>
      <c r="H79">
        <v>21471</v>
      </c>
      <c r="I79">
        <v>21326</v>
      </c>
      <c r="J79">
        <v>23963</v>
      </c>
      <c r="K79">
        <v>24473</v>
      </c>
      <c r="L79">
        <v>14763</v>
      </c>
      <c r="M79">
        <v>21919</v>
      </c>
      <c r="N79">
        <v>19933</v>
      </c>
      <c r="O79">
        <v>32008</v>
      </c>
      <c r="P79">
        <v>18416</v>
      </c>
      <c r="Q79">
        <v>22192</v>
      </c>
      <c r="R79">
        <v>19641</v>
      </c>
      <c r="S79">
        <v>20344</v>
      </c>
      <c r="T79">
        <v>19891</v>
      </c>
      <c r="U79">
        <v>18129</v>
      </c>
      <c r="V79">
        <v>20156</v>
      </c>
      <c r="W79">
        <v>24377</v>
      </c>
      <c r="X79">
        <v>21121</v>
      </c>
      <c r="Y79">
        <v>21083</v>
      </c>
      <c r="Z79">
        <v>21043</v>
      </c>
      <c r="AA79">
        <v>20968</v>
      </c>
      <c r="AB79">
        <v>15435</v>
      </c>
      <c r="AC79">
        <v>20599</v>
      </c>
      <c r="AD79">
        <v>19917</v>
      </c>
      <c r="AE79">
        <v>19707</v>
      </c>
      <c r="AF79">
        <v>21054</v>
      </c>
      <c r="AG79">
        <v>27831</v>
      </c>
      <c r="AH79">
        <v>23987</v>
      </c>
      <c r="AI79">
        <v>19132</v>
      </c>
      <c r="AJ79">
        <v>18889</v>
      </c>
      <c r="AK79">
        <v>19326</v>
      </c>
      <c r="AL79">
        <v>21969</v>
      </c>
      <c r="AM79">
        <v>19463</v>
      </c>
      <c r="AN79">
        <v>16167</v>
      </c>
      <c r="AO79">
        <v>21817</v>
      </c>
      <c r="AP79">
        <v>20401</v>
      </c>
      <c r="AQ79">
        <v>19330</v>
      </c>
      <c r="AR79">
        <v>19426</v>
      </c>
      <c r="AS79">
        <v>21116</v>
      </c>
      <c r="AT79">
        <v>19921</v>
      </c>
      <c r="AU79">
        <v>21675</v>
      </c>
      <c r="AV79">
        <v>20589</v>
      </c>
      <c r="AW79">
        <v>23571</v>
      </c>
      <c r="AX79">
        <v>22415</v>
      </c>
      <c r="AY79">
        <v>20577</v>
      </c>
      <c r="AZ79">
        <v>15299</v>
      </c>
      <c r="BA79">
        <v>21253</v>
      </c>
      <c r="BB79">
        <v>18480</v>
      </c>
    </row>
    <row r="80" spans="1:54" ht="14.15" customHeight="1">
      <c r="A80" t="s">
        <v>67</v>
      </c>
      <c r="B80" t="s">
        <v>92</v>
      </c>
      <c r="C80">
        <v>6.5</v>
      </c>
      <c r="D80">
        <v>4</v>
      </c>
      <c r="E80">
        <v>2.6</v>
      </c>
      <c r="F80">
        <v>10</v>
      </c>
      <c r="G80">
        <v>-0.5</v>
      </c>
      <c r="H80">
        <v>4.4000000000000004</v>
      </c>
      <c r="I80">
        <v>11</v>
      </c>
      <c r="J80">
        <v>11.9</v>
      </c>
      <c r="K80">
        <v>2.4</v>
      </c>
      <c r="L80">
        <v>0.2</v>
      </c>
      <c r="M80">
        <v>7.2</v>
      </c>
      <c r="N80">
        <v>4.2</v>
      </c>
      <c r="O80">
        <v>2.9</v>
      </c>
      <c r="P80">
        <v>9.3000000000000007</v>
      </c>
      <c r="Q80">
        <v>10.6</v>
      </c>
      <c r="R80">
        <v>2.7</v>
      </c>
      <c r="S80">
        <v>11.2</v>
      </c>
      <c r="T80">
        <v>10.9</v>
      </c>
      <c r="U80">
        <v>4.4000000000000004</v>
      </c>
      <c r="V80">
        <v>4.5999999999999996</v>
      </c>
      <c r="W80">
        <v>14.4</v>
      </c>
      <c r="X80">
        <v>4.3</v>
      </c>
      <c r="Y80">
        <v>-8.6999999999999993</v>
      </c>
      <c r="Z80">
        <v>7.2</v>
      </c>
      <c r="AA80">
        <v>0.2</v>
      </c>
      <c r="AB80">
        <v>3.5</v>
      </c>
      <c r="AC80">
        <v>12.4</v>
      </c>
      <c r="AD80">
        <v>11.8</v>
      </c>
      <c r="AE80">
        <v>11.7</v>
      </c>
      <c r="AF80">
        <v>8</v>
      </c>
      <c r="AG80">
        <v>7.3</v>
      </c>
      <c r="AH80">
        <v>7</v>
      </c>
      <c r="AI80">
        <v>11.1</v>
      </c>
      <c r="AJ80">
        <v>3</v>
      </c>
      <c r="AK80">
        <v>8.1999999999999993</v>
      </c>
      <c r="AL80">
        <v>13</v>
      </c>
      <c r="AM80">
        <v>5</v>
      </c>
      <c r="AN80">
        <v>-3.1</v>
      </c>
      <c r="AO80">
        <v>6</v>
      </c>
      <c r="AP80">
        <v>14.3</v>
      </c>
      <c r="AQ80">
        <v>8.9</v>
      </c>
      <c r="AR80">
        <v>3.4</v>
      </c>
      <c r="AS80">
        <v>13.1</v>
      </c>
      <c r="AT80">
        <v>12.7</v>
      </c>
      <c r="AU80">
        <v>6.9</v>
      </c>
      <c r="AV80">
        <v>8.6</v>
      </c>
      <c r="AW80">
        <v>13.8</v>
      </c>
      <c r="AX80">
        <v>15</v>
      </c>
      <c r="AY80">
        <v>5.0999999999999996</v>
      </c>
      <c r="AZ80">
        <v>3.5</v>
      </c>
      <c r="BA80">
        <v>11.6</v>
      </c>
      <c r="BB80">
        <v>11.7</v>
      </c>
    </row>
    <row r="81" spans="1:54" ht="14.15" customHeight="1">
      <c r="A81" t="s">
        <v>68</v>
      </c>
      <c r="B81" t="s">
        <v>92</v>
      </c>
      <c r="C81">
        <v>3.3</v>
      </c>
      <c r="D81">
        <v>-5.2</v>
      </c>
      <c r="E81">
        <v>-21.4</v>
      </c>
      <c r="F81">
        <v>6.4</v>
      </c>
      <c r="G81">
        <v>2.2000000000000002</v>
      </c>
      <c r="H81">
        <v>1.6</v>
      </c>
      <c r="I81">
        <v>18.2</v>
      </c>
      <c r="J81">
        <v>9.8000000000000007</v>
      </c>
      <c r="K81">
        <v>-12.6</v>
      </c>
      <c r="L81">
        <v>34.799999999999997</v>
      </c>
      <c r="M81">
        <v>-1.3</v>
      </c>
      <c r="N81">
        <v>-10.8</v>
      </c>
      <c r="O81">
        <v>26.1</v>
      </c>
      <c r="P81">
        <v>4.3</v>
      </c>
      <c r="Q81">
        <v>7.2</v>
      </c>
      <c r="R81">
        <v>16.899999999999999</v>
      </c>
      <c r="S81">
        <v>12.3</v>
      </c>
      <c r="T81">
        <v>6.1</v>
      </c>
      <c r="U81">
        <v>15.5</v>
      </c>
      <c r="V81">
        <v>-11</v>
      </c>
      <c r="W81">
        <v>13.9</v>
      </c>
      <c r="X81">
        <v>12.8</v>
      </c>
      <c r="Y81">
        <v>0.2</v>
      </c>
      <c r="Z81">
        <v>13.6</v>
      </c>
      <c r="AA81">
        <v>1.5</v>
      </c>
      <c r="AB81">
        <v>-14.1</v>
      </c>
      <c r="AC81">
        <v>-3.7</v>
      </c>
      <c r="AD81">
        <v>1.5</v>
      </c>
      <c r="AE81">
        <v>9.9</v>
      </c>
      <c r="AF81">
        <v>6.4</v>
      </c>
      <c r="AG81">
        <v>-1.4</v>
      </c>
      <c r="AH81">
        <v>3.7</v>
      </c>
      <c r="AI81">
        <v>22</v>
      </c>
      <c r="AJ81">
        <v>25.4</v>
      </c>
      <c r="AK81">
        <v>-4.7</v>
      </c>
      <c r="AL81">
        <v>21.5</v>
      </c>
      <c r="AM81">
        <v>6.1</v>
      </c>
      <c r="AN81">
        <v>5.7</v>
      </c>
      <c r="AO81">
        <v>7.8</v>
      </c>
      <c r="AP81">
        <v>1.3</v>
      </c>
      <c r="AQ81">
        <v>3.9</v>
      </c>
      <c r="AR81">
        <v>6.9</v>
      </c>
      <c r="AS81">
        <v>9.4</v>
      </c>
      <c r="AT81">
        <v>8.6</v>
      </c>
      <c r="AU81">
        <v>4</v>
      </c>
      <c r="AV81">
        <v>-12.5</v>
      </c>
      <c r="AW81">
        <v>2.1</v>
      </c>
      <c r="AX81">
        <v>-7.5</v>
      </c>
      <c r="AY81">
        <v>-5.0999999999999996</v>
      </c>
      <c r="AZ81">
        <v>-18.5</v>
      </c>
      <c r="BA81">
        <v>9.6999999999999993</v>
      </c>
      <c r="BB81">
        <v>-8.5</v>
      </c>
    </row>
    <row r="82" spans="1:54" ht="14.15" customHeight="1"/>
    <row r="83" spans="1:54" ht="14.15" customHeight="1">
      <c r="A83" t="s">
        <v>69</v>
      </c>
    </row>
    <row r="84" spans="1:54" ht="14.15" customHeight="1">
      <c r="A84" t="s">
        <v>70</v>
      </c>
      <c r="B84" t="s">
        <v>94</v>
      </c>
      <c r="C84">
        <v>1853</v>
      </c>
      <c r="D84">
        <v>2029</v>
      </c>
      <c r="E84">
        <v>3249</v>
      </c>
      <c r="F84">
        <v>1716</v>
      </c>
      <c r="G84">
        <v>1975</v>
      </c>
      <c r="H84">
        <v>1562</v>
      </c>
      <c r="I84">
        <v>1603</v>
      </c>
      <c r="J84">
        <v>1885</v>
      </c>
      <c r="K84">
        <v>2040</v>
      </c>
      <c r="L84">
        <v>1899</v>
      </c>
      <c r="M84">
        <v>1533</v>
      </c>
      <c r="N84">
        <v>1884</v>
      </c>
      <c r="O84">
        <v>1793</v>
      </c>
      <c r="P84">
        <v>1837</v>
      </c>
      <c r="Q84">
        <v>1863</v>
      </c>
      <c r="R84">
        <v>2125</v>
      </c>
      <c r="S84">
        <v>1865</v>
      </c>
      <c r="T84">
        <v>2061</v>
      </c>
      <c r="U84">
        <v>1936</v>
      </c>
      <c r="V84">
        <v>3095</v>
      </c>
      <c r="W84">
        <v>2057</v>
      </c>
      <c r="X84">
        <v>1657</v>
      </c>
      <c r="Y84">
        <v>1767</v>
      </c>
      <c r="Z84">
        <v>1786</v>
      </c>
      <c r="AA84">
        <v>1714</v>
      </c>
      <c r="AB84">
        <v>1882</v>
      </c>
      <c r="AC84">
        <v>1821</v>
      </c>
      <c r="AD84">
        <v>2096</v>
      </c>
      <c r="AE84">
        <v>1942</v>
      </c>
      <c r="AF84">
        <v>1875</v>
      </c>
      <c r="AG84">
        <v>1727</v>
      </c>
      <c r="AH84">
        <v>2047</v>
      </c>
      <c r="AI84">
        <v>1927</v>
      </c>
      <c r="AJ84">
        <v>1551</v>
      </c>
      <c r="AK84">
        <v>1871</v>
      </c>
      <c r="AL84">
        <v>2502</v>
      </c>
      <c r="AM84">
        <v>1928</v>
      </c>
      <c r="AN84">
        <v>1888</v>
      </c>
      <c r="AO84">
        <v>1714</v>
      </c>
      <c r="AP84">
        <v>1863</v>
      </c>
      <c r="AQ84">
        <v>1747</v>
      </c>
      <c r="AR84">
        <v>1921</v>
      </c>
      <c r="AS84">
        <v>1804</v>
      </c>
      <c r="AT84">
        <v>1872</v>
      </c>
      <c r="AU84">
        <v>2471</v>
      </c>
      <c r="AV84">
        <v>1621</v>
      </c>
      <c r="AW84">
        <v>1930</v>
      </c>
      <c r="AX84">
        <v>1758</v>
      </c>
      <c r="AY84">
        <v>1714</v>
      </c>
      <c r="AZ84">
        <v>2081</v>
      </c>
      <c r="BA84">
        <v>1645</v>
      </c>
      <c r="BB84">
        <v>3245</v>
      </c>
    </row>
    <row r="85" spans="1:54" ht="14.15" customHeight="1">
      <c r="A85" t="s">
        <v>71</v>
      </c>
    </row>
    <row r="86" spans="1:54" ht="14.15" customHeight="1">
      <c r="A86" t="s">
        <v>72</v>
      </c>
      <c r="B86" t="s">
        <v>94</v>
      </c>
      <c r="C86">
        <v>617</v>
      </c>
      <c r="D86">
        <v>510</v>
      </c>
      <c r="E86">
        <v>685</v>
      </c>
      <c r="F86">
        <v>667</v>
      </c>
      <c r="G86">
        <v>424</v>
      </c>
      <c r="H86">
        <v>800</v>
      </c>
      <c r="I86">
        <v>653</v>
      </c>
      <c r="J86">
        <v>878</v>
      </c>
      <c r="K86">
        <v>745</v>
      </c>
      <c r="L86">
        <v>880</v>
      </c>
      <c r="M86">
        <v>684</v>
      </c>
      <c r="N86">
        <v>514</v>
      </c>
      <c r="O86">
        <v>974</v>
      </c>
      <c r="P86">
        <v>402</v>
      </c>
      <c r="Q86">
        <v>534</v>
      </c>
      <c r="R86">
        <v>497</v>
      </c>
      <c r="S86">
        <v>379</v>
      </c>
      <c r="T86">
        <v>392</v>
      </c>
      <c r="U86">
        <v>473</v>
      </c>
      <c r="V86">
        <v>724</v>
      </c>
      <c r="W86">
        <v>468</v>
      </c>
      <c r="X86">
        <v>702</v>
      </c>
      <c r="Y86">
        <v>860</v>
      </c>
      <c r="Z86">
        <v>661</v>
      </c>
      <c r="AA86">
        <v>566</v>
      </c>
      <c r="AB86">
        <v>519</v>
      </c>
      <c r="AC86">
        <v>493</v>
      </c>
      <c r="AD86">
        <v>393</v>
      </c>
      <c r="AE86">
        <v>352</v>
      </c>
      <c r="AF86">
        <v>673</v>
      </c>
      <c r="AG86">
        <v>638</v>
      </c>
      <c r="AH86">
        <v>957</v>
      </c>
      <c r="AI86">
        <v>543</v>
      </c>
      <c r="AJ86">
        <v>799</v>
      </c>
      <c r="AK86">
        <v>448</v>
      </c>
      <c r="AL86">
        <v>319</v>
      </c>
      <c r="AM86">
        <v>503</v>
      </c>
      <c r="AN86">
        <v>448</v>
      </c>
      <c r="AO86">
        <v>535</v>
      </c>
      <c r="AP86">
        <v>642</v>
      </c>
      <c r="AQ86">
        <v>837</v>
      </c>
      <c r="AR86">
        <v>528</v>
      </c>
      <c r="AS86">
        <v>333</v>
      </c>
      <c r="AT86">
        <v>478</v>
      </c>
      <c r="AU86">
        <v>646</v>
      </c>
      <c r="AV86">
        <v>463</v>
      </c>
      <c r="AW86">
        <v>484</v>
      </c>
      <c r="AX86">
        <v>503</v>
      </c>
      <c r="AY86">
        <v>588</v>
      </c>
      <c r="AZ86">
        <v>557</v>
      </c>
      <c r="BA86">
        <v>492</v>
      </c>
      <c r="BB86">
        <v>366</v>
      </c>
    </row>
    <row r="87" spans="1:54" ht="14.15" customHeight="1">
      <c r="A87" t="s">
        <v>73</v>
      </c>
      <c r="B87" t="s">
        <v>93</v>
      </c>
      <c r="C87">
        <v>1.8</v>
      </c>
      <c r="D87">
        <v>2.2999999999999998</v>
      </c>
      <c r="E87">
        <v>2.6</v>
      </c>
      <c r="F87">
        <v>2.2999999999999998</v>
      </c>
      <c r="G87">
        <v>2.6</v>
      </c>
      <c r="H87">
        <v>1.4</v>
      </c>
      <c r="I87">
        <v>1.8</v>
      </c>
      <c r="J87">
        <v>1.1000000000000001</v>
      </c>
      <c r="K87">
        <v>2.1</v>
      </c>
      <c r="L87" t="s">
        <v>115</v>
      </c>
      <c r="M87">
        <v>2.1</v>
      </c>
      <c r="N87">
        <v>1.8</v>
      </c>
      <c r="O87">
        <v>1.5</v>
      </c>
      <c r="P87">
        <v>2.2999999999999998</v>
      </c>
      <c r="Q87">
        <v>1.6</v>
      </c>
      <c r="R87">
        <v>1.6</v>
      </c>
      <c r="S87">
        <v>1.8</v>
      </c>
      <c r="T87">
        <v>1.6</v>
      </c>
      <c r="U87">
        <v>2.2999999999999998</v>
      </c>
      <c r="V87">
        <v>2.4</v>
      </c>
      <c r="W87">
        <v>1.7</v>
      </c>
      <c r="X87">
        <v>1.6</v>
      </c>
      <c r="Y87">
        <v>1</v>
      </c>
      <c r="Z87">
        <v>1.5</v>
      </c>
      <c r="AA87">
        <v>1.4</v>
      </c>
      <c r="AB87">
        <v>2.4</v>
      </c>
      <c r="AC87">
        <v>1.9</v>
      </c>
      <c r="AD87">
        <v>2.2000000000000002</v>
      </c>
      <c r="AE87">
        <v>1.9</v>
      </c>
      <c r="AF87">
        <v>2.2999999999999998</v>
      </c>
      <c r="AG87">
        <v>1.2</v>
      </c>
      <c r="AH87">
        <v>1.3</v>
      </c>
      <c r="AI87">
        <v>2.7</v>
      </c>
      <c r="AJ87">
        <v>1.6</v>
      </c>
      <c r="AK87">
        <v>2.4</v>
      </c>
      <c r="AL87">
        <v>1.4</v>
      </c>
      <c r="AM87">
        <v>1.5</v>
      </c>
      <c r="AN87">
        <v>1.8</v>
      </c>
      <c r="AO87">
        <v>1.7</v>
      </c>
      <c r="AP87">
        <v>1.7</v>
      </c>
      <c r="AQ87">
        <v>1.1000000000000001</v>
      </c>
      <c r="AR87">
        <v>2.2999999999999998</v>
      </c>
      <c r="AS87">
        <v>2.2999999999999998</v>
      </c>
      <c r="AT87">
        <v>2.4</v>
      </c>
      <c r="AU87">
        <v>1.9</v>
      </c>
      <c r="AV87">
        <v>1.7</v>
      </c>
      <c r="AW87">
        <v>1.6</v>
      </c>
      <c r="AX87">
        <v>1.3</v>
      </c>
      <c r="AY87">
        <v>1.4</v>
      </c>
      <c r="AZ87">
        <v>2.5</v>
      </c>
      <c r="BA87">
        <v>1.4</v>
      </c>
      <c r="BB87">
        <v>1.9</v>
      </c>
    </row>
    <row r="88" spans="1:54" ht="14.15" customHeight="1">
      <c r="A88" t="s">
        <v>74</v>
      </c>
      <c r="B88">
        <v>1000</v>
      </c>
      <c r="C88">
        <v>574</v>
      </c>
      <c r="D88">
        <v>498</v>
      </c>
      <c r="E88">
        <v>271</v>
      </c>
      <c r="F88">
        <v>625</v>
      </c>
      <c r="G88">
        <v>299</v>
      </c>
      <c r="H88">
        <v>1563</v>
      </c>
      <c r="I88">
        <v>371</v>
      </c>
      <c r="J88">
        <v>1325</v>
      </c>
      <c r="K88">
        <v>1150</v>
      </c>
      <c r="L88">
        <v>3600</v>
      </c>
      <c r="M88">
        <v>1030</v>
      </c>
      <c r="N88">
        <v>702</v>
      </c>
      <c r="O88">
        <v>2000</v>
      </c>
      <c r="P88">
        <v>183</v>
      </c>
      <c r="Q88">
        <v>644</v>
      </c>
      <c r="R88">
        <v>620</v>
      </c>
      <c r="S88">
        <v>212</v>
      </c>
      <c r="T88">
        <v>181</v>
      </c>
      <c r="U88">
        <v>529</v>
      </c>
      <c r="V88">
        <v>575</v>
      </c>
      <c r="W88">
        <v>555</v>
      </c>
      <c r="X88">
        <v>1445</v>
      </c>
      <c r="Y88">
        <v>1391</v>
      </c>
      <c r="Z88">
        <v>714</v>
      </c>
      <c r="AA88">
        <v>317</v>
      </c>
      <c r="AB88">
        <v>359</v>
      </c>
      <c r="AC88">
        <v>440</v>
      </c>
      <c r="AD88">
        <v>121</v>
      </c>
      <c r="AE88">
        <v>157</v>
      </c>
      <c r="AF88">
        <v>237</v>
      </c>
      <c r="AG88">
        <v>673</v>
      </c>
      <c r="AH88">
        <v>1747</v>
      </c>
      <c r="AI88">
        <v>303</v>
      </c>
      <c r="AJ88">
        <v>981</v>
      </c>
      <c r="AK88">
        <v>703</v>
      </c>
      <c r="AL88">
        <v>70</v>
      </c>
      <c r="AM88">
        <v>835</v>
      </c>
      <c r="AN88">
        <v>313</v>
      </c>
      <c r="AO88">
        <v>294</v>
      </c>
      <c r="AP88">
        <v>762</v>
      </c>
      <c r="AQ88">
        <v>1283</v>
      </c>
      <c r="AR88">
        <v>547</v>
      </c>
      <c r="AS88">
        <v>87</v>
      </c>
      <c r="AT88">
        <v>588</v>
      </c>
      <c r="AU88">
        <v>557</v>
      </c>
      <c r="AV88">
        <v>379</v>
      </c>
      <c r="AW88">
        <v>429</v>
      </c>
      <c r="AX88">
        <v>932</v>
      </c>
      <c r="AY88">
        <v>625</v>
      </c>
      <c r="AZ88">
        <v>471</v>
      </c>
      <c r="BA88">
        <v>433</v>
      </c>
      <c r="BB88">
        <v>159</v>
      </c>
    </row>
    <row r="89" spans="1:54" ht="14.15" customHeight="1">
      <c r="A89" t="s">
        <v>75</v>
      </c>
      <c r="B89" t="s">
        <v>95</v>
      </c>
      <c r="C89">
        <v>4.8</v>
      </c>
      <c r="D89">
        <v>2.9</v>
      </c>
      <c r="E89" t="s">
        <v>106</v>
      </c>
      <c r="F89">
        <v>16</v>
      </c>
      <c r="G89">
        <v>1.2</v>
      </c>
      <c r="H89">
        <v>1.1000000000000001</v>
      </c>
      <c r="I89">
        <v>7</v>
      </c>
      <c r="J89">
        <v>-2.7</v>
      </c>
      <c r="K89">
        <v>4.5999999999999996</v>
      </c>
      <c r="L89" t="s">
        <v>116</v>
      </c>
      <c r="M89">
        <v>-0.5</v>
      </c>
      <c r="N89">
        <v>-4.7</v>
      </c>
      <c r="O89" t="s">
        <v>121</v>
      </c>
      <c r="P89">
        <v>4.5</v>
      </c>
      <c r="Q89">
        <v>8.1999999999999993</v>
      </c>
      <c r="R89">
        <v>9.8000000000000007</v>
      </c>
      <c r="S89">
        <v>13</v>
      </c>
      <c r="T89">
        <v>6.9</v>
      </c>
      <c r="U89">
        <v>10.5</v>
      </c>
      <c r="V89">
        <v>3.3</v>
      </c>
      <c r="W89">
        <v>-2.7</v>
      </c>
      <c r="X89">
        <v>4.2</v>
      </c>
      <c r="Y89">
        <v>-2.7</v>
      </c>
      <c r="Z89">
        <v>12.4</v>
      </c>
      <c r="AA89">
        <v>11.3</v>
      </c>
      <c r="AB89">
        <v>4</v>
      </c>
      <c r="AC89">
        <v>5.3</v>
      </c>
      <c r="AD89">
        <v>13.4</v>
      </c>
      <c r="AE89">
        <v>5.5</v>
      </c>
      <c r="AF89">
        <v>10.8</v>
      </c>
      <c r="AG89">
        <v>-2.6</v>
      </c>
      <c r="AH89">
        <v>-2.1</v>
      </c>
      <c r="AI89">
        <v>14.8</v>
      </c>
      <c r="AJ89">
        <v>14.9</v>
      </c>
      <c r="AK89">
        <v>4.4000000000000004</v>
      </c>
      <c r="AL89">
        <v>14.1</v>
      </c>
      <c r="AM89">
        <v>5.2</v>
      </c>
      <c r="AN89">
        <v>3</v>
      </c>
      <c r="AO89">
        <v>15.1</v>
      </c>
      <c r="AP89">
        <v>-3.3</v>
      </c>
      <c r="AQ89">
        <v>-2.7</v>
      </c>
      <c r="AR89">
        <v>-4.2</v>
      </c>
      <c r="AS89">
        <v>12.7</v>
      </c>
      <c r="AT89">
        <v>5.3</v>
      </c>
      <c r="AU89">
        <v>-4.8</v>
      </c>
      <c r="AV89">
        <v>19.3</v>
      </c>
      <c r="AW89">
        <v>-2.7</v>
      </c>
      <c r="AX89">
        <v>-14.6</v>
      </c>
      <c r="AY89">
        <v>0.4</v>
      </c>
      <c r="AZ89">
        <v>13.5</v>
      </c>
      <c r="BA89">
        <v>16.100000000000001</v>
      </c>
      <c r="BB89">
        <v>0</v>
      </c>
    </row>
    <row r="90" spans="1:54" ht="14.15" customHeight="1">
      <c r="A90" t="s">
        <v>76</v>
      </c>
      <c r="B90" t="s">
        <v>101</v>
      </c>
      <c r="C90">
        <v>1258</v>
      </c>
      <c r="D90">
        <v>14</v>
      </c>
      <c r="E90">
        <v>8</v>
      </c>
      <c r="F90">
        <v>10</v>
      </c>
      <c r="G90">
        <v>12</v>
      </c>
      <c r="H90">
        <v>95</v>
      </c>
      <c r="I90">
        <v>18</v>
      </c>
      <c r="J90">
        <v>15</v>
      </c>
      <c r="K90">
        <v>19</v>
      </c>
      <c r="L90">
        <v>0</v>
      </c>
      <c r="M90">
        <v>55</v>
      </c>
      <c r="N90">
        <v>13</v>
      </c>
      <c r="O90">
        <v>3</v>
      </c>
      <c r="P90">
        <v>10</v>
      </c>
      <c r="Q90">
        <v>37</v>
      </c>
      <c r="R90">
        <v>33</v>
      </c>
      <c r="S90">
        <v>20</v>
      </c>
      <c r="T90">
        <v>10</v>
      </c>
      <c r="U90">
        <v>20</v>
      </c>
      <c r="V90">
        <v>12</v>
      </c>
      <c r="W90">
        <v>10</v>
      </c>
      <c r="X90">
        <v>12</v>
      </c>
      <c r="Y90">
        <v>31</v>
      </c>
      <c r="Z90">
        <v>76</v>
      </c>
      <c r="AA90">
        <v>41</v>
      </c>
      <c r="AB90">
        <v>4</v>
      </c>
      <c r="AC90">
        <v>23</v>
      </c>
      <c r="AD90">
        <v>8</v>
      </c>
      <c r="AE90">
        <v>10</v>
      </c>
      <c r="AF90">
        <v>1</v>
      </c>
      <c r="AG90">
        <v>17</v>
      </c>
      <c r="AH90">
        <v>109</v>
      </c>
      <c r="AI90">
        <v>11</v>
      </c>
      <c r="AJ90">
        <v>85</v>
      </c>
      <c r="AK90">
        <v>22</v>
      </c>
      <c r="AL90">
        <v>2</v>
      </c>
      <c r="AM90">
        <v>36</v>
      </c>
      <c r="AN90">
        <v>11</v>
      </c>
      <c r="AO90">
        <v>12</v>
      </c>
      <c r="AP90">
        <v>99</v>
      </c>
      <c r="AQ90">
        <v>12</v>
      </c>
      <c r="AR90">
        <v>24</v>
      </c>
      <c r="AS90">
        <v>4</v>
      </c>
      <c r="AT90">
        <v>15</v>
      </c>
      <c r="AU90">
        <v>30</v>
      </c>
      <c r="AV90">
        <v>13</v>
      </c>
      <c r="AW90">
        <v>8</v>
      </c>
      <c r="AX90">
        <v>24</v>
      </c>
      <c r="AY90">
        <v>55</v>
      </c>
      <c r="AZ90">
        <v>6</v>
      </c>
      <c r="BA90">
        <v>40</v>
      </c>
      <c r="BB90">
        <v>3</v>
      </c>
    </row>
    <row r="91" spans="1:54" ht="14.15" customHeight="1"/>
    <row r="92" spans="1:54" ht="14.15" customHeight="1">
      <c r="A92" t="s">
        <v>77</v>
      </c>
    </row>
    <row r="93" spans="1:54" ht="14.15" customHeight="1">
      <c r="A93" t="s">
        <v>78</v>
      </c>
    </row>
    <row r="94" spans="1:54" ht="14.15" customHeight="1">
      <c r="A94" t="s">
        <v>79</v>
      </c>
    </row>
    <row r="95" spans="1:54" ht="14.15" customHeight="1">
      <c r="A95" t="s">
        <v>80</v>
      </c>
    </row>
    <row r="96" spans="1:54" ht="14.15" customHeight="1">
      <c r="A96" t="s">
        <v>81</v>
      </c>
    </row>
    <row r="97" spans="1:1" ht="14.15" customHeight="1">
      <c r="A97" t="s">
        <v>82</v>
      </c>
    </row>
    <row r="98" spans="1:1" ht="14.15" customHeight="1">
      <c r="A98" t="s">
        <v>83</v>
      </c>
    </row>
    <row r="99" spans="1:1" ht="14.15" customHeight="1">
      <c r="A99" t="s">
        <v>84</v>
      </c>
    </row>
    <row r="100" spans="1:1" ht="14.15" customHeight="1">
      <c r="A100" t="s">
        <v>85</v>
      </c>
    </row>
    <row r="101" spans="1:1" ht="14.15" customHeight="1">
      <c r="A101" t="s">
        <v>86</v>
      </c>
    </row>
    <row r="102" spans="1:1" ht="14.15" customHeight="1">
      <c r="A102" t="s">
        <v>87</v>
      </c>
    </row>
    <row r="103" spans="1:1" ht="14.15" customHeight="1">
      <c r="A103" t="s">
        <v>88</v>
      </c>
    </row>
    <row r="104" spans="1:1" ht="14.15" customHeight="1">
      <c r="A104" t="s">
        <v>89</v>
      </c>
    </row>
    <row r="105" spans="1:1" ht="14.15" customHeight="1"/>
    <row r="106" spans="1:1" ht="14.15" customHeight="1"/>
    <row r="107" spans="1:1" ht="14.15" customHeight="1"/>
    <row r="108" spans="1:1" ht="14.15" customHeight="1"/>
  </sheetData>
  <phoneticPr fontId="0" type="noConversion"/>
  <printOptions horizontalCentered="1" verticalCentered="1" headings="1" gridLines="1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stat.abstract.XL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Daley</dc:creator>
  <cp:lastModifiedBy>Carina Negreanu</cp:lastModifiedBy>
  <dcterms:created xsi:type="dcterms:W3CDTF">2000-02-21T23:28:50Z</dcterms:created>
  <dcterms:modified xsi:type="dcterms:W3CDTF">2020-01-27T12:42:16Z</dcterms:modified>
</cp:coreProperties>
</file>