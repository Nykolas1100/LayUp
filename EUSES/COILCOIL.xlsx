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9452AB5-B1E7-4BF6-AD46-673D5E832521}" xr6:coauthVersionLast="45" xr6:coauthVersionMax="45" xr10:uidLastSave="{00000000-0000-0000-0000-000000000000}"/>
  <bookViews>
    <workbookView xWindow="3420" yWindow="3420" windowWidth="28800" windowHeight="15460"/>
  </bookViews>
  <sheets>
    <sheet name="Calculations" sheetId="1" r:id="rId1"/>
    <sheet name="pCC Plot" sheetId="2" r:id="rId2"/>
    <sheet name="Sequences" sheetId="3" r:id="rId3"/>
  </sheets>
  <calcPr calcId="0"/>
</workbook>
</file>

<file path=xl/calcChain.xml><?xml version="1.0" encoding="utf-8"?>
<calcChain xmlns="http://schemas.openxmlformats.org/spreadsheetml/2006/main">
  <c r="B3" i="1" l="1"/>
  <c r="D3" i="1"/>
  <c r="E3" i="1"/>
  <c r="F3" i="1"/>
  <c r="G3" i="1"/>
  <c r="H3" i="1"/>
  <c r="I3" i="1"/>
  <c r="J3" i="1"/>
  <c r="B4" i="1"/>
  <c r="C4" i="1"/>
  <c r="D4" i="1"/>
  <c r="E4" i="1"/>
  <c r="F4" i="1"/>
  <c r="G4" i="1"/>
  <c r="H4" i="1"/>
  <c r="I4" i="1"/>
  <c r="J4" i="1"/>
  <c r="B5" i="1"/>
  <c r="C5" i="1"/>
  <c r="D5" i="1"/>
  <c r="E5" i="1"/>
  <c r="F5" i="1"/>
  <c r="G5" i="1"/>
  <c r="H5" i="1"/>
  <c r="I5" i="1"/>
  <c r="J5" i="1"/>
  <c r="B6" i="1"/>
  <c r="C6" i="1"/>
  <c r="D6" i="1"/>
  <c r="E6" i="1"/>
  <c r="F6" i="1"/>
  <c r="G6" i="1"/>
  <c r="H6" i="1"/>
  <c r="I6" i="1"/>
  <c r="J6" i="1"/>
  <c r="B7" i="1"/>
  <c r="C7" i="1"/>
  <c r="D7" i="1"/>
  <c r="E7" i="1"/>
  <c r="F7" i="1"/>
  <c r="G7" i="1"/>
  <c r="H7" i="1"/>
  <c r="I7" i="1"/>
  <c r="J7" i="1"/>
  <c r="B8" i="1"/>
  <c r="C8" i="1"/>
  <c r="D8" i="1"/>
  <c r="E8" i="1"/>
  <c r="F8" i="1"/>
  <c r="G8" i="1"/>
  <c r="H8" i="1"/>
  <c r="I8" i="1"/>
  <c r="J8" i="1"/>
  <c r="B9" i="1"/>
  <c r="C9" i="1"/>
  <c r="D9" i="1"/>
  <c r="E9" i="1"/>
  <c r="F9" i="1"/>
  <c r="G9" i="1"/>
  <c r="H9" i="1"/>
  <c r="I9" i="1"/>
  <c r="J9" i="1"/>
  <c r="B10" i="1"/>
  <c r="C10" i="1"/>
  <c r="D10" i="1"/>
  <c r="E10" i="1"/>
  <c r="F10" i="1"/>
  <c r="G10" i="1"/>
  <c r="H10" i="1"/>
  <c r="I10" i="1"/>
  <c r="J10" i="1"/>
  <c r="B11" i="1"/>
  <c r="C11" i="1"/>
  <c r="D11" i="1"/>
  <c r="K8" i="1" s="1"/>
  <c r="E11" i="1"/>
  <c r="F11" i="1"/>
  <c r="G11" i="1"/>
  <c r="N11" i="1" s="1"/>
  <c r="H11" i="1"/>
  <c r="I11" i="1"/>
  <c r="P11" i="1" s="1"/>
  <c r="J11" i="1"/>
  <c r="B12" i="1"/>
  <c r="C12" i="1"/>
  <c r="D12" i="1"/>
  <c r="E12" i="1"/>
  <c r="F12" i="1"/>
  <c r="G12" i="1"/>
  <c r="H12" i="1"/>
  <c r="I12" i="1"/>
  <c r="J12" i="1"/>
  <c r="Q12" i="1" s="1"/>
  <c r="B13" i="1"/>
  <c r="C13" i="1"/>
  <c r="D13" i="1"/>
  <c r="E13" i="1"/>
  <c r="F13" i="1"/>
  <c r="G13" i="1"/>
  <c r="H13" i="1"/>
  <c r="I13" i="1"/>
  <c r="J13" i="1"/>
  <c r="B14" i="1"/>
  <c r="C14" i="1"/>
  <c r="D14" i="1"/>
  <c r="E14" i="1"/>
  <c r="F14" i="1"/>
  <c r="G14" i="1"/>
  <c r="H14" i="1"/>
  <c r="I14" i="1"/>
  <c r="J14" i="1"/>
  <c r="B15" i="1"/>
  <c r="C15" i="1"/>
  <c r="D15" i="1"/>
  <c r="E15" i="1"/>
  <c r="F15" i="1"/>
  <c r="G15" i="1"/>
  <c r="H15" i="1"/>
  <c r="I15" i="1"/>
  <c r="J15" i="1"/>
  <c r="B16" i="1"/>
  <c r="C16" i="1"/>
  <c r="D16" i="1"/>
  <c r="E16" i="1"/>
  <c r="F16" i="1"/>
  <c r="G16" i="1"/>
  <c r="H16" i="1"/>
  <c r="I16" i="1"/>
  <c r="J16" i="1"/>
  <c r="B17" i="1"/>
  <c r="C17" i="1"/>
  <c r="D17" i="1"/>
  <c r="E17" i="1"/>
  <c r="F17" i="1"/>
  <c r="G17" i="1"/>
  <c r="H17" i="1"/>
  <c r="I17" i="1"/>
  <c r="J17" i="1"/>
  <c r="B18" i="1"/>
  <c r="C18" i="1"/>
  <c r="D18" i="1"/>
  <c r="E18" i="1"/>
  <c r="F18" i="1"/>
  <c r="G18" i="1"/>
  <c r="H18" i="1"/>
  <c r="I18" i="1"/>
  <c r="J18" i="1"/>
  <c r="B19" i="1"/>
  <c r="C19" i="1"/>
  <c r="D19" i="1"/>
  <c r="E19" i="1"/>
  <c r="F19" i="1"/>
  <c r="G19" i="1"/>
  <c r="H19" i="1"/>
  <c r="I19" i="1"/>
  <c r="J19" i="1"/>
  <c r="B20" i="1"/>
  <c r="C20" i="1"/>
  <c r="D20" i="1"/>
  <c r="E20" i="1"/>
  <c r="F20" i="1"/>
  <c r="G20" i="1"/>
  <c r="H20" i="1"/>
  <c r="I20" i="1"/>
  <c r="J20" i="1"/>
  <c r="B21" i="1"/>
  <c r="C21" i="1"/>
  <c r="D21" i="1"/>
  <c r="E21" i="1"/>
  <c r="F21" i="1"/>
  <c r="G21" i="1"/>
  <c r="H21" i="1"/>
  <c r="I21" i="1"/>
  <c r="J21" i="1"/>
  <c r="B22" i="1"/>
  <c r="C22" i="1"/>
  <c r="D22" i="1"/>
  <c r="E22" i="1"/>
  <c r="F22" i="1"/>
  <c r="G22" i="1"/>
  <c r="H22" i="1"/>
  <c r="I22" i="1"/>
  <c r="J22" i="1"/>
  <c r="B23" i="1"/>
  <c r="C23" i="1"/>
  <c r="D23" i="1"/>
  <c r="E23" i="1"/>
  <c r="F23" i="1"/>
  <c r="G23" i="1"/>
  <c r="H23" i="1"/>
  <c r="I23" i="1"/>
  <c r="J23" i="1"/>
  <c r="B24" i="1"/>
  <c r="C24" i="1"/>
  <c r="D24" i="1"/>
  <c r="E24" i="1"/>
  <c r="F24" i="1"/>
  <c r="G24" i="1"/>
  <c r="H24" i="1"/>
  <c r="I24" i="1"/>
  <c r="J24" i="1"/>
  <c r="B25" i="1"/>
  <c r="C25" i="1"/>
  <c r="D25" i="1"/>
  <c r="E25" i="1"/>
  <c r="F25" i="1"/>
  <c r="G25" i="1"/>
  <c r="H25" i="1"/>
  <c r="I25" i="1"/>
  <c r="J25" i="1"/>
  <c r="B26" i="1"/>
  <c r="C26" i="1"/>
  <c r="D26" i="1"/>
  <c r="E26" i="1"/>
  <c r="F26" i="1"/>
  <c r="M21" i="1" s="1"/>
  <c r="G26" i="1"/>
  <c r="H26" i="1"/>
  <c r="I26" i="1"/>
  <c r="J26" i="1"/>
  <c r="B27" i="1"/>
  <c r="C27" i="1"/>
  <c r="D27" i="1"/>
  <c r="E27" i="1"/>
  <c r="F27" i="1"/>
  <c r="G27" i="1"/>
  <c r="H27" i="1"/>
  <c r="I27" i="1"/>
  <c r="J27" i="1"/>
  <c r="B28" i="1"/>
  <c r="C28" i="1"/>
  <c r="D28" i="1"/>
  <c r="E28" i="1"/>
  <c r="F28" i="1"/>
  <c r="G28" i="1"/>
  <c r="H28" i="1"/>
  <c r="I28" i="1"/>
  <c r="J28" i="1"/>
  <c r="B29" i="1"/>
  <c r="C29" i="1"/>
  <c r="D29" i="1"/>
  <c r="E29" i="1"/>
  <c r="F29" i="1"/>
  <c r="G29" i="1"/>
  <c r="H29" i="1"/>
  <c r="I29" i="1"/>
  <c r="J29" i="1"/>
  <c r="B30" i="1"/>
  <c r="C30" i="1"/>
  <c r="D30" i="1"/>
  <c r="E30" i="1"/>
  <c r="F30" i="1"/>
  <c r="M30" i="1" s="1"/>
  <c r="G30" i="1"/>
  <c r="H30" i="1"/>
  <c r="I30" i="1"/>
  <c r="J30" i="1"/>
  <c r="B31" i="1"/>
  <c r="C31" i="1"/>
  <c r="D31" i="1"/>
  <c r="E31" i="1"/>
  <c r="F31" i="1"/>
  <c r="G31" i="1"/>
  <c r="H31" i="1"/>
  <c r="I31" i="1"/>
  <c r="J31" i="1"/>
  <c r="B32" i="1"/>
  <c r="C32" i="1"/>
  <c r="D32" i="1"/>
  <c r="E32" i="1"/>
  <c r="L30" i="1" s="1"/>
  <c r="F32" i="1"/>
  <c r="G32" i="1"/>
  <c r="H32" i="1"/>
  <c r="O31" i="1" s="1"/>
  <c r="I32" i="1"/>
  <c r="J32" i="1"/>
  <c r="B33" i="1"/>
  <c r="C33" i="1"/>
  <c r="D33" i="1"/>
  <c r="E33" i="1"/>
  <c r="F33" i="1"/>
  <c r="G33" i="1"/>
  <c r="H33" i="1"/>
  <c r="I33" i="1"/>
  <c r="J33" i="1"/>
  <c r="B34" i="1"/>
  <c r="C34" i="1"/>
  <c r="D34" i="1"/>
  <c r="E34" i="1"/>
  <c r="F34" i="1"/>
  <c r="G34" i="1"/>
  <c r="H34" i="1"/>
  <c r="O30" i="1" s="1"/>
  <c r="I34" i="1"/>
  <c r="P34" i="1" s="1"/>
  <c r="J34" i="1"/>
  <c r="B35" i="1"/>
  <c r="C35" i="1"/>
  <c r="D35" i="1"/>
  <c r="E35" i="1"/>
  <c r="F35" i="1"/>
  <c r="G35" i="1"/>
  <c r="H35" i="1"/>
  <c r="I35" i="1"/>
  <c r="J35" i="1"/>
  <c r="B36" i="1"/>
  <c r="C36" i="1"/>
  <c r="D36" i="1"/>
  <c r="K30" i="1" s="1"/>
  <c r="E36" i="1"/>
  <c r="F36" i="1"/>
  <c r="G36" i="1"/>
  <c r="N35" i="1" s="1"/>
  <c r="H36" i="1"/>
  <c r="I36" i="1"/>
  <c r="J36" i="1"/>
  <c r="Q35" i="1" s="1"/>
  <c r="B37" i="1"/>
  <c r="C37" i="1"/>
  <c r="D37" i="1"/>
  <c r="E37" i="1"/>
  <c r="F37" i="1"/>
  <c r="G37" i="1"/>
  <c r="H37" i="1"/>
  <c r="I37" i="1"/>
  <c r="J37" i="1"/>
  <c r="B38" i="1"/>
  <c r="C38" i="1"/>
  <c r="D38" i="1"/>
  <c r="E38" i="1"/>
  <c r="F38" i="1"/>
  <c r="G38" i="1"/>
  <c r="H38" i="1"/>
  <c r="I38" i="1"/>
  <c r="J38" i="1"/>
  <c r="B39" i="1"/>
  <c r="C39" i="1"/>
  <c r="D39" i="1"/>
  <c r="E39" i="1"/>
  <c r="F39" i="1"/>
  <c r="G39" i="1"/>
  <c r="H39" i="1"/>
  <c r="I39" i="1"/>
  <c r="J39" i="1"/>
  <c r="B40" i="1"/>
  <c r="C40" i="1"/>
  <c r="D40" i="1"/>
  <c r="E40" i="1"/>
  <c r="F40" i="1"/>
  <c r="G40" i="1"/>
  <c r="H40" i="1"/>
  <c r="I40" i="1"/>
  <c r="J40" i="1"/>
  <c r="B41" i="1"/>
  <c r="C41" i="1"/>
  <c r="D41" i="1"/>
  <c r="E41" i="1"/>
  <c r="F41" i="1"/>
  <c r="G41" i="1"/>
  <c r="H41" i="1"/>
  <c r="I41" i="1"/>
  <c r="J41" i="1"/>
  <c r="B42" i="1"/>
  <c r="C42" i="1"/>
  <c r="D42" i="1"/>
  <c r="E42" i="1"/>
  <c r="F42" i="1"/>
  <c r="G42" i="1"/>
  <c r="H42" i="1"/>
  <c r="I42" i="1"/>
  <c r="J42" i="1"/>
  <c r="B43" i="1"/>
  <c r="C43" i="1"/>
  <c r="D43" i="1"/>
  <c r="E43" i="1"/>
  <c r="F43" i="1"/>
  <c r="G43" i="1"/>
  <c r="H43" i="1"/>
  <c r="I43" i="1"/>
  <c r="J43" i="1"/>
  <c r="B44" i="1"/>
  <c r="C44" i="1"/>
  <c r="D44" i="1"/>
  <c r="E44" i="1"/>
  <c r="F44" i="1"/>
  <c r="G44" i="1"/>
  <c r="H44" i="1"/>
  <c r="I44" i="1"/>
  <c r="J44" i="1"/>
  <c r="B45" i="1"/>
  <c r="C45" i="1"/>
  <c r="D45" i="1"/>
  <c r="E45" i="1"/>
  <c r="F45" i="1"/>
  <c r="G45" i="1"/>
  <c r="H45" i="1"/>
  <c r="I45" i="1"/>
  <c r="J45" i="1"/>
  <c r="B46" i="1"/>
  <c r="C46" i="1"/>
  <c r="D46" i="1"/>
  <c r="E46" i="1"/>
  <c r="F46" i="1"/>
  <c r="G46" i="1"/>
  <c r="H46" i="1"/>
  <c r="I46" i="1"/>
  <c r="J46" i="1"/>
  <c r="B47" i="1"/>
  <c r="C47" i="1"/>
  <c r="D47" i="1"/>
  <c r="K46" i="1" s="1"/>
  <c r="E47" i="1"/>
  <c r="F47" i="1"/>
  <c r="G47" i="1"/>
  <c r="H47" i="1"/>
  <c r="I47" i="1"/>
  <c r="J47" i="1"/>
  <c r="B48" i="1"/>
  <c r="C48" i="1"/>
  <c r="D48" i="1"/>
  <c r="E48" i="1"/>
  <c r="F48" i="1"/>
  <c r="G48" i="1"/>
  <c r="H48" i="1"/>
  <c r="I48" i="1"/>
  <c r="J48" i="1"/>
  <c r="B49" i="1"/>
  <c r="C49" i="1"/>
  <c r="D49" i="1"/>
  <c r="E49" i="1"/>
  <c r="F49" i="1"/>
  <c r="M49" i="1" s="1"/>
  <c r="G49" i="1"/>
  <c r="H49" i="1"/>
  <c r="O49" i="1" s="1"/>
  <c r="I49" i="1"/>
  <c r="J49" i="1"/>
  <c r="B50" i="1"/>
  <c r="C50" i="1"/>
  <c r="D50" i="1"/>
  <c r="E50" i="1"/>
  <c r="F50" i="1"/>
  <c r="G50" i="1"/>
  <c r="H50" i="1"/>
  <c r="I50" i="1"/>
  <c r="J50" i="1"/>
  <c r="B51" i="1"/>
  <c r="C51" i="1"/>
  <c r="D51" i="1"/>
  <c r="E51" i="1"/>
  <c r="F51" i="1"/>
  <c r="G51" i="1"/>
  <c r="H51" i="1"/>
  <c r="I51" i="1"/>
  <c r="J51" i="1"/>
  <c r="Q31" i="1" s="1"/>
  <c r="B52" i="1"/>
  <c r="C52" i="1"/>
  <c r="D52" i="1"/>
  <c r="K52" i="1" s="1"/>
  <c r="E52" i="1"/>
  <c r="F52" i="1"/>
  <c r="G52" i="1"/>
  <c r="H52" i="1"/>
  <c r="I52" i="1"/>
  <c r="J52" i="1"/>
  <c r="B53" i="1"/>
  <c r="C53" i="1"/>
  <c r="D53" i="1"/>
  <c r="E53" i="1"/>
  <c r="F53" i="1"/>
  <c r="G53" i="1"/>
  <c r="H53" i="1"/>
  <c r="I53" i="1"/>
  <c r="J53" i="1"/>
  <c r="Q53" i="1" s="1"/>
  <c r="B54" i="1"/>
  <c r="C54" i="1"/>
  <c r="D54" i="1"/>
  <c r="E54" i="1"/>
  <c r="F54" i="1"/>
  <c r="G54" i="1"/>
  <c r="H54" i="1"/>
  <c r="I54" i="1"/>
  <c r="J54" i="1"/>
  <c r="B55" i="1"/>
  <c r="C55" i="1"/>
  <c r="D55" i="1"/>
  <c r="E55" i="1"/>
  <c r="F55" i="1"/>
  <c r="G55" i="1"/>
  <c r="H55" i="1"/>
  <c r="I55" i="1"/>
  <c r="J55" i="1"/>
  <c r="B56" i="1"/>
  <c r="C56" i="1"/>
  <c r="D56" i="1"/>
  <c r="E56" i="1"/>
  <c r="F56" i="1"/>
  <c r="G56" i="1"/>
  <c r="H56" i="1"/>
  <c r="I56" i="1"/>
  <c r="J56" i="1"/>
  <c r="B57" i="1"/>
  <c r="C57" i="1"/>
  <c r="D57" i="1"/>
  <c r="E57" i="1"/>
  <c r="F57" i="1"/>
  <c r="G57" i="1"/>
  <c r="H57" i="1"/>
  <c r="I57" i="1"/>
  <c r="J57" i="1"/>
  <c r="B58" i="1"/>
  <c r="C58" i="1"/>
  <c r="D58" i="1"/>
  <c r="E58" i="1"/>
  <c r="F58" i="1"/>
  <c r="G58" i="1"/>
  <c r="H58" i="1"/>
  <c r="I58" i="1"/>
  <c r="J58" i="1"/>
  <c r="B59" i="1"/>
  <c r="C59" i="1"/>
  <c r="D59" i="1"/>
  <c r="E59" i="1"/>
  <c r="F59" i="1"/>
  <c r="G59" i="1"/>
  <c r="H59" i="1"/>
  <c r="I59" i="1"/>
  <c r="J59" i="1"/>
  <c r="B60" i="1"/>
  <c r="C60" i="1"/>
  <c r="D60" i="1"/>
  <c r="E60" i="1"/>
  <c r="F60" i="1"/>
  <c r="G60" i="1"/>
  <c r="H60" i="1"/>
  <c r="I60" i="1"/>
  <c r="J60" i="1"/>
  <c r="B61" i="1"/>
  <c r="C61" i="1"/>
  <c r="D61" i="1"/>
  <c r="E61" i="1"/>
  <c r="F61" i="1"/>
  <c r="G61" i="1"/>
  <c r="H61" i="1"/>
  <c r="I61" i="1"/>
  <c r="J61" i="1"/>
  <c r="B62" i="1"/>
  <c r="C62" i="1"/>
  <c r="D62" i="1"/>
  <c r="E62" i="1"/>
  <c r="F62" i="1"/>
  <c r="G62" i="1"/>
  <c r="H62" i="1"/>
  <c r="O53" i="1" s="1"/>
  <c r="I62" i="1"/>
  <c r="J62" i="1"/>
  <c r="B63" i="1"/>
  <c r="C63" i="1"/>
  <c r="D63" i="1"/>
  <c r="E63" i="1"/>
  <c r="F63" i="1"/>
  <c r="G63" i="1"/>
  <c r="H63" i="1"/>
  <c r="I63" i="1"/>
  <c r="J63" i="1"/>
  <c r="B64" i="1"/>
  <c r="C64" i="1"/>
  <c r="D64" i="1"/>
  <c r="E64" i="1"/>
  <c r="F64" i="1"/>
  <c r="G64" i="1"/>
  <c r="H64" i="1"/>
  <c r="I64" i="1"/>
  <c r="J64" i="1"/>
  <c r="B65" i="1"/>
  <c r="C65" i="1"/>
  <c r="D65" i="1"/>
  <c r="K65" i="1" s="1"/>
  <c r="E65" i="1"/>
  <c r="F65" i="1"/>
  <c r="G65" i="1"/>
  <c r="H65" i="1"/>
  <c r="I65" i="1"/>
  <c r="J65" i="1"/>
  <c r="B66" i="1"/>
  <c r="C66" i="1"/>
  <c r="D66" i="1"/>
  <c r="E66" i="1"/>
  <c r="F66" i="1"/>
  <c r="G66" i="1"/>
  <c r="H66" i="1"/>
  <c r="I66" i="1"/>
  <c r="J66" i="1"/>
  <c r="B67" i="1"/>
  <c r="C67" i="1"/>
  <c r="D67" i="1"/>
  <c r="K67" i="1" s="1"/>
  <c r="E67" i="1"/>
  <c r="L67" i="1" s="1"/>
  <c r="F67" i="1"/>
  <c r="G67" i="1"/>
  <c r="H67" i="1"/>
  <c r="I67" i="1"/>
  <c r="J67" i="1"/>
  <c r="B68" i="1"/>
  <c r="C68" i="1"/>
  <c r="D68" i="1"/>
  <c r="E68" i="1"/>
  <c r="F68" i="1"/>
  <c r="G68" i="1"/>
  <c r="H68" i="1"/>
  <c r="I68" i="1"/>
  <c r="J68" i="1"/>
  <c r="B69" i="1"/>
  <c r="C69" i="1"/>
  <c r="D69" i="1"/>
  <c r="E69" i="1"/>
  <c r="F69" i="1"/>
  <c r="G69" i="1"/>
  <c r="H69" i="1"/>
  <c r="I69" i="1"/>
  <c r="J69" i="1"/>
  <c r="B70" i="1"/>
  <c r="C70" i="1"/>
  <c r="D70" i="1"/>
  <c r="E70" i="1"/>
  <c r="F70" i="1"/>
  <c r="G70" i="1"/>
  <c r="H70" i="1"/>
  <c r="I70" i="1"/>
  <c r="J70" i="1"/>
  <c r="B71" i="1"/>
  <c r="C71" i="1"/>
  <c r="D71" i="1"/>
  <c r="E71" i="1"/>
  <c r="F71" i="1"/>
  <c r="G71" i="1"/>
  <c r="H71" i="1"/>
  <c r="I71" i="1"/>
  <c r="J71" i="1"/>
  <c r="Q71" i="1" s="1"/>
  <c r="B72" i="1"/>
  <c r="C72" i="1"/>
  <c r="D72" i="1"/>
  <c r="E72" i="1"/>
  <c r="F72" i="1"/>
  <c r="G72" i="1"/>
  <c r="H72" i="1"/>
  <c r="I72" i="1"/>
  <c r="J72" i="1"/>
  <c r="B73" i="1"/>
  <c r="C73" i="1"/>
  <c r="D73" i="1"/>
  <c r="E73" i="1"/>
  <c r="F73" i="1"/>
  <c r="G73" i="1"/>
  <c r="H73" i="1"/>
  <c r="I73" i="1"/>
  <c r="J73" i="1"/>
  <c r="B74" i="1"/>
  <c r="C74" i="1"/>
  <c r="D74" i="1"/>
  <c r="E74" i="1"/>
  <c r="F74" i="1"/>
  <c r="G74" i="1"/>
  <c r="H74" i="1"/>
  <c r="I74" i="1"/>
  <c r="J74" i="1"/>
  <c r="B75" i="1"/>
  <c r="C75" i="1"/>
  <c r="D75" i="1"/>
  <c r="K70" i="1" s="1"/>
  <c r="E75" i="1"/>
  <c r="L70" i="1" s="1"/>
  <c r="F75" i="1"/>
  <c r="G75" i="1"/>
  <c r="H75" i="1"/>
  <c r="I75" i="1"/>
  <c r="J75" i="1"/>
  <c r="B76" i="1"/>
  <c r="C76" i="1"/>
  <c r="D76" i="1"/>
  <c r="E76" i="1"/>
  <c r="F76" i="1"/>
  <c r="G76" i="1"/>
  <c r="H76" i="1"/>
  <c r="I76" i="1"/>
  <c r="J76" i="1"/>
  <c r="B77" i="1"/>
  <c r="C77" i="1"/>
  <c r="D77" i="1"/>
  <c r="E77" i="1"/>
  <c r="F77" i="1"/>
  <c r="G77" i="1"/>
  <c r="H77" i="1"/>
  <c r="I77" i="1"/>
  <c r="J77" i="1"/>
  <c r="Q75" i="1" s="1"/>
  <c r="B78" i="1"/>
  <c r="C78" i="1"/>
  <c r="D78" i="1"/>
  <c r="E78" i="1"/>
  <c r="F78" i="1"/>
  <c r="G78" i="1"/>
  <c r="H78" i="1"/>
  <c r="I78" i="1"/>
  <c r="J78" i="1"/>
  <c r="B79" i="1"/>
  <c r="C79" i="1"/>
  <c r="D79" i="1"/>
  <c r="E79" i="1"/>
  <c r="F79" i="1"/>
  <c r="G79" i="1"/>
  <c r="H79" i="1"/>
  <c r="I79" i="1"/>
  <c r="J79" i="1"/>
  <c r="B80" i="1"/>
  <c r="C80" i="1"/>
  <c r="D80" i="1"/>
  <c r="E80" i="1"/>
  <c r="F80" i="1"/>
  <c r="G80" i="1"/>
  <c r="H80" i="1"/>
  <c r="I80" i="1"/>
  <c r="J80" i="1"/>
  <c r="B81" i="1"/>
  <c r="C81" i="1"/>
  <c r="D81" i="1"/>
  <c r="E81" i="1"/>
  <c r="F81" i="1"/>
  <c r="G81" i="1"/>
  <c r="H81" i="1"/>
  <c r="I81" i="1"/>
  <c r="J81" i="1"/>
  <c r="B82" i="1"/>
  <c r="C82" i="1"/>
  <c r="D82" i="1"/>
  <c r="E82" i="1"/>
  <c r="F82" i="1"/>
  <c r="G82" i="1"/>
  <c r="H82" i="1"/>
  <c r="I82" i="1"/>
  <c r="J82" i="1"/>
  <c r="B83" i="1"/>
  <c r="C83" i="1"/>
  <c r="D83" i="1"/>
  <c r="E83" i="1"/>
  <c r="F83" i="1"/>
  <c r="G83" i="1"/>
  <c r="H83" i="1"/>
  <c r="I83" i="1"/>
  <c r="J83" i="1"/>
  <c r="B84" i="1"/>
  <c r="C84" i="1"/>
  <c r="D84" i="1"/>
  <c r="E84" i="1"/>
  <c r="F84" i="1"/>
  <c r="G84" i="1"/>
  <c r="H84" i="1"/>
  <c r="I84" i="1"/>
  <c r="J84" i="1"/>
  <c r="B85" i="1"/>
  <c r="C85" i="1"/>
  <c r="D85" i="1"/>
  <c r="E85" i="1"/>
  <c r="F85" i="1"/>
  <c r="G85" i="1"/>
  <c r="H85" i="1"/>
  <c r="I85" i="1"/>
  <c r="J85" i="1"/>
  <c r="B86" i="1"/>
  <c r="C86" i="1"/>
  <c r="D86" i="1"/>
  <c r="K86" i="1" s="1"/>
  <c r="E86" i="1"/>
  <c r="F86" i="1"/>
  <c r="G86" i="1"/>
  <c r="H86" i="1"/>
  <c r="I86" i="1"/>
  <c r="J86" i="1"/>
  <c r="B87" i="1"/>
  <c r="C87" i="1"/>
  <c r="D87" i="1"/>
  <c r="E87" i="1"/>
  <c r="F87" i="1"/>
  <c r="G87" i="1"/>
  <c r="H87" i="1"/>
  <c r="I87" i="1"/>
  <c r="J87" i="1"/>
  <c r="B88" i="1"/>
  <c r="C88" i="1"/>
  <c r="D88" i="1"/>
  <c r="E88" i="1"/>
  <c r="F88" i="1"/>
  <c r="G88" i="1"/>
  <c r="H88" i="1"/>
  <c r="I88" i="1"/>
  <c r="J88" i="1"/>
  <c r="B89" i="1"/>
  <c r="C89" i="1"/>
  <c r="D89" i="1"/>
  <c r="E89" i="1"/>
  <c r="F89" i="1"/>
  <c r="G89" i="1"/>
  <c r="H89" i="1"/>
  <c r="I89" i="1"/>
  <c r="J89" i="1"/>
  <c r="B90" i="1"/>
  <c r="C90" i="1"/>
  <c r="D90" i="1"/>
  <c r="E90" i="1"/>
  <c r="F90" i="1"/>
  <c r="G90" i="1"/>
  <c r="H90" i="1"/>
  <c r="I90" i="1"/>
  <c r="J90" i="1"/>
  <c r="B91" i="1"/>
  <c r="C91" i="1"/>
  <c r="D91" i="1"/>
  <c r="E91" i="1"/>
  <c r="F91" i="1"/>
  <c r="G91" i="1"/>
  <c r="H91" i="1"/>
  <c r="I91" i="1"/>
  <c r="J91" i="1"/>
  <c r="B92" i="1"/>
  <c r="C92" i="1"/>
  <c r="D92" i="1"/>
  <c r="E92" i="1"/>
  <c r="F92" i="1"/>
  <c r="G92" i="1"/>
  <c r="H92" i="1"/>
  <c r="I92" i="1"/>
  <c r="J92" i="1"/>
  <c r="B93" i="1"/>
  <c r="C93" i="1"/>
  <c r="D93" i="1"/>
  <c r="K92" i="1" s="1"/>
  <c r="E93" i="1"/>
  <c r="F93" i="1"/>
  <c r="G93" i="1"/>
  <c r="H93" i="1"/>
  <c r="I93" i="1"/>
  <c r="J93" i="1"/>
  <c r="B94" i="1"/>
  <c r="C94" i="1"/>
  <c r="D94" i="1"/>
  <c r="E94" i="1"/>
  <c r="F94" i="1"/>
  <c r="G94" i="1"/>
  <c r="N93" i="1" s="1"/>
  <c r="H94" i="1"/>
  <c r="O93" i="1" s="1"/>
  <c r="I94" i="1"/>
  <c r="J94" i="1"/>
  <c r="Q93" i="1" s="1"/>
  <c r="B95" i="1"/>
  <c r="C95" i="1"/>
  <c r="D95" i="1"/>
  <c r="E95" i="1"/>
  <c r="F95" i="1"/>
  <c r="G95" i="1"/>
  <c r="H95" i="1"/>
  <c r="I95" i="1"/>
  <c r="J95" i="1"/>
  <c r="B96" i="1"/>
  <c r="C96" i="1"/>
  <c r="D96" i="1"/>
  <c r="E96" i="1"/>
  <c r="F96" i="1"/>
  <c r="G96" i="1"/>
  <c r="H96" i="1"/>
  <c r="I96" i="1"/>
  <c r="P93" i="1" s="1"/>
  <c r="J96" i="1"/>
  <c r="B97" i="1"/>
  <c r="C97" i="1"/>
  <c r="D97" i="1"/>
  <c r="E97" i="1"/>
  <c r="F97" i="1"/>
  <c r="G97" i="1"/>
  <c r="H97" i="1"/>
  <c r="I97" i="1"/>
  <c r="J97" i="1"/>
  <c r="B98" i="1"/>
  <c r="C98" i="1"/>
  <c r="D98" i="1"/>
  <c r="E98" i="1"/>
  <c r="F98" i="1"/>
  <c r="G98" i="1"/>
  <c r="H98" i="1"/>
  <c r="I98" i="1"/>
  <c r="J98" i="1"/>
  <c r="B99" i="1"/>
  <c r="C99" i="1"/>
  <c r="D99" i="1"/>
  <c r="E99" i="1"/>
  <c r="F99" i="1"/>
  <c r="G99" i="1"/>
  <c r="H99" i="1"/>
  <c r="I99" i="1"/>
  <c r="J99" i="1"/>
  <c r="B100" i="1"/>
  <c r="C100" i="1"/>
  <c r="D100" i="1"/>
  <c r="E100" i="1"/>
  <c r="F100" i="1"/>
  <c r="G100" i="1"/>
  <c r="H100" i="1"/>
  <c r="I100" i="1"/>
  <c r="J100" i="1"/>
  <c r="B101" i="1"/>
  <c r="C101" i="1"/>
  <c r="D101" i="1"/>
  <c r="E101" i="1"/>
  <c r="F101" i="1"/>
  <c r="G101" i="1"/>
  <c r="H101" i="1"/>
  <c r="I101" i="1"/>
  <c r="J101" i="1"/>
  <c r="B102" i="1"/>
  <c r="C102" i="1"/>
  <c r="D102" i="1"/>
  <c r="E102" i="1"/>
  <c r="F102" i="1"/>
  <c r="G102" i="1"/>
  <c r="H102" i="1"/>
  <c r="I102" i="1"/>
  <c r="J102" i="1"/>
  <c r="B103" i="1"/>
  <c r="C103" i="1"/>
  <c r="D103" i="1"/>
  <c r="E103" i="1"/>
  <c r="F103" i="1"/>
  <c r="M103" i="1" s="1"/>
  <c r="G103" i="1"/>
  <c r="H103" i="1"/>
  <c r="I103" i="1"/>
  <c r="J103" i="1"/>
  <c r="B104" i="1"/>
  <c r="C104" i="1"/>
  <c r="D104" i="1"/>
  <c r="E104" i="1"/>
  <c r="F104" i="1"/>
  <c r="G104" i="1"/>
  <c r="H104" i="1"/>
  <c r="I104" i="1"/>
  <c r="J104" i="1"/>
  <c r="B105" i="1"/>
  <c r="C105" i="1"/>
  <c r="D105" i="1"/>
  <c r="K105" i="1" s="1"/>
  <c r="E105" i="1"/>
  <c r="F105" i="1"/>
  <c r="G105" i="1"/>
  <c r="H105" i="1"/>
  <c r="I105" i="1"/>
  <c r="J105" i="1"/>
  <c r="B106" i="1"/>
  <c r="C106" i="1"/>
  <c r="D106" i="1"/>
  <c r="E106" i="1"/>
  <c r="F106" i="1"/>
  <c r="G106" i="1"/>
  <c r="H106" i="1"/>
  <c r="I106" i="1"/>
  <c r="J106" i="1"/>
  <c r="B107" i="1"/>
  <c r="C107" i="1"/>
  <c r="D107" i="1"/>
  <c r="K107" i="1" s="1"/>
  <c r="E107" i="1"/>
  <c r="L107" i="1" s="1"/>
  <c r="F107" i="1"/>
  <c r="G107" i="1"/>
  <c r="H107" i="1"/>
  <c r="I107" i="1"/>
  <c r="J107" i="1"/>
  <c r="B108" i="1"/>
  <c r="C108" i="1"/>
  <c r="D108" i="1"/>
  <c r="E108" i="1"/>
  <c r="F108" i="1"/>
  <c r="G108" i="1"/>
  <c r="H108" i="1"/>
  <c r="I108" i="1"/>
  <c r="J108" i="1"/>
  <c r="B109" i="1"/>
  <c r="C109" i="1"/>
  <c r="D109" i="1"/>
  <c r="E109" i="1"/>
  <c r="F109" i="1"/>
  <c r="G109" i="1"/>
  <c r="H109" i="1"/>
  <c r="O109" i="1" s="1"/>
  <c r="I109" i="1"/>
  <c r="J109" i="1"/>
  <c r="B110" i="1"/>
  <c r="C110" i="1"/>
  <c r="D110" i="1"/>
  <c r="K110" i="1" s="1"/>
  <c r="E110" i="1"/>
  <c r="F110" i="1"/>
  <c r="G110" i="1"/>
  <c r="H110" i="1"/>
  <c r="I110" i="1"/>
  <c r="J110" i="1"/>
  <c r="B111" i="1"/>
  <c r="C111" i="1"/>
  <c r="D111" i="1"/>
  <c r="E111" i="1"/>
  <c r="F111" i="1"/>
  <c r="G111" i="1"/>
  <c r="H111" i="1"/>
  <c r="O111" i="1" s="1"/>
  <c r="I111" i="1"/>
  <c r="J111" i="1"/>
  <c r="B112" i="1"/>
  <c r="C112" i="1"/>
  <c r="D112" i="1"/>
  <c r="E112" i="1"/>
  <c r="F112" i="1"/>
  <c r="G112" i="1"/>
  <c r="H112" i="1"/>
  <c r="I112" i="1"/>
  <c r="J112" i="1"/>
  <c r="B113" i="1"/>
  <c r="C113" i="1"/>
  <c r="D113" i="1"/>
  <c r="E113" i="1"/>
  <c r="F113" i="1"/>
  <c r="G113" i="1"/>
  <c r="H113" i="1"/>
  <c r="I113" i="1"/>
  <c r="J113" i="1"/>
  <c r="B114" i="1"/>
  <c r="C114" i="1"/>
  <c r="D114" i="1"/>
  <c r="E114" i="1"/>
  <c r="F114" i="1"/>
  <c r="G114" i="1"/>
  <c r="N111" i="1" s="1"/>
  <c r="H114" i="1"/>
  <c r="I114" i="1"/>
  <c r="J114" i="1"/>
  <c r="B115" i="1"/>
  <c r="C115" i="1"/>
  <c r="D115" i="1"/>
  <c r="E115" i="1"/>
  <c r="F115" i="1"/>
  <c r="G115" i="1"/>
  <c r="H115" i="1"/>
  <c r="I115" i="1"/>
  <c r="J115" i="1"/>
  <c r="B116" i="1"/>
  <c r="C116" i="1"/>
  <c r="D116" i="1"/>
  <c r="E116" i="1"/>
  <c r="F116" i="1"/>
  <c r="G116" i="1"/>
  <c r="H116" i="1"/>
  <c r="I116" i="1"/>
  <c r="J116" i="1"/>
  <c r="B117" i="1"/>
  <c r="C117" i="1"/>
  <c r="D117" i="1"/>
  <c r="E117" i="1"/>
  <c r="F117" i="1"/>
  <c r="G117" i="1"/>
  <c r="H117" i="1"/>
  <c r="I117" i="1"/>
  <c r="J117" i="1"/>
  <c r="B118" i="1"/>
  <c r="C118" i="1"/>
  <c r="D118" i="1"/>
  <c r="E118" i="1"/>
  <c r="F118" i="1"/>
  <c r="G118" i="1"/>
  <c r="H118" i="1"/>
  <c r="I118" i="1"/>
  <c r="J118" i="1"/>
  <c r="B119" i="1"/>
  <c r="C119" i="1"/>
  <c r="D119" i="1"/>
  <c r="E119" i="1"/>
  <c r="F119" i="1"/>
  <c r="G119" i="1"/>
  <c r="H119" i="1"/>
  <c r="I119" i="1"/>
  <c r="J119" i="1"/>
  <c r="B120" i="1"/>
  <c r="C120" i="1"/>
  <c r="D120" i="1"/>
  <c r="E120" i="1"/>
  <c r="F120" i="1"/>
  <c r="G120" i="1"/>
  <c r="H120" i="1"/>
  <c r="I120" i="1"/>
  <c r="J120" i="1"/>
  <c r="B121" i="1"/>
  <c r="C121" i="1"/>
  <c r="D121" i="1"/>
  <c r="E121" i="1"/>
  <c r="F121" i="1"/>
  <c r="G121" i="1"/>
  <c r="H121" i="1"/>
  <c r="I121" i="1"/>
  <c r="J121" i="1"/>
  <c r="B122" i="1"/>
  <c r="C122" i="1"/>
  <c r="D122" i="1"/>
  <c r="E122" i="1"/>
  <c r="F122" i="1"/>
  <c r="G122" i="1"/>
  <c r="N115" i="1" s="1"/>
  <c r="H122" i="1"/>
  <c r="I122" i="1"/>
  <c r="J122" i="1"/>
  <c r="B123" i="1"/>
  <c r="C123" i="1"/>
  <c r="D123" i="1"/>
  <c r="E123" i="1"/>
  <c r="F123" i="1"/>
  <c r="G123" i="1"/>
  <c r="H123" i="1"/>
  <c r="I123" i="1"/>
  <c r="J123" i="1"/>
  <c r="B124" i="1"/>
  <c r="C124" i="1"/>
  <c r="D124" i="1"/>
  <c r="E124" i="1"/>
  <c r="F124" i="1"/>
  <c r="G124" i="1"/>
  <c r="H124" i="1"/>
  <c r="I124" i="1"/>
  <c r="P115" i="1" s="1"/>
  <c r="J124" i="1"/>
  <c r="B125" i="1"/>
  <c r="C125" i="1"/>
  <c r="D125" i="1"/>
  <c r="E125" i="1"/>
  <c r="F125" i="1"/>
  <c r="G125" i="1"/>
  <c r="H125" i="1"/>
  <c r="I125" i="1"/>
  <c r="J125" i="1"/>
  <c r="B126" i="1"/>
  <c r="C126" i="1"/>
  <c r="D126" i="1"/>
  <c r="E126" i="1"/>
  <c r="F126" i="1"/>
  <c r="G126" i="1"/>
  <c r="H126" i="1"/>
  <c r="I126" i="1"/>
  <c r="J126" i="1"/>
  <c r="B127" i="1"/>
  <c r="C127" i="1"/>
  <c r="D127" i="1"/>
  <c r="E127" i="1"/>
  <c r="F127" i="1"/>
  <c r="G127" i="1"/>
  <c r="H127" i="1"/>
  <c r="I127" i="1"/>
  <c r="J127" i="1"/>
  <c r="B128" i="1"/>
  <c r="C128" i="1"/>
  <c r="D128" i="1"/>
  <c r="E128" i="1"/>
  <c r="F128" i="1"/>
  <c r="G128" i="1"/>
  <c r="H128" i="1"/>
  <c r="I128" i="1"/>
  <c r="J128" i="1"/>
  <c r="B129" i="1"/>
  <c r="C129" i="1"/>
  <c r="D129" i="1"/>
  <c r="K129" i="1" s="1"/>
  <c r="E129" i="1"/>
  <c r="F129" i="1"/>
  <c r="G129" i="1"/>
  <c r="N129" i="1" s="1"/>
  <c r="H129" i="1"/>
  <c r="I129" i="1"/>
  <c r="J129" i="1"/>
  <c r="B130" i="1"/>
  <c r="C130" i="1"/>
  <c r="D130" i="1"/>
  <c r="E130" i="1"/>
  <c r="F130" i="1"/>
  <c r="G130" i="1"/>
  <c r="H130" i="1"/>
  <c r="I130" i="1"/>
  <c r="P130" i="1" s="1"/>
  <c r="J130" i="1"/>
  <c r="B131" i="1"/>
  <c r="C131" i="1"/>
  <c r="D131" i="1"/>
  <c r="E131" i="1"/>
  <c r="F131" i="1"/>
  <c r="G131" i="1"/>
  <c r="H131" i="1"/>
  <c r="I131" i="1"/>
  <c r="J131" i="1"/>
  <c r="B132" i="1"/>
  <c r="C132" i="1"/>
  <c r="D132" i="1"/>
  <c r="E132" i="1"/>
  <c r="F132" i="1"/>
  <c r="G132" i="1"/>
  <c r="H132" i="1"/>
  <c r="I132" i="1"/>
  <c r="J132" i="1"/>
  <c r="B133" i="1"/>
  <c r="C133" i="1"/>
  <c r="D133" i="1"/>
  <c r="E133" i="1"/>
  <c r="F133" i="1"/>
  <c r="G133" i="1"/>
  <c r="H133" i="1"/>
  <c r="I133" i="1"/>
  <c r="J133" i="1"/>
  <c r="B134" i="1"/>
  <c r="C134" i="1"/>
  <c r="D134" i="1"/>
  <c r="E134" i="1"/>
  <c r="F134" i="1"/>
  <c r="G134" i="1"/>
  <c r="H134" i="1"/>
  <c r="I134" i="1"/>
  <c r="P134" i="1" s="1"/>
  <c r="J134" i="1"/>
  <c r="B135" i="1"/>
  <c r="C135" i="1"/>
  <c r="D135" i="1"/>
  <c r="E135" i="1"/>
  <c r="F135" i="1"/>
  <c r="G135" i="1"/>
  <c r="H135" i="1"/>
  <c r="O134" i="1" s="1"/>
  <c r="I135" i="1"/>
  <c r="J135" i="1"/>
  <c r="B136" i="1"/>
  <c r="C136" i="1"/>
  <c r="D136" i="1"/>
  <c r="E136" i="1"/>
  <c r="F136" i="1"/>
  <c r="M134" i="1" s="1"/>
  <c r="G136" i="1"/>
  <c r="H136" i="1"/>
  <c r="I136" i="1"/>
  <c r="J136" i="1"/>
  <c r="B137" i="1"/>
  <c r="C137" i="1"/>
  <c r="D137" i="1"/>
  <c r="E137" i="1"/>
  <c r="F137" i="1"/>
  <c r="G137" i="1"/>
  <c r="H137" i="1"/>
  <c r="I137" i="1"/>
  <c r="J137" i="1"/>
  <c r="B138" i="1"/>
  <c r="C138" i="1"/>
  <c r="D138" i="1"/>
  <c r="E138" i="1"/>
  <c r="F138" i="1"/>
  <c r="G138" i="1"/>
  <c r="H138" i="1"/>
  <c r="I138" i="1"/>
  <c r="J138" i="1"/>
  <c r="B139" i="1"/>
  <c r="C139" i="1"/>
  <c r="D139" i="1"/>
  <c r="E139" i="1"/>
  <c r="F139" i="1"/>
  <c r="G139" i="1"/>
  <c r="H139" i="1"/>
  <c r="I139" i="1"/>
  <c r="J139" i="1"/>
  <c r="B140" i="1"/>
  <c r="C140" i="1"/>
  <c r="D140" i="1"/>
  <c r="E140" i="1"/>
  <c r="F140" i="1"/>
  <c r="G140" i="1"/>
  <c r="H140" i="1"/>
  <c r="I140" i="1"/>
  <c r="J140" i="1"/>
  <c r="B141" i="1"/>
  <c r="C141" i="1"/>
  <c r="D141" i="1"/>
  <c r="E141" i="1"/>
  <c r="F141" i="1"/>
  <c r="G141" i="1"/>
  <c r="H141" i="1"/>
  <c r="I141" i="1"/>
  <c r="J141" i="1"/>
  <c r="B142" i="1"/>
  <c r="C142" i="1"/>
  <c r="D142" i="1"/>
  <c r="E142" i="1"/>
  <c r="F142" i="1"/>
  <c r="G142" i="1"/>
  <c r="H142" i="1"/>
  <c r="I142" i="1"/>
  <c r="J142" i="1"/>
  <c r="B143" i="1"/>
  <c r="C143" i="1"/>
  <c r="D143" i="1"/>
  <c r="E143" i="1"/>
  <c r="F143" i="1"/>
  <c r="G143" i="1"/>
  <c r="H143" i="1"/>
  <c r="I143" i="1"/>
  <c r="J143" i="1"/>
  <c r="B144" i="1"/>
  <c r="C144" i="1"/>
  <c r="D144" i="1"/>
  <c r="E144" i="1"/>
  <c r="F144" i="1"/>
  <c r="G144" i="1"/>
  <c r="H144" i="1"/>
  <c r="I144" i="1"/>
  <c r="J144" i="1"/>
  <c r="B145" i="1"/>
  <c r="C145" i="1"/>
  <c r="D145" i="1"/>
  <c r="E145" i="1"/>
  <c r="F145" i="1"/>
  <c r="G145" i="1"/>
  <c r="H145" i="1"/>
  <c r="I145" i="1"/>
  <c r="J145" i="1"/>
  <c r="B146" i="1"/>
  <c r="C146" i="1"/>
  <c r="D146" i="1"/>
  <c r="E146" i="1"/>
  <c r="F146" i="1"/>
  <c r="G146" i="1"/>
  <c r="H146" i="1"/>
  <c r="I146" i="1"/>
  <c r="J146" i="1"/>
  <c r="B147" i="1"/>
  <c r="C147" i="1"/>
  <c r="D147" i="1"/>
  <c r="E147" i="1"/>
  <c r="F147" i="1"/>
  <c r="G147" i="1"/>
  <c r="H147" i="1"/>
  <c r="I147" i="1"/>
  <c r="J147" i="1"/>
  <c r="B148" i="1"/>
  <c r="C148" i="1"/>
  <c r="D148" i="1"/>
  <c r="E148" i="1"/>
  <c r="L147" i="1" s="1"/>
  <c r="F148" i="1"/>
  <c r="G148" i="1"/>
  <c r="H148" i="1"/>
  <c r="I148" i="1"/>
  <c r="J148" i="1"/>
  <c r="B149" i="1"/>
  <c r="C149" i="1"/>
  <c r="D149" i="1"/>
  <c r="E149" i="1"/>
  <c r="F149" i="1"/>
  <c r="G149" i="1"/>
  <c r="H149" i="1"/>
  <c r="I149" i="1"/>
  <c r="J149" i="1"/>
  <c r="B150" i="1"/>
  <c r="C150" i="1"/>
  <c r="D150" i="1"/>
  <c r="E150" i="1"/>
  <c r="F150" i="1"/>
  <c r="M147" i="1" s="1"/>
  <c r="G150" i="1"/>
  <c r="H150" i="1"/>
  <c r="I150" i="1"/>
  <c r="J150" i="1"/>
  <c r="B151" i="1"/>
  <c r="C151" i="1"/>
  <c r="D151" i="1"/>
  <c r="E151" i="1"/>
  <c r="F151" i="1"/>
  <c r="G151" i="1"/>
  <c r="H151" i="1"/>
  <c r="I151" i="1"/>
  <c r="J151" i="1"/>
  <c r="B152" i="1"/>
  <c r="C152" i="1"/>
  <c r="D152" i="1"/>
  <c r="E152" i="1"/>
  <c r="F152" i="1"/>
  <c r="M151" i="1" s="1"/>
  <c r="G152" i="1"/>
  <c r="H152" i="1"/>
  <c r="I152" i="1"/>
  <c r="J152" i="1"/>
  <c r="B153" i="1"/>
  <c r="C153" i="1"/>
  <c r="D153" i="1"/>
  <c r="E153" i="1"/>
  <c r="F153" i="1"/>
  <c r="G153" i="1"/>
  <c r="H153" i="1"/>
  <c r="I153" i="1"/>
  <c r="J153" i="1"/>
  <c r="B154" i="1"/>
  <c r="C154" i="1"/>
  <c r="D154" i="1"/>
  <c r="E154" i="1"/>
  <c r="F154" i="1"/>
  <c r="G154" i="1"/>
  <c r="H154" i="1"/>
  <c r="I154" i="1"/>
  <c r="J154" i="1"/>
  <c r="B155" i="1"/>
  <c r="C155" i="1"/>
  <c r="D155" i="1"/>
  <c r="E155" i="1"/>
  <c r="F155" i="1"/>
  <c r="G155" i="1"/>
  <c r="H155" i="1"/>
  <c r="I155" i="1"/>
  <c r="J155" i="1"/>
  <c r="B156" i="1"/>
  <c r="C156" i="1"/>
  <c r="D156" i="1"/>
  <c r="E156" i="1"/>
  <c r="F156" i="1"/>
  <c r="G156" i="1"/>
  <c r="H156" i="1"/>
  <c r="I156" i="1"/>
  <c r="J156" i="1"/>
  <c r="B157" i="1"/>
  <c r="C157" i="1"/>
  <c r="D157" i="1"/>
  <c r="E157" i="1"/>
  <c r="F157" i="1"/>
  <c r="G157" i="1"/>
  <c r="H157" i="1"/>
  <c r="I157" i="1"/>
  <c r="J157" i="1"/>
  <c r="B158" i="1"/>
  <c r="C158" i="1"/>
  <c r="D158" i="1"/>
  <c r="E158" i="1"/>
  <c r="F158" i="1"/>
  <c r="G158" i="1"/>
  <c r="H158" i="1"/>
  <c r="I158" i="1"/>
  <c r="J158" i="1"/>
  <c r="B159" i="1"/>
  <c r="C159" i="1"/>
  <c r="D159" i="1"/>
  <c r="E159" i="1"/>
  <c r="F159" i="1"/>
  <c r="G159" i="1"/>
  <c r="H159" i="1"/>
  <c r="I159" i="1"/>
  <c r="J159" i="1"/>
  <c r="B160" i="1"/>
  <c r="C160" i="1"/>
  <c r="D160" i="1"/>
  <c r="E160" i="1"/>
  <c r="F160" i="1"/>
  <c r="G160" i="1"/>
  <c r="H160" i="1"/>
  <c r="I160" i="1"/>
  <c r="J160" i="1"/>
  <c r="B161" i="1"/>
  <c r="C161" i="1"/>
  <c r="D161" i="1"/>
  <c r="E161" i="1"/>
  <c r="F161" i="1"/>
  <c r="G161" i="1"/>
  <c r="H161" i="1"/>
  <c r="I161" i="1"/>
  <c r="J161" i="1"/>
  <c r="B162" i="1"/>
  <c r="C162" i="1"/>
  <c r="D162" i="1"/>
  <c r="E162" i="1"/>
  <c r="F162" i="1"/>
  <c r="G162" i="1"/>
  <c r="H162" i="1"/>
  <c r="I162" i="1"/>
  <c r="J162" i="1"/>
  <c r="B163" i="1"/>
  <c r="C163" i="1"/>
  <c r="D163" i="1"/>
  <c r="E163" i="1"/>
  <c r="F163" i="1"/>
  <c r="G163" i="1"/>
  <c r="H163" i="1"/>
  <c r="I163" i="1"/>
  <c r="J163" i="1"/>
  <c r="B164" i="1"/>
  <c r="C164" i="1"/>
  <c r="D164" i="1"/>
  <c r="E164" i="1"/>
  <c r="F164" i="1"/>
  <c r="G164" i="1"/>
  <c r="H164" i="1"/>
  <c r="I164" i="1"/>
  <c r="J164" i="1"/>
  <c r="B165" i="1"/>
  <c r="C165" i="1"/>
  <c r="D165" i="1"/>
  <c r="E165" i="1"/>
  <c r="F165" i="1"/>
  <c r="G165" i="1"/>
  <c r="H165" i="1"/>
  <c r="I165" i="1"/>
  <c r="J165" i="1"/>
  <c r="B166" i="1"/>
  <c r="C166" i="1"/>
  <c r="D166" i="1"/>
  <c r="E166" i="1"/>
  <c r="F166" i="1"/>
  <c r="G166" i="1"/>
  <c r="H166" i="1"/>
  <c r="I166" i="1"/>
  <c r="J166" i="1"/>
  <c r="B167" i="1"/>
  <c r="C167" i="1"/>
  <c r="D167" i="1"/>
  <c r="E167" i="1"/>
  <c r="F167" i="1"/>
  <c r="G167" i="1"/>
  <c r="H167" i="1"/>
  <c r="I167" i="1"/>
  <c r="J167" i="1"/>
  <c r="B168" i="1"/>
  <c r="C168" i="1"/>
  <c r="D168" i="1"/>
  <c r="E168" i="1"/>
  <c r="F168" i="1"/>
  <c r="G168" i="1"/>
  <c r="H168" i="1"/>
  <c r="I168" i="1"/>
  <c r="J168" i="1"/>
  <c r="B169" i="1"/>
  <c r="C169" i="1"/>
  <c r="D169" i="1"/>
  <c r="E169" i="1"/>
  <c r="F169" i="1"/>
  <c r="G169" i="1"/>
  <c r="H169" i="1"/>
  <c r="I169" i="1"/>
  <c r="J169" i="1"/>
  <c r="B170" i="1"/>
  <c r="C170" i="1"/>
  <c r="D170" i="1"/>
  <c r="E170" i="1"/>
  <c r="F170" i="1"/>
  <c r="G170" i="1"/>
  <c r="H170" i="1"/>
  <c r="I170" i="1"/>
  <c r="J170" i="1"/>
  <c r="B171" i="1"/>
  <c r="C171" i="1"/>
  <c r="D171" i="1"/>
  <c r="E171" i="1"/>
  <c r="F171" i="1"/>
  <c r="G171" i="1"/>
  <c r="H171" i="1"/>
  <c r="I171" i="1"/>
  <c r="J171" i="1"/>
  <c r="B172" i="1"/>
  <c r="C172" i="1"/>
  <c r="D172" i="1"/>
  <c r="E172" i="1"/>
  <c r="F172" i="1"/>
  <c r="G172" i="1"/>
  <c r="H172" i="1"/>
  <c r="I172" i="1"/>
  <c r="J172" i="1"/>
  <c r="B173" i="1"/>
  <c r="C173" i="1"/>
  <c r="D173" i="1"/>
  <c r="E173" i="1"/>
  <c r="F173" i="1"/>
  <c r="G173" i="1"/>
  <c r="H173" i="1"/>
  <c r="I173" i="1"/>
  <c r="J173" i="1"/>
  <c r="B174" i="1"/>
  <c r="C174" i="1"/>
  <c r="D174" i="1"/>
  <c r="E174" i="1"/>
  <c r="F174" i="1"/>
  <c r="G174" i="1"/>
  <c r="H174" i="1"/>
  <c r="I174" i="1"/>
  <c r="J174" i="1"/>
  <c r="B175" i="1"/>
  <c r="C175" i="1"/>
  <c r="D175" i="1"/>
  <c r="E175" i="1"/>
  <c r="F175" i="1"/>
  <c r="G175" i="1"/>
  <c r="H175" i="1"/>
  <c r="I175" i="1"/>
  <c r="J175" i="1"/>
  <c r="B176" i="1"/>
  <c r="C176" i="1"/>
  <c r="D176" i="1"/>
  <c r="E176" i="1"/>
  <c r="F176" i="1"/>
  <c r="G176" i="1"/>
  <c r="H176" i="1"/>
  <c r="I176" i="1"/>
  <c r="J176" i="1"/>
  <c r="B177" i="1"/>
  <c r="C177" i="1"/>
  <c r="D177" i="1"/>
  <c r="E177" i="1"/>
  <c r="F177" i="1"/>
  <c r="G177" i="1"/>
  <c r="H177" i="1"/>
  <c r="I177" i="1"/>
  <c r="J177" i="1"/>
  <c r="B178" i="1"/>
  <c r="C178" i="1"/>
  <c r="D178" i="1"/>
  <c r="E178" i="1"/>
  <c r="F178" i="1"/>
  <c r="G178" i="1"/>
  <c r="H178" i="1"/>
  <c r="I178" i="1"/>
  <c r="J178" i="1"/>
  <c r="B179" i="1"/>
  <c r="C179" i="1"/>
  <c r="D179" i="1"/>
  <c r="E179" i="1"/>
  <c r="F179" i="1"/>
  <c r="G179" i="1"/>
  <c r="H179" i="1"/>
  <c r="I179" i="1"/>
  <c r="J179" i="1"/>
  <c r="B180" i="1"/>
  <c r="C180" i="1"/>
  <c r="D180" i="1"/>
  <c r="E180" i="1"/>
  <c r="F180" i="1"/>
  <c r="G180" i="1"/>
  <c r="H180" i="1"/>
  <c r="I180" i="1"/>
  <c r="J180" i="1"/>
  <c r="B181" i="1"/>
  <c r="C181" i="1"/>
  <c r="D181" i="1"/>
  <c r="E181" i="1"/>
  <c r="F181" i="1"/>
  <c r="G181" i="1"/>
  <c r="H181" i="1"/>
  <c r="I181" i="1"/>
  <c r="J181" i="1"/>
  <c r="B182" i="1"/>
  <c r="C182" i="1"/>
  <c r="D182" i="1"/>
  <c r="E182" i="1"/>
  <c r="F182" i="1"/>
  <c r="G182" i="1"/>
  <c r="H182" i="1"/>
  <c r="I182" i="1"/>
  <c r="J182" i="1"/>
  <c r="B183" i="1"/>
  <c r="C183" i="1"/>
  <c r="D183" i="1"/>
  <c r="E183" i="1"/>
  <c r="F183" i="1"/>
  <c r="G183" i="1"/>
  <c r="N179" i="1" s="1"/>
  <c r="H183" i="1"/>
  <c r="I183" i="1"/>
  <c r="J183" i="1"/>
  <c r="B184" i="1"/>
  <c r="C184" i="1"/>
  <c r="D184" i="1"/>
  <c r="E184" i="1"/>
  <c r="F184" i="1"/>
  <c r="G184" i="1"/>
  <c r="H184" i="1"/>
  <c r="I184" i="1"/>
  <c r="J184" i="1"/>
  <c r="B185" i="1"/>
  <c r="C185" i="1"/>
  <c r="D185" i="1"/>
  <c r="E185" i="1"/>
  <c r="F185" i="1"/>
  <c r="G185" i="1"/>
  <c r="H185" i="1"/>
  <c r="I185" i="1"/>
  <c r="J185" i="1"/>
  <c r="B186" i="1"/>
  <c r="C186" i="1"/>
  <c r="D186" i="1"/>
  <c r="E186" i="1"/>
  <c r="F186" i="1"/>
  <c r="G186" i="1"/>
  <c r="H186" i="1"/>
  <c r="I186" i="1"/>
  <c r="J186" i="1"/>
  <c r="B187" i="1"/>
  <c r="C187" i="1"/>
  <c r="D187" i="1"/>
  <c r="E187" i="1"/>
  <c r="F187" i="1"/>
  <c r="G187" i="1"/>
  <c r="H187" i="1"/>
  <c r="I187" i="1"/>
  <c r="J187" i="1"/>
  <c r="B188" i="1"/>
  <c r="C188" i="1"/>
  <c r="D188" i="1"/>
  <c r="E188" i="1"/>
  <c r="F188" i="1"/>
  <c r="G188" i="1"/>
  <c r="H188" i="1"/>
  <c r="I188" i="1"/>
  <c r="J188" i="1"/>
  <c r="B189" i="1"/>
  <c r="C189" i="1"/>
  <c r="D189" i="1"/>
  <c r="E189" i="1"/>
  <c r="F189" i="1"/>
  <c r="G189" i="1"/>
  <c r="H189" i="1"/>
  <c r="I189" i="1"/>
  <c r="J189" i="1"/>
  <c r="B190" i="1"/>
  <c r="C190" i="1"/>
  <c r="D190" i="1"/>
  <c r="E190" i="1"/>
  <c r="F190" i="1"/>
  <c r="G190" i="1"/>
  <c r="H190" i="1"/>
  <c r="O190" i="1" s="1"/>
  <c r="I190" i="1"/>
  <c r="J190" i="1"/>
  <c r="B191" i="1"/>
  <c r="C191" i="1"/>
  <c r="D191" i="1"/>
  <c r="E191" i="1"/>
  <c r="F191" i="1"/>
  <c r="G191" i="1"/>
  <c r="H191" i="1"/>
  <c r="I191" i="1"/>
  <c r="J191" i="1"/>
  <c r="B192" i="1"/>
  <c r="C192" i="1"/>
  <c r="D192" i="1"/>
  <c r="E192" i="1"/>
  <c r="F192" i="1"/>
  <c r="G192" i="1"/>
  <c r="H192" i="1"/>
  <c r="I192" i="1"/>
  <c r="J192" i="1"/>
  <c r="B193" i="1"/>
  <c r="C193" i="1"/>
  <c r="D193" i="1"/>
  <c r="E193" i="1"/>
  <c r="F193" i="1"/>
  <c r="G193" i="1"/>
  <c r="H193" i="1"/>
  <c r="I193" i="1"/>
  <c r="J193" i="1"/>
  <c r="B194" i="1"/>
  <c r="C194" i="1"/>
  <c r="D194" i="1"/>
  <c r="E194" i="1"/>
  <c r="F194" i="1"/>
  <c r="G194" i="1"/>
  <c r="H194" i="1"/>
  <c r="I194" i="1"/>
  <c r="J194" i="1"/>
  <c r="B195" i="1"/>
  <c r="C195" i="1"/>
  <c r="D195" i="1"/>
  <c r="E195" i="1"/>
  <c r="F195" i="1"/>
  <c r="G195" i="1"/>
  <c r="H195" i="1"/>
  <c r="I195" i="1"/>
  <c r="J195" i="1"/>
  <c r="B196" i="1"/>
  <c r="C196" i="1"/>
  <c r="D196" i="1"/>
  <c r="E196" i="1"/>
  <c r="F196" i="1"/>
  <c r="G196" i="1"/>
  <c r="H196" i="1"/>
  <c r="I196" i="1"/>
  <c r="J196" i="1"/>
  <c r="B197" i="1"/>
  <c r="C197" i="1"/>
  <c r="D197" i="1"/>
  <c r="E197" i="1"/>
  <c r="F197" i="1"/>
  <c r="G197" i="1"/>
  <c r="H197" i="1"/>
  <c r="I197" i="1"/>
  <c r="J197" i="1"/>
  <c r="B198" i="1"/>
  <c r="C198" i="1"/>
  <c r="D198" i="1"/>
  <c r="E198" i="1"/>
  <c r="F198" i="1"/>
  <c r="M197" i="1" s="1"/>
  <c r="G198" i="1"/>
  <c r="H198" i="1"/>
  <c r="O197" i="1" s="1"/>
  <c r="I198" i="1"/>
  <c r="J198" i="1"/>
  <c r="B199" i="1"/>
  <c r="C199" i="1"/>
  <c r="D199" i="1"/>
  <c r="E199" i="1"/>
  <c r="F199" i="1"/>
  <c r="G199" i="1"/>
  <c r="H199" i="1"/>
  <c r="I199" i="1"/>
  <c r="J199" i="1"/>
  <c r="B200" i="1"/>
  <c r="C200" i="1"/>
  <c r="D200" i="1"/>
  <c r="E200" i="1"/>
  <c r="F200" i="1"/>
  <c r="G200" i="1"/>
  <c r="H200" i="1"/>
  <c r="I200" i="1"/>
  <c r="J200" i="1"/>
  <c r="Q197" i="1" s="1"/>
  <c r="B201" i="1"/>
  <c r="C201" i="1"/>
  <c r="D201" i="1"/>
  <c r="E201" i="1"/>
  <c r="F201" i="1"/>
  <c r="G201" i="1"/>
  <c r="H201" i="1"/>
  <c r="I201" i="1"/>
  <c r="J201" i="1"/>
  <c r="B202" i="1"/>
  <c r="C202" i="1"/>
  <c r="D202" i="1"/>
  <c r="E202" i="1"/>
  <c r="F202" i="1"/>
  <c r="G202" i="1"/>
  <c r="H202" i="1"/>
  <c r="I202" i="1"/>
  <c r="J202" i="1"/>
  <c r="B203" i="1"/>
  <c r="C203" i="1"/>
  <c r="D203" i="1"/>
  <c r="E203" i="1"/>
  <c r="F203" i="1"/>
  <c r="G203" i="1"/>
  <c r="H203" i="1"/>
  <c r="I203" i="1"/>
  <c r="J203" i="1"/>
  <c r="B204" i="1"/>
  <c r="C204" i="1"/>
  <c r="D204" i="1"/>
  <c r="E204" i="1"/>
  <c r="F204" i="1"/>
  <c r="G204" i="1"/>
  <c r="H204" i="1"/>
  <c r="I204" i="1"/>
  <c r="J204" i="1"/>
  <c r="B205" i="1"/>
  <c r="C205" i="1"/>
  <c r="D205" i="1"/>
  <c r="E205" i="1"/>
  <c r="L202" i="1" s="1"/>
  <c r="F205" i="1"/>
  <c r="G205" i="1"/>
  <c r="H205" i="1"/>
  <c r="I205" i="1"/>
  <c r="J205" i="1"/>
  <c r="B206" i="1"/>
  <c r="C206" i="1"/>
  <c r="D206" i="1"/>
  <c r="E206" i="1"/>
  <c r="F206" i="1"/>
  <c r="G206" i="1"/>
  <c r="H206" i="1"/>
  <c r="I206" i="1"/>
  <c r="J206" i="1"/>
  <c r="B207" i="1"/>
  <c r="C207" i="1"/>
  <c r="D207" i="1"/>
  <c r="E207" i="1"/>
  <c r="F207" i="1"/>
  <c r="G207" i="1"/>
  <c r="H207" i="1"/>
  <c r="I207" i="1"/>
  <c r="J207" i="1"/>
  <c r="B208" i="1"/>
  <c r="C208" i="1"/>
  <c r="D208" i="1"/>
  <c r="E208" i="1"/>
  <c r="F208" i="1"/>
  <c r="G208" i="1"/>
  <c r="H208" i="1"/>
  <c r="I208" i="1"/>
  <c r="J208" i="1"/>
  <c r="B209" i="1"/>
  <c r="C209" i="1"/>
  <c r="D209" i="1"/>
  <c r="E209" i="1"/>
  <c r="F209" i="1"/>
  <c r="G209" i="1"/>
  <c r="H209" i="1"/>
  <c r="I209" i="1"/>
  <c r="J209" i="1"/>
  <c r="B210" i="1"/>
  <c r="C210" i="1"/>
  <c r="D210" i="1"/>
  <c r="E210" i="1"/>
  <c r="F210" i="1"/>
  <c r="G210" i="1"/>
  <c r="H210" i="1"/>
  <c r="I210" i="1"/>
  <c r="J210" i="1"/>
  <c r="B211" i="1"/>
  <c r="C211" i="1"/>
  <c r="D211" i="1"/>
  <c r="E211" i="1"/>
  <c r="F211" i="1"/>
  <c r="G211" i="1"/>
  <c r="H211" i="1"/>
  <c r="I211" i="1"/>
  <c r="P211" i="1" s="1"/>
  <c r="J211" i="1"/>
  <c r="B212" i="1"/>
  <c r="C212" i="1"/>
  <c r="D212" i="1"/>
  <c r="E212" i="1"/>
  <c r="F212" i="1"/>
  <c r="G212" i="1"/>
  <c r="H212" i="1"/>
  <c r="I212" i="1"/>
  <c r="J212" i="1"/>
  <c r="B213" i="1"/>
  <c r="C213" i="1"/>
  <c r="D213" i="1"/>
  <c r="E213" i="1"/>
  <c r="F213" i="1"/>
  <c r="G213" i="1"/>
  <c r="H213" i="1"/>
  <c r="I213" i="1"/>
  <c r="J213" i="1"/>
  <c r="B214" i="1"/>
  <c r="C214" i="1"/>
  <c r="D214" i="1"/>
  <c r="E214" i="1"/>
  <c r="F214" i="1"/>
  <c r="G214" i="1"/>
  <c r="H214" i="1"/>
  <c r="I214" i="1"/>
  <c r="J214" i="1"/>
  <c r="B215" i="1"/>
  <c r="C215" i="1"/>
  <c r="D215" i="1"/>
  <c r="E215" i="1"/>
  <c r="F215" i="1"/>
  <c r="G215" i="1"/>
  <c r="H215" i="1"/>
  <c r="I215" i="1"/>
  <c r="J215" i="1"/>
  <c r="B216" i="1"/>
  <c r="C216" i="1"/>
  <c r="D216" i="1"/>
  <c r="E216" i="1"/>
  <c r="F216" i="1"/>
  <c r="G216" i="1"/>
  <c r="H216" i="1"/>
  <c r="I216" i="1"/>
  <c r="J216" i="1"/>
  <c r="B217" i="1"/>
  <c r="C217" i="1"/>
  <c r="D217" i="1"/>
  <c r="E217" i="1"/>
  <c r="F217" i="1"/>
  <c r="G217" i="1"/>
  <c r="H217" i="1"/>
  <c r="I217" i="1"/>
  <c r="J217" i="1"/>
  <c r="B218" i="1"/>
  <c r="C218" i="1"/>
  <c r="D218" i="1"/>
  <c r="K217" i="1" s="1"/>
  <c r="E218" i="1"/>
  <c r="F218" i="1"/>
  <c r="G218" i="1"/>
  <c r="H218" i="1"/>
  <c r="I218" i="1"/>
  <c r="J218" i="1"/>
  <c r="B219" i="1"/>
  <c r="C219" i="1"/>
  <c r="D219" i="1"/>
  <c r="E219" i="1"/>
  <c r="F219" i="1"/>
  <c r="M219" i="1" s="1"/>
  <c r="G219" i="1"/>
  <c r="H219" i="1"/>
  <c r="I219" i="1"/>
  <c r="J219" i="1"/>
  <c r="B220" i="1"/>
  <c r="C220" i="1"/>
  <c r="D220" i="1"/>
  <c r="K215" i="1" s="1"/>
  <c r="E220" i="1"/>
  <c r="F220" i="1"/>
  <c r="G220" i="1"/>
  <c r="H220" i="1"/>
  <c r="O220" i="1" s="1"/>
  <c r="I220" i="1"/>
  <c r="J220" i="1"/>
  <c r="B221" i="1"/>
  <c r="C221" i="1"/>
  <c r="D221" i="1"/>
  <c r="E221" i="1"/>
  <c r="F221" i="1"/>
  <c r="G221" i="1"/>
  <c r="H221" i="1"/>
  <c r="I221" i="1"/>
  <c r="J221" i="1"/>
  <c r="B222" i="1"/>
  <c r="C222" i="1"/>
  <c r="D222" i="1"/>
  <c r="E222" i="1"/>
  <c r="F222" i="1"/>
  <c r="G222" i="1"/>
  <c r="H222" i="1"/>
  <c r="I222" i="1"/>
  <c r="J222" i="1"/>
  <c r="B223" i="1"/>
  <c r="C223" i="1"/>
  <c r="D223" i="1"/>
  <c r="E223" i="1"/>
  <c r="F223" i="1"/>
  <c r="G223" i="1"/>
  <c r="H223" i="1"/>
  <c r="I223" i="1"/>
  <c r="J223" i="1"/>
  <c r="Q223" i="1" s="1"/>
  <c r="B224" i="1"/>
  <c r="C224" i="1"/>
  <c r="D224" i="1"/>
  <c r="E224" i="1"/>
  <c r="F224" i="1"/>
  <c r="M217" i="1" s="1"/>
  <c r="G224" i="1"/>
  <c r="H224" i="1"/>
  <c r="I224" i="1"/>
  <c r="J224" i="1"/>
  <c r="B225" i="1"/>
  <c r="C225" i="1"/>
  <c r="D225" i="1"/>
  <c r="E225" i="1"/>
  <c r="F225" i="1"/>
  <c r="G225" i="1"/>
  <c r="H225" i="1"/>
  <c r="I225" i="1"/>
  <c r="J225" i="1"/>
  <c r="B226" i="1"/>
  <c r="C226" i="1"/>
  <c r="D226" i="1"/>
  <c r="E226" i="1"/>
  <c r="F226" i="1"/>
  <c r="G226" i="1"/>
  <c r="H226" i="1"/>
  <c r="I226" i="1"/>
  <c r="J226" i="1"/>
  <c r="B227" i="1"/>
  <c r="C227" i="1"/>
  <c r="D227" i="1"/>
  <c r="E227" i="1"/>
  <c r="F227" i="1"/>
  <c r="G227" i="1"/>
  <c r="H227" i="1"/>
  <c r="I227" i="1"/>
  <c r="J227" i="1"/>
  <c r="B228" i="1"/>
  <c r="C228" i="1"/>
  <c r="D228" i="1"/>
  <c r="E228" i="1"/>
  <c r="F228" i="1"/>
  <c r="G228" i="1"/>
  <c r="H228" i="1"/>
  <c r="I228" i="1"/>
  <c r="J228" i="1"/>
  <c r="B229" i="1"/>
  <c r="C229" i="1"/>
  <c r="D229" i="1"/>
  <c r="E229" i="1"/>
  <c r="F229" i="1"/>
  <c r="G229" i="1"/>
  <c r="H229" i="1"/>
  <c r="I229" i="1"/>
  <c r="J229" i="1"/>
  <c r="B230" i="1"/>
  <c r="C230" i="1"/>
  <c r="D230" i="1"/>
  <c r="E230" i="1"/>
  <c r="F230" i="1"/>
  <c r="G230" i="1"/>
  <c r="H230" i="1"/>
  <c r="I230" i="1"/>
  <c r="J230" i="1"/>
  <c r="B231" i="1"/>
  <c r="C231" i="1"/>
  <c r="D231" i="1"/>
  <c r="E231" i="1"/>
  <c r="F231" i="1"/>
  <c r="G231" i="1"/>
  <c r="H231" i="1"/>
  <c r="I231" i="1"/>
  <c r="J231" i="1"/>
  <c r="B232" i="1"/>
  <c r="C232" i="1"/>
  <c r="D232" i="1"/>
  <c r="E232" i="1"/>
  <c r="F232" i="1"/>
  <c r="G232" i="1"/>
  <c r="H232" i="1"/>
  <c r="I232" i="1"/>
  <c r="J232" i="1"/>
  <c r="B233" i="1"/>
  <c r="C233" i="1"/>
  <c r="D233" i="1"/>
  <c r="E233" i="1"/>
  <c r="F233" i="1"/>
  <c r="G233" i="1"/>
  <c r="H233" i="1"/>
  <c r="I233" i="1"/>
  <c r="J233" i="1"/>
  <c r="B234" i="1"/>
  <c r="C234" i="1"/>
  <c r="D234" i="1"/>
  <c r="E234" i="1"/>
  <c r="F234" i="1"/>
  <c r="G234" i="1"/>
  <c r="H234" i="1"/>
  <c r="I234" i="1"/>
  <c r="J234" i="1"/>
  <c r="B235" i="1"/>
  <c r="C235" i="1"/>
  <c r="D235" i="1"/>
  <c r="E235" i="1"/>
  <c r="F235" i="1"/>
  <c r="G235" i="1"/>
  <c r="H235" i="1"/>
  <c r="I235" i="1"/>
  <c r="J235" i="1"/>
  <c r="B236" i="1"/>
  <c r="C236" i="1"/>
  <c r="D236" i="1"/>
  <c r="E236" i="1"/>
  <c r="F236" i="1"/>
  <c r="G236" i="1"/>
  <c r="H236" i="1"/>
  <c r="I236" i="1"/>
  <c r="J236" i="1"/>
  <c r="B237" i="1"/>
  <c r="C237" i="1"/>
  <c r="D237" i="1"/>
  <c r="E237" i="1"/>
  <c r="F237" i="1"/>
  <c r="G237" i="1"/>
  <c r="H237" i="1"/>
  <c r="O211" i="1" s="1"/>
  <c r="I237" i="1"/>
  <c r="J237" i="1"/>
  <c r="B238" i="1"/>
  <c r="C238" i="1"/>
  <c r="D238" i="1"/>
  <c r="E238" i="1"/>
  <c r="F238" i="1"/>
  <c r="G238" i="1"/>
  <c r="H238" i="1"/>
  <c r="I238" i="1"/>
  <c r="J238" i="1"/>
  <c r="B239" i="1"/>
  <c r="C239" i="1"/>
  <c r="D239" i="1"/>
  <c r="E239" i="1"/>
  <c r="F239" i="1"/>
  <c r="G239" i="1"/>
  <c r="H239" i="1"/>
  <c r="I239" i="1"/>
  <c r="P235" i="1" s="1"/>
  <c r="J239" i="1"/>
  <c r="B240" i="1"/>
  <c r="C240" i="1"/>
  <c r="D240" i="1"/>
  <c r="E240" i="1"/>
  <c r="F240" i="1"/>
  <c r="G240" i="1"/>
  <c r="H240" i="1"/>
  <c r="I240" i="1"/>
  <c r="J240" i="1"/>
  <c r="B241" i="1"/>
  <c r="C241" i="1"/>
  <c r="D241" i="1"/>
  <c r="E241" i="1"/>
  <c r="F241" i="1"/>
  <c r="G241" i="1"/>
  <c r="H241" i="1"/>
  <c r="I241" i="1"/>
  <c r="J241" i="1"/>
  <c r="B242" i="1"/>
  <c r="C242" i="1"/>
  <c r="D242" i="1"/>
  <c r="E242" i="1"/>
  <c r="F242" i="1"/>
  <c r="G242" i="1"/>
  <c r="H242" i="1"/>
  <c r="I242" i="1"/>
  <c r="J242" i="1"/>
  <c r="Q242" i="1" s="1"/>
  <c r="B243" i="1"/>
  <c r="C243" i="1"/>
  <c r="D243" i="1"/>
  <c r="E243" i="1"/>
  <c r="F243" i="1"/>
  <c r="G243" i="1"/>
  <c r="H243" i="1"/>
  <c r="I243" i="1"/>
  <c r="J243" i="1"/>
  <c r="B244" i="1"/>
  <c r="C244" i="1"/>
  <c r="D244" i="1"/>
  <c r="E244" i="1"/>
  <c r="F244" i="1"/>
  <c r="G244" i="1"/>
  <c r="H244" i="1"/>
  <c r="I244" i="1"/>
  <c r="J244" i="1"/>
  <c r="B245" i="1"/>
  <c r="C245" i="1"/>
  <c r="D245" i="1"/>
  <c r="E245" i="1"/>
  <c r="F245" i="1"/>
  <c r="G245" i="1"/>
  <c r="H245" i="1"/>
  <c r="I245" i="1"/>
  <c r="J245" i="1"/>
  <c r="B246" i="1"/>
  <c r="C246" i="1"/>
  <c r="D246" i="1"/>
  <c r="E246" i="1"/>
  <c r="F246" i="1"/>
  <c r="G246" i="1"/>
  <c r="H246" i="1"/>
  <c r="I246" i="1"/>
  <c r="J246" i="1"/>
  <c r="B247" i="1"/>
  <c r="C247" i="1"/>
  <c r="D247" i="1"/>
  <c r="E247" i="1"/>
  <c r="F247" i="1"/>
  <c r="G247" i="1"/>
  <c r="H247" i="1"/>
  <c r="I247" i="1"/>
  <c r="J247" i="1"/>
  <c r="B248" i="1"/>
  <c r="C248" i="1"/>
  <c r="D248" i="1"/>
  <c r="E248" i="1"/>
  <c r="F248" i="1"/>
  <c r="G248" i="1"/>
  <c r="H248" i="1"/>
  <c r="I248" i="1"/>
  <c r="J248" i="1"/>
  <c r="B249" i="1"/>
  <c r="C249" i="1"/>
  <c r="D249" i="1"/>
  <c r="E249" i="1"/>
  <c r="F249" i="1"/>
  <c r="G249" i="1"/>
  <c r="H249" i="1"/>
  <c r="I249" i="1"/>
  <c r="J249" i="1"/>
  <c r="B250" i="1"/>
  <c r="C250" i="1"/>
  <c r="D250" i="1"/>
  <c r="E250" i="1"/>
  <c r="F250" i="1"/>
  <c r="G250" i="1"/>
  <c r="H250" i="1"/>
  <c r="I250" i="1"/>
  <c r="J250" i="1"/>
  <c r="B251" i="1"/>
  <c r="C251" i="1"/>
  <c r="D251" i="1"/>
  <c r="E251" i="1"/>
  <c r="F251" i="1"/>
  <c r="G251" i="1"/>
  <c r="H251" i="1"/>
  <c r="I251" i="1"/>
  <c r="J251" i="1"/>
  <c r="B252" i="1"/>
  <c r="C252" i="1"/>
  <c r="D252" i="1"/>
  <c r="E252" i="1"/>
  <c r="F252" i="1"/>
  <c r="G252" i="1"/>
  <c r="H252" i="1"/>
  <c r="I252" i="1"/>
  <c r="J252" i="1"/>
  <c r="B253" i="1"/>
  <c r="C253" i="1"/>
  <c r="D253" i="1"/>
  <c r="E253" i="1"/>
  <c r="F253" i="1"/>
  <c r="G253" i="1"/>
  <c r="H253" i="1"/>
  <c r="I253" i="1"/>
  <c r="J253" i="1"/>
  <c r="B254" i="1"/>
  <c r="C254" i="1"/>
  <c r="D254" i="1"/>
  <c r="E254" i="1"/>
  <c r="F254" i="1"/>
  <c r="G254" i="1"/>
  <c r="H254" i="1"/>
  <c r="I254" i="1"/>
  <c r="J254" i="1"/>
  <c r="B255" i="1"/>
  <c r="C255" i="1"/>
  <c r="D255" i="1"/>
  <c r="E255" i="1"/>
  <c r="F255" i="1"/>
  <c r="G255" i="1"/>
  <c r="H255" i="1"/>
  <c r="I255" i="1"/>
  <c r="J255" i="1"/>
  <c r="B256" i="1"/>
  <c r="C256" i="1"/>
  <c r="D256" i="1"/>
  <c r="E256" i="1"/>
  <c r="F256" i="1"/>
  <c r="G256" i="1"/>
  <c r="H256" i="1"/>
  <c r="I256" i="1"/>
  <c r="J256" i="1"/>
  <c r="B257" i="1"/>
  <c r="C257" i="1"/>
  <c r="D257" i="1"/>
  <c r="E257" i="1"/>
  <c r="F257" i="1"/>
  <c r="G257" i="1"/>
  <c r="H257" i="1"/>
  <c r="I257" i="1"/>
  <c r="J257" i="1"/>
  <c r="B258" i="1"/>
  <c r="C258" i="1"/>
  <c r="D258" i="1"/>
  <c r="E258" i="1"/>
  <c r="F258" i="1"/>
  <c r="G258" i="1"/>
  <c r="H258" i="1"/>
  <c r="I258" i="1"/>
  <c r="J258" i="1"/>
  <c r="B259" i="1"/>
  <c r="C259" i="1"/>
  <c r="D259" i="1"/>
  <c r="E259" i="1"/>
  <c r="F259" i="1"/>
  <c r="G259" i="1"/>
  <c r="H259" i="1"/>
  <c r="I259" i="1"/>
  <c r="J259" i="1"/>
  <c r="B260" i="1"/>
  <c r="C260" i="1"/>
  <c r="D260" i="1"/>
  <c r="K260" i="1" s="1"/>
  <c r="E260" i="1"/>
  <c r="F260" i="1"/>
  <c r="G260" i="1"/>
  <c r="H260" i="1"/>
  <c r="I260" i="1"/>
  <c r="J260" i="1"/>
  <c r="B261" i="1"/>
  <c r="C261" i="1"/>
  <c r="D261" i="1"/>
  <c r="E261" i="1"/>
  <c r="F261" i="1"/>
  <c r="G261" i="1"/>
  <c r="H261" i="1"/>
  <c r="O261" i="1" s="1"/>
  <c r="I261" i="1"/>
  <c r="P261" i="1" s="1"/>
  <c r="J261" i="1"/>
  <c r="B262" i="1"/>
  <c r="C262" i="1"/>
  <c r="D262" i="1"/>
  <c r="E262" i="1"/>
  <c r="F262" i="1"/>
  <c r="G262" i="1"/>
  <c r="H262" i="1"/>
  <c r="I262" i="1"/>
  <c r="J262" i="1"/>
  <c r="B263" i="1"/>
  <c r="C263" i="1"/>
  <c r="D263" i="1"/>
  <c r="E263" i="1"/>
  <c r="F263" i="1"/>
  <c r="G263" i="1"/>
  <c r="H263" i="1"/>
  <c r="I263" i="1"/>
  <c r="J263" i="1"/>
  <c r="B264" i="1"/>
  <c r="C264" i="1"/>
  <c r="D264" i="1"/>
  <c r="E264" i="1"/>
  <c r="F264" i="1"/>
  <c r="G264" i="1"/>
  <c r="H264" i="1"/>
  <c r="I264" i="1"/>
  <c r="J264" i="1"/>
  <c r="B265" i="1"/>
  <c r="C265" i="1"/>
  <c r="D265" i="1"/>
  <c r="E265" i="1"/>
  <c r="F265" i="1"/>
  <c r="G265" i="1"/>
  <c r="H265" i="1"/>
  <c r="I265" i="1"/>
  <c r="J265" i="1"/>
  <c r="B266" i="1"/>
  <c r="C266" i="1"/>
  <c r="D266" i="1"/>
  <c r="E266" i="1"/>
  <c r="F266" i="1"/>
  <c r="G266" i="1"/>
  <c r="H266" i="1"/>
  <c r="I266" i="1"/>
  <c r="J266" i="1"/>
  <c r="B267" i="1"/>
  <c r="C267" i="1"/>
  <c r="D267" i="1"/>
  <c r="E267" i="1"/>
  <c r="F267" i="1"/>
  <c r="G267" i="1"/>
  <c r="H267" i="1"/>
  <c r="I267" i="1"/>
  <c r="J267" i="1"/>
  <c r="B268" i="1"/>
  <c r="C268" i="1"/>
  <c r="D268" i="1"/>
  <c r="K254" i="1" s="1"/>
  <c r="E268" i="1"/>
  <c r="F268" i="1"/>
  <c r="G268" i="1"/>
  <c r="H268" i="1"/>
  <c r="I268" i="1"/>
  <c r="J268" i="1"/>
  <c r="B269" i="1"/>
  <c r="C269" i="1"/>
  <c r="D269" i="1"/>
  <c r="E269" i="1"/>
  <c r="F269" i="1"/>
  <c r="G269" i="1"/>
  <c r="H269" i="1"/>
  <c r="I269" i="1"/>
  <c r="J269" i="1"/>
  <c r="B270" i="1"/>
  <c r="C270" i="1"/>
  <c r="D270" i="1"/>
  <c r="E270" i="1"/>
  <c r="F270" i="1"/>
  <c r="G270" i="1"/>
  <c r="H270" i="1"/>
  <c r="I270" i="1"/>
  <c r="J270" i="1"/>
  <c r="B271" i="1"/>
  <c r="C271" i="1"/>
  <c r="D271" i="1"/>
  <c r="E271" i="1"/>
  <c r="F271" i="1"/>
  <c r="G271" i="1"/>
  <c r="H271" i="1"/>
  <c r="I271" i="1"/>
  <c r="J271" i="1"/>
  <c r="B272" i="1"/>
  <c r="C272" i="1"/>
  <c r="D272" i="1"/>
  <c r="E272" i="1"/>
  <c r="F272" i="1"/>
  <c r="G272" i="1"/>
  <c r="H272" i="1"/>
  <c r="I272" i="1"/>
  <c r="J272" i="1"/>
  <c r="B273" i="1"/>
  <c r="C273" i="1"/>
  <c r="D273" i="1"/>
  <c r="E273" i="1"/>
  <c r="F273" i="1"/>
  <c r="G273" i="1"/>
  <c r="H273" i="1"/>
  <c r="I273" i="1"/>
  <c r="J273" i="1"/>
  <c r="B274" i="1"/>
  <c r="C274" i="1"/>
  <c r="D274" i="1"/>
  <c r="E274" i="1"/>
  <c r="F274" i="1"/>
  <c r="G274" i="1"/>
  <c r="H274" i="1"/>
  <c r="I274" i="1"/>
  <c r="J274" i="1"/>
  <c r="B275" i="1"/>
  <c r="C275" i="1"/>
  <c r="D275" i="1"/>
  <c r="E275" i="1"/>
  <c r="F275" i="1"/>
  <c r="G275" i="1"/>
  <c r="H275" i="1"/>
  <c r="I275" i="1"/>
  <c r="J275" i="1"/>
  <c r="B276" i="1"/>
  <c r="C276" i="1"/>
  <c r="D276" i="1"/>
  <c r="E276" i="1"/>
  <c r="F276" i="1"/>
  <c r="G276" i="1"/>
  <c r="H276" i="1"/>
  <c r="I276" i="1"/>
  <c r="J276" i="1"/>
  <c r="B277" i="1"/>
  <c r="C277" i="1"/>
  <c r="D277" i="1"/>
  <c r="E277" i="1"/>
  <c r="F277" i="1"/>
  <c r="G277" i="1"/>
  <c r="H277" i="1"/>
  <c r="I277" i="1"/>
  <c r="J277" i="1"/>
  <c r="B278" i="1"/>
  <c r="C278" i="1"/>
  <c r="D278" i="1"/>
  <c r="E278" i="1"/>
  <c r="F278" i="1"/>
  <c r="G278" i="1"/>
  <c r="H278" i="1"/>
  <c r="I278" i="1"/>
  <c r="J278" i="1"/>
  <c r="B279" i="1"/>
  <c r="C279" i="1"/>
  <c r="D279" i="1"/>
  <c r="E279" i="1"/>
  <c r="F279" i="1"/>
  <c r="G279" i="1"/>
  <c r="H279" i="1"/>
  <c r="I279" i="1"/>
  <c r="J279" i="1"/>
  <c r="B280" i="1"/>
  <c r="C280" i="1"/>
  <c r="D280" i="1"/>
  <c r="E280" i="1"/>
  <c r="F280" i="1"/>
  <c r="G280" i="1"/>
  <c r="H280" i="1"/>
  <c r="I280" i="1"/>
  <c r="J280" i="1"/>
  <c r="B281" i="1"/>
  <c r="C281" i="1"/>
  <c r="D281" i="1"/>
  <c r="E281" i="1"/>
  <c r="F281" i="1"/>
  <c r="M281" i="1" s="1"/>
  <c r="G281" i="1"/>
  <c r="H281" i="1"/>
  <c r="I281" i="1"/>
  <c r="J281" i="1"/>
  <c r="B282" i="1"/>
  <c r="C282" i="1"/>
  <c r="D282" i="1"/>
  <c r="E282" i="1"/>
  <c r="F282" i="1"/>
  <c r="G282" i="1"/>
  <c r="H282" i="1"/>
  <c r="I282" i="1"/>
  <c r="J282" i="1"/>
  <c r="B283" i="1"/>
  <c r="C283" i="1"/>
  <c r="D283" i="1"/>
  <c r="E283" i="1"/>
  <c r="F283" i="1"/>
  <c r="G283" i="1"/>
  <c r="H283" i="1"/>
  <c r="I283" i="1"/>
  <c r="J283" i="1"/>
  <c r="Q282" i="1" s="1"/>
  <c r="B284" i="1"/>
  <c r="C284" i="1"/>
  <c r="D284" i="1"/>
  <c r="E284" i="1"/>
  <c r="F284" i="1"/>
  <c r="G284" i="1"/>
  <c r="H284" i="1"/>
  <c r="I284" i="1"/>
  <c r="J284" i="1"/>
  <c r="B285" i="1"/>
  <c r="C285" i="1"/>
  <c r="D285" i="1"/>
  <c r="E285" i="1"/>
  <c r="F285" i="1"/>
  <c r="G285" i="1"/>
  <c r="H285" i="1"/>
  <c r="I285" i="1"/>
  <c r="J285" i="1"/>
  <c r="B286" i="1"/>
  <c r="C286" i="1"/>
  <c r="D286" i="1"/>
  <c r="E286" i="1"/>
  <c r="F286" i="1"/>
  <c r="G286" i="1"/>
  <c r="H286" i="1"/>
  <c r="I286" i="1"/>
  <c r="J286" i="1"/>
  <c r="B287" i="1"/>
  <c r="C287" i="1"/>
  <c r="D287" i="1"/>
  <c r="E287" i="1"/>
  <c r="F287" i="1"/>
  <c r="G287" i="1"/>
  <c r="H287" i="1"/>
  <c r="I287" i="1"/>
  <c r="J287" i="1"/>
  <c r="B288" i="1"/>
  <c r="C288" i="1"/>
  <c r="D288" i="1"/>
  <c r="E288" i="1"/>
  <c r="F288" i="1"/>
  <c r="G288" i="1"/>
  <c r="H288" i="1"/>
  <c r="I288" i="1"/>
  <c r="J288" i="1"/>
  <c r="B289" i="1"/>
  <c r="C289" i="1"/>
  <c r="D289" i="1"/>
  <c r="E289" i="1"/>
  <c r="F289" i="1"/>
  <c r="G289" i="1"/>
  <c r="H289" i="1"/>
  <c r="I289" i="1"/>
  <c r="J289" i="1"/>
  <c r="B290" i="1"/>
  <c r="C290" i="1"/>
  <c r="D290" i="1"/>
  <c r="E290" i="1"/>
  <c r="F290" i="1"/>
  <c r="G290" i="1"/>
  <c r="H290" i="1"/>
  <c r="I290" i="1"/>
  <c r="J290" i="1"/>
  <c r="B291" i="1"/>
  <c r="C291" i="1"/>
  <c r="D291" i="1"/>
  <c r="E291" i="1"/>
  <c r="F291" i="1"/>
  <c r="G291" i="1"/>
  <c r="H291" i="1"/>
  <c r="I291" i="1"/>
  <c r="J291" i="1"/>
  <c r="B292" i="1"/>
  <c r="C292" i="1"/>
  <c r="D292" i="1"/>
  <c r="E292" i="1"/>
  <c r="F292" i="1"/>
  <c r="M274" i="1" s="1"/>
  <c r="G292" i="1"/>
  <c r="H292" i="1"/>
  <c r="I292" i="1"/>
  <c r="J292" i="1"/>
  <c r="B293" i="1"/>
  <c r="C293" i="1"/>
  <c r="D293" i="1"/>
  <c r="E293" i="1"/>
  <c r="F293" i="1"/>
  <c r="G293" i="1"/>
  <c r="H293" i="1"/>
  <c r="I293" i="1"/>
  <c r="J293" i="1"/>
  <c r="B294" i="1"/>
  <c r="C294" i="1"/>
  <c r="D294" i="1"/>
  <c r="E294" i="1"/>
  <c r="F294" i="1"/>
  <c r="G294" i="1"/>
  <c r="H294" i="1"/>
  <c r="I294" i="1"/>
  <c r="J294" i="1"/>
  <c r="B295" i="1"/>
  <c r="C295" i="1"/>
  <c r="D295" i="1"/>
  <c r="E295" i="1"/>
  <c r="F295" i="1"/>
  <c r="G295" i="1"/>
  <c r="H295" i="1"/>
  <c r="I295" i="1"/>
  <c r="J295" i="1"/>
  <c r="B296" i="1"/>
  <c r="C296" i="1"/>
  <c r="D296" i="1"/>
  <c r="E296" i="1"/>
  <c r="F296" i="1"/>
  <c r="G296" i="1"/>
  <c r="H296" i="1"/>
  <c r="I296" i="1"/>
  <c r="J296" i="1"/>
  <c r="B297" i="1"/>
  <c r="C297" i="1"/>
  <c r="D297" i="1"/>
  <c r="E297" i="1"/>
  <c r="F297" i="1"/>
  <c r="G297" i="1"/>
  <c r="H297" i="1"/>
  <c r="I297" i="1"/>
  <c r="J297" i="1"/>
  <c r="B298" i="1"/>
  <c r="C298" i="1"/>
  <c r="D298" i="1"/>
  <c r="E298" i="1"/>
  <c r="F298" i="1"/>
  <c r="G298" i="1"/>
  <c r="H298" i="1"/>
  <c r="I298" i="1"/>
  <c r="J298" i="1"/>
  <c r="B299" i="1"/>
  <c r="C299" i="1"/>
  <c r="D299" i="1"/>
  <c r="E299" i="1"/>
  <c r="F299" i="1"/>
  <c r="G299" i="1"/>
  <c r="H299" i="1"/>
  <c r="I299" i="1"/>
  <c r="J299" i="1"/>
  <c r="B300" i="1"/>
  <c r="C300" i="1"/>
  <c r="D300" i="1"/>
  <c r="E300" i="1"/>
  <c r="F300" i="1"/>
  <c r="G300" i="1"/>
  <c r="H300" i="1"/>
  <c r="I300" i="1"/>
  <c r="J300" i="1"/>
  <c r="B301" i="1"/>
  <c r="C301" i="1"/>
  <c r="D301" i="1"/>
  <c r="E301" i="1"/>
  <c r="F301" i="1"/>
  <c r="G301" i="1"/>
  <c r="H301" i="1"/>
  <c r="I301" i="1"/>
  <c r="J301" i="1"/>
  <c r="B302" i="1"/>
  <c r="C302" i="1"/>
  <c r="D302" i="1"/>
  <c r="E302" i="1"/>
  <c r="F302" i="1"/>
  <c r="G302" i="1"/>
  <c r="H302" i="1"/>
  <c r="I302" i="1"/>
  <c r="J302" i="1"/>
  <c r="B303" i="1"/>
  <c r="C303" i="1"/>
  <c r="D303" i="1"/>
  <c r="E303" i="1"/>
  <c r="F303" i="1"/>
  <c r="G303" i="1"/>
  <c r="H303" i="1"/>
  <c r="I303" i="1"/>
  <c r="J303" i="1"/>
  <c r="B304" i="1"/>
  <c r="C304" i="1"/>
  <c r="D304" i="1"/>
  <c r="K304" i="1" s="1"/>
  <c r="E304" i="1"/>
  <c r="F304" i="1"/>
  <c r="G304" i="1"/>
  <c r="H304" i="1"/>
  <c r="I304" i="1"/>
  <c r="J304" i="1"/>
  <c r="B305" i="1"/>
  <c r="C305" i="1"/>
  <c r="D305" i="1"/>
  <c r="E305" i="1"/>
  <c r="F305" i="1"/>
  <c r="G305" i="1"/>
  <c r="H305" i="1"/>
  <c r="I305" i="1"/>
  <c r="J305" i="1"/>
  <c r="B306" i="1"/>
  <c r="C306" i="1"/>
  <c r="D306" i="1"/>
  <c r="E306" i="1"/>
  <c r="F306" i="1"/>
  <c r="G306" i="1"/>
  <c r="H306" i="1"/>
  <c r="I306" i="1"/>
  <c r="J306" i="1"/>
  <c r="B307" i="1"/>
  <c r="C307" i="1"/>
  <c r="D307" i="1"/>
  <c r="E307" i="1"/>
  <c r="F307" i="1"/>
  <c r="G307" i="1"/>
  <c r="N307" i="1" s="1"/>
  <c r="H307" i="1"/>
  <c r="I307" i="1"/>
  <c r="J307" i="1"/>
  <c r="B308" i="1"/>
  <c r="C308" i="1"/>
  <c r="D308" i="1"/>
  <c r="E308" i="1"/>
  <c r="F308" i="1"/>
  <c r="G308" i="1"/>
  <c r="H308" i="1"/>
  <c r="I308" i="1"/>
  <c r="J308" i="1"/>
  <c r="B309" i="1"/>
  <c r="C309" i="1"/>
  <c r="D309" i="1"/>
  <c r="E309" i="1"/>
  <c r="F309" i="1"/>
  <c r="M306" i="1" s="1"/>
  <c r="G309" i="1"/>
  <c r="H309" i="1"/>
  <c r="I309" i="1"/>
  <c r="J309" i="1"/>
  <c r="B310" i="1"/>
  <c r="C310" i="1"/>
  <c r="D310" i="1"/>
  <c r="E310" i="1"/>
  <c r="F310" i="1"/>
  <c r="G310" i="1"/>
  <c r="H310" i="1"/>
  <c r="I310" i="1"/>
  <c r="J310" i="1"/>
  <c r="B311" i="1"/>
  <c r="C311" i="1"/>
  <c r="D311" i="1"/>
  <c r="E311" i="1"/>
  <c r="F311" i="1"/>
  <c r="G311" i="1"/>
  <c r="H311" i="1"/>
  <c r="I311" i="1"/>
  <c r="J311" i="1"/>
  <c r="B312" i="1"/>
  <c r="C312" i="1"/>
  <c r="D312" i="1"/>
  <c r="E312" i="1"/>
  <c r="F312" i="1"/>
  <c r="G312" i="1"/>
  <c r="H312" i="1"/>
  <c r="I312" i="1"/>
  <c r="J312" i="1"/>
  <c r="B313" i="1"/>
  <c r="C313" i="1"/>
  <c r="D313" i="1"/>
  <c r="E313" i="1"/>
  <c r="F313" i="1"/>
  <c r="G313" i="1"/>
  <c r="H313" i="1"/>
  <c r="I313" i="1"/>
  <c r="J313" i="1"/>
  <c r="B314" i="1"/>
  <c r="C314" i="1"/>
  <c r="D314" i="1"/>
  <c r="E314" i="1"/>
  <c r="F314" i="1"/>
  <c r="G314" i="1"/>
  <c r="H314" i="1"/>
  <c r="I314" i="1"/>
  <c r="J314" i="1"/>
  <c r="B315" i="1"/>
  <c r="C315" i="1"/>
  <c r="D315" i="1"/>
  <c r="E315" i="1"/>
  <c r="F315" i="1"/>
  <c r="G315" i="1"/>
  <c r="H315" i="1"/>
  <c r="I315" i="1"/>
  <c r="J315" i="1"/>
  <c r="B316" i="1"/>
  <c r="C316" i="1"/>
  <c r="D316" i="1"/>
  <c r="K311" i="1" s="1"/>
  <c r="E316" i="1"/>
  <c r="L311" i="1" s="1"/>
  <c r="F316" i="1"/>
  <c r="G316" i="1"/>
  <c r="H316" i="1"/>
  <c r="I316" i="1"/>
  <c r="J316" i="1"/>
  <c r="B317" i="1"/>
  <c r="C317" i="1"/>
  <c r="D317" i="1"/>
  <c r="E317" i="1"/>
  <c r="F317" i="1"/>
  <c r="G317" i="1"/>
  <c r="H317" i="1"/>
  <c r="I317" i="1"/>
  <c r="J317" i="1"/>
  <c r="B318" i="1"/>
  <c r="C318" i="1"/>
  <c r="D318" i="1"/>
  <c r="E318" i="1"/>
  <c r="F318" i="1"/>
  <c r="G318" i="1"/>
  <c r="H318" i="1"/>
  <c r="I318" i="1"/>
  <c r="J318" i="1"/>
  <c r="B319" i="1"/>
  <c r="C319" i="1"/>
  <c r="D319" i="1"/>
  <c r="K319" i="1" s="1"/>
  <c r="R319" i="1" s="1"/>
  <c r="S346" i="1" s="1"/>
  <c r="T346" i="1" s="1"/>
  <c r="E319" i="1"/>
  <c r="F319" i="1"/>
  <c r="G319" i="1"/>
  <c r="H319" i="1"/>
  <c r="I319" i="1"/>
  <c r="J319" i="1"/>
  <c r="B320" i="1"/>
  <c r="C320" i="1"/>
  <c r="D320" i="1"/>
  <c r="E320" i="1"/>
  <c r="F320" i="1"/>
  <c r="G320" i="1"/>
  <c r="H320" i="1"/>
  <c r="I320" i="1"/>
  <c r="J320" i="1"/>
  <c r="B321" i="1"/>
  <c r="C321" i="1"/>
  <c r="D321" i="1"/>
  <c r="E321" i="1"/>
  <c r="F321" i="1"/>
  <c r="G321" i="1"/>
  <c r="H321" i="1"/>
  <c r="I321" i="1"/>
  <c r="J321" i="1"/>
  <c r="B322" i="1"/>
  <c r="C322" i="1"/>
  <c r="D322" i="1"/>
  <c r="E322" i="1"/>
  <c r="F322" i="1"/>
  <c r="G322" i="1"/>
  <c r="H322" i="1"/>
  <c r="I322" i="1"/>
  <c r="J322" i="1"/>
  <c r="B323" i="1"/>
  <c r="C323" i="1"/>
  <c r="D323" i="1"/>
  <c r="K323" i="1" s="1"/>
  <c r="R323" i="1" s="1"/>
  <c r="S350" i="1" s="1"/>
  <c r="T350" i="1" s="1"/>
  <c r="E323" i="1"/>
  <c r="F323" i="1"/>
  <c r="G323" i="1"/>
  <c r="H323" i="1"/>
  <c r="I323" i="1"/>
  <c r="J323" i="1"/>
  <c r="B324" i="1"/>
  <c r="C324" i="1"/>
  <c r="D324" i="1"/>
  <c r="E324" i="1"/>
  <c r="F324" i="1"/>
  <c r="G324" i="1"/>
  <c r="H324" i="1"/>
  <c r="I324" i="1"/>
  <c r="J324" i="1"/>
  <c r="B325" i="1"/>
  <c r="C325" i="1"/>
  <c r="D325" i="1"/>
  <c r="E325" i="1"/>
  <c r="F325" i="1"/>
  <c r="G325" i="1"/>
  <c r="H325" i="1"/>
  <c r="I325" i="1"/>
  <c r="J325" i="1"/>
  <c r="B326" i="1"/>
  <c r="C326" i="1"/>
  <c r="D326" i="1"/>
  <c r="E326" i="1"/>
  <c r="F326" i="1"/>
  <c r="G326" i="1"/>
  <c r="H326" i="1"/>
  <c r="I326" i="1"/>
  <c r="J326" i="1"/>
  <c r="B327" i="1"/>
  <c r="C327" i="1"/>
  <c r="D327" i="1"/>
  <c r="E327" i="1"/>
  <c r="F327" i="1"/>
  <c r="G327" i="1"/>
  <c r="H327" i="1"/>
  <c r="I327" i="1"/>
  <c r="J327" i="1"/>
  <c r="B328" i="1"/>
  <c r="C328" i="1"/>
  <c r="D328" i="1"/>
  <c r="K327" i="1" s="1"/>
  <c r="R327" i="1" s="1"/>
  <c r="S354" i="1" s="1"/>
  <c r="T354" i="1" s="1"/>
  <c r="E328" i="1"/>
  <c r="F328" i="1"/>
  <c r="G328" i="1"/>
  <c r="H328" i="1"/>
  <c r="I328" i="1"/>
  <c r="J328" i="1"/>
  <c r="B329" i="1"/>
  <c r="C329" i="1"/>
  <c r="D329" i="1"/>
  <c r="E329" i="1"/>
  <c r="F329" i="1"/>
  <c r="G329" i="1"/>
  <c r="H329" i="1"/>
  <c r="I329" i="1"/>
  <c r="J329" i="1"/>
  <c r="B330" i="1"/>
  <c r="C330" i="1"/>
  <c r="D330" i="1"/>
  <c r="E330" i="1"/>
  <c r="F330" i="1"/>
  <c r="G330" i="1"/>
  <c r="H330" i="1"/>
  <c r="I330" i="1"/>
  <c r="J330" i="1"/>
  <c r="B331" i="1"/>
  <c r="C331" i="1"/>
  <c r="D331" i="1"/>
  <c r="K326" i="1" s="1"/>
  <c r="R326" i="1" s="1"/>
  <c r="S353" i="1" s="1"/>
  <c r="T353" i="1" s="1"/>
  <c r="E331" i="1"/>
  <c r="F331" i="1"/>
  <c r="G331" i="1"/>
  <c r="H331" i="1"/>
  <c r="I331" i="1"/>
  <c r="J331" i="1"/>
  <c r="B332" i="1"/>
  <c r="C332" i="1"/>
  <c r="D332" i="1"/>
  <c r="E332" i="1"/>
  <c r="F332" i="1"/>
  <c r="G332" i="1"/>
  <c r="H332" i="1"/>
  <c r="I332" i="1"/>
  <c r="J332" i="1"/>
  <c r="Q332" i="1" s="1"/>
  <c r="B333" i="1"/>
  <c r="C333" i="1"/>
  <c r="D333" i="1"/>
  <c r="E333" i="1"/>
  <c r="F333" i="1"/>
  <c r="G333" i="1"/>
  <c r="H333" i="1"/>
  <c r="I333" i="1"/>
  <c r="J333" i="1"/>
  <c r="B334" i="1"/>
  <c r="C334" i="1"/>
  <c r="D334" i="1"/>
  <c r="E334" i="1"/>
  <c r="F334" i="1"/>
  <c r="G334" i="1"/>
  <c r="H334" i="1"/>
  <c r="I334" i="1"/>
  <c r="J334" i="1"/>
  <c r="B335" i="1"/>
  <c r="C335" i="1"/>
  <c r="D335" i="1"/>
  <c r="E335" i="1"/>
  <c r="F335" i="1"/>
  <c r="G335" i="1"/>
  <c r="H335" i="1"/>
  <c r="I335" i="1"/>
  <c r="J335" i="1"/>
  <c r="B336" i="1"/>
  <c r="C336" i="1"/>
  <c r="D336" i="1"/>
  <c r="E336" i="1"/>
  <c r="F336" i="1"/>
  <c r="G336" i="1"/>
  <c r="H336" i="1"/>
  <c r="I336" i="1"/>
  <c r="J336" i="1"/>
  <c r="B337" i="1"/>
  <c r="C337" i="1"/>
  <c r="D337" i="1"/>
  <c r="K337" i="1" s="1"/>
  <c r="R337" i="1" s="1"/>
  <c r="S364" i="1" s="1"/>
  <c r="T364" i="1" s="1"/>
  <c r="E337" i="1"/>
  <c r="F337" i="1"/>
  <c r="G337" i="1"/>
  <c r="N337" i="1" s="1"/>
  <c r="H337" i="1"/>
  <c r="I337" i="1"/>
  <c r="J337" i="1"/>
  <c r="B338" i="1"/>
  <c r="C338" i="1"/>
  <c r="D338" i="1"/>
  <c r="E338" i="1"/>
  <c r="F338" i="1"/>
  <c r="G338" i="1"/>
  <c r="H338" i="1"/>
  <c r="I338" i="1"/>
  <c r="J338" i="1"/>
  <c r="B339" i="1"/>
  <c r="C339" i="1"/>
  <c r="D339" i="1"/>
  <c r="E339" i="1"/>
  <c r="F339" i="1"/>
  <c r="G339" i="1"/>
  <c r="H339" i="1"/>
  <c r="I339" i="1"/>
  <c r="P332" i="1" s="1"/>
  <c r="J339" i="1"/>
  <c r="B340" i="1"/>
  <c r="C340" i="1"/>
  <c r="D340" i="1"/>
  <c r="K340" i="1" s="1"/>
  <c r="R340" i="1" s="1"/>
  <c r="S367" i="1" s="1"/>
  <c r="T367" i="1" s="1"/>
  <c r="E340" i="1"/>
  <c r="F340" i="1"/>
  <c r="G340" i="1"/>
  <c r="N340" i="1" s="1"/>
  <c r="H340" i="1"/>
  <c r="I340" i="1"/>
  <c r="J340" i="1"/>
  <c r="B341" i="1"/>
  <c r="C341" i="1"/>
  <c r="D341" i="1"/>
  <c r="E341" i="1"/>
  <c r="F341" i="1"/>
  <c r="G341" i="1"/>
  <c r="H341" i="1"/>
  <c r="I341" i="1"/>
  <c r="J341" i="1"/>
  <c r="K341" i="1"/>
  <c r="R341" i="1" s="1"/>
  <c r="S368" i="1" s="1"/>
  <c r="T368" i="1" s="1"/>
  <c r="B342" i="1"/>
  <c r="C342" i="1"/>
  <c r="D342" i="1"/>
  <c r="E342" i="1"/>
  <c r="L342" i="1" s="1"/>
  <c r="F342" i="1"/>
  <c r="M342" i="1" s="1"/>
  <c r="G342" i="1"/>
  <c r="H342" i="1"/>
  <c r="I342" i="1"/>
  <c r="J342" i="1"/>
  <c r="N342" i="1"/>
  <c r="B343" i="1"/>
  <c r="C343" i="1"/>
  <c r="D343" i="1"/>
  <c r="K342" i="1" s="1"/>
  <c r="R342" i="1" s="1"/>
  <c r="S369" i="1" s="1"/>
  <c r="T369" i="1" s="1"/>
  <c r="E343" i="1"/>
  <c r="L343" i="1" s="1"/>
  <c r="F343" i="1"/>
  <c r="M343" i="1" s="1"/>
  <c r="G343" i="1"/>
  <c r="N343" i="1" s="1"/>
  <c r="H343" i="1"/>
  <c r="I343" i="1"/>
  <c r="P343" i="1" s="1"/>
  <c r="J343" i="1"/>
  <c r="Q343" i="1" s="1"/>
  <c r="O343" i="1"/>
  <c r="B344" i="1"/>
  <c r="C344" i="1"/>
  <c r="D344" i="1"/>
  <c r="K344" i="1" s="1"/>
  <c r="R344" i="1" s="1"/>
  <c r="S371" i="1" s="1"/>
  <c r="T371" i="1" s="1"/>
  <c r="E344" i="1"/>
  <c r="F344" i="1"/>
  <c r="G344" i="1"/>
  <c r="H344" i="1"/>
  <c r="O344" i="1" s="1"/>
  <c r="I344" i="1"/>
  <c r="P344" i="1" s="1"/>
  <c r="J344" i="1"/>
  <c r="Q344" i="1" s="1"/>
  <c r="L344" i="1"/>
  <c r="M344" i="1"/>
  <c r="N344" i="1"/>
  <c r="B345" i="1"/>
  <c r="C345" i="1"/>
  <c r="D345" i="1"/>
  <c r="K345" i="1" s="1"/>
  <c r="R345" i="1" s="1"/>
  <c r="S372" i="1" s="1"/>
  <c r="T372" i="1" s="1"/>
  <c r="E345" i="1"/>
  <c r="L345" i="1" s="1"/>
  <c r="F345" i="1"/>
  <c r="M345" i="1" s="1"/>
  <c r="G345" i="1"/>
  <c r="H345" i="1"/>
  <c r="O345" i="1" s="1"/>
  <c r="I345" i="1"/>
  <c r="P345" i="1" s="1"/>
  <c r="J345" i="1"/>
  <c r="Q345" i="1" s="1"/>
  <c r="N345" i="1"/>
  <c r="B346" i="1"/>
  <c r="C346" i="1"/>
  <c r="D346" i="1"/>
  <c r="E346" i="1"/>
  <c r="L346" i="1" s="1"/>
  <c r="F346" i="1"/>
  <c r="M346" i="1" s="1"/>
  <c r="G346" i="1"/>
  <c r="N346" i="1" s="1"/>
  <c r="H346" i="1"/>
  <c r="I346" i="1"/>
  <c r="P346" i="1" s="1"/>
  <c r="J346" i="1"/>
  <c r="Q346" i="1" s="1"/>
  <c r="K346" i="1"/>
  <c r="R346" i="1" s="1"/>
  <c r="S373" i="1" s="1"/>
  <c r="T373" i="1" s="1"/>
  <c r="O346" i="1"/>
  <c r="B347" i="1"/>
  <c r="C347" i="1"/>
  <c r="D347" i="1"/>
  <c r="E347" i="1"/>
  <c r="L347" i="1" s="1"/>
  <c r="F347" i="1"/>
  <c r="G347" i="1"/>
  <c r="H347" i="1"/>
  <c r="I347" i="1"/>
  <c r="P347" i="1" s="1"/>
  <c r="J347" i="1"/>
  <c r="Q347" i="1" s="1"/>
  <c r="K347" i="1"/>
  <c r="R347" i="1" s="1"/>
  <c r="S374" i="1" s="1"/>
  <c r="T374" i="1" s="1"/>
  <c r="M347" i="1"/>
  <c r="N347" i="1"/>
  <c r="O347" i="1"/>
  <c r="B348" i="1"/>
  <c r="C348" i="1"/>
  <c r="D348" i="1"/>
  <c r="K348" i="1" s="1"/>
  <c r="R348" i="1" s="1"/>
  <c r="S375" i="1" s="1"/>
  <c r="T375" i="1" s="1"/>
  <c r="E348" i="1"/>
  <c r="F348" i="1"/>
  <c r="G348" i="1"/>
  <c r="H348" i="1"/>
  <c r="O348" i="1" s="1"/>
  <c r="I348" i="1"/>
  <c r="J348" i="1"/>
  <c r="L348" i="1"/>
  <c r="M348" i="1"/>
  <c r="N348" i="1"/>
  <c r="P348" i="1"/>
  <c r="Q348" i="1"/>
  <c r="B349" i="1"/>
  <c r="C349" i="1"/>
  <c r="D349" i="1"/>
  <c r="K349" i="1" s="1"/>
  <c r="R349" i="1" s="1"/>
  <c r="S376" i="1" s="1"/>
  <c r="T376" i="1" s="1"/>
  <c r="E349" i="1"/>
  <c r="L349" i="1" s="1"/>
  <c r="F349" i="1"/>
  <c r="G349" i="1"/>
  <c r="N349" i="1" s="1"/>
  <c r="H349" i="1"/>
  <c r="I349" i="1"/>
  <c r="J349" i="1"/>
  <c r="M349" i="1"/>
  <c r="O349" i="1"/>
  <c r="P349" i="1"/>
  <c r="Q349" i="1"/>
  <c r="B350" i="1"/>
  <c r="C350" i="1"/>
  <c r="D350" i="1"/>
  <c r="K350" i="1" s="1"/>
  <c r="R350" i="1" s="1"/>
  <c r="S377" i="1" s="1"/>
  <c r="T377" i="1" s="1"/>
  <c r="E350" i="1"/>
  <c r="L350" i="1" s="1"/>
  <c r="F350" i="1"/>
  <c r="G350" i="1"/>
  <c r="N350" i="1" s="1"/>
  <c r="H350" i="1"/>
  <c r="O350" i="1" s="1"/>
  <c r="I350" i="1"/>
  <c r="J350" i="1"/>
  <c r="Q350" i="1" s="1"/>
  <c r="M350" i="1"/>
  <c r="P350" i="1"/>
  <c r="B351" i="1"/>
  <c r="C351" i="1"/>
  <c r="D351" i="1"/>
  <c r="E351" i="1"/>
  <c r="L351" i="1" s="1"/>
  <c r="F351" i="1"/>
  <c r="M351" i="1" s="1"/>
  <c r="G351" i="1"/>
  <c r="N351" i="1" s="1"/>
  <c r="H351" i="1"/>
  <c r="O351" i="1" s="1"/>
  <c r="I351" i="1"/>
  <c r="P351" i="1" s="1"/>
  <c r="J351" i="1"/>
  <c r="Q351" i="1" s="1"/>
  <c r="K351" i="1"/>
  <c r="R351" i="1" s="1"/>
  <c r="S378" i="1" s="1"/>
  <c r="T378" i="1" s="1"/>
  <c r="B352" i="1"/>
  <c r="C352" i="1"/>
  <c r="D352" i="1"/>
  <c r="K352" i="1" s="1"/>
  <c r="R352" i="1" s="1"/>
  <c r="S379" i="1" s="1"/>
  <c r="T379" i="1" s="1"/>
  <c r="E352" i="1"/>
  <c r="F352" i="1"/>
  <c r="G352" i="1"/>
  <c r="N352" i="1" s="1"/>
  <c r="H352" i="1"/>
  <c r="I352" i="1"/>
  <c r="J352" i="1"/>
  <c r="Q352" i="1" s="1"/>
  <c r="L352" i="1"/>
  <c r="M352" i="1"/>
  <c r="O352" i="1"/>
  <c r="P352" i="1"/>
  <c r="B353" i="1"/>
  <c r="C353" i="1"/>
  <c r="D353" i="1"/>
  <c r="E353" i="1"/>
  <c r="L353" i="1" s="1"/>
  <c r="F353" i="1"/>
  <c r="G353" i="1"/>
  <c r="H353" i="1"/>
  <c r="O353" i="1" s="1"/>
  <c r="I353" i="1"/>
  <c r="J353" i="1"/>
  <c r="K353" i="1"/>
  <c r="R353" i="1" s="1"/>
  <c r="S380" i="1" s="1"/>
  <c r="T380" i="1" s="1"/>
  <c r="M353" i="1"/>
  <c r="N353" i="1"/>
  <c r="P353" i="1"/>
  <c r="Q353" i="1"/>
  <c r="B354" i="1"/>
  <c r="C354" i="1"/>
  <c r="D354" i="1"/>
  <c r="K354" i="1" s="1"/>
  <c r="R354" i="1" s="1"/>
  <c r="S381" i="1" s="1"/>
  <c r="T381" i="1" s="1"/>
  <c r="E354" i="1"/>
  <c r="L354" i="1" s="1"/>
  <c r="F354" i="1"/>
  <c r="M354" i="1" s="1"/>
  <c r="G354" i="1"/>
  <c r="H354" i="1"/>
  <c r="O354" i="1" s="1"/>
  <c r="I354" i="1"/>
  <c r="J354" i="1"/>
  <c r="N354" i="1"/>
  <c r="P354" i="1"/>
  <c r="Q354" i="1"/>
  <c r="B355" i="1"/>
  <c r="C355" i="1"/>
  <c r="D355" i="1"/>
  <c r="K355" i="1" s="1"/>
  <c r="R355" i="1" s="1"/>
  <c r="S382" i="1" s="1"/>
  <c r="T382" i="1" s="1"/>
  <c r="E355" i="1"/>
  <c r="L355" i="1" s="1"/>
  <c r="F355" i="1"/>
  <c r="M355" i="1" s="1"/>
  <c r="G355" i="1"/>
  <c r="N355" i="1" s="1"/>
  <c r="H355" i="1"/>
  <c r="I355" i="1"/>
  <c r="J355" i="1"/>
  <c r="Q355" i="1" s="1"/>
  <c r="O355" i="1"/>
  <c r="P355" i="1"/>
  <c r="B356" i="1"/>
  <c r="C356" i="1"/>
  <c r="D356" i="1"/>
  <c r="K356" i="1" s="1"/>
  <c r="R356" i="1" s="1"/>
  <c r="E356" i="1"/>
  <c r="L356" i="1" s="1"/>
  <c r="F356" i="1"/>
  <c r="M356" i="1" s="1"/>
  <c r="G356" i="1"/>
  <c r="H356" i="1"/>
  <c r="I356" i="1"/>
  <c r="J356" i="1"/>
  <c r="N356" i="1"/>
  <c r="O356" i="1"/>
  <c r="P356" i="1"/>
  <c r="Q356" i="1"/>
  <c r="B357" i="1"/>
  <c r="C357" i="1"/>
  <c r="D357" i="1"/>
  <c r="K357" i="1" s="1"/>
  <c r="R357" i="1" s="1"/>
  <c r="S384" i="1" s="1"/>
  <c r="T384" i="1" s="1"/>
  <c r="E357" i="1"/>
  <c r="L357" i="1" s="1"/>
  <c r="F357" i="1"/>
  <c r="M357" i="1" s="1"/>
  <c r="G357" i="1"/>
  <c r="N357" i="1" s="1"/>
  <c r="H357" i="1"/>
  <c r="I357" i="1"/>
  <c r="J357" i="1"/>
  <c r="O357" i="1"/>
  <c r="P357" i="1"/>
  <c r="Q357" i="1"/>
  <c r="B358" i="1"/>
  <c r="C358" i="1"/>
  <c r="D358" i="1"/>
  <c r="K358" i="1" s="1"/>
  <c r="R358" i="1" s="1"/>
  <c r="E358" i="1"/>
  <c r="L358" i="1" s="1"/>
  <c r="F358" i="1"/>
  <c r="M358" i="1" s="1"/>
  <c r="G358" i="1"/>
  <c r="N358" i="1" s="1"/>
  <c r="H358" i="1"/>
  <c r="O358" i="1" s="1"/>
  <c r="I358" i="1"/>
  <c r="J358" i="1"/>
  <c r="Q358" i="1" s="1"/>
  <c r="P358" i="1"/>
  <c r="B359" i="1"/>
  <c r="C359" i="1"/>
  <c r="D359" i="1"/>
  <c r="E359" i="1"/>
  <c r="L359" i="1" s="1"/>
  <c r="F359" i="1"/>
  <c r="M359" i="1" s="1"/>
  <c r="G359" i="1"/>
  <c r="N359" i="1" s="1"/>
  <c r="H359" i="1"/>
  <c r="O359" i="1" s="1"/>
  <c r="I359" i="1"/>
  <c r="P359" i="1" s="1"/>
  <c r="J359" i="1"/>
  <c r="Q359" i="1" s="1"/>
  <c r="K359" i="1"/>
  <c r="R359" i="1" s="1"/>
  <c r="S386" i="1" s="1"/>
  <c r="T386" i="1" s="1"/>
  <c r="B360" i="1"/>
  <c r="C360" i="1"/>
  <c r="D360" i="1"/>
  <c r="E360" i="1"/>
  <c r="L360" i="1" s="1"/>
  <c r="F360" i="1"/>
  <c r="M360" i="1" s="1"/>
  <c r="G360" i="1"/>
  <c r="N360" i="1" s="1"/>
  <c r="H360" i="1"/>
  <c r="O360" i="1" s="1"/>
  <c r="I360" i="1"/>
  <c r="P360" i="1" s="1"/>
  <c r="J360" i="1"/>
  <c r="Q360" i="1" s="1"/>
  <c r="K360" i="1"/>
  <c r="R360" i="1" s="1"/>
  <c r="S387" i="1" s="1"/>
  <c r="T387" i="1" s="1"/>
  <c r="B361" i="1"/>
  <c r="C361" i="1"/>
  <c r="D361" i="1"/>
  <c r="K361" i="1" s="1"/>
  <c r="R361" i="1" s="1"/>
  <c r="S388" i="1" s="1"/>
  <c r="T388" i="1" s="1"/>
  <c r="E361" i="1"/>
  <c r="L361" i="1" s="1"/>
  <c r="F361" i="1"/>
  <c r="M361" i="1" s="1"/>
  <c r="G361" i="1"/>
  <c r="N361" i="1" s="1"/>
  <c r="H361" i="1"/>
  <c r="O361" i="1" s="1"/>
  <c r="I361" i="1"/>
  <c r="P361" i="1" s="1"/>
  <c r="J361" i="1"/>
  <c r="Q361" i="1" s="1"/>
  <c r="B362" i="1"/>
  <c r="C362" i="1"/>
  <c r="D362" i="1"/>
  <c r="K362" i="1" s="1"/>
  <c r="R362" i="1" s="1"/>
  <c r="S389" i="1" s="1"/>
  <c r="T389" i="1" s="1"/>
  <c r="E362" i="1"/>
  <c r="L362" i="1" s="1"/>
  <c r="F362" i="1"/>
  <c r="M362" i="1" s="1"/>
  <c r="G362" i="1"/>
  <c r="N362" i="1" s="1"/>
  <c r="H362" i="1"/>
  <c r="O362" i="1" s="1"/>
  <c r="I362" i="1"/>
  <c r="P362" i="1" s="1"/>
  <c r="J362" i="1"/>
  <c r="Q362" i="1" s="1"/>
  <c r="B363" i="1"/>
  <c r="C363" i="1"/>
  <c r="D363" i="1"/>
  <c r="E363" i="1"/>
  <c r="L363" i="1" s="1"/>
  <c r="F363" i="1"/>
  <c r="G363" i="1"/>
  <c r="H363" i="1"/>
  <c r="I363" i="1"/>
  <c r="P363" i="1" s="1"/>
  <c r="J363" i="1"/>
  <c r="Q363" i="1" s="1"/>
  <c r="K363" i="1"/>
  <c r="R363" i="1" s="1"/>
  <c r="S390" i="1" s="1"/>
  <c r="T390" i="1" s="1"/>
  <c r="M363" i="1"/>
  <c r="N363" i="1"/>
  <c r="O363" i="1"/>
  <c r="B364" i="1"/>
  <c r="C364" i="1"/>
  <c r="D364" i="1"/>
  <c r="K364" i="1" s="1"/>
  <c r="R364" i="1" s="1"/>
  <c r="S391" i="1" s="1"/>
  <c r="T391" i="1" s="1"/>
  <c r="E364" i="1"/>
  <c r="L364" i="1" s="1"/>
  <c r="F364" i="1"/>
  <c r="G364" i="1"/>
  <c r="H364" i="1"/>
  <c r="I364" i="1"/>
  <c r="J364" i="1"/>
  <c r="Q364" i="1" s="1"/>
  <c r="M364" i="1"/>
  <c r="N364" i="1"/>
  <c r="O364" i="1"/>
  <c r="P364" i="1"/>
  <c r="B365" i="1"/>
  <c r="C365" i="1"/>
  <c r="D365" i="1"/>
  <c r="K365" i="1" s="1"/>
  <c r="R365" i="1" s="1"/>
  <c r="S392" i="1" s="1"/>
  <c r="T392" i="1" s="1"/>
  <c r="E365" i="1"/>
  <c r="L365" i="1" s="1"/>
  <c r="F365" i="1"/>
  <c r="M365" i="1" s="1"/>
  <c r="G365" i="1"/>
  <c r="N365" i="1" s="1"/>
  <c r="H365" i="1"/>
  <c r="O365" i="1" s="1"/>
  <c r="I365" i="1"/>
  <c r="P365" i="1" s="1"/>
  <c r="J365" i="1"/>
  <c r="Q365" i="1" s="1"/>
  <c r="B366" i="1"/>
  <c r="C366" i="1"/>
  <c r="D366" i="1"/>
  <c r="E366" i="1"/>
  <c r="F366" i="1"/>
  <c r="M366" i="1" s="1"/>
  <c r="G366" i="1"/>
  <c r="H366" i="1"/>
  <c r="O366" i="1" s="1"/>
  <c r="I366" i="1"/>
  <c r="P366" i="1" s="1"/>
  <c r="J366" i="1"/>
  <c r="Q366" i="1" s="1"/>
  <c r="K366" i="1"/>
  <c r="R366" i="1" s="1"/>
  <c r="S393" i="1" s="1"/>
  <c r="T393" i="1" s="1"/>
  <c r="L366" i="1"/>
  <c r="N366" i="1"/>
  <c r="B367" i="1"/>
  <c r="C367" i="1"/>
  <c r="D367" i="1"/>
  <c r="E367" i="1"/>
  <c r="L367" i="1" s="1"/>
  <c r="F367" i="1"/>
  <c r="M367" i="1" s="1"/>
  <c r="G367" i="1"/>
  <c r="N367" i="1" s="1"/>
  <c r="H367" i="1"/>
  <c r="O367" i="1" s="1"/>
  <c r="I367" i="1"/>
  <c r="P367" i="1" s="1"/>
  <c r="J367" i="1"/>
  <c r="Q367" i="1" s="1"/>
  <c r="K367" i="1"/>
  <c r="R367" i="1" s="1"/>
  <c r="S394" i="1" s="1"/>
  <c r="T394" i="1" s="1"/>
  <c r="B368" i="1"/>
  <c r="C368" i="1"/>
  <c r="D368" i="1"/>
  <c r="E368" i="1"/>
  <c r="L368" i="1" s="1"/>
  <c r="F368" i="1"/>
  <c r="M368" i="1" s="1"/>
  <c r="G368" i="1"/>
  <c r="N368" i="1" s="1"/>
  <c r="H368" i="1"/>
  <c r="I368" i="1"/>
  <c r="P368" i="1" s="1"/>
  <c r="J368" i="1"/>
  <c r="Q368" i="1" s="1"/>
  <c r="K368" i="1"/>
  <c r="R368" i="1" s="1"/>
  <c r="S395" i="1" s="1"/>
  <c r="T395" i="1" s="1"/>
  <c r="O368" i="1"/>
  <c r="B369" i="1"/>
  <c r="C369" i="1"/>
  <c r="D369" i="1"/>
  <c r="K369" i="1" s="1"/>
  <c r="R369" i="1" s="1"/>
  <c r="S396" i="1" s="1"/>
  <c r="T396" i="1" s="1"/>
  <c r="E369" i="1"/>
  <c r="F369" i="1"/>
  <c r="G369" i="1"/>
  <c r="H369" i="1"/>
  <c r="O369" i="1" s="1"/>
  <c r="I369" i="1"/>
  <c r="P369" i="1" s="1"/>
  <c r="J369" i="1"/>
  <c r="Q369" i="1" s="1"/>
  <c r="L369" i="1"/>
  <c r="M369" i="1"/>
  <c r="N369" i="1"/>
  <c r="B370" i="1"/>
  <c r="C370" i="1"/>
  <c r="D370" i="1"/>
  <c r="E370" i="1"/>
  <c r="F370" i="1"/>
  <c r="M370" i="1" s="1"/>
  <c r="G370" i="1"/>
  <c r="H370" i="1"/>
  <c r="I370" i="1"/>
  <c r="J370" i="1"/>
  <c r="Q370" i="1" s="1"/>
  <c r="K370" i="1"/>
  <c r="R370" i="1" s="1"/>
  <c r="S397" i="1" s="1"/>
  <c r="T397" i="1" s="1"/>
  <c r="L370" i="1"/>
  <c r="N370" i="1"/>
  <c r="O370" i="1"/>
  <c r="P370" i="1"/>
  <c r="B371" i="1"/>
  <c r="C371" i="1"/>
  <c r="D371" i="1"/>
  <c r="E371" i="1"/>
  <c r="F371" i="1"/>
  <c r="G371" i="1"/>
  <c r="H371" i="1"/>
  <c r="O371" i="1" s="1"/>
  <c r="I371" i="1"/>
  <c r="J371" i="1"/>
  <c r="K371" i="1"/>
  <c r="L371" i="1"/>
  <c r="M371" i="1"/>
  <c r="N371" i="1"/>
  <c r="P371" i="1"/>
  <c r="Q371" i="1"/>
  <c r="R371" i="1"/>
  <c r="B372" i="1"/>
  <c r="C372" i="1"/>
  <c r="D372" i="1"/>
  <c r="K372" i="1" s="1"/>
  <c r="R372" i="1" s="1"/>
  <c r="S399" i="1" s="1"/>
  <c r="T399" i="1" s="1"/>
  <c r="E372" i="1"/>
  <c r="L372" i="1" s="1"/>
  <c r="F372" i="1"/>
  <c r="G372" i="1"/>
  <c r="H372" i="1"/>
  <c r="I372" i="1"/>
  <c r="J372" i="1"/>
  <c r="M372" i="1"/>
  <c r="N372" i="1"/>
  <c r="O372" i="1"/>
  <c r="P372" i="1"/>
  <c r="Q372" i="1"/>
  <c r="B373" i="1"/>
  <c r="C373" i="1"/>
  <c r="D373" i="1"/>
  <c r="K373" i="1" s="1"/>
  <c r="R373" i="1" s="1"/>
  <c r="S400" i="1" s="1"/>
  <c r="T400" i="1" s="1"/>
  <c r="E373" i="1"/>
  <c r="F373" i="1"/>
  <c r="M373" i="1" s="1"/>
  <c r="G373" i="1"/>
  <c r="N373" i="1" s="1"/>
  <c r="H373" i="1"/>
  <c r="I373" i="1"/>
  <c r="J373" i="1"/>
  <c r="L373" i="1"/>
  <c r="O373" i="1"/>
  <c r="P373" i="1"/>
  <c r="Q373" i="1"/>
  <c r="B374" i="1"/>
  <c r="C374" i="1"/>
  <c r="D374" i="1"/>
  <c r="K374" i="1" s="1"/>
  <c r="R374" i="1" s="1"/>
  <c r="S401" i="1" s="1"/>
  <c r="T401" i="1" s="1"/>
  <c r="E374" i="1"/>
  <c r="L374" i="1" s="1"/>
  <c r="F374" i="1"/>
  <c r="M374" i="1" s="1"/>
  <c r="G374" i="1"/>
  <c r="H374" i="1"/>
  <c r="I374" i="1"/>
  <c r="P374" i="1" s="1"/>
  <c r="J374" i="1"/>
  <c r="Q374" i="1" s="1"/>
  <c r="N374" i="1"/>
  <c r="O374" i="1"/>
  <c r="B375" i="1"/>
  <c r="C375" i="1"/>
  <c r="D375" i="1"/>
  <c r="K375" i="1" s="1"/>
  <c r="R375" i="1" s="1"/>
  <c r="S402" i="1" s="1"/>
  <c r="T402" i="1" s="1"/>
  <c r="E375" i="1"/>
  <c r="L375" i="1" s="1"/>
  <c r="F375" i="1"/>
  <c r="M375" i="1" s="1"/>
  <c r="G375" i="1"/>
  <c r="H375" i="1"/>
  <c r="O375" i="1" s="1"/>
  <c r="I375" i="1"/>
  <c r="P375" i="1" s="1"/>
  <c r="J375" i="1"/>
  <c r="Q375" i="1" s="1"/>
  <c r="N375" i="1"/>
  <c r="B376" i="1"/>
  <c r="C376" i="1"/>
  <c r="D376" i="1"/>
  <c r="K376" i="1" s="1"/>
  <c r="R376" i="1" s="1"/>
  <c r="S403" i="1" s="1"/>
  <c r="T403" i="1" s="1"/>
  <c r="E376" i="1"/>
  <c r="L376" i="1" s="1"/>
  <c r="F376" i="1"/>
  <c r="M376" i="1" s="1"/>
  <c r="G376" i="1"/>
  <c r="N376" i="1" s="1"/>
  <c r="H376" i="1"/>
  <c r="O376" i="1" s="1"/>
  <c r="I376" i="1"/>
  <c r="P376" i="1" s="1"/>
  <c r="J376" i="1"/>
  <c r="Q376" i="1"/>
  <c r="B377" i="1"/>
  <c r="C377" i="1"/>
  <c r="D377" i="1"/>
  <c r="K377" i="1" s="1"/>
  <c r="R377" i="1" s="1"/>
  <c r="S404" i="1" s="1"/>
  <c r="T404" i="1" s="1"/>
  <c r="E377" i="1"/>
  <c r="L377" i="1" s="1"/>
  <c r="F377" i="1"/>
  <c r="M377" i="1" s="1"/>
  <c r="G377" i="1"/>
  <c r="N377" i="1" s="1"/>
  <c r="H377" i="1"/>
  <c r="O377" i="1" s="1"/>
  <c r="I377" i="1"/>
  <c r="P377" i="1" s="1"/>
  <c r="J377" i="1"/>
  <c r="Q377" i="1"/>
  <c r="B378" i="1"/>
  <c r="C378" i="1"/>
  <c r="D378" i="1"/>
  <c r="K378" i="1" s="1"/>
  <c r="R378" i="1" s="1"/>
  <c r="S405" i="1" s="1"/>
  <c r="T405" i="1" s="1"/>
  <c r="E378" i="1"/>
  <c r="L378" i="1" s="1"/>
  <c r="F378" i="1"/>
  <c r="M378" i="1" s="1"/>
  <c r="G378" i="1"/>
  <c r="N378" i="1" s="1"/>
  <c r="H378" i="1"/>
  <c r="I378" i="1"/>
  <c r="J378" i="1"/>
  <c r="O378" i="1"/>
  <c r="P378" i="1"/>
  <c r="Q378" i="1"/>
  <c r="B379" i="1"/>
  <c r="C379" i="1"/>
  <c r="D379" i="1"/>
  <c r="K379" i="1" s="1"/>
  <c r="R379" i="1" s="1"/>
  <c r="S406" i="1" s="1"/>
  <c r="T406" i="1" s="1"/>
  <c r="E379" i="1"/>
  <c r="L379" i="1" s="1"/>
  <c r="F379" i="1"/>
  <c r="M379" i="1" s="1"/>
  <c r="G379" i="1"/>
  <c r="N379" i="1" s="1"/>
  <c r="H379" i="1"/>
  <c r="O379" i="1" s="1"/>
  <c r="I379" i="1"/>
  <c r="P379" i="1" s="1"/>
  <c r="J379" i="1"/>
  <c r="Q379" i="1" s="1"/>
  <c r="B380" i="1"/>
  <c r="C380" i="1"/>
  <c r="D380" i="1"/>
  <c r="K380" i="1" s="1"/>
  <c r="R380" i="1" s="1"/>
  <c r="S407" i="1" s="1"/>
  <c r="T407" i="1" s="1"/>
  <c r="E380" i="1"/>
  <c r="L380" i="1" s="1"/>
  <c r="F380" i="1"/>
  <c r="M380" i="1" s="1"/>
  <c r="G380" i="1"/>
  <c r="N380" i="1" s="1"/>
  <c r="H380" i="1"/>
  <c r="O380" i="1" s="1"/>
  <c r="I380" i="1"/>
  <c r="P380" i="1" s="1"/>
  <c r="J380" i="1"/>
  <c r="Q380" i="1" s="1"/>
  <c r="B381" i="1"/>
  <c r="C381" i="1"/>
  <c r="D381" i="1"/>
  <c r="K381" i="1" s="1"/>
  <c r="R381" i="1" s="1"/>
  <c r="S408" i="1" s="1"/>
  <c r="T408" i="1" s="1"/>
  <c r="E381" i="1"/>
  <c r="L381" i="1" s="1"/>
  <c r="F381" i="1"/>
  <c r="M381" i="1" s="1"/>
  <c r="G381" i="1"/>
  <c r="N381" i="1" s="1"/>
  <c r="H381" i="1"/>
  <c r="O381" i="1" s="1"/>
  <c r="I381" i="1"/>
  <c r="P381" i="1" s="1"/>
  <c r="J381" i="1"/>
  <c r="Q381" i="1" s="1"/>
  <c r="B382" i="1"/>
  <c r="C382" i="1"/>
  <c r="D382" i="1"/>
  <c r="E382" i="1"/>
  <c r="F382" i="1"/>
  <c r="M382" i="1" s="1"/>
  <c r="G382" i="1"/>
  <c r="N382" i="1" s="1"/>
  <c r="H382" i="1"/>
  <c r="O382" i="1" s="1"/>
  <c r="I382" i="1"/>
  <c r="P382" i="1" s="1"/>
  <c r="J382" i="1"/>
  <c r="Q382" i="1" s="1"/>
  <c r="K382" i="1"/>
  <c r="R382" i="1" s="1"/>
  <c r="S409" i="1" s="1"/>
  <c r="T409" i="1" s="1"/>
  <c r="L382" i="1"/>
  <c r="B383" i="1"/>
  <c r="C383" i="1"/>
  <c r="D383" i="1"/>
  <c r="E383" i="1"/>
  <c r="F383" i="1"/>
  <c r="G383" i="1"/>
  <c r="H383" i="1"/>
  <c r="I383" i="1"/>
  <c r="P383" i="1" s="1"/>
  <c r="J383" i="1"/>
  <c r="Q383" i="1" s="1"/>
  <c r="K383" i="1"/>
  <c r="R383" i="1" s="1"/>
  <c r="S410" i="1" s="1"/>
  <c r="T410" i="1" s="1"/>
  <c r="L383" i="1"/>
  <c r="M383" i="1"/>
  <c r="N383" i="1"/>
  <c r="O383" i="1"/>
  <c r="S383" i="1"/>
  <c r="T383" i="1" s="1"/>
  <c r="B384" i="1"/>
  <c r="C384" i="1"/>
  <c r="D384" i="1"/>
  <c r="K384" i="1" s="1"/>
  <c r="R384" i="1" s="1"/>
  <c r="S411" i="1" s="1"/>
  <c r="T411" i="1" s="1"/>
  <c r="E384" i="1"/>
  <c r="F384" i="1"/>
  <c r="M384" i="1" s="1"/>
  <c r="G384" i="1"/>
  <c r="N384" i="1" s="1"/>
  <c r="H384" i="1"/>
  <c r="I384" i="1"/>
  <c r="J384" i="1"/>
  <c r="L384" i="1"/>
  <c r="O384" i="1"/>
  <c r="P384" i="1"/>
  <c r="Q384" i="1"/>
  <c r="B385" i="1"/>
  <c r="C385" i="1"/>
  <c r="D385" i="1"/>
  <c r="K385" i="1" s="1"/>
  <c r="R385" i="1" s="1"/>
  <c r="S412" i="1" s="1"/>
  <c r="T412" i="1" s="1"/>
  <c r="E385" i="1"/>
  <c r="L385" i="1" s="1"/>
  <c r="F385" i="1"/>
  <c r="M385" i="1" s="1"/>
  <c r="G385" i="1"/>
  <c r="H385" i="1"/>
  <c r="O385" i="1" s="1"/>
  <c r="I385" i="1"/>
  <c r="P385" i="1" s="1"/>
  <c r="J385" i="1"/>
  <c r="N385" i="1"/>
  <c r="Q385" i="1"/>
  <c r="S385" i="1"/>
  <c r="T385" i="1" s="1"/>
  <c r="B386" i="1"/>
  <c r="C386" i="1"/>
  <c r="D386" i="1"/>
  <c r="K386" i="1" s="1"/>
  <c r="R386" i="1" s="1"/>
  <c r="S413" i="1" s="1"/>
  <c r="T413" i="1" s="1"/>
  <c r="E386" i="1"/>
  <c r="L386" i="1" s="1"/>
  <c r="F386" i="1"/>
  <c r="M386" i="1" s="1"/>
  <c r="G386" i="1"/>
  <c r="N386" i="1" s="1"/>
  <c r="H386" i="1"/>
  <c r="O386" i="1" s="1"/>
  <c r="I386" i="1"/>
  <c r="P386" i="1" s="1"/>
  <c r="J386" i="1"/>
  <c r="Q386" i="1" s="1"/>
  <c r="B387" i="1"/>
  <c r="C387" i="1"/>
  <c r="D387" i="1"/>
  <c r="K387" i="1" s="1"/>
  <c r="R387" i="1" s="1"/>
  <c r="S414" i="1" s="1"/>
  <c r="T414" i="1" s="1"/>
  <c r="E387" i="1"/>
  <c r="L387" i="1" s="1"/>
  <c r="F387" i="1"/>
  <c r="M387" i="1" s="1"/>
  <c r="G387" i="1"/>
  <c r="N387" i="1" s="1"/>
  <c r="H387" i="1"/>
  <c r="O387" i="1" s="1"/>
  <c r="I387" i="1"/>
  <c r="J387" i="1"/>
  <c r="Q387" i="1" s="1"/>
  <c r="P387" i="1"/>
  <c r="B388" i="1"/>
  <c r="C388" i="1"/>
  <c r="D388" i="1"/>
  <c r="K388" i="1" s="1"/>
  <c r="R388" i="1" s="1"/>
  <c r="S415" i="1" s="1"/>
  <c r="T415" i="1" s="1"/>
  <c r="E388" i="1"/>
  <c r="L388" i="1" s="1"/>
  <c r="F388" i="1"/>
  <c r="M388" i="1" s="1"/>
  <c r="G388" i="1"/>
  <c r="N388" i="1" s="1"/>
  <c r="H388" i="1"/>
  <c r="O388" i="1" s="1"/>
  <c r="I388" i="1"/>
  <c r="P388" i="1" s="1"/>
  <c r="J388" i="1"/>
  <c r="Q388" i="1"/>
  <c r="B389" i="1"/>
  <c r="C389" i="1"/>
  <c r="D389" i="1"/>
  <c r="E389" i="1"/>
  <c r="L389" i="1" s="1"/>
  <c r="F389" i="1"/>
  <c r="M389" i="1" s="1"/>
  <c r="G389" i="1"/>
  <c r="N389" i="1" s="1"/>
  <c r="H389" i="1"/>
  <c r="O389" i="1" s="1"/>
  <c r="I389" i="1"/>
  <c r="P389" i="1" s="1"/>
  <c r="J389" i="1"/>
  <c r="K389" i="1"/>
  <c r="R389" i="1" s="1"/>
  <c r="S416" i="1" s="1"/>
  <c r="T416" i="1" s="1"/>
  <c r="Q389" i="1"/>
  <c r="B390" i="1"/>
  <c r="C390" i="1"/>
  <c r="D390" i="1"/>
  <c r="K390" i="1" s="1"/>
  <c r="R390" i="1" s="1"/>
  <c r="S417" i="1" s="1"/>
  <c r="T417" i="1" s="1"/>
  <c r="E390" i="1"/>
  <c r="F390" i="1"/>
  <c r="M390" i="1" s="1"/>
  <c r="G390" i="1"/>
  <c r="N390" i="1" s="1"/>
  <c r="H390" i="1"/>
  <c r="O390" i="1" s="1"/>
  <c r="I390" i="1"/>
  <c r="P390" i="1" s="1"/>
  <c r="J390" i="1"/>
  <c r="Q390" i="1" s="1"/>
  <c r="L390" i="1"/>
  <c r="B391" i="1"/>
  <c r="C391" i="1"/>
  <c r="D391" i="1"/>
  <c r="K391" i="1" s="1"/>
  <c r="R391" i="1" s="1"/>
  <c r="S418" i="1" s="1"/>
  <c r="T418" i="1" s="1"/>
  <c r="E391" i="1"/>
  <c r="L391" i="1" s="1"/>
  <c r="F391" i="1"/>
  <c r="G391" i="1"/>
  <c r="N391" i="1" s="1"/>
  <c r="H391" i="1"/>
  <c r="O391" i="1" s="1"/>
  <c r="I391" i="1"/>
  <c r="P391" i="1" s="1"/>
  <c r="J391" i="1"/>
  <c r="Q391" i="1" s="1"/>
  <c r="M391" i="1"/>
  <c r="B392" i="1"/>
  <c r="C392" i="1"/>
  <c r="D392" i="1"/>
  <c r="K392" i="1" s="1"/>
  <c r="R392" i="1" s="1"/>
  <c r="S419" i="1" s="1"/>
  <c r="T419" i="1" s="1"/>
  <c r="E392" i="1"/>
  <c r="F392" i="1"/>
  <c r="M392" i="1" s="1"/>
  <c r="G392" i="1"/>
  <c r="H392" i="1"/>
  <c r="O392" i="1" s="1"/>
  <c r="I392" i="1"/>
  <c r="P392" i="1" s="1"/>
  <c r="J392" i="1"/>
  <c r="Q392" i="1" s="1"/>
  <c r="L392" i="1"/>
  <c r="N392" i="1"/>
  <c r="B393" i="1"/>
  <c r="C393" i="1"/>
  <c r="D393" i="1"/>
  <c r="E393" i="1"/>
  <c r="L393" i="1" s="1"/>
  <c r="F393" i="1"/>
  <c r="M393" i="1" s="1"/>
  <c r="G393" i="1"/>
  <c r="N393" i="1" s="1"/>
  <c r="H393" i="1"/>
  <c r="I393" i="1"/>
  <c r="P393" i="1" s="1"/>
  <c r="J393" i="1"/>
  <c r="Q393" i="1" s="1"/>
  <c r="K393" i="1"/>
  <c r="R393" i="1" s="1"/>
  <c r="S420" i="1" s="1"/>
  <c r="T420" i="1" s="1"/>
  <c r="O393" i="1"/>
  <c r="B394" i="1"/>
  <c r="C394" i="1"/>
  <c r="D394" i="1"/>
  <c r="E394" i="1"/>
  <c r="L394" i="1" s="1"/>
  <c r="F394" i="1"/>
  <c r="M394" i="1" s="1"/>
  <c r="G394" i="1"/>
  <c r="H394" i="1"/>
  <c r="O394" i="1" s="1"/>
  <c r="I394" i="1"/>
  <c r="J394" i="1"/>
  <c r="Q394" i="1" s="1"/>
  <c r="K394" i="1"/>
  <c r="R394" i="1" s="1"/>
  <c r="S421" i="1" s="1"/>
  <c r="T421" i="1" s="1"/>
  <c r="N394" i="1"/>
  <c r="P394" i="1"/>
  <c r="B395" i="1"/>
  <c r="C395" i="1"/>
  <c r="D395" i="1"/>
  <c r="E395" i="1"/>
  <c r="L395" i="1" s="1"/>
  <c r="F395" i="1"/>
  <c r="M395" i="1" s="1"/>
  <c r="G395" i="1"/>
  <c r="N395" i="1" s="1"/>
  <c r="H395" i="1"/>
  <c r="I395" i="1"/>
  <c r="P395" i="1" s="1"/>
  <c r="J395" i="1"/>
  <c r="K395" i="1"/>
  <c r="R395" i="1" s="1"/>
  <c r="O395" i="1"/>
  <c r="Q395" i="1"/>
  <c r="B396" i="1"/>
  <c r="C396" i="1"/>
  <c r="D396" i="1"/>
  <c r="K396" i="1" s="1"/>
  <c r="R396" i="1" s="1"/>
  <c r="S423" i="1" s="1"/>
  <c r="T423" i="1" s="1"/>
  <c r="E396" i="1"/>
  <c r="F396" i="1"/>
  <c r="G396" i="1"/>
  <c r="N396" i="1" s="1"/>
  <c r="H396" i="1"/>
  <c r="O396" i="1" s="1"/>
  <c r="I396" i="1"/>
  <c r="P396" i="1" s="1"/>
  <c r="J396" i="1"/>
  <c r="L396" i="1"/>
  <c r="M396" i="1"/>
  <c r="Q396" i="1"/>
  <c r="B397" i="1"/>
  <c r="C397" i="1"/>
  <c r="D397" i="1"/>
  <c r="K397" i="1" s="1"/>
  <c r="R397" i="1" s="1"/>
  <c r="S424" i="1" s="1"/>
  <c r="T424" i="1" s="1"/>
  <c r="E397" i="1"/>
  <c r="F397" i="1"/>
  <c r="G397" i="1"/>
  <c r="H397" i="1"/>
  <c r="O397" i="1" s="1"/>
  <c r="I397" i="1"/>
  <c r="P397" i="1" s="1"/>
  <c r="J397" i="1"/>
  <c r="Q397" i="1" s="1"/>
  <c r="L397" i="1"/>
  <c r="M397" i="1"/>
  <c r="N397" i="1"/>
  <c r="B398" i="1"/>
  <c r="C398" i="1"/>
  <c r="D398" i="1"/>
  <c r="E398" i="1"/>
  <c r="F398" i="1"/>
  <c r="G398" i="1"/>
  <c r="H398" i="1"/>
  <c r="O398" i="1" s="1"/>
  <c r="I398" i="1"/>
  <c r="J398" i="1"/>
  <c r="K398" i="1"/>
  <c r="R398" i="1" s="1"/>
  <c r="S425" i="1" s="1"/>
  <c r="T425" i="1" s="1"/>
  <c r="L398" i="1"/>
  <c r="M398" i="1"/>
  <c r="N398" i="1"/>
  <c r="P398" i="1"/>
  <c r="Q398" i="1"/>
  <c r="S398" i="1"/>
  <c r="T398" i="1" s="1"/>
  <c r="B399" i="1"/>
  <c r="C399" i="1"/>
  <c r="D399" i="1"/>
  <c r="K399" i="1" s="1"/>
  <c r="R399" i="1" s="1"/>
  <c r="S426" i="1" s="1"/>
  <c r="T426" i="1" s="1"/>
  <c r="E399" i="1"/>
  <c r="L399" i="1" s="1"/>
  <c r="F399" i="1"/>
  <c r="G399" i="1"/>
  <c r="H399" i="1"/>
  <c r="I399" i="1"/>
  <c r="J399" i="1"/>
  <c r="M399" i="1"/>
  <c r="N399" i="1"/>
  <c r="O399" i="1"/>
  <c r="P399" i="1"/>
  <c r="Q399" i="1"/>
  <c r="B400" i="1"/>
  <c r="C400" i="1"/>
  <c r="D400" i="1"/>
  <c r="K400" i="1" s="1"/>
  <c r="R400" i="1" s="1"/>
  <c r="S427" i="1" s="1"/>
  <c r="T427" i="1" s="1"/>
  <c r="E400" i="1"/>
  <c r="F400" i="1"/>
  <c r="M400" i="1" s="1"/>
  <c r="G400" i="1"/>
  <c r="N400" i="1" s="1"/>
  <c r="H400" i="1"/>
  <c r="I400" i="1"/>
  <c r="J400" i="1"/>
  <c r="L400" i="1"/>
  <c r="O400" i="1"/>
  <c r="P400" i="1"/>
  <c r="Q400" i="1"/>
  <c r="B401" i="1"/>
  <c r="C401" i="1"/>
  <c r="D401" i="1"/>
  <c r="K401" i="1" s="1"/>
  <c r="R401" i="1" s="1"/>
  <c r="S428" i="1" s="1"/>
  <c r="T428" i="1" s="1"/>
  <c r="E401" i="1"/>
  <c r="L401" i="1" s="1"/>
  <c r="F401" i="1"/>
  <c r="M401" i="1" s="1"/>
  <c r="G401" i="1"/>
  <c r="N401" i="1" s="1"/>
  <c r="H401" i="1"/>
  <c r="I401" i="1"/>
  <c r="P401" i="1" s="1"/>
  <c r="J401" i="1"/>
  <c r="Q401" i="1" s="1"/>
  <c r="O401" i="1"/>
  <c r="B402" i="1"/>
  <c r="C402" i="1"/>
  <c r="D402" i="1"/>
  <c r="K402" i="1" s="1"/>
  <c r="R402" i="1" s="1"/>
  <c r="S429" i="1" s="1"/>
  <c r="T429" i="1" s="1"/>
  <c r="E402" i="1"/>
  <c r="F402" i="1"/>
  <c r="M402" i="1" s="1"/>
  <c r="G402" i="1"/>
  <c r="N402" i="1" s="1"/>
  <c r="H402" i="1"/>
  <c r="O402" i="1" s="1"/>
  <c r="I402" i="1"/>
  <c r="P402" i="1" s="1"/>
  <c r="J402" i="1"/>
  <c r="L402" i="1"/>
  <c r="Q402" i="1"/>
  <c r="B403" i="1"/>
  <c r="C403" i="1"/>
  <c r="D403" i="1"/>
  <c r="K403" i="1" s="1"/>
  <c r="R403" i="1" s="1"/>
  <c r="S430" i="1" s="1"/>
  <c r="T430" i="1" s="1"/>
  <c r="E403" i="1"/>
  <c r="F403" i="1"/>
  <c r="M403" i="1" s="1"/>
  <c r="G403" i="1"/>
  <c r="N403" i="1" s="1"/>
  <c r="H403" i="1"/>
  <c r="I403" i="1"/>
  <c r="J403" i="1"/>
  <c r="Q403" i="1" s="1"/>
  <c r="L403" i="1"/>
  <c r="O403" i="1"/>
  <c r="P403" i="1"/>
  <c r="B404" i="1"/>
  <c r="C404" i="1"/>
  <c r="D404" i="1"/>
  <c r="E404" i="1"/>
  <c r="L404" i="1" s="1"/>
  <c r="F404" i="1"/>
  <c r="G404" i="1"/>
  <c r="N404" i="1" s="1"/>
  <c r="H404" i="1"/>
  <c r="I404" i="1"/>
  <c r="J404" i="1"/>
  <c r="K404" i="1"/>
  <c r="R404" i="1" s="1"/>
  <c r="S431" i="1" s="1"/>
  <c r="T431" i="1" s="1"/>
  <c r="M404" i="1"/>
  <c r="O404" i="1"/>
  <c r="P404" i="1"/>
  <c r="Q404" i="1"/>
  <c r="B405" i="1"/>
  <c r="C405" i="1"/>
  <c r="D405" i="1"/>
  <c r="K405" i="1" s="1"/>
  <c r="R405" i="1" s="1"/>
  <c r="S432" i="1" s="1"/>
  <c r="T432" i="1" s="1"/>
  <c r="E405" i="1"/>
  <c r="F405" i="1"/>
  <c r="M405" i="1" s="1"/>
  <c r="G405" i="1"/>
  <c r="H405" i="1"/>
  <c r="I405" i="1"/>
  <c r="J405" i="1"/>
  <c r="L405" i="1"/>
  <c r="N405" i="1"/>
  <c r="O405" i="1"/>
  <c r="P405" i="1"/>
  <c r="Q405" i="1"/>
  <c r="B406" i="1"/>
  <c r="C406" i="1"/>
  <c r="D406" i="1"/>
  <c r="K406" i="1" s="1"/>
  <c r="R406" i="1" s="1"/>
  <c r="S433" i="1" s="1"/>
  <c r="T433" i="1" s="1"/>
  <c r="E406" i="1"/>
  <c r="L406" i="1" s="1"/>
  <c r="F406" i="1"/>
  <c r="M406" i="1" s="1"/>
  <c r="G406" i="1"/>
  <c r="N406" i="1" s="1"/>
  <c r="H406" i="1"/>
  <c r="I406" i="1"/>
  <c r="P406" i="1" s="1"/>
  <c r="J406" i="1"/>
  <c r="Q406" i="1" s="1"/>
  <c r="O406" i="1"/>
  <c r="B407" i="1"/>
  <c r="C407" i="1"/>
  <c r="D407" i="1"/>
  <c r="K407" i="1" s="1"/>
  <c r="R407" i="1" s="1"/>
  <c r="S434" i="1" s="1"/>
  <c r="T434" i="1" s="1"/>
  <c r="E407" i="1"/>
  <c r="L407" i="1" s="1"/>
  <c r="F407" i="1"/>
  <c r="M407" i="1" s="1"/>
  <c r="G407" i="1"/>
  <c r="H407" i="1"/>
  <c r="O407" i="1" s="1"/>
  <c r="I407" i="1"/>
  <c r="J407" i="1"/>
  <c r="N407" i="1"/>
  <c r="P407" i="1"/>
  <c r="Q407" i="1"/>
  <c r="B408" i="1"/>
  <c r="C408" i="1"/>
  <c r="D408" i="1"/>
  <c r="K408" i="1" s="1"/>
  <c r="R408" i="1" s="1"/>
  <c r="S435" i="1" s="1"/>
  <c r="T435" i="1" s="1"/>
  <c r="E408" i="1"/>
  <c r="L408" i="1" s="1"/>
  <c r="F408" i="1"/>
  <c r="M408" i="1" s="1"/>
  <c r="G408" i="1"/>
  <c r="N408" i="1" s="1"/>
  <c r="H408" i="1"/>
  <c r="I408" i="1"/>
  <c r="P408" i="1" s="1"/>
  <c r="J408" i="1"/>
  <c r="O408" i="1"/>
  <c r="Q408" i="1"/>
  <c r="B409" i="1"/>
  <c r="C409" i="1"/>
  <c r="D409" i="1"/>
  <c r="K409" i="1" s="1"/>
  <c r="R409" i="1" s="1"/>
  <c r="S436" i="1" s="1"/>
  <c r="T436" i="1" s="1"/>
  <c r="E409" i="1"/>
  <c r="L409" i="1" s="1"/>
  <c r="F409" i="1"/>
  <c r="M409" i="1" s="1"/>
  <c r="G409" i="1"/>
  <c r="N409" i="1" s="1"/>
  <c r="H409" i="1"/>
  <c r="O409" i="1" s="1"/>
  <c r="I409" i="1"/>
  <c r="P409" i="1" s="1"/>
  <c r="J409" i="1"/>
  <c r="Q409" i="1" s="1"/>
  <c r="B410" i="1"/>
  <c r="C410" i="1"/>
  <c r="D410" i="1"/>
  <c r="K410" i="1" s="1"/>
  <c r="R410" i="1" s="1"/>
  <c r="S437" i="1" s="1"/>
  <c r="T437" i="1" s="1"/>
  <c r="E410" i="1"/>
  <c r="L410" i="1" s="1"/>
  <c r="F410" i="1"/>
  <c r="M410" i="1" s="1"/>
  <c r="G410" i="1"/>
  <c r="N410" i="1" s="1"/>
  <c r="H410" i="1"/>
  <c r="O410" i="1" s="1"/>
  <c r="I410" i="1"/>
  <c r="P410" i="1" s="1"/>
  <c r="J410" i="1"/>
  <c r="Q410" i="1"/>
  <c r="B411" i="1"/>
  <c r="C411" i="1"/>
  <c r="D411" i="1"/>
  <c r="K411" i="1" s="1"/>
  <c r="R411" i="1" s="1"/>
  <c r="S438" i="1" s="1"/>
  <c r="T438" i="1" s="1"/>
  <c r="E411" i="1"/>
  <c r="L411" i="1" s="1"/>
  <c r="F411" i="1"/>
  <c r="M411" i="1" s="1"/>
  <c r="G411" i="1"/>
  <c r="N411" i="1" s="1"/>
  <c r="H411" i="1"/>
  <c r="O411" i="1" s="1"/>
  <c r="I411" i="1"/>
  <c r="P411" i="1" s="1"/>
  <c r="J411" i="1"/>
  <c r="Q411" i="1" s="1"/>
  <c r="B412" i="1"/>
  <c r="C412" i="1"/>
  <c r="D412" i="1"/>
  <c r="E412" i="1"/>
  <c r="L412" i="1" s="1"/>
  <c r="F412" i="1"/>
  <c r="G412" i="1"/>
  <c r="N412" i="1" s="1"/>
  <c r="H412" i="1"/>
  <c r="O412" i="1" s="1"/>
  <c r="I412" i="1"/>
  <c r="P412" i="1" s="1"/>
  <c r="J412" i="1"/>
  <c r="Q412" i="1" s="1"/>
  <c r="K412" i="1"/>
  <c r="R412" i="1" s="1"/>
  <c r="S439" i="1" s="1"/>
  <c r="T439" i="1" s="1"/>
  <c r="M412" i="1"/>
  <c r="B413" i="1"/>
  <c r="C413" i="1"/>
  <c r="D413" i="1"/>
  <c r="K413" i="1" s="1"/>
  <c r="R413" i="1" s="1"/>
  <c r="S440" i="1" s="1"/>
  <c r="T440" i="1" s="1"/>
  <c r="E413" i="1"/>
  <c r="F413" i="1"/>
  <c r="M413" i="1" s="1"/>
  <c r="G413" i="1"/>
  <c r="N413" i="1" s="1"/>
  <c r="H413" i="1"/>
  <c r="O413" i="1" s="1"/>
  <c r="I413" i="1"/>
  <c r="P413" i="1" s="1"/>
  <c r="J413" i="1"/>
  <c r="Q413" i="1" s="1"/>
  <c r="L413" i="1"/>
  <c r="B414" i="1"/>
  <c r="C414" i="1"/>
  <c r="D414" i="1"/>
  <c r="E414" i="1"/>
  <c r="F414" i="1"/>
  <c r="M414" i="1" s="1"/>
  <c r="G414" i="1"/>
  <c r="N414" i="1" s="1"/>
  <c r="H414" i="1"/>
  <c r="I414" i="1"/>
  <c r="P414" i="1" s="1"/>
  <c r="J414" i="1"/>
  <c r="Q414" i="1" s="1"/>
  <c r="K414" i="1"/>
  <c r="R414" i="1" s="1"/>
  <c r="S441" i="1" s="1"/>
  <c r="T441" i="1" s="1"/>
  <c r="L414" i="1"/>
  <c r="O414" i="1"/>
  <c r="B415" i="1"/>
  <c r="C415" i="1"/>
  <c r="D415" i="1"/>
  <c r="K415" i="1" s="1"/>
  <c r="R415" i="1" s="1"/>
  <c r="S442" i="1" s="1"/>
  <c r="T442" i="1" s="1"/>
  <c r="E415" i="1"/>
  <c r="F415" i="1"/>
  <c r="M415" i="1" s="1"/>
  <c r="G415" i="1"/>
  <c r="N415" i="1" s="1"/>
  <c r="H415" i="1"/>
  <c r="O415" i="1" s="1"/>
  <c r="I415" i="1"/>
  <c r="J415" i="1"/>
  <c r="Q415" i="1" s="1"/>
  <c r="L415" i="1"/>
  <c r="P415" i="1"/>
  <c r="B416" i="1"/>
  <c r="C416" i="1"/>
  <c r="D416" i="1"/>
  <c r="K416" i="1" s="1"/>
  <c r="R416" i="1" s="1"/>
  <c r="S443" i="1" s="1"/>
  <c r="T443" i="1" s="1"/>
  <c r="E416" i="1"/>
  <c r="L416" i="1" s="1"/>
  <c r="F416" i="1"/>
  <c r="G416" i="1"/>
  <c r="N416" i="1" s="1"/>
  <c r="H416" i="1"/>
  <c r="O416" i="1" s="1"/>
  <c r="I416" i="1"/>
  <c r="P416" i="1" s="1"/>
  <c r="J416" i="1"/>
  <c r="Q416" i="1" s="1"/>
  <c r="M416" i="1"/>
  <c r="B417" i="1"/>
  <c r="C417" i="1"/>
  <c r="D417" i="1"/>
  <c r="K417" i="1" s="1"/>
  <c r="R417" i="1" s="1"/>
  <c r="S444" i="1" s="1"/>
  <c r="T444" i="1" s="1"/>
  <c r="E417" i="1"/>
  <c r="F417" i="1"/>
  <c r="G417" i="1"/>
  <c r="H417" i="1"/>
  <c r="O417" i="1" s="1"/>
  <c r="I417" i="1"/>
  <c r="P417" i="1" s="1"/>
  <c r="J417" i="1"/>
  <c r="Q417" i="1" s="1"/>
  <c r="L417" i="1"/>
  <c r="M417" i="1"/>
  <c r="N417" i="1"/>
  <c r="B418" i="1"/>
  <c r="C418" i="1"/>
  <c r="D418" i="1"/>
  <c r="E418" i="1"/>
  <c r="F418" i="1"/>
  <c r="G418" i="1"/>
  <c r="H418" i="1"/>
  <c r="O418" i="1" s="1"/>
  <c r="I418" i="1"/>
  <c r="J418" i="1"/>
  <c r="K418" i="1"/>
  <c r="R418" i="1" s="1"/>
  <c r="S445" i="1" s="1"/>
  <c r="T445" i="1" s="1"/>
  <c r="L418" i="1"/>
  <c r="M418" i="1"/>
  <c r="N418" i="1"/>
  <c r="P418" i="1"/>
  <c r="Q418" i="1"/>
  <c r="B419" i="1"/>
  <c r="C419" i="1"/>
  <c r="D419" i="1"/>
  <c r="E419" i="1"/>
  <c r="L419" i="1" s="1"/>
  <c r="F419" i="1"/>
  <c r="M419" i="1" s="1"/>
  <c r="G419" i="1"/>
  <c r="H419" i="1"/>
  <c r="I419" i="1"/>
  <c r="J419" i="1"/>
  <c r="K419" i="1"/>
  <c r="N419" i="1"/>
  <c r="O419" i="1"/>
  <c r="P419" i="1"/>
  <c r="Q419" i="1"/>
  <c r="R419" i="1"/>
  <c r="S446" i="1" s="1"/>
  <c r="T446" i="1" s="1"/>
  <c r="B420" i="1"/>
  <c r="C420" i="1"/>
  <c r="D420" i="1"/>
  <c r="K420" i="1" s="1"/>
  <c r="R420" i="1" s="1"/>
  <c r="S447" i="1" s="1"/>
  <c r="T447" i="1" s="1"/>
  <c r="E420" i="1"/>
  <c r="L420" i="1" s="1"/>
  <c r="F420" i="1"/>
  <c r="M420" i="1" s="1"/>
  <c r="G420" i="1"/>
  <c r="H420" i="1"/>
  <c r="O420" i="1" s="1"/>
  <c r="I420" i="1"/>
  <c r="P420" i="1" s="1"/>
  <c r="J420" i="1"/>
  <c r="N420" i="1"/>
  <c r="Q420" i="1"/>
  <c r="B421" i="1"/>
  <c r="C421" i="1"/>
  <c r="D421" i="1"/>
  <c r="K421" i="1" s="1"/>
  <c r="R421" i="1" s="1"/>
  <c r="S448" i="1" s="1"/>
  <c r="T448" i="1" s="1"/>
  <c r="E421" i="1"/>
  <c r="F421" i="1"/>
  <c r="M421" i="1" s="1"/>
  <c r="G421" i="1"/>
  <c r="N421" i="1" s="1"/>
  <c r="H421" i="1"/>
  <c r="O421" i="1" s="1"/>
  <c r="I421" i="1"/>
  <c r="P421" i="1" s="1"/>
  <c r="J421" i="1"/>
  <c r="L421" i="1"/>
  <c r="Q421" i="1"/>
  <c r="B422" i="1"/>
  <c r="C422" i="1"/>
  <c r="D422" i="1"/>
  <c r="K422" i="1" s="1"/>
  <c r="R422" i="1" s="1"/>
  <c r="S449" i="1" s="1"/>
  <c r="T449" i="1" s="1"/>
  <c r="E422" i="1"/>
  <c r="L422" i="1" s="1"/>
  <c r="F422" i="1"/>
  <c r="G422" i="1"/>
  <c r="N422" i="1" s="1"/>
  <c r="H422" i="1"/>
  <c r="O422" i="1" s="1"/>
  <c r="I422" i="1"/>
  <c r="P422" i="1" s="1"/>
  <c r="J422" i="1"/>
  <c r="Q422" i="1" s="1"/>
  <c r="M422" i="1"/>
  <c r="S422" i="1"/>
  <c r="T422" i="1"/>
  <c r="B423" i="1"/>
  <c r="C423" i="1"/>
  <c r="D423" i="1"/>
  <c r="K423" i="1" s="1"/>
  <c r="R423" i="1" s="1"/>
  <c r="S450" i="1" s="1"/>
  <c r="T450" i="1" s="1"/>
  <c r="E423" i="1"/>
  <c r="L423" i="1" s="1"/>
  <c r="F423" i="1"/>
  <c r="M423" i="1" s="1"/>
  <c r="G423" i="1"/>
  <c r="H423" i="1"/>
  <c r="I423" i="1"/>
  <c r="P423" i="1" s="1"/>
  <c r="J423" i="1"/>
  <c r="Q423" i="1" s="1"/>
  <c r="N423" i="1"/>
  <c r="O423" i="1"/>
  <c r="B424" i="1"/>
  <c r="C424" i="1"/>
  <c r="D424" i="1"/>
  <c r="K424" i="1" s="1"/>
  <c r="R424" i="1" s="1"/>
  <c r="S451" i="1" s="1"/>
  <c r="T451" i="1" s="1"/>
  <c r="E424" i="1"/>
  <c r="L424" i="1" s="1"/>
  <c r="F424" i="1"/>
  <c r="G424" i="1"/>
  <c r="H424" i="1"/>
  <c r="I424" i="1"/>
  <c r="P424" i="1" s="1"/>
  <c r="J424" i="1"/>
  <c r="Q424" i="1" s="1"/>
  <c r="M424" i="1"/>
  <c r="N424" i="1"/>
  <c r="O424" i="1"/>
  <c r="B425" i="1"/>
  <c r="C425" i="1"/>
  <c r="D425" i="1"/>
  <c r="K425" i="1" s="1"/>
  <c r="R425" i="1" s="1"/>
  <c r="S452" i="1" s="1"/>
  <c r="T452" i="1" s="1"/>
  <c r="E425" i="1"/>
  <c r="F425" i="1"/>
  <c r="M425" i="1" s="1"/>
  <c r="G425" i="1"/>
  <c r="H425" i="1"/>
  <c r="I425" i="1"/>
  <c r="J425" i="1"/>
  <c r="Q425" i="1" s="1"/>
  <c r="L425" i="1"/>
  <c r="N425" i="1"/>
  <c r="O425" i="1"/>
  <c r="P425" i="1"/>
  <c r="B426" i="1"/>
  <c r="C426" i="1"/>
  <c r="D426" i="1"/>
  <c r="K426" i="1" s="1"/>
  <c r="R426" i="1" s="1"/>
  <c r="S453" i="1" s="1"/>
  <c r="T453" i="1" s="1"/>
  <c r="E426" i="1"/>
  <c r="L426" i="1" s="1"/>
  <c r="F426" i="1"/>
  <c r="G426" i="1"/>
  <c r="N426" i="1" s="1"/>
  <c r="H426" i="1"/>
  <c r="O426" i="1" s="1"/>
  <c r="I426" i="1"/>
  <c r="J426" i="1"/>
  <c r="Q426" i="1" s="1"/>
  <c r="M426" i="1"/>
  <c r="P426" i="1"/>
  <c r="B427" i="1"/>
  <c r="C427" i="1"/>
  <c r="D427" i="1"/>
  <c r="K427" i="1" s="1"/>
  <c r="R427" i="1" s="1"/>
  <c r="S454" i="1" s="1"/>
  <c r="T454" i="1" s="1"/>
  <c r="E427" i="1"/>
  <c r="L427" i="1" s="1"/>
  <c r="F427" i="1"/>
  <c r="M427" i="1" s="1"/>
  <c r="G427" i="1"/>
  <c r="H427" i="1"/>
  <c r="O427" i="1" s="1"/>
  <c r="I427" i="1"/>
  <c r="P427" i="1" s="1"/>
  <c r="J427" i="1"/>
  <c r="Q427" i="1" s="1"/>
  <c r="N427" i="1"/>
  <c r="B428" i="1"/>
  <c r="C428" i="1"/>
  <c r="D428" i="1"/>
  <c r="K428" i="1" s="1"/>
  <c r="R428" i="1" s="1"/>
  <c r="S455" i="1" s="1"/>
  <c r="T455" i="1" s="1"/>
  <c r="E428" i="1"/>
  <c r="L428" i="1" s="1"/>
  <c r="F428" i="1"/>
  <c r="M428" i="1" s="1"/>
  <c r="G428" i="1"/>
  <c r="N428" i="1" s="1"/>
  <c r="H428" i="1"/>
  <c r="I428" i="1"/>
  <c r="P428" i="1" s="1"/>
  <c r="J428" i="1"/>
  <c r="O428" i="1"/>
  <c r="Q428" i="1"/>
  <c r="B429" i="1"/>
  <c r="C429" i="1"/>
  <c r="D429" i="1"/>
  <c r="K429" i="1" s="1"/>
  <c r="R429" i="1" s="1"/>
  <c r="S456" i="1" s="1"/>
  <c r="T456" i="1" s="1"/>
  <c r="E429" i="1"/>
  <c r="L429" i="1" s="1"/>
  <c r="F429" i="1"/>
  <c r="M429" i="1" s="1"/>
  <c r="G429" i="1"/>
  <c r="N429" i="1" s="1"/>
  <c r="H429" i="1"/>
  <c r="O429" i="1" s="1"/>
  <c r="I429" i="1"/>
  <c r="J429" i="1"/>
  <c r="Q429" i="1" s="1"/>
  <c r="P429" i="1"/>
  <c r="B430" i="1"/>
  <c r="C430" i="1"/>
  <c r="D430" i="1"/>
  <c r="E430" i="1"/>
  <c r="L430" i="1" s="1"/>
  <c r="F430" i="1"/>
  <c r="M430" i="1" s="1"/>
  <c r="G430" i="1"/>
  <c r="N430" i="1" s="1"/>
  <c r="H430" i="1"/>
  <c r="O430" i="1" s="1"/>
  <c r="I430" i="1"/>
  <c r="P430" i="1" s="1"/>
  <c r="J430" i="1"/>
  <c r="K430" i="1"/>
  <c r="R430" i="1" s="1"/>
  <c r="S457" i="1" s="1"/>
  <c r="T457" i="1" s="1"/>
  <c r="Q430" i="1"/>
  <c r="B431" i="1"/>
  <c r="C431" i="1"/>
  <c r="D431" i="1"/>
  <c r="K431" i="1" s="1"/>
  <c r="R431" i="1" s="1"/>
  <c r="E431" i="1"/>
  <c r="F431" i="1"/>
  <c r="M431" i="1" s="1"/>
  <c r="G431" i="1"/>
  <c r="N431" i="1" s="1"/>
  <c r="H431" i="1"/>
  <c r="O431" i="1" s="1"/>
  <c r="I431" i="1"/>
  <c r="P431" i="1" s="1"/>
  <c r="J431" i="1"/>
  <c r="Q431" i="1" s="1"/>
  <c r="L431" i="1"/>
  <c r="B432" i="1"/>
  <c r="C432" i="1"/>
  <c r="D432" i="1"/>
  <c r="E432" i="1"/>
  <c r="L432" i="1" s="1"/>
  <c r="F432" i="1"/>
  <c r="G432" i="1"/>
  <c r="N432" i="1" s="1"/>
  <c r="H432" i="1"/>
  <c r="O432" i="1" s="1"/>
  <c r="I432" i="1"/>
  <c r="P432" i="1" s="1"/>
  <c r="J432" i="1"/>
  <c r="Q432" i="1" s="1"/>
  <c r="K432" i="1"/>
  <c r="R432" i="1" s="1"/>
  <c r="S459" i="1" s="1"/>
  <c r="M432" i="1"/>
  <c r="B433" i="1"/>
  <c r="C433" i="1"/>
  <c r="D433" i="1"/>
  <c r="K433" i="1" s="1"/>
  <c r="R433" i="1" s="1"/>
  <c r="S460" i="1" s="1"/>
  <c r="T460" i="1" s="1"/>
  <c r="E433" i="1"/>
  <c r="L433" i="1" s="1"/>
  <c r="F433" i="1"/>
  <c r="M433" i="1" s="1"/>
  <c r="G433" i="1"/>
  <c r="H433" i="1"/>
  <c r="O433" i="1" s="1"/>
  <c r="I433" i="1"/>
  <c r="P433" i="1" s="1"/>
  <c r="J433" i="1"/>
  <c r="Q433" i="1" s="1"/>
  <c r="N433" i="1"/>
  <c r="B434" i="1"/>
  <c r="C434" i="1"/>
  <c r="D434" i="1"/>
  <c r="E434" i="1"/>
  <c r="F434" i="1"/>
  <c r="G434" i="1"/>
  <c r="N434" i="1" s="1"/>
  <c r="H434" i="1"/>
  <c r="O434" i="1" s="1"/>
  <c r="I434" i="1"/>
  <c r="P434" i="1" s="1"/>
  <c r="J434" i="1"/>
  <c r="Q434" i="1" s="1"/>
  <c r="K434" i="1"/>
  <c r="R434" i="1" s="1"/>
  <c r="S461" i="1" s="1"/>
  <c r="T461" i="1" s="1"/>
  <c r="L434" i="1"/>
  <c r="M434" i="1"/>
  <c r="B435" i="1"/>
  <c r="C435" i="1"/>
  <c r="D435" i="1"/>
  <c r="K435" i="1" s="1"/>
  <c r="R435" i="1" s="1"/>
  <c r="S462" i="1" s="1"/>
  <c r="T462" i="1" s="1"/>
  <c r="E435" i="1"/>
  <c r="F435" i="1"/>
  <c r="G435" i="1"/>
  <c r="H435" i="1"/>
  <c r="O435" i="1" s="1"/>
  <c r="I435" i="1"/>
  <c r="J435" i="1"/>
  <c r="Q435" i="1" s="1"/>
  <c r="L435" i="1"/>
  <c r="M435" i="1"/>
  <c r="N435" i="1"/>
  <c r="P435" i="1"/>
  <c r="B436" i="1"/>
  <c r="C436" i="1"/>
  <c r="D436" i="1"/>
  <c r="K436" i="1" s="1"/>
  <c r="R436" i="1" s="1"/>
  <c r="S463" i="1" s="1"/>
  <c r="T463" i="1" s="1"/>
  <c r="E436" i="1"/>
  <c r="L436" i="1" s="1"/>
  <c r="F436" i="1"/>
  <c r="M436" i="1" s="1"/>
  <c r="G436" i="1"/>
  <c r="N436" i="1" s="1"/>
  <c r="H436" i="1"/>
  <c r="I436" i="1"/>
  <c r="P436" i="1" s="1"/>
  <c r="J436" i="1"/>
  <c r="Q436" i="1" s="1"/>
  <c r="O436" i="1"/>
  <c r="B437" i="1"/>
  <c r="C437" i="1"/>
  <c r="D437" i="1"/>
  <c r="K437" i="1" s="1"/>
  <c r="R437" i="1" s="1"/>
  <c r="E437" i="1"/>
  <c r="F437" i="1"/>
  <c r="M437" i="1" s="1"/>
  <c r="G437" i="1"/>
  <c r="N437" i="1" s="1"/>
  <c r="H437" i="1"/>
  <c r="I437" i="1"/>
  <c r="J437" i="1"/>
  <c r="Q437" i="1" s="1"/>
  <c r="L437" i="1"/>
  <c r="O437" i="1"/>
  <c r="P437" i="1"/>
  <c r="B438" i="1"/>
  <c r="C438" i="1"/>
  <c r="D438" i="1"/>
  <c r="E438" i="1"/>
  <c r="L438" i="1" s="1"/>
  <c r="F438" i="1"/>
  <c r="G438" i="1"/>
  <c r="N438" i="1" s="1"/>
  <c r="H438" i="1"/>
  <c r="I438" i="1"/>
  <c r="J438" i="1"/>
  <c r="K438" i="1"/>
  <c r="R438" i="1" s="1"/>
  <c r="M438" i="1"/>
  <c r="O438" i="1"/>
  <c r="P438" i="1"/>
  <c r="Q438" i="1"/>
  <c r="B439" i="1"/>
  <c r="C439" i="1"/>
  <c r="D439" i="1"/>
  <c r="K439" i="1" s="1"/>
  <c r="R439" i="1" s="1"/>
  <c r="E439" i="1"/>
  <c r="L439" i="1" s="1"/>
  <c r="F439" i="1"/>
  <c r="G439" i="1"/>
  <c r="H439" i="1"/>
  <c r="I439" i="1"/>
  <c r="J439" i="1"/>
  <c r="M439" i="1"/>
  <c r="N439" i="1"/>
  <c r="O439" i="1"/>
  <c r="P439" i="1"/>
  <c r="Q439" i="1"/>
  <c r="B440" i="1"/>
  <c r="C440" i="1"/>
  <c r="D440" i="1"/>
  <c r="K440" i="1" s="1"/>
  <c r="R440" i="1" s="1"/>
  <c r="E440" i="1"/>
  <c r="L440" i="1" s="1"/>
  <c r="F440" i="1"/>
  <c r="G440" i="1"/>
  <c r="N440" i="1" s="1"/>
  <c r="H440" i="1"/>
  <c r="O440" i="1" s="1"/>
  <c r="I440" i="1"/>
  <c r="J440" i="1"/>
  <c r="M440" i="1"/>
  <c r="P440" i="1"/>
  <c r="Q440" i="1"/>
  <c r="B441" i="1"/>
  <c r="C441" i="1"/>
  <c r="D441" i="1"/>
  <c r="E441" i="1"/>
  <c r="L441" i="1" s="1"/>
  <c r="F441" i="1"/>
  <c r="M441" i="1" s="1"/>
  <c r="G441" i="1"/>
  <c r="N441" i="1" s="1"/>
  <c r="H441" i="1"/>
  <c r="O441" i="1" s="1"/>
  <c r="I441" i="1"/>
  <c r="J441" i="1"/>
  <c r="Q441" i="1" s="1"/>
  <c r="K441" i="1"/>
  <c r="R441" i="1" s="1"/>
  <c r="P441" i="1"/>
  <c r="B442" i="1"/>
  <c r="C442" i="1"/>
  <c r="D442" i="1"/>
  <c r="K442" i="1" s="1"/>
  <c r="R442" i="1" s="1"/>
  <c r="E442" i="1"/>
  <c r="L442" i="1" s="1"/>
  <c r="F442" i="1"/>
  <c r="M442" i="1" s="1"/>
  <c r="G442" i="1"/>
  <c r="H442" i="1"/>
  <c r="O442" i="1" s="1"/>
  <c r="I442" i="1"/>
  <c r="P442" i="1" s="1"/>
  <c r="J442" i="1"/>
  <c r="Q442" i="1" s="1"/>
  <c r="N442" i="1"/>
  <c r="B443" i="1"/>
  <c r="C443" i="1"/>
  <c r="D443" i="1"/>
  <c r="K443" i="1" s="1"/>
  <c r="R443" i="1" s="1"/>
  <c r="E443" i="1"/>
  <c r="F443" i="1"/>
  <c r="M443" i="1" s="1"/>
  <c r="G443" i="1"/>
  <c r="N443" i="1" s="1"/>
  <c r="H443" i="1"/>
  <c r="I443" i="1"/>
  <c r="J443" i="1"/>
  <c r="Q443" i="1" s="1"/>
  <c r="L443" i="1"/>
  <c r="O443" i="1"/>
  <c r="P443" i="1"/>
  <c r="B444" i="1"/>
  <c r="C444" i="1"/>
  <c r="D444" i="1"/>
  <c r="E444" i="1"/>
  <c r="L444" i="1" s="1"/>
  <c r="F444" i="1"/>
  <c r="M444" i="1" s="1"/>
  <c r="G444" i="1"/>
  <c r="H444" i="1"/>
  <c r="I444" i="1"/>
  <c r="J444" i="1"/>
  <c r="Q444" i="1" s="1"/>
  <c r="K444" i="1"/>
  <c r="R444" i="1" s="1"/>
  <c r="N444" i="1"/>
  <c r="O444" i="1"/>
  <c r="P444" i="1"/>
  <c r="B445" i="1"/>
  <c r="C445" i="1"/>
  <c r="D445" i="1"/>
  <c r="K445" i="1" s="1"/>
  <c r="R445" i="1" s="1"/>
  <c r="E445" i="1"/>
  <c r="F445" i="1"/>
  <c r="M445" i="1" s="1"/>
  <c r="G445" i="1"/>
  <c r="H445" i="1"/>
  <c r="I445" i="1"/>
  <c r="J445" i="1"/>
  <c r="Q445" i="1" s="1"/>
  <c r="L445" i="1"/>
  <c r="N445" i="1"/>
  <c r="O445" i="1"/>
  <c r="P445" i="1"/>
  <c r="B446" i="1"/>
  <c r="C446" i="1"/>
  <c r="D446" i="1"/>
  <c r="K446" i="1" s="1"/>
  <c r="R446" i="1" s="1"/>
  <c r="E446" i="1"/>
  <c r="L446" i="1" s="1"/>
  <c r="F446" i="1"/>
  <c r="G446" i="1"/>
  <c r="N446" i="1" s="1"/>
  <c r="H446" i="1"/>
  <c r="O446" i="1" s="1"/>
  <c r="I446" i="1"/>
  <c r="J446" i="1"/>
  <c r="Q446" i="1" s="1"/>
  <c r="M446" i="1"/>
  <c r="P446" i="1"/>
  <c r="B447" i="1"/>
  <c r="C447" i="1"/>
  <c r="D447" i="1"/>
  <c r="K447" i="1" s="1"/>
  <c r="R447" i="1" s="1"/>
  <c r="E447" i="1"/>
  <c r="L447" i="1" s="1"/>
  <c r="F447" i="1"/>
  <c r="M447" i="1" s="1"/>
  <c r="G447" i="1"/>
  <c r="H447" i="1"/>
  <c r="O447" i="1" s="1"/>
  <c r="I447" i="1"/>
  <c r="P447" i="1" s="1"/>
  <c r="J447" i="1"/>
  <c r="Q447" i="1" s="1"/>
  <c r="N447" i="1"/>
  <c r="B448" i="1"/>
  <c r="C448" i="1"/>
  <c r="D448" i="1"/>
  <c r="K448" i="1" s="1"/>
  <c r="R448" i="1" s="1"/>
  <c r="E448" i="1"/>
  <c r="L448" i="1" s="1"/>
  <c r="F448" i="1"/>
  <c r="M448" i="1" s="1"/>
  <c r="G448" i="1"/>
  <c r="N448" i="1" s="1"/>
  <c r="H448" i="1"/>
  <c r="I448" i="1"/>
  <c r="P448" i="1" s="1"/>
  <c r="J448" i="1"/>
  <c r="O448" i="1"/>
  <c r="Q448" i="1"/>
  <c r="B449" i="1"/>
  <c r="C449" i="1"/>
  <c r="D449" i="1"/>
  <c r="K449" i="1" s="1"/>
  <c r="R449" i="1" s="1"/>
  <c r="E449" i="1"/>
  <c r="L449" i="1" s="1"/>
  <c r="F449" i="1"/>
  <c r="M449" i="1" s="1"/>
  <c r="G449" i="1"/>
  <c r="N449" i="1" s="1"/>
  <c r="H449" i="1"/>
  <c r="O449" i="1" s="1"/>
  <c r="I449" i="1"/>
  <c r="J449" i="1"/>
  <c r="Q449" i="1" s="1"/>
  <c r="P449" i="1"/>
  <c r="B450" i="1"/>
  <c r="C450" i="1"/>
  <c r="D450" i="1"/>
  <c r="E450" i="1"/>
  <c r="L450" i="1" s="1"/>
  <c r="F450" i="1"/>
  <c r="M450" i="1" s="1"/>
  <c r="G450" i="1"/>
  <c r="N450" i="1" s="1"/>
  <c r="H450" i="1"/>
  <c r="O450" i="1" s="1"/>
  <c r="I450" i="1"/>
  <c r="P450" i="1" s="1"/>
  <c r="J450" i="1"/>
  <c r="K450" i="1"/>
  <c r="R450" i="1" s="1"/>
  <c r="Q450" i="1"/>
  <c r="B451" i="1"/>
  <c r="C451" i="1"/>
  <c r="D451" i="1"/>
  <c r="K451" i="1" s="1"/>
  <c r="R451" i="1" s="1"/>
  <c r="E451" i="1"/>
  <c r="F451" i="1"/>
  <c r="M451" i="1" s="1"/>
  <c r="G451" i="1"/>
  <c r="N451" i="1" s="1"/>
  <c r="H451" i="1"/>
  <c r="O451" i="1" s="1"/>
  <c r="I451" i="1"/>
  <c r="P451" i="1" s="1"/>
  <c r="J451" i="1"/>
  <c r="Q451" i="1" s="1"/>
  <c r="L451" i="1"/>
  <c r="B452" i="1"/>
  <c r="C452" i="1"/>
  <c r="D452" i="1"/>
  <c r="E452" i="1"/>
  <c r="L452" i="1" s="1"/>
  <c r="F452" i="1"/>
  <c r="G452" i="1"/>
  <c r="N452" i="1" s="1"/>
  <c r="H452" i="1"/>
  <c r="O452" i="1" s="1"/>
  <c r="I452" i="1"/>
  <c r="P452" i="1" s="1"/>
  <c r="J452" i="1"/>
  <c r="Q452" i="1" s="1"/>
  <c r="K452" i="1"/>
  <c r="R452" i="1" s="1"/>
  <c r="M452" i="1"/>
  <c r="B453" i="1"/>
  <c r="C453" i="1"/>
  <c r="D453" i="1"/>
  <c r="K453" i="1" s="1"/>
  <c r="R453" i="1" s="1"/>
  <c r="E453" i="1"/>
  <c r="L453" i="1" s="1"/>
  <c r="F453" i="1"/>
  <c r="M453" i="1" s="1"/>
  <c r="G453" i="1"/>
  <c r="H453" i="1"/>
  <c r="O453" i="1" s="1"/>
  <c r="I453" i="1"/>
  <c r="P453" i="1" s="1"/>
  <c r="J453" i="1"/>
  <c r="Q453" i="1" s="1"/>
  <c r="N453" i="1"/>
  <c r="B454" i="1"/>
  <c r="C454" i="1"/>
  <c r="D454" i="1"/>
  <c r="E454" i="1"/>
  <c r="F454" i="1"/>
  <c r="G454" i="1"/>
  <c r="N454" i="1" s="1"/>
  <c r="H454" i="1"/>
  <c r="O454" i="1" s="1"/>
  <c r="I454" i="1"/>
  <c r="P454" i="1" s="1"/>
  <c r="J454" i="1"/>
  <c r="Q454" i="1" s="1"/>
  <c r="K454" i="1"/>
  <c r="R454" i="1" s="1"/>
  <c r="L454" i="1"/>
  <c r="M454" i="1"/>
  <c r="B455" i="1"/>
  <c r="C455" i="1"/>
  <c r="D455" i="1"/>
  <c r="K455" i="1" s="1"/>
  <c r="R455" i="1" s="1"/>
  <c r="E455" i="1"/>
  <c r="F455" i="1"/>
  <c r="G455" i="1"/>
  <c r="H455" i="1"/>
  <c r="O455" i="1" s="1"/>
  <c r="I455" i="1"/>
  <c r="J455" i="1"/>
  <c r="Q455" i="1" s="1"/>
  <c r="L455" i="1"/>
  <c r="M455" i="1"/>
  <c r="N455" i="1"/>
  <c r="P455" i="1"/>
  <c r="B456" i="1"/>
  <c r="C456" i="1"/>
  <c r="D456" i="1"/>
  <c r="K456" i="1" s="1"/>
  <c r="R456" i="1" s="1"/>
  <c r="E456" i="1"/>
  <c r="L456" i="1" s="1"/>
  <c r="F456" i="1"/>
  <c r="M456" i="1" s="1"/>
  <c r="G456" i="1"/>
  <c r="N456" i="1" s="1"/>
  <c r="H456" i="1"/>
  <c r="I456" i="1"/>
  <c r="P456" i="1" s="1"/>
  <c r="J456" i="1"/>
  <c r="Q456" i="1" s="1"/>
  <c r="O456" i="1"/>
  <c r="B457" i="1"/>
  <c r="C457" i="1"/>
  <c r="D457" i="1"/>
  <c r="E457" i="1"/>
  <c r="L457" i="1" s="1"/>
  <c r="F457" i="1"/>
  <c r="M457" i="1" s="1"/>
  <c r="G457" i="1"/>
  <c r="N457" i="1" s="1"/>
  <c r="H457" i="1"/>
  <c r="I457" i="1"/>
  <c r="P457" i="1" s="1"/>
  <c r="J457" i="1"/>
  <c r="Q457" i="1" s="1"/>
  <c r="K457" i="1"/>
  <c r="R457" i="1" s="1"/>
  <c r="O457" i="1"/>
  <c r="B458" i="1"/>
  <c r="C458" i="1"/>
  <c r="D458" i="1"/>
  <c r="E458" i="1"/>
  <c r="L458" i="1" s="1"/>
  <c r="F458" i="1"/>
  <c r="G458" i="1"/>
  <c r="H458" i="1"/>
  <c r="I458" i="1"/>
  <c r="P458" i="1" s="1"/>
  <c r="J458" i="1"/>
  <c r="Q458" i="1" s="1"/>
  <c r="K458" i="1"/>
  <c r="R458" i="1" s="1"/>
  <c r="M458" i="1"/>
  <c r="N458" i="1"/>
  <c r="O458" i="1"/>
  <c r="S458" i="1"/>
  <c r="T458" i="1" s="1"/>
  <c r="B459" i="1"/>
  <c r="C459" i="1"/>
  <c r="D459" i="1"/>
  <c r="E459" i="1"/>
  <c r="F459" i="1"/>
  <c r="G459" i="1"/>
  <c r="H459" i="1"/>
  <c r="O459" i="1" s="1"/>
  <c r="I459" i="1"/>
  <c r="J459" i="1"/>
  <c r="K459" i="1"/>
  <c r="L459" i="1"/>
  <c r="M459" i="1"/>
  <c r="N459" i="1"/>
  <c r="P459" i="1"/>
  <c r="Q459" i="1"/>
  <c r="R459" i="1"/>
  <c r="T459" i="1"/>
  <c r="B460" i="1"/>
  <c r="C460" i="1"/>
  <c r="D460" i="1"/>
  <c r="K460" i="1" s="1"/>
  <c r="R460" i="1" s="1"/>
  <c r="E460" i="1"/>
  <c r="F460" i="1"/>
  <c r="G460" i="1"/>
  <c r="H460" i="1"/>
  <c r="I460" i="1"/>
  <c r="J460" i="1"/>
  <c r="Q460" i="1" s="1"/>
  <c r="L460" i="1"/>
  <c r="M460" i="1"/>
  <c r="N460" i="1"/>
  <c r="O460" i="1"/>
  <c r="P460" i="1"/>
  <c r="B461" i="1"/>
  <c r="C461" i="1"/>
  <c r="D461" i="1"/>
  <c r="K461" i="1" s="1"/>
  <c r="R461" i="1" s="1"/>
  <c r="E461" i="1"/>
  <c r="F461" i="1"/>
  <c r="M461" i="1" s="1"/>
  <c r="G461" i="1"/>
  <c r="N461" i="1" s="1"/>
  <c r="H461" i="1"/>
  <c r="I461" i="1"/>
  <c r="J461" i="1"/>
  <c r="L461" i="1"/>
  <c r="O461" i="1"/>
  <c r="P461" i="1"/>
  <c r="Q461" i="1"/>
  <c r="B462" i="1"/>
  <c r="C462" i="1"/>
  <c r="D462" i="1"/>
  <c r="K462" i="1" s="1"/>
  <c r="R462" i="1" s="1"/>
  <c r="E462" i="1"/>
  <c r="L462" i="1" s="1"/>
  <c r="F462" i="1"/>
  <c r="M462" i="1" s="1"/>
  <c r="G462" i="1"/>
  <c r="H462" i="1"/>
  <c r="O462" i="1" s="1"/>
  <c r="I462" i="1"/>
  <c r="P462" i="1" s="1"/>
  <c r="J462" i="1"/>
  <c r="N462" i="1"/>
  <c r="Q462" i="1"/>
  <c r="B463" i="1"/>
  <c r="C463" i="1"/>
  <c r="D463" i="1"/>
  <c r="K463" i="1" s="1"/>
  <c r="R463" i="1" s="1"/>
  <c r="E463" i="1"/>
  <c r="F463" i="1"/>
  <c r="G463" i="1"/>
  <c r="N463" i="1" s="1"/>
  <c r="H463" i="1"/>
  <c r="O463" i="1" s="1"/>
  <c r="I463" i="1"/>
  <c r="P463" i="1" s="1"/>
  <c r="J463" i="1"/>
  <c r="L463" i="1"/>
  <c r="M463" i="1"/>
  <c r="Q463" i="1"/>
  <c r="N253" i="1" l="1"/>
  <c r="M99" i="1"/>
  <c r="N29" i="1"/>
  <c r="L274" i="1"/>
  <c r="K250" i="1"/>
  <c r="O71" i="1"/>
  <c r="N296" i="1"/>
  <c r="N261" i="1"/>
  <c r="K214" i="1"/>
  <c r="N177" i="1"/>
  <c r="M127" i="1"/>
  <c r="O101" i="1"/>
  <c r="K343" i="1"/>
  <c r="R343" i="1" s="1"/>
  <c r="S370" i="1" s="1"/>
  <c r="T370" i="1" s="1"/>
  <c r="L325" i="1"/>
  <c r="O144" i="1"/>
  <c r="K131" i="1"/>
  <c r="P105" i="1"/>
  <c r="N103" i="1"/>
  <c r="K71" i="1"/>
  <c r="O107" i="1"/>
  <c r="O185" i="1"/>
  <c r="P114" i="1"/>
  <c r="N107" i="1"/>
  <c r="N339" i="1"/>
  <c r="P307" i="1"/>
  <c r="K296" i="1"/>
  <c r="O274" i="1"/>
  <c r="N193" i="1"/>
  <c r="L69" i="1"/>
  <c r="K45" i="1"/>
  <c r="Q8" i="1"/>
  <c r="M339" i="1"/>
  <c r="Q278" i="1"/>
  <c r="P8" i="1"/>
  <c r="O206" i="1"/>
  <c r="Q57" i="1"/>
  <c r="M341" i="1"/>
  <c r="K339" i="1"/>
  <c r="R339" i="1" s="1"/>
  <c r="S366" i="1" s="1"/>
  <c r="T366" i="1" s="1"/>
  <c r="K64" i="1"/>
  <c r="P59" i="1"/>
  <c r="N8" i="1"/>
  <c r="L341" i="1"/>
  <c r="N30" i="1"/>
  <c r="K321" i="1"/>
  <c r="R321" i="1" s="1"/>
  <c r="S348" i="1" s="1"/>
  <c r="T348" i="1" s="1"/>
  <c r="Q263" i="1"/>
  <c r="M189" i="1"/>
  <c r="P16" i="1"/>
  <c r="Q338" i="1"/>
  <c r="N112" i="1"/>
  <c r="L109" i="1"/>
  <c r="Q63" i="1"/>
  <c r="O61" i="1"/>
  <c r="L146" i="1"/>
  <c r="Q315" i="1"/>
  <c r="O312" i="1"/>
  <c r="M311" i="1"/>
  <c r="M277" i="1"/>
  <c r="Q271" i="1"/>
  <c r="K85" i="1"/>
  <c r="R85" i="1" s="1"/>
  <c r="S112" i="1" s="1"/>
  <c r="M122" i="1"/>
  <c r="K170" i="1"/>
  <c r="K334" i="1"/>
  <c r="R334" i="1" s="1"/>
  <c r="S361" i="1" s="1"/>
  <c r="T361" i="1" s="1"/>
  <c r="K324" i="1"/>
  <c r="R324" i="1" s="1"/>
  <c r="S351" i="1" s="1"/>
  <c r="T351" i="1" s="1"/>
  <c r="P323" i="1"/>
  <c r="O249" i="1"/>
  <c r="M211" i="1"/>
  <c r="L156" i="1"/>
  <c r="O52" i="1"/>
  <c r="O29" i="1"/>
  <c r="M27" i="1"/>
  <c r="Q20" i="1"/>
  <c r="P328" i="1"/>
  <c r="Q342" i="1"/>
  <c r="L219" i="1"/>
  <c r="M190" i="1"/>
  <c r="Q97" i="1"/>
  <c r="N48" i="1"/>
  <c r="L27" i="1"/>
  <c r="P342" i="1"/>
  <c r="N210" i="1"/>
  <c r="L208" i="1"/>
  <c r="M153" i="1"/>
  <c r="K132" i="1"/>
  <c r="L106" i="1"/>
  <c r="K104" i="1"/>
  <c r="K27" i="1"/>
  <c r="O342" i="1"/>
  <c r="M280" i="1"/>
  <c r="K258" i="1"/>
  <c r="N251" i="1"/>
  <c r="N197" i="1"/>
  <c r="M113" i="1"/>
  <c r="Q279" i="1"/>
  <c r="O339" i="1"/>
  <c r="O325" i="1"/>
  <c r="O329" i="1"/>
  <c r="P311" i="1"/>
  <c r="L286" i="1"/>
  <c r="N324" i="1"/>
  <c r="O327" i="1"/>
  <c r="P296" i="1"/>
  <c r="M327" i="1"/>
  <c r="L299" i="1"/>
  <c r="L298" i="1"/>
  <c r="L296" i="1"/>
  <c r="L339" i="1"/>
  <c r="L324" i="1"/>
  <c r="L328" i="1"/>
  <c r="L327" i="1"/>
  <c r="M323" i="1"/>
  <c r="M321" i="1"/>
  <c r="P317" i="1"/>
  <c r="P316" i="1"/>
  <c r="P315" i="1"/>
  <c r="P314" i="1"/>
  <c r="P313" i="1"/>
  <c r="Q311" i="1"/>
  <c r="Q308" i="1"/>
  <c r="Q298" i="1"/>
  <c r="Q307" i="1"/>
  <c r="L265" i="1"/>
  <c r="L259" i="1"/>
  <c r="L252" i="1"/>
  <c r="L254" i="1"/>
  <c r="L261" i="1"/>
  <c r="L260" i="1"/>
  <c r="O330" i="1"/>
  <c r="Q328" i="1"/>
  <c r="L312" i="1"/>
  <c r="N292" i="1"/>
  <c r="N280" i="1"/>
  <c r="N281" i="1"/>
  <c r="M234" i="1"/>
  <c r="O328" i="1"/>
  <c r="M294" i="1"/>
  <c r="M292" i="1"/>
  <c r="M287" i="1"/>
  <c r="M293" i="1"/>
  <c r="M278" i="1"/>
  <c r="L281" i="1"/>
  <c r="K235" i="1"/>
  <c r="N328" i="1"/>
  <c r="Q312" i="1"/>
  <c r="Q304" i="1"/>
  <c r="O302" i="1"/>
  <c r="O301" i="1"/>
  <c r="O300" i="1"/>
  <c r="O299" i="1"/>
  <c r="O298" i="1"/>
  <c r="O281" i="1"/>
  <c r="L334" i="1"/>
  <c r="K294" i="1"/>
  <c r="K293" i="1"/>
  <c r="K292" i="1"/>
  <c r="M249" i="1"/>
  <c r="M235" i="1"/>
  <c r="M237" i="1"/>
  <c r="K247" i="1"/>
  <c r="K234" i="1"/>
  <c r="K238" i="1"/>
  <c r="P292" i="1"/>
  <c r="P290" i="1"/>
  <c r="P324" i="1"/>
  <c r="P305" i="1"/>
  <c r="P304" i="1"/>
  <c r="P306" i="1"/>
  <c r="P289" i="1"/>
  <c r="L249" i="1"/>
  <c r="L227" i="1"/>
  <c r="N274" i="1"/>
  <c r="M251" i="1"/>
  <c r="N306" i="1"/>
  <c r="N304" i="1"/>
  <c r="N303" i="1"/>
  <c r="N302" i="1"/>
  <c r="N305" i="1"/>
  <c r="N297" i="1"/>
  <c r="L280" i="1"/>
  <c r="L251" i="1"/>
  <c r="M265" i="1"/>
  <c r="M264" i="1"/>
  <c r="M263" i="1"/>
  <c r="M257" i="1"/>
  <c r="M256" i="1"/>
  <c r="M255" i="1"/>
  <c r="M259" i="1"/>
  <c r="M262" i="1"/>
  <c r="M254" i="1"/>
  <c r="M261" i="1"/>
  <c r="M258" i="1"/>
  <c r="M260" i="1"/>
  <c r="Q337" i="1"/>
  <c r="Q333" i="1"/>
  <c r="M253" i="1"/>
  <c r="M252" i="1"/>
  <c r="Q323" i="1"/>
  <c r="Q322" i="1"/>
  <c r="L288" i="1"/>
  <c r="L279" i="1"/>
  <c r="O323" i="1"/>
  <c r="O335" i="1"/>
  <c r="O297" i="1"/>
  <c r="K274" i="1"/>
  <c r="Q339" i="1"/>
  <c r="P335" i="1"/>
  <c r="P334" i="1"/>
  <c r="P333" i="1"/>
  <c r="P327" i="1"/>
  <c r="P331" i="1"/>
  <c r="P326" i="1"/>
  <c r="P330" i="1"/>
  <c r="P336" i="1"/>
  <c r="P329" i="1"/>
  <c r="P337" i="1"/>
  <c r="M320" i="1"/>
  <c r="L318" i="1"/>
  <c r="L317" i="1"/>
  <c r="L297" i="1"/>
  <c r="O337" i="1"/>
  <c r="M322" i="1"/>
  <c r="L320" i="1"/>
  <c r="O279" i="1"/>
  <c r="M286" i="1"/>
  <c r="P278" i="1"/>
  <c r="P275" i="1"/>
  <c r="P178" i="1"/>
  <c r="P177" i="1"/>
  <c r="P176" i="1"/>
  <c r="P175" i="1"/>
  <c r="P174" i="1"/>
  <c r="P179" i="1"/>
  <c r="L273" i="1"/>
  <c r="L272" i="1"/>
  <c r="P251" i="1"/>
  <c r="N247" i="1"/>
  <c r="O239" i="1"/>
  <c r="P339" i="1"/>
  <c r="M334" i="1"/>
  <c r="M333" i="1"/>
  <c r="M332" i="1"/>
  <c r="M331" i="1"/>
  <c r="M330" i="1"/>
  <c r="N327" i="1"/>
  <c r="Q326" i="1"/>
  <c r="L321" i="1"/>
  <c r="L323" i="1"/>
  <c r="K318" i="1"/>
  <c r="R318" i="1" s="1"/>
  <c r="S345" i="1" s="1"/>
  <c r="T345" i="1" s="1"/>
  <c r="L306" i="1"/>
  <c r="L294" i="1"/>
  <c r="Q292" i="1"/>
  <c r="Q291" i="1"/>
  <c r="Q290" i="1"/>
  <c r="K278" i="1"/>
  <c r="K273" i="1"/>
  <c r="K272" i="1"/>
  <c r="O253" i="1"/>
  <c r="O251" i="1"/>
  <c r="N249" i="1"/>
  <c r="N236" i="1"/>
  <c r="N239" i="1"/>
  <c r="N235" i="1"/>
  <c r="M247" i="1"/>
  <c r="K208" i="1"/>
  <c r="K207" i="1"/>
  <c r="O183" i="1"/>
  <c r="O182" i="1"/>
  <c r="O181" i="1"/>
  <c r="O179" i="1"/>
  <c r="O174" i="1"/>
  <c r="O180" i="1"/>
  <c r="M337" i="1"/>
  <c r="Q329" i="1"/>
  <c r="M328" i="1"/>
  <c r="Q321" i="1"/>
  <c r="Q319" i="1"/>
  <c r="O317" i="1"/>
  <c r="K295" i="1"/>
  <c r="P282" i="1"/>
  <c r="O278" i="1"/>
  <c r="Q274" i="1"/>
  <c r="P268" i="1"/>
  <c r="P267" i="1"/>
  <c r="P266" i="1"/>
  <c r="P259" i="1"/>
  <c r="P265" i="1"/>
  <c r="P264" i="1"/>
  <c r="P263" i="1"/>
  <c r="Q266" i="1"/>
  <c r="O254" i="1"/>
  <c r="Q237" i="1"/>
  <c r="Q236" i="1"/>
  <c r="P225" i="1"/>
  <c r="P223" i="1"/>
  <c r="P222" i="1"/>
  <c r="P221" i="1"/>
  <c r="N211" i="1"/>
  <c r="N183" i="1"/>
  <c r="N173" i="1"/>
  <c r="K162" i="1"/>
  <c r="K161" i="1"/>
  <c r="K147" i="1"/>
  <c r="L66" i="1"/>
  <c r="L48" i="1"/>
  <c r="L46" i="1"/>
  <c r="K253" i="1"/>
  <c r="K252" i="1"/>
  <c r="L340" i="1"/>
  <c r="L337" i="1"/>
  <c r="M324" i="1"/>
  <c r="P319" i="1"/>
  <c r="N317" i="1"/>
  <c r="N311" i="1"/>
  <c r="M309" i="1"/>
  <c r="M307" i="1"/>
  <c r="M300" i="1"/>
  <c r="M299" i="1"/>
  <c r="M298" i="1"/>
  <c r="M297" i="1"/>
  <c r="N279" i="1"/>
  <c r="O282" i="1"/>
  <c r="N278" i="1"/>
  <c r="L266" i="1"/>
  <c r="Q258" i="1"/>
  <c r="O225" i="1"/>
  <c r="Q215" i="1"/>
  <c r="M183" i="1"/>
  <c r="M182" i="1"/>
  <c r="M167" i="1"/>
  <c r="M173" i="1"/>
  <c r="L176" i="1"/>
  <c r="Q340" i="1"/>
  <c r="N335" i="1"/>
  <c r="N334" i="1"/>
  <c r="N333" i="1"/>
  <c r="N332" i="1"/>
  <c r="N331" i="1"/>
  <c r="N323" i="1"/>
  <c r="O321" i="1"/>
  <c r="O320" i="1"/>
  <c r="O319" i="1"/>
  <c r="M317" i="1"/>
  <c r="M315" i="1"/>
  <c r="N312" i="1"/>
  <c r="L309" i="1"/>
  <c r="L304" i="1"/>
  <c r="L303" i="1"/>
  <c r="L302" i="1"/>
  <c r="L301" i="1"/>
  <c r="L300" i="1"/>
  <c r="P295" i="1"/>
  <c r="K284" i="1"/>
  <c r="M282" i="1"/>
  <c r="M279" i="1"/>
  <c r="K277" i="1"/>
  <c r="N268" i="1"/>
  <c r="N255" i="1"/>
  <c r="N262" i="1"/>
  <c r="N259" i="1"/>
  <c r="P258" i="1"/>
  <c r="P243" i="1"/>
  <c r="P227" i="1"/>
  <c r="N225" i="1"/>
  <c r="N223" i="1"/>
  <c r="N219" i="1"/>
  <c r="N221" i="1"/>
  <c r="N218" i="1"/>
  <c r="Q219" i="1"/>
  <c r="Q218" i="1"/>
  <c r="Q217" i="1"/>
  <c r="Q212" i="1"/>
  <c r="P215" i="1"/>
  <c r="N213" i="1"/>
  <c r="N212" i="1"/>
  <c r="P189" i="1"/>
  <c r="L183" i="1"/>
  <c r="L173" i="1"/>
  <c r="L172" i="1"/>
  <c r="N329" i="1"/>
  <c r="N321" i="1"/>
  <c r="M312" i="1"/>
  <c r="K309" i="1"/>
  <c r="K308" i="1"/>
  <c r="Q305" i="1"/>
  <c r="O295" i="1"/>
  <c r="O294" i="1"/>
  <c r="M270" i="1"/>
  <c r="M268" i="1"/>
  <c r="M267" i="1"/>
  <c r="O242" i="1"/>
  <c r="M225" i="1"/>
  <c r="M220" i="1"/>
  <c r="P219" i="1"/>
  <c r="N195" i="1"/>
  <c r="K183" i="1"/>
  <c r="K167" i="1"/>
  <c r="K180" i="1"/>
  <c r="K173" i="1"/>
  <c r="Q172" i="1"/>
  <c r="Q167" i="1"/>
  <c r="M335" i="1"/>
  <c r="O340" i="1"/>
  <c r="L335" i="1"/>
  <c r="K332" i="1"/>
  <c r="R332" i="1" s="1"/>
  <c r="S359" i="1" s="1"/>
  <c r="T359" i="1" s="1"/>
  <c r="K331" i="1"/>
  <c r="R331" i="1" s="1"/>
  <c r="S358" i="1" s="1"/>
  <c r="T358" i="1" s="1"/>
  <c r="K330" i="1"/>
  <c r="R330" i="1" s="1"/>
  <c r="S357" i="1" s="1"/>
  <c r="T357" i="1" s="1"/>
  <c r="K329" i="1"/>
  <c r="R329" i="1" s="1"/>
  <c r="S356" i="1" s="1"/>
  <c r="T356" i="1" s="1"/>
  <c r="K328" i="1"/>
  <c r="R328" i="1" s="1"/>
  <c r="S355" i="1" s="1"/>
  <c r="T355" i="1" s="1"/>
  <c r="M329" i="1"/>
  <c r="O324" i="1"/>
  <c r="Q325" i="1"/>
  <c r="Q324" i="1"/>
  <c r="M319" i="1"/>
  <c r="M318" i="1"/>
  <c r="K317" i="1"/>
  <c r="R317" i="1" s="1"/>
  <c r="S344" i="1" s="1"/>
  <c r="T344" i="1" s="1"/>
  <c r="K316" i="1"/>
  <c r="R316" i="1" s="1"/>
  <c r="S343" i="1" s="1"/>
  <c r="T343" i="1" s="1"/>
  <c r="K314" i="1"/>
  <c r="K312" i="1"/>
  <c r="N295" i="1"/>
  <c r="N294" i="1"/>
  <c r="N293" i="1"/>
  <c r="Q289" i="1"/>
  <c r="Q288" i="1"/>
  <c r="Q287" i="1"/>
  <c r="Q285" i="1"/>
  <c r="Q284" i="1"/>
  <c r="Q281" i="1"/>
  <c r="Q286" i="1"/>
  <c r="P279" i="1"/>
  <c r="K279" i="1"/>
  <c r="O275" i="1"/>
  <c r="L268" i="1"/>
  <c r="Q262" i="1"/>
  <c r="Q254" i="1"/>
  <c r="K229" i="1"/>
  <c r="L201" i="1"/>
  <c r="L190" i="1"/>
  <c r="N189" i="1"/>
  <c r="N184" i="1"/>
  <c r="P172" i="1"/>
  <c r="P160" i="1"/>
  <c r="P170" i="1"/>
  <c r="L140" i="1"/>
  <c r="L133" i="1"/>
  <c r="L126" i="1"/>
  <c r="L129" i="1"/>
  <c r="Q336" i="1"/>
  <c r="Q335" i="1"/>
  <c r="Q334" i="1"/>
  <c r="K335" i="1"/>
  <c r="R335" i="1" s="1"/>
  <c r="S362" i="1" s="1"/>
  <c r="T362" i="1" s="1"/>
  <c r="Q330" i="1"/>
  <c r="L319" i="1"/>
  <c r="L315" i="1"/>
  <c r="L314" i="1"/>
  <c r="L313" i="1"/>
  <c r="M295" i="1"/>
  <c r="P284" i="1"/>
  <c r="Q277" i="1"/>
  <c r="Q276" i="1"/>
  <c r="M275" i="1"/>
  <c r="K270" i="1"/>
  <c r="K268" i="1"/>
  <c r="P262" i="1"/>
  <c r="P254" i="1"/>
  <c r="P238" i="1"/>
  <c r="M233" i="1"/>
  <c r="L231" i="1"/>
  <c r="K225" i="1"/>
  <c r="K218" i="1"/>
  <c r="N217" i="1"/>
  <c r="O172" i="1"/>
  <c r="O171" i="1"/>
  <c r="M340" i="1"/>
  <c r="P338" i="1"/>
  <c r="N325" i="1"/>
  <c r="N322" i="1"/>
  <c r="K315" i="1"/>
  <c r="K305" i="1"/>
  <c r="L295" i="1"/>
  <c r="O291" i="1"/>
  <c r="O288" i="1"/>
  <c r="O280" i="1"/>
  <c r="O289" i="1"/>
  <c r="P277" i="1"/>
  <c r="O262" i="1"/>
  <c r="O259" i="1"/>
  <c r="L244" i="1"/>
  <c r="L243" i="1"/>
  <c r="L242" i="1"/>
  <c r="L241" i="1"/>
  <c r="L240" i="1"/>
  <c r="L238" i="1"/>
  <c r="L236" i="1"/>
  <c r="L233" i="1"/>
  <c r="L239" i="1"/>
  <c r="L235" i="1"/>
  <c r="L237" i="1"/>
  <c r="O238" i="1"/>
  <c r="N172" i="1"/>
  <c r="Q129" i="1"/>
  <c r="Q118" i="1"/>
  <c r="Q111" i="1"/>
  <c r="O338" i="1"/>
  <c r="M325" i="1"/>
  <c r="L322" i="1"/>
  <c r="O313" i="1"/>
  <c r="K310" i="1"/>
  <c r="P303" i="1"/>
  <c r="P302" i="1"/>
  <c r="P301" i="1"/>
  <c r="P300" i="1"/>
  <c r="P299" i="1"/>
  <c r="P298" i="1"/>
  <c r="N289" i="1"/>
  <c r="N288" i="1"/>
  <c r="N287" i="1"/>
  <c r="Q283" i="1"/>
  <c r="P280" i="1"/>
  <c r="O277" i="1"/>
  <c r="O276" i="1"/>
  <c r="K264" i="1"/>
  <c r="K256" i="1"/>
  <c r="K255" i="1"/>
  <c r="N254" i="1"/>
  <c r="K244" i="1"/>
  <c r="N238" i="1"/>
  <c r="M202" i="1"/>
  <c r="K192" i="1"/>
  <c r="K189" i="1"/>
  <c r="P340" i="1"/>
  <c r="N338" i="1"/>
  <c r="N330" i="1"/>
  <c r="K322" i="1"/>
  <c r="R322" i="1" s="1"/>
  <c r="S349" i="1" s="1"/>
  <c r="T349" i="1" s="1"/>
  <c r="N313" i="1"/>
  <c r="Q310" i="1"/>
  <c r="Q299" i="1"/>
  <c r="M296" i="1"/>
  <c r="R296" i="1" s="1"/>
  <c r="S323" i="1" s="1"/>
  <c r="M291" i="1"/>
  <c r="M289" i="1"/>
  <c r="O283" i="1"/>
  <c r="Q280" i="1"/>
  <c r="L271" i="1"/>
  <c r="P255" i="1"/>
  <c r="M238" i="1"/>
  <c r="P220" i="1"/>
  <c r="P206" i="1"/>
  <c r="Q200" i="1"/>
  <c r="Q198" i="1"/>
  <c r="K186" i="1"/>
  <c r="M338" i="1"/>
  <c r="O336" i="1"/>
  <c r="O334" i="1"/>
  <c r="O333" i="1"/>
  <c r="O332" i="1"/>
  <c r="L333" i="1"/>
  <c r="L332" i="1"/>
  <c r="L331" i="1"/>
  <c r="L330" i="1"/>
  <c r="L329" i="1"/>
  <c r="K325" i="1"/>
  <c r="R325" i="1" s="1"/>
  <c r="S352" i="1" s="1"/>
  <c r="T352" i="1" s="1"/>
  <c r="Q318" i="1"/>
  <c r="Q317" i="1"/>
  <c r="Q316" i="1"/>
  <c r="M313" i="1"/>
  <c r="P310" i="1"/>
  <c r="P309" i="1"/>
  <c r="O305" i="1"/>
  <c r="O304" i="1"/>
  <c r="O303" i="1"/>
  <c r="N301" i="1"/>
  <c r="N300" i="1"/>
  <c r="N299" i="1"/>
  <c r="N298" i="1"/>
  <c r="L291" i="1"/>
  <c r="P283" i="1"/>
  <c r="Q273" i="1"/>
  <c r="K271" i="1"/>
  <c r="O269" i="1"/>
  <c r="K259" i="1"/>
  <c r="O255" i="1"/>
  <c r="L253" i="1"/>
  <c r="O234" i="1"/>
  <c r="Q228" i="1"/>
  <c r="K206" i="1"/>
  <c r="P200" i="1"/>
  <c r="K202" i="1"/>
  <c r="N194" i="1"/>
  <c r="N190" i="1"/>
  <c r="O156" i="1"/>
  <c r="L141" i="1"/>
  <c r="Q103" i="1"/>
  <c r="Q341" i="1"/>
  <c r="L338" i="1"/>
  <c r="N336" i="1"/>
  <c r="K333" i="1"/>
  <c r="R333" i="1" s="1"/>
  <c r="S360" i="1" s="1"/>
  <c r="T360" i="1" s="1"/>
  <c r="Q331" i="1"/>
  <c r="O326" i="1"/>
  <c r="K320" i="1"/>
  <c r="R320" i="1" s="1"/>
  <c r="S347" i="1" s="1"/>
  <c r="T347" i="1" s="1"/>
  <c r="P322" i="1"/>
  <c r="P321" i="1"/>
  <c r="Q320" i="1"/>
  <c r="P318" i="1"/>
  <c r="O310" i="1"/>
  <c r="O309" i="1"/>
  <c r="O308" i="1"/>
  <c r="K291" i="1"/>
  <c r="K290" i="1"/>
  <c r="K289" i="1"/>
  <c r="L277" i="1"/>
  <c r="Q261" i="1"/>
  <c r="Q259" i="1"/>
  <c r="Q257" i="1"/>
  <c r="Q256" i="1"/>
  <c r="L234" i="1"/>
  <c r="L232" i="1"/>
  <c r="M228" i="1"/>
  <c r="Q221" i="1"/>
  <c r="N220" i="1"/>
  <c r="Q204" i="1"/>
  <c r="Q202" i="1"/>
  <c r="Q206" i="1"/>
  <c r="Q196" i="1"/>
  <c r="L194" i="1"/>
  <c r="P341" i="1"/>
  <c r="K338" i="1"/>
  <c r="R338" i="1" s="1"/>
  <c r="S365" i="1" s="1"/>
  <c r="T365" i="1" s="1"/>
  <c r="M336" i="1"/>
  <c r="N326" i="1"/>
  <c r="P325" i="1"/>
  <c r="O322" i="1"/>
  <c r="P320" i="1"/>
  <c r="O318" i="1"/>
  <c r="O316" i="1"/>
  <c r="N316" i="1"/>
  <c r="N315" i="1"/>
  <c r="N314" i="1"/>
  <c r="Q314" i="1"/>
  <c r="N310" i="1"/>
  <c r="N308" i="1"/>
  <c r="Q296" i="1"/>
  <c r="M285" i="1"/>
  <c r="M284" i="1"/>
  <c r="M283" i="1"/>
  <c r="M276" i="1"/>
  <c r="K280" i="1"/>
  <c r="O273" i="1"/>
  <c r="P271" i="1"/>
  <c r="P270" i="1"/>
  <c r="P269" i="1"/>
  <c r="O263" i="1"/>
  <c r="K265" i="1"/>
  <c r="P257" i="1"/>
  <c r="P245" i="1"/>
  <c r="Q232" i="1"/>
  <c r="O230" i="1"/>
  <c r="O228" i="1"/>
  <c r="O221" i="1"/>
  <c r="O226" i="1"/>
  <c r="K220" i="1"/>
  <c r="Q210" i="1"/>
  <c r="P195" i="1"/>
  <c r="P198" i="1"/>
  <c r="P197" i="1"/>
  <c r="K194" i="1"/>
  <c r="K190" i="1"/>
  <c r="O341" i="1"/>
  <c r="L336" i="1"/>
  <c r="O331" i="1"/>
  <c r="Q327" i="1"/>
  <c r="M326" i="1"/>
  <c r="N318" i="1"/>
  <c r="M316" i="1"/>
  <c r="M310" i="1"/>
  <c r="Q306" i="1"/>
  <c r="L305" i="1"/>
  <c r="K303" i="1"/>
  <c r="R303" i="1" s="1"/>
  <c r="S330" i="1" s="1"/>
  <c r="K302" i="1"/>
  <c r="K301" i="1"/>
  <c r="K300" i="1"/>
  <c r="K299" i="1"/>
  <c r="K298" i="1"/>
  <c r="K297" i="1"/>
  <c r="Q297" i="1"/>
  <c r="L285" i="1"/>
  <c r="N273" i="1"/>
  <c r="P260" i="1"/>
  <c r="O257" i="1"/>
  <c r="O256" i="1"/>
  <c r="K251" i="1"/>
  <c r="Q234" i="1"/>
  <c r="M204" i="1"/>
  <c r="Q194" i="1"/>
  <c r="Q187" i="1"/>
  <c r="Q174" i="1"/>
  <c r="Q180" i="1"/>
  <c r="O173" i="1"/>
  <c r="K160" i="1"/>
  <c r="P155" i="1"/>
  <c r="L88" i="1"/>
  <c r="N341" i="1"/>
  <c r="K336" i="1"/>
  <c r="R336" i="1" s="1"/>
  <c r="S363" i="1" s="1"/>
  <c r="T363" i="1" s="1"/>
  <c r="L326" i="1"/>
  <c r="N320" i="1"/>
  <c r="N319" i="1"/>
  <c r="L316" i="1"/>
  <c r="O314" i="1"/>
  <c r="L310" i="1"/>
  <c r="O306" i="1"/>
  <c r="P297" i="1"/>
  <c r="O296" i="1"/>
  <c r="L292" i="1"/>
  <c r="K285" i="1"/>
  <c r="P281" i="1"/>
  <c r="M273" i="1"/>
  <c r="M272" i="1"/>
  <c r="N271" i="1"/>
  <c r="N260" i="1"/>
  <c r="P249" i="1"/>
  <c r="P239" i="1"/>
  <c r="O247" i="1"/>
  <c r="O246" i="1"/>
  <c r="O245" i="1"/>
  <c r="O243" i="1"/>
  <c r="O241" i="1"/>
  <c r="O237" i="1"/>
  <c r="O244" i="1"/>
  <c r="O240" i="1"/>
  <c r="O236" i="1"/>
  <c r="Q239" i="1"/>
  <c r="P234" i="1"/>
  <c r="O232" i="1"/>
  <c r="M230" i="1"/>
  <c r="M229" i="1"/>
  <c r="M226" i="1"/>
  <c r="M208" i="1"/>
  <c r="N192" i="1"/>
  <c r="N191" i="1"/>
  <c r="Q160" i="1"/>
  <c r="Q159" i="1"/>
  <c r="Q153" i="1"/>
  <c r="Q158" i="1"/>
  <c r="Q152" i="1"/>
  <c r="Q134" i="1"/>
  <c r="O153" i="1"/>
  <c r="Q295" i="1"/>
  <c r="N291" i="1"/>
  <c r="K288" i="1"/>
  <c r="L284" i="1"/>
  <c r="L283" i="1"/>
  <c r="L282" i="1"/>
  <c r="L278" i="1"/>
  <c r="P273" i="1"/>
  <c r="L270" i="1"/>
  <c r="O268" i="1"/>
  <c r="L264" i="1"/>
  <c r="L263" i="1"/>
  <c r="L262" i="1"/>
  <c r="O260" i="1"/>
  <c r="L258" i="1"/>
  <c r="Q251" i="1"/>
  <c r="Q249" i="1"/>
  <c r="Q248" i="1"/>
  <c r="Q247" i="1"/>
  <c r="Q245" i="1"/>
  <c r="Q243" i="1"/>
  <c r="Q238" i="1"/>
  <c r="K231" i="1"/>
  <c r="K227" i="1"/>
  <c r="P210" i="1"/>
  <c r="M201" i="1"/>
  <c r="M200" i="1"/>
  <c r="M199" i="1"/>
  <c r="M198" i="1"/>
  <c r="M194" i="1"/>
  <c r="O189" i="1"/>
  <c r="N156" i="1"/>
  <c r="K140" i="1"/>
  <c r="K133" i="1"/>
  <c r="K126" i="1"/>
  <c r="K128" i="1"/>
  <c r="L95" i="1"/>
  <c r="L17" i="1"/>
  <c r="L8" i="1"/>
  <c r="O311" i="1"/>
  <c r="M305" i="1"/>
  <c r="O292" i="1"/>
  <c r="L289" i="1"/>
  <c r="N286" i="1"/>
  <c r="N285" i="1"/>
  <c r="N284" i="1"/>
  <c r="N282" i="1"/>
  <c r="N275" i="1"/>
  <c r="P274" i="1"/>
  <c r="O271" i="1"/>
  <c r="Q269" i="1"/>
  <c r="Q268" i="1"/>
  <c r="Q267" i="1"/>
  <c r="K249" i="1"/>
  <c r="R249" i="1" s="1"/>
  <c r="S276" i="1" s="1"/>
  <c r="L247" i="1"/>
  <c r="N234" i="1"/>
  <c r="P232" i="1"/>
  <c r="N230" i="1"/>
  <c r="L225" i="1"/>
  <c r="O217" i="1"/>
  <c r="O216" i="1"/>
  <c r="O215" i="1"/>
  <c r="O212" i="1"/>
  <c r="M213" i="1"/>
  <c r="K204" i="1"/>
  <c r="O194" i="1"/>
  <c r="P194" i="1"/>
  <c r="O164" i="1"/>
  <c r="P312" i="1"/>
  <c r="Q300" i="1"/>
  <c r="L293" i="1"/>
  <c r="L275" i="1"/>
  <c r="M271" i="1"/>
  <c r="N266" i="1"/>
  <c r="N265" i="1"/>
  <c r="N264" i="1"/>
  <c r="L255" i="1"/>
  <c r="M245" i="1"/>
  <c r="M244" i="1"/>
  <c r="M243" i="1"/>
  <c r="M242" i="1"/>
  <c r="M241" i="1"/>
  <c r="M239" i="1"/>
  <c r="N232" i="1"/>
  <c r="L230" i="1"/>
  <c r="M215" i="1"/>
  <c r="M214" i="1"/>
  <c r="K213" i="1"/>
  <c r="K212" i="1"/>
  <c r="K211" i="1"/>
  <c r="K209" i="1"/>
  <c r="Q186" i="1"/>
  <c r="O184" i="1"/>
  <c r="M166" i="1"/>
  <c r="P149" i="1"/>
  <c r="P103" i="1"/>
  <c r="P101" i="1"/>
  <c r="P100" i="1"/>
  <c r="P98" i="1"/>
  <c r="P91" i="1"/>
  <c r="P95" i="1"/>
  <c r="P94" i="1"/>
  <c r="P90" i="1"/>
  <c r="P92" i="1"/>
  <c r="P97" i="1"/>
  <c r="N101" i="1"/>
  <c r="N99" i="1"/>
  <c r="N98" i="1"/>
  <c r="N96" i="1"/>
  <c r="N91" i="1"/>
  <c r="N95" i="1"/>
  <c r="N90" i="1"/>
  <c r="N92" i="1"/>
  <c r="R92" i="1" s="1"/>
  <c r="S119" i="1" s="1"/>
  <c r="N89" i="1"/>
  <c r="P84" i="1"/>
  <c r="P72" i="1"/>
  <c r="P71" i="1"/>
  <c r="P75" i="1"/>
  <c r="P74" i="1"/>
  <c r="N82" i="1"/>
  <c r="N68" i="1"/>
  <c r="N71" i="1"/>
  <c r="N70" i="1"/>
  <c r="O315" i="1"/>
  <c r="M314" i="1"/>
  <c r="K313" i="1"/>
  <c r="O307" i="1"/>
  <c r="Q301" i="1"/>
  <c r="K286" i="1"/>
  <c r="P276" i="1"/>
  <c r="K275" i="1"/>
  <c r="N269" i="1"/>
  <c r="M266" i="1"/>
  <c r="P256" i="1"/>
  <c r="Q252" i="1"/>
  <c r="L245" i="1"/>
  <c r="M232" i="1"/>
  <c r="K230" i="1"/>
  <c r="L215" i="1"/>
  <c r="P186" i="1"/>
  <c r="P185" i="1"/>
  <c r="P181" i="1"/>
  <c r="L166" i="1"/>
  <c r="Q151" i="1"/>
  <c r="Q133" i="1"/>
  <c r="Q135" i="1"/>
  <c r="Q147" i="1"/>
  <c r="O149" i="1"/>
  <c r="O145" i="1"/>
  <c r="K127" i="1"/>
  <c r="Q105" i="1"/>
  <c r="Q94" i="1"/>
  <c r="Q96" i="1"/>
  <c r="O103" i="1"/>
  <c r="O90" i="1"/>
  <c r="O92" i="1"/>
  <c r="O96" i="1"/>
  <c r="O89" i="1"/>
  <c r="M101" i="1"/>
  <c r="M92" i="1"/>
  <c r="M89" i="1"/>
  <c r="Q313" i="1"/>
  <c r="K306" i="1"/>
  <c r="Q302" i="1"/>
  <c r="Q293" i="1"/>
  <c r="O287" i="1"/>
  <c r="O286" i="1"/>
  <c r="O285" i="1"/>
  <c r="N283" i="1"/>
  <c r="Q275" i="1"/>
  <c r="M269" i="1"/>
  <c r="N263" i="1"/>
  <c r="Q255" i="1"/>
  <c r="P252" i="1"/>
  <c r="Q250" i="1"/>
  <c r="K245" i="1"/>
  <c r="Q240" i="1"/>
  <c r="Q235" i="1"/>
  <c r="P209" i="1"/>
  <c r="P207" i="1"/>
  <c r="L200" i="1"/>
  <c r="L199" i="1"/>
  <c r="L198" i="1"/>
  <c r="L197" i="1"/>
  <c r="M195" i="1"/>
  <c r="L193" i="1"/>
  <c r="O186" i="1"/>
  <c r="K166" i="1"/>
  <c r="N149" i="1"/>
  <c r="N148" i="1"/>
  <c r="N144" i="1"/>
  <c r="Q107" i="1"/>
  <c r="L101" i="1"/>
  <c r="L86" i="1"/>
  <c r="R86" i="1" s="1"/>
  <c r="S113" i="1" s="1"/>
  <c r="L89" i="1"/>
  <c r="P86" i="1"/>
  <c r="N84" i="1"/>
  <c r="L82" i="1"/>
  <c r="P293" i="1"/>
  <c r="O290" i="1"/>
  <c r="N276" i="1"/>
  <c r="L269" i="1"/>
  <c r="K266" i="1"/>
  <c r="N256" i="1"/>
  <c r="O252" i="1"/>
  <c r="P250" i="1"/>
  <c r="P248" i="1"/>
  <c r="P247" i="1"/>
  <c r="P246" i="1"/>
  <c r="P244" i="1"/>
  <c r="P242" i="1"/>
  <c r="Q246" i="1"/>
  <c r="P240" i="1"/>
  <c r="K226" i="1"/>
  <c r="L218" i="1"/>
  <c r="O209" i="1"/>
  <c r="K200" i="1"/>
  <c r="L195" i="1"/>
  <c r="M188" i="1"/>
  <c r="N186" i="1"/>
  <c r="P88" i="1"/>
  <c r="O86" i="1"/>
  <c r="N75" i="1"/>
  <c r="O27" i="1"/>
  <c r="O21" i="1"/>
  <c r="M25" i="1"/>
  <c r="M24" i="1"/>
  <c r="M23" i="1"/>
  <c r="M22" i="1"/>
  <c r="M20" i="1"/>
  <c r="M19" i="1"/>
  <c r="M11" i="1"/>
  <c r="P308" i="1"/>
  <c r="L307" i="1"/>
  <c r="Q303" i="1"/>
  <c r="O293" i="1"/>
  <c r="N290" i="1"/>
  <c r="Q272" i="1"/>
  <c r="K269" i="1"/>
  <c r="Q264" i="1"/>
  <c r="N252" i="1"/>
  <c r="O250" i="1"/>
  <c r="O248" i="1"/>
  <c r="O235" i="1"/>
  <c r="N233" i="1"/>
  <c r="Q226" i="1"/>
  <c r="Q224" i="1"/>
  <c r="Q220" i="1"/>
  <c r="N209" i="1"/>
  <c r="P205" i="1"/>
  <c r="P199" i="1"/>
  <c r="P196" i="1"/>
  <c r="N203" i="1"/>
  <c r="K195" i="1"/>
  <c r="L188" i="1"/>
  <c r="M186" i="1"/>
  <c r="P180" i="1"/>
  <c r="O155" i="1"/>
  <c r="N150" i="1"/>
  <c r="O88" i="1"/>
  <c r="K307" i="1"/>
  <c r="M301" i="1"/>
  <c r="M290" i="1"/>
  <c r="L287" i="1"/>
  <c r="O284" i="1"/>
  <c r="L276" i="1"/>
  <c r="P272" i="1"/>
  <c r="O267" i="1"/>
  <c r="O266" i="1"/>
  <c r="O265" i="1"/>
  <c r="L256" i="1"/>
  <c r="N250" i="1"/>
  <c r="N248" i="1"/>
  <c r="M240" i="1"/>
  <c r="M236" i="1"/>
  <c r="P226" i="1"/>
  <c r="L216" i="1"/>
  <c r="M209" i="1"/>
  <c r="O205" i="1"/>
  <c r="Q195" i="1"/>
  <c r="P191" i="1"/>
  <c r="K188" i="1"/>
  <c r="K187" i="1"/>
  <c r="L186" i="1"/>
  <c r="L182" i="1"/>
  <c r="L174" i="1"/>
  <c r="L181" i="1"/>
  <c r="P173" i="1"/>
  <c r="L167" i="1"/>
  <c r="K165" i="1"/>
  <c r="P152" i="1"/>
  <c r="N88" i="1"/>
  <c r="M302" i="1"/>
  <c r="L290" i="1"/>
  <c r="K287" i="1"/>
  <c r="K276" i="1"/>
  <c r="O272" i="1"/>
  <c r="N267" i="1"/>
  <c r="O264" i="1"/>
  <c r="M250" i="1"/>
  <c r="M248" i="1"/>
  <c r="K233" i="1"/>
  <c r="Q231" i="1"/>
  <c r="Q230" i="1"/>
  <c r="N224" i="1"/>
  <c r="P218" i="1"/>
  <c r="P217" i="1"/>
  <c r="Q216" i="1"/>
  <c r="P214" i="1"/>
  <c r="P213" i="1"/>
  <c r="P212" i="1"/>
  <c r="L209" i="1"/>
  <c r="N205" i="1"/>
  <c r="N204" i="1"/>
  <c r="O196" i="1"/>
  <c r="K193" i="1"/>
  <c r="N169" i="1"/>
  <c r="N168" i="1"/>
  <c r="N163" i="1"/>
  <c r="M154" i="1"/>
  <c r="M152" i="1"/>
  <c r="M155" i="1"/>
  <c r="M150" i="1"/>
  <c r="M132" i="1"/>
  <c r="M129" i="1"/>
  <c r="K149" i="1"/>
  <c r="K153" i="1"/>
  <c r="K152" i="1"/>
  <c r="K150" i="1"/>
  <c r="Q309" i="1"/>
  <c r="M308" i="1"/>
  <c r="Q294" i="1"/>
  <c r="P288" i="1"/>
  <c r="P287" i="1"/>
  <c r="P286" i="1"/>
  <c r="N277" i="1"/>
  <c r="N272" i="1"/>
  <c r="Q270" i="1"/>
  <c r="N257" i="1"/>
  <c r="L250" i="1"/>
  <c r="L248" i="1"/>
  <c r="N246" i="1"/>
  <c r="N245" i="1"/>
  <c r="N244" i="1"/>
  <c r="N243" i="1"/>
  <c r="N242" i="1"/>
  <c r="N240" i="1"/>
  <c r="Q244" i="1"/>
  <c r="K236" i="1"/>
  <c r="Q233" i="1"/>
  <c r="P231" i="1"/>
  <c r="N226" i="1"/>
  <c r="M224" i="1"/>
  <c r="M223" i="1"/>
  <c r="M218" i="1"/>
  <c r="Q222" i="1"/>
  <c r="O218" i="1"/>
  <c r="P216" i="1"/>
  <c r="O214" i="1"/>
  <c r="O210" i="1"/>
  <c r="M205" i="1"/>
  <c r="M203" i="1"/>
  <c r="K201" i="1"/>
  <c r="N196" i="1"/>
  <c r="Q193" i="1"/>
  <c r="Q179" i="1"/>
  <c r="Q161" i="1"/>
  <c r="L155" i="1"/>
  <c r="L151" i="1"/>
  <c r="O138" i="1"/>
  <c r="O129" i="1"/>
  <c r="O133" i="1"/>
  <c r="O130" i="1"/>
  <c r="L308" i="1"/>
  <c r="M303" i="1"/>
  <c r="P294" i="1"/>
  <c r="P285" i="1"/>
  <c r="L267" i="1"/>
  <c r="K248" i="1"/>
  <c r="M246" i="1"/>
  <c r="K243" i="1"/>
  <c r="K242" i="1"/>
  <c r="K241" i="1"/>
  <c r="K240" i="1"/>
  <c r="K239" i="1"/>
  <c r="K237" i="1"/>
  <c r="K232" i="1"/>
  <c r="Q241" i="1"/>
  <c r="P237" i="1"/>
  <c r="P233" i="1"/>
  <c r="O231" i="1"/>
  <c r="Q227" i="1"/>
  <c r="N214" i="1"/>
  <c r="M210" i="1"/>
  <c r="L205" i="1"/>
  <c r="L203" i="1"/>
  <c r="Q201" i="1"/>
  <c r="M196" i="1"/>
  <c r="P193" i="1"/>
  <c r="P192" i="1"/>
  <c r="L171" i="1"/>
  <c r="L168" i="1"/>
  <c r="L169" i="1"/>
  <c r="K283" i="1"/>
  <c r="K282" i="1"/>
  <c r="K281" i="1"/>
  <c r="O270" i="1"/>
  <c r="K267" i="1"/>
  <c r="Q265" i="1"/>
  <c r="K263" i="1"/>
  <c r="K262" i="1"/>
  <c r="K261" i="1"/>
  <c r="O258" i="1"/>
  <c r="L257" i="1"/>
  <c r="Q253" i="1"/>
  <c r="L246" i="1"/>
  <c r="P241" i="1"/>
  <c r="P236" i="1"/>
  <c r="O233" i="1"/>
  <c r="N231" i="1"/>
  <c r="L226" i="1"/>
  <c r="K224" i="1"/>
  <c r="K222" i="1"/>
  <c r="K221" i="1"/>
  <c r="K216" i="1"/>
  <c r="M222" i="1"/>
  <c r="N216" i="1"/>
  <c r="N215" i="1"/>
  <c r="L210" i="1"/>
  <c r="K205" i="1"/>
  <c r="O199" i="1"/>
  <c r="L196" i="1"/>
  <c r="M193" i="1"/>
  <c r="O193" i="1"/>
  <c r="O192" i="1"/>
  <c r="O191" i="1"/>
  <c r="L189" i="1"/>
  <c r="O178" i="1"/>
  <c r="O177" i="1"/>
  <c r="O176" i="1"/>
  <c r="O175" i="1"/>
  <c r="M172" i="1"/>
  <c r="M176" i="1"/>
  <c r="M171" i="1"/>
  <c r="M175" i="1"/>
  <c r="M174" i="1"/>
  <c r="K169" i="1"/>
  <c r="K168" i="1"/>
  <c r="N140" i="1"/>
  <c r="N309" i="1"/>
  <c r="M304" i="1"/>
  <c r="R304" i="1" s="1"/>
  <c r="S331" i="1" s="1"/>
  <c r="P291" i="1"/>
  <c r="M288" i="1"/>
  <c r="N270" i="1"/>
  <c r="Q260" i="1"/>
  <c r="N258" i="1"/>
  <c r="K257" i="1"/>
  <c r="P253" i="1"/>
  <c r="K246" i="1"/>
  <c r="N241" i="1"/>
  <c r="N237" i="1"/>
  <c r="M231" i="1"/>
  <c r="L229" i="1"/>
  <c r="L228" i="1"/>
  <c r="N227" i="1"/>
  <c r="M216" i="1"/>
  <c r="L214" i="1"/>
  <c r="L213" i="1"/>
  <c r="L212" i="1"/>
  <c r="L211" i="1"/>
  <c r="K210" i="1"/>
  <c r="Q208" i="1"/>
  <c r="K196" i="1"/>
  <c r="Q189" i="1"/>
  <c r="L224" i="1"/>
  <c r="O219" i="1"/>
  <c r="L217" i="1"/>
  <c r="R217" i="1" s="1"/>
  <c r="S244" i="1" s="1"/>
  <c r="Q209" i="1"/>
  <c r="O195" i="1"/>
  <c r="K182" i="1"/>
  <c r="K172" i="1"/>
  <c r="M162" i="1"/>
  <c r="M160" i="1"/>
  <c r="K145" i="1"/>
  <c r="L142" i="1"/>
  <c r="P137" i="1"/>
  <c r="P135" i="1"/>
  <c r="N132" i="1"/>
  <c r="P132" i="1"/>
  <c r="P131" i="1"/>
  <c r="P133" i="1"/>
  <c r="P111" i="1"/>
  <c r="P99" i="1"/>
  <c r="Q88" i="1"/>
  <c r="Q86" i="1"/>
  <c r="O84" i="1"/>
  <c r="M82" i="1"/>
  <c r="P70" i="1"/>
  <c r="O222" i="1"/>
  <c r="L221" i="1"/>
  <c r="Q207" i="1"/>
  <c r="O198" i="1"/>
  <c r="Q190" i="1"/>
  <c r="L187" i="1"/>
  <c r="P184" i="1"/>
  <c r="P183" i="1"/>
  <c r="P182" i="1"/>
  <c r="Q181" i="1"/>
  <c r="Q175" i="1"/>
  <c r="N174" i="1"/>
  <c r="Q173" i="1"/>
  <c r="P167" i="1"/>
  <c r="P165" i="1"/>
  <c r="M157" i="1"/>
  <c r="K157" i="1"/>
  <c r="K156" i="1"/>
  <c r="K158" i="1"/>
  <c r="K155" i="1"/>
  <c r="L149" i="1"/>
  <c r="L148" i="1"/>
  <c r="K141" i="1"/>
  <c r="P109" i="1"/>
  <c r="P107" i="1"/>
  <c r="O105" i="1"/>
  <c r="O75" i="1"/>
  <c r="P63" i="1"/>
  <c r="P61" i="1"/>
  <c r="P60" i="1"/>
  <c r="P58" i="1"/>
  <c r="P56" i="1"/>
  <c r="P51" i="1"/>
  <c r="P55" i="1"/>
  <c r="P54" i="1"/>
  <c r="P50" i="1"/>
  <c r="P57" i="1"/>
  <c r="P53" i="1"/>
  <c r="Q51" i="1"/>
  <c r="K25" i="1"/>
  <c r="K18" i="1"/>
  <c r="K20" i="1"/>
  <c r="O6" i="1"/>
  <c r="O5" i="1"/>
  <c r="O4" i="1"/>
  <c r="O3" i="1"/>
  <c r="N206" i="1"/>
  <c r="N202" i="1"/>
  <c r="N201" i="1"/>
  <c r="N200" i="1"/>
  <c r="N198" i="1"/>
  <c r="P190" i="1"/>
  <c r="O170" i="1"/>
  <c r="O169" i="1"/>
  <c r="O167" i="1"/>
  <c r="L160" i="1"/>
  <c r="N143" i="1"/>
  <c r="Q136" i="1"/>
  <c r="L125" i="1"/>
  <c r="Q120" i="1"/>
  <c r="M61" i="1"/>
  <c r="M50" i="1"/>
  <c r="M54" i="1"/>
  <c r="N6" i="1"/>
  <c r="N5" i="1"/>
  <c r="N4" i="1"/>
  <c r="N3" i="1"/>
  <c r="O227" i="1"/>
  <c r="L222" i="1"/>
  <c r="Q211" i="1"/>
  <c r="L207" i="1"/>
  <c r="M206" i="1"/>
  <c r="Q199" i="1"/>
  <c r="M191" i="1"/>
  <c r="K179" i="1"/>
  <c r="K178" i="1"/>
  <c r="K177" i="1"/>
  <c r="Q176" i="1"/>
  <c r="P162" i="1"/>
  <c r="P161" i="1"/>
  <c r="P163" i="1"/>
  <c r="P156" i="1"/>
  <c r="M143" i="1"/>
  <c r="K125" i="1"/>
  <c r="Q91" i="1"/>
  <c r="N72" i="1"/>
  <c r="Q67" i="1"/>
  <c r="P65" i="1"/>
  <c r="N63" i="1"/>
  <c r="L18" i="1"/>
  <c r="K4" i="1"/>
  <c r="K3" i="1"/>
  <c r="P229" i="1"/>
  <c r="K228" i="1"/>
  <c r="Q213" i="1"/>
  <c r="M212" i="1"/>
  <c r="L206" i="1"/>
  <c r="Q192" i="1"/>
  <c r="L191" i="1"/>
  <c r="P187" i="1"/>
  <c r="M184" i="1"/>
  <c r="K181" i="1"/>
  <c r="N175" i="1"/>
  <c r="K174" i="1"/>
  <c r="M170" i="1"/>
  <c r="M169" i="1"/>
  <c r="M168" i="1"/>
  <c r="M165" i="1"/>
  <c r="O163" i="1"/>
  <c r="O152" i="1"/>
  <c r="N154" i="1"/>
  <c r="L143" i="1"/>
  <c r="O141" i="1"/>
  <c r="Q132" i="1"/>
  <c r="Q131" i="1"/>
  <c r="P69" i="1"/>
  <c r="L20" i="1"/>
  <c r="Q18" i="1"/>
  <c r="Q13" i="1"/>
  <c r="O16" i="1"/>
  <c r="O15" i="1"/>
  <c r="O14" i="1"/>
  <c r="O13" i="1"/>
  <c r="O10" i="1"/>
  <c r="O12" i="1"/>
  <c r="O11" i="1"/>
  <c r="L6" i="1"/>
  <c r="N229" i="1"/>
  <c r="M227" i="1"/>
  <c r="K219" i="1"/>
  <c r="O204" i="1"/>
  <c r="O203" i="1"/>
  <c r="O202" i="1"/>
  <c r="O201" i="1"/>
  <c r="K191" i="1"/>
  <c r="O187" i="1"/>
  <c r="L184" i="1"/>
  <c r="L170" i="1"/>
  <c r="R170" i="1" s="1"/>
  <c r="S197" i="1" s="1"/>
  <c r="N161" i="1"/>
  <c r="N155" i="1"/>
  <c r="K143" i="1"/>
  <c r="N141" i="1"/>
  <c r="N139" i="1"/>
  <c r="O132" i="1"/>
  <c r="L128" i="1"/>
  <c r="P122" i="1"/>
  <c r="N120" i="1"/>
  <c r="O118" i="1"/>
  <c r="O69" i="1"/>
  <c r="O67" i="1"/>
  <c r="L45" i="1"/>
  <c r="Q38" i="1"/>
  <c r="P230" i="1"/>
  <c r="P228" i="1"/>
  <c r="O224" i="1"/>
  <c r="L223" i="1"/>
  <c r="L220" i="1"/>
  <c r="Q214" i="1"/>
  <c r="O213" i="1"/>
  <c r="N199" i="1"/>
  <c r="Q191" i="1"/>
  <c r="N187" i="1"/>
  <c r="K184" i="1"/>
  <c r="Q182" i="1"/>
  <c r="L180" i="1"/>
  <c r="L179" i="1"/>
  <c r="L178" i="1"/>
  <c r="Q177" i="1"/>
  <c r="N176" i="1"/>
  <c r="L175" i="1"/>
  <c r="M163" i="1"/>
  <c r="L154" i="1"/>
  <c r="L153" i="1"/>
  <c r="L150" i="1"/>
  <c r="N137" i="1"/>
  <c r="N131" i="1"/>
  <c r="N135" i="1"/>
  <c r="N130" i="1"/>
  <c r="Q124" i="1"/>
  <c r="Q122" i="1"/>
  <c r="Q121" i="1"/>
  <c r="Q119" i="1"/>
  <c r="Q114" i="1"/>
  <c r="Q113" i="1"/>
  <c r="Q116" i="1"/>
  <c r="Q112" i="1"/>
  <c r="O122" i="1"/>
  <c r="O120" i="1"/>
  <c r="O119" i="1"/>
  <c r="O117" i="1"/>
  <c r="O113" i="1"/>
  <c r="O112" i="1"/>
  <c r="O116" i="1"/>
  <c r="O114" i="1"/>
  <c r="M120" i="1"/>
  <c r="M118" i="1"/>
  <c r="M117" i="1"/>
  <c r="M115" i="1"/>
  <c r="M109" i="1"/>
  <c r="M112" i="1"/>
  <c r="M108" i="1"/>
  <c r="M111" i="1"/>
  <c r="M107" i="1"/>
  <c r="M114" i="1"/>
  <c r="Q56" i="1"/>
  <c r="M221" i="1"/>
  <c r="O207" i="1"/>
  <c r="M187" i="1"/>
  <c r="Q185" i="1"/>
  <c r="Q184" i="1"/>
  <c r="Q183" i="1"/>
  <c r="K175" i="1"/>
  <c r="O168" i="1"/>
  <c r="L163" i="1"/>
  <c r="L162" i="1"/>
  <c r="L161" i="1"/>
  <c r="N158" i="1"/>
  <c r="P159" i="1"/>
  <c r="P157" i="1"/>
  <c r="K154" i="1"/>
  <c r="Q150" i="1"/>
  <c r="L136" i="1"/>
  <c r="P124" i="1"/>
  <c r="P113" i="1"/>
  <c r="P112" i="1"/>
  <c r="N122" i="1"/>
  <c r="L120" i="1"/>
  <c r="L108" i="1"/>
  <c r="L111" i="1"/>
  <c r="O110" i="1"/>
  <c r="M34" i="1"/>
  <c r="N228" i="1"/>
  <c r="N222" i="1"/>
  <c r="N207" i="1"/>
  <c r="M192" i="1"/>
  <c r="K171" i="1"/>
  <c r="O157" i="1"/>
  <c r="P150" i="1"/>
  <c r="K146" i="1"/>
  <c r="Q126" i="1"/>
  <c r="O124" i="1"/>
  <c r="M110" i="1"/>
  <c r="O94" i="1"/>
  <c r="M90" i="1"/>
  <c r="P52" i="1"/>
  <c r="P42" i="1"/>
  <c r="Q229" i="1"/>
  <c r="O223" i="1"/>
  <c r="M207" i="1"/>
  <c r="P204" i="1"/>
  <c r="P203" i="1"/>
  <c r="P202" i="1"/>
  <c r="K203" i="1"/>
  <c r="O200" i="1"/>
  <c r="L192" i="1"/>
  <c r="M181" i="1"/>
  <c r="M180" i="1"/>
  <c r="M179" i="1"/>
  <c r="Q178" i="1"/>
  <c r="K176" i="1"/>
  <c r="Q171" i="1"/>
  <c r="Q156" i="1"/>
  <c r="O150" i="1"/>
  <c r="M148" i="1"/>
  <c r="Q146" i="1"/>
  <c r="K137" i="1"/>
  <c r="L132" i="1"/>
  <c r="P128" i="1"/>
  <c r="P126" i="1"/>
  <c r="N124" i="1"/>
  <c r="L122" i="1"/>
  <c r="L110" i="1"/>
  <c r="N94" i="1"/>
  <c r="L85" i="1"/>
  <c r="Q80" i="1"/>
  <c r="Q78" i="1"/>
  <c r="N52" i="1"/>
  <c r="Q44" i="1"/>
  <c r="Q42" i="1"/>
  <c r="Q41" i="1"/>
  <c r="Q40" i="1"/>
  <c r="Q39" i="1"/>
  <c r="Q37" i="1"/>
  <c r="Q34" i="1"/>
  <c r="Q33" i="1"/>
  <c r="Q36" i="1"/>
  <c r="Q32" i="1"/>
  <c r="O42" i="1"/>
  <c r="O40" i="1"/>
  <c r="O39" i="1"/>
  <c r="O38" i="1"/>
  <c r="O37" i="1"/>
  <c r="O35" i="1"/>
  <c r="O33" i="1"/>
  <c r="O32" i="1"/>
  <c r="O36" i="1"/>
  <c r="O34" i="1"/>
  <c r="M40" i="1"/>
  <c r="M38" i="1"/>
  <c r="M37" i="1"/>
  <c r="M36" i="1"/>
  <c r="M35" i="1"/>
  <c r="M33" i="1"/>
  <c r="M29" i="1"/>
  <c r="M32" i="1"/>
  <c r="M31" i="1"/>
  <c r="Q188" i="1"/>
  <c r="N185" i="1"/>
  <c r="M177" i="1"/>
  <c r="P171" i="1"/>
  <c r="Q166" i="1"/>
  <c r="Q164" i="1"/>
  <c r="P146" i="1"/>
  <c r="P145" i="1"/>
  <c r="Q144" i="1"/>
  <c r="Q142" i="1"/>
  <c r="Q141" i="1"/>
  <c r="O128" i="1"/>
  <c r="O126" i="1"/>
  <c r="N114" i="1"/>
  <c r="L112" i="1"/>
  <c r="M96" i="1"/>
  <c r="O70" i="1"/>
  <c r="M52" i="1"/>
  <c r="Q3" i="1"/>
  <c r="O229" i="1"/>
  <c r="P224" i="1"/>
  <c r="P208" i="1"/>
  <c r="P188" i="1"/>
  <c r="M185" i="1"/>
  <c r="L177" i="1"/>
  <c r="P166" i="1"/>
  <c r="L158" i="1"/>
  <c r="L157" i="1"/>
  <c r="L159" i="1"/>
  <c r="P151" i="1"/>
  <c r="M149" i="1"/>
  <c r="M142" i="1"/>
  <c r="K148" i="1"/>
  <c r="O146" i="1"/>
  <c r="P144" i="1"/>
  <c r="P140" i="1"/>
  <c r="N133" i="1"/>
  <c r="N128" i="1"/>
  <c r="Q110" i="1"/>
  <c r="P76" i="1"/>
  <c r="M74" i="1"/>
  <c r="M70" i="1"/>
  <c r="O54" i="1"/>
  <c r="M47" i="1"/>
  <c r="Q48" i="1"/>
  <c r="O44" i="1"/>
  <c r="M42" i="1"/>
  <c r="Q21" i="1"/>
  <c r="O208" i="1"/>
  <c r="P201" i="1"/>
  <c r="O188" i="1"/>
  <c r="L185" i="1"/>
  <c r="N182" i="1"/>
  <c r="N181" i="1"/>
  <c r="N180" i="1"/>
  <c r="N178" i="1"/>
  <c r="N170" i="1"/>
  <c r="N171" i="1"/>
  <c r="O166" i="1"/>
  <c r="O165" i="1"/>
  <c r="K159" i="1"/>
  <c r="O151" i="1"/>
  <c r="N146" i="1"/>
  <c r="O139" i="1"/>
  <c r="P138" i="1"/>
  <c r="M128" i="1"/>
  <c r="P110" i="1"/>
  <c r="P82" i="1"/>
  <c r="N80" i="1"/>
  <c r="P48" i="1"/>
  <c r="P46" i="1"/>
  <c r="P21" i="1"/>
  <c r="Q225" i="1"/>
  <c r="K223" i="1"/>
  <c r="N208" i="1"/>
  <c r="Q205" i="1"/>
  <c r="Q203" i="1"/>
  <c r="L204" i="1"/>
  <c r="K199" i="1"/>
  <c r="K198" i="1"/>
  <c r="K197" i="1"/>
  <c r="R197" i="1" s="1"/>
  <c r="S224" i="1" s="1"/>
  <c r="N188" i="1"/>
  <c r="K185" i="1"/>
  <c r="M178" i="1"/>
  <c r="N166" i="1"/>
  <c r="N164" i="1"/>
  <c r="P164" i="1"/>
  <c r="O159" i="1"/>
  <c r="N151" i="1"/>
  <c r="M146" i="1"/>
  <c r="N138" i="1"/>
  <c r="Q115" i="1"/>
  <c r="Q84" i="1"/>
  <c r="Q82" i="1"/>
  <c r="Q81" i="1"/>
  <c r="Q79" i="1"/>
  <c r="Q74" i="1"/>
  <c r="Q73" i="1"/>
  <c r="Q76" i="1"/>
  <c r="Q72" i="1"/>
  <c r="O82" i="1"/>
  <c r="O80" i="1"/>
  <c r="O79" i="1"/>
  <c r="O77" i="1"/>
  <c r="O73" i="1"/>
  <c r="O72" i="1"/>
  <c r="O76" i="1"/>
  <c r="O74" i="1"/>
  <c r="M80" i="1"/>
  <c r="M78" i="1"/>
  <c r="M77" i="1"/>
  <c r="M75" i="1"/>
  <c r="M69" i="1"/>
  <c r="M72" i="1"/>
  <c r="M68" i="1"/>
  <c r="M71" i="1"/>
  <c r="M67" i="1"/>
  <c r="O48" i="1"/>
  <c r="Q170" i="1"/>
  <c r="L165" i="1"/>
  <c r="M140" i="1"/>
  <c r="M138" i="1"/>
  <c r="Q138" i="1"/>
  <c r="Q128" i="1"/>
  <c r="N117" i="1"/>
  <c r="N110" i="1"/>
  <c r="K98" i="1"/>
  <c r="K97" i="1"/>
  <c r="K96" i="1"/>
  <c r="K95" i="1"/>
  <c r="K93" i="1"/>
  <c r="M93" i="1"/>
  <c r="K88" i="1"/>
  <c r="N77" i="1"/>
  <c r="K58" i="1"/>
  <c r="K57" i="1"/>
  <c r="K56" i="1"/>
  <c r="K55" i="1"/>
  <c r="K54" i="1"/>
  <c r="K53" i="1"/>
  <c r="K51" i="1"/>
  <c r="O56" i="1"/>
  <c r="K48" i="1"/>
  <c r="N27" i="1"/>
  <c r="L25" i="1"/>
  <c r="L23" i="1"/>
  <c r="L22" i="1"/>
  <c r="L21" i="1"/>
  <c r="K17" i="1"/>
  <c r="Q70" i="1"/>
  <c r="P67" i="1"/>
  <c r="Q65" i="1"/>
  <c r="O63" i="1"/>
  <c r="N61" i="1"/>
  <c r="N59" i="1"/>
  <c r="N58" i="1"/>
  <c r="N57" i="1"/>
  <c r="N56" i="1"/>
  <c r="N54" i="1"/>
  <c r="N49" i="1"/>
  <c r="Q46" i="1"/>
  <c r="P44" i="1"/>
  <c r="N42" i="1"/>
  <c r="N40" i="1"/>
  <c r="P35" i="1"/>
  <c r="P31" i="1"/>
  <c r="Q30" i="1"/>
  <c r="N21" i="1"/>
  <c r="O8" i="1"/>
  <c r="M6" i="1"/>
  <c r="L80" i="1"/>
  <c r="O78" i="1"/>
  <c r="N67" i="1"/>
  <c r="O65" i="1"/>
  <c r="M63" i="1"/>
  <c r="L61" i="1"/>
  <c r="M59" i="1"/>
  <c r="N53" i="1"/>
  <c r="L49" i="1"/>
  <c r="O46" i="1"/>
  <c r="N44" i="1"/>
  <c r="L42" i="1"/>
  <c r="L40" i="1"/>
  <c r="N31" i="1"/>
  <c r="L28" i="1"/>
  <c r="P18" i="1"/>
  <c r="N16" i="1"/>
  <c r="N14" i="1"/>
  <c r="N13" i="1"/>
  <c r="N12" i="1"/>
  <c r="P12" i="1"/>
  <c r="M8" i="1"/>
  <c r="K6" i="1"/>
  <c r="K163" i="1"/>
  <c r="M141" i="1"/>
  <c r="Q139" i="1"/>
  <c r="L134" i="1"/>
  <c r="P129" i="1"/>
  <c r="N126" i="1"/>
  <c r="M124" i="1"/>
  <c r="K122" i="1"/>
  <c r="K120" i="1"/>
  <c r="N108" i="1"/>
  <c r="N105" i="1"/>
  <c r="L103" i="1"/>
  <c r="K101" i="1"/>
  <c r="L99" i="1"/>
  <c r="L98" i="1"/>
  <c r="L97" i="1"/>
  <c r="L96" i="1"/>
  <c r="L94" i="1"/>
  <c r="L93" i="1"/>
  <c r="K89" i="1"/>
  <c r="N86" i="1"/>
  <c r="M84" i="1"/>
  <c r="K82" i="1"/>
  <c r="K80" i="1"/>
  <c r="L72" i="1"/>
  <c r="N65" i="1"/>
  <c r="L63" i="1"/>
  <c r="K61" i="1"/>
  <c r="L59" i="1"/>
  <c r="L58" i="1"/>
  <c r="L57" i="1"/>
  <c r="L56" i="1"/>
  <c r="L55" i="1"/>
  <c r="L54" i="1"/>
  <c r="L52" i="1"/>
  <c r="L53" i="1"/>
  <c r="K49" i="1"/>
  <c r="N46" i="1"/>
  <c r="M44" i="1"/>
  <c r="K42" i="1"/>
  <c r="K40" i="1"/>
  <c r="K28" i="1"/>
  <c r="P26" i="1"/>
  <c r="O18" i="1"/>
  <c r="M16" i="1"/>
  <c r="N9" i="1"/>
  <c r="Q163" i="1"/>
  <c r="Q162" i="1"/>
  <c r="M159" i="1"/>
  <c r="M158" i="1"/>
  <c r="Q157" i="1"/>
  <c r="M156" i="1"/>
  <c r="N152" i="1"/>
  <c r="P147" i="1"/>
  <c r="M144" i="1"/>
  <c r="L138" i="1"/>
  <c r="M130" i="1"/>
  <c r="M126" i="1"/>
  <c r="L124" i="1"/>
  <c r="O115" i="1"/>
  <c r="K114" i="1"/>
  <c r="M105" i="1"/>
  <c r="K103" i="1"/>
  <c r="K99" i="1"/>
  <c r="Q89" i="1"/>
  <c r="M86" i="1"/>
  <c r="L84" i="1"/>
  <c r="K74" i="1"/>
  <c r="L71" i="1"/>
  <c r="M65" i="1"/>
  <c r="R65" i="1" s="1"/>
  <c r="S92" i="1" s="1"/>
  <c r="K63" i="1"/>
  <c r="K59" i="1"/>
  <c r="Q54" i="1"/>
  <c r="Q49" i="1"/>
  <c r="M46" i="1"/>
  <c r="L44" i="1"/>
  <c r="L31" i="1"/>
  <c r="Q28" i="1"/>
  <c r="O26" i="1"/>
  <c r="O25" i="1"/>
  <c r="O24" i="1"/>
  <c r="O23" i="1"/>
  <c r="Q22" i="1"/>
  <c r="N18" i="1"/>
  <c r="L16" i="1"/>
  <c r="K14" i="1"/>
  <c r="K13" i="1"/>
  <c r="K12" i="1"/>
  <c r="K11" i="1"/>
  <c r="M9" i="1"/>
  <c r="O147" i="1"/>
  <c r="L144" i="1"/>
  <c r="K138" i="1"/>
  <c r="K136" i="1"/>
  <c r="M135" i="1"/>
  <c r="M133" i="1"/>
  <c r="L130" i="1"/>
  <c r="K124" i="1"/>
  <c r="R124" i="1" s="1"/>
  <c r="S151" i="1" s="1"/>
  <c r="L105" i="1"/>
  <c r="R105" i="1" s="1"/>
  <c r="S132" i="1" s="1"/>
  <c r="O95" i="1"/>
  <c r="P89" i="1"/>
  <c r="K84" i="1"/>
  <c r="L78" i="1"/>
  <c r="L68" i="1"/>
  <c r="L65" i="1"/>
  <c r="O50" i="1"/>
  <c r="P49" i="1"/>
  <c r="K44" i="1"/>
  <c r="L38" i="1"/>
  <c r="P32" i="1"/>
  <c r="P28" i="1"/>
  <c r="N26" i="1"/>
  <c r="N24" i="1"/>
  <c r="N23" i="1"/>
  <c r="N22" i="1"/>
  <c r="P22" i="1"/>
  <c r="M18" i="1"/>
  <c r="K16" i="1"/>
  <c r="R16" i="1" s="1"/>
  <c r="S43" i="1" s="1"/>
  <c r="L9" i="1"/>
  <c r="N167" i="1"/>
  <c r="P158" i="1"/>
  <c r="P153" i="1"/>
  <c r="N147" i="1"/>
  <c r="K144" i="1"/>
  <c r="P142" i="1"/>
  <c r="P139" i="1"/>
  <c r="K135" i="1"/>
  <c r="K130" i="1"/>
  <c r="K118" i="1"/>
  <c r="K117" i="1"/>
  <c r="K116" i="1"/>
  <c r="K115" i="1"/>
  <c r="K113" i="1"/>
  <c r="K108" i="1"/>
  <c r="N97" i="1"/>
  <c r="M87" i="1"/>
  <c r="K78" i="1"/>
  <c r="R78" i="1" s="1"/>
  <c r="S105" i="1" s="1"/>
  <c r="K77" i="1"/>
  <c r="K76" i="1"/>
  <c r="K75" i="1"/>
  <c r="K73" i="1"/>
  <c r="M73" i="1"/>
  <c r="K68" i="1"/>
  <c r="N50" i="1"/>
  <c r="K38" i="1"/>
  <c r="K37" i="1"/>
  <c r="K36" i="1"/>
  <c r="K35" i="1"/>
  <c r="K34" i="1"/>
  <c r="K33" i="1"/>
  <c r="K31" i="1"/>
  <c r="O28" i="1"/>
  <c r="M26" i="1"/>
  <c r="L24" i="1"/>
  <c r="O22" i="1"/>
  <c r="N19" i="1"/>
  <c r="K9" i="1"/>
  <c r="R9" i="1" s="1"/>
  <c r="S36" i="1" s="1"/>
  <c r="N157" i="1"/>
  <c r="O142" i="1"/>
  <c r="O140" i="1"/>
  <c r="O136" i="1"/>
  <c r="N134" i="1"/>
  <c r="Q130" i="1"/>
  <c r="L127" i="1"/>
  <c r="L115" i="1"/>
  <c r="Q108" i="1"/>
  <c r="Q100" i="1"/>
  <c r="M94" i="1"/>
  <c r="L87" i="1"/>
  <c r="L75" i="1"/>
  <c r="Q68" i="1"/>
  <c r="Q60" i="1"/>
  <c r="L47" i="1"/>
  <c r="N32" i="1"/>
  <c r="N28" i="1"/>
  <c r="L26" i="1"/>
  <c r="K24" i="1"/>
  <c r="K23" i="1"/>
  <c r="K22" i="1"/>
  <c r="K21" i="1"/>
  <c r="Q9" i="1"/>
  <c r="Q7" i="1"/>
  <c r="Q6" i="1"/>
  <c r="Q5" i="1"/>
  <c r="Q4" i="1"/>
  <c r="Q168" i="1"/>
  <c r="M164" i="1"/>
  <c r="O162" i="1"/>
  <c r="N153" i="1"/>
  <c r="K151" i="1"/>
  <c r="Q145" i="1"/>
  <c r="N142" i="1"/>
  <c r="N136" i="1"/>
  <c r="O131" i="1"/>
  <c r="Q123" i="1"/>
  <c r="P116" i="1"/>
  <c r="P108" i="1"/>
  <c r="P102" i="1"/>
  <c r="L90" i="1"/>
  <c r="K87" i="1"/>
  <c r="Q83" i="1"/>
  <c r="Q77" i="1"/>
  <c r="P68" i="1"/>
  <c r="P62" i="1"/>
  <c r="L50" i="1"/>
  <c r="K47" i="1"/>
  <c r="Q43" i="1"/>
  <c r="M28" i="1"/>
  <c r="K26" i="1"/>
  <c r="L19" i="1"/>
  <c r="P10" i="1"/>
  <c r="P9" i="1"/>
  <c r="P7" i="1"/>
  <c r="P6" i="1"/>
  <c r="P5" i="1"/>
  <c r="P4" i="1"/>
  <c r="P3" i="1"/>
  <c r="P168" i="1"/>
  <c r="L164" i="1"/>
  <c r="N160" i="1"/>
  <c r="N159" i="1"/>
  <c r="Q154" i="1"/>
  <c r="Q148" i="1"/>
  <c r="M139" i="1"/>
  <c r="O135" i="1"/>
  <c r="Q127" i="1"/>
  <c r="P123" i="1"/>
  <c r="P121" i="1"/>
  <c r="P120" i="1"/>
  <c r="P118" i="1"/>
  <c r="O121" i="1"/>
  <c r="P119" i="1"/>
  <c r="K112" i="1"/>
  <c r="O108" i="1"/>
  <c r="K106" i="1"/>
  <c r="Q104" i="1"/>
  <c r="Q102" i="1"/>
  <c r="Q101" i="1"/>
  <c r="Q99" i="1"/>
  <c r="O102" i="1"/>
  <c r="O100" i="1"/>
  <c r="O99" i="1"/>
  <c r="O97" i="1"/>
  <c r="Q98" i="1"/>
  <c r="Q95" i="1"/>
  <c r="K90" i="1"/>
  <c r="Q87" i="1"/>
  <c r="P83" i="1"/>
  <c r="P81" i="1"/>
  <c r="P80" i="1"/>
  <c r="P78" i="1"/>
  <c r="O81" i="1"/>
  <c r="P79" i="1"/>
  <c r="K72" i="1"/>
  <c r="R72" i="1" s="1"/>
  <c r="S99" i="1" s="1"/>
  <c r="O68" i="1"/>
  <c r="K66" i="1"/>
  <c r="Q64" i="1"/>
  <c r="Q62" i="1"/>
  <c r="Q61" i="1"/>
  <c r="Q59" i="1"/>
  <c r="O62" i="1"/>
  <c r="O60" i="1"/>
  <c r="O59" i="1"/>
  <c r="O57" i="1"/>
  <c r="O55" i="1"/>
  <c r="Q58" i="1"/>
  <c r="Q55" i="1"/>
  <c r="K50" i="1"/>
  <c r="Q47" i="1"/>
  <c r="P43" i="1"/>
  <c r="P41" i="1"/>
  <c r="P40" i="1"/>
  <c r="P39" i="1"/>
  <c r="P38" i="1"/>
  <c r="P36" i="1"/>
  <c r="O41" i="1"/>
  <c r="K32" i="1"/>
  <c r="K19" i="1"/>
  <c r="R19" i="1" s="1"/>
  <c r="S46" i="1" s="1"/>
  <c r="O9" i="1"/>
  <c r="O7" i="1"/>
  <c r="M5" i="1"/>
  <c r="M4" i="1"/>
  <c r="M3" i="1"/>
  <c r="K164" i="1"/>
  <c r="M161" i="1"/>
  <c r="P154" i="1"/>
  <c r="P148" i="1"/>
  <c r="L139" i="1"/>
  <c r="L137" i="1"/>
  <c r="K134" i="1"/>
  <c r="M131" i="1"/>
  <c r="P127" i="1"/>
  <c r="Q125" i="1"/>
  <c r="O123" i="1"/>
  <c r="N121" i="1"/>
  <c r="N119" i="1"/>
  <c r="N118" i="1"/>
  <c r="N116" i="1"/>
  <c r="N109" i="1"/>
  <c r="Q106" i="1"/>
  <c r="P104" i="1"/>
  <c r="N102" i="1"/>
  <c r="N100" i="1"/>
  <c r="K91" i="1"/>
  <c r="Q90" i="1"/>
  <c r="P87" i="1"/>
  <c r="Q85" i="1"/>
  <c r="O83" i="1"/>
  <c r="N81" i="1"/>
  <c r="N79" i="1"/>
  <c r="N78" i="1"/>
  <c r="N76" i="1"/>
  <c r="N74" i="1"/>
  <c r="P73" i="1"/>
  <c r="N69" i="1"/>
  <c r="Q66" i="1"/>
  <c r="P64" i="1"/>
  <c r="N62" i="1"/>
  <c r="N60" i="1"/>
  <c r="Q50" i="1"/>
  <c r="P47" i="1"/>
  <c r="Q45" i="1"/>
  <c r="O43" i="1"/>
  <c r="N41" i="1"/>
  <c r="N39" i="1"/>
  <c r="N38" i="1"/>
  <c r="N37" i="1"/>
  <c r="N36" i="1"/>
  <c r="N34" i="1"/>
  <c r="P33" i="1"/>
  <c r="Q19" i="1"/>
  <c r="Q17" i="1"/>
  <c r="Q16" i="1"/>
  <c r="Q15" i="1"/>
  <c r="Q14" i="1"/>
  <c r="N10" i="1"/>
  <c r="N7" i="1"/>
  <c r="L5" i="1"/>
  <c r="L4" i="1"/>
  <c r="L3" i="1"/>
  <c r="Q165" i="1"/>
  <c r="O158" i="1"/>
  <c r="O154" i="1"/>
  <c r="O148" i="1"/>
  <c r="N145" i="1"/>
  <c r="K142" i="1"/>
  <c r="K139" i="1"/>
  <c r="P136" i="1"/>
  <c r="L131" i="1"/>
  <c r="O127" i="1"/>
  <c r="P125" i="1"/>
  <c r="N123" i="1"/>
  <c r="M121" i="1"/>
  <c r="M116" i="1"/>
  <c r="K111" i="1"/>
  <c r="P106" i="1"/>
  <c r="O104" i="1"/>
  <c r="M102" i="1"/>
  <c r="M100" i="1"/>
  <c r="M98" i="1"/>
  <c r="M97" i="1"/>
  <c r="M95" i="1"/>
  <c r="P96" i="1"/>
  <c r="O91" i="1"/>
  <c r="O87" i="1"/>
  <c r="P85" i="1"/>
  <c r="N83" i="1"/>
  <c r="M81" i="1"/>
  <c r="M76" i="1"/>
  <c r="P66" i="1"/>
  <c r="O64" i="1"/>
  <c r="M62" i="1"/>
  <c r="M60" i="1"/>
  <c r="M58" i="1"/>
  <c r="M57" i="1"/>
  <c r="M56" i="1"/>
  <c r="M55" i="1"/>
  <c r="M53" i="1"/>
  <c r="N55" i="1"/>
  <c r="O51" i="1"/>
  <c r="O47" i="1"/>
  <c r="P45" i="1"/>
  <c r="N43" i="1"/>
  <c r="M41" i="1"/>
  <c r="L29" i="1"/>
  <c r="P20" i="1"/>
  <c r="P19" i="1"/>
  <c r="P17" i="1"/>
  <c r="P15" i="1"/>
  <c r="P14" i="1"/>
  <c r="P13" i="1"/>
  <c r="N15" i="1"/>
  <c r="M10" i="1"/>
  <c r="M7" i="1"/>
  <c r="K5" i="1"/>
  <c r="Q169" i="1"/>
  <c r="Q155" i="1"/>
  <c r="L152" i="1"/>
  <c r="M145" i="1"/>
  <c r="Q143" i="1"/>
  <c r="Q140" i="1"/>
  <c r="O137" i="1"/>
  <c r="L135" i="1"/>
  <c r="N127" i="1"/>
  <c r="O125" i="1"/>
  <c r="M123" i="1"/>
  <c r="L121" i="1"/>
  <c r="M119" i="1"/>
  <c r="P117" i="1"/>
  <c r="N113" i="1"/>
  <c r="O106" i="1"/>
  <c r="N104" i="1"/>
  <c r="L102" i="1"/>
  <c r="L100" i="1"/>
  <c r="O98" i="1"/>
  <c r="N87" i="1"/>
  <c r="O85" i="1"/>
  <c r="M83" i="1"/>
  <c r="L81" i="1"/>
  <c r="M79" i="1"/>
  <c r="P77" i="1"/>
  <c r="N73" i="1"/>
  <c r="O66" i="1"/>
  <c r="N64" i="1"/>
  <c r="L62" i="1"/>
  <c r="L60" i="1"/>
  <c r="O58" i="1"/>
  <c r="N51" i="1"/>
  <c r="N47" i="1"/>
  <c r="O45" i="1"/>
  <c r="M43" i="1"/>
  <c r="L41" i="1"/>
  <c r="M39" i="1"/>
  <c r="P37" i="1"/>
  <c r="N33" i="1"/>
  <c r="K29" i="1"/>
  <c r="Q23" i="1"/>
  <c r="O20" i="1"/>
  <c r="O19" i="1"/>
  <c r="O17" i="1"/>
  <c r="M15" i="1"/>
  <c r="M14" i="1"/>
  <c r="M13" i="1"/>
  <c r="M12" i="1"/>
  <c r="L10" i="1"/>
  <c r="L7" i="1"/>
  <c r="P169" i="1"/>
  <c r="O161" i="1"/>
  <c r="O160" i="1"/>
  <c r="L145" i="1"/>
  <c r="P143" i="1"/>
  <c r="P141" i="1"/>
  <c r="M137" i="1"/>
  <c r="N125" i="1"/>
  <c r="L123" i="1"/>
  <c r="K121" i="1"/>
  <c r="L119" i="1"/>
  <c r="L118" i="1"/>
  <c r="L117" i="1"/>
  <c r="L116" i="1"/>
  <c r="L114" i="1"/>
  <c r="Q117" i="1"/>
  <c r="L113" i="1"/>
  <c r="K109" i="1"/>
  <c r="N106" i="1"/>
  <c r="M104" i="1"/>
  <c r="K102" i="1"/>
  <c r="K100" i="1"/>
  <c r="L92" i="1"/>
  <c r="M91" i="1"/>
  <c r="N85" i="1"/>
  <c r="L83" i="1"/>
  <c r="K81" i="1"/>
  <c r="L79" i="1"/>
  <c r="L77" i="1"/>
  <c r="L76" i="1"/>
  <c r="L74" i="1"/>
  <c r="L73" i="1"/>
  <c r="K69" i="1"/>
  <c r="N66" i="1"/>
  <c r="M64" i="1"/>
  <c r="K62" i="1"/>
  <c r="K60" i="1"/>
  <c r="M51" i="1"/>
  <c r="N45" i="1"/>
  <c r="L43" i="1"/>
  <c r="K41" i="1"/>
  <c r="L39" i="1"/>
  <c r="L37" i="1"/>
  <c r="L36" i="1"/>
  <c r="L35" i="1"/>
  <c r="L34" i="1"/>
  <c r="L32" i="1"/>
  <c r="L33" i="1"/>
  <c r="Q29" i="1"/>
  <c r="Q27" i="1"/>
  <c r="Q26" i="1"/>
  <c r="Q25" i="1"/>
  <c r="Q24" i="1"/>
  <c r="N20" i="1"/>
  <c r="N17" i="1"/>
  <c r="L15" i="1"/>
  <c r="L14" i="1"/>
  <c r="L13" i="1"/>
  <c r="L12" i="1"/>
  <c r="L11" i="1"/>
  <c r="K10" i="1"/>
  <c r="K7" i="1"/>
  <c r="N165" i="1"/>
  <c r="N162" i="1"/>
  <c r="Q149" i="1"/>
  <c r="O143" i="1"/>
  <c r="Q137" i="1"/>
  <c r="M136" i="1"/>
  <c r="M125" i="1"/>
  <c r="K123" i="1"/>
  <c r="K119" i="1"/>
  <c r="R119" i="1" s="1"/>
  <c r="S146" i="1" s="1"/>
  <c r="Q109" i="1"/>
  <c r="M106" i="1"/>
  <c r="L104" i="1"/>
  <c r="K94" i="1"/>
  <c r="Q92" i="1"/>
  <c r="L91" i="1"/>
  <c r="M88" i="1"/>
  <c r="M85" i="1"/>
  <c r="K83" i="1"/>
  <c r="K79" i="1"/>
  <c r="Q69" i="1"/>
  <c r="M66" i="1"/>
  <c r="L64" i="1"/>
  <c r="Q52" i="1"/>
  <c r="L51" i="1"/>
  <c r="M48" i="1"/>
  <c r="M45" i="1"/>
  <c r="K43" i="1"/>
  <c r="K39" i="1"/>
  <c r="P30" i="1"/>
  <c r="R30" i="1" s="1"/>
  <c r="S57" i="1" s="1"/>
  <c r="P29" i="1"/>
  <c r="P27" i="1"/>
  <c r="P25" i="1"/>
  <c r="P24" i="1"/>
  <c r="P23" i="1"/>
  <c r="N25" i="1"/>
  <c r="M17" i="1"/>
  <c r="K15" i="1"/>
  <c r="Q11" i="1"/>
  <c r="Q10" i="1"/>
  <c r="R97" i="1" l="1"/>
  <c r="S124" i="1" s="1"/>
  <c r="R258" i="1"/>
  <c r="S285" i="1" s="1"/>
  <c r="R220" i="1"/>
  <c r="S247" i="1" s="1"/>
  <c r="R312" i="1"/>
  <c r="S339" i="1" s="1"/>
  <c r="R173" i="1"/>
  <c r="S200" i="1" s="1"/>
  <c r="R295" i="1"/>
  <c r="S322" i="1" s="1"/>
  <c r="R27" i="1"/>
  <c r="S54" i="1" s="1"/>
  <c r="R129" i="1"/>
  <c r="S156" i="1" s="1"/>
  <c r="R254" i="1"/>
  <c r="S281" i="1" s="1"/>
  <c r="R131" i="1"/>
  <c r="S158" i="1" s="1"/>
  <c r="R71" i="1"/>
  <c r="S98" i="1" s="1"/>
  <c r="R219" i="1"/>
  <c r="S246" i="1" s="1"/>
  <c r="R236" i="1"/>
  <c r="S263" i="1" s="1"/>
  <c r="R150" i="1"/>
  <c r="S177" i="1" s="1"/>
  <c r="R110" i="1"/>
  <c r="S137" i="1" s="1"/>
  <c r="R214" i="1"/>
  <c r="S241" i="1" s="1"/>
  <c r="R232" i="1"/>
  <c r="S259" i="1" s="1"/>
  <c r="R215" i="1"/>
  <c r="S242" i="1" s="1"/>
  <c r="R138" i="1"/>
  <c r="S165" i="1" s="1"/>
  <c r="R64" i="1"/>
  <c r="S91" i="1" s="1"/>
  <c r="R127" i="1"/>
  <c r="S154" i="1" s="1"/>
  <c r="R132" i="1"/>
  <c r="S159" i="1" s="1"/>
  <c r="R52" i="1"/>
  <c r="S79" i="1" s="1"/>
  <c r="R211" i="1"/>
  <c r="S238" i="1" s="1"/>
  <c r="R67" i="1"/>
  <c r="S94" i="1" s="1"/>
  <c r="R260" i="1"/>
  <c r="S287" i="1" s="1"/>
  <c r="R57" i="1"/>
  <c r="S84" i="1" s="1"/>
  <c r="R241" i="1"/>
  <c r="S268" i="1" s="1"/>
  <c r="R306" i="1"/>
  <c r="S333" i="1" s="1"/>
  <c r="R70" i="1"/>
  <c r="S97" i="1" s="1"/>
  <c r="R302" i="1"/>
  <c r="S329" i="1" s="1"/>
  <c r="R62" i="1"/>
  <c r="S89" i="1" s="1"/>
  <c r="R84" i="1"/>
  <c r="S111" i="1" s="1"/>
  <c r="R28" i="1"/>
  <c r="S55" i="1" s="1"/>
  <c r="R107" i="1"/>
  <c r="S134" i="1" s="1"/>
  <c r="R233" i="1"/>
  <c r="S260" i="1" s="1"/>
  <c r="R188" i="1"/>
  <c r="S215" i="1" s="1"/>
  <c r="T215" i="1" s="1"/>
  <c r="R46" i="1"/>
  <c r="S73" i="1" s="1"/>
  <c r="R45" i="1"/>
  <c r="S72" i="1" s="1"/>
  <c r="R223" i="1"/>
  <c r="S250" i="1" s="1"/>
  <c r="R243" i="1"/>
  <c r="S270" i="1" s="1"/>
  <c r="R274" i="1"/>
  <c r="S301" i="1" s="1"/>
  <c r="R311" i="1"/>
  <c r="S338" i="1" s="1"/>
  <c r="R267" i="1"/>
  <c r="S294" i="1" s="1"/>
  <c r="R104" i="1"/>
  <c r="S131" i="1" s="1"/>
  <c r="R87" i="1"/>
  <c r="S114" i="1" s="1"/>
  <c r="R21" i="1"/>
  <c r="S48" i="1" s="1"/>
  <c r="R75" i="1"/>
  <c r="S102" i="1" s="1"/>
  <c r="R42" i="1"/>
  <c r="S69" i="1" s="1"/>
  <c r="R89" i="1"/>
  <c r="S116" i="1" s="1"/>
  <c r="R6" i="1"/>
  <c r="S33" i="1" s="1"/>
  <c r="R250" i="1"/>
  <c r="S277" i="1" s="1"/>
  <c r="R76" i="1"/>
  <c r="S103" i="1" s="1"/>
  <c r="R8" i="1"/>
  <c r="S35" i="1" s="1"/>
  <c r="R309" i="1"/>
  <c r="S336" i="1" s="1"/>
  <c r="R210" i="1"/>
  <c r="S237" i="1" s="1"/>
  <c r="R262" i="1"/>
  <c r="S289" i="1" s="1"/>
  <c r="R126" i="1"/>
  <c r="S153" i="1" s="1"/>
  <c r="R300" i="1"/>
  <c r="S327" i="1" s="1"/>
  <c r="R259" i="1"/>
  <c r="S286" i="1" s="1"/>
  <c r="T286" i="1" s="1"/>
  <c r="R270" i="1"/>
  <c r="S297" i="1" s="1"/>
  <c r="R94" i="1"/>
  <c r="S121" i="1" s="1"/>
  <c r="R73" i="1"/>
  <c r="S100" i="1" s="1"/>
  <c r="R114" i="1"/>
  <c r="S141" i="1" s="1"/>
  <c r="R40" i="1"/>
  <c r="S67" i="1" s="1"/>
  <c r="R163" i="1"/>
  <c r="S190" i="1" s="1"/>
  <c r="R58" i="1"/>
  <c r="S85" i="1" s="1"/>
  <c r="R205" i="1"/>
  <c r="S232" i="1" s="1"/>
  <c r="R263" i="1"/>
  <c r="S290" i="1" s="1"/>
  <c r="R165" i="1"/>
  <c r="S192" i="1" s="1"/>
  <c r="R275" i="1"/>
  <c r="S302" i="1" s="1"/>
  <c r="R133" i="1"/>
  <c r="S160" i="1" s="1"/>
  <c r="R301" i="1"/>
  <c r="S328" i="1" s="1"/>
  <c r="R207" i="1"/>
  <c r="S234" i="1" s="1"/>
  <c r="R140" i="1"/>
  <c r="S167" i="1" s="1"/>
  <c r="R160" i="1"/>
  <c r="S187" i="1" s="1"/>
  <c r="R271" i="1"/>
  <c r="S298" i="1" s="1"/>
  <c r="R305" i="1"/>
  <c r="S332" i="1" s="1"/>
  <c r="R208" i="1"/>
  <c r="S235" i="1" s="1"/>
  <c r="R69" i="1"/>
  <c r="S96" i="1" s="1"/>
  <c r="R22" i="1"/>
  <c r="S49" i="1" s="1"/>
  <c r="R88" i="1"/>
  <c r="S115" i="1" s="1"/>
  <c r="R137" i="1"/>
  <c r="S164" i="1" s="1"/>
  <c r="R168" i="1"/>
  <c r="S195" i="1" s="1"/>
  <c r="R152" i="1"/>
  <c r="S179" i="1" s="1"/>
  <c r="R166" i="1"/>
  <c r="S193" i="1" s="1"/>
  <c r="R286" i="1"/>
  <c r="S313" i="1" s="1"/>
  <c r="R209" i="1"/>
  <c r="S236" i="1" s="1"/>
  <c r="R315" i="1"/>
  <c r="S342" i="1" s="1"/>
  <c r="T342" i="1" s="1"/>
  <c r="R147" i="1"/>
  <c r="S174" i="1" s="1"/>
  <c r="R153" i="1"/>
  <c r="S180" i="1" s="1"/>
  <c r="R32" i="1"/>
  <c r="S59" i="1" s="1"/>
  <c r="R93" i="1"/>
  <c r="S120" i="1" s="1"/>
  <c r="R237" i="1"/>
  <c r="S264" i="1" s="1"/>
  <c r="R149" i="1"/>
  <c r="S176" i="1" s="1"/>
  <c r="R212" i="1"/>
  <c r="S239" i="1" s="1"/>
  <c r="R314" i="1"/>
  <c r="S341" i="1" s="1"/>
  <c r="T341" i="1" s="1"/>
  <c r="R180" i="1"/>
  <c r="S207" i="1" s="1"/>
  <c r="R162" i="1"/>
  <c r="S189" i="1" s="1"/>
  <c r="R39" i="1"/>
  <c r="S66" i="1" s="1"/>
  <c r="R123" i="1"/>
  <c r="S150" i="1" s="1"/>
  <c r="R121" i="1"/>
  <c r="S148" i="1" s="1"/>
  <c r="R29" i="1"/>
  <c r="S56" i="1" s="1"/>
  <c r="R66" i="1"/>
  <c r="S93" i="1" s="1"/>
  <c r="R95" i="1"/>
  <c r="S122" i="1" s="1"/>
  <c r="R148" i="1"/>
  <c r="S175" i="1" s="1"/>
  <c r="R174" i="1"/>
  <c r="S201" i="1" s="1"/>
  <c r="R216" i="1"/>
  <c r="S243" i="1" s="1"/>
  <c r="R282" i="1"/>
  <c r="S309" i="1" s="1"/>
  <c r="R239" i="1"/>
  <c r="S266" i="1" s="1"/>
  <c r="R313" i="1"/>
  <c r="S340" i="1" s="1"/>
  <c r="R213" i="1"/>
  <c r="S240" i="1" s="1"/>
  <c r="R167" i="1"/>
  <c r="S194" i="1" s="1"/>
  <c r="R24" i="1"/>
  <c r="S51" i="1" s="1"/>
  <c r="R49" i="1"/>
  <c r="S76" i="1" s="1"/>
  <c r="R281" i="1"/>
  <c r="S308" i="1" s="1"/>
  <c r="R43" i="1"/>
  <c r="S70" i="1" s="1"/>
  <c r="R5" i="1"/>
  <c r="S32" i="1" s="1"/>
  <c r="R111" i="1"/>
  <c r="S138" i="1" s="1"/>
  <c r="R106" i="1"/>
  <c r="S133" i="1" s="1"/>
  <c r="T133" i="1" s="1"/>
  <c r="R17" i="1"/>
  <c r="S44" i="1" s="1"/>
  <c r="R96" i="1"/>
  <c r="S123" i="1" s="1"/>
  <c r="R184" i="1"/>
  <c r="S211" i="1" s="1"/>
  <c r="R125" i="1"/>
  <c r="S152" i="1" s="1"/>
  <c r="R145" i="1"/>
  <c r="S172" i="1" s="1"/>
  <c r="R221" i="1"/>
  <c r="S248" i="1" s="1"/>
  <c r="R283" i="1"/>
  <c r="S310" i="1" s="1"/>
  <c r="R240" i="1"/>
  <c r="S267" i="1" s="1"/>
  <c r="R285" i="1"/>
  <c r="S312" i="1" s="1"/>
  <c r="R229" i="1"/>
  <c r="S256" i="1" s="1"/>
  <c r="R183" i="1"/>
  <c r="S210" i="1" s="1"/>
  <c r="R277" i="1"/>
  <c r="S304" i="1" s="1"/>
  <c r="R235" i="1"/>
  <c r="S262" i="1" s="1"/>
  <c r="R115" i="1"/>
  <c r="S142" i="1" s="1"/>
  <c r="R59" i="1"/>
  <c r="S86" i="1" s="1"/>
  <c r="R146" i="1"/>
  <c r="S173" i="1" s="1"/>
  <c r="R20" i="1"/>
  <c r="S47" i="1" s="1"/>
  <c r="R141" i="1"/>
  <c r="S168" i="1" s="1"/>
  <c r="R172" i="1"/>
  <c r="S199" i="1" s="1"/>
  <c r="R307" i="1"/>
  <c r="S334" i="1" s="1"/>
  <c r="R251" i="1"/>
  <c r="S278" i="1" s="1"/>
  <c r="R186" i="1"/>
  <c r="S213" i="1" s="1"/>
  <c r="R189" i="1"/>
  <c r="S216" i="1" s="1"/>
  <c r="R284" i="1"/>
  <c r="S311" i="1" s="1"/>
  <c r="R272" i="1"/>
  <c r="S299" i="1" s="1"/>
  <c r="R247" i="1"/>
  <c r="S274" i="1" s="1"/>
  <c r="R222" i="1"/>
  <c r="S249" i="1" s="1"/>
  <c r="R176" i="1"/>
  <c r="S203" i="1" s="1"/>
  <c r="R204" i="1"/>
  <c r="S231" i="1" s="1"/>
  <c r="R31" i="1"/>
  <c r="S58" i="1" s="1"/>
  <c r="R116" i="1"/>
  <c r="S143" i="1" s="1"/>
  <c r="R63" i="1"/>
  <c r="S90" i="1" s="1"/>
  <c r="R18" i="1"/>
  <c r="S45" i="1" s="1"/>
  <c r="R182" i="1"/>
  <c r="S209" i="1" s="1"/>
  <c r="R227" i="1"/>
  <c r="S254" i="1" s="1"/>
  <c r="R289" i="1"/>
  <c r="S316" i="1" s="1"/>
  <c r="R192" i="1"/>
  <c r="S219" i="1" s="1"/>
  <c r="R273" i="1"/>
  <c r="S300" i="1" s="1"/>
  <c r="R187" i="1"/>
  <c r="S214" i="1" s="1"/>
  <c r="R134" i="1"/>
  <c r="S161" i="1" s="1"/>
  <c r="R151" i="1"/>
  <c r="S178" i="1" s="1"/>
  <c r="R33" i="1"/>
  <c r="S60" i="1" s="1"/>
  <c r="R117" i="1"/>
  <c r="S144" i="1" s="1"/>
  <c r="R25" i="1"/>
  <c r="S52" i="1" s="1"/>
  <c r="R246" i="1"/>
  <c r="S273" i="1" s="1"/>
  <c r="R248" i="1"/>
  <c r="S275" i="1" s="1"/>
  <c r="R269" i="1"/>
  <c r="S296" i="1" s="1"/>
  <c r="R231" i="1"/>
  <c r="S258" i="1" s="1"/>
  <c r="R288" i="1"/>
  <c r="S315" i="1" s="1"/>
  <c r="R290" i="1"/>
  <c r="S317" i="1" s="1"/>
  <c r="R310" i="1"/>
  <c r="S337" i="1" s="1"/>
  <c r="R218" i="1"/>
  <c r="S245" i="1" s="1"/>
  <c r="R279" i="1"/>
  <c r="S306" i="1" s="1"/>
  <c r="R278" i="1"/>
  <c r="S305" i="1" s="1"/>
  <c r="R112" i="1"/>
  <c r="S139" i="1" s="1"/>
  <c r="R101" i="1"/>
  <c r="S128" i="1" s="1"/>
  <c r="R26" i="1"/>
  <c r="S53" i="1" s="1"/>
  <c r="R34" i="1"/>
  <c r="S61" i="1" s="1"/>
  <c r="R118" i="1"/>
  <c r="S145" i="1" s="1"/>
  <c r="R11" i="1"/>
  <c r="S38" i="1" s="1"/>
  <c r="T35" i="1" s="1"/>
  <c r="R120" i="1"/>
  <c r="S147" i="1" s="1"/>
  <c r="R48" i="1"/>
  <c r="S75" i="1" s="1"/>
  <c r="R171" i="1"/>
  <c r="S198" i="1" s="1"/>
  <c r="R155" i="1"/>
  <c r="S182" i="1" s="1"/>
  <c r="R291" i="1"/>
  <c r="S318" i="1" s="1"/>
  <c r="R202" i="1"/>
  <c r="S229" i="1" s="1"/>
  <c r="R225" i="1"/>
  <c r="S252" i="1" s="1"/>
  <c r="R161" i="1"/>
  <c r="S188" i="1" s="1"/>
  <c r="R130" i="1"/>
  <c r="S157" i="1" s="1"/>
  <c r="R12" i="1"/>
  <c r="S39" i="1" s="1"/>
  <c r="R122" i="1"/>
  <c r="S149" i="1" s="1"/>
  <c r="R177" i="1"/>
  <c r="S204" i="1" s="1"/>
  <c r="R158" i="1"/>
  <c r="S185" i="1" s="1"/>
  <c r="R257" i="1"/>
  <c r="S284" i="1" s="1"/>
  <c r="R200" i="1"/>
  <c r="S227" i="1" s="1"/>
  <c r="R230" i="1"/>
  <c r="S257" i="1" s="1"/>
  <c r="R190" i="1"/>
  <c r="S217" i="1" s="1"/>
  <c r="R280" i="1"/>
  <c r="S307" i="1" s="1"/>
  <c r="R244" i="1"/>
  <c r="S271" i="1" s="1"/>
  <c r="R292" i="1"/>
  <c r="S319" i="1" s="1"/>
  <c r="R44" i="1"/>
  <c r="S71" i="1" s="1"/>
  <c r="R139" i="1"/>
  <c r="S166" i="1" s="1"/>
  <c r="R191" i="1"/>
  <c r="S218" i="1" s="1"/>
  <c r="R178" i="1"/>
  <c r="S205" i="1" s="1"/>
  <c r="R156" i="1"/>
  <c r="S183" i="1" s="1"/>
  <c r="R193" i="1"/>
  <c r="S220" i="1" s="1"/>
  <c r="R276" i="1"/>
  <c r="S303" i="1" s="1"/>
  <c r="R245" i="1"/>
  <c r="S272" i="1" s="1"/>
  <c r="R194" i="1"/>
  <c r="S221" i="1" s="1"/>
  <c r="R206" i="1"/>
  <c r="S233" i="1" s="1"/>
  <c r="R293" i="1"/>
  <c r="S320" i="1" s="1"/>
  <c r="R77" i="1"/>
  <c r="S104" i="1" s="1"/>
  <c r="R181" i="1"/>
  <c r="S208" i="1" s="1"/>
  <c r="R265" i="1"/>
  <c r="S292" i="1" s="1"/>
  <c r="R238" i="1"/>
  <c r="S265" i="1" s="1"/>
  <c r="R113" i="1"/>
  <c r="S140" i="1" s="1"/>
  <c r="R154" i="1"/>
  <c r="S181" i="1" s="1"/>
  <c r="R224" i="1"/>
  <c r="S251" i="1" s="1"/>
  <c r="R50" i="1"/>
  <c r="S77" i="1" s="1"/>
  <c r="R61" i="1"/>
  <c r="S88" i="1" s="1"/>
  <c r="T84" i="1" s="1"/>
  <c r="R79" i="1"/>
  <c r="S106" i="1" s="1"/>
  <c r="R102" i="1"/>
  <c r="S129" i="1" s="1"/>
  <c r="R13" i="1"/>
  <c r="S40" i="1" s="1"/>
  <c r="R51" i="1"/>
  <c r="S78" i="1" s="1"/>
  <c r="R185" i="1"/>
  <c r="S212" i="1" s="1"/>
  <c r="R83" i="1"/>
  <c r="S110" i="1" s="1"/>
  <c r="R142" i="1"/>
  <c r="S169" i="1" s="1"/>
  <c r="R90" i="1"/>
  <c r="S117" i="1" s="1"/>
  <c r="R47" i="1"/>
  <c r="S74" i="1" s="1"/>
  <c r="R37" i="1"/>
  <c r="S64" i="1" s="1"/>
  <c r="R14" i="1"/>
  <c r="S41" i="1" s="1"/>
  <c r="R53" i="1"/>
  <c r="S80" i="1" s="1"/>
  <c r="R203" i="1"/>
  <c r="S230" i="1" s="1"/>
  <c r="R228" i="1"/>
  <c r="S255" i="1" s="1"/>
  <c r="R179" i="1"/>
  <c r="S206" i="1" s="1"/>
  <c r="R157" i="1"/>
  <c r="S184" i="1" s="1"/>
  <c r="R287" i="1"/>
  <c r="S314" i="1" s="1"/>
  <c r="R255" i="1"/>
  <c r="S282" i="1" s="1"/>
  <c r="R294" i="1"/>
  <c r="S321" i="1" s="1"/>
  <c r="R23" i="1"/>
  <c r="S50" i="1" s="1"/>
  <c r="R108" i="1"/>
  <c r="S135" i="1" s="1"/>
  <c r="R266" i="1"/>
  <c r="S293" i="1" s="1"/>
  <c r="R100" i="1"/>
  <c r="S127" i="1" s="1"/>
  <c r="R74" i="1"/>
  <c r="S101" i="1" s="1"/>
  <c r="R10" i="1"/>
  <c r="S37" i="1" s="1"/>
  <c r="R135" i="1"/>
  <c r="S162" i="1" s="1"/>
  <c r="R38" i="1"/>
  <c r="S65" i="1" s="1"/>
  <c r="R54" i="1"/>
  <c r="S81" i="1" s="1"/>
  <c r="R159" i="1"/>
  <c r="S186" i="1" s="1"/>
  <c r="R175" i="1"/>
  <c r="S202" i="1" s="1"/>
  <c r="R195" i="1"/>
  <c r="S222" i="1" s="1"/>
  <c r="R226" i="1"/>
  <c r="S253" i="1" s="1"/>
  <c r="R297" i="1"/>
  <c r="S324" i="1" s="1"/>
  <c r="R256" i="1"/>
  <c r="S283" i="1" s="1"/>
  <c r="R252" i="1"/>
  <c r="S279" i="1" s="1"/>
  <c r="R169" i="1"/>
  <c r="S196" i="1" s="1"/>
  <c r="R201" i="1"/>
  <c r="S228" i="1" s="1"/>
  <c r="R234" i="1"/>
  <c r="S261" i="1" s="1"/>
  <c r="R7" i="1"/>
  <c r="S34" i="1" s="1"/>
  <c r="R35" i="1"/>
  <c r="S62" i="1" s="1"/>
  <c r="R41" i="1"/>
  <c r="S68" i="1" s="1"/>
  <c r="R36" i="1"/>
  <c r="S63" i="1" s="1"/>
  <c r="R15" i="1"/>
  <c r="S42" i="1" s="1"/>
  <c r="R109" i="1"/>
  <c r="S136" i="1" s="1"/>
  <c r="R91" i="1"/>
  <c r="S118" i="1" s="1"/>
  <c r="R164" i="1"/>
  <c r="S191" i="1" s="1"/>
  <c r="R144" i="1"/>
  <c r="S171" i="1" s="1"/>
  <c r="R99" i="1"/>
  <c r="S126" i="1" s="1"/>
  <c r="R80" i="1"/>
  <c r="S107" i="1" s="1"/>
  <c r="R55" i="1"/>
  <c r="S82" i="1" s="1"/>
  <c r="R198" i="1"/>
  <c r="S225" i="1" s="1"/>
  <c r="R3" i="1"/>
  <c r="S30" i="1" s="1"/>
  <c r="R196" i="1"/>
  <c r="S223" i="1" s="1"/>
  <c r="R298" i="1"/>
  <c r="S325" i="1" s="1"/>
  <c r="R264" i="1"/>
  <c r="S291" i="1" s="1"/>
  <c r="R253" i="1"/>
  <c r="S280" i="1" s="1"/>
  <c r="R136" i="1"/>
  <c r="S163" i="1" s="1"/>
  <c r="R81" i="1"/>
  <c r="S108" i="1" s="1"/>
  <c r="R98" i="1"/>
  <c r="S125" i="1" s="1"/>
  <c r="R143" i="1"/>
  <c r="S170" i="1" s="1"/>
  <c r="R242" i="1"/>
  <c r="S269" i="1" s="1"/>
  <c r="R60" i="1"/>
  <c r="S87" i="1" s="1"/>
  <c r="R68" i="1"/>
  <c r="S95" i="1" s="1"/>
  <c r="R103" i="1"/>
  <c r="S130" i="1" s="1"/>
  <c r="R82" i="1"/>
  <c r="S109" i="1" s="1"/>
  <c r="R56" i="1"/>
  <c r="S83" i="1" s="1"/>
  <c r="R199" i="1"/>
  <c r="S226" i="1" s="1"/>
  <c r="R4" i="1"/>
  <c r="S31" i="1" s="1"/>
  <c r="R261" i="1"/>
  <c r="S288" i="1" s="1"/>
  <c r="R128" i="1"/>
  <c r="S155" i="1" s="1"/>
  <c r="R299" i="1"/>
  <c r="S326" i="1" s="1"/>
  <c r="R268" i="1"/>
  <c r="S295" i="1" s="1"/>
  <c r="R308" i="1"/>
  <c r="S335" i="1" s="1"/>
  <c r="T177" i="1" l="1"/>
  <c r="T335" i="1"/>
  <c r="T119" i="1"/>
  <c r="T337" i="1"/>
  <c r="T321" i="1"/>
  <c r="T254" i="1"/>
  <c r="T263" i="1"/>
  <c r="T323" i="1"/>
  <c r="T39" i="1"/>
  <c r="T306" i="1"/>
  <c r="T98" i="1"/>
  <c r="T122" i="1"/>
  <c r="T163" i="1"/>
  <c r="T174" i="1"/>
  <c r="T272" i="1"/>
  <c r="T78" i="1"/>
  <c r="T93" i="1"/>
  <c r="T305" i="1"/>
  <c r="T317" i="1"/>
  <c r="T94" i="1"/>
  <c r="T331" i="1"/>
  <c r="T328" i="1"/>
  <c r="T103" i="1"/>
  <c r="T55" i="1"/>
  <c r="T318" i="1"/>
  <c r="T68" i="1"/>
  <c r="T294" i="1"/>
  <c r="T287" i="1"/>
  <c r="T72" i="1"/>
  <c r="T246" i="1"/>
  <c r="T36" i="1"/>
  <c r="T212" i="1"/>
  <c r="T127" i="1"/>
  <c r="T170" i="1"/>
  <c r="T48" i="1"/>
  <c r="T102" i="1"/>
  <c r="T157" i="1"/>
  <c r="T40" i="1"/>
  <c r="T220" i="1"/>
  <c r="T268" i="1"/>
  <c r="T245" i="1"/>
  <c r="T45" i="1"/>
  <c r="T173" i="1"/>
  <c r="T138" i="1"/>
  <c r="T56" i="1"/>
  <c r="T327" i="1"/>
  <c r="T159" i="1"/>
  <c r="T303" i="1"/>
  <c r="T135" i="1"/>
  <c r="T129" i="1"/>
  <c r="T183" i="1"/>
  <c r="T188" i="1"/>
  <c r="T90" i="1"/>
  <c r="T86" i="1"/>
  <c r="T32" i="1"/>
  <c r="T148" i="1"/>
  <c r="T330" i="1"/>
  <c r="T153" i="1"/>
  <c r="T125" i="1"/>
  <c r="T293" i="1"/>
  <c r="T70" i="1"/>
  <c r="T308" i="1"/>
  <c r="T231" i="1"/>
  <c r="T279" i="1"/>
  <c r="T282" i="1"/>
  <c r="T251" i="1"/>
  <c r="T71" i="1"/>
  <c r="T182" i="1"/>
  <c r="T296" i="1"/>
  <c r="T203" i="1"/>
  <c r="T76" i="1"/>
  <c r="T207" i="1"/>
  <c r="T179" i="1"/>
  <c r="T160" i="1"/>
  <c r="T134" i="1"/>
  <c r="T167" i="1"/>
  <c r="T209" i="1"/>
  <c r="T228" i="1"/>
  <c r="T142" i="1"/>
  <c r="T57" i="1"/>
  <c r="T234" i="1"/>
  <c r="T181" i="1"/>
  <c r="T242" i="1"/>
  <c r="T140" i="1"/>
  <c r="T155" i="1"/>
  <c r="T176" i="1"/>
  <c r="T164" i="1"/>
  <c r="T290" i="1"/>
  <c r="T111" i="1"/>
  <c r="T168" i="1"/>
  <c r="T47" i="1"/>
  <c r="T261" i="1"/>
  <c r="T106" i="1"/>
  <c r="T280" i="1"/>
  <c r="T313" i="1"/>
  <c r="T166" i="1"/>
  <c r="T325" i="1"/>
  <c r="T275" i="1"/>
  <c r="T192" i="1"/>
  <c r="T147" i="1"/>
  <c r="T255" i="1"/>
  <c r="T292" i="1"/>
  <c r="T271" i="1"/>
  <c r="T38" i="1"/>
  <c r="T144" i="1"/>
  <c r="T274" i="1"/>
  <c r="T256" i="1"/>
  <c r="T259" i="1"/>
  <c r="T264" i="1"/>
  <c r="T115" i="1"/>
  <c r="T232" i="1"/>
  <c r="T154" i="1"/>
  <c r="T205" i="1"/>
  <c r="T218" i="1"/>
  <c r="T77" i="1"/>
  <c r="T73" i="1"/>
  <c r="T198" i="1"/>
  <c r="T75" i="1"/>
  <c r="T97" i="1"/>
  <c r="T202" i="1"/>
  <c r="T60" i="1"/>
  <c r="T299" i="1"/>
  <c r="T312" i="1"/>
  <c r="T194" i="1"/>
  <c r="T120" i="1"/>
  <c r="T85" i="1"/>
  <c r="T137" i="1"/>
  <c r="T44" i="1"/>
  <c r="T108" i="1"/>
  <c r="T252" i="1"/>
  <c r="T69" i="1"/>
  <c r="T315" i="1"/>
  <c r="T131" i="1"/>
  <c r="T193" i="1"/>
  <c r="T283" i="1"/>
  <c r="T165" i="1"/>
  <c r="T326" i="1"/>
  <c r="T322" i="1"/>
  <c r="T210" i="1"/>
  <c r="T208" i="1"/>
  <c r="T126" i="1"/>
  <c r="T186" i="1"/>
  <c r="T80" i="1"/>
  <c r="T112" i="1"/>
  <c r="T217" i="1"/>
  <c r="T61" i="1"/>
  <c r="T178" i="1"/>
  <c r="T311" i="1"/>
  <c r="T267" i="1"/>
  <c r="T240" i="1"/>
  <c r="T49" i="1"/>
  <c r="T190" i="1"/>
  <c r="T281" i="1"/>
  <c r="T143" i="1"/>
  <c r="T88" i="1"/>
  <c r="T99" i="1"/>
  <c r="T314" i="1"/>
  <c r="T273" i="1"/>
  <c r="T225" i="1"/>
  <c r="T200" i="1"/>
  <c r="T107" i="1"/>
  <c r="T224" i="1"/>
  <c r="T161" i="1"/>
  <c r="T216" i="1"/>
  <c r="T310" i="1"/>
  <c r="T340" i="1"/>
  <c r="T59" i="1"/>
  <c r="T96" i="1"/>
  <c r="T67" i="1"/>
  <c r="T113" i="1"/>
  <c r="T156" i="1"/>
  <c r="T277" i="1"/>
  <c r="T295" i="1"/>
  <c r="T260" i="1"/>
  <c r="T249" i="1"/>
  <c r="T253" i="1"/>
  <c r="T222" i="1"/>
  <c r="T226" i="1"/>
  <c r="T64" i="1"/>
  <c r="T214" i="1"/>
  <c r="T213" i="1"/>
  <c r="T248" i="1"/>
  <c r="T266" i="1"/>
  <c r="T146" i="1"/>
  <c r="T235" i="1"/>
  <c r="T141" i="1"/>
  <c r="T62" i="1"/>
  <c r="T241" i="1"/>
  <c r="T50" i="1"/>
  <c r="T196" i="1"/>
  <c r="T66" i="1"/>
  <c r="T258" i="1"/>
  <c r="T92" i="1"/>
  <c r="T223" i="1"/>
  <c r="T105" i="1"/>
  <c r="T11" i="1"/>
  <c r="T21" i="1"/>
  <c r="T10" i="1"/>
  <c r="T20" i="1"/>
  <c r="T30" i="1"/>
  <c r="T9" i="1"/>
  <c r="T19" i="1"/>
  <c r="T29" i="1"/>
  <c r="T8" i="1"/>
  <c r="T18" i="1"/>
  <c r="T28" i="1"/>
  <c r="T7" i="1"/>
  <c r="T17" i="1"/>
  <c r="T27" i="1"/>
  <c r="T6" i="1"/>
  <c r="T16" i="1"/>
  <c r="T26" i="1"/>
  <c r="T5" i="1"/>
  <c r="T15" i="1"/>
  <c r="T25" i="1"/>
  <c r="T4" i="1"/>
  <c r="T23" i="1"/>
  <c r="T13" i="1"/>
  <c r="T3" i="1"/>
  <c r="T22" i="1"/>
  <c r="T24" i="1"/>
  <c r="T12" i="1"/>
  <c r="T14" i="1"/>
  <c r="T239" i="1"/>
  <c r="T265" i="1"/>
  <c r="T82" i="1"/>
  <c r="T307" i="1"/>
  <c r="T41" i="1"/>
  <c r="T109" i="1"/>
  <c r="T227" i="1"/>
  <c r="T118" i="1"/>
  <c r="T74" i="1"/>
  <c r="T89" i="1"/>
  <c r="T284" i="1"/>
  <c r="T139" i="1"/>
  <c r="T43" i="1"/>
  <c r="T278" i="1"/>
  <c r="T172" i="1"/>
  <c r="T309" i="1"/>
  <c r="T339" i="1"/>
  <c r="T332" i="1"/>
  <c r="T100" i="1"/>
  <c r="T285" i="1"/>
  <c r="T158" i="1"/>
  <c r="T244" i="1"/>
  <c r="T34" i="1"/>
  <c r="T150" i="1"/>
  <c r="T58" i="1"/>
  <c r="T237" i="1"/>
  <c r="T302" i="1"/>
  <c r="T51" i="1"/>
  <c r="T52" i="1"/>
  <c r="T145" i="1"/>
  <c r="T104" i="1"/>
  <c r="T191" i="1"/>
  <c r="T114" i="1"/>
  <c r="T95" i="1"/>
  <c r="T117" i="1"/>
  <c r="T320" i="1"/>
  <c r="T185" i="1"/>
  <c r="T333" i="1"/>
  <c r="T300" i="1"/>
  <c r="T334" i="1"/>
  <c r="T152" i="1"/>
  <c r="T243" i="1"/>
  <c r="T238" i="1"/>
  <c r="T298" i="1"/>
  <c r="T121" i="1"/>
  <c r="T197" i="1"/>
  <c r="T54" i="1"/>
  <c r="T33" i="1"/>
  <c r="T276" i="1"/>
  <c r="T289" i="1"/>
  <c r="T189" i="1"/>
  <c r="T184" i="1"/>
  <c r="T304" i="1"/>
  <c r="T206" i="1"/>
  <c r="T301" i="1"/>
  <c r="T230" i="1"/>
  <c r="T171" i="1"/>
  <c r="T257" i="1"/>
  <c r="T128" i="1"/>
  <c r="T136" i="1"/>
  <c r="T42" i="1"/>
  <c r="T37" i="1"/>
  <c r="T169" i="1"/>
  <c r="T233" i="1"/>
  <c r="T204" i="1"/>
  <c r="T250" i="1"/>
  <c r="T219" i="1"/>
  <c r="T270" i="1"/>
  <c r="T211" i="1"/>
  <c r="T201" i="1"/>
  <c r="T180" i="1"/>
  <c r="T329" i="1"/>
  <c r="T336" i="1"/>
  <c r="T132" i="1"/>
  <c r="T338" i="1"/>
  <c r="T247" i="1"/>
  <c r="T236" i="1"/>
  <c r="T229" i="1"/>
  <c r="T124" i="1"/>
  <c r="T291" i="1"/>
  <c r="T46" i="1"/>
  <c r="T262" i="1"/>
  <c r="T324" i="1"/>
  <c r="T195" i="1"/>
  <c r="T319" i="1"/>
  <c r="T288" i="1"/>
  <c r="T31" i="1"/>
  <c r="T83" i="1"/>
  <c r="T53" i="1"/>
  <c r="T81" i="1"/>
  <c r="T130" i="1"/>
  <c r="T65" i="1"/>
  <c r="T162" i="1"/>
  <c r="T87" i="1"/>
  <c r="T269" i="1"/>
  <c r="T63" i="1"/>
  <c r="T101" i="1"/>
  <c r="T110" i="1"/>
  <c r="T221" i="1"/>
  <c r="T149" i="1"/>
  <c r="T116" i="1"/>
  <c r="T316" i="1"/>
  <c r="T199" i="1"/>
  <c r="T123" i="1"/>
  <c r="T175" i="1"/>
  <c r="T151" i="1"/>
  <c r="T187" i="1"/>
  <c r="T297" i="1"/>
  <c r="T79" i="1"/>
  <c r="T91" i="1"/>
</calcChain>
</file>

<file path=xl/sharedStrings.xml><?xml version="1.0" encoding="utf-8"?>
<sst xmlns="http://schemas.openxmlformats.org/spreadsheetml/2006/main" count="2001" uniqueCount="53">
  <si>
    <r>
      <t xml:space="preserve">Predicting an </t>
    </r>
    <r>
      <rPr>
        <b/>
        <sz val="10"/>
        <rFont val="Symbol"/>
        <family val="1"/>
        <charset val="2"/>
      </rPr>
      <t>a</t>
    </r>
    <r>
      <rPr>
        <b/>
        <sz val="10"/>
        <rFont val="Arial"/>
      </rPr>
      <t>-helical coiled coil</t>
    </r>
  </si>
  <si>
    <r>
      <t>G-</t>
    </r>
    <r>
      <rPr>
        <sz val="10"/>
        <rFont val="Symbol"/>
        <family val="1"/>
        <charset val="2"/>
      </rPr>
      <t>b</t>
    </r>
    <r>
      <rPr>
        <sz val="10"/>
        <rFont val="Arial"/>
      </rPr>
      <t xml:space="preserve"> Subunit</t>
    </r>
  </si>
  <si>
    <t>AA#</t>
  </si>
  <si>
    <t>Index</t>
  </si>
  <si>
    <t>RF1</t>
  </si>
  <si>
    <t>RF2</t>
  </si>
  <si>
    <t>RF3</t>
  </si>
  <si>
    <t>RF4</t>
  </si>
  <si>
    <t>RF5</t>
  </si>
  <si>
    <t>RF6</t>
  </si>
  <si>
    <t>RF7</t>
  </si>
  <si>
    <t>Score 1</t>
  </si>
  <si>
    <t>Score 2</t>
  </si>
  <si>
    <t>Score 3</t>
  </si>
  <si>
    <t>Score 4</t>
  </si>
  <si>
    <t>Score 5</t>
  </si>
  <si>
    <t>Score 6</t>
  </si>
  <si>
    <t>Score 7</t>
  </si>
  <si>
    <t>Largest</t>
  </si>
  <si>
    <t>pCC</t>
  </si>
  <si>
    <t>pCC plot</t>
  </si>
  <si>
    <t>Table of relative probability of each amino acid being found in each position in Coiled-coil</t>
  </si>
  <si>
    <t>M</t>
  </si>
  <si>
    <t>a</t>
  </si>
  <si>
    <t>b</t>
  </si>
  <si>
    <t>c</t>
  </si>
  <si>
    <t>d</t>
  </si>
  <si>
    <t>e</t>
  </si>
  <si>
    <t>f</t>
  </si>
  <si>
    <t>g</t>
  </si>
  <si>
    <t>S</t>
  </si>
  <si>
    <t>A</t>
  </si>
  <si>
    <t>E</t>
  </si>
  <si>
    <t>C</t>
  </si>
  <si>
    <t>L</t>
  </si>
  <si>
    <t>D</t>
  </si>
  <si>
    <t>Q</t>
  </si>
  <si>
    <t>F</t>
  </si>
  <si>
    <t>G</t>
  </si>
  <si>
    <t>R</t>
  </si>
  <si>
    <t>H</t>
  </si>
  <si>
    <t>I</t>
  </si>
  <si>
    <t>K</t>
  </si>
  <si>
    <t>N</t>
  </si>
  <si>
    <t>P</t>
  </si>
  <si>
    <t>T</t>
  </si>
  <si>
    <t>V</t>
  </si>
  <si>
    <t>W</t>
  </si>
  <si>
    <t>Y</t>
  </si>
  <si>
    <t>Plot of Probability of Coiled Coil (pCC)</t>
  </si>
  <si>
    <t>Human Coronin</t>
  </si>
  <si>
    <t>Tropomyosin</t>
  </si>
  <si>
    <t>NF-L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</si>
</sst>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</font>
    <font>
      <sz val="10"/>
      <name val="Arial"/>
    </font>
    <font>
      <sz val="10"/>
      <name val="Symbol"/>
      <family val="1"/>
      <charset val="2"/>
    </font>
    <font>
      <b/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Probability of Coiled Coil</a:t>
            </a:r>
          </a:p>
        </c:rich>
      </c:tx>
      <c:layout>
        <c:manualLayout>
          <c:xMode val="edge"/>
          <c:yMode val="edge"/>
          <c:x val="0.37395248903118661"/>
          <c:y val="3.276241010878953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23232676565041"/>
          <c:y val="0.17317273914645898"/>
          <c:w val="0.71930237975120603"/>
          <c:h val="0.71141233379085844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Calculations!$T$2</c:f>
              <c:strCache>
                <c:ptCount val="1"/>
                <c:pt idx="0">
                  <c:v>pCC plot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Calculations!$T$3:$T$463</c:f>
              <c:numCache>
                <c:formatCode>General</c:formatCode>
                <c:ptCount val="46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0.8</c:v>
                </c:pt>
                <c:pt idx="33">
                  <c:v>0.6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F8B-44AE-8453-B9B701569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1886175"/>
        <c:axId val="1"/>
      </c:lineChart>
      <c:catAx>
        <c:axId val="881886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Amino Acids</a:t>
                </a:r>
              </a:p>
            </c:rich>
          </c:tx>
          <c:layout>
            <c:manualLayout>
              <c:xMode val="edge"/>
              <c:yMode val="edge"/>
              <c:x val="0.4163267087514344"/>
              <c:y val="0.9048665649094251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50"/>
        <c:tickMarkSkip val="50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pCC</a:t>
                </a:r>
              </a:p>
            </c:rich>
          </c:tx>
          <c:layout>
            <c:manualLayout>
              <c:xMode val="edge"/>
              <c:yMode val="edge"/>
              <c:x val="3.4958731269204416E-2"/>
              <c:y val="0.497676610700183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1886175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595923834900511"/>
          <c:y val="0.87522438433480609"/>
          <c:w val="0.12712265916074333"/>
          <c:h val="4.056298394421561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10</xdr:col>
      <xdr:colOff>393700</xdr:colOff>
      <xdr:row>27</xdr:row>
      <xdr:rowOff>101600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B790BA82-041D-427B-8E77-06494F6CA8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01"/>
  <sheetViews>
    <sheetView tabSelected="1" workbookViewId="0"/>
  </sheetViews>
  <sheetFormatPr defaultColWidth="8.90625" defaultRowHeight="12.5" x14ac:dyDescent="0.25"/>
  <cols>
    <col min="1" max="1" width="14" customWidth="1"/>
  </cols>
  <sheetData>
    <row r="1" spans="1:30" ht="13" x14ac:dyDescent="0.3">
      <c r="B1" s="2" t="s">
        <v>0</v>
      </c>
    </row>
    <row r="2" spans="1:30" ht="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V2" s="2" t="s">
        <v>21</v>
      </c>
      <c r="W2" s="2"/>
      <c r="X2" s="2"/>
      <c r="Y2" s="2"/>
      <c r="Z2" s="2"/>
      <c r="AA2" s="2"/>
      <c r="AB2" s="2"/>
      <c r="AC2" s="2"/>
      <c r="AD2" s="2"/>
    </row>
    <row r="3" spans="1:30" ht="13" x14ac:dyDescent="0.3">
      <c r="A3" s="1" t="s">
        <v>22</v>
      </c>
      <c r="B3" s="1">
        <f>LOOKUP($A3,$V$4:$V$23,$W$4:$W$23)</f>
        <v>10</v>
      </c>
      <c r="C3" s="1">
        <v>1</v>
      </c>
      <c r="D3">
        <f t="shared" ref="D3:D19" ca="1" si="0">OFFSET($X$4,$B3,MOD($C3,7),1,1)</f>
        <v>0.37</v>
      </c>
      <c r="E3">
        <f ca="1">OFFSET($X$4,$B3,MOD($C3+1,7),1,1)</f>
        <v>0.48</v>
      </c>
      <c r="F3">
        <f ca="1">OFFSET($X$4,$B3,MOD($C3+2,7),1,1)</f>
        <v>1.409</v>
      </c>
      <c r="G3">
        <f ca="1">OFFSET($X$4,$B3,MOD($C3+3,7),1,1)</f>
        <v>0.54100000000000004</v>
      </c>
      <c r="H3">
        <f ca="1">OFFSET($X$4,$B3,MOD($C3+4,7),1,1)</f>
        <v>0.77200000000000002</v>
      </c>
      <c r="I3">
        <f ca="1">OFFSET($X$4,$B3,MOD($C3+5,7),1,1)</f>
        <v>0.66300000000000003</v>
      </c>
      <c r="J3">
        <f ca="1">OFFSET($X$4,$B3,MOD($C3+6,7),1,1)</f>
        <v>2.2400000000000002</v>
      </c>
      <c r="K3">
        <f t="shared" ref="K3:Q3" ca="1" si="1">POWER(PRODUCT(D3:D30),1/28)</f>
        <v>1.2491807750294015</v>
      </c>
      <c r="L3">
        <f t="shared" ca="1" si="1"/>
        <v>0.57089403937932981</v>
      </c>
      <c r="M3">
        <f t="shared" ca="1" si="1"/>
        <v>0.63772706925966949</v>
      </c>
      <c r="N3">
        <f t="shared" ca="1" si="1"/>
        <v>1.8924840951193493</v>
      </c>
      <c r="O3">
        <f t="shared" ca="1" si="1"/>
        <v>0.66074587711489419</v>
      </c>
      <c r="P3">
        <f t="shared" ca="1" si="1"/>
        <v>0.8689353295000074</v>
      </c>
      <c r="Q3">
        <f t="shared" ca="1" si="1"/>
        <v>1.2356744314614414</v>
      </c>
      <c r="R3">
        <f ca="1">MAX(K3:Q3)</f>
        <v>1.8924840951193493</v>
      </c>
      <c r="T3">
        <f ca="1">MAX(S3:S30)</f>
        <v>1</v>
      </c>
      <c r="W3" s="2"/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</row>
    <row r="4" spans="1:30" ht="13" x14ac:dyDescent="0.3">
      <c r="A4" s="1" t="s">
        <v>30</v>
      </c>
      <c r="B4" s="1">
        <f t="shared" ref="B4:B18" si="2">LOOKUP($A4,$V$4:$V$23,$W$4:$W$23)</f>
        <v>15</v>
      </c>
      <c r="C4" s="1">
        <f t="shared" ref="C4:C19" si="3">C3+1</f>
        <v>2</v>
      </c>
      <c r="D4">
        <f t="shared" ca="1" si="0"/>
        <v>1.052</v>
      </c>
      <c r="E4">
        <f t="shared" ref="E4:E19" ca="1" si="4">OFFSET($X$4,$B4,MOD($C4+1,7),1,1)</f>
        <v>0.41899999999999998</v>
      </c>
      <c r="F4">
        <f t="shared" ref="F4:F19" ca="1" si="5">OFFSET($X$4,$B4,MOD($C4+2,7),1,1)</f>
        <v>0.52500000000000002</v>
      </c>
      <c r="G4">
        <f t="shared" ref="G4:G19" ca="1" si="6">OFFSET($X$4,$B4,MOD($C4+3,7),1,1)</f>
        <v>0.91600000000000004</v>
      </c>
      <c r="H4">
        <f t="shared" ref="H4:H19" ca="1" si="7">OFFSET($X$4,$B4,MOD($C4+4,7),1,1)</f>
        <v>0.628</v>
      </c>
      <c r="I4">
        <f t="shared" ref="I4:I19" ca="1" si="8">OFFSET($X$4,$B4,MOD($C4+5,7),1,1)</f>
        <v>0.38200000000000001</v>
      </c>
      <c r="J4">
        <f t="shared" ref="J4:J19" ca="1" si="9">OFFSET($X$4,$B4,MOD($C4+6,7),1,1)</f>
        <v>0.58299999999999996</v>
      </c>
      <c r="K4">
        <f t="shared" ref="K4:Q19" ca="1" si="10">POWER(PRODUCT(D4:D31),1/28)</f>
        <v>1.2780819412839119</v>
      </c>
      <c r="L4">
        <f t="shared" ca="1" si="10"/>
        <v>0.58509391957111367</v>
      </c>
      <c r="M4">
        <f t="shared" ca="1" si="10"/>
        <v>0.62048329389939538</v>
      </c>
      <c r="N4">
        <f t="shared" ca="1" si="10"/>
        <v>1.9183345700010623</v>
      </c>
      <c r="O4">
        <f t="shared" ca="1" si="10"/>
        <v>0.66282535726693548</v>
      </c>
      <c r="P4">
        <f t="shared" ca="1" si="10"/>
        <v>0.86817755451211043</v>
      </c>
      <c r="Q4">
        <f t="shared" ca="1" si="10"/>
        <v>1.1267296623462213</v>
      </c>
      <c r="R4">
        <f t="shared" ref="R4:R19" ca="1" si="11">MAX(K4:Q4)</f>
        <v>1.9183345700010623</v>
      </c>
      <c r="T4">
        <f t="shared" ref="T4:T19" ca="1" si="12">MAX(S4:S31)</f>
        <v>1</v>
      </c>
      <c r="V4" s="3" t="s">
        <v>31</v>
      </c>
      <c r="W4" s="4">
        <v>0</v>
      </c>
      <c r="X4">
        <v>1.2969999999999999</v>
      </c>
      <c r="Y4">
        <v>1.5509999999999999</v>
      </c>
      <c r="Z4">
        <v>1.0840000000000001</v>
      </c>
      <c r="AA4">
        <v>2.6120000000000001</v>
      </c>
      <c r="AB4">
        <v>0.377</v>
      </c>
      <c r="AC4">
        <v>1.284</v>
      </c>
      <c r="AD4">
        <v>0.877</v>
      </c>
    </row>
    <row r="5" spans="1:30" ht="13" x14ac:dyDescent="0.3">
      <c r="A5" s="1" t="s">
        <v>32</v>
      </c>
      <c r="B5" s="1">
        <f t="shared" si="2"/>
        <v>3</v>
      </c>
      <c r="C5" s="1">
        <f t="shared" si="3"/>
        <v>3</v>
      </c>
      <c r="D5">
        <f t="shared" ca="1" si="0"/>
        <v>0.998</v>
      </c>
      <c r="E5">
        <f t="shared" ca="1" si="4"/>
        <v>5.6849999999999996</v>
      </c>
      <c r="F5">
        <f t="shared" ca="1" si="5"/>
        <v>2.4940000000000002</v>
      </c>
      <c r="G5">
        <f t="shared" ca="1" si="6"/>
        <v>3.048</v>
      </c>
      <c r="H5">
        <f t="shared" ca="1" si="7"/>
        <v>0.26200000000000001</v>
      </c>
      <c r="I5">
        <f t="shared" ca="1" si="8"/>
        <v>3.496</v>
      </c>
      <c r="J5">
        <f t="shared" ca="1" si="9"/>
        <v>3.1080000000000001</v>
      </c>
      <c r="K5">
        <f t="shared" ca="1" si="10"/>
        <v>1.2344756610757777</v>
      </c>
      <c r="L5">
        <f t="shared" ca="1" si="10"/>
        <v>0.63362943422421736</v>
      </c>
      <c r="M5">
        <f t="shared" ca="1" si="10"/>
        <v>0.62288595955070314</v>
      </c>
      <c r="N5">
        <f t="shared" ca="1" si="10"/>
        <v>1.8774360289384571</v>
      </c>
      <c r="O5">
        <f t="shared" ca="1" si="10"/>
        <v>0.65663985538851988</v>
      </c>
      <c r="P5">
        <f t="shared" ca="1" si="10"/>
        <v>0.93630027303680174</v>
      </c>
      <c r="Q5">
        <f t="shared" ca="1" si="10"/>
        <v>1.0999136231578968</v>
      </c>
      <c r="R5">
        <f t="shared" ca="1" si="11"/>
        <v>1.8774360289384571</v>
      </c>
      <c r="T5">
        <f t="shared" ca="1" si="12"/>
        <v>1</v>
      </c>
      <c r="V5" s="3" t="s">
        <v>33</v>
      </c>
      <c r="W5" s="4">
        <v>1</v>
      </c>
      <c r="X5">
        <v>0.82399999999999995</v>
      </c>
      <c r="Y5">
        <v>2.1999999999999999E-2</v>
      </c>
      <c r="Z5">
        <v>0.308</v>
      </c>
      <c r="AA5">
        <v>0.152</v>
      </c>
      <c r="AB5">
        <v>0.18</v>
      </c>
      <c r="AC5">
        <v>0.156</v>
      </c>
      <c r="AD5">
        <v>4.3999999999999997E-2</v>
      </c>
    </row>
    <row r="6" spans="1:30" ht="13" x14ac:dyDescent="0.3">
      <c r="A6" s="1" t="s">
        <v>34</v>
      </c>
      <c r="B6" s="1">
        <f t="shared" si="2"/>
        <v>9</v>
      </c>
      <c r="C6" s="1">
        <f t="shared" si="3"/>
        <v>4</v>
      </c>
      <c r="D6">
        <f t="shared" ca="1" si="0"/>
        <v>0.58499999999999996</v>
      </c>
      <c r="E6">
        <f t="shared" ca="1" si="4"/>
        <v>0.501</v>
      </c>
      <c r="F6">
        <f t="shared" ca="1" si="5"/>
        <v>0.48299999999999998</v>
      </c>
      <c r="G6">
        <f t="shared" ca="1" si="6"/>
        <v>3.1669999999999998</v>
      </c>
      <c r="H6">
        <f t="shared" ca="1" si="7"/>
        <v>0.29699999999999999</v>
      </c>
      <c r="I6">
        <f t="shared" ca="1" si="8"/>
        <v>0.39800000000000002</v>
      </c>
      <c r="J6">
        <f t="shared" ca="1" si="9"/>
        <v>3.9020000000000001</v>
      </c>
      <c r="K6">
        <f t="shared" ca="1" si="10"/>
        <v>1.1967990273792404</v>
      </c>
      <c r="L6">
        <f t="shared" ca="1" si="10"/>
        <v>0.58195093902270012</v>
      </c>
      <c r="M6">
        <f t="shared" ca="1" si="10"/>
        <v>0.60099767574181584</v>
      </c>
      <c r="N6">
        <f t="shared" ca="1" si="10"/>
        <v>1.7744475723931274</v>
      </c>
      <c r="O6">
        <f t="shared" ca="1" si="10"/>
        <v>0.66554263914040168</v>
      </c>
      <c r="P6">
        <f t="shared" ca="1" si="10"/>
        <v>0.87827982101747692</v>
      </c>
      <c r="Q6">
        <f t="shared" ca="1" si="10"/>
        <v>1.058171962042989</v>
      </c>
      <c r="R6">
        <f t="shared" ca="1" si="11"/>
        <v>1.7744475723931274</v>
      </c>
      <c r="T6">
        <f t="shared" ca="1" si="12"/>
        <v>1</v>
      </c>
      <c r="V6" s="3" t="s">
        <v>35</v>
      </c>
      <c r="W6" s="4">
        <v>2</v>
      </c>
      <c r="X6">
        <v>0.03</v>
      </c>
      <c r="Y6">
        <v>2.3519999999999999</v>
      </c>
      <c r="Z6">
        <v>2.2679999999999998</v>
      </c>
      <c r="AA6">
        <v>0.23699999999999999</v>
      </c>
      <c r="AB6">
        <v>0.66300000000000003</v>
      </c>
      <c r="AC6">
        <v>1.62</v>
      </c>
      <c r="AD6">
        <v>1.448</v>
      </c>
    </row>
    <row r="7" spans="1:30" ht="13" x14ac:dyDescent="0.3">
      <c r="A7" s="1" t="s">
        <v>35</v>
      </c>
      <c r="B7" s="1">
        <f t="shared" si="2"/>
        <v>2</v>
      </c>
      <c r="C7" s="1">
        <f t="shared" si="3"/>
        <v>5</v>
      </c>
      <c r="D7">
        <f t="shared" ca="1" si="0"/>
        <v>1.62</v>
      </c>
      <c r="E7">
        <f t="shared" ca="1" si="4"/>
        <v>1.448</v>
      </c>
      <c r="F7">
        <f t="shared" ca="1" si="5"/>
        <v>0.03</v>
      </c>
      <c r="G7">
        <f t="shared" ca="1" si="6"/>
        <v>2.3519999999999999</v>
      </c>
      <c r="H7">
        <f t="shared" ca="1" si="7"/>
        <v>2.2679999999999998</v>
      </c>
      <c r="I7">
        <f t="shared" ca="1" si="8"/>
        <v>0.23699999999999999</v>
      </c>
      <c r="J7">
        <f t="shared" ca="1" si="9"/>
        <v>0.66300000000000003</v>
      </c>
      <c r="K7">
        <f t="shared" ca="1" si="10"/>
        <v>1.261410325479063</v>
      </c>
      <c r="L7">
        <f t="shared" ca="1" si="10"/>
        <v>0.60629181390535336</v>
      </c>
      <c r="M7">
        <f t="shared" ca="1" si="10"/>
        <v>0.63757754689689117</v>
      </c>
      <c r="N7">
        <f t="shared" ca="1" si="10"/>
        <v>1.6013971968407843</v>
      </c>
      <c r="O7">
        <f t="shared" ca="1" si="10"/>
        <v>0.71386633813118872</v>
      </c>
      <c r="P7">
        <f t="shared" ca="1" si="10"/>
        <v>0.92650747846214576</v>
      </c>
      <c r="Q7">
        <f t="shared" ca="1" si="10"/>
        <v>0.99150986394185048</v>
      </c>
      <c r="R7">
        <f t="shared" ca="1" si="11"/>
        <v>1.6013971968407843</v>
      </c>
      <c r="T7">
        <f t="shared" ca="1" si="12"/>
        <v>1</v>
      </c>
      <c r="V7" s="3" t="s">
        <v>32</v>
      </c>
      <c r="W7" s="4">
        <v>3</v>
      </c>
      <c r="X7">
        <v>0.26200000000000001</v>
      </c>
      <c r="Y7">
        <v>3.496</v>
      </c>
      <c r="Z7">
        <v>3.1080000000000001</v>
      </c>
      <c r="AA7">
        <v>0.998</v>
      </c>
      <c r="AB7">
        <v>5.6849999999999996</v>
      </c>
      <c r="AC7">
        <v>2.4940000000000002</v>
      </c>
      <c r="AD7">
        <v>3.048</v>
      </c>
    </row>
    <row r="8" spans="1:30" ht="13" x14ac:dyDescent="0.3">
      <c r="A8" s="1" t="s">
        <v>36</v>
      </c>
      <c r="B8" s="1">
        <f t="shared" si="2"/>
        <v>13</v>
      </c>
      <c r="C8" s="1">
        <f t="shared" si="3"/>
        <v>6</v>
      </c>
      <c r="D8">
        <f t="shared" ca="1" si="0"/>
        <v>2.5259999999999998</v>
      </c>
      <c r="E8">
        <f t="shared" ca="1" si="4"/>
        <v>0.17899999999999999</v>
      </c>
      <c r="F8">
        <f t="shared" ca="1" si="5"/>
        <v>2.1139999999999999</v>
      </c>
      <c r="G8">
        <f t="shared" ca="1" si="6"/>
        <v>1.778</v>
      </c>
      <c r="H8">
        <f t="shared" ca="1" si="7"/>
        <v>0.63100000000000001</v>
      </c>
      <c r="I8">
        <f t="shared" ca="1" si="8"/>
        <v>2.5499999999999998</v>
      </c>
      <c r="J8">
        <f t="shared" ca="1" si="9"/>
        <v>1.5780000000000001</v>
      </c>
      <c r="K8">
        <f t="shared" ca="1" si="10"/>
        <v>1.2069683387780055</v>
      </c>
      <c r="L8">
        <f t="shared" ca="1" si="10"/>
        <v>0.58061143768388468</v>
      </c>
      <c r="M8">
        <f t="shared" ca="1" si="10"/>
        <v>0.74769437029317876</v>
      </c>
      <c r="N8">
        <f t="shared" ca="1" si="10"/>
        <v>1.429571249369743</v>
      </c>
      <c r="O8">
        <f t="shared" ca="1" si="10"/>
        <v>0.66743488944264473</v>
      </c>
      <c r="P8">
        <f t="shared" ca="1" si="10"/>
        <v>0.97149685633926874</v>
      </c>
      <c r="Q8">
        <f t="shared" ca="1" si="10"/>
        <v>0.98253676548907187</v>
      </c>
      <c r="R8">
        <f t="shared" ca="1" si="11"/>
        <v>1.429571249369743</v>
      </c>
      <c r="T8">
        <f t="shared" ca="1" si="12"/>
        <v>1</v>
      </c>
      <c r="V8" s="3" t="s">
        <v>37</v>
      </c>
      <c r="W8" s="4">
        <v>4</v>
      </c>
      <c r="X8">
        <v>0.53100000000000003</v>
      </c>
      <c r="Y8">
        <v>7.5999999999999998E-2</v>
      </c>
      <c r="Z8">
        <v>0.40300000000000002</v>
      </c>
      <c r="AA8">
        <v>0.66200000000000003</v>
      </c>
      <c r="AB8">
        <v>0.189</v>
      </c>
      <c r="AC8">
        <v>0.106</v>
      </c>
      <c r="AD8">
        <v>1.2999999999999999E-2</v>
      </c>
    </row>
    <row r="9" spans="1:30" ht="13" x14ac:dyDescent="0.3">
      <c r="A9" s="1" t="s">
        <v>34</v>
      </c>
      <c r="B9" s="1">
        <f t="shared" si="2"/>
        <v>9</v>
      </c>
      <c r="C9" s="1">
        <f t="shared" si="3"/>
        <v>7</v>
      </c>
      <c r="D9">
        <f t="shared" ca="1" si="0"/>
        <v>3.1669999999999998</v>
      </c>
      <c r="E9">
        <f t="shared" ca="1" si="4"/>
        <v>0.29699999999999999</v>
      </c>
      <c r="F9">
        <f t="shared" ca="1" si="5"/>
        <v>0.39800000000000002</v>
      </c>
      <c r="G9">
        <f t="shared" ca="1" si="6"/>
        <v>3.9020000000000001</v>
      </c>
      <c r="H9">
        <f t="shared" ca="1" si="7"/>
        <v>0.58499999999999996</v>
      </c>
      <c r="I9">
        <f t="shared" ca="1" si="8"/>
        <v>0.501</v>
      </c>
      <c r="J9">
        <f t="shared" ca="1" si="9"/>
        <v>0.48299999999999998</v>
      </c>
      <c r="K9">
        <f t="shared" ca="1" si="10"/>
        <v>1.1496611078680277</v>
      </c>
      <c r="L9">
        <f t="shared" ca="1" si="10"/>
        <v>0.5794206011863714</v>
      </c>
      <c r="M9">
        <f t="shared" ca="1" si="10"/>
        <v>0.71882845121283412</v>
      </c>
      <c r="N9">
        <f t="shared" ca="1" si="10"/>
        <v>1.3981877920352139</v>
      </c>
      <c r="O9">
        <f t="shared" ca="1" si="10"/>
        <v>0.66828883393482674</v>
      </c>
      <c r="P9">
        <f t="shared" ca="1" si="10"/>
        <v>0.9317202902126801</v>
      </c>
      <c r="Q9">
        <f t="shared" ca="1" si="10"/>
        <v>0.960781307475711</v>
      </c>
      <c r="R9">
        <f t="shared" ca="1" si="11"/>
        <v>1.3981877920352139</v>
      </c>
      <c r="T9">
        <f t="shared" ca="1" si="12"/>
        <v>1</v>
      </c>
      <c r="V9" s="3" t="s">
        <v>38</v>
      </c>
      <c r="W9" s="4">
        <v>5</v>
      </c>
      <c r="X9">
        <v>4.4999999999999998E-2</v>
      </c>
      <c r="Y9">
        <v>0.27500000000000002</v>
      </c>
      <c r="Z9">
        <v>0.57799999999999996</v>
      </c>
      <c r="AA9">
        <v>0.216</v>
      </c>
      <c r="AB9">
        <v>0.21099999999999999</v>
      </c>
      <c r="AC9">
        <v>0.42599999999999999</v>
      </c>
      <c r="AD9">
        <v>0.156</v>
      </c>
    </row>
    <row r="10" spans="1:30" ht="13" x14ac:dyDescent="0.3">
      <c r="A10" s="1" t="s">
        <v>39</v>
      </c>
      <c r="B10" s="1">
        <f t="shared" si="2"/>
        <v>14</v>
      </c>
      <c r="C10" s="1">
        <f t="shared" si="3"/>
        <v>8</v>
      </c>
      <c r="D10">
        <f t="shared" ca="1" si="0"/>
        <v>1.163</v>
      </c>
      <c r="E10">
        <f t="shared" ca="1" si="4"/>
        <v>1.21</v>
      </c>
      <c r="F10">
        <f t="shared" ca="1" si="5"/>
        <v>3.1E-2</v>
      </c>
      <c r="G10">
        <f t="shared" ca="1" si="6"/>
        <v>1.3580000000000001</v>
      </c>
      <c r="H10">
        <f t="shared" ca="1" si="7"/>
        <v>1.9370000000000001</v>
      </c>
      <c r="I10">
        <f t="shared" ca="1" si="8"/>
        <v>1.798</v>
      </c>
      <c r="J10">
        <f t="shared" ca="1" si="9"/>
        <v>0.65900000000000003</v>
      </c>
      <c r="K10">
        <f t="shared" ca="1" si="10"/>
        <v>1.0962071746708293</v>
      </c>
      <c r="L10">
        <f t="shared" ca="1" si="10"/>
        <v>0.61355336970823182</v>
      </c>
      <c r="M10">
        <f t="shared" ca="1" si="10"/>
        <v>0.75431330551940523</v>
      </c>
      <c r="N10">
        <f t="shared" ca="1" si="10"/>
        <v>1.1861209653269027</v>
      </c>
      <c r="O10">
        <f t="shared" ca="1" si="10"/>
        <v>0.69456008553831727</v>
      </c>
      <c r="P10">
        <f t="shared" ca="1" si="10"/>
        <v>0.98614859825987367</v>
      </c>
      <c r="Q10">
        <f t="shared" ca="1" si="10"/>
        <v>1.0155364945049759</v>
      </c>
      <c r="R10">
        <f t="shared" ca="1" si="11"/>
        <v>1.1861209653269027</v>
      </c>
      <c r="T10">
        <f t="shared" ca="1" si="12"/>
        <v>1</v>
      </c>
      <c r="V10" s="3" t="s">
        <v>40</v>
      </c>
      <c r="W10" s="4">
        <v>6</v>
      </c>
      <c r="X10">
        <v>0.34699999999999998</v>
      </c>
      <c r="Y10">
        <v>0.27500000000000002</v>
      </c>
      <c r="Z10">
        <v>0.67900000000000005</v>
      </c>
      <c r="AA10">
        <v>0.39500000000000002</v>
      </c>
      <c r="AB10">
        <v>0.29399999999999998</v>
      </c>
      <c r="AC10">
        <v>0.57899999999999996</v>
      </c>
      <c r="AD10">
        <v>0.21299999999999999</v>
      </c>
    </row>
    <row r="11" spans="1:30" ht="13" x14ac:dyDescent="0.3">
      <c r="A11" s="1" t="s">
        <v>36</v>
      </c>
      <c r="B11" s="1">
        <f t="shared" si="2"/>
        <v>13</v>
      </c>
      <c r="C11" s="1">
        <f t="shared" si="3"/>
        <v>9</v>
      </c>
      <c r="D11">
        <f t="shared" ca="1" si="0"/>
        <v>1.778</v>
      </c>
      <c r="E11">
        <f t="shared" ca="1" si="4"/>
        <v>0.63100000000000001</v>
      </c>
      <c r="F11">
        <f t="shared" ca="1" si="5"/>
        <v>2.5499999999999998</v>
      </c>
      <c r="G11">
        <f t="shared" ca="1" si="6"/>
        <v>1.5780000000000001</v>
      </c>
      <c r="H11">
        <f t="shared" ca="1" si="7"/>
        <v>2.5259999999999998</v>
      </c>
      <c r="I11">
        <f t="shared" ca="1" si="8"/>
        <v>0.17899999999999999</v>
      </c>
      <c r="J11">
        <f t="shared" ca="1" si="9"/>
        <v>2.1139999999999999</v>
      </c>
      <c r="K11">
        <f t="shared" ca="1" si="10"/>
        <v>1.1055510311182137</v>
      </c>
      <c r="L11">
        <f t="shared" ca="1" si="10"/>
        <v>0.61877441074812112</v>
      </c>
      <c r="M11">
        <f t="shared" ca="1" si="10"/>
        <v>0.76052340989282297</v>
      </c>
      <c r="N11">
        <f t="shared" ca="1" si="10"/>
        <v>1.1962234650695192</v>
      </c>
      <c r="O11">
        <f t="shared" ca="1" si="10"/>
        <v>0.70047383871161406</v>
      </c>
      <c r="P11">
        <f t="shared" ca="1" si="10"/>
        <v>0.99454884516089914</v>
      </c>
      <c r="Q11">
        <f t="shared" ca="1" si="10"/>
        <v>1.0241580934215755</v>
      </c>
      <c r="R11">
        <f t="shared" ca="1" si="11"/>
        <v>1.1962234650695192</v>
      </c>
      <c r="T11">
        <f t="shared" ca="1" si="12"/>
        <v>1</v>
      </c>
      <c r="V11" s="3" t="s">
        <v>41</v>
      </c>
      <c r="W11" s="4">
        <v>7</v>
      </c>
      <c r="X11">
        <v>2.597</v>
      </c>
      <c r="Y11">
        <v>9.8000000000000004E-2</v>
      </c>
      <c r="Z11">
        <v>0.34499999999999997</v>
      </c>
      <c r="AA11">
        <v>0.89400000000000002</v>
      </c>
      <c r="AB11">
        <v>0.51400000000000001</v>
      </c>
      <c r="AC11">
        <v>0.47099999999999997</v>
      </c>
      <c r="AD11">
        <v>0.43099999999999999</v>
      </c>
    </row>
    <row r="12" spans="1:30" ht="13" x14ac:dyDescent="0.3">
      <c r="A12" s="1" t="s">
        <v>32</v>
      </c>
      <c r="B12" s="1">
        <f t="shared" si="2"/>
        <v>3</v>
      </c>
      <c r="C12" s="1">
        <f t="shared" si="3"/>
        <v>10</v>
      </c>
      <c r="D12">
        <f t="shared" ca="1" si="0"/>
        <v>0.998</v>
      </c>
      <c r="E12">
        <f t="shared" ca="1" si="4"/>
        <v>5.6849999999999996</v>
      </c>
      <c r="F12">
        <f t="shared" ca="1" si="5"/>
        <v>2.4940000000000002</v>
      </c>
      <c r="G12">
        <f t="shared" ca="1" si="6"/>
        <v>3.048</v>
      </c>
      <c r="H12">
        <f t="shared" ca="1" si="7"/>
        <v>0.26200000000000001</v>
      </c>
      <c r="I12">
        <f t="shared" ca="1" si="8"/>
        <v>3.496</v>
      </c>
      <c r="J12">
        <f t="shared" ca="1" si="9"/>
        <v>3.1080000000000001</v>
      </c>
      <c r="K12">
        <f t="shared" ca="1" si="10"/>
        <v>1.0426683694506902</v>
      </c>
      <c r="L12">
        <f t="shared" ca="1" si="10"/>
        <v>0.62652183046290155</v>
      </c>
      <c r="M12">
        <f t="shared" ca="1" si="10"/>
        <v>0.71824158893773915</v>
      </c>
      <c r="N12">
        <f t="shared" ca="1" si="10"/>
        <v>1.1456692127022252</v>
      </c>
      <c r="O12">
        <f t="shared" ca="1" si="10"/>
        <v>0.65760471313109092</v>
      </c>
      <c r="P12">
        <f t="shared" ca="1" si="10"/>
        <v>1.0942398009558114</v>
      </c>
      <c r="Q12">
        <f t="shared" ca="1" si="10"/>
        <v>0.91775861298655481</v>
      </c>
      <c r="R12">
        <f t="shared" ca="1" si="11"/>
        <v>1.1456692127022252</v>
      </c>
      <c r="T12">
        <f t="shared" ca="1" si="12"/>
        <v>1</v>
      </c>
      <c r="V12" s="3" t="s">
        <v>42</v>
      </c>
      <c r="W12" s="4">
        <v>8</v>
      </c>
      <c r="X12">
        <v>1.375</v>
      </c>
      <c r="Y12">
        <v>2.6389999999999998</v>
      </c>
      <c r="Z12">
        <v>1.7629999999999999</v>
      </c>
      <c r="AA12">
        <v>0.191</v>
      </c>
      <c r="AB12">
        <v>1.8149999999999999</v>
      </c>
      <c r="AC12">
        <v>1.9610000000000001</v>
      </c>
      <c r="AD12">
        <v>2.7949999999999999</v>
      </c>
    </row>
    <row r="13" spans="1:30" ht="13" x14ac:dyDescent="0.3">
      <c r="A13" s="1" t="s">
        <v>31</v>
      </c>
      <c r="B13" s="1">
        <f t="shared" si="2"/>
        <v>0</v>
      </c>
      <c r="C13" s="1">
        <f t="shared" si="3"/>
        <v>11</v>
      </c>
      <c r="D13">
        <f t="shared" ca="1" si="0"/>
        <v>0.377</v>
      </c>
      <c r="E13">
        <f t="shared" ca="1" si="4"/>
        <v>1.284</v>
      </c>
      <c r="F13">
        <f t="shared" ca="1" si="5"/>
        <v>0.877</v>
      </c>
      <c r="G13">
        <f t="shared" ca="1" si="6"/>
        <v>1.2969999999999999</v>
      </c>
      <c r="H13">
        <f t="shared" ca="1" si="7"/>
        <v>1.5509999999999999</v>
      </c>
      <c r="I13">
        <f t="shared" ca="1" si="8"/>
        <v>1.0840000000000001</v>
      </c>
      <c r="J13">
        <f t="shared" ca="1" si="9"/>
        <v>2.6120000000000001</v>
      </c>
      <c r="K13">
        <f t="shared" ca="1" si="10"/>
        <v>0.99048256394900025</v>
      </c>
      <c r="L13">
        <f t="shared" ca="1" si="10"/>
        <v>0.58023915454983344</v>
      </c>
      <c r="M13">
        <f t="shared" ca="1" si="10"/>
        <v>0.70725879170795847</v>
      </c>
      <c r="N13">
        <f t="shared" ca="1" si="10"/>
        <v>1.1156159846291964</v>
      </c>
      <c r="O13">
        <f t="shared" ca="1" si="10"/>
        <v>0.60862718185152387</v>
      </c>
      <c r="P13">
        <f t="shared" ca="1" si="10"/>
        <v>1.0788594269244522</v>
      </c>
      <c r="Q13">
        <f t="shared" ca="1" si="10"/>
        <v>0.90748906157378806</v>
      </c>
      <c r="R13">
        <f t="shared" ca="1" si="11"/>
        <v>1.1156159846291964</v>
      </c>
      <c r="T13">
        <f t="shared" ca="1" si="12"/>
        <v>1</v>
      </c>
      <c r="V13" s="3" t="s">
        <v>34</v>
      </c>
      <c r="W13" s="4">
        <v>9</v>
      </c>
      <c r="X13">
        <v>3.1669999999999998</v>
      </c>
      <c r="Y13">
        <v>0.29699999999999999</v>
      </c>
      <c r="Z13">
        <v>0.39800000000000002</v>
      </c>
      <c r="AA13">
        <v>3.9020000000000001</v>
      </c>
      <c r="AB13">
        <v>0.58499999999999996</v>
      </c>
      <c r="AC13">
        <v>0.501</v>
      </c>
      <c r="AD13">
        <v>0.48299999999999998</v>
      </c>
    </row>
    <row r="14" spans="1:30" ht="13" x14ac:dyDescent="0.3">
      <c r="A14" s="1" t="s">
        <v>32</v>
      </c>
      <c r="B14" s="1">
        <f t="shared" si="2"/>
        <v>3</v>
      </c>
      <c r="C14" s="1">
        <f t="shared" si="3"/>
        <v>12</v>
      </c>
      <c r="D14">
        <f t="shared" ca="1" si="0"/>
        <v>2.4940000000000002</v>
      </c>
      <c r="E14">
        <f t="shared" ca="1" si="4"/>
        <v>3.048</v>
      </c>
      <c r="F14">
        <f t="shared" ca="1" si="5"/>
        <v>0.26200000000000001</v>
      </c>
      <c r="G14">
        <f t="shared" ca="1" si="6"/>
        <v>3.496</v>
      </c>
      <c r="H14">
        <f t="shared" ca="1" si="7"/>
        <v>3.1080000000000001</v>
      </c>
      <c r="I14">
        <f t="shared" ca="1" si="8"/>
        <v>0.998</v>
      </c>
      <c r="J14">
        <f t="shared" ca="1" si="9"/>
        <v>5.6849999999999996</v>
      </c>
      <c r="K14">
        <f t="shared" ca="1" si="10"/>
        <v>0</v>
      </c>
      <c r="L14">
        <f t="shared" ca="1" si="10"/>
        <v>0</v>
      </c>
      <c r="M14">
        <f t="shared" ca="1" si="10"/>
        <v>0</v>
      </c>
      <c r="N14">
        <f t="shared" ca="1" si="10"/>
        <v>0</v>
      </c>
      <c r="O14">
        <f t="shared" ca="1" si="10"/>
        <v>0.50425955580567527</v>
      </c>
      <c r="P14">
        <f t="shared" ca="1" si="10"/>
        <v>0</v>
      </c>
      <c r="Q14">
        <f t="shared" ca="1" si="10"/>
        <v>0.75091422925584694</v>
      </c>
      <c r="R14">
        <f t="shared" ca="1" si="11"/>
        <v>0.75091422925584694</v>
      </c>
      <c r="T14">
        <f t="shared" ca="1" si="12"/>
        <v>1</v>
      </c>
      <c r="V14" s="3" t="s">
        <v>22</v>
      </c>
      <c r="W14" s="4">
        <v>10</v>
      </c>
      <c r="X14">
        <v>2.2400000000000002</v>
      </c>
      <c r="Y14">
        <v>0.37</v>
      </c>
      <c r="Z14">
        <v>0.48</v>
      </c>
      <c r="AA14">
        <v>1.409</v>
      </c>
      <c r="AB14">
        <v>0.54100000000000004</v>
      </c>
      <c r="AC14">
        <v>0.77200000000000002</v>
      </c>
      <c r="AD14">
        <v>0.66300000000000003</v>
      </c>
    </row>
    <row r="15" spans="1:30" ht="13" x14ac:dyDescent="0.3">
      <c r="A15" s="1" t="s">
        <v>36</v>
      </c>
      <c r="B15" s="1">
        <f t="shared" si="2"/>
        <v>13</v>
      </c>
      <c r="C15" s="1">
        <f t="shared" si="3"/>
        <v>13</v>
      </c>
      <c r="D15">
        <f t="shared" ca="1" si="0"/>
        <v>2.5259999999999998</v>
      </c>
      <c r="E15">
        <f t="shared" ca="1" si="4"/>
        <v>0.17899999999999999</v>
      </c>
      <c r="F15">
        <f t="shared" ca="1" si="5"/>
        <v>2.1139999999999999</v>
      </c>
      <c r="G15">
        <f t="shared" ca="1" si="6"/>
        <v>1.778</v>
      </c>
      <c r="H15">
        <f t="shared" ca="1" si="7"/>
        <v>0.63100000000000001</v>
      </c>
      <c r="I15">
        <f t="shared" ca="1" si="8"/>
        <v>2.5499999999999998</v>
      </c>
      <c r="J15">
        <f t="shared" ca="1" si="9"/>
        <v>1.5780000000000001</v>
      </c>
      <c r="K15">
        <f t="shared" ca="1" si="10"/>
        <v>0</v>
      </c>
      <c r="L15">
        <f t="shared" ca="1" si="10"/>
        <v>0</v>
      </c>
      <c r="M15">
        <f t="shared" ca="1" si="10"/>
        <v>0</v>
      </c>
      <c r="N15">
        <f t="shared" ca="1" si="10"/>
        <v>0</v>
      </c>
      <c r="O15">
        <f t="shared" ca="1" si="10"/>
        <v>0.46805920463317352</v>
      </c>
      <c r="P15">
        <f t="shared" ca="1" si="10"/>
        <v>0</v>
      </c>
      <c r="Q15">
        <f t="shared" ca="1" si="10"/>
        <v>0.66757936623386793</v>
      </c>
      <c r="R15">
        <f t="shared" ca="1" si="11"/>
        <v>0.66757936623386793</v>
      </c>
      <c r="T15">
        <f t="shared" ca="1" si="12"/>
        <v>1</v>
      </c>
      <c r="V15" s="3" t="s">
        <v>43</v>
      </c>
      <c r="W15" s="4">
        <v>11</v>
      </c>
      <c r="X15">
        <v>0.83499999999999996</v>
      </c>
      <c r="Y15">
        <v>1.4750000000000001</v>
      </c>
      <c r="Z15">
        <v>1.534</v>
      </c>
      <c r="AA15">
        <v>3.9E-2</v>
      </c>
      <c r="AB15">
        <v>1.722</v>
      </c>
      <c r="AC15">
        <v>2.456</v>
      </c>
      <c r="AD15">
        <v>2.2799999999999998</v>
      </c>
    </row>
    <row r="16" spans="1:30" ht="13" x14ac:dyDescent="0.3">
      <c r="A16" s="1" t="s">
        <v>34</v>
      </c>
      <c r="B16" s="1">
        <f t="shared" si="2"/>
        <v>9</v>
      </c>
      <c r="C16" s="1">
        <f t="shared" si="3"/>
        <v>14</v>
      </c>
      <c r="D16">
        <f t="shared" ca="1" si="0"/>
        <v>3.1669999999999998</v>
      </c>
      <c r="E16">
        <f t="shared" ca="1" si="4"/>
        <v>0.29699999999999999</v>
      </c>
      <c r="F16">
        <f t="shared" ca="1" si="5"/>
        <v>0.39800000000000002</v>
      </c>
      <c r="G16">
        <f t="shared" ca="1" si="6"/>
        <v>3.9020000000000001</v>
      </c>
      <c r="H16">
        <f t="shared" ca="1" si="7"/>
        <v>0.58499999999999996</v>
      </c>
      <c r="I16">
        <f t="shared" ca="1" si="8"/>
        <v>0.501</v>
      </c>
      <c r="J16">
        <f t="shared" ca="1" si="9"/>
        <v>0.48299999999999998</v>
      </c>
      <c r="K16">
        <f t="shared" ca="1" si="10"/>
        <v>0</v>
      </c>
      <c r="L16">
        <f t="shared" ca="1" si="10"/>
        <v>0</v>
      </c>
      <c r="M16">
        <f t="shared" ca="1" si="10"/>
        <v>0</v>
      </c>
      <c r="N16">
        <f t="shared" ca="1" si="10"/>
        <v>0</v>
      </c>
      <c r="O16">
        <f t="shared" ca="1" si="10"/>
        <v>0.45047748532866028</v>
      </c>
      <c r="P16">
        <f t="shared" ca="1" si="10"/>
        <v>0</v>
      </c>
      <c r="Q16">
        <f t="shared" ca="1" si="10"/>
        <v>0.63707752395234662</v>
      </c>
      <c r="R16">
        <f t="shared" ca="1" si="11"/>
        <v>0.63707752395234662</v>
      </c>
      <c r="T16">
        <f t="shared" ca="1" si="12"/>
        <v>1</v>
      </c>
      <c r="V16" s="3" t="s">
        <v>44</v>
      </c>
      <c r="W16" s="4">
        <v>12</v>
      </c>
      <c r="X16">
        <v>0</v>
      </c>
      <c r="Y16">
        <v>8.0000000000000002E-3</v>
      </c>
      <c r="Z16">
        <v>0</v>
      </c>
      <c r="AA16">
        <v>1.2999999999999999E-2</v>
      </c>
      <c r="AB16">
        <v>0</v>
      </c>
      <c r="AC16">
        <v>0</v>
      </c>
      <c r="AD16">
        <v>0</v>
      </c>
    </row>
    <row r="17" spans="1:30" ht="13" x14ac:dyDescent="0.3">
      <c r="A17" s="1" t="s">
        <v>42</v>
      </c>
      <c r="B17" s="1">
        <f t="shared" si="2"/>
        <v>8</v>
      </c>
      <c r="C17" s="1">
        <f t="shared" si="3"/>
        <v>15</v>
      </c>
      <c r="D17">
        <f t="shared" ca="1" si="0"/>
        <v>2.6389999999999998</v>
      </c>
      <c r="E17">
        <f t="shared" ca="1" si="4"/>
        <v>1.7629999999999999</v>
      </c>
      <c r="F17">
        <f t="shared" ca="1" si="5"/>
        <v>0.191</v>
      </c>
      <c r="G17">
        <f t="shared" ca="1" si="6"/>
        <v>1.8149999999999999</v>
      </c>
      <c r="H17">
        <f t="shared" ca="1" si="7"/>
        <v>1.9610000000000001</v>
      </c>
      <c r="I17">
        <f t="shared" ca="1" si="8"/>
        <v>2.7949999999999999</v>
      </c>
      <c r="J17">
        <f t="shared" ca="1" si="9"/>
        <v>1.375</v>
      </c>
      <c r="K17">
        <f t="shared" ca="1" si="10"/>
        <v>0</v>
      </c>
      <c r="L17">
        <f t="shared" ca="1" si="10"/>
        <v>0</v>
      </c>
      <c r="M17">
        <f t="shared" ca="1" si="10"/>
        <v>0</v>
      </c>
      <c r="N17">
        <f t="shared" ca="1" si="10"/>
        <v>0</v>
      </c>
      <c r="O17">
        <f t="shared" ca="1" si="10"/>
        <v>0.46423231935409376</v>
      </c>
      <c r="P17">
        <f t="shared" ca="1" si="10"/>
        <v>0</v>
      </c>
      <c r="Q17">
        <f t="shared" ca="1" si="10"/>
        <v>0.66769714253932966</v>
      </c>
      <c r="R17">
        <f t="shared" ca="1" si="11"/>
        <v>0.66769714253932966</v>
      </c>
      <c r="T17">
        <f t="shared" ca="1" si="12"/>
        <v>1</v>
      </c>
      <c r="V17" s="3" t="s">
        <v>36</v>
      </c>
      <c r="W17" s="4">
        <v>13</v>
      </c>
      <c r="X17">
        <v>0.17899999999999999</v>
      </c>
      <c r="Y17">
        <v>2.1139999999999999</v>
      </c>
      <c r="Z17">
        <v>1.778</v>
      </c>
      <c r="AA17">
        <v>0.63100000000000001</v>
      </c>
      <c r="AB17">
        <v>2.5499999999999998</v>
      </c>
      <c r="AC17">
        <v>1.5780000000000001</v>
      </c>
      <c r="AD17">
        <v>2.5259999999999998</v>
      </c>
    </row>
    <row r="18" spans="1:30" ht="13" x14ac:dyDescent="0.3">
      <c r="A18" s="1" t="s">
        <v>43</v>
      </c>
      <c r="B18" s="1">
        <f t="shared" si="2"/>
        <v>11</v>
      </c>
      <c r="C18" s="1">
        <f t="shared" si="3"/>
        <v>16</v>
      </c>
      <c r="D18">
        <f t="shared" ca="1" si="0"/>
        <v>1.534</v>
      </c>
      <c r="E18">
        <f t="shared" ca="1" si="4"/>
        <v>3.9E-2</v>
      </c>
      <c r="F18">
        <f t="shared" ca="1" si="5"/>
        <v>1.722</v>
      </c>
      <c r="G18">
        <f t="shared" ca="1" si="6"/>
        <v>2.456</v>
      </c>
      <c r="H18">
        <f t="shared" ca="1" si="7"/>
        <v>2.2799999999999998</v>
      </c>
      <c r="I18">
        <f t="shared" ca="1" si="8"/>
        <v>0.83499999999999996</v>
      </c>
      <c r="J18">
        <f t="shared" ca="1" si="9"/>
        <v>1.4750000000000001</v>
      </c>
      <c r="K18">
        <f t="shared" ca="1" si="10"/>
        <v>0</v>
      </c>
      <c r="L18">
        <f t="shared" ca="1" si="10"/>
        <v>0</v>
      </c>
      <c r="M18">
        <f t="shared" ca="1" si="10"/>
        <v>0</v>
      </c>
      <c r="N18">
        <f t="shared" ca="1" si="10"/>
        <v>0</v>
      </c>
      <c r="O18">
        <f t="shared" ca="1" si="10"/>
        <v>0.44117604107073133</v>
      </c>
      <c r="P18">
        <f t="shared" ca="1" si="10"/>
        <v>0</v>
      </c>
      <c r="Q18">
        <f t="shared" ca="1" si="10"/>
        <v>0.68303460189783816</v>
      </c>
      <c r="R18">
        <f t="shared" ca="1" si="11"/>
        <v>0.68303460189783816</v>
      </c>
      <c r="T18">
        <f t="shared" ca="1" si="12"/>
        <v>1</v>
      </c>
      <c r="V18" s="3" t="s">
        <v>39</v>
      </c>
      <c r="W18" s="4">
        <v>14</v>
      </c>
      <c r="X18">
        <v>0.65900000000000003</v>
      </c>
      <c r="Y18">
        <v>1.163</v>
      </c>
      <c r="Z18">
        <v>1.21</v>
      </c>
      <c r="AA18">
        <v>3.1E-2</v>
      </c>
      <c r="AB18">
        <v>1.3580000000000001</v>
      </c>
      <c r="AC18">
        <v>1.9370000000000001</v>
      </c>
      <c r="AD18">
        <v>1.798</v>
      </c>
    </row>
    <row r="19" spans="1:30" ht="13" x14ac:dyDescent="0.3">
      <c r="A19" s="1" t="s">
        <v>36</v>
      </c>
      <c r="B19" s="1">
        <f t="shared" ref="B19:B34" si="13">LOOKUP($A19,$V$4:$V$23,$W$4:$W$23)</f>
        <v>13</v>
      </c>
      <c r="C19" s="1">
        <f t="shared" si="3"/>
        <v>17</v>
      </c>
      <c r="D19">
        <f t="shared" ca="1" si="0"/>
        <v>0.63100000000000001</v>
      </c>
      <c r="E19">
        <f t="shared" ca="1" si="4"/>
        <v>2.5499999999999998</v>
      </c>
      <c r="F19">
        <f t="shared" ca="1" si="5"/>
        <v>1.5780000000000001</v>
      </c>
      <c r="G19">
        <f t="shared" ca="1" si="6"/>
        <v>2.5259999999999998</v>
      </c>
      <c r="H19">
        <f t="shared" ca="1" si="7"/>
        <v>0.17899999999999999</v>
      </c>
      <c r="I19">
        <f t="shared" ca="1" si="8"/>
        <v>2.1139999999999999</v>
      </c>
      <c r="J19">
        <f t="shared" ca="1" si="9"/>
        <v>1.778</v>
      </c>
      <c r="K19">
        <f t="shared" ca="1" si="10"/>
        <v>0</v>
      </c>
      <c r="L19">
        <f t="shared" ca="1" si="10"/>
        <v>0</v>
      </c>
      <c r="M19">
        <f t="shared" ca="1" si="10"/>
        <v>0</v>
      </c>
      <c r="N19">
        <f t="shared" ca="1" si="10"/>
        <v>0</v>
      </c>
      <c r="O19">
        <f t="shared" ca="1" si="10"/>
        <v>0.44279341261853516</v>
      </c>
      <c r="P19">
        <f t="shared" ca="1" si="10"/>
        <v>0</v>
      </c>
      <c r="Q19">
        <f t="shared" ca="1" si="10"/>
        <v>0.69187129251305046</v>
      </c>
      <c r="R19">
        <f t="shared" ca="1" si="11"/>
        <v>0.69187129251305046</v>
      </c>
      <c r="T19">
        <f t="shared" ca="1" si="12"/>
        <v>1</v>
      </c>
      <c r="V19" s="3" t="s">
        <v>30</v>
      </c>
      <c r="W19" s="4">
        <v>15</v>
      </c>
      <c r="X19">
        <v>0.38200000000000001</v>
      </c>
      <c r="Y19">
        <v>0.58299999999999996</v>
      </c>
      <c r="Z19">
        <v>1.052</v>
      </c>
      <c r="AA19">
        <v>0.41899999999999998</v>
      </c>
      <c r="AB19">
        <v>0.52500000000000002</v>
      </c>
      <c r="AC19">
        <v>0.91600000000000004</v>
      </c>
      <c r="AD19">
        <v>0.628</v>
      </c>
    </row>
    <row r="20" spans="1:30" ht="13" x14ac:dyDescent="0.3">
      <c r="A20" s="1" t="s">
        <v>41</v>
      </c>
      <c r="B20" s="1">
        <f t="shared" si="13"/>
        <v>7</v>
      </c>
      <c r="C20" s="1">
        <f t="shared" ref="C20:C35" si="14">C19+1</f>
        <v>18</v>
      </c>
      <c r="D20">
        <f t="shared" ref="D20:D35" ca="1" si="15">OFFSET($X$4,$B20,MOD($C20,7),1,1)</f>
        <v>0.51400000000000001</v>
      </c>
      <c r="E20">
        <f t="shared" ref="E20:E35" ca="1" si="16">OFFSET($X$4,$B20,MOD($C20+1,7),1,1)</f>
        <v>0.47099999999999997</v>
      </c>
      <c r="F20">
        <f t="shared" ref="F20:F35" ca="1" si="17">OFFSET($X$4,$B20,MOD($C20+2,7),1,1)</f>
        <v>0.43099999999999999</v>
      </c>
      <c r="G20">
        <f t="shared" ref="G20:G35" ca="1" si="18">OFFSET($X$4,$B20,MOD($C20+3,7),1,1)</f>
        <v>2.597</v>
      </c>
      <c r="H20">
        <f t="shared" ref="H20:H35" ca="1" si="19">OFFSET($X$4,$B20,MOD($C20+4,7),1,1)</f>
        <v>9.8000000000000004E-2</v>
      </c>
      <c r="I20">
        <f t="shared" ref="I20:I35" ca="1" si="20">OFFSET($X$4,$B20,MOD($C20+5,7),1,1)</f>
        <v>0.34499999999999997</v>
      </c>
      <c r="J20">
        <f t="shared" ref="J20:J35" ca="1" si="21">OFFSET($X$4,$B20,MOD($C20+6,7),1,1)</f>
        <v>0.89400000000000002</v>
      </c>
      <c r="K20">
        <f t="shared" ref="K20:Q35" ca="1" si="22">POWER(PRODUCT(D20:D47),1/28)</f>
        <v>0</v>
      </c>
      <c r="L20">
        <f t="shared" ca="1" si="22"/>
        <v>0</v>
      </c>
      <c r="M20">
        <f t="shared" ca="1" si="22"/>
        <v>0</v>
      </c>
      <c r="N20">
        <f t="shared" ca="1" si="22"/>
        <v>0</v>
      </c>
      <c r="O20">
        <f t="shared" ca="1" si="22"/>
        <v>0.4846116267027234</v>
      </c>
      <c r="P20">
        <f t="shared" ca="1" si="22"/>
        <v>0</v>
      </c>
      <c r="Q20">
        <f t="shared" ca="1" si="22"/>
        <v>0.66025992057599092</v>
      </c>
      <c r="R20">
        <f t="shared" ref="R20:R35" ca="1" si="23">MAX(K20:Q20)</f>
        <v>0.66025992057599092</v>
      </c>
      <c r="T20">
        <f t="shared" ref="T20:T35" ca="1" si="24">MAX(S20:S47)</f>
        <v>1</v>
      </c>
      <c r="V20" s="3" t="s">
        <v>45</v>
      </c>
      <c r="W20" s="4">
        <v>16</v>
      </c>
      <c r="X20">
        <v>0.16900000000000001</v>
      </c>
      <c r="Y20">
        <v>0.70199999999999996</v>
      </c>
      <c r="Z20">
        <v>0.95499999999999996</v>
      </c>
      <c r="AA20">
        <v>0.65400000000000003</v>
      </c>
      <c r="AB20">
        <v>0.79100000000000004</v>
      </c>
      <c r="AC20">
        <v>0.84299999999999997</v>
      </c>
      <c r="AD20">
        <v>0.64700000000000002</v>
      </c>
    </row>
    <row r="21" spans="1:30" ht="13" x14ac:dyDescent="0.3">
      <c r="A21" s="1" t="s">
        <v>39</v>
      </c>
      <c r="B21" s="1">
        <f t="shared" si="13"/>
        <v>14</v>
      </c>
      <c r="C21" s="1">
        <f t="shared" si="14"/>
        <v>19</v>
      </c>
      <c r="D21">
        <f t="shared" ca="1" si="15"/>
        <v>1.9370000000000001</v>
      </c>
      <c r="E21">
        <f t="shared" ca="1" si="16"/>
        <v>1.798</v>
      </c>
      <c r="F21">
        <f t="shared" ca="1" si="17"/>
        <v>0.65900000000000003</v>
      </c>
      <c r="G21">
        <f t="shared" ca="1" si="18"/>
        <v>1.163</v>
      </c>
      <c r="H21">
        <f t="shared" ca="1" si="19"/>
        <v>1.21</v>
      </c>
      <c r="I21">
        <f t="shared" ca="1" si="20"/>
        <v>3.1E-2</v>
      </c>
      <c r="J21">
        <f t="shared" ca="1" si="21"/>
        <v>1.3580000000000001</v>
      </c>
      <c r="K21">
        <f t="shared" ca="1" si="22"/>
        <v>0</v>
      </c>
      <c r="L21">
        <f t="shared" ca="1" si="22"/>
        <v>0</v>
      </c>
      <c r="M21">
        <f t="shared" ca="1" si="22"/>
        <v>0</v>
      </c>
      <c r="N21">
        <f t="shared" ca="1" si="22"/>
        <v>0</v>
      </c>
      <c r="O21">
        <f t="shared" ca="1" si="22"/>
        <v>0.52937521279920963</v>
      </c>
      <c r="P21">
        <f t="shared" ca="1" si="22"/>
        <v>0</v>
      </c>
      <c r="Q21">
        <f t="shared" ca="1" si="22"/>
        <v>0.58556207565041218</v>
      </c>
      <c r="R21">
        <f t="shared" ca="1" si="23"/>
        <v>0.58556207565041218</v>
      </c>
      <c r="T21">
        <f t="shared" ca="1" si="24"/>
        <v>1</v>
      </c>
      <c r="V21" s="3" t="s">
        <v>46</v>
      </c>
      <c r="W21" s="4">
        <v>17</v>
      </c>
      <c r="X21">
        <v>1.665</v>
      </c>
      <c r="Y21">
        <v>0.40300000000000002</v>
      </c>
      <c r="Z21">
        <v>0.38600000000000001</v>
      </c>
      <c r="AA21">
        <v>0.94899999999999995</v>
      </c>
      <c r="AB21">
        <v>0.21099999999999999</v>
      </c>
      <c r="AC21">
        <v>0.34200000000000003</v>
      </c>
      <c r="AD21">
        <v>0.36</v>
      </c>
    </row>
    <row r="22" spans="1:30" ht="13" x14ac:dyDescent="0.3">
      <c r="A22" s="1" t="s">
        <v>35</v>
      </c>
      <c r="B22" s="1">
        <f t="shared" si="13"/>
        <v>2</v>
      </c>
      <c r="C22" s="1">
        <f t="shared" si="14"/>
        <v>20</v>
      </c>
      <c r="D22">
        <f t="shared" ca="1" si="15"/>
        <v>1.448</v>
      </c>
      <c r="E22">
        <f t="shared" ca="1" si="16"/>
        <v>0.03</v>
      </c>
      <c r="F22">
        <f t="shared" ca="1" si="17"/>
        <v>2.3519999999999999</v>
      </c>
      <c r="G22">
        <f t="shared" ca="1" si="18"/>
        <v>2.2679999999999998</v>
      </c>
      <c r="H22">
        <f t="shared" ca="1" si="19"/>
        <v>0.23699999999999999</v>
      </c>
      <c r="I22">
        <f t="shared" ca="1" si="20"/>
        <v>0.66300000000000003</v>
      </c>
      <c r="J22">
        <f t="shared" ca="1" si="21"/>
        <v>1.62</v>
      </c>
      <c r="K22">
        <f t="shared" ca="1" si="22"/>
        <v>0</v>
      </c>
      <c r="L22">
        <f t="shared" ca="1" si="22"/>
        <v>0</v>
      </c>
      <c r="M22">
        <f t="shared" ca="1" si="22"/>
        <v>0</v>
      </c>
      <c r="N22">
        <f t="shared" ca="1" si="22"/>
        <v>0</v>
      </c>
      <c r="O22">
        <f t="shared" ca="1" si="22"/>
        <v>0.52491963308055312</v>
      </c>
      <c r="P22">
        <f t="shared" ca="1" si="22"/>
        <v>0</v>
      </c>
      <c r="Q22">
        <f t="shared" ca="1" si="22"/>
        <v>0.5743676444622543</v>
      </c>
      <c r="R22">
        <f t="shared" ca="1" si="23"/>
        <v>0.5743676444622543</v>
      </c>
      <c r="T22">
        <f t="shared" ca="1" si="24"/>
        <v>1</v>
      </c>
      <c r="V22" s="3" t="s">
        <v>47</v>
      </c>
      <c r="W22" s="4">
        <v>18</v>
      </c>
      <c r="X22">
        <v>0.24</v>
      </c>
      <c r="Y22">
        <v>0</v>
      </c>
      <c r="Z22">
        <v>0</v>
      </c>
      <c r="AA22">
        <v>0.45600000000000002</v>
      </c>
      <c r="AB22">
        <v>1.9E-2</v>
      </c>
      <c r="AC22">
        <v>0</v>
      </c>
      <c r="AD22">
        <v>0</v>
      </c>
    </row>
    <row r="23" spans="1:30" ht="13" x14ac:dyDescent="0.3">
      <c r="A23" s="1" t="s">
        <v>31</v>
      </c>
      <c r="B23" s="1">
        <f t="shared" si="13"/>
        <v>0</v>
      </c>
      <c r="C23" s="1">
        <f t="shared" si="14"/>
        <v>21</v>
      </c>
      <c r="D23">
        <f t="shared" ca="1" si="15"/>
        <v>1.2969999999999999</v>
      </c>
      <c r="E23">
        <f t="shared" ca="1" si="16"/>
        <v>1.5509999999999999</v>
      </c>
      <c r="F23">
        <f t="shared" ca="1" si="17"/>
        <v>1.0840000000000001</v>
      </c>
      <c r="G23">
        <f t="shared" ca="1" si="18"/>
        <v>2.6120000000000001</v>
      </c>
      <c r="H23">
        <f t="shared" ca="1" si="19"/>
        <v>0.377</v>
      </c>
      <c r="I23">
        <f t="shared" ca="1" si="20"/>
        <v>1.284</v>
      </c>
      <c r="J23">
        <f t="shared" ca="1" si="21"/>
        <v>0.877</v>
      </c>
      <c r="K23">
        <f t="shared" ca="1" si="22"/>
        <v>0</v>
      </c>
      <c r="L23">
        <f t="shared" ca="1" si="22"/>
        <v>0</v>
      </c>
      <c r="M23">
        <f t="shared" ca="1" si="22"/>
        <v>0</v>
      </c>
      <c r="N23">
        <f t="shared" ca="1" si="22"/>
        <v>0</v>
      </c>
      <c r="O23">
        <f t="shared" ca="1" si="22"/>
        <v>0.48813875966155135</v>
      </c>
      <c r="P23">
        <f t="shared" ca="1" si="22"/>
        <v>0</v>
      </c>
      <c r="Q23">
        <f t="shared" ca="1" si="22"/>
        <v>0.57804535712322735</v>
      </c>
      <c r="R23">
        <f t="shared" ca="1" si="23"/>
        <v>0.57804535712322735</v>
      </c>
      <c r="T23">
        <f t="shared" ca="1" si="24"/>
        <v>1</v>
      </c>
      <c r="V23" s="3" t="s">
        <v>48</v>
      </c>
      <c r="W23" s="4">
        <v>19</v>
      </c>
      <c r="X23">
        <v>1.417</v>
      </c>
      <c r="Y23">
        <v>0.09</v>
      </c>
      <c r="Z23">
        <v>0.122</v>
      </c>
      <c r="AA23">
        <v>1.659</v>
      </c>
      <c r="AB23">
        <v>0.19</v>
      </c>
      <c r="AC23">
        <v>0.13</v>
      </c>
      <c r="AD23">
        <v>0.155</v>
      </c>
    </row>
    <row r="24" spans="1:30" x14ac:dyDescent="0.25">
      <c r="A24" s="1" t="s">
        <v>39</v>
      </c>
      <c r="B24" s="1">
        <f t="shared" si="13"/>
        <v>14</v>
      </c>
      <c r="C24" s="1">
        <f t="shared" si="14"/>
        <v>22</v>
      </c>
      <c r="D24">
        <f t="shared" ca="1" si="15"/>
        <v>1.163</v>
      </c>
      <c r="E24">
        <f t="shared" ca="1" si="16"/>
        <v>1.21</v>
      </c>
      <c r="F24">
        <f t="shared" ca="1" si="17"/>
        <v>3.1E-2</v>
      </c>
      <c r="G24">
        <f t="shared" ca="1" si="18"/>
        <v>1.3580000000000001</v>
      </c>
      <c r="H24">
        <f t="shared" ca="1" si="19"/>
        <v>1.9370000000000001</v>
      </c>
      <c r="I24">
        <f t="shared" ca="1" si="20"/>
        <v>1.798</v>
      </c>
      <c r="J24">
        <f t="shared" ca="1" si="21"/>
        <v>0.65900000000000003</v>
      </c>
      <c r="K24">
        <f t="shared" ca="1" si="22"/>
        <v>0</v>
      </c>
      <c r="L24">
        <f t="shared" ca="1" si="22"/>
        <v>0</v>
      </c>
      <c r="M24">
        <f t="shared" ca="1" si="22"/>
        <v>0</v>
      </c>
      <c r="N24">
        <f t="shared" ca="1" si="22"/>
        <v>0</v>
      </c>
      <c r="O24">
        <f t="shared" ca="1" si="22"/>
        <v>0.51099938765952069</v>
      </c>
      <c r="P24">
        <f t="shared" ca="1" si="22"/>
        <v>0</v>
      </c>
      <c r="Q24">
        <f t="shared" ca="1" si="22"/>
        <v>0.59305814900468889</v>
      </c>
      <c r="R24">
        <f t="shared" ca="1" si="23"/>
        <v>0.59305814900468889</v>
      </c>
      <c r="T24">
        <f t="shared" ca="1" si="24"/>
        <v>1</v>
      </c>
    </row>
    <row r="25" spans="1:30" x14ac:dyDescent="0.25">
      <c r="A25" s="1" t="s">
        <v>42</v>
      </c>
      <c r="B25" s="1">
        <f t="shared" si="13"/>
        <v>8</v>
      </c>
      <c r="C25" s="1">
        <f t="shared" si="14"/>
        <v>23</v>
      </c>
      <c r="D25">
        <f t="shared" ca="1" si="15"/>
        <v>1.7629999999999999</v>
      </c>
      <c r="E25">
        <f t="shared" ca="1" si="16"/>
        <v>0.191</v>
      </c>
      <c r="F25">
        <f t="shared" ca="1" si="17"/>
        <v>1.8149999999999999</v>
      </c>
      <c r="G25">
        <f t="shared" ca="1" si="18"/>
        <v>1.9610000000000001</v>
      </c>
      <c r="H25">
        <f t="shared" ca="1" si="19"/>
        <v>2.7949999999999999</v>
      </c>
      <c r="I25">
        <f t="shared" ca="1" si="20"/>
        <v>1.375</v>
      </c>
      <c r="J25">
        <f t="shared" ca="1" si="21"/>
        <v>2.6389999999999998</v>
      </c>
      <c r="K25">
        <f t="shared" ca="1" si="22"/>
        <v>0</v>
      </c>
      <c r="L25">
        <f t="shared" ca="1" si="22"/>
        <v>0</v>
      </c>
      <c r="M25">
        <f t="shared" ca="1" si="22"/>
        <v>0</v>
      </c>
      <c r="N25">
        <f t="shared" ca="1" si="22"/>
        <v>0</v>
      </c>
      <c r="O25">
        <f t="shared" ca="1" si="22"/>
        <v>0.49604004155411402</v>
      </c>
      <c r="P25">
        <f t="shared" ca="1" si="22"/>
        <v>0</v>
      </c>
      <c r="Q25">
        <f t="shared" ca="1" si="22"/>
        <v>0.56492420223274353</v>
      </c>
      <c r="R25">
        <f t="shared" ca="1" si="23"/>
        <v>0.56492420223274353</v>
      </c>
      <c r="T25">
        <f t="shared" ca="1" si="24"/>
        <v>1</v>
      </c>
    </row>
    <row r="26" spans="1:30" x14ac:dyDescent="0.25">
      <c r="A26" s="1" t="s">
        <v>31</v>
      </c>
      <c r="B26" s="1">
        <f t="shared" si="13"/>
        <v>0</v>
      </c>
      <c r="C26" s="1">
        <f t="shared" si="14"/>
        <v>24</v>
      </c>
      <c r="D26">
        <f t="shared" ca="1" si="15"/>
        <v>2.6120000000000001</v>
      </c>
      <c r="E26">
        <f t="shared" ca="1" si="16"/>
        <v>0.377</v>
      </c>
      <c r="F26">
        <f t="shared" ca="1" si="17"/>
        <v>1.284</v>
      </c>
      <c r="G26">
        <f t="shared" ca="1" si="18"/>
        <v>0.877</v>
      </c>
      <c r="H26">
        <f t="shared" ca="1" si="19"/>
        <v>1.2969999999999999</v>
      </c>
      <c r="I26">
        <f t="shared" ca="1" si="20"/>
        <v>1.5509999999999999</v>
      </c>
      <c r="J26">
        <f t="shared" ca="1" si="21"/>
        <v>1.0840000000000001</v>
      </c>
      <c r="K26">
        <f t="shared" ca="1" si="22"/>
        <v>0</v>
      </c>
      <c r="L26">
        <f t="shared" ca="1" si="22"/>
        <v>0</v>
      </c>
      <c r="M26">
        <f t="shared" ca="1" si="22"/>
        <v>0</v>
      </c>
      <c r="N26">
        <f t="shared" ca="1" si="22"/>
        <v>0</v>
      </c>
      <c r="O26">
        <f t="shared" ca="1" si="22"/>
        <v>0.46589379372756662</v>
      </c>
      <c r="P26">
        <f t="shared" ca="1" si="22"/>
        <v>0</v>
      </c>
      <c r="Q26">
        <f t="shared" ca="1" si="22"/>
        <v>0.522526893121247</v>
      </c>
      <c r="R26">
        <f t="shared" ca="1" si="23"/>
        <v>0.522526893121247</v>
      </c>
      <c r="T26">
        <f t="shared" ca="1" si="24"/>
        <v>1</v>
      </c>
    </row>
    <row r="27" spans="1:30" x14ac:dyDescent="0.25">
      <c r="A27" s="1" t="s">
        <v>33</v>
      </c>
      <c r="B27" s="1">
        <f t="shared" si="13"/>
        <v>1</v>
      </c>
      <c r="C27" s="1">
        <f t="shared" si="14"/>
        <v>25</v>
      </c>
      <c r="D27">
        <f t="shared" ca="1" si="15"/>
        <v>0.18</v>
      </c>
      <c r="E27">
        <f t="shared" ca="1" si="16"/>
        <v>0.156</v>
      </c>
      <c r="F27">
        <f t="shared" ca="1" si="17"/>
        <v>4.3999999999999997E-2</v>
      </c>
      <c r="G27">
        <f t="shared" ca="1" si="18"/>
        <v>0.82399999999999995</v>
      </c>
      <c r="H27">
        <f t="shared" ca="1" si="19"/>
        <v>2.1999999999999999E-2</v>
      </c>
      <c r="I27">
        <f t="shared" ca="1" si="20"/>
        <v>0.308</v>
      </c>
      <c r="J27">
        <f t="shared" ca="1" si="21"/>
        <v>0.152</v>
      </c>
      <c r="K27">
        <f t="shared" ca="1" si="22"/>
        <v>0</v>
      </c>
      <c r="L27">
        <f t="shared" ca="1" si="22"/>
        <v>0</v>
      </c>
      <c r="M27">
        <f t="shared" ca="1" si="22"/>
        <v>0</v>
      </c>
      <c r="N27">
        <f t="shared" ca="1" si="22"/>
        <v>0</v>
      </c>
      <c r="O27">
        <f t="shared" ca="1" si="22"/>
        <v>0.45476284684418394</v>
      </c>
      <c r="P27">
        <f t="shared" ca="1" si="22"/>
        <v>0</v>
      </c>
      <c r="Q27">
        <f t="shared" ca="1" si="22"/>
        <v>0.52458301150419728</v>
      </c>
      <c r="R27">
        <f t="shared" ca="1" si="23"/>
        <v>0.52458301150419728</v>
      </c>
      <c r="T27">
        <f t="shared" ca="1" si="24"/>
        <v>1</v>
      </c>
    </row>
    <row r="28" spans="1:30" x14ac:dyDescent="0.25">
      <c r="A28" s="1" t="s">
        <v>31</v>
      </c>
      <c r="B28" s="1">
        <f t="shared" si="13"/>
        <v>0</v>
      </c>
      <c r="C28" s="1">
        <f t="shared" si="14"/>
        <v>26</v>
      </c>
      <c r="D28">
        <f t="shared" ca="1" si="15"/>
        <v>1.284</v>
      </c>
      <c r="E28">
        <f t="shared" ca="1" si="16"/>
        <v>0.877</v>
      </c>
      <c r="F28">
        <f t="shared" ca="1" si="17"/>
        <v>1.2969999999999999</v>
      </c>
      <c r="G28">
        <f t="shared" ca="1" si="18"/>
        <v>1.5509999999999999</v>
      </c>
      <c r="H28">
        <f t="shared" ca="1" si="19"/>
        <v>1.0840000000000001</v>
      </c>
      <c r="I28">
        <f t="shared" ca="1" si="20"/>
        <v>2.6120000000000001</v>
      </c>
      <c r="J28">
        <f t="shared" ca="1" si="21"/>
        <v>0.377</v>
      </c>
      <c r="K28">
        <f t="shared" ca="1" si="22"/>
        <v>0</v>
      </c>
      <c r="L28">
        <f t="shared" ca="1" si="22"/>
        <v>0</v>
      </c>
      <c r="M28">
        <f t="shared" ca="1" si="22"/>
        <v>0</v>
      </c>
      <c r="N28">
        <f t="shared" ca="1" si="22"/>
        <v>0</v>
      </c>
      <c r="O28">
        <f t="shared" ca="1" si="22"/>
        <v>0.49769162672523315</v>
      </c>
      <c r="P28">
        <f t="shared" ca="1" si="22"/>
        <v>0</v>
      </c>
      <c r="Q28">
        <f t="shared" ca="1" si="22"/>
        <v>0.53120797313979817</v>
      </c>
      <c r="R28">
        <f t="shared" ca="1" si="23"/>
        <v>0.53120797313979817</v>
      </c>
      <c r="T28">
        <f t="shared" ca="1" si="24"/>
        <v>1</v>
      </c>
    </row>
    <row r="29" spans="1:30" x14ac:dyDescent="0.25">
      <c r="A29" s="1" t="s">
        <v>35</v>
      </c>
      <c r="B29" s="1">
        <f t="shared" si="13"/>
        <v>2</v>
      </c>
      <c r="C29" s="1">
        <f t="shared" si="14"/>
        <v>27</v>
      </c>
      <c r="D29">
        <f t="shared" ca="1" si="15"/>
        <v>1.448</v>
      </c>
      <c r="E29">
        <f t="shared" ca="1" si="16"/>
        <v>0.03</v>
      </c>
      <c r="F29">
        <f t="shared" ca="1" si="17"/>
        <v>2.3519999999999999</v>
      </c>
      <c r="G29">
        <f t="shared" ca="1" si="18"/>
        <v>2.2679999999999998</v>
      </c>
      <c r="H29">
        <f t="shared" ca="1" si="19"/>
        <v>0.23699999999999999</v>
      </c>
      <c r="I29">
        <f t="shared" ca="1" si="20"/>
        <v>0.66300000000000003</v>
      </c>
      <c r="J29">
        <f t="shared" ca="1" si="21"/>
        <v>1.62</v>
      </c>
      <c r="K29">
        <f t="shared" ca="1" si="22"/>
        <v>0</v>
      </c>
      <c r="L29">
        <f t="shared" ca="1" si="22"/>
        <v>0</v>
      </c>
      <c r="M29">
        <f t="shared" ca="1" si="22"/>
        <v>0</v>
      </c>
      <c r="N29">
        <f t="shared" ca="1" si="22"/>
        <v>0</v>
      </c>
      <c r="O29">
        <f t="shared" ca="1" si="22"/>
        <v>0.48944583528214497</v>
      </c>
      <c r="P29">
        <f t="shared" ca="1" si="22"/>
        <v>0</v>
      </c>
      <c r="Q29">
        <f t="shared" ca="1" si="22"/>
        <v>0.52651125052505909</v>
      </c>
      <c r="R29">
        <f t="shared" ca="1" si="23"/>
        <v>0.52651125052505909</v>
      </c>
      <c r="T29">
        <f t="shared" ca="1" si="24"/>
        <v>1</v>
      </c>
    </row>
    <row r="30" spans="1:30" x14ac:dyDescent="0.25">
      <c r="A30" s="1" t="s">
        <v>31</v>
      </c>
      <c r="B30" s="1">
        <f t="shared" si="13"/>
        <v>0</v>
      </c>
      <c r="C30" s="1">
        <f t="shared" si="14"/>
        <v>28</v>
      </c>
      <c r="D30">
        <f t="shared" ca="1" si="15"/>
        <v>1.2969999999999999</v>
      </c>
      <c r="E30">
        <f t="shared" ca="1" si="16"/>
        <v>1.5509999999999999</v>
      </c>
      <c r="F30">
        <f t="shared" ca="1" si="17"/>
        <v>1.0840000000000001</v>
      </c>
      <c r="G30">
        <f t="shared" ca="1" si="18"/>
        <v>2.6120000000000001</v>
      </c>
      <c r="H30">
        <f t="shared" ca="1" si="19"/>
        <v>0.377</v>
      </c>
      <c r="I30">
        <f t="shared" ca="1" si="20"/>
        <v>1.284</v>
      </c>
      <c r="J30">
        <f t="shared" ca="1" si="21"/>
        <v>0.877</v>
      </c>
      <c r="K30">
        <f t="shared" ca="1" si="22"/>
        <v>0</v>
      </c>
      <c r="L30">
        <f t="shared" ca="1" si="22"/>
        <v>0</v>
      </c>
      <c r="M30">
        <f t="shared" ca="1" si="22"/>
        <v>0</v>
      </c>
      <c r="N30">
        <f t="shared" ca="1" si="22"/>
        <v>0</v>
      </c>
      <c r="O30">
        <f t="shared" ca="1" si="22"/>
        <v>0.54094418419666923</v>
      </c>
      <c r="P30">
        <f t="shared" ca="1" si="22"/>
        <v>0</v>
      </c>
      <c r="Q30">
        <f t="shared" ca="1" si="22"/>
        <v>0.50489944736640879</v>
      </c>
      <c r="R30">
        <f t="shared" ca="1" si="23"/>
        <v>0.54094418419666923</v>
      </c>
      <c r="S30">
        <f ca="1">IF(R3&gt;1.55,1,IF(R3&gt;1.48,0.9,IF(R3&gt;1.4,0.8,IF(R3&gt;1.36666,0.6,IF(R3&gt;1.33333,0.4,IF(R3&gt;1.22,0.2,IF(R3&gt;1,0.1,0)))))))</f>
        <v>1</v>
      </c>
      <c r="T30">
        <f t="shared" ca="1" si="24"/>
        <v>1</v>
      </c>
    </row>
    <row r="31" spans="1:30" x14ac:dyDescent="0.25">
      <c r="A31" s="1" t="s">
        <v>45</v>
      </c>
      <c r="B31" s="1">
        <f t="shared" si="13"/>
        <v>16</v>
      </c>
      <c r="C31" s="1">
        <f t="shared" si="14"/>
        <v>29</v>
      </c>
      <c r="D31">
        <f t="shared" ca="1" si="15"/>
        <v>0.70199999999999996</v>
      </c>
      <c r="E31">
        <f t="shared" ca="1" si="16"/>
        <v>0.95499999999999996</v>
      </c>
      <c r="F31">
        <f t="shared" ca="1" si="17"/>
        <v>0.65400000000000003</v>
      </c>
      <c r="G31">
        <f t="shared" ca="1" si="18"/>
        <v>0.79100000000000004</v>
      </c>
      <c r="H31">
        <f t="shared" ca="1" si="19"/>
        <v>0.84299999999999997</v>
      </c>
      <c r="I31">
        <f t="shared" ca="1" si="20"/>
        <v>0.64700000000000002</v>
      </c>
      <c r="J31">
        <f t="shared" ca="1" si="21"/>
        <v>0.16900000000000001</v>
      </c>
      <c r="K31">
        <f t="shared" ca="1" si="22"/>
        <v>0</v>
      </c>
      <c r="L31">
        <f t="shared" ca="1" si="22"/>
        <v>0</v>
      </c>
      <c r="M31">
        <f t="shared" ca="1" si="22"/>
        <v>0</v>
      </c>
      <c r="N31">
        <f t="shared" ca="1" si="22"/>
        <v>0</v>
      </c>
      <c r="O31">
        <f t="shared" ca="1" si="22"/>
        <v>0.54094418419666923</v>
      </c>
      <c r="P31">
        <f t="shared" ca="1" si="22"/>
        <v>0</v>
      </c>
      <c r="Q31">
        <f t="shared" ca="1" si="22"/>
        <v>0.50489944736640879</v>
      </c>
      <c r="R31">
        <f t="shared" ca="1" si="23"/>
        <v>0.54094418419666923</v>
      </c>
      <c r="S31">
        <f t="shared" ref="S31:S46" ca="1" si="25">IF(R4&gt;1.55,1,IF(R4&gt;1.48,0.9,IF(R4&gt;1.4,0.8,IF(R4&gt;1.36666,0.6,IF(R4&gt;1.33333,0.4,IF(R4&gt;1.22,0.2,IF(R4&gt;1,0.1,0)))))))</f>
        <v>1</v>
      </c>
      <c r="T31">
        <f t="shared" ca="1" si="24"/>
        <v>1</v>
      </c>
    </row>
    <row r="32" spans="1:30" x14ac:dyDescent="0.25">
      <c r="A32" s="1" t="s">
        <v>34</v>
      </c>
      <c r="B32" s="1">
        <f t="shared" si="13"/>
        <v>9</v>
      </c>
      <c r="C32" s="1">
        <f t="shared" si="14"/>
        <v>30</v>
      </c>
      <c r="D32">
        <f t="shared" ca="1" si="15"/>
        <v>0.39800000000000002</v>
      </c>
      <c r="E32">
        <f t="shared" ca="1" si="16"/>
        <v>3.9020000000000001</v>
      </c>
      <c r="F32">
        <f t="shared" ca="1" si="17"/>
        <v>0.58499999999999996</v>
      </c>
      <c r="G32">
        <f t="shared" ca="1" si="18"/>
        <v>0.501</v>
      </c>
      <c r="H32">
        <f t="shared" ca="1" si="19"/>
        <v>0.48299999999999998</v>
      </c>
      <c r="I32">
        <f t="shared" ca="1" si="20"/>
        <v>3.1669999999999998</v>
      </c>
      <c r="J32">
        <f t="shared" ca="1" si="21"/>
        <v>0.29699999999999999</v>
      </c>
      <c r="K32">
        <f t="shared" ca="1" si="22"/>
        <v>0</v>
      </c>
      <c r="L32">
        <f t="shared" ca="1" si="22"/>
        <v>0</v>
      </c>
      <c r="M32">
        <f t="shared" ca="1" si="22"/>
        <v>0</v>
      </c>
      <c r="N32">
        <f t="shared" ca="1" si="22"/>
        <v>0</v>
      </c>
      <c r="O32">
        <f t="shared" ca="1" si="22"/>
        <v>0.55750285979069514</v>
      </c>
      <c r="P32">
        <f t="shared" ca="1" si="22"/>
        <v>0</v>
      </c>
      <c r="Q32">
        <f t="shared" ca="1" si="22"/>
        <v>0.54415140173725951</v>
      </c>
      <c r="R32">
        <f t="shared" ca="1" si="23"/>
        <v>0.55750285979069514</v>
      </c>
      <c r="S32">
        <f t="shared" ca="1" si="25"/>
        <v>1</v>
      </c>
      <c r="T32">
        <f t="shared" ca="1" si="24"/>
        <v>1</v>
      </c>
    </row>
    <row r="33" spans="1:20" x14ac:dyDescent="0.25">
      <c r="A33" s="1" t="s">
        <v>30</v>
      </c>
      <c r="B33" s="1">
        <f t="shared" si="13"/>
        <v>15</v>
      </c>
      <c r="C33" s="1">
        <f t="shared" si="14"/>
        <v>31</v>
      </c>
      <c r="D33">
        <f t="shared" ca="1" si="15"/>
        <v>0.41899999999999998</v>
      </c>
      <c r="E33">
        <f t="shared" ca="1" si="16"/>
        <v>0.52500000000000002</v>
      </c>
      <c r="F33">
        <f t="shared" ca="1" si="17"/>
        <v>0.91600000000000004</v>
      </c>
      <c r="G33">
        <f t="shared" ca="1" si="18"/>
        <v>0.628</v>
      </c>
      <c r="H33">
        <f t="shared" ca="1" si="19"/>
        <v>0.38200000000000001</v>
      </c>
      <c r="I33">
        <f t="shared" ca="1" si="20"/>
        <v>0.58299999999999996</v>
      </c>
      <c r="J33">
        <f t="shared" ca="1" si="21"/>
        <v>1.052</v>
      </c>
      <c r="K33">
        <f t="shared" ca="1" si="22"/>
        <v>0</v>
      </c>
      <c r="L33">
        <f t="shared" ca="1" si="22"/>
        <v>0</v>
      </c>
      <c r="M33">
        <f t="shared" ca="1" si="22"/>
        <v>0</v>
      </c>
      <c r="N33">
        <f t="shared" ca="1" si="22"/>
        <v>0</v>
      </c>
      <c r="O33">
        <f t="shared" ca="1" si="22"/>
        <v>0.55523945436577038</v>
      </c>
      <c r="P33">
        <f t="shared" ca="1" si="22"/>
        <v>0</v>
      </c>
      <c r="Q33">
        <f t="shared" ca="1" si="22"/>
        <v>0.52302474801696364</v>
      </c>
      <c r="R33">
        <f t="shared" ca="1" si="23"/>
        <v>0.55523945436577038</v>
      </c>
      <c r="S33">
        <f t="shared" ca="1" si="25"/>
        <v>1</v>
      </c>
      <c r="T33">
        <f t="shared" ca="1" si="24"/>
        <v>1</v>
      </c>
    </row>
    <row r="34" spans="1:20" x14ac:dyDescent="0.25">
      <c r="A34" s="1" t="s">
        <v>36</v>
      </c>
      <c r="B34" s="1">
        <f t="shared" si="13"/>
        <v>13</v>
      </c>
      <c r="C34" s="1">
        <f t="shared" si="14"/>
        <v>32</v>
      </c>
      <c r="D34">
        <f t="shared" ca="1" si="15"/>
        <v>2.5499999999999998</v>
      </c>
      <c r="E34">
        <f t="shared" ca="1" si="16"/>
        <v>1.5780000000000001</v>
      </c>
      <c r="F34">
        <f t="shared" ca="1" si="17"/>
        <v>2.5259999999999998</v>
      </c>
      <c r="G34">
        <f t="shared" ca="1" si="18"/>
        <v>0.17899999999999999</v>
      </c>
      <c r="H34">
        <f t="shared" ca="1" si="19"/>
        <v>2.1139999999999999</v>
      </c>
      <c r="I34">
        <f t="shared" ca="1" si="20"/>
        <v>1.778</v>
      </c>
      <c r="J34">
        <f t="shared" ca="1" si="21"/>
        <v>0.63100000000000001</v>
      </c>
      <c r="K34">
        <f t="shared" ca="1" si="22"/>
        <v>0</v>
      </c>
      <c r="L34">
        <f t="shared" ca="1" si="22"/>
        <v>0</v>
      </c>
      <c r="M34">
        <f t="shared" ca="1" si="22"/>
        <v>0</v>
      </c>
      <c r="N34">
        <f t="shared" ca="1" si="22"/>
        <v>0</v>
      </c>
      <c r="O34">
        <f t="shared" ca="1" si="22"/>
        <v>0.58185221684764421</v>
      </c>
      <c r="P34">
        <f t="shared" ca="1" si="22"/>
        <v>0</v>
      </c>
      <c r="Q34">
        <f t="shared" ca="1" si="22"/>
        <v>0.48429050733019263</v>
      </c>
      <c r="R34">
        <f t="shared" ca="1" si="23"/>
        <v>0.58185221684764421</v>
      </c>
      <c r="S34">
        <f t="shared" ca="1" si="25"/>
        <v>1</v>
      </c>
      <c r="T34">
        <f t="shared" ca="1" si="24"/>
        <v>1</v>
      </c>
    </row>
    <row r="35" spans="1:20" x14ac:dyDescent="0.25">
      <c r="A35" s="1" t="s">
        <v>41</v>
      </c>
      <c r="B35" s="1">
        <f t="shared" ref="B35:B50" si="26">LOOKUP($A35,$V$4:$V$23,$W$4:$W$23)</f>
        <v>7</v>
      </c>
      <c r="C35" s="1">
        <f t="shared" si="14"/>
        <v>33</v>
      </c>
      <c r="D35">
        <f t="shared" ca="1" si="15"/>
        <v>0.47099999999999997</v>
      </c>
      <c r="E35">
        <f t="shared" ca="1" si="16"/>
        <v>0.43099999999999999</v>
      </c>
      <c r="F35">
        <f t="shared" ca="1" si="17"/>
        <v>2.597</v>
      </c>
      <c r="G35">
        <f t="shared" ca="1" si="18"/>
        <v>9.8000000000000004E-2</v>
      </c>
      <c r="H35">
        <f t="shared" ca="1" si="19"/>
        <v>0.34499999999999997</v>
      </c>
      <c r="I35">
        <f t="shared" ca="1" si="20"/>
        <v>0.89400000000000002</v>
      </c>
      <c r="J35">
        <f t="shared" ca="1" si="21"/>
        <v>0.51400000000000001</v>
      </c>
      <c r="K35">
        <f t="shared" ca="1" si="22"/>
        <v>0</v>
      </c>
      <c r="L35">
        <f t="shared" ca="1" si="22"/>
        <v>0</v>
      </c>
      <c r="M35">
        <f t="shared" ca="1" si="22"/>
        <v>0</v>
      </c>
      <c r="N35">
        <f t="shared" ca="1" si="22"/>
        <v>0</v>
      </c>
      <c r="O35">
        <f t="shared" ca="1" si="22"/>
        <v>0.57545234645169596</v>
      </c>
      <c r="P35">
        <f t="shared" ca="1" si="22"/>
        <v>0</v>
      </c>
      <c r="Q35">
        <f t="shared" ca="1" si="22"/>
        <v>0.509494692290267</v>
      </c>
      <c r="R35">
        <f t="shared" ca="1" si="23"/>
        <v>0.57545234645169596</v>
      </c>
      <c r="S35">
        <f t="shared" ca="1" si="25"/>
        <v>0.8</v>
      </c>
      <c r="T35">
        <f t="shared" ca="1" si="24"/>
        <v>0.8</v>
      </c>
    </row>
    <row r="36" spans="1:20" x14ac:dyDescent="0.25">
      <c r="A36" s="1" t="s">
        <v>45</v>
      </c>
      <c r="B36" s="1">
        <f t="shared" si="26"/>
        <v>16</v>
      </c>
      <c r="C36" s="1">
        <f t="shared" ref="C36:C51" si="27">C35+1</f>
        <v>34</v>
      </c>
      <c r="D36">
        <f t="shared" ref="D36:D51" ca="1" si="28">OFFSET($X$4,$B36,MOD($C36,7),1,1)</f>
        <v>0.64700000000000002</v>
      </c>
      <c r="E36">
        <f t="shared" ref="E36:E51" ca="1" si="29">OFFSET($X$4,$B36,MOD($C36+1,7),1,1)</f>
        <v>0.16900000000000001</v>
      </c>
      <c r="F36">
        <f t="shared" ref="F36:F51" ca="1" si="30">OFFSET($X$4,$B36,MOD($C36+2,7),1,1)</f>
        <v>0.70199999999999996</v>
      </c>
      <c r="G36">
        <f t="shared" ref="G36:G51" ca="1" si="31">OFFSET($X$4,$B36,MOD($C36+3,7),1,1)</f>
        <v>0.95499999999999996</v>
      </c>
      <c r="H36">
        <f t="shared" ref="H36:H51" ca="1" si="32">OFFSET($X$4,$B36,MOD($C36+4,7),1,1)</f>
        <v>0.65400000000000003</v>
      </c>
      <c r="I36">
        <f t="shared" ref="I36:I51" ca="1" si="33">OFFSET($X$4,$B36,MOD($C36+5,7),1,1)</f>
        <v>0.79100000000000004</v>
      </c>
      <c r="J36">
        <f t="shared" ref="J36:J51" ca="1" si="34">OFFSET($X$4,$B36,MOD($C36+6,7),1,1)</f>
        <v>0.84299999999999997</v>
      </c>
      <c r="K36">
        <f t="shared" ref="K36:Q51" ca="1" si="35">POWER(PRODUCT(D36:D63),1/28)</f>
        <v>0</v>
      </c>
      <c r="L36">
        <f t="shared" ca="1" si="35"/>
        <v>0</v>
      </c>
      <c r="M36">
        <f t="shared" ca="1" si="35"/>
        <v>0</v>
      </c>
      <c r="N36">
        <f t="shared" ca="1" si="35"/>
        <v>0</v>
      </c>
      <c r="O36">
        <f t="shared" ca="1" si="35"/>
        <v>0.58227961293752672</v>
      </c>
      <c r="P36">
        <f t="shared" ca="1" si="35"/>
        <v>0</v>
      </c>
      <c r="Q36">
        <f t="shared" ca="1" si="35"/>
        <v>0.5104271193649178</v>
      </c>
      <c r="R36">
        <f t="shared" ref="R36:R51" ca="1" si="36">MAX(K36:Q36)</f>
        <v>0.58227961293752672</v>
      </c>
      <c r="S36">
        <f t="shared" ca="1" si="25"/>
        <v>0.6</v>
      </c>
      <c r="T36">
        <f t="shared" ref="T36:T51" ca="1" si="37">MAX(S36:S63)</f>
        <v>0.6</v>
      </c>
    </row>
    <row r="37" spans="1:20" x14ac:dyDescent="0.25">
      <c r="A37" s="1" t="s">
        <v>43</v>
      </c>
      <c r="B37" s="1">
        <f t="shared" si="26"/>
        <v>11</v>
      </c>
      <c r="C37" s="1">
        <f t="shared" si="27"/>
        <v>35</v>
      </c>
      <c r="D37">
        <f t="shared" ca="1" si="28"/>
        <v>0.83499999999999996</v>
      </c>
      <c r="E37">
        <f t="shared" ca="1" si="29"/>
        <v>1.4750000000000001</v>
      </c>
      <c r="F37">
        <f t="shared" ca="1" si="30"/>
        <v>1.534</v>
      </c>
      <c r="G37">
        <f t="shared" ca="1" si="31"/>
        <v>3.9E-2</v>
      </c>
      <c r="H37">
        <f t="shared" ca="1" si="32"/>
        <v>1.722</v>
      </c>
      <c r="I37">
        <f t="shared" ca="1" si="33"/>
        <v>2.456</v>
      </c>
      <c r="J37">
        <f t="shared" ca="1" si="34"/>
        <v>2.2799999999999998</v>
      </c>
      <c r="K37">
        <f t="shared" ca="1" si="35"/>
        <v>0</v>
      </c>
      <c r="L37">
        <f t="shared" ca="1" si="35"/>
        <v>0</v>
      </c>
      <c r="M37">
        <f t="shared" ca="1" si="35"/>
        <v>0</v>
      </c>
      <c r="N37">
        <f t="shared" ca="1" si="35"/>
        <v>0</v>
      </c>
      <c r="O37">
        <f t="shared" ca="1" si="35"/>
        <v>0.57188781993698756</v>
      </c>
      <c r="P37">
        <f t="shared" ca="1" si="35"/>
        <v>0</v>
      </c>
      <c r="Q37">
        <f t="shared" ca="1" si="35"/>
        <v>0.50362466361524683</v>
      </c>
      <c r="R37">
        <f t="shared" ca="1" si="36"/>
        <v>0.57188781993698756</v>
      </c>
      <c r="S37">
        <f t="shared" ca="1" si="25"/>
        <v>0.1</v>
      </c>
      <c r="T37">
        <f t="shared" ca="1" si="37"/>
        <v>0.1</v>
      </c>
    </row>
    <row r="38" spans="1:20" x14ac:dyDescent="0.25">
      <c r="A38" s="1" t="s">
        <v>43</v>
      </c>
      <c r="B38" s="1">
        <f t="shared" si="26"/>
        <v>11</v>
      </c>
      <c r="C38" s="1">
        <f t="shared" si="27"/>
        <v>36</v>
      </c>
      <c r="D38">
        <f t="shared" ca="1" si="28"/>
        <v>1.4750000000000001</v>
      </c>
      <c r="E38">
        <f t="shared" ca="1" si="29"/>
        <v>1.534</v>
      </c>
      <c r="F38">
        <f t="shared" ca="1" si="30"/>
        <v>3.9E-2</v>
      </c>
      <c r="G38">
        <f t="shared" ca="1" si="31"/>
        <v>1.722</v>
      </c>
      <c r="H38">
        <f t="shared" ca="1" si="32"/>
        <v>2.456</v>
      </c>
      <c r="I38">
        <f t="shared" ca="1" si="33"/>
        <v>2.2799999999999998</v>
      </c>
      <c r="J38">
        <f t="shared" ca="1" si="34"/>
        <v>0.83499999999999996</v>
      </c>
      <c r="K38">
        <f t="shared" ca="1" si="35"/>
        <v>0</v>
      </c>
      <c r="L38">
        <f t="shared" ca="1" si="35"/>
        <v>0</v>
      </c>
      <c r="M38">
        <f t="shared" ca="1" si="35"/>
        <v>0</v>
      </c>
      <c r="N38">
        <f t="shared" ca="1" si="35"/>
        <v>0</v>
      </c>
      <c r="O38">
        <f t="shared" ca="1" si="35"/>
        <v>0.48686438479764621</v>
      </c>
      <c r="P38">
        <f t="shared" ca="1" si="35"/>
        <v>0</v>
      </c>
      <c r="Q38">
        <f t="shared" ca="1" si="35"/>
        <v>0</v>
      </c>
      <c r="R38">
        <f t="shared" ca="1" si="36"/>
        <v>0.48686438479764621</v>
      </c>
      <c r="S38">
        <f t="shared" ca="1" si="25"/>
        <v>0.1</v>
      </c>
      <c r="T38">
        <f t="shared" ca="1" si="37"/>
        <v>0.1</v>
      </c>
    </row>
    <row r="39" spans="1:20" x14ac:dyDescent="0.25">
      <c r="A39" s="1" t="s">
        <v>41</v>
      </c>
      <c r="B39" s="1">
        <f t="shared" si="26"/>
        <v>7</v>
      </c>
      <c r="C39" s="1">
        <f t="shared" si="27"/>
        <v>37</v>
      </c>
      <c r="D39">
        <f t="shared" ca="1" si="28"/>
        <v>0.34499999999999997</v>
      </c>
      <c r="E39">
        <f t="shared" ca="1" si="29"/>
        <v>0.89400000000000002</v>
      </c>
      <c r="F39">
        <f t="shared" ca="1" si="30"/>
        <v>0.51400000000000001</v>
      </c>
      <c r="G39">
        <f t="shared" ca="1" si="31"/>
        <v>0.47099999999999997</v>
      </c>
      <c r="H39">
        <f t="shared" ca="1" si="32"/>
        <v>0.43099999999999999</v>
      </c>
      <c r="I39">
        <f t="shared" ca="1" si="33"/>
        <v>2.597</v>
      </c>
      <c r="J39">
        <f t="shared" ca="1" si="34"/>
        <v>9.8000000000000004E-2</v>
      </c>
      <c r="K39">
        <f t="shared" ca="1" si="35"/>
        <v>0</v>
      </c>
      <c r="L39">
        <f t="shared" ca="1" si="35"/>
        <v>0</v>
      </c>
      <c r="M39">
        <f t="shared" ca="1" si="35"/>
        <v>0</v>
      </c>
      <c r="N39">
        <f t="shared" ca="1" si="35"/>
        <v>0</v>
      </c>
      <c r="O39">
        <f t="shared" ca="1" si="35"/>
        <v>0.4573365459514746</v>
      </c>
      <c r="P39">
        <f t="shared" ca="1" si="35"/>
        <v>0</v>
      </c>
      <c r="Q39">
        <f t="shared" ca="1" si="35"/>
        <v>0</v>
      </c>
      <c r="R39">
        <f t="shared" ca="1" si="36"/>
        <v>0.4573365459514746</v>
      </c>
      <c r="S39">
        <f t="shared" ca="1" si="25"/>
        <v>0.1</v>
      </c>
      <c r="T39">
        <f t="shared" ca="1" si="37"/>
        <v>0.1</v>
      </c>
    </row>
    <row r="40" spans="1:20" x14ac:dyDescent="0.25">
      <c r="A40" s="1" t="s">
        <v>35</v>
      </c>
      <c r="B40" s="1">
        <f t="shared" si="26"/>
        <v>2</v>
      </c>
      <c r="C40" s="1">
        <f t="shared" si="27"/>
        <v>38</v>
      </c>
      <c r="D40">
        <f t="shared" ca="1" si="28"/>
        <v>0.23699999999999999</v>
      </c>
      <c r="E40">
        <f t="shared" ca="1" si="29"/>
        <v>0.66300000000000003</v>
      </c>
      <c r="F40">
        <f t="shared" ca="1" si="30"/>
        <v>1.62</v>
      </c>
      <c r="G40">
        <f t="shared" ca="1" si="31"/>
        <v>1.448</v>
      </c>
      <c r="H40">
        <f t="shared" ca="1" si="32"/>
        <v>0.03</v>
      </c>
      <c r="I40">
        <f t="shared" ca="1" si="33"/>
        <v>2.3519999999999999</v>
      </c>
      <c r="J40">
        <f t="shared" ca="1" si="34"/>
        <v>2.2679999999999998</v>
      </c>
      <c r="K40">
        <f t="shared" ca="1" si="35"/>
        <v>0</v>
      </c>
      <c r="L40">
        <f t="shared" ca="1" si="35"/>
        <v>0</v>
      </c>
      <c r="M40">
        <f t="shared" ca="1" si="35"/>
        <v>0</v>
      </c>
      <c r="N40">
        <f t="shared" ca="1" si="35"/>
        <v>0</v>
      </c>
      <c r="O40">
        <f t="shared" ca="1" si="35"/>
        <v>0.46402018413364921</v>
      </c>
      <c r="P40">
        <f t="shared" ca="1" si="35"/>
        <v>0</v>
      </c>
      <c r="Q40">
        <f t="shared" ca="1" si="35"/>
        <v>0</v>
      </c>
      <c r="R40">
        <f t="shared" ca="1" si="36"/>
        <v>0.46402018413364921</v>
      </c>
      <c r="S40">
        <f t="shared" ca="1" si="25"/>
        <v>0.1</v>
      </c>
      <c r="T40">
        <f t="shared" ca="1" si="37"/>
        <v>0.1</v>
      </c>
    </row>
    <row r="41" spans="1:20" x14ac:dyDescent="0.25">
      <c r="A41" s="1" t="s">
        <v>44</v>
      </c>
      <c r="B41" s="1">
        <f t="shared" si="26"/>
        <v>12</v>
      </c>
      <c r="C41" s="1">
        <f t="shared" si="27"/>
        <v>39</v>
      </c>
      <c r="D41">
        <f t="shared" ca="1" si="28"/>
        <v>0</v>
      </c>
      <c r="E41">
        <f t="shared" ca="1" si="29"/>
        <v>0</v>
      </c>
      <c r="F41">
        <f t="shared" ca="1" si="30"/>
        <v>0</v>
      </c>
      <c r="G41">
        <f t="shared" ca="1" si="31"/>
        <v>0</v>
      </c>
      <c r="H41">
        <f t="shared" ca="1" si="32"/>
        <v>8.0000000000000002E-3</v>
      </c>
      <c r="I41">
        <f t="shared" ca="1" si="33"/>
        <v>0</v>
      </c>
      <c r="J41">
        <f t="shared" ca="1" si="34"/>
        <v>1.2999999999999999E-2</v>
      </c>
      <c r="K41">
        <f t="shared" ca="1" si="35"/>
        <v>0</v>
      </c>
      <c r="L41">
        <f t="shared" ca="1" si="35"/>
        <v>0</v>
      </c>
      <c r="M41">
        <f t="shared" ca="1" si="35"/>
        <v>0</v>
      </c>
      <c r="N41">
        <f t="shared" ca="1" si="35"/>
        <v>0</v>
      </c>
      <c r="O41">
        <f t="shared" ca="1" si="35"/>
        <v>0.46402018413364921</v>
      </c>
      <c r="P41">
        <f t="shared" ca="1" si="35"/>
        <v>0</v>
      </c>
      <c r="Q41">
        <f t="shared" ca="1" si="35"/>
        <v>0</v>
      </c>
      <c r="R41">
        <f t="shared" ca="1" si="36"/>
        <v>0.46402018413364921</v>
      </c>
      <c r="S41">
        <f t="shared" ca="1" si="25"/>
        <v>0</v>
      </c>
      <c r="T41">
        <f t="shared" ca="1" si="37"/>
        <v>0</v>
      </c>
    </row>
    <row r="42" spans="1:20" x14ac:dyDescent="0.25">
      <c r="A42" s="1" t="s">
        <v>46</v>
      </c>
      <c r="B42" s="1">
        <f t="shared" si="26"/>
        <v>17</v>
      </c>
      <c r="C42" s="1">
        <f t="shared" si="27"/>
        <v>40</v>
      </c>
      <c r="D42">
        <f t="shared" ca="1" si="28"/>
        <v>0.34200000000000003</v>
      </c>
      <c r="E42">
        <f t="shared" ca="1" si="29"/>
        <v>0.36</v>
      </c>
      <c r="F42">
        <f t="shared" ca="1" si="30"/>
        <v>1.665</v>
      </c>
      <c r="G42">
        <f t="shared" ca="1" si="31"/>
        <v>0.40300000000000002</v>
      </c>
      <c r="H42">
        <f t="shared" ca="1" si="32"/>
        <v>0.38600000000000001</v>
      </c>
      <c r="I42">
        <f t="shared" ca="1" si="33"/>
        <v>0.94899999999999995</v>
      </c>
      <c r="J42">
        <f t="shared" ca="1" si="34"/>
        <v>0.21099999999999999</v>
      </c>
      <c r="K42">
        <f t="shared" ca="1" si="35"/>
        <v>0.50765135852990584</v>
      </c>
      <c r="L42">
        <f t="shared" ca="1" si="35"/>
        <v>0</v>
      </c>
      <c r="M42">
        <f t="shared" ca="1" si="35"/>
        <v>0</v>
      </c>
      <c r="N42">
        <f t="shared" ca="1" si="35"/>
        <v>0.48012419873719792</v>
      </c>
      <c r="O42">
        <f t="shared" ca="1" si="35"/>
        <v>0.5408259666752091</v>
      </c>
      <c r="P42">
        <f t="shared" ca="1" si="35"/>
        <v>0</v>
      </c>
      <c r="Q42">
        <f t="shared" ca="1" si="35"/>
        <v>0</v>
      </c>
      <c r="R42">
        <f t="shared" ca="1" si="36"/>
        <v>0.5408259666752091</v>
      </c>
      <c r="S42">
        <f t="shared" ca="1" si="25"/>
        <v>0</v>
      </c>
      <c r="T42">
        <f t="shared" ca="1" si="37"/>
        <v>0</v>
      </c>
    </row>
    <row r="43" spans="1:20" x14ac:dyDescent="0.25">
      <c r="A43" s="1" t="s">
        <v>38</v>
      </c>
      <c r="B43" s="1">
        <f t="shared" si="26"/>
        <v>5</v>
      </c>
      <c r="C43" s="1">
        <f t="shared" si="27"/>
        <v>41</v>
      </c>
      <c r="D43">
        <f t="shared" ca="1" si="28"/>
        <v>0.156</v>
      </c>
      <c r="E43">
        <f t="shared" ca="1" si="29"/>
        <v>4.4999999999999998E-2</v>
      </c>
      <c r="F43">
        <f t="shared" ca="1" si="30"/>
        <v>0.27500000000000002</v>
      </c>
      <c r="G43">
        <f t="shared" ca="1" si="31"/>
        <v>0.57799999999999996</v>
      </c>
      <c r="H43">
        <f t="shared" ca="1" si="32"/>
        <v>0.216</v>
      </c>
      <c r="I43">
        <f t="shared" ca="1" si="33"/>
        <v>0.21099999999999999</v>
      </c>
      <c r="J43">
        <f t="shared" ca="1" si="34"/>
        <v>0.42599999999999999</v>
      </c>
      <c r="K43">
        <f t="shared" ca="1" si="35"/>
        <v>0.54008498908635005</v>
      </c>
      <c r="L43">
        <f t="shared" ca="1" si="35"/>
        <v>0</v>
      </c>
      <c r="M43">
        <f t="shared" ca="1" si="35"/>
        <v>0</v>
      </c>
      <c r="N43">
        <f t="shared" ca="1" si="35"/>
        <v>0.49864558300067668</v>
      </c>
      <c r="O43">
        <f t="shared" ca="1" si="35"/>
        <v>0.56335077317065685</v>
      </c>
      <c r="P43">
        <f t="shared" ca="1" si="35"/>
        <v>0</v>
      </c>
      <c r="Q43">
        <f t="shared" ca="1" si="35"/>
        <v>0</v>
      </c>
      <c r="R43">
        <f t="shared" ca="1" si="36"/>
        <v>0.56335077317065685</v>
      </c>
      <c r="S43">
        <f t="shared" ca="1" si="25"/>
        <v>0</v>
      </c>
      <c r="T43">
        <f t="shared" ca="1" si="37"/>
        <v>0</v>
      </c>
    </row>
    <row r="44" spans="1:20" x14ac:dyDescent="0.25">
      <c r="A44" s="1" t="s">
        <v>39</v>
      </c>
      <c r="B44" s="1">
        <f t="shared" si="26"/>
        <v>14</v>
      </c>
      <c r="C44" s="1">
        <f t="shared" si="27"/>
        <v>42</v>
      </c>
      <c r="D44">
        <f t="shared" ca="1" si="28"/>
        <v>0.65900000000000003</v>
      </c>
      <c r="E44">
        <f t="shared" ca="1" si="29"/>
        <v>1.163</v>
      </c>
      <c r="F44">
        <f t="shared" ca="1" si="30"/>
        <v>1.21</v>
      </c>
      <c r="G44">
        <f t="shared" ca="1" si="31"/>
        <v>3.1E-2</v>
      </c>
      <c r="H44">
        <f t="shared" ca="1" si="32"/>
        <v>1.3580000000000001</v>
      </c>
      <c r="I44">
        <f t="shared" ca="1" si="33"/>
        <v>1.9370000000000001</v>
      </c>
      <c r="J44">
        <f t="shared" ca="1" si="34"/>
        <v>1.798</v>
      </c>
      <c r="K44">
        <f t="shared" ca="1" si="35"/>
        <v>0.56233029714754612</v>
      </c>
      <c r="L44">
        <f t="shared" ca="1" si="35"/>
        <v>0</v>
      </c>
      <c r="M44">
        <f t="shared" ca="1" si="35"/>
        <v>0</v>
      </c>
      <c r="N44">
        <f t="shared" ca="1" si="35"/>
        <v>0.49204481909177966</v>
      </c>
      <c r="O44">
        <f t="shared" ca="1" si="35"/>
        <v>0.62469180098272115</v>
      </c>
      <c r="P44">
        <f t="shared" ca="1" si="35"/>
        <v>0</v>
      </c>
      <c r="Q44">
        <f t="shared" ca="1" si="35"/>
        <v>0</v>
      </c>
      <c r="R44">
        <f t="shared" ca="1" si="36"/>
        <v>0.62469180098272115</v>
      </c>
      <c r="S44">
        <f t="shared" ca="1" si="25"/>
        <v>0</v>
      </c>
      <c r="T44">
        <f t="shared" ca="1" si="37"/>
        <v>0</v>
      </c>
    </row>
    <row r="45" spans="1:20" x14ac:dyDescent="0.25">
      <c r="A45" s="1" t="s">
        <v>41</v>
      </c>
      <c r="B45" s="1">
        <f t="shared" si="26"/>
        <v>7</v>
      </c>
      <c r="C45" s="1">
        <f t="shared" si="27"/>
        <v>43</v>
      </c>
      <c r="D45">
        <f t="shared" ca="1" si="28"/>
        <v>9.8000000000000004E-2</v>
      </c>
      <c r="E45">
        <f t="shared" ca="1" si="29"/>
        <v>0.34499999999999997</v>
      </c>
      <c r="F45">
        <f t="shared" ca="1" si="30"/>
        <v>0.89400000000000002</v>
      </c>
      <c r="G45">
        <f t="shared" ca="1" si="31"/>
        <v>0.51400000000000001</v>
      </c>
      <c r="H45">
        <f t="shared" ca="1" si="32"/>
        <v>0.47099999999999997</v>
      </c>
      <c r="I45">
        <f t="shared" ca="1" si="33"/>
        <v>0.43099999999999999</v>
      </c>
      <c r="J45">
        <f t="shared" ca="1" si="34"/>
        <v>2.597</v>
      </c>
      <c r="K45">
        <f t="shared" ca="1" si="35"/>
        <v>0.5947578036747545</v>
      </c>
      <c r="L45">
        <f t="shared" ca="1" si="35"/>
        <v>0</v>
      </c>
      <c r="M45">
        <f t="shared" ca="1" si="35"/>
        <v>0</v>
      </c>
      <c r="N45">
        <f t="shared" ca="1" si="35"/>
        <v>0.58479278415837999</v>
      </c>
      <c r="O45">
        <f t="shared" ca="1" si="35"/>
        <v>0.60618268026591804</v>
      </c>
      <c r="P45">
        <f t="shared" ca="1" si="35"/>
        <v>0</v>
      </c>
      <c r="Q45">
        <f t="shared" ca="1" si="35"/>
        <v>0</v>
      </c>
      <c r="R45">
        <f t="shared" ca="1" si="36"/>
        <v>0.60618268026591804</v>
      </c>
      <c r="S45">
        <f t="shared" ca="1" si="25"/>
        <v>0</v>
      </c>
      <c r="T45">
        <f t="shared" ca="1" si="37"/>
        <v>0</v>
      </c>
    </row>
    <row r="46" spans="1:20" x14ac:dyDescent="0.25">
      <c r="A46" s="1" t="s">
        <v>36</v>
      </c>
      <c r="B46" s="1">
        <f t="shared" si="26"/>
        <v>13</v>
      </c>
      <c r="C46" s="1">
        <f t="shared" si="27"/>
        <v>44</v>
      </c>
      <c r="D46">
        <f t="shared" ca="1" si="28"/>
        <v>1.778</v>
      </c>
      <c r="E46">
        <f t="shared" ca="1" si="29"/>
        <v>0.63100000000000001</v>
      </c>
      <c r="F46">
        <f t="shared" ca="1" si="30"/>
        <v>2.5499999999999998</v>
      </c>
      <c r="G46">
        <f t="shared" ca="1" si="31"/>
        <v>1.5780000000000001</v>
      </c>
      <c r="H46">
        <f t="shared" ca="1" si="32"/>
        <v>2.5259999999999998</v>
      </c>
      <c r="I46">
        <f t="shared" ca="1" si="33"/>
        <v>0.17899999999999999</v>
      </c>
      <c r="J46">
        <f t="shared" ca="1" si="34"/>
        <v>2.1139999999999999</v>
      </c>
      <c r="K46">
        <f t="shared" ca="1" si="35"/>
        <v>0.62556370163277064</v>
      </c>
      <c r="L46">
        <f t="shared" ca="1" si="35"/>
        <v>0</v>
      </c>
      <c r="M46">
        <f t="shared" ca="1" si="35"/>
        <v>0</v>
      </c>
      <c r="N46">
        <f t="shared" ca="1" si="35"/>
        <v>0.56648965251165606</v>
      </c>
      <c r="O46">
        <f t="shared" ca="1" si="35"/>
        <v>0.59929330166921246</v>
      </c>
      <c r="P46">
        <f t="shared" ca="1" si="35"/>
        <v>0</v>
      </c>
      <c r="Q46">
        <f t="shared" ca="1" si="35"/>
        <v>0</v>
      </c>
      <c r="R46">
        <f t="shared" ca="1" si="36"/>
        <v>0.62556370163277064</v>
      </c>
      <c r="S46">
        <f t="shared" ca="1" si="25"/>
        <v>0</v>
      </c>
      <c r="T46">
        <f t="shared" ca="1" si="37"/>
        <v>0</v>
      </c>
    </row>
    <row r="47" spans="1:20" x14ac:dyDescent="0.25">
      <c r="A47" s="1" t="s">
        <v>22</v>
      </c>
      <c r="B47" s="1">
        <f t="shared" si="26"/>
        <v>10</v>
      </c>
      <c r="C47" s="1">
        <f t="shared" si="27"/>
        <v>45</v>
      </c>
      <c r="D47">
        <f t="shared" ca="1" si="28"/>
        <v>1.409</v>
      </c>
      <c r="E47">
        <f t="shared" ca="1" si="29"/>
        <v>0.54100000000000004</v>
      </c>
      <c r="F47">
        <f t="shared" ca="1" si="30"/>
        <v>0.77200000000000002</v>
      </c>
      <c r="G47">
        <f t="shared" ca="1" si="31"/>
        <v>0.66300000000000003</v>
      </c>
      <c r="H47">
        <f t="shared" ca="1" si="32"/>
        <v>2.2400000000000002</v>
      </c>
      <c r="I47">
        <f t="shared" ca="1" si="33"/>
        <v>0.37</v>
      </c>
      <c r="J47">
        <f t="shared" ca="1" si="34"/>
        <v>0.48</v>
      </c>
      <c r="K47">
        <f t="shared" ca="1" si="35"/>
        <v>0.61394813307627116</v>
      </c>
      <c r="L47">
        <f t="shared" ca="1" si="35"/>
        <v>0</v>
      </c>
      <c r="M47">
        <f t="shared" ca="1" si="35"/>
        <v>0</v>
      </c>
      <c r="N47">
        <f t="shared" ca="1" si="35"/>
        <v>0.55559183609293683</v>
      </c>
      <c r="O47">
        <f t="shared" ca="1" si="35"/>
        <v>0.57023133285236682</v>
      </c>
      <c r="P47">
        <f t="shared" ca="1" si="35"/>
        <v>0</v>
      </c>
      <c r="Q47">
        <f t="shared" ca="1" si="35"/>
        <v>0</v>
      </c>
      <c r="R47">
        <f t="shared" ca="1" si="36"/>
        <v>0.61394813307627116</v>
      </c>
      <c r="S47">
        <f t="shared" ref="S47:S62" ca="1" si="38">IF(R20&gt;1.55,1,IF(R20&gt;1.48,0.9,IF(R20&gt;1.4,0.8,IF(R20&gt;1.36666,0.6,IF(R20&gt;1.33333,0.4,IF(R20&gt;1.22,0.2,IF(R20&gt;1,0.1,0)))))))</f>
        <v>0</v>
      </c>
      <c r="T47">
        <f t="shared" ca="1" si="37"/>
        <v>0</v>
      </c>
    </row>
    <row r="48" spans="1:20" x14ac:dyDescent="0.25">
      <c r="A48" s="1" t="s">
        <v>39</v>
      </c>
      <c r="B48" s="1">
        <f t="shared" si="26"/>
        <v>14</v>
      </c>
      <c r="C48" s="1">
        <f t="shared" si="27"/>
        <v>46</v>
      </c>
      <c r="D48">
        <f t="shared" ca="1" si="28"/>
        <v>1.3580000000000001</v>
      </c>
      <c r="E48">
        <f t="shared" ca="1" si="29"/>
        <v>1.9370000000000001</v>
      </c>
      <c r="F48">
        <f t="shared" ca="1" si="30"/>
        <v>1.798</v>
      </c>
      <c r="G48">
        <f t="shared" ca="1" si="31"/>
        <v>0.65900000000000003</v>
      </c>
      <c r="H48">
        <f t="shared" ca="1" si="32"/>
        <v>1.163</v>
      </c>
      <c r="I48">
        <f t="shared" ca="1" si="33"/>
        <v>1.21</v>
      </c>
      <c r="J48">
        <f t="shared" ca="1" si="34"/>
        <v>3.1E-2</v>
      </c>
      <c r="K48">
        <f t="shared" ca="1" si="35"/>
        <v>0.62763236741692652</v>
      </c>
      <c r="L48">
        <f t="shared" ca="1" si="35"/>
        <v>0</v>
      </c>
      <c r="M48">
        <f t="shared" ca="1" si="35"/>
        <v>0</v>
      </c>
      <c r="N48">
        <f t="shared" ca="1" si="35"/>
        <v>0.56117025569336487</v>
      </c>
      <c r="O48">
        <f t="shared" ca="1" si="35"/>
        <v>0.55921110843140609</v>
      </c>
      <c r="P48">
        <f t="shared" ca="1" si="35"/>
        <v>0</v>
      </c>
      <c r="Q48">
        <f t="shared" ca="1" si="35"/>
        <v>0</v>
      </c>
      <c r="R48">
        <f t="shared" ca="1" si="36"/>
        <v>0.62763236741692652</v>
      </c>
      <c r="S48">
        <f t="shared" ca="1" si="38"/>
        <v>0</v>
      </c>
      <c r="T48">
        <f t="shared" ca="1" si="37"/>
        <v>0</v>
      </c>
    </row>
    <row r="49" spans="1:20" x14ac:dyDescent="0.25">
      <c r="A49" s="1" t="s">
        <v>45</v>
      </c>
      <c r="B49" s="1">
        <f t="shared" si="26"/>
        <v>16</v>
      </c>
      <c r="C49" s="1">
        <f t="shared" si="27"/>
        <v>47</v>
      </c>
      <c r="D49">
        <f t="shared" ca="1" si="28"/>
        <v>0.84299999999999997</v>
      </c>
      <c r="E49">
        <f t="shared" ca="1" si="29"/>
        <v>0.64700000000000002</v>
      </c>
      <c r="F49">
        <f t="shared" ca="1" si="30"/>
        <v>0.16900000000000001</v>
      </c>
      <c r="G49">
        <f t="shared" ca="1" si="31"/>
        <v>0.70199999999999996</v>
      </c>
      <c r="H49">
        <f t="shared" ca="1" si="32"/>
        <v>0.95499999999999996</v>
      </c>
      <c r="I49">
        <f t="shared" ca="1" si="33"/>
        <v>0.65400000000000003</v>
      </c>
      <c r="J49">
        <f t="shared" ca="1" si="34"/>
        <v>0.79100000000000004</v>
      </c>
      <c r="K49">
        <f t="shared" ca="1" si="35"/>
        <v>0.60668687756223294</v>
      </c>
      <c r="L49">
        <f t="shared" ca="1" si="35"/>
        <v>0</v>
      </c>
      <c r="M49">
        <f t="shared" ca="1" si="35"/>
        <v>0</v>
      </c>
      <c r="N49">
        <f t="shared" ca="1" si="35"/>
        <v>0.5503471390673661</v>
      </c>
      <c r="O49">
        <f t="shared" ca="1" si="35"/>
        <v>0.5455878333998877</v>
      </c>
      <c r="P49">
        <f t="shared" ca="1" si="35"/>
        <v>0</v>
      </c>
      <c r="Q49">
        <f t="shared" ca="1" si="35"/>
        <v>0</v>
      </c>
      <c r="R49">
        <f t="shared" ca="1" si="36"/>
        <v>0.60668687756223294</v>
      </c>
      <c r="S49">
        <f t="shared" ca="1" si="38"/>
        <v>0</v>
      </c>
      <c r="T49">
        <f t="shared" ca="1" si="37"/>
        <v>0</v>
      </c>
    </row>
    <row r="50" spans="1:20" x14ac:dyDescent="0.25">
      <c r="A50" s="1" t="s">
        <v>39</v>
      </c>
      <c r="B50" s="1">
        <f t="shared" si="26"/>
        <v>14</v>
      </c>
      <c r="C50" s="1">
        <f t="shared" si="27"/>
        <v>48</v>
      </c>
      <c r="D50">
        <f t="shared" ca="1" si="28"/>
        <v>1.798</v>
      </c>
      <c r="E50">
        <f t="shared" ca="1" si="29"/>
        <v>0.65900000000000003</v>
      </c>
      <c r="F50">
        <f t="shared" ca="1" si="30"/>
        <v>1.163</v>
      </c>
      <c r="G50">
        <f t="shared" ca="1" si="31"/>
        <v>1.21</v>
      </c>
      <c r="H50">
        <f t="shared" ca="1" si="32"/>
        <v>3.1E-2</v>
      </c>
      <c r="I50">
        <f t="shared" ca="1" si="33"/>
        <v>1.3580000000000001</v>
      </c>
      <c r="J50">
        <f t="shared" ca="1" si="34"/>
        <v>1.9370000000000001</v>
      </c>
      <c r="K50">
        <f t="shared" ca="1" si="35"/>
        <v>0.62042439596456278</v>
      </c>
      <c r="L50">
        <f t="shared" ca="1" si="35"/>
        <v>0</v>
      </c>
      <c r="M50">
        <f t="shared" ca="1" si="35"/>
        <v>0</v>
      </c>
      <c r="N50">
        <f t="shared" ca="1" si="35"/>
        <v>0.57244737168283055</v>
      </c>
      <c r="O50">
        <f t="shared" ca="1" si="35"/>
        <v>0.55783399417262625</v>
      </c>
      <c r="P50">
        <f t="shared" ca="1" si="35"/>
        <v>0</v>
      </c>
      <c r="Q50">
        <f t="shared" ca="1" si="35"/>
        <v>0</v>
      </c>
      <c r="R50">
        <f t="shared" ca="1" si="36"/>
        <v>0.62042439596456278</v>
      </c>
      <c r="S50">
        <f t="shared" ca="1" si="38"/>
        <v>0</v>
      </c>
      <c r="T50">
        <f t="shared" ca="1" si="37"/>
        <v>0</v>
      </c>
    </row>
    <row r="51" spans="1:20" x14ac:dyDescent="0.25">
      <c r="A51" s="1" t="s">
        <v>39</v>
      </c>
      <c r="B51" s="1">
        <f t="shared" ref="B51:B66" si="39">LOOKUP($A51,$V$4:$V$23,$W$4:$W$23)</f>
        <v>14</v>
      </c>
      <c r="C51" s="1">
        <f t="shared" si="27"/>
        <v>49</v>
      </c>
      <c r="D51">
        <f t="shared" ca="1" si="28"/>
        <v>0.65900000000000003</v>
      </c>
      <c r="E51">
        <f t="shared" ca="1" si="29"/>
        <v>1.163</v>
      </c>
      <c r="F51">
        <f t="shared" ca="1" si="30"/>
        <v>1.21</v>
      </c>
      <c r="G51">
        <f t="shared" ca="1" si="31"/>
        <v>3.1E-2</v>
      </c>
      <c r="H51">
        <f t="shared" ca="1" si="32"/>
        <v>1.3580000000000001</v>
      </c>
      <c r="I51">
        <f t="shared" ca="1" si="33"/>
        <v>1.9370000000000001</v>
      </c>
      <c r="J51">
        <f t="shared" ca="1" si="34"/>
        <v>1.798</v>
      </c>
      <c r="K51">
        <f t="shared" ca="1" si="35"/>
        <v>0.61564586831927159</v>
      </c>
      <c r="L51">
        <f t="shared" ca="1" si="35"/>
        <v>0</v>
      </c>
      <c r="M51">
        <f t="shared" ca="1" si="35"/>
        <v>0</v>
      </c>
      <c r="N51">
        <f t="shared" ca="1" si="35"/>
        <v>0.58543742622297457</v>
      </c>
      <c r="O51">
        <f t="shared" ca="1" si="35"/>
        <v>0.5998663489536834</v>
      </c>
      <c r="P51">
        <f t="shared" ca="1" si="35"/>
        <v>0</v>
      </c>
      <c r="Q51">
        <f t="shared" ca="1" si="35"/>
        <v>0</v>
      </c>
      <c r="R51">
        <f t="shared" ca="1" si="36"/>
        <v>0.61564586831927159</v>
      </c>
      <c r="S51">
        <f t="shared" ca="1" si="38"/>
        <v>0</v>
      </c>
      <c r="T51">
        <f t="shared" ca="1" si="37"/>
        <v>0</v>
      </c>
    </row>
    <row r="52" spans="1:20" x14ac:dyDescent="0.25">
      <c r="A52" s="1" t="s">
        <v>45</v>
      </c>
      <c r="B52" s="1">
        <f t="shared" si="39"/>
        <v>16</v>
      </c>
      <c r="C52" s="1">
        <f t="shared" ref="C52:C67" si="40">C51+1</f>
        <v>50</v>
      </c>
      <c r="D52">
        <f t="shared" ref="D52:D67" ca="1" si="41">OFFSET($X$4,$B52,MOD($C52,7),1,1)</f>
        <v>0.70199999999999996</v>
      </c>
      <c r="E52">
        <f t="shared" ref="E52:E67" ca="1" si="42">OFFSET($X$4,$B52,MOD($C52+1,7),1,1)</f>
        <v>0.95499999999999996</v>
      </c>
      <c r="F52">
        <f t="shared" ref="F52:F67" ca="1" si="43">OFFSET($X$4,$B52,MOD($C52+2,7),1,1)</f>
        <v>0.65400000000000003</v>
      </c>
      <c r="G52">
        <f t="shared" ref="G52:G67" ca="1" si="44">OFFSET($X$4,$B52,MOD($C52+3,7),1,1)</f>
        <v>0.79100000000000004</v>
      </c>
      <c r="H52">
        <f t="shared" ref="H52:H67" ca="1" si="45">OFFSET($X$4,$B52,MOD($C52+4,7),1,1)</f>
        <v>0.84299999999999997</v>
      </c>
      <c r="I52">
        <f t="shared" ref="I52:I67" ca="1" si="46">OFFSET($X$4,$B52,MOD($C52+5,7),1,1)</f>
        <v>0.64700000000000002</v>
      </c>
      <c r="J52">
        <f t="shared" ref="J52:J67" ca="1" si="47">OFFSET($X$4,$B52,MOD($C52+6,7),1,1)</f>
        <v>0.16900000000000001</v>
      </c>
      <c r="K52">
        <f t="shared" ref="K52:Q67" ca="1" si="48">POWER(PRODUCT(D52:D79),1/28)</f>
        <v>0.5593708030665494</v>
      </c>
      <c r="L52">
        <f t="shared" ca="1" si="48"/>
        <v>0</v>
      </c>
      <c r="M52">
        <f t="shared" ca="1" si="48"/>
        <v>0</v>
      </c>
      <c r="N52">
        <f t="shared" ca="1" si="48"/>
        <v>0.62746703366553314</v>
      </c>
      <c r="O52">
        <f t="shared" ca="1" si="48"/>
        <v>0.56127449777900562</v>
      </c>
      <c r="P52">
        <f t="shared" ca="1" si="48"/>
        <v>0</v>
      </c>
      <c r="Q52">
        <f t="shared" ca="1" si="48"/>
        <v>0</v>
      </c>
      <c r="R52">
        <f t="shared" ref="R52:R67" ca="1" si="49">MAX(K52:Q52)</f>
        <v>0.62746703366553314</v>
      </c>
      <c r="S52">
        <f t="shared" ca="1" si="38"/>
        <v>0</v>
      </c>
      <c r="T52">
        <f t="shared" ref="T52:T67" ca="1" si="50">MAX(S52:S79)</f>
        <v>0</v>
      </c>
    </row>
    <row r="53" spans="1:20" x14ac:dyDescent="0.25">
      <c r="A53" s="1" t="s">
        <v>34</v>
      </c>
      <c r="B53" s="1">
        <f t="shared" si="39"/>
        <v>9</v>
      </c>
      <c r="C53" s="1">
        <f t="shared" si="40"/>
        <v>51</v>
      </c>
      <c r="D53">
        <f t="shared" ca="1" si="41"/>
        <v>0.39800000000000002</v>
      </c>
      <c r="E53">
        <f t="shared" ca="1" si="42"/>
        <v>3.9020000000000001</v>
      </c>
      <c r="F53">
        <f t="shared" ca="1" si="43"/>
        <v>0.58499999999999996</v>
      </c>
      <c r="G53">
        <f t="shared" ca="1" si="44"/>
        <v>0.501</v>
      </c>
      <c r="H53">
        <f t="shared" ca="1" si="45"/>
        <v>0.48299999999999998</v>
      </c>
      <c r="I53">
        <f t="shared" ca="1" si="46"/>
        <v>3.1669999999999998</v>
      </c>
      <c r="J53">
        <f t="shared" ca="1" si="47"/>
        <v>0.29699999999999999</v>
      </c>
      <c r="K53">
        <f t="shared" ca="1" si="48"/>
        <v>0.58646103332853861</v>
      </c>
      <c r="L53">
        <f t="shared" ca="1" si="48"/>
        <v>0</v>
      </c>
      <c r="M53">
        <f t="shared" ca="1" si="48"/>
        <v>0</v>
      </c>
      <c r="N53">
        <f t="shared" ca="1" si="48"/>
        <v>0.64635790039042551</v>
      </c>
      <c r="O53">
        <f t="shared" ca="1" si="48"/>
        <v>0.57845549833218546</v>
      </c>
      <c r="P53">
        <f t="shared" ca="1" si="48"/>
        <v>0</v>
      </c>
      <c r="Q53">
        <f t="shared" ca="1" si="48"/>
        <v>0</v>
      </c>
      <c r="R53">
        <f t="shared" ca="1" si="49"/>
        <v>0.64635790039042551</v>
      </c>
      <c r="S53">
        <f t="shared" ca="1" si="38"/>
        <v>0</v>
      </c>
      <c r="T53">
        <f t="shared" ca="1" si="50"/>
        <v>0</v>
      </c>
    </row>
    <row r="54" spans="1:20" x14ac:dyDescent="0.25">
      <c r="A54" s="1" t="s">
        <v>39</v>
      </c>
      <c r="B54" s="1">
        <f t="shared" si="39"/>
        <v>14</v>
      </c>
      <c r="C54" s="1">
        <f t="shared" si="40"/>
        <v>52</v>
      </c>
      <c r="D54">
        <f t="shared" ca="1" si="41"/>
        <v>3.1E-2</v>
      </c>
      <c r="E54">
        <f t="shared" ca="1" si="42"/>
        <v>1.3580000000000001</v>
      </c>
      <c r="F54">
        <f t="shared" ca="1" si="43"/>
        <v>1.9370000000000001</v>
      </c>
      <c r="G54">
        <f t="shared" ca="1" si="44"/>
        <v>1.798</v>
      </c>
      <c r="H54">
        <f t="shared" ca="1" si="45"/>
        <v>0.65900000000000003</v>
      </c>
      <c r="I54">
        <f t="shared" ca="1" si="46"/>
        <v>1.163</v>
      </c>
      <c r="J54">
        <f t="shared" ca="1" si="47"/>
        <v>1.21</v>
      </c>
      <c r="K54">
        <f t="shared" ca="1" si="48"/>
        <v>0.58646103332853861</v>
      </c>
      <c r="L54">
        <f t="shared" ca="1" si="48"/>
        <v>0</v>
      </c>
      <c r="M54">
        <f t="shared" ca="1" si="48"/>
        <v>0</v>
      </c>
      <c r="N54">
        <f t="shared" ca="1" si="48"/>
        <v>0.64635790039042551</v>
      </c>
      <c r="O54">
        <f t="shared" ca="1" si="48"/>
        <v>0.57845549833218546</v>
      </c>
      <c r="P54">
        <f t="shared" ca="1" si="48"/>
        <v>0</v>
      </c>
      <c r="Q54">
        <f t="shared" ca="1" si="48"/>
        <v>0</v>
      </c>
      <c r="R54">
        <f t="shared" ca="1" si="49"/>
        <v>0.64635790039042551</v>
      </c>
      <c r="S54">
        <f t="shared" ca="1" si="38"/>
        <v>0</v>
      </c>
      <c r="T54">
        <f t="shared" ca="1" si="50"/>
        <v>0</v>
      </c>
    </row>
    <row r="55" spans="1:20" x14ac:dyDescent="0.25">
      <c r="A55" s="1" t="s">
        <v>38</v>
      </c>
      <c r="B55" s="1">
        <f t="shared" si="39"/>
        <v>5</v>
      </c>
      <c r="C55" s="1">
        <f t="shared" si="40"/>
        <v>53</v>
      </c>
      <c r="D55">
        <f t="shared" ca="1" si="41"/>
        <v>0.21099999999999999</v>
      </c>
      <c r="E55">
        <f t="shared" ca="1" si="42"/>
        <v>0.42599999999999999</v>
      </c>
      <c r="F55">
        <f t="shared" ca="1" si="43"/>
        <v>0.156</v>
      </c>
      <c r="G55">
        <f t="shared" ca="1" si="44"/>
        <v>4.4999999999999998E-2</v>
      </c>
      <c r="H55">
        <f t="shared" ca="1" si="45"/>
        <v>0.27500000000000002</v>
      </c>
      <c r="I55">
        <f t="shared" ca="1" si="46"/>
        <v>0.57799999999999996</v>
      </c>
      <c r="J55">
        <f t="shared" ca="1" si="47"/>
        <v>0.216</v>
      </c>
      <c r="K55">
        <f t="shared" ca="1" si="48"/>
        <v>0.6612735547402282</v>
      </c>
      <c r="L55">
        <f t="shared" ca="1" si="48"/>
        <v>0</v>
      </c>
      <c r="M55">
        <f t="shared" ca="1" si="48"/>
        <v>0</v>
      </c>
      <c r="N55">
        <f t="shared" ca="1" si="48"/>
        <v>0.6142130600398682</v>
      </c>
      <c r="O55">
        <f t="shared" ca="1" si="48"/>
        <v>0.60749247284314856</v>
      </c>
      <c r="P55">
        <f t="shared" ca="1" si="48"/>
        <v>0</v>
      </c>
      <c r="Q55">
        <f t="shared" ca="1" si="48"/>
        <v>0</v>
      </c>
      <c r="R55">
        <f t="shared" ca="1" si="49"/>
        <v>0.6612735547402282</v>
      </c>
      <c r="S55">
        <f t="shared" ca="1" si="38"/>
        <v>0</v>
      </c>
      <c r="T55">
        <f t="shared" ca="1" si="50"/>
        <v>0</v>
      </c>
    </row>
    <row r="56" spans="1:20" x14ac:dyDescent="0.25">
      <c r="A56" s="1" t="s">
        <v>40</v>
      </c>
      <c r="B56" s="1">
        <f t="shared" si="39"/>
        <v>6</v>
      </c>
      <c r="C56" s="1">
        <f t="shared" si="40"/>
        <v>54</v>
      </c>
      <c r="D56">
        <f t="shared" ca="1" si="41"/>
        <v>0.57899999999999996</v>
      </c>
      <c r="E56">
        <f t="shared" ca="1" si="42"/>
        <v>0.21299999999999999</v>
      </c>
      <c r="F56">
        <f t="shared" ca="1" si="43"/>
        <v>0.34699999999999998</v>
      </c>
      <c r="G56">
        <f t="shared" ca="1" si="44"/>
        <v>0.27500000000000002</v>
      </c>
      <c r="H56">
        <f t="shared" ca="1" si="45"/>
        <v>0.67900000000000005</v>
      </c>
      <c r="I56">
        <f t="shared" ca="1" si="46"/>
        <v>0.39500000000000002</v>
      </c>
      <c r="J56">
        <f t="shared" ca="1" si="47"/>
        <v>0.29399999999999998</v>
      </c>
      <c r="K56">
        <f t="shared" ca="1" si="48"/>
        <v>0.68263912933324067</v>
      </c>
      <c r="L56">
        <f t="shared" ca="1" si="48"/>
        <v>0</v>
      </c>
      <c r="M56">
        <f t="shared" ca="1" si="48"/>
        <v>0</v>
      </c>
      <c r="N56">
        <f t="shared" ca="1" si="48"/>
        <v>0.70993922043169588</v>
      </c>
      <c r="O56">
        <f t="shared" ca="1" si="48"/>
        <v>0.58551374329169692</v>
      </c>
      <c r="P56">
        <f t="shared" ca="1" si="48"/>
        <v>0</v>
      </c>
      <c r="Q56">
        <f t="shared" ca="1" si="48"/>
        <v>0</v>
      </c>
      <c r="R56">
        <f t="shared" ca="1" si="49"/>
        <v>0.70993922043169588</v>
      </c>
      <c r="S56">
        <f t="shared" ca="1" si="38"/>
        <v>0</v>
      </c>
      <c r="T56">
        <f t="shared" ca="1" si="50"/>
        <v>0</v>
      </c>
    </row>
    <row r="57" spans="1:20" x14ac:dyDescent="0.25">
      <c r="A57" s="1" t="s">
        <v>34</v>
      </c>
      <c r="B57" s="1">
        <f t="shared" si="39"/>
        <v>9</v>
      </c>
      <c r="C57" s="1">
        <f t="shared" si="40"/>
        <v>55</v>
      </c>
      <c r="D57">
        <f t="shared" ca="1" si="41"/>
        <v>0.48299999999999998</v>
      </c>
      <c r="E57">
        <f t="shared" ca="1" si="42"/>
        <v>3.1669999999999998</v>
      </c>
      <c r="F57">
        <f t="shared" ca="1" si="43"/>
        <v>0.29699999999999999</v>
      </c>
      <c r="G57">
        <f t="shared" ca="1" si="44"/>
        <v>0.39800000000000002</v>
      </c>
      <c r="H57">
        <f t="shared" ca="1" si="45"/>
        <v>3.9020000000000001</v>
      </c>
      <c r="I57">
        <f t="shared" ca="1" si="46"/>
        <v>0.58499999999999996</v>
      </c>
      <c r="J57">
        <f t="shared" ca="1" si="47"/>
        <v>0.501</v>
      </c>
      <c r="K57">
        <f t="shared" ca="1" si="48"/>
        <v>0</v>
      </c>
      <c r="L57">
        <f t="shared" ca="1" si="48"/>
        <v>0</v>
      </c>
      <c r="M57">
        <f t="shared" ca="1" si="48"/>
        <v>0</v>
      </c>
      <c r="N57">
        <f t="shared" ca="1" si="48"/>
        <v>0</v>
      </c>
      <c r="O57">
        <f t="shared" ca="1" si="48"/>
        <v>0</v>
      </c>
      <c r="P57">
        <f t="shared" ca="1" si="48"/>
        <v>0</v>
      </c>
      <c r="Q57">
        <f t="shared" ca="1" si="48"/>
        <v>0</v>
      </c>
      <c r="R57">
        <f t="shared" ca="1" si="49"/>
        <v>0</v>
      </c>
      <c r="S57">
        <f t="shared" ca="1" si="38"/>
        <v>0</v>
      </c>
      <c r="T57">
        <f t="shared" ca="1" si="50"/>
        <v>0</v>
      </c>
    </row>
    <row r="58" spans="1:20" x14ac:dyDescent="0.25">
      <c r="A58" s="1" t="s">
        <v>31</v>
      </c>
      <c r="B58" s="1">
        <f t="shared" si="39"/>
        <v>0</v>
      </c>
      <c r="C58" s="1">
        <f t="shared" si="40"/>
        <v>56</v>
      </c>
      <c r="D58">
        <f t="shared" ca="1" si="41"/>
        <v>1.2969999999999999</v>
      </c>
      <c r="E58">
        <f t="shared" ca="1" si="42"/>
        <v>1.5509999999999999</v>
      </c>
      <c r="F58">
        <f t="shared" ca="1" si="43"/>
        <v>1.0840000000000001</v>
      </c>
      <c r="G58">
        <f t="shared" ca="1" si="44"/>
        <v>2.6120000000000001</v>
      </c>
      <c r="H58">
        <f t="shared" ca="1" si="45"/>
        <v>0.377</v>
      </c>
      <c r="I58">
        <f t="shared" ca="1" si="46"/>
        <v>1.284</v>
      </c>
      <c r="J58">
        <f t="shared" ca="1" si="47"/>
        <v>0.877</v>
      </c>
      <c r="K58">
        <f t="shared" ca="1" si="48"/>
        <v>0</v>
      </c>
      <c r="L58">
        <f t="shared" ca="1" si="48"/>
        <v>0</v>
      </c>
      <c r="M58">
        <f t="shared" ca="1" si="48"/>
        <v>0</v>
      </c>
      <c r="N58">
        <f t="shared" ca="1" si="48"/>
        <v>0</v>
      </c>
      <c r="O58">
        <f t="shared" ca="1" si="48"/>
        <v>0</v>
      </c>
      <c r="P58">
        <f t="shared" ca="1" si="48"/>
        <v>0</v>
      </c>
      <c r="Q58">
        <f t="shared" ca="1" si="48"/>
        <v>0</v>
      </c>
      <c r="R58">
        <f t="shared" ca="1" si="49"/>
        <v>0</v>
      </c>
      <c r="S58">
        <f t="shared" ca="1" si="38"/>
        <v>0</v>
      </c>
      <c r="T58">
        <f t="shared" ca="1" si="50"/>
        <v>0</v>
      </c>
    </row>
    <row r="59" spans="1:20" x14ac:dyDescent="0.25">
      <c r="A59" s="1" t="s">
        <v>42</v>
      </c>
      <c r="B59" s="1">
        <f t="shared" si="39"/>
        <v>8</v>
      </c>
      <c r="C59" s="1">
        <f t="shared" si="40"/>
        <v>57</v>
      </c>
      <c r="D59">
        <f t="shared" ca="1" si="41"/>
        <v>2.6389999999999998</v>
      </c>
      <c r="E59">
        <f t="shared" ca="1" si="42"/>
        <v>1.7629999999999999</v>
      </c>
      <c r="F59">
        <f t="shared" ca="1" si="43"/>
        <v>0.191</v>
      </c>
      <c r="G59">
        <f t="shared" ca="1" si="44"/>
        <v>1.8149999999999999</v>
      </c>
      <c r="H59">
        <f t="shared" ca="1" si="45"/>
        <v>1.9610000000000001</v>
      </c>
      <c r="I59">
        <f t="shared" ca="1" si="46"/>
        <v>2.7949999999999999</v>
      </c>
      <c r="J59">
        <f t="shared" ca="1" si="47"/>
        <v>1.375</v>
      </c>
      <c r="K59">
        <f t="shared" ca="1" si="48"/>
        <v>0</v>
      </c>
      <c r="L59">
        <f t="shared" ca="1" si="48"/>
        <v>0</v>
      </c>
      <c r="M59">
        <f t="shared" ca="1" si="48"/>
        <v>0</v>
      </c>
      <c r="N59">
        <f t="shared" ca="1" si="48"/>
        <v>0</v>
      </c>
      <c r="O59">
        <f t="shared" ca="1" si="48"/>
        <v>0</v>
      </c>
      <c r="P59">
        <f t="shared" ca="1" si="48"/>
        <v>0</v>
      </c>
      <c r="Q59">
        <f t="shared" ca="1" si="48"/>
        <v>0</v>
      </c>
      <c r="R59">
        <f t="shared" ca="1" si="49"/>
        <v>0</v>
      </c>
      <c r="S59">
        <f t="shared" ca="1" si="38"/>
        <v>0</v>
      </c>
      <c r="T59">
        <f t="shared" ca="1" si="50"/>
        <v>0</v>
      </c>
    </row>
    <row r="60" spans="1:20" x14ac:dyDescent="0.25">
      <c r="A60" s="1" t="s">
        <v>41</v>
      </c>
      <c r="B60" s="1">
        <f t="shared" si="39"/>
        <v>7</v>
      </c>
      <c r="C60" s="1">
        <f t="shared" si="40"/>
        <v>58</v>
      </c>
      <c r="D60">
        <f t="shared" ca="1" si="41"/>
        <v>0.34499999999999997</v>
      </c>
      <c r="E60">
        <f t="shared" ca="1" si="42"/>
        <v>0.89400000000000002</v>
      </c>
      <c r="F60">
        <f t="shared" ca="1" si="43"/>
        <v>0.51400000000000001</v>
      </c>
      <c r="G60">
        <f t="shared" ca="1" si="44"/>
        <v>0.47099999999999997</v>
      </c>
      <c r="H60">
        <f t="shared" ca="1" si="45"/>
        <v>0.43099999999999999</v>
      </c>
      <c r="I60">
        <f t="shared" ca="1" si="46"/>
        <v>2.597</v>
      </c>
      <c r="J60">
        <f t="shared" ca="1" si="47"/>
        <v>9.8000000000000004E-2</v>
      </c>
      <c r="K60">
        <f t="shared" ca="1" si="48"/>
        <v>0</v>
      </c>
      <c r="L60">
        <f t="shared" ca="1" si="48"/>
        <v>0</v>
      </c>
      <c r="M60">
        <f t="shared" ca="1" si="48"/>
        <v>0</v>
      </c>
      <c r="N60">
        <f t="shared" ca="1" si="48"/>
        <v>0</v>
      </c>
      <c r="O60">
        <f t="shared" ca="1" si="48"/>
        <v>0</v>
      </c>
      <c r="P60">
        <f t="shared" ca="1" si="48"/>
        <v>0</v>
      </c>
      <c r="Q60">
        <f t="shared" ca="1" si="48"/>
        <v>0</v>
      </c>
      <c r="R60">
        <f t="shared" ca="1" si="49"/>
        <v>0</v>
      </c>
      <c r="S60">
        <f t="shared" ca="1" si="38"/>
        <v>0</v>
      </c>
      <c r="T60">
        <f t="shared" ca="1" si="50"/>
        <v>0</v>
      </c>
    </row>
    <row r="61" spans="1:20" x14ac:dyDescent="0.25">
      <c r="A61" s="1" t="s">
        <v>48</v>
      </c>
      <c r="B61" s="1">
        <f t="shared" si="39"/>
        <v>19</v>
      </c>
      <c r="C61" s="1">
        <f t="shared" si="40"/>
        <v>59</v>
      </c>
      <c r="D61">
        <f t="shared" ca="1" si="41"/>
        <v>1.659</v>
      </c>
      <c r="E61">
        <f t="shared" ca="1" si="42"/>
        <v>0.19</v>
      </c>
      <c r="F61">
        <f t="shared" ca="1" si="43"/>
        <v>0.13</v>
      </c>
      <c r="G61">
        <f t="shared" ca="1" si="44"/>
        <v>0.155</v>
      </c>
      <c r="H61">
        <f t="shared" ca="1" si="45"/>
        <v>1.417</v>
      </c>
      <c r="I61">
        <f t="shared" ca="1" si="46"/>
        <v>0.09</v>
      </c>
      <c r="J61">
        <f t="shared" ca="1" si="47"/>
        <v>0.122</v>
      </c>
      <c r="K61">
        <f t="shared" ca="1" si="48"/>
        <v>0</v>
      </c>
      <c r="L61">
        <f t="shared" ca="1" si="48"/>
        <v>0</v>
      </c>
      <c r="M61">
        <f t="shared" ca="1" si="48"/>
        <v>0</v>
      </c>
      <c r="N61">
        <f t="shared" ca="1" si="48"/>
        <v>0</v>
      </c>
      <c r="O61">
        <f t="shared" ca="1" si="48"/>
        <v>0</v>
      </c>
      <c r="P61">
        <f t="shared" ca="1" si="48"/>
        <v>0</v>
      </c>
      <c r="Q61">
        <f t="shared" ca="1" si="48"/>
        <v>0</v>
      </c>
      <c r="R61">
        <f t="shared" ca="1" si="49"/>
        <v>0</v>
      </c>
      <c r="S61">
        <f t="shared" ca="1" si="38"/>
        <v>0</v>
      </c>
      <c r="T61">
        <f t="shared" ca="1" si="50"/>
        <v>0</v>
      </c>
    </row>
    <row r="62" spans="1:20" x14ac:dyDescent="0.25">
      <c r="A62" s="1" t="s">
        <v>31</v>
      </c>
      <c r="B62" s="1">
        <f t="shared" si="39"/>
        <v>0</v>
      </c>
      <c r="C62" s="1">
        <f t="shared" si="40"/>
        <v>60</v>
      </c>
      <c r="D62">
        <f t="shared" ca="1" si="41"/>
        <v>0.377</v>
      </c>
      <c r="E62">
        <f t="shared" ca="1" si="42"/>
        <v>1.284</v>
      </c>
      <c r="F62">
        <f t="shared" ca="1" si="43"/>
        <v>0.877</v>
      </c>
      <c r="G62">
        <f t="shared" ca="1" si="44"/>
        <v>1.2969999999999999</v>
      </c>
      <c r="H62">
        <f t="shared" ca="1" si="45"/>
        <v>1.5509999999999999</v>
      </c>
      <c r="I62">
        <f t="shared" ca="1" si="46"/>
        <v>1.0840000000000001</v>
      </c>
      <c r="J62">
        <f t="shared" ca="1" si="47"/>
        <v>2.6120000000000001</v>
      </c>
      <c r="K62">
        <f t="shared" ca="1" si="48"/>
        <v>0</v>
      </c>
      <c r="L62">
        <f t="shared" ca="1" si="48"/>
        <v>0</v>
      </c>
      <c r="M62">
        <f t="shared" ca="1" si="48"/>
        <v>0</v>
      </c>
      <c r="N62">
        <f t="shared" ca="1" si="48"/>
        <v>0</v>
      </c>
      <c r="O62">
        <f t="shared" ca="1" si="48"/>
        <v>0</v>
      </c>
      <c r="P62">
        <f t="shared" ca="1" si="48"/>
        <v>0</v>
      </c>
      <c r="Q62">
        <f t="shared" ca="1" si="48"/>
        <v>0</v>
      </c>
      <c r="R62">
        <f t="shared" ca="1" si="49"/>
        <v>0</v>
      </c>
      <c r="S62">
        <f t="shared" ca="1" si="38"/>
        <v>0</v>
      </c>
      <c r="T62">
        <f t="shared" ca="1" si="50"/>
        <v>0</v>
      </c>
    </row>
    <row r="63" spans="1:20" x14ac:dyDescent="0.25">
      <c r="A63" s="1" t="s">
        <v>22</v>
      </c>
      <c r="B63" s="1">
        <f t="shared" si="39"/>
        <v>10</v>
      </c>
      <c r="C63" s="1">
        <f t="shared" si="40"/>
        <v>61</v>
      </c>
      <c r="D63">
        <f t="shared" ca="1" si="41"/>
        <v>0.77200000000000002</v>
      </c>
      <c r="E63">
        <f t="shared" ca="1" si="42"/>
        <v>0.66300000000000003</v>
      </c>
      <c r="F63">
        <f t="shared" ca="1" si="43"/>
        <v>2.2400000000000002</v>
      </c>
      <c r="G63">
        <f t="shared" ca="1" si="44"/>
        <v>0.37</v>
      </c>
      <c r="H63">
        <f t="shared" ca="1" si="45"/>
        <v>0.48</v>
      </c>
      <c r="I63">
        <f t="shared" ca="1" si="46"/>
        <v>1.409</v>
      </c>
      <c r="J63">
        <f t="shared" ca="1" si="47"/>
        <v>0.54100000000000004</v>
      </c>
      <c r="K63">
        <f t="shared" ca="1" si="48"/>
        <v>0</v>
      </c>
      <c r="L63">
        <f t="shared" ca="1" si="48"/>
        <v>0</v>
      </c>
      <c r="M63">
        <f t="shared" ca="1" si="48"/>
        <v>0</v>
      </c>
      <c r="N63">
        <f t="shared" ca="1" si="48"/>
        <v>0</v>
      </c>
      <c r="O63">
        <f t="shared" ca="1" si="48"/>
        <v>0</v>
      </c>
      <c r="P63">
        <f t="shared" ca="1" si="48"/>
        <v>0</v>
      </c>
      <c r="Q63">
        <f t="shared" ca="1" si="48"/>
        <v>0</v>
      </c>
      <c r="R63">
        <f t="shared" ca="1" si="49"/>
        <v>0</v>
      </c>
      <c r="S63">
        <f t="shared" ref="S63:S78" ca="1" si="51">IF(R36&gt;1.55,1,IF(R36&gt;1.48,0.9,IF(R36&gt;1.4,0.8,IF(R36&gt;1.36666,0.6,IF(R36&gt;1.33333,0.4,IF(R36&gt;1.22,0.2,IF(R36&gt;1,0.1,0)))))))</f>
        <v>0</v>
      </c>
      <c r="T63">
        <f t="shared" ca="1" si="50"/>
        <v>0</v>
      </c>
    </row>
    <row r="64" spans="1:20" x14ac:dyDescent="0.25">
      <c r="A64" s="1" t="s">
        <v>40</v>
      </c>
      <c r="B64" s="1">
        <f t="shared" si="39"/>
        <v>6</v>
      </c>
      <c r="C64" s="1">
        <f t="shared" si="40"/>
        <v>62</v>
      </c>
      <c r="D64">
        <f t="shared" ca="1" si="41"/>
        <v>0.21299999999999999</v>
      </c>
      <c r="E64">
        <f t="shared" ca="1" si="42"/>
        <v>0.34699999999999998</v>
      </c>
      <c r="F64">
        <f t="shared" ca="1" si="43"/>
        <v>0.27500000000000002</v>
      </c>
      <c r="G64">
        <f t="shared" ca="1" si="44"/>
        <v>0.67900000000000005</v>
      </c>
      <c r="H64">
        <f t="shared" ca="1" si="45"/>
        <v>0.39500000000000002</v>
      </c>
      <c r="I64">
        <f t="shared" ca="1" si="46"/>
        <v>0.29399999999999998</v>
      </c>
      <c r="J64">
        <f t="shared" ca="1" si="47"/>
        <v>0.57899999999999996</v>
      </c>
      <c r="K64">
        <f t="shared" ca="1" si="48"/>
        <v>0</v>
      </c>
      <c r="L64">
        <f t="shared" ca="1" si="48"/>
        <v>0</v>
      </c>
      <c r="M64">
        <f t="shared" ca="1" si="48"/>
        <v>0</v>
      </c>
      <c r="N64">
        <f t="shared" ca="1" si="48"/>
        <v>0</v>
      </c>
      <c r="O64">
        <f t="shared" ca="1" si="48"/>
        <v>0</v>
      </c>
      <c r="P64">
        <f t="shared" ca="1" si="48"/>
        <v>0</v>
      </c>
      <c r="Q64">
        <f t="shared" ca="1" si="48"/>
        <v>0</v>
      </c>
      <c r="R64">
        <f t="shared" ca="1" si="49"/>
        <v>0</v>
      </c>
      <c r="S64">
        <f t="shared" ca="1" si="51"/>
        <v>0</v>
      </c>
      <c r="T64">
        <f t="shared" ca="1" si="50"/>
        <v>0</v>
      </c>
    </row>
    <row r="65" spans="1:20" x14ac:dyDescent="0.25">
      <c r="A65" s="1" t="s">
        <v>47</v>
      </c>
      <c r="B65" s="1">
        <f t="shared" si="39"/>
        <v>18</v>
      </c>
      <c r="C65" s="1">
        <f t="shared" si="40"/>
        <v>63</v>
      </c>
      <c r="D65">
        <f t="shared" ca="1" si="41"/>
        <v>0.24</v>
      </c>
      <c r="E65">
        <f t="shared" ca="1" si="42"/>
        <v>0</v>
      </c>
      <c r="F65">
        <f t="shared" ca="1" si="43"/>
        <v>0</v>
      </c>
      <c r="G65">
        <f t="shared" ca="1" si="44"/>
        <v>0.45600000000000002</v>
      </c>
      <c r="H65">
        <f t="shared" ca="1" si="45"/>
        <v>1.9E-2</v>
      </c>
      <c r="I65">
        <f t="shared" ca="1" si="46"/>
        <v>0</v>
      </c>
      <c r="J65">
        <f t="shared" ca="1" si="47"/>
        <v>0</v>
      </c>
      <c r="K65">
        <f t="shared" ca="1" si="48"/>
        <v>0</v>
      </c>
      <c r="L65">
        <f t="shared" ca="1" si="48"/>
        <v>0</v>
      </c>
      <c r="M65">
        <f t="shared" ca="1" si="48"/>
        <v>0</v>
      </c>
      <c r="N65">
        <f t="shared" ca="1" si="48"/>
        <v>0</v>
      </c>
      <c r="O65">
        <f t="shared" ca="1" si="48"/>
        <v>0</v>
      </c>
      <c r="P65">
        <f t="shared" ca="1" si="48"/>
        <v>0</v>
      </c>
      <c r="Q65">
        <f t="shared" ca="1" si="48"/>
        <v>0</v>
      </c>
      <c r="R65">
        <f t="shared" ca="1" si="49"/>
        <v>0</v>
      </c>
      <c r="S65">
        <f t="shared" ca="1" si="51"/>
        <v>0</v>
      </c>
      <c r="T65">
        <f t="shared" ca="1" si="50"/>
        <v>0</v>
      </c>
    </row>
    <row r="66" spans="1:20" x14ac:dyDescent="0.25">
      <c r="A66" s="1" t="s">
        <v>38</v>
      </c>
      <c r="B66" s="1">
        <f t="shared" si="39"/>
        <v>5</v>
      </c>
      <c r="C66" s="1">
        <f t="shared" si="40"/>
        <v>64</v>
      </c>
      <c r="D66">
        <f t="shared" ca="1" si="41"/>
        <v>0.27500000000000002</v>
      </c>
      <c r="E66">
        <f t="shared" ca="1" si="42"/>
        <v>0.57799999999999996</v>
      </c>
      <c r="F66">
        <f t="shared" ca="1" si="43"/>
        <v>0.216</v>
      </c>
      <c r="G66">
        <f t="shared" ca="1" si="44"/>
        <v>0.21099999999999999</v>
      </c>
      <c r="H66">
        <f t="shared" ca="1" si="45"/>
        <v>0.42599999999999999</v>
      </c>
      <c r="I66">
        <f t="shared" ca="1" si="46"/>
        <v>0.156</v>
      </c>
      <c r="J66">
        <f t="shared" ca="1" si="47"/>
        <v>4.4999999999999998E-2</v>
      </c>
      <c r="K66">
        <f t="shared" ca="1" si="48"/>
        <v>0</v>
      </c>
      <c r="L66">
        <f t="shared" ca="1" si="48"/>
        <v>0</v>
      </c>
      <c r="M66">
        <f t="shared" ca="1" si="48"/>
        <v>0.67543905478615884</v>
      </c>
      <c r="N66">
        <f t="shared" ca="1" si="48"/>
        <v>0</v>
      </c>
      <c r="O66">
        <f t="shared" ca="1" si="48"/>
        <v>0</v>
      </c>
      <c r="P66">
        <f t="shared" ca="1" si="48"/>
        <v>0.48145618974491972</v>
      </c>
      <c r="Q66">
        <f t="shared" ca="1" si="48"/>
        <v>0.54075870392750336</v>
      </c>
      <c r="R66">
        <f t="shared" ca="1" si="49"/>
        <v>0.67543905478615884</v>
      </c>
      <c r="S66">
        <f t="shared" ca="1" si="51"/>
        <v>0</v>
      </c>
      <c r="T66">
        <f t="shared" ca="1" si="50"/>
        <v>0</v>
      </c>
    </row>
    <row r="67" spans="1:20" x14ac:dyDescent="0.25">
      <c r="A67" s="1" t="s">
        <v>45</v>
      </c>
      <c r="B67" s="1">
        <f t="shared" ref="B67:B82" si="52">LOOKUP($A67,$V$4:$V$23,$W$4:$W$23)</f>
        <v>16</v>
      </c>
      <c r="C67" s="1">
        <f t="shared" si="40"/>
        <v>65</v>
      </c>
      <c r="D67">
        <f t="shared" ca="1" si="41"/>
        <v>0.95499999999999996</v>
      </c>
      <c r="E67">
        <f t="shared" ca="1" si="42"/>
        <v>0.65400000000000003</v>
      </c>
      <c r="F67">
        <f t="shared" ca="1" si="43"/>
        <v>0.79100000000000004</v>
      </c>
      <c r="G67">
        <f t="shared" ca="1" si="44"/>
        <v>0.84299999999999997</v>
      </c>
      <c r="H67">
        <f t="shared" ca="1" si="45"/>
        <v>0.64700000000000002</v>
      </c>
      <c r="I67">
        <f t="shared" ca="1" si="46"/>
        <v>0.16900000000000001</v>
      </c>
      <c r="J67">
        <f t="shared" ca="1" si="47"/>
        <v>0.70199999999999996</v>
      </c>
      <c r="K67">
        <f t="shared" ca="1" si="48"/>
        <v>0</v>
      </c>
      <c r="L67">
        <f t="shared" ca="1" si="48"/>
        <v>0</v>
      </c>
      <c r="M67">
        <f t="shared" ca="1" si="48"/>
        <v>0.73832500399831535</v>
      </c>
      <c r="N67">
        <f t="shared" ca="1" si="48"/>
        <v>0</v>
      </c>
      <c r="O67">
        <f t="shared" ca="1" si="48"/>
        <v>0</v>
      </c>
      <c r="P67">
        <f t="shared" ca="1" si="48"/>
        <v>0.51208024776797267</v>
      </c>
      <c r="Q67">
        <f t="shared" ca="1" si="48"/>
        <v>0.60972870608045149</v>
      </c>
      <c r="R67">
        <f t="shared" ca="1" si="49"/>
        <v>0.73832500399831535</v>
      </c>
      <c r="S67">
        <f t="shared" ca="1" si="51"/>
        <v>0</v>
      </c>
      <c r="T67">
        <f t="shared" ca="1" si="50"/>
        <v>0</v>
      </c>
    </row>
    <row r="68" spans="1:20" x14ac:dyDescent="0.25">
      <c r="A68" s="1" t="s">
        <v>35</v>
      </c>
      <c r="B68" s="1">
        <f t="shared" si="52"/>
        <v>2</v>
      </c>
      <c r="C68" s="1">
        <f t="shared" ref="C68:C83" si="53">C67+1</f>
        <v>66</v>
      </c>
      <c r="D68">
        <f t="shared" ref="D68:D83" ca="1" si="54">OFFSET($X$4,$B68,MOD($C68,7),1,1)</f>
        <v>0.23699999999999999</v>
      </c>
      <c r="E68">
        <f t="shared" ref="E68:E83" ca="1" si="55">OFFSET($X$4,$B68,MOD($C68+1,7),1,1)</f>
        <v>0.66300000000000003</v>
      </c>
      <c r="F68">
        <f t="shared" ref="F68:F83" ca="1" si="56">OFFSET($X$4,$B68,MOD($C68+2,7),1,1)</f>
        <v>1.62</v>
      </c>
      <c r="G68">
        <f t="shared" ref="G68:G83" ca="1" si="57">OFFSET($X$4,$B68,MOD($C68+3,7),1,1)</f>
        <v>1.448</v>
      </c>
      <c r="H68">
        <f t="shared" ref="H68:H83" ca="1" si="58">OFFSET($X$4,$B68,MOD($C68+4,7),1,1)</f>
        <v>0.03</v>
      </c>
      <c r="I68">
        <f t="shared" ref="I68:I83" ca="1" si="59">OFFSET($X$4,$B68,MOD($C68+5,7),1,1)</f>
        <v>2.3519999999999999</v>
      </c>
      <c r="J68">
        <f t="shared" ref="J68:J83" ca="1" si="60">OFFSET($X$4,$B68,MOD($C68+6,7),1,1)</f>
        <v>2.2679999999999998</v>
      </c>
      <c r="K68">
        <f t="shared" ref="K68:Q83" ca="1" si="61">POWER(PRODUCT(D68:D95),1/28)</f>
        <v>0</v>
      </c>
      <c r="L68">
        <f t="shared" ca="1" si="61"/>
        <v>0</v>
      </c>
      <c r="M68">
        <f t="shared" ca="1" si="61"/>
        <v>0.72704515527413005</v>
      </c>
      <c r="N68">
        <f t="shared" ca="1" si="61"/>
        <v>0</v>
      </c>
      <c r="O68">
        <f t="shared" ca="1" si="61"/>
        <v>0</v>
      </c>
      <c r="P68">
        <f t="shared" ca="1" si="61"/>
        <v>0.56456775340540555</v>
      </c>
      <c r="Q68">
        <f t="shared" ca="1" si="61"/>
        <v>0.56832526387546489</v>
      </c>
      <c r="R68">
        <f t="shared" ref="R68:R83" ca="1" si="62">MAX(K68:Q68)</f>
        <v>0.72704515527413005</v>
      </c>
      <c r="S68">
        <f t="shared" ca="1" si="51"/>
        <v>0</v>
      </c>
      <c r="T68">
        <f t="shared" ref="T68:T83" ca="1" si="63">MAX(S68:S95)</f>
        <v>0</v>
      </c>
    </row>
    <row r="69" spans="1:20" x14ac:dyDescent="0.25">
      <c r="A69" s="1" t="s">
        <v>30</v>
      </c>
      <c r="B69" s="1">
        <f t="shared" si="52"/>
        <v>15</v>
      </c>
      <c r="C69" s="1">
        <f t="shared" si="53"/>
        <v>67</v>
      </c>
      <c r="D69">
        <f t="shared" ca="1" si="54"/>
        <v>0.52500000000000002</v>
      </c>
      <c r="E69">
        <f t="shared" ca="1" si="55"/>
        <v>0.91600000000000004</v>
      </c>
      <c r="F69">
        <f t="shared" ca="1" si="56"/>
        <v>0.628</v>
      </c>
      <c r="G69">
        <f t="shared" ca="1" si="57"/>
        <v>0.38200000000000001</v>
      </c>
      <c r="H69">
        <f t="shared" ca="1" si="58"/>
        <v>0.58299999999999996</v>
      </c>
      <c r="I69">
        <f t="shared" ca="1" si="59"/>
        <v>1.052</v>
      </c>
      <c r="J69">
        <f t="shared" ca="1" si="60"/>
        <v>0.41899999999999998</v>
      </c>
      <c r="K69">
        <f t="shared" ca="1" si="61"/>
        <v>0</v>
      </c>
      <c r="L69">
        <f t="shared" ca="1" si="61"/>
        <v>0</v>
      </c>
      <c r="M69">
        <f t="shared" ca="1" si="61"/>
        <v>0</v>
      </c>
      <c r="N69">
        <f t="shared" ca="1" si="61"/>
        <v>0</v>
      </c>
      <c r="O69">
        <f t="shared" ca="1" si="61"/>
        <v>0</v>
      </c>
      <c r="P69">
        <f t="shared" ca="1" si="61"/>
        <v>0.46085128946217757</v>
      </c>
      <c r="Q69">
        <f t="shared" ca="1" si="61"/>
        <v>0</v>
      </c>
      <c r="R69">
        <f t="shared" ca="1" si="62"/>
        <v>0.46085128946217757</v>
      </c>
      <c r="S69">
        <f t="shared" ca="1" si="51"/>
        <v>0</v>
      </c>
      <c r="T69">
        <f t="shared" ca="1" si="63"/>
        <v>0</v>
      </c>
    </row>
    <row r="70" spans="1:20" x14ac:dyDescent="0.25">
      <c r="A70" s="1" t="s">
        <v>39</v>
      </c>
      <c r="B70" s="1">
        <f t="shared" si="52"/>
        <v>14</v>
      </c>
      <c r="C70" s="1">
        <f t="shared" si="53"/>
        <v>68</v>
      </c>
      <c r="D70">
        <f t="shared" ca="1" si="54"/>
        <v>1.9370000000000001</v>
      </c>
      <c r="E70">
        <f t="shared" ca="1" si="55"/>
        <v>1.798</v>
      </c>
      <c r="F70">
        <f t="shared" ca="1" si="56"/>
        <v>0.65900000000000003</v>
      </c>
      <c r="G70">
        <f t="shared" ca="1" si="57"/>
        <v>1.163</v>
      </c>
      <c r="H70">
        <f t="shared" ca="1" si="58"/>
        <v>1.21</v>
      </c>
      <c r="I70">
        <f t="shared" ca="1" si="59"/>
        <v>3.1E-2</v>
      </c>
      <c r="J70">
        <f t="shared" ca="1" si="60"/>
        <v>1.3580000000000001</v>
      </c>
      <c r="K70">
        <f t="shared" ca="1" si="61"/>
        <v>0</v>
      </c>
      <c r="L70">
        <f t="shared" ca="1" si="61"/>
        <v>0</v>
      </c>
      <c r="M70">
        <f t="shared" ca="1" si="61"/>
        <v>0</v>
      </c>
      <c r="N70">
        <f t="shared" ca="1" si="61"/>
        <v>0</v>
      </c>
      <c r="O70">
        <f t="shared" ca="1" si="61"/>
        <v>0</v>
      </c>
      <c r="P70">
        <f t="shared" ca="1" si="61"/>
        <v>0.44512771978058108</v>
      </c>
      <c r="Q70">
        <f t="shared" ca="1" si="61"/>
        <v>0</v>
      </c>
      <c r="R70">
        <f t="shared" ca="1" si="62"/>
        <v>0.44512771978058108</v>
      </c>
      <c r="S70">
        <f t="shared" ca="1" si="51"/>
        <v>0</v>
      </c>
      <c r="T70">
        <f t="shared" ca="1" si="63"/>
        <v>0</v>
      </c>
    </row>
    <row r="71" spans="1:20" x14ac:dyDescent="0.25">
      <c r="A71" s="1" t="s">
        <v>34</v>
      </c>
      <c r="B71" s="1">
        <f t="shared" si="52"/>
        <v>9</v>
      </c>
      <c r="C71" s="1">
        <f t="shared" si="53"/>
        <v>69</v>
      </c>
      <c r="D71">
        <f t="shared" ca="1" si="54"/>
        <v>0.48299999999999998</v>
      </c>
      <c r="E71">
        <f t="shared" ca="1" si="55"/>
        <v>3.1669999999999998</v>
      </c>
      <c r="F71">
        <f t="shared" ca="1" si="56"/>
        <v>0.29699999999999999</v>
      </c>
      <c r="G71">
        <f t="shared" ca="1" si="57"/>
        <v>0.39800000000000002</v>
      </c>
      <c r="H71">
        <f t="shared" ca="1" si="58"/>
        <v>3.9020000000000001</v>
      </c>
      <c r="I71">
        <f t="shared" ca="1" si="59"/>
        <v>0.58499999999999996</v>
      </c>
      <c r="J71">
        <f t="shared" ca="1" si="60"/>
        <v>0.501</v>
      </c>
      <c r="K71">
        <f t="shared" ca="1" si="61"/>
        <v>0</v>
      </c>
      <c r="L71">
        <f t="shared" ca="1" si="61"/>
        <v>0</v>
      </c>
      <c r="M71">
        <f t="shared" ca="1" si="61"/>
        <v>0</v>
      </c>
      <c r="N71">
        <f t="shared" ca="1" si="61"/>
        <v>0</v>
      </c>
      <c r="O71">
        <f t="shared" ca="1" si="61"/>
        <v>0</v>
      </c>
      <c r="P71">
        <f t="shared" ca="1" si="61"/>
        <v>0.44512771978058108</v>
      </c>
      <c r="Q71">
        <f t="shared" ca="1" si="61"/>
        <v>0</v>
      </c>
      <c r="R71">
        <f t="shared" ca="1" si="62"/>
        <v>0.44512771978058108</v>
      </c>
      <c r="S71">
        <f t="shared" ca="1" si="51"/>
        <v>0</v>
      </c>
      <c r="T71">
        <f t="shared" ca="1" si="63"/>
        <v>0</v>
      </c>
    </row>
    <row r="72" spans="1:20" x14ac:dyDescent="0.25">
      <c r="A72" s="1" t="s">
        <v>34</v>
      </c>
      <c r="B72" s="1">
        <f t="shared" si="52"/>
        <v>9</v>
      </c>
      <c r="C72" s="1">
        <f t="shared" si="53"/>
        <v>70</v>
      </c>
      <c r="D72">
        <f t="shared" ca="1" si="54"/>
        <v>3.1669999999999998</v>
      </c>
      <c r="E72">
        <f t="shared" ca="1" si="55"/>
        <v>0.29699999999999999</v>
      </c>
      <c r="F72">
        <f t="shared" ca="1" si="56"/>
        <v>0.39800000000000002</v>
      </c>
      <c r="G72">
        <f t="shared" ca="1" si="57"/>
        <v>3.9020000000000001</v>
      </c>
      <c r="H72">
        <f t="shared" ca="1" si="58"/>
        <v>0.58499999999999996</v>
      </c>
      <c r="I72">
        <f t="shared" ca="1" si="59"/>
        <v>0.501</v>
      </c>
      <c r="J72">
        <f t="shared" ca="1" si="60"/>
        <v>0.48299999999999998</v>
      </c>
      <c r="K72">
        <f t="shared" ca="1" si="61"/>
        <v>0</v>
      </c>
      <c r="L72">
        <f t="shared" ca="1" si="61"/>
        <v>0</v>
      </c>
      <c r="M72">
        <f t="shared" ca="1" si="61"/>
        <v>0</v>
      </c>
      <c r="N72">
        <f t="shared" ca="1" si="61"/>
        <v>0</v>
      </c>
      <c r="O72">
        <f t="shared" ca="1" si="61"/>
        <v>0</v>
      </c>
      <c r="P72">
        <f t="shared" ca="1" si="61"/>
        <v>0.44341072316769675</v>
      </c>
      <c r="Q72">
        <f t="shared" ca="1" si="61"/>
        <v>0</v>
      </c>
      <c r="R72">
        <f t="shared" ca="1" si="62"/>
        <v>0.44341072316769675</v>
      </c>
      <c r="S72">
        <f t="shared" ca="1" si="51"/>
        <v>0</v>
      </c>
      <c r="T72">
        <f t="shared" ca="1" si="63"/>
        <v>0</v>
      </c>
    </row>
    <row r="73" spans="1:20" x14ac:dyDescent="0.25">
      <c r="A73" s="1" t="s">
        <v>46</v>
      </c>
      <c r="B73" s="1">
        <f t="shared" si="52"/>
        <v>17</v>
      </c>
      <c r="C73" s="1">
        <f t="shared" si="53"/>
        <v>71</v>
      </c>
      <c r="D73">
        <f t="shared" ca="1" si="54"/>
        <v>0.40300000000000002</v>
      </c>
      <c r="E73">
        <f t="shared" ca="1" si="55"/>
        <v>0.38600000000000001</v>
      </c>
      <c r="F73">
        <f t="shared" ca="1" si="56"/>
        <v>0.94899999999999995</v>
      </c>
      <c r="G73">
        <f t="shared" ca="1" si="57"/>
        <v>0.21099999999999999</v>
      </c>
      <c r="H73">
        <f t="shared" ca="1" si="58"/>
        <v>0.34200000000000003</v>
      </c>
      <c r="I73">
        <f t="shared" ca="1" si="59"/>
        <v>0.36</v>
      </c>
      <c r="J73">
        <f t="shared" ca="1" si="60"/>
        <v>1.665</v>
      </c>
      <c r="K73">
        <f t="shared" ca="1" si="61"/>
        <v>0</v>
      </c>
      <c r="L73">
        <f t="shared" ca="1" si="61"/>
        <v>0</v>
      </c>
      <c r="M73">
        <f t="shared" ca="1" si="61"/>
        <v>0</v>
      </c>
      <c r="N73">
        <f t="shared" ca="1" si="61"/>
        <v>0</v>
      </c>
      <c r="O73">
        <f t="shared" ca="1" si="61"/>
        <v>0</v>
      </c>
      <c r="P73">
        <f t="shared" ca="1" si="61"/>
        <v>0.45307009445361335</v>
      </c>
      <c r="Q73">
        <f t="shared" ca="1" si="61"/>
        <v>0</v>
      </c>
      <c r="R73">
        <f t="shared" ca="1" si="62"/>
        <v>0.45307009445361335</v>
      </c>
      <c r="S73">
        <f t="shared" ca="1" si="51"/>
        <v>0</v>
      </c>
      <c r="T73">
        <f t="shared" ca="1" si="63"/>
        <v>0</v>
      </c>
    </row>
    <row r="74" spans="1:20" x14ac:dyDescent="0.25">
      <c r="A74" s="1" t="s">
        <v>30</v>
      </c>
      <c r="B74" s="1">
        <f t="shared" si="52"/>
        <v>15</v>
      </c>
      <c r="C74" s="1">
        <f t="shared" si="53"/>
        <v>72</v>
      </c>
      <c r="D74">
        <f t="shared" ca="1" si="54"/>
        <v>1.052</v>
      </c>
      <c r="E74">
        <f t="shared" ca="1" si="55"/>
        <v>0.41899999999999998</v>
      </c>
      <c r="F74">
        <f t="shared" ca="1" si="56"/>
        <v>0.52500000000000002</v>
      </c>
      <c r="G74">
        <f t="shared" ca="1" si="57"/>
        <v>0.91600000000000004</v>
      </c>
      <c r="H74">
        <f t="shared" ca="1" si="58"/>
        <v>0.628</v>
      </c>
      <c r="I74">
        <f t="shared" ca="1" si="59"/>
        <v>0.38200000000000001</v>
      </c>
      <c r="J74">
        <f t="shared" ca="1" si="60"/>
        <v>0.58299999999999996</v>
      </c>
      <c r="K74">
        <f t="shared" ca="1" si="61"/>
        <v>0</v>
      </c>
      <c r="L74">
        <f t="shared" ca="1" si="61"/>
        <v>0</v>
      </c>
      <c r="M74">
        <f t="shared" ca="1" si="61"/>
        <v>0</v>
      </c>
      <c r="N74">
        <f t="shared" ca="1" si="61"/>
        <v>0</v>
      </c>
      <c r="O74">
        <f t="shared" ca="1" si="61"/>
        <v>0</v>
      </c>
      <c r="P74">
        <f t="shared" ca="1" si="61"/>
        <v>0</v>
      </c>
      <c r="Q74">
        <f t="shared" ca="1" si="61"/>
        <v>0</v>
      </c>
      <c r="R74">
        <f t="shared" ca="1" si="62"/>
        <v>0</v>
      </c>
      <c r="S74">
        <f t="shared" ca="1" si="51"/>
        <v>0</v>
      </c>
      <c r="T74">
        <f t="shared" ca="1" si="63"/>
        <v>0</v>
      </c>
    </row>
    <row r="75" spans="1:20" x14ac:dyDescent="0.25">
      <c r="A75" s="1" t="s">
        <v>31</v>
      </c>
      <c r="B75" s="1">
        <f t="shared" si="52"/>
        <v>0</v>
      </c>
      <c r="C75" s="1">
        <f t="shared" si="53"/>
        <v>73</v>
      </c>
      <c r="D75">
        <f t="shared" ca="1" si="54"/>
        <v>2.6120000000000001</v>
      </c>
      <c r="E75">
        <f t="shared" ca="1" si="55"/>
        <v>0.377</v>
      </c>
      <c r="F75">
        <f t="shared" ca="1" si="56"/>
        <v>1.284</v>
      </c>
      <c r="G75">
        <f t="shared" ca="1" si="57"/>
        <v>0.877</v>
      </c>
      <c r="H75">
        <f t="shared" ca="1" si="58"/>
        <v>1.2969999999999999</v>
      </c>
      <c r="I75">
        <f t="shared" ca="1" si="59"/>
        <v>1.5509999999999999</v>
      </c>
      <c r="J75">
        <f t="shared" ca="1" si="60"/>
        <v>1.0840000000000001</v>
      </c>
      <c r="K75">
        <f t="shared" ca="1" si="61"/>
        <v>0</v>
      </c>
      <c r="L75">
        <f t="shared" ca="1" si="61"/>
        <v>0</v>
      </c>
      <c r="M75">
        <f t="shared" ca="1" si="61"/>
        <v>0</v>
      </c>
      <c r="N75">
        <f t="shared" ca="1" si="61"/>
        <v>0</v>
      </c>
      <c r="O75">
        <f t="shared" ca="1" si="61"/>
        <v>0</v>
      </c>
      <c r="P75">
        <f t="shared" ca="1" si="61"/>
        <v>0</v>
      </c>
      <c r="Q75">
        <f t="shared" ca="1" si="61"/>
        <v>0</v>
      </c>
      <c r="R75">
        <f t="shared" ca="1" si="62"/>
        <v>0</v>
      </c>
      <c r="S75">
        <f t="shared" ca="1" si="51"/>
        <v>0</v>
      </c>
      <c r="T75">
        <f t="shared" ca="1" si="63"/>
        <v>0</v>
      </c>
    </row>
    <row r="76" spans="1:20" x14ac:dyDescent="0.25">
      <c r="A76" s="1" t="s">
        <v>30</v>
      </c>
      <c r="B76" s="1">
        <f t="shared" si="52"/>
        <v>15</v>
      </c>
      <c r="C76" s="1">
        <f t="shared" si="53"/>
        <v>74</v>
      </c>
      <c r="D76">
        <f t="shared" ca="1" si="54"/>
        <v>0.52500000000000002</v>
      </c>
      <c r="E76">
        <f t="shared" ca="1" si="55"/>
        <v>0.91600000000000004</v>
      </c>
      <c r="F76">
        <f t="shared" ca="1" si="56"/>
        <v>0.628</v>
      </c>
      <c r="G76">
        <f t="shared" ca="1" si="57"/>
        <v>0.38200000000000001</v>
      </c>
      <c r="H76">
        <f t="shared" ca="1" si="58"/>
        <v>0.58299999999999996</v>
      </c>
      <c r="I76">
        <f t="shared" ca="1" si="59"/>
        <v>1.052</v>
      </c>
      <c r="J76">
        <f t="shared" ca="1" si="60"/>
        <v>0.41899999999999998</v>
      </c>
      <c r="K76">
        <f t="shared" ca="1" si="61"/>
        <v>0</v>
      </c>
      <c r="L76">
        <f t="shared" ca="1" si="61"/>
        <v>0</v>
      </c>
      <c r="M76">
        <f t="shared" ca="1" si="61"/>
        <v>0</v>
      </c>
      <c r="N76">
        <f t="shared" ca="1" si="61"/>
        <v>0</v>
      </c>
      <c r="O76">
        <f t="shared" ca="1" si="61"/>
        <v>0</v>
      </c>
      <c r="P76">
        <f t="shared" ca="1" si="61"/>
        <v>0</v>
      </c>
      <c r="Q76">
        <f t="shared" ca="1" si="61"/>
        <v>0</v>
      </c>
      <c r="R76">
        <f t="shared" ca="1" si="62"/>
        <v>0</v>
      </c>
      <c r="S76">
        <f t="shared" ca="1" si="51"/>
        <v>0</v>
      </c>
      <c r="T76">
        <f t="shared" ca="1" si="63"/>
        <v>0</v>
      </c>
    </row>
    <row r="77" spans="1:20" x14ac:dyDescent="0.25">
      <c r="A77" s="1" t="s">
        <v>36</v>
      </c>
      <c r="B77" s="1">
        <f t="shared" si="52"/>
        <v>13</v>
      </c>
      <c r="C77" s="1">
        <f t="shared" si="53"/>
        <v>75</v>
      </c>
      <c r="D77">
        <f t="shared" ca="1" si="54"/>
        <v>1.5780000000000001</v>
      </c>
      <c r="E77">
        <f t="shared" ca="1" si="55"/>
        <v>2.5259999999999998</v>
      </c>
      <c r="F77">
        <f t="shared" ca="1" si="56"/>
        <v>0.17899999999999999</v>
      </c>
      <c r="G77">
        <f t="shared" ca="1" si="57"/>
        <v>2.1139999999999999</v>
      </c>
      <c r="H77">
        <f t="shared" ca="1" si="58"/>
        <v>1.778</v>
      </c>
      <c r="I77">
        <f t="shared" ca="1" si="59"/>
        <v>0.63100000000000001</v>
      </c>
      <c r="J77">
        <f t="shared" ca="1" si="60"/>
        <v>2.5499999999999998</v>
      </c>
      <c r="K77">
        <f t="shared" ca="1" si="61"/>
        <v>0</v>
      </c>
      <c r="L77">
        <f t="shared" ca="1" si="61"/>
        <v>0</v>
      </c>
      <c r="M77">
        <f t="shared" ca="1" si="61"/>
        <v>0</v>
      </c>
      <c r="N77">
        <f t="shared" ca="1" si="61"/>
        <v>0</v>
      </c>
      <c r="O77">
        <f t="shared" ca="1" si="61"/>
        <v>0</v>
      </c>
      <c r="P77">
        <f t="shared" ca="1" si="61"/>
        <v>0</v>
      </c>
      <c r="Q77">
        <f t="shared" ca="1" si="61"/>
        <v>0</v>
      </c>
      <c r="R77">
        <f t="shared" ca="1" si="62"/>
        <v>0</v>
      </c>
      <c r="S77">
        <f t="shared" ca="1" si="51"/>
        <v>0</v>
      </c>
      <c r="T77">
        <f t="shared" ca="1" si="63"/>
        <v>0</v>
      </c>
    </row>
    <row r="78" spans="1:20" x14ac:dyDescent="0.25">
      <c r="A78" s="1" t="s">
        <v>35</v>
      </c>
      <c r="B78" s="1">
        <f t="shared" si="52"/>
        <v>2</v>
      </c>
      <c r="C78" s="1">
        <f t="shared" si="53"/>
        <v>76</v>
      </c>
      <c r="D78">
        <f t="shared" ca="1" si="54"/>
        <v>1.448</v>
      </c>
      <c r="E78">
        <f t="shared" ca="1" si="55"/>
        <v>0.03</v>
      </c>
      <c r="F78">
        <f t="shared" ca="1" si="56"/>
        <v>2.3519999999999999</v>
      </c>
      <c r="G78">
        <f t="shared" ca="1" si="57"/>
        <v>2.2679999999999998</v>
      </c>
      <c r="H78">
        <f t="shared" ca="1" si="58"/>
        <v>0.23699999999999999</v>
      </c>
      <c r="I78">
        <f t="shared" ca="1" si="59"/>
        <v>0.66300000000000003</v>
      </c>
      <c r="J78">
        <f t="shared" ca="1" si="60"/>
        <v>1.62</v>
      </c>
      <c r="K78">
        <f t="shared" ca="1" si="61"/>
        <v>0</v>
      </c>
      <c r="L78">
        <f t="shared" ca="1" si="61"/>
        <v>0</v>
      </c>
      <c r="M78">
        <f t="shared" ca="1" si="61"/>
        <v>0</v>
      </c>
      <c r="N78">
        <f t="shared" ca="1" si="61"/>
        <v>0</v>
      </c>
      <c r="O78">
        <f t="shared" ca="1" si="61"/>
        <v>0</v>
      </c>
      <c r="P78">
        <f t="shared" ca="1" si="61"/>
        <v>0</v>
      </c>
      <c r="Q78">
        <f t="shared" ca="1" si="61"/>
        <v>0</v>
      </c>
      <c r="R78">
        <f t="shared" ca="1" si="62"/>
        <v>0</v>
      </c>
      <c r="S78">
        <f t="shared" ca="1" si="51"/>
        <v>0</v>
      </c>
      <c r="T78">
        <f t="shared" ca="1" si="63"/>
        <v>0</v>
      </c>
    </row>
    <row r="79" spans="1:20" x14ac:dyDescent="0.25">
      <c r="A79" s="1" t="s">
        <v>38</v>
      </c>
      <c r="B79" s="1">
        <f t="shared" si="52"/>
        <v>5</v>
      </c>
      <c r="C79" s="1">
        <f t="shared" si="53"/>
        <v>77</v>
      </c>
      <c r="D79">
        <f t="shared" ca="1" si="54"/>
        <v>4.4999999999999998E-2</v>
      </c>
      <c r="E79">
        <f t="shared" ca="1" si="55"/>
        <v>0.27500000000000002</v>
      </c>
      <c r="F79">
        <f t="shared" ca="1" si="56"/>
        <v>0.57799999999999996</v>
      </c>
      <c r="G79">
        <f t="shared" ca="1" si="57"/>
        <v>0.216</v>
      </c>
      <c r="H79">
        <f t="shared" ca="1" si="58"/>
        <v>0.21099999999999999</v>
      </c>
      <c r="I79">
        <f t="shared" ca="1" si="59"/>
        <v>0.42599999999999999</v>
      </c>
      <c r="J79">
        <f t="shared" ca="1" si="60"/>
        <v>0.156</v>
      </c>
      <c r="K79">
        <f t="shared" ca="1" si="61"/>
        <v>0</v>
      </c>
      <c r="L79">
        <f t="shared" ca="1" si="61"/>
        <v>0</v>
      </c>
      <c r="M79">
        <f t="shared" ca="1" si="61"/>
        <v>0</v>
      </c>
      <c r="N79">
        <f t="shared" ca="1" si="61"/>
        <v>0</v>
      </c>
      <c r="O79">
        <f t="shared" ca="1" si="61"/>
        <v>0</v>
      </c>
      <c r="P79">
        <f t="shared" ca="1" si="61"/>
        <v>0</v>
      </c>
      <c r="Q79">
        <f t="shared" ca="1" si="61"/>
        <v>0</v>
      </c>
      <c r="R79">
        <f t="shared" ca="1" si="62"/>
        <v>0</v>
      </c>
      <c r="S79">
        <f t="shared" ref="S79:S94" ca="1" si="64">IF(R52&gt;1.55,1,IF(R52&gt;1.48,0.9,IF(R52&gt;1.4,0.8,IF(R52&gt;1.36666,0.6,IF(R52&gt;1.33333,0.4,IF(R52&gt;1.22,0.2,IF(R52&gt;1,0.1,0)))))))</f>
        <v>0</v>
      </c>
      <c r="T79">
        <f t="shared" ca="1" si="63"/>
        <v>0</v>
      </c>
    </row>
    <row r="80" spans="1:20" x14ac:dyDescent="0.25">
      <c r="A80" s="1" t="s">
        <v>42</v>
      </c>
      <c r="B80" s="1">
        <f t="shared" si="52"/>
        <v>8</v>
      </c>
      <c r="C80" s="1">
        <f t="shared" si="53"/>
        <v>78</v>
      </c>
      <c r="D80">
        <f t="shared" ca="1" si="54"/>
        <v>2.6389999999999998</v>
      </c>
      <c r="E80">
        <f t="shared" ca="1" si="55"/>
        <v>1.7629999999999999</v>
      </c>
      <c r="F80">
        <f t="shared" ca="1" si="56"/>
        <v>0.191</v>
      </c>
      <c r="G80">
        <f t="shared" ca="1" si="57"/>
        <v>1.8149999999999999</v>
      </c>
      <c r="H80">
        <f t="shared" ca="1" si="58"/>
        <v>1.9610000000000001</v>
      </c>
      <c r="I80">
        <f t="shared" ca="1" si="59"/>
        <v>2.7949999999999999</v>
      </c>
      <c r="J80">
        <f t="shared" ca="1" si="60"/>
        <v>1.375</v>
      </c>
      <c r="K80">
        <f t="shared" ca="1" si="61"/>
        <v>0</v>
      </c>
      <c r="L80">
        <f t="shared" ca="1" si="61"/>
        <v>0</v>
      </c>
      <c r="M80">
        <f t="shared" ca="1" si="61"/>
        <v>0</v>
      </c>
      <c r="N80">
        <f t="shared" ca="1" si="61"/>
        <v>0</v>
      </c>
      <c r="O80">
        <f t="shared" ca="1" si="61"/>
        <v>0</v>
      </c>
      <c r="P80">
        <f t="shared" ca="1" si="61"/>
        <v>0</v>
      </c>
      <c r="Q80">
        <f t="shared" ca="1" si="61"/>
        <v>0</v>
      </c>
      <c r="R80">
        <f t="shared" ca="1" si="62"/>
        <v>0</v>
      </c>
      <c r="S80">
        <f t="shared" ca="1" si="64"/>
        <v>0</v>
      </c>
      <c r="T80">
        <f t="shared" ca="1" si="63"/>
        <v>0</v>
      </c>
    </row>
    <row r="81" spans="1:20" x14ac:dyDescent="0.25">
      <c r="A81" s="1" t="s">
        <v>34</v>
      </c>
      <c r="B81" s="1">
        <f t="shared" si="52"/>
        <v>9</v>
      </c>
      <c r="C81" s="1">
        <f t="shared" si="53"/>
        <v>79</v>
      </c>
      <c r="D81">
        <f t="shared" ca="1" si="54"/>
        <v>0.39800000000000002</v>
      </c>
      <c r="E81">
        <f t="shared" ca="1" si="55"/>
        <v>3.9020000000000001</v>
      </c>
      <c r="F81">
        <f t="shared" ca="1" si="56"/>
        <v>0.58499999999999996</v>
      </c>
      <c r="G81">
        <f t="shared" ca="1" si="57"/>
        <v>0.501</v>
      </c>
      <c r="H81">
        <f t="shared" ca="1" si="58"/>
        <v>0.48299999999999998</v>
      </c>
      <c r="I81">
        <f t="shared" ca="1" si="59"/>
        <v>3.1669999999999998</v>
      </c>
      <c r="J81">
        <f t="shared" ca="1" si="60"/>
        <v>0.29699999999999999</v>
      </c>
      <c r="K81">
        <f t="shared" ca="1" si="61"/>
        <v>0</v>
      </c>
      <c r="L81">
        <f t="shared" ca="1" si="61"/>
        <v>0</v>
      </c>
      <c r="M81">
        <f t="shared" ca="1" si="61"/>
        <v>0</v>
      </c>
      <c r="N81">
        <f t="shared" ca="1" si="61"/>
        <v>0</v>
      </c>
      <c r="O81">
        <f t="shared" ca="1" si="61"/>
        <v>0</v>
      </c>
      <c r="P81">
        <f t="shared" ca="1" si="61"/>
        <v>0</v>
      </c>
      <c r="Q81">
        <f t="shared" ca="1" si="61"/>
        <v>0</v>
      </c>
      <c r="R81">
        <f t="shared" ca="1" si="62"/>
        <v>0</v>
      </c>
      <c r="S81">
        <f t="shared" ca="1" si="64"/>
        <v>0</v>
      </c>
      <c r="T81">
        <f t="shared" ca="1" si="63"/>
        <v>0</v>
      </c>
    </row>
    <row r="82" spans="1:20" x14ac:dyDescent="0.25">
      <c r="A82" s="1" t="s">
        <v>41</v>
      </c>
      <c r="B82" s="1">
        <f t="shared" si="52"/>
        <v>7</v>
      </c>
      <c r="C82" s="1">
        <f t="shared" si="53"/>
        <v>80</v>
      </c>
      <c r="D82">
        <f t="shared" ca="1" si="54"/>
        <v>0.89400000000000002</v>
      </c>
      <c r="E82">
        <f t="shared" ca="1" si="55"/>
        <v>0.51400000000000001</v>
      </c>
      <c r="F82">
        <f t="shared" ca="1" si="56"/>
        <v>0.47099999999999997</v>
      </c>
      <c r="G82">
        <f t="shared" ca="1" si="57"/>
        <v>0.43099999999999999</v>
      </c>
      <c r="H82">
        <f t="shared" ca="1" si="58"/>
        <v>2.597</v>
      </c>
      <c r="I82">
        <f t="shared" ca="1" si="59"/>
        <v>9.8000000000000004E-2</v>
      </c>
      <c r="J82">
        <f t="shared" ca="1" si="60"/>
        <v>0.34499999999999997</v>
      </c>
      <c r="K82">
        <f t="shared" ca="1" si="61"/>
        <v>0</v>
      </c>
      <c r="L82">
        <f t="shared" ca="1" si="61"/>
        <v>0</v>
      </c>
      <c r="M82">
        <f t="shared" ca="1" si="61"/>
        <v>0</v>
      </c>
      <c r="N82">
        <f t="shared" ca="1" si="61"/>
        <v>0</v>
      </c>
      <c r="O82">
        <f t="shared" ca="1" si="61"/>
        <v>0</v>
      </c>
      <c r="P82">
        <f t="shared" ca="1" si="61"/>
        <v>0</v>
      </c>
      <c r="Q82">
        <f t="shared" ca="1" si="61"/>
        <v>0</v>
      </c>
      <c r="R82">
        <f t="shared" ca="1" si="62"/>
        <v>0</v>
      </c>
      <c r="S82">
        <f t="shared" ca="1" si="64"/>
        <v>0</v>
      </c>
      <c r="T82">
        <f t="shared" ca="1" si="63"/>
        <v>0</v>
      </c>
    </row>
    <row r="83" spans="1:20" x14ac:dyDescent="0.25">
      <c r="A83" s="1" t="s">
        <v>41</v>
      </c>
      <c r="B83" s="1">
        <f t="shared" ref="B83:B98" si="65">LOOKUP($A83,$V$4:$V$23,$W$4:$W$23)</f>
        <v>7</v>
      </c>
      <c r="C83" s="1">
        <f t="shared" si="53"/>
        <v>81</v>
      </c>
      <c r="D83">
        <f t="shared" ca="1" si="54"/>
        <v>0.51400000000000001</v>
      </c>
      <c r="E83">
        <f t="shared" ca="1" si="55"/>
        <v>0.47099999999999997</v>
      </c>
      <c r="F83">
        <f t="shared" ca="1" si="56"/>
        <v>0.43099999999999999</v>
      </c>
      <c r="G83">
        <f t="shared" ca="1" si="57"/>
        <v>2.597</v>
      </c>
      <c r="H83">
        <f t="shared" ca="1" si="58"/>
        <v>9.8000000000000004E-2</v>
      </c>
      <c r="I83">
        <f t="shared" ca="1" si="59"/>
        <v>0.34499999999999997</v>
      </c>
      <c r="J83">
        <f t="shared" ca="1" si="60"/>
        <v>0.89400000000000002</v>
      </c>
      <c r="K83">
        <f t="shared" ca="1" si="61"/>
        <v>0</v>
      </c>
      <c r="L83">
        <f t="shared" ca="1" si="61"/>
        <v>0</v>
      </c>
      <c r="M83">
        <f t="shared" ca="1" si="61"/>
        <v>0</v>
      </c>
      <c r="N83">
        <f t="shared" ca="1" si="61"/>
        <v>0</v>
      </c>
      <c r="O83">
        <f t="shared" ca="1" si="61"/>
        <v>0</v>
      </c>
      <c r="P83">
        <f t="shared" ca="1" si="61"/>
        <v>0</v>
      </c>
      <c r="Q83">
        <f t="shared" ca="1" si="61"/>
        <v>0</v>
      </c>
      <c r="R83">
        <f t="shared" ca="1" si="62"/>
        <v>0</v>
      </c>
      <c r="S83">
        <f t="shared" ca="1" si="64"/>
        <v>0</v>
      </c>
      <c r="T83">
        <f t="shared" ca="1" si="63"/>
        <v>0</v>
      </c>
    </row>
    <row r="84" spans="1:20" x14ac:dyDescent="0.25">
      <c r="A84" s="1" t="s">
        <v>47</v>
      </c>
      <c r="B84" s="1">
        <f t="shared" si="65"/>
        <v>18</v>
      </c>
      <c r="C84" s="1">
        <f t="shared" ref="C84:C99" si="66">C83+1</f>
        <v>82</v>
      </c>
      <c r="D84">
        <f t="shared" ref="D84:D99" ca="1" si="67">OFFSET($X$4,$B84,MOD($C84,7),1,1)</f>
        <v>0</v>
      </c>
      <c r="E84">
        <f t="shared" ref="E84:E99" ca="1" si="68">OFFSET($X$4,$B84,MOD($C84+1,7),1,1)</f>
        <v>0</v>
      </c>
      <c r="F84">
        <f t="shared" ref="F84:F99" ca="1" si="69">OFFSET($X$4,$B84,MOD($C84+2,7),1,1)</f>
        <v>0.24</v>
      </c>
      <c r="G84">
        <f t="shared" ref="G84:G99" ca="1" si="70">OFFSET($X$4,$B84,MOD($C84+3,7),1,1)</f>
        <v>0</v>
      </c>
      <c r="H84">
        <f t="shared" ref="H84:H99" ca="1" si="71">OFFSET($X$4,$B84,MOD($C84+4,7),1,1)</f>
        <v>0</v>
      </c>
      <c r="I84">
        <f t="shared" ref="I84:I99" ca="1" si="72">OFFSET($X$4,$B84,MOD($C84+5,7),1,1)</f>
        <v>0.45600000000000002</v>
      </c>
      <c r="J84">
        <f t="shared" ref="J84:J99" ca="1" si="73">OFFSET($X$4,$B84,MOD($C84+6,7),1,1)</f>
        <v>1.9E-2</v>
      </c>
      <c r="K84">
        <f t="shared" ref="K84:Q99" ca="1" si="74">POWER(PRODUCT(D84:D111),1/28)</f>
        <v>0</v>
      </c>
      <c r="L84">
        <f t="shared" ca="1" si="74"/>
        <v>0</v>
      </c>
      <c r="M84">
        <f t="shared" ca="1" si="74"/>
        <v>0</v>
      </c>
      <c r="N84">
        <f t="shared" ca="1" si="74"/>
        <v>0</v>
      </c>
      <c r="O84">
        <f t="shared" ca="1" si="74"/>
        <v>0</v>
      </c>
      <c r="P84">
        <f t="shared" ca="1" si="74"/>
        <v>0</v>
      </c>
      <c r="Q84">
        <f t="shared" ca="1" si="74"/>
        <v>0</v>
      </c>
      <c r="R84">
        <f t="shared" ref="R84:R99" ca="1" si="75">MAX(K84:Q84)</f>
        <v>0</v>
      </c>
      <c r="S84">
        <f t="shared" ca="1" si="64"/>
        <v>0</v>
      </c>
      <c r="T84">
        <f t="shared" ref="T84:T99" ca="1" si="76">MAX(S84:S111)</f>
        <v>0</v>
      </c>
    </row>
    <row r="85" spans="1:20" x14ac:dyDescent="0.25">
      <c r="A85" s="1" t="s">
        <v>35</v>
      </c>
      <c r="B85" s="1">
        <f t="shared" si="65"/>
        <v>2</v>
      </c>
      <c r="C85" s="1">
        <f t="shared" si="66"/>
        <v>83</v>
      </c>
      <c r="D85">
        <f t="shared" ca="1" si="67"/>
        <v>1.448</v>
      </c>
      <c r="E85">
        <f t="shared" ca="1" si="68"/>
        <v>0.03</v>
      </c>
      <c r="F85">
        <f t="shared" ca="1" si="69"/>
        <v>2.3519999999999999</v>
      </c>
      <c r="G85">
        <f t="shared" ca="1" si="70"/>
        <v>2.2679999999999998</v>
      </c>
      <c r="H85">
        <f t="shared" ca="1" si="71"/>
        <v>0.23699999999999999</v>
      </c>
      <c r="I85">
        <f t="shared" ca="1" si="72"/>
        <v>0.66300000000000003</v>
      </c>
      <c r="J85">
        <f t="shared" ca="1" si="73"/>
        <v>1.62</v>
      </c>
      <c r="K85">
        <f t="shared" ca="1" si="74"/>
        <v>0</v>
      </c>
      <c r="L85">
        <f t="shared" ca="1" si="74"/>
        <v>0</v>
      </c>
      <c r="M85">
        <f t="shared" ca="1" si="74"/>
        <v>0</v>
      </c>
      <c r="N85">
        <f t="shared" ca="1" si="74"/>
        <v>0</v>
      </c>
      <c r="O85">
        <f t="shared" ca="1" si="74"/>
        <v>0</v>
      </c>
      <c r="P85">
        <f t="shared" ca="1" si="74"/>
        <v>0</v>
      </c>
      <c r="Q85">
        <f t="shared" ca="1" si="74"/>
        <v>0</v>
      </c>
      <c r="R85">
        <f t="shared" ca="1" si="75"/>
        <v>0</v>
      </c>
      <c r="S85">
        <f t="shared" ca="1" si="64"/>
        <v>0</v>
      </c>
      <c r="T85">
        <f t="shared" ca="1" si="76"/>
        <v>0</v>
      </c>
    </row>
    <row r="86" spans="1:20" x14ac:dyDescent="0.25">
      <c r="A86" s="1" t="s">
        <v>30</v>
      </c>
      <c r="B86" s="1">
        <f t="shared" si="65"/>
        <v>15</v>
      </c>
      <c r="C86" s="1">
        <f t="shared" si="66"/>
        <v>84</v>
      </c>
      <c r="D86">
        <f t="shared" ca="1" si="67"/>
        <v>0.38200000000000001</v>
      </c>
      <c r="E86">
        <f t="shared" ca="1" si="68"/>
        <v>0.58299999999999996</v>
      </c>
      <c r="F86">
        <f t="shared" ca="1" si="69"/>
        <v>1.052</v>
      </c>
      <c r="G86">
        <f t="shared" ca="1" si="70"/>
        <v>0.41899999999999998</v>
      </c>
      <c r="H86">
        <f t="shared" ca="1" si="71"/>
        <v>0.52500000000000002</v>
      </c>
      <c r="I86">
        <f t="shared" ca="1" si="72"/>
        <v>0.91600000000000004</v>
      </c>
      <c r="J86">
        <f t="shared" ca="1" si="73"/>
        <v>0.628</v>
      </c>
      <c r="K86">
        <f t="shared" ca="1" si="74"/>
        <v>0</v>
      </c>
      <c r="L86">
        <f t="shared" ca="1" si="74"/>
        <v>0</v>
      </c>
      <c r="M86">
        <f t="shared" ca="1" si="74"/>
        <v>0</v>
      </c>
      <c r="N86">
        <f t="shared" ca="1" si="74"/>
        <v>0</v>
      </c>
      <c r="O86">
        <f t="shared" ca="1" si="74"/>
        <v>0</v>
      </c>
      <c r="P86">
        <f t="shared" ca="1" si="74"/>
        <v>0</v>
      </c>
      <c r="Q86">
        <f t="shared" ca="1" si="74"/>
        <v>0</v>
      </c>
      <c r="R86">
        <f t="shared" ca="1" si="75"/>
        <v>0</v>
      </c>
      <c r="S86">
        <f t="shared" ca="1" si="64"/>
        <v>0</v>
      </c>
      <c r="T86">
        <f t="shared" ca="1" si="76"/>
        <v>0</v>
      </c>
    </row>
    <row r="87" spans="1:20" x14ac:dyDescent="0.25">
      <c r="A87" s="1" t="s">
        <v>48</v>
      </c>
      <c r="B87" s="1">
        <f t="shared" si="65"/>
        <v>19</v>
      </c>
      <c r="C87" s="1">
        <f t="shared" si="66"/>
        <v>85</v>
      </c>
      <c r="D87">
        <f t="shared" ca="1" si="67"/>
        <v>0.09</v>
      </c>
      <c r="E87">
        <f t="shared" ca="1" si="68"/>
        <v>0.122</v>
      </c>
      <c r="F87">
        <f t="shared" ca="1" si="69"/>
        <v>1.659</v>
      </c>
      <c r="G87">
        <f t="shared" ca="1" si="70"/>
        <v>0.19</v>
      </c>
      <c r="H87">
        <f t="shared" ca="1" si="71"/>
        <v>0.13</v>
      </c>
      <c r="I87">
        <f t="shared" ca="1" si="72"/>
        <v>0.155</v>
      </c>
      <c r="J87">
        <f t="shared" ca="1" si="73"/>
        <v>1.417</v>
      </c>
      <c r="K87">
        <f t="shared" ca="1" si="74"/>
        <v>0</v>
      </c>
      <c r="L87">
        <f t="shared" ca="1" si="74"/>
        <v>0</v>
      </c>
      <c r="M87">
        <f t="shared" ca="1" si="74"/>
        <v>0</v>
      </c>
      <c r="N87">
        <f t="shared" ca="1" si="74"/>
        <v>0</v>
      </c>
      <c r="O87">
        <f t="shared" ca="1" si="74"/>
        <v>0</v>
      </c>
      <c r="P87">
        <f t="shared" ca="1" si="74"/>
        <v>0</v>
      </c>
      <c r="Q87">
        <f t="shared" ca="1" si="74"/>
        <v>0</v>
      </c>
      <c r="R87">
        <f t="shared" ca="1" si="75"/>
        <v>0</v>
      </c>
      <c r="S87">
        <f t="shared" ca="1" si="64"/>
        <v>0</v>
      </c>
      <c r="T87">
        <f t="shared" ca="1" si="76"/>
        <v>0</v>
      </c>
    </row>
    <row r="88" spans="1:20" x14ac:dyDescent="0.25">
      <c r="A88" s="1" t="s">
        <v>45</v>
      </c>
      <c r="B88" s="1">
        <f t="shared" si="65"/>
        <v>16</v>
      </c>
      <c r="C88" s="1">
        <f t="shared" si="66"/>
        <v>86</v>
      </c>
      <c r="D88">
        <f t="shared" ca="1" si="67"/>
        <v>0.95499999999999996</v>
      </c>
      <c r="E88">
        <f t="shared" ca="1" si="68"/>
        <v>0.65400000000000003</v>
      </c>
      <c r="F88">
        <f t="shared" ca="1" si="69"/>
        <v>0.79100000000000004</v>
      </c>
      <c r="G88">
        <f t="shared" ca="1" si="70"/>
        <v>0.84299999999999997</v>
      </c>
      <c r="H88">
        <f t="shared" ca="1" si="71"/>
        <v>0.64700000000000002</v>
      </c>
      <c r="I88">
        <f t="shared" ca="1" si="72"/>
        <v>0.16900000000000001</v>
      </c>
      <c r="J88">
        <f t="shared" ca="1" si="73"/>
        <v>0.70199999999999996</v>
      </c>
      <c r="K88">
        <f t="shared" ca="1" si="74"/>
        <v>0</v>
      </c>
      <c r="L88">
        <f t="shared" ca="1" si="74"/>
        <v>0</v>
      </c>
      <c r="M88">
        <f t="shared" ca="1" si="74"/>
        <v>0</v>
      </c>
      <c r="N88">
        <f t="shared" ca="1" si="74"/>
        <v>0</v>
      </c>
      <c r="O88">
        <f t="shared" ca="1" si="74"/>
        <v>0</v>
      </c>
      <c r="P88">
        <f t="shared" ca="1" si="74"/>
        <v>0</v>
      </c>
      <c r="Q88">
        <f t="shared" ca="1" si="74"/>
        <v>0</v>
      </c>
      <c r="R88">
        <f t="shared" ca="1" si="75"/>
        <v>0</v>
      </c>
      <c r="S88">
        <f t="shared" ca="1" si="64"/>
        <v>0</v>
      </c>
      <c r="T88">
        <f t="shared" ca="1" si="76"/>
        <v>0</v>
      </c>
    </row>
    <row r="89" spans="1:20" x14ac:dyDescent="0.25">
      <c r="A89" s="1" t="s">
        <v>45</v>
      </c>
      <c r="B89" s="1">
        <f t="shared" si="65"/>
        <v>16</v>
      </c>
      <c r="C89" s="1">
        <f t="shared" si="66"/>
        <v>87</v>
      </c>
      <c r="D89">
        <f t="shared" ca="1" si="67"/>
        <v>0.65400000000000003</v>
      </c>
      <c r="E89">
        <f t="shared" ca="1" si="68"/>
        <v>0.79100000000000004</v>
      </c>
      <c r="F89">
        <f t="shared" ca="1" si="69"/>
        <v>0.84299999999999997</v>
      </c>
      <c r="G89">
        <f t="shared" ca="1" si="70"/>
        <v>0.64700000000000002</v>
      </c>
      <c r="H89">
        <f t="shared" ca="1" si="71"/>
        <v>0.16900000000000001</v>
      </c>
      <c r="I89">
        <f t="shared" ca="1" si="72"/>
        <v>0.70199999999999996</v>
      </c>
      <c r="J89">
        <f t="shared" ca="1" si="73"/>
        <v>0.95499999999999996</v>
      </c>
      <c r="K89">
        <f t="shared" ca="1" si="74"/>
        <v>0</v>
      </c>
      <c r="L89">
        <f t="shared" ca="1" si="74"/>
        <v>0</v>
      </c>
      <c r="M89">
        <f t="shared" ca="1" si="74"/>
        <v>0</v>
      </c>
      <c r="N89">
        <f t="shared" ca="1" si="74"/>
        <v>0</v>
      </c>
      <c r="O89">
        <f t="shared" ca="1" si="74"/>
        <v>0</v>
      </c>
      <c r="P89">
        <f t="shared" ca="1" si="74"/>
        <v>0</v>
      </c>
      <c r="Q89">
        <f t="shared" ca="1" si="74"/>
        <v>0</v>
      </c>
      <c r="R89">
        <f t="shared" ca="1" si="75"/>
        <v>0</v>
      </c>
      <c r="S89">
        <f t="shared" ca="1" si="64"/>
        <v>0</v>
      </c>
      <c r="T89">
        <f t="shared" ca="1" si="76"/>
        <v>0</v>
      </c>
    </row>
    <row r="90" spans="1:20" x14ac:dyDescent="0.25">
      <c r="A90" s="1" t="s">
        <v>43</v>
      </c>
      <c r="B90" s="1">
        <f t="shared" si="65"/>
        <v>11</v>
      </c>
      <c r="C90" s="1">
        <f t="shared" si="66"/>
        <v>88</v>
      </c>
      <c r="D90">
        <f t="shared" ca="1" si="67"/>
        <v>1.722</v>
      </c>
      <c r="E90">
        <f t="shared" ca="1" si="68"/>
        <v>2.456</v>
      </c>
      <c r="F90">
        <f t="shared" ca="1" si="69"/>
        <v>2.2799999999999998</v>
      </c>
      <c r="G90">
        <f t="shared" ca="1" si="70"/>
        <v>0.83499999999999996</v>
      </c>
      <c r="H90">
        <f t="shared" ca="1" si="71"/>
        <v>1.4750000000000001</v>
      </c>
      <c r="I90">
        <f t="shared" ca="1" si="72"/>
        <v>1.534</v>
      </c>
      <c r="J90">
        <f t="shared" ca="1" si="73"/>
        <v>3.9E-2</v>
      </c>
      <c r="K90">
        <f t="shared" ca="1" si="74"/>
        <v>0</v>
      </c>
      <c r="L90">
        <f t="shared" ca="1" si="74"/>
        <v>0</v>
      </c>
      <c r="M90">
        <f t="shared" ca="1" si="74"/>
        <v>0</v>
      </c>
      <c r="N90">
        <f t="shared" ca="1" si="74"/>
        <v>0</v>
      </c>
      <c r="O90">
        <f t="shared" ca="1" si="74"/>
        <v>0</v>
      </c>
      <c r="P90">
        <f t="shared" ca="1" si="74"/>
        <v>0</v>
      </c>
      <c r="Q90">
        <f t="shared" ca="1" si="74"/>
        <v>0</v>
      </c>
      <c r="R90">
        <f t="shared" ca="1" si="75"/>
        <v>0</v>
      </c>
      <c r="S90">
        <f t="shared" ca="1" si="64"/>
        <v>0</v>
      </c>
      <c r="T90">
        <f t="shared" ca="1" si="76"/>
        <v>0</v>
      </c>
    </row>
    <row r="91" spans="1:20" x14ac:dyDescent="0.25">
      <c r="A91" s="1" t="s">
        <v>42</v>
      </c>
      <c r="B91" s="1">
        <f t="shared" si="65"/>
        <v>8</v>
      </c>
      <c r="C91" s="1">
        <f t="shared" si="66"/>
        <v>89</v>
      </c>
      <c r="D91">
        <f t="shared" ca="1" si="67"/>
        <v>1.9610000000000001</v>
      </c>
      <c r="E91">
        <f t="shared" ca="1" si="68"/>
        <v>2.7949999999999999</v>
      </c>
      <c r="F91">
        <f t="shared" ca="1" si="69"/>
        <v>1.375</v>
      </c>
      <c r="G91">
        <f t="shared" ca="1" si="70"/>
        <v>2.6389999999999998</v>
      </c>
      <c r="H91">
        <f t="shared" ca="1" si="71"/>
        <v>1.7629999999999999</v>
      </c>
      <c r="I91">
        <f t="shared" ca="1" si="72"/>
        <v>0.191</v>
      </c>
      <c r="J91">
        <f t="shared" ca="1" si="73"/>
        <v>1.8149999999999999</v>
      </c>
      <c r="K91">
        <f t="shared" ca="1" si="74"/>
        <v>0</v>
      </c>
      <c r="L91">
        <f t="shared" ca="1" si="74"/>
        <v>0</v>
      </c>
      <c r="M91">
        <f t="shared" ca="1" si="74"/>
        <v>0</v>
      </c>
      <c r="N91">
        <f t="shared" ca="1" si="74"/>
        <v>0</v>
      </c>
      <c r="O91">
        <f t="shared" ca="1" si="74"/>
        <v>0</v>
      </c>
      <c r="P91">
        <f t="shared" ca="1" si="74"/>
        <v>0</v>
      </c>
      <c r="Q91">
        <f t="shared" ca="1" si="74"/>
        <v>0</v>
      </c>
      <c r="R91">
        <f t="shared" ca="1" si="75"/>
        <v>0</v>
      </c>
      <c r="S91">
        <f t="shared" ca="1" si="64"/>
        <v>0</v>
      </c>
      <c r="T91">
        <f t="shared" ca="1" si="76"/>
        <v>0</v>
      </c>
    </row>
    <row r="92" spans="1:20" x14ac:dyDescent="0.25">
      <c r="A92" s="1" t="s">
        <v>46</v>
      </c>
      <c r="B92" s="1">
        <f t="shared" si="65"/>
        <v>17</v>
      </c>
      <c r="C92" s="1">
        <f t="shared" si="66"/>
        <v>90</v>
      </c>
      <c r="D92">
        <f t="shared" ca="1" si="67"/>
        <v>0.36</v>
      </c>
      <c r="E92">
        <f t="shared" ca="1" si="68"/>
        <v>1.665</v>
      </c>
      <c r="F92">
        <f t="shared" ca="1" si="69"/>
        <v>0.40300000000000002</v>
      </c>
      <c r="G92">
        <f t="shared" ca="1" si="70"/>
        <v>0.38600000000000001</v>
      </c>
      <c r="H92">
        <f t="shared" ca="1" si="71"/>
        <v>0.94899999999999995</v>
      </c>
      <c r="I92">
        <f t="shared" ca="1" si="72"/>
        <v>0.21099999999999999</v>
      </c>
      <c r="J92">
        <f t="shared" ca="1" si="73"/>
        <v>0.34200000000000003</v>
      </c>
      <c r="K92">
        <f t="shared" ca="1" si="74"/>
        <v>0</v>
      </c>
      <c r="L92">
        <f t="shared" ca="1" si="74"/>
        <v>0</v>
      </c>
      <c r="M92">
        <f t="shared" ca="1" si="74"/>
        <v>0</v>
      </c>
      <c r="N92">
        <f t="shared" ca="1" si="74"/>
        <v>0</v>
      </c>
      <c r="O92">
        <f t="shared" ca="1" si="74"/>
        <v>0</v>
      </c>
      <c r="P92">
        <f t="shared" ca="1" si="74"/>
        <v>0</v>
      </c>
      <c r="Q92">
        <f t="shared" ca="1" si="74"/>
        <v>0</v>
      </c>
      <c r="R92">
        <f t="shared" ca="1" si="75"/>
        <v>0</v>
      </c>
      <c r="S92">
        <f t="shared" ca="1" si="64"/>
        <v>0</v>
      </c>
      <c r="T92">
        <f t="shared" ca="1" si="76"/>
        <v>0</v>
      </c>
    </row>
    <row r="93" spans="1:20" x14ac:dyDescent="0.25">
      <c r="A93" s="1" t="s">
        <v>40</v>
      </c>
      <c r="B93" s="1">
        <f t="shared" si="65"/>
        <v>6</v>
      </c>
      <c r="C93" s="1">
        <f t="shared" si="66"/>
        <v>91</v>
      </c>
      <c r="D93">
        <f t="shared" ca="1" si="67"/>
        <v>0.34699999999999998</v>
      </c>
      <c r="E93">
        <f t="shared" ca="1" si="68"/>
        <v>0.27500000000000002</v>
      </c>
      <c r="F93">
        <f t="shared" ca="1" si="69"/>
        <v>0.67900000000000005</v>
      </c>
      <c r="G93">
        <f t="shared" ca="1" si="70"/>
        <v>0.39500000000000002</v>
      </c>
      <c r="H93">
        <f t="shared" ca="1" si="71"/>
        <v>0.29399999999999998</v>
      </c>
      <c r="I93">
        <f t="shared" ca="1" si="72"/>
        <v>0.57899999999999996</v>
      </c>
      <c r="J93">
        <f t="shared" ca="1" si="73"/>
        <v>0.21299999999999999</v>
      </c>
      <c r="K93">
        <f t="shared" ca="1" si="74"/>
        <v>0</v>
      </c>
      <c r="L93">
        <f t="shared" ca="1" si="74"/>
        <v>0</v>
      </c>
      <c r="M93">
        <f t="shared" ca="1" si="74"/>
        <v>0</v>
      </c>
      <c r="N93">
        <f t="shared" ca="1" si="74"/>
        <v>0</v>
      </c>
      <c r="O93">
        <f t="shared" ca="1" si="74"/>
        <v>0</v>
      </c>
      <c r="P93">
        <f t="shared" ca="1" si="74"/>
        <v>0</v>
      </c>
      <c r="Q93">
        <f t="shared" ca="1" si="74"/>
        <v>0</v>
      </c>
      <c r="R93">
        <f t="shared" ca="1" si="75"/>
        <v>0</v>
      </c>
      <c r="S93">
        <f t="shared" ca="1" si="64"/>
        <v>0</v>
      </c>
      <c r="T93">
        <f t="shared" ca="1" si="76"/>
        <v>0</v>
      </c>
    </row>
    <row r="94" spans="1:20" x14ac:dyDescent="0.25">
      <c r="A94" s="1" t="s">
        <v>31</v>
      </c>
      <c r="B94" s="1">
        <f t="shared" si="65"/>
        <v>0</v>
      </c>
      <c r="C94" s="1">
        <f t="shared" si="66"/>
        <v>92</v>
      </c>
      <c r="D94">
        <f t="shared" ca="1" si="67"/>
        <v>1.5509999999999999</v>
      </c>
      <c r="E94">
        <f t="shared" ca="1" si="68"/>
        <v>1.0840000000000001</v>
      </c>
      <c r="F94">
        <f t="shared" ca="1" si="69"/>
        <v>2.6120000000000001</v>
      </c>
      <c r="G94">
        <f t="shared" ca="1" si="70"/>
        <v>0.377</v>
      </c>
      <c r="H94">
        <f t="shared" ca="1" si="71"/>
        <v>1.284</v>
      </c>
      <c r="I94">
        <f t="shared" ca="1" si="72"/>
        <v>0.877</v>
      </c>
      <c r="J94">
        <f t="shared" ca="1" si="73"/>
        <v>1.2969999999999999</v>
      </c>
      <c r="K94">
        <f t="shared" ca="1" si="74"/>
        <v>0</v>
      </c>
      <c r="L94">
        <f t="shared" ca="1" si="74"/>
        <v>0</v>
      </c>
      <c r="M94">
        <f t="shared" ca="1" si="74"/>
        <v>0</v>
      </c>
      <c r="N94">
        <f t="shared" ca="1" si="74"/>
        <v>0</v>
      </c>
      <c r="O94">
        <f t="shared" ca="1" si="74"/>
        <v>0</v>
      </c>
      <c r="P94">
        <f t="shared" ca="1" si="74"/>
        <v>0</v>
      </c>
      <c r="Q94">
        <f t="shared" ca="1" si="74"/>
        <v>0</v>
      </c>
      <c r="R94">
        <f t="shared" ca="1" si="75"/>
        <v>0</v>
      </c>
      <c r="S94">
        <f t="shared" ca="1" si="64"/>
        <v>0</v>
      </c>
      <c r="T94">
        <f t="shared" ca="1" si="76"/>
        <v>0</v>
      </c>
    </row>
    <row r="95" spans="1:20" x14ac:dyDescent="0.25">
      <c r="A95" s="1" t="s">
        <v>41</v>
      </c>
      <c r="B95" s="1">
        <f t="shared" si="65"/>
        <v>7</v>
      </c>
      <c r="C95" s="1">
        <f t="shared" si="66"/>
        <v>93</v>
      </c>
      <c r="D95">
        <f t="shared" ca="1" si="67"/>
        <v>0.34499999999999997</v>
      </c>
      <c r="E95">
        <f t="shared" ca="1" si="68"/>
        <v>0.89400000000000002</v>
      </c>
      <c r="F95">
        <f t="shared" ca="1" si="69"/>
        <v>0.51400000000000001</v>
      </c>
      <c r="G95">
        <f t="shared" ca="1" si="70"/>
        <v>0.47099999999999997</v>
      </c>
      <c r="H95">
        <f t="shared" ca="1" si="71"/>
        <v>0.43099999999999999</v>
      </c>
      <c r="I95">
        <f t="shared" ca="1" si="72"/>
        <v>2.597</v>
      </c>
      <c r="J95">
        <f t="shared" ca="1" si="73"/>
        <v>9.8000000000000004E-2</v>
      </c>
      <c r="K95">
        <f t="shared" ca="1" si="74"/>
        <v>0</v>
      </c>
      <c r="L95">
        <f t="shared" ca="1" si="74"/>
        <v>0</v>
      </c>
      <c r="M95">
        <f t="shared" ca="1" si="74"/>
        <v>0</v>
      </c>
      <c r="N95">
        <f t="shared" ca="1" si="74"/>
        <v>0</v>
      </c>
      <c r="O95">
        <f t="shared" ca="1" si="74"/>
        <v>0</v>
      </c>
      <c r="P95">
        <f t="shared" ca="1" si="74"/>
        <v>0</v>
      </c>
      <c r="Q95">
        <f t="shared" ca="1" si="74"/>
        <v>0</v>
      </c>
      <c r="R95">
        <f t="shared" ca="1" si="75"/>
        <v>0</v>
      </c>
      <c r="S95">
        <f t="shared" ref="S95:S110" ca="1" si="77">IF(R68&gt;1.55,1,IF(R68&gt;1.48,0.9,IF(R68&gt;1.4,0.8,IF(R68&gt;1.36666,0.6,IF(R68&gt;1.33333,0.4,IF(R68&gt;1.22,0.2,IF(R68&gt;1,0.1,0)))))))</f>
        <v>0</v>
      </c>
      <c r="T95">
        <f t="shared" ca="1" si="76"/>
        <v>0</v>
      </c>
    </row>
    <row r="96" spans="1:20" x14ac:dyDescent="0.25">
      <c r="A96" s="1" t="s">
        <v>44</v>
      </c>
      <c r="B96" s="1">
        <f t="shared" si="65"/>
        <v>12</v>
      </c>
      <c r="C96" s="1">
        <f t="shared" si="66"/>
        <v>94</v>
      </c>
      <c r="D96">
        <f t="shared" ca="1" si="67"/>
        <v>1.2999999999999999E-2</v>
      </c>
      <c r="E96">
        <f t="shared" ca="1" si="68"/>
        <v>0</v>
      </c>
      <c r="F96">
        <f t="shared" ca="1" si="69"/>
        <v>0</v>
      </c>
      <c r="G96">
        <f t="shared" ca="1" si="70"/>
        <v>0</v>
      </c>
      <c r="H96">
        <f t="shared" ca="1" si="71"/>
        <v>0</v>
      </c>
      <c r="I96">
        <f t="shared" ca="1" si="72"/>
        <v>8.0000000000000002E-3</v>
      </c>
      <c r="J96">
        <f t="shared" ca="1" si="73"/>
        <v>0</v>
      </c>
      <c r="K96">
        <f t="shared" ca="1" si="74"/>
        <v>0</v>
      </c>
      <c r="L96">
        <f t="shared" ca="1" si="74"/>
        <v>0</v>
      </c>
      <c r="M96">
        <f t="shared" ca="1" si="74"/>
        <v>0</v>
      </c>
      <c r="N96">
        <f t="shared" ca="1" si="74"/>
        <v>0</v>
      </c>
      <c r="O96">
        <f t="shared" ca="1" si="74"/>
        <v>0</v>
      </c>
      <c r="P96">
        <f t="shared" ca="1" si="74"/>
        <v>0</v>
      </c>
      <c r="Q96">
        <f t="shared" ca="1" si="74"/>
        <v>0</v>
      </c>
      <c r="R96">
        <f t="shared" ca="1" si="75"/>
        <v>0</v>
      </c>
      <c r="S96">
        <f t="shared" ca="1" si="77"/>
        <v>0</v>
      </c>
      <c r="T96">
        <f t="shared" ca="1" si="76"/>
        <v>0</v>
      </c>
    </row>
    <row r="97" spans="1:20" x14ac:dyDescent="0.25">
      <c r="A97" s="1" t="s">
        <v>34</v>
      </c>
      <c r="B97" s="1">
        <f t="shared" si="65"/>
        <v>9</v>
      </c>
      <c r="C97" s="1">
        <f t="shared" si="66"/>
        <v>95</v>
      </c>
      <c r="D97">
        <f t="shared" ca="1" si="67"/>
        <v>0.58499999999999996</v>
      </c>
      <c r="E97">
        <f t="shared" ca="1" si="68"/>
        <v>0.501</v>
      </c>
      <c r="F97">
        <f t="shared" ca="1" si="69"/>
        <v>0.48299999999999998</v>
      </c>
      <c r="G97">
        <f t="shared" ca="1" si="70"/>
        <v>3.1669999999999998</v>
      </c>
      <c r="H97">
        <f t="shared" ca="1" si="71"/>
        <v>0.29699999999999999</v>
      </c>
      <c r="I97">
        <f t="shared" ca="1" si="72"/>
        <v>0.39800000000000002</v>
      </c>
      <c r="J97">
        <f t="shared" ca="1" si="73"/>
        <v>3.9020000000000001</v>
      </c>
      <c r="K97">
        <f t="shared" ca="1" si="74"/>
        <v>0</v>
      </c>
      <c r="L97">
        <f t="shared" ca="1" si="74"/>
        <v>0</v>
      </c>
      <c r="M97">
        <f t="shared" ca="1" si="74"/>
        <v>0</v>
      </c>
      <c r="N97">
        <f t="shared" ca="1" si="74"/>
        <v>0</v>
      </c>
      <c r="O97">
        <f t="shared" ca="1" si="74"/>
        <v>0</v>
      </c>
      <c r="P97">
        <f t="shared" ca="1" si="74"/>
        <v>0</v>
      </c>
      <c r="Q97">
        <f t="shared" ca="1" si="74"/>
        <v>0.45650914339200183</v>
      </c>
      <c r="R97">
        <f t="shared" ca="1" si="75"/>
        <v>0.45650914339200183</v>
      </c>
      <c r="S97">
        <f t="shared" ca="1" si="77"/>
        <v>0</v>
      </c>
      <c r="T97">
        <f t="shared" ca="1" si="76"/>
        <v>0</v>
      </c>
    </row>
    <row r="98" spans="1:20" x14ac:dyDescent="0.25">
      <c r="A98" s="1" t="s">
        <v>39</v>
      </c>
      <c r="B98" s="1">
        <f t="shared" si="65"/>
        <v>14</v>
      </c>
      <c r="C98" s="1">
        <f t="shared" si="66"/>
        <v>96</v>
      </c>
      <c r="D98">
        <f t="shared" ca="1" si="67"/>
        <v>1.9370000000000001</v>
      </c>
      <c r="E98">
        <f t="shared" ca="1" si="68"/>
        <v>1.798</v>
      </c>
      <c r="F98">
        <f t="shared" ca="1" si="69"/>
        <v>0.65900000000000003</v>
      </c>
      <c r="G98">
        <f t="shared" ca="1" si="70"/>
        <v>1.163</v>
      </c>
      <c r="H98">
        <f t="shared" ca="1" si="71"/>
        <v>1.21</v>
      </c>
      <c r="I98">
        <f t="shared" ca="1" si="72"/>
        <v>3.1E-2</v>
      </c>
      <c r="J98">
        <f t="shared" ca="1" si="73"/>
        <v>1.3580000000000001</v>
      </c>
      <c r="K98">
        <f t="shared" ca="1" si="74"/>
        <v>0</v>
      </c>
      <c r="L98">
        <f t="shared" ca="1" si="74"/>
        <v>0</v>
      </c>
      <c r="M98">
        <f t="shared" ca="1" si="74"/>
        <v>0</v>
      </c>
      <c r="N98">
        <f t="shared" ca="1" si="74"/>
        <v>0</v>
      </c>
      <c r="O98">
        <f t="shared" ca="1" si="74"/>
        <v>0</v>
      </c>
      <c r="P98">
        <f t="shared" ca="1" si="74"/>
        <v>0</v>
      </c>
      <c r="Q98">
        <f t="shared" ca="1" si="74"/>
        <v>0.43310593228238231</v>
      </c>
      <c r="R98">
        <f t="shared" ca="1" si="75"/>
        <v>0.43310593228238231</v>
      </c>
      <c r="S98">
        <f t="shared" ca="1" si="77"/>
        <v>0</v>
      </c>
      <c r="T98">
        <f t="shared" ca="1" si="76"/>
        <v>0</v>
      </c>
    </row>
    <row r="99" spans="1:20" x14ac:dyDescent="0.25">
      <c r="A99" s="1" t="s">
        <v>30</v>
      </c>
      <c r="B99" s="1">
        <f t="shared" ref="B99:B114" si="78">LOOKUP($A99,$V$4:$V$23,$W$4:$W$23)</f>
        <v>15</v>
      </c>
      <c r="C99" s="1">
        <f t="shared" si="66"/>
        <v>97</v>
      </c>
      <c r="D99">
        <f t="shared" ca="1" si="67"/>
        <v>0.628</v>
      </c>
      <c r="E99">
        <f t="shared" ca="1" si="68"/>
        <v>0.38200000000000001</v>
      </c>
      <c r="F99">
        <f t="shared" ca="1" si="69"/>
        <v>0.58299999999999996</v>
      </c>
      <c r="G99">
        <f t="shared" ca="1" si="70"/>
        <v>1.052</v>
      </c>
      <c r="H99">
        <f t="shared" ca="1" si="71"/>
        <v>0.41899999999999998</v>
      </c>
      <c r="I99">
        <f t="shared" ca="1" si="72"/>
        <v>0.52500000000000002</v>
      </c>
      <c r="J99">
        <f t="shared" ca="1" si="73"/>
        <v>0.91600000000000004</v>
      </c>
      <c r="K99">
        <f t="shared" ca="1" si="74"/>
        <v>0</v>
      </c>
      <c r="L99">
        <f t="shared" ca="1" si="74"/>
        <v>0</v>
      </c>
      <c r="M99">
        <f t="shared" ca="1" si="74"/>
        <v>0</v>
      </c>
      <c r="N99">
        <f t="shared" ca="1" si="74"/>
        <v>0</v>
      </c>
      <c r="O99">
        <f t="shared" ca="1" si="74"/>
        <v>0</v>
      </c>
      <c r="P99">
        <f t="shared" ca="1" si="74"/>
        <v>0</v>
      </c>
      <c r="Q99">
        <f t="shared" ca="1" si="74"/>
        <v>0.40372803872822244</v>
      </c>
      <c r="R99">
        <f t="shared" ca="1" si="75"/>
        <v>0.40372803872822244</v>
      </c>
      <c r="S99">
        <f t="shared" ca="1" si="77"/>
        <v>0</v>
      </c>
      <c r="T99">
        <f t="shared" ca="1" si="76"/>
        <v>0</v>
      </c>
    </row>
    <row r="100" spans="1:20" x14ac:dyDescent="0.25">
      <c r="A100" s="1" t="s">
        <v>30</v>
      </c>
      <c r="B100" s="1">
        <f t="shared" si="78"/>
        <v>15</v>
      </c>
      <c r="C100" s="1">
        <f t="shared" ref="C100:C115" si="79">C99+1</f>
        <v>98</v>
      </c>
      <c r="D100">
        <f t="shared" ref="D100:D115" ca="1" si="80">OFFSET($X$4,$B100,MOD($C100,7),1,1)</f>
        <v>0.38200000000000001</v>
      </c>
      <c r="E100">
        <f t="shared" ref="E100:E115" ca="1" si="81">OFFSET($X$4,$B100,MOD($C100+1,7),1,1)</f>
        <v>0.58299999999999996</v>
      </c>
      <c r="F100">
        <f t="shared" ref="F100:F115" ca="1" si="82">OFFSET($X$4,$B100,MOD($C100+2,7),1,1)</f>
        <v>1.052</v>
      </c>
      <c r="G100">
        <f t="shared" ref="G100:G115" ca="1" si="83">OFFSET($X$4,$B100,MOD($C100+3,7),1,1)</f>
        <v>0.41899999999999998</v>
      </c>
      <c r="H100">
        <f t="shared" ref="H100:H115" ca="1" si="84">OFFSET($X$4,$B100,MOD($C100+4,7),1,1)</f>
        <v>0.52500000000000002</v>
      </c>
      <c r="I100">
        <f t="shared" ref="I100:I115" ca="1" si="85">OFFSET($X$4,$B100,MOD($C100+5,7),1,1)</f>
        <v>0.91600000000000004</v>
      </c>
      <c r="J100">
        <f t="shared" ref="J100:J115" ca="1" si="86">OFFSET($X$4,$B100,MOD($C100+6,7),1,1)</f>
        <v>0.628</v>
      </c>
      <c r="K100">
        <f t="shared" ref="K100:Q115" ca="1" si="87">POWER(PRODUCT(D100:D127),1/28)</f>
        <v>0</v>
      </c>
      <c r="L100">
        <f t="shared" ca="1" si="87"/>
        <v>0</v>
      </c>
      <c r="M100">
        <f t="shared" ca="1" si="87"/>
        <v>0</v>
      </c>
      <c r="N100">
        <f t="shared" ca="1" si="87"/>
        <v>0</v>
      </c>
      <c r="O100">
        <f t="shared" ca="1" si="87"/>
        <v>0</v>
      </c>
      <c r="P100">
        <f t="shared" ca="1" si="87"/>
        <v>0</v>
      </c>
      <c r="Q100">
        <f t="shared" ca="1" si="87"/>
        <v>0.41820239455370778</v>
      </c>
      <c r="R100">
        <f t="shared" ref="R100:R115" ca="1" si="88">MAX(K100:Q100)</f>
        <v>0.41820239455370778</v>
      </c>
      <c r="S100">
        <f t="shared" ca="1" si="77"/>
        <v>0</v>
      </c>
      <c r="T100">
        <f t="shared" ref="T100:T115" ca="1" si="89">MAX(S100:S127)</f>
        <v>0</v>
      </c>
    </row>
    <row r="101" spans="1:20" x14ac:dyDescent="0.25">
      <c r="A101" s="1" t="s">
        <v>47</v>
      </c>
      <c r="B101" s="1">
        <f t="shared" si="78"/>
        <v>18</v>
      </c>
      <c r="C101" s="1">
        <f t="shared" si="79"/>
        <v>99</v>
      </c>
      <c r="D101">
        <f t="shared" ca="1" si="80"/>
        <v>0</v>
      </c>
      <c r="E101">
        <f t="shared" ca="1" si="81"/>
        <v>0</v>
      </c>
      <c r="F101">
        <f t="shared" ca="1" si="82"/>
        <v>0.45600000000000002</v>
      </c>
      <c r="G101">
        <f t="shared" ca="1" si="83"/>
        <v>1.9E-2</v>
      </c>
      <c r="H101">
        <f t="shared" ca="1" si="84"/>
        <v>0</v>
      </c>
      <c r="I101">
        <f t="shared" ca="1" si="85"/>
        <v>0</v>
      </c>
      <c r="J101">
        <f t="shared" ca="1" si="86"/>
        <v>0.24</v>
      </c>
      <c r="K101">
        <f t="shared" ca="1" si="87"/>
        <v>0</v>
      </c>
      <c r="L101">
        <f t="shared" ca="1" si="87"/>
        <v>0</v>
      </c>
      <c r="M101">
        <f t="shared" ca="1" si="87"/>
        <v>0</v>
      </c>
      <c r="N101">
        <f t="shared" ca="1" si="87"/>
        <v>0</v>
      </c>
      <c r="O101">
        <f t="shared" ca="1" si="87"/>
        <v>0</v>
      </c>
      <c r="P101">
        <f t="shared" ca="1" si="87"/>
        <v>0</v>
      </c>
      <c r="Q101">
        <f t="shared" ca="1" si="87"/>
        <v>0.41429971993706949</v>
      </c>
      <c r="R101">
        <f t="shared" ca="1" si="88"/>
        <v>0.41429971993706949</v>
      </c>
      <c r="S101">
        <f t="shared" ca="1" si="77"/>
        <v>0</v>
      </c>
      <c r="T101">
        <f t="shared" ca="1" si="89"/>
        <v>0</v>
      </c>
    </row>
    <row r="102" spans="1:20" x14ac:dyDescent="0.25">
      <c r="A102" s="1" t="s">
        <v>46</v>
      </c>
      <c r="B102" s="1">
        <f t="shared" si="78"/>
        <v>17</v>
      </c>
      <c r="C102" s="1">
        <f t="shared" si="79"/>
        <v>100</v>
      </c>
      <c r="D102">
        <f t="shared" ca="1" si="80"/>
        <v>0.38600000000000001</v>
      </c>
      <c r="E102">
        <f t="shared" ca="1" si="81"/>
        <v>0.94899999999999995</v>
      </c>
      <c r="F102">
        <f t="shared" ca="1" si="82"/>
        <v>0.21099999999999999</v>
      </c>
      <c r="G102">
        <f t="shared" ca="1" si="83"/>
        <v>0.34200000000000003</v>
      </c>
      <c r="H102">
        <f t="shared" ca="1" si="84"/>
        <v>0.36</v>
      </c>
      <c r="I102">
        <f t="shared" ca="1" si="85"/>
        <v>1.665</v>
      </c>
      <c r="J102">
        <f t="shared" ca="1" si="86"/>
        <v>0.40300000000000002</v>
      </c>
      <c r="K102">
        <f t="shared" ca="1" si="87"/>
        <v>0</v>
      </c>
      <c r="L102">
        <f t="shared" ca="1" si="87"/>
        <v>0.38536338836223294</v>
      </c>
      <c r="M102">
        <f t="shared" ca="1" si="87"/>
        <v>0</v>
      </c>
      <c r="N102">
        <f t="shared" ca="1" si="87"/>
        <v>0</v>
      </c>
      <c r="O102">
        <f t="shared" ca="1" si="87"/>
        <v>0</v>
      </c>
      <c r="P102">
        <f t="shared" ca="1" si="87"/>
        <v>0</v>
      </c>
      <c r="Q102">
        <f t="shared" ca="1" si="87"/>
        <v>0.44094998746427128</v>
      </c>
      <c r="R102">
        <f t="shared" ca="1" si="88"/>
        <v>0.44094998746427128</v>
      </c>
      <c r="S102">
        <f t="shared" ca="1" si="77"/>
        <v>0</v>
      </c>
      <c r="T102">
        <f t="shared" ca="1" si="89"/>
        <v>0</v>
      </c>
    </row>
    <row r="103" spans="1:20" x14ac:dyDescent="0.25">
      <c r="A103" s="1" t="s">
        <v>22</v>
      </c>
      <c r="B103" s="1">
        <f t="shared" si="78"/>
        <v>10</v>
      </c>
      <c r="C103" s="1">
        <f t="shared" si="79"/>
        <v>101</v>
      </c>
      <c r="D103">
        <f t="shared" ca="1" si="80"/>
        <v>1.409</v>
      </c>
      <c r="E103">
        <f t="shared" ca="1" si="81"/>
        <v>0.54100000000000004</v>
      </c>
      <c r="F103">
        <f t="shared" ca="1" si="82"/>
        <v>0.77200000000000002</v>
      </c>
      <c r="G103">
        <f t="shared" ca="1" si="83"/>
        <v>0.66300000000000003</v>
      </c>
      <c r="H103">
        <f t="shared" ca="1" si="84"/>
        <v>2.2400000000000002</v>
      </c>
      <c r="I103">
        <f t="shared" ca="1" si="85"/>
        <v>0.37</v>
      </c>
      <c r="J103">
        <f t="shared" ca="1" si="86"/>
        <v>0.48</v>
      </c>
      <c r="K103">
        <f t="shared" ca="1" si="87"/>
        <v>0</v>
      </c>
      <c r="L103">
        <f t="shared" ca="1" si="87"/>
        <v>0.38027332662223473</v>
      </c>
      <c r="M103">
        <f t="shared" ca="1" si="87"/>
        <v>0</v>
      </c>
      <c r="N103">
        <f t="shared" ca="1" si="87"/>
        <v>0</v>
      </c>
      <c r="O103">
        <f t="shared" ca="1" si="87"/>
        <v>0</v>
      </c>
      <c r="P103">
        <f t="shared" ca="1" si="87"/>
        <v>0</v>
      </c>
      <c r="Q103">
        <f t="shared" ca="1" si="87"/>
        <v>0.44977739279638185</v>
      </c>
      <c r="R103">
        <f t="shared" ca="1" si="88"/>
        <v>0.44977739279638185</v>
      </c>
      <c r="S103">
        <f t="shared" ca="1" si="77"/>
        <v>0</v>
      </c>
      <c r="T103">
        <f t="shared" ca="1" si="89"/>
        <v>0</v>
      </c>
    </row>
    <row r="104" spans="1:20" x14ac:dyDescent="0.25">
      <c r="A104" s="1" t="s">
        <v>45</v>
      </c>
      <c r="B104" s="1">
        <f t="shared" si="78"/>
        <v>16</v>
      </c>
      <c r="C104" s="1">
        <f t="shared" si="79"/>
        <v>102</v>
      </c>
      <c r="D104">
        <f t="shared" ca="1" si="80"/>
        <v>0.79100000000000004</v>
      </c>
      <c r="E104">
        <f t="shared" ca="1" si="81"/>
        <v>0.84299999999999997</v>
      </c>
      <c r="F104">
        <f t="shared" ca="1" si="82"/>
        <v>0.64700000000000002</v>
      </c>
      <c r="G104">
        <f t="shared" ca="1" si="83"/>
        <v>0.16900000000000001</v>
      </c>
      <c r="H104">
        <f t="shared" ca="1" si="84"/>
        <v>0.70199999999999996</v>
      </c>
      <c r="I104">
        <f t="shared" ca="1" si="85"/>
        <v>0.95499999999999996</v>
      </c>
      <c r="J104">
        <f t="shared" ca="1" si="86"/>
        <v>0.65400000000000003</v>
      </c>
      <c r="K104">
        <f t="shared" ca="1" si="87"/>
        <v>0</v>
      </c>
      <c r="L104">
        <f t="shared" ca="1" si="87"/>
        <v>0.39298045701486267</v>
      </c>
      <c r="M104">
        <f t="shared" ca="1" si="87"/>
        <v>0</v>
      </c>
      <c r="N104">
        <f t="shared" ca="1" si="87"/>
        <v>0</v>
      </c>
      <c r="O104">
        <f t="shared" ca="1" si="87"/>
        <v>0</v>
      </c>
      <c r="P104">
        <f t="shared" ca="1" si="87"/>
        <v>0</v>
      </c>
      <c r="Q104">
        <f t="shared" ca="1" si="87"/>
        <v>0.46487745466683661</v>
      </c>
      <c r="R104">
        <f t="shared" ca="1" si="88"/>
        <v>0.46487745466683661</v>
      </c>
      <c r="S104">
        <f t="shared" ca="1" si="77"/>
        <v>0</v>
      </c>
      <c r="T104">
        <f t="shared" ca="1" si="89"/>
        <v>0</v>
      </c>
    </row>
    <row r="105" spans="1:20" x14ac:dyDescent="0.25">
      <c r="A105" s="1" t="s">
        <v>33</v>
      </c>
      <c r="B105" s="1">
        <f t="shared" si="78"/>
        <v>1</v>
      </c>
      <c r="C105" s="1">
        <f t="shared" si="79"/>
        <v>103</v>
      </c>
      <c r="D105">
        <f t="shared" ca="1" si="80"/>
        <v>0.156</v>
      </c>
      <c r="E105">
        <f t="shared" ca="1" si="81"/>
        <v>4.3999999999999997E-2</v>
      </c>
      <c r="F105">
        <f t="shared" ca="1" si="82"/>
        <v>0.82399999999999995</v>
      </c>
      <c r="G105">
        <f t="shared" ca="1" si="83"/>
        <v>2.1999999999999999E-2</v>
      </c>
      <c r="H105">
        <f t="shared" ca="1" si="84"/>
        <v>0.308</v>
      </c>
      <c r="I105">
        <f t="shared" ca="1" si="85"/>
        <v>0.152</v>
      </c>
      <c r="J105">
        <f t="shared" ca="1" si="86"/>
        <v>0.18</v>
      </c>
      <c r="K105">
        <f t="shared" ca="1" si="87"/>
        <v>0</v>
      </c>
      <c r="L105">
        <f t="shared" ca="1" si="87"/>
        <v>0.40850261572175245</v>
      </c>
      <c r="M105">
        <f t="shared" ca="1" si="87"/>
        <v>0</v>
      </c>
      <c r="N105">
        <f t="shared" ca="1" si="87"/>
        <v>0</v>
      </c>
      <c r="O105">
        <f t="shared" ca="1" si="87"/>
        <v>0</v>
      </c>
      <c r="P105">
        <f t="shared" ca="1" si="87"/>
        <v>0</v>
      </c>
      <c r="Q105">
        <f t="shared" ca="1" si="87"/>
        <v>0.47194777336846888</v>
      </c>
      <c r="R105">
        <f t="shared" ca="1" si="88"/>
        <v>0.47194777336846888</v>
      </c>
      <c r="S105">
        <f t="shared" ca="1" si="77"/>
        <v>0</v>
      </c>
      <c r="T105">
        <f t="shared" ca="1" si="89"/>
        <v>0</v>
      </c>
    </row>
    <row r="106" spans="1:20" x14ac:dyDescent="0.25">
      <c r="A106" s="1" t="s">
        <v>31</v>
      </c>
      <c r="B106" s="1">
        <f t="shared" si="78"/>
        <v>0</v>
      </c>
      <c r="C106" s="1">
        <f t="shared" si="79"/>
        <v>104</v>
      </c>
      <c r="D106">
        <f t="shared" ca="1" si="80"/>
        <v>0.877</v>
      </c>
      <c r="E106">
        <f t="shared" ca="1" si="81"/>
        <v>1.2969999999999999</v>
      </c>
      <c r="F106">
        <f t="shared" ca="1" si="82"/>
        <v>1.5509999999999999</v>
      </c>
      <c r="G106">
        <f t="shared" ca="1" si="83"/>
        <v>1.0840000000000001</v>
      </c>
      <c r="H106">
        <f t="shared" ca="1" si="84"/>
        <v>2.6120000000000001</v>
      </c>
      <c r="I106">
        <f t="shared" ca="1" si="85"/>
        <v>0.377</v>
      </c>
      <c r="J106">
        <f t="shared" ca="1" si="86"/>
        <v>1.284</v>
      </c>
      <c r="K106">
        <f t="shared" ca="1" si="87"/>
        <v>0</v>
      </c>
      <c r="L106">
        <f t="shared" ca="1" si="87"/>
        <v>0.42739159958096651</v>
      </c>
      <c r="M106">
        <f t="shared" ca="1" si="87"/>
        <v>0</v>
      </c>
      <c r="N106">
        <f t="shared" ca="1" si="87"/>
        <v>0</v>
      </c>
      <c r="O106">
        <f t="shared" ca="1" si="87"/>
        <v>0</v>
      </c>
      <c r="P106">
        <f t="shared" ca="1" si="87"/>
        <v>0</v>
      </c>
      <c r="Q106">
        <f t="shared" ca="1" si="87"/>
        <v>0.47463371280670619</v>
      </c>
      <c r="R106">
        <f t="shared" ca="1" si="88"/>
        <v>0.47463371280670619</v>
      </c>
      <c r="S106">
        <f t="shared" ca="1" si="77"/>
        <v>0</v>
      </c>
      <c r="T106">
        <f t="shared" ca="1" si="89"/>
        <v>0</v>
      </c>
    </row>
    <row r="107" spans="1:20" x14ac:dyDescent="0.25">
      <c r="A107" s="1" t="s">
        <v>48</v>
      </c>
      <c r="B107" s="1">
        <f t="shared" si="78"/>
        <v>19</v>
      </c>
      <c r="C107" s="1">
        <f t="shared" si="79"/>
        <v>105</v>
      </c>
      <c r="D107">
        <f t="shared" ca="1" si="80"/>
        <v>1.417</v>
      </c>
      <c r="E107">
        <f t="shared" ca="1" si="81"/>
        <v>0.09</v>
      </c>
      <c r="F107">
        <f t="shared" ca="1" si="82"/>
        <v>0.122</v>
      </c>
      <c r="G107">
        <f t="shared" ca="1" si="83"/>
        <v>1.659</v>
      </c>
      <c r="H107">
        <f t="shared" ca="1" si="84"/>
        <v>0.19</v>
      </c>
      <c r="I107">
        <f t="shared" ca="1" si="85"/>
        <v>0.13</v>
      </c>
      <c r="J107">
        <f t="shared" ca="1" si="86"/>
        <v>0.155</v>
      </c>
      <c r="K107">
        <f t="shared" ca="1" si="87"/>
        <v>0</v>
      </c>
      <c r="L107">
        <f t="shared" ca="1" si="87"/>
        <v>0.42072226865487722</v>
      </c>
      <c r="M107">
        <f t="shared" ca="1" si="87"/>
        <v>0</v>
      </c>
      <c r="N107">
        <f t="shared" ca="1" si="87"/>
        <v>0</v>
      </c>
      <c r="O107">
        <f t="shared" ca="1" si="87"/>
        <v>0</v>
      </c>
      <c r="P107">
        <f t="shared" ca="1" si="87"/>
        <v>0</v>
      </c>
      <c r="Q107">
        <f t="shared" ca="1" si="87"/>
        <v>0.48575579175948902</v>
      </c>
      <c r="R107">
        <f t="shared" ca="1" si="88"/>
        <v>0.48575579175948902</v>
      </c>
      <c r="S107">
        <f t="shared" ca="1" si="77"/>
        <v>0</v>
      </c>
      <c r="T107">
        <f t="shared" ca="1" si="89"/>
        <v>0</v>
      </c>
    </row>
    <row r="108" spans="1:20" x14ac:dyDescent="0.25">
      <c r="A108" s="1" t="s">
        <v>31</v>
      </c>
      <c r="B108" s="1">
        <f t="shared" si="78"/>
        <v>0</v>
      </c>
      <c r="C108" s="1">
        <f t="shared" si="79"/>
        <v>106</v>
      </c>
      <c r="D108">
        <f t="shared" ca="1" si="80"/>
        <v>1.5509999999999999</v>
      </c>
      <c r="E108">
        <f t="shared" ca="1" si="81"/>
        <v>1.0840000000000001</v>
      </c>
      <c r="F108">
        <f t="shared" ca="1" si="82"/>
        <v>2.6120000000000001</v>
      </c>
      <c r="G108">
        <f t="shared" ca="1" si="83"/>
        <v>0.377</v>
      </c>
      <c r="H108">
        <f t="shared" ca="1" si="84"/>
        <v>1.284</v>
      </c>
      <c r="I108">
        <f t="shared" ca="1" si="85"/>
        <v>0.877</v>
      </c>
      <c r="J108">
        <f t="shared" ca="1" si="86"/>
        <v>1.2969999999999999</v>
      </c>
      <c r="K108">
        <f t="shared" ca="1" si="87"/>
        <v>0</v>
      </c>
      <c r="L108">
        <f t="shared" ca="1" si="87"/>
        <v>0.44386176226813018</v>
      </c>
      <c r="M108">
        <f t="shared" ca="1" si="87"/>
        <v>0</v>
      </c>
      <c r="N108">
        <f t="shared" ca="1" si="87"/>
        <v>0</v>
      </c>
      <c r="O108">
        <f t="shared" ca="1" si="87"/>
        <v>0</v>
      </c>
      <c r="P108">
        <f t="shared" ca="1" si="87"/>
        <v>0</v>
      </c>
      <c r="Q108">
        <f t="shared" ca="1" si="87"/>
        <v>0.50059715061381005</v>
      </c>
      <c r="R108">
        <f t="shared" ca="1" si="88"/>
        <v>0.50059715061381005</v>
      </c>
      <c r="S108">
        <f t="shared" ca="1" si="77"/>
        <v>0</v>
      </c>
      <c r="T108">
        <f t="shared" ca="1" si="89"/>
        <v>0</v>
      </c>
    </row>
    <row r="109" spans="1:20" x14ac:dyDescent="0.25">
      <c r="A109" s="1" t="s">
        <v>44</v>
      </c>
      <c r="B109" s="1">
        <f t="shared" si="78"/>
        <v>12</v>
      </c>
      <c r="C109" s="1">
        <f t="shared" si="79"/>
        <v>107</v>
      </c>
      <c r="D109">
        <f t="shared" ca="1" si="80"/>
        <v>0</v>
      </c>
      <c r="E109">
        <f t="shared" ca="1" si="81"/>
        <v>1.2999999999999999E-2</v>
      </c>
      <c r="F109">
        <f t="shared" ca="1" si="82"/>
        <v>0</v>
      </c>
      <c r="G109">
        <f t="shared" ca="1" si="83"/>
        <v>0</v>
      </c>
      <c r="H109">
        <f t="shared" ca="1" si="84"/>
        <v>0</v>
      </c>
      <c r="I109">
        <f t="shared" ca="1" si="85"/>
        <v>0</v>
      </c>
      <c r="J109">
        <f t="shared" ca="1" si="86"/>
        <v>8.0000000000000002E-3</v>
      </c>
      <c r="K109">
        <f t="shared" ca="1" si="87"/>
        <v>0</v>
      </c>
      <c r="L109">
        <f t="shared" ca="1" si="87"/>
        <v>0.44560833711605174</v>
      </c>
      <c r="M109">
        <f t="shared" ca="1" si="87"/>
        <v>0</v>
      </c>
      <c r="N109">
        <f t="shared" ca="1" si="87"/>
        <v>0</v>
      </c>
      <c r="O109">
        <f t="shared" ca="1" si="87"/>
        <v>0</v>
      </c>
      <c r="P109">
        <f t="shared" ca="1" si="87"/>
        <v>0</v>
      </c>
      <c r="Q109">
        <f t="shared" ca="1" si="87"/>
        <v>0.48863708510430176</v>
      </c>
      <c r="R109">
        <f t="shared" ca="1" si="88"/>
        <v>0.48863708510430176</v>
      </c>
      <c r="S109">
        <f t="shared" ca="1" si="77"/>
        <v>0</v>
      </c>
      <c r="T109">
        <f t="shared" ca="1" si="89"/>
        <v>0</v>
      </c>
    </row>
    <row r="110" spans="1:20" x14ac:dyDescent="0.25">
      <c r="A110" s="1" t="s">
        <v>30</v>
      </c>
      <c r="B110" s="1">
        <f t="shared" si="78"/>
        <v>15</v>
      </c>
      <c r="C110" s="1">
        <f t="shared" si="79"/>
        <v>108</v>
      </c>
      <c r="D110">
        <f t="shared" ca="1" si="80"/>
        <v>0.41899999999999998</v>
      </c>
      <c r="E110">
        <f t="shared" ca="1" si="81"/>
        <v>0.52500000000000002</v>
      </c>
      <c r="F110">
        <f t="shared" ca="1" si="82"/>
        <v>0.91600000000000004</v>
      </c>
      <c r="G110">
        <f t="shared" ca="1" si="83"/>
        <v>0.628</v>
      </c>
      <c r="H110">
        <f t="shared" ca="1" si="84"/>
        <v>0.38200000000000001</v>
      </c>
      <c r="I110">
        <f t="shared" ca="1" si="85"/>
        <v>0.58299999999999996</v>
      </c>
      <c r="J110">
        <f t="shared" ca="1" si="86"/>
        <v>1.052</v>
      </c>
      <c r="K110">
        <f t="shared" ca="1" si="87"/>
        <v>0.61875901405330158</v>
      </c>
      <c r="L110">
        <f t="shared" ca="1" si="87"/>
        <v>0.51939833449545791</v>
      </c>
      <c r="M110">
        <f t="shared" ca="1" si="87"/>
        <v>0.52084530525402861</v>
      </c>
      <c r="N110">
        <f t="shared" ca="1" si="87"/>
        <v>0.46519867589251357</v>
      </c>
      <c r="O110">
        <f t="shared" ca="1" si="87"/>
        <v>0.34694982369517874</v>
      </c>
      <c r="P110">
        <f t="shared" ca="1" si="87"/>
        <v>0.69738958272074292</v>
      </c>
      <c r="Q110">
        <f t="shared" ca="1" si="87"/>
        <v>0.56205629937403667</v>
      </c>
      <c r="R110">
        <f t="shared" ca="1" si="88"/>
        <v>0.69738958272074292</v>
      </c>
      <c r="S110">
        <f t="shared" ca="1" si="77"/>
        <v>0</v>
      </c>
      <c r="T110">
        <f t="shared" ca="1" si="89"/>
        <v>0</v>
      </c>
    </row>
    <row r="111" spans="1:20" x14ac:dyDescent="0.25">
      <c r="A111" s="1" t="s">
        <v>38</v>
      </c>
      <c r="B111" s="1">
        <f t="shared" si="78"/>
        <v>5</v>
      </c>
      <c r="C111" s="1">
        <f t="shared" si="79"/>
        <v>109</v>
      </c>
      <c r="D111">
        <f t="shared" ca="1" si="80"/>
        <v>0.21099999999999999</v>
      </c>
      <c r="E111">
        <f t="shared" ca="1" si="81"/>
        <v>0.42599999999999999</v>
      </c>
      <c r="F111">
        <f t="shared" ca="1" si="82"/>
        <v>0.156</v>
      </c>
      <c r="G111">
        <f t="shared" ca="1" si="83"/>
        <v>4.4999999999999998E-2</v>
      </c>
      <c r="H111">
        <f t="shared" ca="1" si="84"/>
        <v>0.27500000000000002</v>
      </c>
      <c r="I111">
        <f t="shared" ca="1" si="85"/>
        <v>0.57799999999999996</v>
      </c>
      <c r="J111">
        <f t="shared" ca="1" si="86"/>
        <v>0.216</v>
      </c>
      <c r="K111">
        <f t="shared" ca="1" si="87"/>
        <v>0.61875901405330158</v>
      </c>
      <c r="L111">
        <f t="shared" ca="1" si="87"/>
        <v>0.51939833449545791</v>
      </c>
      <c r="M111">
        <f t="shared" ca="1" si="87"/>
        <v>0.52084530525402861</v>
      </c>
      <c r="N111">
        <f t="shared" ca="1" si="87"/>
        <v>0.46519867589251368</v>
      </c>
      <c r="O111">
        <f t="shared" ca="1" si="87"/>
        <v>0.34694982369517874</v>
      </c>
      <c r="P111">
        <f t="shared" ca="1" si="87"/>
        <v>0.69738958272074292</v>
      </c>
      <c r="Q111">
        <f t="shared" ca="1" si="87"/>
        <v>0.56205629937403667</v>
      </c>
      <c r="R111">
        <f t="shared" ca="1" si="88"/>
        <v>0.69738958272074292</v>
      </c>
      <c r="S111">
        <f t="shared" ref="S111:S126" ca="1" si="90">IF(R84&gt;1.55,1,IF(R84&gt;1.48,0.9,IF(R84&gt;1.4,0.8,IF(R84&gt;1.36666,0.6,IF(R84&gt;1.33333,0.4,IF(R84&gt;1.22,0.2,IF(R84&gt;1,0.1,0)))))))</f>
        <v>0</v>
      </c>
      <c r="T111">
        <f t="shared" ca="1" si="89"/>
        <v>0</v>
      </c>
    </row>
    <row r="112" spans="1:20" x14ac:dyDescent="0.25">
      <c r="A112" s="1" t="s">
        <v>43</v>
      </c>
      <c r="B112" s="1">
        <f t="shared" si="78"/>
        <v>11</v>
      </c>
      <c r="C112" s="1">
        <f t="shared" si="79"/>
        <v>110</v>
      </c>
      <c r="D112">
        <f t="shared" ca="1" si="80"/>
        <v>2.456</v>
      </c>
      <c r="E112">
        <f t="shared" ca="1" si="81"/>
        <v>2.2799999999999998</v>
      </c>
      <c r="F112">
        <f t="shared" ca="1" si="82"/>
        <v>0.83499999999999996</v>
      </c>
      <c r="G112">
        <f t="shared" ca="1" si="83"/>
        <v>1.4750000000000001</v>
      </c>
      <c r="H112">
        <f t="shared" ca="1" si="84"/>
        <v>1.534</v>
      </c>
      <c r="I112">
        <f t="shared" ca="1" si="85"/>
        <v>3.9E-2</v>
      </c>
      <c r="J112">
        <f t="shared" ca="1" si="86"/>
        <v>1.722</v>
      </c>
      <c r="K112">
        <f t="shared" ca="1" si="87"/>
        <v>0.66130335889317249</v>
      </c>
      <c r="L112">
        <f t="shared" ca="1" si="87"/>
        <v>0.54826503922148262</v>
      </c>
      <c r="M112">
        <f t="shared" ca="1" si="87"/>
        <v>0.56836243241699302</v>
      </c>
      <c r="N112">
        <f t="shared" ca="1" si="87"/>
        <v>0.51199962742200666</v>
      </c>
      <c r="O112">
        <f t="shared" ca="1" si="87"/>
        <v>0.36528567068030637</v>
      </c>
      <c r="P112">
        <f t="shared" ca="1" si="87"/>
        <v>0.71603566295609078</v>
      </c>
      <c r="Q112">
        <f t="shared" ca="1" si="87"/>
        <v>0.52440809738753991</v>
      </c>
      <c r="R112">
        <f t="shared" ca="1" si="88"/>
        <v>0.71603566295609078</v>
      </c>
      <c r="S112">
        <f t="shared" ca="1" si="90"/>
        <v>0</v>
      </c>
      <c r="T112">
        <f t="shared" ca="1" si="89"/>
        <v>0</v>
      </c>
    </row>
    <row r="113" spans="1:20" x14ac:dyDescent="0.25">
      <c r="A113" s="1" t="s">
        <v>48</v>
      </c>
      <c r="B113" s="1">
        <f t="shared" si="78"/>
        <v>19</v>
      </c>
      <c r="C113" s="1">
        <f t="shared" si="79"/>
        <v>111</v>
      </c>
      <c r="D113">
        <f t="shared" ca="1" si="80"/>
        <v>0.155</v>
      </c>
      <c r="E113">
        <f t="shared" ca="1" si="81"/>
        <v>1.417</v>
      </c>
      <c r="F113">
        <f t="shared" ca="1" si="82"/>
        <v>0.09</v>
      </c>
      <c r="G113">
        <f t="shared" ca="1" si="83"/>
        <v>0.122</v>
      </c>
      <c r="H113">
        <f t="shared" ca="1" si="84"/>
        <v>1.659</v>
      </c>
      <c r="I113">
        <f t="shared" ca="1" si="85"/>
        <v>0.19</v>
      </c>
      <c r="J113">
        <f t="shared" ca="1" si="86"/>
        <v>0.13</v>
      </c>
      <c r="K113">
        <f t="shared" ca="1" si="87"/>
        <v>0.66166608490480261</v>
      </c>
      <c r="L113">
        <f t="shared" ca="1" si="87"/>
        <v>0.55397914381052171</v>
      </c>
      <c r="M113">
        <f t="shared" ca="1" si="87"/>
        <v>0.545314846735517</v>
      </c>
      <c r="N113">
        <f t="shared" ca="1" si="87"/>
        <v>0.52802516828490453</v>
      </c>
      <c r="O113">
        <f t="shared" ca="1" si="87"/>
        <v>0.37461453478109041</v>
      </c>
      <c r="P113">
        <f t="shared" ca="1" si="87"/>
        <v>0.80393830610851591</v>
      </c>
      <c r="Q113">
        <f t="shared" ca="1" si="87"/>
        <v>0.5472607400092121</v>
      </c>
      <c r="R113">
        <f t="shared" ca="1" si="88"/>
        <v>0.80393830610851591</v>
      </c>
      <c r="S113">
        <f t="shared" ca="1" si="90"/>
        <v>0</v>
      </c>
      <c r="T113">
        <f t="shared" ca="1" si="89"/>
        <v>0</v>
      </c>
    </row>
    <row r="114" spans="1:20" x14ac:dyDescent="0.25">
      <c r="A114" s="1" t="s">
        <v>46</v>
      </c>
      <c r="B114" s="1">
        <f t="shared" si="78"/>
        <v>17</v>
      </c>
      <c r="C114" s="1">
        <f t="shared" si="79"/>
        <v>112</v>
      </c>
      <c r="D114">
        <f t="shared" ca="1" si="80"/>
        <v>1.665</v>
      </c>
      <c r="E114">
        <f t="shared" ca="1" si="81"/>
        <v>0.40300000000000002</v>
      </c>
      <c r="F114">
        <f t="shared" ca="1" si="82"/>
        <v>0.38600000000000001</v>
      </c>
      <c r="G114">
        <f t="shared" ca="1" si="83"/>
        <v>0.94899999999999995</v>
      </c>
      <c r="H114">
        <f t="shared" ca="1" si="84"/>
        <v>0.21099999999999999</v>
      </c>
      <c r="I114">
        <f t="shared" ca="1" si="85"/>
        <v>0.34200000000000003</v>
      </c>
      <c r="J114">
        <f t="shared" ca="1" si="86"/>
        <v>0.36</v>
      </c>
      <c r="K114">
        <f t="shared" ca="1" si="87"/>
        <v>0.68907738530529217</v>
      </c>
      <c r="L114">
        <f t="shared" ca="1" si="87"/>
        <v>0.57012178555468385</v>
      </c>
      <c r="M114">
        <f t="shared" ca="1" si="87"/>
        <v>0.56906998124556907</v>
      </c>
      <c r="N114">
        <f t="shared" ca="1" si="87"/>
        <v>0.55080102453550506</v>
      </c>
      <c r="O114">
        <f t="shared" ca="1" si="87"/>
        <v>0.38623388216196264</v>
      </c>
      <c r="P114">
        <f t="shared" ca="1" si="87"/>
        <v>0.83688476237383846</v>
      </c>
      <c r="Q114">
        <f t="shared" ca="1" si="87"/>
        <v>0.57427391826175656</v>
      </c>
      <c r="R114">
        <f t="shared" ca="1" si="88"/>
        <v>0.83688476237383846</v>
      </c>
      <c r="S114">
        <f t="shared" ca="1" si="90"/>
        <v>0</v>
      </c>
      <c r="T114">
        <f t="shared" ca="1" si="89"/>
        <v>0</v>
      </c>
    </row>
    <row r="115" spans="1:20" x14ac:dyDescent="0.25">
      <c r="A115" s="1" t="s">
        <v>31</v>
      </c>
      <c r="B115" s="1">
        <f t="shared" ref="B115:B130" si="91">LOOKUP($A115,$V$4:$V$23,$W$4:$W$23)</f>
        <v>0</v>
      </c>
      <c r="C115" s="1">
        <f t="shared" si="79"/>
        <v>113</v>
      </c>
      <c r="D115">
        <f t="shared" ca="1" si="80"/>
        <v>1.5509999999999999</v>
      </c>
      <c r="E115">
        <f t="shared" ca="1" si="81"/>
        <v>1.0840000000000001</v>
      </c>
      <c r="F115">
        <f t="shared" ca="1" si="82"/>
        <v>2.6120000000000001</v>
      </c>
      <c r="G115">
        <f t="shared" ca="1" si="83"/>
        <v>0.377</v>
      </c>
      <c r="H115">
        <f t="shared" ca="1" si="84"/>
        <v>1.284</v>
      </c>
      <c r="I115">
        <f t="shared" ca="1" si="85"/>
        <v>0.877</v>
      </c>
      <c r="J115">
        <f t="shared" ca="1" si="86"/>
        <v>1.2969999999999999</v>
      </c>
      <c r="K115">
        <f t="shared" ca="1" si="87"/>
        <v>0.68295787377852801</v>
      </c>
      <c r="L115">
        <f t="shared" ca="1" si="87"/>
        <v>0.5982344919295518</v>
      </c>
      <c r="M115">
        <f t="shared" ca="1" si="87"/>
        <v>0.59044773621531754</v>
      </c>
      <c r="N115">
        <f t="shared" ca="1" si="87"/>
        <v>0.57108211520857588</v>
      </c>
      <c r="O115">
        <f t="shared" ca="1" si="87"/>
        <v>0.39432333004017633</v>
      </c>
      <c r="P115">
        <f t="shared" ca="1" si="87"/>
        <v>0.87737429722076798</v>
      </c>
      <c r="Q115">
        <f t="shared" ca="1" si="87"/>
        <v>0.59282935841895257</v>
      </c>
      <c r="R115">
        <f t="shared" ca="1" si="88"/>
        <v>0.87737429722076798</v>
      </c>
      <c r="S115">
        <f t="shared" ca="1" si="90"/>
        <v>0</v>
      </c>
      <c r="T115">
        <f t="shared" ca="1" si="89"/>
        <v>0</v>
      </c>
    </row>
    <row r="116" spans="1:20" x14ac:dyDescent="0.25">
      <c r="A116" s="1" t="s">
        <v>33</v>
      </c>
      <c r="B116" s="1">
        <f t="shared" si="91"/>
        <v>1</v>
      </c>
      <c r="C116" s="1">
        <f t="shared" ref="C116:C131" si="92">C115+1</f>
        <v>114</v>
      </c>
      <c r="D116">
        <f t="shared" ref="D116:D131" ca="1" si="93">OFFSET($X$4,$B116,MOD($C116,7),1,1)</f>
        <v>0.308</v>
      </c>
      <c r="E116">
        <f t="shared" ref="E116:E131" ca="1" si="94">OFFSET($X$4,$B116,MOD($C116+1,7),1,1)</f>
        <v>0.152</v>
      </c>
      <c r="F116">
        <f t="shared" ref="F116:F131" ca="1" si="95">OFFSET($X$4,$B116,MOD($C116+2,7),1,1)</f>
        <v>0.18</v>
      </c>
      <c r="G116">
        <f t="shared" ref="G116:G131" ca="1" si="96">OFFSET($X$4,$B116,MOD($C116+3,7),1,1)</f>
        <v>0.156</v>
      </c>
      <c r="H116">
        <f t="shared" ref="H116:H131" ca="1" si="97">OFFSET($X$4,$B116,MOD($C116+4,7),1,1)</f>
        <v>4.3999999999999997E-2</v>
      </c>
      <c r="I116">
        <f t="shared" ref="I116:I131" ca="1" si="98">OFFSET($X$4,$B116,MOD($C116+5,7),1,1)</f>
        <v>0.82399999999999995</v>
      </c>
      <c r="J116">
        <f t="shared" ref="J116:J131" ca="1" si="99">OFFSET($X$4,$B116,MOD($C116+6,7),1,1)</f>
        <v>2.1999999999999999E-2</v>
      </c>
      <c r="K116">
        <f t="shared" ref="K116:Q131" ca="1" si="100">POWER(PRODUCT(D116:D143),1/28)</f>
        <v>0.64204064116680071</v>
      </c>
      <c r="L116">
        <f t="shared" ca="1" si="100"/>
        <v>0.58494876205014779</v>
      </c>
      <c r="M116">
        <f t="shared" ca="1" si="100"/>
        <v>0.54015705643203604</v>
      </c>
      <c r="N116">
        <f t="shared" ca="1" si="100"/>
        <v>0.55936650354367878</v>
      </c>
      <c r="O116">
        <f t="shared" ca="1" si="100"/>
        <v>0.37908777473754579</v>
      </c>
      <c r="P116">
        <f t="shared" ca="1" si="100"/>
        <v>0.82490447144026169</v>
      </c>
      <c r="Q116">
        <f t="shared" ca="1" si="100"/>
        <v>0.52577094093140353</v>
      </c>
      <c r="R116">
        <f t="shared" ref="R116:R131" ca="1" si="101">MAX(K116:Q116)</f>
        <v>0.82490447144026169</v>
      </c>
      <c r="S116">
        <f t="shared" ca="1" si="90"/>
        <v>0</v>
      </c>
      <c r="T116">
        <f t="shared" ref="T116:T131" ca="1" si="102">MAX(S116:S143)</f>
        <v>0</v>
      </c>
    </row>
    <row r="117" spans="1:20" x14ac:dyDescent="0.25">
      <c r="A117" s="1" t="s">
        <v>38</v>
      </c>
      <c r="B117" s="1">
        <f t="shared" si="91"/>
        <v>5</v>
      </c>
      <c r="C117" s="1">
        <f t="shared" si="92"/>
        <v>115</v>
      </c>
      <c r="D117">
        <f t="shared" ca="1" si="93"/>
        <v>0.216</v>
      </c>
      <c r="E117">
        <f t="shared" ca="1" si="94"/>
        <v>0.21099999999999999</v>
      </c>
      <c r="F117">
        <f t="shared" ca="1" si="95"/>
        <v>0.42599999999999999</v>
      </c>
      <c r="G117">
        <f t="shared" ca="1" si="96"/>
        <v>0.156</v>
      </c>
      <c r="H117">
        <f t="shared" ca="1" si="97"/>
        <v>4.4999999999999998E-2</v>
      </c>
      <c r="I117">
        <f t="shared" ca="1" si="98"/>
        <v>0.27500000000000002</v>
      </c>
      <c r="J117">
        <f t="shared" ca="1" si="99"/>
        <v>0.57799999999999996</v>
      </c>
      <c r="K117">
        <f t="shared" ca="1" si="100"/>
        <v>0.66042562322608522</v>
      </c>
      <c r="L117">
        <f t="shared" ca="1" si="100"/>
        <v>0.60524394237572787</v>
      </c>
      <c r="M117">
        <f t="shared" ca="1" si="100"/>
        <v>0.54970523023620743</v>
      </c>
      <c r="N117">
        <f t="shared" ca="1" si="100"/>
        <v>0.58618900614569092</v>
      </c>
      <c r="O117">
        <f t="shared" ca="1" si="100"/>
        <v>0.40105270969949208</v>
      </c>
      <c r="P117">
        <f t="shared" ca="1" si="100"/>
        <v>0.79981483067770398</v>
      </c>
      <c r="Q117">
        <f t="shared" ca="1" si="100"/>
        <v>0.5754027548487568</v>
      </c>
      <c r="R117">
        <f t="shared" ca="1" si="101"/>
        <v>0.79981483067770398</v>
      </c>
      <c r="S117">
        <f t="shared" ca="1" si="90"/>
        <v>0</v>
      </c>
      <c r="T117">
        <f t="shared" ca="1" si="102"/>
        <v>0</v>
      </c>
    </row>
    <row r="118" spans="1:20" x14ac:dyDescent="0.25">
      <c r="A118" s="1" t="s">
        <v>38</v>
      </c>
      <c r="B118" s="1">
        <f t="shared" si="91"/>
        <v>5</v>
      </c>
      <c r="C118" s="1">
        <f t="shared" si="92"/>
        <v>116</v>
      </c>
      <c r="D118">
        <f t="shared" ca="1" si="93"/>
        <v>0.21099999999999999</v>
      </c>
      <c r="E118">
        <f t="shared" ca="1" si="94"/>
        <v>0.42599999999999999</v>
      </c>
      <c r="F118">
        <f t="shared" ca="1" si="95"/>
        <v>0.156</v>
      </c>
      <c r="G118">
        <f t="shared" ca="1" si="96"/>
        <v>4.4999999999999998E-2</v>
      </c>
      <c r="H118">
        <f t="shared" ca="1" si="97"/>
        <v>0.27500000000000002</v>
      </c>
      <c r="I118">
        <f t="shared" ca="1" si="98"/>
        <v>0.57799999999999996</v>
      </c>
      <c r="J118">
        <f t="shared" ca="1" si="99"/>
        <v>0.216</v>
      </c>
      <c r="K118">
        <f t="shared" ca="1" si="100"/>
        <v>0.68707937922341444</v>
      </c>
      <c r="L118">
        <f t="shared" ca="1" si="100"/>
        <v>0.63449275401545957</v>
      </c>
      <c r="M118">
        <f t="shared" ca="1" si="100"/>
        <v>0.56326948673263899</v>
      </c>
      <c r="N118">
        <f t="shared" ca="1" si="100"/>
        <v>0.61673873997065121</v>
      </c>
      <c r="O118">
        <f t="shared" ca="1" si="100"/>
        <v>0.42046082026722092</v>
      </c>
      <c r="P118">
        <f t="shared" ca="1" si="100"/>
        <v>0.82703773403418457</v>
      </c>
      <c r="Q118">
        <f t="shared" ca="1" si="100"/>
        <v>0.58581481246779121</v>
      </c>
      <c r="R118">
        <f t="shared" ca="1" si="101"/>
        <v>0.82703773403418457</v>
      </c>
      <c r="S118">
        <f t="shared" ca="1" si="90"/>
        <v>0</v>
      </c>
      <c r="T118">
        <f t="shared" ca="1" si="102"/>
        <v>0</v>
      </c>
    </row>
    <row r="119" spans="1:20" x14ac:dyDescent="0.25">
      <c r="A119" s="1" t="s">
        <v>34</v>
      </c>
      <c r="B119" s="1">
        <f t="shared" si="91"/>
        <v>9</v>
      </c>
      <c r="C119" s="1">
        <f t="shared" si="92"/>
        <v>117</v>
      </c>
      <c r="D119">
        <f t="shared" ca="1" si="93"/>
        <v>0.501</v>
      </c>
      <c r="E119">
        <f t="shared" ca="1" si="94"/>
        <v>0.48299999999999998</v>
      </c>
      <c r="F119">
        <f t="shared" ca="1" si="95"/>
        <v>3.1669999999999998</v>
      </c>
      <c r="G119">
        <f t="shared" ca="1" si="96"/>
        <v>0.29699999999999999</v>
      </c>
      <c r="H119">
        <f t="shared" ca="1" si="97"/>
        <v>0.39800000000000002</v>
      </c>
      <c r="I119">
        <f t="shared" ca="1" si="98"/>
        <v>3.9020000000000001</v>
      </c>
      <c r="J119">
        <f t="shared" ca="1" si="99"/>
        <v>0.58499999999999996</v>
      </c>
      <c r="K119">
        <f t="shared" ca="1" si="100"/>
        <v>0.68707937922341444</v>
      </c>
      <c r="L119">
        <f t="shared" ca="1" si="100"/>
        <v>0.63449275401545957</v>
      </c>
      <c r="M119">
        <f t="shared" ca="1" si="100"/>
        <v>0.56326948673263899</v>
      </c>
      <c r="N119">
        <f t="shared" ca="1" si="100"/>
        <v>0.61673873997065121</v>
      </c>
      <c r="O119">
        <f t="shared" ca="1" si="100"/>
        <v>0.42046082026722092</v>
      </c>
      <c r="P119">
        <f t="shared" ca="1" si="100"/>
        <v>0.82703773403418457</v>
      </c>
      <c r="Q119">
        <f t="shared" ca="1" si="100"/>
        <v>0.58581481246779121</v>
      </c>
      <c r="R119">
        <f t="shared" ca="1" si="101"/>
        <v>0.82703773403418457</v>
      </c>
      <c r="S119">
        <f t="shared" ca="1" si="90"/>
        <v>0</v>
      </c>
      <c r="T119">
        <f t="shared" ca="1" si="102"/>
        <v>0</v>
      </c>
    </row>
    <row r="120" spans="1:20" x14ac:dyDescent="0.25">
      <c r="A120" s="1" t="s">
        <v>35</v>
      </c>
      <c r="B120" s="1">
        <f t="shared" si="91"/>
        <v>2</v>
      </c>
      <c r="C120" s="1">
        <f t="shared" si="92"/>
        <v>118</v>
      </c>
      <c r="D120">
        <f t="shared" ca="1" si="93"/>
        <v>1.448</v>
      </c>
      <c r="E120">
        <f t="shared" ca="1" si="94"/>
        <v>0.03</v>
      </c>
      <c r="F120">
        <f t="shared" ca="1" si="95"/>
        <v>2.3519999999999999</v>
      </c>
      <c r="G120">
        <f t="shared" ca="1" si="96"/>
        <v>2.2679999999999998</v>
      </c>
      <c r="H120">
        <f t="shared" ca="1" si="97"/>
        <v>0.23699999999999999</v>
      </c>
      <c r="I120">
        <f t="shared" ca="1" si="98"/>
        <v>0.66300000000000003</v>
      </c>
      <c r="J120">
        <f t="shared" ca="1" si="99"/>
        <v>1.62</v>
      </c>
      <c r="K120">
        <f t="shared" ca="1" si="100"/>
        <v>0.65475996308000195</v>
      </c>
      <c r="L120">
        <f t="shared" ca="1" si="100"/>
        <v>0.6092528145643249</v>
      </c>
      <c r="M120">
        <f t="shared" ca="1" si="100"/>
        <v>0.54732086354347853</v>
      </c>
      <c r="N120">
        <f t="shared" ca="1" si="100"/>
        <v>0.59099373108176967</v>
      </c>
      <c r="O120">
        <f t="shared" ca="1" si="100"/>
        <v>0.40307458680933733</v>
      </c>
      <c r="P120">
        <f t="shared" ca="1" si="100"/>
        <v>0.80215737223101435</v>
      </c>
      <c r="Q120">
        <f t="shared" ca="1" si="100"/>
        <v>0.5627524710723022</v>
      </c>
      <c r="R120">
        <f t="shared" ca="1" si="101"/>
        <v>0.80215737223101435</v>
      </c>
      <c r="S120">
        <f t="shared" ca="1" si="90"/>
        <v>0</v>
      </c>
      <c r="T120">
        <f t="shared" ca="1" si="102"/>
        <v>0</v>
      </c>
    </row>
    <row r="121" spans="1:20" x14ac:dyDescent="0.25">
      <c r="A121" s="1" t="s">
        <v>43</v>
      </c>
      <c r="B121" s="1">
        <f t="shared" si="91"/>
        <v>11</v>
      </c>
      <c r="C121" s="1">
        <f t="shared" si="92"/>
        <v>119</v>
      </c>
      <c r="D121">
        <f t="shared" ca="1" si="93"/>
        <v>0.83499999999999996</v>
      </c>
      <c r="E121">
        <f t="shared" ca="1" si="94"/>
        <v>1.4750000000000001</v>
      </c>
      <c r="F121">
        <f t="shared" ca="1" si="95"/>
        <v>1.534</v>
      </c>
      <c r="G121">
        <f t="shared" ca="1" si="96"/>
        <v>3.9E-2</v>
      </c>
      <c r="H121">
        <f t="shared" ca="1" si="97"/>
        <v>1.722</v>
      </c>
      <c r="I121">
        <f t="shared" ca="1" si="98"/>
        <v>2.456</v>
      </c>
      <c r="J121">
        <f t="shared" ca="1" si="99"/>
        <v>2.2799999999999998</v>
      </c>
      <c r="K121">
        <f t="shared" ca="1" si="100"/>
        <v>0.62958268980671528</v>
      </c>
      <c r="L121">
        <f t="shared" ca="1" si="100"/>
        <v>0.71955891583557685</v>
      </c>
      <c r="M121">
        <f t="shared" ca="1" si="100"/>
        <v>0.50833060524450513</v>
      </c>
      <c r="N121">
        <f t="shared" ca="1" si="100"/>
        <v>0.55538154764160219</v>
      </c>
      <c r="O121">
        <f t="shared" ca="1" si="100"/>
        <v>0.44548515446309817</v>
      </c>
      <c r="P121">
        <f t="shared" ca="1" si="100"/>
        <v>0.79857964112360447</v>
      </c>
      <c r="Q121">
        <f t="shared" ca="1" si="100"/>
        <v>0.53965306793565482</v>
      </c>
      <c r="R121">
        <f t="shared" ca="1" si="101"/>
        <v>0.79857964112360447</v>
      </c>
      <c r="S121">
        <f t="shared" ca="1" si="90"/>
        <v>0</v>
      </c>
      <c r="T121">
        <f t="shared" ca="1" si="102"/>
        <v>0</v>
      </c>
    </row>
    <row r="122" spans="1:20" x14ac:dyDescent="0.25">
      <c r="A122" s="1" t="s">
        <v>41</v>
      </c>
      <c r="B122" s="1">
        <f t="shared" si="91"/>
        <v>7</v>
      </c>
      <c r="C122" s="1">
        <f t="shared" si="92"/>
        <v>120</v>
      </c>
      <c r="D122">
        <f t="shared" ca="1" si="93"/>
        <v>9.8000000000000004E-2</v>
      </c>
      <c r="E122">
        <f t="shared" ca="1" si="94"/>
        <v>0.34499999999999997</v>
      </c>
      <c r="F122">
        <f t="shared" ca="1" si="95"/>
        <v>0.89400000000000002</v>
      </c>
      <c r="G122">
        <f t="shared" ca="1" si="96"/>
        <v>0.51400000000000001</v>
      </c>
      <c r="H122">
        <f t="shared" ca="1" si="97"/>
        <v>0.47099999999999997</v>
      </c>
      <c r="I122">
        <f t="shared" ca="1" si="98"/>
        <v>0.43099999999999999</v>
      </c>
      <c r="J122">
        <f t="shared" ca="1" si="99"/>
        <v>2.597</v>
      </c>
      <c r="K122">
        <f t="shared" ca="1" si="100"/>
        <v>0.61224237049532526</v>
      </c>
      <c r="L122">
        <f t="shared" ca="1" si="100"/>
        <v>0.69609592622514016</v>
      </c>
      <c r="M122">
        <f t="shared" ca="1" si="100"/>
        <v>0.50152884327056368</v>
      </c>
      <c r="N122">
        <f t="shared" ca="1" si="100"/>
        <v>0.60453049204916376</v>
      </c>
      <c r="O122">
        <f t="shared" ca="1" si="100"/>
        <v>0.42698160969415411</v>
      </c>
      <c r="P122">
        <f t="shared" ca="1" si="100"/>
        <v>0.770940091395663</v>
      </c>
      <c r="Q122">
        <f t="shared" ca="1" si="100"/>
        <v>0.51536572981652484</v>
      </c>
      <c r="R122">
        <f t="shared" ca="1" si="101"/>
        <v>0.770940091395663</v>
      </c>
      <c r="S122">
        <f t="shared" ca="1" si="90"/>
        <v>0</v>
      </c>
      <c r="T122">
        <f t="shared" ca="1" si="102"/>
        <v>0</v>
      </c>
    </row>
    <row r="123" spans="1:20" x14ac:dyDescent="0.25">
      <c r="A123" s="1" t="s">
        <v>33</v>
      </c>
      <c r="B123" s="1">
        <f t="shared" si="91"/>
        <v>1</v>
      </c>
      <c r="C123" s="1">
        <f t="shared" si="92"/>
        <v>121</v>
      </c>
      <c r="D123">
        <f t="shared" ca="1" si="93"/>
        <v>0.308</v>
      </c>
      <c r="E123">
        <f t="shared" ca="1" si="94"/>
        <v>0.152</v>
      </c>
      <c r="F123">
        <f t="shared" ca="1" si="95"/>
        <v>0.18</v>
      </c>
      <c r="G123">
        <f t="shared" ca="1" si="96"/>
        <v>0.156</v>
      </c>
      <c r="H123">
        <f t="shared" ca="1" si="97"/>
        <v>4.3999999999999997E-2</v>
      </c>
      <c r="I123">
        <f t="shared" ca="1" si="98"/>
        <v>0.82399999999999995</v>
      </c>
      <c r="J123">
        <f t="shared" ca="1" si="99"/>
        <v>2.1999999999999999E-2</v>
      </c>
      <c r="K123">
        <f t="shared" ca="1" si="100"/>
        <v>0.58043264733538458</v>
      </c>
      <c r="L123">
        <f t="shared" ca="1" si="100"/>
        <v>0.69328133373920597</v>
      </c>
      <c r="M123">
        <f t="shared" ca="1" si="100"/>
        <v>0.47077564661306948</v>
      </c>
      <c r="N123">
        <f t="shared" ca="1" si="100"/>
        <v>0.5822956509270879</v>
      </c>
      <c r="O123">
        <f t="shared" ca="1" si="100"/>
        <v>0.41045922071228186</v>
      </c>
      <c r="P123">
        <f t="shared" ca="1" si="100"/>
        <v>0.71060276904769992</v>
      </c>
      <c r="Q123">
        <f t="shared" ca="1" si="100"/>
        <v>0.49466407033725229</v>
      </c>
      <c r="R123">
        <f t="shared" ca="1" si="101"/>
        <v>0.71060276904769992</v>
      </c>
      <c r="S123">
        <f t="shared" ca="1" si="90"/>
        <v>0</v>
      </c>
      <c r="T123">
        <f t="shared" ca="1" si="102"/>
        <v>0</v>
      </c>
    </row>
    <row r="124" spans="1:20" x14ac:dyDescent="0.25">
      <c r="A124" s="1" t="s">
        <v>30</v>
      </c>
      <c r="B124" s="1">
        <f t="shared" si="91"/>
        <v>15</v>
      </c>
      <c r="C124" s="1">
        <f t="shared" si="92"/>
        <v>122</v>
      </c>
      <c r="D124">
        <f t="shared" ca="1" si="93"/>
        <v>0.41899999999999998</v>
      </c>
      <c r="E124">
        <f t="shared" ca="1" si="94"/>
        <v>0.52500000000000002</v>
      </c>
      <c r="F124">
        <f t="shared" ca="1" si="95"/>
        <v>0.91600000000000004</v>
      </c>
      <c r="G124">
        <f t="shared" ca="1" si="96"/>
        <v>0.628</v>
      </c>
      <c r="H124">
        <f t="shared" ca="1" si="97"/>
        <v>0.38200000000000001</v>
      </c>
      <c r="I124">
        <f t="shared" ca="1" si="98"/>
        <v>0.58299999999999996</v>
      </c>
      <c r="J124">
        <f t="shared" ca="1" si="99"/>
        <v>1.052</v>
      </c>
      <c r="K124">
        <f t="shared" ca="1" si="100"/>
        <v>0.58043264733538458</v>
      </c>
      <c r="L124">
        <f t="shared" ca="1" si="100"/>
        <v>0.69328133373920597</v>
      </c>
      <c r="M124">
        <f t="shared" ca="1" si="100"/>
        <v>0.47077564661306948</v>
      </c>
      <c r="N124">
        <f t="shared" ca="1" si="100"/>
        <v>0.5822956509270879</v>
      </c>
      <c r="O124">
        <f t="shared" ca="1" si="100"/>
        <v>0.41045922071228186</v>
      </c>
      <c r="P124">
        <f t="shared" ca="1" si="100"/>
        <v>0.71060276904769992</v>
      </c>
      <c r="Q124">
        <f t="shared" ca="1" si="100"/>
        <v>0.49466407033725229</v>
      </c>
      <c r="R124">
        <f t="shared" ca="1" si="101"/>
        <v>0.71060276904769992</v>
      </c>
      <c r="S124">
        <f t="shared" ca="1" si="90"/>
        <v>0</v>
      </c>
      <c r="T124">
        <f t="shared" ca="1" si="102"/>
        <v>0</v>
      </c>
    </row>
    <row r="125" spans="1:20" x14ac:dyDescent="0.25">
      <c r="A125" s="1" t="s">
        <v>41</v>
      </c>
      <c r="B125" s="1">
        <f t="shared" si="91"/>
        <v>7</v>
      </c>
      <c r="C125" s="1">
        <f t="shared" si="92"/>
        <v>123</v>
      </c>
      <c r="D125">
        <f t="shared" ca="1" si="93"/>
        <v>0.51400000000000001</v>
      </c>
      <c r="E125">
        <f t="shared" ca="1" si="94"/>
        <v>0.47099999999999997</v>
      </c>
      <c r="F125">
        <f t="shared" ca="1" si="95"/>
        <v>0.43099999999999999</v>
      </c>
      <c r="G125">
        <f t="shared" ca="1" si="96"/>
        <v>2.597</v>
      </c>
      <c r="H125">
        <f t="shared" ca="1" si="97"/>
        <v>9.8000000000000004E-2</v>
      </c>
      <c r="I125">
        <f t="shared" ca="1" si="98"/>
        <v>0.34499999999999997</v>
      </c>
      <c r="J125">
        <f t="shared" ca="1" si="99"/>
        <v>0.89400000000000002</v>
      </c>
      <c r="K125">
        <f t="shared" ca="1" si="100"/>
        <v>0.52888865209233016</v>
      </c>
      <c r="L125">
        <f t="shared" ca="1" si="100"/>
        <v>0.71721644372647197</v>
      </c>
      <c r="M125">
        <f t="shared" ca="1" si="100"/>
        <v>0.48353675741794078</v>
      </c>
      <c r="N125">
        <f t="shared" ca="1" si="100"/>
        <v>0.60458713994425406</v>
      </c>
      <c r="O125">
        <f t="shared" ca="1" si="100"/>
        <v>0.41853130413132877</v>
      </c>
      <c r="P125">
        <f t="shared" ca="1" si="100"/>
        <v>0.72834645094135364</v>
      </c>
      <c r="Q125">
        <f t="shared" ca="1" si="100"/>
        <v>0.49714229254075842</v>
      </c>
      <c r="R125">
        <f t="shared" ca="1" si="101"/>
        <v>0.72834645094135364</v>
      </c>
      <c r="S125">
        <f t="shared" ca="1" si="90"/>
        <v>0</v>
      </c>
      <c r="T125">
        <f t="shared" ca="1" si="102"/>
        <v>0</v>
      </c>
    </row>
    <row r="126" spans="1:20" x14ac:dyDescent="0.25">
      <c r="A126" s="1" t="s">
        <v>48</v>
      </c>
      <c r="B126" s="1">
        <f t="shared" si="91"/>
        <v>19</v>
      </c>
      <c r="C126" s="1">
        <f t="shared" si="92"/>
        <v>124</v>
      </c>
      <c r="D126">
        <f t="shared" ca="1" si="93"/>
        <v>0.13</v>
      </c>
      <c r="E126">
        <f t="shared" ca="1" si="94"/>
        <v>0.155</v>
      </c>
      <c r="F126">
        <f t="shared" ca="1" si="95"/>
        <v>1.417</v>
      </c>
      <c r="G126">
        <f t="shared" ca="1" si="96"/>
        <v>0.09</v>
      </c>
      <c r="H126">
        <f t="shared" ca="1" si="97"/>
        <v>0.122</v>
      </c>
      <c r="I126">
        <f t="shared" ca="1" si="98"/>
        <v>1.659</v>
      </c>
      <c r="J126">
        <f t="shared" ca="1" si="99"/>
        <v>0.19</v>
      </c>
      <c r="K126">
        <f t="shared" ca="1" si="100"/>
        <v>0.51032441304898213</v>
      </c>
      <c r="L126">
        <f t="shared" ca="1" si="100"/>
        <v>0.68001353668247322</v>
      </c>
      <c r="M126">
        <f t="shared" ca="1" si="100"/>
        <v>0.42670203199985435</v>
      </c>
      <c r="N126">
        <f t="shared" ca="1" si="100"/>
        <v>0.57126587601665746</v>
      </c>
      <c r="O126">
        <f t="shared" ca="1" si="100"/>
        <v>0.41474832781293647</v>
      </c>
      <c r="P126">
        <f t="shared" ca="1" si="100"/>
        <v>0.73239980650440961</v>
      </c>
      <c r="Q126">
        <f t="shared" ca="1" si="100"/>
        <v>0.49183646852208485</v>
      </c>
      <c r="R126">
        <f t="shared" ca="1" si="101"/>
        <v>0.73239980650440961</v>
      </c>
      <c r="S126">
        <f t="shared" ca="1" si="90"/>
        <v>0</v>
      </c>
      <c r="T126">
        <f t="shared" ca="1" si="102"/>
        <v>0</v>
      </c>
    </row>
    <row r="127" spans="1:20" x14ac:dyDescent="0.25">
      <c r="A127" s="1" t="s">
        <v>43</v>
      </c>
      <c r="B127" s="1">
        <f t="shared" si="91"/>
        <v>11</v>
      </c>
      <c r="C127" s="1">
        <f t="shared" si="92"/>
        <v>125</v>
      </c>
      <c r="D127">
        <f t="shared" ca="1" si="93"/>
        <v>2.2799999999999998</v>
      </c>
      <c r="E127">
        <f t="shared" ca="1" si="94"/>
        <v>0.83499999999999996</v>
      </c>
      <c r="F127">
        <f t="shared" ca="1" si="95"/>
        <v>1.4750000000000001</v>
      </c>
      <c r="G127">
        <f t="shared" ca="1" si="96"/>
        <v>1.534</v>
      </c>
      <c r="H127">
        <f t="shared" ca="1" si="97"/>
        <v>3.9E-2</v>
      </c>
      <c r="I127">
        <f t="shared" ca="1" si="98"/>
        <v>1.722</v>
      </c>
      <c r="J127">
        <f t="shared" ca="1" si="99"/>
        <v>2.456</v>
      </c>
      <c r="K127">
        <f t="shared" ca="1" si="100"/>
        <v>0.53551438800696149</v>
      </c>
      <c r="L127">
        <f t="shared" ca="1" si="100"/>
        <v>0.70818492970934177</v>
      </c>
      <c r="M127">
        <f t="shared" ca="1" si="100"/>
        <v>0.43913589004494269</v>
      </c>
      <c r="N127">
        <f t="shared" ca="1" si="100"/>
        <v>0.59615149541069579</v>
      </c>
      <c r="O127">
        <f t="shared" ca="1" si="100"/>
        <v>0.43263809682740789</v>
      </c>
      <c r="P127">
        <f t="shared" ca="1" si="100"/>
        <v>0.75511651123246093</v>
      </c>
      <c r="Q127">
        <f t="shared" ca="1" si="100"/>
        <v>0.51199257823439703</v>
      </c>
      <c r="R127">
        <f t="shared" ca="1" si="101"/>
        <v>0.75511651123246093</v>
      </c>
      <c r="S127">
        <f t="shared" ref="S127:S142" ca="1" si="103">IF(R100&gt;1.55,1,IF(R100&gt;1.48,0.9,IF(R100&gt;1.4,0.8,IF(R100&gt;1.36666,0.6,IF(R100&gt;1.33333,0.4,IF(R100&gt;1.22,0.2,IF(R100&gt;1,0.1,0)))))))</f>
        <v>0</v>
      </c>
      <c r="T127">
        <f t="shared" ca="1" si="102"/>
        <v>0</v>
      </c>
    </row>
    <row r="128" spans="1:20" x14ac:dyDescent="0.25">
      <c r="A128" s="1" t="s">
        <v>34</v>
      </c>
      <c r="B128" s="1">
        <f t="shared" si="91"/>
        <v>9</v>
      </c>
      <c r="C128" s="1">
        <f t="shared" si="92"/>
        <v>126</v>
      </c>
      <c r="D128">
        <f t="shared" ca="1" si="93"/>
        <v>3.1669999999999998</v>
      </c>
      <c r="E128">
        <f t="shared" ca="1" si="94"/>
        <v>0.29699999999999999</v>
      </c>
      <c r="F128">
        <f t="shared" ca="1" si="95"/>
        <v>0.39800000000000002</v>
      </c>
      <c r="G128">
        <f t="shared" ca="1" si="96"/>
        <v>3.9020000000000001</v>
      </c>
      <c r="H128">
        <f t="shared" ca="1" si="97"/>
        <v>0.58499999999999996</v>
      </c>
      <c r="I128">
        <f t="shared" ca="1" si="98"/>
        <v>0.501</v>
      </c>
      <c r="J128">
        <f t="shared" ca="1" si="99"/>
        <v>0.48299999999999998</v>
      </c>
      <c r="K128">
        <f t="shared" ca="1" si="100"/>
        <v>0.52690156771447116</v>
      </c>
      <c r="L128">
        <f t="shared" ca="1" si="100"/>
        <v>0.62886158450650698</v>
      </c>
      <c r="M128">
        <f t="shared" ca="1" si="100"/>
        <v>0.44651521798260868</v>
      </c>
      <c r="N128">
        <f t="shared" ca="1" si="100"/>
        <v>0.6045351468432838</v>
      </c>
      <c r="O128">
        <f t="shared" ca="1" si="100"/>
        <v>0.4614381148344997</v>
      </c>
      <c r="P128">
        <f t="shared" ca="1" si="100"/>
        <v>0.72980980610452795</v>
      </c>
      <c r="Q128">
        <f t="shared" ca="1" si="100"/>
        <v>0.50444011661325627</v>
      </c>
      <c r="R128">
        <f t="shared" ca="1" si="101"/>
        <v>0.72980980610452795</v>
      </c>
      <c r="S128">
        <f t="shared" ca="1" si="103"/>
        <v>0</v>
      </c>
      <c r="T128">
        <f t="shared" ca="1" si="102"/>
        <v>0</v>
      </c>
    </row>
    <row r="129" spans="1:20" x14ac:dyDescent="0.25">
      <c r="A129" s="1" t="s">
        <v>42</v>
      </c>
      <c r="B129" s="1">
        <f t="shared" si="91"/>
        <v>8</v>
      </c>
      <c r="C129" s="1">
        <f t="shared" si="92"/>
        <v>127</v>
      </c>
      <c r="D129">
        <f t="shared" ca="1" si="93"/>
        <v>2.6389999999999998</v>
      </c>
      <c r="E129">
        <f t="shared" ca="1" si="94"/>
        <v>1.7629999999999999</v>
      </c>
      <c r="F129">
        <f t="shared" ca="1" si="95"/>
        <v>0.191</v>
      </c>
      <c r="G129">
        <f t="shared" ca="1" si="96"/>
        <v>1.8149999999999999</v>
      </c>
      <c r="H129">
        <f t="shared" ca="1" si="97"/>
        <v>1.9610000000000001</v>
      </c>
      <c r="I129">
        <f t="shared" ca="1" si="98"/>
        <v>2.7949999999999999</v>
      </c>
      <c r="J129">
        <f t="shared" ca="1" si="99"/>
        <v>1.375</v>
      </c>
      <c r="K129">
        <f t="shared" ca="1" si="100"/>
        <v>0.44612922731368221</v>
      </c>
      <c r="L129">
        <f t="shared" ca="1" si="100"/>
        <v>0.67709687736757052</v>
      </c>
      <c r="M129">
        <f t="shared" ca="1" si="100"/>
        <v>0.47514667309512976</v>
      </c>
      <c r="N129">
        <f t="shared" ca="1" si="100"/>
        <v>0.54698288390609728</v>
      </c>
      <c r="O129">
        <f t="shared" ca="1" si="100"/>
        <v>0.46350541208648721</v>
      </c>
      <c r="P129">
        <f t="shared" ca="1" si="100"/>
        <v>0.76104871110839423</v>
      </c>
      <c r="Q129">
        <f t="shared" ca="1" si="100"/>
        <v>0.52461288640443282</v>
      </c>
      <c r="R129">
        <f t="shared" ca="1" si="101"/>
        <v>0.76104871110839423</v>
      </c>
      <c r="S129">
        <f t="shared" ca="1" si="103"/>
        <v>0</v>
      </c>
      <c r="T129">
        <f t="shared" ca="1" si="102"/>
        <v>0</v>
      </c>
    </row>
    <row r="130" spans="1:20" x14ac:dyDescent="0.25">
      <c r="A130" s="1" t="s">
        <v>45</v>
      </c>
      <c r="B130" s="1">
        <f t="shared" si="91"/>
        <v>16</v>
      </c>
      <c r="C130" s="1">
        <f t="shared" si="92"/>
        <v>128</v>
      </c>
      <c r="D130">
        <f t="shared" ca="1" si="93"/>
        <v>0.95499999999999996</v>
      </c>
      <c r="E130">
        <f t="shared" ca="1" si="94"/>
        <v>0.65400000000000003</v>
      </c>
      <c r="F130">
        <f t="shared" ca="1" si="95"/>
        <v>0.79100000000000004</v>
      </c>
      <c r="G130">
        <f t="shared" ca="1" si="96"/>
        <v>0.84299999999999997</v>
      </c>
      <c r="H130">
        <f t="shared" ca="1" si="97"/>
        <v>0.64700000000000002</v>
      </c>
      <c r="I130">
        <f t="shared" ca="1" si="98"/>
        <v>0.16900000000000001</v>
      </c>
      <c r="J130">
        <f t="shared" ca="1" si="99"/>
        <v>0.70199999999999996</v>
      </c>
      <c r="K130">
        <f t="shared" ca="1" si="100"/>
        <v>0.43695584769686685</v>
      </c>
      <c r="L130">
        <f t="shared" ca="1" si="100"/>
        <v>0.67374057904522067</v>
      </c>
      <c r="M130">
        <f t="shared" ca="1" si="100"/>
        <v>0.44893756981050376</v>
      </c>
      <c r="N130">
        <f t="shared" ca="1" si="100"/>
        <v>0.54595632033922059</v>
      </c>
      <c r="O130">
        <f t="shared" ca="1" si="100"/>
        <v>0.46724634023973538</v>
      </c>
      <c r="P130">
        <f t="shared" ca="1" si="100"/>
        <v>0.75553334183339627</v>
      </c>
      <c r="Q130">
        <f t="shared" ca="1" si="100"/>
        <v>0.51535045114940869</v>
      </c>
      <c r="R130">
        <f t="shared" ca="1" si="101"/>
        <v>0.75553334183339627</v>
      </c>
      <c r="S130">
        <f t="shared" ca="1" si="103"/>
        <v>0</v>
      </c>
      <c r="T130">
        <f t="shared" ca="1" si="102"/>
        <v>0</v>
      </c>
    </row>
    <row r="131" spans="1:20" x14ac:dyDescent="0.25">
      <c r="A131" s="1" t="s">
        <v>39</v>
      </c>
      <c r="B131" s="1">
        <f t="shared" ref="B131:B146" si="104">LOOKUP($A131,$V$4:$V$23,$W$4:$W$23)</f>
        <v>14</v>
      </c>
      <c r="C131" s="1">
        <f t="shared" si="92"/>
        <v>129</v>
      </c>
      <c r="D131">
        <f t="shared" ca="1" si="93"/>
        <v>3.1E-2</v>
      </c>
      <c r="E131">
        <f t="shared" ca="1" si="94"/>
        <v>1.3580000000000001</v>
      </c>
      <c r="F131">
        <f t="shared" ca="1" si="95"/>
        <v>1.9370000000000001</v>
      </c>
      <c r="G131">
        <f t="shared" ca="1" si="96"/>
        <v>1.798</v>
      </c>
      <c r="H131">
        <f t="shared" ca="1" si="97"/>
        <v>0.65900000000000003</v>
      </c>
      <c r="I131">
        <f t="shared" ca="1" si="98"/>
        <v>1.163</v>
      </c>
      <c r="J131">
        <f t="shared" ca="1" si="99"/>
        <v>1.21</v>
      </c>
      <c r="K131">
        <f t="shared" ca="1" si="100"/>
        <v>0.44676367557334018</v>
      </c>
      <c r="L131">
        <f t="shared" ca="1" si="100"/>
        <v>0.67287966827218304</v>
      </c>
      <c r="M131">
        <f t="shared" ca="1" si="100"/>
        <v>0.46810340221735341</v>
      </c>
      <c r="N131">
        <f t="shared" ca="1" si="100"/>
        <v>0.55831868595962908</v>
      </c>
      <c r="O131">
        <f t="shared" ca="1" si="100"/>
        <v>0.4905371985011025</v>
      </c>
      <c r="P131">
        <f t="shared" ca="1" si="100"/>
        <v>0.75708612866337999</v>
      </c>
      <c r="Q131">
        <f t="shared" ca="1" si="100"/>
        <v>0.53604532542128591</v>
      </c>
      <c r="R131">
        <f t="shared" ca="1" si="101"/>
        <v>0.75708612866337999</v>
      </c>
      <c r="S131">
        <f t="shared" ca="1" si="103"/>
        <v>0</v>
      </c>
      <c r="T131">
        <f t="shared" ca="1" si="102"/>
        <v>0</v>
      </c>
    </row>
    <row r="132" spans="1:20" x14ac:dyDescent="0.25">
      <c r="A132" s="1" t="s">
        <v>32</v>
      </c>
      <c r="B132" s="1">
        <f t="shared" si="104"/>
        <v>3</v>
      </c>
      <c r="C132" s="1">
        <f t="shared" ref="C132:C147" si="105">C131+1</f>
        <v>130</v>
      </c>
      <c r="D132">
        <f t="shared" ref="D132:D147" ca="1" si="106">OFFSET($X$4,$B132,MOD($C132,7),1,1)</f>
        <v>5.6849999999999996</v>
      </c>
      <c r="E132">
        <f t="shared" ref="E132:E147" ca="1" si="107">OFFSET($X$4,$B132,MOD($C132+1,7),1,1)</f>
        <v>2.4940000000000002</v>
      </c>
      <c r="F132">
        <f t="shared" ref="F132:F147" ca="1" si="108">OFFSET($X$4,$B132,MOD($C132+2,7),1,1)</f>
        <v>3.048</v>
      </c>
      <c r="G132">
        <f t="shared" ref="G132:G147" ca="1" si="109">OFFSET($X$4,$B132,MOD($C132+3,7),1,1)</f>
        <v>0.26200000000000001</v>
      </c>
      <c r="H132">
        <f t="shared" ref="H132:H147" ca="1" si="110">OFFSET($X$4,$B132,MOD($C132+4,7),1,1)</f>
        <v>3.496</v>
      </c>
      <c r="I132">
        <f t="shared" ref="I132:I147" ca="1" si="111">OFFSET($X$4,$B132,MOD($C132+5,7),1,1)</f>
        <v>3.1080000000000001</v>
      </c>
      <c r="J132">
        <f t="shared" ref="J132:J147" ca="1" si="112">OFFSET($X$4,$B132,MOD($C132+6,7),1,1)</f>
        <v>0.998</v>
      </c>
      <c r="K132">
        <f t="shared" ref="K132:Q147" ca="1" si="113">POWER(PRODUCT(D132:D159),1/28)</f>
        <v>0.50375555592913457</v>
      </c>
      <c r="L132">
        <f t="shared" ca="1" si="113"/>
        <v>0.64993247795145237</v>
      </c>
      <c r="M132">
        <f t="shared" ca="1" si="113"/>
        <v>0.44505055152984491</v>
      </c>
      <c r="N132">
        <f t="shared" ca="1" si="113"/>
        <v>0.53055223487414771</v>
      </c>
      <c r="O132">
        <f t="shared" ca="1" si="113"/>
        <v>0.51516090105146894</v>
      </c>
      <c r="P132">
        <f t="shared" ca="1" si="113"/>
        <v>0.69306747179488593</v>
      </c>
      <c r="Q132">
        <f t="shared" ca="1" si="113"/>
        <v>0.51255258933193149</v>
      </c>
      <c r="R132">
        <f t="shared" ref="R132:R147" ca="1" si="114">MAX(K132:Q132)</f>
        <v>0.69306747179488593</v>
      </c>
      <c r="S132">
        <f t="shared" ca="1" si="103"/>
        <v>0</v>
      </c>
      <c r="T132">
        <f t="shared" ref="T132:T147" ca="1" si="115">MAX(S132:S159)</f>
        <v>0</v>
      </c>
    </row>
    <row r="133" spans="1:20" x14ac:dyDescent="0.25">
      <c r="A133" s="1" t="s">
        <v>38</v>
      </c>
      <c r="B133" s="1">
        <f t="shared" si="104"/>
        <v>5</v>
      </c>
      <c r="C133" s="1">
        <f t="shared" si="105"/>
        <v>131</v>
      </c>
      <c r="D133">
        <f t="shared" ca="1" si="106"/>
        <v>0.42599999999999999</v>
      </c>
      <c r="E133">
        <f t="shared" ca="1" si="107"/>
        <v>0.156</v>
      </c>
      <c r="F133">
        <f t="shared" ca="1" si="108"/>
        <v>4.4999999999999998E-2</v>
      </c>
      <c r="G133">
        <f t="shared" ca="1" si="109"/>
        <v>0.27500000000000002</v>
      </c>
      <c r="H133">
        <f t="shared" ca="1" si="110"/>
        <v>0.57799999999999996</v>
      </c>
      <c r="I133">
        <f t="shared" ca="1" si="111"/>
        <v>0.216</v>
      </c>
      <c r="J133">
        <f t="shared" ca="1" si="112"/>
        <v>0.21099999999999999</v>
      </c>
      <c r="K133">
        <f t="shared" ca="1" si="113"/>
        <v>0.44784983645499743</v>
      </c>
      <c r="L133">
        <f t="shared" ca="1" si="113"/>
        <v>0.60541258108009555</v>
      </c>
      <c r="M133">
        <f t="shared" ca="1" si="113"/>
        <v>0.41236021334737272</v>
      </c>
      <c r="N133">
        <f t="shared" ca="1" si="113"/>
        <v>0.56677508861289894</v>
      </c>
      <c r="O133">
        <f t="shared" ca="1" si="113"/>
        <v>0.47690665258487791</v>
      </c>
      <c r="P133">
        <f t="shared" ca="1" si="113"/>
        <v>0.64331276595668574</v>
      </c>
      <c r="Q133">
        <f t="shared" ca="1" si="113"/>
        <v>0.51163183904219123</v>
      </c>
      <c r="R133">
        <f t="shared" ca="1" si="114"/>
        <v>0.64331276595668574</v>
      </c>
      <c r="S133">
        <f t="shared" ca="1" si="103"/>
        <v>0</v>
      </c>
      <c r="T133">
        <f t="shared" ca="1" si="115"/>
        <v>0</v>
      </c>
    </row>
    <row r="134" spans="1:20" x14ac:dyDescent="0.25">
      <c r="A134" s="1" t="s">
        <v>43</v>
      </c>
      <c r="B134" s="1">
        <f t="shared" si="104"/>
        <v>11</v>
      </c>
      <c r="C134" s="1">
        <f t="shared" si="105"/>
        <v>132</v>
      </c>
      <c r="D134">
        <f t="shared" ca="1" si="106"/>
        <v>2.2799999999999998</v>
      </c>
      <c r="E134">
        <f t="shared" ca="1" si="107"/>
        <v>0.83499999999999996</v>
      </c>
      <c r="F134">
        <f t="shared" ca="1" si="108"/>
        <v>1.4750000000000001</v>
      </c>
      <c r="G134">
        <f t="shared" ca="1" si="109"/>
        <v>1.534</v>
      </c>
      <c r="H134">
        <f t="shared" ca="1" si="110"/>
        <v>3.9E-2</v>
      </c>
      <c r="I134">
        <f t="shared" ca="1" si="111"/>
        <v>1.722</v>
      </c>
      <c r="J134">
        <f t="shared" ca="1" si="112"/>
        <v>2.456</v>
      </c>
      <c r="K134">
        <f t="shared" ca="1" si="113"/>
        <v>0.45890075923946905</v>
      </c>
      <c r="L134">
        <f t="shared" ca="1" si="113"/>
        <v>0.63696416770552311</v>
      </c>
      <c r="M134">
        <f t="shared" ca="1" si="113"/>
        <v>0.43231552700271442</v>
      </c>
      <c r="N134">
        <f t="shared" ca="1" si="113"/>
        <v>0.58606613307764854</v>
      </c>
      <c r="O134">
        <f t="shared" ca="1" si="113"/>
        <v>0.48553639845204838</v>
      </c>
      <c r="P134">
        <f t="shared" ca="1" si="113"/>
        <v>0.6692758735205887</v>
      </c>
      <c r="Q134">
        <f t="shared" ca="1" si="113"/>
        <v>0.53635678421106781</v>
      </c>
      <c r="R134">
        <f t="shared" ca="1" si="114"/>
        <v>0.6692758735205887</v>
      </c>
      <c r="S134">
        <f t="shared" ca="1" si="103"/>
        <v>0</v>
      </c>
      <c r="T134">
        <f t="shared" ca="1" si="115"/>
        <v>0</v>
      </c>
    </row>
    <row r="135" spans="1:20" x14ac:dyDescent="0.25">
      <c r="A135" s="1" t="s">
        <v>46</v>
      </c>
      <c r="B135" s="1">
        <f t="shared" si="104"/>
        <v>17</v>
      </c>
      <c r="C135" s="1">
        <f t="shared" si="105"/>
        <v>133</v>
      </c>
      <c r="D135">
        <f t="shared" ca="1" si="106"/>
        <v>1.665</v>
      </c>
      <c r="E135">
        <f t="shared" ca="1" si="107"/>
        <v>0.40300000000000002</v>
      </c>
      <c r="F135">
        <f t="shared" ca="1" si="108"/>
        <v>0.38600000000000001</v>
      </c>
      <c r="G135">
        <f t="shared" ca="1" si="109"/>
        <v>0.94899999999999995</v>
      </c>
      <c r="H135">
        <f t="shared" ca="1" si="110"/>
        <v>0.21099999999999999</v>
      </c>
      <c r="I135">
        <f t="shared" ca="1" si="111"/>
        <v>0.34200000000000003</v>
      </c>
      <c r="J135">
        <f t="shared" ca="1" si="112"/>
        <v>0.36</v>
      </c>
      <c r="K135">
        <f t="shared" ca="1" si="113"/>
        <v>0.43824771645142474</v>
      </c>
      <c r="L135">
        <f t="shared" ca="1" si="113"/>
        <v>0.61942054359267074</v>
      </c>
      <c r="M135">
        <f t="shared" ca="1" si="113"/>
        <v>0.41821881512094128</v>
      </c>
      <c r="N135">
        <f t="shared" ca="1" si="113"/>
        <v>0.57822422409743857</v>
      </c>
      <c r="O135">
        <f t="shared" ca="1" si="113"/>
        <v>0.52850433924284868</v>
      </c>
      <c r="P135">
        <f t="shared" ca="1" si="113"/>
        <v>0.6414770210461721</v>
      </c>
      <c r="Q135">
        <f t="shared" ca="1" si="113"/>
        <v>0.51779300015533825</v>
      </c>
      <c r="R135">
        <f t="shared" ca="1" si="114"/>
        <v>0.6414770210461721</v>
      </c>
      <c r="S135">
        <f t="shared" ca="1" si="103"/>
        <v>0</v>
      </c>
      <c r="T135">
        <f t="shared" ca="1" si="115"/>
        <v>0</v>
      </c>
    </row>
    <row r="136" spans="1:20" x14ac:dyDescent="0.25">
      <c r="A136" s="1" t="s">
        <v>39</v>
      </c>
      <c r="B136" s="1">
        <f t="shared" si="104"/>
        <v>14</v>
      </c>
      <c r="C136" s="1">
        <f t="shared" si="105"/>
        <v>134</v>
      </c>
      <c r="D136">
        <f t="shared" ca="1" si="106"/>
        <v>1.163</v>
      </c>
      <c r="E136">
        <f t="shared" ca="1" si="107"/>
        <v>1.21</v>
      </c>
      <c r="F136">
        <f t="shared" ca="1" si="108"/>
        <v>3.1E-2</v>
      </c>
      <c r="G136">
        <f t="shared" ca="1" si="109"/>
        <v>1.3580000000000001</v>
      </c>
      <c r="H136">
        <f t="shared" ca="1" si="110"/>
        <v>1.9370000000000001</v>
      </c>
      <c r="I136">
        <f t="shared" ca="1" si="111"/>
        <v>1.798</v>
      </c>
      <c r="J136">
        <f t="shared" ca="1" si="112"/>
        <v>0.65900000000000003</v>
      </c>
      <c r="K136">
        <f t="shared" ca="1" si="113"/>
        <v>0.41580116518283039</v>
      </c>
      <c r="L136">
        <f t="shared" ca="1" si="113"/>
        <v>0.62764326531957282</v>
      </c>
      <c r="M136">
        <f t="shared" ca="1" si="113"/>
        <v>0.43346554551121774</v>
      </c>
      <c r="N136">
        <f t="shared" ca="1" si="113"/>
        <v>0.56158544931094179</v>
      </c>
      <c r="O136">
        <f t="shared" ca="1" si="113"/>
        <v>0.54599292641425867</v>
      </c>
      <c r="P136">
        <f t="shared" ca="1" si="113"/>
        <v>0.6644497656138133</v>
      </c>
      <c r="Q136">
        <f t="shared" ca="1" si="113"/>
        <v>0.52818588036624359</v>
      </c>
      <c r="R136">
        <f t="shared" ca="1" si="114"/>
        <v>0.6644497656138133</v>
      </c>
      <c r="S136">
        <f t="shared" ca="1" si="103"/>
        <v>0</v>
      </c>
      <c r="T136">
        <f t="shared" ca="1" si="115"/>
        <v>0</v>
      </c>
    </row>
    <row r="137" spans="1:20" x14ac:dyDescent="0.25">
      <c r="A137" s="1" t="s">
        <v>46</v>
      </c>
      <c r="B137" s="1">
        <f t="shared" si="104"/>
        <v>17</v>
      </c>
      <c r="C137" s="1">
        <f t="shared" si="105"/>
        <v>135</v>
      </c>
      <c r="D137">
        <f t="shared" ca="1" si="106"/>
        <v>0.38600000000000001</v>
      </c>
      <c r="E137">
        <f t="shared" ca="1" si="107"/>
        <v>0.94899999999999995</v>
      </c>
      <c r="F137">
        <f t="shared" ca="1" si="108"/>
        <v>0.21099999999999999</v>
      </c>
      <c r="G137">
        <f t="shared" ca="1" si="109"/>
        <v>0.34200000000000003</v>
      </c>
      <c r="H137">
        <f t="shared" ca="1" si="110"/>
        <v>0.36</v>
      </c>
      <c r="I137">
        <f t="shared" ca="1" si="111"/>
        <v>1.665</v>
      </c>
      <c r="J137">
        <f t="shared" ca="1" si="112"/>
        <v>0.40300000000000002</v>
      </c>
      <c r="K137">
        <f t="shared" ca="1" si="113"/>
        <v>0.39492964693567034</v>
      </c>
      <c r="L137">
        <f t="shared" ca="1" si="113"/>
        <v>0.61129898627066448</v>
      </c>
      <c r="M137">
        <f t="shared" ca="1" si="113"/>
        <v>0.46458481787350808</v>
      </c>
      <c r="N137">
        <f t="shared" ca="1" si="113"/>
        <v>0.52545636469155144</v>
      </c>
      <c r="O137">
        <f t="shared" ca="1" si="113"/>
        <v>0.51724585070854046</v>
      </c>
      <c r="P137">
        <f t="shared" ca="1" si="113"/>
        <v>0.60889939457361519</v>
      </c>
      <c r="Q137">
        <f t="shared" ca="1" si="113"/>
        <v>0.47990537299546671</v>
      </c>
      <c r="R137">
        <f t="shared" ca="1" si="114"/>
        <v>0.61129898627066448</v>
      </c>
      <c r="S137">
        <f t="shared" ca="1" si="103"/>
        <v>0</v>
      </c>
      <c r="T137">
        <f t="shared" ca="1" si="115"/>
        <v>0</v>
      </c>
    </row>
    <row r="138" spans="1:20" x14ac:dyDescent="0.25">
      <c r="A138" s="1" t="s">
        <v>30</v>
      </c>
      <c r="B138" s="1">
        <f t="shared" si="104"/>
        <v>15</v>
      </c>
      <c r="C138" s="1">
        <f t="shared" si="105"/>
        <v>136</v>
      </c>
      <c r="D138">
        <f t="shared" ca="1" si="106"/>
        <v>0.41899999999999998</v>
      </c>
      <c r="E138">
        <f t="shared" ca="1" si="107"/>
        <v>0.52500000000000002</v>
      </c>
      <c r="F138">
        <f t="shared" ca="1" si="108"/>
        <v>0.91600000000000004</v>
      </c>
      <c r="G138">
        <f t="shared" ca="1" si="109"/>
        <v>0.628</v>
      </c>
      <c r="H138">
        <f t="shared" ca="1" si="110"/>
        <v>0.38200000000000001</v>
      </c>
      <c r="I138">
        <f t="shared" ca="1" si="111"/>
        <v>0.58299999999999996</v>
      </c>
      <c r="J138">
        <f t="shared" ca="1" si="112"/>
        <v>1.052</v>
      </c>
      <c r="K138">
        <f t="shared" ca="1" si="113"/>
        <v>0.42071307915147116</v>
      </c>
      <c r="L138">
        <f t="shared" ca="1" si="113"/>
        <v>0.58174837703336035</v>
      </c>
      <c r="M138">
        <f t="shared" ca="1" si="113"/>
        <v>0.48397537614921082</v>
      </c>
      <c r="N138">
        <f t="shared" ca="1" si="113"/>
        <v>0.5554708343792597</v>
      </c>
      <c r="O138">
        <f t="shared" ca="1" si="113"/>
        <v>0.54360706084923083</v>
      </c>
      <c r="P138">
        <f t="shared" ca="1" si="113"/>
        <v>0.52753267448187247</v>
      </c>
      <c r="Q138">
        <f t="shared" ca="1" si="113"/>
        <v>0.51111364950718341</v>
      </c>
      <c r="R138">
        <f t="shared" ca="1" si="114"/>
        <v>0.58174837703336035</v>
      </c>
      <c r="S138">
        <f t="shared" ca="1" si="103"/>
        <v>0</v>
      </c>
      <c r="T138">
        <f t="shared" ca="1" si="115"/>
        <v>0</v>
      </c>
    </row>
    <row r="139" spans="1:20" x14ac:dyDescent="0.25">
      <c r="A139" s="1" t="s">
        <v>39</v>
      </c>
      <c r="B139" s="1">
        <f t="shared" si="104"/>
        <v>14</v>
      </c>
      <c r="C139" s="1">
        <f t="shared" si="105"/>
        <v>137</v>
      </c>
      <c r="D139">
        <f t="shared" ca="1" si="106"/>
        <v>1.3580000000000001</v>
      </c>
      <c r="E139">
        <f t="shared" ca="1" si="107"/>
        <v>1.9370000000000001</v>
      </c>
      <c r="F139">
        <f t="shared" ca="1" si="108"/>
        <v>1.798</v>
      </c>
      <c r="G139">
        <f t="shared" ca="1" si="109"/>
        <v>0.65900000000000003</v>
      </c>
      <c r="H139">
        <f t="shared" ca="1" si="110"/>
        <v>1.163</v>
      </c>
      <c r="I139">
        <f t="shared" ca="1" si="111"/>
        <v>1.21</v>
      </c>
      <c r="J139">
        <f t="shared" ca="1" si="112"/>
        <v>3.1E-2</v>
      </c>
      <c r="K139">
        <f t="shared" ca="1" si="113"/>
        <v>0.42745643650038084</v>
      </c>
      <c r="L139">
        <f t="shared" ca="1" si="113"/>
        <v>0.59032739369356713</v>
      </c>
      <c r="M139">
        <f t="shared" ca="1" si="113"/>
        <v>0.48254200764178845</v>
      </c>
      <c r="N139">
        <f t="shared" ca="1" si="113"/>
        <v>0.55606245045554281</v>
      </c>
      <c r="O139">
        <f t="shared" ca="1" si="113"/>
        <v>0.52800243177408934</v>
      </c>
      <c r="P139">
        <f t="shared" ca="1" si="113"/>
        <v>0.53104385063510717</v>
      </c>
      <c r="Q139">
        <f t="shared" ca="1" si="113"/>
        <v>0.50935085253861845</v>
      </c>
      <c r="R139">
        <f t="shared" ca="1" si="114"/>
        <v>0.59032739369356713</v>
      </c>
      <c r="S139">
        <f t="shared" ca="1" si="103"/>
        <v>0</v>
      </c>
      <c r="T139">
        <f t="shared" ca="1" si="115"/>
        <v>0</v>
      </c>
    </row>
    <row r="140" spans="1:20" x14ac:dyDescent="0.25">
      <c r="A140" s="1" t="s">
        <v>32</v>
      </c>
      <c r="B140" s="1">
        <f t="shared" si="104"/>
        <v>3</v>
      </c>
      <c r="C140" s="1">
        <f t="shared" si="105"/>
        <v>138</v>
      </c>
      <c r="D140">
        <f t="shared" ca="1" si="106"/>
        <v>2.4940000000000002</v>
      </c>
      <c r="E140">
        <f t="shared" ca="1" si="107"/>
        <v>3.048</v>
      </c>
      <c r="F140">
        <f t="shared" ca="1" si="108"/>
        <v>0.26200000000000001</v>
      </c>
      <c r="G140">
        <f t="shared" ca="1" si="109"/>
        <v>3.496</v>
      </c>
      <c r="H140">
        <f t="shared" ca="1" si="110"/>
        <v>3.1080000000000001</v>
      </c>
      <c r="I140">
        <f t="shared" ca="1" si="111"/>
        <v>0.998</v>
      </c>
      <c r="J140">
        <f t="shared" ca="1" si="112"/>
        <v>5.6849999999999996</v>
      </c>
      <c r="K140">
        <f t="shared" ca="1" si="113"/>
        <v>0.41928457588419654</v>
      </c>
      <c r="L140">
        <f t="shared" ca="1" si="113"/>
        <v>0.57304574520038187</v>
      </c>
      <c r="M140">
        <f t="shared" ca="1" si="113"/>
        <v>0.46524538789501385</v>
      </c>
      <c r="N140">
        <f t="shared" ca="1" si="113"/>
        <v>0.52968353397113221</v>
      </c>
      <c r="O140">
        <f t="shared" ca="1" si="113"/>
        <v>0.51856813867215712</v>
      </c>
      <c r="P140">
        <f t="shared" ca="1" si="113"/>
        <v>0.52657422653220365</v>
      </c>
      <c r="Q140">
        <f t="shared" ca="1" si="113"/>
        <v>0.56795047607916671</v>
      </c>
      <c r="R140">
        <f t="shared" ca="1" si="114"/>
        <v>0.57304574520038187</v>
      </c>
      <c r="S140">
        <f t="shared" ca="1" si="103"/>
        <v>0</v>
      </c>
      <c r="T140">
        <f t="shared" ca="1" si="115"/>
        <v>0</v>
      </c>
    </row>
    <row r="141" spans="1:20" x14ac:dyDescent="0.25">
      <c r="A141" s="1" t="s">
        <v>34</v>
      </c>
      <c r="B141" s="1">
        <f t="shared" si="104"/>
        <v>9</v>
      </c>
      <c r="C141" s="1">
        <f t="shared" si="105"/>
        <v>139</v>
      </c>
      <c r="D141">
        <f t="shared" ca="1" si="106"/>
        <v>0.48299999999999998</v>
      </c>
      <c r="E141">
        <f t="shared" ca="1" si="107"/>
        <v>3.1669999999999998</v>
      </c>
      <c r="F141">
        <f t="shared" ca="1" si="108"/>
        <v>0.29699999999999999</v>
      </c>
      <c r="G141">
        <f t="shared" ca="1" si="109"/>
        <v>0.39800000000000002</v>
      </c>
      <c r="H141">
        <f t="shared" ca="1" si="110"/>
        <v>3.9020000000000001</v>
      </c>
      <c r="I141">
        <f t="shared" ca="1" si="111"/>
        <v>0.58499999999999996</v>
      </c>
      <c r="J141">
        <f t="shared" ca="1" si="112"/>
        <v>0.501</v>
      </c>
      <c r="K141">
        <f t="shared" ca="1" si="113"/>
        <v>0.37976683450956428</v>
      </c>
      <c r="L141">
        <f t="shared" ca="1" si="113"/>
        <v>0.49255521878857611</v>
      </c>
      <c r="M141">
        <f t="shared" ca="1" si="113"/>
        <v>0.48467925408336021</v>
      </c>
      <c r="N141">
        <f t="shared" ca="1" si="113"/>
        <v>0.44198142452268824</v>
      </c>
      <c r="O141">
        <f t="shared" ca="1" si="113"/>
        <v>0.47747559263842054</v>
      </c>
      <c r="P141">
        <f t="shared" ca="1" si="113"/>
        <v>0.49234641360987735</v>
      </c>
      <c r="Q141">
        <f t="shared" ca="1" si="113"/>
        <v>0.50206320920445502</v>
      </c>
      <c r="R141">
        <f t="shared" ca="1" si="114"/>
        <v>0.50206320920445502</v>
      </c>
      <c r="S141">
        <f t="shared" ca="1" si="103"/>
        <v>0</v>
      </c>
      <c r="T141">
        <f t="shared" ca="1" si="115"/>
        <v>0</v>
      </c>
    </row>
    <row r="142" spans="1:20" x14ac:dyDescent="0.25">
      <c r="A142" s="1" t="s">
        <v>31</v>
      </c>
      <c r="B142" s="1">
        <f t="shared" si="104"/>
        <v>0</v>
      </c>
      <c r="C142" s="1">
        <f t="shared" si="105"/>
        <v>140</v>
      </c>
      <c r="D142">
        <f t="shared" ca="1" si="106"/>
        <v>1.2969999999999999</v>
      </c>
      <c r="E142">
        <f t="shared" ca="1" si="107"/>
        <v>1.5509999999999999</v>
      </c>
      <c r="F142">
        <f t="shared" ca="1" si="108"/>
        <v>1.0840000000000001</v>
      </c>
      <c r="G142">
        <f t="shared" ca="1" si="109"/>
        <v>2.6120000000000001</v>
      </c>
      <c r="H142">
        <f t="shared" ca="1" si="110"/>
        <v>0.377</v>
      </c>
      <c r="I142">
        <f t="shared" ca="1" si="111"/>
        <v>1.284</v>
      </c>
      <c r="J142">
        <f t="shared" ca="1" si="112"/>
        <v>0.877</v>
      </c>
      <c r="K142">
        <f t="shared" ca="1" si="113"/>
        <v>0.38794388286890757</v>
      </c>
      <c r="L142">
        <f t="shared" ca="1" si="113"/>
        <v>0.47709867180004756</v>
      </c>
      <c r="M142">
        <f t="shared" ca="1" si="113"/>
        <v>0.51415270127678758</v>
      </c>
      <c r="N142">
        <f t="shared" ca="1" si="113"/>
        <v>0.45808382114423551</v>
      </c>
      <c r="O142">
        <f t="shared" ca="1" si="113"/>
        <v>0.47067992234993106</v>
      </c>
      <c r="P142">
        <f t="shared" ca="1" si="113"/>
        <v>0.48468097694824258</v>
      </c>
      <c r="Q142">
        <f t="shared" ca="1" si="113"/>
        <v>0.51922524661496006</v>
      </c>
      <c r="R142">
        <f t="shared" ca="1" si="114"/>
        <v>0.51922524661496006</v>
      </c>
      <c r="S142">
        <f t="shared" ca="1" si="103"/>
        <v>0</v>
      </c>
      <c r="T142">
        <f t="shared" ca="1" si="115"/>
        <v>0</v>
      </c>
    </row>
    <row r="143" spans="1:20" x14ac:dyDescent="0.25">
      <c r="A143" s="1" t="s">
        <v>38</v>
      </c>
      <c r="B143" s="1">
        <f t="shared" si="104"/>
        <v>5</v>
      </c>
      <c r="C143" s="1">
        <f t="shared" si="105"/>
        <v>141</v>
      </c>
      <c r="D143">
        <f t="shared" ca="1" si="106"/>
        <v>0.27500000000000002</v>
      </c>
      <c r="E143">
        <f t="shared" ca="1" si="107"/>
        <v>0.57799999999999996</v>
      </c>
      <c r="F143">
        <f t="shared" ca="1" si="108"/>
        <v>0.216</v>
      </c>
      <c r="G143">
        <f t="shared" ca="1" si="109"/>
        <v>0.21099999999999999</v>
      </c>
      <c r="H143">
        <f t="shared" ca="1" si="110"/>
        <v>0.42599999999999999</v>
      </c>
      <c r="I143">
        <f t="shared" ca="1" si="111"/>
        <v>0.156</v>
      </c>
      <c r="J143">
        <f t="shared" ca="1" si="112"/>
        <v>4.4999999999999998E-2</v>
      </c>
      <c r="K143">
        <f t="shared" ca="1" si="113"/>
        <v>0.40051208565147273</v>
      </c>
      <c r="L143">
        <f t="shared" ca="1" si="113"/>
        <v>0.44974932116076521</v>
      </c>
      <c r="M143">
        <f t="shared" ca="1" si="113"/>
        <v>0.49607939168179122</v>
      </c>
      <c r="N143">
        <f t="shared" ca="1" si="113"/>
        <v>0.4646976290956043</v>
      </c>
      <c r="O143">
        <f t="shared" ca="1" si="113"/>
        <v>0.47812392635312895</v>
      </c>
      <c r="P143">
        <f t="shared" ca="1" si="113"/>
        <v>0.46866073696034705</v>
      </c>
      <c r="Q143">
        <f t="shared" ca="1" si="113"/>
        <v>0.50828106077146995</v>
      </c>
      <c r="R143">
        <f t="shared" ca="1" si="114"/>
        <v>0.50828106077146995</v>
      </c>
      <c r="S143">
        <f t="shared" ref="S143:S158" ca="1" si="116">IF(R116&gt;1.55,1,IF(R116&gt;1.48,0.9,IF(R116&gt;1.4,0.8,IF(R116&gt;1.36666,0.6,IF(R116&gt;1.33333,0.4,IF(R116&gt;1.22,0.2,IF(R116&gt;1,0.1,0)))))))</f>
        <v>0</v>
      </c>
      <c r="T143">
        <f t="shared" ca="1" si="115"/>
        <v>0</v>
      </c>
    </row>
    <row r="144" spans="1:20" x14ac:dyDescent="0.25">
      <c r="A144" s="1" t="s">
        <v>40</v>
      </c>
      <c r="B144" s="1">
        <f t="shared" si="104"/>
        <v>6</v>
      </c>
      <c r="C144" s="1">
        <f t="shared" si="105"/>
        <v>142</v>
      </c>
      <c r="D144">
        <f t="shared" ca="1" si="106"/>
        <v>0.67900000000000005</v>
      </c>
      <c r="E144">
        <f t="shared" ca="1" si="107"/>
        <v>0.39500000000000002</v>
      </c>
      <c r="F144">
        <f t="shared" ca="1" si="108"/>
        <v>0.29399999999999998</v>
      </c>
      <c r="G144">
        <f t="shared" ca="1" si="109"/>
        <v>0.57899999999999996</v>
      </c>
      <c r="H144">
        <f t="shared" ca="1" si="110"/>
        <v>0.21299999999999999</v>
      </c>
      <c r="I144">
        <f t="shared" ca="1" si="111"/>
        <v>0.34699999999999998</v>
      </c>
      <c r="J144">
        <f t="shared" ca="1" si="112"/>
        <v>0.27500000000000002</v>
      </c>
      <c r="K144">
        <f t="shared" ca="1" si="113"/>
        <v>0</v>
      </c>
      <c r="L144">
        <f t="shared" ca="1" si="113"/>
        <v>0</v>
      </c>
      <c r="M144">
        <f t="shared" ca="1" si="113"/>
        <v>0.50949610425799097</v>
      </c>
      <c r="N144">
        <f t="shared" ca="1" si="113"/>
        <v>0.42641270934179226</v>
      </c>
      <c r="O144">
        <f t="shared" ca="1" si="113"/>
        <v>0</v>
      </c>
      <c r="P144">
        <f t="shared" ca="1" si="113"/>
        <v>0</v>
      </c>
      <c r="Q144">
        <f t="shared" ca="1" si="113"/>
        <v>0.53959531203525712</v>
      </c>
      <c r="R144">
        <f t="shared" ca="1" si="114"/>
        <v>0.53959531203525712</v>
      </c>
      <c r="S144">
        <f t="shared" ca="1" si="116"/>
        <v>0</v>
      </c>
      <c r="T144">
        <f t="shared" ca="1" si="115"/>
        <v>0</v>
      </c>
    </row>
    <row r="145" spans="1:20" x14ac:dyDescent="0.25">
      <c r="A145" s="1" t="s">
        <v>45</v>
      </c>
      <c r="B145" s="1">
        <f t="shared" si="104"/>
        <v>16</v>
      </c>
      <c r="C145" s="1">
        <f t="shared" si="105"/>
        <v>143</v>
      </c>
      <c r="D145">
        <f t="shared" ca="1" si="106"/>
        <v>0.65400000000000003</v>
      </c>
      <c r="E145">
        <f t="shared" ca="1" si="107"/>
        <v>0.79100000000000004</v>
      </c>
      <c r="F145">
        <f t="shared" ca="1" si="108"/>
        <v>0.84299999999999997</v>
      </c>
      <c r="G145">
        <f t="shared" ca="1" si="109"/>
        <v>0.64700000000000002</v>
      </c>
      <c r="H145">
        <f t="shared" ca="1" si="110"/>
        <v>0.16900000000000001</v>
      </c>
      <c r="I145">
        <f t="shared" ca="1" si="111"/>
        <v>0.70199999999999996</v>
      </c>
      <c r="J145">
        <f t="shared" ca="1" si="112"/>
        <v>0.95499999999999996</v>
      </c>
      <c r="K145">
        <f t="shared" ca="1" si="113"/>
        <v>0</v>
      </c>
      <c r="L145">
        <f t="shared" ca="1" si="113"/>
        <v>0</v>
      </c>
      <c r="M145">
        <f t="shared" ca="1" si="113"/>
        <v>0.52451020955551264</v>
      </c>
      <c r="N145">
        <f t="shared" ca="1" si="113"/>
        <v>0.44237297246710217</v>
      </c>
      <c r="O145">
        <f t="shared" ca="1" si="113"/>
        <v>0</v>
      </c>
      <c r="P145">
        <f t="shared" ca="1" si="113"/>
        <v>0</v>
      </c>
      <c r="Q145">
        <f t="shared" ca="1" si="113"/>
        <v>0.58258274666219734</v>
      </c>
      <c r="R145">
        <f t="shared" ca="1" si="114"/>
        <v>0.58258274666219734</v>
      </c>
      <c r="S145">
        <f t="shared" ca="1" si="116"/>
        <v>0</v>
      </c>
      <c r="T145">
        <f t="shared" ca="1" si="115"/>
        <v>0</v>
      </c>
    </row>
    <row r="146" spans="1:20" x14ac:dyDescent="0.25">
      <c r="A146" s="1" t="s">
        <v>38</v>
      </c>
      <c r="B146" s="1">
        <f t="shared" si="104"/>
        <v>5</v>
      </c>
      <c r="C146" s="1">
        <f t="shared" si="105"/>
        <v>144</v>
      </c>
      <c r="D146">
        <f t="shared" ca="1" si="106"/>
        <v>0.21099999999999999</v>
      </c>
      <c r="E146">
        <f t="shared" ca="1" si="107"/>
        <v>0.42599999999999999</v>
      </c>
      <c r="F146">
        <f t="shared" ca="1" si="108"/>
        <v>0.156</v>
      </c>
      <c r="G146">
        <f t="shared" ca="1" si="109"/>
        <v>4.4999999999999998E-2</v>
      </c>
      <c r="H146">
        <f t="shared" ca="1" si="110"/>
        <v>0.27500000000000002</v>
      </c>
      <c r="I146">
        <f t="shared" ca="1" si="111"/>
        <v>0.57799999999999996</v>
      </c>
      <c r="J146">
        <f t="shared" ca="1" si="112"/>
        <v>0.216</v>
      </c>
      <c r="K146">
        <f t="shared" ca="1" si="113"/>
        <v>0</v>
      </c>
      <c r="L146">
        <f t="shared" ca="1" si="113"/>
        <v>0</v>
      </c>
      <c r="M146">
        <f t="shared" ca="1" si="113"/>
        <v>0.51371841811864505</v>
      </c>
      <c r="N146">
        <f t="shared" ca="1" si="113"/>
        <v>0.43600113565775422</v>
      </c>
      <c r="O146">
        <f t="shared" ca="1" si="113"/>
        <v>0</v>
      </c>
      <c r="P146">
        <f t="shared" ca="1" si="113"/>
        <v>0</v>
      </c>
      <c r="Q146">
        <f t="shared" ca="1" si="113"/>
        <v>0.56177877033179779</v>
      </c>
      <c r="R146">
        <f t="shared" ca="1" si="114"/>
        <v>0.56177877033179779</v>
      </c>
      <c r="S146">
        <f t="shared" ca="1" si="116"/>
        <v>0</v>
      </c>
      <c r="T146">
        <f t="shared" ca="1" si="115"/>
        <v>0</v>
      </c>
    </row>
    <row r="147" spans="1:20" x14ac:dyDescent="0.25">
      <c r="A147" s="1" t="s">
        <v>48</v>
      </c>
      <c r="B147" s="1">
        <f t="shared" ref="B147:B162" si="117">LOOKUP($A147,$V$4:$V$23,$W$4:$W$23)</f>
        <v>19</v>
      </c>
      <c r="C147" s="1">
        <f t="shared" si="105"/>
        <v>145</v>
      </c>
      <c r="D147">
        <f t="shared" ca="1" si="106"/>
        <v>0.13</v>
      </c>
      <c r="E147">
        <f t="shared" ca="1" si="107"/>
        <v>0.155</v>
      </c>
      <c r="F147">
        <f t="shared" ca="1" si="108"/>
        <v>1.417</v>
      </c>
      <c r="G147">
        <f t="shared" ca="1" si="109"/>
        <v>0.09</v>
      </c>
      <c r="H147">
        <f t="shared" ca="1" si="110"/>
        <v>0.122</v>
      </c>
      <c r="I147">
        <f t="shared" ca="1" si="111"/>
        <v>1.659</v>
      </c>
      <c r="J147">
        <f t="shared" ca="1" si="112"/>
        <v>0.19</v>
      </c>
      <c r="K147">
        <f t="shared" ca="1" si="113"/>
        <v>0</v>
      </c>
      <c r="L147">
        <f t="shared" ca="1" si="113"/>
        <v>0</v>
      </c>
      <c r="M147">
        <f t="shared" ca="1" si="113"/>
        <v>0.5712528290522767</v>
      </c>
      <c r="N147">
        <f t="shared" ca="1" si="113"/>
        <v>0.46431447144656157</v>
      </c>
      <c r="O147">
        <f t="shared" ca="1" si="113"/>
        <v>0</v>
      </c>
      <c r="P147">
        <f t="shared" ca="1" si="113"/>
        <v>0</v>
      </c>
      <c r="Q147">
        <f t="shared" ca="1" si="113"/>
        <v>0.59334020857365666</v>
      </c>
      <c r="R147">
        <f t="shared" ca="1" si="114"/>
        <v>0.59334020857365666</v>
      </c>
      <c r="S147">
        <f t="shared" ca="1" si="116"/>
        <v>0</v>
      </c>
      <c r="T147">
        <f t="shared" ca="1" si="115"/>
        <v>0</v>
      </c>
    </row>
    <row r="148" spans="1:20" x14ac:dyDescent="0.25">
      <c r="A148" s="1" t="s">
        <v>34</v>
      </c>
      <c r="B148" s="1">
        <f t="shared" si="117"/>
        <v>9</v>
      </c>
      <c r="C148" s="1">
        <f t="shared" ref="C148:C163" si="118">C147+1</f>
        <v>146</v>
      </c>
      <c r="D148">
        <f t="shared" ref="D148:D163" ca="1" si="119">OFFSET($X$4,$B148,MOD($C148,7),1,1)</f>
        <v>0.48299999999999998</v>
      </c>
      <c r="E148">
        <f t="shared" ref="E148:E163" ca="1" si="120">OFFSET($X$4,$B148,MOD($C148+1,7),1,1)</f>
        <v>3.1669999999999998</v>
      </c>
      <c r="F148">
        <f t="shared" ref="F148:F163" ca="1" si="121">OFFSET($X$4,$B148,MOD($C148+2,7),1,1)</f>
        <v>0.29699999999999999</v>
      </c>
      <c r="G148">
        <f t="shared" ref="G148:G163" ca="1" si="122">OFFSET($X$4,$B148,MOD($C148+3,7),1,1)</f>
        <v>0.39800000000000002</v>
      </c>
      <c r="H148">
        <f t="shared" ref="H148:H163" ca="1" si="123">OFFSET($X$4,$B148,MOD($C148+4,7),1,1)</f>
        <v>3.9020000000000001</v>
      </c>
      <c r="I148">
        <f t="shared" ref="I148:I163" ca="1" si="124">OFFSET($X$4,$B148,MOD($C148+5,7),1,1)</f>
        <v>0.58499999999999996</v>
      </c>
      <c r="J148">
        <f t="shared" ref="J148:J163" ca="1" si="125">OFFSET($X$4,$B148,MOD($C148+6,7),1,1)</f>
        <v>0.501</v>
      </c>
      <c r="K148">
        <f t="shared" ref="K148:Q163" ca="1" si="126">POWER(PRODUCT(D148:D175),1/28)</f>
        <v>0</v>
      </c>
      <c r="L148">
        <f t="shared" ca="1" si="126"/>
        <v>0</v>
      </c>
      <c r="M148">
        <f t="shared" ca="1" si="126"/>
        <v>0.52947666284829065</v>
      </c>
      <c r="N148">
        <f t="shared" ca="1" si="126"/>
        <v>0.4996578802724036</v>
      </c>
      <c r="O148">
        <f t="shared" ca="1" si="126"/>
        <v>0</v>
      </c>
      <c r="P148">
        <f t="shared" ca="1" si="126"/>
        <v>0</v>
      </c>
      <c r="Q148">
        <f t="shared" ca="1" si="126"/>
        <v>0.62434699494073298</v>
      </c>
      <c r="R148">
        <f t="shared" ref="R148:R163" ca="1" si="127">MAX(K148:Q148)</f>
        <v>0.62434699494073298</v>
      </c>
      <c r="S148">
        <f t="shared" ca="1" si="116"/>
        <v>0</v>
      </c>
      <c r="T148">
        <f t="shared" ref="T148:T163" ca="1" si="128">MAX(S148:S175)</f>
        <v>0</v>
      </c>
    </row>
    <row r="149" spans="1:20" x14ac:dyDescent="0.25">
      <c r="A149" s="1" t="s">
        <v>30</v>
      </c>
      <c r="B149" s="1">
        <f t="shared" si="117"/>
        <v>15</v>
      </c>
      <c r="C149" s="1">
        <f t="shared" si="118"/>
        <v>147</v>
      </c>
      <c r="D149">
        <f t="shared" ca="1" si="119"/>
        <v>0.38200000000000001</v>
      </c>
      <c r="E149">
        <f t="shared" ca="1" si="120"/>
        <v>0.58299999999999996</v>
      </c>
      <c r="F149">
        <f t="shared" ca="1" si="121"/>
        <v>1.052</v>
      </c>
      <c r="G149">
        <f t="shared" ca="1" si="122"/>
        <v>0.41899999999999998</v>
      </c>
      <c r="H149">
        <f t="shared" ca="1" si="123"/>
        <v>0.52500000000000002</v>
      </c>
      <c r="I149">
        <f t="shared" ca="1" si="124"/>
        <v>0.91600000000000004</v>
      </c>
      <c r="J149">
        <f t="shared" ca="1" si="125"/>
        <v>0.628</v>
      </c>
      <c r="K149">
        <f t="shared" ca="1" si="126"/>
        <v>0</v>
      </c>
      <c r="L149">
        <f t="shared" ca="1" si="126"/>
        <v>0</v>
      </c>
      <c r="M149">
        <f t="shared" ca="1" si="126"/>
        <v>0.52802333695992831</v>
      </c>
      <c r="N149">
        <f t="shared" ca="1" si="126"/>
        <v>0.50636077312876127</v>
      </c>
      <c r="O149">
        <f t="shared" ca="1" si="126"/>
        <v>0</v>
      </c>
      <c r="P149">
        <f t="shared" ca="1" si="126"/>
        <v>0</v>
      </c>
      <c r="Q149">
        <f t="shared" ca="1" si="126"/>
        <v>0.62074143448255403</v>
      </c>
      <c r="R149">
        <f t="shared" ca="1" si="127"/>
        <v>0.62074143448255403</v>
      </c>
      <c r="S149">
        <f t="shared" ca="1" si="116"/>
        <v>0</v>
      </c>
      <c r="T149">
        <f t="shared" ca="1" si="128"/>
        <v>0</v>
      </c>
    </row>
    <row r="150" spans="1:20" x14ac:dyDescent="0.25">
      <c r="A150" s="1" t="s">
        <v>33</v>
      </c>
      <c r="B150" s="1">
        <f t="shared" si="117"/>
        <v>1</v>
      </c>
      <c r="C150" s="1">
        <f t="shared" si="118"/>
        <v>148</v>
      </c>
      <c r="D150">
        <f t="shared" ca="1" si="119"/>
        <v>2.1999999999999999E-2</v>
      </c>
      <c r="E150">
        <f t="shared" ca="1" si="120"/>
        <v>0.308</v>
      </c>
      <c r="F150">
        <f t="shared" ca="1" si="121"/>
        <v>0.152</v>
      </c>
      <c r="G150">
        <f t="shared" ca="1" si="122"/>
        <v>0.18</v>
      </c>
      <c r="H150">
        <f t="shared" ca="1" si="123"/>
        <v>0.156</v>
      </c>
      <c r="I150">
        <f t="shared" ca="1" si="124"/>
        <v>4.3999999999999997E-2</v>
      </c>
      <c r="J150">
        <f t="shared" ca="1" si="125"/>
        <v>0.82399999999999995</v>
      </c>
      <c r="K150">
        <f t="shared" ca="1" si="126"/>
        <v>0</v>
      </c>
      <c r="L150">
        <f t="shared" ca="1" si="126"/>
        <v>0</v>
      </c>
      <c r="M150">
        <f t="shared" ca="1" si="126"/>
        <v>0.53801325457586424</v>
      </c>
      <c r="N150">
        <f t="shared" ca="1" si="126"/>
        <v>0.51381952346070536</v>
      </c>
      <c r="O150">
        <f t="shared" ca="1" si="126"/>
        <v>0</v>
      </c>
      <c r="P150">
        <f t="shared" ca="1" si="126"/>
        <v>0</v>
      </c>
      <c r="Q150">
        <f t="shared" ca="1" si="126"/>
        <v>0.65237766205008851</v>
      </c>
      <c r="R150">
        <f t="shared" ca="1" si="127"/>
        <v>0.65237766205008851</v>
      </c>
      <c r="S150">
        <f t="shared" ca="1" si="116"/>
        <v>0</v>
      </c>
      <c r="T150">
        <f t="shared" ca="1" si="128"/>
        <v>0</v>
      </c>
    </row>
    <row r="151" spans="1:20" x14ac:dyDescent="0.25">
      <c r="A151" s="1" t="s">
        <v>33</v>
      </c>
      <c r="B151" s="1">
        <f t="shared" si="117"/>
        <v>1</v>
      </c>
      <c r="C151" s="1">
        <f t="shared" si="118"/>
        <v>149</v>
      </c>
      <c r="D151">
        <f t="shared" ca="1" si="119"/>
        <v>0.308</v>
      </c>
      <c r="E151">
        <f t="shared" ca="1" si="120"/>
        <v>0.152</v>
      </c>
      <c r="F151">
        <f t="shared" ca="1" si="121"/>
        <v>0.18</v>
      </c>
      <c r="G151">
        <f t="shared" ca="1" si="122"/>
        <v>0.156</v>
      </c>
      <c r="H151">
        <f t="shared" ca="1" si="123"/>
        <v>4.3999999999999997E-2</v>
      </c>
      <c r="I151">
        <f t="shared" ca="1" si="124"/>
        <v>0.82399999999999995</v>
      </c>
      <c r="J151">
        <f t="shared" ca="1" si="125"/>
        <v>2.1999999999999999E-2</v>
      </c>
      <c r="K151">
        <f t="shared" ca="1" si="126"/>
        <v>0</v>
      </c>
      <c r="L151">
        <f t="shared" ca="1" si="126"/>
        <v>0</v>
      </c>
      <c r="M151">
        <f t="shared" ca="1" si="126"/>
        <v>0.56607117204627944</v>
      </c>
      <c r="N151">
        <f t="shared" ca="1" si="126"/>
        <v>0.56484241956093728</v>
      </c>
      <c r="O151">
        <f t="shared" ca="1" si="126"/>
        <v>0</v>
      </c>
      <c r="P151">
        <f t="shared" ca="1" si="126"/>
        <v>0</v>
      </c>
      <c r="Q151">
        <f t="shared" ca="1" si="126"/>
        <v>0.61775726464613134</v>
      </c>
      <c r="R151">
        <f t="shared" ca="1" si="127"/>
        <v>0.61775726464613134</v>
      </c>
      <c r="S151">
        <f t="shared" ca="1" si="116"/>
        <v>0</v>
      </c>
      <c r="T151">
        <f t="shared" ca="1" si="128"/>
        <v>0</v>
      </c>
    </row>
    <row r="152" spans="1:20" x14ac:dyDescent="0.25">
      <c r="A152" s="1" t="s">
        <v>39</v>
      </c>
      <c r="B152" s="1">
        <f t="shared" si="117"/>
        <v>14</v>
      </c>
      <c r="C152" s="1">
        <f t="shared" si="118"/>
        <v>150</v>
      </c>
      <c r="D152">
        <f t="shared" ca="1" si="119"/>
        <v>3.1E-2</v>
      </c>
      <c r="E152">
        <f t="shared" ca="1" si="120"/>
        <v>1.3580000000000001</v>
      </c>
      <c r="F152">
        <f t="shared" ca="1" si="121"/>
        <v>1.9370000000000001</v>
      </c>
      <c r="G152">
        <f t="shared" ca="1" si="122"/>
        <v>1.798</v>
      </c>
      <c r="H152">
        <f t="shared" ca="1" si="123"/>
        <v>0.65900000000000003</v>
      </c>
      <c r="I152">
        <f t="shared" ca="1" si="124"/>
        <v>1.163</v>
      </c>
      <c r="J152">
        <f t="shared" ca="1" si="125"/>
        <v>1.21</v>
      </c>
      <c r="K152">
        <f t="shared" ca="1" si="126"/>
        <v>0</v>
      </c>
      <c r="L152">
        <f t="shared" ca="1" si="126"/>
        <v>0</v>
      </c>
      <c r="M152">
        <f t="shared" ca="1" si="126"/>
        <v>0.59680423292397589</v>
      </c>
      <c r="N152">
        <f t="shared" ca="1" si="126"/>
        <v>0.59992266265928751</v>
      </c>
      <c r="O152">
        <f t="shared" ca="1" si="126"/>
        <v>0</v>
      </c>
      <c r="P152">
        <f t="shared" ca="1" si="126"/>
        <v>0</v>
      </c>
      <c r="Q152">
        <f t="shared" ca="1" si="126"/>
        <v>0.69908356291155438</v>
      </c>
      <c r="R152">
        <f t="shared" ca="1" si="127"/>
        <v>0.69908356291155438</v>
      </c>
      <c r="S152">
        <f t="shared" ca="1" si="116"/>
        <v>0</v>
      </c>
      <c r="T152">
        <f t="shared" ca="1" si="128"/>
        <v>0</v>
      </c>
    </row>
    <row r="153" spans="1:20" x14ac:dyDescent="0.25">
      <c r="A153" s="1" t="s">
        <v>37</v>
      </c>
      <c r="B153" s="1">
        <f t="shared" si="117"/>
        <v>4</v>
      </c>
      <c r="C153" s="1">
        <f t="shared" si="118"/>
        <v>151</v>
      </c>
      <c r="D153">
        <f t="shared" ca="1" si="119"/>
        <v>0.189</v>
      </c>
      <c r="E153">
        <f t="shared" ca="1" si="120"/>
        <v>0.106</v>
      </c>
      <c r="F153">
        <f t="shared" ca="1" si="121"/>
        <v>1.2999999999999999E-2</v>
      </c>
      <c r="G153">
        <f t="shared" ca="1" si="122"/>
        <v>0.53100000000000003</v>
      </c>
      <c r="H153">
        <f t="shared" ca="1" si="123"/>
        <v>7.5999999999999998E-2</v>
      </c>
      <c r="I153">
        <f t="shared" ca="1" si="124"/>
        <v>0.40300000000000002</v>
      </c>
      <c r="J153">
        <f t="shared" ca="1" si="125"/>
        <v>0.66200000000000003</v>
      </c>
      <c r="K153">
        <f t="shared" ca="1" si="126"/>
        <v>0</v>
      </c>
      <c r="L153">
        <f t="shared" ca="1" si="126"/>
        <v>0</v>
      </c>
      <c r="M153">
        <f t="shared" ca="1" si="126"/>
        <v>0.57933297700256947</v>
      </c>
      <c r="N153">
        <f t="shared" ca="1" si="126"/>
        <v>0.57841855729817826</v>
      </c>
      <c r="O153">
        <f t="shared" ca="1" si="126"/>
        <v>0</v>
      </c>
      <c r="P153">
        <f t="shared" ca="1" si="126"/>
        <v>0</v>
      </c>
      <c r="Q153">
        <f t="shared" ca="1" si="126"/>
        <v>0.69319960297303662</v>
      </c>
      <c r="R153">
        <f t="shared" ca="1" si="127"/>
        <v>0.69319960297303662</v>
      </c>
      <c r="S153">
        <f t="shared" ca="1" si="116"/>
        <v>0</v>
      </c>
      <c r="T153">
        <f t="shared" ca="1" si="128"/>
        <v>0</v>
      </c>
    </row>
    <row r="154" spans="1:20" x14ac:dyDescent="0.25">
      <c r="A154" s="1" t="s">
        <v>34</v>
      </c>
      <c r="B154" s="1">
        <f t="shared" si="117"/>
        <v>9</v>
      </c>
      <c r="C154" s="1">
        <f t="shared" si="118"/>
        <v>152</v>
      </c>
      <c r="D154">
        <f t="shared" ca="1" si="119"/>
        <v>0.501</v>
      </c>
      <c r="E154">
        <f t="shared" ca="1" si="120"/>
        <v>0.48299999999999998</v>
      </c>
      <c r="F154">
        <f t="shared" ca="1" si="121"/>
        <v>3.1669999999999998</v>
      </c>
      <c r="G154">
        <f t="shared" ca="1" si="122"/>
        <v>0.29699999999999999</v>
      </c>
      <c r="H154">
        <f t="shared" ca="1" si="123"/>
        <v>0.39800000000000002</v>
      </c>
      <c r="I154">
        <f t="shared" ca="1" si="124"/>
        <v>3.9020000000000001</v>
      </c>
      <c r="J154">
        <f t="shared" ca="1" si="125"/>
        <v>0.58499999999999996</v>
      </c>
      <c r="K154">
        <f t="shared" ca="1" si="126"/>
        <v>0</v>
      </c>
      <c r="L154">
        <f t="shared" ca="1" si="126"/>
        <v>0</v>
      </c>
      <c r="M154">
        <f t="shared" ca="1" si="126"/>
        <v>0.66609166266238173</v>
      </c>
      <c r="N154">
        <f t="shared" ca="1" si="126"/>
        <v>0.55524517832906106</v>
      </c>
      <c r="O154">
        <f t="shared" ca="1" si="126"/>
        <v>0</v>
      </c>
      <c r="P154">
        <f t="shared" ca="1" si="126"/>
        <v>0</v>
      </c>
      <c r="Q154">
        <f t="shared" ca="1" si="126"/>
        <v>0.69289866608161732</v>
      </c>
      <c r="R154">
        <f t="shared" ca="1" si="127"/>
        <v>0.69289866608161732</v>
      </c>
      <c r="S154">
        <f t="shared" ca="1" si="116"/>
        <v>0</v>
      </c>
      <c r="T154">
        <f t="shared" ca="1" si="128"/>
        <v>0</v>
      </c>
    </row>
    <row r="155" spans="1:20" x14ac:dyDescent="0.25">
      <c r="A155" s="1" t="s">
        <v>35</v>
      </c>
      <c r="B155" s="1">
        <f t="shared" si="117"/>
        <v>2</v>
      </c>
      <c r="C155" s="1">
        <f t="shared" si="118"/>
        <v>153</v>
      </c>
      <c r="D155">
        <f t="shared" ca="1" si="119"/>
        <v>1.448</v>
      </c>
      <c r="E155">
        <f t="shared" ca="1" si="120"/>
        <v>0.03</v>
      </c>
      <c r="F155">
        <f t="shared" ca="1" si="121"/>
        <v>2.3519999999999999</v>
      </c>
      <c r="G155">
        <f t="shared" ca="1" si="122"/>
        <v>2.2679999999999998</v>
      </c>
      <c r="H155">
        <f t="shared" ca="1" si="123"/>
        <v>0.23699999999999999</v>
      </c>
      <c r="I155">
        <f t="shared" ca="1" si="124"/>
        <v>0.66300000000000003</v>
      </c>
      <c r="J155">
        <f t="shared" ca="1" si="125"/>
        <v>1.62</v>
      </c>
      <c r="K155">
        <f t="shared" ca="1" si="126"/>
        <v>0</v>
      </c>
      <c r="L155">
        <f t="shared" ca="1" si="126"/>
        <v>0</v>
      </c>
      <c r="M155">
        <f t="shared" ca="1" si="126"/>
        <v>0.62493616347348058</v>
      </c>
      <c r="N155">
        <f t="shared" ca="1" si="126"/>
        <v>0.52886396852000805</v>
      </c>
      <c r="O155">
        <f t="shared" ca="1" si="126"/>
        <v>0</v>
      </c>
      <c r="P155">
        <f t="shared" ca="1" si="126"/>
        <v>0</v>
      </c>
      <c r="Q155">
        <f t="shared" ca="1" si="126"/>
        <v>0.66549521523035515</v>
      </c>
      <c r="R155">
        <f t="shared" ca="1" si="127"/>
        <v>0.66549521523035515</v>
      </c>
      <c r="S155">
        <f t="shared" ca="1" si="116"/>
        <v>0</v>
      </c>
      <c r="T155">
        <f t="shared" ca="1" si="128"/>
        <v>0</v>
      </c>
    </row>
    <row r="156" spans="1:20" x14ac:dyDescent="0.25">
      <c r="A156" s="1" t="s">
        <v>35</v>
      </c>
      <c r="B156" s="1">
        <f t="shared" si="117"/>
        <v>2</v>
      </c>
      <c r="C156" s="1">
        <f t="shared" si="118"/>
        <v>154</v>
      </c>
      <c r="D156">
        <f t="shared" ca="1" si="119"/>
        <v>0.03</v>
      </c>
      <c r="E156">
        <f t="shared" ca="1" si="120"/>
        <v>2.3519999999999999</v>
      </c>
      <c r="F156">
        <f t="shared" ca="1" si="121"/>
        <v>2.2679999999999998</v>
      </c>
      <c r="G156">
        <f t="shared" ca="1" si="122"/>
        <v>0.23699999999999999</v>
      </c>
      <c r="H156">
        <f t="shared" ca="1" si="123"/>
        <v>0.66300000000000003</v>
      </c>
      <c r="I156">
        <f t="shared" ca="1" si="124"/>
        <v>1.62</v>
      </c>
      <c r="J156">
        <f t="shared" ca="1" si="125"/>
        <v>1.448</v>
      </c>
      <c r="K156">
        <f t="shared" ca="1" si="126"/>
        <v>0</v>
      </c>
      <c r="L156">
        <f t="shared" ca="1" si="126"/>
        <v>0</v>
      </c>
      <c r="M156">
        <f t="shared" ca="1" si="126"/>
        <v>0.59852470071653374</v>
      </c>
      <c r="N156">
        <f t="shared" ca="1" si="126"/>
        <v>0.51277669250274172</v>
      </c>
      <c r="O156">
        <f t="shared" ca="1" si="126"/>
        <v>0</v>
      </c>
      <c r="P156">
        <f t="shared" ca="1" si="126"/>
        <v>0</v>
      </c>
      <c r="Q156">
        <f t="shared" ca="1" si="126"/>
        <v>0.65014951521789988</v>
      </c>
      <c r="R156">
        <f t="shared" ca="1" si="127"/>
        <v>0.65014951521789988</v>
      </c>
      <c r="S156">
        <f t="shared" ca="1" si="116"/>
        <v>0</v>
      </c>
      <c r="T156">
        <f t="shared" ca="1" si="128"/>
        <v>0</v>
      </c>
    </row>
    <row r="157" spans="1:20" x14ac:dyDescent="0.25">
      <c r="A157" s="1" t="s">
        <v>43</v>
      </c>
      <c r="B157" s="1">
        <f t="shared" si="117"/>
        <v>11</v>
      </c>
      <c r="C157" s="1">
        <f t="shared" si="118"/>
        <v>155</v>
      </c>
      <c r="D157">
        <f t="shared" ca="1" si="119"/>
        <v>1.4750000000000001</v>
      </c>
      <c r="E157">
        <f t="shared" ca="1" si="120"/>
        <v>1.534</v>
      </c>
      <c r="F157">
        <f t="shared" ca="1" si="121"/>
        <v>3.9E-2</v>
      </c>
      <c r="G157">
        <f t="shared" ca="1" si="122"/>
        <v>1.722</v>
      </c>
      <c r="H157">
        <f t="shared" ca="1" si="123"/>
        <v>2.456</v>
      </c>
      <c r="I157">
        <f t="shared" ca="1" si="124"/>
        <v>2.2799999999999998</v>
      </c>
      <c r="J157">
        <f t="shared" ca="1" si="125"/>
        <v>0.83499999999999996</v>
      </c>
      <c r="K157">
        <f t="shared" ca="1" si="126"/>
        <v>0</v>
      </c>
      <c r="L157">
        <f t="shared" ca="1" si="126"/>
        <v>0</v>
      </c>
      <c r="M157">
        <f t="shared" ca="1" si="126"/>
        <v>0.57000407888982685</v>
      </c>
      <c r="N157">
        <f t="shared" ca="1" si="126"/>
        <v>0.51108035063940505</v>
      </c>
      <c r="O157">
        <f t="shared" ca="1" si="126"/>
        <v>0</v>
      </c>
      <c r="P157">
        <f t="shared" ca="1" si="126"/>
        <v>0</v>
      </c>
      <c r="Q157">
        <f t="shared" ca="1" si="126"/>
        <v>0.60041914270520369</v>
      </c>
      <c r="R157">
        <f t="shared" ca="1" si="127"/>
        <v>0.60041914270520369</v>
      </c>
      <c r="S157">
        <f t="shared" ca="1" si="116"/>
        <v>0</v>
      </c>
      <c r="T157">
        <f t="shared" ca="1" si="128"/>
        <v>0</v>
      </c>
    </row>
    <row r="158" spans="1:20" x14ac:dyDescent="0.25">
      <c r="A158" s="1" t="s">
        <v>36</v>
      </c>
      <c r="B158" s="1">
        <f t="shared" si="117"/>
        <v>13</v>
      </c>
      <c r="C158" s="1">
        <f t="shared" si="118"/>
        <v>156</v>
      </c>
      <c r="D158">
        <f t="shared" ca="1" si="119"/>
        <v>1.778</v>
      </c>
      <c r="E158">
        <f t="shared" ca="1" si="120"/>
        <v>0.63100000000000001</v>
      </c>
      <c r="F158">
        <f t="shared" ca="1" si="121"/>
        <v>2.5499999999999998</v>
      </c>
      <c r="G158">
        <f t="shared" ca="1" si="122"/>
        <v>1.5780000000000001</v>
      </c>
      <c r="H158">
        <f t="shared" ca="1" si="123"/>
        <v>2.5259999999999998</v>
      </c>
      <c r="I158">
        <f t="shared" ca="1" si="124"/>
        <v>0.17899999999999999</v>
      </c>
      <c r="J158">
        <f t="shared" ca="1" si="125"/>
        <v>2.1139999999999999</v>
      </c>
      <c r="K158">
        <f t="shared" ca="1" si="126"/>
        <v>0</v>
      </c>
      <c r="L158">
        <f t="shared" ca="1" si="126"/>
        <v>0</v>
      </c>
      <c r="M158">
        <f t="shared" ca="1" si="126"/>
        <v>0.61914139027631998</v>
      </c>
      <c r="N158">
        <f t="shared" ca="1" si="126"/>
        <v>0.47981280441088581</v>
      </c>
      <c r="O158">
        <f t="shared" ca="1" si="126"/>
        <v>0</v>
      </c>
      <c r="P158">
        <f t="shared" ca="1" si="126"/>
        <v>0</v>
      </c>
      <c r="Q158">
        <f t="shared" ca="1" si="126"/>
        <v>0.58188161721025022</v>
      </c>
      <c r="R158">
        <f t="shared" ca="1" si="127"/>
        <v>0.61914139027631998</v>
      </c>
      <c r="S158">
        <f t="shared" ca="1" si="116"/>
        <v>0</v>
      </c>
      <c r="T158">
        <f t="shared" ca="1" si="128"/>
        <v>0</v>
      </c>
    </row>
    <row r="159" spans="1:20" x14ac:dyDescent="0.25">
      <c r="A159" s="1" t="s">
        <v>41</v>
      </c>
      <c r="B159" s="1">
        <f t="shared" si="117"/>
        <v>7</v>
      </c>
      <c r="C159" s="1">
        <f t="shared" si="118"/>
        <v>157</v>
      </c>
      <c r="D159">
        <f t="shared" ca="1" si="119"/>
        <v>0.89400000000000002</v>
      </c>
      <c r="E159">
        <f t="shared" ca="1" si="120"/>
        <v>0.51400000000000001</v>
      </c>
      <c r="F159">
        <f t="shared" ca="1" si="121"/>
        <v>0.47099999999999997</v>
      </c>
      <c r="G159">
        <f t="shared" ca="1" si="122"/>
        <v>0.43099999999999999</v>
      </c>
      <c r="H159">
        <f t="shared" ca="1" si="123"/>
        <v>2.597</v>
      </c>
      <c r="I159">
        <f t="shared" ca="1" si="124"/>
        <v>9.8000000000000004E-2</v>
      </c>
      <c r="J159">
        <f t="shared" ca="1" si="125"/>
        <v>0.34499999999999997</v>
      </c>
      <c r="K159">
        <f t="shared" ca="1" si="126"/>
        <v>0</v>
      </c>
      <c r="L159">
        <f t="shared" ca="1" si="126"/>
        <v>0</v>
      </c>
      <c r="M159">
        <f t="shared" ca="1" si="126"/>
        <v>0.59379152085437137</v>
      </c>
      <c r="N159">
        <f t="shared" ca="1" si="126"/>
        <v>0.46918872632314323</v>
      </c>
      <c r="O159">
        <f t="shared" ca="1" si="126"/>
        <v>0</v>
      </c>
      <c r="P159">
        <f t="shared" ca="1" si="126"/>
        <v>0</v>
      </c>
      <c r="Q159">
        <f t="shared" ca="1" si="126"/>
        <v>0.55941716068352121</v>
      </c>
      <c r="R159">
        <f t="shared" ca="1" si="127"/>
        <v>0.59379152085437137</v>
      </c>
      <c r="S159">
        <f t="shared" ref="S159:S174" ca="1" si="129">IF(R132&gt;1.55,1,IF(R132&gt;1.48,0.9,IF(R132&gt;1.4,0.8,IF(R132&gt;1.36666,0.6,IF(R132&gt;1.33333,0.4,IF(R132&gt;1.22,0.2,IF(R132&gt;1,0.1,0)))))))</f>
        <v>0</v>
      </c>
      <c r="T159">
        <f t="shared" ca="1" si="128"/>
        <v>0</v>
      </c>
    </row>
    <row r="160" spans="1:20" x14ac:dyDescent="0.25">
      <c r="A160" s="1" t="s">
        <v>46</v>
      </c>
      <c r="B160" s="1">
        <f t="shared" si="117"/>
        <v>17</v>
      </c>
      <c r="C160" s="1">
        <f t="shared" si="118"/>
        <v>158</v>
      </c>
      <c r="D160">
        <f t="shared" ca="1" si="119"/>
        <v>0.21099999999999999</v>
      </c>
      <c r="E160">
        <f t="shared" ca="1" si="120"/>
        <v>0.34200000000000003</v>
      </c>
      <c r="F160">
        <f t="shared" ca="1" si="121"/>
        <v>0.36</v>
      </c>
      <c r="G160">
        <f t="shared" ca="1" si="122"/>
        <v>1.665</v>
      </c>
      <c r="H160">
        <f t="shared" ca="1" si="123"/>
        <v>0.40300000000000002</v>
      </c>
      <c r="I160">
        <f t="shared" ca="1" si="124"/>
        <v>0.38600000000000001</v>
      </c>
      <c r="J160">
        <f t="shared" ca="1" si="125"/>
        <v>0.94899999999999995</v>
      </c>
      <c r="K160">
        <f t="shared" ca="1" si="126"/>
        <v>0</v>
      </c>
      <c r="L160">
        <f t="shared" ca="1" si="126"/>
        <v>0</v>
      </c>
      <c r="M160">
        <f t="shared" ca="1" si="126"/>
        <v>0.59166577069133597</v>
      </c>
      <c r="N160">
        <f t="shared" ca="1" si="126"/>
        <v>0.45246498177444577</v>
      </c>
      <c r="O160">
        <f t="shared" ca="1" si="126"/>
        <v>0</v>
      </c>
      <c r="P160">
        <f t="shared" ca="1" si="126"/>
        <v>0</v>
      </c>
      <c r="Q160">
        <f t="shared" ca="1" si="126"/>
        <v>0.56982259783420941</v>
      </c>
      <c r="R160">
        <f t="shared" ca="1" si="127"/>
        <v>0.59166577069133597</v>
      </c>
      <c r="S160">
        <f t="shared" ca="1" si="129"/>
        <v>0</v>
      </c>
      <c r="T160">
        <f t="shared" ca="1" si="128"/>
        <v>0</v>
      </c>
    </row>
    <row r="161" spans="1:20" x14ac:dyDescent="0.25">
      <c r="A161" s="1" t="s">
        <v>45</v>
      </c>
      <c r="B161" s="1">
        <f t="shared" si="117"/>
        <v>16</v>
      </c>
      <c r="C161" s="1">
        <f t="shared" si="118"/>
        <v>159</v>
      </c>
      <c r="D161">
        <f t="shared" ca="1" si="119"/>
        <v>0.84299999999999997</v>
      </c>
      <c r="E161">
        <f t="shared" ca="1" si="120"/>
        <v>0.64700000000000002</v>
      </c>
      <c r="F161">
        <f t="shared" ca="1" si="121"/>
        <v>0.16900000000000001</v>
      </c>
      <c r="G161">
        <f t="shared" ca="1" si="122"/>
        <v>0.70199999999999996</v>
      </c>
      <c r="H161">
        <f t="shared" ca="1" si="123"/>
        <v>0.95499999999999996</v>
      </c>
      <c r="I161">
        <f t="shared" ca="1" si="124"/>
        <v>0.65400000000000003</v>
      </c>
      <c r="J161">
        <f t="shared" ca="1" si="125"/>
        <v>0.79100000000000004</v>
      </c>
      <c r="K161">
        <f t="shared" ca="1" si="126"/>
        <v>0</v>
      </c>
      <c r="L161">
        <f t="shared" ca="1" si="126"/>
        <v>0</v>
      </c>
      <c r="M161">
        <f t="shared" ca="1" si="126"/>
        <v>0.62181975973326353</v>
      </c>
      <c r="N161">
        <f t="shared" ca="1" si="126"/>
        <v>0.39200246226555857</v>
      </c>
      <c r="O161">
        <f t="shared" ca="1" si="126"/>
        <v>0</v>
      </c>
      <c r="P161">
        <f t="shared" ca="1" si="126"/>
        <v>0</v>
      </c>
      <c r="Q161">
        <f t="shared" ca="1" si="126"/>
        <v>0.54227698545570535</v>
      </c>
      <c r="R161">
        <f t="shared" ca="1" si="127"/>
        <v>0.62181975973326353</v>
      </c>
      <c r="S161">
        <f t="shared" ca="1" si="129"/>
        <v>0</v>
      </c>
      <c r="T161">
        <f t="shared" ca="1" si="128"/>
        <v>0</v>
      </c>
    </row>
    <row r="162" spans="1:20" x14ac:dyDescent="0.25">
      <c r="A162" s="1" t="s">
        <v>30</v>
      </c>
      <c r="B162" s="1">
        <f t="shared" si="117"/>
        <v>15</v>
      </c>
      <c r="C162" s="1">
        <f t="shared" si="118"/>
        <v>160</v>
      </c>
      <c r="D162">
        <f t="shared" ca="1" si="119"/>
        <v>0.628</v>
      </c>
      <c r="E162">
        <f t="shared" ca="1" si="120"/>
        <v>0.38200000000000001</v>
      </c>
      <c r="F162">
        <f t="shared" ca="1" si="121"/>
        <v>0.58299999999999996</v>
      </c>
      <c r="G162">
        <f t="shared" ca="1" si="122"/>
        <v>1.052</v>
      </c>
      <c r="H162">
        <f t="shared" ca="1" si="123"/>
        <v>0.41899999999999998</v>
      </c>
      <c r="I162">
        <f t="shared" ca="1" si="124"/>
        <v>0.52500000000000002</v>
      </c>
      <c r="J162">
        <f t="shared" ca="1" si="125"/>
        <v>0.91600000000000004</v>
      </c>
      <c r="K162">
        <f t="shared" ca="1" si="126"/>
        <v>0</v>
      </c>
      <c r="L162">
        <f t="shared" ca="1" si="126"/>
        <v>0</v>
      </c>
      <c r="M162">
        <f t="shared" ca="1" si="126"/>
        <v>0.6747573824194314</v>
      </c>
      <c r="N162">
        <f t="shared" ca="1" si="126"/>
        <v>0.38430895725391379</v>
      </c>
      <c r="O162">
        <f t="shared" ca="1" si="126"/>
        <v>0</v>
      </c>
      <c r="P162">
        <f t="shared" ca="1" si="126"/>
        <v>0</v>
      </c>
      <c r="Q162">
        <f t="shared" ca="1" si="126"/>
        <v>0.51727913117954927</v>
      </c>
      <c r="R162">
        <f t="shared" ca="1" si="127"/>
        <v>0.6747573824194314</v>
      </c>
      <c r="S162">
        <f t="shared" ca="1" si="129"/>
        <v>0</v>
      </c>
      <c r="T162">
        <f t="shared" ca="1" si="128"/>
        <v>0</v>
      </c>
    </row>
    <row r="163" spans="1:20" x14ac:dyDescent="0.25">
      <c r="A163" s="1" t="s">
        <v>30</v>
      </c>
      <c r="B163" s="1">
        <f t="shared" ref="B163:B178" si="130">LOOKUP($A163,$V$4:$V$23,$W$4:$W$23)</f>
        <v>15</v>
      </c>
      <c r="C163" s="1">
        <f t="shared" si="118"/>
        <v>161</v>
      </c>
      <c r="D163">
        <f t="shared" ca="1" si="119"/>
        <v>0.38200000000000001</v>
      </c>
      <c r="E163">
        <f t="shared" ca="1" si="120"/>
        <v>0.58299999999999996</v>
      </c>
      <c r="F163">
        <f t="shared" ca="1" si="121"/>
        <v>1.052</v>
      </c>
      <c r="G163">
        <f t="shared" ca="1" si="122"/>
        <v>0.41899999999999998</v>
      </c>
      <c r="H163">
        <f t="shared" ca="1" si="123"/>
        <v>0.52500000000000002</v>
      </c>
      <c r="I163">
        <f t="shared" ca="1" si="124"/>
        <v>0.91600000000000004</v>
      </c>
      <c r="J163">
        <f t="shared" ca="1" si="125"/>
        <v>0.628</v>
      </c>
      <c r="K163">
        <f t="shared" ca="1" si="126"/>
        <v>0</v>
      </c>
      <c r="L163">
        <f t="shared" ca="1" si="126"/>
        <v>0</v>
      </c>
      <c r="M163">
        <f t="shared" ca="1" si="126"/>
        <v>0.66388867153497855</v>
      </c>
      <c r="N163">
        <f t="shared" ca="1" si="126"/>
        <v>0.37368872025537653</v>
      </c>
      <c r="O163">
        <f t="shared" ca="1" si="126"/>
        <v>0</v>
      </c>
      <c r="P163">
        <f t="shared" ca="1" si="126"/>
        <v>0</v>
      </c>
      <c r="Q163">
        <f t="shared" ca="1" si="126"/>
        <v>0.51412907637774963</v>
      </c>
      <c r="R163">
        <f t="shared" ca="1" si="127"/>
        <v>0.66388867153497855</v>
      </c>
      <c r="S163">
        <f t="shared" ca="1" si="129"/>
        <v>0</v>
      </c>
      <c r="T163">
        <f t="shared" ca="1" si="128"/>
        <v>0</v>
      </c>
    </row>
    <row r="164" spans="1:20" x14ac:dyDescent="0.25">
      <c r="A164" s="1" t="s">
        <v>38</v>
      </c>
      <c r="B164" s="1">
        <f t="shared" si="130"/>
        <v>5</v>
      </c>
      <c r="C164" s="1">
        <f t="shared" ref="C164:C179" si="131">C163+1</f>
        <v>162</v>
      </c>
      <c r="D164">
        <f t="shared" ref="D164:D179" ca="1" si="132">OFFSET($X$4,$B164,MOD($C164,7),1,1)</f>
        <v>0.27500000000000002</v>
      </c>
      <c r="E164">
        <f t="shared" ref="E164:E179" ca="1" si="133">OFFSET($X$4,$B164,MOD($C164+1,7),1,1)</f>
        <v>0.57799999999999996</v>
      </c>
      <c r="F164">
        <f t="shared" ref="F164:F179" ca="1" si="134">OFFSET($X$4,$B164,MOD($C164+2,7),1,1)</f>
        <v>0.216</v>
      </c>
      <c r="G164">
        <f t="shared" ref="G164:G179" ca="1" si="135">OFFSET($X$4,$B164,MOD($C164+3,7),1,1)</f>
        <v>0.21099999999999999</v>
      </c>
      <c r="H164">
        <f t="shared" ref="H164:H179" ca="1" si="136">OFFSET($X$4,$B164,MOD($C164+4,7),1,1)</f>
        <v>0.42599999999999999</v>
      </c>
      <c r="I164">
        <f t="shared" ref="I164:I179" ca="1" si="137">OFFSET($X$4,$B164,MOD($C164+5,7),1,1)</f>
        <v>0.156</v>
      </c>
      <c r="J164">
        <f t="shared" ref="J164:J179" ca="1" si="138">OFFSET($X$4,$B164,MOD($C164+6,7),1,1)</f>
        <v>4.4999999999999998E-2</v>
      </c>
      <c r="K164">
        <f t="shared" ref="K164:Q179" ca="1" si="139">POWER(PRODUCT(D164:D191),1/28)</f>
        <v>0</v>
      </c>
      <c r="L164">
        <f t="shared" ca="1" si="139"/>
        <v>0</v>
      </c>
      <c r="M164">
        <f t="shared" ca="1" si="139"/>
        <v>0.66388867153497855</v>
      </c>
      <c r="N164">
        <f t="shared" ca="1" si="139"/>
        <v>0.37368872025537653</v>
      </c>
      <c r="O164">
        <f t="shared" ca="1" si="139"/>
        <v>0</v>
      </c>
      <c r="P164">
        <f t="shared" ca="1" si="139"/>
        <v>0</v>
      </c>
      <c r="Q164">
        <f t="shared" ca="1" si="139"/>
        <v>0.51412907637774963</v>
      </c>
      <c r="R164">
        <f t="shared" ref="R164:R179" ca="1" si="140">MAX(K164:Q164)</f>
        <v>0.66388867153497855</v>
      </c>
      <c r="S164">
        <f t="shared" ca="1" si="129"/>
        <v>0</v>
      </c>
      <c r="T164">
        <f t="shared" ref="T164:T179" ca="1" si="141">MAX(S164:S191)</f>
        <v>0</v>
      </c>
    </row>
    <row r="165" spans="1:20" x14ac:dyDescent="0.25">
      <c r="A165" s="1" t="s">
        <v>35</v>
      </c>
      <c r="B165" s="1">
        <f t="shared" si="130"/>
        <v>2</v>
      </c>
      <c r="C165" s="1">
        <f t="shared" si="131"/>
        <v>163</v>
      </c>
      <c r="D165">
        <f t="shared" ca="1" si="132"/>
        <v>2.2679999999999998</v>
      </c>
      <c r="E165">
        <f t="shared" ca="1" si="133"/>
        <v>0.23699999999999999</v>
      </c>
      <c r="F165">
        <f t="shared" ca="1" si="134"/>
        <v>0.66300000000000003</v>
      </c>
      <c r="G165">
        <f t="shared" ca="1" si="135"/>
        <v>1.62</v>
      </c>
      <c r="H165">
        <f t="shared" ca="1" si="136"/>
        <v>1.448</v>
      </c>
      <c r="I165">
        <f t="shared" ca="1" si="137"/>
        <v>0.03</v>
      </c>
      <c r="J165">
        <f t="shared" ca="1" si="138"/>
        <v>2.3519999999999999</v>
      </c>
      <c r="K165">
        <f t="shared" ca="1" si="139"/>
        <v>0</v>
      </c>
      <c r="L165">
        <f t="shared" ca="1" si="139"/>
        <v>0</v>
      </c>
      <c r="M165">
        <f t="shared" ca="1" si="139"/>
        <v>0.7361768717189251</v>
      </c>
      <c r="N165">
        <f t="shared" ca="1" si="139"/>
        <v>0.3875492461551141</v>
      </c>
      <c r="O165">
        <f t="shared" ca="1" si="139"/>
        <v>0</v>
      </c>
      <c r="P165">
        <f t="shared" ca="1" si="139"/>
        <v>0</v>
      </c>
      <c r="Q165">
        <f t="shared" ca="1" si="139"/>
        <v>0.59848325943797964</v>
      </c>
      <c r="R165">
        <f t="shared" ca="1" si="140"/>
        <v>0.7361768717189251</v>
      </c>
      <c r="S165">
        <f t="shared" ca="1" si="129"/>
        <v>0</v>
      </c>
      <c r="T165">
        <f t="shared" ca="1" si="141"/>
        <v>0</v>
      </c>
    </row>
    <row r="166" spans="1:20" x14ac:dyDescent="0.25">
      <c r="A166" s="1" t="s">
        <v>45</v>
      </c>
      <c r="B166" s="1">
        <f t="shared" si="130"/>
        <v>16</v>
      </c>
      <c r="C166" s="1">
        <f t="shared" si="131"/>
        <v>164</v>
      </c>
      <c r="D166">
        <f t="shared" ca="1" si="132"/>
        <v>0.65400000000000003</v>
      </c>
      <c r="E166">
        <f t="shared" ca="1" si="133"/>
        <v>0.79100000000000004</v>
      </c>
      <c r="F166">
        <f t="shared" ca="1" si="134"/>
        <v>0.84299999999999997</v>
      </c>
      <c r="G166">
        <f t="shared" ca="1" si="135"/>
        <v>0.64700000000000002</v>
      </c>
      <c r="H166">
        <f t="shared" ca="1" si="136"/>
        <v>0.16900000000000001</v>
      </c>
      <c r="I166">
        <f t="shared" ca="1" si="137"/>
        <v>0.70199999999999996</v>
      </c>
      <c r="J166">
        <f t="shared" ca="1" si="138"/>
        <v>0.95499999999999996</v>
      </c>
      <c r="K166">
        <f t="shared" ca="1" si="139"/>
        <v>0</v>
      </c>
      <c r="L166">
        <f t="shared" ca="1" si="139"/>
        <v>0</v>
      </c>
      <c r="M166">
        <f t="shared" ca="1" si="139"/>
        <v>0.73006642384030829</v>
      </c>
      <c r="N166">
        <f t="shared" ca="1" si="139"/>
        <v>0.37973737280492775</v>
      </c>
      <c r="O166">
        <f t="shared" ca="1" si="139"/>
        <v>0</v>
      </c>
      <c r="P166">
        <f t="shared" ca="1" si="139"/>
        <v>0</v>
      </c>
      <c r="Q166">
        <f t="shared" ca="1" si="139"/>
        <v>0.56939992855057509</v>
      </c>
      <c r="R166">
        <f t="shared" ca="1" si="140"/>
        <v>0.73006642384030829</v>
      </c>
      <c r="S166">
        <f t="shared" ca="1" si="129"/>
        <v>0</v>
      </c>
      <c r="T166">
        <f t="shared" ca="1" si="141"/>
        <v>0</v>
      </c>
    </row>
    <row r="167" spans="1:20" x14ac:dyDescent="0.25">
      <c r="A167" s="1" t="s">
        <v>45</v>
      </c>
      <c r="B167" s="1">
        <f t="shared" si="130"/>
        <v>16</v>
      </c>
      <c r="C167" s="1">
        <f t="shared" si="131"/>
        <v>165</v>
      </c>
      <c r="D167">
        <f t="shared" ca="1" si="132"/>
        <v>0.79100000000000004</v>
      </c>
      <c r="E167">
        <f t="shared" ca="1" si="133"/>
        <v>0.84299999999999997</v>
      </c>
      <c r="F167">
        <f t="shared" ca="1" si="134"/>
        <v>0.64700000000000002</v>
      </c>
      <c r="G167">
        <f t="shared" ca="1" si="135"/>
        <v>0.16900000000000001</v>
      </c>
      <c r="H167">
        <f t="shared" ca="1" si="136"/>
        <v>0.70199999999999996</v>
      </c>
      <c r="I167">
        <f t="shared" ca="1" si="137"/>
        <v>0.95499999999999996</v>
      </c>
      <c r="J167">
        <f t="shared" ca="1" si="138"/>
        <v>0.65400000000000003</v>
      </c>
      <c r="K167">
        <f t="shared" ca="1" si="139"/>
        <v>0</v>
      </c>
      <c r="L167">
        <f t="shared" ca="1" si="139"/>
        <v>0</v>
      </c>
      <c r="M167">
        <f t="shared" ca="1" si="139"/>
        <v>0.7166239351089484</v>
      </c>
      <c r="N167">
        <f t="shared" ca="1" si="139"/>
        <v>0.37579340788360344</v>
      </c>
      <c r="O167">
        <f t="shared" ca="1" si="139"/>
        <v>0</v>
      </c>
      <c r="P167">
        <f t="shared" ca="1" si="139"/>
        <v>0</v>
      </c>
      <c r="Q167">
        <f t="shared" ca="1" si="139"/>
        <v>0.55187622297426564</v>
      </c>
      <c r="R167">
        <f t="shared" ca="1" si="140"/>
        <v>0.7166239351089484</v>
      </c>
      <c r="S167">
        <f t="shared" ca="1" si="129"/>
        <v>0</v>
      </c>
      <c r="T167">
        <f t="shared" ca="1" si="141"/>
        <v>0</v>
      </c>
    </row>
    <row r="168" spans="1:20" x14ac:dyDescent="0.25">
      <c r="A168" s="1" t="s">
        <v>33</v>
      </c>
      <c r="B168" s="1">
        <f t="shared" si="130"/>
        <v>1</v>
      </c>
      <c r="C168" s="1">
        <f t="shared" si="131"/>
        <v>166</v>
      </c>
      <c r="D168">
        <f t="shared" ca="1" si="132"/>
        <v>0.156</v>
      </c>
      <c r="E168">
        <f t="shared" ca="1" si="133"/>
        <v>4.3999999999999997E-2</v>
      </c>
      <c r="F168">
        <f t="shared" ca="1" si="134"/>
        <v>0.82399999999999995</v>
      </c>
      <c r="G168">
        <f t="shared" ca="1" si="135"/>
        <v>2.1999999999999999E-2</v>
      </c>
      <c r="H168">
        <f t="shared" ca="1" si="136"/>
        <v>0.308</v>
      </c>
      <c r="I168">
        <f t="shared" ca="1" si="137"/>
        <v>0.152</v>
      </c>
      <c r="J168">
        <f t="shared" ca="1" si="138"/>
        <v>0.18</v>
      </c>
      <c r="K168">
        <f t="shared" ca="1" si="139"/>
        <v>0</v>
      </c>
      <c r="L168">
        <f t="shared" ca="1" si="139"/>
        <v>0</v>
      </c>
      <c r="M168">
        <f t="shared" ca="1" si="139"/>
        <v>0.72445097152190285</v>
      </c>
      <c r="N168">
        <f t="shared" ca="1" si="139"/>
        <v>0.40416453586154544</v>
      </c>
      <c r="O168">
        <f t="shared" ca="1" si="139"/>
        <v>0</v>
      </c>
      <c r="P168">
        <f t="shared" ca="1" si="139"/>
        <v>0</v>
      </c>
      <c r="Q168">
        <f t="shared" ca="1" si="139"/>
        <v>0.57985591455405283</v>
      </c>
      <c r="R168">
        <f t="shared" ca="1" si="140"/>
        <v>0.72445097152190285</v>
      </c>
      <c r="S168">
        <f t="shared" ca="1" si="129"/>
        <v>0</v>
      </c>
      <c r="T168">
        <f t="shared" ca="1" si="141"/>
        <v>0</v>
      </c>
    </row>
    <row r="169" spans="1:20" x14ac:dyDescent="0.25">
      <c r="A169" s="1" t="s">
        <v>31</v>
      </c>
      <c r="B169" s="1">
        <f t="shared" si="130"/>
        <v>0</v>
      </c>
      <c r="C169" s="1">
        <f t="shared" si="131"/>
        <v>167</v>
      </c>
      <c r="D169">
        <f t="shared" ca="1" si="132"/>
        <v>0.877</v>
      </c>
      <c r="E169">
        <f t="shared" ca="1" si="133"/>
        <v>1.2969999999999999</v>
      </c>
      <c r="F169">
        <f t="shared" ca="1" si="134"/>
        <v>1.5509999999999999</v>
      </c>
      <c r="G169">
        <f t="shared" ca="1" si="135"/>
        <v>1.0840000000000001</v>
      </c>
      <c r="H169">
        <f t="shared" ca="1" si="136"/>
        <v>2.6120000000000001</v>
      </c>
      <c r="I169">
        <f t="shared" ca="1" si="137"/>
        <v>0.377</v>
      </c>
      <c r="J169">
        <f t="shared" ca="1" si="138"/>
        <v>1.284</v>
      </c>
      <c r="K169">
        <f t="shared" ca="1" si="139"/>
        <v>0</v>
      </c>
      <c r="L169">
        <f t="shared" ca="1" si="139"/>
        <v>0</v>
      </c>
      <c r="M169">
        <f t="shared" ca="1" si="139"/>
        <v>0</v>
      </c>
      <c r="N169">
        <f t="shared" ca="1" si="139"/>
        <v>0.38982326043906329</v>
      </c>
      <c r="O169">
        <f t="shared" ca="1" si="139"/>
        <v>0</v>
      </c>
      <c r="P169">
        <f t="shared" ca="1" si="139"/>
        <v>0</v>
      </c>
      <c r="Q169">
        <f t="shared" ca="1" si="139"/>
        <v>0</v>
      </c>
      <c r="R169">
        <f t="shared" ca="1" si="140"/>
        <v>0.38982326043906329</v>
      </c>
      <c r="S169">
        <f t="shared" ca="1" si="129"/>
        <v>0</v>
      </c>
      <c r="T169">
        <f t="shared" ca="1" si="141"/>
        <v>0</v>
      </c>
    </row>
    <row r="170" spans="1:20" x14ac:dyDescent="0.25">
      <c r="A170" s="1" t="s">
        <v>34</v>
      </c>
      <c r="B170" s="1">
        <f t="shared" si="130"/>
        <v>9</v>
      </c>
      <c r="C170" s="1">
        <f t="shared" si="131"/>
        <v>168</v>
      </c>
      <c r="D170">
        <f t="shared" ca="1" si="132"/>
        <v>3.1669999999999998</v>
      </c>
      <c r="E170">
        <f t="shared" ca="1" si="133"/>
        <v>0.29699999999999999</v>
      </c>
      <c r="F170">
        <f t="shared" ca="1" si="134"/>
        <v>0.39800000000000002</v>
      </c>
      <c r="G170">
        <f t="shared" ca="1" si="135"/>
        <v>3.9020000000000001</v>
      </c>
      <c r="H170">
        <f t="shared" ca="1" si="136"/>
        <v>0.58499999999999996</v>
      </c>
      <c r="I170">
        <f t="shared" ca="1" si="137"/>
        <v>0.501</v>
      </c>
      <c r="J170">
        <f t="shared" ca="1" si="138"/>
        <v>0.48299999999999998</v>
      </c>
      <c r="K170">
        <f t="shared" ca="1" si="139"/>
        <v>0</v>
      </c>
      <c r="L170">
        <f t="shared" ca="1" si="139"/>
        <v>0</v>
      </c>
      <c r="M170">
        <f t="shared" ca="1" si="139"/>
        <v>0</v>
      </c>
      <c r="N170">
        <f t="shared" ca="1" si="139"/>
        <v>0.40023792772126243</v>
      </c>
      <c r="O170">
        <f t="shared" ca="1" si="139"/>
        <v>0</v>
      </c>
      <c r="P170">
        <f t="shared" ca="1" si="139"/>
        <v>0</v>
      </c>
      <c r="Q170">
        <f t="shared" ca="1" si="139"/>
        <v>0</v>
      </c>
      <c r="R170">
        <f t="shared" ca="1" si="140"/>
        <v>0.40023792772126243</v>
      </c>
      <c r="S170">
        <f t="shared" ca="1" si="129"/>
        <v>0</v>
      </c>
      <c r="T170">
        <f t="shared" ca="1" si="141"/>
        <v>0</v>
      </c>
    </row>
    <row r="171" spans="1:20" x14ac:dyDescent="0.25">
      <c r="A171" s="1" t="s">
        <v>47</v>
      </c>
      <c r="B171" s="1">
        <f t="shared" si="130"/>
        <v>18</v>
      </c>
      <c r="C171" s="1">
        <f t="shared" si="131"/>
        <v>169</v>
      </c>
      <c r="D171">
        <f t="shared" ca="1" si="132"/>
        <v>0</v>
      </c>
      <c r="E171">
        <f t="shared" ca="1" si="133"/>
        <v>0</v>
      </c>
      <c r="F171">
        <f t="shared" ca="1" si="134"/>
        <v>0.45600000000000002</v>
      </c>
      <c r="G171">
        <f t="shared" ca="1" si="135"/>
        <v>1.9E-2</v>
      </c>
      <c r="H171">
        <f t="shared" ca="1" si="136"/>
        <v>0</v>
      </c>
      <c r="I171">
        <f t="shared" ca="1" si="137"/>
        <v>0</v>
      </c>
      <c r="J171">
        <f t="shared" ca="1" si="138"/>
        <v>0.24</v>
      </c>
      <c r="K171">
        <f t="shared" ca="1" si="139"/>
        <v>0</v>
      </c>
      <c r="L171">
        <f t="shared" ca="1" si="139"/>
        <v>0</v>
      </c>
      <c r="M171">
        <f t="shared" ca="1" si="139"/>
        <v>0</v>
      </c>
      <c r="N171">
        <f t="shared" ca="1" si="139"/>
        <v>0.3755037945095952</v>
      </c>
      <c r="O171">
        <f t="shared" ca="1" si="139"/>
        <v>0</v>
      </c>
      <c r="P171">
        <f t="shared" ca="1" si="139"/>
        <v>0</v>
      </c>
      <c r="Q171">
        <f t="shared" ca="1" si="139"/>
        <v>0</v>
      </c>
      <c r="R171">
        <f t="shared" ca="1" si="140"/>
        <v>0.3755037945095952</v>
      </c>
      <c r="S171">
        <f t="shared" ca="1" si="129"/>
        <v>0</v>
      </c>
      <c r="T171">
        <f t="shared" ca="1" si="141"/>
        <v>0</v>
      </c>
    </row>
    <row r="172" spans="1:20" x14ac:dyDescent="0.25">
      <c r="A172" s="1" t="s">
        <v>35</v>
      </c>
      <c r="B172" s="1">
        <f t="shared" si="130"/>
        <v>2</v>
      </c>
      <c r="C172" s="1">
        <f t="shared" si="131"/>
        <v>170</v>
      </c>
      <c r="D172">
        <f t="shared" ca="1" si="132"/>
        <v>2.2679999999999998</v>
      </c>
      <c r="E172">
        <f t="shared" ca="1" si="133"/>
        <v>0.23699999999999999</v>
      </c>
      <c r="F172">
        <f t="shared" ca="1" si="134"/>
        <v>0.66300000000000003</v>
      </c>
      <c r="G172">
        <f t="shared" ca="1" si="135"/>
        <v>1.62</v>
      </c>
      <c r="H172">
        <f t="shared" ca="1" si="136"/>
        <v>1.448</v>
      </c>
      <c r="I172">
        <f t="shared" ca="1" si="137"/>
        <v>0.03</v>
      </c>
      <c r="J172">
        <f t="shared" ca="1" si="138"/>
        <v>2.3519999999999999</v>
      </c>
      <c r="K172">
        <f t="shared" ca="1" si="139"/>
        <v>0</v>
      </c>
      <c r="L172">
        <f t="shared" ca="1" si="139"/>
        <v>0</v>
      </c>
      <c r="M172">
        <f t="shared" ca="1" si="139"/>
        <v>0</v>
      </c>
      <c r="N172">
        <f t="shared" ca="1" si="139"/>
        <v>0.43735473826177995</v>
      </c>
      <c r="O172">
        <f t="shared" ca="1" si="139"/>
        <v>0</v>
      </c>
      <c r="P172">
        <f t="shared" ca="1" si="139"/>
        <v>0.47774025830115752</v>
      </c>
      <c r="Q172">
        <f t="shared" ca="1" si="139"/>
        <v>0</v>
      </c>
      <c r="R172">
        <f t="shared" ca="1" si="140"/>
        <v>0.47774025830115752</v>
      </c>
      <c r="S172">
        <f t="shared" ca="1" si="129"/>
        <v>0</v>
      </c>
      <c r="T172">
        <f t="shared" ca="1" si="141"/>
        <v>0</v>
      </c>
    </row>
    <row r="173" spans="1:20" x14ac:dyDescent="0.25">
      <c r="A173" s="1" t="s">
        <v>41</v>
      </c>
      <c r="B173" s="1">
        <f t="shared" si="130"/>
        <v>7</v>
      </c>
      <c r="C173" s="1">
        <f t="shared" si="131"/>
        <v>171</v>
      </c>
      <c r="D173">
        <f t="shared" ca="1" si="132"/>
        <v>0.89400000000000002</v>
      </c>
      <c r="E173">
        <f t="shared" ca="1" si="133"/>
        <v>0.51400000000000001</v>
      </c>
      <c r="F173">
        <f t="shared" ca="1" si="134"/>
        <v>0.47099999999999997</v>
      </c>
      <c r="G173">
        <f t="shared" ca="1" si="135"/>
        <v>0.43099999999999999</v>
      </c>
      <c r="H173">
        <f t="shared" ca="1" si="136"/>
        <v>2.597</v>
      </c>
      <c r="I173">
        <f t="shared" ca="1" si="137"/>
        <v>9.8000000000000004E-2</v>
      </c>
      <c r="J173">
        <f t="shared" ca="1" si="138"/>
        <v>0.34499999999999997</v>
      </c>
      <c r="K173">
        <f t="shared" ca="1" si="139"/>
        <v>0</v>
      </c>
      <c r="L173">
        <f t="shared" ca="1" si="139"/>
        <v>0</v>
      </c>
      <c r="M173">
        <f t="shared" ca="1" si="139"/>
        <v>0</v>
      </c>
      <c r="N173">
        <f t="shared" ca="1" si="139"/>
        <v>0.41940255869412463</v>
      </c>
      <c r="O173">
        <f t="shared" ca="1" si="139"/>
        <v>0</v>
      </c>
      <c r="P173">
        <f t="shared" ca="1" si="139"/>
        <v>0.5642358214791553</v>
      </c>
      <c r="Q173">
        <f t="shared" ca="1" si="139"/>
        <v>0</v>
      </c>
      <c r="R173">
        <f t="shared" ca="1" si="140"/>
        <v>0.5642358214791553</v>
      </c>
      <c r="S173">
        <f t="shared" ca="1" si="129"/>
        <v>0</v>
      </c>
      <c r="T173">
        <f t="shared" ca="1" si="141"/>
        <v>0</v>
      </c>
    </row>
    <row r="174" spans="1:20" x14ac:dyDescent="0.25">
      <c r="A174" s="1" t="s">
        <v>32</v>
      </c>
      <c r="B174" s="1">
        <f t="shared" si="130"/>
        <v>3</v>
      </c>
      <c r="C174" s="1">
        <f t="shared" si="131"/>
        <v>172</v>
      </c>
      <c r="D174">
        <f t="shared" ca="1" si="132"/>
        <v>5.6849999999999996</v>
      </c>
      <c r="E174">
        <f t="shared" ca="1" si="133"/>
        <v>2.4940000000000002</v>
      </c>
      <c r="F174">
        <f t="shared" ca="1" si="134"/>
        <v>3.048</v>
      </c>
      <c r="G174">
        <f t="shared" ca="1" si="135"/>
        <v>0.26200000000000001</v>
      </c>
      <c r="H174">
        <f t="shared" ca="1" si="136"/>
        <v>3.496</v>
      </c>
      <c r="I174">
        <f t="shared" ca="1" si="137"/>
        <v>3.1080000000000001</v>
      </c>
      <c r="J174">
        <f t="shared" ca="1" si="138"/>
        <v>0.998</v>
      </c>
      <c r="K174">
        <f t="shared" ca="1" si="139"/>
        <v>0</v>
      </c>
      <c r="L174">
        <f t="shared" ca="1" si="139"/>
        <v>0</v>
      </c>
      <c r="M174">
        <f t="shared" ca="1" si="139"/>
        <v>0</v>
      </c>
      <c r="N174">
        <f t="shared" ca="1" si="139"/>
        <v>0.37010614244997031</v>
      </c>
      <c r="O174">
        <f t="shared" ca="1" si="139"/>
        <v>0</v>
      </c>
      <c r="P174">
        <f t="shared" ca="1" si="139"/>
        <v>0.55913586663808446</v>
      </c>
      <c r="Q174">
        <f t="shared" ca="1" si="139"/>
        <v>0</v>
      </c>
      <c r="R174">
        <f t="shared" ca="1" si="140"/>
        <v>0.55913586663808446</v>
      </c>
      <c r="S174">
        <f t="shared" ca="1" si="129"/>
        <v>0</v>
      </c>
      <c r="T174">
        <f t="shared" ca="1" si="141"/>
        <v>0</v>
      </c>
    </row>
    <row r="175" spans="1:20" x14ac:dyDescent="0.25">
      <c r="A175" s="1" t="s">
        <v>45</v>
      </c>
      <c r="B175" s="1">
        <f t="shared" si="130"/>
        <v>16</v>
      </c>
      <c r="C175" s="1">
        <f t="shared" si="131"/>
        <v>173</v>
      </c>
      <c r="D175">
        <f t="shared" ca="1" si="132"/>
        <v>0.84299999999999997</v>
      </c>
      <c r="E175">
        <f t="shared" ca="1" si="133"/>
        <v>0.64700000000000002</v>
      </c>
      <c r="F175">
        <f t="shared" ca="1" si="134"/>
        <v>0.16900000000000001</v>
      </c>
      <c r="G175">
        <f t="shared" ca="1" si="135"/>
        <v>0.70199999999999996</v>
      </c>
      <c r="H175">
        <f t="shared" ca="1" si="136"/>
        <v>0.95499999999999996</v>
      </c>
      <c r="I175">
        <f t="shared" ca="1" si="137"/>
        <v>0.65400000000000003</v>
      </c>
      <c r="J175">
        <f t="shared" ca="1" si="138"/>
        <v>0.79100000000000004</v>
      </c>
      <c r="K175">
        <f t="shared" ca="1" si="139"/>
        <v>0</v>
      </c>
      <c r="L175">
        <f t="shared" ca="1" si="139"/>
        <v>0</v>
      </c>
      <c r="M175">
        <f t="shared" ca="1" si="139"/>
        <v>0</v>
      </c>
      <c r="N175">
        <f t="shared" ca="1" si="139"/>
        <v>0.39537472070590551</v>
      </c>
      <c r="O175">
        <f t="shared" ca="1" si="139"/>
        <v>0</v>
      </c>
      <c r="P175">
        <f t="shared" ca="1" si="139"/>
        <v>0.51899599324867485</v>
      </c>
      <c r="Q175">
        <f t="shared" ca="1" si="139"/>
        <v>0</v>
      </c>
      <c r="R175">
        <f t="shared" ca="1" si="140"/>
        <v>0.51899599324867485</v>
      </c>
      <c r="S175">
        <f t="shared" ref="S175:S190" ca="1" si="142">IF(R148&gt;1.55,1,IF(R148&gt;1.48,0.9,IF(R148&gt;1.4,0.8,IF(R148&gt;1.36666,0.6,IF(R148&gt;1.33333,0.4,IF(R148&gt;1.22,0.2,IF(R148&gt;1,0.1,0)))))))</f>
        <v>0</v>
      </c>
      <c r="T175">
        <f t="shared" ca="1" si="141"/>
        <v>0</v>
      </c>
    </row>
    <row r="176" spans="1:20" x14ac:dyDescent="0.25">
      <c r="A176" s="1" t="s">
        <v>38</v>
      </c>
      <c r="B176" s="1">
        <f t="shared" si="130"/>
        <v>5</v>
      </c>
      <c r="C176" s="1">
        <f t="shared" si="131"/>
        <v>174</v>
      </c>
      <c r="D176">
        <f t="shared" ca="1" si="132"/>
        <v>0.156</v>
      </c>
      <c r="E176">
        <f t="shared" ca="1" si="133"/>
        <v>4.4999999999999998E-2</v>
      </c>
      <c r="F176">
        <f t="shared" ca="1" si="134"/>
        <v>0.27500000000000002</v>
      </c>
      <c r="G176">
        <f t="shared" ca="1" si="135"/>
        <v>0.57799999999999996</v>
      </c>
      <c r="H176">
        <f t="shared" ca="1" si="136"/>
        <v>0.216</v>
      </c>
      <c r="I176">
        <f t="shared" ca="1" si="137"/>
        <v>0.21099999999999999</v>
      </c>
      <c r="J176">
        <f t="shared" ca="1" si="138"/>
        <v>0.42599999999999999</v>
      </c>
      <c r="K176">
        <f t="shared" ca="1" si="139"/>
        <v>0</v>
      </c>
      <c r="L176">
        <f t="shared" ca="1" si="139"/>
        <v>0</v>
      </c>
      <c r="M176">
        <f t="shared" ca="1" si="139"/>
        <v>0</v>
      </c>
      <c r="N176">
        <f t="shared" ca="1" si="139"/>
        <v>0.39276056692317335</v>
      </c>
      <c r="O176">
        <f t="shared" ca="1" si="139"/>
        <v>0</v>
      </c>
      <c r="P176">
        <f t="shared" ca="1" si="139"/>
        <v>0.5108085496958743</v>
      </c>
      <c r="Q176">
        <f t="shared" ca="1" si="139"/>
        <v>0</v>
      </c>
      <c r="R176">
        <f t="shared" ca="1" si="140"/>
        <v>0.5108085496958743</v>
      </c>
      <c r="S176">
        <f t="shared" ca="1" si="142"/>
        <v>0</v>
      </c>
      <c r="T176">
        <f t="shared" ca="1" si="141"/>
        <v>0</v>
      </c>
    </row>
    <row r="177" spans="1:20" x14ac:dyDescent="0.25">
      <c r="A177" s="1" t="s">
        <v>36</v>
      </c>
      <c r="B177" s="1">
        <f t="shared" si="130"/>
        <v>13</v>
      </c>
      <c r="C177" s="1">
        <f t="shared" si="131"/>
        <v>175</v>
      </c>
      <c r="D177">
        <f t="shared" ca="1" si="132"/>
        <v>0.17899999999999999</v>
      </c>
      <c r="E177">
        <f t="shared" ca="1" si="133"/>
        <v>2.1139999999999999</v>
      </c>
      <c r="F177">
        <f t="shared" ca="1" si="134"/>
        <v>1.778</v>
      </c>
      <c r="G177">
        <f t="shared" ca="1" si="135"/>
        <v>0.63100000000000001</v>
      </c>
      <c r="H177">
        <f t="shared" ca="1" si="136"/>
        <v>2.5499999999999998</v>
      </c>
      <c r="I177">
        <f t="shared" ca="1" si="137"/>
        <v>1.5780000000000001</v>
      </c>
      <c r="J177">
        <f t="shared" ca="1" si="138"/>
        <v>2.5259999999999998</v>
      </c>
      <c r="K177">
        <f t="shared" ca="1" si="139"/>
        <v>0</v>
      </c>
      <c r="L177">
        <f t="shared" ca="1" si="139"/>
        <v>0</v>
      </c>
      <c r="M177">
        <f t="shared" ca="1" si="139"/>
        <v>0</v>
      </c>
      <c r="N177">
        <f t="shared" ca="1" si="139"/>
        <v>0.39276056692317335</v>
      </c>
      <c r="O177">
        <f t="shared" ca="1" si="139"/>
        <v>0</v>
      </c>
      <c r="P177">
        <f t="shared" ca="1" si="139"/>
        <v>0.5108085496958743</v>
      </c>
      <c r="Q177">
        <f t="shared" ca="1" si="139"/>
        <v>0</v>
      </c>
      <c r="R177">
        <f t="shared" ca="1" si="140"/>
        <v>0.5108085496958743</v>
      </c>
      <c r="S177">
        <f t="shared" ca="1" si="142"/>
        <v>0</v>
      </c>
      <c r="T177">
        <f t="shared" ca="1" si="141"/>
        <v>0</v>
      </c>
    </row>
    <row r="178" spans="1:20" x14ac:dyDescent="0.25">
      <c r="A178" s="1" t="s">
        <v>36</v>
      </c>
      <c r="B178" s="1">
        <f t="shared" si="130"/>
        <v>13</v>
      </c>
      <c r="C178" s="1">
        <f t="shared" si="131"/>
        <v>176</v>
      </c>
      <c r="D178">
        <f t="shared" ca="1" si="132"/>
        <v>2.1139999999999999</v>
      </c>
      <c r="E178">
        <f t="shared" ca="1" si="133"/>
        <v>1.778</v>
      </c>
      <c r="F178">
        <f t="shared" ca="1" si="134"/>
        <v>0.63100000000000001</v>
      </c>
      <c r="G178">
        <f t="shared" ca="1" si="135"/>
        <v>2.5499999999999998</v>
      </c>
      <c r="H178">
        <f t="shared" ca="1" si="136"/>
        <v>1.5780000000000001</v>
      </c>
      <c r="I178">
        <f t="shared" ca="1" si="137"/>
        <v>2.5259999999999998</v>
      </c>
      <c r="J178">
        <f t="shared" ca="1" si="138"/>
        <v>0.17899999999999999</v>
      </c>
      <c r="K178">
        <f t="shared" ca="1" si="139"/>
        <v>0</v>
      </c>
      <c r="L178">
        <f t="shared" ca="1" si="139"/>
        <v>0</v>
      </c>
      <c r="M178">
        <f t="shared" ca="1" si="139"/>
        <v>0</v>
      </c>
      <c r="N178">
        <f t="shared" ca="1" si="139"/>
        <v>0.41320121117269187</v>
      </c>
      <c r="O178">
        <f t="shared" ca="1" si="139"/>
        <v>0</v>
      </c>
      <c r="P178">
        <f t="shared" ca="1" si="139"/>
        <v>0.50706102501027672</v>
      </c>
      <c r="Q178">
        <f t="shared" ca="1" si="139"/>
        <v>0</v>
      </c>
      <c r="R178">
        <f t="shared" ca="1" si="140"/>
        <v>0.50706102501027672</v>
      </c>
      <c r="S178">
        <f t="shared" ca="1" si="142"/>
        <v>0</v>
      </c>
      <c r="T178">
        <f t="shared" ca="1" si="141"/>
        <v>0</v>
      </c>
    </row>
    <row r="179" spans="1:20" x14ac:dyDescent="0.25">
      <c r="A179" s="1" t="s">
        <v>45</v>
      </c>
      <c r="B179" s="1">
        <f t="shared" ref="B179:B194" si="143">LOOKUP($A179,$V$4:$V$23,$W$4:$W$23)</f>
        <v>16</v>
      </c>
      <c r="C179" s="1">
        <f t="shared" si="131"/>
        <v>177</v>
      </c>
      <c r="D179">
        <f t="shared" ca="1" si="132"/>
        <v>0.95499999999999996</v>
      </c>
      <c r="E179">
        <f t="shared" ca="1" si="133"/>
        <v>0.65400000000000003</v>
      </c>
      <c r="F179">
        <f t="shared" ca="1" si="134"/>
        <v>0.79100000000000004</v>
      </c>
      <c r="G179">
        <f t="shared" ca="1" si="135"/>
        <v>0.84299999999999997</v>
      </c>
      <c r="H179">
        <f t="shared" ca="1" si="136"/>
        <v>0.64700000000000002</v>
      </c>
      <c r="I179">
        <f t="shared" ca="1" si="137"/>
        <v>0.16900000000000001</v>
      </c>
      <c r="J179">
        <f t="shared" ca="1" si="138"/>
        <v>0.70199999999999996</v>
      </c>
      <c r="K179">
        <f t="shared" ca="1" si="139"/>
        <v>0</v>
      </c>
      <c r="L179">
        <f t="shared" ca="1" si="139"/>
        <v>0</v>
      </c>
      <c r="M179">
        <f t="shared" ca="1" si="139"/>
        <v>0</v>
      </c>
      <c r="N179">
        <f t="shared" ca="1" si="139"/>
        <v>0.37587624807494463</v>
      </c>
      <c r="O179">
        <f t="shared" ca="1" si="139"/>
        <v>0</v>
      </c>
      <c r="P179">
        <f t="shared" ca="1" si="139"/>
        <v>0.43877259232742721</v>
      </c>
      <c r="Q179">
        <f t="shared" ca="1" si="139"/>
        <v>0</v>
      </c>
      <c r="R179">
        <f t="shared" ca="1" si="140"/>
        <v>0.43877259232742721</v>
      </c>
      <c r="S179">
        <f t="shared" ca="1" si="142"/>
        <v>0</v>
      </c>
      <c r="T179">
        <f t="shared" ca="1" si="141"/>
        <v>0</v>
      </c>
    </row>
    <row r="180" spans="1:20" x14ac:dyDescent="0.25">
      <c r="A180" s="1" t="s">
        <v>45</v>
      </c>
      <c r="B180" s="1">
        <f t="shared" si="143"/>
        <v>16</v>
      </c>
      <c r="C180" s="1">
        <f t="shared" ref="C180:C195" si="144">C179+1</f>
        <v>178</v>
      </c>
      <c r="D180">
        <f t="shared" ref="D180:D195" ca="1" si="145">OFFSET($X$4,$B180,MOD($C180,7),1,1)</f>
        <v>0.65400000000000003</v>
      </c>
      <c r="E180">
        <f t="shared" ref="E180:E195" ca="1" si="146">OFFSET($X$4,$B180,MOD($C180+1,7),1,1)</f>
        <v>0.79100000000000004</v>
      </c>
      <c r="F180">
        <f t="shared" ref="F180:F195" ca="1" si="147">OFFSET($X$4,$B180,MOD($C180+2,7),1,1)</f>
        <v>0.84299999999999997</v>
      </c>
      <c r="G180">
        <f t="shared" ref="G180:G195" ca="1" si="148">OFFSET($X$4,$B180,MOD($C180+3,7),1,1)</f>
        <v>0.64700000000000002</v>
      </c>
      <c r="H180">
        <f t="shared" ref="H180:H195" ca="1" si="149">OFFSET($X$4,$B180,MOD($C180+4,7),1,1)</f>
        <v>0.16900000000000001</v>
      </c>
      <c r="I180">
        <f t="shared" ref="I180:I195" ca="1" si="150">OFFSET($X$4,$B180,MOD($C180+5,7),1,1)</f>
        <v>0.70199999999999996</v>
      </c>
      <c r="J180">
        <f t="shared" ref="J180:J195" ca="1" si="151">OFFSET($X$4,$B180,MOD($C180+6,7),1,1)</f>
        <v>0.95499999999999996</v>
      </c>
      <c r="K180">
        <f t="shared" ref="K180:Q195" ca="1" si="152">POWER(PRODUCT(D180:D207),1/28)</f>
        <v>0</v>
      </c>
      <c r="L180">
        <f t="shared" ca="1" si="152"/>
        <v>0</v>
      </c>
      <c r="M180">
        <f t="shared" ca="1" si="152"/>
        <v>0</v>
      </c>
      <c r="N180">
        <f t="shared" ca="1" si="152"/>
        <v>0.38474818292954821</v>
      </c>
      <c r="O180">
        <f t="shared" ca="1" si="152"/>
        <v>0</v>
      </c>
      <c r="P180">
        <f t="shared" ca="1" si="152"/>
        <v>0.4125023623254036</v>
      </c>
      <c r="Q180">
        <f t="shared" ca="1" si="152"/>
        <v>0</v>
      </c>
      <c r="R180">
        <f t="shared" ref="R180:R195" ca="1" si="153">MAX(K180:Q180)</f>
        <v>0.4125023623254036</v>
      </c>
      <c r="S180">
        <f t="shared" ca="1" si="142"/>
        <v>0</v>
      </c>
      <c r="T180">
        <f t="shared" ref="T180:T195" ca="1" si="154">MAX(S180:S207)</f>
        <v>0</v>
      </c>
    </row>
    <row r="181" spans="1:20" x14ac:dyDescent="0.25">
      <c r="A181" s="1" t="s">
        <v>45</v>
      </c>
      <c r="B181" s="1">
        <f t="shared" si="143"/>
        <v>16</v>
      </c>
      <c r="C181" s="1">
        <f t="shared" si="144"/>
        <v>179</v>
      </c>
      <c r="D181">
        <f t="shared" ca="1" si="145"/>
        <v>0.79100000000000004</v>
      </c>
      <c r="E181">
        <f t="shared" ca="1" si="146"/>
        <v>0.84299999999999997</v>
      </c>
      <c r="F181">
        <f t="shared" ca="1" si="147"/>
        <v>0.64700000000000002</v>
      </c>
      <c r="G181">
        <f t="shared" ca="1" si="148"/>
        <v>0.16900000000000001</v>
      </c>
      <c r="H181">
        <f t="shared" ca="1" si="149"/>
        <v>0.70199999999999996</v>
      </c>
      <c r="I181">
        <f t="shared" ca="1" si="150"/>
        <v>0.95499999999999996</v>
      </c>
      <c r="J181">
        <f t="shared" ca="1" si="151"/>
        <v>0.65400000000000003</v>
      </c>
      <c r="K181">
        <f t="shared" ca="1" si="152"/>
        <v>0</v>
      </c>
      <c r="L181">
        <f t="shared" ca="1" si="152"/>
        <v>0</v>
      </c>
      <c r="M181">
        <f t="shared" ca="1" si="152"/>
        <v>0</v>
      </c>
      <c r="N181">
        <f t="shared" ca="1" si="152"/>
        <v>0.38895044005503737</v>
      </c>
      <c r="O181">
        <f t="shared" ca="1" si="152"/>
        <v>0</v>
      </c>
      <c r="P181">
        <f t="shared" ca="1" si="152"/>
        <v>0.42434780933712168</v>
      </c>
      <c r="Q181">
        <f t="shared" ca="1" si="152"/>
        <v>0</v>
      </c>
      <c r="R181">
        <f t="shared" ca="1" si="153"/>
        <v>0.42434780933712168</v>
      </c>
      <c r="S181">
        <f t="shared" ca="1" si="142"/>
        <v>0</v>
      </c>
      <c r="T181">
        <f t="shared" ca="1" si="154"/>
        <v>0</v>
      </c>
    </row>
    <row r="182" spans="1:20" x14ac:dyDescent="0.25">
      <c r="A182" s="1" t="s">
        <v>37</v>
      </c>
      <c r="B182" s="1">
        <f t="shared" si="143"/>
        <v>4</v>
      </c>
      <c r="C182" s="1">
        <f t="shared" si="144"/>
        <v>180</v>
      </c>
      <c r="D182">
        <f t="shared" ca="1" si="145"/>
        <v>0.106</v>
      </c>
      <c r="E182">
        <f t="shared" ca="1" si="146"/>
        <v>1.2999999999999999E-2</v>
      </c>
      <c r="F182">
        <f t="shared" ca="1" si="147"/>
        <v>0.53100000000000003</v>
      </c>
      <c r="G182">
        <f t="shared" ca="1" si="148"/>
        <v>7.5999999999999998E-2</v>
      </c>
      <c r="H182">
        <f t="shared" ca="1" si="149"/>
        <v>0.40300000000000002</v>
      </c>
      <c r="I182">
        <f t="shared" ca="1" si="150"/>
        <v>0.66200000000000003</v>
      </c>
      <c r="J182">
        <f t="shared" ca="1" si="151"/>
        <v>0.189</v>
      </c>
      <c r="K182">
        <f t="shared" ca="1" si="152"/>
        <v>0</v>
      </c>
      <c r="L182">
        <f t="shared" ca="1" si="152"/>
        <v>0</v>
      </c>
      <c r="M182">
        <f t="shared" ca="1" si="152"/>
        <v>0</v>
      </c>
      <c r="N182">
        <f t="shared" ca="1" si="152"/>
        <v>0.40044551466156636</v>
      </c>
      <c r="O182">
        <f t="shared" ca="1" si="152"/>
        <v>0</v>
      </c>
      <c r="P182">
        <f t="shared" ca="1" si="152"/>
        <v>0.42581642184299728</v>
      </c>
      <c r="Q182">
        <f t="shared" ca="1" si="152"/>
        <v>0</v>
      </c>
      <c r="R182">
        <f t="shared" ca="1" si="153"/>
        <v>0.42581642184299728</v>
      </c>
      <c r="S182">
        <f t="shared" ca="1" si="142"/>
        <v>0</v>
      </c>
      <c r="T182">
        <f t="shared" ca="1" si="154"/>
        <v>0</v>
      </c>
    </row>
    <row r="183" spans="1:20" x14ac:dyDescent="0.25">
      <c r="A183" s="1" t="s">
        <v>45</v>
      </c>
      <c r="B183" s="1">
        <f t="shared" si="143"/>
        <v>16</v>
      </c>
      <c r="C183" s="1">
        <f t="shared" si="144"/>
        <v>181</v>
      </c>
      <c r="D183">
        <f t="shared" ca="1" si="145"/>
        <v>0.64700000000000002</v>
      </c>
      <c r="E183">
        <f t="shared" ca="1" si="146"/>
        <v>0.16900000000000001</v>
      </c>
      <c r="F183">
        <f t="shared" ca="1" si="147"/>
        <v>0.70199999999999996</v>
      </c>
      <c r="G183">
        <f t="shared" ca="1" si="148"/>
        <v>0.95499999999999996</v>
      </c>
      <c r="H183">
        <f t="shared" ca="1" si="149"/>
        <v>0.65400000000000003</v>
      </c>
      <c r="I183">
        <f t="shared" ca="1" si="150"/>
        <v>0.79100000000000004</v>
      </c>
      <c r="J183">
        <f t="shared" ca="1" si="151"/>
        <v>0.84299999999999997</v>
      </c>
      <c r="K183">
        <f t="shared" ca="1" si="152"/>
        <v>0</v>
      </c>
      <c r="L183">
        <f t="shared" ca="1" si="152"/>
        <v>0</v>
      </c>
      <c r="M183">
        <f t="shared" ca="1" si="152"/>
        <v>0</v>
      </c>
      <c r="N183">
        <f t="shared" ca="1" si="152"/>
        <v>0.44598673420216361</v>
      </c>
      <c r="O183">
        <f t="shared" ca="1" si="152"/>
        <v>0</v>
      </c>
      <c r="P183">
        <f t="shared" ca="1" si="152"/>
        <v>0.44721074966566426</v>
      </c>
      <c r="Q183">
        <f t="shared" ca="1" si="152"/>
        <v>0</v>
      </c>
      <c r="R183">
        <f t="shared" ca="1" si="153"/>
        <v>0.44721074966566426</v>
      </c>
      <c r="S183">
        <f t="shared" ca="1" si="142"/>
        <v>0</v>
      </c>
      <c r="T183">
        <f t="shared" ca="1" si="154"/>
        <v>0</v>
      </c>
    </row>
    <row r="184" spans="1:20" x14ac:dyDescent="0.25">
      <c r="A184" s="1" t="s">
        <v>38</v>
      </c>
      <c r="B184" s="1">
        <f t="shared" si="143"/>
        <v>5</v>
      </c>
      <c r="C184" s="1">
        <f t="shared" si="144"/>
        <v>182</v>
      </c>
      <c r="D184">
        <f t="shared" ca="1" si="145"/>
        <v>4.4999999999999998E-2</v>
      </c>
      <c r="E184">
        <f t="shared" ca="1" si="146"/>
        <v>0.27500000000000002</v>
      </c>
      <c r="F184">
        <f t="shared" ca="1" si="147"/>
        <v>0.57799999999999996</v>
      </c>
      <c r="G184">
        <f t="shared" ca="1" si="148"/>
        <v>0.216</v>
      </c>
      <c r="H184">
        <f t="shared" ca="1" si="149"/>
        <v>0.21099999999999999</v>
      </c>
      <c r="I184">
        <f t="shared" ca="1" si="150"/>
        <v>0.42599999999999999</v>
      </c>
      <c r="J184">
        <f t="shared" ca="1" si="151"/>
        <v>0.156</v>
      </c>
      <c r="K184">
        <f t="shared" ca="1" si="152"/>
        <v>0</v>
      </c>
      <c r="L184">
        <f t="shared" ca="1" si="152"/>
        <v>0</v>
      </c>
      <c r="M184">
        <f t="shared" ca="1" si="152"/>
        <v>0</v>
      </c>
      <c r="N184">
        <f t="shared" ca="1" si="152"/>
        <v>0.45585931296198856</v>
      </c>
      <c r="O184">
        <f t="shared" ca="1" si="152"/>
        <v>0</v>
      </c>
      <c r="P184">
        <f t="shared" ca="1" si="152"/>
        <v>0.46067472182133368</v>
      </c>
      <c r="Q184">
        <f t="shared" ca="1" si="152"/>
        <v>0</v>
      </c>
      <c r="R184">
        <f t="shared" ca="1" si="153"/>
        <v>0.46067472182133368</v>
      </c>
      <c r="S184">
        <f t="shared" ca="1" si="142"/>
        <v>0</v>
      </c>
      <c r="T184">
        <f t="shared" ca="1" si="154"/>
        <v>0</v>
      </c>
    </row>
    <row r="185" spans="1:20" x14ac:dyDescent="0.25">
      <c r="A185" s="1" t="s">
        <v>40</v>
      </c>
      <c r="B185" s="1">
        <f t="shared" si="143"/>
        <v>6</v>
      </c>
      <c r="C185" s="1">
        <f t="shared" si="144"/>
        <v>183</v>
      </c>
      <c r="D185">
        <f t="shared" ca="1" si="145"/>
        <v>0.27500000000000002</v>
      </c>
      <c r="E185">
        <f t="shared" ca="1" si="146"/>
        <v>0.67900000000000005</v>
      </c>
      <c r="F185">
        <f t="shared" ca="1" si="147"/>
        <v>0.39500000000000002</v>
      </c>
      <c r="G185">
        <f t="shared" ca="1" si="148"/>
        <v>0.29399999999999998</v>
      </c>
      <c r="H185">
        <f t="shared" ca="1" si="149"/>
        <v>0.57899999999999996</v>
      </c>
      <c r="I185">
        <f t="shared" ca="1" si="150"/>
        <v>0.21299999999999999</v>
      </c>
      <c r="J185">
        <f t="shared" ca="1" si="151"/>
        <v>0.34699999999999998</v>
      </c>
      <c r="K185">
        <f t="shared" ca="1" si="152"/>
        <v>0</v>
      </c>
      <c r="L185">
        <f t="shared" ca="1" si="152"/>
        <v>0</v>
      </c>
      <c r="M185">
        <f t="shared" ca="1" si="152"/>
        <v>0</v>
      </c>
      <c r="N185">
        <f t="shared" ca="1" si="152"/>
        <v>0.50549602267556337</v>
      </c>
      <c r="O185">
        <f t="shared" ca="1" si="152"/>
        <v>0</v>
      </c>
      <c r="P185">
        <f t="shared" ca="1" si="152"/>
        <v>0.46335053894713291</v>
      </c>
      <c r="Q185">
        <f t="shared" ca="1" si="152"/>
        <v>0</v>
      </c>
      <c r="R185">
        <f t="shared" ca="1" si="153"/>
        <v>0.50549602267556337</v>
      </c>
      <c r="S185">
        <f t="shared" ca="1" si="142"/>
        <v>0</v>
      </c>
      <c r="T185">
        <f t="shared" ca="1" si="154"/>
        <v>0</v>
      </c>
    </row>
    <row r="186" spans="1:20" x14ac:dyDescent="0.25">
      <c r="A186" s="1" t="s">
        <v>45</v>
      </c>
      <c r="B186" s="1">
        <f t="shared" si="143"/>
        <v>16</v>
      </c>
      <c r="C186" s="1">
        <f t="shared" si="144"/>
        <v>184</v>
      </c>
      <c r="D186">
        <f t="shared" ca="1" si="145"/>
        <v>0.95499999999999996</v>
      </c>
      <c r="E186">
        <f t="shared" ca="1" si="146"/>
        <v>0.65400000000000003</v>
      </c>
      <c r="F186">
        <f t="shared" ca="1" si="147"/>
        <v>0.79100000000000004</v>
      </c>
      <c r="G186">
        <f t="shared" ca="1" si="148"/>
        <v>0.84299999999999997</v>
      </c>
      <c r="H186">
        <f t="shared" ca="1" si="149"/>
        <v>0.64700000000000002</v>
      </c>
      <c r="I186">
        <f t="shared" ca="1" si="150"/>
        <v>0.16900000000000001</v>
      </c>
      <c r="J186">
        <f t="shared" ca="1" si="151"/>
        <v>0.70199999999999996</v>
      </c>
      <c r="K186">
        <f t="shared" ca="1" si="152"/>
        <v>0</v>
      </c>
      <c r="L186">
        <f t="shared" ca="1" si="152"/>
        <v>0</v>
      </c>
      <c r="M186">
        <f t="shared" ca="1" si="152"/>
        <v>0</v>
      </c>
      <c r="N186">
        <f t="shared" ca="1" si="152"/>
        <v>0.45838695788446426</v>
      </c>
      <c r="O186">
        <f t="shared" ca="1" si="152"/>
        <v>0</v>
      </c>
      <c r="P186">
        <f t="shared" ca="1" si="152"/>
        <v>0</v>
      </c>
      <c r="Q186">
        <f t="shared" ca="1" si="152"/>
        <v>0</v>
      </c>
      <c r="R186">
        <f t="shared" ca="1" si="153"/>
        <v>0.45838695788446426</v>
      </c>
      <c r="S186">
        <f t="shared" ca="1" si="142"/>
        <v>0</v>
      </c>
      <c r="T186">
        <f t="shared" ca="1" si="154"/>
        <v>0</v>
      </c>
    </row>
    <row r="187" spans="1:20" x14ac:dyDescent="0.25">
      <c r="A187" s="1" t="s">
        <v>38</v>
      </c>
      <c r="B187" s="1">
        <f t="shared" si="143"/>
        <v>5</v>
      </c>
      <c r="C187" s="1">
        <f t="shared" si="144"/>
        <v>185</v>
      </c>
      <c r="D187">
        <f t="shared" ca="1" si="145"/>
        <v>0.216</v>
      </c>
      <c r="E187">
        <f t="shared" ca="1" si="146"/>
        <v>0.21099999999999999</v>
      </c>
      <c r="F187">
        <f t="shared" ca="1" si="147"/>
        <v>0.42599999999999999</v>
      </c>
      <c r="G187">
        <f t="shared" ca="1" si="148"/>
        <v>0.156</v>
      </c>
      <c r="H187">
        <f t="shared" ca="1" si="149"/>
        <v>4.4999999999999998E-2</v>
      </c>
      <c r="I187">
        <f t="shared" ca="1" si="150"/>
        <v>0.27500000000000002</v>
      </c>
      <c r="J187">
        <f t="shared" ca="1" si="151"/>
        <v>0.57799999999999996</v>
      </c>
      <c r="K187">
        <f t="shared" ca="1" si="152"/>
        <v>0</v>
      </c>
      <c r="L187">
        <f t="shared" ca="1" si="152"/>
        <v>0</v>
      </c>
      <c r="M187">
        <f t="shared" ca="1" si="152"/>
        <v>0</v>
      </c>
      <c r="N187">
        <f t="shared" ca="1" si="152"/>
        <v>0.46920642107049676</v>
      </c>
      <c r="O187">
        <f t="shared" ca="1" si="152"/>
        <v>0</v>
      </c>
      <c r="P187">
        <f t="shared" ca="1" si="152"/>
        <v>0</v>
      </c>
      <c r="Q187">
        <f t="shared" ca="1" si="152"/>
        <v>0</v>
      </c>
      <c r="R187">
        <f t="shared" ca="1" si="153"/>
        <v>0.46920642107049676</v>
      </c>
      <c r="S187">
        <f t="shared" ca="1" si="142"/>
        <v>0</v>
      </c>
      <c r="T187">
        <f t="shared" ca="1" si="154"/>
        <v>0</v>
      </c>
    </row>
    <row r="188" spans="1:20" x14ac:dyDescent="0.25">
      <c r="A188" s="1" t="s">
        <v>35</v>
      </c>
      <c r="B188" s="1">
        <f t="shared" si="143"/>
        <v>2</v>
      </c>
      <c r="C188" s="1">
        <f t="shared" si="144"/>
        <v>186</v>
      </c>
      <c r="D188">
        <f t="shared" ca="1" si="145"/>
        <v>0.66300000000000003</v>
      </c>
      <c r="E188">
        <f t="shared" ca="1" si="146"/>
        <v>1.62</v>
      </c>
      <c r="F188">
        <f t="shared" ca="1" si="147"/>
        <v>1.448</v>
      </c>
      <c r="G188">
        <f t="shared" ca="1" si="148"/>
        <v>0.03</v>
      </c>
      <c r="H188">
        <f t="shared" ca="1" si="149"/>
        <v>2.3519999999999999</v>
      </c>
      <c r="I188">
        <f t="shared" ca="1" si="150"/>
        <v>2.2679999999999998</v>
      </c>
      <c r="J188">
        <f t="shared" ca="1" si="151"/>
        <v>0.23699999999999999</v>
      </c>
      <c r="K188">
        <f t="shared" ca="1" si="152"/>
        <v>0</v>
      </c>
      <c r="L188">
        <f t="shared" ca="1" si="152"/>
        <v>0</v>
      </c>
      <c r="M188">
        <f t="shared" ca="1" si="152"/>
        <v>0</v>
      </c>
      <c r="N188">
        <f t="shared" ca="1" si="152"/>
        <v>0.4834311002622122</v>
      </c>
      <c r="O188">
        <f t="shared" ca="1" si="152"/>
        <v>0</v>
      </c>
      <c r="P188">
        <f t="shared" ca="1" si="152"/>
        <v>0</v>
      </c>
      <c r="Q188">
        <f t="shared" ca="1" si="152"/>
        <v>0</v>
      </c>
      <c r="R188">
        <f t="shared" ca="1" si="153"/>
        <v>0.4834311002622122</v>
      </c>
      <c r="S188">
        <f t="shared" ca="1" si="142"/>
        <v>0</v>
      </c>
      <c r="T188">
        <f t="shared" ca="1" si="154"/>
        <v>0</v>
      </c>
    </row>
    <row r="189" spans="1:20" x14ac:dyDescent="0.25">
      <c r="A189" s="1" t="s">
        <v>46</v>
      </c>
      <c r="B189" s="1">
        <f t="shared" si="143"/>
        <v>17</v>
      </c>
      <c r="C189" s="1">
        <f t="shared" si="144"/>
        <v>187</v>
      </c>
      <c r="D189">
        <f t="shared" ca="1" si="145"/>
        <v>0.34200000000000003</v>
      </c>
      <c r="E189">
        <f t="shared" ca="1" si="146"/>
        <v>0.36</v>
      </c>
      <c r="F189">
        <f t="shared" ca="1" si="147"/>
        <v>1.665</v>
      </c>
      <c r="G189">
        <f t="shared" ca="1" si="148"/>
        <v>0.40300000000000002</v>
      </c>
      <c r="H189">
        <f t="shared" ca="1" si="149"/>
        <v>0.38600000000000001</v>
      </c>
      <c r="I189">
        <f t="shared" ca="1" si="150"/>
        <v>0.94899999999999995</v>
      </c>
      <c r="J189">
        <f t="shared" ca="1" si="151"/>
        <v>0.21099999999999999</v>
      </c>
      <c r="K189">
        <f t="shared" ca="1" si="152"/>
        <v>0</v>
      </c>
      <c r="L189">
        <f t="shared" ca="1" si="152"/>
        <v>0</v>
      </c>
      <c r="M189">
        <f t="shared" ca="1" si="152"/>
        <v>0</v>
      </c>
      <c r="N189">
        <f t="shared" ca="1" si="152"/>
        <v>0.53982716442154355</v>
      </c>
      <c r="O189">
        <f t="shared" ca="1" si="152"/>
        <v>0</v>
      </c>
      <c r="P189">
        <f t="shared" ca="1" si="152"/>
        <v>0</v>
      </c>
      <c r="Q189">
        <f t="shared" ca="1" si="152"/>
        <v>0</v>
      </c>
      <c r="R189">
        <f t="shared" ca="1" si="153"/>
        <v>0.53982716442154355</v>
      </c>
      <c r="S189">
        <f t="shared" ca="1" si="142"/>
        <v>0</v>
      </c>
      <c r="T189">
        <f t="shared" ca="1" si="154"/>
        <v>0</v>
      </c>
    </row>
    <row r="190" spans="1:20" x14ac:dyDescent="0.25">
      <c r="A190" s="1" t="s">
        <v>22</v>
      </c>
      <c r="B190" s="1">
        <f t="shared" si="143"/>
        <v>10</v>
      </c>
      <c r="C190" s="1">
        <f t="shared" si="144"/>
        <v>188</v>
      </c>
      <c r="D190">
        <f t="shared" ca="1" si="145"/>
        <v>0.66300000000000003</v>
      </c>
      <c r="E190">
        <f t="shared" ca="1" si="146"/>
        <v>2.2400000000000002</v>
      </c>
      <c r="F190">
        <f t="shared" ca="1" si="147"/>
        <v>0.37</v>
      </c>
      <c r="G190">
        <f t="shared" ca="1" si="148"/>
        <v>0.48</v>
      </c>
      <c r="H190">
        <f t="shared" ca="1" si="149"/>
        <v>1.409</v>
      </c>
      <c r="I190">
        <f t="shared" ca="1" si="150"/>
        <v>0.54100000000000004</v>
      </c>
      <c r="J190">
        <f t="shared" ca="1" si="151"/>
        <v>0.77200000000000002</v>
      </c>
      <c r="K190">
        <f t="shared" ca="1" si="152"/>
        <v>0</v>
      </c>
      <c r="L190">
        <f t="shared" ca="1" si="152"/>
        <v>0</v>
      </c>
      <c r="M190">
        <f t="shared" ca="1" si="152"/>
        <v>0</v>
      </c>
      <c r="N190">
        <f t="shared" ca="1" si="152"/>
        <v>0.58312847373410703</v>
      </c>
      <c r="O190">
        <f t="shared" ca="1" si="152"/>
        <v>0</v>
      </c>
      <c r="P190">
        <f t="shared" ca="1" si="152"/>
        <v>0</v>
      </c>
      <c r="Q190">
        <f t="shared" ca="1" si="152"/>
        <v>0</v>
      </c>
      <c r="R190">
        <f t="shared" ca="1" si="153"/>
        <v>0.58312847373410703</v>
      </c>
      <c r="S190">
        <f t="shared" ca="1" si="142"/>
        <v>0</v>
      </c>
      <c r="T190">
        <f t="shared" ca="1" si="154"/>
        <v>0</v>
      </c>
    </row>
    <row r="191" spans="1:20" x14ac:dyDescent="0.25">
      <c r="A191" s="1" t="s">
        <v>30</v>
      </c>
      <c r="B191" s="1">
        <f t="shared" si="143"/>
        <v>15</v>
      </c>
      <c r="C191" s="1">
        <f t="shared" si="144"/>
        <v>189</v>
      </c>
      <c r="D191">
        <f t="shared" ca="1" si="145"/>
        <v>0.38200000000000001</v>
      </c>
      <c r="E191">
        <f t="shared" ca="1" si="146"/>
        <v>0.58299999999999996</v>
      </c>
      <c r="F191">
        <f t="shared" ca="1" si="147"/>
        <v>1.052</v>
      </c>
      <c r="G191">
        <f t="shared" ca="1" si="148"/>
        <v>0.41899999999999998</v>
      </c>
      <c r="H191">
        <f t="shared" ca="1" si="149"/>
        <v>0.52500000000000002</v>
      </c>
      <c r="I191">
        <f t="shared" ca="1" si="150"/>
        <v>0.91600000000000004</v>
      </c>
      <c r="J191">
        <f t="shared" ca="1" si="151"/>
        <v>0.628</v>
      </c>
      <c r="K191">
        <f t="shared" ca="1" si="152"/>
        <v>0</v>
      </c>
      <c r="L191">
        <f t="shared" ca="1" si="152"/>
        <v>0</v>
      </c>
      <c r="M191">
        <f t="shared" ca="1" si="152"/>
        <v>0</v>
      </c>
      <c r="N191">
        <f t="shared" ca="1" si="152"/>
        <v>0.58701055797632118</v>
      </c>
      <c r="O191">
        <f t="shared" ca="1" si="152"/>
        <v>0</v>
      </c>
      <c r="P191">
        <f t="shared" ca="1" si="152"/>
        <v>0</v>
      </c>
      <c r="Q191">
        <f t="shared" ca="1" si="152"/>
        <v>0</v>
      </c>
      <c r="R191">
        <f t="shared" ca="1" si="153"/>
        <v>0.58701055797632118</v>
      </c>
      <c r="S191">
        <f t="shared" ref="S191:S206" ca="1" si="155">IF(R164&gt;1.55,1,IF(R164&gt;1.48,0.9,IF(R164&gt;1.4,0.8,IF(R164&gt;1.36666,0.6,IF(R164&gt;1.33333,0.4,IF(R164&gt;1.22,0.2,IF(R164&gt;1,0.1,0)))))))</f>
        <v>0</v>
      </c>
      <c r="T191">
        <f t="shared" ca="1" si="154"/>
        <v>0</v>
      </c>
    </row>
    <row r="192" spans="1:20" x14ac:dyDescent="0.25">
      <c r="A192" s="1" t="s">
        <v>34</v>
      </c>
      <c r="B192" s="1">
        <f t="shared" si="143"/>
        <v>9</v>
      </c>
      <c r="C192" s="1">
        <f t="shared" si="144"/>
        <v>190</v>
      </c>
      <c r="D192">
        <f t="shared" ca="1" si="145"/>
        <v>0.29699999999999999</v>
      </c>
      <c r="E192">
        <f t="shared" ca="1" si="146"/>
        <v>0.39800000000000002</v>
      </c>
      <c r="F192">
        <f t="shared" ca="1" si="147"/>
        <v>3.9020000000000001</v>
      </c>
      <c r="G192">
        <f t="shared" ca="1" si="148"/>
        <v>0.58499999999999996</v>
      </c>
      <c r="H192">
        <f t="shared" ca="1" si="149"/>
        <v>0.501</v>
      </c>
      <c r="I192">
        <f t="shared" ca="1" si="150"/>
        <v>0.48299999999999998</v>
      </c>
      <c r="J192">
        <f t="shared" ca="1" si="151"/>
        <v>3.1669999999999998</v>
      </c>
      <c r="K192">
        <f t="shared" ca="1" si="152"/>
        <v>0</v>
      </c>
      <c r="L192">
        <f t="shared" ca="1" si="152"/>
        <v>0</v>
      </c>
      <c r="M192">
        <f t="shared" ca="1" si="152"/>
        <v>0</v>
      </c>
      <c r="N192">
        <f t="shared" ca="1" si="152"/>
        <v>0.61299441633298801</v>
      </c>
      <c r="O192">
        <f t="shared" ca="1" si="152"/>
        <v>0</v>
      </c>
      <c r="P192">
        <f t="shared" ca="1" si="152"/>
        <v>0</v>
      </c>
      <c r="Q192">
        <f t="shared" ca="1" si="152"/>
        <v>0</v>
      </c>
      <c r="R192">
        <f t="shared" ca="1" si="153"/>
        <v>0.61299441633298801</v>
      </c>
      <c r="S192">
        <f t="shared" ca="1" si="155"/>
        <v>0</v>
      </c>
      <c r="T192">
        <f t="shared" ca="1" si="154"/>
        <v>0</v>
      </c>
    </row>
    <row r="193" spans="1:20" x14ac:dyDescent="0.25">
      <c r="A193" s="1" t="s">
        <v>30</v>
      </c>
      <c r="B193" s="1">
        <f t="shared" si="143"/>
        <v>15</v>
      </c>
      <c r="C193" s="1">
        <f t="shared" si="144"/>
        <v>191</v>
      </c>
      <c r="D193">
        <f t="shared" ca="1" si="145"/>
        <v>1.052</v>
      </c>
      <c r="E193">
        <f t="shared" ca="1" si="146"/>
        <v>0.41899999999999998</v>
      </c>
      <c r="F193">
        <f t="shared" ca="1" si="147"/>
        <v>0.52500000000000002</v>
      </c>
      <c r="G193">
        <f t="shared" ca="1" si="148"/>
        <v>0.91600000000000004</v>
      </c>
      <c r="H193">
        <f t="shared" ca="1" si="149"/>
        <v>0.628</v>
      </c>
      <c r="I193">
        <f t="shared" ca="1" si="150"/>
        <v>0.38200000000000001</v>
      </c>
      <c r="J193">
        <f t="shared" ca="1" si="151"/>
        <v>0.58299999999999996</v>
      </c>
      <c r="K193">
        <f t="shared" ca="1" si="152"/>
        <v>0</v>
      </c>
      <c r="L193">
        <f t="shared" ca="1" si="152"/>
        <v>0</v>
      </c>
      <c r="M193">
        <f t="shared" ca="1" si="152"/>
        <v>0</v>
      </c>
      <c r="N193">
        <f t="shared" ca="1" si="152"/>
        <v>0.58772608988847896</v>
      </c>
      <c r="O193">
        <f t="shared" ca="1" si="152"/>
        <v>0</v>
      </c>
      <c r="P193">
        <f t="shared" ca="1" si="152"/>
        <v>0</v>
      </c>
      <c r="Q193">
        <f t="shared" ca="1" si="152"/>
        <v>0</v>
      </c>
      <c r="R193">
        <f t="shared" ca="1" si="153"/>
        <v>0.58772608988847896</v>
      </c>
      <c r="S193">
        <f t="shared" ca="1" si="155"/>
        <v>0</v>
      </c>
      <c r="T193">
        <f t="shared" ca="1" si="154"/>
        <v>0</v>
      </c>
    </row>
    <row r="194" spans="1:20" x14ac:dyDescent="0.25">
      <c r="A194" s="1" t="s">
        <v>34</v>
      </c>
      <c r="B194" s="1">
        <f t="shared" si="143"/>
        <v>9</v>
      </c>
      <c r="C194" s="1">
        <f t="shared" si="144"/>
        <v>192</v>
      </c>
      <c r="D194">
        <f t="shared" ca="1" si="145"/>
        <v>3.9020000000000001</v>
      </c>
      <c r="E194">
        <f t="shared" ca="1" si="146"/>
        <v>0.58499999999999996</v>
      </c>
      <c r="F194">
        <f t="shared" ca="1" si="147"/>
        <v>0.501</v>
      </c>
      <c r="G194">
        <f t="shared" ca="1" si="148"/>
        <v>0.48299999999999998</v>
      </c>
      <c r="H194">
        <f t="shared" ca="1" si="149"/>
        <v>3.1669999999999998</v>
      </c>
      <c r="I194">
        <f t="shared" ca="1" si="150"/>
        <v>0.29699999999999999</v>
      </c>
      <c r="J194">
        <f t="shared" ca="1" si="151"/>
        <v>0.39800000000000002</v>
      </c>
      <c r="K194">
        <f t="shared" ca="1" si="152"/>
        <v>0</v>
      </c>
      <c r="L194">
        <f t="shared" ca="1" si="152"/>
        <v>0</v>
      </c>
      <c r="M194">
        <f t="shared" ca="1" si="152"/>
        <v>0</v>
      </c>
      <c r="N194">
        <f t="shared" ca="1" si="152"/>
        <v>0.60365732552043783</v>
      </c>
      <c r="O194">
        <f t="shared" ca="1" si="152"/>
        <v>0</v>
      </c>
      <c r="P194">
        <f t="shared" ca="1" si="152"/>
        <v>0</v>
      </c>
      <c r="Q194">
        <f t="shared" ca="1" si="152"/>
        <v>0</v>
      </c>
      <c r="R194">
        <f t="shared" ca="1" si="153"/>
        <v>0.60365732552043783</v>
      </c>
      <c r="S194">
        <f t="shared" ca="1" si="155"/>
        <v>0</v>
      </c>
      <c r="T194">
        <f t="shared" ca="1" si="154"/>
        <v>0</v>
      </c>
    </row>
    <row r="195" spans="1:20" x14ac:dyDescent="0.25">
      <c r="A195" s="1" t="s">
        <v>31</v>
      </c>
      <c r="B195" s="1">
        <f t="shared" ref="B195:B210" si="156">LOOKUP($A195,$V$4:$V$23,$W$4:$W$23)</f>
        <v>0</v>
      </c>
      <c r="C195" s="1">
        <f t="shared" si="144"/>
        <v>193</v>
      </c>
      <c r="D195">
        <f t="shared" ca="1" si="145"/>
        <v>0.377</v>
      </c>
      <c r="E195">
        <f t="shared" ca="1" si="146"/>
        <v>1.284</v>
      </c>
      <c r="F195">
        <f t="shared" ca="1" si="147"/>
        <v>0.877</v>
      </c>
      <c r="G195">
        <f t="shared" ca="1" si="148"/>
        <v>1.2969999999999999</v>
      </c>
      <c r="H195">
        <f t="shared" ca="1" si="149"/>
        <v>1.5509999999999999</v>
      </c>
      <c r="I195">
        <f t="shared" ca="1" si="150"/>
        <v>1.0840000000000001</v>
      </c>
      <c r="J195">
        <f t="shared" ca="1" si="151"/>
        <v>2.6120000000000001</v>
      </c>
      <c r="K195">
        <f t="shared" ca="1" si="152"/>
        <v>0</v>
      </c>
      <c r="L195">
        <f t="shared" ca="1" si="152"/>
        <v>0</v>
      </c>
      <c r="M195">
        <f t="shared" ca="1" si="152"/>
        <v>0</v>
      </c>
      <c r="N195">
        <f t="shared" ca="1" si="152"/>
        <v>0.64039907691257003</v>
      </c>
      <c r="O195">
        <f t="shared" ca="1" si="152"/>
        <v>0</v>
      </c>
      <c r="P195">
        <f t="shared" ca="1" si="152"/>
        <v>0</v>
      </c>
      <c r="Q195">
        <f t="shared" ca="1" si="152"/>
        <v>0</v>
      </c>
      <c r="R195">
        <f t="shared" ca="1" si="153"/>
        <v>0.64039907691257003</v>
      </c>
      <c r="S195">
        <f t="shared" ca="1" si="155"/>
        <v>0</v>
      </c>
      <c r="T195">
        <f t="shared" ca="1" si="154"/>
        <v>0</v>
      </c>
    </row>
    <row r="196" spans="1:20" x14ac:dyDescent="0.25">
      <c r="A196" s="1" t="s">
        <v>44</v>
      </c>
      <c r="B196" s="1">
        <f t="shared" si="156"/>
        <v>12</v>
      </c>
      <c r="C196" s="1">
        <f t="shared" ref="C196:C211" si="157">C195+1</f>
        <v>194</v>
      </c>
      <c r="D196">
        <f t="shared" ref="D196:D211" ca="1" si="158">OFFSET($X$4,$B196,MOD($C196,7),1,1)</f>
        <v>0</v>
      </c>
      <c r="E196">
        <f t="shared" ref="E196:E211" ca="1" si="159">OFFSET($X$4,$B196,MOD($C196+1,7),1,1)</f>
        <v>0</v>
      </c>
      <c r="F196">
        <f t="shared" ref="F196:F211" ca="1" si="160">OFFSET($X$4,$B196,MOD($C196+2,7),1,1)</f>
        <v>0</v>
      </c>
      <c r="G196">
        <f t="shared" ref="G196:G211" ca="1" si="161">OFFSET($X$4,$B196,MOD($C196+3,7),1,1)</f>
        <v>8.0000000000000002E-3</v>
      </c>
      <c r="H196">
        <f t="shared" ref="H196:H211" ca="1" si="162">OFFSET($X$4,$B196,MOD($C196+4,7),1,1)</f>
        <v>0</v>
      </c>
      <c r="I196">
        <f t="shared" ref="I196:I211" ca="1" si="163">OFFSET($X$4,$B196,MOD($C196+5,7),1,1)</f>
        <v>1.2999999999999999E-2</v>
      </c>
      <c r="J196">
        <f t="shared" ref="J196:J211" ca="1" si="164">OFFSET($X$4,$B196,MOD($C196+6,7),1,1)</f>
        <v>0</v>
      </c>
      <c r="K196">
        <f t="shared" ref="K196:Q211" ca="1" si="165">POWER(PRODUCT(D196:D223),1/28)</f>
        <v>0</v>
      </c>
      <c r="L196">
        <f t="shared" ca="1" si="165"/>
        <v>0</v>
      </c>
      <c r="M196">
        <f t="shared" ca="1" si="165"/>
        <v>0</v>
      </c>
      <c r="N196">
        <f t="shared" ca="1" si="165"/>
        <v>0.59544499866987499</v>
      </c>
      <c r="O196">
        <f t="shared" ca="1" si="165"/>
        <v>0</v>
      </c>
      <c r="P196">
        <f t="shared" ca="1" si="165"/>
        <v>0</v>
      </c>
      <c r="Q196">
        <f t="shared" ca="1" si="165"/>
        <v>0</v>
      </c>
      <c r="R196">
        <f t="shared" ref="R196:R211" ca="1" si="166">MAX(K196:Q196)</f>
        <v>0.59544499866987499</v>
      </c>
      <c r="S196">
        <f t="shared" ca="1" si="155"/>
        <v>0</v>
      </c>
      <c r="T196">
        <f t="shared" ref="T196:T211" ca="1" si="167">MAX(S196:S223)</f>
        <v>0</v>
      </c>
    </row>
    <row r="197" spans="1:20" x14ac:dyDescent="0.25">
      <c r="A197" s="1" t="s">
        <v>35</v>
      </c>
      <c r="B197" s="1">
        <f t="shared" si="156"/>
        <v>2</v>
      </c>
      <c r="C197" s="1">
        <f t="shared" si="157"/>
        <v>195</v>
      </c>
      <c r="D197">
        <f t="shared" ca="1" si="158"/>
        <v>1.448</v>
      </c>
      <c r="E197">
        <f t="shared" ca="1" si="159"/>
        <v>0.03</v>
      </c>
      <c r="F197">
        <f t="shared" ca="1" si="160"/>
        <v>2.3519999999999999</v>
      </c>
      <c r="G197">
        <f t="shared" ca="1" si="161"/>
        <v>2.2679999999999998</v>
      </c>
      <c r="H197">
        <f t="shared" ca="1" si="162"/>
        <v>0.23699999999999999</v>
      </c>
      <c r="I197">
        <f t="shared" ca="1" si="163"/>
        <v>0.66300000000000003</v>
      </c>
      <c r="J197">
        <f t="shared" ca="1" si="164"/>
        <v>1.62</v>
      </c>
      <c r="K197">
        <f t="shared" ca="1" si="165"/>
        <v>0</v>
      </c>
      <c r="L197">
        <f t="shared" ca="1" si="165"/>
        <v>0</v>
      </c>
      <c r="M197">
        <f t="shared" ca="1" si="165"/>
        <v>0.52433961232286697</v>
      </c>
      <c r="N197">
        <f t="shared" ca="1" si="165"/>
        <v>0.64529804894751008</v>
      </c>
      <c r="O197">
        <f t="shared" ca="1" si="165"/>
        <v>0</v>
      </c>
      <c r="P197">
        <f t="shared" ca="1" si="165"/>
        <v>0</v>
      </c>
      <c r="Q197">
        <f t="shared" ca="1" si="165"/>
        <v>0.66523509153250593</v>
      </c>
      <c r="R197">
        <f t="shared" ca="1" si="166"/>
        <v>0.66523509153250593</v>
      </c>
      <c r="S197">
        <f t="shared" ca="1" si="155"/>
        <v>0</v>
      </c>
      <c r="T197">
        <f t="shared" ca="1" si="167"/>
        <v>0</v>
      </c>
    </row>
    <row r="198" spans="1:20" x14ac:dyDescent="0.25">
      <c r="A198" s="1" t="s">
        <v>45</v>
      </c>
      <c r="B198" s="1">
        <f t="shared" si="156"/>
        <v>16</v>
      </c>
      <c r="C198" s="1">
        <f t="shared" si="157"/>
        <v>196</v>
      </c>
      <c r="D198">
        <f t="shared" ca="1" si="158"/>
        <v>0.16900000000000001</v>
      </c>
      <c r="E198">
        <f t="shared" ca="1" si="159"/>
        <v>0.70199999999999996</v>
      </c>
      <c r="F198">
        <f t="shared" ca="1" si="160"/>
        <v>0.95499999999999996</v>
      </c>
      <c r="G198">
        <f t="shared" ca="1" si="161"/>
        <v>0.65400000000000003</v>
      </c>
      <c r="H198">
        <f t="shared" ca="1" si="162"/>
        <v>0.79100000000000004</v>
      </c>
      <c r="I198">
        <f t="shared" ca="1" si="163"/>
        <v>0.84299999999999997</v>
      </c>
      <c r="J198">
        <f t="shared" ca="1" si="164"/>
        <v>0.64700000000000002</v>
      </c>
      <c r="K198">
        <f t="shared" ca="1" si="165"/>
        <v>0</v>
      </c>
      <c r="L198">
        <f t="shared" ca="1" si="165"/>
        <v>0</v>
      </c>
      <c r="M198">
        <f t="shared" ca="1" si="165"/>
        <v>0.50217962710792119</v>
      </c>
      <c r="N198">
        <f t="shared" ca="1" si="165"/>
        <v>0.62566901682442411</v>
      </c>
      <c r="O198">
        <f t="shared" ca="1" si="165"/>
        <v>0</v>
      </c>
      <c r="P198">
        <f t="shared" ca="1" si="165"/>
        <v>0</v>
      </c>
      <c r="Q198">
        <f t="shared" ca="1" si="165"/>
        <v>0.64989538973031868</v>
      </c>
      <c r="R198">
        <f t="shared" ca="1" si="166"/>
        <v>0.64989538973031868</v>
      </c>
      <c r="S198">
        <f t="shared" ca="1" si="155"/>
        <v>0</v>
      </c>
      <c r="T198">
        <f t="shared" ca="1" si="167"/>
        <v>0</v>
      </c>
    </row>
    <row r="199" spans="1:20" x14ac:dyDescent="0.25">
      <c r="A199" s="1" t="s">
        <v>39</v>
      </c>
      <c r="B199" s="1">
        <f t="shared" si="156"/>
        <v>14</v>
      </c>
      <c r="C199" s="1">
        <f t="shared" si="157"/>
        <v>197</v>
      </c>
      <c r="D199">
        <f t="shared" ca="1" si="158"/>
        <v>1.163</v>
      </c>
      <c r="E199">
        <f t="shared" ca="1" si="159"/>
        <v>1.21</v>
      </c>
      <c r="F199">
        <f t="shared" ca="1" si="160"/>
        <v>3.1E-2</v>
      </c>
      <c r="G199">
        <f t="shared" ca="1" si="161"/>
        <v>1.3580000000000001</v>
      </c>
      <c r="H199">
        <f t="shared" ca="1" si="162"/>
        <v>1.9370000000000001</v>
      </c>
      <c r="I199">
        <f t="shared" ca="1" si="163"/>
        <v>1.798</v>
      </c>
      <c r="J199">
        <f t="shared" ca="1" si="164"/>
        <v>0.65900000000000003</v>
      </c>
      <c r="K199">
        <f t="shared" ca="1" si="165"/>
        <v>0</v>
      </c>
      <c r="L199">
        <f t="shared" ca="1" si="165"/>
        <v>0</v>
      </c>
      <c r="M199">
        <f t="shared" ca="1" si="165"/>
        <v>0.49325407059881465</v>
      </c>
      <c r="N199">
        <f t="shared" ca="1" si="165"/>
        <v>0.60139754279419488</v>
      </c>
      <c r="O199">
        <f t="shared" ca="1" si="165"/>
        <v>0</v>
      </c>
      <c r="P199">
        <f t="shared" ca="1" si="165"/>
        <v>0</v>
      </c>
      <c r="Q199">
        <f t="shared" ca="1" si="165"/>
        <v>0.61770326382093477</v>
      </c>
      <c r="R199">
        <f t="shared" ca="1" si="166"/>
        <v>0.61770326382093477</v>
      </c>
      <c r="S199">
        <f t="shared" ca="1" si="155"/>
        <v>0</v>
      </c>
      <c r="T199">
        <f t="shared" ca="1" si="167"/>
        <v>0</v>
      </c>
    </row>
    <row r="200" spans="1:20" x14ac:dyDescent="0.25">
      <c r="A200" s="1" t="s">
        <v>34</v>
      </c>
      <c r="B200" s="1">
        <f t="shared" si="156"/>
        <v>9</v>
      </c>
      <c r="C200" s="1">
        <f t="shared" si="157"/>
        <v>198</v>
      </c>
      <c r="D200">
        <f t="shared" ca="1" si="158"/>
        <v>0.39800000000000002</v>
      </c>
      <c r="E200">
        <f t="shared" ca="1" si="159"/>
        <v>3.9020000000000001</v>
      </c>
      <c r="F200">
        <f t="shared" ca="1" si="160"/>
        <v>0.58499999999999996</v>
      </c>
      <c r="G200">
        <f t="shared" ca="1" si="161"/>
        <v>0.501</v>
      </c>
      <c r="H200">
        <f t="shared" ca="1" si="162"/>
        <v>0.48299999999999998</v>
      </c>
      <c r="I200">
        <f t="shared" ca="1" si="163"/>
        <v>3.1669999999999998</v>
      </c>
      <c r="J200">
        <f t="shared" ca="1" si="164"/>
        <v>0.29699999999999999</v>
      </c>
      <c r="K200">
        <f t="shared" ca="1" si="165"/>
        <v>0</v>
      </c>
      <c r="L200">
        <f t="shared" ca="1" si="165"/>
        <v>0</v>
      </c>
      <c r="M200">
        <f t="shared" ca="1" si="165"/>
        <v>0.54018605784402896</v>
      </c>
      <c r="N200">
        <f t="shared" ca="1" si="165"/>
        <v>0.56941333502046998</v>
      </c>
      <c r="O200">
        <f t="shared" ca="1" si="165"/>
        <v>0</v>
      </c>
      <c r="P200">
        <f t="shared" ca="1" si="165"/>
        <v>0</v>
      </c>
      <c r="Q200">
        <f t="shared" ca="1" si="165"/>
        <v>0.60371430927051228</v>
      </c>
      <c r="R200">
        <f t="shared" ca="1" si="166"/>
        <v>0.60371430927051228</v>
      </c>
      <c r="S200">
        <f t="shared" ca="1" si="155"/>
        <v>0</v>
      </c>
      <c r="T200">
        <f t="shared" ca="1" si="167"/>
        <v>0</v>
      </c>
    </row>
    <row r="201" spans="1:20" x14ac:dyDescent="0.25">
      <c r="A201" s="1" t="s">
        <v>37</v>
      </c>
      <c r="B201" s="1">
        <f t="shared" si="156"/>
        <v>4</v>
      </c>
      <c r="C201" s="1">
        <f t="shared" si="157"/>
        <v>199</v>
      </c>
      <c r="D201">
        <f t="shared" ca="1" si="158"/>
        <v>0.66200000000000003</v>
      </c>
      <c r="E201">
        <f t="shared" ca="1" si="159"/>
        <v>0.189</v>
      </c>
      <c r="F201">
        <f t="shared" ca="1" si="160"/>
        <v>0.106</v>
      </c>
      <c r="G201">
        <f t="shared" ca="1" si="161"/>
        <v>1.2999999999999999E-2</v>
      </c>
      <c r="H201">
        <f t="shared" ca="1" si="162"/>
        <v>0.53100000000000003</v>
      </c>
      <c r="I201">
        <f t="shared" ca="1" si="163"/>
        <v>7.5999999999999998E-2</v>
      </c>
      <c r="J201">
        <f t="shared" ca="1" si="164"/>
        <v>0.40300000000000002</v>
      </c>
      <c r="K201">
        <f t="shared" ca="1" si="165"/>
        <v>0</v>
      </c>
      <c r="L201">
        <f t="shared" ca="1" si="165"/>
        <v>0</v>
      </c>
      <c r="M201">
        <f t="shared" ca="1" si="165"/>
        <v>0.58588704140150405</v>
      </c>
      <c r="N201">
        <f t="shared" ca="1" si="165"/>
        <v>0.60300732538841129</v>
      </c>
      <c r="O201">
        <f t="shared" ca="1" si="165"/>
        <v>0</v>
      </c>
      <c r="P201">
        <f t="shared" ca="1" si="165"/>
        <v>0</v>
      </c>
      <c r="Q201">
        <f t="shared" ca="1" si="165"/>
        <v>0.65928753027172315</v>
      </c>
      <c r="R201">
        <f t="shared" ca="1" si="166"/>
        <v>0.65928753027172315</v>
      </c>
      <c r="S201">
        <f t="shared" ca="1" si="155"/>
        <v>0</v>
      </c>
      <c r="T201">
        <f t="shared" ca="1" si="167"/>
        <v>0</v>
      </c>
    </row>
    <row r="202" spans="1:20" x14ac:dyDescent="0.25">
      <c r="A202" s="1" t="s">
        <v>46</v>
      </c>
      <c r="B202" s="1">
        <f t="shared" si="156"/>
        <v>17</v>
      </c>
      <c r="C202" s="1">
        <f t="shared" si="157"/>
        <v>200</v>
      </c>
      <c r="D202">
        <f t="shared" ca="1" si="158"/>
        <v>0.21099999999999999</v>
      </c>
      <c r="E202">
        <f t="shared" ca="1" si="159"/>
        <v>0.34200000000000003</v>
      </c>
      <c r="F202">
        <f t="shared" ca="1" si="160"/>
        <v>0.36</v>
      </c>
      <c r="G202">
        <f t="shared" ca="1" si="161"/>
        <v>1.665</v>
      </c>
      <c r="H202">
        <f t="shared" ca="1" si="162"/>
        <v>0.40300000000000002</v>
      </c>
      <c r="I202">
        <f t="shared" ca="1" si="163"/>
        <v>0.38600000000000001</v>
      </c>
      <c r="J202">
        <f t="shared" ca="1" si="164"/>
        <v>0.94899999999999995</v>
      </c>
      <c r="K202">
        <f t="shared" ca="1" si="165"/>
        <v>0</v>
      </c>
      <c r="L202">
        <f t="shared" ca="1" si="165"/>
        <v>0</v>
      </c>
      <c r="M202">
        <f t="shared" ca="1" si="165"/>
        <v>0.63279570281842146</v>
      </c>
      <c r="N202">
        <f t="shared" ca="1" si="165"/>
        <v>0.69257375023750245</v>
      </c>
      <c r="O202">
        <f t="shared" ca="1" si="165"/>
        <v>0</v>
      </c>
      <c r="P202">
        <f t="shared" ca="1" si="165"/>
        <v>0</v>
      </c>
      <c r="Q202">
        <f t="shared" ca="1" si="165"/>
        <v>0.68227174532929491</v>
      </c>
      <c r="R202">
        <f t="shared" ca="1" si="166"/>
        <v>0.69257375023750245</v>
      </c>
      <c r="S202">
        <f t="shared" ca="1" si="155"/>
        <v>0</v>
      </c>
      <c r="T202">
        <f t="shared" ca="1" si="167"/>
        <v>0</v>
      </c>
    </row>
    <row r="203" spans="1:20" x14ac:dyDescent="0.25">
      <c r="A203" s="1" t="s">
        <v>30</v>
      </c>
      <c r="B203" s="1">
        <f t="shared" si="156"/>
        <v>15</v>
      </c>
      <c r="C203" s="1">
        <f t="shared" si="157"/>
        <v>201</v>
      </c>
      <c r="D203">
        <f t="shared" ca="1" si="158"/>
        <v>0.91600000000000004</v>
      </c>
      <c r="E203">
        <f t="shared" ca="1" si="159"/>
        <v>0.628</v>
      </c>
      <c r="F203">
        <f t="shared" ca="1" si="160"/>
        <v>0.38200000000000001</v>
      </c>
      <c r="G203">
        <f t="shared" ca="1" si="161"/>
        <v>0.58299999999999996</v>
      </c>
      <c r="H203">
        <f t="shared" ca="1" si="162"/>
        <v>1.052</v>
      </c>
      <c r="I203">
        <f t="shared" ca="1" si="163"/>
        <v>0.41899999999999998</v>
      </c>
      <c r="J203">
        <f t="shared" ca="1" si="164"/>
        <v>0.52500000000000002</v>
      </c>
      <c r="K203">
        <f t="shared" ca="1" si="165"/>
        <v>0</v>
      </c>
      <c r="L203">
        <f t="shared" ca="1" si="165"/>
        <v>0</v>
      </c>
      <c r="M203">
        <f t="shared" ca="1" si="165"/>
        <v>0.66504586098841301</v>
      </c>
      <c r="N203">
        <f t="shared" ca="1" si="165"/>
        <v>0.60002569553312135</v>
      </c>
      <c r="O203">
        <f t="shared" ca="1" si="165"/>
        <v>0</v>
      </c>
      <c r="P203">
        <f t="shared" ca="1" si="165"/>
        <v>0</v>
      </c>
      <c r="Q203">
        <f t="shared" ca="1" si="165"/>
        <v>0.64929026459287431</v>
      </c>
      <c r="R203">
        <f t="shared" ca="1" si="166"/>
        <v>0.66504586098841301</v>
      </c>
      <c r="S203">
        <f t="shared" ca="1" si="155"/>
        <v>0</v>
      </c>
      <c r="T203">
        <f t="shared" ca="1" si="167"/>
        <v>0</v>
      </c>
    </row>
    <row r="204" spans="1:20" x14ac:dyDescent="0.25">
      <c r="A204" s="1" t="s">
        <v>38</v>
      </c>
      <c r="B204" s="1">
        <f t="shared" si="156"/>
        <v>5</v>
      </c>
      <c r="C204" s="1">
        <f t="shared" si="157"/>
        <v>202</v>
      </c>
      <c r="D204">
        <f t="shared" ca="1" si="158"/>
        <v>0.156</v>
      </c>
      <c r="E204">
        <f t="shared" ca="1" si="159"/>
        <v>4.4999999999999998E-2</v>
      </c>
      <c r="F204">
        <f t="shared" ca="1" si="160"/>
        <v>0.27500000000000002</v>
      </c>
      <c r="G204">
        <f t="shared" ca="1" si="161"/>
        <v>0.57799999999999996</v>
      </c>
      <c r="H204">
        <f t="shared" ca="1" si="162"/>
        <v>0.216</v>
      </c>
      <c r="I204">
        <f t="shared" ca="1" si="163"/>
        <v>0.21099999999999999</v>
      </c>
      <c r="J204">
        <f t="shared" ca="1" si="164"/>
        <v>0.42599999999999999</v>
      </c>
      <c r="K204">
        <f t="shared" ca="1" si="165"/>
        <v>0</v>
      </c>
      <c r="L204">
        <f t="shared" ca="1" si="165"/>
        <v>0</v>
      </c>
      <c r="M204">
        <f t="shared" ca="1" si="165"/>
        <v>0.71216474901240712</v>
      </c>
      <c r="N204">
        <f t="shared" ca="1" si="165"/>
        <v>0.56300362230667811</v>
      </c>
      <c r="O204">
        <f t="shared" ca="1" si="165"/>
        <v>0</v>
      </c>
      <c r="P204">
        <f t="shared" ca="1" si="165"/>
        <v>0</v>
      </c>
      <c r="Q204">
        <f t="shared" ca="1" si="165"/>
        <v>0.64879942451894945</v>
      </c>
      <c r="R204">
        <f t="shared" ca="1" si="166"/>
        <v>0.71216474901240712</v>
      </c>
      <c r="S204">
        <f t="shared" ca="1" si="155"/>
        <v>0</v>
      </c>
      <c r="T204">
        <f t="shared" ca="1" si="167"/>
        <v>0</v>
      </c>
    </row>
    <row r="205" spans="1:20" x14ac:dyDescent="0.25">
      <c r="A205" s="1" t="s">
        <v>31</v>
      </c>
      <c r="B205" s="1">
        <f t="shared" si="156"/>
        <v>0</v>
      </c>
      <c r="C205" s="1">
        <f t="shared" si="157"/>
        <v>203</v>
      </c>
      <c r="D205">
        <f t="shared" ca="1" si="158"/>
        <v>1.2969999999999999</v>
      </c>
      <c r="E205">
        <f t="shared" ca="1" si="159"/>
        <v>1.5509999999999999</v>
      </c>
      <c r="F205">
        <f t="shared" ca="1" si="160"/>
        <v>1.0840000000000001</v>
      </c>
      <c r="G205">
        <f t="shared" ca="1" si="161"/>
        <v>2.6120000000000001</v>
      </c>
      <c r="H205">
        <f t="shared" ca="1" si="162"/>
        <v>0.377</v>
      </c>
      <c r="I205">
        <f t="shared" ca="1" si="163"/>
        <v>1.284</v>
      </c>
      <c r="J205">
        <f t="shared" ca="1" si="164"/>
        <v>0.877</v>
      </c>
      <c r="K205">
        <f t="shared" ca="1" si="165"/>
        <v>0</v>
      </c>
      <c r="L205">
        <f t="shared" ca="1" si="165"/>
        <v>0</v>
      </c>
      <c r="M205">
        <f t="shared" ca="1" si="165"/>
        <v>0.75619289375571952</v>
      </c>
      <c r="N205">
        <f t="shared" ca="1" si="165"/>
        <v>0.58297561097617012</v>
      </c>
      <c r="O205">
        <f t="shared" ca="1" si="165"/>
        <v>0</v>
      </c>
      <c r="P205">
        <f t="shared" ca="1" si="165"/>
        <v>0</v>
      </c>
      <c r="Q205">
        <f t="shared" ca="1" si="165"/>
        <v>0.6906890242464927</v>
      </c>
      <c r="R205">
        <f t="shared" ca="1" si="166"/>
        <v>0.75619289375571952</v>
      </c>
      <c r="S205">
        <f t="shared" ca="1" si="155"/>
        <v>0</v>
      </c>
      <c r="T205">
        <f t="shared" ca="1" si="167"/>
        <v>0</v>
      </c>
    </row>
    <row r="206" spans="1:20" x14ac:dyDescent="0.25">
      <c r="A206" s="1" t="s">
        <v>33</v>
      </c>
      <c r="B206" s="1">
        <f t="shared" si="156"/>
        <v>1</v>
      </c>
      <c r="C206" s="1">
        <f t="shared" si="157"/>
        <v>204</v>
      </c>
      <c r="D206">
        <f t="shared" ca="1" si="158"/>
        <v>2.1999999999999999E-2</v>
      </c>
      <c r="E206">
        <f t="shared" ca="1" si="159"/>
        <v>0.308</v>
      </c>
      <c r="F206">
        <f t="shared" ca="1" si="160"/>
        <v>0.152</v>
      </c>
      <c r="G206">
        <f t="shared" ca="1" si="161"/>
        <v>0.18</v>
      </c>
      <c r="H206">
        <f t="shared" ca="1" si="162"/>
        <v>0.156</v>
      </c>
      <c r="I206">
        <f t="shared" ca="1" si="163"/>
        <v>4.3999999999999997E-2</v>
      </c>
      <c r="J206">
        <f t="shared" ca="1" si="164"/>
        <v>0.82399999999999995</v>
      </c>
      <c r="K206">
        <f t="shared" ca="1" si="165"/>
        <v>0</v>
      </c>
      <c r="L206">
        <f t="shared" ca="1" si="165"/>
        <v>0</v>
      </c>
      <c r="M206">
        <f t="shared" ca="1" si="165"/>
        <v>0.75619289375571952</v>
      </c>
      <c r="N206">
        <f t="shared" ca="1" si="165"/>
        <v>0.58297561097617012</v>
      </c>
      <c r="O206">
        <f t="shared" ca="1" si="165"/>
        <v>0</v>
      </c>
      <c r="P206">
        <f t="shared" ca="1" si="165"/>
        <v>0</v>
      </c>
      <c r="Q206">
        <f t="shared" ca="1" si="165"/>
        <v>0.69068902424649259</v>
      </c>
      <c r="R206">
        <f t="shared" ca="1" si="166"/>
        <v>0.75619289375571952</v>
      </c>
      <c r="S206">
        <f t="shared" ca="1" si="155"/>
        <v>0</v>
      </c>
      <c r="T206">
        <f t="shared" ca="1" si="167"/>
        <v>0</v>
      </c>
    </row>
    <row r="207" spans="1:20" x14ac:dyDescent="0.25">
      <c r="A207" s="1" t="s">
        <v>35</v>
      </c>
      <c r="B207" s="1">
        <f t="shared" si="156"/>
        <v>2</v>
      </c>
      <c r="C207" s="1">
        <f t="shared" si="157"/>
        <v>205</v>
      </c>
      <c r="D207">
        <f t="shared" ca="1" si="158"/>
        <v>2.2679999999999998</v>
      </c>
      <c r="E207">
        <f t="shared" ca="1" si="159"/>
        <v>0.23699999999999999</v>
      </c>
      <c r="F207">
        <f t="shared" ca="1" si="160"/>
        <v>0.66300000000000003</v>
      </c>
      <c r="G207">
        <f t="shared" ca="1" si="161"/>
        <v>1.62</v>
      </c>
      <c r="H207">
        <f t="shared" ca="1" si="162"/>
        <v>1.448</v>
      </c>
      <c r="I207">
        <f t="shared" ca="1" si="163"/>
        <v>0.03</v>
      </c>
      <c r="J207">
        <f t="shared" ca="1" si="164"/>
        <v>2.3519999999999999</v>
      </c>
      <c r="K207">
        <f t="shared" ca="1" si="165"/>
        <v>0</v>
      </c>
      <c r="L207">
        <f t="shared" ca="1" si="165"/>
        <v>0</v>
      </c>
      <c r="M207">
        <f t="shared" ca="1" si="165"/>
        <v>0.80559083721345082</v>
      </c>
      <c r="N207">
        <f t="shared" ca="1" si="165"/>
        <v>0.60523641623456859</v>
      </c>
      <c r="O207">
        <f t="shared" ca="1" si="165"/>
        <v>0</v>
      </c>
      <c r="P207">
        <f t="shared" ca="1" si="165"/>
        <v>0</v>
      </c>
      <c r="Q207">
        <f t="shared" ca="1" si="165"/>
        <v>0.71959431541969932</v>
      </c>
      <c r="R207">
        <f t="shared" ca="1" si="166"/>
        <v>0.80559083721345082</v>
      </c>
      <c r="S207">
        <f t="shared" ref="S207:S222" ca="1" si="168">IF(R180&gt;1.55,1,IF(R180&gt;1.48,0.9,IF(R180&gt;1.4,0.8,IF(R180&gt;1.36666,0.6,IF(R180&gt;1.33333,0.4,IF(R180&gt;1.22,0.2,IF(R180&gt;1,0.1,0)))))))</f>
        <v>0</v>
      </c>
      <c r="T207">
        <f t="shared" ca="1" si="167"/>
        <v>0</v>
      </c>
    </row>
    <row r="208" spans="1:20" x14ac:dyDescent="0.25">
      <c r="A208" s="1" t="s">
        <v>31</v>
      </c>
      <c r="B208" s="1">
        <f t="shared" si="156"/>
        <v>0</v>
      </c>
      <c r="C208" s="1">
        <f t="shared" si="157"/>
        <v>206</v>
      </c>
      <c r="D208">
        <f t="shared" ca="1" si="158"/>
        <v>2.6120000000000001</v>
      </c>
      <c r="E208">
        <f t="shared" ca="1" si="159"/>
        <v>0.377</v>
      </c>
      <c r="F208">
        <f t="shared" ca="1" si="160"/>
        <v>1.284</v>
      </c>
      <c r="G208">
        <f t="shared" ca="1" si="161"/>
        <v>0.877</v>
      </c>
      <c r="H208">
        <f t="shared" ca="1" si="162"/>
        <v>1.2969999999999999</v>
      </c>
      <c r="I208">
        <f t="shared" ca="1" si="163"/>
        <v>1.5509999999999999</v>
      </c>
      <c r="J208">
        <f t="shared" ca="1" si="164"/>
        <v>1.0840000000000001</v>
      </c>
      <c r="K208">
        <f t="shared" ca="1" si="165"/>
        <v>0</v>
      </c>
      <c r="L208">
        <f t="shared" ca="1" si="165"/>
        <v>0</v>
      </c>
      <c r="M208">
        <f t="shared" ca="1" si="165"/>
        <v>0.76893853199700546</v>
      </c>
      <c r="N208">
        <f t="shared" ca="1" si="165"/>
        <v>0.55670534790683845</v>
      </c>
      <c r="O208">
        <f t="shared" ca="1" si="165"/>
        <v>0</v>
      </c>
      <c r="P208">
        <f t="shared" ca="1" si="165"/>
        <v>0</v>
      </c>
      <c r="Q208">
        <f t="shared" ca="1" si="165"/>
        <v>0.6090078847704018</v>
      </c>
      <c r="R208">
        <f t="shared" ca="1" si="166"/>
        <v>0.76893853199700546</v>
      </c>
      <c r="S208">
        <f t="shared" ca="1" si="168"/>
        <v>0</v>
      </c>
      <c r="T208">
        <f t="shared" ca="1" si="167"/>
        <v>0</v>
      </c>
    </row>
    <row r="209" spans="1:20" x14ac:dyDescent="0.25">
      <c r="A209" s="1" t="s">
        <v>30</v>
      </c>
      <c r="B209" s="1">
        <f t="shared" si="156"/>
        <v>15</v>
      </c>
      <c r="C209" s="1">
        <f t="shared" si="157"/>
        <v>207</v>
      </c>
      <c r="D209">
        <f t="shared" ca="1" si="158"/>
        <v>0.52500000000000002</v>
      </c>
      <c r="E209">
        <f t="shared" ca="1" si="159"/>
        <v>0.91600000000000004</v>
      </c>
      <c r="F209">
        <f t="shared" ca="1" si="160"/>
        <v>0.628</v>
      </c>
      <c r="G209">
        <f t="shared" ca="1" si="161"/>
        <v>0.38200000000000001</v>
      </c>
      <c r="H209">
        <f t="shared" ca="1" si="162"/>
        <v>0.58299999999999996</v>
      </c>
      <c r="I209">
        <f t="shared" ca="1" si="163"/>
        <v>1.052</v>
      </c>
      <c r="J209">
        <f t="shared" ca="1" si="164"/>
        <v>0.41899999999999998</v>
      </c>
      <c r="K209">
        <f t="shared" ca="1" si="165"/>
        <v>0</v>
      </c>
      <c r="L209">
        <f t="shared" ca="1" si="165"/>
        <v>0</v>
      </c>
      <c r="M209">
        <f t="shared" ca="1" si="165"/>
        <v>0.70340232119140067</v>
      </c>
      <c r="N209">
        <f t="shared" ca="1" si="165"/>
        <v>0.47896298981840857</v>
      </c>
      <c r="O209">
        <f t="shared" ca="1" si="165"/>
        <v>0</v>
      </c>
      <c r="P209">
        <f t="shared" ca="1" si="165"/>
        <v>0</v>
      </c>
      <c r="Q209">
        <f t="shared" ca="1" si="165"/>
        <v>0.5878623159827211</v>
      </c>
      <c r="R209">
        <f t="shared" ca="1" si="166"/>
        <v>0.70340232119140067</v>
      </c>
      <c r="S209">
        <f t="shared" ca="1" si="168"/>
        <v>0</v>
      </c>
      <c r="T209">
        <f t="shared" ca="1" si="167"/>
        <v>0</v>
      </c>
    </row>
    <row r="210" spans="1:20" x14ac:dyDescent="0.25">
      <c r="A210" s="1" t="s">
        <v>31</v>
      </c>
      <c r="B210" s="1">
        <f t="shared" si="156"/>
        <v>0</v>
      </c>
      <c r="C210" s="1">
        <f t="shared" si="157"/>
        <v>208</v>
      </c>
      <c r="D210">
        <f t="shared" ca="1" si="158"/>
        <v>1.284</v>
      </c>
      <c r="E210">
        <f t="shared" ca="1" si="159"/>
        <v>0.877</v>
      </c>
      <c r="F210">
        <f t="shared" ca="1" si="160"/>
        <v>1.2969999999999999</v>
      </c>
      <c r="G210">
        <f t="shared" ca="1" si="161"/>
        <v>1.5509999999999999</v>
      </c>
      <c r="H210">
        <f t="shared" ca="1" si="162"/>
        <v>1.0840000000000001</v>
      </c>
      <c r="I210">
        <f t="shared" ca="1" si="163"/>
        <v>2.6120000000000001</v>
      </c>
      <c r="J210">
        <f t="shared" ca="1" si="164"/>
        <v>0.377</v>
      </c>
      <c r="K210">
        <f t="shared" ca="1" si="165"/>
        <v>0</v>
      </c>
      <c r="L210">
        <f t="shared" ca="1" si="165"/>
        <v>0</v>
      </c>
      <c r="M210">
        <f t="shared" ca="1" si="165"/>
        <v>0.6124355019637574</v>
      </c>
      <c r="N210">
        <f t="shared" ca="1" si="165"/>
        <v>0.4846299074482317</v>
      </c>
      <c r="O210">
        <f t="shared" ca="1" si="165"/>
        <v>0</v>
      </c>
      <c r="P210">
        <f t="shared" ca="1" si="165"/>
        <v>0</v>
      </c>
      <c r="Q210">
        <f t="shared" ca="1" si="165"/>
        <v>0.59754421836701854</v>
      </c>
      <c r="R210">
        <f t="shared" ca="1" si="166"/>
        <v>0.6124355019637574</v>
      </c>
      <c r="S210">
        <f t="shared" ca="1" si="168"/>
        <v>0</v>
      </c>
      <c r="T210">
        <f t="shared" ca="1" si="167"/>
        <v>0</v>
      </c>
    </row>
    <row r="211" spans="1:20" x14ac:dyDescent="0.25">
      <c r="A211" s="1" t="s">
        <v>42</v>
      </c>
      <c r="B211" s="1">
        <f t="shared" ref="B211:B226" si="169">LOOKUP($A211,$V$4:$V$23,$W$4:$W$23)</f>
        <v>8</v>
      </c>
      <c r="C211" s="1">
        <f t="shared" si="157"/>
        <v>209</v>
      </c>
      <c r="D211">
        <f t="shared" ca="1" si="158"/>
        <v>2.7949999999999999</v>
      </c>
      <c r="E211">
        <f t="shared" ca="1" si="159"/>
        <v>1.375</v>
      </c>
      <c r="F211">
        <f t="shared" ca="1" si="160"/>
        <v>2.6389999999999998</v>
      </c>
      <c r="G211">
        <f t="shared" ca="1" si="161"/>
        <v>1.7629999999999999</v>
      </c>
      <c r="H211">
        <f t="shared" ca="1" si="162"/>
        <v>0.191</v>
      </c>
      <c r="I211">
        <f t="shared" ca="1" si="163"/>
        <v>1.8149999999999999</v>
      </c>
      <c r="J211">
        <f t="shared" ca="1" si="164"/>
        <v>1.9610000000000001</v>
      </c>
      <c r="K211">
        <f t="shared" ca="1" si="165"/>
        <v>0</v>
      </c>
      <c r="L211">
        <f t="shared" ca="1" si="165"/>
        <v>0</v>
      </c>
      <c r="M211">
        <f t="shared" ca="1" si="165"/>
        <v>0</v>
      </c>
      <c r="N211">
        <f t="shared" ca="1" si="165"/>
        <v>0.4015253822817394</v>
      </c>
      <c r="O211">
        <f t="shared" ca="1" si="165"/>
        <v>0</v>
      </c>
      <c r="P211">
        <f t="shared" ca="1" si="165"/>
        <v>0</v>
      </c>
      <c r="Q211">
        <f t="shared" ca="1" si="165"/>
        <v>0</v>
      </c>
      <c r="R211">
        <f t="shared" ca="1" si="166"/>
        <v>0.4015253822817394</v>
      </c>
      <c r="S211">
        <f t="shared" ca="1" si="168"/>
        <v>0</v>
      </c>
      <c r="T211">
        <f t="shared" ca="1" si="167"/>
        <v>0</v>
      </c>
    </row>
    <row r="212" spans="1:20" x14ac:dyDescent="0.25">
      <c r="A212" s="1" t="s">
        <v>34</v>
      </c>
      <c r="B212" s="1">
        <f t="shared" si="169"/>
        <v>9</v>
      </c>
      <c r="C212" s="1">
        <f t="shared" ref="C212:C227" si="170">C211+1</f>
        <v>210</v>
      </c>
      <c r="D212">
        <f t="shared" ref="D212:D227" ca="1" si="171">OFFSET($X$4,$B212,MOD($C212,7),1,1)</f>
        <v>3.1669999999999998</v>
      </c>
      <c r="E212">
        <f t="shared" ref="E212:E227" ca="1" si="172">OFFSET($X$4,$B212,MOD($C212+1,7),1,1)</f>
        <v>0.29699999999999999</v>
      </c>
      <c r="F212">
        <f t="shared" ref="F212:F227" ca="1" si="173">OFFSET($X$4,$B212,MOD($C212+2,7),1,1)</f>
        <v>0.39800000000000002</v>
      </c>
      <c r="G212">
        <f t="shared" ref="G212:G227" ca="1" si="174">OFFSET($X$4,$B212,MOD($C212+3,7),1,1)</f>
        <v>3.9020000000000001</v>
      </c>
      <c r="H212">
        <f t="shared" ref="H212:H227" ca="1" si="175">OFFSET($X$4,$B212,MOD($C212+4,7),1,1)</f>
        <v>0.58499999999999996</v>
      </c>
      <c r="I212">
        <f t="shared" ref="I212:I227" ca="1" si="176">OFFSET($X$4,$B212,MOD($C212+5,7),1,1)</f>
        <v>0.501</v>
      </c>
      <c r="J212">
        <f t="shared" ref="J212:J227" ca="1" si="177">OFFSET($X$4,$B212,MOD($C212+6,7),1,1)</f>
        <v>0.48299999999999998</v>
      </c>
      <c r="K212">
        <f t="shared" ref="K212:Q227" ca="1" si="178">POWER(PRODUCT(D212:D239),1/28)</f>
        <v>0</v>
      </c>
      <c r="L212">
        <f t="shared" ca="1" si="178"/>
        <v>0</v>
      </c>
      <c r="M212">
        <f t="shared" ca="1" si="178"/>
        <v>0</v>
      </c>
      <c r="N212">
        <f t="shared" ca="1" si="178"/>
        <v>0.39953506300546021</v>
      </c>
      <c r="O212">
        <f t="shared" ca="1" si="178"/>
        <v>0</v>
      </c>
      <c r="P212">
        <f t="shared" ca="1" si="178"/>
        <v>0</v>
      </c>
      <c r="Q212">
        <f t="shared" ca="1" si="178"/>
        <v>0</v>
      </c>
      <c r="R212">
        <f t="shared" ref="R212:R227" ca="1" si="179">MAX(K212:Q212)</f>
        <v>0.39953506300546021</v>
      </c>
      <c r="S212">
        <f t="shared" ca="1" si="168"/>
        <v>0</v>
      </c>
      <c r="T212">
        <f t="shared" ref="T212:T227" ca="1" si="180">MAX(S212:S239)</f>
        <v>0</v>
      </c>
    </row>
    <row r="213" spans="1:20" x14ac:dyDescent="0.25">
      <c r="A213" s="1" t="s">
        <v>47</v>
      </c>
      <c r="B213" s="1">
        <f t="shared" si="169"/>
        <v>18</v>
      </c>
      <c r="C213" s="1">
        <f t="shared" si="170"/>
        <v>211</v>
      </c>
      <c r="D213">
        <f t="shared" ca="1" si="171"/>
        <v>0</v>
      </c>
      <c r="E213">
        <f t="shared" ca="1" si="172"/>
        <v>0</v>
      </c>
      <c r="F213">
        <f t="shared" ca="1" si="173"/>
        <v>0.45600000000000002</v>
      </c>
      <c r="G213">
        <f t="shared" ca="1" si="174"/>
        <v>1.9E-2</v>
      </c>
      <c r="H213">
        <f t="shared" ca="1" si="175"/>
        <v>0</v>
      </c>
      <c r="I213">
        <f t="shared" ca="1" si="176"/>
        <v>0</v>
      </c>
      <c r="J213">
        <f t="shared" ca="1" si="177"/>
        <v>0.24</v>
      </c>
      <c r="K213">
        <f t="shared" ca="1" si="178"/>
        <v>0</v>
      </c>
      <c r="L213">
        <f t="shared" ca="1" si="178"/>
        <v>0</v>
      </c>
      <c r="M213">
        <f t="shared" ca="1" si="178"/>
        <v>0</v>
      </c>
      <c r="N213">
        <f t="shared" ca="1" si="178"/>
        <v>0.36030309073824196</v>
      </c>
      <c r="O213">
        <f t="shared" ca="1" si="178"/>
        <v>0</v>
      </c>
      <c r="P213">
        <f t="shared" ca="1" si="178"/>
        <v>0</v>
      </c>
      <c r="Q213">
        <f t="shared" ca="1" si="178"/>
        <v>0</v>
      </c>
      <c r="R213">
        <f t="shared" ca="1" si="179"/>
        <v>0.36030309073824196</v>
      </c>
      <c r="S213">
        <f t="shared" ca="1" si="168"/>
        <v>0</v>
      </c>
      <c r="T213">
        <f t="shared" ca="1" si="180"/>
        <v>0</v>
      </c>
    </row>
    <row r="214" spans="1:20" x14ac:dyDescent="0.25">
      <c r="A214" s="1" t="s">
        <v>35</v>
      </c>
      <c r="B214" s="1">
        <f t="shared" si="169"/>
        <v>2</v>
      </c>
      <c r="C214" s="1">
        <f t="shared" si="170"/>
        <v>212</v>
      </c>
      <c r="D214">
        <f t="shared" ca="1" si="171"/>
        <v>2.2679999999999998</v>
      </c>
      <c r="E214">
        <f t="shared" ca="1" si="172"/>
        <v>0.23699999999999999</v>
      </c>
      <c r="F214">
        <f t="shared" ca="1" si="173"/>
        <v>0.66300000000000003</v>
      </c>
      <c r="G214">
        <f t="shared" ca="1" si="174"/>
        <v>1.62</v>
      </c>
      <c r="H214">
        <f t="shared" ca="1" si="175"/>
        <v>1.448</v>
      </c>
      <c r="I214">
        <f t="shared" ca="1" si="176"/>
        <v>0.03</v>
      </c>
      <c r="J214">
        <f t="shared" ca="1" si="177"/>
        <v>2.3519999999999999</v>
      </c>
      <c r="K214">
        <f t="shared" ca="1" si="178"/>
        <v>0</v>
      </c>
      <c r="L214">
        <f t="shared" ca="1" si="178"/>
        <v>0</v>
      </c>
      <c r="M214">
        <f t="shared" ca="1" si="178"/>
        <v>0</v>
      </c>
      <c r="N214">
        <f t="shared" ca="1" si="178"/>
        <v>0.42322452722536458</v>
      </c>
      <c r="O214">
        <f t="shared" ca="1" si="178"/>
        <v>0</v>
      </c>
      <c r="P214">
        <f t="shared" ca="1" si="178"/>
        <v>0.47823290547005126</v>
      </c>
      <c r="Q214">
        <f t="shared" ca="1" si="178"/>
        <v>0</v>
      </c>
      <c r="R214">
        <f t="shared" ca="1" si="179"/>
        <v>0.47823290547005126</v>
      </c>
      <c r="S214">
        <f t="shared" ca="1" si="168"/>
        <v>0</v>
      </c>
      <c r="T214">
        <f t="shared" ca="1" si="180"/>
        <v>0</v>
      </c>
    </row>
    <row r="215" spans="1:20" x14ac:dyDescent="0.25">
      <c r="A215" s="1" t="s">
        <v>46</v>
      </c>
      <c r="B215" s="1">
        <f t="shared" si="169"/>
        <v>17</v>
      </c>
      <c r="C215" s="1">
        <f t="shared" si="170"/>
        <v>213</v>
      </c>
      <c r="D215">
        <f t="shared" ca="1" si="171"/>
        <v>0.94899999999999995</v>
      </c>
      <c r="E215">
        <f t="shared" ca="1" si="172"/>
        <v>0.21099999999999999</v>
      </c>
      <c r="F215">
        <f t="shared" ca="1" si="173"/>
        <v>0.34200000000000003</v>
      </c>
      <c r="G215">
        <f t="shared" ca="1" si="174"/>
        <v>0.36</v>
      </c>
      <c r="H215">
        <f t="shared" ca="1" si="175"/>
        <v>1.665</v>
      </c>
      <c r="I215">
        <f t="shared" ca="1" si="176"/>
        <v>0.40300000000000002</v>
      </c>
      <c r="J215">
        <f t="shared" ca="1" si="177"/>
        <v>0.38600000000000001</v>
      </c>
      <c r="K215">
        <f t="shared" ca="1" si="178"/>
        <v>0</v>
      </c>
      <c r="L215">
        <f t="shared" ca="1" si="178"/>
        <v>0</v>
      </c>
      <c r="M215">
        <f t="shared" ca="1" si="178"/>
        <v>0</v>
      </c>
      <c r="N215">
        <f t="shared" ca="1" si="178"/>
        <v>0.4197256126594221</v>
      </c>
      <c r="O215">
        <f t="shared" ca="1" si="178"/>
        <v>0</v>
      </c>
      <c r="P215">
        <f t="shared" ca="1" si="178"/>
        <v>0.54709349654393613</v>
      </c>
      <c r="Q215">
        <f t="shared" ca="1" si="178"/>
        <v>0</v>
      </c>
      <c r="R215">
        <f t="shared" ca="1" si="179"/>
        <v>0.54709349654393613</v>
      </c>
      <c r="S215">
        <f t="shared" ca="1" si="168"/>
        <v>0</v>
      </c>
      <c r="T215">
        <f t="shared" ca="1" si="180"/>
        <v>0</v>
      </c>
    </row>
    <row r="216" spans="1:20" x14ac:dyDescent="0.25">
      <c r="A216" s="1" t="s">
        <v>39</v>
      </c>
      <c r="B216" s="1">
        <f t="shared" si="169"/>
        <v>14</v>
      </c>
      <c r="C216" s="1">
        <f t="shared" si="170"/>
        <v>214</v>
      </c>
      <c r="D216">
        <f t="shared" ca="1" si="171"/>
        <v>1.3580000000000001</v>
      </c>
      <c r="E216">
        <f t="shared" ca="1" si="172"/>
        <v>1.9370000000000001</v>
      </c>
      <c r="F216">
        <f t="shared" ca="1" si="173"/>
        <v>1.798</v>
      </c>
      <c r="G216">
        <f t="shared" ca="1" si="174"/>
        <v>0.65900000000000003</v>
      </c>
      <c r="H216">
        <f t="shared" ca="1" si="175"/>
        <v>1.163</v>
      </c>
      <c r="I216">
        <f t="shared" ca="1" si="176"/>
        <v>1.21</v>
      </c>
      <c r="J216">
        <f t="shared" ca="1" si="177"/>
        <v>3.1E-2</v>
      </c>
      <c r="K216">
        <f t="shared" ca="1" si="178"/>
        <v>0</v>
      </c>
      <c r="L216">
        <f t="shared" ca="1" si="178"/>
        <v>0</v>
      </c>
      <c r="M216">
        <f t="shared" ca="1" si="178"/>
        <v>0</v>
      </c>
      <c r="N216">
        <f t="shared" ca="1" si="178"/>
        <v>0.37278003517485858</v>
      </c>
      <c r="O216">
        <f t="shared" ca="1" si="178"/>
        <v>0</v>
      </c>
      <c r="P216">
        <f t="shared" ca="1" si="178"/>
        <v>0.51545037206515476</v>
      </c>
      <c r="Q216">
        <f t="shared" ca="1" si="178"/>
        <v>0</v>
      </c>
      <c r="R216">
        <f t="shared" ca="1" si="179"/>
        <v>0.51545037206515476</v>
      </c>
      <c r="S216">
        <f t="shared" ca="1" si="168"/>
        <v>0</v>
      </c>
      <c r="T216">
        <f t="shared" ca="1" si="180"/>
        <v>0</v>
      </c>
    </row>
    <row r="217" spans="1:20" x14ac:dyDescent="0.25">
      <c r="A217" s="1" t="s">
        <v>32</v>
      </c>
      <c r="B217" s="1">
        <f t="shared" si="169"/>
        <v>3</v>
      </c>
      <c r="C217" s="1">
        <f t="shared" si="170"/>
        <v>215</v>
      </c>
      <c r="D217">
        <f t="shared" ca="1" si="171"/>
        <v>2.4940000000000002</v>
      </c>
      <c r="E217">
        <f t="shared" ca="1" si="172"/>
        <v>3.048</v>
      </c>
      <c r="F217">
        <f t="shared" ca="1" si="173"/>
        <v>0.26200000000000001</v>
      </c>
      <c r="G217">
        <f t="shared" ca="1" si="174"/>
        <v>3.496</v>
      </c>
      <c r="H217">
        <f t="shared" ca="1" si="175"/>
        <v>3.1080000000000001</v>
      </c>
      <c r="I217">
        <f t="shared" ca="1" si="176"/>
        <v>0.998</v>
      </c>
      <c r="J217">
        <f t="shared" ca="1" si="177"/>
        <v>5.6849999999999996</v>
      </c>
      <c r="K217">
        <f t="shared" ca="1" si="178"/>
        <v>0</v>
      </c>
      <c r="L217">
        <f t="shared" ca="1" si="178"/>
        <v>0</v>
      </c>
      <c r="M217">
        <f t="shared" ca="1" si="178"/>
        <v>0</v>
      </c>
      <c r="N217">
        <f t="shared" ca="1" si="178"/>
        <v>0.38190433985258571</v>
      </c>
      <c r="O217">
        <f t="shared" ca="1" si="178"/>
        <v>0</v>
      </c>
      <c r="P217">
        <f t="shared" ca="1" si="178"/>
        <v>0.51343004932831515</v>
      </c>
      <c r="Q217">
        <f t="shared" ca="1" si="178"/>
        <v>0</v>
      </c>
      <c r="R217">
        <f t="shared" ca="1" si="179"/>
        <v>0.51343004932831515</v>
      </c>
      <c r="S217">
        <f t="shared" ca="1" si="168"/>
        <v>0</v>
      </c>
      <c r="T217">
        <f t="shared" ca="1" si="180"/>
        <v>0</v>
      </c>
    </row>
    <row r="218" spans="1:20" x14ac:dyDescent="0.25">
      <c r="A218" s="1" t="s">
        <v>38</v>
      </c>
      <c r="B218" s="1">
        <f t="shared" si="169"/>
        <v>5</v>
      </c>
      <c r="C218" s="1">
        <f t="shared" si="170"/>
        <v>216</v>
      </c>
      <c r="D218">
        <f t="shared" ca="1" si="171"/>
        <v>0.156</v>
      </c>
      <c r="E218">
        <f t="shared" ca="1" si="172"/>
        <v>4.4999999999999998E-2</v>
      </c>
      <c r="F218">
        <f t="shared" ca="1" si="173"/>
        <v>0.27500000000000002</v>
      </c>
      <c r="G218">
        <f t="shared" ca="1" si="174"/>
        <v>0.57799999999999996</v>
      </c>
      <c r="H218">
        <f t="shared" ca="1" si="175"/>
        <v>0.216</v>
      </c>
      <c r="I218">
        <f t="shared" ca="1" si="176"/>
        <v>0.21099999999999999</v>
      </c>
      <c r="J218">
        <f t="shared" ca="1" si="177"/>
        <v>0.42599999999999999</v>
      </c>
      <c r="K218">
        <f t="shared" ca="1" si="178"/>
        <v>0</v>
      </c>
      <c r="L218">
        <f t="shared" ca="1" si="178"/>
        <v>0</v>
      </c>
      <c r="M218">
        <f t="shared" ca="1" si="178"/>
        <v>0</v>
      </c>
      <c r="N218">
        <f t="shared" ca="1" si="178"/>
        <v>0.36062295536831046</v>
      </c>
      <c r="O218">
        <f t="shared" ca="1" si="178"/>
        <v>0</v>
      </c>
      <c r="P218">
        <f t="shared" ca="1" si="178"/>
        <v>0.50573827857614817</v>
      </c>
      <c r="Q218">
        <f t="shared" ca="1" si="178"/>
        <v>0</v>
      </c>
      <c r="R218">
        <f t="shared" ca="1" si="179"/>
        <v>0.50573827857614817</v>
      </c>
      <c r="S218">
        <f t="shared" ca="1" si="168"/>
        <v>0</v>
      </c>
      <c r="T218">
        <f t="shared" ca="1" si="180"/>
        <v>0</v>
      </c>
    </row>
    <row r="219" spans="1:20" x14ac:dyDescent="0.25">
      <c r="A219" s="1" t="s">
        <v>22</v>
      </c>
      <c r="B219" s="1">
        <f t="shared" si="169"/>
        <v>10</v>
      </c>
      <c r="C219" s="1">
        <f t="shared" si="170"/>
        <v>217</v>
      </c>
      <c r="D219">
        <f t="shared" ca="1" si="171"/>
        <v>2.2400000000000002</v>
      </c>
      <c r="E219">
        <f t="shared" ca="1" si="172"/>
        <v>0.37</v>
      </c>
      <c r="F219">
        <f t="shared" ca="1" si="173"/>
        <v>0.48</v>
      </c>
      <c r="G219">
        <f t="shared" ca="1" si="174"/>
        <v>1.409</v>
      </c>
      <c r="H219">
        <f t="shared" ca="1" si="175"/>
        <v>0.54100000000000004</v>
      </c>
      <c r="I219">
        <f t="shared" ca="1" si="176"/>
        <v>0.77200000000000002</v>
      </c>
      <c r="J219">
        <f t="shared" ca="1" si="177"/>
        <v>0.66300000000000003</v>
      </c>
      <c r="K219">
        <f t="shared" ca="1" si="178"/>
        <v>0</v>
      </c>
      <c r="L219">
        <f t="shared" ca="1" si="178"/>
        <v>0</v>
      </c>
      <c r="M219">
        <f t="shared" ca="1" si="178"/>
        <v>0</v>
      </c>
      <c r="N219">
        <f t="shared" ca="1" si="178"/>
        <v>0.36062295536831046</v>
      </c>
      <c r="O219">
        <f t="shared" ca="1" si="178"/>
        <v>0</v>
      </c>
      <c r="P219">
        <f t="shared" ca="1" si="178"/>
        <v>0.50573827857614817</v>
      </c>
      <c r="Q219">
        <f t="shared" ca="1" si="178"/>
        <v>0</v>
      </c>
      <c r="R219">
        <f t="shared" ca="1" si="179"/>
        <v>0.50573827857614817</v>
      </c>
      <c r="S219">
        <f t="shared" ca="1" si="168"/>
        <v>0</v>
      </c>
      <c r="T219">
        <f t="shared" ca="1" si="180"/>
        <v>0</v>
      </c>
    </row>
    <row r="220" spans="1:20" x14ac:dyDescent="0.25">
      <c r="A220" s="1" t="s">
        <v>33</v>
      </c>
      <c r="B220" s="1">
        <f t="shared" si="169"/>
        <v>1</v>
      </c>
      <c r="C220" s="1">
        <f t="shared" si="170"/>
        <v>218</v>
      </c>
      <c r="D220">
        <f t="shared" ca="1" si="171"/>
        <v>2.1999999999999999E-2</v>
      </c>
      <c r="E220">
        <f t="shared" ca="1" si="172"/>
        <v>0.308</v>
      </c>
      <c r="F220">
        <f t="shared" ca="1" si="173"/>
        <v>0.152</v>
      </c>
      <c r="G220">
        <f t="shared" ca="1" si="174"/>
        <v>0.18</v>
      </c>
      <c r="H220">
        <f t="shared" ca="1" si="175"/>
        <v>0.156</v>
      </c>
      <c r="I220">
        <f t="shared" ca="1" si="176"/>
        <v>4.3999999999999997E-2</v>
      </c>
      <c r="J220">
        <f t="shared" ca="1" si="177"/>
        <v>0.82399999999999995</v>
      </c>
      <c r="K220">
        <f t="shared" ca="1" si="178"/>
        <v>0</v>
      </c>
      <c r="L220">
        <f t="shared" ca="1" si="178"/>
        <v>0</v>
      </c>
      <c r="M220">
        <f t="shared" ca="1" si="178"/>
        <v>0</v>
      </c>
      <c r="N220">
        <f t="shared" ca="1" si="178"/>
        <v>0.34533672185168651</v>
      </c>
      <c r="O220">
        <f t="shared" ca="1" si="178"/>
        <v>0</v>
      </c>
      <c r="P220">
        <f t="shared" ca="1" si="178"/>
        <v>0.50883692318910567</v>
      </c>
      <c r="Q220">
        <f t="shared" ca="1" si="178"/>
        <v>0</v>
      </c>
      <c r="R220">
        <f t="shared" ca="1" si="179"/>
        <v>0.50883692318910567</v>
      </c>
      <c r="S220">
        <f t="shared" ca="1" si="168"/>
        <v>0</v>
      </c>
      <c r="T220">
        <f t="shared" ca="1" si="180"/>
        <v>0</v>
      </c>
    </row>
    <row r="221" spans="1:20" x14ac:dyDescent="0.25">
      <c r="A221" s="1" t="s">
        <v>39</v>
      </c>
      <c r="B221" s="1">
        <f t="shared" si="169"/>
        <v>14</v>
      </c>
      <c r="C221" s="1">
        <f t="shared" si="170"/>
        <v>219</v>
      </c>
      <c r="D221">
        <f t="shared" ca="1" si="171"/>
        <v>1.21</v>
      </c>
      <c r="E221">
        <f t="shared" ca="1" si="172"/>
        <v>3.1E-2</v>
      </c>
      <c r="F221">
        <f t="shared" ca="1" si="173"/>
        <v>1.3580000000000001</v>
      </c>
      <c r="G221">
        <f t="shared" ca="1" si="174"/>
        <v>1.9370000000000001</v>
      </c>
      <c r="H221">
        <f t="shared" ca="1" si="175"/>
        <v>1.798</v>
      </c>
      <c r="I221">
        <f t="shared" ca="1" si="176"/>
        <v>0.65900000000000003</v>
      </c>
      <c r="J221">
        <f t="shared" ca="1" si="177"/>
        <v>1.163</v>
      </c>
      <c r="K221">
        <f t="shared" ca="1" si="178"/>
        <v>0</v>
      </c>
      <c r="L221">
        <f t="shared" ca="1" si="178"/>
        <v>0</v>
      </c>
      <c r="M221">
        <f t="shared" ca="1" si="178"/>
        <v>0</v>
      </c>
      <c r="N221">
        <f t="shared" ca="1" si="178"/>
        <v>0.36179757848073624</v>
      </c>
      <c r="O221">
        <f t="shared" ca="1" si="178"/>
        <v>0</v>
      </c>
      <c r="P221">
        <f t="shared" ca="1" si="178"/>
        <v>0.57645906226720289</v>
      </c>
      <c r="Q221">
        <f t="shared" ca="1" si="178"/>
        <v>0</v>
      </c>
      <c r="R221">
        <f t="shared" ca="1" si="179"/>
        <v>0.57645906226720289</v>
      </c>
      <c r="S221">
        <f t="shared" ca="1" si="168"/>
        <v>0</v>
      </c>
      <c r="T221">
        <f t="shared" ca="1" si="180"/>
        <v>0</v>
      </c>
    </row>
    <row r="222" spans="1:20" x14ac:dyDescent="0.25">
      <c r="A222" s="1" t="s">
        <v>36</v>
      </c>
      <c r="B222" s="1">
        <f t="shared" si="169"/>
        <v>13</v>
      </c>
      <c r="C222" s="1">
        <f t="shared" si="170"/>
        <v>220</v>
      </c>
      <c r="D222">
        <f t="shared" ca="1" si="171"/>
        <v>0.63100000000000001</v>
      </c>
      <c r="E222">
        <f t="shared" ca="1" si="172"/>
        <v>2.5499999999999998</v>
      </c>
      <c r="F222">
        <f t="shared" ca="1" si="173"/>
        <v>1.5780000000000001</v>
      </c>
      <c r="G222">
        <f t="shared" ca="1" si="174"/>
        <v>2.5259999999999998</v>
      </c>
      <c r="H222">
        <f t="shared" ca="1" si="175"/>
        <v>0.17899999999999999</v>
      </c>
      <c r="I222">
        <f t="shared" ca="1" si="176"/>
        <v>2.1139999999999999</v>
      </c>
      <c r="J222">
        <f t="shared" ca="1" si="177"/>
        <v>1.778</v>
      </c>
      <c r="K222">
        <f t="shared" ca="1" si="178"/>
        <v>0</v>
      </c>
      <c r="L222">
        <f t="shared" ca="1" si="178"/>
        <v>0</v>
      </c>
      <c r="M222">
        <f t="shared" ca="1" si="178"/>
        <v>0</v>
      </c>
      <c r="N222">
        <f t="shared" ca="1" si="178"/>
        <v>0.35949570455563473</v>
      </c>
      <c r="O222">
        <f t="shared" ca="1" si="178"/>
        <v>0</v>
      </c>
      <c r="P222">
        <f t="shared" ca="1" si="178"/>
        <v>0.51623604200536477</v>
      </c>
      <c r="Q222">
        <f t="shared" ca="1" si="178"/>
        <v>0</v>
      </c>
      <c r="R222">
        <f t="shared" ca="1" si="179"/>
        <v>0.51623604200536477</v>
      </c>
      <c r="S222">
        <f t="shared" ca="1" si="168"/>
        <v>0</v>
      </c>
      <c r="T222">
        <f t="shared" ca="1" si="180"/>
        <v>0</v>
      </c>
    </row>
    <row r="223" spans="1:20" x14ac:dyDescent="0.25">
      <c r="A223" s="1" t="s">
        <v>45</v>
      </c>
      <c r="B223" s="1">
        <f t="shared" si="169"/>
        <v>16</v>
      </c>
      <c r="C223" s="1">
        <f t="shared" si="170"/>
        <v>221</v>
      </c>
      <c r="D223">
        <f t="shared" ca="1" si="171"/>
        <v>0.79100000000000004</v>
      </c>
      <c r="E223">
        <f t="shared" ca="1" si="172"/>
        <v>0.84299999999999997</v>
      </c>
      <c r="F223">
        <f t="shared" ca="1" si="173"/>
        <v>0.64700000000000002</v>
      </c>
      <c r="G223">
        <f t="shared" ca="1" si="174"/>
        <v>0.16900000000000001</v>
      </c>
      <c r="H223">
        <f t="shared" ca="1" si="175"/>
        <v>0.70199999999999996</v>
      </c>
      <c r="I223">
        <f t="shared" ca="1" si="176"/>
        <v>0.95499999999999996</v>
      </c>
      <c r="J223">
        <f t="shared" ca="1" si="177"/>
        <v>0.65400000000000003</v>
      </c>
      <c r="K223">
        <f t="shared" ca="1" si="178"/>
        <v>0</v>
      </c>
      <c r="L223">
        <f t="shared" ca="1" si="178"/>
        <v>0</v>
      </c>
      <c r="M223">
        <f t="shared" ca="1" si="178"/>
        <v>0</v>
      </c>
      <c r="N223">
        <f t="shared" ca="1" si="178"/>
        <v>0.34616675522416657</v>
      </c>
      <c r="O223">
        <f t="shared" ca="1" si="178"/>
        <v>0</v>
      </c>
      <c r="P223">
        <f t="shared" ca="1" si="178"/>
        <v>0.51055789269719309</v>
      </c>
      <c r="Q223">
        <f t="shared" ca="1" si="178"/>
        <v>0</v>
      </c>
      <c r="R223">
        <f t="shared" ca="1" si="179"/>
        <v>0.51055789269719309</v>
      </c>
      <c r="S223">
        <f t="shared" ref="S223:S238" ca="1" si="181">IF(R196&gt;1.55,1,IF(R196&gt;1.48,0.9,IF(R196&gt;1.4,0.8,IF(R196&gt;1.36666,0.6,IF(R196&gt;1.33333,0.4,IF(R196&gt;1.22,0.2,IF(R196&gt;1,0.1,0)))))))</f>
        <v>0</v>
      </c>
      <c r="T223">
        <f t="shared" ca="1" si="180"/>
        <v>0</v>
      </c>
    </row>
    <row r="224" spans="1:20" x14ac:dyDescent="0.25">
      <c r="A224" s="1" t="s">
        <v>37</v>
      </c>
      <c r="B224" s="1">
        <f t="shared" si="169"/>
        <v>4</v>
      </c>
      <c r="C224" s="1">
        <f t="shared" si="170"/>
        <v>222</v>
      </c>
      <c r="D224">
        <f t="shared" ca="1" si="171"/>
        <v>0.106</v>
      </c>
      <c r="E224">
        <f t="shared" ca="1" si="172"/>
        <v>1.2999999999999999E-2</v>
      </c>
      <c r="F224">
        <f t="shared" ca="1" si="173"/>
        <v>0.53100000000000003</v>
      </c>
      <c r="G224">
        <f t="shared" ca="1" si="174"/>
        <v>7.5999999999999998E-2</v>
      </c>
      <c r="H224">
        <f t="shared" ca="1" si="175"/>
        <v>0.40300000000000002</v>
      </c>
      <c r="I224">
        <f t="shared" ca="1" si="176"/>
        <v>0.66200000000000003</v>
      </c>
      <c r="J224">
        <f t="shared" ca="1" si="177"/>
        <v>0.189</v>
      </c>
      <c r="K224">
        <f t="shared" ca="1" si="178"/>
        <v>0</v>
      </c>
      <c r="L224">
        <f t="shared" ca="1" si="178"/>
        <v>0</v>
      </c>
      <c r="M224">
        <f t="shared" ca="1" si="178"/>
        <v>0</v>
      </c>
      <c r="N224">
        <f t="shared" ca="1" si="178"/>
        <v>0.34616675522416657</v>
      </c>
      <c r="O224">
        <f t="shared" ca="1" si="178"/>
        <v>0</v>
      </c>
      <c r="P224">
        <f t="shared" ca="1" si="178"/>
        <v>0.51055789269719309</v>
      </c>
      <c r="Q224">
        <f t="shared" ca="1" si="178"/>
        <v>0</v>
      </c>
      <c r="R224">
        <f t="shared" ca="1" si="179"/>
        <v>0.51055789269719309</v>
      </c>
      <c r="S224">
        <f t="shared" ca="1" si="181"/>
        <v>0</v>
      </c>
      <c r="T224">
        <f t="shared" ca="1" si="180"/>
        <v>0</v>
      </c>
    </row>
    <row r="225" spans="1:20" x14ac:dyDescent="0.25">
      <c r="A225" s="1" t="s">
        <v>45</v>
      </c>
      <c r="B225" s="1">
        <f t="shared" si="169"/>
        <v>16</v>
      </c>
      <c r="C225" s="1">
        <f t="shared" si="170"/>
        <v>223</v>
      </c>
      <c r="D225">
        <f t="shared" ca="1" si="171"/>
        <v>0.64700000000000002</v>
      </c>
      <c r="E225">
        <f t="shared" ca="1" si="172"/>
        <v>0.16900000000000001</v>
      </c>
      <c r="F225">
        <f t="shared" ca="1" si="173"/>
        <v>0.70199999999999996</v>
      </c>
      <c r="G225">
        <f t="shared" ca="1" si="174"/>
        <v>0.95499999999999996</v>
      </c>
      <c r="H225">
        <f t="shared" ca="1" si="175"/>
        <v>0.65400000000000003</v>
      </c>
      <c r="I225">
        <f t="shared" ca="1" si="176"/>
        <v>0.79100000000000004</v>
      </c>
      <c r="J225">
        <f t="shared" ca="1" si="177"/>
        <v>0.84299999999999997</v>
      </c>
      <c r="K225">
        <f t="shared" ca="1" si="178"/>
        <v>0</v>
      </c>
      <c r="L225">
        <f t="shared" ca="1" si="178"/>
        <v>0</v>
      </c>
      <c r="M225">
        <f t="shared" ca="1" si="178"/>
        <v>0</v>
      </c>
      <c r="N225">
        <f t="shared" ca="1" si="178"/>
        <v>0.33117466861581629</v>
      </c>
      <c r="O225">
        <f t="shared" ca="1" si="178"/>
        <v>0</v>
      </c>
      <c r="P225">
        <f t="shared" ca="1" si="178"/>
        <v>0.48442109989142851</v>
      </c>
      <c r="Q225">
        <f t="shared" ca="1" si="178"/>
        <v>0</v>
      </c>
      <c r="R225">
        <f t="shared" ca="1" si="179"/>
        <v>0.48442109989142851</v>
      </c>
      <c r="S225">
        <f t="shared" ca="1" si="181"/>
        <v>0</v>
      </c>
      <c r="T225">
        <f t="shared" ca="1" si="180"/>
        <v>0</v>
      </c>
    </row>
    <row r="226" spans="1:20" x14ac:dyDescent="0.25">
      <c r="A226" s="1" t="s">
        <v>38</v>
      </c>
      <c r="B226" s="1">
        <f t="shared" si="169"/>
        <v>5</v>
      </c>
      <c r="C226" s="1">
        <f t="shared" si="170"/>
        <v>224</v>
      </c>
      <c r="D226">
        <f t="shared" ca="1" si="171"/>
        <v>4.4999999999999998E-2</v>
      </c>
      <c r="E226">
        <f t="shared" ca="1" si="172"/>
        <v>0.27500000000000002</v>
      </c>
      <c r="F226">
        <f t="shared" ca="1" si="173"/>
        <v>0.57799999999999996</v>
      </c>
      <c r="G226">
        <f t="shared" ca="1" si="174"/>
        <v>0.216</v>
      </c>
      <c r="H226">
        <f t="shared" ca="1" si="175"/>
        <v>0.21099999999999999</v>
      </c>
      <c r="I226">
        <f t="shared" ca="1" si="176"/>
        <v>0.42599999999999999</v>
      </c>
      <c r="J226">
        <f t="shared" ca="1" si="177"/>
        <v>0.156</v>
      </c>
      <c r="K226">
        <f t="shared" ca="1" si="178"/>
        <v>0</v>
      </c>
      <c r="L226">
        <f t="shared" ca="1" si="178"/>
        <v>0</v>
      </c>
      <c r="M226">
        <f t="shared" ca="1" si="178"/>
        <v>0</v>
      </c>
      <c r="N226">
        <f t="shared" ca="1" si="178"/>
        <v>0.33398571823908496</v>
      </c>
      <c r="O226">
        <f t="shared" ca="1" si="178"/>
        <v>0</v>
      </c>
      <c r="P226">
        <f t="shared" ca="1" si="178"/>
        <v>0.49386247201799288</v>
      </c>
      <c r="Q226">
        <f t="shared" ca="1" si="178"/>
        <v>0</v>
      </c>
      <c r="R226">
        <f t="shared" ca="1" si="179"/>
        <v>0.49386247201799288</v>
      </c>
      <c r="S226">
        <f t="shared" ca="1" si="181"/>
        <v>0</v>
      </c>
      <c r="T226">
        <f t="shared" ca="1" si="180"/>
        <v>0</v>
      </c>
    </row>
    <row r="227" spans="1:20" x14ac:dyDescent="0.25">
      <c r="A227" s="1" t="s">
        <v>40</v>
      </c>
      <c r="B227" s="1">
        <f t="shared" ref="B227:B242" si="182">LOOKUP($A227,$V$4:$V$23,$W$4:$W$23)</f>
        <v>6</v>
      </c>
      <c r="C227" s="1">
        <f t="shared" si="170"/>
        <v>225</v>
      </c>
      <c r="D227">
        <f t="shared" ca="1" si="171"/>
        <v>0.27500000000000002</v>
      </c>
      <c r="E227">
        <f t="shared" ca="1" si="172"/>
        <v>0.67900000000000005</v>
      </c>
      <c r="F227">
        <f t="shared" ca="1" si="173"/>
        <v>0.39500000000000002</v>
      </c>
      <c r="G227">
        <f t="shared" ca="1" si="174"/>
        <v>0.29399999999999998</v>
      </c>
      <c r="H227">
        <f t="shared" ca="1" si="175"/>
        <v>0.57899999999999996</v>
      </c>
      <c r="I227">
        <f t="shared" ca="1" si="176"/>
        <v>0.21299999999999999</v>
      </c>
      <c r="J227">
        <f t="shared" ca="1" si="177"/>
        <v>0.34699999999999998</v>
      </c>
      <c r="K227">
        <f t="shared" ca="1" si="178"/>
        <v>0</v>
      </c>
      <c r="L227">
        <f t="shared" ca="1" si="178"/>
        <v>0</v>
      </c>
      <c r="M227">
        <f t="shared" ca="1" si="178"/>
        <v>0</v>
      </c>
      <c r="N227">
        <f t="shared" ca="1" si="178"/>
        <v>0.37035209635911603</v>
      </c>
      <c r="O227">
        <f t="shared" ca="1" si="178"/>
        <v>0</v>
      </c>
      <c r="P227">
        <f t="shared" ca="1" si="178"/>
        <v>0.49673105932660544</v>
      </c>
      <c r="Q227">
        <f t="shared" ca="1" si="178"/>
        <v>0</v>
      </c>
      <c r="R227">
        <f t="shared" ca="1" si="179"/>
        <v>0.49673105932660544</v>
      </c>
      <c r="S227">
        <f t="shared" ca="1" si="181"/>
        <v>0</v>
      </c>
      <c r="T227">
        <f t="shared" ca="1" si="180"/>
        <v>0</v>
      </c>
    </row>
    <row r="228" spans="1:20" x14ac:dyDescent="0.25">
      <c r="A228" s="1" t="s">
        <v>32</v>
      </c>
      <c r="B228" s="1">
        <f t="shared" si="182"/>
        <v>3</v>
      </c>
      <c r="C228" s="1">
        <f t="shared" ref="C228:C243" si="183">C227+1</f>
        <v>226</v>
      </c>
      <c r="D228">
        <f t="shared" ref="D228:D243" ca="1" si="184">OFFSET($X$4,$B228,MOD($C228,7),1,1)</f>
        <v>3.1080000000000001</v>
      </c>
      <c r="E228">
        <f t="shared" ref="E228:E243" ca="1" si="185">OFFSET($X$4,$B228,MOD($C228+1,7),1,1)</f>
        <v>0.998</v>
      </c>
      <c r="F228">
        <f t="shared" ref="F228:F243" ca="1" si="186">OFFSET($X$4,$B228,MOD($C228+2,7),1,1)</f>
        <v>5.6849999999999996</v>
      </c>
      <c r="G228">
        <f t="shared" ref="G228:G243" ca="1" si="187">OFFSET($X$4,$B228,MOD($C228+3,7),1,1)</f>
        <v>2.4940000000000002</v>
      </c>
      <c r="H228">
        <f t="shared" ref="H228:H243" ca="1" si="188">OFFSET($X$4,$B228,MOD($C228+4,7),1,1)</f>
        <v>3.048</v>
      </c>
      <c r="I228">
        <f t="shared" ref="I228:I243" ca="1" si="189">OFFSET($X$4,$B228,MOD($C228+5,7),1,1)</f>
        <v>0.26200000000000001</v>
      </c>
      <c r="J228">
        <f t="shared" ref="J228:J243" ca="1" si="190">OFFSET($X$4,$B228,MOD($C228+6,7),1,1)</f>
        <v>3.496</v>
      </c>
      <c r="K228">
        <f t="shared" ref="K228:Q243" ca="1" si="191">POWER(PRODUCT(D228:D255),1/28)</f>
        <v>0</v>
      </c>
      <c r="L228">
        <f t="shared" ca="1" si="191"/>
        <v>0</v>
      </c>
      <c r="M228">
        <f t="shared" ca="1" si="191"/>
        <v>0</v>
      </c>
      <c r="N228">
        <f t="shared" ca="1" si="191"/>
        <v>0.36455390344693334</v>
      </c>
      <c r="O228">
        <f t="shared" ca="1" si="191"/>
        <v>0</v>
      </c>
      <c r="P228">
        <f t="shared" ca="1" si="191"/>
        <v>0.44951955888879952</v>
      </c>
      <c r="Q228">
        <f t="shared" ca="1" si="191"/>
        <v>0</v>
      </c>
      <c r="R228">
        <f t="shared" ref="R228:R243" ca="1" si="192">MAX(K228:Q228)</f>
        <v>0.44951955888879952</v>
      </c>
      <c r="S228">
        <f t="shared" ca="1" si="181"/>
        <v>0</v>
      </c>
      <c r="T228">
        <f t="shared" ref="T228:T243" ca="1" si="193">MAX(S228:S255)</f>
        <v>0</v>
      </c>
    </row>
    <row r="229" spans="1:20" x14ac:dyDescent="0.25">
      <c r="A229" s="1" t="s">
        <v>30</v>
      </c>
      <c r="B229" s="1">
        <f t="shared" si="182"/>
        <v>15</v>
      </c>
      <c r="C229" s="1">
        <f t="shared" si="183"/>
        <v>227</v>
      </c>
      <c r="D229">
        <f t="shared" ca="1" si="184"/>
        <v>0.41899999999999998</v>
      </c>
      <c r="E229">
        <f t="shared" ca="1" si="185"/>
        <v>0.52500000000000002</v>
      </c>
      <c r="F229">
        <f t="shared" ca="1" si="186"/>
        <v>0.91600000000000004</v>
      </c>
      <c r="G229">
        <f t="shared" ca="1" si="187"/>
        <v>0.628</v>
      </c>
      <c r="H229">
        <f t="shared" ca="1" si="188"/>
        <v>0.38200000000000001</v>
      </c>
      <c r="I229">
        <f t="shared" ca="1" si="189"/>
        <v>0.58299999999999996</v>
      </c>
      <c r="J229">
        <f t="shared" ca="1" si="190"/>
        <v>1.052</v>
      </c>
      <c r="K229">
        <f t="shared" ca="1" si="191"/>
        <v>0</v>
      </c>
      <c r="L229">
        <f t="shared" ca="1" si="191"/>
        <v>0</v>
      </c>
      <c r="M229">
        <f t="shared" ca="1" si="191"/>
        <v>0</v>
      </c>
      <c r="N229">
        <f t="shared" ca="1" si="191"/>
        <v>0.35897942591381765</v>
      </c>
      <c r="O229">
        <f t="shared" ca="1" si="191"/>
        <v>0</v>
      </c>
      <c r="P229">
        <f t="shared" ca="1" si="191"/>
        <v>0.41603993531459249</v>
      </c>
      <c r="Q229">
        <f t="shared" ca="1" si="191"/>
        <v>0</v>
      </c>
      <c r="R229">
        <f t="shared" ca="1" si="192"/>
        <v>0.41603993531459249</v>
      </c>
      <c r="S229">
        <f t="shared" ca="1" si="181"/>
        <v>0</v>
      </c>
      <c r="T229">
        <f t="shared" ca="1" si="193"/>
        <v>0</v>
      </c>
    </row>
    <row r="230" spans="1:20" x14ac:dyDescent="0.25">
      <c r="A230" s="1" t="s">
        <v>35</v>
      </c>
      <c r="B230" s="1">
        <f t="shared" si="182"/>
        <v>2</v>
      </c>
      <c r="C230" s="1">
        <f t="shared" si="183"/>
        <v>228</v>
      </c>
      <c r="D230">
        <f t="shared" ca="1" si="184"/>
        <v>0.66300000000000003</v>
      </c>
      <c r="E230">
        <f t="shared" ca="1" si="185"/>
        <v>1.62</v>
      </c>
      <c r="F230">
        <f t="shared" ca="1" si="186"/>
        <v>1.448</v>
      </c>
      <c r="G230">
        <f t="shared" ca="1" si="187"/>
        <v>0.03</v>
      </c>
      <c r="H230">
        <f t="shared" ca="1" si="188"/>
        <v>2.3519999999999999</v>
      </c>
      <c r="I230">
        <f t="shared" ca="1" si="189"/>
        <v>2.2679999999999998</v>
      </c>
      <c r="J230">
        <f t="shared" ca="1" si="190"/>
        <v>0.23699999999999999</v>
      </c>
      <c r="K230">
        <f t="shared" ca="1" si="191"/>
        <v>0</v>
      </c>
      <c r="L230">
        <f t="shared" ca="1" si="191"/>
        <v>0</v>
      </c>
      <c r="M230">
        <f t="shared" ca="1" si="191"/>
        <v>0</v>
      </c>
      <c r="N230">
        <f t="shared" ca="1" si="191"/>
        <v>0.35562942143834281</v>
      </c>
      <c r="O230">
        <f t="shared" ca="1" si="191"/>
        <v>0</v>
      </c>
      <c r="P230">
        <f t="shared" ca="1" si="191"/>
        <v>0.40613823166540253</v>
      </c>
      <c r="Q230">
        <f t="shared" ca="1" si="191"/>
        <v>0</v>
      </c>
      <c r="R230">
        <f t="shared" ca="1" si="192"/>
        <v>0.40613823166540253</v>
      </c>
      <c r="S230">
        <f t="shared" ca="1" si="181"/>
        <v>0</v>
      </c>
      <c r="T230">
        <f t="shared" ca="1" si="193"/>
        <v>0</v>
      </c>
    </row>
    <row r="231" spans="1:20" x14ac:dyDescent="0.25">
      <c r="A231" s="1" t="s">
        <v>41</v>
      </c>
      <c r="B231" s="1">
        <f t="shared" si="182"/>
        <v>7</v>
      </c>
      <c r="C231" s="1">
        <f t="shared" si="183"/>
        <v>229</v>
      </c>
      <c r="D231">
        <f t="shared" ca="1" si="184"/>
        <v>0.47099999999999997</v>
      </c>
      <c r="E231">
        <f t="shared" ca="1" si="185"/>
        <v>0.43099999999999999</v>
      </c>
      <c r="F231">
        <f t="shared" ca="1" si="186"/>
        <v>2.597</v>
      </c>
      <c r="G231">
        <f t="shared" ca="1" si="187"/>
        <v>9.8000000000000004E-2</v>
      </c>
      <c r="H231">
        <f t="shared" ca="1" si="188"/>
        <v>0.34499999999999997</v>
      </c>
      <c r="I231">
        <f t="shared" ca="1" si="189"/>
        <v>0.89400000000000002</v>
      </c>
      <c r="J231">
        <f t="shared" ca="1" si="190"/>
        <v>0.51400000000000001</v>
      </c>
      <c r="K231">
        <f t="shared" ca="1" si="191"/>
        <v>0</v>
      </c>
      <c r="L231">
        <f t="shared" ca="1" si="191"/>
        <v>0</v>
      </c>
      <c r="M231">
        <f t="shared" ca="1" si="191"/>
        <v>0</v>
      </c>
      <c r="N231">
        <f t="shared" ca="1" si="191"/>
        <v>0.39711640822405914</v>
      </c>
      <c r="O231">
        <f t="shared" ca="1" si="191"/>
        <v>0</v>
      </c>
      <c r="P231">
        <f t="shared" ca="1" si="191"/>
        <v>0.39712658064368961</v>
      </c>
      <c r="Q231">
        <f t="shared" ca="1" si="191"/>
        <v>0</v>
      </c>
      <c r="R231">
        <f t="shared" ca="1" si="192"/>
        <v>0.39712658064368961</v>
      </c>
      <c r="S231">
        <f t="shared" ca="1" si="181"/>
        <v>0</v>
      </c>
      <c r="T231">
        <f t="shared" ca="1" si="193"/>
        <v>0</v>
      </c>
    </row>
    <row r="232" spans="1:20" x14ac:dyDescent="0.25">
      <c r="A232" s="1" t="s">
        <v>43</v>
      </c>
      <c r="B232" s="1">
        <f t="shared" si="182"/>
        <v>11</v>
      </c>
      <c r="C232" s="1">
        <f t="shared" si="183"/>
        <v>230</v>
      </c>
      <c r="D232">
        <f t="shared" ca="1" si="184"/>
        <v>2.2799999999999998</v>
      </c>
      <c r="E232">
        <f t="shared" ca="1" si="185"/>
        <v>0.83499999999999996</v>
      </c>
      <c r="F232">
        <f t="shared" ca="1" si="186"/>
        <v>1.4750000000000001</v>
      </c>
      <c r="G232">
        <f t="shared" ca="1" si="187"/>
        <v>1.534</v>
      </c>
      <c r="H232">
        <f t="shared" ca="1" si="188"/>
        <v>3.9E-2</v>
      </c>
      <c r="I232">
        <f t="shared" ca="1" si="189"/>
        <v>1.722</v>
      </c>
      <c r="J232">
        <f t="shared" ca="1" si="190"/>
        <v>2.456</v>
      </c>
      <c r="K232">
        <f t="shared" ca="1" si="191"/>
        <v>0</v>
      </c>
      <c r="L232">
        <f t="shared" ca="1" si="191"/>
        <v>0</v>
      </c>
      <c r="M232">
        <f t="shared" ca="1" si="191"/>
        <v>0</v>
      </c>
      <c r="N232">
        <f t="shared" ca="1" si="191"/>
        <v>0.43828139587823517</v>
      </c>
      <c r="O232">
        <f t="shared" ca="1" si="191"/>
        <v>0</v>
      </c>
      <c r="P232">
        <f t="shared" ca="1" si="191"/>
        <v>0.41262810101725206</v>
      </c>
      <c r="Q232">
        <f t="shared" ca="1" si="191"/>
        <v>0</v>
      </c>
      <c r="R232">
        <f t="shared" ca="1" si="192"/>
        <v>0.43828139587823517</v>
      </c>
      <c r="S232">
        <f t="shared" ca="1" si="181"/>
        <v>0</v>
      </c>
      <c r="T232">
        <f t="shared" ca="1" si="193"/>
        <v>0</v>
      </c>
    </row>
    <row r="233" spans="1:20" x14ac:dyDescent="0.25">
      <c r="A233" s="1" t="s">
        <v>31</v>
      </c>
      <c r="B233" s="1">
        <f t="shared" si="182"/>
        <v>0</v>
      </c>
      <c r="C233" s="1">
        <f t="shared" si="183"/>
        <v>231</v>
      </c>
      <c r="D233">
        <f t="shared" ca="1" si="184"/>
        <v>1.2969999999999999</v>
      </c>
      <c r="E233">
        <f t="shared" ca="1" si="185"/>
        <v>1.5509999999999999</v>
      </c>
      <c r="F233">
        <f t="shared" ca="1" si="186"/>
        <v>1.0840000000000001</v>
      </c>
      <c r="G233">
        <f t="shared" ca="1" si="187"/>
        <v>2.6120000000000001</v>
      </c>
      <c r="H233">
        <f t="shared" ca="1" si="188"/>
        <v>0.377</v>
      </c>
      <c r="I233">
        <f t="shared" ca="1" si="189"/>
        <v>1.284</v>
      </c>
      <c r="J233">
        <f t="shared" ca="1" si="190"/>
        <v>0.877</v>
      </c>
      <c r="K233">
        <f t="shared" ca="1" si="191"/>
        <v>0</v>
      </c>
      <c r="L233">
        <f t="shared" ca="1" si="191"/>
        <v>0</v>
      </c>
      <c r="M233">
        <f t="shared" ca="1" si="191"/>
        <v>0</v>
      </c>
      <c r="N233">
        <f t="shared" ca="1" si="191"/>
        <v>0.44444492726365914</v>
      </c>
      <c r="O233">
        <f t="shared" ca="1" si="191"/>
        <v>0</v>
      </c>
      <c r="P233">
        <f t="shared" ca="1" si="191"/>
        <v>0.39879943017690817</v>
      </c>
      <c r="Q233">
        <f t="shared" ca="1" si="191"/>
        <v>0</v>
      </c>
      <c r="R233">
        <f t="shared" ca="1" si="192"/>
        <v>0.44444492726365914</v>
      </c>
      <c r="S233">
        <f t="shared" ca="1" si="181"/>
        <v>0</v>
      </c>
      <c r="T233">
        <f t="shared" ca="1" si="193"/>
        <v>0</v>
      </c>
    </row>
    <row r="234" spans="1:20" x14ac:dyDescent="0.25">
      <c r="A234" s="1" t="s">
        <v>41</v>
      </c>
      <c r="B234" s="1">
        <f t="shared" si="182"/>
        <v>7</v>
      </c>
      <c r="C234" s="1">
        <f t="shared" si="183"/>
        <v>232</v>
      </c>
      <c r="D234">
        <f t="shared" ca="1" si="184"/>
        <v>9.8000000000000004E-2</v>
      </c>
      <c r="E234">
        <f t="shared" ca="1" si="185"/>
        <v>0.34499999999999997</v>
      </c>
      <c r="F234">
        <f t="shared" ca="1" si="186"/>
        <v>0.89400000000000002</v>
      </c>
      <c r="G234">
        <f t="shared" ca="1" si="187"/>
        <v>0.51400000000000001</v>
      </c>
      <c r="H234">
        <f t="shared" ca="1" si="188"/>
        <v>0.47099999999999997</v>
      </c>
      <c r="I234">
        <f t="shared" ca="1" si="189"/>
        <v>0.43099999999999999</v>
      </c>
      <c r="J234">
        <f t="shared" ca="1" si="190"/>
        <v>2.597</v>
      </c>
      <c r="K234">
        <f t="shared" ca="1" si="191"/>
        <v>0</v>
      </c>
      <c r="L234">
        <f t="shared" ca="1" si="191"/>
        <v>0</v>
      </c>
      <c r="M234">
        <f t="shared" ca="1" si="191"/>
        <v>0</v>
      </c>
      <c r="N234">
        <f t="shared" ca="1" si="191"/>
        <v>0.42245868811175413</v>
      </c>
      <c r="O234">
        <f t="shared" ca="1" si="191"/>
        <v>0</v>
      </c>
      <c r="P234">
        <f t="shared" ca="1" si="191"/>
        <v>0.40174682829168129</v>
      </c>
      <c r="Q234">
        <f t="shared" ca="1" si="191"/>
        <v>0</v>
      </c>
      <c r="R234">
        <f t="shared" ca="1" si="192"/>
        <v>0.42245868811175413</v>
      </c>
      <c r="S234">
        <f t="shared" ca="1" si="181"/>
        <v>0</v>
      </c>
      <c r="T234">
        <f t="shared" ca="1" si="193"/>
        <v>0</v>
      </c>
    </row>
    <row r="235" spans="1:20" x14ac:dyDescent="0.25">
      <c r="A235" s="1" t="s">
        <v>33</v>
      </c>
      <c r="B235" s="1">
        <f t="shared" si="182"/>
        <v>1</v>
      </c>
      <c r="C235" s="1">
        <f t="shared" si="183"/>
        <v>233</v>
      </c>
      <c r="D235">
        <f t="shared" ca="1" si="184"/>
        <v>0.308</v>
      </c>
      <c r="E235">
        <f t="shared" ca="1" si="185"/>
        <v>0.152</v>
      </c>
      <c r="F235">
        <f t="shared" ca="1" si="186"/>
        <v>0.18</v>
      </c>
      <c r="G235">
        <f t="shared" ca="1" si="187"/>
        <v>0.156</v>
      </c>
      <c r="H235">
        <f t="shared" ca="1" si="188"/>
        <v>4.3999999999999997E-2</v>
      </c>
      <c r="I235">
        <f t="shared" ca="1" si="189"/>
        <v>0.82399999999999995</v>
      </c>
      <c r="J235">
        <f t="shared" ca="1" si="190"/>
        <v>2.1999999999999999E-2</v>
      </c>
      <c r="K235">
        <f t="shared" ca="1" si="191"/>
        <v>0</v>
      </c>
      <c r="L235">
        <f t="shared" ca="1" si="191"/>
        <v>0</v>
      </c>
      <c r="M235">
        <f t="shared" ca="1" si="191"/>
        <v>0</v>
      </c>
      <c r="N235">
        <f t="shared" ca="1" si="191"/>
        <v>0.46032191515581433</v>
      </c>
      <c r="O235">
        <f t="shared" ca="1" si="191"/>
        <v>0</v>
      </c>
      <c r="P235">
        <f t="shared" ca="1" si="191"/>
        <v>0.43081725442007973</v>
      </c>
      <c r="Q235">
        <f t="shared" ca="1" si="191"/>
        <v>0</v>
      </c>
      <c r="R235">
        <f t="shared" ca="1" si="192"/>
        <v>0.46032191515581433</v>
      </c>
      <c r="S235">
        <f t="shared" ca="1" si="181"/>
        <v>0</v>
      </c>
      <c r="T235">
        <f t="shared" ca="1" si="193"/>
        <v>0</v>
      </c>
    </row>
    <row r="236" spans="1:20" x14ac:dyDescent="0.25">
      <c r="A236" s="1" t="s">
        <v>37</v>
      </c>
      <c r="B236" s="1">
        <f t="shared" si="182"/>
        <v>4</v>
      </c>
      <c r="C236" s="1">
        <f t="shared" si="183"/>
        <v>234</v>
      </c>
      <c r="D236">
        <f t="shared" ca="1" si="184"/>
        <v>0.66200000000000003</v>
      </c>
      <c r="E236">
        <f t="shared" ca="1" si="185"/>
        <v>0.189</v>
      </c>
      <c r="F236">
        <f t="shared" ca="1" si="186"/>
        <v>0.106</v>
      </c>
      <c r="G236">
        <f t="shared" ca="1" si="187"/>
        <v>1.2999999999999999E-2</v>
      </c>
      <c r="H236">
        <f t="shared" ca="1" si="188"/>
        <v>0.53100000000000003</v>
      </c>
      <c r="I236">
        <f t="shared" ca="1" si="189"/>
        <v>7.5999999999999998E-2</v>
      </c>
      <c r="J236">
        <f t="shared" ca="1" si="190"/>
        <v>0.40300000000000002</v>
      </c>
      <c r="K236">
        <f t="shared" ca="1" si="191"/>
        <v>0</v>
      </c>
      <c r="L236">
        <f t="shared" ca="1" si="191"/>
        <v>0</v>
      </c>
      <c r="M236">
        <f t="shared" ca="1" si="191"/>
        <v>0</v>
      </c>
      <c r="N236">
        <f t="shared" ca="1" si="191"/>
        <v>0.47990861794245132</v>
      </c>
      <c r="O236">
        <f t="shared" ca="1" si="191"/>
        <v>0</v>
      </c>
      <c r="P236">
        <f t="shared" ca="1" si="191"/>
        <v>0.45203907360148193</v>
      </c>
      <c r="Q236">
        <f t="shared" ca="1" si="191"/>
        <v>0</v>
      </c>
      <c r="R236">
        <f t="shared" ca="1" si="192"/>
        <v>0.47990861794245132</v>
      </c>
      <c r="S236">
        <f t="shared" ca="1" si="181"/>
        <v>0</v>
      </c>
      <c r="T236">
        <f t="shared" ca="1" si="193"/>
        <v>0</v>
      </c>
    </row>
    <row r="237" spans="1:20" x14ac:dyDescent="0.25">
      <c r="A237" s="1" t="s">
        <v>37</v>
      </c>
      <c r="B237" s="1">
        <f t="shared" si="182"/>
        <v>4</v>
      </c>
      <c r="C237" s="1">
        <f t="shared" si="183"/>
        <v>235</v>
      </c>
      <c r="D237">
        <f t="shared" ca="1" si="184"/>
        <v>0.189</v>
      </c>
      <c r="E237">
        <f t="shared" ca="1" si="185"/>
        <v>0.106</v>
      </c>
      <c r="F237">
        <f t="shared" ca="1" si="186"/>
        <v>1.2999999999999999E-2</v>
      </c>
      <c r="G237">
        <f t="shared" ca="1" si="187"/>
        <v>0.53100000000000003</v>
      </c>
      <c r="H237">
        <f t="shared" ca="1" si="188"/>
        <v>7.5999999999999998E-2</v>
      </c>
      <c r="I237">
        <f t="shared" ca="1" si="189"/>
        <v>0.40300000000000002</v>
      </c>
      <c r="J237">
        <f t="shared" ca="1" si="190"/>
        <v>0.66200000000000003</v>
      </c>
      <c r="K237">
        <f t="shared" ca="1" si="191"/>
        <v>0</v>
      </c>
      <c r="L237">
        <f t="shared" ca="1" si="191"/>
        <v>0</v>
      </c>
      <c r="M237">
        <f t="shared" ca="1" si="191"/>
        <v>0</v>
      </c>
      <c r="N237">
        <f t="shared" ca="1" si="191"/>
        <v>0.55225950331937501</v>
      </c>
      <c r="O237">
        <f t="shared" ca="1" si="191"/>
        <v>0</v>
      </c>
      <c r="P237">
        <f t="shared" ca="1" si="191"/>
        <v>0.47832772282219777</v>
      </c>
      <c r="Q237">
        <f t="shared" ca="1" si="191"/>
        <v>0</v>
      </c>
      <c r="R237">
        <f t="shared" ca="1" si="192"/>
        <v>0.55225950331937501</v>
      </c>
      <c r="S237">
        <f t="shared" ca="1" si="181"/>
        <v>0</v>
      </c>
      <c r="T237">
        <f t="shared" ca="1" si="193"/>
        <v>0</v>
      </c>
    </row>
    <row r="238" spans="1:20" x14ac:dyDescent="0.25">
      <c r="A238" s="1" t="s">
        <v>44</v>
      </c>
      <c r="B238" s="1">
        <f t="shared" si="182"/>
        <v>12</v>
      </c>
      <c r="C238" s="1">
        <f t="shared" si="183"/>
        <v>236</v>
      </c>
      <c r="D238">
        <f t="shared" ca="1" si="184"/>
        <v>0</v>
      </c>
      <c r="E238">
        <f t="shared" ca="1" si="185"/>
        <v>0</v>
      </c>
      <c r="F238">
        <f t="shared" ca="1" si="186"/>
        <v>0</v>
      </c>
      <c r="G238">
        <f t="shared" ca="1" si="187"/>
        <v>8.0000000000000002E-3</v>
      </c>
      <c r="H238">
        <f t="shared" ca="1" si="188"/>
        <v>0</v>
      </c>
      <c r="I238">
        <f t="shared" ca="1" si="189"/>
        <v>1.2999999999999999E-2</v>
      </c>
      <c r="J238">
        <f t="shared" ca="1" si="190"/>
        <v>0</v>
      </c>
      <c r="K238">
        <f t="shared" ca="1" si="191"/>
        <v>0</v>
      </c>
      <c r="L238">
        <f t="shared" ca="1" si="191"/>
        <v>0</v>
      </c>
      <c r="M238">
        <f t="shared" ca="1" si="191"/>
        <v>0</v>
      </c>
      <c r="N238">
        <f t="shared" ca="1" si="191"/>
        <v>0.53013414340786891</v>
      </c>
      <c r="O238">
        <f t="shared" ca="1" si="191"/>
        <v>0</v>
      </c>
      <c r="P238">
        <f t="shared" ca="1" si="191"/>
        <v>0.49329604714038816</v>
      </c>
      <c r="Q238">
        <f t="shared" ca="1" si="191"/>
        <v>0</v>
      </c>
      <c r="R238">
        <f t="shared" ca="1" si="192"/>
        <v>0.53013414340786891</v>
      </c>
      <c r="S238">
        <f t="shared" ca="1" si="181"/>
        <v>0</v>
      </c>
      <c r="T238">
        <f t="shared" ca="1" si="193"/>
        <v>0</v>
      </c>
    </row>
    <row r="239" spans="1:20" x14ac:dyDescent="0.25">
      <c r="A239" s="1" t="s">
        <v>43</v>
      </c>
      <c r="B239" s="1">
        <f t="shared" si="182"/>
        <v>11</v>
      </c>
      <c r="C239" s="1">
        <f t="shared" si="183"/>
        <v>237</v>
      </c>
      <c r="D239">
        <f t="shared" ca="1" si="184"/>
        <v>2.2799999999999998</v>
      </c>
      <c r="E239">
        <f t="shared" ca="1" si="185"/>
        <v>0.83499999999999996</v>
      </c>
      <c r="F239">
        <f t="shared" ca="1" si="186"/>
        <v>1.4750000000000001</v>
      </c>
      <c r="G239">
        <f t="shared" ca="1" si="187"/>
        <v>1.534</v>
      </c>
      <c r="H239">
        <f t="shared" ca="1" si="188"/>
        <v>3.9E-2</v>
      </c>
      <c r="I239">
        <f t="shared" ca="1" si="189"/>
        <v>1.722</v>
      </c>
      <c r="J239">
        <f t="shared" ca="1" si="190"/>
        <v>2.456</v>
      </c>
      <c r="K239">
        <f t="shared" ca="1" si="191"/>
        <v>0.78725885579039778</v>
      </c>
      <c r="L239">
        <f t="shared" ca="1" si="191"/>
        <v>0.53787040909522599</v>
      </c>
      <c r="M239">
        <f t="shared" ca="1" si="191"/>
        <v>0.63097153103626324</v>
      </c>
      <c r="N239">
        <f t="shared" ca="1" si="191"/>
        <v>0.57799880093974099</v>
      </c>
      <c r="O239">
        <f t="shared" ca="1" si="191"/>
        <v>0.62106999036420385</v>
      </c>
      <c r="P239">
        <f t="shared" ca="1" si="191"/>
        <v>0.58656812361169297</v>
      </c>
      <c r="Q239">
        <f t="shared" ca="1" si="191"/>
        <v>0.56288202666917808</v>
      </c>
      <c r="R239">
        <f t="shared" ca="1" si="192"/>
        <v>0.78725885579039778</v>
      </c>
      <c r="S239">
        <f t="shared" ref="S239:S254" ca="1" si="194">IF(R212&gt;1.55,1,IF(R212&gt;1.48,0.9,IF(R212&gt;1.4,0.8,IF(R212&gt;1.36666,0.6,IF(R212&gt;1.33333,0.4,IF(R212&gt;1.22,0.2,IF(R212&gt;1,0.1,0)))))))</f>
        <v>0</v>
      </c>
      <c r="T239">
        <f t="shared" ca="1" si="193"/>
        <v>0</v>
      </c>
    </row>
    <row r="240" spans="1:20" x14ac:dyDescent="0.25">
      <c r="A240" s="1" t="s">
        <v>38</v>
      </c>
      <c r="B240" s="1">
        <f t="shared" si="182"/>
        <v>5</v>
      </c>
      <c r="C240" s="1">
        <f t="shared" si="183"/>
        <v>238</v>
      </c>
      <c r="D240">
        <f t="shared" ca="1" si="184"/>
        <v>4.4999999999999998E-2</v>
      </c>
      <c r="E240">
        <f t="shared" ca="1" si="185"/>
        <v>0.27500000000000002</v>
      </c>
      <c r="F240">
        <f t="shared" ca="1" si="186"/>
        <v>0.57799999999999996</v>
      </c>
      <c r="G240">
        <f t="shared" ca="1" si="187"/>
        <v>0.216</v>
      </c>
      <c r="H240">
        <f t="shared" ca="1" si="188"/>
        <v>0.21099999999999999</v>
      </c>
      <c r="I240">
        <f t="shared" ca="1" si="189"/>
        <v>0.42599999999999999</v>
      </c>
      <c r="J240">
        <f t="shared" ca="1" si="190"/>
        <v>0.156</v>
      </c>
      <c r="K240">
        <f t="shared" ca="1" si="191"/>
        <v>0.7518279036584985</v>
      </c>
      <c r="L240">
        <f t="shared" ca="1" si="191"/>
        <v>0.52305608082212407</v>
      </c>
      <c r="M240">
        <f t="shared" ca="1" si="191"/>
        <v>0.61039715116078963</v>
      </c>
      <c r="N240">
        <f t="shared" ca="1" si="191"/>
        <v>0.57026483760042035</v>
      </c>
      <c r="O240">
        <f t="shared" ca="1" si="191"/>
        <v>0.67603208724919683</v>
      </c>
      <c r="P240">
        <f t="shared" ca="1" si="191"/>
        <v>0.56220459673195822</v>
      </c>
      <c r="Q240">
        <f t="shared" ca="1" si="191"/>
        <v>0.54340018044380045</v>
      </c>
      <c r="R240">
        <f t="shared" ca="1" si="192"/>
        <v>0.7518279036584985</v>
      </c>
      <c r="S240">
        <f t="shared" ca="1" si="194"/>
        <v>0</v>
      </c>
      <c r="T240">
        <f t="shared" ca="1" si="193"/>
        <v>0</v>
      </c>
    </row>
    <row r="241" spans="1:20" x14ac:dyDescent="0.25">
      <c r="A241" s="1" t="s">
        <v>43</v>
      </c>
      <c r="B241" s="1">
        <f t="shared" si="182"/>
        <v>11</v>
      </c>
      <c r="C241" s="1">
        <f t="shared" si="183"/>
        <v>239</v>
      </c>
      <c r="D241">
        <f t="shared" ca="1" si="184"/>
        <v>1.4750000000000001</v>
      </c>
      <c r="E241">
        <f t="shared" ca="1" si="185"/>
        <v>1.534</v>
      </c>
      <c r="F241">
        <f t="shared" ca="1" si="186"/>
        <v>3.9E-2</v>
      </c>
      <c r="G241">
        <f t="shared" ca="1" si="187"/>
        <v>1.722</v>
      </c>
      <c r="H241">
        <f t="shared" ca="1" si="188"/>
        <v>2.456</v>
      </c>
      <c r="I241">
        <f t="shared" ca="1" si="189"/>
        <v>2.2799999999999998</v>
      </c>
      <c r="J241">
        <f t="shared" ca="1" si="190"/>
        <v>0.83499999999999996</v>
      </c>
      <c r="K241">
        <f t="shared" ca="1" si="191"/>
        <v>0.80872559639794661</v>
      </c>
      <c r="L241">
        <f t="shared" ca="1" si="191"/>
        <v>0.52305608082212407</v>
      </c>
      <c r="M241">
        <f t="shared" ca="1" si="191"/>
        <v>0.61391808095679867</v>
      </c>
      <c r="N241">
        <f t="shared" ca="1" si="191"/>
        <v>0.5826917325698876</v>
      </c>
      <c r="O241">
        <f t="shared" ca="1" si="191"/>
        <v>0.6840888059607001</v>
      </c>
      <c r="P241">
        <f t="shared" ca="1" si="191"/>
        <v>0.56839990683427544</v>
      </c>
      <c r="Q241">
        <f t="shared" ca="1" si="191"/>
        <v>0.54947800678941872</v>
      </c>
      <c r="R241">
        <f t="shared" ca="1" si="192"/>
        <v>0.80872559639794661</v>
      </c>
      <c r="S241">
        <f t="shared" ca="1" si="194"/>
        <v>0</v>
      </c>
      <c r="T241">
        <f t="shared" ca="1" si="193"/>
        <v>0</v>
      </c>
    </row>
    <row r="242" spans="1:20" x14ac:dyDescent="0.25">
      <c r="A242" s="1" t="s">
        <v>31</v>
      </c>
      <c r="B242" s="1">
        <f t="shared" si="182"/>
        <v>0</v>
      </c>
      <c r="C242" s="1">
        <f t="shared" si="183"/>
        <v>240</v>
      </c>
      <c r="D242">
        <f t="shared" ca="1" si="184"/>
        <v>1.0840000000000001</v>
      </c>
      <c r="E242">
        <f t="shared" ca="1" si="185"/>
        <v>2.6120000000000001</v>
      </c>
      <c r="F242">
        <f t="shared" ca="1" si="186"/>
        <v>0.377</v>
      </c>
      <c r="G242">
        <f t="shared" ca="1" si="187"/>
        <v>1.284</v>
      </c>
      <c r="H242">
        <f t="shared" ca="1" si="188"/>
        <v>0.877</v>
      </c>
      <c r="I242">
        <f t="shared" ca="1" si="189"/>
        <v>1.2969999999999999</v>
      </c>
      <c r="J242">
        <f t="shared" ca="1" si="190"/>
        <v>1.5509999999999999</v>
      </c>
      <c r="K242">
        <f t="shared" ca="1" si="191"/>
        <v>0.82231558419601558</v>
      </c>
      <c r="L242">
        <f t="shared" ca="1" si="191"/>
        <v>0.53041179475568945</v>
      </c>
      <c r="M242">
        <f t="shared" ca="1" si="191"/>
        <v>0.65478561415854641</v>
      </c>
      <c r="N242">
        <f t="shared" ca="1" si="191"/>
        <v>0.56316360990632297</v>
      </c>
      <c r="O242">
        <f t="shared" ca="1" si="191"/>
        <v>0.67399773301919974</v>
      </c>
      <c r="P242">
        <f t="shared" ca="1" si="191"/>
        <v>0.55925817999841632</v>
      </c>
      <c r="Q242">
        <f t="shared" ca="1" si="191"/>
        <v>0.48793132345091317</v>
      </c>
      <c r="R242">
        <f t="shared" ca="1" si="192"/>
        <v>0.82231558419601558</v>
      </c>
      <c r="S242">
        <f t="shared" ca="1" si="194"/>
        <v>0</v>
      </c>
      <c r="T242">
        <f t="shared" ca="1" si="193"/>
        <v>0</v>
      </c>
    </row>
    <row r="243" spans="1:20" x14ac:dyDescent="0.25">
      <c r="A243" s="1" t="s">
        <v>37</v>
      </c>
      <c r="B243" s="1">
        <f t="shared" ref="B243:B258" si="195">LOOKUP($A243,$V$4:$V$23,$W$4:$W$23)</f>
        <v>4</v>
      </c>
      <c r="C243" s="1">
        <f t="shared" si="183"/>
        <v>241</v>
      </c>
      <c r="D243">
        <f t="shared" ca="1" si="184"/>
        <v>0.66200000000000003</v>
      </c>
      <c r="E243">
        <f t="shared" ca="1" si="185"/>
        <v>0.189</v>
      </c>
      <c r="F243">
        <f t="shared" ca="1" si="186"/>
        <v>0.106</v>
      </c>
      <c r="G243">
        <f t="shared" ca="1" si="187"/>
        <v>1.2999999999999999E-2</v>
      </c>
      <c r="H243">
        <f t="shared" ca="1" si="188"/>
        <v>0.53100000000000003</v>
      </c>
      <c r="I243">
        <f t="shared" ca="1" si="189"/>
        <v>7.5999999999999998E-2</v>
      </c>
      <c r="J243">
        <f t="shared" ca="1" si="190"/>
        <v>0.40300000000000002</v>
      </c>
      <c r="K243">
        <f t="shared" ca="1" si="191"/>
        <v>0.83257639766493952</v>
      </c>
      <c r="L243">
        <f t="shared" ca="1" si="191"/>
        <v>0.45645939752439774</v>
      </c>
      <c r="M243">
        <f t="shared" ca="1" si="191"/>
        <v>0.69128884761769216</v>
      </c>
      <c r="N243">
        <f t="shared" ca="1" si="191"/>
        <v>0.57636020754300021</v>
      </c>
      <c r="O243">
        <f t="shared" ca="1" si="191"/>
        <v>0.69739294879747993</v>
      </c>
      <c r="P243">
        <f t="shared" ca="1" si="191"/>
        <v>0.55053110656227766</v>
      </c>
      <c r="Q243">
        <f t="shared" ca="1" si="191"/>
        <v>0.48705658726322082</v>
      </c>
      <c r="R243">
        <f t="shared" ca="1" si="192"/>
        <v>0.83257639766493952</v>
      </c>
      <c r="S243">
        <f t="shared" ca="1" si="194"/>
        <v>0</v>
      </c>
      <c r="T243">
        <f t="shared" ca="1" si="193"/>
        <v>0</v>
      </c>
    </row>
    <row r="244" spans="1:20" x14ac:dyDescent="0.25">
      <c r="A244" s="1" t="s">
        <v>31</v>
      </c>
      <c r="B244" s="1">
        <f t="shared" si="195"/>
        <v>0</v>
      </c>
      <c r="C244" s="1">
        <f t="shared" ref="C244:C259" si="196">C243+1</f>
        <v>242</v>
      </c>
      <c r="D244">
        <f t="shared" ref="D244:D259" ca="1" si="197">OFFSET($X$4,$B244,MOD($C244,7),1,1)</f>
        <v>0.377</v>
      </c>
      <c r="E244">
        <f t="shared" ref="E244:E259" ca="1" si="198">OFFSET($X$4,$B244,MOD($C244+1,7),1,1)</f>
        <v>1.284</v>
      </c>
      <c r="F244">
        <f t="shared" ref="F244:F259" ca="1" si="199">OFFSET($X$4,$B244,MOD($C244+2,7),1,1)</f>
        <v>0.877</v>
      </c>
      <c r="G244">
        <f t="shared" ref="G244:G259" ca="1" si="200">OFFSET($X$4,$B244,MOD($C244+3,7),1,1)</f>
        <v>1.2969999999999999</v>
      </c>
      <c r="H244">
        <f t="shared" ref="H244:H259" ca="1" si="201">OFFSET($X$4,$B244,MOD($C244+4,7),1,1)</f>
        <v>1.5509999999999999</v>
      </c>
      <c r="I244">
        <f t="shared" ref="I244:I259" ca="1" si="202">OFFSET($X$4,$B244,MOD($C244+5,7),1,1)</f>
        <v>1.0840000000000001</v>
      </c>
      <c r="J244">
        <f t="shared" ref="J244:J259" ca="1" si="203">OFFSET($X$4,$B244,MOD($C244+6,7),1,1)</f>
        <v>2.6120000000000001</v>
      </c>
      <c r="K244">
        <f t="shared" ref="K244:Q259" ca="1" si="204">POWER(PRODUCT(D244:D271),1/28)</f>
        <v>0.84155804935373235</v>
      </c>
      <c r="L244">
        <f t="shared" ca="1" si="204"/>
        <v>0.47306417117925359</v>
      </c>
      <c r="M244">
        <f t="shared" ca="1" si="204"/>
        <v>0.72910861641809299</v>
      </c>
      <c r="N244">
        <f t="shared" ca="1" si="204"/>
        <v>0.6531287056541808</v>
      </c>
      <c r="O244">
        <f t="shared" ca="1" si="204"/>
        <v>0.73807105593414379</v>
      </c>
      <c r="P244">
        <f t="shared" ca="1" si="204"/>
        <v>0.55555257620784726</v>
      </c>
      <c r="Q244">
        <f t="shared" ca="1" si="204"/>
        <v>0.48436104650805745</v>
      </c>
      <c r="R244">
        <f t="shared" ref="R244:R259" ca="1" si="205">MAX(K244:Q244)</f>
        <v>0.84155804935373235</v>
      </c>
      <c r="S244">
        <f t="shared" ca="1" si="194"/>
        <v>0</v>
      </c>
      <c r="T244">
        <f t="shared" ref="T244:T259" ca="1" si="206">MAX(S244:S271)</f>
        <v>0</v>
      </c>
    </row>
    <row r="245" spans="1:20" x14ac:dyDescent="0.25">
      <c r="A245" s="1" t="s">
        <v>45</v>
      </c>
      <c r="B245" s="1">
        <f t="shared" si="195"/>
        <v>16</v>
      </c>
      <c r="C245" s="1">
        <f t="shared" si="196"/>
        <v>243</v>
      </c>
      <c r="D245">
        <f t="shared" ca="1" si="197"/>
        <v>0.84299999999999997</v>
      </c>
      <c r="E245">
        <f t="shared" ca="1" si="198"/>
        <v>0.64700000000000002</v>
      </c>
      <c r="F245">
        <f t="shared" ca="1" si="199"/>
        <v>0.16900000000000001</v>
      </c>
      <c r="G245">
        <f t="shared" ca="1" si="200"/>
        <v>0.70199999999999996</v>
      </c>
      <c r="H245">
        <f t="shared" ca="1" si="201"/>
        <v>0.95499999999999996</v>
      </c>
      <c r="I245">
        <f t="shared" ca="1" si="202"/>
        <v>0.65400000000000003</v>
      </c>
      <c r="J245">
        <f t="shared" ca="1" si="203"/>
        <v>0.79100000000000004</v>
      </c>
      <c r="K245">
        <f t="shared" ca="1" si="204"/>
        <v>0.85092640147827292</v>
      </c>
      <c r="L245">
        <f t="shared" ca="1" si="204"/>
        <v>0.45642025552973925</v>
      </c>
      <c r="M245">
        <f t="shared" ca="1" si="204"/>
        <v>0.71084281204665323</v>
      </c>
      <c r="N245">
        <f t="shared" ca="1" si="204"/>
        <v>0.66952649961942368</v>
      </c>
      <c r="O245">
        <f t="shared" ca="1" si="204"/>
        <v>0.6687487297045478</v>
      </c>
      <c r="P245">
        <f t="shared" ca="1" si="204"/>
        <v>0.5332951808327363</v>
      </c>
      <c r="Q245">
        <f t="shared" ca="1" si="204"/>
        <v>0.46616467885375956</v>
      </c>
      <c r="R245">
        <f t="shared" ca="1" si="205"/>
        <v>0.85092640147827292</v>
      </c>
      <c r="S245">
        <f t="shared" ca="1" si="194"/>
        <v>0</v>
      </c>
      <c r="T245">
        <f t="shared" ca="1" si="206"/>
        <v>0</v>
      </c>
    </row>
    <row r="246" spans="1:20" x14ac:dyDescent="0.25">
      <c r="A246" s="1" t="s">
        <v>38</v>
      </c>
      <c r="B246" s="1">
        <f t="shared" si="195"/>
        <v>5</v>
      </c>
      <c r="C246" s="1">
        <f t="shared" si="196"/>
        <v>244</v>
      </c>
      <c r="D246">
        <f t="shared" ca="1" si="197"/>
        <v>0.156</v>
      </c>
      <c r="E246">
        <f t="shared" ca="1" si="198"/>
        <v>4.4999999999999998E-2</v>
      </c>
      <c r="F246">
        <f t="shared" ca="1" si="199"/>
        <v>0.27500000000000002</v>
      </c>
      <c r="G246">
        <f t="shared" ca="1" si="200"/>
        <v>0.57799999999999996</v>
      </c>
      <c r="H246">
        <f t="shared" ca="1" si="201"/>
        <v>0.216</v>
      </c>
      <c r="I246">
        <f t="shared" ca="1" si="202"/>
        <v>0.21099999999999999</v>
      </c>
      <c r="J246">
        <f t="shared" ca="1" si="203"/>
        <v>0.42599999999999999</v>
      </c>
      <c r="K246">
        <f t="shared" ca="1" si="204"/>
        <v>0.80116881290786879</v>
      </c>
      <c r="L246">
        <f t="shared" ca="1" si="204"/>
        <v>0.41463905843300208</v>
      </c>
      <c r="M246">
        <f t="shared" ca="1" si="204"/>
        <v>0.75222272842107363</v>
      </c>
      <c r="N246">
        <f t="shared" ca="1" si="204"/>
        <v>0.59163865517078684</v>
      </c>
      <c r="O246">
        <f t="shared" ca="1" si="204"/>
        <v>0.64226031733381828</v>
      </c>
      <c r="P246">
        <f t="shared" ca="1" si="204"/>
        <v>0.50621416823053833</v>
      </c>
      <c r="Q246">
        <f t="shared" ca="1" si="204"/>
        <v>0.44215903904109854</v>
      </c>
      <c r="R246">
        <f t="shared" ca="1" si="205"/>
        <v>0.80116881290786879</v>
      </c>
      <c r="S246">
        <f t="shared" ca="1" si="194"/>
        <v>0</v>
      </c>
      <c r="T246">
        <f t="shared" ca="1" si="206"/>
        <v>0</v>
      </c>
    </row>
    <row r="247" spans="1:20" x14ac:dyDescent="0.25">
      <c r="A247" s="1" t="s">
        <v>30</v>
      </c>
      <c r="B247" s="1">
        <f t="shared" si="195"/>
        <v>15</v>
      </c>
      <c r="C247" s="1">
        <f t="shared" si="196"/>
        <v>245</v>
      </c>
      <c r="D247">
        <f t="shared" ca="1" si="197"/>
        <v>0.38200000000000001</v>
      </c>
      <c r="E247">
        <f t="shared" ca="1" si="198"/>
        <v>0.58299999999999996</v>
      </c>
      <c r="F247">
        <f t="shared" ca="1" si="199"/>
        <v>1.052</v>
      </c>
      <c r="G247">
        <f t="shared" ca="1" si="200"/>
        <v>0.41899999999999998</v>
      </c>
      <c r="H247">
        <f t="shared" ca="1" si="201"/>
        <v>0.52500000000000002</v>
      </c>
      <c r="I247">
        <f t="shared" ca="1" si="202"/>
        <v>0.91600000000000004</v>
      </c>
      <c r="J247">
        <f t="shared" ca="1" si="203"/>
        <v>0.628</v>
      </c>
      <c r="K247">
        <f t="shared" ca="1" si="204"/>
        <v>0.80116881290786879</v>
      </c>
      <c r="L247">
        <f t="shared" ca="1" si="204"/>
        <v>0.41463905843300208</v>
      </c>
      <c r="M247">
        <f t="shared" ca="1" si="204"/>
        <v>0.75222272842107363</v>
      </c>
      <c r="N247">
        <f t="shared" ca="1" si="204"/>
        <v>0.59163865517078684</v>
      </c>
      <c r="O247">
        <f t="shared" ca="1" si="204"/>
        <v>0.64226031733381828</v>
      </c>
      <c r="P247">
        <f t="shared" ca="1" si="204"/>
        <v>0.50621416823053833</v>
      </c>
      <c r="Q247">
        <f t="shared" ca="1" si="204"/>
        <v>0.44215903904109854</v>
      </c>
      <c r="R247">
        <f t="shared" ca="1" si="205"/>
        <v>0.80116881290786879</v>
      </c>
      <c r="S247">
        <f t="shared" ca="1" si="194"/>
        <v>0</v>
      </c>
      <c r="T247">
        <f t="shared" ca="1" si="206"/>
        <v>0</v>
      </c>
    </row>
    <row r="248" spans="1:20" x14ac:dyDescent="0.25">
      <c r="A248" s="1" t="s">
        <v>35</v>
      </c>
      <c r="B248" s="1">
        <f t="shared" si="195"/>
        <v>2</v>
      </c>
      <c r="C248" s="1">
        <f t="shared" si="196"/>
        <v>246</v>
      </c>
      <c r="D248">
        <f t="shared" ca="1" si="197"/>
        <v>2.3519999999999999</v>
      </c>
      <c r="E248">
        <f t="shared" ca="1" si="198"/>
        <v>2.2679999999999998</v>
      </c>
      <c r="F248">
        <f t="shared" ca="1" si="199"/>
        <v>0.23699999999999999</v>
      </c>
      <c r="G248">
        <f t="shared" ca="1" si="200"/>
        <v>0.66300000000000003</v>
      </c>
      <c r="H248">
        <f t="shared" ca="1" si="201"/>
        <v>1.62</v>
      </c>
      <c r="I248">
        <f t="shared" ca="1" si="202"/>
        <v>1.448</v>
      </c>
      <c r="J248">
        <f t="shared" ca="1" si="203"/>
        <v>0.03</v>
      </c>
      <c r="K248">
        <f t="shared" ca="1" si="204"/>
        <v>0.85793209165020479</v>
      </c>
      <c r="L248">
        <f t="shared" ca="1" si="204"/>
        <v>0.38905549143224061</v>
      </c>
      <c r="M248">
        <f t="shared" ca="1" si="204"/>
        <v>0.722859202373485</v>
      </c>
      <c r="N248">
        <f t="shared" ca="1" si="204"/>
        <v>0.60787033796195999</v>
      </c>
      <c r="O248">
        <f t="shared" ca="1" si="204"/>
        <v>0.64177479164703355</v>
      </c>
      <c r="P248">
        <f t="shared" ca="1" si="204"/>
        <v>0.4943304321581532</v>
      </c>
      <c r="Q248">
        <f t="shared" ca="1" si="204"/>
        <v>0.43625443142831266</v>
      </c>
      <c r="R248">
        <f t="shared" ca="1" si="205"/>
        <v>0.85793209165020479</v>
      </c>
      <c r="S248">
        <f t="shared" ca="1" si="194"/>
        <v>0</v>
      </c>
      <c r="T248">
        <f t="shared" ca="1" si="206"/>
        <v>0</v>
      </c>
    </row>
    <row r="249" spans="1:20" x14ac:dyDescent="0.25">
      <c r="A249" s="1" t="s">
        <v>35</v>
      </c>
      <c r="B249" s="1">
        <f t="shared" si="195"/>
        <v>2</v>
      </c>
      <c r="C249" s="1">
        <f t="shared" si="196"/>
        <v>247</v>
      </c>
      <c r="D249">
        <f t="shared" ca="1" si="197"/>
        <v>2.2679999999999998</v>
      </c>
      <c r="E249">
        <f t="shared" ca="1" si="198"/>
        <v>0.23699999999999999</v>
      </c>
      <c r="F249">
        <f t="shared" ca="1" si="199"/>
        <v>0.66300000000000003</v>
      </c>
      <c r="G249">
        <f t="shared" ca="1" si="200"/>
        <v>1.62</v>
      </c>
      <c r="H249">
        <f t="shared" ca="1" si="201"/>
        <v>1.448</v>
      </c>
      <c r="I249">
        <f t="shared" ca="1" si="202"/>
        <v>0.03</v>
      </c>
      <c r="J249">
        <f t="shared" ca="1" si="203"/>
        <v>2.3519999999999999</v>
      </c>
      <c r="K249">
        <f t="shared" ca="1" si="204"/>
        <v>0.82167360188596128</v>
      </c>
      <c r="L249">
        <f t="shared" ca="1" si="204"/>
        <v>0.37722098681620753</v>
      </c>
      <c r="M249">
        <f t="shared" ca="1" si="204"/>
        <v>0.74954484459785808</v>
      </c>
      <c r="N249">
        <f t="shared" ca="1" si="204"/>
        <v>0.61171469633022257</v>
      </c>
      <c r="O249">
        <f t="shared" ca="1" si="204"/>
        <v>0.62697606251603244</v>
      </c>
      <c r="P249">
        <f t="shared" ca="1" si="204"/>
        <v>0.48031062585018608</v>
      </c>
      <c r="Q249">
        <f t="shared" ca="1" si="204"/>
        <v>0.46403731293332368</v>
      </c>
      <c r="R249">
        <f t="shared" ca="1" si="205"/>
        <v>0.82167360188596128</v>
      </c>
      <c r="S249">
        <f t="shared" ca="1" si="194"/>
        <v>0</v>
      </c>
      <c r="T249">
        <f t="shared" ca="1" si="206"/>
        <v>0</v>
      </c>
    </row>
    <row r="250" spans="1:20" x14ac:dyDescent="0.25">
      <c r="A250" s="1" t="s">
        <v>31</v>
      </c>
      <c r="B250" s="1">
        <f t="shared" si="195"/>
        <v>0</v>
      </c>
      <c r="C250" s="1">
        <f t="shared" si="196"/>
        <v>248</v>
      </c>
      <c r="D250">
        <f t="shared" ca="1" si="197"/>
        <v>2.6120000000000001</v>
      </c>
      <c r="E250">
        <f t="shared" ca="1" si="198"/>
        <v>0.377</v>
      </c>
      <c r="F250">
        <f t="shared" ca="1" si="199"/>
        <v>1.284</v>
      </c>
      <c r="G250">
        <f t="shared" ca="1" si="200"/>
        <v>0.877</v>
      </c>
      <c r="H250">
        <f t="shared" ca="1" si="201"/>
        <v>1.2969999999999999</v>
      </c>
      <c r="I250">
        <f t="shared" ca="1" si="202"/>
        <v>1.5509999999999999</v>
      </c>
      <c r="J250">
        <f t="shared" ca="1" si="203"/>
        <v>1.0840000000000001</v>
      </c>
      <c r="K250">
        <f t="shared" ca="1" si="204"/>
        <v>0.79943668480380703</v>
      </c>
      <c r="L250">
        <f t="shared" ca="1" si="204"/>
        <v>0.38497622248421559</v>
      </c>
      <c r="M250">
        <f t="shared" ca="1" si="204"/>
        <v>0.74332343927863498</v>
      </c>
      <c r="N250">
        <f t="shared" ca="1" si="204"/>
        <v>0.5993842950158389</v>
      </c>
      <c r="O250">
        <f t="shared" ca="1" si="204"/>
        <v>0.60854612136051323</v>
      </c>
      <c r="P250">
        <f t="shared" ca="1" si="204"/>
        <v>0.52599838744277427</v>
      </c>
      <c r="Q250">
        <f t="shared" ca="1" si="204"/>
        <v>0.44148739110457369</v>
      </c>
      <c r="R250">
        <f t="shared" ca="1" si="205"/>
        <v>0.79943668480380703</v>
      </c>
      <c r="S250">
        <f t="shared" ca="1" si="194"/>
        <v>0</v>
      </c>
      <c r="T250">
        <f t="shared" ca="1" si="206"/>
        <v>0</v>
      </c>
    </row>
    <row r="251" spans="1:20" x14ac:dyDescent="0.25">
      <c r="A251" s="1" t="s">
        <v>45</v>
      </c>
      <c r="B251" s="1">
        <f t="shared" si="195"/>
        <v>16</v>
      </c>
      <c r="C251" s="1">
        <f t="shared" si="196"/>
        <v>249</v>
      </c>
      <c r="D251">
        <f t="shared" ca="1" si="197"/>
        <v>0.79100000000000004</v>
      </c>
      <c r="E251">
        <f t="shared" ca="1" si="198"/>
        <v>0.84299999999999997</v>
      </c>
      <c r="F251">
        <f t="shared" ca="1" si="199"/>
        <v>0.64700000000000002</v>
      </c>
      <c r="G251">
        <f t="shared" ca="1" si="200"/>
        <v>0.16900000000000001</v>
      </c>
      <c r="H251">
        <f t="shared" ca="1" si="201"/>
        <v>0.70199999999999996</v>
      </c>
      <c r="I251">
        <f t="shared" ca="1" si="202"/>
        <v>0.95499999999999996</v>
      </c>
      <c r="J251">
        <f t="shared" ca="1" si="203"/>
        <v>0.65400000000000003</v>
      </c>
      <c r="K251">
        <f t="shared" ca="1" si="204"/>
        <v>0.77104593772890773</v>
      </c>
      <c r="L251">
        <f t="shared" ca="1" si="204"/>
        <v>0.377078528259985</v>
      </c>
      <c r="M251">
        <f t="shared" ca="1" si="204"/>
        <v>0.70902015458868162</v>
      </c>
      <c r="N251">
        <f t="shared" ca="1" si="204"/>
        <v>0.5806236866563087</v>
      </c>
      <c r="O251">
        <f t="shared" ca="1" si="204"/>
        <v>0.61399888081642207</v>
      </c>
      <c r="P251">
        <f t="shared" ca="1" si="204"/>
        <v>0.50128025697835077</v>
      </c>
      <c r="Q251">
        <f t="shared" ca="1" si="204"/>
        <v>0.42550289545765441</v>
      </c>
      <c r="R251">
        <f t="shared" ca="1" si="205"/>
        <v>0.77104593772890773</v>
      </c>
      <c r="S251">
        <f t="shared" ca="1" si="194"/>
        <v>0</v>
      </c>
      <c r="T251">
        <f t="shared" ca="1" si="206"/>
        <v>0</v>
      </c>
    </row>
    <row r="252" spans="1:20" x14ac:dyDescent="0.25">
      <c r="A252" s="1" t="s">
        <v>33</v>
      </c>
      <c r="B252" s="1">
        <f t="shared" si="195"/>
        <v>1</v>
      </c>
      <c r="C252" s="1">
        <f t="shared" si="196"/>
        <v>250</v>
      </c>
      <c r="D252">
        <f t="shared" ca="1" si="197"/>
        <v>0.156</v>
      </c>
      <c r="E252">
        <f t="shared" ca="1" si="198"/>
        <v>4.3999999999999997E-2</v>
      </c>
      <c r="F252">
        <f t="shared" ca="1" si="199"/>
        <v>0.82399999999999995</v>
      </c>
      <c r="G252">
        <f t="shared" ca="1" si="200"/>
        <v>2.1999999999999999E-2</v>
      </c>
      <c r="H252">
        <f t="shared" ca="1" si="201"/>
        <v>0.308</v>
      </c>
      <c r="I252">
        <f t="shared" ca="1" si="202"/>
        <v>0.152</v>
      </c>
      <c r="J252">
        <f t="shared" ca="1" si="203"/>
        <v>0.18</v>
      </c>
      <c r="K252">
        <f t="shared" ca="1" si="204"/>
        <v>0.7598406031701076</v>
      </c>
      <c r="L252">
        <f t="shared" ca="1" si="204"/>
        <v>0.37819862242520491</v>
      </c>
      <c r="M252">
        <f t="shared" ca="1" si="204"/>
        <v>0.70826580096973146</v>
      </c>
      <c r="N252">
        <f t="shared" ca="1" si="204"/>
        <v>0.59778348880356369</v>
      </c>
      <c r="O252">
        <f t="shared" ca="1" si="204"/>
        <v>0.60993921940454976</v>
      </c>
      <c r="P252">
        <f t="shared" ca="1" si="204"/>
        <v>0.50301512266670423</v>
      </c>
      <c r="Q252">
        <f t="shared" ca="1" si="204"/>
        <v>0.41879035627925748</v>
      </c>
      <c r="R252">
        <f t="shared" ca="1" si="205"/>
        <v>0.7598406031701076</v>
      </c>
      <c r="S252">
        <f t="shared" ca="1" si="194"/>
        <v>0</v>
      </c>
      <c r="T252">
        <f t="shared" ca="1" si="206"/>
        <v>0</v>
      </c>
    </row>
    <row r="253" spans="1:20" x14ac:dyDescent="0.25">
      <c r="A253" s="1" t="s">
        <v>39</v>
      </c>
      <c r="B253" s="1">
        <f t="shared" si="195"/>
        <v>14</v>
      </c>
      <c r="C253" s="1">
        <f t="shared" si="196"/>
        <v>251</v>
      </c>
      <c r="D253">
        <f t="shared" ca="1" si="197"/>
        <v>1.798</v>
      </c>
      <c r="E253">
        <f t="shared" ca="1" si="198"/>
        <v>0.65900000000000003</v>
      </c>
      <c r="F253">
        <f t="shared" ca="1" si="199"/>
        <v>1.163</v>
      </c>
      <c r="G253">
        <f t="shared" ca="1" si="200"/>
        <v>1.21</v>
      </c>
      <c r="H253">
        <f t="shared" ca="1" si="201"/>
        <v>3.1E-2</v>
      </c>
      <c r="I253">
        <f t="shared" ca="1" si="202"/>
        <v>1.3580000000000001</v>
      </c>
      <c r="J253">
        <f t="shared" ca="1" si="203"/>
        <v>1.9370000000000001</v>
      </c>
      <c r="K253">
        <f t="shared" ca="1" si="204"/>
        <v>0.7494263705102473</v>
      </c>
      <c r="L253">
        <f t="shared" ca="1" si="204"/>
        <v>0.3620836339596446</v>
      </c>
      <c r="M253">
        <f t="shared" ca="1" si="204"/>
        <v>0.69723763145696838</v>
      </c>
      <c r="N253">
        <f t="shared" ca="1" si="204"/>
        <v>0.62484480322909808</v>
      </c>
      <c r="O253">
        <f t="shared" ca="1" si="204"/>
        <v>0.61582364097075371</v>
      </c>
      <c r="P253">
        <f t="shared" ca="1" si="204"/>
        <v>0.53015515030433713</v>
      </c>
      <c r="Q253">
        <f t="shared" ca="1" si="204"/>
        <v>0.41952073709214138</v>
      </c>
      <c r="R253">
        <f t="shared" ca="1" si="205"/>
        <v>0.7494263705102473</v>
      </c>
      <c r="S253">
        <f t="shared" ca="1" si="194"/>
        <v>0</v>
      </c>
      <c r="T253">
        <f t="shared" ca="1" si="206"/>
        <v>0</v>
      </c>
    </row>
    <row r="254" spans="1:20" x14ac:dyDescent="0.25">
      <c r="A254" s="1" t="s">
        <v>34</v>
      </c>
      <c r="B254" s="1">
        <f t="shared" si="195"/>
        <v>9</v>
      </c>
      <c r="C254" s="1">
        <f t="shared" si="196"/>
        <v>252</v>
      </c>
      <c r="D254">
        <f t="shared" ca="1" si="197"/>
        <v>3.1669999999999998</v>
      </c>
      <c r="E254">
        <f t="shared" ca="1" si="198"/>
        <v>0.29699999999999999</v>
      </c>
      <c r="F254">
        <f t="shared" ca="1" si="199"/>
        <v>0.39800000000000002</v>
      </c>
      <c r="G254">
        <f t="shared" ca="1" si="200"/>
        <v>3.9020000000000001</v>
      </c>
      <c r="H254">
        <f t="shared" ca="1" si="201"/>
        <v>0.58499999999999996</v>
      </c>
      <c r="I254">
        <f t="shared" ca="1" si="202"/>
        <v>0.501</v>
      </c>
      <c r="J254">
        <f t="shared" ca="1" si="203"/>
        <v>0.48299999999999998</v>
      </c>
      <c r="K254">
        <f t="shared" ca="1" si="204"/>
        <v>0.72179457253825552</v>
      </c>
      <c r="L254">
        <f t="shared" ca="1" si="204"/>
        <v>0.355100239243065</v>
      </c>
      <c r="M254">
        <f t="shared" ca="1" si="204"/>
        <v>0.68025181005169166</v>
      </c>
      <c r="N254">
        <f t="shared" ca="1" si="204"/>
        <v>0.62172999226181191</v>
      </c>
      <c r="O254">
        <f t="shared" ca="1" si="204"/>
        <v>0.67584007485562303</v>
      </c>
      <c r="P254">
        <f t="shared" ca="1" si="204"/>
        <v>0.51246269226904817</v>
      </c>
      <c r="Q254">
        <f t="shared" ca="1" si="204"/>
        <v>0.40844908529143498</v>
      </c>
      <c r="R254">
        <f t="shared" ca="1" si="205"/>
        <v>0.72179457253825552</v>
      </c>
      <c r="S254">
        <f t="shared" ca="1" si="194"/>
        <v>0</v>
      </c>
      <c r="T254">
        <f t="shared" ca="1" si="206"/>
        <v>0</v>
      </c>
    </row>
    <row r="255" spans="1:20" x14ac:dyDescent="0.25">
      <c r="A255" s="1" t="s">
        <v>37</v>
      </c>
      <c r="B255" s="1">
        <f t="shared" si="195"/>
        <v>4</v>
      </c>
      <c r="C255" s="1">
        <f t="shared" si="196"/>
        <v>253</v>
      </c>
      <c r="D255">
        <f t="shared" ca="1" si="197"/>
        <v>7.5999999999999998E-2</v>
      </c>
      <c r="E255">
        <f t="shared" ca="1" si="198"/>
        <v>0.40300000000000002</v>
      </c>
      <c r="F255">
        <f t="shared" ca="1" si="199"/>
        <v>0.66200000000000003</v>
      </c>
      <c r="G255">
        <f t="shared" ca="1" si="200"/>
        <v>0.189</v>
      </c>
      <c r="H255">
        <f t="shared" ca="1" si="201"/>
        <v>0.106</v>
      </c>
      <c r="I255">
        <f t="shared" ca="1" si="202"/>
        <v>1.2999999999999999E-2</v>
      </c>
      <c r="J255">
        <f t="shared" ca="1" si="203"/>
        <v>0.53100000000000003</v>
      </c>
      <c r="K255">
        <f t="shared" ca="1" si="204"/>
        <v>0.70060415110823759</v>
      </c>
      <c r="L255">
        <f t="shared" ca="1" si="204"/>
        <v>0.38391271723596543</v>
      </c>
      <c r="M255">
        <f t="shared" ca="1" si="204"/>
        <v>0.71738835343831431</v>
      </c>
      <c r="N255">
        <f t="shared" ca="1" si="204"/>
        <v>0.55822211282534928</v>
      </c>
      <c r="O255">
        <f t="shared" ca="1" si="204"/>
        <v>0.70372891551039096</v>
      </c>
      <c r="P255">
        <f t="shared" ca="1" si="204"/>
        <v>0.53805660055231952</v>
      </c>
      <c r="Q255">
        <f t="shared" ca="1" si="204"/>
        <v>0.43487830052352788</v>
      </c>
      <c r="R255">
        <f t="shared" ca="1" si="205"/>
        <v>0.71738835343831431</v>
      </c>
      <c r="S255">
        <f t="shared" ref="S255:S270" ca="1" si="207">IF(R228&gt;1.55,1,IF(R228&gt;1.48,0.9,IF(R228&gt;1.4,0.8,IF(R228&gt;1.36666,0.6,IF(R228&gt;1.33333,0.4,IF(R228&gt;1.22,0.2,IF(R228&gt;1,0.1,0)))))))</f>
        <v>0</v>
      </c>
      <c r="T255">
        <f t="shared" ca="1" si="206"/>
        <v>0</v>
      </c>
    </row>
    <row r="256" spans="1:20" x14ac:dyDescent="0.25">
      <c r="A256" s="1" t="s">
        <v>35</v>
      </c>
      <c r="B256" s="1">
        <f t="shared" si="195"/>
        <v>2</v>
      </c>
      <c r="C256" s="1">
        <f t="shared" si="196"/>
        <v>254</v>
      </c>
      <c r="D256">
        <f t="shared" ca="1" si="197"/>
        <v>2.2679999999999998</v>
      </c>
      <c r="E256">
        <f t="shared" ca="1" si="198"/>
        <v>0.23699999999999999</v>
      </c>
      <c r="F256">
        <f t="shared" ca="1" si="199"/>
        <v>0.66300000000000003</v>
      </c>
      <c r="G256">
        <f t="shared" ca="1" si="200"/>
        <v>1.62</v>
      </c>
      <c r="H256">
        <f t="shared" ca="1" si="201"/>
        <v>1.448</v>
      </c>
      <c r="I256">
        <f t="shared" ca="1" si="202"/>
        <v>0.03</v>
      </c>
      <c r="J256">
        <f t="shared" ca="1" si="203"/>
        <v>2.3519999999999999</v>
      </c>
      <c r="K256">
        <f t="shared" ca="1" si="204"/>
        <v>0.75348510084766385</v>
      </c>
      <c r="L256">
        <f t="shared" ca="1" si="204"/>
        <v>0.39729675993528873</v>
      </c>
      <c r="M256">
        <f t="shared" ca="1" si="204"/>
        <v>0.70576463791044441</v>
      </c>
      <c r="N256">
        <f t="shared" ca="1" si="204"/>
        <v>0.57896642002747201</v>
      </c>
      <c r="O256">
        <f t="shared" ca="1" si="204"/>
        <v>0.76007250923112868</v>
      </c>
      <c r="P256">
        <f t="shared" ca="1" si="204"/>
        <v>0.61797570609035801</v>
      </c>
      <c r="Q256">
        <f t="shared" ca="1" si="204"/>
        <v>0.42979314281825859</v>
      </c>
      <c r="R256">
        <f t="shared" ca="1" si="205"/>
        <v>0.76007250923112868</v>
      </c>
      <c r="S256">
        <f t="shared" ca="1" si="207"/>
        <v>0</v>
      </c>
      <c r="T256">
        <f t="shared" ca="1" si="206"/>
        <v>0</v>
      </c>
    </row>
    <row r="257" spans="1:20" x14ac:dyDescent="0.25">
      <c r="A257" s="1" t="s">
        <v>34</v>
      </c>
      <c r="B257" s="1">
        <f t="shared" si="195"/>
        <v>9</v>
      </c>
      <c r="C257" s="1">
        <f t="shared" si="196"/>
        <v>255</v>
      </c>
      <c r="D257">
        <f t="shared" ca="1" si="197"/>
        <v>3.9020000000000001</v>
      </c>
      <c r="E257">
        <f t="shared" ca="1" si="198"/>
        <v>0.58499999999999996</v>
      </c>
      <c r="F257">
        <f t="shared" ca="1" si="199"/>
        <v>0.501</v>
      </c>
      <c r="G257">
        <f t="shared" ca="1" si="200"/>
        <v>0.48299999999999998</v>
      </c>
      <c r="H257">
        <f t="shared" ca="1" si="201"/>
        <v>3.1669999999999998</v>
      </c>
      <c r="I257">
        <f t="shared" ca="1" si="202"/>
        <v>0.29699999999999999</v>
      </c>
      <c r="J257">
        <f t="shared" ca="1" si="203"/>
        <v>0.39800000000000002</v>
      </c>
      <c r="K257">
        <f t="shared" ca="1" si="204"/>
        <v>0.71758037780514383</v>
      </c>
      <c r="L257">
        <f t="shared" ca="1" si="204"/>
        <v>0.39598244293161045</v>
      </c>
      <c r="M257">
        <f t="shared" ca="1" si="204"/>
        <v>0.67748805398747736</v>
      </c>
      <c r="N257">
        <f t="shared" ca="1" si="204"/>
        <v>0.55199523005618845</v>
      </c>
      <c r="O257">
        <f t="shared" ca="1" si="204"/>
        <v>0.70193405317451629</v>
      </c>
      <c r="P257">
        <f t="shared" ca="1" si="204"/>
        <v>0.6269896559878243</v>
      </c>
      <c r="Q257">
        <f t="shared" ca="1" si="204"/>
        <v>0.39807969998827392</v>
      </c>
      <c r="R257">
        <f t="shared" ca="1" si="205"/>
        <v>0.71758037780514383</v>
      </c>
      <c r="S257">
        <f t="shared" ca="1" si="207"/>
        <v>0</v>
      </c>
      <c r="T257">
        <f t="shared" ca="1" si="206"/>
        <v>0</v>
      </c>
    </row>
    <row r="258" spans="1:20" x14ac:dyDescent="0.25">
      <c r="A258" s="1" t="s">
        <v>39</v>
      </c>
      <c r="B258" s="1">
        <f t="shared" si="195"/>
        <v>14</v>
      </c>
      <c r="C258" s="1">
        <f t="shared" si="196"/>
        <v>256</v>
      </c>
      <c r="D258">
        <f t="shared" ca="1" si="197"/>
        <v>1.3580000000000001</v>
      </c>
      <c r="E258">
        <f t="shared" ca="1" si="198"/>
        <v>1.9370000000000001</v>
      </c>
      <c r="F258">
        <f t="shared" ca="1" si="199"/>
        <v>1.798</v>
      </c>
      <c r="G258">
        <f t="shared" ca="1" si="200"/>
        <v>0.65900000000000003</v>
      </c>
      <c r="H258">
        <f t="shared" ca="1" si="201"/>
        <v>1.163</v>
      </c>
      <c r="I258">
        <f t="shared" ca="1" si="202"/>
        <v>1.21</v>
      </c>
      <c r="J258">
        <f t="shared" ca="1" si="203"/>
        <v>3.1E-2</v>
      </c>
      <c r="K258">
        <f t="shared" ca="1" si="204"/>
        <v>0.60377233910143036</v>
      </c>
      <c r="L258">
        <f t="shared" ca="1" si="204"/>
        <v>0.40807333083810865</v>
      </c>
      <c r="M258">
        <f t="shared" ca="1" si="204"/>
        <v>0.7110110533641355</v>
      </c>
      <c r="N258">
        <f t="shared" ca="1" si="204"/>
        <v>0.57852557019642348</v>
      </c>
      <c r="O258">
        <f t="shared" ca="1" si="204"/>
        <v>0.66366306126764252</v>
      </c>
      <c r="P258">
        <f t="shared" ca="1" si="204"/>
        <v>0.65831330928662246</v>
      </c>
      <c r="Q258">
        <f t="shared" ca="1" si="204"/>
        <v>0.41420614919031201</v>
      </c>
      <c r="R258">
        <f t="shared" ca="1" si="205"/>
        <v>0.7110110533641355</v>
      </c>
      <c r="S258">
        <f t="shared" ca="1" si="207"/>
        <v>0</v>
      </c>
      <c r="T258">
        <f t="shared" ca="1" si="206"/>
        <v>0</v>
      </c>
    </row>
    <row r="259" spans="1:20" x14ac:dyDescent="0.25">
      <c r="A259" s="1" t="s">
        <v>31</v>
      </c>
      <c r="B259" s="1">
        <f t="shared" ref="B259:B274" si="208">LOOKUP($A259,$V$4:$V$23,$W$4:$W$23)</f>
        <v>0</v>
      </c>
      <c r="C259" s="1">
        <f t="shared" si="196"/>
        <v>257</v>
      </c>
      <c r="D259">
        <f t="shared" ca="1" si="197"/>
        <v>1.284</v>
      </c>
      <c r="E259">
        <f t="shared" ca="1" si="198"/>
        <v>0.877</v>
      </c>
      <c r="F259">
        <f t="shared" ca="1" si="199"/>
        <v>1.2969999999999999</v>
      </c>
      <c r="G259">
        <f t="shared" ca="1" si="200"/>
        <v>1.5509999999999999</v>
      </c>
      <c r="H259">
        <f t="shared" ca="1" si="201"/>
        <v>1.0840000000000001</v>
      </c>
      <c r="I259">
        <f t="shared" ca="1" si="202"/>
        <v>2.6120000000000001</v>
      </c>
      <c r="J259">
        <f t="shared" ca="1" si="203"/>
        <v>0.377</v>
      </c>
      <c r="K259">
        <f t="shared" ca="1" si="204"/>
        <v>0.58588304538520919</v>
      </c>
      <c r="L259">
        <f t="shared" ca="1" si="204"/>
        <v>0.38883334581876078</v>
      </c>
      <c r="M259">
        <f t="shared" ca="1" si="204"/>
        <v>0.67840512190493873</v>
      </c>
      <c r="N259">
        <f t="shared" ca="1" si="204"/>
        <v>0.61188699816653902</v>
      </c>
      <c r="O259">
        <f t="shared" ca="1" si="204"/>
        <v>0.6320848577813819</v>
      </c>
      <c r="P259">
        <f t="shared" ca="1" si="204"/>
        <v>0.63268294102195777</v>
      </c>
      <c r="Q259">
        <f t="shared" ca="1" si="204"/>
        <v>0.49228191782940489</v>
      </c>
      <c r="R259">
        <f t="shared" ca="1" si="205"/>
        <v>0.67840512190493873</v>
      </c>
      <c r="S259">
        <f t="shared" ca="1" si="207"/>
        <v>0</v>
      </c>
      <c r="T259">
        <f t="shared" ca="1" si="206"/>
        <v>0</v>
      </c>
    </row>
    <row r="260" spans="1:20" x14ac:dyDescent="0.25">
      <c r="A260" s="1" t="s">
        <v>35</v>
      </c>
      <c r="B260" s="1">
        <f t="shared" si="208"/>
        <v>2</v>
      </c>
      <c r="C260" s="1">
        <f t="shared" ref="C260:C275" si="209">C259+1</f>
        <v>258</v>
      </c>
      <c r="D260">
        <f t="shared" ref="D260:D275" ca="1" si="210">OFFSET($X$4,$B260,MOD($C260,7),1,1)</f>
        <v>1.448</v>
      </c>
      <c r="E260">
        <f t="shared" ref="E260:E275" ca="1" si="211">OFFSET($X$4,$B260,MOD($C260+1,7),1,1)</f>
        <v>0.03</v>
      </c>
      <c r="F260">
        <f t="shared" ref="F260:F275" ca="1" si="212">OFFSET($X$4,$B260,MOD($C260+2,7),1,1)</f>
        <v>2.3519999999999999</v>
      </c>
      <c r="G260">
        <f t="shared" ref="G260:G275" ca="1" si="213">OFFSET($X$4,$B260,MOD($C260+3,7),1,1)</f>
        <v>2.2679999999999998</v>
      </c>
      <c r="H260">
        <f t="shared" ref="H260:H275" ca="1" si="214">OFFSET($X$4,$B260,MOD($C260+4,7),1,1)</f>
        <v>0.23699999999999999</v>
      </c>
      <c r="I260">
        <f t="shared" ref="I260:I275" ca="1" si="215">OFFSET($X$4,$B260,MOD($C260+5,7),1,1)</f>
        <v>0.66300000000000003</v>
      </c>
      <c r="J260">
        <f t="shared" ref="J260:J275" ca="1" si="216">OFFSET($X$4,$B260,MOD($C260+6,7),1,1)</f>
        <v>1.62</v>
      </c>
      <c r="K260">
        <f t="shared" ref="K260:Q275" ca="1" si="217">POWER(PRODUCT(D260:D287),1/28)</f>
        <v>0.56651775679680982</v>
      </c>
      <c r="L260">
        <f t="shared" ca="1" si="217"/>
        <v>0.38063754943457173</v>
      </c>
      <c r="M260">
        <f t="shared" ca="1" si="217"/>
        <v>0.70038338607494832</v>
      </c>
      <c r="N260">
        <f t="shared" ca="1" si="217"/>
        <v>0.57681100015267728</v>
      </c>
      <c r="O260">
        <f t="shared" ca="1" si="217"/>
        <v>0.60986603972086506</v>
      </c>
      <c r="P260">
        <f t="shared" ca="1" si="217"/>
        <v>0.64181760868075921</v>
      </c>
      <c r="Q260">
        <f t="shared" ca="1" si="217"/>
        <v>0.50006756661749907</v>
      </c>
      <c r="R260">
        <f t="shared" ref="R260:R275" ca="1" si="218">MAX(K260:Q260)</f>
        <v>0.70038338607494832</v>
      </c>
      <c r="S260">
        <f t="shared" ca="1" si="207"/>
        <v>0</v>
      </c>
      <c r="T260">
        <f t="shared" ref="T260:T275" ca="1" si="219">MAX(S260:S287)</f>
        <v>0</v>
      </c>
    </row>
    <row r="261" spans="1:20" x14ac:dyDescent="0.25">
      <c r="A261" s="1" t="s">
        <v>36</v>
      </c>
      <c r="B261" s="1">
        <f t="shared" si="208"/>
        <v>13</v>
      </c>
      <c r="C261" s="1">
        <f t="shared" si="209"/>
        <v>259</v>
      </c>
      <c r="D261">
        <f t="shared" ca="1" si="210"/>
        <v>0.17899999999999999</v>
      </c>
      <c r="E261">
        <f t="shared" ca="1" si="211"/>
        <v>2.1139999999999999</v>
      </c>
      <c r="F261">
        <f t="shared" ca="1" si="212"/>
        <v>1.778</v>
      </c>
      <c r="G261">
        <f t="shared" ca="1" si="213"/>
        <v>0.63100000000000001</v>
      </c>
      <c r="H261">
        <f t="shared" ca="1" si="214"/>
        <v>2.5499999999999998</v>
      </c>
      <c r="I261">
        <f t="shared" ca="1" si="215"/>
        <v>1.5780000000000001</v>
      </c>
      <c r="J261">
        <f t="shared" ca="1" si="216"/>
        <v>2.5259999999999998</v>
      </c>
      <c r="K261">
        <f t="shared" ca="1" si="217"/>
        <v>0.54473363256608021</v>
      </c>
      <c r="L261">
        <f t="shared" ca="1" si="217"/>
        <v>0.44955252704628051</v>
      </c>
      <c r="M261">
        <f t="shared" ca="1" si="217"/>
        <v>0.65048919977521025</v>
      </c>
      <c r="N261">
        <f t="shared" ca="1" si="217"/>
        <v>0.54205344170930103</v>
      </c>
      <c r="O261">
        <f t="shared" ca="1" si="217"/>
        <v>0.67403472160689915</v>
      </c>
      <c r="P261">
        <f t="shared" ca="1" si="217"/>
        <v>0.63895501475174743</v>
      </c>
      <c r="Q261">
        <f t="shared" ca="1" si="217"/>
        <v>0.47954120216662538</v>
      </c>
      <c r="R261">
        <f t="shared" ca="1" si="218"/>
        <v>0.67403472160689915</v>
      </c>
      <c r="S261">
        <f t="shared" ca="1" si="207"/>
        <v>0</v>
      </c>
      <c r="T261">
        <f t="shared" ca="1" si="219"/>
        <v>0</v>
      </c>
    </row>
    <row r="262" spans="1:20" x14ac:dyDescent="0.25">
      <c r="A262" s="1" t="s">
        <v>32</v>
      </c>
      <c r="B262" s="1">
        <f t="shared" si="208"/>
        <v>3</v>
      </c>
      <c r="C262" s="1">
        <f t="shared" si="209"/>
        <v>260</v>
      </c>
      <c r="D262">
        <f t="shared" ca="1" si="210"/>
        <v>3.496</v>
      </c>
      <c r="E262">
        <f t="shared" ca="1" si="211"/>
        <v>3.1080000000000001</v>
      </c>
      <c r="F262">
        <f t="shared" ca="1" si="212"/>
        <v>0.998</v>
      </c>
      <c r="G262">
        <f t="shared" ca="1" si="213"/>
        <v>5.6849999999999996</v>
      </c>
      <c r="H262">
        <f t="shared" ca="1" si="214"/>
        <v>2.4940000000000002</v>
      </c>
      <c r="I262">
        <f t="shared" ca="1" si="215"/>
        <v>3.048</v>
      </c>
      <c r="J262">
        <f t="shared" ca="1" si="216"/>
        <v>0.26200000000000001</v>
      </c>
      <c r="K262">
        <f t="shared" ca="1" si="217"/>
        <v>0.58465757500239379</v>
      </c>
      <c r="L262">
        <f t="shared" ca="1" si="217"/>
        <v>0.44460783864266029</v>
      </c>
      <c r="M262">
        <f t="shared" ca="1" si="217"/>
        <v>0.63909438497225679</v>
      </c>
      <c r="N262">
        <f t="shared" ca="1" si="217"/>
        <v>0.57026381336907672</v>
      </c>
      <c r="O262">
        <f t="shared" ca="1" si="217"/>
        <v>0.62955301873982461</v>
      </c>
      <c r="P262">
        <f t="shared" ca="1" si="217"/>
        <v>0.63426734910442384</v>
      </c>
      <c r="Q262">
        <f t="shared" ca="1" si="217"/>
        <v>0.46176135026566589</v>
      </c>
      <c r="R262">
        <f t="shared" ca="1" si="218"/>
        <v>0.63909438497225679</v>
      </c>
      <c r="S262">
        <f t="shared" ca="1" si="207"/>
        <v>0</v>
      </c>
      <c r="T262">
        <f t="shared" ca="1" si="219"/>
        <v>0</v>
      </c>
    </row>
    <row r="263" spans="1:20" x14ac:dyDescent="0.25">
      <c r="A263" s="1" t="s">
        <v>34</v>
      </c>
      <c r="B263" s="1">
        <f t="shared" si="208"/>
        <v>9</v>
      </c>
      <c r="C263" s="1">
        <f t="shared" si="209"/>
        <v>261</v>
      </c>
      <c r="D263">
        <f t="shared" ca="1" si="210"/>
        <v>0.39800000000000002</v>
      </c>
      <c r="E263">
        <f t="shared" ca="1" si="211"/>
        <v>3.9020000000000001</v>
      </c>
      <c r="F263">
        <f t="shared" ca="1" si="212"/>
        <v>0.58499999999999996</v>
      </c>
      <c r="G263">
        <f t="shared" ca="1" si="213"/>
        <v>0.501</v>
      </c>
      <c r="H263">
        <f t="shared" ca="1" si="214"/>
        <v>0.48299999999999998</v>
      </c>
      <c r="I263">
        <f t="shared" ca="1" si="215"/>
        <v>3.1669999999999998</v>
      </c>
      <c r="J263">
        <f t="shared" ca="1" si="216"/>
        <v>0.29699999999999999</v>
      </c>
      <c r="K263">
        <f t="shared" ca="1" si="217"/>
        <v>0.53390560899317552</v>
      </c>
      <c r="L263">
        <f t="shared" ca="1" si="217"/>
        <v>0.41868358149008678</v>
      </c>
      <c r="M263">
        <f t="shared" ca="1" si="217"/>
        <v>0.60509915311276485</v>
      </c>
      <c r="N263">
        <f t="shared" ca="1" si="217"/>
        <v>0.50697714903112923</v>
      </c>
      <c r="O263">
        <f t="shared" ca="1" si="217"/>
        <v>0.59104706639098725</v>
      </c>
      <c r="P263">
        <f t="shared" ca="1" si="217"/>
        <v>0.57038635552457462</v>
      </c>
      <c r="Q263">
        <f t="shared" ca="1" si="217"/>
        <v>0.43360370072346421</v>
      </c>
      <c r="R263">
        <f t="shared" ca="1" si="218"/>
        <v>0.60509915311276485</v>
      </c>
      <c r="S263">
        <f t="shared" ca="1" si="207"/>
        <v>0</v>
      </c>
      <c r="T263">
        <f t="shared" ca="1" si="219"/>
        <v>0</v>
      </c>
    </row>
    <row r="264" spans="1:20" x14ac:dyDescent="0.25">
      <c r="A264" s="1" t="s">
        <v>22</v>
      </c>
      <c r="B264" s="1">
        <f t="shared" si="208"/>
        <v>10</v>
      </c>
      <c r="C264" s="1">
        <f t="shared" si="209"/>
        <v>262</v>
      </c>
      <c r="D264">
        <f t="shared" ca="1" si="210"/>
        <v>1.409</v>
      </c>
      <c r="E264">
        <f t="shared" ca="1" si="211"/>
        <v>0.54100000000000004</v>
      </c>
      <c r="F264">
        <f t="shared" ca="1" si="212"/>
        <v>0.77200000000000002</v>
      </c>
      <c r="G264">
        <f t="shared" ca="1" si="213"/>
        <v>0.66300000000000003</v>
      </c>
      <c r="H264">
        <f t="shared" ca="1" si="214"/>
        <v>2.2400000000000002</v>
      </c>
      <c r="I264">
        <f t="shared" ca="1" si="215"/>
        <v>0.37</v>
      </c>
      <c r="J264">
        <f t="shared" ca="1" si="216"/>
        <v>0.48</v>
      </c>
      <c r="K264">
        <f t="shared" ca="1" si="217"/>
        <v>0.5118283853495329</v>
      </c>
      <c r="L264">
        <f t="shared" ca="1" si="217"/>
        <v>0.40608802682572137</v>
      </c>
      <c r="M264">
        <f t="shared" ca="1" si="217"/>
        <v>0.58127762632613178</v>
      </c>
      <c r="N264">
        <f t="shared" ca="1" si="217"/>
        <v>0.48312953265635517</v>
      </c>
      <c r="O264">
        <f t="shared" ca="1" si="217"/>
        <v>0.56753538391066105</v>
      </c>
      <c r="P264">
        <f t="shared" ca="1" si="217"/>
        <v>0.55423622264720496</v>
      </c>
      <c r="Q264">
        <f t="shared" ca="1" si="217"/>
        <v>0.4155034413982453</v>
      </c>
      <c r="R264">
        <f t="shared" ca="1" si="218"/>
        <v>0.58127762632613178</v>
      </c>
      <c r="S264">
        <f t="shared" ca="1" si="207"/>
        <v>0</v>
      </c>
      <c r="T264">
        <f t="shared" ca="1" si="219"/>
        <v>0</v>
      </c>
    </row>
    <row r="265" spans="1:20" x14ac:dyDescent="0.25">
      <c r="A265" s="1" t="s">
        <v>45</v>
      </c>
      <c r="B265" s="1">
        <f t="shared" si="208"/>
        <v>16</v>
      </c>
      <c r="C265" s="1">
        <f t="shared" si="209"/>
        <v>263</v>
      </c>
      <c r="D265">
        <f t="shared" ca="1" si="210"/>
        <v>0.79100000000000004</v>
      </c>
      <c r="E265">
        <f t="shared" ca="1" si="211"/>
        <v>0.84299999999999997</v>
      </c>
      <c r="F265">
        <f t="shared" ca="1" si="212"/>
        <v>0.64700000000000002</v>
      </c>
      <c r="G265">
        <f t="shared" ca="1" si="213"/>
        <v>0.16900000000000001</v>
      </c>
      <c r="H265">
        <f t="shared" ca="1" si="214"/>
        <v>0.70199999999999996</v>
      </c>
      <c r="I265">
        <f t="shared" ca="1" si="215"/>
        <v>0.95499999999999996</v>
      </c>
      <c r="J265">
        <f t="shared" ca="1" si="216"/>
        <v>0.65400000000000003</v>
      </c>
      <c r="K265">
        <f t="shared" ca="1" si="217"/>
        <v>0.48025920947801648</v>
      </c>
      <c r="L265">
        <f t="shared" ca="1" si="217"/>
        <v>0.4090480598637492</v>
      </c>
      <c r="M265">
        <f t="shared" ca="1" si="217"/>
        <v>0.59687027920236335</v>
      </c>
      <c r="N265">
        <f t="shared" ca="1" si="217"/>
        <v>0.49679799790814771</v>
      </c>
      <c r="O265">
        <f t="shared" ca="1" si="217"/>
        <v>0.48651424306779051</v>
      </c>
      <c r="P265">
        <f t="shared" ca="1" si="217"/>
        <v>0.59208204550284715</v>
      </c>
      <c r="Q265">
        <f t="shared" ca="1" si="217"/>
        <v>0.43919805099321552</v>
      </c>
      <c r="R265">
        <f t="shared" ca="1" si="218"/>
        <v>0.59687027920236335</v>
      </c>
      <c r="S265">
        <f t="shared" ca="1" si="207"/>
        <v>0</v>
      </c>
      <c r="T265">
        <f t="shared" ca="1" si="219"/>
        <v>0</v>
      </c>
    </row>
    <row r="266" spans="1:20" x14ac:dyDescent="0.25">
      <c r="A266" s="1" t="s">
        <v>48</v>
      </c>
      <c r="B266" s="1">
        <f t="shared" si="208"/>
        <v>19</v>
      </c>
      <c r="C266" s="1">
        <f t="shared" si="209"/>
        <v>264</v>
      </c>
      <c r="D266">
        <f t="shared" ca="1" si="210"/>
        <v>0.13</v>
      </c>
      <c r="E266">
        <f t="shared" ca="1" si="211"/>
        <v>0.155</v>
      </c>
      <c r="F266">
        <f t="shared" ca="1" si="212"/>
        <v>1.417</v>
      </c>
      <c r="G266">
        <f t="shared" ca="1" si="213"/>
        <v>0.09</v>
      </c>
      <c r="H266">
        <f t="shared" ca="1" si="214"/>
        <v>0.122</v>
      </c>
      <c r="I266">
        <f t="shared" ca="1" si="215"/>
        <v>1.659</v>
      </c>
      <c r="J266">
        <f t="shared" ca="1" si="216"/>
        <v>0.19</v>
      </c>
      <c r="K266">
        <f t="shared" ca="1" si="217"/>
        <v>0.4772409911452411</v>
      </c>
      <c r="L266">
        <f t="shared" ca="1" si="217"/>
        <v>0.41870296026806947</v>
      </c>
      <c r="M266">
        <f t="shared" ca="1" si="217"/>
        <v>0.61429234995207327</v>
      </c>
      <c r="N266">
        <f t="shared" ca="1" si="217"/>
        <v>0.467053665883296</v>
      </c>
      <c r="O266">
        <f t="shared" ca="1" si="217"/>
        <v>0.50798295237272995</v>
      </c>
      <c r="P266">
        <f t="shared" ca="1" si="217"/>
        <v>0.6106573579734329</v>
      </c>
      <c r="Q266">
        <f t="shared" ca="1" si="217"/>
        <v>0.42356151885118598</v>
      </c>
      <c r="R266">
        <f t="shared" ca="1" si="218"/>
        <v>0.61429234995207327</v>
      </c>
      <c r="S266">
        <f t="shared" ca="1" si="207"/>
        <v>0</v>
      </c>
      <c r="T266">
        <f t="shared" ca="1" si="219"/>
        <v>0</v>
      </c>
    </row>
    <row r="267" spans="1:20" x14ac:dyDescent="0.25">
      <c r="A267" s="1" t="s">
        <v>30</v>
      </c>
      <c r="B267" s="1">
        <f t="shared" si="208"/>
        <v>15</v>
      </c>
      <c r="C267" s="1">
        <f t="shared" si="209"/>
        <v>265</v>
      </c>
      <c r="D267">
        <f t="shared" ca="1" si="210"/>
        <v>0.628</v>
      </c>
      <c r="E267">
        <f t="shared" ca="1" si="211"/>
        <v>0.38200000000000001</v>
      </c>
      <c r="F267">
        <f t="shared" ca="1" si="212"/>
        <v>0.58299999999999996</v>
      </c>
      <c r="G267">
        <f t="shared" ca="1" si="213"/>
        <v>1.052</v>
      </c>
      <c r="H267">
        <f t="shared" ca="1" si="214"/>
        <v>0.41899999999999998</v>
      </c>
      <c r="I267">
        <f t="shared" ca="1" si="215"/>
        <v>0.52500000000000002</v>
      </c>
      <c r="J267">
        <f t="shared" ca="1" si="216"/>
        <v>0.91600000000000004</v>
      </c>
      <c r="K267">
        <f t="shared" ca="1" si="217"/>
        <v>0.47377497181552219</v>
      </c>
      <c r="L267">
        <f t="shared" ca="1" si="217"/>
        <v>0.38323361027332031</v>
      </c>
      <c r="M267">
        <f t="shared" ca="1" si="217"/>
        <v>0.59313149844421142</v>
      </c>
      <c r="N267">
        <f t="shared" ca="1" si="217"/>
        <v>0.46424188809753281</v>
      </c>
      <c r="O267">
        <f t="shared" ca="1" si="217"/>
        <v>0.53013062735203098</v>
      </c>
      <c r="P267">
        <f t="shared" ca="1" si="217"/>
        <v>0.59094628774179614</v>
      </c>
      <c r="Q267">
        <f t="shared" ca="1" si="217"/>
        <v>0.42348169929018992</v>
      </c>
      <c r="R267">
        <f t="shared" ca="1" si="218"/>
        <v>0.59313149844421142</v>
      </c>
      <c r="S267">
        <f t="shared" ca="1" si="207"/>
        <v>0</v>
      </c>
      <c r="T267">
        <f t="shared" ca="1" si="219"/>
        <v>0</v>
      </c>
    </row>
    <row r="268" spans="1:20" x14ac:dyDescent="0.25">
      <c r="A268" s="1" t="s">
        <v>40</v>
      </c>
      <c r="B268" s="1">
        <f t="shared" si="208"/>
        <v>6</v>
      </c>
      <c r="C268" s="1">
        <f t="shared" si="209"/>
        <v>266</v>
      </c>
      <c r="D268">
        <f t="shared" ca="1" si="210"/>
        <v>0.34699999999999998</v>
      </c>
      <c r="E268">
        <f t="shared" ca="1" si="211"/>
        <v>0.27500000000000002</v>
      </c>
      <c r="F268">
        <f t="shared" ca="1" si="212"/>
        <v>0.67900000000000005</v>
      </c>
      <c r="G268">
        <f t="shared" ca="1" si="213"/>
        <v>0.39500000000000002</v>
      </c>
      <c r="H268">
        <f t="shared" ca="1" si="214"/>
        <v>0.29399999999999998</v>
      </c>
      <c r="I268">
        <f t="shared" ca="1" si="215"/>
        <v>0.57899999999999996</v>
      </c>
      <c r="J268">
        <f t="shared" ca="1" si="216"/>
        <v>0.21299999999999999</v>
      </c>
      <c r="K268">
        <f t="shared" ca="1" si="217"/>
        <v>0.49610228670501128</v>
      </c>
      <c r="L268">
        <f t="shared" ca="1" si="217"/>
        <v>0.39408779726403742</v>
      </c>
      <c r="M268">
        <f t="shared" ca="1" si="217"/>
        <v>0.61312391279590539</v>
      </c>
      <c r="N268">
        <f t="shared" ca="1" si="217"/>
        <v>0.47053796231847056</v>
      </c>
      <c r="O268">
        <f t="shared" ca="1" si="217"/>
        <v>0.48703046768241459</v>
      </c>
      <c r="P268">
        <f t="shared" ca="1" si="217"/>
        <v>0.61655535577426734</v>
      </c>
      <c r="Q268">
        <f t="shared" ca="1" si="217"/>
        <v>0.43866425837232892</v>
      </c>
      <c r="R268">
        <f t="shared" ca="1" si="218"/>
        <v>0.61655535577426734</v>
      </c>
      <c r="S268">
        <f t="shared" ca="1" si="207"/>
        <v>0</v>
      </c>
      <c r="T268">
        <f t="shared" ca="1" si="219"/>
        <v>0</v>
      </c>
    </row>
    <row r="269" spans="1:20" x14ac:dyDescent="0.25">
      <c r="A269" s="1" t="s">
        <v>35</v>
      </c>
      <c r="B269" s="1">
        <f t="shared" si="208"/>
        <v>2</v>
      </c>
      <c r="C269" s="1">
        <f t="shared" si="209"/>
        <v>267</v>
      </c>
      <c r="D269">
        <f t="shared" ca="1" si="210"/>
        <v>2.3519999999999999</v>
      </c>
      <c r="E269">
        <f t="shared" ca="1" si="211"/>
        <v>2.2679999999999998</v>
      </c>
      <c r="F269">
        <f t="shared" ca="1" si="212"/>
        <v>0.23699999999999999</v>
      </c>
      <c r="G269">
        <f t="shared" ca="1" si="213"/>
        <v>0.66300000000000003</v>
      </c>
      <c r="H269">
        <f t="shared" ca="1" si="214"/>
        <v>1.62</v>
      </c>
      <c r="I269">
        <f t="shared" ca="1" si="215"/>
        <v>1.448</v>
      </c>
      <c r="J269">
        <f t="shared" ca="1" si="216"/>
        <v>0.03</v>
      </c>
      <c r="K269">
        <f t="shared" ca="1" si="217"/>
        <v>0.51166467399453597</v>
      </c>
      <c r="L269">
        <f t="shared" ca="1" si="217"/>
        <v>0.36009544659124743</v>
      </c>
      <c r="M269">
        <f t="shared" ca="1" si="217"/>
        <v>0.59605571958770198</v>
      </c>
      <c r="N269">
        <f t="shared" ca="1" si="217"/>
        <v>0.4547597741753564</v>
      </c>
      <c r="O269">
        <f t="shared" ca="1" si="217"/>
        <v>0.47857093101153303</v>
      </c>
      <c r="P269">
        <f t="shared" ca="1" si="217"/>
        <v>0.58834336704510704</v>
      </c>
      <c r="Q269">
        <f t="shared" ca="1" si="217"/>
        <v>0.41463940659536858</v>
      </c>
      <c r="R269">
        <f t="shared" ca="1" si="218"/>
        <v>0.59605571958770198</v>
      </c>
      <c r="S269">
        <f t="shared" ca="1" si="207"/>
        <v>0</v>
      </c>
      <c r="T269">
        <f t="shared" ca="1" si="219"/>
        <v>0</v>
      </c>
    </row>
    <row r="270" spans="1:20" x14ac:dyDescent="0.25">
      <c r="A270" s="1" t="s">
        <v>43</v>
      </c>
      <c r="B270" s="1">
        <f t="shared" si="208"/>
        <v>11</v>
      </c>
      <c r="C270" s="1">
        <f t="shared" si="209"/>
        <v>268</v>
      </c>
      <c r="D270">
        <f t="shared" ca="1" si="210"/>
        <v>1.534</v>
      </c>
      <c r="E270">
        <f t="shared" ca="1" si="211"/>
        <v>3.9E-2</v>
      </c>
      <c r="F270">
        <f t="shared" ca="1" si="212"/>
        <v>1.722</v>
      </c>
      <c r="G270">
        <f t="shared" ca="1" si="213"/>
        <v>2.456</v>
      </c>
      <c r="H270">
        <f t="shared" ca="1" si="214"/>
        <v>2.2799999999999998</v>
      </c>
      <c r="I270">
        <f t="shared" ca="1" si="215"/>
        <v>0.83499999999999996</v>
      </c>
      <c r="J270">
        <f t="shared" ca="1" si="216"/>
        <v>1.4750000000000001</v>
      </c>
      <c r="K270">
        <f t="shared" ca="1" si="217"/>
        <v>0.50320865442014451</v>
      </c>
      <c r="L270">
        <f t="shared" ca="1" si="217"/>
        <v>0.35510166794587489</v>
      </c>
      <c r="M270">
        <f t="shared" ca="1" si="217"/>
        <v>0.5588537310534154</v>
      </c>
      <c r="N270">
        <f t="shared" ca="1" si="217"/>
        <v>0.47052891212450154</v>
      </c>
      <c r="O270">
        <f t="shared" ca="1" si="217"/>
        <v>0.48573607999636143</v>
      </c>
      <c r="P270">
        <f t="shared" ca="1" si="217"/>
        <v>0.59796052516558584</v>
      </c>
      <c r="Q270">
        <f t="shared" ca="1" si="217"/>
        <v>0.4669411938159595</v>
      </c>
      <c r="R270">
        <f t="shared" ca="1" si="218"/>
        <v>0.59796052516558584</v>
      </c>
      <c r="S270">
        <f t="shared" ca="1" si="207"/>
        <v>0</v>
      </c>
      <c r="T270">
        <f t="shared" ca="1" si="219"/>
        <v>0</v>
      </c>
    </row>
    <row r="271" spans="1:20" x14ac:dyDescent="0.25">
      <c r="A271" s="1" t="s">
        <v>41</v>
      </c>
      <c r="B271" s="1">
        <f t="shared" si="208"/>
        <v>7</v>
      </c>
      <c r="C271" s="1">
        <f t="shared" si="209"/>
        <v>269</v>
      </c>
      <c r="D271">
        <f t="shared" ca="1" si="210"/>
        <v>0.89400000000000002</v>
      </c>
      <c r="E271">
        <f t="shared" ca="1" si="211"/>
        <v>0.51400000000000001</v>
      </c>
      <c r="F271">
        <f t="shared" ca="1" si="212"/>
        <v>0.47099999999999997</v>
      </c>
      <c r="G271">
        <f t="shared" ca="1" si="213"/>
        <v>0.43099999999999999</v>
      </c>
      <c r="H271">
        <f t="shared" ca="1" si="214"/>
        <v>2.597</v>
      </c>
      <c r="I271">
        <f t="shared" ca="1" si="215"/>
        <v>9.8000000000000004E-2</v>
      </c>
      <c r="J271">
        <f t="shared" ca="1" si="216"/>
        <v>0.34499999999999997</v>
      </c>
      <c r="K271">
        <f t="shared" ca="1" si="217"/>
        <v>0.47901238525620948</v>
      </c>
      <c r="L271">
        <f t="shared" ca="1" si="217"/>
        <v>0.39797877639185686</v>
      </c>
      <c r="M271">
        <f t="shared" ca="1" si="217"/>
        <v>0.51848432362947272</v>
      </c>
      <c r="N271">
        <f t="shared" ca="1" si="217"/>
        <v>0.43853843481428539</v>
      </c>
      <c r="O271">
        <f t="shared" ca="1" si="217"/>
        <v>0.45474783172137395</v>
      </c>
      <c r="P271">
        <f t="shared" ca="1" si="217"/>
        <v>0.61288229780804371</v>
      </c>
      <c r="Q271">
        <f t="shared" ca="1" si="217"/>
        <v>0.44579752655981797</v>
      </c>
      <c r="R271">
        <f t="shared" ca="1" si="218"/>
        <v>0.61288229780804371</v>
      </c>
      <c r="S271">
        <f t="shared" ref="S271:S286" ca="1" si="220">IF(R244&gt;1.55,1,IF(R244&gt;1.48,0.9,IF(R244&gt;1.4,0.8,IF(R244&gt;1.36666,0.6,IF(R244&gt;1.33333,0.4,IF(R244&gt;1.22,0.2,IF(R244&gt;1,0.1,0)))))))</f>
        <v>0</v>
      </c>
      <c r="T271">
        <f t="shared" ca="1" si="219"/>
        <v>0</v>
      </c>
    </row>
    <row r="272" spans="1:20" x14ac:dyDescent="0.25">
      <c r="A272" s="1" t="s">
        <v>41</v>
      </c>
      <c r="B272" s="1">
        <f t="shared" si="208"/>
        <v>7</v>
      </c>
      <c r="C272" s="1">
        <f t="shared" si="209"/>
        <v>270</v>
      </c>
      <c r="D272">
        <f t="shared" ca="1" si="210"/>
        <v>0.51400000000000001</v>
      </c>
      <c r="E272">
        <f t="shared" ca="1" si="211"/>
        <v>0.47099999999999997</v>
      </c>
      <c r="F272">
        <f t="shared" ca="1" si="212"/>
        <v>0.43099999999999999</v>
      </c>
      <c r="G272">
        <f t="shared" ca="1" si="213"/>
        <v>2.597</v>
      </c>
      <c r="H272">
        <f t="shared" ca="1" si="214"/>
        <v>9.8000000000000004E-2</v>
      </c>
      <c r="I272">
        <f t="shared" ca="1" si="215"/>
        <v>0.34499999999999997</v>
      </c>
      <c r="J272">
        <f t="shared" ca="1" si="216"/>
        <v>0.89400000000000002</v>
      </c>
      <c r="K272">
        <f t="shared" ca="1" si="217"/>
        <v>0.4676326881413278</v>
      </c>
      <c r="L272">
        <f t="shared" ca="1" si="217"/>
        <v>0.35376069014406708</v>
      </c>
      <c r="M272">
        <f t="shared" ca="1" si="217"/>
        <v>0</v>
      </c>
      <c r="N272">
        <f t="shared" ca="1" si="217"/>
        <v>0</v>
      </c>
      <c r="O272">
        <f t="shared" ca="1" si="217"/>
        <v>0.41766949246334895</v>
      </c>
      <c r="P272">
        <f t="shared" ca="1" si="217"/>
        <v>0</v>
      </c>
      <c r="Q272">
        <f t="shared" ca="1" si="217"/>
        <v>0</v>
      </c>
      <c r="R272">
        <f t="shared" ca="1" si="218"/>
        <v>0.4676326881413278</v>
      </c>
      <c r="S272">
        <f t="shared" ca="1" si="220"/>
        <v>0</v>
      </c>
      <c r="T272">
        <f t="shared" ca="1" si="219"/>
        <v>0</v>
      </c>
    </row>
    <row r="273" spans="1:20" x14ac:dyDescent="0.25">
      <c r="A273" s="1" t="s">
        <v>33</v>
      </c>
      <c r="B273" s="1">
        <f t="shared" si="208"/>
        <v>1</v>
      </c>
      <c r="C273" s="1">
        <f t="shared" si="209"/>
        <v>271</v>
      </c>
      <c r="D273">
        <f t="shared" ca="1" si="210"/>
        <v>0.156</v>
      </c>
      <c r="E273">
        <f t="shared" ca="1" si="211"/>
        <v>4.3999999999999997E-2</v>
      </c>
      <c r="F273">
        <f t="shared" ca="1" si="212"/>
        <v>0.82399999999999995</v>
      </c>
      <c r="G273">
        <f t="shared" ca="1" si="213"/>
        <v>2.1999999999999999E-2</v>
      </c>
      <c r="H273">
        <f t="shared" ca="1" si="214"/>
        <v>0.308</v>
      </c>
      <c r="I273">
        <f t="shared" ca="1" si="215"/>
        <v>0.152</v>
      </c>
      <c r="J273">
        <f t="shared" ca="1" si="216"/>
        <v>0.18</v>
      </c>
      <c r="K273">
        <f t="shared" ca="1" si="217"/>
        <v>0.47190338242760316</v>
      </c>
      <c r="L273">
        <f t="shared" ca="1" si="217"/>
        <v>0.36971755841426496</v>
      </c>
      <c r="M273">
        <f t="shared" ca="1" si="217"/>
        <v>0</v>
      </c>
      <c r="N273">
        <f t="shared" ca="1" si="217"/>
        <v>0</v>
      </c>
      <c r="O273">
        <f t="shared" ca="1" si="217"/>
        <v>0.46787087718195153</v>
      </c>
      <c r="P273">
        <f t="shared" ca="1" si="217"/>
        <v>0</v>
      </c>
      <c r="Q273">
        <f t="shared" ca="1" si="217"/>
        <v>0</v>
      </c>
      <c r="R273">
        <f t="shared" ca="1" si="218"/>
        <v>0.47190338242760316</v>
      </c>
      <c r="S273">
        <f t="shared" ca="1" si="220"/>
        <v>0</v>
      </c>
      <c r="T273">
        <f t="shared" ca="1" si="219"/>
        <v>0</v>
      </c>
    </row>
    <row r="274" spans="1:20" x14ac:dyDescent="0.25">
      <c r="A274" s="1" t="s">
        <v>38</v>
      </c>
      <c r="B274" s="1">
        <f t="shared" si="208"/>
        <v>5</v>
      </c>
      <c r="C274" s="1">
        <f t="shared" si="209"/>
        <v>272</v>
      </c>
      <c r="D274">
        <f t="shared" ca="1" si="210"/>
        <v>0.156</v>
      </c>
      <c r="E274">
        <f t="shared" ca="1" si="211"/>
        <v>4.4999999999999998E-2</v>
      </c>
      <c r="F274">
        <f t="shared" ca="1" si="212"/>
        <v>0.27500000000000002</v>
      </c>
      <c r="G274">
        <f t="shared" ca="1" si="213"/>
        <v>0.57799999999999996</v>
      </c>
      <c r="H274">
        <f t="shared" ca="1" si="214"/>
        <v>0.216</v>
      </c>
      <c r="I274">
        <f t="shared" ca="1" si="215"/>
        <v>0.21099999999999999</v>
      </c>
      <c r="J274">
        <f t="shared" ca="1" si="216"/>
        <v>0.42599999999999999</v>
      </c>
      <c r="K274">
        <f t="shared" ca="1" si="217"/>
        <v>0.5088003379717152</v>
      </c>
      <c r="L274">
        <f t="shared" ca="1" si="217"/>
        <v>0.4114172208920493</v>
      </c>
      <c r="M274">
        <f t="shared" ca="1" si="217"/>
        <v>0</v>
      </c>
      <c r="N274">
        <f t="shared" ca="1" si="217"/>
        <v>0</v>
      </c>
      <c r="O274">
        <f t="shared" ca="1" si="217"/>
        <v>0.48937649352475443</v>
      </c>
      <c r="P274">
        <f t="shared" ca="1" si="217"/>
        <v>0</v>
      </c>
      <c r="Q274">
        <f t="shared" ca="1" si="217"/>
        <v>0</v>
      </c>
      <c r="R274">
        <f t="shared" ca="1" si="218"/>
        <v>0.5088003379717152</v>
      </c>
      <c r="S274">
        <f t="shared" ca="1" si="220"/>
        <v>0</v>
      </c>
      <c r="T274">
        <f t="shared" ca="1" si="219"/>
        <v>0</v>
      </c>
    </row>
    <row r="275" spans="1:20" x14ac:dyDescent="0.25">
      <c r="A275" s="1" t="s">
        <v>41</v>
      </c>
      <c r="B275" s="1">
        <f t="shared" ref="B275:B290" si="221">LOOKUP($A275,$V$4:$V$23,$W$4:$W$23)</f>
        <v>7</v>
      </c>
      <c r="C275" s="1">
        <f t="shared" si="209"/>
        <v>273</v>
      </c>
      <c r="D275">
        <f t="shared" ca="1" si="210"/>
        <v>2.597</v>
      </c>
      <c r="E275">
        <f t="shared" ca="1" si="211"/>
        <v>9.8000000000000004E-2</v>
      </c>
      <c r="F275">
        <f t="shared" ca="1" si="212"/>
        <v>0.34499999999999997</v>
      </c>
      <c r="G275">
        <f t="shared" ca="1" si="213"/>
        <v>0.89400000000000002</v>
      </c>
      <c r="H275">
        <f t="shared" ca="1" si="214"/>
        <v>0.51400000000000001</v>
      </c>
      <c r="I275">
        <f t="shared" ca="1" si="215"/>
        <v>0.47099999999999997</v>
      </c>
      <c r="J275">
        <f t="shared" ca="1" si="216"/>
        <v>0.43099999999999999</v>
      </c>
      <c r="K275">
        <f t="shared" ca="1" si="217"/>
        <v>0.5297570771674639</v>
      </c>
      <c r="L275">
        <f t="shared" ca="1" si="217"/>
        <v>0.47891926495026194</v>
      </c>
      <c r="M275">
        <f t="shared" ca="1" si="217"/>
        <v>0</v>
      </c>
      <c r="N275">
        <f t="shared" ca="1" si="217"/>
        <v>0</v>
      </c>
      <c r="O275">
        <f t="shared" ca="1" si="217"/>
        <v>0.54266275588474011</v>
      </c>
      <c r="P275">
        <f t="shared" ca="1" si="217"/>
        <v>0</v>
      </c>
      <c r="Q275">
        <f t="shared" ca="1" si="217"/>
        <v>0</v>
      </c>
      <c r="R275">
        <f t="shared" ca="1" si="218"/>
        <v>0.54266275588474011</v>
      </c>
      <c r="S275">
        <f t="shared" ca="1" si="220"/>
        <v>0</v>
      </c>
      <c r="T275">
        <f t="shared" ca="1" si="219"/>
        <v>0</v>
      </c>
    </row>
    <row r="276" spans="1:20" x14ac:dyDescent="0.25">
      <c r="A276" s="1" t="s">
        <v>45</v>
      </c>
      <c r="B276" s="1">
        <f t="shared" si="221"/>
        <v>16</v>
      </c>
      <c r="C276" s="1">
        <f t="shared" ref="C276:C291" si="222">C275+1</f>
        <v>274</v>
      </c>
      <c r="D276">
        <f t="shared" ref="D276:D291" ca="1" si="223">OFFSET($X$4,$B276,MOD($C276,7),1,1)</f>
        <v>0.70199999999999996</v>
      </c>
      <c r="E276">
        <f t="shared" ref="E276:E291" ca="1" si="224">OFFSET($X$4,$B276,MOD($C276+1,7),1,1)</f>
        <v>0.95499999999999996</v>
      </c>
      <c r="F276">
        <f t="shared" ref="F276:F291" ca="1" si="225">OFFSET($X$4,$B276,MOD($C276+2,7),1,1)</f>
        <v>0.65400000000000003</v>
      </c>
      <c r="G276">
        <f t="shared" ref="G276:G291" ca="1" si="226">OFFSET($X$4,$B276,MOD($C276+3,7),1,1)</f>
        <v>0.79100000000000004</v>
      </c>
      <c r="H276">
        <f t="shared" ref="H276:H291" ca="1" si="227">OFFSET($X$4,$B276,MOD($C276+4,7),1,1)</f>
        <v>0.84299999999999997</v>
      </c>
      <c r="I276">
        <f t="shared" ref="I276:I291" ca="1" si="228">OFFSET($X$4,$B276,MOD($C276+5,7),1,1)</f>
        <v>0.64700000000000002</v>
      </c>
      <c r="J276">
        <f t="shared" ref="J276:J291" ca="1" si="229">OFFSET($X$4,$B276,MOD($C276+6,7),1,1)</f>
        <v>0.16900000000000001</v>
      </c>
      <c r="K276">
        <f t="shared" ref="K276:Q291" ca="1" si="230">POWER(PRODUCT(D276:D303),1/28)</f>
        <v>0.51786144608470153</v>
      </c>
      <c r="L276">
        <f t="shared" ca="1" si="230"/>
        <v>0.53869302733830804</v>
      </c>
      <c r="M276">
        <f t="shared" ca="1" si="230"/>
        <v>0</v>
      </c>
      <c r="N276">
        <f t="shared" ca="1" si="230"/>
        <v>0</v>
      </c>
      <c r="O276">
        <f t="shared" ca="1" si="230"/>
        <v>0.56767315312447242</v>
      </c>
      <c r="P276">
        <f t="shared" ca="1" si="230"/>
        <v>0</v>
      </c>
      <c r="Q276">
        <f t="shared" ca="1" si="230"/>
        <v>0</v>
      </c>
      <c r="R276">
        <f t="shared" ref="R276:R291" ca="1" si="231">MAX(K276:Q276)</f>
        <v>0.56767315312447242</v>
      </c>
      <c r="S276">
        <f t="shared" ca="1" si="220"/>
        <v>0</v>
      </c>
      <c r="T276">
        <f t="shared" ref="T276:T291" ca="1" si="232">MAX(S276:S303)</f>
        <v>0</v>
      </c>
    </row>
    <row r="277" spans="1:20" x14ac:dyDescent="0.25">
      <c r="A277" s="1" t="s">
        <v>30</v>
      </c>
      <c r="B277" s="1">
        <f t="shared" si="221"/>
        <v>15</v>
      </c>
      <c r="C277" s="1">
        <f t="shared" si="222"/>
        <v>275</v>
      </c>
      <c r="D277">
        <f t="shared" ca="1" si="223"/>
        <v>1.052</v>
      </c>
      <c r="E277">
        <f t="shared" ca="1" si="224"/>
        <v>0.41899999999999998</v>
      </c>
      <c r="F277">
        <f t="shared" ca="1" si="225"/>
        <v>0.52500000000000002</v>
      </c>
      <c r="G277">
        <f t="shared" ca="1" si="226"/>
        <v>0.91600000000000004</v>
      </c>
      <c r="H277">
        <f t="shared" ca="1" si="227"/>
        <v>0.628</v>
      </c>
      <c r="I277">
        <f t="shared" ca="1" si="228"/>
        <v>0.38200000000000001</v>
      </c>
      <c r="J277">
        <f t="shared" ca="1" si="229"/>
        <v>0.58299999999999996</v>
      </c>
      <c r="K277">
        <f t="shared" ca="1" si="230"/>
        <v>0.53273239199741607</v>
      </c>
      <c r="L277">
        <f t="shared" ca="1" si="230"/>
        <v>0.54113617224288757</v>
      </c>
      <c r="M277">
        <f t="shared" ca="1" si="230"/>
        <v>0</v>
      </c>
      <c r="N277">
        <f t="shared" ca="1" si="230"/>
        <v>0</v>
      </c>
      <c r="O277">
        <f t="shared" ca="1" si="230"/>
        <v>0.5762682509967858</v>
      </c>
      <c r="P277">
        <f t="shared" ca="1" si="230"/>
        <v>0</v>
      </c>
      <c r="Q277">
        <f t="shared" ca="1" si="230"/>
        <v>0</v>
      </c>
      <c r="R277">
        <f t="shared" ca="1" si="231"/>
        <v>0.5762682509967858</v>
      </c>
      <c r="S277">
        <f t="shared" ca="1" si="220"/>
        <v>0</v>
      </c>
      <c r="T277">
        <f t="shared" ca="1" si="232"/>
        <v>0</v>
      </c>
    </row>
    <row r="278" spans="1:20" x14ac:dyDescent="0.25">
      <c r="A278" s="1" t="s">
        <v>46</v>
      </c>
      <c r="B278" s="1">
        <f t="shared" si="221"/>
        <v>17</v>
      </c>
      <c r="C278" s="1">
        <f t="shared" si="222"/>
        <v>276</v>
      </c>
      <c r="D278">
        <f t="shared" ca="1" si="223"/>
        <v>0.94899999999999995</v>
      </c>
      <c r="E278">
        <f t="shared" ca="1" si="224"/>
        <v>0.21099999999999999</v>
      </c>
      <c r="F278">
        <f t="shared" ca="1" si="225"/>
        <v>0.34200000000000003</v>
      </c>
      <c r="G278">
        <f t="shared" ca="1" si="226"/>
        <v>0.36</v>
      </c>
      <c r="H278">
        <f t="shared" ca="1" si="227"/>
        <v>1.665</v>
      </c>
      <c r="I278">
        <f t="shared" ca="1" si="228"/>
        <v>0.40300000000000002</v>
      </c>
      <c r="J278">
        <f t="shared" ca="1" si="229"/>
        <v>0.38600000000000001</v>
      </c>
      <c r="K278">
        <f t="shared" ca="1" si="230"/>
        <v>0.54755073377858099</v>
      </c>
      <c r="L278">
        <f t="shared" ca="1" si="230"/>
        <v>0.53023513914233156</v>
      </c>
      <c r="M278">
        <f t="shared" ca="1" si="230"/>
        <v>0</v>
      </c>
      <c r="N278">
        <f t="shared" ca="1" si="230"/>
        <v>0</v>
      </c>
      <c r="O278">
        <f t="shared" ca="1" si="230"/>
        <v>0.5937206503842315</v>
      </c>
      <c r="P278">
        <f t="shared" ca="1" si="230"/>
        <v>0</v>
      </c>
      <c r="Q278">
        <f t="shared" ca="1" si="230"/>
        <v>0</v>
      </c>
      <c r="R278">
        <f t="shared" ca="1" si="231"/>
        <v>0.5937206503842315</v>
      </c>
      <c r="S278">
        <f t="shared" ca="1" si="220"/>
        <v>0</v>
      </c>
      <c r="T278">
        <f t="shared" ca="1" si="232"/>
        <v>0</v>
      </c>
    </row>
    <row r="279" spans="1:20" x14ac:dyDescent="0.25">
      <c r="A279" s="1" t="s">
        <v>30</v>
      </c>
      <c r="B279" s="1">
        <f t="shared" si="221"/>
        <v>15</v>
      </c>
      <c r="C279" s="1">
        <f t="shared" si="222"/>
        <v>277</v>
      </c>
      <c r="D279">
        <f t="shared" ca="1" si="223"/>
        <v>0.52500000000000002</v>
      </c>
      <c r="E279">
        <f t="shared" ca="1" si="224"/>
        <v>0.91600000000000004</v>
      </c>
      <c r="F279">
        <f t="shared" ca="1" si="225"/>
        <v>0.628</v>
      </c>
      <c r="G279">
        <f t="shared" ca="1" si="226"/>
        <v>0.38200000000000001</v>
      </c>
      <c r="H279">
        <f t="shared" ca="1" si="227"/>
        <v>0.58299999999999996</v>
      </c>
      <c r="I279">
        <f t="shared" ca="1" si="228"/>
        <v>1.052</v>
      </c>
      <c r="J279">
        <f t="shared" ca="1" si="229"/>
        <v>0.41899999999999998</v>
      </c>
      <c r="K279">
        <f t="shared" ca="1" si="230"/>
        <v>0.48456980313514775</v>
      </c>
      <c r="L279">
        <f t="shared" ca="1" si="230"/>
        <v>0.56669280051539905</v>
      </c>
      <c r="M279">
        <f t="shared" ca="1" si="230"/>
        <v>0</v>
      </c>
      <c r="N279">
        <f t="shared" ca="1" si="230"/>
        <v>0</v>
      </c>
      <c r="O279">
        <f t="shared" ca="1" si="230"/>
        <v>0.57438901439740941</v>
      </c>
      <c r="P279">
        <f t="shared" ca="1" si="230"/>
        <v>0</v>
      </c>
      <c r="Q279">
        <f t="shared" ca="1" si="230"/>
        <v>0</v>
      </c>
      <c r="R279">
        <f t="shared" ca="1" si="231"/>
        <v>0.57438901439740941</v>
      </c>
      <c r="S279">
        <f t="shared" ca="1" si="220"/>
        <v>0</v>
      </c>
      <c r="T279">
        <f t="shared" ca="1" si="232"/>
        <v>0</v>
      </c>
    </row>
    <row r="280" spans="1:20" x14ac:dyDescent="0.25">
      <c r="A280" s="1" t="s">
        <v>37</v>
      </c>
      <c r="B280" s="1">
        <f t="shared" si="221"/>
        <v>4</v>
      </c>
      <c r="C280" s="1">
        <f t="shared" si="222"/>
        <v>278</v>
      </c>
      <c r="D280">
        <f t="shared" ca="1" si="223"/>
        <v>0.106</v>
      </c>
      <c r="E280">
        <f t="shared" ca="1" si="224"/>
        <v>1.2999999999999999E-2</v>
      </c>
      <c r="F280">
        <f t="shared" ca="1" si="225"/>
        <v>0.53100000000000003</v>
      </c>
      <c r="G280">
        <f t="shared" ca="1" si="226"/>
        <v>7.5999999999999998E-2</v>
      </c>
      <c r="H280">
        <f t="shared" ca="1" si="227"/>
        <v>0.40300000000000002</v>
      </c>
      <c r="I280">
        <f t="shared" ca="1" si="228"/>
        <v>0.66200000000000003</v>
      </c>
      <c r="J280">
        <f t="shared" ca="1" si="229"/>
        <v>0.189</v>
      </c>
      <c r="K280">
        <f t="shared" ca="1" si="230"/>
        <v>0.47887260319356301</v>
      </c>
      <c r="L280">
        <f t="shared" ca="1" si="230"/>
        <v>0.57356929412770408</v>
      </c>
      <c r="M280">
        <f t="shared" ca="1" si="230"/>
        <v>0</v>
      </c>
      <c r="N280">
        <f t="shared" ca="1" si="230"/>
        <v>0</v>
      </c>
      <c r="O280">
        <f t="shared" ca="1" si="230"/>
        <v>0.59481603751065015</v>
      </c>
      <c r="P280">
        <f t="shared" ca="1" si="230"/>
        <v>0</v>
      </c>
      <c r="Q280">
        <f t="shared" ca="1" si="230"/>
        <v>0</v>
      </c>
      <c r="R280">
        <f t="shared" ca="1" si="231"/>
        <v>0.59481603751065015</v>
      </c>
      <c r="S280">
        <f t="shared" ca="1" si="220"/>
        <v>0</v>
      </c>
      <c r="T280">
        <f t="shared" ca="1" si="232"/>
        <v>0</v>
      </c>
    </row>
    <row r="281" spans="1:20" x14ac:dyDescent="0.25">
      <c r="A281" s="1" t="s">
        <v>30</v>
      </c>
      <c r="B281" s="1">
        <f t="shared" si="221"/>
        <v>15</v>
      </c>
      <c r="C281" s="1">
        <f t="shared" si="222"/>
        <v>279</v>
      </c>
      <c r="D281">
        <f t="shared" ca="1" si="223"/>
        <v>0.628</v>
      </c>
      <c r="E281">
        <f t="shared" ca="1" si="224"/>
        <v>0.38200000000000001</v>
      </c>
      <c r="F281">
        <f t="shared" ca="1" si="225"/>
        <v>0.58299999999999996</v>
      </c>
      <c r="G281">
        <f t="shared" ca="1" si="226"/>
        <v>1.052</v>
      </c>
      <c r="H281">
        <f t="shared" ca="1" si="227"/>
        <v>0.41899999999999998</v>
      </c>
      <c r="I281">
        <f t="shared" ca="1" si="228"/>
        <v>0.52500000000000002</v>
      </c>
      <c r="J281">
        <f t="shared" ca="1" si="229"/>
        <v>0.91600000000000004</v>
      </c>
      <c r="K281">
        <f t="shared" ca="1" si="230"/>
        <v>0.50326314196418087</v>
      </c>
      <c r="L281">
        <f t="shared" ca="1" si="230"/>
        <v>0.626798690979118</v>
      </c>
      <c r="M281">
        <f t="shared" ca="1" si="230"/>
        <v>0</v>
      </c>
      <c r="N281">
        <f t="shared" ca="1" si="230"/>
        <v>0</v>
      </c>
      <c r="O281">
        <f t="shared" ca="1" si="230"/>
        <v>0.60252676095225999</v>
      </c>
      <c r="P281">
        <f t="shared" ca="1" si="230"/>
        <v>0</v>
      </c>
      <c r="Q281">
        <f t="shared" ca="1" si="230"/>
        <v>0</v>
      </c>
      <c r="R281">
        <f t="shared" ca="1" si="231"/>
        <v>0.626798690979118</v>
      </c>
      <c r="S281">
        <f t="shared" ca="1" si="220"/>
        <v>0</v>
      </c>
      <c r="T281">
        <f t="shared" ca="1" si="232"/>
        <v>0</v>
      </c>
    </row>
    <row r="282" spans="1:20" x14ac:dyDescent="0.25">
      <c r="A282" s="1" t="s">
        <v>42</v>
      </c>
      <c r="B282" s="1">
        <f t="shared" si="221"/>
        <v>8</v>
      </c>
      <c r="C282" s="1">
        <f t="shared" si="222"/>
        <v>280</v>
      </c>
      <c r="D282">
        <f t="shared" ca="1" si="223"/>
        <v>1.375</v>
      </c>
      <c r="E282">
        <f t="shared" ca="1" si="224"/>
        <v>2.6389999999999998</v>
      </c>
      <c r="F282">
        <f t="shared" ca="1" si="225"/>
        <v>1.7629999999999999</v>
      </c>
      <c r="G282">
        <f t="shared" ca="1" si="226"/>
        <v>0.191</v>
      </c>
      <c r="H282">
        <f t="shared" ca="1" si="227"/>
        <v>1.8149999999999999</v>
      </c>
      <c r="I282">
        <f t="shared" ca="1" si="228"/>
        <v>1.9610000000000001</v>
      </c>
      <c r="J282">
        <f t="shared" ca="1" si="229"/>
        <v>2.7949999999999999</v>
      </c>
      <c r="K282">
        <f t="shared" ca="1" si="230"/>
        <v>0.49336065546573299</v>
      </c>
      <c r="L282">
        <f t="shared" ca="1" si="230"/>
        <v>0.66063570282578787</v>
      </c>
      <c r="M282">
        <f t="shared" ca="1" si="230"/>
        <v>0</v>
      </c>
      <c r="N282">
        <f t="shared" ca="1" si="230"/>
        <v>0</v>
      </c>
      <c r="O282">
        <f t="shared" ca="1" si="230"/>
        <v>0.62037855374821449</v>
      </c>
      <c r="P282">
        <f t="shared" ca="1" si="230"/>
        <v>0</v>
      </c>
      <c r="Q282">
        <f t="shared" ca="1" si="230"/>
        <v>0</v>
      </c>
      <c r="R282">
        <f t="shared" ca="1" si="231"/>
        <v>0.66063570282578787</v>
      </c>
      <c r="S282">
        <f t="shared" ca="1" si="220"/>
        <v>0</v>
      </c>
      <c r="T282">
        <f t="shared" ca="1" si="232"/>
        <v>0</v>
      </c>
    </row>
    <row r="283" spans="1:20" x14ac:dyDescent="0.25">
      <c r="A283" s="1" t="s">
        <v>30</v>
      </c>
      <c r="B283" s="1">
        <f t="shared" si="221"/>
        <v>15</v>
      </c>
      <c r="C283" s="1">
        <f t="shared" si="222"/>
        <v>281</v>
      </c>
      <c r="D283">
        <f t="shared" ca="1" si="223"/>
        <v>0.58299999999999996</v>
      </c>
      <c r="E283">
        <f t="shared" ca="1" si="224"/>
        <v>1.052</v>
      </c>
      <c r="F283">
        <f t="shared" ca="1" si="225"/>
        <v>0.41899999999999998</v>
      </c>
      <c r="G283">
        <f t="shared" ca="1" si="226"/>
        <v>0.52500000000000002</v>
      </c>
      <c r="H283">
        <f t="shared" ca="1" si="227"/>
        <v>0.91600000000000004</v>
      </c>
      <c r="I283">
        <f t="shared" ca="1" si="228"/>
        <v>0.628</v>
      </c>
      <c r="J283">
        <f t="shared" ca="1" si="229"/>
        <v>0.38200000000000001</v>
      </c>
      <c r="K283">
        <f t="shared" ca="1" si="230"/>
        <v>0.50828280542697934</v>
      </c>
      <c r="L283">
        <f t="shared" ca="1" si="230"/>
        <v>0.6110552883346132</v>
      </c>
      <c r="M283">
        <f t="shared" ca="1" si="230"/>
        <v>0</v>
      </c>
      <c r="N283">
        <f t="shared" ca="1" si="230"/>
        <v>0</v>
      </c>
      <c r="O283">
        <f t="shared" ca="1" si="230"/>
        <v>0.59579289547869319</v>
      </c>
      <c r="P283">
        <f t="shared" ca="1" si="230"/>
        <v>0</v>
      </c>
      <c r="Q283">
        <f t="shared" ca="1" si="230"/>
        <v>0</v>
      </c>
      <c r="R283">
        <f t="shared" ca="1" si="231"/>
        <v>0.6110552883346132</v>
      </c>
      <c r="S283">
        <f t="shared" ca="1" si="220"/>
        <v>0</v>
      </c>
      <c r="T283">
        <f t="shared" ca="1" si="232"/>
        <v>0</v>
      </c>
    </row>
    <row r="284" spans="1:20" x14ac:dyDescent="0.25">
      <c r="A284" s="1" t="s">
        <v>38</v>
      </c>
      <c r="B284" s="1">
        <f t="shared" si="221"/>
        <v>5</v>
      </c>
      <c r="C284" s="1">
        <f t="shared" si="222"/>
        <v>282</v>
      </c>
      <c r="D284">
        <f t="shared" ca="1" si="223"/>
        <v>0.57799999999999996</v>
      </c>
      <c r="E284">
        <f t="shared" ca="1" si="224"/>
        <v>0.216</v>
      </c>
      <c r="F284">
        <f t="shared" ca="1" si="225"/>
        <v>0.21099999999999999</v>
      </c>
      <c r="G284">
        <f t="shared" ca="1" si="226"/>
        <v>0.42599999999999999</v>
      </c>
      <c r="H284">
        <f t="shared" ca="1" si="227"/>
        <v>0.156</v>
      </c>
      <c r="I284">
        <f t="shared" ca="1" si="228"/>
        <v>4.4999999999999998E-2</v>
      </c>
      <c r="J284">
        <f t="shared" ca="1" si="229"/>
        <v>0.27500000000000002</v>
      </c>
      <c r="K284">
        <f t="shared" ca="1" si="230"/>
        <v>0.52635889036988548</v>
      </c>
      <c r="L284">
        <f t="shared" ca="1" si="230"/>
        <v>0.61170957203418874</v>
      </c>
      <c r="M284">
        <f t="shared" ca="1" si="230"/>
        <v>0</v>
      </c>
      <c r="N284">
        <f t="shared" ca="1" si="230"/>
        <v>0</v>
      </c>
      <c r="O284">
        <f t="shared" ca="1" si="230"/>
        <v>0.60302250213028619</v>
      </c>
      <c r="P284">
        <f t="shared" ca="1" si="230"/>
        <v>0</v>
      </c>
      <c r="Q284">
        <f t="shared" ca="1" si="230"/>
        <v>0</v>
      </c>
      <c r="R284">
        <f t="shared" ca="1" si="231"/>
        <v>0.61170957203418874</v>
      </c>
      <c r="S284">
        <f t="shared" ca="1" si="220"/>
        <v>0</v>
      </c>
      <c r="T284">
        <f t="shared" ca="1" si="232"/>
        <v>0</v>
      </c>
    </row>
    <row r="285" spans="1:20" x14ac:dyDescent="0.25">
      <c r="A285" s="1" t="s">
        <v>39</v>
      </c>
      <c r="B285" s="1">
        <f t="shared" si="221"/>
        <v>14</v>
      </c>
      <c r="C285" s="1">
        <f t="shared" si="222"/>
        <v>283</v>
      </c>
      <c r="D285">
        <f t="shared" ca="1" si="223"/>
        <v>3.1E-2</v>
      </c>
      <c r="E285">
        <f t="shared" ca="1" si="224"/>
        <v>1.3580000000000001</v>
      </c>
      <c r="F285">
        <f t="shared" ca="1" si="225"/>
        <v>1.9370000000000001</v>
      </c>
      <c r="G285">
        <f t="shared" ca="1" si="226"/>
        <v>1.798</v>
      </c>
      <c r="H285">
        <f t="shared" ca="1" si="227"/>
        <v>0.65900000000000003</v>
      </c>
      <c r="I285">
        <f t="shared" ca="1" si="228"/>
        <v>1.163</v>
      </c>
      <c r="J285">
        <f t="shared" ca="1" si="229"/>
        <v>1.21</v>
      </c>
      <c r="K285">
        <f t="shared" ca="1" si="230"/>
        <v>0.52635889036988548</v>
      </c>
      <c r="L285">
        <f t="shared" ca="1" si="230"/>
        <v>0.61170957203418874</v>
      </c>
      <c r="M285">
        <f t="shared" ca="1" si="230"/>
        <v>0</v>
      </c>
      <c r="N285">
        <f t="shared" ca="1" si="230"/>
        <v>0</v>
      </c>
      <c r="O285">
        <f t="shared" ca="1" si="230"/>
        <v>0.60302250213028619</v>
      </c>
      <c r="P285">
        <f t="shared" ca="1" si="230"/>
        <v>0</v>
      </c>
      <c r="Q285">
        <f t="shared" ca="1" si="230"/>
        <v>0</v>
      </c>
      <c r="R285">
        <f t="shared" ca="1" si="231"/>
        <v>0.61170957203418874</v>
      </c>
      <c r="S285">
        <f t="shared" ca="1" si="220"/>
        <v>0</v>
      </c>
      <c r="T285">
        <f t="shared" ca="1" si="232"/>
        <v>0</v>
      </c>
    </row>
    <row r="286" spans="1:20" x14ac:dyDescent="0.25">
      <c r="A286" s="1" t="s">
        <v>34</v>
      </c>
      <c r="B286" s="1">
        <f t="shared" si="221"/>
        <v>9</v>
      </c>
      <c r="C286" s="1">
        <f t="shared" si="222"/>
        <v>284</v>
      </c>
      <c r="D286">
        <f t="shared" ca="1" si="223"/>
        <v>0.58499999999999996</v>
      </c>
      <c r="E286">
        <f t="shared" ca="1" si="224"/>
        <v>0.501</v>
      </c>
      <c r="F286">
        <f t="shared" ca="1" si="225"/>
        <v>0.48299999999999998</v>
      </c>
      <c r="G286">
        <f t="shared" ca="1" si="226"/>
        <v>3.1669999999999998</v>
      </c>
      <c r="H286">
        <f t="shared" ca="1" si="227"/>
        <v>0.29699999999999999</v>
      </c>
      <c r="I286">
        <f t="shared" ca="1" si="228"/>
        <v>0.39800000000000002</v>
      </c>
      <c r="J286">
        <f t="shared" ca="1" si="229"/>
        <v>3.9020000000000001</v>
      </c>
      <c r="K286">
        <f t="shared" ca="1" si="230"/>
        <v>0.5764407248679867</v>
      </c>
      <c r="L286">
        <f t="shared" ca="1" si="230"/>
        <v>0.57917693819897997</v>
      </c>
      <c r="M286">
        <f t="shared" ca="1" si="230"/>
        <v>0</v>
      </c>
      <c r="N286">
        <f t="shared" ca="1" si="230"/>
        <v>0</v>
      </c>
      <c r="O286">
        <f t="shared" ca="1" si="230"/>
        <v>0.58936601871946193</v>
      </c>
      <c r="P286">
        <f t="shared" ca="1" si="230"/>
        <v>0</v>
      </c>
      <c r="Q286">
        <f t="shared" ca="1" si="230"/>
        <v>0</v>
      </c>
      <c r="R286">
        <f t="shared" ca="1" si="231"/>
        <v>0.58936601871946193</v>
      </c>
      <c r="S286">
        <f t="shared" ca="1" si="220"/>
        <v>0</v>
      </c>
      <c r="T286">
        <f t="shared" ca="1" si="232"/>
        <v>0</v>
      </c>
    </row>
    <row r="287" spans="1:20" x14ac:dyDescent="0.25">
      <c r="A287" s="1" t="s">
        <v>34</v>
      </c>
      <c r="B287" s="1">
        <f t="shared" si="221"/>
        <v>9</v>
      </c>
      <c r="C287" s="1">
        <f t="shared" si="222"/>
        <v>285</v>
      </c>
      <c r="D287">
        <f t="shared" ca="1" si="223"/>
        <v>0.501</v>
      </c>
      <c r="E287">
        <f t="shared" ca="1" si="224"/>
        <v>0.48299999999999998</v>
      </c>
      <c r="F287">
        <f t="shared" ca="1" si="225"/>
        <v>3.1669999999999998</v>
      </c>
      <c r="G287">
        <f t="shared" ca="1" si="226"/>
        <v>0.29699999999999999</v>
      </c>
      <c r="H287">
        <f t="shared" ca="1" si="227"/>
        <v>0.39800000000000002</v>
      </c>
      <c r="I287">
        <f t="shared" ca="1" si="228"/>
        <v>3.9020000000000001</v>
      </c>
      <c r="J287">
        <f t="shared" ca="1" si="229"/>
        <v>0.58499999999999996</v>
      </c>
      <c r="K287">
        <f t="shared" ca="1" si="230"/>
        <v>0.57902324739515298</v>
      </c>
      <c r="L287">
        <f t="shared" ca="1" si="230"/>
        <v>0.60396812790551668</v>
      </c>
      <c r="M287">
        <f t="shared" ca="1" si="230"/>
        <v>0</v>
      </c>
      <c r="N287">
        <f t="shared" ca="1" si="230"/>
        <v>0</v>
      </c>
      <c r="O287">
        <f t="shared" ca="1" si="230"/>
        <v>0.63457190061094537</v>
      </c>
      <c r="P287">
        <f t="shared" ca="1" si="230"/>
        <v>0</v>
      </c>
      <c r="Q287">
        <f t="shared" ca="1" si="230"/>
        <v>0</v>
      </c>
      <c r="R287">
        <f t="shared" ca="1" si="231"/>
        <v>0.63457190061094537</v>
      </c>
      <c r="S287">
        <f t="shared" ref="S287:S302" ca="1" si="233">IF(R260&gt;1.55,1,IF(R260&gt;1.48,0.9,IF(R260&gt;1.4,0.8,IF(R260&gt;1.36666,0.6,IF(R260&gt;1.33333,0.4,IF(R260&gt;1.22,0.2,IF(R260&gt;1,0.1,0)))))))</f>
        <v>0</v>
      </c>
      <c r="T287">
        <f t="shared" ca="1" si="232"/>
        <v>0</v>
      </c>
    </row>
    <row r="288" spans="1:20" x14ac:dyDescent="0.25">
      <c r="A288" s="1" t="s">
        <v>34</v>
      </c>
      <c r="B288" s="1">
        <f t="shared" si="221"/>
        <v>9</v>
      </c>
      <c r="C288" s="1">
        <f t="shared" si="222"/>
        <v>286</v>
      </c>
      <c r="D288">
        <f t="shared" ca="1" si="223"/>
        <v>0.48299999999999998</v>
      </c>
      <c r="E288">
        <f t="shared" ca="1" si="224"/>
        <v>3.1669999999999998</v>
      </c>
      <c r="F288">
        <f t="shared" ca="1" si="225"/>
        <v>0.29699999999999999</v>
      </c>
      <c r="G288">
        <f t="shared" ca="1" si="226"/>
        <v>0.39800000000000002</v>
      </c>
      <c r="H288">
        <f t="shared" ca="1" si="227"/>
        <v>3.9020000000000001</v>
      </c>
      <c r="I288">
        <f t="shared" ca="1" si="228"/>
        <v>0.58499999999999996</v>
      </c>
      <c r="J288">
        <f t="shared" ca="1" si="229"/>
        <v>0.501</v>
      </c>
      <c r="K288">
        <f t="shared" ca="1" si="230"/>
        <v>0.61284805083322769</v>
      </c>
      <c r="L288">
        <f t="shared" ca="1" si="230"/>
        <v>0.63838843515531973</v>
      </c>
      <c r="M288">
        <f t="shared" ca="1" si="230"/>
        <v>0</v>
      </c>
      <c r="N288">
        <f t="shared" ca="1" si="230"/>
        <v>0</v>
      </c>
      <c r="O288">
        <f t="shared" ca="1" si="230"/>
        <v>0.66589744344697333</v>
      </c>
      <c r="P288">
        <f t="shared" ca="1" si="230"/>
        <v>0</v>
      </c>
      <c r="Q288">
        <f t="shared" ca="1" si="230"/>
        <v>0</v>
      </c>
      <c r="R288">
        <f t="shared" ca="1" si="231"/>
        <v>0.66589744344697333</v>
      </c>
      <c r="S288">
        <f t="shared" ca="1" si="233"/>
        <v>0</v>
      </c>
      <c r="T288">
        <f t="shared" ca="1" si="232"/>
        <v>0</v>
      </c>
    </row>
    <row r="289" spans="1:20" x14ac:dyDescent="0.25">
      <c r="A289" s="1" t="s">
        <v>31</v>
      </c>
      <c r="B289" s="1">
        <f t="shared" si="221"/>
        <v>0</v>
      </c>
      <c r="C289" s="1">
        <f t="shared" si="222"/>
        <v>287</v>
      </c>
      <c r="D289">
        <f t="shared" ca="1" si="223"/>
        <v>1.2969999999999999</v>
      </c>
      <c r="E289">
        <f t="shared" ca="1" si="224"/>
        <v>1.5509999999999999</v>
      </c>
      <c r="F289">
        <f t="shared" ca="1" si="225"/>
        <v>1.0840000000000001</v>
      </c>
      <c r="G289">
        <f t="shared" ca="1" si="226"/>
        <v>2.6120000000000001</v>
      </c>
      <c r="H289">
        <f t="shared" ca="1" si="227"/>
        <v>0.377</v>
      </c>
      <c r="I289">
        <f t="shared" ca="1" si="228"/>
        <v>1.284</v>
      </c>
      <c r="J289">
        <f t="shared" ca="1" si="229"/>
        <v>0.877</v>
      </c>
      <c r="K289">
        <f t="shared" ca="1" si="230"/>
        <v>0.64230313732234556</v>
      </c>
      <c r="L289">
        <f t="shared" ca="1" si="230"/>
        <v>0.60358209042139821</v>
      </c>
      <c r="M289">
        <f t="shared" ca="1" si="230"/>
        <v>0</v>
      </c>
      <c r="N289">
        <f t="shared" ca="1" si="230"/>
        <v>0</v>
      </c>
      <c r="O289">
        <f t="shared" ca="1" si="230"/>
        <v>0.56028630306390115</v>
      </c>
      <c r="P289">
        <f t="shared" ca="1" si="230"/>
        <v>0</v>
      </c>
      <c r="Q289">
        <f t="shared" ca="1" si="230"/>
        <v>0</v>
      </c>
      <c r="R289">
        <f t="shared" ca="1" si="231"/>
        <v>0.64230313732234556</v>
      </c>
      <c r="S289">
        <f t="shared" ca="1" si="233"/>
        <v>0</v>
      </c>
      <c r="T289">
        <f t="shared" ca="1" si="232"/>
        <v>0</v>
      </c>
    </row>
    <row r="290" spans="1:20" x14ac:dyDescent="0.25">
      <c r="A290" s="1" t="s">
        <v>38</v>
      </c>
      <c r="B290" s="1">
        <f t="shared" si="221"/>
        <v>5</v>
      </c>
      <c r="C290" s="1">
        <f t="shared" si="222"/>
        <v>288</v>
      </c>
      <c r="D290">
        <f t="shared" ca="1" si="223"/>
        <v>0.27500000000000002</v>
      </c>
      <c r="E290">
        <f t="shared" ca="1" si="224"/>
        <v>0.57799999999999996</v>
      </c>
      <c r="F290">
        <f t="shared" ca="1" si="225"/>
        <v>0.216</v>
      </c>
      <c r="G290">
        <f t="shared" ca="1" si="226"/>
        <v>0.21099999999999999</v>
      </c>
      <c r="H290">
        <f t="shared" ca="1" si="227"/>
        <v>0.42599999999999999</v>
      </c>
      <c r="I290">
        <f t="shared" ca="1" si="228"/>
        <v>0.156</v>
      </c>
      <c r="J290">
        <f t="shared" ca="1" si="229"/>
        <v>4.4999999999999998E-2</v>
      </c>
      <c r="K290">
        <f t="shared" ca="1" si="230"/>
        <v>0.64805836997055344</v>
      </c>
      <c r="L290">
        <f t="shared" ca="1" si="230"/>
        <v>0.57521808548678477</v>
      </c>
      <c r="M290">
        <f t="shared" ca="1" si="230"/>
        <v>0</v>
      </c>
      <c r="N290">
        <f t="shared" ca="1" si="230"/>
        <v>0</v>
      </c>
      <c r="O290">
        <f t="shared" ca="1" si="230"/>
        <v>0.5487921648777313</v>
      </c>
      <c r="P290">
        <f t="shared" ca="1" si="230"/>
        <v>0</v>
      </c>
      <c r="Q290">
        <f t="shared" ca="1" si="230"/>
        <v>0</v>
      </c>
      <c r="R290">
        <f t="shared" ca="1" si="231"/>
        <v>0.64805836997055344</v>
      </c>
      <c r="S290">
        <f t="shared" ca="1" si="233"/>
        <v>0</v>
      </c>
      <c r="T290">
        <f t="shared" ca="1" si="232"/>
        <v>0</v>
      </c>
    </row>
    <row r="291" spans="1:20" x14ac:dyDescent="0.25">
      <c r="A291" s="1" t="s">
        <v>48</v>
      </c>
      <c r="B291" s="1">
        <f t="shared" ref="B291:B306" si="234">LOOKUP($A291,$V$4:$V$23,$W$4:$W$23)</f>
        <v>19</v>
      </c>
      <c r="C291" s="1">
        <f t="shared" si="222"/>
        <v>289</v>
      </c>
      <c r="D291">
        <f t="shared" ca="1" si="223"/>
        <v>0.122</v>
      </c>
      <c r="E291">
        <f t="shared" ca="1" si="224"/>
        <v>1.659</v>
      </c>
      <c r="F291">
        <f t="shared" ca="1" si="225"/>
        <v>0.19</v>
      </c>
      <c r="G291">
        <f t="shared" ca="1" si="226"/>
        <v>0.13</v>
      </c>
      <c r="H291">
        <f t="shared" ca="1" si="227"/>
        <v>0.155</v>
      </c>
      <c r="I291">
        <f t="shared" ca="1" si="228"/>
        <v>1.417</v>
      </c>
      <c r="J291">
        <f t="shared" ca="1" si="229"/>
        <v>0.09</v>
      </c>
      <c r="K291">
        <f t="shared" ca="1" si="230"/>
        <v>0.66568531461064495</v>
      </c>
      <c r="L291">
        <f t="shared" ca="1" si="230"/>
        <v>0.58765357956174524</v>
      </c>
      <c r="M291">
        <f t="shared" ca="1" si="230"/>
        <v>0</v>
      </c>
      <c r="N291">
        <f t="shared" ca="1" si="230"/>
        <v>0</v>
      </c>
      <c r="O291">
        <f t="shared" ca="1" si="230"/>
        <v>0.56400427759357441</v>
      </c>
      <c r="P291">
        <f t="shared" ca="1" si="230"/>
        <v>0</v>
      </c>
      <c r="Q291">
        <f t="shared" ca="1" si="230"/>
        <v>0</v>
      </c>
      <c r="R291">
        <f t="shared" ca="1" si="231"/>
        <v>0.66568531461064495</v>
      </c>
      <c r="S291">
        <f t="shared" ca="1" si="233"/>
        <v>0</v>
      </c>
      <c r="T291">
        <f t="shared" ca="1" si="232"/>
        <v>0</v>
      </c>
    </row>
    <row r="292" spans="1:20" x14ac:dyDescent="0.25">
      <c r="A292" s="1" t="s">
        <v>35</v>
      </c>
      <c r="B292" s="1">
        <f t="shared" si="234"/>
        <v>2</v>
      </c>
      <c r="C292" s="1">
        <f t="shared" ref="C292:C307" si="235">C291+1</f>
        <v>290</v>
      </c>
      <c r="D292">
        <f t="shared" ref="D292:D307" ca="1" si="236">OFFSET($X$4,$B292,MOD($C292,7),1,1)</f>
        <v>0.23699999999999999</v>
      </c>
      <c r="E292">
        <f t="shared" ref="E292:E307" ca="1" si="237">OFFSET($X$4,$B292,MOD($C292+1,7),1,1)</f>
        <v>0.66300000000000003</v>
      </c>
      <c r="F292">
        <f t="shared" ref="F292:F307" ca="1" si="238">OFFSET($X$4,$B292,MOD($C292+2,7),1,1)</f>
        <v>1.62</v>
      </c>
      <c r="G292">
        <f t="shared" ref="G292:G307" ca="1" si="239">OFFSET($X$4,$B292,MOD($C292+3,7),1,1)</f>
        <v>1.448</v>
      </c>
      <c r="H292">
        <f t="shared" ref="H292:H307" ca="1" si="240">OFFSET($X$4,$B292,MOD($C292+4,7),1,1)</f>
        <v>0.03</v>
      </c>
      <c r="I292">
        <f t="shared" ref="I292:I307" ca="1" si="241">OFFSET($X$4,$B292,MOD($C292+5,7),1,1)</f>
        <v>2.3519999999999999</v>
      </c>
      <c r="J292">
        <f t="shared" ref="J292:J307" ca="1" si="242">OFFSET($X$4,$B292,MOD($C292+6,7),1,1)</f>
        <v>2.2679999999999998</v>
      </c>
      <c r="K292">
        <f t="shared" ref="K292:Q307" ca="1" si="243">POWER(PRODUCT(D292:D319),1/28)</f>
        <v>0.68807049678660481</v>
      </c>
      <c r="L292">
        <f t="shared" ca="1" si="243"/>
        <v>0.53957256238153295</v>
      </c>
      <c r="M292">
        <f t="shared" ca="1" si="243"/>
        <v>0</v>
      </c>
      <c r="N292">
        <f t="shared" ca="1" si="243"/>
        <v>0</v>
      </c>
      <c r="O292">
        <f t="shared" ca="1" si="243"/>
        <v>0.53920139137262046</v>
      </c>
      <c r="P292">
        <f t="shared" ca="1" si="243"/>
        <v>0</v>
      </c>
      <c r="Q292">
        <f t="shared" ca="1" si="243"/>
        <v>0</v>
      </c>
      <c r="R292">
        <f t="shared" ref="R292:R307" ca="1" si="244">MAX(K292:Q292)</f>
        <v>0.68807049678660481</v>
      </c>
      <c r="S292">
        <f t="shared" ca="1" si="233"/>
        <v>0</v>
      </c>
      <c r="T292">
        <f t="shared" ref="T292:T307" ca="1" si="245">MAX(S292:S319)</f>
        <v>0</v>
      </c>
    </row>
    <row r="293" spans="1:20" x14ac:dyDescent="0.25">
      <c r="A293" s="1" t="s">
        <v>35</v>
      </c>
      <c r="B293" s="1">
        <f t="shared" si="234"/>
        <v>2</v>
      </c>
      <c r="C293" s="1">
        <f t="shared" si="235"/>
        <v>291</v>
      </c>
      <c r="D293">
        <f t="shared" ca="1" si="236"/>
        <v>0.66300000000000003</v>
      </c>
      <c r="E293">
        <f t="shared" ca="1" si="237"/>
        <v>1.62</v>
      </c>
      <c r="F293">
        <f t="shared" ca="1" si="238"/>
        <v>1.448</v>
      </c>
      <c r="G293">
        <f t="shared" ca="1" si="239"/>
        <v>0.03</v>
      </c>
      <c r="H293">
        <f t="shared" ca="1" si="240"/>
        <v>2.3519999999999999</v>
      </c>
      <c r="I293">
        <f t="shared" ca="1" si="241"/>
        <v>2.2679999999999998</v>
      </c>
      <c r="J293">
        <f t="shared" ca="1" si="242"/>
        <v>0.23699999999999999</v>
      </c>
      <c r="K293">
        <f t="shared" ca="1" si="243"/>
        <v>0.76046766919462039</v>
      </c>
      <c r="L293">
        <f t="shared" ca="1" si="243"/>
        <v>0.53716599528140374</v>
      </c>
      <c r="M293">
        <f t="shared" ca="1" si="243"/>
        <v>0</v>
      </c>
      <c r="N293">
        <f t="shared" ca="1" si="243"/>
        <v>0</v>
      </c>
      <c r="O293">
        <f t="shared" ca="1" si="243"/>
        <v>0.63682458138591591</v>
      </c>
      <c r="P293">
        <f t="shared" ca="1" si="243"/>
        <v>0</v>
      </c>
      <c r="Q293">
        <f t="shared" ca="1" si="243"/>
        <v>0</v>
      </c>
      <c r="R293">
        <f t="shared" ca="1" si="244"/>
        <v>0.76046766919462039</v>
      </c>
      <c r="S293">
        <f t="shared" ca="1" si="233"/>
        <v>0</v>
      </c>
      <c r="T293">
        <f t="shared" ca="1" si="245"/>
        <v>0</v>
      </c>
    </row>
    <row r="294" spans="1:20" x14ac:dyDescent="0.25">
      <c r="A294" s="1" t="s">
        <v>37</v>
      </c>
      <c r="B294" s="1">
        <f t="shared" si="234"/>
        <v>4</v>
      </c>
      <c r="C294" s="1">
        <f t="shared" si="235"/>
        <v>292</v>
      </c>
      <c r="D294">
        <f t="shared" ca="1" si="236"/>
        <v>0.106</v>
      </c>
      <c r="E294">
        <f t="shared" ca="1" si="237"/>
        <v>1.2999999999999999E-2</v>
      </c>
      <c r="F294">
        <f t="shared" ca="1" si="238"/>
        <v>0.53100000000000003</v>
      </c>
      <c r="G294">
        <f t="shared" ca="1" si="239"/>
        <v>7.5999999999999998E-2</v>
      </c>
      <c r="H294">
        <f t="shared" ca="1" si="240"/>
        <v>0.40300000000000002</v>
      </c>
      <c r="I294">
        <f t="shared" ca="1" si="241"/>
        <v>0.66200000000000003</v>
      </c>
      <c r="J294">
        <f t="shared" ca="1" si="242"/>
        <v>0.189</v>
      </c>
      <c r="K294">
        <f t="shared" ca="1" si="243"/>
        <v>0.72999939873500941</v>
      </c>
      <c r="L294">
        <f t="shared" ca="1" si="243"/>
        <v>0.5121420809338999</v>
      </c>
      <c r="M294">
        <f t="shared" ca="1" si="243"/>
        <v>0</v>
      </c>
      <c r="N294">
        <f t="shared" ca="1" si="243"/>
        <v>0</v>
      </c>
      <c r="O294">
        <f t="shared" ca="1" si="243"/>
        <v>0.58983476711833183</v>
      </c>
      <c r="P294">
        <f t="shared" ca="1" si="243"/>
        <v>0</v>
      </c>
      <c r="Q294">
        <f t="shared" ca="1" si="243"/>
        <v>0</v>
      </c>
      <c r="R294">
        <f t="shared" ca="1" si="244"/>
        <v>0.72999939873500941</v>
      </c>
      <c r="S294">
        <f t="shared" ca="1" si="233"/>
        <v>0</v>
      </c>
      <c r="T294">
        <f t="shared" ca="1" si="245"/>
        <v>0</v>
      </c>
    </row>
    <row r="295" spans="1:20" x14ac:dyDescent="0.25">
      <c r="A295" s="1" t="s">
        <v>43</v>
      </c>
      <c r="B295" s="1">
        <f t="shared" si="234"/>
        <v>11</v>
      </c>
      <c r="C295" s="1">
        <f t="shared" si="235"/>
        <v>293</v>
      </c>
      <c r="D295">
        <f t="shared" ca="1" si="236"/>
        <v>2.2799999999999998</v>
      </c>
      <c r="E295">
        <f t="shared" ca="1" si="237"/>
        <v>0.83499999999999996</v>
      </c>
      <c r="F295">
        <f t="shared" ca="1" si="238"/>
        <v>1.4750000000000001</v>
      </c>
      <c r="G295">
        <f t="shared" ca="1" si="239"/>
        <v>1.534</v>
      </c>
      <c r="H295">
        <f t="shared" ca="1" si="240"/>
        <v>3.9E-2</v>
      </c>
      <c r="I295">
        <f t="shared" ca="1" si="241"/>
        <v>1.722</v>
      </c>
      <c r="J295">
        <f t="shared" ca="1" si="242"/>
        <v>2.456</v>
      </c>
      <c r="K295">
        <f t="shared" ca="1" si="243"/>
        <v>0.76118650907004493</v>
      </c>
      <c r="L295">
        <f t="shared" ca="1" si="243"/>
        <v>0.57663803960912863</v>
      </c>
      <c r="M295">
        <f t="shared" ca="1" si="243"/>
        <v>0</v>
      </c>
      <c r="N295">
        <f t="shared" ca="1" si="243"/>
        <v>0</v>
      </c>
      <c r="O295">
        <f t="shared" ca="1" si="243"/>
        <v>0.58892755829114685</v>
      </c>
      <c r="P295">
        <f t="shared" ca="1" si="243"/>
        <v>0</v>
      </c>
      <c r="Q295">
        <f t="shared" ca="1" si="243"/>
        <v>0</v>
      </c>
      <c r="R295">
        <f t="shared" ca="1" si="244"/>
        <v>0.76118650907004493</v>
      </c>
      <c r="S295">
        <f t="shared" ca="1" si="233"/>
        <v>0</v>
      </c>
      <c r="T295">
        <f t="shared" ca="1" si="245"/>
        <v>0</v>
      </c>
    </row>
    <row r="296" spans="1:20" x14ac:dyDescent="0.25">
      <c r="A296" s="1" t="s">
        <v>33</v>
      </c>
      <c r="B296" s="1">
        <f t="shared" si="234"/>
        <v>1</v>
      </c>
      <c r="C296" s="1">
        <f t="shared" si="235"/>
        <v>294</v>
      </c>
      <c r="D296">
        <f t="shared" ca="1" si="236"/>
        <v>0.82399999999999995</v>
      </c>
      <c r="E296">
        <f t="shared" ca="1" si="237"/>
        <v>2.1999999999999999E-2</v>
      </c>
      <c r="F296">
        <f t="shared" ca="1" si="238"/>
        <v>0.308</v>
      </c>
      <c r="G296">
        <f t="shared" ca="1" si="239"/>
        <v>0.152</v>
      </c>
      <c r="H296">
        <f t="shared" ca="1" si="240"/>
        <v>0.18</v>
      </c>
      <c r="I296">
        <f t="shared" ca="1" si="241"/>
        <v>0.156</v>
      </c>
      <c r="J296">
        <f t="shared" ca="1" si="242"/>
        <v>4.3999999999999997E-2</v>
      </c>
      <c r="K296">
        <f t="shared" ca="1" si="243"/>
        <v>0.72770318627723174</v>
      </c>
      <c r="L296">
        <f t="shared" ca="1" si="243"/>
        <v>0.54465905129339653</v>
      </c>
      <c r="M296">
        <f t="shared" ca="1" si="243"/>
        <v>0</v>
      </c>
      <c r="N296">
        <f t="shared" ca="1" si="243"/>
        <v>0</v>
      </c>
      <c r="O296">
        <f t="shared" ca="1" si="243"/>
        <v>0.65132011273007073</v>
      </c>
      <c r="P296">
        <f t="shared" ca="1" si="243"/>
        <v>0</v>
      </c>
      <c r="Q296">
        <f t="shared" ca="1" si="243"/>
        <v>0</v>
      </c>
      <c r="R296">
        <f t="shared" ca="1" si="244"/>
        <v>0.72770318627723174</v>
      </c>
      <c r="S296">
        <f t="shared" ca="1" si="233"/>
        <v>0</v>
      </c>
      <c r="T296">
        <f t="shared" ca="1" si="245"/>
        <v>0</v>
      </c>
    </row>
    <row r="297" spans="1:20" x14ac:dyDescent="0.25">
      <c r="A297" s="1" t="s">
        <v>43</v>
      </c>
      <c r="B297" s="1">
        <f t="shared" si="234"/>
        <v>11</v>
      </c>
      <c r="C297" s="1">
        <f t="shared" si="235"/>
        <v>295</v>
      </c>
      <c r="D297">
        <f t="shared" ca="1" si="236"/>
        <v>1.4750000000000001</v>
      </c>
      <c r="E297">
        <f t="shared" ca="1" si="237"/>
        <v>1.534</v>
      </c>
      <c r="F297">
        <f t="shared" ca="1" si="238"/>
        <v>3.9E-2</v>
      </c>
      <c r="G297">
        <f t="shared" ca="1" si="239"/>
        <v>1.722</v>
      </c>
      <c r="H297">
        <f t="shared" ca="1" si="240"/>
        <v>2.456</v>
      </c>
      <c r="I297">
        <f t="shared" ca="1" si="241"/>
        <v>2.2799999999999998</v>
      </c>
      <c r="J297">
        <f t="shared" ca="1" si="242"/>
        <v>0.83499999999999996</v>
      </c>
      <c r="K297">
        <f t="shared" ca="1" si="243"/>
        <v>0.64649973242021674</v>
      </c>
      <c r="L297">
        <f t="shared" ca="1" si="243"/>
        <v>0.64356072713307311</v>
      </c>
      <c r="M297">
        <f t="shared" ca="1" si="243"/>
        <v>0</v>
      </c>
      <c r="N297">
        <f t="shared" ca="1" si="243"/>
        <v>0</v>
      </c>
      <c r="O297">
        <f t="shared" ca="1" si="243"/>
        <v>0.68236600596082531</v>
      </c>
      <c r="P297">
        <f t="shared" ca="1" si="243"/>
        <v>0</v>
      </c>
      <c r="Q297">
        <f t="shared" ca="1" si="243"/>
        <v>0</v>
      </c>
      <c r="R297">
        <f t="shared" ca="1" si="244"/>
        <v>0.68236600596082531</v>
      </c>
      <c r="S297">
        <f t="shared" ca="1" si="233"/>
        <v>0</v>
      </c>
      <c r="T297">
        <f t="shared" ca="1" si="245"/>
        <v>0</v>
      </c>
    </row>
    <row r="298" spans="1:20" x14ac:dyDescent="0.25">
      <c r="A298" s="1" t="s">
        <v>46</v>
      </c>
      <c r="B298" s="1">
        <f t="shared" si="234"/>
        <v>17</v>
      </c>
      <c r="C298" s="1">
        <f t="shared" si="235"/>
        <v>296</v>
      </c>
      <c r="D298">
        <f t="shared" ca="1" si="236"/>
        <v>0.38600000000000001</v>
      </c>
      <c r="E298">
        <f t="shared" ca="1" si="237"/>
        <v>0.94899999999999995</v>
      </c>
      <c r="F298">
        <f t="shared" ca="1" si="238"/>
        <v>0.21099999999999999</v>
      </c>
      <c r="G298">
        <f t="shared" ca="1" si="239"/>
        <v>0.34200000000000003</v>
      </c>
      <c r="H298">
        <f t="shared" ca="1" si="240"/>
        <v>0.36</v>
      </c>
      <c r="I298">
        <f t="shared" ca="1" si="241"/>
        <v>1.665</v>
      </c>
      <c r="J298">
        <f t="shared" ca="1" si="242"/>
        <v>0.40300000000000002</v>
      </c>
      <c r="K298">
        <f t="shared" ca="1" si="243"/>
        <v>0.65736364412794313</v>
      </c>
      <c r="L298">
        <f t="shared" ca="1" si="243"/>
        <v>0.65261109244041782</v>
      </c>
      <c r="M298">
        <f t="shared" ca="1" si="243"/>
        <v>0</v>
      </c>
      <c r="N298">
        <f t="shared" ca="1" si="243"/>
        <v>0</v>
      </c>
      <c r="O298">
        <f t="shared" ca="1" si="243"/>
        <v>0.67230034624098678</v>
      </c>
      <c r="P298">
        <f t="shared" ca="1" si="243"/>
        <v>0</v>
      </c>
      <c r="Q298">
        <f t="shared" ca="1" si="243"/>
        <v>0</v>
      </c>
      <c r="R298">
        <f t="shared" ca="1" si="244"/>
        <v>0.67230034624098678</v>
      </c>
      <c r="S298">
        <f t="shared" ca="1" si="233"/>
        <v>0</v>
      </c>
      <c r="T298">
        <f t="shared" ca="1" si="245"/>
        <v>0</v>
      </c>
    </row>
    <row r="299" spans="1:20" x14ac:dyDescent="0.25">
      <c r="A299" s="1" t="s">
        <v>47</v>
      </c>
      <c r="B299" s="1">
        <f t="shared" si="234"/>
        <v>18</v>
      </c>
      <c r="C299" s="1">
        <f t="shared" si="235"/>
        <v>297</v>
      </c>
      <c r="D299">
        <f t="shared" ca="1" si="236"/>
        <v>0.45600000000000002</v>
      </c>
      <c r="E299">
        <f t="shared" ca="1" si="237"/>
        <v>1.9E-2</v>
      </c>
      <c r="F299">
        <f t="shared" ca="1" si="238"/>
        <v>0</v>
      </c>
      <c r="G299">
        <f t="shared" ca="1" si="239"/>
        <v>0</v>
      </c>
      <c r="H299">
        <f t="shared" ca="1" si="240"/>
        <v>0.24</v>
      </c>
      <c r="I299">
        <f t="shared" ca="1" si="241"/>
        <v>0</v>
      </c>
      <c r="J299">
        <f t="shared" ca="1" si="242"/>
        <v>0</v>
      </c>
      <c r="K299">
        <f t="shared" ca="1" si="243"/>
        <v>0.6669109427420874</v>
      </c>
      <c r="L299">
        <f t="shared" ca="1" si="243"/>
        <v>0.61900885730836319</v>
      </c>
      <c r="M299">
        <f t="shared" ca="1" si="243"/>
        <v>0</v>
      </c>
      <c r="N299">
        <f t="shared" ca="1" si="243"/>
        <v>0</v>
      </c>
      <c r="O299">
        <f t="shared" ca="1" si="243"/>
        <v>0.65251829924283111</v>
      </c>
      <c r="P299">
        <f t="shared" ca="1" si="243"/>
        <v>0</v>
      </c>
      <c r="Q299">
        <f t="shared" ca="1" si="243"/>
        <v>0</v>
      </c>
      <c r="R299">
        <f t="shared" ca="1" si="244"/>
        <v>0.6669109427420874</v>
      </c>
      <c r="S299">
        <f t="shared" ca="1" si="233"/>
        <v>0</v>
      </c>
      <c r="T299">
        <f t="shared" ca="1" si="245"/>
        <v>0</v>
      </c>
    </row>
    <row r="300" spans="1:20" x14ac:dyDescent="0.25">
      <c r="A300" s="1" t="s">
        <v>35</v>
      </c>
      <c r="B300" s="1">
        <f t="shared" si="234"/>
        <v>2</v>
      </c>
      <c r="C300" s="1">
        <f t="shared" si="235"/>
        <v>298</v>
      </c>
      <c r="D300">
        <f t="shared" ca="1" si="236"/>
        <v>0.66300000000000003</v>
      </c>
      <c r="E300">
        <f t="shared" ca="1" si="237"/>
        <v>1.62</v>
      </c>
      <c r="F300">
        <f t="shared" ca="1" si="238"/>
        <v>1.448</v>
      </c>
      <c r="G300">
        <f t="shared" ca="1" si="239"/>
        <v>0.03</v>
      </c>
      <c r="H300">
        <f t="shared" ca="1" si="240"/>
        <v>2.3519999999999999</v>
      </c>
      <c r="I300">
        <f t="shared" ca="1" si="241"/>
        <v>2.2679999999999998</v>
      </c>
      <c r="J300">
        <f t="shared" ca="1" si="242"/>
        <v>0.23699999999999999</v>
      </c>
      <c r="K300">
        <f t="shared" ca="1" si="243"/>
        <v>0.69432998393325229</v>
      </c>
      <c r="L300">
        <f t="shared" ca="1" si="243"/>
        <v>0.69765591371016233</v>
      </c>
      <c r="M300">
        <f t="shared" ca="1" si="243"/>
        <v>0.62778888635007579</v>
      </c>
      <c r="N300">
        <f t="shared" ca="1" si="243"/>
        <v>0.44093453273238836</v>
      </c>
      <c r="O300">
        <f t="shared" ca="1" si="243"/>
        <v>0.70670288807078518</v>
      </c>
      <c r="P300">
        <f t="shared" ca="1" si="243"/>
        <v>0.50851240480117788</v>
      </c>
      <c r="Q300">
        <f t="shared" ca="1" si="243"/>
        <v>0.49015972514623141</v>
      </c>
      <c r="R300">
        <f t="shared" ca="1" si="244"/>
        <v>0.70670288807078518</v>
      </c>
      <c r="S300">
        <f t="shared" ca="1" si="233"/>
        <v>0</v>
      </c>
      <c r="T300">
        <f t="shared" ca="1" si="245"/>
        <v>0</v>
      </c>
    </row>
    <row r="301" spans="1:20" x14ac:dyDescent="0.25">
      <c r="A301" s="1" t="s">
        <v>31</v>
      </c>
      <c r="B301" s="1">
        <f t="shared" si="234"/>
        <v>0</v>
      </c>
      <c r="C301" s="1">
        <f t="shared" si="235"/>
        <v>299</v>
      </c>
      <c r="D301">
        <f t="shared" ca="1" si="236"/>
        <v>1.284</v>
      </c>
      <c r="E301">
        <f t="shared" ca="1" si="237"/>
        <v>0.877</v>
      </c>
      <c r="F301">
        <f t="shared" ca="1" si="238"/>
        <v>1.2969999999999999</v>
      </c>
      <c r="G301">
        <f t="shared" ca="1" si="239"/>
        <v>1.5509999999999999</v>
      </c>
      <c r="H301">
        <f t="shared" ca="1" si="240"/>
        <v>1.0840000000000001</v>
      </c>
      <c r="I301">
        <f t="shared" ca="1" si="241"/>
        <v>2.6120000000000001</v>
      </c>
      <c r="J301">
        <f t="shared" ca="1" si="242"/>
        <v>0.377</v>
      </c>
      <c r="K301">
        <f t="shared" ca="1" si="243"/>
        <v>0.68047123445248825</v>
      </c>
      <c r="L301">
        <f t="shared" ca="1" si="243"/>
        <v>0.69188819874690244</v>
      </c>
      <c r="M301">
        <f t="shared" ca="1" si="243"/>
        <v>0.61664634264234608</v>
      </c>
      <c r="N301">
        <f t="shared" ca="1" si="243"/>
        <v>0.50442454398327874</v>
      </c>
      <c r="O301">
        <f t="shared" ca="1" si="243"/>
        <v>0.69627180943459888</v>
      </c>
      <c r="P301">
        <f t="shared" ca="1" si="243"/>
        <v>0.495280306746334</v>
      </c>
      <c r="Q301">
        <f t="shared" ca="1" si="243"/>
        <v>0.53402297151973999</v>
      </c>
      <c r="R301">
        <f t="shared" ca="1" si="244"/>
        <v>0.69627180943459888</v>
      </c>
      <c r="S301">
        <f t="shared" ca="1" si="233"/>
        <v>0</v>
      </c>
      <c r="T301">
        <f t="shared" ca="1" si="245"/>
        <v>0</v>
      </c>
    </row>
    <row r="302" spans="1:20" x14ac:dyDescent="0.25">
      <c r="A302" s="1" t="s">
        <v>34</v>
      </c>
      <c r="B302" s="1">
        <f t="shared" si="234"/>
        <v>9</v>
      </c>
      <c r="C302" s="1">
        <f t="shared" si="235"/>
        <v>300</v>
      </c>
      <c r="D302">
        <f t="shared" ca="1" si="236"/>
        <v>0.48299999999999998</v>
      </c>
      <c r="E302">
        <f t="shared" ca="1" si="237"/>
        <v>3.1669999999999998</v>
      </c>
      <c r="F302">
        <f t="shared" ca="1" si="238"/>
        <v>0.29699999999999999</v>
      </c>
      <c r="G302">
        <f t="shared" ca="1" si="239"/>
        <v>0.39800000000000002</v>
      </c>
      <c r="H302">
        <f t="shared" ca="1" si="240"/>
        <v>3.9020000000000001</v>
      </c>
      <c r="I302">
        <f t="shared" ca="1" si="241"/>
        <v>0.58499999999999996</v>
      </c>
      <c r="J302">
        <f t="shared" ca="1" si="242"/>
        <v>0.501</v>
      </c>
      <c r="K302">
        <f t="shared" ca="1" si="243"/>
        <v>0.64906848667770989</v>
      </c>
      <c r="L302">
        <f t="shared" ca="1" si="243"/>
        <v>0.67023223673186749</v>
      </c>
      <c r="M302">
        <f t="shared" ca="1" si="243"/>
        <v>0.62217168255952005</v>
      </c>
      <c r="N302">
        <f t="shared" ca="1" si="243"/>
        <v>0.48072022856084318</v>
      </c>
      <c r="O302">
        <f t="shared" ca="1" si="243"/>
        <v>0.67106258731132484</v>
      </c>
      <c r="P302">
        <f t="shared" ca="1" si="243"/>
        <v>0.47769119908177321</v>
      </c>
      <c r="Q302">
        <f t="shared" ca="1" si="243"/>
        <v>0.52306761923703937</v>
      </c>
      <c r="R302">
        <f t="shared" ca="1" si="244"/>
        <v>0.67106258731132484</v>
      </c>
      <c r="S302">
        <f t="shared" ca="1" si="233"/>
        <v>0</v>
      </c>
      <c r="T302">
        <f t="shared" ca="1" si="245"/>
        <v>0</v>
      </c>
    </row>
    <row r="303" spans="1:20" x14ac:dyDescent="0.25">
      <c r="A303" s="1" t="s">
        <v>42</v>
      </c>
      <c r="B303" s="1">
        <f t="shared" si="234"/>
        <v>8</v>
      </c>
      <c r="C303" s="1">
        <f t="shared" si="235"/>
        <v>301</v>
      </c>
      <c r="D303">
        <f t="shared" ca="1" si="236"/>
        <v>1.375</v>
      </c>
      <c r="E303">
        <f t="shared" ca="1" si="237"/>
        <v>2.6389999999999998</v>
      </c>
      <c r="F303">
        <f t="shared" ca="1" si="238"/>
        <v>1.7629999999999999</v>
      </c>
      <c r="G303">
        <f t="shared" ca="1" si="239"/>
        <v>0.191</v>
      </c>
      <c r="H303">
        <f t="shared" ca="1" si="240"/>
        <v>1.8149999999999999</v>
      </c>
      <c r="I303">
        <f t="shared" ca="1" si="241"/>
        <v>1.9610000000000001</v>
      </c>
      <c r="J303">
        <f t="shared" ca="1" si="242"/>
        <v>2.7949999999999999</v>
      </c>
      <c r="K303">
        <f t="shared" ca="1" si="243"/>
        <v>0.66304407359525497</v>
      </c>
      <c r="L303">
        <f t="shared" ca="1" si="243"/>
        <v>0.64920012568094509</v>
      </c>
      <c r="M303">
        <f t="shared" ca="1" si="243"/>
        <v>0.66000607319347526</v>
      </c>
      <c r="N303">
        <f t="shared" ca="1" si="243"/>
        <v>0.49823396862955083</v>
      </c>
      <c r="O303">
        <f t="shared" ca="1" si="243"/>
        <v>0.66151169056054182</v>
      </c>
      <c r="P303">
        <f t="shared" ca="1" si="243"/>
        <v>0.47025393229326534</v>
      </c>
      <c r="Q303">
        <f t="shared" ca="1" si="243"/>
        <v>0.54094765084460172</v>
      </c>
      <c r="R303">
        <f t="shared" ca="1" si="244"/>
        <v>0.66304407359525497</v>
      </c>
      <c r="S303">
        <f t="shared" ref="S303:S318" ca="1" si="246">IF(R276&gt;1.55,1,IF(R276&gt;1.48,0.9,IF(R276&gt;1.4,0.8,IF(R276&gt;1.36666,0.6,IF(R276&gt;1.33333,0.4,IF(R276&gt;1.22,0.2,IF(R276&gt;1,0.1,0)))))))</f>
        <v>0</v>
      </c>
      <c r="T303">
        <f t="shared" ca="1" si="245"/>
        <v>0</v>
      </c>
    </row>
    <row r="304" spans="1:20" x14ac:dyDescent="0.25">
      <c r="A304" s="1" t="s">
        <v>31</v>
      </c>
      <c r="B304" s="1">
        <f t="shared" si="234"/>
        <v>0</v>
      </c>
      <c r="C304" s="1">
        <f t="shared" si="235"/>
        <v>302</v>
      </c>
      <c r="D304">
        <f t="shared" ca="1" si="236"/>
        <v>1.5509999999999999</v>
      </c>
      <c r="E304">
        <f t="shared" ca="1" si="237"/>
        <v>1.0840000000000001</v>
      </c>
      <c r="F304">
        <f t="shared" ca="1" si="238"/>
        <v>2.6120000000000001</v>
      </c>
      <c r="G304">
        <f t="shared" ca="1" si="239"/>
        <v>0.377</v>
      </c>
      <c r="H304">
        <f t="shared" ca="1" si="240"/>
        <v>1.284</v>
      </c>
      <c r="I304">
        <f t="shared" ca="1" si="241"/>
        <v>0.877</v>
      </c>
      <c r="J304">
        <f t="shared" ca="1" si="242"/>
        <v>1.2969999999999999</v>
      </c>
      <c r="K304">
        <f t="shared" ca="1" si="243"/>
        <v>0.61521588526470228</v>
      </c>
      <c r="L304">
        <f t="shared" ca="1" si="243"/>
        <v>0.61921180609730297</v>
      </c>
      <c r="M304">
        <f t="shared" ca="1" si="243"/>
        <v>0.6457122729917697</v>
      </c>
      <c r="N304">
        <f t="shared" ca="1" si="243"/>
        <v>0.52062402367651806</v>
      </c>
      <c r="O304">
        <f t="shared" ca="1" si="243"/>
        <v>0.64217792953466268</v>
      </c>
      <c r="P304">
        <f t="shared" ca="1" si="243"/>
        <v>0.45628668140852074</v>
      </c>
      <c r="Q304">
        <f t="shared" ca="1" si="243"/>
        <v>0.51340443150472981</v>
      </c>
      <c r="R304">
        <f t="shared" ca="1" si="244"/>
        <v>0.6457122729917697</v>
      </c>
      <c r="S304">
        <f t="shared" ca="1" si="246"/>
        <v>0</v>
      </c>
      <c r="T304">
        <f t="shared" ca="1" si="245"/>
        <v>0</v>
      </c>
    </row>
    <row r="305" spans="1:20" x14ac:dyDescent="0.25">
      <c r="A305" s="1" t="s">
        <v>35</v>
      </c>
      <c r="B305" s="1">
        <f t="shared" si="234"/>
        <v>2</v>
      </c>
      <c r="C305" s="1">
        <f t="shared" si="235"/>
        <v>303</v>
      </c>
      <c r="D305">
        <f t="shared" ca="1" si="236"/>
        <v>2.2679999999999998</v>
      </c>
      <c r="E305">
        <f t="shared" ca="1" si="237"/>
        <v>0.23699999999999999</v>
      </c>
      <c r="F305">
        <f t="shared" ca="1" si="238"/>
        <v>0.66300000000000003</v>
      </c>
      <c r="G305">
        <f t="shared" ca="1" si="239"/>
        <v>1.62</v>
      </c>
      <c r="H305">
        <f t="shared" ca="1" si="240"/>
        <v>1.448</v>
      </c>
      <c r="I305">
        <f t="shared" ca="1" si="241"/>
        <v>0.03</v>
      </c>
      <c r="J305">
        <f t="shared" ca="1" si="242"/>
        <v>2.3519999999999999</v>
      </c>
      <c r="K305">
        <f t="shared" ca="1" si="243"/>
        <v>0.57835719682974207</v>
      </c>
      <c r="L305">
        <f t="shared" ca="1" si="243"/>
        <v>0.60546020717592974</v>
      </c>
      <c r="M305">
        <f t="shared" ca="1" si="243"/>
        <v>0.59071450238244716</v>
      </c>
      <c r="N305">
        <f t="shared" ca="1" si="243"/>
        <v>0.50994354757268734</v>
      </c>
      <c r="O305">
        <f t="shared" ca="1" si="243"/>
        <v>0.61736596276983224</v>
      </c>
      <c r="P305">
        <f t="shared" ca="1" si="243"/>
        <v>0.42899925943216638</v>
      </c>
      <c r="Q305">
        <f t="shared" ca="1" si="243"/>
        <v>0.45533023491024938</v>
      </c>
      <c r="R305">
        <f t="shared" ca="1" si="244"/>
        <v>0.61736596276983224</v>
      </c>
      <c r="S305">
        <f t="shared" ca="1" si="246"/>
        <v>0</v>
      </c>
      <c r="T305">
        <f t="shared" ca="1" si="245"/>
        <v>0</v>
      </c>
    </row>
    <row r="306" spans="1:20" x14ac:dyDescent="0.25">
      <c r="A306" s="1" t="s">
        <v>39</v>
      </c>
      <c r="B306" s="1">
        <f t="shared" si="234"/>
        <v>14</v>
      </c>
      <c r="C306" s="1">
        <f t="shared" si="235"/>
        <v>304</v>
      </c>
      <c r="D306">
        <f t="shared" ca="1" si="236"/>
        <v>3.1E-2</v>
      </c>
      <c r="E306">
        <f t="shared" ca="1" si="237"/>
        <v>1.3580000000000001</v>
      </c>
      <c r="F306">
        <f t="shared" ca="1" si="238"/>
        <v>1.9370000000000001</v>
      </c>
      <c r="G306">
        <f t="shared" ca="1" si="239"/>
        <v>1.798</v>
      </c>
      <c r="H306">
        <f t="shared" ca="1" si="240"/>
        <v>0.65900000000000003</v>
      </c>
      <c r="I306">
        <f t="shared" ca="1" si="241"/>
        <v>1.163</v>
      </c>
      <c r="J306">
        <f t="shared" ca="1" si="242"/>
        <v>1.21</v>
      </c>
      <c r="K306">
        <f t="shared" ca="1" si="243"/>
        <v>0.56270514107396397</v>
      </c>
      <c r="L306">
        <f t="shared" ca="1" si="243"/>
        <v>0.61790778235959276</v>
      </c>
      <c r="M306">
        <f t="shared" ca="1" si="243"/>
        <v>0.58581142770485917</v>
      </c>
      <c r="N306">
        <f t="shared" ca="1" si="243"/>
        <v>0.4996645586470112</v>
      </c>
      <c r="O306">
        <f t="shared" ca="1" si="243"/>
        <v>0.59921851018670036</v>
      </c>
      <c r="P306">
        <f t="shared" ca="1" si="243"/>
        <v>0.46980621816567386</v>
      </c>
      <c r="Q306">
        <f t="shared" ca="1" si="243"/>
        <v>0.43320343407480055</v>
      </c>
      <c r="R306">
        <f t="shared" ca="1" si="244"/>
        <v>0.61790778235959276</v>
      </c>
      <c r="S306">
        <f t="shared" ca="1" si="246"/>
        <v>0</v>
      </c>
      <c r="T306">
        <f t="shared" ca="1" si="245"/>
        <v>0</v>
      </c>
    </row>
    <row r="307" spans="1:20" x14ac:dyDescent="0.25">
      <c r="A307" s="1" t="s">
        <v>31</v>
      </c>
      <c r="B307" s="1">
        <f t="shared" ref="B307:B322" si="247">LOOKUP($A307,$V$4:$V$23,$W$4:$W$23)</f>
        <v>0</v>
      </c>
      <c r="C307" s="1">
        <f t="shared" si="235"/>
        <v>305</v>
      </c>
      <c r="D307">
        <f t="shared" ca="1" si="236"/>
        <v>0.377</v>
      </c>
      <c r="E307">
        <f t="shared" ca="1" si="237"/>
        <v>1.284</v>
      </c>
      <c r="F307">
        <f t="shared" ca="1" si="238"/>
        <v>0.877</v>
      </c>
      <c r="G307">
        <f t="shared" ca="1" si="239"/>
        <v>1.2969999999999999</v>
      </c>
      <c r="H307">
        <f t="shared" ca="1" si="240"/>
        <v>1.5509999999999999</v>
      </c>
      <c r="I307">
        <f t="shared" ca="1" si="241"/>
        <v>1.0840000000000001</v>
      </c>
      <c r="J307">
        <f t="shared" ca="1" si="242"/>
        <v>2.6120000000000001</v>
      </c>
      <c r="K307">
        <f t="shared" ca="1" si="243"/>
        <v>0.61941396924997871</v>
      </c>
      <c r="L307">
        <f t="shared" ca="1" si="243"/>
        <v>0.53052292940783441</v>
      </c>
      <c r="M307">
        <f t="shared" ca="1" si="243"/>
        <v>0</v>
      </c>
      <c r="N307">
        <f t="shared" ca="1" si="243"/>
        <v>0</v>
      </c>
      <c r="O307">
        <f t="shared" ca="1" si="243"/>
        <v>0.57798728654126386</v>
      </c>
      <c r="P307">
        <f t="shared" ca="1" si="243"/>
        <v>0</v>
      </c>
      <c r="Q307">
        <f t="shared" ca="1" si="243"/>
        <v>0</v>
      </c>
      <c r="R307">
        <f t="shared" ca="1" si="244"/>
        <v>0.61941396924997871</v>
      </c>
      <c r="S307">
        <f t="shared" ca="1" si="246"/>
        <v>0</v>
      </c>
      <c r="T307">
        <f t="shared" ca="1" si="245"/>
        <v>0</v>
      </c>
    </row>
    <row r="308" spans="1:20" x14ac:dyDescent="0.25">
      <c r="A308" s="1" t="s">
        <v>38</v>
      </c>
      <c r="B308" s="1">
        <f t="shared" si="247"/>
        <v>5</v>
      </c>
      <c r="C308" s="1">
        <f t="shared" ref="C308:C323" si="248">C307+1</f>
        <v>306</v>
      </c>
      <c r="D308">
        <f t="shared" ref="D308:D323" ca="1" si="249">OFFSET($X$4,$B308,MOD($C308,7),1,1)</f>
        <v>0.42599999999999999</v>
      </c>
      <c r="E308">
        <f t="shared" ref="E308:E323" ca="1" si="250">OFFSET($X$4,$B308,MOD($C308+1,7),1,1)</f>
        <v>0.156</v>
      </c>
      <c r="F308">
        <f t="shared" ref="F308:F323" ca="1" si="251">OFFSET($X$4,$B308,MOD($C308+2,7),1,1)</f>
        <v>4.4999999999999998E-2</v>
      </c>
      <c r="G308">
        <f t="shared" ref="G308:G323" ca="1" si="252">OFFSET($X$4,$B308,MOD($C308+3,7),1,1)</f>
        <v>0.27500000000000002</v>
      </c>
      <c r="H308">
        <f t="shared" ref="H308:H323" ca="1" si="253">OFFSET($X$4,$B308,MOD($C308+4,7),1,1)</f>
        <v>0.57799999999999996</v>
      </c>
      <c r="I308">
        <f t="shared" ref="I308:I323" ca="1" si="254">OFFSET($X$4,$B308,MOD($C308+5,7),1,1)</f>
        <v>0.216</v>
      </c>
      <c r="J308">
        <f t="shared" ref="J308:J323" ca="1" si="255">OFFSET($X$4,$B308,MOD($C308+6,7),1,1)</f>
        <v>0.21099999999999999</v>
      </c>
      <c r="K308">
        <f t="shared" ref="K308:Q323" ca="1" si="256">POWER(PRODUCT(D308:D335),1/28)</f>
        <v>0.63202920203293134</v>
      </c>
      <c r="L308">
        <f t="shared" ca="1" si="256"/>
        <v>0.53494547201492038</v>
      </c>
      <c r="M308">
        <f t="shared" ca="1" si="256"/>
        <v>0</v>
      </c>
      <c r="N308">
        <f t="shared" ca="1" si="256"/>
        <v>0</v>
      </c>
      <c r="O308">
        <f t="shared" ca="1" si="256"/>
        <v>0.58664630555500763</v>
      </c>
      <c r="P308">
        <f t="shared" ca="1" si="256"/>
        <v>0</v>
      </c>
      <c r="Q308">
        <f t="shared" ca="1" si="256"/>
        <v>0</v>
      </c>
      <c r="R308">
        <f t="shared" ref="R308:R323" ca="1" si="257">MAX(K308:Q308)</f>
        <v>0.63202920203293134</v>
      </c>
      <c r="S308">
        <f t="shared" ca="1" si="246"/>
        <v>0</v>
      </c>
      <c r="T308">
        <f t="shared" ref="T308:T323" ca="1" si="258">MAX(S308:S335)</f>
        <v>0</v>
      </c>
    </row>
    <row r="309" spans="1:20" x14ac:dyDescent="0.25">
      <c r="A309" s="1" t="s">
        <v>46</v>
      </c>
      <c r="B309" s="1">
        <f t="shared" si="247"/>
        <v>17</v>
      </c>
      <c r="C309" s="1">
        <f t="shared" si="248"/>
        <v>307</v>
      </c>
      <c r="D309">
        <f t="shared" ca="1" si="249"/>
        <v>0.36</v>
      </c>
      <c r="E309">
        <f t="shared" ca="1" si="250"/>
        <v>1.665</v>
      </c>
      <c r="F309">
        <f t="shared" ca="1" si="251"/>
        <v>0.40300000000000002</v>
      </c>
      <c r="G309">
        <f t="shared" ca="1" si="252"/>
        <v>0.38600000000000001</v>
      </c>
      <c r="H309">
        <f t="shared" ca="1" si="253"/>
        <v>0.94899999999999995</v>
      </c>
      <c r="I309">
        <f t="shared" ca="1" si="254"/>
        <v>0.21099999999999999</v>
      </c>
      <c r="J309">
        <f t="shared" ca="1" si="255"/>
        <v>0.34200000000000003</v>
      </c>
      <c r="K309">
        <f t="shared" ca="1" si="256"/>
        <v>0.64954858382507363</v>
      </c>
      <c r="L309">
        <f t="shared" ca="1" si="256"/>
        <v>0.56222579530255268</v>
      </c>
      <c r="M309">
        <f t="shared" ca="1" si="256"/>
        <v>0</v>
      </c>
      <c r="N309">
        <f t="shared" ca="1" si="256"/>
        <v>0</v>
      </c>
      <c r="O309">
        <f t="shared" ca="1" si="256"/>
        <v>0.59932886342460778</v>
      </c>
      <c r="P309">
        <f t="shared" ca="1" si="256"/>
        <v>0</v>
      </c>
      <c r="Q309">
        <f t="shared" ca="1" si="256"/>
        <v>0</v>
      </c>
      <c r="R309">
        <f t="shared" ca="1" si="257"/>
        <v>0.64954858382507363</v>
      </c>
      <c r="S309">
        <f t="shared" ca="1" si="246"/>
        <v>0</v>
      </c>
      <c r="T309">
        <f t="shared" ca="1" si="258"/>
        <v>0</v>
      </c>
    </row>
    <row r="310" spans="1:20" x14ac:dyDescent="0.25">
      <c r="A310" s="1" t="s">
        <v>34</v>
      </c>
      <c r="B310" s="1">
        <f t="shared" si="247"/>
        <v>9</v>
      </c>
      <c r="C310" s="1">
        <f t="shared" si="248"/>
        <v>308</v>
      </c>
      <c r="D310">
        <f t="shared" ca="1" si="249"/>
        <v>3.1669999999999998</v>
      </c>
      <c r="E310">
        <f t="shared" ca="1" si="250"/>
        <v>0.29699999999999999</v>
      </c>
      <c r="F310">
        <f t="shared" ca="1" si="251"/>
        <v>0.39800000000000002</v>
      </c>
      <c r="G310">
        <f t="shared" ca="1" si="252"/>
        <v>3.9020000000000001</v>
      </c>
      <c r="H310">
        <f t="shared" ca="1" si="253"/>
        <v>0.58499999999999996</v>
      </c>
      <c r="I310">
        <f t="shared" ca="1" si="254"/>
        <v>0.501</v>
      </c>
      <c r="J310">
        <f t="shared" ca="1" si="255"/>
        <v>0.48299999999999998</v>
      </c>
      <c r="K310">
        <f t="shared" ca="1" si="256"/>
        <v>0.57689770798564344</v>
      </c>
      <c r="L310">
        <f t="shared" ca="1" si="256"/>
        <v>0.53974056990862085</v>
      </c>
      <c r="M310">
        <f t="shared" ca="1" si="256"/>
        <v>0</v>
      </c>
      <c r="N310">
        <f t="shared" ca="1" si="256"/>
        <v>0</v>
      </c>
      <c r="O310">
        <f t="shared" ca="1" si="256"/>
        <v>0.59166950447995981</v>
      </c>
      <c r="P310">
        <f t="shared" ca="1" si="256"/>
        <v>0</v>
      </c>
      <c r="Q310">
        <f t="shared" ca="1" si="256"/>
        <v>0</v>
      </c>
      <c r="R310">
        <f t="shared" ca="1" si="257"/>
        <v>0.59166950447995981</v>
      </c>
      <c r="S310">
        <f t="shared" ca="1" si="246"/>
        <v>0</v>
      </c>
      <c r="T310">
        <f t="shared" ca="1" si="258"/>
        <v>0</v>
      </c>
    </row>
    <row r="311" spans="1:20" x14ac:dyDescent="0.25">
      <c r="A311" s="1" t="s">
        <v>31</v>
      </c>
      <c r="B311" s="1">
        <f t="shared" si="247"/>
        <v>0</v>
      </c>
      <c r="C311" s="1">
        <f t="shared" si="248"/>
        <v>309</v>
      </c>
      <c r="D311">
        <f t="shared" ca="1" si="249"/>
        <v>1.5509999999999999</v>
      </c>
      <c r="E311">
        <f t="shared" ca="1" si="250"/>
        <v>1.0840000000000001</v>
      </c>
      <c r="F311">
        <f t="shared" ca="1" si="251"/>
        <v>2.6120000000000001</v>
      </c>
      <c r="G311">
        <f t="shared" ca="1" si="252"/>
        <v>0.377</v>
      </c>
      <c r="H311">
        <f t="shared" ca="1" si="253"/>
        <v>1.284</v>
      </c>
      <c r="I311">
        <f t="shared" ca="1" si="254"/>
        <v>0.877</v>
      </c>
      <c r="J311">
        <f t="shared" ca="1" si="255"/>
        <v>1.2969999999999999</v>
      </c>
      <c r="K311">
        <f t="shared" ca="1" si="256"/>
        <v>0.57689770798564344</v>
      </c>
      <c r="L311">
        <f t="shared" ca="1" si="256"/>
        <v>0.53974056990862085</v>
      </c>
      <c r="M311">
        <f t="shared" ca="1" si="256"/>
        <v>0</v>
      </c>
      <c r="N311">
        <f t="shared" ca="1" si="256"/>
        <v>0</v>
      </c>
      <c r="O311">
        <f t="shared" ca="1" si="256"/>
        <v>0.59166950447995981</v>
      </c>
      <c r="P311">
        <f t="shared" ca="1" si="256"/>
        <v>0</v>
      </c>
      <c r="Q311">
        <f t="shared" ca="1" si="256"/>
        <v>0</v>
      </c>
      <c r="R311">
        <f t="shared" ca="1" si="257"/>
        <v>0.59166950447995981</v>
      </c>
      <c r="S311">
        <f t="shared" ca="1" si="246"/>
        <v>0</v>
      </c>
      <c r="T311">
        <f t="shared" ca="1" si="258"/>
        <v>0</v>
      </c>
    </row>
    <row r="312" spans="1:20" x14ac:dyDescent="0.25">
      <c r="A312" s="1" t="s">
        <v>38</v>
      </c>
      <c r="B312" s="1">
        <f t="shared" si="247"/>
        <v>5</v>
      </c>
      <c r="C312" s="1">
        <f t="shared" si="248"/>
        <v>310</v>
      </c>
      <c r="D312">
        <f t="shared" ca="1" si="249"/>
        <v>0.57799999999999996</v>
      </c>
      <c r="E312">
        <f t="shared" ca="1" si="250"/>
        <v>0.216</v>
      </c>
      <c r="F312">
        <f t="shared" ca="1" si="251"/>
        <v>0.21099999999999999</v>
      </c>
      <c r="G312">
        <f t="shared" ca="1" si="252"/>
        <v>0.42599999999999999</v>
      </c>
      <c r="H312">
        <f t="shared" ca="1" si="253"/>
        <v>0.156</v>
      </c>
      <c r="I312">
        <f t="shared" ca="1" si="254"/>
        <v>4.4999999999999998E-2</v>
      </c>
      <c r="J312">
        <f t="shared" ca="1" si="255"/>
        <v>0.27500000000000002</v>
      </c>
      <c r="K312">
        <f t="shared" ca="1" si="256"/>
        <v>0.5879530614924936</v>
      </c>
      <c r="L312">
        <f t="shared" ca="1" si="256"/>
        <v>0.54919774192913717</v>
      </c>
      <c r="M312">
        <f t="shared" ca="1" si="256"/>
        <v>0</v>
      </c>
      <c r="N312">
        <f t="shared" ca="1" si="256"/>
        <v>0</v>
      </c>
      <c r="O312">
        <f t="shared" ca="1" si="256"/>
        <v>0.60068597461099515</v>
      </c>
      <c r="P312">
        <f t="shared" ca="1" si="256"/>
        <v>0</v>
      </c>
      <c r="Q312">
        <f t="shared" ca="1" si="256"/>
        <v>0</v>
      </c>
      <c r="R312">
        <f t="shared" ca="1" si="257"/>
        <v>0.60068597461099515</v>
      </c>
      <c r="S312">
        <f t="shared" ca="1" si="246"/>
        <v>0</v>
      </c>
      <c r="T312">
        <f t="shared" ca="1" si="258"/>
        <v>0</v>
      </c>
    </row>
    <row r="313" spans="1:20" x14ac:dyDescent="0.25">
      <c r="A313" s="1" t="s">
        <v>40</v>
      </c>
      <c r="B313" s="1">
        <f t="shared" si="247"/>
        <v>6</v>
      </c>
      <c r="C313" s="1">
        <f t="shared" si="248"/>
        <v>311</v>
      </c>
      <c r="D313">
        <f t="shared" ca="1" si="249"/>
        <v>0.39500000000000002</v>
      </c>
      <c r="E313">
        <f t="shared" ca="1" si="250"/>
        <v>0.29399999999999998</v>
      </c>
      <c r="F313">
        <f t="shared" ca="1" si="251"/>
        <v>0.57899999999999996</v>
      </c>
      <c r="G313">
        <f t="shared" ca="1" si="252"/>
        <v>0.21299999999999999</v>
      </c>
      <c r="H313">
        <f t="shared" ca="1" si="253"/>
        <v>0.34699999999999998</v>
      </c>
      <c r="I313">
        <f t="shared" ca="1" si="254"/>
        <v>0.27500000000000002</v>
      </c>
      <c r="J313">
        <f t="shared" ca="1" si="255"/>
        <v>0.67900000000000005</v>
      </c>
      <c r="K313">
        <f t="shared" ca="1" si="256"/>
        <v>0.57721654691380209</v>
      </c>
      <c r="L313">
        <f t="shared" ca="1" si="256"/>
        <v>0.57777707515832222</v>
      </c>
      <c r="M313">
        <f t="shared" ca="1" si="256"/>
        <v>0</v>
      </c>
      <c r="N313">
        <f t="shared" ca="1" si="256"/>
        <v>0</v>
      </c>
      <c r="O313">
        <f t="shared" ca="1" si="256"/>
        <v>0.62288817632389459</v>
      </c>
      <c r="P313">
        <f t="shared" ca="1" si="256"/>
        <v>0</v>
      </c>
      <c r="Q313">
        <f t="shared" ca="1" si="256"/>
        <v>0</v>
      </c>
      <c r="R313">
        <f t="shared" ca="1" si="257"/>
        <v>0.62288817632389459</v>
      </c>
      <c r="S313">
        <f t="shared" ca="1" si="246"/>
        <v>0</v>
      </c>
      <c r="T313">
        <f t="shared" ca="1" si="258"/>
        <v>0</v>
      </c>
    </row>
    <row r="314" spans="1:20" x14ac:dyDescent="0.25">
      <c r="A314" s="1" t="s">
        <v>35</v>
      </c>
      <c r="B314" s="1">
        <f t="shared" si="247"/>
        <v>2</v>
      </c>
      <c r="C314" s="1">
        <f t="shared" si="248"/>
        <v>312</v>
      </c>
      <c r="D314">
        <f t="shared" ca="1" si="249"/>
        <v>0.66300000000000003</v>
      </c>
      <c r="E314">
        <f t="shared" ca="1" si="250"/>
        <v>1.62</v>
      </c>
      <c r="F314">
        <f t="shared" ca="1" si="251"/>
        <v>1.448</v>
      </c>
      <c r="G314">
        <f t="shared" ca="1" si="252"/>
        <v>0.03</v>
      </c>
      <c r="H314">
        <f t="shared" ca="1" si="253"/>
        <v>2.3519999999999999</v>
      </c>
      <c r="I314">
        <f t="shared" ca="1" si="254"/>
        <v>2.2679999999999998</v>
      </c>
      <c r="J314">
        <f t="shared" ca="1" si="255"/>
        <v>0.23699999999999999</v>
      </c>
      <c r="K314">
        <f t="shared" ca="1" si="256"/>
        <v>0.58018459321417548</v>
      </c>
      <c r="L314">
        <f t="shared" ca="1" si="256"/>
        <v>0.5239318687719714</v>
      </c>
      <c r="M314">
        <f t="shared" ca="1" si="256"/>
        <v>0</v>
      </c>
      <c r="N314">
        <f t="shared" ca="1" si="256"/>
        <v>0</v>
      </c>
      <c r="O314">
        <f t="shared" ca="1" si="256"/>
        <v>0.61474015012525074</v>
      </c>
      <c r="P314">
        <f t="shared" ca="1" si="256"/>
        <v>0</v>
      </c>
      <c r="Q314">
        <f t="shared" ca="1" si="256"/>
        <v>0</v>
      </c>
      <c r="R314">
        <f t="shared" ca="1" si="257"/>
        <v>0.61474015012525074</v>
      </c>
      <c r="S314">
        <f t="shared" ca="1" si="246"/>
        <v>0</v>
      </c>
      <c r="T314">
        <f t="shared" ca="1" si="258"/>
        <v>0</v>
      </c>
    </row>
    <row r="315" spans="1:20" x14ac:dyDescent="0.25">
      <c r="A315" s="1" t="s">
        <v>43</v>
      </c>
      <c r="B315" s="1">
        <f t="shared" si="247"/>
        <v>11</v>
      </c>
      <c r="C315" s="1">
        <f t="shared" si="248"/>
        <v>313</v>
      </c>
      <c r="D315">
        <f t="shared" ca="1" si="249"/>
        <v>2.456</v>
      </c>
      <c r="E315">
        <f t="shared" ca="1" si="250"/>
        <v>2.2799999999999998</v>
      </c>
      <c r="F315">
        <f t="shared" ca="1" si="251"/>
        <v>0.83499999999999996</v>
      </c>
      <c r="G315">
        <f t="shared" ca="1" si="252"/>
        <v>1.4750000000000001</v>
      </c>
      <c r="H315">
        <f t="shared" ca="1" si="253"/>
        <v>1.534</v>
      </c>
      <c r="I315">
        <f t="shared" ca="1" si="254"/>
        <v>3.9E-2</v>
      </c>
      <c r="J315">
        <f t="shared" ca="1" si="255"/>
        <v>1.722</v>
      </c>
      <c r="K315">
        <f t="shared" ca="1" si="256"/>
        <v>0.60030293130367207</v>
      </c>
      <c r="L315">
        <f t="shared" ca="1" si="256"/>
        <v>0.53177616029572938</v>
      </c>
      <c r="M315">
        <f t="shared" ca="1" si="256"/>
        <v>0</v>
      </c>
      <c r="N315">
        <f t="shared" ca="1" si="256"/>
        <v>0</v>
      </c>
      <c r="O315">
        <f t="shared" ca="1" si="256"/>
        <v>0.60458065503632663</v>
      </c>
      <c r="P315">
        <f t="shared" ca="1" si="256"/>
        <v>0</v>
      </c>
      <c r="Q315">
        <f t="shared" ca="1" si="256"/>
        <v>0</v>
      </c>
      <c r="R315">
        <f t="shared" ca="1" si="257"/>
        <v>0.60458065503632663</v>
      </c>
      <c r="S315">
        <f t="shared" ca="1" si="246"/>
        <v>0</v>
      </c>
      <c r="T315">
        <f t="shared" ca="1" si="258"/>
        <v>0</v>
      </c>
    </row>
    <row r="316" spans="1:20" x14ac:dyDescent="0.25">
      <c r="A316" s="1" t="s">
        <v>39</v>
      </c>
      <c r="B316" s="1">
        <f t="shared" si="247"/>
        <v>14</v>
      </c>
      <c r="C316" s="1">
        <f t="shared" si="248"/>
        <v>314</v>
      </c>
      <c r="D316">
        <f t="shared" ca="1" si="249"/>
        <v>1.798</v>
      </c>
      <c r="E316">
        <f t="shared" ca="1" si="250"/>
        <v>0.65900000000000003</v>
      </c>
      <c r="F316">
        <f t="shared" ca="1" si="251"/>
        <v>1.163</v>
      </c>
      <c r="G316">
        <f t="shared" ca="1" si="252"/>
        <v>1.21</v>
      </c>
      <c r="H316">
        <f t="shared" ca="1" si="253"/>
        <v>3.1E-2</v>
      </c>
      <c r="I316">
        <f t="shared" ca="1" si="254"/>
        <v>1.3580000000000001</v>
      </c>
      <c r="J316">
        <f t="shared" ca="1" si="255"/>
        <v>1.9370000000000001</v>
      </c>
      <c r="K316" t="e">
        <f t="shared" ca="1" si="256"/>
        <v>#N/A</v>
      </c>
      <c r="L316" t="e">
        <f t="shared" ca="1" si="256"/>
        <v>#N/A</v>
      </c>
      <c r="M316" t="e">
        <f t="shared" ca="1" si="256"/>
        <v>#N/A</v>
      </c>
      <c r="N316" t="e">
        <f t="shared" ca="1" si="256"/>
        <v>#N/A</v>
      </c>
      <c r="O316" t="e">
        <f t="shared" ca="1" si="256"/>
        <v>#N/A</v>
      </c>
      <c r="P316" t="e">
        <f t="shared" ca="1" si="256"/>
        <v>#N/A</v>
      </c>
      <c r="Q316" t="e">
        <f t="shared" ca="1" si="256"/>
        <v>#N/A</v>
      </c>
      <c r="R316" t="e">
        <f t="shared" ca="1" si="257"/>
        <v>#N/A</v>
      </c>
      <c r="S316">
        <f t="shared" ca="1" si="246"/>
        <v>0</v>
      </c>
      <c r="T316" t="e">
        <f t="shared" ca="1" si="258"/>
        <v>#N/A</v>
      </c>
    </row>
    <row r="317" spans="1:20" x14ac:dyDescent="0.25">
      <c r="A317" s="1" t="s">
        <v>46</v>
      </c>
      <c r="B317" s="1">
        <f t="shared" si="247"/>
        <v>17</v>
      </c>
      <c r="C317" s="1">
        <f t="shared" si="248"/>
        <v>315</v>
      </c>
      <c r="D317">
        <f t="shared" ca="1" si="249"/>
        <v>1.665</v>
      </c>
      <c r="E317">
        <f t="shared" ca="1" si="250"/>
        <v>0.40300000000000002</v>
      </c>
      <c r="F317">
        <f t="shared" ca="1" si="251"/>
        <v>0.38600000000000001</v>
      </c>
      <c r="G317">
        <f t="shared" ca="1" si="252"/>
        <v>0.94899999999999995</v>
      </c>
      <c r="H317">
        <f t="shared" ca="1" si="253"/>
        <v>0.21099999999999999</v>
      </c>
      <c r="I317">
        <f t="shared" ca="1" si="254"/>
        <v>0.34200000000000003</v>
      </c>
      <c r="J317">
        <f t="shared" ca="1" si="255"/>
        <v>0.36</v>
      </c>
      <c r="K317" t="e">
        <f t="shared" ca="1" si="256"/>
        <v>#N/A</v>
      </c>
      <c r="L317" t="e">
        <f t="shared" ca="1" si="256"/>
        <v>#N/A</v>
      </c>
      <c r="M317" t="e">
        <f t="shared" ca="1" si="256"/>
        <v>#N/A</v>
      </c>
      <c r="N317" t="e">
        <f t="shared" ca="1" si="256"/>
        <v>#N/A</v>
      </c>
      <c r="O317" t="e">
        <f t="shared" ca="1" si="256"/>
        <v>#N/A</v>
      </c>
      <c r="P317" t="e">
        <f t="shared" ca="1" si="256"/>
        <v>#N/A</v>
      </c>
      <c r="Q317" t="e">
        <f t="shared" ca="1" si="256"/>
        <v>#N/A</v>
      </c>
      <c r="R317" t="e">
        <f t="shared" ca="1" si="257"/>
        <v>#N/A</v>
      </c>
      <c r="S317">
        <f t="shared" ca="1" si="246"/>
        <v>0</v>
      </c>
      <c r="T317" t="e">
        <f t="shared" ca="1" si="258"/>
        <v>#N/A</v>
      </c>
    </row>
    <row r="318" spans="1:20" x14ac:dyDescent="0.25">
      <c r="A318" s="1" t="s">
        <v>30</v>
      </c>
      <c r="B318" s="1">
        <f t="shared" si="247"/>
        <v>15</v>
      </c>
      <c r="C318" s="1">
        <f t="shared" si="248"/>
        <v>316</v>
      </c>
      <c r="D318">
        <f t="shared" ca="1" si="249"/>
        <v>0.58299999999999996</v>
      </c>
      <c r="E318">
        <f t="shared" ca="1" si="250"/>
        <v>1.052</v>
      </c>
      <c r="F318">
        <f t="shared" ca="1" si="251"/>
        <v>0.41899999999999998</v>
      </c>
      <c r="G318">
        <f t="shared" ca="1" si="252"/>
        <v>0.52500000000000002</v>
      </c>
      <c r="H318">
        <f t="shared" ca="1" si="253"/>
        <v>0.91600000000000004</v>
      </c>
      <c r="I318">
        <f t="shared" ca="1" si="254"/>
        <v>0.628</v>
      </c>
      <c r="J318">
        <f t="shared" ca="1" si="255"/>
        <v>0.38200000000000001</v>
      </c>
      <c r="K318" t="e">
        <f t="shared" ca="1" si="256"/>
        <v>#N/A</v>
      </c>
      <c r="L318" t="e">
        <f t="shared" ca="1" si="256"/>
        <v>#N/A</v>
      </c>
      <c r="M318" t="e">
        <f t="shared" ca="1" si="256"/>
        <v>#N/A</v>
      </c>
      <c r="N318" t="e">
        <f t="shared" ca="1" si="256"/>
        <v>#N/A</v>
      </c>
      <c r="O318" t="e">
        <f t="shared" ca="1" si="256"/>
        <v>#N/A</v>
      </c>
      <c r="P318" t="e">
        <f t="shared" ca="1" si="256"/>
        <v>#N/A</v>
      </c>
      <c r="Q318" t="e">
        <f t="shared" ca="1" si="256"/>
        <v>#N/A</v>
      </c>
      <c r="R318" t="e">
        <f t="shared" ca="1" si="257"/>
        <v>#N/A</v>
      </c>
      <c r="S318">
        <f t="shared" ca="1" si="246"/>
        <v>0</v>
      </c>
      <c r="T318" t="e">
        <f t="shared" ca="1" si="258"/>
        <v>#N/A</v>
      </c>
    </row>
    <row r="319" spans="1:20" x14ac:dyDescent="0.25">
      <c r="A319" s="1" t="s">
        <v>33</v>
      </c>
      <c r="B319" s="1">
        <f t="shared" si="247"/>
        <v>1</v>
      </c>
      <c r="C319" s="1">
        <f t="shared" si="248"/>
        <v>317</v>
      </c>
      <c r="D319">
        <f t="shared" ca="1" si="249"/>
        <v>0.308</v>
      </c>
      <c r="E319">
        <f t="shared" ca="1" si="250"/>
        <v>0.152</v>
      </c>
      <c r="F319">
        <f t="shared" ca="1" si="251"/>
        <v>0.18</v>
      </c>
      <c r="G319">
        <f t="shared" ca="1" si="252"/>
        <v>0.156</v>
      </c>
      <c r="H319">
        <f t="shared" ca="1" si="253"/>
        <v>4.3999999999999997E-2</v>
      </c>
      <c r="I319">
        <f t="shared" ca="1" si="254"/>
        <v>0.82399999999999995</v>
      </c>
      <c r="J319">
        <f t="shared" ca="1" si="255"/>
        <v>2.1999999999999999E-2</v>
      </c>
      <c r="K319" t="e">
        <f t="shared" ca="1" si="256"/>
        <v>#N/A</v>
      </c>
      <c r="L319" t="e">
        <f t="shared" ca="1" si="256"/>
        <v>#N/A</v>
      </c>
      <c r="M319" t="e">
        <f t="shared" ca="1" si="256"/>
        <v>#N/A</v>
      </c>
      <c r="N319" t="e">
        <f t="shared" ca="1" si="256"/>
        <v>#N/A</v>
      </c>
      <c r="O319" t="e">
        <f t="shared" ca="1" si="256"/>
        <v>#N/A</v>
      </c>
      <c r="P319" t="e">
        <f t="shared" ca="1" si="256"/>
        <v>#N/A</v>
      </c>
      <c r="Q319" t="e">
        <f t="shared" ca="1" si="256"/>
        <v>#N/A</v>
      </c>
      <c r="R319" t="e">
        <f t="shared" ca="1" si="257"/>
        <v>#N/A</v>
      </c>
      <c r="S319">
        <f t="shared" ref="S319:S334" ca="1" si="259">IF(R292&gt;1.55,1,IF(R292&gt;1.48,0.9,IF(R292&gt;1.4,0.8,IF(R292&gt;1.36666,0.6,IF(R292&gt;1.33333,0.4,IF(R292&gt;1.22,0.2,IF(R292&gt;1,0.1,0)))))))</f>
        <v>0</v>
      </c>
      <c r="T319" t="e">
        <f t="shared" ca="1" si="258"/>
        <v>#N/A</v>
      </c>
    </row>
    <row r="320" spans="1:20" x14ac:dyDescent="0.25">
      <c r="A320" s="1" t="s">
        <v>34</v>
      </c>
      <c r="B320" s="1">
        <f t="shared" si="247"/>
        <v>9</v>
      </c>
      <c r="C320" s="1">
        <f t="shared" si="248"/>
        <v>318</v>
      </c>
      <c r="D320">
        <f t="shared" ca="1" si="249"/>
        <v>3.9020000000000001</v>
      </c>
      <c r="E320">
        <f t="shared" ca="1" si="250"/>
        <v>0.58499999999999996</v>
      </c>
      <c r="F320">
        <f t="shared" ca="1" si="251"/>
        <v>0.501</v>
      </c>
      <c r="G320">
        <f t="shared" ca="1" si="252"/>
        <v>0.48299999999999998</v>
      </c>
      <c r="H320">
        <f t="shared" ca="1" si="253"/>
        <v>3.1669999999999998</v>
      </c>
      <c r="I320">
        <f t="shared" ca="1" si="254"/>
        <v>0.29699999999999999</v>
      </c>
      <c r="J320">
        <f t="shared" ca="1" si="255"/>
        <v>0.39800000000000002</v>
      </c>
      <c r="K320" t="e">
        <f t="shared" ca="1" si="256"/>
        <v>#N/A</v>
      </c>
      <c r="L320" t="e">
        <f t="shared" ca="1" si="256"/>
        <v>#N/A</v>
      </c>
      <c r="M320" t="e">
        <f t="shared" ca="1" si="256"/>
        <v>#N/A</v>
      </c>
      <c r="N320" t="e">
        <f t="shared" ca="1" si="256"/>
        <v>#N/A</v>
      </c>
      <c r="O320" t="e">
        <f t="shared" ca="1" si="256"/>
        <v>#N/A</v>
      </c>
      <c r="P320" t="e">
        <f t="shared" ca="1" si="256"/>
        <v>#N/A</v>
      </c>
      <c r="Q320" t="e">
        <f t="shared" ca="1" si="256"/>
        <v>#N/A</v>
      </c>
      <c r="R320" t="e">
        <f t="shared" ca="1" si="257"/>
        <v>#N/A</v>
      </c>
      <c r="S320">
        <f t="shared" ca="1" si="259"/>
        <v>0</v>
      </c>
      <c r="T320" t="e">
        <f t="shared" ca="1" si="258"/>
        <v>#N/A</v>
      </c>
    </row>
    <row r="321" spans="1:20" x14ac:dyDescent="0.25">
      <c r="A321" s="1" t="s">
        <v>38</v>
      </c>
      <c r="B321" s="1">
        <f t="shared" si="247"/>
        <v>5</v>
      </c>
      <c r="C321" s="1">
        <f t="shared" si="248"/>
        <v>319</v>
      </c>
      <c r="D321">
        <f t="shared" ca="1" si="249"/>
        <v>0.21099999999999999</v>
      </c>
      <c r="E321">
        <f t="shared" ca="1" si="250"/>
        <v>0.42599999999999999</v>
      </c>
      <c r="F321">
        <f t="shared" ca="1" si="251"/>
        <v>0.156</v>
      </c>
      <c r="G321">
        <f t="shared" ca="1" si="252"/>
        <v>4.4999999999999998E-2</v>
      </c>
      <c r="H321">
        <f t="shared" ca="1" si="253"/>
        <v>0.27500000000000002</v>
      </c>
      <c r="I321">
        <f t="shared" ca="1" si="254"/>
        <v>0.57799999999999996</v>
      </c>
      <c r="J321">
        <f t="shared" ca="1" si="255"/>
        <v>0.216</v>
      </c>
      <c r="K321" t="e">
        <f t="shared" ca="1" si="256"/>
        <v>#N/A</v>
      </c>
      <c r="L321" t="e">
        <f t="shared" ca="1" si="256"/>
        <v>#N/A</v>
      </c>
      <c r="M321" t="e">
        <f t="shared" ca="1" si="256"/>
        <v>#N/A</v>
      </c>
      <c r="N321" t="e">
        <f t="shared" ca="1" si="256"/>
        <v>#N/A</v>
      </c>
      <c r="O321" t="e">
        <f t="shared" ca="1" si="256"/>
        <v>#N/A</v>
      </c>
      <c r="P321" t="e">
        <f t="shared" ca="1" si="256"/>
        <v>#N/A</v>
      </c>
      <c r="Q321" t="e">
        <f t="shared" ca="1" si="256"/>
        <v>#N/A</v>
      </c>
      <c r="R321" t="e">
        <f t="shared" ca="1" si="257"/>
        <v>#N/A</v>
      </c>
      <c r="S321">
        <f t="shared" ca="1" si="259"/>
        <v>0</v>
      </c>
      <c r="T321" t="e">
        <f t="shared" ca="1" si="258"/>
        <v>#N/A</v>
      </c>
    </row>
    <row r="322" spans="1:20" x14ac:dyDescent="0.25">
      <c r="A322" s="1" t="s">
        <v>46</v>
      </c>
      <c r="B322" s="1">
        <f t="shared" si="247"/>
        <v>17</v>
      </c>
      <c r="C322" s="1">
        <f t="shared" si="248"/>
        <v>320</v>
      </c>
      <c r="D322">
        <f t="shared" ca="1" si="249"/>
        <v>0.34200000000000003</v>
      </c>
      <c r="E322">
        <f t="shared" ca="1" si="250"/>
        <v>0.36</v>
      </c>
      <c r="F322">
        <f t="shared" ca="1" si="251"/>
        <v>1.665</v>
      </c>
      <c r="G322">
        <f t="shared" ca="1" si="252"/>
        <v>0.40300000000000002</v>
      </c>
      <c r="H322">
        <f t="shared" ca="1" si="253"/>
        <v>0.38600000000000001</v>
      </c>
      <c r="I322">
        <f t="shared" ca="1" si="254"/>
        <v>0.94899999999999995</v>
      </c>
      <c r="J322">
        <f t="shared" ca="1" si="255"/>
        <v>0.21099999999999999</v>
      </c>
      <c r="K322" t="e">
        <f t="shared" ca="1" si="256"/>
        <v>#N/A</v>
      </c>
      <c r="L322" t="e">
        <f t="shared" ca="1" si="256"/>
        <v>#N/A</v>
      </c>
      <c r="M322" t="e">
        <f t="shared" ca="1" si="256"/>
        <v>#N/A</v>
      </c>
      <c r="N322" t="e">
        <f t="shared" ca="1" si="256"/>
        <v>#N/A</v>
      </c>
      <c r="O322" t="e">
        <f t="shared" ca="1" si="256"/>
        <v>#N/A</v>
      </c>
      <c r="P322" t="e">
        <f t="shared" ca="1" si="256"/>
        <v>#N/A</v>
      </c>
      <c r="Q322" t="e">
        <f t="shared" ca="1" si="256"/>
        <v>#N/A</v>
      </c>
      <c r="R322" t="e">
        <f t="shared" ca="1" si="257"/>
        <v>#N/A</v>
      </c>
      <c r="S322">
        <f t="shared" ca="1" si="259"/>
        <v>0</v>
      </c>
      <c r="T322" t="e">
        <f t="shared" ca="1" si="258"/>
        <v>#N/A</v>
      </c>
    </row>
    <row r="323" spans="1:20" x14ac:dyDescent="0.25">
      <c r="A323" s="1" t="s">
        <v>45</v>
      </c>
      <c r="B323" s="1">
        <f t="shared" ref="B323:B338" si="260">LOOKUP($A323,$V$4:$V$23,$W$4:$W$23)</f>
        <v>16</v>
      </c>
      <c r="C323" s="1">
        <f t="shared" si="248"/>
        <v>321</v>
      </c>
      <c r="D323">
        <f t="shared" ca="1" si="249"/>
        <v>0.64700000000000002</v>
      </c>
      <c r="E323">
        <f t="shared" ca="1" si="250"/>
        <v>0.16900000000000001</v>
      </c>
      <c r="F323">
        <f t="shared" ca="1" si="251"/>
        <v>0.70199999999999996</v>
      </c>
      <c r="G323">
        <f t="shared" ca="1" si="252"/>
        <v>0.95499999999999996</v>
      </c>
      <c r="H323">
        <f t="shared" ca="1" si="253"/>
        <v>0.65400000000000003</v>
      </c>
      <c r="I323">
        <f t="shared" ca="1" si="254"/>
        <v>0.79100000000000004</v>
      </c>
      <c r="J323">
        <f t="shared" ca="1" si="255"/>
        <v>0.84299999999999997</v>
      </c>
      <c r="K323" t="e">
        <f t="shared" ca="1" si="256"/>
        <v>#N/A</v>
      </c>
      <c r="L323" t="e">
        <f t="shared" ca="1" si="256"/>
        <v>#N/A</v>
      </c>
      <c r="M323" t="e">
        <f t="shared" ca="1" si="256"/>
        <v>#N/A</v>
      </c>
      <c r="N323" t="e">
        <f t="shared" ca="1" si="256"/>
        <v>#N/A</v>
      </c>
      <c r="O323" t="e">
        <f t="shared" ca="1" si="256"/>
        <v>#N/A</v>
      </c>
      <c r="P323" t="e">
        <f t="shared" ca="1" si="256"/>
        <v>#N/A</v>
      </c>
      <c r="Q323" t="e">
        <f t="shared" ca="1" si="256"/>
        <v>#N/A</v>
      </c>
      <c r="R323" t="e">
        <f t="shared" ca="1" si="257"/>
        <v>#N/A</v>
      </c>
      <c r="S323">
        <f t="shared" ca="1" si="259"/>
        <v>0</v>
      </c>
      <c r="T323" t="e">
        <f t="shared" ca="1" si="258"/>
        <v>#N/A</v>
      </c>
    </row>
    <row r="324" spans="1:20" x14ac:dyDescent="0.25">
      <c r="A324" s="1" t="s">
        <v>35</v>
      </c>
      <c r="B324" s="1">
        <f t="shared" si="260"/>
        <v>2</v>
      </c>
      <c r="C324" s="1">
        <f t="shared" ref="C324:C339" si="261">C323+1</f>
        <v>322</v>
      </c>
      <c r="D324">
        <f t="shared" ref="D324:D339" ca="1" si="262">OFFSET($X$4,$B324,MOD($C324,7),1,1)</f>
        <v>0.03</v>
      </c>
      <c r="E324">
        <f t="shared" ref="E324:E339" ca="1" si="263">OFFSET($X$4,$B324,MOD($C324+1,7),1,1)</f>
        <v>2.3519999999999999</v>
      </c>
      <c r="F324">
        <f t="shared" ref="F324:F339" ca="1" si="264">OFFSET($X$4,$B324,MOD($C324+2,7),1,1)</f>
        <v>2.2679999999999998</v>
      </c>
      <c r="G324">
        <f t="shared" ref="G324:G339" ca="1" si="265">OFFSET($X$4,$B324,MOD($C324+3,7),1,1)</f>
        <v>0.23699999999999999</v>
      </c>
      <c r="H324">
        <f t="shared" ref="H324:H339" ca="1" si="266">OFFSET($X$4,$B324,MOD($C324+4,7),1,1)</f>
        <v>0.66300000000000003</v>
      </c>
      <c r="I324">
        <f t="shared" ref="I324:I339" ca="1" si="267">OFFSET($X$4,$B324,MOD($C324+5,7),1,1)</f>
        <v>1.62</v>
      </c>
      <c r="J324">
        <f t="shared" ref="J324:J339" ca="1" si="268">OFFSET($X$4,$B324,MOD($C324+6,7),1,1)</f>
        <v>1.448</v>
      </c>
      <c r="K324" t="e">
        <f t="shared" ref="K324:Q339" ca="1" si="269">POWER(PRODUCT(D324:D351),1/28)</f>
        <v>#N/A</v>
      </c>
      <c r="L324" t="e">
        <f t="shared" ca="1" si="269"/>
        <v>#N/A</v>
      </c>
      <c r="M324" t="e">
        <f t="shared" ca="1" si="269"/>
        <v>#N/A</v>
      </c>
      <c r="N324" t="e">
        <f t="shared" ca="1" si="269"/>
        <v>#N/A</v>
      </c>
      <c r="O324" t="e">
        <f t="shared" ca="1" si="269"/>
        <v>#N/A</v>
      </c>
      <c r="P324" t="e">
        <f t="shared" ca="1" si="269"/>
        <v>#N/A</v>
      </c>
      <c r="Q324" t="e">
        <f t="shared" ca="1" si="269"/>
        <v>#N/A</v>
      </c>
      <c r="R324" t="e">
        <f t="shared" ref="R324:R339" ca="1" si="270">MAX(K324:Q324)</f>
        <v>#N/A</v>
      </c>
      <c r="S324">
        <f t="shared" ca="1" si="259"/>
        <v>0</v>
      </c>
      <c r="T324" t="e">
        <f t="shared" ref="T324:T339" ca="1" si="271">MAX(S324:S351)</f>
        <v>#N/A</v>
      </c>
    </row>
    <row r="325" spans="1:20" x14ac:dyDescent="0.25">
      <c r="A325" s="1" t="s">
        <v>35</v>
      </c>
      <c r="B325" s="1">
        <f t="shared" si="260"/>
        <v>2</v>
      </c>
      <c r="C325" s="1">
        <f t="shared" si="261"/>
        <v>323</v>
      </c>
      <c r="D325">
        <f t="shared" ca="1" si="262"/>
        <v>2.3519999999999999</v>
      </c>
      <c r="E325">
        <f t="shared" ca="1" si="263"/>
        <v>2.2679999999999998</v>
      </c>
      <c r="F325">
        <f t="shared" ca="1" si="264"/>
        <v>0.23699999999999999</v>
      </c>
      <c r="G325">
        <f t="shared" ca="1" si="265"/>
        <v>0.66300000000000003</v>
      </c>
      <c r="H325">
        <f t="shared" ca="1" si="266"/>
        <v>1.62</v>
      </c>
      <c r="I325">
        <f t="shared" ca="1" si="267"/>
        <v>1.448</v>
      </c>
      <c r="J325">
        <f t="shared" ca="1" si="268"/>
        <v>0.03</v>
      </c>
      <c r="K325" t="e">
        <f t="shared" ca="1" si="269"/>
        <v>#N/A</v>
      </c>
      <c r="L325" t="e">
        <f t="shared" ca="1" si="269"/>
        <v>#N/A</v>
      </c>
      <c r="M325" t="e">
        <f t="shared" ca="1" si="269"/>
        <v>#N/A</v>
      </c>
      <c r="N325" t="e">
        <f t="shared" ca="1" si="269"/>
        <v>#N/A</v>
      </c>
      <c r="O325" t="e">
        <f t="shared" ca="1" si="269"/>
        <v>#N/A</v>
      </c>
      <c r="P325" t="e">
        <f t="shared" ca="1" si="269"/>
        <v>#N/A</v>
      </c>
      <c r="Q325" t="e">
        <f t="shared" ca="1" si="269"/>
        <v>#N/A</v>
      </c>
      <c r="R325" t="e">
        <f t="shared" ca="1" si="270"/>
        <v>#N/A</v>
      </c>
      <c r="S325">
        <f t="shared" ca="1" si="259"/>
        <v>0</v>
      </c>
      <c r="T325" t="e">
        <f t="shared" ca="1" si="271"/>
        <v>#N/A</v>
      </c>
    </row>
    <row r="326" spans="1:20" x14ac:dyDescent="0.25">
      <c r="A326" s="1" t="s">
        <v>38</v>
      </c>
      <c r="B326" s="1">
        <f t="shared" si="260"/>
        <v>5</v>
      </c>
      <c r="C326" s="1">
        <f t="shared" si="261"/>
        <v>324</v>
      </c>
      <c r="D326">
        <f t="shared" ca="1" si="262"/>
        <v>0.57799999999999996</v>
      </c>
      <c r="E326">
        <f t="shared" ca="1" si="263"/>
        <v>0.216</v>
      </c>
      <c r="F326">
        <f t="shared" ca="1" si="264"/>
        <v>0.21099999999999999</v>
      </c>
      <c r="G326">
        <f t="shared" ca="1" si="265"/>
        <v>0.42599999999999999</v>
      </c>
      <c r="H326">
        <f t="shared" ca="1" si="266"/>
        <v>0.156</v>
      </c>
      <c r="I326">
        <f t="shared" ca="1" si="267"/>
        <v>4.4999999999999998E-2</v>
      </c>
      <c r="J326">
        <f t="shared" ca="1" si="268"/>
        <v>0.27500000000000002</v>
      </c>
      <c r="K326" t="e">
        <f t="shared" ca="1" si="269"/>
        <v>#N/A</v>
      </c>
      <c r="L326" t="e">
        <f t="shared" ca="1" si="269"/>
        <v>#N/A</v>
      </c>
      <c r="M326" t="e">
        <f t="shared" ca="1" si="269"/>
        <v>#N/A</v>
      </c>
      <c r="N326" t="e">
        <f t="shared" ca="1" si="269"/>
        <v>#N/A</v>
      </c>
      <c r="O326" t="e">
        <f t="shared" ca="1" si="269"/>
        <v>#N/A</v>
      </c>
      <c r="P326" t="e">
        <f t="shared" ca="1" si="269"/>
        <v>#N/A</v>
      </c>
      <c r="Q326" t="e">
        <f t="shared" ca="1" si="269"/>
        <v>#N/A</v>
      </c>
      <c r="R326" t="e">
        <f t="shared" ca="1" si="270"/>
        <v>#N/A</v>
      </c>
      <c r="S326">
        <f t="shared" ca="1" si="259"/>
        <v>0</v>
      </c>
      <c r="T326" t="e">
        <f t="shared" ca="1" si="271"/>
        <v>#N/A</v>
      </c>
    </row>
    <row r="327" spans="1:20" x14ac:dyDescent="0.25">
      <c r="A327" s="1" t="s">
        <v>22</v>
      </c>
      <c r="B327" s="1">
        <f t="shared" si="260"/>
        <v>10</v>
      </c>
      <c r="C327" s="1">
        <f t="shared" si="261"/>
        <v>325</v>
      </c>
      <c r="D327">
        <f t="shared" ca="1" si="262"/>
        <v>1.409</v>
      </c>
      <c r="E327">
        <f t="shared" ca="1" si="263"/>
        <v>0.54100000000000004</v>
      </c>
      <c r="F327">
        <f t="shared" ca="1" si="264"/>
        <v>0.77200000000000002</v>
      </c>
      <c r="G327">
        <f t="shared" ca="1" si="265"/>
        <v>0.66300000000000003</v>
      </c>
      <c r="H327">
        <f t="shared" ca="1" si="266"/>
        <v>2.2400000000000002</v>
      </c>
      <c r="I327">
        <f t="shared" ca="1" si="267"/>
        <v>0.37</v>
      </c>
      <c r="J327">
        <f t="shared" ca="1" si="268"/>
        <v>0.48</v>
      </c>
      <c r="K327" t="e">
        <f t="shared" ca="1" si="269"/>
        <v>#N/A</v>
      </c>
      <c r="L327" t="e">
        <f t="shared" ca="1" si="269"/>
        <v>#N/A</v>
      </c>
      <c r="M327" t="e">
        <f t="shared" ca="1" si="269"/>
        <v>#N/A</v>
      </c>
      <c r="N327" t="e">
        <f t="shared" ca="1" si="269"/>
        <v>#N/A</v>
      </c>
      <c r="O327" t="e">
        <f t="shared" ca="1" si="269"/>
        <v>#N/A</v>
      </c>
      <c r="P327" t="e">
        <f t="shared" ca="1" si="269"/>
        <v>#N/A</v>
      </c>
      <c r="Q327" t="e">
        <f t="shared" ca="1" si="269"/>
        <v>#N/A</v>
      </c>
      <c r="R327" t="e">
        <f t="shared" ca="1" si="270"/>
        <v>#N/A</v>
      </c>
      <c r="S327">
        <f t="shared" ca="1" si="259"/>
        <v>0</v>
      </c>
      <c r="T327" t="e">
        <f t="shared" ca="1" si="271"/>
        <v>#N/A</v>
      </c>
    </row>
    <row r="328" spans="1:20" x14ac:dyDescent="0.25">
      <c r="A328" s="1" t="s">
        <v>31</v>
      </c>
      <c r="B328" s="1">
        <f t="shared" si="260"/>
        <v>0</v>
      </c>
      <c r="C328" s="1">
        <f t="shared" si="261"/>
        <v>326</v>
      </c>
      <c r="D328">
        <f t="shared" ca="1" si="262"/>
        <v>0.377</v>
      </c>
      <c r="E328">
        <f t="shared" ca="1" si="263"/>
        <v>1.284</v>
      </c>
      <c r="F328">
        <f t="shared" ca="1" si="264"/>
        <v>0.877</v>
      </c>
      <c r="G328">
        <f t="shared" ca="1" si="265"/>
        <v>1.2969999999999999</v>
      </c>
      <c r="H328">
        <f t="shared" ca="1" si="266"/>
        <v>1.5509999999999999</v>
      </c>
      <c r="I328">
        <f t="shared" ca="1" si="267"/>
        <v>1.0840000000000001</v>
      </c>
      <c r="J328">
        <f t="shared" ca="1" si="268"/>
        <v>2.6120000000000001</v>
      </c>
      <c r="K328" t="e">
        <f t="shared" ca="1" si="269"/>
        <v>#N/A</v>
      </c>
      <c r="L328" t="e">
        <f t="shared" ca="1" si="269"/>
        <v>#N/A</v>
      </c>
      <c r="M328" t="e">
        <f t="shared" ca="1" si="269"/>
        <v>#N/A</v>
      </c>
      <c r="N328" t="e">
        <f t="shared" ca="1" si="269"/>
        <v>#N/A</v>
      </c>
      <c r="O328" t="e">
        <f t="shared" ca="1" si="269"/>
        <v>#N/A</v>
      </c>
      <c r="P328" t="e">
        <f t="shared" ca="1" si="269"/>
        <v>#N/A</v>
      </c>
      <c r="Q328" t="e">
        <f t="shared" ca="1" si="269"/>
        <v>#N/A</v>
      </c>
      <c r="R328" t="e">
        <f t="shared" ca="1" si="270"/>
        <v>#N/A</v>
      </c>
      <c r="S328">
        <f t="shared" ca="1" si="259"/>
        <v>0</v>
      </c>
      <c r="T328" t="e">
        <f t="shared" ca="1" si="271"/>
        <v>#N/A</v>
      </c>
    </row>
    <row r="329" spans="1:20" x14ac:dyDescent="0.25">
      <c r="A329" s="1" t="s">
        <v>46</v>
      </c>
      <c r="B329" s="1">
        <f t="shared" si="260"/>
        <v>17</v>
      </c>
      <c r="C329" s="1">
        <f t="shared" si="261"/>
        <v>327</v>
      </c>
      <c r="D329">
        <f t="shared" ca="1" si="262"/>
        <v>0.34200000000000003</v>
      </c>
      <c r="E329">
        <f t="shared" ca="1" si="263"/>
        <v>0.36</v>
      </c>
      <c r="F329">
        <f t="shared" ca="1" si="264"/>
        <v>1.665</v>
      </c>
      <c r="G329">
        <f t="shared" ca="1" si="265"/>
        <v>0.40300000000000002</v>
      </c>
      <c r="H329">
        <f t="shared" ca="1" si="266"/>
        <v>0.38600000000000001</v>
      </c>
      <c r="I329">
        <f t="shared" ca="1" si="267"/>
        <v>0.94899999999999995</v>
      </c>
      <c r="J329">
        <f t="shared" ca="1" si="268"/>
        <v>0.21099999999999999</v>
      </c>
      <c r="K329" t="e">
        <f t="shared" ca="1" si="269"/>
        <v>#N/A</v>
      </c>
      <c r="L329" t="e">
        <f t="shared" ca="1" si="269"/>
        <v>#N/A</v>
      </c>
      <c r="M329" t="e">
        <f t="shared" ca="1" si="269"/>
        <v>#N/A</v>
      </c>
      <c r="N329" t="e">
        <f t="shared" ca="1" si="269"/>
        <v>#N/A</v>
      </c>
      <c r="O329" t="e">
        <f t="shared" ca="1" si="269"/>
        <v>#N/A</v>
      </c>
      <c r="P329" t="e">
        <f t="shared" ca="1" si="269"/>
        <v>#N/A</v>
      </c>
      <c r="Q329" t="e">
        <f t="shared" ca="1" si="269"/>
        <v>#N/A</v>
      </c>
      <c r="R329" t="e">
        <f t="shared" ca="1" si="270"/>
        <v>#N/A</v>
      </c>
      <c r="S329">
        <f t="shared" ca="1" si="259"/>
        <v>0</v>
      </c>
      <c r="T329" t="e">
        <f t="shared" ca="1" si="271"/>
        <v>#N/A</v>
      </c>
    </row>
    <row r="330" spans="1:20" x14ac:dyDescent="0.25">
      <c r="A330" s="1" t="s">
        <v>31</v>
      </c>
      <c r="B330" s="1">
        <f t="shared" si="260"/>
        <v>0</v>
      </c>
      <c r="C330" s="1">
        <f t="shared" si="261"/>
        <v>328</v>
      </c>
      <c r="D330">
        <f t="shared" ca="1" si="262"/>
        <v>0.877</v>
      </c>
      <c r="E330">
        <f t="shared" ca="1" si="263"/>
        <v>1.2969999999999999</v>
      </c>
      <c r="F330">
        <f t="shared" ca="1" si="264"/>
        <v>1.5509999999999999</v>
      </c>
      <c r="G330">
        <f t="shared" ca="1" si="265"/>
        <v>1.0840000000000001</v>
      </c>
      <c r="H330">
        <f t="shared" ca="1" si="266"/>
        <v>2.6120000000000001</v>
      </c>
      <c r="I330">
        <f t="shared" ca="1" si="267"/>
        <v>0.377</v>
      </c>
      <c r="J330">
        <f t="shared" ca="1" si="268"/>
        <v>1.284</v>
      </c>
      <c r="K330" t="e">
        <f t="shared" ca="1" si="269"/>
        <v>#N/A</v>
      </c>
      <c r="L330" t="e">
        <f t="shared" ca="1" si="269"/>
        <v>#N/A</v>
      </c>
      <c r="M330" t="e">
        <f t="shared" ca="1" si="269"/>
        <v>#N/A</v>
      </c>
      <c r="N330" t="e">
        <f t="shared" ca="1" si="269"/>
        <v>#N/A</v>
      </c>
      <c r="O330" t="e">
        <f t="shared" ca="1" si="269"/>
        <v>#N/A</v>
      </c>
      <c r="P330" t="e">
        <f t="shared" ca="1" si="269"/>
        <v>#N/A</v>
      </c>
      <c r="Q330" t="e">
        <f t="shared" ca="1" si="269"/>
        <v>#N/A</v>
      </c>
      <c r="R330" t="e">
        <f t="shared" ca="1" si="270"/>
        <v>#N/A</v>
      </c>
      <c r="S330">
        <f t="shared" ca="1" si="259"/>
        <v>0</v>
      </c>
      <c r="T330" t="e">
        <f t="shared" ca="1" si="271"/>
        <v>#N/A</v>
      </c>
    </row>
    <row r="331" spans="1:20" x14ac:dyDescent="0.25">
      <c r="A331" s="1" t="s">
        <v>45</v>
      </c>
      <c r="B331" s="1">
        <f t="shared" si="260"/>
        <v>16</v>
      </c>
      <c r="C331" s="1">
        <f t="shared" si="261"/>
        <v>329</v>
      </c>
      <c r="D331">
        <f t="shared" ca="1" si="262"/>
        <v>0.16900000000000001</v>
      </c>
      <c r="E331">
        <f t="shared" ca="1" si="263"/>
        <v>0.70199999999999996</v>
      </c>
      <c r="F331">
        <f t="shared" ca="1" si="264"/>
        <v>0.95499999999999996</v>
      </c>
      <c r="G331">
        <f t="shared" ca="1" si="265"/>
        <v>0.65400000000000003</v>
      </c>
      <c r="H331">
        <f t="shared" ca="1" si="266"/>
        <v>0.79100000000000004</v>
      </c>
      <c r="I331">
        <f t="shared" ca="1" si="267"/>
        <v>0.84299999999999997</v>
      </c>
      <c r="J331">
        <f t="shared" ca="1" si="268"/>
        <v>0.64700000000000002</v>
      </c>
      <c r="K331" t="e">
        <f t="shared" ca="1" si="269"/>
        <v>#N/A</v>
      </c>
      <c r="L331" t="e">
        <f t="shared" ca="1" si="269"/>
        <v>#N/A</v>
      </c>
      <c r="M331" t="e">
        <f t="shared" ca="1" si="269"/>
        <v>#N/A</v>
      </c>
      <c r="N331" t="e">
        <f t="shared" ca="1" si="269"/>
        <v>#N/A</v>
      </c>
      <c r="O331" t="e">
        <f t="shared" ca="1" si="269"/>
        <v>#N/A</v>
      </c>
      <c r="P331" t="e">
        <f t="shared" ca="1" si="269"/>
        <v>#N/A</v>
      </c>
      <c r="Q331" t="e">
        <f t="shared" ca="1" si="269"/>
        <v>#N/A</v>
      </c>
      <c r="R331" t="e">
        <f t="shared" ca="1" si="270"/>
        <v>#N/A</v>
      </c>
      <c r="S331">
        <f t="shared" ca="1" si="259"/>
        <v>0</v>
      </c>
      <c r="T331" t="e">
        <f t="shared" ca="1" si="271"/>
        <v>#N/A</v>
      </c>
    </row>
    <row r="332" spans="1:20" x14ac:dyDescent="0.25">
      <c r="A332" s="1" t="s">
        <v>38</v>
      </c>
      <c r="B332" s="1">
        <f t="shared" si="260"/>
        <v>5</v>
      </c>
      <c r="C332" s="1">
        <f t="shared" si="261"/>
        <v>330</v>
      </c>
      <c r="D332">
        <f t="shared" ca="1" si="262"/>
        <v>0.27500000000000002</v>
      </c>
      <c r="E332">
        <f t="shared" ca="1" si="263"/>
        <v>0.57799999999999996</v>
      </c>
      <c r="F332">
        <f t="shared" ca="1" si="264"/>
        <v>0.216</v>
      </c>
      <c r="G332">
        <f t="shared" ca="1" si="265"/>
        <v>0.21099999999999999</v>
      </c>
      <c r="H332">
        <f t="shared" ca="1" si="266"/>
        <v>0.42599999999999999</v>
      </c>
      <c r="I332">
        <f t="shared" ca="1" si="267"/>
        <v>0.156</v>
      </c>
      <c r="J332">
        <f t="shared" ca="1" si="268"/>
        <v>4.4999999999999998E-2</v>
      </c>
      <c r="K332" t="e">
        <f t="shared" ca="1" si="269"/>
        <v>#N/A</v>
      </c>
      <c r="L332" t="e">
        <f t="shared" ca="1" si="269"/>
        <v>#N/A</v>
      </c>
      <c r="M332" t="e">
        <f t="shared" ca="1" si="269"/>
        <v>#N/A</v>
      </c>
      <c r="N332" t="e">
        <f t="shared" ca="1" si="269"/>
        <v>#N/A</v>
      </c>
      <c r="O332" t="e">
        <f t="shared" ca="1" si="269"/>
        <v>#N/A</v>
      </c>
      <c r="P332" t="e">
        <f t="shared" ca="1" si="269"/>
        <v>#N/A</v>
      </c>
      <c r="Q332" t="e">
        <f t="shared" ca="1" si="269"/>
        <v>#N/A</v>
      </c>
      <c r="R332" t="e">
        <f t="shared" ca="1" si="270"/>
        <v>#N/A</v>
      </c>
      <c r="S332">
        <f t="shared" ca="1" si="259"/>
        <v>0</v>
      </c>
      <c r="T332" t="e">
        <f t="shared" ca="1" si="271"/>
        <v>#N/A</v>
      </c>
    </row>
    <row r="333" spans="1:20" x14ac:dyDescent="0.25">
      <c r="A333" s="1" t="s">
        <v>30</v>
      </c>
      <c r="B333" s="1">
        <f t="shared" si="260"/>
        <v>15</v>
      </c>
      <c r="C333" s="1">
        <f t="shared" si="261"/>
        <v>331</v>
      </c>
      <c r="D333">
        <f t="shared" ca="1" si="262"/>
        <v>1.052</v>
      </c>
      <c r="E333">
        <f t="shared" ca="1" si="263"/>
        <v>0.41899999999999998</v>
      </c>
      <c r="F333">
        <f t="shared" ca="1" si="264"/>
        <v>0.52500000000000002</v>
      </c>
      <c r="G333">
        <f t="shared" ca="1" si="265"/>
        <v>0.91600000000000004</v>
      </c>
      <c r="H333">
        <f t="shared" ca="1" si="266"/>
        <v>0.628</v>
      </c>
      <c r="I333">
        <f t="shared" ca="1" si="267"/>
        <v>0.38200000000000001</v>
      </c>
      <c r="J333">
        <f t="shared" ca="1" si="268"/>
        <v>0.58299999999999996</v>
      </c>
      <c r="K333" t="e">
        <f t="shared" ca="1" si="269"/>
        <v>#N/A</v>
      </c>
      <c r="L333" t="e">
        <f t="shared" ca="1" si="269"/>
        <v>#N/A</v>
      </c>
      <c r="M333" t="e">
        <f t="shared" ca="1" si="269"/>
        <v>#N/A</v>
      </c>
      <c r="N333" t="e">
        <f t="shared" ca="1" si="269"/>
        <v>#N/A</v>
      </c>
      <c r="O333" t="e">
        <f t="shared" ca="1" si="269"/>
        <v>#N/A</v>
      </c>
      <c r="P333" t="e">
        <f t="shared" ca="1" si="269"/>
        <v>#N/A</v>
      </c>
      <c r="Q333" t="e">
        <f t="shared" ca="1" si="269"/>
        <v>#N/A</v>
      </c>
      <c r="R333" t="e">
        <f t="shared" ca="1" si="270"/>
        <v>#N/A</v>
      </c>
      <c r="S333">
        <f t="shared" ca="1" si="259"/>
        <v>0</v>
      </c>
      <c r="T333" t="e">
        <f t="shared" ca="1" si="271"/>
        <v>#N/A</v>
      </c>
    </row>
    <row r="334" spans="1:20" x14ac:dyDescent="0.25">
      <c r="A334" s="1" t="s">
        <v>47</v>
      </c>
      <c r="B334" s="1">
        <f t="shared" si="260"/>
        <v>18</v>
      </c>
      <c r="C334" s="1">
        <f t="shared" si="261"/>
        <v>332</v>
      </c>
      <c r="D334">
        <f t="shared" ca="1" si="262"/>
        <v>0.45600000000000002</v>
      </c>
      <c r="E334">
        <f t="shared" ca="1" si="263"/>
        <v>1.9E-2</v>
      </c>
      <c r="F334">
        <f t="shared" ca="1" si="264"/>
        <v>0</v>
      </c>
      <c r="G334">
        <f t="shared" ca="1" si="265"/>
        <v>0</v>
      </c>
      <c r="H334">
        <f t="shared" ca="1" si="266"/>
        <v>0.24</v>
      </c>
      <c r="I334">
        <f t="shared" ca="1" si="267"/>
        <v>0</v>
      </c>
      <c r="J334">
        <f t="shared" ca="1" si="268"/>
        <v>0</v>
      </c>
      <c r="K334" t="e">
        <f t="shared" ca="1" si="269"/>
        <v>#N/A</v>
      </c>
      <c r="L334" t="e">
        <f t="shared" ca="1" si="269"/>
        <v>#N/A</v>
      </c>
      <c r="M334" t="e">
        <f t="shared" ca="1" si="269"/>
        <v>#N/A</v>
      </c>
      <c r="N334" t="e">
        <f t="shared" ca="1" si="269"/>
        <v>#N/A</v>
      </c>
      <c r="O334" t="e">
        <f t="shared" ca="1" si="269"/>
        <v>#N/A</v>
      </c>
      <c r="P334" t="e">
        <f t="shared" ca="1" si="269"/>
        <v>#N/A</v>
      </c>
      <c r="Q334" t="e">
        <f t="shared" ca="1" si="269"/>
        <v>#N/A</v>
      </c>
      <c r="R334" t="e">
        <f t="shared" ca="1" si="270"/>
        <v>#N/A</v>
      </c>
      <c r="S334">
        <f t="shared" ca="1" si="259"/>
        <v>0</v>
      </c>
      <c r="T334" t="e">
        <f t="shared" ca="1" si="271"/>
        <v>#N/A</v>
      </c>
    </row>
    <row r="335" spans="1:20" x14ac:dyDescent="0.25">
      <c r="A335" s="1" t="s">
        <v>35</v>
      </c>
      <c r="B335" s="1">
        <f t="shared" si="260"/>
        <v>2</v>
      </c>
      <c r="C335" s="1">
        <f t="shared" si="261"/>
        <v>333</v>
      </c>
      <c r="D335">
        <f t="shared" ca="1" si="262"/>
        <v>0.66300000000000003</v>
      </c>
      <c r="E335">
        <f t="shared" ca="1" si="263"/>
        <v>1.62</v>
      </c>
      <c r="F335">
        <f t="shared" ca="1" si="264"/>
        <v>1.448</v>
      </c>
      <c r="G335">
        <f t="shared" ca="1" si="265"/>
        <v>0.03</v>
      </c>
      <c r="H335">
        <f t="shared" ca="1" si="266"/>
        <v>2.3519999999999999</v>
      </c>
      <c r="I335">
        <f t="shared" ca="1" si="267"/>
        <v>2.2679999999999998</v>
      </c>
      <c r="J335">
        <f t="shared" ca="1" si="268"/>
        <v>0.23699999999999999</v>
      </c>
      <c r="K335" t="e">
        <f t="shared" ca="1" si="269"/>
        <v>#N/A</v>
      </c>
      <c r="L335" t="e">
        <f t="shared" ca="1" si="269"/>
        <v>#N/A</v>
      </c>
      <c r="M335" t="e">
        <f t="shared" ca="1" si="269"/>
        <v>#N/A</v>
      </c>
      <c r="N335" t="e">
        <f t="shared" ca="1" si="269"/>
        <v>#N/A</v>
      </c>
      <c r="O335" t="e">
        <f t="shared" ca="1" si="269"/>
        <v>#N/A</v>
      </c>
      <c r="P335" t="e">
        <f t="shared" ca="1" si="269"/>
        <v>#N/A</v>
      </c>
      <c r="Q335" t="e">
        <f t="shared" ca="1" si="269"/>
        <v>#N/A</v>
      </c>
      <c r="R335" t="e">
        <f t="shared" ca="1" si="270"/>
        <v>#N/A</v>
      </c>
      <c r="S335">
        <f t="shared" ref="S335:S350" ca="1" si="272">IF(R308&gt;1.55,1,IF(R308&gt;1.48,0.9,IF(R308&gt;1.4,0.8,IF(R308&gt;1.36666,0.6,IF(R308&gt;1.33333,0.4,IF(R308&gt;1.22,0.2,IF(R308&gt;1,0.1,0)))))))</f>
        <v>0</v>
      </c>
      <c r="T335" t="e">
        <f t="shared" ca="1" si="271"/>
        <v>#N/A</v>
      </c>
    </row>
    <row r="336" spans="1:20" x14ac:dyDescent="0.25">
      <c r="A336" s="1" t="s">
        <v>30</v>
      </c>
      <c r="B336" s="1">
        <f t="shared" si="260"/>
        <v>15</v>
      </c>
      <c r="C336" s="1">
        <f t="shared" si="261"/>
        <v>334</v>
      </c>
      <c r="D336">
        <f t="shared" ca="1" si="262"/>
        <v>0.91600000000000004</v>
      </c>
      <c r="E336">
        <f t="shared" ca="1" si="263"/>
        <v>0.628</v>
      </c>
      <c r="F336">
        <f t="shared" ca="1" si="264"/>
        <v>0.38200000000000001</v>
      </c>
      <c r="G336">
        <f t="shared" ca="1" si="265"/>
        <v>0.58299999999999996</v>
      </c>
      <c r="H336">
        <f t="shared" ca="1" si="266"/>
        <v>1.052</v>
      </c>
      <c r="I336">
        <f t="shared" ca="1" si="267"/>
        <v>0.41899999999999998</v>
      </c>
      <c r="J336">
        <f t="shared" ca="1" si="268"/>
        <v>0.52500000000000002</v>
      </c>
      <c r="K336" t="e">
        <f t="shared" ca="1" si="269"/>
        <v>#N/A</v>
      </c>
      <c r="L336" t="e">
        <f t="shared" ca="1" si="269"/>
        <v>#N/A</v>
      </c>
      <c r="M336" t="e">
        <f t="shared" ca="1" si="269"/>
        <v>#N/A</v>
      </c>
      <c r="N336" t="e">
        <f t="shared" ca="1" si="269"/>
        <v>#N/A</v>
      </c>
      <c r="O336" t="e">
        <f t="shared" ca="1" si="269"/>
        <v>#N/A</v>
      </c>
      <c r="P336" t="e">
        <f t="shared" ca="1" si="269"/>
        <v>#N/A</v>
      </c>
      <c r="Q336" t="e">
        <f t="shared" ca="1" si="269"/>
        <v>#N/A</v>
      </c>
      <c r="R336" t="e">
        <f t="shared" ca="1" si="270"/>
        <v>#N/A</v>
      </c>
      <c r="S336">
        <f t="shared" ca="1" si="272"/>
        <v>0</v>
      </c>
      <c r="T336" t="e">
        <f t="shared" ca="1" si="271"/>
        <v>#N/A</v>
      </c>
    </row>
    <row r="337" spans="1:20" x14ac:dyDescent="0.25">
      <c r="A337" s="1" t="s">
        <v>37</v>
      </c>
      <c r="B337" s="1">
        <f t="shared" si="260"/>
        <v>4</v>
      </c>
      <c r="C337" s="1">
        <f t="shared" si="261"/>
        <v>335</v>
      </c>
      <c r="D337">
        <f t="shared" ca="1" si="262"/>
        <v>1.2999999999999999E-2</v>
      </c>
      <c r="E337">
        <f t="shared" ca="1" si="263"/>
        <v>0.53100000000000003</v>
      </c>
      <c r="F337">
        <f t="shared" ca="1" si="264"/>
        <v>7.5999999999999998E-2</v>
      </c>
      <c r="G337">
        <f t="shared" ca="1" si="265"/>
        <v>0.40300000000000002</v>
      </c>
      <c r="H337">
        <f t="shared" ca="1" si="266"/>
        <v>0.66200000000000003</v>
      </c>
      <c r="I337">
        <f t="shared" ca="1" si="267"/>
        <v>0.189</v>
      </c>
      <c r="J337">
        <f t="shared" ca="1" si="268"/>
        <v>0.106</v>
      </c>
      <c r="K337" t="e">
        <f t="shared" ca="1" si="269"/>
        <v>#N/A</v>
      </c>
      <c r="L337" t="e">
        <f t="shared" ca="1" si="269"/>
        <v>#N/A</v>
      </c>
      <c r="M337" t="e">
        <f t="shared" ca="1" si="269"/>
        <v>#N/A</v>
      </c>
      <c r="N337" t="e">
        <f t="shared" ca="1" si="269"/>
        <v>#N/A</v>
      </c>
      <c r="O337" t="e">
        <f t="shared" ca="1" si="269"/>
        <v>#N/A</v>
      </c>
      <c r="P337" t="e">
        <f t="shared" ca="1" si="269"/>
        <v>#N/A</v>
      </c>
      <c r="Q337" t="e">
        <f t="shared" ca="1" si="269"/>
        <v>#N/A</v>
      </c>
      <c r="R337" t="e">
        <f t="shared" ca="1" si="270"/>
        <v>#N/A</v>
      </c>
      <c r="S337">
        <f t="shared" ca="1" si="272"/>
        <v>0</v>
      </c>
      <c r="T337" t="e">
        <f t="shared" ca="1" si="271"/>
        <v>#N/A</v>
      </c>
    </row>
    <row r="338" spans="1:20" x14ac:dyDescent="0.25">
      <c r="A338" s="1" t="s">
        <v>34</v>
      </c>
      <c r="B338" s="1">
        <f t="shared" si="260"/>
        <v>9</v>
      </c>
      <c r="C338" s="1">
        <f t="shared" si="261"/>
        <v>336</v>
      </c>
      <c r="D338">
        <f t="shared" ca="1" si="262"/>
        <v>3.1669999999999998</v>
      </c>
      <c r="E338">
        <f t="shared" ca="1" si="263"/>
        <v>0.29699999999999999</v>
      </c>
      <c r="F338">
        <f t="shared" ca="1" si="264"/>
        <v>0.39800000000000002</v>
      </c>
      <c r="G338">
        <f t="shared" ca="1" si="265"/>
        <v>3.9020000000000001</v>
      </c>
      <c r="H338">
        <f t="shared" ca="1" si="266"/>
        <v>0.58499999999999996</v>
      </c>
      <c r="I338">
        <f t="shared" ca="1" si="267"/>
        <v>0.501</v>
      </c>
      <c r="J338">
        <f t="shared" ca="1" si="268"/>
        <v>0.48299999999999998</v>
      </c>
      <c r="K338" t="e">
        <f t="shared" ca="1" si="269"/>
        <v>#N/A</v>
      </c>
      <c r="L338" t="e">
        <f t="shared" ca="1" si="269"/>
        <v>#N/A</v>
      </c>
      <c r="M338" t="e">
        <f t="shared" ca="1" si="269"/>
        <v>#N/A</v>
      </c>
      <c r="N338" t="e">
        <f t="shared" ca="1" si="269"/>
        <v>#N/A</v>
      </c>
      <c r="O338" t="e">
        <f t="shared" ca="1" si="269"/>
        <v>#N/A</v>
      </c>
      <c r="P338" t="e">
        <f t="shared" ca="1" si="269"/>
        <v>#N/A</v>
      </c>
      <c r="Q338" t="e">
        <f t="shared" ca="1" si="269"/>
        <v>#N/A</v>
      </c>
      <c r="R338" t="e">
        <f t="shared" ca="1" si="270"/>
        <v>#N/A</v>
      </c>
      <c r="S338">
        <f t="shared" ca="1" si="272"/>
        <v>0</v>
      </c>
      <c r="T338" t="e">
        <f t="shared" ca="1" si="271"/>
        <v>#N/A</v>
      </c>
    </row>
    <row r="339" spans="1:20" x14ac:dyDescent="0.25">
      <c r="A339" s="1" t="s">
        <v>42</v>
      </c>
      <c r="B339" s="1">
        <f t="shared" ref="B339:B354" si="273">LOOKUP($A339,$V$4:$V$23,$W$4:$W$23)</f>
        <v>8</v>
      </c>
      <c r="C339" s="1">
        <f t="shared" si="261"/>
        <v>337</v>
      </c>
      <c r="D339">
        <f t="shared" ca="1" si="262"/>
        <v>2.6389999999999998</v>
      </c>
      <c r="E339">
        <f t="shared" ca="1" si="263"/>
        <v>1.7629999999999999</v>
      </c>
      <c r="F339">
        <f t="shared" ca="1" si="264"/>
        <v>0.191</v>
      </c>
      <c r="G339">
        <f t="shared" ca="1" si="265"/>
        <v>1.8149999999999999</v>
      </c>
      <c r="H339">
        <f t="shared" ca="1" si="266"/>
        <v>1.9610000000000001</v>
      </c>
      <c r="I339">
        <f t="shared" ca="1" si="267"/>
        <v>2.7949999999999999</v>
      </c>
      <c r="J339">
        <f t="shared" ca="1" si="268"/>
        <v>1.375</v>
      </c>
      <c r="K339" t="e">
        <f t="shared" ca="1" si="269"/>
        <v>#N/A</v>
      </c>
      <c r="L339" t="e">
        <f t="shared" ca="1" si="269"/>
        <v>#N/A</v>
      </c>
      <c r="M339" t="e">
        <f t="shared" ca="1" si="269"/>
        <v>#N/A</v>
      </c>
      <c r="N339" t="e">
        <f t="shared" ca="1" si="269"/>
        <v>#N/A</v>
      </c>
      <c r="O339" t="e">
        <f t="shared" ca="1" si="269"/>
        <v>#N/A</v>
      </c>
      <c r="P339" t="e">
        <f t="shared" ca="1" si="269"/>
        <v>#N/A</v>
      </c>
      <c r="Q339" t="e">
        <f t="shared" ca="1" si="269"/>
        <v>#N/A</v>
      </c>
      <c r="R339" t="e">
        <f t="shared" ca="1" si="270"/>
        <v>#N/A</v>
      </c>
      <c r="S339">
        <f t="shared" ca="1" si="272"/>
        <v>0</v>
      </c>
      <c r="T339" t="e">
        <f t="shared" ca="1" si="271"/>
        <v>#N/A</v>
      </c>
    </row>
    <row r="340" spans="1:20" x14ac:dyDescent="0.25">
      <c r="A340" s="1" t="s">
        <v>41</v>
      </c>
      <c r="B340" s="1">
        <f t="shared" si="273"/>
        <v>7</v>
      </c>
      <c r="C340" s="1">
        <f t="shared" ref="C340:C355" si="274">C339+1</f>
        <v>338</v>
      </c>
      <c r="D340">
        <f t="shared" ref="D340:D355" ca="1" si="275">OFFSET($X$4,$B340,MOD($C340,7),1,1)</f>
        <v>0.34499999999999997</v>
      </c>
      <c r="E340">
        <f t="shared" ref="E340:E355" ca="1" si="276">OFFSET($X$4,$B340,MOD($C340+1,7),1,1)</f>
        <v>0.89400000000000002</v>
      </c>
      <c r="F340">
        <f t="shared" ref="F340:F355" ca="1" si="277">OFFSET($X$4,$B340,MOD($C340+2,7),1,1)</f>
        <v>0.51400000000000001</v>
      </c>
      <c r="G340">
        <f t="shared" ref="G340:G355" ca="1" si="278">OFFSET($X$4,$B340,MOD($C340+3,7),1,1)</f>
        <v>0.47099999999999997</v>
      </c>
      <c r="H340">
        <f t="shared" ref="H340:H355" ca="1" si="279">OFFSET($X$4,$B340,MOD($C340+4,7),1,1)</f>
        <v>0.43099999999999999</v>
      </c>
      <c r="I340">
        <f t="shared" ref="I340:I355" ca="1" si="280">OFFSET($X$4,$B340,MOD($C340+5,7),1,1)</f>
        <v>2.597</v>
      </c>
      <c r="J340">
        <f t="shared" ref="J340:J355" ca="1" si="281">OFFSET($X$4,$B340,MOD($C340+6,7),1,1)</f>
        <v>9.8000000000000004E-2</v>
      </c>
      <c r="K340" t="e">
        <f t="shared" ref="K340:Q355" ca="1" si="282">POWER(PRODUCT(D340:D367),1/28)</f>
        <v>#N/A</v>
      </c>
      <c r="L340" t="e">
        <f t="shared" ca="1" si="282"/>
        <v>#N/A</v>
      </c>
      <c r="M340" t="e">
        <f t="shared" ca="1" si="282"/>
        <v>#N/A</v>
      </c>
      <c r="N340" t="e">
        <f t="shared" ca="1" si="282"/>
        <v>#N/A</v>
      </c>
      <c r="O340" t="e">
        <f t="shared" ca="1" si="282"/>
        <v>#N/A</v>
      </c>
      <c r="P340" t="e">
        <f t="shared" ca="1" si="282"/>
        <v>#N/A</v>
      </c>
      <c r="Q340" t="e">
        <f t="shared" ca="1" si="282"/>
        <v>#N/A</v>
      </c>
      <c r="R340" t="e">
        <f t="shared" ref="R340:R355" ca="1" si="283">MAX(K340:Q340)</f>
        <v>#N/A</v>
      </c>
      <c r="S340">
        <f t="shared" ca="1" si="272"/>
        <v>0</v>
      </c>
      <c r="T340" t="e">
        <f t="shared" ref="T340:T355" ca="1" si="284">MAX(S340:S367)</f>
        <v>#N/A</v>
      </c>
    </row>
    <row r="341" spans="1:20" x14ac:dyDescent="0.25">
      <c r="A341" s="1" t="s">
        <v>47</v>
      </c>
      <c r="B341" s="1">
        <f t="shared" si="273"/>
        <v>18</v>
      </c>
      <c r="C341" s="1">
        <f t="shared" si="274"/>
        <v>339</v>
      </c>
      <c r="D341">
        <f t="shared" ca="1" si="275"/>
        <v>0.45600000000000002</v>
      </c>
      <c r="E341">
        <f t="shared" ca="1" si="276"/>
        <v>1.9E-2</v>
      </c>
      <c r="F341">
        <f t="shared" ca="1" si="277"/>
        <v>0</v>
      </c>
      <c r="G341">
        <f t="shared" ca="1" si="278"/>
        <v>0</v>
      </c>
      <c r="H341">
        <f t="shared" ca="1" si="279"/>
        <v>0.24</v>
      </c>
      <c r="I341">
        <f t="shared" ca="1" si="280"/>
        <v>0</v>
      </c>
      <c r="J341">
        <f t="shared" ca="1" si="281"/>
        <v>0</v>
      </c>
      <c r="K341" t="e">
        <f t="shared" ca="1" si="282"/>
        <v>#N/A</v>
      </c>
      <c r="L341" t="e">
        <f t="shared" ca="1" si="282"/>
        <v>#N/A</v>
      </c>
      <c r="M341" t="e">
        <f t="shared" ca="1" si="282"/>
        <v>#N/A</v>
      </c>
      <c r="N341" t="e">
        <f t="shared" ca="1" si="282"/>
        <v>#N/A</v>
      </c>
      <c r="O341" t="e">
        <f t="shared" ca="1" si="282"/>
        <v>#N/A</v>
      </c>
      <c r="P341" t="e">
        <f t="shared" ca="1" si="282"/>
        <v>#N/A</v>
      </c>
      <c r="Q341" t="e">
        <f t="shared" ca="1" si="282"/>
        <v>#N/A</v>
      </c>
      <c r="R341" t="e">
        <f t="shared" ca="1" si="283"/>
        <v>#N/A</v>
      </c>
      <c r="S341">
        <f t="shared" ca="1" si="272"/>
        <v>0</v>
      </c>
      <c r="T341" t="e">
        <f t="shared" ca="1" si="284"/>
        <v>#N/A</v>
      </c>
    </row>
    <row r="342" spans="1:20" x14ac:dyDescent="0.25">
      <c r="A342" s="1" t="s">
        <v>43</v>
      </c>
      <c r="B342" s="1">
        <f t="shared" si="273"/>
        <v>11</v>
      </c>
      <c r="C342" s="1">
        <f t="shared" si="274"/>
        <v>340</v>
      </c>
      <c r="D342">
        <f t="shared" ca="1" si="275"/>
        <v>1.722</v>
      </c>
      <c r="E342">
        <f t="shared" ca="1" si="276"/>
        <v>2.456</v>
      </c>
      <c r="F342">
        <f t="shared" ca="1" si="277"/>
        <v>2.2799999999999998</v>
      </c>
      <c r="G342">
        <f t="shared" ca="1" si="278"/>
        <v>0.83499999999999996</v>
      </c>
      <c r="H342">
        <f t="shared" ca="1" si="279"/>
        <v>1.4750000000000001</v>
      </c>
      <c r="I342">
        <f t="shared" ca="1" si="280"/>
        <v>1.534</v>
      </c>
      <c r="J342">
        <f t="shared" ca="1" si="281"/>
        <v>3.9E-2</v>
      </c>
      <c r="K342" t="e">
        <f t="shared" ca="1" si="282"/>
        <v>#N/A</v>
      </c>
      <c r="L342" t="e">
        <f t="shared" ca="1" si="282"/>
        <v>#N/A</v>
      </c>
      <c r="M342" t="e">
        <f t="shared" ca="1" si="282"/>
        <v>#N/A</v>
      </c>
      <c r="N342" t="e">
        <f t="shared" ca="1" si="282"/>
        <v>#N/A</v>
      </c>
      <c r="O342" t="e">
        <f t="shared" ca="1" si="282"/>
        <v>#N/A</v>
      </c>
      <c r="P342" t="e">
        <f t="shared" ca="1" si="282"/>
        <v>#N/A</v>
      </c>
      <c r="Q342" t="e">
        <f t="shared" ca="1" si="282"/>
        <v>#N/A</v>
      </c>
      <c r="R342" t="e">
        <f t="shared" ca="1" si="283"/>
        <v>#N/A</v>
      </c>
      <c r="S342">
        <f t="shared" ca="1" si="272"/>
        <v>0</v>
      </c>
      <c r="T342" t="e">
        <f t="shared" ca="1" si="284"/>
        <v>#N/A</v>
      </c>
    </row>
    <row r="343" spans="1:20" x14ac:dyDescent="0.25">
      <c r="A343" s="1"/>
      <c r="B343" s="1" t="e">
        <f t="shared" si="273"/>
        <v>#N/A</v>
      </c>
      <c r="C343" s="1">
        <f t="shared" si="274"/>
        <v>341</v>
      </c>
      <c r="D343" t="e">
        <f t="shared" ca="1" si="275"/>
        <v>#N/A</v>
      </c>
      <c r="E343" t="e">
        <f t="shared" ca="1" si="276"/>
        <v>#N/A</v>
      </c>
      <c r="F343" t="e">
        <f t="shared" ca="1" si="277"/>
        <v>#N/A</v>
      </c>
      <c r="G343" t="e">
        <f t="shared" ca="1" si="278"/>
        <v>#N/A</v>
      </c>
      <c r="H343" t="e">
        <f t="shared" ca="1" si="279"/>
        <v>#N/A</v>
      </c>
      <c r="I343" t="e">
        <f t="shared" ca="1" si="280"/>
        <v>#N/A</v>
      </c>
      <c r="J343" t="e">
        <f t="shared" ca="1" si="281"/>
        <v>#N/A</v>
      </c>
      <c r="K343" t="e">
        <f t="shared" ca="1" si="282"/>
        <v>#N/A</v>
      </c>
      <c r="L343" t="e">
        <f t="shared" ca="1" si="282"/>
        <v>#N/A</v>
      </c>
      <c r="M343" t="e">
        <f t="shared" ca="1" si="282"/>
        <v>#N/A</v>
      </c>
      <c r="N343" t="e">
        <f t="shared" ca="1" si="282"/>
        <v>#N/A</v>
      </c>
      <c r="O343" t="e">
        <f t="shared" ca="1" si="282"/>
        <v>#N/A</v>
      </c>
      <c r="P343" t="e">
        <f t="shared" ca="1" si="282"/>
        <v>#N/A</v>
      </c>
      <c r="Q343" t="e">
        <f t="shared" ca="1" si="282"/>
        <v>#N/A</v>
      </c>
      <c r="R343" t="e">
        <f t="shared" ca="1" si="283"/>
        <v>#N/A</v>
      </c>
      <c r="S343" t="e">
        <f t="shared" ca="1" si="272"/>
        <v>#N/A</v>
      </c>
      <c r="T343" t="e">
        <f t="shared" ca="1" si="284"/>
        <v>#N/A</v>
      </c>
    </row>
    <row r="344" spans="1:20" x14ac:dyDescent="0.25">
      <c r="A344" s="1"/>
      <c r="B344" s="1" t="e">
        <f t="shared" si="273"/>
        <v>#N/A</v>
      </c>
      <c r="C344" s="1">
        <f t="shared" si="274"/>
        <v>342</v>
      </c>
      <c r="D344" t="e">
        <f t="shared" ca="1" si="275"/>
        <v>#N/A</v>
      </c>
      <c r="E344" t="e">
        <f t="shared" ca="1" si="276"/>
        <v>#N/A</v>
      </c>
      <c r="F344" t="e">
        <f t="shared" ca="1" si="277"/>
        <v>#N/A</v>
      </c>
      <c r="G344" t="e">
        <f t="shared" ca="1" si="278"/>
        <v>#N/A</v>
      </c>
      <c r="H344" t="e">
        <f t="shared" ca="1" si="279"/>
        <v>#N/A</v>
      </c>
      <c r="I344" t="e">
        <f t="shared" ca="1" si="280"/>
        <v>#N/A</v>
      </c>
      <c r="J344" t="e">
        <f t="shared" ca="1" si="281"/>
        <v>#N/A</v>
      </c>
      <c r="K344" t="e">
        <f t="shared" ca="1" si="282"/>
        <v>#N/A</v>
      </c>
      <c r="L344" t="e">
        <f t="shared" ca="1" si="282"/>
        <v>#N/A</v>
      </c>
      <c r="M344" t="e">
        <f t="shared" ca="1" si="282"/>
        <v>#N/A</v>
      </c>
      <c r="N344" t="e">
        <f t="shared" ca="1" si="282"/>
        <v>#N/A</v>
      </c>
      <c r="O344" t="e">
        <f t="shared" ca="1" si="282"/>
        <v>#N/A</v>
      </c>
      <c r="P344" t="e">
        <f t="shared" ca="1" si="282"/>
        <v>#N/A</v>
      </c>
      <c r="Q344" t="e">
        <f t="shared" ca="1" si="282"/>
        <v>#N/A</v>
      </c>
      <c r="R344" t="e">
        <f t="shared" ca="1" si="283"/>
        <v>#N/A</v>
      </c>
      <c r="S344" t="e">
        <f t="shared" ca="1" si="272"/>
        <v>#N/A</v>
      </c>
      <c r="T344" t="e">
        <f t="shared" ca="1" si="284"/>
        <v>#N/A</v>
      </c>
    </row>
    <row r="345" spans="1:20" x14ac:dyDescent="0.25">
      <c r="A345" s="1"/>
      <c r="B345" s="1" t="e">
        <f t="shared" si="273"/>
        <v>#N/A</v>
      </c>
      <c r="C345" s="1">
        <f t="shared" si="274"/>
        <v>343</v>
      </c>
      <c r="D345" t="e">
        <f t="shared" ca="1" si="275"/>
        <v>#N/A</v>
      </c>
      <c r="E345" t="e">
        <f t="shared" ca="1" si="276"/>
        <v>#N/A</v>
      </c>
      <c r="F345" t="e">
        <f t="shared" ca="1" si="277"/>
        <v>#N/A</v>
      </c>
      <c r="G345" t="e">
        <f t="shared" ca="1" si="278"/>
        <v>#N/A</v>
      </c>
      <c r="H345" t="e">
        <f t="shared" ca="1" si="279"/>
        <v>#N/A</v>
      </c>
      <c r="I345" t="e">
        <f t="shared" ca="1" si="280"/>
        <v>#N/A</v>
      </c>
      <c r="J345" t="e">
        <f t="shared" ca="1" si="281"/>
        <v>#N/A</v>
      </c>
      <c r="K345" t="e">
        <f t="shared" ca="1" si="282"/>
        <v>#N/A</v>
      </c>
      <c r="L345" t="e">
        <f t="shared" ca="1" si="282"/>
        <v>#N/A</v>
      </c>
      <c r="M345" t="e">
        <f t="shared" ca="1" si="282"/>
        <v>#N/A</v>
      </c>
      <c r="N345" t="e">
        <f t="shared" ca="1" si="282"/>
        <v>#N/A</v>
      </c>
      <c r="O345" t="e">
        <f t="shared" ca="1" si="282"/>
        <v>#N/A</v>
      </c>
      <c r="P345" t="e">
        <f t="shared" ca="1" si="282"/>
        <v>#N/A</v>
      </c>
      <c r="Q345" t="e">
        <f t="shared" ca="1" si="282"/>
        <v>#N/A</v>
      </c>
      <c r="R345" t="e">
        <f t="shared" ca="1" si="283"/>
        <v>#N/A</v>
      </c>
      <c r="S345" t="e">
        <f t="shared" ca="1" si="272"/>
        <v>#N/A</v>
      </c>
      <c r="T345" t="e">
        <f t="shared" ca="1" si="284"/>
        <v>#N/A</v>
      </c>
    </row>
    <row r="346" spans="1:20" x14ac:dyDescent="0.25">
      <c r="A346" s="1"/>
      <c r="B346" s="1" t="e">
        <f t="shared" si="273"/>
        <v>#N/A</v>
      </c>
      <c r="C346" s="1">
        <f t="shared" si="274"/>
        <v>344</v>
      </c>
      <c r="D346" t="e">
        <f t="shared" ca="1" si="275"/>
        <v>#N/A</v>
      </c>
      <c r="E346" t="e">
        <f t="shared" ca="1" si="276"/>
        <v>#N/A</v>
      </c>
      <c r="F346" t="e">
        <f t="shared" ca="1" si="277"/>
        <v>#N/A</v>
      </c>
      <c r="G346" t="e">
        <f t="shared" ca="1" si="278"/>
        <v>#N/A</v>
      </c>
      <c r="H346" t="e">
        <f t="shared" ca="1" si="279"/>
        <v>#N/A</v>
      </c>
      <c r="I346" t="e">
        <f t="shared" ca="1" si="280"/>
        <v>#N/A</v>
      </c>
      <c r="J346" t="e">
        <f t="shared" ca="1" si="281"/>
        <v>#N/A</v>
      </c>
      <c r="K346" t="e">
        <f t="shared" ca="1" si="282"/>
        <v>#N/A</v>
      </c>
      <c r="L346" t="e">
        <f t="shared" ca="1" si="282"/>
        <v>#N/A</v>
      </c>
      <c r="M346" t="e">
        <f t="shared" ca="1" si="282"/>
        <v>#N/A</v>
      </c>
      <c r="N346" t="e">
        <f t="shared" ca="1" si="282"/>
        <v>#N/A</v>
      </c>
      <c r="O346" t="e">
        <f t="shared" ca="1" si="282"/>
        <v>#N/A</v>
      </c>
      <c r="P346" t="e">
        <f t="shared" ca="1" si="282"/>
        <v>#N/A</v>
      </c>
      <c r="Q346" t="e">
        <f t="shared" ca="1" si="282"/>
        <v>#N/A</v>
      </c>
      <c r="R346" t="e">
        <f t="shared" ca="1" si="283"/>
        <v>#N/A</v>
      </c>
      <c r="S346" t="e">
        <f t="shared" ca="1" si="272"/>
        <v>#N/A</v>
      </c>
      <c r="T346" t="e">
        <f t="shared" ca="1" si="284"/>
        <v>#N/A</v>
      </c>
    </row>
    <row r="347" spans="1:20" x14ac:dyDescent="0.25">
      <c r="A347" s="1"/>
      <c r="B347" s="1" t="e">
        <f t="shared" si="273"/>
        <v>#N/A</v>
      </c>
      <c r="C347" s="1">
        <f t="shared" si="274"/>
        <v>345</v>
      </c>
      <c r="D347" t="e">
        <f t="shared" ca="1" si="275"/>
        <v>#N/A</v>
      </c>
      <c r="E347" t="e">
        <f t="shared" ca="1" si="276"/>
        <v>#N/A</v>
      </c>
      <c r="F347" t="e">
        <f t="shared" ca="1" si="277"/>
        <v>#N/A</v>
      </c>
      <c r="G347" t="e">
        <f t="shared" ca="1" si="278"/>
        <v>#N/A</v>
      </c>
      <c r="H347" t="e">
        <f t="shared" ca="1" si="279"/>
        <v>#N/A</v>
      </c>
      <c r="I347" t="e">
        <f t="shared" ca="1" si="280"/>
        <v>#N/A</v>
      </c>
      <c r="J347" t="e">
        <f t="shared" ca="1" si="281"/>
        <v>#N/A</v>
      </c>
      <c r="K347" t="e">
        <f t="shared" ca="1" si="282"/>
        <v>#N/A</v>
      </c>
      <c r="L347" t="e">
        <f t="shared" ca="1" si="282"/>
        <v>#N/A</v>
      </c>
      <c r="M347" t="e">
        <f t="shared" ca="1" si="282"/>
        <v>#N/A</v>
      </c>
      <c r="N347" t="e">
        <f t="shared" ca="1" si="282"/>
        <v>#N/A</v>
      </c>
      <c r="O347" t="e">
        <f t="shared" ca="1" si="282"/>
        <v>#N/A</v>
      </c>
      <c r="P347" t="e">
        <f t="shared" ca="1" si="282"/>
        <v>#N/A</v>
      </c>
      <c r="Q347" t="e">
        <f t="shared" ca="1" si="282"/>
        <v>#N/A</v>
      </c>
      <c r="R347" t="e">
        <f t="shared" ca="1" si="283"/>
        <v>#N/A</v>
      </c>
      <c r="S347" t="e">
        <f t="shared" ca="1" si="272"/>
        <v>#N/A</v>
      </c>
      <c r="T347" t="e">
        <f t="shared" ca="1" si="284"/>
        <v>#N/A</v>
      </c>
    </row>
    <row r="348" spans="1:20" x14ac:dyDescent="0.25">
      <c r="A348" s="1"/>
      <c r="B348" s="1" t="e">
        <f t="shared" si="273"/>
        <v>#N/A</v>
      </c>
      <c r="C348" s="1">
        <f t="shared" si="274"/>
        <v>346</v>
      </c>
      <c r="D348" t="e">
        <f t="shared" ca="1" si="275"/>
        <v>#N/A</v>
      </c>
      <c r="E348" t="e">
        <f t="shared" ca="1" si="276"/>
        <v>#N/A</v>
      </c>
      <c r="F348" t="e">
        <f t="shared" ca="1" si="277"/>
        <v>#N/A</v>
      </c>
      <c r="G348" t="e">
        <f t="shared" ca="1" si="278"/>
        <v>#N/A</v>
      </c>
      <c r="H348" t="e">
        <f t="shared" ca="1" si="279"/>
        <v>#N/A</v>
      </c>
      <c r="I348" t="e">
        <f t="shared" ca="1" si="280"/>
        <v>#N/A</v>
      </c>
      <c r="J348" t="e">
        <f t="shared" ca="1" si="281"/>
        <v>#N/A</v>
      </c>
      <c r="K348" t="e">
        <f t="shared" ca="1" si="282"/>
        <v>#N/A</v>
      </c>
      <c r="L348" t="e">
        <f t="shared" ca="1" si="282"/>
        <v>#N/A</v>
      </c>
      <c r="M348" t="e">
        <f t="shared" ca="1" si="282"/>
        <v>#N/A</v>
      </c>
      <c r="N348" t="e">
        <f t="shared" ca="1" si="282"/>
        <v>#N/A</v>
      </c>
      <c r="O348" t="e">
        <f t="shared" ca="1" si="282"/>
        <v>#N/A</v>
      </c>
      <c r="P348" t="e">
        <f t="shared" ca="1" si="282"/>
        <v>#N/A</v>
      </c>
      <c r="Q348" t="e">
        <f t="shared" ca="1" si="282"/>
        <v>#N/A</v>
      </c>
      <c r="R348" t="e">
        <f t="shared" ca="1" si="283"/>
        <v>#N/A</v>
      </c>
      <c r="S348" t="e">
        <f t="shared" ca="1" si="272"/>
        <v>#N/A</v>
      </c>
      <c r="T348" t="e">
        <f t="shared" ca="1" si="284"/>
        <v>#N/A</v>
      </c>
    </row>
    <row r="349" spans="1:20" x14ac:dyDescent="0.25">
      <c r="A349" s="1"/>
      <c r="B349" s="1" t="e">
        <f t="shared" si="273"/>
        <v>#N/A</v>
      </c>
      <c r="C349" s="1">
        <f t="shared" si="274"/>
        <v>347</v>
      </c>
      <c r="D349" t="e">
        <f t="shared" ca="1" si="275"/>
        <v>#N/A</v>
      </c>
      <c r="E349" t="e">
        <f t="shared" ca="1" si="276"/>
        <v>#N/A</v>
      </c>
      <c r="F349" t="e">
        <f t="shared" ca="1" si="277"/>
        <v>#N/A</v>
      </c>
      <c r="G349" t="e">
        <f t="shared" ca="1" si="278"/>
        <v>#N/A</v>
      </c>
      <c r="H349" t="e">
        <f t="shared" ca="1" si="279"/>
        <v>#N/A</v>
      </c>
      <c r="I349" t="e">
        <f t="shared" ca="1" si="280"/>
        <v>#N/A</v>
      </c>
      <c r="J349" t="e">
        <f t="shared" ca="1" si="281"/>
        <v>#N/A</v>
      </c>
      <c r="K349" t="e">
        <f t="shared" ca="1" si="282"/>
        <v>#N/A</v>
      </c>
      <c r="L349" t="e">
        <f t="shared" ca="1" si="282"/>
        <v>#N/A</v>
      </c>
      <c r="M349" t="e">
        <f t="shared" ca="1" si="282"/>
        <v>#N/A</v>
      </c>
      <c r="N349" t="e">
        <f t="shared" ca="1" si="282"/>
        <v>#N/A</v>
      </c>
      <c r="O349" t="e">
        <f t="shared" ca="1" si="282"/>
        <v>#N/A</v>
      </c>
      <c r="P349" t="e">
        <f t="shared" ca="1" si="282"/>
        <v>#N/A</v>
      </c>
      <c r="Q349" t="e">
        <f t="shared" ca="1" si="282"/>
        <v>#N/A</v>
      </c>
      <c r="R349" t="e">
        <f t="shared" ca="1" si="283"/>
        <v>#N/A</v>
      </c>
      <c r="S349" t="e">
        <f t="shared" ca="1" si="272"/>
        <v>#N/A</v>
      </c>
      <c r="T349" t="e">
        <f t="shared" ca="1" si="284"/>
        <v>#N/A</v>
      </c>
    </row>
    <row r="350" spans="1:20" x14ac:dyDescent="0.25">
      <c r="A350" s="1"/>
      <c r="B350" s="1" t="e">
        <f t="shared" si="273"/>
        <v>#N/A</v>
      </c>
      <c r="C350" s="1">
        <f t="shared" si="274"/>
        <v>348</v>
      </c>
      <c r="D350" t="e">
        <f t="shared" ca="1" si="275"/>
        <v>#N/A</v>
      </c>
      <c r="E350" t="e">
        <f t="shared" ca="1" si="276"/>
        <v>#N/A</v>
      </c>
      <c r="F350" t="e">
        <f t="shared" ca="1" si="277"/>
        <v>#N/A</v>
      </c>
      <c r="G350" t="e">
        <f t="shared" ca="1" si="278"/>
        <v>#N/A</v>
      </c>
      <c r="H350" t="e">
        <f t="shared" ca="1" si="279"/>
        <v>#N/A</v>
      </c>
      <c r="I350" t="e">
        <f t="shared" ca="1" si="280"/>
        <v>#N/A</v>
      </c>
      <c r="J350" t="e">
        <f t="shared" ca="1" si="281"/>
        <v>#N/A</v>
      </c>
      <c r="K350" t="e">
        <f t="shared" ca="1" si="282"/>
        <v>#N/A</v>
      </c>
      <c r="L350" t="e">
        <f t="shared" ca="1" si="282"/>
        <v>#N/A</v>
      </c>
      <c r="M350" t="e">
        <f t="shared" ca="1" si="282"/>
        <v>#N/A</v>
      </c>
      <c r="N350" t="e">
        <f t="shared" ca="1" si="282"/>
        <v>#N/A</v>
      </c>
      <c r="O350" t="e">
        <f t="shared" ca="1" si="282"/>
        <v>#N/A</v>
      </c>
      <c r="P350" t="e">
        <f t="shared" ca="1" si="282"/>
        <v>#N/A</v>
      </c>
      <c r="Q350" t="e">
        <f t="shared" ca="1" si="282"/>
        <v>#N/A</v>
      </c>
      <c r="R350" t="e">
        <f t="shared" ca="1" si="283"/>
        <v>#N/A</v>
      </c>
      <c r="S350" t="e">
        <f t="shared" ca="1" si="272"/>
        <v>#N/A</v>
      </c>
      <c r="T350" t="e">
        <f t="shared" ca="1" si="284"/>
        <v>#N/A</v>
      </c>
    </row>
    <row r="351" spans="1:20" x14ac:dyDescent="0.25">
      <c r="A351" s="1"/>
      <c r="B351" s="1" t="e">
        <f t="shared" si="273"/>
        <v>#N/A</v>
      </c>
      <c r="C351" s="1">
        <f t="shared" si="274"/>
        <v>349</v>
      </c>
      <c r="D351" t="e">
        <f t="shared" ca="1" si="275"/>
        <v>#N/A</v>
      </c>
      <c r="E351" t="e">
        <f t="shared" ca="1" si="276"/>
        <v>#N/A</v>
      </c>
      <c r="F351" t="e">
        <f t="shared" ca="1" si="277"/>
        <v>#N/A</v>
      </c>
      <c r="G351" t="e">
        <f t="shared" ca="1" si="278"/>
        <v>#N/A</v>
      </c>
      <c r="H351" t="e">
        <f t="shared" ca="1" si="279"/>
        <v>#N/A</v>
      </c>
      <c r="I351" t="e">
        <f t="shared" ca="1" si="280"/>
        <v>#N/A</v>
      </c>
      <c r="J351" t="e">
        <f t="shared" ca="1" si="281"/>
        <v>#N/A</v>
      </c>
      <c r="K351" t="e">
        <f t="shared" ca="1" si="282"/>
        <v>#N/A</v>
      </c>
      <c r="L351" t="e">
        <f t="shared" ca="1" si="282"/>
        <v>#N/A</v>
      </c>
      <c r="M351" t="e">
        <f t="shared" ca="1" si="282"/>
        <v>#N/A</v>
      </c>
      <c r="N351" t="e">
        <f t="shared" ca="1" si="282"/>
        <v>#N/A</v>
      </c>
      <c r="O351" t="e">
        <f t="shared" ca="1" si="282"/>
        <v>#N/A</v>
      </c>
      <c r="P351" t="e">
        <f t="shared" ca="1" si="282"/>
        <v>#N/A</v>
      </c>
      <c r="Q351" t="e">
        <f t="shared" ca="1" si="282"/>
        <v>#N/A</v>
      </c>
      <c r="R351" t="e">
        <f t="shared" ca="1" si="283"/>
        <v>#N/A</v>
      </c>
      <c r="S351" t="e">
        <f t="shared" ref="S351:S366" ca="1" si="285">IF(R324&gt;1.55,1,IF(R324&gt;1.48,0.9,IF(R324&gt;1.4,0.8,IF(R324&gt;1.36666,0.6,IF(R324&gt;1.33333,0.4,IF(R324&gt;1.22,0.2,IF(R324&gt;1,0.1,0)))))))</f>
        <v>#N/A</v>
      </c>
      <c r="T351" t="e">
        <f t="shared" ca="1" si="284"/>
        <v>#N/A</v>
      </c>
    </row>
    <row r="352" spans="1:20" x14ac:dyDescent="0.25">
      <c r="A352" s="1"/>
      <c r="B352" s="1" t="e">
        <f t="shared" si="273"/>
        <v>#N/A</v>
      </c>
      <c r="C352" s="1">
        <f t="shared" si="274"/>
        <v>350</v>
      </c>
      <c r="D352" t="e">
        <f t="shared" ca="1" si="275"/>
        <v>#N/A</v>
      </c>
      <c r="E352" t="e">
        <f t="shared" ca="1" si="276"/>
        <v>#N/A</v>
      </c>
      <c r="F352" t="e">
        <f t="shared" ca="1" si="277"/>
        <v>#N/A</v>
      </c>
      <c r="G352" t="e">
        <f t="shared" ca="1" si="278"/>
        <v>#N/A</v>
      </c>
      <c r="H352" t="e">
        <f t="shared" ca="1" si="279"/>
        <v>#N/A</v>
      </c>
      <c r="I352" t="e">
        <f t="shared" ca="1" si="280"/>
        <v>#N/A</v>
      </c>
      <c r="J352" t="e">
        <f t="shared" ca="1" si="281"/>
        <v>#N/A</v>
      </c>
      <c r="K352" t="e">
        <f t="shared" ca="1" si="282"/>
        <v>#N/A</v>
      </c>
      <c r="L352" t="e">
        <f t="shared" ca="1" si="282"/>
        <v>#N/A</v>
      </c>
      <c r="M352" t="e">
        <f t="shared" ca="1" si="282"/>
        <v>#N/A</v>
      </c>
      <c r="N352" t="e">
        <f t="shared" ca="1" si="282"/>
        <v>#N/A</v>
      </c>
      <c r="O352" t="e">
        <f t="shared" ca="1" si="282"/>
        <v>#N/A</v>
      </c>
      <c r="P352" t="e">
        <f t="shared" ca="1" si="282"/>
        <v>#N/A</v>
      </c>
      <c r="Q352" t="e">
        <f t="shared" ca="1" si="282"/>
        <v>#N/A</v>
      </c>
      <c r="R352" t="e">
        <f t="shared" ca="1" si="283"/>
        <v>#N/A</v>
      </c>
      <c r="S352" t="e">
        <f t="shared" ca="1" si="285"/>
        <v>#N/A</v>
      </c>
      <c r="T352" t="e">
        <f t="shared" ca="1" si="284"/>
        <v>#N/A</v>
      </c>
    </row>
    <row r="353" spans="1:20" x14ac:dyDescent="0.25">
      <c r="A353" s="1"/>
      <c r="B353" s="1" t="e">
        <f t="shared" si="273"/>
        <v>#N/A</v>
      </c>
      <c r="C353" s="1">
        <f t="shared" si="274"/>
        <v>351</v>
      </c>
      <c r="D353" t="e">
        <f t="shared" ca="1" si="275"/>
        <v>#N/A</v>
      </c>
      <c r="E353" t="e">
        <f t="shared" ca="1" si="276"/>
        <v>#N/A</v>
      </c>
      <c r="F353" t="e">
        <f t="shared" ca="1" si="277"/>
        <v>#N/A</v>
      </c>
      <c r="G353" t="e">
        <f t="shared" ca="1" si="278"/>
        <v>#N/A</v>
      </c>
      <c r="H353" t="e">
        <f t="shared" ca="1" si="279"/>
        <v>#N/A</v>
      </c>
      <c r="I353" t="e">
        <f t="shared" ca="1" si="280"/>
        <v>#N/A</v>
      </c>
      <c r="J353" t="e">
        <f t="shared" ca="1" si="281"/>
        <v>#N/A</v>
      </c>
      <c r="K353" t="e">
        <f t="shared" ca="1" si="282"/>
        <v>#N/A</v>
      </c>
      <c r="L353" t="e">
        <f t="shared" ca="1" si="282"/>
        <v>#N/A</v>
      </c>
      <c r="M353" t="e">
        <f t="shared" ca="1" si="282"/>
        <v>#N/A</v>
      </c>
      <c r="N353" t="e">
        <f t="shared" ca="1" si="282"/>
        <v>#N/A</v>
      </c>
      <c r="O353" t="e">
        <f t="shared" ca="1" si="282"/>
        <v>#N/A</v>
      </c>
      <c r="P353" t="e">
        <f t="shared" ca="1" si="282"/>
        <v>#N/A</v>
      </c>
      <c r="Q353" t="e">
        <f t="shared" ca="1" si="282"/>
        <v>#N/A</v>
      </c>
      <c r="R353" t="e">
        <f t="shared" ca="1" si="283"/>
        <v>#N/A</v>
      </c>
      <c r="S353" t="e">
        <f t="shared" ca="1" si="285"/>
        <v>#N/A</v>
      </c>
      <c r="T353" t="e">
        <f t="shared" ca="1" si="284"/>
        <v>#N/A</v>
      </c>
    </row>
    <row r="354" spans="1:20" x14ac:dyDescent="0.25">
      <c r="A354" s="1"/>
      <c r="B354" s="1" t="e">
        <f t="shared" si="273"/>
        <v>#N/A</v>
      </c>
      <c r="C354" s="1">
        <f t="shared" si="274"/>
        <v>352</v>
      </c>
      <c r="D354" t="e">
        <f t="shared" ca="1" si="275"/>
        <v>#N/A</v>
      </c>
      <c r="E354" t="e">
        <f t="shared" ca="1" si="276"/>
        <v>#N/A</v>
      </c>
      <c r="F354" t="e">
        <f t="shared" ca="1" si="277"/>
        <v>#N/A</v>
      </c>
      <c r="G354" t="e">
        <f t="shared" ca="1" si="278"/>
        <v>#N/A</v>
      </c>
      <c r="H354" t="e">
        <f t="shared" ca="1" si="279"/>
        <v>#N/A</v>
      </c>
      <c r="I354" t="e">
        <f t="shared" ca="1" si="280"/>
        <v>#N/A</v>
      </c>
      <c r="J354" t="e">
        <f t="shared" ca="1" si="281"/>
        <v>#N/A</v>
      </c>
      <c r="K354" t="e">
        <f t="shared" ca="1" si="282"/>
        <v>#N/A</v>
      </c>
      <c r="L354" t="e">
        <f t="shared" ca="1" si="282"/>
        <v>#N/A</v>
      </c>
      <c r="M354" t="e">
        <f t="shared" ca="1" si="282"/>
        <v>#N/A</v>
      </c>
      <c r="N354" t="e">
        <f t="shared" ca="1" si="282"/>
        <v>#N/A</v>
      </c>
      <c r="O354" t="e">
        <f t="shared" ca="1" si="282"/>
        <v>#N/A</v>
      </c>
      <c r="P354" t="e">
        <f t="shared" ca="1" si="282"/>
        <v>#N/A</v>
      </c>
      <c r="Q354" t="e">
        <f t="shared" ca="1" si="282"/>
        <v>#N/A</v>
      </c>
      <c r="R354" t="e">
        <f t="shared" ca="1" si="283"/>
        <v>#N/A</v>
      </c>
      <c r="S354" t="e">
        <f t="shared" ca="1" si="285"/>
        <v>#N/A</v>
      </c>
      <c r="T354" t="e">
        <f t="shared" ca="1" si="284"/>
        <v>#N/A</v>
      </c>
    </row>
    <row r="355" spans="1:20" x14ac:dyDescent="0.25">
      <c r="A355" s="1"/>
      <c r="B355" s="1" t="e">
        <f t="shared" ref="B355:B370" si="286">LOOKUP($A355,$V$4:$V$23,$W$4:$W$23)</f>
        <v>#N/A</v>
      </c>
      <c r="C355" s="1">
        <f t="shared" si="274"/>
        <v>353</v>
      </c>
      <c r="D355" t="e">
        <f t="shared" ca="1" si="275"/>
        <v>#N/A</v>
      </c>
      <c r="E355" t="e">
        <f t="shared" ca="1" si="276"/>
        <v>#N/A</v>
      </c>
      <c r="F355" t="e">
        <f t="shared" ca="1" si="277"/>
        <v>#N/A</v>
      </c>
      <c r="G355" t="e">
        <f t="shared" ca="1" si="278"/>
        <v>#N/A</v>
      </c>
      <c r="H355" t="e">
        <f t="shared" ca="1" si="279"/>
        <v>#N/A</v>
      </c>
      <c r="I355" t="e">
        <f t="shared" ca="1" si="280"/>
        <v>#N/A</v>
      </c>
      <c r="J355" t="e">
        <f t="shared" ca="1" si="281"/>
        <v>#N/A</v>
      </c>
      <c r="K355" t="e">
        <f t="shared" ca="1" si="282"/>
        <v>#N/A</v>
      </c>
      <c r="L355" t="e">
        <f t="shared" ca="1" si="282"/>
        <v>#N/A</v>
      </c>
      <c r="M355" t="e">
        <f t="shared" ca="1" si="282"/>
        <v>#N/A</v>
      </c>
      <c r="N355" t="e">
        <f t="shared" ca="1" si="282"/>
        <v>#N/A</v>
      </c>
      <c r="O355" t="e">
        <f t="shared" ca="1" si="282"/>
        <v>#N/A</v>
      </c>
      <c r="P355" t="e">
        <f t="shared" ca="1" si="282"/>
        <v>#N/A</v>
      </c>
      <c r="Q355" t="e">
        <f t="shared" ca="1" si="282"/>
        <v>#N/A</v>
      </c>
      <c r="R355" t="e">
        <f t="shared" ca="1" si="283"/>
        <v>#N/A</v>
      </c>
      <c r="S355" t="e">
        <f t="shared" ca="1" si="285"/>
        <v>#N/A</v>
      </c>
      <c r="T355" t="e">
        <f t="shared" ca="1" si="284"/>
        <v>#N/A</v>
      </c>
    </row>
    <row r="356" spans="1:20" x14ac:dyDescent="0.25">
      <c r="A356" s="1"/>
      <c r="B356" s="1" t="e">
        <f t="shared" si="286"/>
        <v>#N/A</v>
      </c>
      <c r="C356" s="1">
        <f t="shared" ref="C356:C371" si="287">C355+1</f>
        <v>354</v>
      </c>
      <c r="D356" t="e">
        <f t="shared" ref="D356:D371" ca="1" si="288">OFFSET($X$4,$B356,MOD($C356,7),1,1)</f>
        <v>#N/A</v>
      </c>
      <c r="E356" t="e">
        <f t="shared" ref="E356:E371" ca="1" si="289">OFFSET($X$4,$B356,MOD($C356+1,7),1,1)</f>
        <v>#N/A</v>
      </c>
      <c r="F356" t="e">
        <f t="shared" ref="F356:F371" ca="1" si="290">OFFSET($X$4,$B356,MOD($C356+2,7),1,1)</f>
        <v>#N/A</v>
      </c>
      <c r="G356" t="e">
        <f t="shared" ref="G356:G371" ca="1" si="291">OFFSET($X$4,$B356,MOD($C356+3,7),1,1)</f>
        <v>#N/A</v>
      </c>
      <c r="H356" t="e">
        <f t="shared" ref="H356:H371" ca="1" si="292">OFFSET($X$4,$B356,MOD($C356+4,7),1,1)</f>
        <v>#N/A</v>
      </c>
      <c r="I356" t="e">
        <f t="shared" ref="I356:I371" ca="1" si="293">OFFSET($X$4,$B356,MOD($C356+5,7),1,1)</f>
        <v>#N/A</v>
      </c>
      <c r="J356" t="e">
        <f t="shared" ref="J356:J371" ca="1" si="294">OFFSET($X$4,$B356,MOD($C356+6,7),1,1)</f>
        <v>#N/A</v>
      </c>
      <c r="K356" t="e">
        <f t="shared" ref="K356:Q371" ca="1" si="295">POWER(PRODUCT(D356:D383),1/28)</f>
        <v>#N/A</v>
      </c>
      <c r="L356" t="e">
        <f t="shared" ca="1" si="295"/>
        <v>#N/A</v>
      </c>
      <c r="M356" t="e">
        <f t="shared" ca="1" si="295"/>
        <v>#N/A</v>
      </c>
      <c r="N356" t="e">
        <f t="shared" ca="1" si="295"/>
        <v>#N/A</v>
      </c>
      <c r="O356" t="e">
        <f t="shared" ca="1" si="295"/>
        <v>#N/A</v>
      </c>
      <c r="P356" t="e">
        <f t="shared" ca="1" si="295"/>
        <v>#N/A</v>
      </c>
      <c r="Q356" t="e">
        <f t="shared" ca="1" si="295"/>
        <v>#N/A</v>
      </c>
      <c r="R356" t="e">
        <f t="shared" ref="R356:R371" ca="1" si="296">MAX(K356:Q356)</f>
        <v>#N/A</v>
      </c>
      <c r="S356" t="e">
        <f t="shared" ca="1" si="285"/>
        <v>#N/A</v>
      </c>
      <c r="T356" t="e">
        <f t="shared" ref="T356:T371" ca="1" si="297">MAX(S356:S383)</f>
        <v>#N/A</v>
      </c>
    </row>
    <row r="357" spans="1:20" x14ac:dyDescent="0.25">
      <c r="A357" s="1"/>
      <c r="B357" s="1" t="e">
        <f t="shared" si="286"/>
        <v>#N/A</v>
      </c>
      <c r="C357" s="1">
        <f t="shared" si="287"/>
        <v>355</v>
      </c>
      <c r="D357" t="e">
        <f t="shared" ca="1" si="288"/>
        <v>#N/A</v>
      </c>
      <c r="E357" t="e">
        <f t="shared" ca="1" si="289"/>
        <v>#N/A</v>
      </c>
      <c r="F357" t="e">
        <f t="shared" ca="1" si="290"/>
        <v>#N/A</v>
      </c>
      <c r="G357" t="e">
        <f t="shared" ca="1" si="291"/>
        <v>#N/A</v>
      </c>
      <c r="H357" t="e">
        <f t="shared" ca="1" si="292"/>
        <v>#N/A</v>
      </c>
      <c r="I357" t="e">
        <f t="shared" ca="1" si="293"/>
        <v>#N/A</v>
      </c>
      <c r="J357" t="e">
        <f t="shared" ca="1" si="294"/>
        <v>#N/A</v>
      </c>
      <c r="K357" t="e">
        <f t="shared" ca="1" si="295"/>
        <v>#N/A</v>
      </c>
      <c r="L357" t="e">
        <f t="shared" ca="1" si="295"/>
        <v>#N/A</v>
      </c>
      <c r="M357" t="e">
        <f t="shared" ca="1" si="295"/>
        <v>#N/A</v>
      </c>
      <c r="N357" t="e">
        <f t="shared" ca="1" si="295"/>
        <v>#N/A</v>
      </c>
      <c r="O357" t="e">
        <f t="shared" ca="1" si="295"/>
        <v>#N/A</v>
      </c>
      <c r="P357" t="e">
        <f t="shared" ca="1" si="295"/>
        <v>#N/A</v>
      </c>
      <c r="Q357" t="e">
        <f t="shared" ca="1" si="295"/>
        <v>#N/A</v>
      </c>
      <c r="R357" t="e">
        <f t="shared" ca="1" si="296"/>
        <v>#N/A</v>
      </c>
      <c r="S357" t="e">
        <f t="shared" ca="1" si="285"/>
        <v>#N/A</v>
      </c>
      <c r="T357" t="e">
        <f t="shared" ca="1" si="297"/>
        <v>#N/A</v>
      </c>
    </row>
    <row r="358" spans="1:20" x14ac:dyDescent="0.25">
      <c r="A358" s="1"/>
      <c r="B358" s="1" t="e">
        <f t="shared" si="286"/>
        <v>#N/A</v>
      </c>
      <c r="C358" s="1">
        <f t="shared" si="287"/>
        <v>356</v>
      </c>
      <c r="D358" t="e">
        <f t="shared" ca="1" si="288"/>
        <v>#N/A</v>
      </c>
      <c r="E358" t="e">
        <f t="shared" ca="1" si="289"/>
        <v>#N/A</v>
      </c>
      <c r="F358" t="e">
        <f t="shared" ca="1" si="290"/>
        <v>#N/A</v>
      </c>
      <c r="G358" t="e">
        <f t="shared" ca="1" si="291"/>
        <v>#N/A</v>
      </c>
      <c r="H358" t="e">
        <f t="shared" ca="1" si="292"/>
        <v>#N/A</v>
      </c>
      <c r="I358" t="e">
        <f t="shared" ca="1" si="293"/>
        <v>#N/A</v>
      </c>
      <c r="J358" t="e">
        <f t="shared" ca="1" si="294"/>
        <v>#N/A</v>
      </c>
      <c r="K358" t="e">
        <f t="shared" ca="1" si="295"/>
        <v>#N/A</v>
      </c>
      <c r="L358" t="e">
        <f t="shared" ca="1" si="295"/>
        <v>#N/A</v>
      </c>
      <c r="M358" t="e">
        <f t="shared" ca="1" si="295"/>
        <v>#N/A</v>
      </c>
      <c r="N358" t="e">
        <f t="shared" ca="1" si="295"/>
        <v>#N/A</v>
      </c>
      <c r="O358" t="e">
        <f t="shared" ca="1" si="295"/>
        <v>#N/A</v>
      </c>
      <c r="P358" t="e">
        <f t="shared" ca="1" si="295"/>
        <v>#N/A</v>
      </c>
      <c r="Q358" t="e">
        <f t="shared" ca="1" si="295"/>
        <v>#N/A</v>
      </c>
      <c r="R358" t="e">
        <f t="shared" ca="1" si="296"/>
        <v>#N/A</v>
      </c>
      <c r="S358" t="e">
        <f t="shared" ca="1" si="285"/>
        <v>#N/A</v>
      </c>
      <c r="T358" t="e">
        <f t="shared" ca="1" si="297"/>
        <v>#N/A</v>
      </c>
    </row>
    <row r="359" spans="1:20" x14ac:dyDescent="0.25">
      <c r="A359" s="1"/>
      <c r="B359" s="1" t="e">
        <f t="shared" si="286"/>
        <v>#N/A</v>
      </c>
      <c r="C359" s="1">
        <f t="shared" si="287"/>
        <v>357</v>
      </c>
      <c r="D359" t="e">
        <f t="shared" ca="1" si="288"/>
        <v>#N/A</v>
      </c>
      <c r="E359" t="e">
        <f t="shared" ca="1" si="289"/>
        <v>#N/A</v>
      </c>
      <c r="F359" t="e">
        <f t="shared" ca="1" si="290"/>
        <v>#N/A</v>
      </c>
      <c r="G359" t="e">
        <f t="shared" ca="1" si="291"/>
        <v>#N/A</v>
      </c>
      <c r="H359" t="e">
        <f t="shared" ca="1" si="292"/>
        <v>#N/A</v>
      </c>
      <c r="I359" t="e">
        <f t="shared" ca="1" si="293"/>
        <v>#N/A</v>
      </c>
      <c r="J359" t="e">
        <f t="shared" ca="1" si="294"/>
        <v>#N/A</v>
      </c>
      <c r="K359" t="e">
        <f t="shared" ca="1" si="295"/>
        <v>#N/A</v>
      </c>
      <c r="L359" t="e">
        <f t="shared" ca="1" si="295"/>
        <v>#N/A</v>
      </c>
      <c r="M359" t="e">
        <f t="shared" ca="1" si="295"/>
        <v>#N/A</v>
      </c>
      <c r="N359" t="e">
        <f t="shared" ca="1" si="295"/>
        <v>#N/A</v>
      </c>
      <c r="O359" t="e">
        <f t="shared" ca="1" si="295"/>
        <v>#N/A</v>
      </c>
      <c r="P359" t="e">
        <f t="shared" ca="1" si="295"/>
        <v>#N/A</v>
      </c>
      <c r="Q359" t="e">
        <f t="shared" ca="1" si="295"/>
        <v>#N/A</v>
      </c>
      <c r="R359" t="e">
        <f t="shared" ca="1" si="296"/>
        <v>#N/A</v>
      </c>
      <c r="S359" t="e">
        <f t="shared" ca="1" si="285"/>
        <v>#N/A</v>
      </c>
      <c r="T359" t="e">
        <f t="shared" ca="1" si="297"/>
        <v>#N/A</v>
      </c>
    </row>
    <row r="360" spans="1:20" x14ac:dyDescent="0.25">
      <c r="A360" s="1"/>
      <c r="B360" s="1" t="e">
        <f t="shared" si="286"/>
        <v>#N/A</v>
      </c>
      <c r="C360" s="1">
        <f t="shared" si="287"/>
        <v>358</v>
      </c>
      <c r="D360" t="e">
        <f t="shared" ca="1" si="288"/>
        <v>#N/A</v>
      </c>
      <c r="E360" t="e">
        <f t="shared" ca="1" si="289"/>
        <v>#N/A</v>
      </c>
      <c r="F360" t="e">
        <f t="shared" ca="1" si="290"/>
        <v>#N/A</v>
      </c>
      <c r="G360" t="e">
        <f t="shared" ca="1" si="291"/>
        <v>#N/A</v>
      </c>
      <c r="H360" t="e">
        <f t="shared" ca="1" si="292"/>
        <v>#N/A</v>
      </c>
      <c r="I360" t="e">
        <f t="shared" ca="1" si="293"/>
        <v>#N/A</v>
      </c>
      <c r="J360" t="e">
        <f t="shared" ca="1" si="294"/>
        <v>#N/A</v>
      </c>
      <c r="K360" t="e">
        <f t="shared" ca="1" si="295"/>
        <v>#N/A</v>
      </c>
      <c r="L360" t="e">
        <f t="shared" ca="1" si="295"/>
        <v>#N/A</v>
      </c>
      <c r="M360" t="e">
        <f t="shared" ca="1" si="295"/>
        <v>#N/A</v>
      </c>
      <c r="N360" t="e">
        <f t="shared" ca="1" si="295"/>
        <v>#N/A</v>
      </c>
      <c r="O360" t="e">
        <f t="shared" ca="1" si="295"/>
        <v>#N/A</v>
      </c>
      <c r="P360" t="e">
        <f t="shared" ca="1" si="295"/>
        <v>#N/A</v>
      </c>
      <c r="Q360" t="e">
        <f t="shared" ca="1" si="295"/>
        <v>#N/A</v>
      </c>
      <c r="R360" t="e">
        <f t="shared" ca="1" si="296"/>
        <v>#N/A</v>
      </c>
      <c r="S360" t="e">
        <f t="shared" ca="1" si="285"/>
        <v>#N/A</v>
      </c>
      <c r="T360" t="e">
        <f t="shared" ca="1" si="297"/>
        <v>#N/A</v>
      </c>
    </row>
    <row r="361" spans="1:20" x14ac:dyDescent="0.25">
      <c r="A361" s="1"/>
      <c r="B361" s="1" t="e">
        <f t="shared" si="286"/>
        <v>#N/A</v>
      </c>
      <c r="C361" s="1">
        <f t="shared" si="287"/>
        <v>359</v>
      </c>
      <c r="D361" t="e">
        <f t="shared" ca="1" si="288"/>
        <v>#N/A</v>
      </c>
      <c r="E361" t="e">
        <f t="shared" ca="1" si="289"/>
        <v>#N/A</v>
      </c>
      <c r="F361" t="e">
        <f t="shared" ca="1" si="290"/>
        <v>#N/A</v>
      </c>
      <c r="G361" t="e">
        <f t="shared" ca="1" si="291"/>
        <v>#N/A</v>
      </c>
      <c r="H361" t="e">
        <f t="shared" ca="1" si="292"/>
        <v>#N/A</v>
      </c>
      <c r="I361" t="e">
        <f t="shared" ca="1" si="293"/>
        <v>#N/A</v>
      </c>
      <c r="J361" t="e">
        <f t="shared" ca="1" si="294"/>
        <v>#N/A</v>
      </c>
      <c r="K361" t="e">
        <f t="shared" ca="1" si="295"/>
        <v>#N/A</v>
      </c>
      <c r="L361" t="e">
        <f t="shared" ca="1" si="295"/>
        <v>#N/A</v>
      </c>
      <c r="M361" t="e">
        <f t="shared" ca="1" si="295"/>
        <v>#N/A</v>
      </c>
      <c r="N361" t="e">
        <f t="shared" ca="1" si="295"/>
        <v>#N/A</v>
      </c>
      <c r="O361" t="e">
        <f t="shared" ca="1" si="295"/>
        <v>#N/A</v>
      </c>
      <c r="P361" t="e">
        <f t="shared" ca="1" si="295"/>
        <v>#N/A</v>
      </c>
      <c r="Q361" t="e">
        <f t="shared" ca="1" si="295"/>
        <v>#N/A</v>
      </c>
      <c r="R361" t="e">
        <f t="shared" ca="1" si="296"/>
        <v>#N/A</v>
      </c>
      <c r="S361" t="e">
        <f t="shared" ca="1" si="285"/>
        <v>#N/A</v>
      </c>
      <c r="T361" t="e">
        <f t="shared" ca="1" si="297"/>
        <v>#N/A</v>
      </c>
    </row>
    <row r="362" spans="1:20" x14ac:dyDescent="0.25">
      <c r="A362" s="1"/>
      <c r="B362" s="1" t="e">
        <f t="shared" si="286"/>
        <v>#N/A</v>
      </c>
      <c r="C362" s="1">
        <f t="shared" si="287"/>
        <v>360</v>
      </c>
      <c r="D362" t="e">
        <f t="shared" ca="1" si="288"/>
        <v>#N/A</v>
      </c>
      <c r="E362" t="e">
        <f t="shared" ca="1" si="289"/>
        <v>#N/A</v>
      </c>
      <c r="F362" t="e">
        <f t="shared" ca="1" si="290"/>
        <v>#N/A</v>
      </c>
      <c r="G362" t="e">
        <f t="shared" ca="1" si="291"/>
        <v>#N/A</v>
      </c>
      <c r="H362" t="e">
        <f t="shared" ca="1" si="292"/>
        <v>#N/A</v>
      </c>
      <c r="I362" t="e">
        <f t="shared" ca="1" si="293"/>
        <v>#N/A</v>
      </c>
      <c r="J362" t="e">
        <f t="shared" ca="1" si="294"/>
        <v>#N/A</v>
      </c>
      <c r="K362" t="e">
        <f t="shared" ca="1" si="295"/>
        <v>#N/A</v>
      </c>
      <c r="L362" t="e">
        <f t="shared" ca="1" si="295"/>
        <v>#N/A</v>
      </c>
      <c r="M362" t="e">
        <f t="shared" ca="1" si="295"/>
        <v>#N/A</v>
      </c>
      <c r="N362" t="e">
        <f t="shared" ca="1" si="295"/>
        <v>#N/A</v>
      </c>
      <c r="O362" t="e">
        <f t="shared" ca="1" si="295"/>
        <v>#N/A</v>
      </c>
      <c r="P362" t="e">
        <f t="shared" ca="1" si="295"/>
        <v>#N/A</v>
      </c>
      <c r="Q362" t="e">
        <f t="shared" ca="1" si="295"/>
        <v>#N/A</v>
      </c>
      <c r="R362" t="e">
        <f t="shared" ca="1" si="296"/>
        <v>#N/A</v>
      </c>
      <c r="S362" t="e">
        <f t="shared" ca="1" si="285"/>
        <v>#N/A</v>
      </c>
      <c r="T362" t="e">
        <f t="shared" ca="1" si="297"/>
        <v>#N/A</v>
      </c>
    </row>
    <row r="363" spans="1:20" x14ac:dyDescent="0.25">
      <c r="A363" s="1"/>
      <c r="B363" s="1" t="e">
        <f t="shared" si="286"/>
        <v>#N/A</v>
      </c>
      <c r="C363" s="1">
        <f t="shared" si="287"/>
        <v>361</v>
      </c>
      <c r="D363" t="e">
        <f t="shared" ca="1" si="288"/>
        <v>#N/A</v>
      </c>
      <c r="E363" t="e">
        <f t="shared" ca="1" si="289"/>
        <v>#N/A</v>
      </c>
      <c r="F363" t="e">
        <f t="shared" ca="1" si="290"/>
        <v>#N/A</v>
      </c>
      <c r="G363" t="e">
        <f t="shared" ca="1" si="291"/>
        <v>#N/A</v>
      </c>
      <c r="H363" t="e">
        <f t="shared" ca="1" si="292"/>
        <v>#N/A</v>
      </c>
      <c r="I363" t="e">
        <f t="shared" ca="1" si="293"/>
        <v>#N/A</v>
      </c>
      <c r="J363" t="e">
        <f t="shared" ca="1" si="294"/>
        <v>#N/A</v>
      </c>
      <c r="K363" t="e">
        <f t="shared" ca="1" si="295"/>
        <v>#N/A</v>
      </c>
      <c r="L363" t="e">
        <f t="shared" ca="1" si="295"/>
        <v>#N/A</v>
      </c>
      <c r="M363" t="e">
        <f t="shared" ca="1" si="295"/>
        <v>#N/A</v>
      </c>
      <c r="N363" t="e">
        <f t="shared" ca="1" si="295"/>
        <v>#N/A</v>
      </c>
      <c r="O363" t="e">
        <f t="shared" ca="1" si="295"/>
        <v>#N/A</v>
      </c>
      <c r="P363" t="e">
        <f t="shared" ca="1" si="295"/>
        <v>#N/A</v>
      </c>
      <c r="Q363" t="e">
        <f t="shared" ca="1" si="295"/>
        <v>#N/A</v>
      </c>
      <c r="R363" t="e">
        <f t="shared" ca="1" si="296"/>
        <v>#N/A</v>
      </c>
      <c r="S363" t="e">
        <f t="shared" ca="1" si="285"/>
        <v>#N/A</v>
      </c>
      <c r="T363" t="e">
        <f t="shared" ca="1" si="297"/>
        <v>#N/A</v>
      </c>
    </row>
    <row r="364" spans="1:20" x14ac:dyDescent="0.25">
      <c r="A364" s="1"/>
      <c r="B364" s="1" t="e">
        <f t="shared" si="286"/>
        <v>#N/A</v>
      </c>
      <c r="C364" s="1">
        <f t="shared" si="287"/>
        <v>362</v>
      </c>
      <c r="D364" t="e">
        <f t="shared" ca="1" si="288"/>
        <v>#N/A</v>
      </c>
      <c r="E364" t="e">
        <f t="shared" ca="1" si="289"/>
        <v>#N/A</v>
      </c>
      <c r="F364" t="e">
        <f t="shared" ca="1" si="290"/>
        <v>#N/A</v>
      </c>
      <c r="G364" t="e">
        <f t="shared" ca="1" si="291"/>
        <v>#N/A</v>
      </c>
      <c r="H364" t="e">
        <f t="shared" ca="1" si="292"/>
        <v>#N/A</v>
      </c>
      <c r="I364" t="e">
        <f t="shared" ca="1" si="293"/>
        <v>#N/A</v>
      </c>
      <c r="J364" t="e">
        <f t="shared" ca="1" si="294"/>
        <v>#N/A</v>
      </c>
      <c r="K364" t="e">
        <f t="shared" ca="1" si="295"/>
        <v>#N/A</v>
      </c>
      <c r="L364" t="e">
        <f t="shared" ca="1" si="295"/>
        <v>#N/A</v>
      </c>
      <c r="M364" t="e">
        <f t="shared" ca="1" si="295"/>
        <v>#N/A</v>
      </c>
      <c r="N364" t="e">
        <f t="shared" ca="1" si="295"/>
        <v>#N/A</v>
      </c>
      <c r="O364" t="e">
        <f t="shared" ca="1" si="295"/>
        <v>#N/A</v>
      </c>
      <c r="P364" t="e">
        <f t="shared" ca="1" si="295"/>
        <v>#N/A</v>
      </c>
      <c r="Q364" t="e">
        <f t="shared" ca="1" si="295"/>
        <v>#N/A</v>
      </c>
      <c r="R364" t="e">
        <f t="shared" ca="1" si="296"/>
        <v>#N/A</v>
      </c>
      <c r="S364" t="e">
        <f t="shared" ca="1" si="285"/>
        <v>#N/A</v>
      </c>
      <c r="T364" t="e">
        <f t="shared" ca="1" si="297"/>
        <v>#N/A</v>
      </c>
    </row>
    <row r="365" spans="1:20" x14ac:dyDescent="0.25">
      <c r="A365" s="1"/>
      <c r="B365" s="1" t="e">
        <f t="shared" si="286"/>
        <v>#N/A</v>
      </c>
      <c r="C365" s="1">
        <f t="shared" si="287"/>
        <v>363</v>
      </c>
      <c r="D365" t="e">
        <f t="shared" ca="1" si="288"/>
        <v>#N/A</v>
      </c>
      <c r="E365" t="e">
        <f t="shared" ca="1" si="289"/>
        <v>#N/A</v>
      </c>
      <c r="F365" t="e">
        <f t="shared" ca="1" si="290"/>
        <v>#N/A</v>
      </c>
      <c r="G365" t="e">
        <f t="shared" ca="1" si="291"/>
        <v>#N/A</v>
      </c>
      <c r="H365" t="e">
        <f t="shared" ca="1" si="292"/>
        <v>#N/A</v>
      </c>
      <c r="I365" t="e">
        <f t="shared" ca="1" si="293"/>
        <v>#N/A</v>
      </c>
      <c r="J365" t="e">
        <f t="shared" ca="1" si="294"/>
        <v>#N/A</v>
      </c>
      <c r="K365" t="e">
        <f t="shared" ca="1" si="295"/>
        <v>#N/A</v>
      </c>
      <c r="L365" t="e">
        <f t="shared" ca="1" si="295"/>
        <v>#N/A</v>
      </c>
      <c r="M365" t="e">
        <f t="shared" ca="1" si="295"/>
        <v>#N/A</v>
      </c>
      <c r="N365" t="e">
        <f t="shared" ca="1" si="295"/>
        <v>#N/A</v>
      </c>
      <c r="O365" t="e">
        <f t="shared" ca="1" si="295"/>
        <v>#N/A</v>
      </c>
      <c r="P365" t="e">
        <f t="shared" ca="1" si="295"/>
        <v>#N/A</v>
      </c>
      <c r="Q365" t="e">
        <f t="shared" ca="1" si="295"/>
        <v>#N/A</v>
      </c>
      <c r="R365" t="e">
        <f t="shared" ca="1" si="296"/>
        <v>#N/A</v>
      </c>
      <c r="S365" t="e">
        <f t="shared" ca="1" si="285"/>
        <v>#N/A</v>
      </c>
      <c r="T365" t="e">
        <f t="shared" ca="1" si="297"/>
        <v>#N/A</v>
      </c>
    </row>
    <row r="366" spans="1:20" x14ac:dyDescent="0.25">
      <c r="A366" s="1"/>
      <c r="B366" s="1" t="e">
        <f t="shared" si="286"/>
        <v>#N/A</v>
      </c>
      <c r="C366" s="1">
        <f t="shared" si="287"/>
        <v>364</v>
      </c>
      <c r="D366" t="e">
        <f t="shared" ca="1" si="288"/>
        <v>#N/A</v>
      </c>
      <c r="E366" t="e">
        <f t="shared" ca="1" si="289"/>
        <v>#N/A</v>
      </c>
      <c r="F366" t="e">
        <f t="shared" ca="1" si="290"/>
        <v>#N/A</v>
      </c>
      <c r="G366" t="e">
        <f t="shared" ca="1" si="291"/>
        <v>#N/A</v>
      </c>
      <c r="H366" t="e">
        <f t="shared" ca="1" si="292"/>
        <v>#N/A</v>
      </c>
      <c r="I366" t="e">
        <f t="shared" ca="1" si="293"/>
        <v>#N/A</v>
      </c>
      <c r="J366" t="e">
        <f t="shared" ca="1" si="294"/>
        <v>#N/A</v>
      </c>
      <c r="K366" t="e">
        <f t="shared" ca="1" si="295"/>
        <v>#N/A</v>
      </c>
      <c r="L366" t="e">
        <f t="shared" ca="1" si="295"/>
        <v>#N/A</v>
      </c>
      <c r="M366" t="e">
        <f t="shared" ca="1" si="295"/>
        <v>#N/A</v>
      </c>
      <c r="N366" t="e">
        <f t="shared" ca="1" si="295"/>
        <v>#N/A</v>
      </c>
      <c r="O366" t="e">
        <f t="shared" ca="1" si="295"/>
        <v>#N/A</v>
      </c>
      <c r="P366" t="e">
        <f t="shared" ca="1" si="295"/>
        <v>#N/A</v>
      </c>
      <c r="Q366" t="e">
        <f t="shared" ca="1" si="295"/>
        <v>#N/A</v>
      </c>
      <c r="R366" t="e">
        <f t="shared" ca="1" si="296"/>
        <v>#N/A</v>
      </c>
      <c r="S366" t="e">
        <f t="shared" ca="1" si="285"/>
        <v>#N/A</v>
      </c>
      <c r="T366" t="e">
        <f t="shared" ca="1" si="297"/>
        <v>#N/A</v>
      </c>
    </row>
    <row r="367" spans="1:20" x14ac:dyDescent="0.25">
      <c r="A367" s="1"/>
      <c r="B367" s="1" t="e">
        <f t="shared" si="286"/>
        <v>#N/A</v>
      </c>
      <c r="C367" s="1">
        <f t="shared" si="287"/>
        <v>365</v>
      </c>
      <c r="D367" t="e">
        <f t="shared" ca="1" si="288"/>
        <v>#N/A</v>
      </c>
      <c r="E367" t="e">
        <f t="shared" ca="1" si="289"/>
        <v>#N/A</v>
      </c>
      <c r="F367" t="e">
        <f t="shared" ca="1" si="290"/>
        <v>#N/A</v>
      </c>
      <c r="G367" t="e">
        <f t="shared" ca="1" si="291"/>
        <v>#N/A</v>
      </c>
      <c r="H367" t="e">
        <f t="shared" ca="1" si="292"/>
        <v>#N/A</v>
      </c>
      <c r="I367" t="e">
        <f t="shared" ca="1" si="293"/>
        <v>#N/A</v>
      </c>
      <c r="J367" t="e">
        <f t="shared" ca="1" si="294"/>
        <v>#N/A</v>
      </c>
      <c r="K367" t="e">
        <f t="shared" ca="1" si="295"/>
        <v>#N/A</v>
      </c>
      <c r="L367" t="e">
        <f t="shared" ca="1" si="295"/>
        <v>#N/A</v>
      </c>
      <c r="M367" t="e">
        <f t="shared" ca="1" si="295"/>
        <v>#N/A</v>
      </c>
      <c r="N367" t="e">
        <f t="shared" ca="1" si="295"/>
        <v>#N/A</v>
      </c>
      <c r="O367" t="e">
        <f t="shared" ca="1" si="295"/>
        <v>#N/A</v>
      </c>
      <c r="P367" t="e">
        <f t="shared" ca="1" si="295"/>
        <v>#N/A</v>
      </c>
      <c r="Q367" t="e">
        <f t="shared" ca="1" si="295"/>
        <v>#N/A</v>
      </c>
      <c r="R367" t="e">
        <f t="shared" ca="1" si="296"/>
        <v>#N/A</v>
      </c>
      <c r="S367" t="e">
        <f t="shared" ref="S367:S382" ca="1" si="298">IF(R340&gt;1.55,1,IF(R340&gt;1.48,0.9,IF(R340&gt;1.4,0.8,IF(R340&gt;1.36666,0.6,IF(R340&gt;1.33333,0.4,IF(R340&gt;1.22,0.2,IF(R340&gt;1,0.1,0)))))))</f>
        <v>#N/A</v>
      </c>
      <c r="T367" t="e">
        <f t="shared" ca="1" si="297"/>
        <v>#N/A</v>
      </c>
    </row>
    <row r="368" spans="1:20" x14ac:dyDescent="0.25">
      <c r="A368" s="1"/>
      <c r="B368" s="1" t="e">
        <f t="shared" si="286"/>
        <v>#N/A</v>
      </c>
      <c r="C368" s="1">
        <f t="shared" si="287"/>
        <v>366</v>
      </c>
      <c r="D368" t="e">
        <f t="shared" ca="1" si="288"/>
        <v>#N/A</v>
      </c>
      <c r="E368" t="e">
        <f t="shared" ca="1" si="289"/>
        <v>#N/A</v>
      </c>
      <c r="F368" t="e">
        <f t="shared" ca="1" si="290"/>
        <v>#N/A</v>
      </c>
      <c r="G368" t="e">
        <f t="shared" ca="1" si="291"/>
        <v>#N/A</v>
      </c>
      <c r="H368" t="e">
        <f t="shared" ca="1" si="292"/>
        <v>#N/A</v>
      </c>
      <c r="I368" t="e">
        <f t="shared" ca="1" si="293"/>
        <v>#N/A</v>
      </c>
      <c r="J368" t="e">
        <f t="shared" ca="1" si="294"/>
        <v>#N/A</v>
      </c>
      <c r="K368" t="e">
        <f t="shared" ca="1" si="295"/>
        <v>#N/A</v>
      </c>
      <c r="L368" t="e">
        <f t="shared" ca="1" si="295"/>
        <v>#N/A</v>
      </c>
      <c r="M368" t="e">
        <f t="shared" ca="1" si="295"/>
        <v>#N/A</v>
      </c>
      <c r="N368" t="e">
        <f t="shared" ca="1" si="295"/>
        <v>#N/A</v>
      </c>
      <c r="O368" t="e">
        <f t="shared" ca="1" si="295"/>
        <v>#N/A</v>
      </c>
      <c r="P368" t="e">
        <f t="shared" ca="1" si="295"/>
        <v>#N/A</v>
      </c>
      <c r="Q368" t="e">
        <f t="shared" ca="1" si="295"/>
        <v>#N/A</v>
      </c>
      <c r="R368" t="e">
        <f t="shared" ca="1" si="296"/>
        <v>#N/A</v>
      </c>
      <c r="S368" t="e">
        <f t="shared" ca="1" si="298"/>
        <v>#N/A</v>
      </c>
      <c r="T368" t="e">
        <f t="shared" ca="1" si="297"/>
        <v>#N/A</v>
      </c>
    </row>
    <row r="369" spans="1:20" x14ac:dyDescent="0.25">
      <c r="A369" s="1"/>
      <c r="B369" s="1" t="e">
        <f t="shared" si="286"/>
        <v>#N/A</v>
      </c>
      <c r="C369" s="1">
        <f t="shared" si="287"/>
        <v>367</v>
      </c>
      <c r="D369" t="e">
        <f t="shared" ca="1" si="288"/>
        <v>#N/A</v>
      </c>
      <c r="E369" t="e">
        <f t="shared" ca="1" si="289"/>
        <v>#N/A</v>
      </c>
      <c r="F369" t="e">
        <f t="shared" ca="1" si="290"/>
        <v>#N/A</v>
      </c>
      <c r="G369" t="e">
        <f t="shared" ca="1" si="291"/>
        <v>#N/A</v>
      </c>
      <c r="H369" t="e">
        <f t="shared" ca="1" si="292"/>
        <v>#N/A</v>
      </c>
      <c r="I369" t="e">
        <f t="shared" ca="1" si="293"/>
        <v>#N/A</v>
      </c>
      <c r="J369" t="e">
        <f t="shared" ca="1" si="294"/>
        <v>#N/A</v>
      </c>
      <c r="K369" t="e">
        <f t="shared" ca="1" si="295"/>
        <v>#N/A</v>
      </c>
      <c r="L369" t="e">
        <f t="shared" ca="1" si="295"/>
        <v>#N/A</v>
      </c>
      <c r="M369" t="e">
        <f t="shared" ca="1" si="295"/>
        <v>#N/A</v>
      </c>
      <c r="N369" t="e">
        <f t="shared" ca="1" si="295"/>
        <v>#N/A</v>
      </c>
      <c r="O369" t="e">
        <f t="shared" ca="1" si="295"/>
        <v>#N/A</v>
      </c>
      <c r="P369" t="e">
        <f t="shared" ca="1" si="295"/>
        <v>#N/A</v>
      </c>
      <c r="Q369" t="e">
        <f t="shared" ca="1" si="295"/>
        <v>#N/A</v>
      </c>
      <c r="R369" t="e">
        <f t="shared" ca="1" si="296"/>
        <v>#N/A</v>
      </c>
      <c r="S369" t="e">
        <f t="shared" ca="1" si="298"/>
        <v>#N/A</v>
      </c>
      <c r="T369" t="e">
        <f t="shared" ca="1" si="297"/>
        <v>#N/A</v>
      </c>
    </row>
    <row r="370" spans="1:20" x14ac:dyDescent="0.25">
      <c r="A370" s="1"/>
      <c r="B370" s="1" t="e">
        <f t="shared" si="286"/>
        <v>#N/A</v>
      </c>
      <c r="C370" s="1">
        <f t="shared" si="287"/>
        <v>368</v>
      </c>
      <c r="D370" t="e">
        <f t="shared" ca="1" si="288"/>
        <v>#N/A</v>
      </c>
      <c r="E370" t="e">
        <f t="shared" ca="1" si="289"/>
        <v>#N/A</v>
      </c>
      <c r="F370" t="e">
        <f t="shared" ca="1" si="290"/>
        <v>#N/A</v>
      </c>
      <c r="G370" t="e">
        <f t="shared" ca="1" si="291"/>
        <v>#N/A</v>
      </c>
      <c r="H370" t="e">
        <f t="shared" ca="1" si="292"/>
        <v>#N/A</v>
      </c>
      <c r="I370" t="e">
        <f t="shared" ca="1" si="293"/>
        <v>#N/A</v>
      </c>
      <c r="J370" t="e">
        <f t="shared" ca="1" si="294"/>
        <v>#N/A</v>
      </c>
      <c r="K370" t="e">
        <f t="shared" ca="1" si="295"/>
        <v>#N/A</v>
      </c>
      <c r="L370" t="e">
        <f t="shared" ca="1" si="295"/>
        <v>#N/A</v>
      </c>
      <c r="M370" t="e">
        <f t="shared" ca="1" si="295"/>
        <v>#N/A</v>
      </c>
      <c r="N370" t="e">
        <f t="shared" ca="1" si="295"/>
        <v>#N/A</v>
      </c>
      <c r="O370" t="e">
        <f t="shared" ca="1" si="295"/>
        <v>#N/A</v>
      </c>
      <c r="P370" t="e">
        <f t="shared" ca="1" si="295"/>
        <v>#N/A</v>
      </c>
      <c r="Q370" t="e">
        <f t="shared" ca="1" si="295"/>
        <v>#N/A</v>
      </c>
      <c r="R370" t="e">
        <f t="shared" ca="1" si="296"/>
        <v>#N/A</v>
      </c>
      <c r="S370" t="e">
        <f t="shared" ca="1" si="298"/>
        <v>#N/A</v>
      </c>
      <c r="T370" t="e">
        <f t="shared" ca="1" si="297"/>
        <v>#N/A</v>
      </c>
    </row>
    <row r="371" spans="1:20" x14ac:dyDescent="0.25">
      <c r="A371" s="1"/>
      <c r="B371" s="1" t="e">
        <f t="shared" ref="B371:B386" si="299">LOOKUP($A371,$V$4:$V$23,$W$4:$W$23)</f>
        <v>#N/A</v>
      </c>
      <c r="C371" s="1">
        <f t="shared" si="287"/>
        <v>369</v>
      </c>
      <c r="D371" t="e">
        <f t="shared" ca="1" si="288"/>
        <v>#N/A</v>
      </c>
      <c r="E371" t="e">
        <f t="shared" ca="1" si="289"/>
        <v>#N/A</v>
      </c>
      <c r="F371" t="e">
        <f t="shared" ca="1" si="290"/>
        <v>#N/A</v>
      </c>
      <c r="G371" t="e">
        <f t="shared" ca="1" si="291"/>
        <v>#N/A</v>
      </c>
      <c r="H371" t="e">
        <f t="shared" ca="1" si="292"/>
        <v>#N/A</v>
      </c>
      <c r="I371" t="e">
        <f t="shared" ca="1" si="293"/>
        <v>#N/A</v>
      </c>
      <c r="J371" t="e">
        <f t="shared" ca="1" si="294"/>
        <v>#N/A</v>
      </c>
      <c r="K371" t="e">
        <f t="shared" ca="1" si="295"/>
        <v>#N/A</v>
      </c>
      <c r="L371" t="e">
        <f t="shared" ca="1" si="295"/>
        <v>#N/A</v>
      </c>
      <c r="M371" t="e">
        <f t="shared" ca="1" si="295"/>
        <v>#N/A</v>
      </c>
      <c r="N371" t="e">
        <f t="shared" ca="1" si="295"/>
        <v>#N/A</v>
      </c>
      <c r="O371" t="e">
        <f t="shared" ca="1" si="295"/>
        <v>#N/A</v>
      </c>
      <c r="P371" t="e">
        <f t="shared" ca="1" si="295"/>
        <v>#N/A</v>
      </c>
      <c r="Q371" t="e">
        <f t="shared" ca="1" si="295"/>
        <v>#N/A</v>
      </c>
      <c r="R371" t="e">
        <f t="shared" ca="1" si="296"/>
        <v>#N/A</v>
      </c>
      <c r="S371" t="e">
        <f t="shared" ca="1" si="298"/>
        <v>#N/A</v>
      </c>
      <c r="T371" t="e">
        <f t="shared" ca="1" si="297"/>
        <v>#N/A</v>
      </c>
    </row>
    <row r="372" spans="1:20" x14ac:dyDescent="0.25">
      <c r="A372" s="1"/>
      <c r="B372" s="1" t="e">
        <f t="shared" si="299"/>
        <v>#N/A</v>
      </c>
      <c r="C372" s="1">
        <f t="shared" ref="C372:C387" si="300">C371+1</f>
        <v>370</v>
      </c>
      <c r="D372" t="e">
        <f t="shared" ref="D372:D387" ca="1" si="301">OFFSET($X$4,$B372,MOD($C372,7),1,1)</f>
        <v>#N/A</v>
      </c>
      <c r="E372" t="e">
        <f t="shared" ref="E372:E387" ca="1" si="302">OFFSET($X$4,$B372,MOD($C372+1,7),1,1)</f>
        <v>#N/A</v>
      </c>
      <c r="F372" t="e">
        <f t="shared" ref="F372:F387" ca="1" si="303">OFFSET($X$4,$B372,MOD($C372+2,7),1,1)</f>
        <v>#N/A</v>
      </c>
      <c r="G372" t="e">
        <f t="shared" ref="G372:G387" ca="1" si="304">OFFSET($X$4,$B372,MOD($C372+3,7),1,1)</f>
        <v>#N/A</v>
      </c>
      <c r="H372" t="e">
        <f t="shared" ref="H372:H387" ca="1" si="305">OFFSET($X$4,$B372,MOD($C372+4,7),1,1)</f>
        <v>#N/A</v>
      </c>
      <c r="I372" t="e">
        <f t="shared" ref="I372:I387" ca="1" si="306">OFFSET($X$4,$B372,MOD($C372+5,7),1,1)</f>
        <v>#N/A</v>
      </c>
      <c r="J372" t="e">
        <f t="shared" ref="J372:J387" ca="1" si="307">OFFSET($X$4,$B372,MOD($C372+6,7),1,1)</f>
        <v>#N/A</v>
      </c>
      <c r="K372" t="e">
        <f t="shared" ref="K372:Q387" ca="1" si="308">POWER(PRODUCT(D372:D399),1/28)</f>
        <v>#N/A</v>
      </c>
      <c r="L372" t="e">
        <f t="shared" ca="1" si="308"/>
        <v>#N/A</v>
      </c>
      <c r="M372" t="e">
        <f t="shared" ca="1" si="308"/>
        <v>#N/A</v>
      </c>
      <c r="N372" t="e">
        <f t="shared" ca="1" si="308"/>
        <v>#N/A</v>
      </c>
      <c r="O372" t="e">
        <f t="shared" ca="1" si="308"/>
        <v>#N/A</v>
      </c>
      <c r="P372" t="e">
        <f t="shared" ca="1" si="308"/>
        <v>#N/A</v>
      </c>
      <c r="Q372" t="e">
        <f t="shared" ca="1" si="308"/>
        <v>#N/A</v>
      </c>
      <c r="R372" t="e">
        <f t="shared" ref="R372:R387" ca="1" si="309">MAX(K372:Q372)</f>
        <v>#N/A</v>
      </c>
      <c r="S372" t="e">
        <f t="shared" ca="1" si="298"/>
        <v>#N/A</v>
      </c>
      <c r="T372" t="e">
        <f t="shared" ref="T372:T387" ca="1" si="310">MAX(S372:S399)</f>
        <v>#N/A</v>
      </c>
    </row>
    <row r="373" spans="1:20" x14ac:dyDescent="0.25">
      <c r="A373" s="1"/>
      <c r="B373" s="1" t="e">
        <f t="shared" si="299"/>
        <v>#N/A</v>
      </c>
      <c r="C373" s="1">
        <f t="shared" si="300"/>
        <v>371</v>
      </c>
      <c r="D373" t="e">
        <f t="shared" ca="1" si="301"/>
        <v>#N/A</v>
      </c>
      <c r="E373" t="e">
        <f t="shared" ca="1" si="302"/>
        <v>#N/A</v>
      </c>
      <c r="F373" t="e">
        <f t="shared" ca="1" si="303"/>
        <v>#N/A</v>
      </c>
      <c r="G373" t="e">
        <f t="shared" ca="1" si="304"/>
        <v>#N/A</v>
      </c>
      <c r="H373" t="e">
        <f t="shared" ca="1" si="305"/>
        <v>#N/A</v>
      </c>
      <c r="I373" t="e">
        <f t="shared" ca="1" si="306"/>
        <v>#N/A</v>
      </c>
      <c r="J373" t="e">
        <f t="shared" ca="1" si="307"/>
        <v>#N/A</v>
      </c>
      <c r="K373" t="e">
        <f t="shared" ca="1" si="308"/>
        <v>#N/A</v>
      </c>
      <c r="L373" t="e">
        <f t="shared" ca="1" si="308"/>
        <v>#N/A</v>
      </c>
      <c r="M373" t="e">
        <f t="shared" ca="1" si="308"/>
        <v>#N/A</v>
      </c>
      <c r="N373" t="e">
        <f t="shared" ca="1" si="308"/>
        <v>#N/A</v>
      </c>
      <c r="O373" t="e">
        <f t="shared" ca="1" si="308"/>
        <v>#N/A</v>
      </c>
      <c r="P373" t="e">
        <f t="shared" ca="1" si="308"/>
        <v>#N/A</v>
      </c>
      <c r="Q373" t="e">
        <f t="shared" ca="1" si="308"/>
        <v>#N/A</v>
      </c>
      <c r="R373" t="e">
        <f t="shared" ca="1" si="309"/>
        <v>#N/A</v>
      </c>
      <c r="S373" t="e">
        <f t="shared" ca="1" si="298"/>
        <v>#N/A</v>
      </c>
      <c r="T373" t="e">
        <f ca="1">MAX(S373:S400)</f>
        <v>#N/A</v>
      </c>
    </row>
    <row r="374" spans="1:20" x14ac:dyDescent="0.25">
      <c r="A374" s="1"/>
      <c r="B374" s="1" t="e">
        <f t="shared" si="299"/>
        <v>#N/A</v>
      </c>
      <c r="C374" s="1">
        <f t="shared" si="300"/>
        <v>372</v>
      </c>
      <c r="D374" t="e">
        <f t="shared" ca="1" si="301"/>
        <v>#N/A</v>
      </c>
      <c r="E374" t="e">
        <f t="shared" ca="1" si="302"/>
        <v>#N/A</v>
      </c>
      <c r="F374" t="e">
        <f t="shared" ca="1" si="303"/>
        <v>#N/A</v>
      </c>
      <c r="G374" t="e">
        <f t="shared" ca="1" si="304"/>
        <v>#N/A</v>
      </c>
      <c r="H374" t="e">
        <f t="shared" ca="1" si="305"/>
        <v>#N/A</v>
      </c>
      <c r="I374" t="e">
        <f t="shared" ca="1" si="306"/>
        <v>#N/A</v>
      </c>
      <c r="J374" t="e">
        <f t="shared" ca="1" si="307"/>
        <v>#N/A</v>
      </c>
      <c r="K374" t="e">
        <f t="shared" ca="1" si="308"/>
        <v>#N/A</v>
      </c>
      <c r="L374" t="e">
        <f t="shared" ca="1" si="308"/>
        <v>#N/A</v>
      </c>
      <c r="M374" t="e">
        <f t="shared" ca="1" si="308"/>
        <v>#N/A</v>
      </c>
      <c r="N374" t="e">
        <f t="shared" ca="1" si="308"/>
        <v>#N/A</v>
      </c>
      <c r="O374" t="e">
        <f t="shared" ca="1" si="308"/>
        <v>#N/A</v>
      </c>
      <c r="P374" t="e">
        <f t="shared" ca="1" si="308"/>
        <v>#N/A</v>
      </c>
      <c r="Q374" t="e">
        <f t="shared" ca="1" si="308"/>
        <v>#N/A</v>
      </c>
      <c r="R374" t="e">
        <f t="shared" ca="1" si="309"/>
        <v>#N/A</v>
      </c>
      <c r="S374" t="e">
        <f t="shared" ca="1" si="298"/>
        <v>#N/A</v>
      </c>
      <c r="T374" t="e">
        <f ca="1">MAX(S374:S400)</f>
        <v>#N/A</v>
      </c>
    </row>
    <row r="375" spans="1:20" x14ac:dyDescent="0.25">
      <c r="A375" s="1"/>
      <c r="B375" s="1" t="e">
        <f t="shared" si="299"/>
        <v>#N/A</v>
      </c>
      <c r="C375" s="1">
        <f t="shared" si="300"/>
        <v>373</v>
      </c>
      <c r="D375" t="e">
        <f t="shared" ca="1" si="301"/>
        <v>#N/A</v>
      </c>
      <c r="E375" t="e">
        <f t="shared" ca="1" si="302"/>
        <v>#N/A</v>
      </c>
      <c r="F375" t="e">
        <f t="shared" ca="1" si="303"/>
        <v>#N/A</v>
      </c>
      <c r="G375" t="e">
        <f t="shared" ca="1" si="304"/>
        <v>#N/A</v>
      </c>
      <c r="H375" t="e">
        <f t="shared" ca="1" si="305"/>
        <v>#N/A</v>
      </c>
      <c r="I375" t="e">
        <f t="shared" ca="1" si="306"/>
        <v>#N/A</v>
      </c>
      <c r="J375" t="e">
        <f t="shared" ca="1" si="307"/>
        <v>#N/A</v>
      </c>
      <c r="K375" t="e">
        <f t="shared" ca="1" si="308"/>
        <v>#N/A</v>
      </c>
      <c r="L375" t="e">
        <f t="shared" ca="1" si="308"/>
        <v>#N/A</v>
      </c>
      <c r="M375" t="e">
        <f t="shared" ca="1" si="308"/>
        <v>#N/A</v>
      </c>
      <c r="N375" t="e">
        <f t="shared" ca="1" si="308"/>
        <v>#N/A</v>
      </c>
      <c r="O375" t="e">
        <f t="shared" ca="1" si="308"/>
        <v>#N/A</v>
      </c>
      <c r="P375" t="e">
        <f t="shared" ca="1" si="308"/>
        <v>#N/A</v>
      </c>
      <c r="Q375" t="e">
        <f t="shared" ca="1" si="308"/>
        <v>#N/A</v>
      </c>
      <c r="R375" t="e">
        <f t="shared" ca="1" si="309"/>
        <v>#N/A</v>
      </c>
      <c r="S375" t="e">
        <f t="shared" ca="1" si="298"/>
        <v>#N/A</v>
      </c>
      <c r="T375" t="e">
        <f t="shared" ca="1" si="310"/>
        <v>#N/A</v>
      </c>
    </row>
    <row r="376" spans="1:20" x14ac:dyDescent="0.25">
      <c r="A376" s="1"/>
      <c r="B376" s="1" t="e">
        <f t="shared" si="299"/>
        <v>#N/A</v>
      </c>
      <c r="C376" s="1">
        <f t="shared" si="300"/>
        <v>374</v>
      </c>
      <c r="D376" t="e">
        <f t="shared" ca="1" si="301"/>
        <v>#N/A</v>
      </c>
      <c r="E376" t="e">
        <f t="shared" ca="1" si="302"/>
        <v>#N/A</v>
      </c>
      <c r="F376" t="e">
        <f t="shared" ca="1" si="303"/>
        <v>#N/A</v>
      </c>
      <c r="G376" t="e">
        <f t="shared" ca="1" si="304"/>
        <v>#N/A</v>
      </c>
      <c r="H376" t="e">
        <f t="shared" ca="1" si="305"/>
        <v>#N/A</v>
      </c>
      <c r="I376" t="e">
        <f t="shared" ca="1" si="306"/>
        <v>#N/A</v>
      </c>
      <c r="J376" t="e">
        <f t="shared" ca="1" si="307"/>
        <v>#N/A</v>
      </c>
      <c r="K376" t="e">
        <f t="shared" ca="1" si="308"/>
        <v>#N/A</v>
      </c>
      <c r="L376" t="e">
        <f t="shared" ca="1" si="308"/>
        <v>#N/A</v>
      </c>
      <c r="M376" t="e">
        <f t="shared" ca="1" si="308"/>
        <v>#N/A</v>
      </c>
      <c r="N376" t="e">
        <f t="shared" ca="1" si="308"/>
        <v>#N/A</v>
      </c>
      <c r="O376" t="e">
        <f t="shared" ca="1" si="308"/>
        <v>#N/A</v>
      </c>
      <c r="P376" t="e">
        <f t="shared" ca="1" si="308"/>
        <v>#N/A</v>
      </c>
      <c r="Q376" t="e">
        <f t="shared" ca="1" si="308"/>
        <v>#N/A</v>
      </c>
      <c r="R376" t="e">
        <f t="shared" ca="1" si="309"/>
        <v>#N/A</v>
      </c>
      <c r="S376" t="e">
        <f t="shared" ca="1" si="298"/>
        <v>#N/A</v>
      </c>
      <c r="T376" t="e">
        <f t="shared" ca="1" si="310"/>
        <v>#N/A</v>
      </c>
    </row>
    <row r="377" spans="1:20" x14ac:dyDescent="0.25">
      <c r="A377" s="1"/>
      <c r="B377" s="1" t="e">
        <f t="shared" si="299"/>
        <v>#N/A</v>
      </c>
      <c r="C377" s="1">
        <f t="shared" si="300"/>
        <v>375</v>
      </c>
      <c r="D377" t="e">
        <f t="shared" ca="1" si="301"/>
        <v>#N/A</v>
      </c>
      <c r="E377" t="e">
        <f t="shared" ca="1" si="302"/>
        <v>#N/A</v>
      </c>
      <c r="F377" t="e">
        <f t="shared" ca="1" si="303"/>
        <v>#N/A</v>
      </c>
      <c r="G377" t="e">
        <f t="shared" ca="1" si="304"/>
        <v>#N/A</v>
      </c>
      <c r="H377" t="e">
        <f t="shared" ca="1" si="305"/>
        <v>#N/A</v>
      </c>
      <c r="I377" t="e">
        <f t="shared" ca="1" si="306"/>
        <v>#N/A</v>
      </c>
      <c r="J377" t="e">
        <f t="shared" ca="1" si="307"/>
        <v>#N/A</v>
      </c>
      <c r="K377" t="e">
        <f t="shared" ca="1" si="308"/>
        <v>#N/A</v>
      </c>
      <c r="L377" t="e">
        <f t="shared" ca="1" si="308"/>
        <v>#N/A</v>
      </c>
      <c r="M377" t="e">
        <f t="shared" ca="1" si="308"/>
        <v>#N/A</v>
      </c>
      <c r="N377" t="e">
        <f t="shared" ca="1" si="308"/>
        <v>#N/A</v>
      </c>
      <c r="O377" t="e">
        <f t="shared" ca="1" si="308"/>
        <v>#N/A</v>
      </c>
      <c r="P377" t="e">
        <f t="shared" ca="1" si="308"/>
        <v>#N/A</v>
      </c>
      <c r="Q377" t="e">
        <f t="shared" ca="1" si="308"/>
        <v>#N/A</v>
      </c>
      <c r="R377" t="e">
        <f t="shared" ca="1" si="309"/>
        <v>#N/A</v>
      </c>
      <c r="S377" t="e">
        <f t="shared" ca="1" si="298"/>
        <v>#N/A</v>
      </c>
      <c r="T377" t="e">
        <f t="shared" ca="1" si="310"/>
        <v>#N/A</v>
      </c>
    </row>
    <row r="378" spans="1:20" x14ac:dyDescent="0.25">
      <c r="A378" s="1"/>
      <c r="B378" s="1" t="e">
        <f t="shared" si="299"/>
        <v>#N/A</v>
      </c>
      <c r="C378" s="1">
        <f t="shared" si="300"/>
        <v>376</v>
      </c>
      <c r="D378" t="e">
        <f t="shared" ca="1" si="301"/>
        <v>#N/A</v>
      </c>
      <c r="E378" t="e">
        <f t="shared" ca="1" si="302"/>
        <v>#N/A</v>
      </c>
      <c r="F378" t="e">
        <f t="shared" ca="1" si="303"/>
        <v>#N/A</v>
      </c>
      <c r="G378" t="e">
        <f t="shared" ca="1" si="304"/>
        <v>#N/A</v>
      </c>
      <c r="H378" t="e">
        <f t="shared" ca="1" si="305"/>
        <v>#N/A</v>
      </c>
      <c r="I378" t="e">
        <f t="shared" ca="1" si="306"/>
        <v>#N/A</v>
      </c>
      <c r="J378" t="e">
        <f t="shared" ca="1" si="307"/>
        <v>#N/A</v>
      </c>
      <c r="K378" t="e">
        <f t="shared" ca="1" si="308"/>
        <v>#N/A</v>
      </c>
      <c r="L378" t="e">
        <f t="shared" ca="1" si="308"/>
        <v>#N/A</v>
      </c>
      <c r="M378" t="e">
        <f t="shared" ca="1" si="308"/>
        <v>#N/A</v>
      </c>
      <c r="N378" t="e">
        <f t="shared" ca="1" si="308"/>
        <v>#N/A</v>
      </c>
      <c r="O378" t="e">
        <f t="shared" ca="1" si="308"/>
        <v>#N/A</v>
      </c>
      <c r="P378" t="e">
        <f t="shared" ca="1" si="308"/>
        <v>#N/A</v>
      </c>
      <c r="Q378" t="e">
        <f t="shared" ca="1" si="308"/>
        <v>#N/A</v>
      </c>
      <c r="R378" t="e">
        <f t="shared" ca="1" si="309"/>
        <v>#N/A</v>
      </c>
      <c r="S378" t="e">
        <f t="shared" ca="1" si="298"/>
        <v>#N/A</v>
      </c>
      <c r="T378" t="e">
        <f t="shared" ca="1" si="310"/>
        <v>#N/A</v>
      </c>
    </row>
    <row r="379" spans="1:20" x14ac:dyDescent="0.25">
      <c r="A379" s="1"/>
      <c r="B379" s="1" t="e">
        <f t="shared" si="299"/>
        <v>#N/A</v>
      </c>
      <c r="C379" s="1">
        <f t="shared" si="300"/>
        <v>377</v>
      </c>
      <c r="D379" t="e">
        <f t="shared" ca="1" si="301"/>
        <v>#N/A</v>
      </c>
      <c r="E379" t="e">
        <f t="shared" ca="1" si="302"/>
        <v>#N/A</v>
      </c>
      <c r="F379" t="e">
        <f t="shared" ca="1" si="303"/>
        <v>#N/A</v>
      </c>
      <c r="G379" t="e">
        <f t="shared" ca="1" si="304"/>
        <v>#N/A</v>
      </c>
      <c r="H379" t="e">
        <f t="shared" ca="1" si="305"/>
        <v>#N/A</v>
      </c>
      <c r="I379" t="e">
        <f t="shared" ca="1" si="306"/>
        <v>#N/A</v>
      </c>
      <c r="J379" t="e">
        <f t="shared" ca="1" si="307"/>
        <v>#N/A</v>
      </c>
      <c r="K379" t="e">
        <f t="shared" ca="1" si="308"/>
        <v>#N/A</v>
      </c>
      <c r="L379" t="e">
        <f t="shared" ca="1" si="308"/>
        <v>#N/A</v>
      </c>
      <c r="M379" t="e">
        <f t="shared" ca="1" si="308"/>
        <v>#N/A</v>
      </c>
      <c r="N379" t="e">
        <f t="shared" ca="1" si="308"/>
        <v>#N/A</v>
      </c>
      <c r="O379" t="e">
        <f t="shared" ca="1" si="308"/>
        <v>#N/A</v>
      </c>
      <c r="P379" t="e">
        <f t="shared" ca="1" si="308"/>
        <v>#N/A</v>
      </c>
      <c r="Q379" t="e">
        <f t="shared" ca="1" si="308"/>
        <v>#N/A</v>
      </c>
      <c r="R379" t="e">
        <f t="shared" ca="1" si="309"/>
        <v>#N/A</v>
      </c>
      <c r="S379" t="e">
        <f t="shared" ca="1" si="298"/>
        <v>#N/A</v>
      </c>
      <c r="T379" t="e">
        <f t="shared" ca="1" si="310"/>
        <v>#N/A</v>
      </c>
    </row>
    <row r="380" spans="1:20" x14ac:dyDescent="0.25">
      <c r="A380" s="1"/>
      <c r="B380" s="1" t="e">
        <f t="shared" si="299"/>
        <v>#N/A</v>
      </c>
      <c r="C380" s="1">
        <f t="shared" si="300"/>
        <v>378</v>
      </c>
      <c r="D380" t="e">
        <f t="shared" ca="1" si="301"/>
        <v>#N/A</v>
      </c>
      <c r="E380" t="e">
        <f t="shared" ca="1" si="302"/>
        <v>#N/A</v>
      </c>
      <c r="F380" t="e">
        <f t="shared" ca="1" si="303"/>
        <v>#N/A</v>
      </c>
      <c r="G380" t="e">
        <f t="shared" ca="1" si="304"/>
        <v>#N/A</v>
      </c>
      <c r="H380" t="e">
        <f t="shared" ca="1" si="305"/>
        <v>#N/A</v>
      </c>
      <c r="I380" t="e">
        <f t="shared" ca="1" si="306"/>
        <v>#N/A</v>
      </c>
      <c r="J380" t="e">
        <f t="shared" ca="1" si="307"/>
        <v>#N/A</v>
      </c>
      <c r="K380" t="e">
        <f t="shared" ca="1" si="308"/>
        <v>#N/A</v>
      </c>
      <c r="L380" t="e">
        <f t="shared" ca="1" si="308"/>
        <v>#N/A</v>
      </c>
      <c r="M380" t="e">
        <f t="shared" ca="1" si="308"/>
        <v>#N/A</v>
      </c>
      <c r="N380" t="e">
        <f t="shared" ca="1" si="308"/>
        <v>#N/A</v>
      </c>
      <c r="O380" t="e">
        <f t="shared" ca="1" si="308"/>
        <v>#N/A</v>
      </c>
      <c r="P380" t="e">
        <f t="shared" ca="1" si="308"/>
        <v>#N/A</v>
      </c>
      <c r="Q380" t="e">
        <f t="shared" ca="1" si="308"/>
        <v>#N/A</v>
      </c>
      <c r="R380" t="e">
        <f t="shared" ca="1" si="309"/>
        <v>#N/A</v>
      </c>
      <c r="S380" t="e">
        <f t="shared" ca="1" si="298"/>
        <v>#N/A</v>
      </c>
      <c r="T380" t="e">
        <f t="shared" ca="1" si="310"/>
        <v>#N/A</v>
      </c>
    </row>
    <row r="381" spans="1:20" x14ac:dyDescent="0.25">
      <c r="A381" s="1"/>
      <c r="B381" s="1" t="e">
        <f t="shared" si="299"/>
        <v>#N/A</v>
      </c>
      <c r="C381" s="1">
        <f t="shared" si="300"/>
        <v>379</v>
      </c>
      <c r="D381" t="e">
        <f t="shared" ca="1" si="301"/>
        <v>#N/A</v>
      </c>
      <c r="E381" t="e">
        <f t="shared" ca="1" si="302"/>
        <v>#N/A</v>
      </c>
      <c r="F381" t="e">
        <f t="shared" ca="1" si="303"/>
        <v>#N/A</v>
      </c>
      <c r="G381" t="e">
        <f t="shared" ca="1" si="304"/>
        <v>#N/A</v>
      </c>
      <c r="H381" t="e">
        <f t="shared" ca="1" si="305"/>
        <v>#N/A</v>
      </c>
      <c r="I381" t="e">
        <f t="shared" ca="1" si="306"/>
        <v>#N/A</v>
      </c>
      <c r="J381" t="e">
        <f t="shared" ca="1" si="307"/>
        <v>#N/A</v>
      </c>
      <c r="K381" t="e">
        <f t="shared" ca="1" si="308"/>
        <v>#N/A</v>
      </c>
      <c r="L381" t="e">
        <f t="shared" ca="1" si="308"/>
        <v>#N/A</v>
      </c>
      <c r="M381" t="e">
        <f t="shared" ca="1" si="308"/>
        <v>#N/A</v>
      </c>
      <c r="N381" t="e">
        <f t="shared" ca="1" si="308"/>
        <v>#N/A</v>
      </c>
      <c r="O381" t="e">
        <f t="shared" ca="1" si="308"/>
        <v>#N/A</v>
      </c>
      <c r="P381" t="e">
        <f t="shared" ca="1" si="308"/>
        <v>#N/A</v>
      </c>
      <c r="Q381" t="e">
        <f t="shared" ca="1" si="308"/>
        <v>#N/A</v>
      </c>
      <c r="R381" t="e">
        <f t="shared" ca="1" si="309"/>
        <v>#N/A</v>
      </c>
      <c r="S381" t="e">
        <f t="shared" ca="1" si="298"/>
        <v>#N/A</v>
      </c>
      <c r="T381" t="e">
        <f t="shared" ca="1" si="310"/>
        <v>#N/A</v>
      </c>
    </row>
    <row r="382" spans="1:20" x14ac:dyDescent="0.25">
      <c r="A382" s="1"/>
      <c r="B382" s="1" t="e">
        <f t="shared" si="299"/>
        <v>#N/A</v>
      </c>
      <c r="C382" s="1">
        <f t="shared" si="300"/>
        <v>380</v>
      </c>
      <c r="D382" t="e">
        <f t="shared" ca="1" si="301"/>
        <v>#N/A</v>
      </c>
      <c r="E382" t="e">
        <f t="shared" ca="1" si="302"/>
        <v>#N/A</v>
      </c>
      <c r="F382" t="e">
        <f t="shared" ca="1" si="303"/>
        <v>#N/A</v>
      </c>
      <c r="G382" t="e">
        <f t="shared" ca="1" si="304"/>
        <v>#N/A</v>
      </c>
      <c r="H382" t="e">
        <f t="shared" ca="1" si="305"/>
        <v>#N/A</v>
      </c>
      <c r="I382" t="e">
        <f t="shared" ca="1" si="306"/>
        <v>#N/A</v>
      </c>
      <c r="J382" t="e">
        <f t="shared" ca="1" si="307"/>
        <v>#N/A</v>
      </c>
      <c r="K382" t="e">
        <f t="shared" ca="1" si="308"/>
        <v>#N/A</v>
      </c>
      <c r="L382" t="e">
        <f t="shared" ca="1" si="308"/>
        <v>#N/A</v>
      </c>
      <c r="M382" t="e">
        <f t="shared" ca="1" si="308"/>
        <v>#N/A</v>
      </c>
      <c r="N382" t="e">
        <f t="shared" ca="1" si="308"/>
        <v>#N/A</v>
      </c>
      <c r="O382" t="e">
        <f t="shared" ca="1" si="308"/>
        <v>#N/A</v>
      </c>
      <c r="P382" t="e">
        <f t="shared" ca="1" si="308"/>
        <v>#N/A</v>
      </c>
      <c r="Q382" t="e">
        <f t="shared" ca="1" si="308"/>
        <v>#N/A</v>
      </c>
      <c r="R382" t="e">
        <f t="shared" ca="1" si="309"/>
        <v>#N/A</v>
      </c>
      <c r="S382" t="e">
        <f t="shared" ca="1" si="298"/>
        <v>#N/A</v>
      </c>
      <c r="T382" t="e">
        <f t="shared" ca="1" si="310"/>
        <v>#N/A</v>
      </c>
    </row>
    <row r="383" spans="1:20" x14ac:dyDescent="0.25">
      <c r="A383" s="1"/>
      <c r="B383" s="1" t="e">
        <f t="shared" si="299"/>
        <v>#N/A</v>
      </c>
      <c r="C383" s="1">
        <f t="shared" si="300"/>
        <v>381</v>
      </c>
      <c r="D383" t="e">
        <f t="shared" ca="1" si="301"/>
        <v>#N/A</v>
      </c>
      <c r="E383" t="e">
        <f t="shared" ca="1" si="302"/>
        <v>#N/A</v>
      </c>
      <c r="F383" t="e">
        <f t="shared" ca="1" si="303"/>
        <v>#N/A</v>
      </c>
      <c r="G383" t="e">
        <f t="shared" ca="1" si="304"/>
        <v>#N/A</v>
      </c>
      <c r="H383" t="e">
        <f t="shared" ca="1" si="305"/>
        <v>#N/A</v>
      </c>
      <c r="I383" t="e">
        <f t="shared" ca="1" si="306"/>
        <v>#N/A</v>
      </c>
      <c r="J383" t="e">
        <f t="shared" ca="1" si="307"/>
        <v>#N/A</v>
      </c>
      <c r="K383" t="e">
        <f t="shared" ca="1" si="308"/>
        <v>#N/A</v>
      </c>
      <c r="L383" t="e">
        <f t="shared" ca="1" si="308"/>
        <v>#N/A</v>
      </c>
      <c r="M383" t="e">
        <f t="shared" ca="1" si="308"/>
        <v>#N/A</v>
      </c>
      <c r="N383" t="e">
        <f t="shared" ca="1" si="308"/>
        <v>#N/A</v>
      </c>
      <c r="O383" t="e">
        <f t="shared" ca="1" si="308"/>
        <v>#N/A</v>
      </c>
      <c r="P383" t="e">
        <f t="shared" ca="1" si="308"/>
        <v>#N/A</v>
      </c>
      <c r="Q383" t="e">
        <f t="shared" ca="1" si="308"/>
        <v>#N/A</v>
      </c>
      <c r="R383" t="e">
        <f t="shared" ca="1" si="309"/>
        <v>#N/A</v>
      </c>
      <c r="S383" t="e">
        <f t="shared" ref="S383:S398" ca="1" si="311">IF(R356&gt;1.55,1,IF(R356&gt;1.48,0.9,IF(R356&gt;1.4,0.8,IF(R356&gt;1.36666,0.6,IF(R356&gt;1.33333,0.4,IF(R356&gt;1.22,0.2,IF(R356&gt;1,0.1,0)))))))</f>
        <v>#N/A</v>
      </c>
      <c r="T383" t="e">
        <f t="shared" ca="1" si="310"/>
        <v>#N/A</v>
      </c>
    </row>
    <row r="384" spans="1:20" x14ac:dyDescent="0.25">
      <c r="A384" s="1"/>
      <c r="B384" s="1" t="e">
        <f t="shared" si="299"/>
        <v>#N/A</v>
      </c>
      <c r="C384" s="1">
        <f t="shared" si="300"/>
        <v>382</v>
      </c>
      <c r="D384" t="e">
        <f t="shared" ca="1" si="301"/>
        <v>#N/A</v>
      </c>
      <c r="E384" t="e">
        <f t="shared" ca="1" si="302"/>
        <v>#N/A</v>
      </c>
      <c r="F384" t="e">
        <f t="shared" ca="1" si="303"/>
        <v>#N/A</v>
      </c>
      <c r="G384" t="e">
        <f t="shared" ca="1" si="304"/>
        <v>#N/A</v>
      </c>
      <c r="H384" t="e">
        <f t="shared" ca="1" si="305"/>
        <v>#N/A</v>
      </c>
      <c r="I384" t="e">
        <f t="shared" ca="1" si="306"/>
        <v>#N/A</v>
      </c>
      <c r="J384" t="e">
        <f t="shared" ca="1" si="307"/>
        <v>#N/A</v>
      </c>
      <c r="K384" t="e">
        <f t="shared" ca="1" si="308"/>
        <v>#N/A</v>
      </c>
      <c r="L384" t="e">
        <f t="shared" ca="1" si="308"/>
        <v>#N/A</v>
      </c>
      <c r="M384" t="e">
        <f t="shared" ca="1" si="308"/>
        <v>#N/A</v>
      </c>
      <c r="N384" t="e">
        <f t="shared" ca="1" si="308"/>
        <v>#N/A</v>
      </c>
      <c r="O384" t="e">
        <f t="shared" ca="1" si="308"/>
        <v>#N/A</v>
      </c>
      <c r="P384" t="e">
        <f t="shared" ca="1" si="308"/>
        <v>#N/A</v>
      </c>
      <c r="Q384" t="e">
        <f t="shared" ca="1" si="308"/>
        <v>#N/A</v>
      </c>
      <c r="R384" t="e">
        <f t="shared" ca="1" si="309"/>
        <v>#N/A</v>
      </c>
      <c r="S384" t="e">
        <f t="shared" ca="1" si="311"/>
        <v>#N/A</v>
      </c>
      <c r="T384" t="e">
        <f t="shared" ca="1" si="310"/>
        <v>#N/A</v>
      </c>
    </row>
    <row r="385" spans="1:20" x14ac:dyDescent="0.25">
      <c r="A385" s="1"/>
      <c r="B385" s="1" t="e">
        <f t="shared" si="299"/>
        <v>#N/A</v>
      </c>
      <c r="C385" s="1">
        <f t="shared" si="300"/>
        <v>383</v>
      </c>
      <c r="D385" t="e">
        <f t="shared" ca="1" si="301"/>
        <v>#N/A</v>
      </c>
      <c r="E385" t="e">
        <f t="shared" ca="1" si="302"/>
        <v>#N/A</v>
      </c>
      <c r="F385" t="e">
        <f t="shared" ca="1" si="303"/>
        <v>#N/A</v>
      </c>
      <c r="G385" t="e">
        <f t="shared" ca="1" si="304"/>
        <v>#N/A</v>
      </c>
      <c r="H385" t="e">
        <f t="shared" ca="1" si="305"/>
        <v>#N/A</v>
      </c>
      <c r="I385" t="e">
        <f t="shared" ca="1" si="306"/>
        <v>#N/A</v>
      </c>
      <c r="J385" t="e">
        <f t="shared" ca="1" si="307"/>
        <v>#N/A</v>
      </c>
      <c r="K385" t="e">
        <f t="shared" ca="1" si="308"/>
        <v>#N/A</v>
      </c>
      <c r="L385" t="e">
        <f t="shared" ca="1" si="308"/>
        <v>#N/A</v>
      </c>
      <c r="M385" t="e">
        <f t="shared" ca="1" si="308"/>
        <v>#N/A</v>
      </c>
      <c r="N385" t="e">
        <f t="shared" ca="1" si="308"/>
        <v>#N/A</v>
      </c>
      <c r="O385" t="e">
        <f t="shared" ca="1" si="308"/>
        <v>#N/A</v>
      </c>
      <c r="P385" t="e">
        <f t="shared" ca="1" si="308"/>
        <v>#N/A</v>
      </c>
      <c r="Q385" t="e">
        <f t="shared" ca="1" si="308"/>
        <v>#N/A</v>
      </c>
      <c r="R385" t="e">
        <f t="shared" ca="1" si="309"/>
        <v>#N/A</v>
      </c>
      <c r="S385" t="e">
        <f t="shared" ca="1" si="311"/>
        <v>#N/A</v>
      </c>
      <c r="T385" t="e">
        <f t="shared" ca="1" si="310"/>
        <v>#N/A</v>
      </c>
    </row>
    <row r="386" spans="1:20" x14ac:dyDescent="0.25">
      <c r="A386" s="1"/>
      <c r="B386" s="1" t="e">
        <f t="shared" si="299"/>
        <v>#N/A</v>
      </c>
      <c r="C386" s="1">
        <f t="shared" si="300"/>
        <v>384</v>
      </c>
      <c r="D386" t="e">
        <f t="shared" ca="1" si="301"/>
        <v>#N/A</v>
      </c>
      <c r="E386" t="e">
        <f t="shared" ca="1" si="302"/>
        <v>#N/A</v>
      </c>
      <c r="F386" t="e">
        <f t="shared" ca="1" si="303"/>
        <v>#N/A</v>
      </c>
      <c r="G386" t="e">
        <f t="shared" ca="1" si="304"/>
        <v>#N/A</v>
      </c>
      <c r="H386" t="e">
        <f t="shared" ca="1" si="305"/>
        <v>#N/A</v>
      </c>
      <c r="I386" t="e">
        <f t="shared" ca="1" si="306"/>
        <v>#N/A</v>
      </c>
      <c r="J386" t="e">
        <f t="shared" ca="1" si="307"/>
        <v>#N/A</v>
      </c>
      <c r="K386" t="e">
        <f t="shared" ca="1" si="308"/>
        <v>#N/A</v>
      </c>
      <c r="L386" t="e">
        <f t="shared" ca="1" si="308"/>
        <v>#N/A</v>
      </c>
      <c r="M386" t="e">
        <f t="shared" ca="1" si="308"/>
        <v>#N/A</v>
      </c>
      <c r="N386" t="e">
        <f t="shared" ca="1" si="308"/>
        <v>#N/A</v>
      </c>
      <c r="O386" t="e">
        <f t="shared" ca="1" si="308"/>
        <v>#N/A</v>
      </c>
      <c r="P386" t="e">
        <f t="shared" ca="1" si="308"/>
        <v>#N/A</v>
      </c>
      <c r="Q386" t="e">
        <f t="shared" ca="1" si="308"/>
        <v>#N/A</v>
      </c>
      <c r="R386" t="e">
        <f t="shared" ca="1" si="309"/>
        <v>#N/A</v>
      </c>
      <c r="S386" t="e">
        <f t="shared" ca="1" si="311"/>
        <v>#N/A</v>
      </c>
      <c r="T386" t="e">
        <f t="shared" ca="1" si="310"/>
        <v>#N/A</v>
      </c>
    </row>
    <row r="387" spans="1:20" x14ac:dyDescent="0.25">
      <c r="A387" s="1"/>
      <c r="B387" s="1" t="e">
        <f t="shared" ref="B387:B399" si="312">LOOKUP($A387,$V$4:$V$23,$W$4:$W$23)</f>
        <v>#N/A</v>
      </c>
      <c r="C387" s="1">
        <f t="shared" si="300"/>
        <v>385</v>
      </c>
      <c r="D387" t="e">
        <f t="shared" ca="1" si="301"/>
        <v>#N/A</v>
      </c>
      <c r="E387" t="e">
        <f t="shared" ca="1" si="302"/>
        <v>#N/A</v>
      </c>
      <c r="F387" t="e">
        <f t="shared" ca="1" si="303"/>
        <v>#N/A</v>
      </c>
      <c r="G387" t="e">
        <f t="shared" ca="1" si="304"/>
        <v>#N/A</v>
      </c>
      <c r="H387" t="e">
        <f t="shared" ca="1" si="305"/>
        <v>#N/A</v>
      </c>
      <c r="I387" t="e">
        <f t="shared" ca="1" si="306"/>
        <v>#N/A</v>
      </c>
      <c r="J387" t="e">
        <f t="shared" ca="1" si="307"/>
        <v>#N/A</v>
      </c>
      <c r="K387" t="e">
        <f t="shared" ca="1" si="308"/>
        <v>#N/A</v>
      </c>
      <c r="L387" t="e">
        <f t="shared" ca="1" si="308"/>
        <v>#N/A</v>
      </c>
      <c r="M387" t="e">
        <f t="shared" ca="1" si="308"/>
        <v>#N/A</v>
      </c>
      <c r="N387" t="e">
        <f t="shared" ca="1" si="308"/>
        <v>#N/A</v>
      </c>
      <c r="O387" t="e">
        <f t="shared" ca="1" si="308"/>
        <v>#N/A</v>
      </c>
      <c r="P387" t="e">
        <f t="shared" ca="1" si="308"/>
        <v>#N/A</v>
      </c>
      <c r="Q387" t="e">
        <f t="shared" ca="1" si="308"/>
        <v>#N/A</v>
      </c>
      <c r="R387" t="e">
        <f t="shared" ca="1" si="309"/>
        <v>#N/A</v>
      </c>
      <c r="S387" t="e">
        <f t="shared" ca="1" si="311"/>
        <v>#N/A</v>
      </c>
      <c r="T387" t="e">
        <f t="shared" ca="1" si="310"/>
        <v>#N/A</v>
      </c>
    </row>
    <row r="388" spans="1:20" x14ac:dyDescent="0.25">
      <c r="A388" s="1"/>
      <c r="B388" s="1" t="e">
        <f t="shared" si="312"/>
        <v>#N/A</v>
      </c>
      <c r="C388" s="1">
        <f t="shared" ref="C388:C403" si="313">C387+1</f>
        <v>386</v>
      </c>
      <c r="D388" t="e">
        <f t="shared" ref="D388:D399" ca="1" si="314">OFFSET($X$4,$B388,MOD($C388,7),1,1)</f>
        <v>#N/A</v>
      </c>
      <c r="E388" t="e">
        <f t="shared" ref="E388:E399" ca="1" si="315">OFFSET($X$4,$B388,MOD($C388+1,7),1,1)</f>
        <v>#N/A</v>
      </c>
      <c r="F388" t="e">
        <f t="shared" ref="F388:F399" ca="1" si="316">OFFSET($X$4,$B388,MOD($C388+2,7),1,1)</f>
        <v>#N/A</v>
      </c>
      <c r="G388" t="e">
        <f t="shared" ref="G388:G399" ca="1" si="317">OFFSET($X$4,$B388,MOD($C388+3,7),1,1)</f>
        <v>#N/A</v>
      </c>
      <c r="H388" t="e">
        <f t="shared" ref="H388:H399" ca="1" si="318">OFFSET($X$4,$B388,MOD($C388+4,7),1,1)</f>
        <v>#N/A</v>
      </c>
      <c r="I388" t="e">
        <f t="shared" ref="I388:I399" ca="1" si="319">OFFSET($X$4,$B388,MOD($C388+5,7),1,1)</f>
        <v>#N/A</v>
      </c>
      <c r="J388" t="e">
        <f t="shared" ref="J388:J399" ca="1" si="320">OFFSET($X$4,$B388,MOD($C388+6,7),1,1)</f>
        <v>#N/A</v>
      </c>
      <c r="K388" t="e">
        <f t="shared" ref="K388:Q403" ca="1" si="321">POWER(PRODUCT(D388:D415),1/28)</f>
        <v>#N/A</v>
      </c>
      <c r="L388" t="e">
        <f t="shared" ca="1" si="321"/>
        <v>#N/A</v>
      </c>
      <c r="M388" t="e">
        <f t="shared" ca="1" si="321"/>
        <v>#N/A</v>
      </c>
      <c r="N388" t="e">
        <f t="shared" ca="1" si="321"/>
        <v>#N/A</v>
      </c>
      <c r="O388" t="e">
        <f t="shared" ca="1" si="321"/>
        <v>#N/A</v>
      </c>
      <c r="P388" t="e">
        <f t="shared" ca="1" si="321"/>
        <v>#N/A</v>
      </c>
      <c r="Q388" t="e">
        <f t="shared" ca="1" si="321"/>
        <v>#N/A</v>
      </c>
      <c r="R388" t="e">
        <f t="shared" ref="R388:R399" ca="1" si="322">MAX(K388:Q388)</f>
        <v>#N/A</v>
      </c>
      <c r="S388" t="e">
        <f t="shared" ca="1" si="311"/>
        <v>#N/A</v>
      </c>
      <c r="T388" t="e">
        <f t="shared" ref="T388:T399" ca="1" si="323">MAX(S388:S415)</f>
        <v>#N/A</v>
      </c>
    </row>
    <row r="389" spans="1:20" x14ac:dyDescent="0.25">
      <c r="A389" s="1"/>
      <c r="B389" s="1" t="e">
        <f t="shared" si="312"/>
        <v>#N/A</v>
      </c>
      <c r="C389" s="1">
        <f t="shared" si="313"/>
        <v>387</v>
      </c>
      <c r="D389" t="e">
        <f t="shared" ca="1" si="314"/>
        <v>#N/A</v>
      </c>
      <c r="E389" t="e">
        <f t="shared" ca="1" si="315"/>
        <v>#N/A</v>
      </c>
      <c r="F389" t="e">
        <f t="shared" ca="1" si="316"/>
        <v>#N/A</v>
      </c>
      <c r="G389" t="e">
        <f t="shared" ca="1" si="317"/>
        <v>#N/A</v>
      </c>
      <c r="H389" t="e">
        <f t="shared" ca="1" si="318"/>
        <v>#N/A</v>
      </c>
      <c r="I389" t="e">
        <f t="shared" ca="1" si="319"/>
        <v>#N/A</v>
      </c>
      <c r="J389" t="e">
        <f t="shared" ca="1" si="320"/>
        <v>#N/A</v>
      </c>
      <c r="K389" t="e">
        <f t="shared" ca="1" si="321"/>
        <v>#N/A</v>
      </c>
      <c r="L389" t="e">
        <f t="shared" ca="1" si="321"/>
        <v>#N/A</v>
      </c>
      <c r="M389" t="e">
        <f t="shared" ca="1" si="321"/>
        <v>#N/A</v>
      </c>
      <c r="N389" t="e">
        <f t="shared" ca="1" si="321"/>
        <v>#N/A</v>
      </c>
      <c r="O389" t="e">
        <f t="shared" ca="1" si="321"/>
        <v>#N/A</v>
      </c>
      <c r="P389" t="e">
        <f t="shared" ca="1" si="321"/>
        <v>#N/A</v>
      </c>
      <c r="Q389" t="e">
        <f t="shared" ca="1" si="321"/>
        <v>#N/A</v>
      </c>
      <c r="R389" t="e">
        <f t="shared" ca="1" si="322"/>
        <v>#N/A</v>
      </c>
      <c r="S389" t="e">
        <f t="shared" ca="1" si="311"/>
        <v>#N/A</v>
      </c>
      <c r="T389" t="e">
        <f t="shared" ca="1" si="323"/>
        <v>#N/A</v>
      </c>
    </row>
    <row r="390" spans="1:20" x14ac:dyDescent="0.25">
      <c r="A390" s="1"/>
      <c r="B390" s="1" t="e">
        <f t="shared" si="312"/>
        <v>#N/A</v>
      </c>
      <c r="C390" s="1">
        <f t="shared" si="313"/>
        <v>388</v>
      </c>
      <c r="D390" t="e">
        <f t="shared" ca="1" si="314"/>
        <v>#N/A</v>
      </c>
      <c r="E390" t="e">
        <f t="shared" ca="1" si="315"/>
        <v>#N/A</v>
      </c>
      <c r="F390" t="e">
        <f t="shared" ca="1" si="316"/>
        <v>#N/A</v>
      </c>
      <c r="G390" t="e">
        <f t="shared" ca="1" si="317"/>
        <v>#N/A</v>
      </c>
      <c r="H390" t="e">
        <f t="shared" ca="1" si="318"/>
        <v>#N/A</v>
      </c>
      <c r="I390" t="e">
        <f t="shared" ca="1" si="319"/>
        <v>#N/A</v>
      </c>
      <c r="J390" t="e">
        <f t="shared" ca="1" si="320"/>
        <v>#N/A</v>
      </c>
      <c r="K390" t="e">
        <f t="shared" ca="1" si="321"/>
        <v>#N/A</v>
      </c>
      <c r="L390" t="e">
        <f t="shared" ca="1" si="321"/>
        <v>#N/A</v>
      </c>
      <c r="M390" t="e">
        <f t="shared" ca="1" si="321"/>
        <v>#N/A</v>
      </c>
      <c r="N390" t="e">
        <f t="shared" ca="1" si="321"/>
        <v>#N/A</v>
      </c>
      <c r="O390" t="e">
        <f t="shared" ca="1" si="321"/>
        <v>#N/A</v>
      </c>
      <c r="P390" t="e">
        <f t="shared" ca="1" si="321"/>
        <v>#N/A</v>
      </c>
      <c r="Q390" t="e">
        <f t="shared" ca="1" si="321"/>
        <v>#N/A</v>
      </c>
      <c r="R390" t="e">
        <f t="shared" ca="1" si="322"/>
        <v>#N/A</v>
      </c>
      <c r="S390" t="e">
        <f t="shared" ca="1" si="311"/>
        <v>#N/A</v>
      </c>
      <c r="T390" t="e">
        <f t="shared" ca="1" si="323"/>
        <v>#N/A</v>
      </c>
    </row>
    <row r="391" spans="1:20" x14ac:dyDescent="0.25">
      <c r="A391" s="1"/>
      <c r="B391" s="1" t="e">
        <f t="shared" si="312"/>
        <v>#N/A</v>
      </c>
      <c r="C391" s="1">
        <f t="shared" si="313"/>
        <v>389</v>
      </c>
      <c r="D391" t="e">
        <f t="shared" ca="1" si="314"/>
        <v>#N/A</v>
      </c>
      <c r="E391" t="e">
        <f t="shared" ca="1" si="315"/>
        <v>#N/A</v>
      </c>
      <c r="F391" t="e">
        <f t="shared" ca="1" si="316"/>
        <v>#N/A</v>
      </c>
      <c r="G391" t="e">
        <f t="shared" ca="1" si="317"/>
        <v>#N/A</v>
      </c>
      <c r="H391" t="e">
        <f t="shared" ca="1" si="318"/>
        <v>#N/A</v>
      </c>
      <c r="I391" t="e">
        <f t="shared" ca="1" si="319"/>
        <v>#N/A</v>
      </c>
      <c r="J391" t="e">
        <f t="shared" ca="1" si="320"/>
        <v>#N/A</v>
      </c>
      <c r="K391" t="e">
        <f t="shared" ca="1" si="321"/>
        <v>#N/A</v>
      </c>
      <c r="L391" t="e">
        <f t="shared" ca="1" si="321"/>
        <v>#N/A</v>
      </c>
      <c r="M391" t="e">
        <f t="shared" ca="1" si="321"/>
        <v>#N/A</v>
      </c>
      <c r="N391" t="e">
        <f t="shared" ca="1" si="321"/>
        <v>#N/A</v>
      </c>
      <c r="O391" t="e">
        <f t="shared" ca="1" si="321"/>
        <v>#N/A</v>
      </c>
      <c r="P391" t="e">
        <f t="shared" ca="1" si="321"/>
        <v>#N/A</v>
      </c>
      <c r="Q391" t="e">
        <f t="shared" ca="1" si="321"/>
        <v>#N/A</v>
      </c>
      <c r="R391" t="e">
        <f t="shared" ca="1" si="322"/>
        <v>#N/A</v>
      </c>
      <c r="S391" t="e">
        <f t="shared" ca="1" si="311"/>
        <v>#N/A</v>
      </c>
      <c r="T391" t="e">
        <f t="shared" ca="1" si="323"/>
        <v>#N/A</v>
      </c>
    </row>
    <row r="392" spans="1:20" x14ac:dyDescent="0.25">
      <c r="A392" s="1"/>
      <c r="B392" s="1" t="e">
        <f t="shared" si="312"/>
        <v>#N/A</v>
      </c>
      <c r="C392" s="1">
        <f t="shared" si="313"/>
        <v>390</v>
      </c>
      <c r="D392" t="e">
        <f t="shared" ca="1" si="314"/>
        <v>#N/A</v>
      </c>
      <c r="E392" t="e">
        <f t="shared" ca="1" si="315"/>
        <v>#N/A</v>
      </c>
      <c r="F392" t="e">
        <f t="shared" ca="1" si="316"/>
        <v>#N/A</v>
      </c>
      <c r="G392" t="e">
        <f t="shared" ca="1" si="317"/>
        <v>#N/A</v>
      </c>
      <c r="H392" t="e">
        <f t="shared" ca="1" si="318"/>
        <v>#N/A</v>
      </c>
      <c r="I392" t="e">
        <f t="shared" ca="1" si="319"/>
        <v>#N/A</v>
      </c>
      <c r="J392" t="e">
        <f t="shared" ca="1" si="320"/>
        <v>#N/A</v>
      </c>
      <c r="K392" t="e">
        <f t="shared" ca="1" si="321"/>
        <v>#N/A</v>
      </c>
      <c r="L392" t="e">
        <f t="shared" ca="1" si="321"/>
        <v>#N/A</v>
      </c>
      <c r="M392" t="e">
        <f t="shared" ca="1" si="321"/>
        <v>#N/A</v>
      </c>
      <c r="N392" t="e">
        <f t="shared" ca="1" si="321"/>
        <v>#N/A</v>
      </c>
      <c r="O392" t="e">
        <f t="shared" ca="1" si="321"/>
        <v>#N/A</v>
      </c>
      <c r="P392" t="e">
        <f t="shared" ca="1" si="321"/>
        <v>#N/A</v>
      </c>
      <c r="Q392" t="e">
        <f t="shared" ca="1" si="321"/>
        <v>#N/A</v>
      </c>
      <c r="R392" t="e">
        <f t="shared" ca="1" si="322"/>
        <v>#N/A</v>
      </c>
      <c r="S392" t="e">
        <f t="shared" ca="1" si="311"/>
        <v>#N/A</v>
      </c>
      <c r="T392" t="e">
        <f t="shared" ca="1" si="323"/>
        <v>#N/A</v>
      </c>
    </row>
    <row r="393" spans="1:20" x14ac:dyDescent="0.25">
      <c r="A393" s="1"/>
      <c r="B393" s="1" t="e">
        <f t="shared" si="312"/>
        <v>#N/A</v>
      </c>
      <c r="C393" s="1">
        <f t="shared" si="313"/>
        <v>391</v>
      </c>
      <c r="D393" t="e">
        <f t="shared" ca="1" si="314"/>
        <v>#N/A</v>
      </c>
      <c r="E393" t="e">
        <f t="shared" ca="1" si="315"/>
        <v>#N/A</v>
      </c>
      <c r="F393" t="e">
        <f t="shared" ca="1" si="316"/>
        <v>#N/A</v>
      </c>
      <c r="G393" t="e">
        <f t="shared" ca="1" si="317"/>
        <v>#N/A</v>
      </c>
      <c r="H393" t="e">
        <f t="shared" ca="1" si="318"/>
        <v>#N/A</v>
      </c>
      <c r="I393" t="e">
        <f t="shared" ca="1" si="319"/>
        <v>#N/A</v>
      </c>
      <c r="J393" t="e">
        <f t="shared" ca="1" si="320"/>
        <v>#N/A</v>
      </c>
      <c r="K393" t="e">
        <f t="shared" ca="1" si="321"/>
        <v>#N/A</v>
      </c>
      <c r="L393" t="e">
        <f t="shared" ca="1" si="321"/>
        <v>#N/A</v>
      </c>
      <c r="M393" t="e">
        <f t="shared" ca="1" si="321"/>
        <v>#N/A</v>
      </c>
      <c r="N393" t="e">
        <f t="shared" ca="1" si="321"/>
        <v>#N/A</v>
      </c>
      <c r="O393" t="e">
        <f t="shared" ca="1" si="321"/>
        <v>#N/A</v>
      </c>
      <c r="P393" t="e">
        <f t="shared" ca="1" si="321"/>
        <v>#N/A</v>
      </c>
      <c r="Q393" t="e">
        <f t="shared" ca="1" si="321"/>
        <v>#N/A</v>
      </c>
      <c r="R393" t="e">
        <f t="shared" ca="1" si="322"/>
        <v>#N/A</v>
      </c>
      <c r="S393" t="e">
        <f t="shared" ca="1" si="311"/>
        <v>#N/A</v>
      </c>
      <c r="T393" t="e">
        <f t="shared" ca="1" si="323"/>
        <v>#N/A</v>
      </c>
    </row>
    <row r="394" spans="1:20" x14ac:dyDescent="0.25">
      <c r="A394" s="1"/>
      <c r="B394" s="1" t="e">
        <f t="shared" si="312"/>
        <v>#N/A</v>
      </c>
      <c r="C394" s="1">
        <f t="shared" si="313"/>
        <v>392</v>
      </c>
      <c r="D394" t="e">
        <f t="shared" ca="1" si="314"/>
        <v>#N/A</v>
      </c>
      <c r="E394" t="e">
        <f t="shared" ca="1" si="315"/>
        <v>#N/A</v>
      </c>
      <c r="F394" t="e">
        <f t="shared" ca="1" si="316"/>
        <v>#N/A</v>
      </c>
      <c r="G394" t="e">
        <f t="shared" ca="1" si="317"/>
        <v>#N/A</v>
      </c>
      <c r="H394" t="e">
        <f t="shared" ca="1" si="318"/>
        <v>#N/A</v>
      </c>
      <c r="I394" t="e">
        <f t="shared" ca="1" si="319"/>
        <v>#N/A</v>
      </c>
      <c r="J394" t="e">
        <f t="shared" ca="1" si="320"/>
        <v>#N/A</v>
      </c>
      <c r="K394" t="e">
        <f t="shared" ca="1" si="321"/>
        <v>#N/A</v>
      </c>
      <c r="L394" t="e">
        <f t="shared" ca="1" si="321"/>
        <v>#N/A</v>
      </c>
      <c r="M394" t="e">
        <f t="shared" ca="1" si="321"/>
        <v>#N/A</v>
      </c>
      <c r="N394" t="e">
        <f t="shared" ca="1" si="321"/>
        <v>#N/A</v>
      </c>
      <c r="O394" t="e">
        <f t="shared" ca="1" si="321"/>
        <v>#N/A</v>
      </c>
      <c r="P394" t="e">
        <f t="shared" ca="1" si="321"/>
        <v>#N/A</v>
      </c>
      <c r="Q394" t="e">
        <f t="shared" ca="1" si="321"/>
        <v>#N/A</v>
      </c>
      <c r="R394" t="e">
        <f t="shared" ca="1" si="322"/>
        <v>#N/A</v>
      </c>
      <c r="S394" t="e">
        <f t="shared" ca="1" si="311"/>
        <v>#N/A</v>
      </c>
      <c r="T394" t="e">
        <f t="shared" ca="1" si="323"/>
        <v>#N/A</v>
      </c>
    </row>
    <row r="395" spans="1:20" x14ac:dyDescent="0.25">
      <c r="A395" s="1"/>
      <c r="B395" s="1" t="e">
        <f t="shared" si="312"/>
        <v>#N/A</v>
      </c>
      <c r="C395" s="1">
        <f t="shared" si="313"/>
        <v>393</v>
      </c>
      <c r="D395" t="e">
        <f t="shared" ca="1" si="314"/>
        <v>#N/A</v>
      </c>
      <c r="E395" t="e">
        <f t="shared" ca="1" si="315"/>
        <v>#N/A</v>
      </c>
      <c r="F395" t="e">
        <f t="shared" ca="1" si="316"/>
        <v>#N/A</v>
      </c>
      <c r="G395" t="e">
        <f t="shared" ca="1" si="317"/>
        <v>#N/A</v>
      </c>
      <c r="H395" t="e">
        <f t="shared" ca="1" si="318"/>
        <v>#N/A</v>
      </c>
      <c r="I395" t="e">
        <f t="shared" ca="1" si="319"/>
        <v>#N/A</v>
      </c>
      <c r="J395" t="e">
        <f t="shared" ca="1" si="320"/>
        <v>#N/A</v>
      </c>
      <c r="K395" t="e">
        <f t="shared" ca="1" si="321"/>
        <v>#N/A</v>
      </c>
      <c r="L395" t="e">
        <f t="shared" ca="1" si="321"/>
        <v>#N/A</v>
      </c>
      <c r="M395" t="e">
        <f t="shared" ca="1" si="321"/>
        <v>#N/A</v>
      </c>
      <c r="N395" t="e">
        <f t="shared" ca="1" si="321"/>
        <v>#N/A</v>
      </c>
      <c r="O395" t="e">
        <f t="shared" ca="1" si="321"/>
        <v>#N/A</v>
      </c>
      <c r="P395" t="e">
        <f t="shared" ca="1" si="321"/>
        <v>#N/A</v>
      </c>
      <c r="Q395" t="e">
        <f t="shared" ca="1" si="321"/>
        <v>#N/A</v>
      </c>
      <c r="R395" t="e">
        <f t="shared" ca="1" si="322"/>
        <v>#N/A</v>
      </c>
      <c r="S395" t="e">
        <f t="shared" ca="1" si="311"/>
        <v>#N/A</v>
      </c>
      <c r="T395" t="e">
        <f t="shared" ca="1" si="323"/>
        <v>#N/A</v>
      </c>
    </row>
    <row r="396" spans="1:20" x14ac:dyDescent="0.25">
      <c r="A396" s="1"/>
      <c r="B396" s="1" t="e">
        <f t="shared" si="312"/>
        <v>#N/A</v>
      </c>
      <c r="C396" s="1">
        <f t="shared" si="313"/>
        <v>394</v>
      </c>
      <c r="D396" t="e">
        <f t="shared" ca="1" si="314"/>
        <v>#N/A</v>
      </c>
      <c r="E396" t="e">
        <f t="shared" ca="1" si="315"/>
        <v>#N/A</v>
      </c>
      <c r="F396" t="e">
        <f t="shared" ca="1" si="316"/>
        <v>#N/A</v>
      </c>
      <c r="G396" t="e">
        <f t="shared" ca="1" si="317"/>
        <v>#N/A</v>
      </c>
      <c r="H396" t="e">
        <f t="shared" ca="1" si="318"/>
        <v>#N/A</v>
      </c>
      <c r="I396" t="e">
        <f t="shared" ca="1" si="319"/>
        <v>#N/A</v>
      </c>
      <c r="J396" t="e">
        <f t="shared" ca="1" si="320"/>
        <v>#N/A</v>
      </c>
      <c r="K396" t="e">
        <f t="shared" ca="1" si="321"/>
        <v>#N/A</v>
      </c>
      <c r="L396" t="e">
        <f t="shared" ca="1" si="321"/>
        <v>#N/A</v>
      </c>
      <c r="M396" t="e">
        <f t="shared" ca="1" si="321"/>
        <v>#N/A</v>
      </c>
      <c r="N396" t="e">
        <f t="shared" ca="1" si="321"/>
        <v>#N/A</v>
      </c>
      <c r="O396" t="e">
        <f t="shared" ca="1" si="321"/>
        <v>#N/A</v>
      </c>
      <c r="P396" t="e">
        <f t="shared" ca="1" si="321"/>
        <v>#N/A</v>
      </c>
      <c r="Q396" t="e">
        <f t="shared" ca="1" si="321"/>
        <v>#N/A</v>
      </c>
      <c r="R396" t="e">
        <f t="shared" ca="1" si="322"/>
        <v>#N/A</v>
      </c>
      <c r="S396" t="e">
        <f t="shared" ca="1" si="311"/>
        <v>#N/A</v>
      </c>
      <c r="T396" t="e">
        <f t="shared" ca="1" si="323"/>
        <v>#N/A</v>
      </c>
    </row>
    <row r="397" spans="1:20" x14ac:dyDescent="0.25">
      <c r="A397" s="1"/>
      <c r="B397" s="1" t="e">
        <f t="shared" si="312"/>
        <v>#N/A</v>
      </c>
      <c r="C397" s="1">
        <f t="shared" si="313"/>
        <v>395</v>
      </c>
      <c r="D397" t="e">
        <f t="shared" ca="1" si="314"/>
        <v>#N/A</v>
      </c>
      <c r="E397" t="e">
        <f t="shared" ca="1" si="315"/>
        <v>#N/A</v>
      </c>
      <c r="F397" t="e">
        <f t="shared" ca="1" si="316"/>
        <v>#N/A</v>
      </c>
      <c r="G397" t="e">
        <f t="shared" ca="1" si="317"/>
        <v>#N/A</v>
      </c>
      <c r="H397" t="e">
        <f t="shared" ca="1" si="318"/>
        <v>#N/A</v>
      </c>
      <c r="I397" t="e">
        <f t="shared" ca="1" si="319"/>
        <v>#N/A</v>
      </c>
      <c r="J397" t="e">
        <f t="shared" ca="1" si="320"/>
        <v>#N/A</v>
      </c>
      <c r="K397" t="e">
        <f t="shared" ca="1" si="321"/>
        <v>#N/A</v>
      </c>
      <c r="L397" t="e">
        <f t="shared" ca="1" si="321"/>
        <v>#N/A</v>
      </c>
      <c r="M397" t="e">
        <f t="shared" ca="1" si="321"/>
        <v>#N/A</v>
      </c>
      <c r="N397" t="e">
        <f t="shared" ca="1" si="321"/>
        <v>#N/A</v>
      </c>
      <c r="O397" t="e">
        <f t="shared" ca="1" si="321"/>
        <v>#N/A</v>
      </c>
      <c r="P397" t="e">
        <f t="shared" ca="1" si="321"/>
        <v>#N/A</v>
      </c>
      <c r="Q397" t="e">
        <f t="shared" ca="1" si="321"/>
        <v>#N/A</v>
      </c>
      <c r="R397" t="e">
        <f t="shared" ca="1" si="322"/>
        <v>#N/A</v>
      </c>
      <c r="S397" t="e">
        <f t="shared" ca="1" si="311"/>
        <v>#N/A</v>
      </c>
      <c r="T397" t="e">
        <f t="shared" ca="1" si="323"/>
        <v>#N/A</v>
      </c>
    </row>
    <row r="398" spans="1:20" x14ac:dyDescent="0.25">
      <c r="A398" s="1"/>
      <c r="B398" s="1" t="e">
        <f t="shared" si="312"/>
        <v>#N/A</v>
      </c>
      <c r="C398" s="1">
        <f t="shared" si="313"/>
        <v>396</v>
      </c>
      <c r="D398" t="e">
        <f t="shared" ca="1" si="314"/>
        <v>#N/A</v>
      </c>
      <c r="E398" t="e">
        <f t="shared" ca="1" si="315"/>
        <v>#N/A</v>
      </c>
      <c r="F398" t="e">
        <f t="shared" ca="1" si="316"/>
        <v>#N/A</v>
      </c>
      <c r="G398" t="e">
        <f t="shared" ca="1" si="317"/>
        <v>#N/A</v>
      </c>
      <c r="H398" t="e">
        <f t="shared" ca="1" si="318"/>
        <v>#N/A</v>
      </c>
      <c r="I398" t="e">
        <f t="shared" ca="1" si="319"/>
        <v>#N/A</v>
      </c>
      <c r="J398" t="e">
        <f t="shared" ca="1" si="320"/>
        <v>#N/A</v>
      </c>
      <c r="K398" t="e">
        <f t="shared" ca="1" si="321"/>
        <v>#N/A</v>
      </c>
      <c r="L398" t="e">
        <f t="shared" ca="1" si="321"/>
        <v>#N/A</v>
      </c>
      <c r="M398" t="e">
        <f t="shared" ca="1" si="321"/>
        <v>#N/A</v>
      </c>
      <c r="N398" t="e">
        <f t="shared" ca="1" si="321"/>
        <v>#N/A</v>
      </c>
      <c r="O398" t="e">
        <f t="shared" ca="1" si="321"/>
        <v>#N/A</v>
      </c>
      <c r="P398" t="e">
        <f t="shared" ca="1" si="321"/>
        <v>#N/A</v>
      </c>
      <c r="Q398" t="e">
        <f t="shared" ca="1" si="321"/>
        <v>#N/A</v>
      </c>
      <c r="R398" t="e">
        <f t="shared" ca="1" si="322"/>
        <v>#N/A</v>
      </c>
      <c r="S398" t="e">
        <f t="shared" ca="1" si="311"/>
        <v>#N/A</v>
      </c>
      <c r="T398" t="e">
        <f t="shared" ca="1" si="323"/>
        <v>#N/A</v>
      </c>
    </row>
    <row r="399" spans="1:20" x14ac:dyDescent="0.25">
      <c r="A399" s="1"/>
      <c r="B399" s="1" t="e">
        <f t="shared" si="312"/>
        <v>#N/A</v>
      </c>
      <c r="C399" s="1">
        <f t="shared" si="313"/>
        <v>397</v>
      </c>
      <c r="D399" t="e">
        <f t="shared" ca="1" si="314"/>
        <v>#N/A</v>
      </c>
      <c r="E399" t="e">
        <f t="shared" ca="1" si="315"/>
        <v>#N/A</v>
      </c>
      <c r="F399" t="e">
        <f t="shared" ca="1" si="316"/>
        <v>#N/A</v>
      </c>
      <c r="G399" t="e">
        <f t="shared" ca="1" si="317"/>
        <v>#N/A</v>
      </c>
      <c r="H399" t="e">
        <f t="shared" ca="1" si="318"/>
        <v>#N/A</v>
      </c>
      <c r="I399" t="e">
        <f t="shared" ca="1" si="319"/>
        <v>#N/A</v>
      </c>
      <c r="J399" t="e">
        <f t="shared" ca="1" si="320"/>
        <v>#N/A</v>
      </c>
      <c r="K399" t="e">
        <f t="shared" ca="1" si="321"/>
        <v>#N/A</v>
      </c>
      <c r="L399" t="e">
        <f t="shared" ca="1" si="321"/>
        <v>#N/A</v>
      </c>
      <c r="M399" t="e">
        <f t="shared" ca="1" si="321"/>
        <v>#N/A</v>
      </c>
      <c r="N399" t="e">
        <f t="shared" ca="1" si="321"/>
        <v>#N/A</v>
      </c>
      <c r="O399" t="e">
        <f t="shared" ca="1" si="321"/>
        <v>#N/A</v>
      </c>
      <c r="P399" t="e">
        <f t="shared" ca="1" si="321"/>
        <v>#N/A</v>
      </c>
      <c r="Q399" t="e">
        <f t="shared" ca="1" si="321"/>
        <v>#N/A</v>
      </c>
      <c r="R399" t="e">
        <f t="shared" ca="1" si="322"/>
        <v>#N/A</v>
      </c>
      <c r="S399" t="e">
        <f ca="1">IF(R372&gt;1.55,1,IF(R372&gt;1.48,0.9,IF(R372&gt;1.4,0.8,IF(R372&gt;1.36666,0.6,IF(R372&gt;1.33333,0.4,IF(R372&gt;1.22,0.2,IF(R372&gt;1,0.1,0)))))))</f>
        <v>#N/A</v>
      </c>
      <c r="T399" t="e">
        <f t="shared" ca="1" si="323"/>
        <v>#N/A</v>
      </c>
    </row>
    <row r="400" spans="1:20" x14ac:dyDescent="0.25">
      <c r="A400" s="1"/>
      <c r="B400" s="1" t="e">
        <f>LOOKUP($A400,$V$4:$V$23,$W$4:$W$23)</f>
        <v>#N/A</v>
      </c>
      <c r="C400" s="1">
        <f t="shared" si="313"/>
        <v>398</v>
      </c>
      <c r="D400" t="e">
        <f ca="1">OFFSET($X$4,$B400,MOD($C400,7),1,1)</f>
        <v>#N/A</v>
      </c>
      <c r="E400" t="e">
        <f ca="1">OFFSET($X$4,$B400,MOD($C400+1,7),1,1)</f>
        <v>#N/A</v>
      </c>
      <c r="F400" t="e">
        <f ca="1">OFFSET($X$4,$B400,MOD($C400+2,7),1,1)</f>
        <v>#N/A</v>
      </c>
      <c r="G400" t="e">
        <f ca="1">OFFSET($X$4,$B400,MOD($C400+3,7),1,1)</f>
        <v>#N/A</v>
      </c>
      <c r="H400" t="e">
        <f ca="1">OFFSET($X$4,$B400,MOD($C400+4,7),1,1)</f>
        <v>#N/A</v>
      </c>
      <c r="I400" t="e">
        <f ca="1">OFFSET($X$4,$B400,MOD($C400+5,7),1,1)</f>
        <v>#N/A</v>
      </c>
      <c r="J400" t="e">
        <f ca="1">OFFSET($X$4,$B400,MOD($C400+6,7),1,1)</f>
        <v>#N/A</v>
      </c>
      <c r="K400" t="e">
        <f t="shared" ca="1" si="321"/>
        <v>#N/A</v>
      </c>
      <c r="L400" t="e">
        <f t="shared" ca="1" si="321"/>
        <v>#N/A</v>
      </c>
      <c r="M400" t="e">
        <f t="shared" ca="1" si="321"/>
        <v>#N/A</v>
      </c>
      <c r="N400" t="e">
        <f t="shared" ca="1" si="321"/>
        <v>#N/A</v>
      </c>
      <c r="O400" t="e">
        <f t="shared" ca="1" si="321"/>
        <v>#N/A</v>
      </c>
      <c r="P400" t="e">
        <f t="shared" ca="1" si="321"/>
        <v>#N/A</v>
      </c>
      <c r="Q400" t="e">
        <f t="shared" ca="1" si="321"/>
        <v>#N/A</v>
      </c>
      <c r="R400" t="e">
        <f ca="1">MAX(K400:Q400)</f>
        <v>#N/A</v>
      </c>
      <c r="S400" t="e">
        <f ca="1">IF(R373&gt;1.55,1,IF(R373&gt;1.48,0.9,IF(R373&gt;1.4,0.8,IF(R373&gt;1.36666,0.6,IF(R373&gt;1.33333,0.4,IF(R373&gt;1.22,0.2,IF(R373&gt;1,0.1,0)))))))</f>
        <v>#N/A</v>
      </c>
      <c r="T400" t="e">
        <f ca="1">MAX(S400:S427)</f>
        <v>#N/A</v>
      </c>
    </row>
    <row r="401" spans="1:20" x14ac:dyDescent="0.25">
      <c r="A401" s="1"/>
      <c r="B401" s="1" t="e">
        <f t="shared" ref="B401:B416" si="324">LOOKUP($A401,$V$4:$V$23,$W$4:$W$23)</f>
        <v>#N/A</v>
      </c>
      <c r="C401" s="1">
        <f t="shared" si="313"/>
        <v>399</v>
      </c>
      <c r="D401" t="e">
        <f t="shared" ref="D401:D416" ca="1" si="325">OFFSET($X$4,$B401,MOD($C401,7),1,1)</f>
        <v>#N/A</v>
      </c>
      <c r="E401" t="e">
        <f t="shared" ref="E401:E416" ca="1" si="326">OFFSET($X$4,$B401,MOD($C401+1,7),1,1)</f>
        <v>#N/A</v>
      </c>
      <c r="F401" t="e">
        <f t="shared" ref="F401:F416" ca="1" si="327">OFFSET($X$4,$B401,MOD($C401+2,7),1,1)</f>
        <v>#N/A</v>
      </c>
      <c r="G401" t="e">
        <f t="shared" ref="G401:G416" ca="1" si="328">OFFSET($X$4,$B401,MOD($C401+3,7),1,1)</f>
        <v>#N/A</v>
      </c>
      <c r="H401" t="e">
        <f t="shared" ref="H401:H416" ca="1" si="329">OFFSET($X$4,$B401,MOD($C401+4,7),1,1)</f>
        <v>#N/A</v>
      </c>
      <c r="I401" t="e">
        <f t="shared" ref="I401:I416" ca="1" si="330">OFFSET($X$4,$B401,MOD($C401+5,7),1,1)</f>
        <v>#N/A</v>
      </c>
      <c r="J401" t="e">
        <f t="shared" ref="J401:J416" ca="1" si="331">OFFSET($X$4,$B401,MOD($C401+6,7),1,1)</f>
        <v>#N/A</v>
      </c>
      <c r="K401" t="e">
        <f t="shared" ca="1" si="321"/>
        <v>#N/A</v>
      </c>
      <c r="L401" t="e">
        <f t="shared" ca="1" si="321"/>
        <v>#N/A</v>
      </c>
      <c r="M401" t="e">
        <f t="shared" ca="1" si="321"/>
        <v>#N/A</v>
      </c>
      <c r="N401" t="e">
        <f t="shared" ca="1" si="321"/>
        <v>#N/A</v>
      </c>
      <c r="O401" t="e">
        <f t="shared" ca="1" si="321"/>
        <v>#N/A</v>
      </c>
      <c r="P401" t="e">
        <f t="shared" ca="1" si="321"/>
        <v>#N/A</v>
      </c>
      <c r="Q401" t="e">
        <f t="shared" ca="1" si="321"/>
        <v>#N/A</v>
      </c>
      <c r="R401" t="e">
        <f t="shared" ref="R401:R416" ca="1" si="332">MAX(K401:Q401)</f>
        <v>#N/A</v>
      </c>
      <c r="S401" t="e">
        <f t="shared" ref="S401:S416" ca="1" si="333">IF(R374&gt;1.55,1,IF(R374&gt;1.48,0.9,IF(R374&gt;1.4,0.8,IF(R374&gt;1.36666,0.6,IF(R374&gt;1.33333,0.4,IF(R374&gt;1.22,0.2,IF(R374&gt;1,0.1,0)))))))</f>
        <v>#N/A</v>
      </c>
      <c r="T401" t="e">
        <f t="shared" ref="T401:T416" ca="1" si="334">MAX(S401:S428)</f>
        <v>#N/A</v>
      </c>
    </row>
    <row r="402" spans="1:20" x14ac:dyDescent="0.25">
      <c r="A402" s="1"/>
      <c r="B402" s="1" t="e">
        <f t="shared" si="324"/>
        <v>#N/A</v>
      </c>
      <c r="C402" s="1">
        <f t="shared" si="313"/>
        <v>400</v>
      </c>
      <c r="D402" t="e">
        <f t="shared" ca="1" si="325"/>
        <v>#N/A</v>
      </c>
      <c r="E402" t="e">
        <f t="shared" ca="1" si="326"/>
        <v>#N/A</v>
      </c>
      <c r="F402" t="e">
        <f t="shared" ca="1" si="327"/>
        <v>#N/A</v>
      </c>
      <c r="G402" t="e">
        <f t="shared" ca="1" si="328"/>
        <v>#N/A</v>
      </c>
      <c r="H402" t="e">
        <f t="shared" ca="1" si="329"/>
        <v>#N/A</v>
      </c>
      <c r="I402" t="e">
        <f t="shared" ca="1" si="330"/>
        <v>#N/A</v>
      </c>
      <c r="J402" t="e">
        <f t="shared" ca="1" si="331"/>
        <v>#N/A</v>
      </c>
      <c r="K402" t="e">
        <f t="shared" ca="1" si="321"/>
        <v>#N/A</v>
      </c>
      <c r="L402" t="e">
        <f t="shared" ca="1" si="321"/>
        <v>#N/A</v>
      </c>
      <c r="M402" t="e">
        <f t="shared" ca="1" si="321"/>
        <v>#N/A</v>
      </c>
      <c r="N402" t="e">
        <f t="shared" ca="1" si="321"/>
        <v>#N/A</v>
      </c>
      <c r="O402" t="e">
        <f t="shared" ca="1" si="321"/>
        <v>#N/A</v>
      </c>
      <c r="P402" t="e">
        <f t="shared" ca="1" si="321"/>
        <v>#N/A</v>
      </c>
      <c r="Q402" t="e">
        <f t="shared" ca="1" si="321"/>
        <v>#N/A</v>
      </c>
      <c r="R402" t="e">
        <f t="shared" ca="1" si="332"/>
        <v>#N/A</v>
      </c>
      <c r="S402" t="e">
        <f t="shared" ca="1" si="333"/>
        <v>#N/A</v>
      </c>
      <c r="T402" t="e">
        <f t="shared" ca="1" si="334"/>
        <v>#N/A</v>
      </c>
    </row>
    <row r="403" spans="1:20" x14ac:dyDescent="0.25">
      <c r="A403" s="1"/>
      <c r="B403" s="1" t="e">
        <f t="shared" si="324"/>
        <v>#N/A</v>
      </c>
      <c r="C403" s="1">
        <f t="shared" si="313"/>
        <v>401</v>
      </c>
      <c r="D403" t="e">
        <f t="shared" ca="1" si="325"/>
        <v>#N/A</v>
      </c>
      <c r="E403" t="e">
        <f t="shared" ca="1" si="326"/>
        <v>#N/A</v>
      </c>
      <c r="F403" t="e">
        <f t="shared" ca="1" si="327"/>
        <v>#N/A</v>
      </c>
      <c r="G403" t="e">
        <f t="shared" ca="1" si="328"/>
        <v>#N/A</v>
      </c>
      <c r="H403" t="e">
        <f t="shared" ca="1" si="329"/>
        <v>#N/A</v>
      </c>
      <c r="I403" t="e">
        <f t="shared" ca="1" si="330"/>
        <v>#N/A</v>
      </c>
      <c r="J403" t="e">
        <f t="shared" ca="1" si="331"/>
        <v>#N/A</v>
      </c>
      <c r="K403" t="e">
        <f t="shared" ca="1" si="321"/>
        <v>#N/A</v>
      </c>
      <c r="L403" t="e">
        <f t="shared" ca="1" si="321"/>
        <v>#N/A</v>
      </c>
      <c r="M403" t="e">
        <f t="shared" ca="1" si="321"/>
        <v>#N/A</v>
      </c>
      <c r="N403" t="e">
        <f t="shared" ca="1" si="321"/>
        <v>#N/A</v>
      </c>
      <c r="O403" t="e">
        <f t="shared" ca="1" si="321"/>
        <v>#N/A</v>
      </c>
      <c r="P403" t="e">
        <f t="shared" ca="1" si="321"/>
        <v>#N/A</v>
      </c>
      <c r="Q403" t="e">
        <f t="shared" ca="1" si="321"/>
        <v>#N/A</v>
      </c>
      <c r="R403" t="e">
        <f t="shared" ca="1" si="332"/>
        <v>#N/A</v>
      </c>
      <c r="S403" t="e">
        <f t="shared" ca="1" si="333"/>
        <v>#N/A</v>
      </c>
      <c r="T403" t="e">
        <f t="shared" ca="1" si="334"/>
        <v>#N/A</v>
      </c>
    </row>
    <row r="404" spans="1:20" x14ac:dyDescent="0.25">
      <c r="A404" s="1"/>
      <c r="B404" s="1" t="e">
        <f t="shared" si="324"/>
        <v>#N/A</v>
      </c>
      <c r="C404" s="1">
        <f t="shared" ref="C404:C419" si="335">C403+1</f>
        <v>402</v>
      </c>
      <c r="D404" t="e">
        <f t="shared" ca="1" si="325"/>
        <v>#N/A</v>
      </c>
      <c r="E404" t="e">
        <f t="shared" ca="1" si="326"/>
        <v>#N/A</v>
      </c>
      <c r="F404" t="e">
        <f t="shared" ca="1" si="327"/>
        <v>#N/A</v>
      </c>
      <c r="G404" t="e">
        <f t="shared" ca="1" si="328"/>
        <v>#N/A</v>
      </c>
      <c r="H404" t="e">
        <f t="shared" ca="1" si="329"/>
        <v>#N/A</v>
      </c>
      <c r="I404" t="e">
        <f t="shared" ca="1" si="330"/>
        <v>#N/A</v>
      </c>
      <c r="J404" t="e">
        <f t="shared" ca="1" si="331"/>
        <v>#N/A</v>
      </c>
      <c r="K404" t="e">
        <f t="shared" ref="K404:Q419" ca="1" si="336">POWER(PRODUCT(D404:D431),1/28)</f>
        <v>#N/A</v>
      </c>
      <c r="L404" t="e">
        <f t="shared" ca="1" si="336"/>
        <v>#N/A</v>
      </c>
      <c r="M404" t="e">
        <f t="shared" ca="1" si="336"/>
        <v>#N/A</v>
      </c>
      <c r="N404" t="e">
        <f t="shared" ca="1" si="336"/>
        <v>#N/A</v>
      </c>
      <c r="O404" t="e">
        <f t="shared" ca="1" si="336"/>
        <v>#N/A</v>
      </c>
      <c r="P404" t="e">
        <f t="shared" ca="1" si="336"/>
        <v>#N/A</v>
      </c>
      <c r="Q404" t="e">
        <f t="shared" ca="1" si="336"/>
        <v>#N/A</v>
      </c>
      <c r="R404" t="e">
        <f t="shared" ca="1" si="332"/>
        <v>#N/A</v>
      </c>
      <c r="S404" t="e">
        <f t="shared" ca="1" si="333"/>
        <v>#N/A</v>
      </c>
      <c r="T404" t="e">
        <f t="shared" ca="1" si="334"/>
        <v>#N/A</v>
      </c>
    </row>
    <row r="405" spans="1:20" x14ac:dyDescent="0.25">
      <c r="A405" s="1"/>
      <c r="B405" s="1" t="e">
        <f t="shared" si="324"/>
        <v>#N/A</v>
      </c>
      <c r="C405" s="1">
        <f t="shared" si="335"/>
        <v>403</v>
      </c>
      <c r="D405" t="e">
        <f t="shared" ca="1" si="325"/>
        <v>#N/A</v>
      </c>
      <c r="E405" t="e">
        <f t="shared" ca="1" si="326"/>
        <v>#N/A</v>
      </c>
      <c r="F405" t="e">
        <f t="shared" ca="1" si="327"/>
        <v>#N/A</v>
      </c>
      <c r="G405" t="e">
        <f t="shared" ca="1" si="328"/>
        <v>#N/A</v>
      </c>
      <c r="H405" t="e">
        <f t="shared" ca="1" si="329"/>
        <v>#N/A</v>
      </c>
      <c r="I405" t="e">
        <f t="shared" ca="1" si="330"/>
        <v>#N/A</v>
      </c>
      <c r="J405" t="e">
        <f t="shared" ca="1" si="331"/>
        <v>#N/A</v>
      </c>
      <c r="K405" t="e">
        <f t="shared" ca="1" si="336"/>
        <v>#N/A</v>
      </c>
      <c r="L405" t="e">
        <f t="shared" ca="1" si="336"/>
        <v>#N/A</v>
      </c>
      <c r="M405" t="e">
        <f t="shared" ca="1" si="336"/>
        <v>#N/A</v>
      </c>
      <c r="N405" t="e">
        <f t="shared" ca="1" si="336"/>
        <v>#N/A</v>
      </c>
      <c r="O405" t="e">
        <f t="shared" ca="1" si="336"/>
        <v>#N/A</v>
      </c>
      <c r="P405" t="e">
        <f t="shared" ca="1" si="336"/>
        <v>#N/A</v>
      </c>
      <c r="Q405" t="e">
        <f t="shared" ca="1" si="336"/>
        <v>#N/A</v>
      </c>
      <c r="R405" t="e">
        <f t="shared" ca="1" si="332"/>
        <v>#N/A</v>
      </c>
      <c r="S405" t="e">
        <f t="shared" ca="1" si="333"/>
        <v>#N/A</v>
      </c>
      <c r="T405" t="e">
        <f t="shared" ca="1" si="334"/>
        <v>#N/A</v>
      </c>
    </row>
    <row r="406" spans="1:20" x14ac:dyDescent="0.25">
      <c r="A406" s="1"/>
      <c r="B406" s="1" t="e">
        <f t="shared" si="324"/>
        <v>#N/A</v>
      </c>
      <c r="C406" s="1">
        <f t="shared" si="335"/>
        <v>404</v>
      </c>
      <c r="D406" t="e">
        <f t="shared" ca="1" si="325"/>
        <v>#N/A</v>
      </c>
      <c r="E406" t="e">
        <f t="shared" ca="1" si="326"/>
        <v>#N/A</v>
      </c>
      <c r="F406" t="e">
        <f t="shared" ca="1" si="327"/>
        <v>#N/A</v>
      </c>
      <c r="G406" t="e">
        <f t="shared" ca="1" si="328"/>
        <v>#N/A</v>
      </c>
      <c r="H406" t="e">
        <f t="shared" ca="1" si="329"/>
        <v>#N/A</v>
      </c>
      <c r="I406" t="e">
        <f t="shared" ca="1" si="330"/>
        <v>#N/A</v>
      </c>
      <c r="J406" t="e">
        <f t="shared" ca="1" si="331"/>
        <v>#N/A</v>
      </c>
      <c r="K406" t="e">
        <f t="shared" ca="1" si="336"/>
        <v>#N/A</v>
      </c>
      <c r="L406" t="e">
        <f t="shared" ca="1" si="336"/>
        <v>#N/A</v>
      </c>
      <c r="M406" t="e">
        <f t="shared" ca="1" si="336"/>
        <v>#N/A</v>
      </c>
      <c r="N406" t="e">
        <f t="shared" ca="1" si="336"/>
        <v>#N/A</v>
      </c>
      <c r="O406" t="e">
        <f t="shared" ca="1" si="336"/>
        <v>#N/A</v>
      </c>
      <c r="P406" t="e">
        <f t="shared" ca="1" si="336"/>
        <v>#N/A</v>
      </c>
      <c r="Q406" t="e">
        <f t="shared" ca="1" si="336"/>
        <v>#N/A</v>
      </c>
      <c r="R406" t="e">
        <f t="shared" ca="1" si="332"/>
        <v>#N/A</v>
      </c>
      <c r="S406" t="e">
        <f t="shared" ca="1" si="333"/>
        <v>#N/A</v>
      </c>
      <c r="T406" t="e">
        <f t="shared" ca="1" si="334"/>
        <v>#N/A</v>
      </c>
    </row>
    <row r="407" spans="1:20" x14ac:dyDescent="0.25">
      <c r="A407" s="1"/>
      <c r="B407" s="1" t="e">
        <f t="shared" si="324"/>
        <v>#N/A</v>
      </c>
      <c r="C407" s="1">
        <f t="shared" si="335"/>
        <v>405</v>
      </c>
      <c r="D407" t="e">
        <f t="shared" ca="1" si="325"/>
        <v>#N/A</v>
      </c>
      <c r="E407" t="e">
        <f t="shared" ca="1" si="326"/>
        <v>#N/A</v>
      </c>
      <c r="F407" t="e">
        <f t="shared" ca="1" si="327"/>
        <v>#N/A</v>
      </c>
      <c r="G407" t="e">
        <f t="shared" ca="1" si="328"/>
        <v>#N/A</v>
      </c>
      <c r="H407" t="e">
        <f t="shared" ca="1" si="329"/>
        <v>#N/A</v>
      </c>
      <c r="I407" t="e">
        <f t="shared" ca="1" si="330"/>
        <v>#N/A</v>
      </c>
      <c r="J407" t="e">
        <f t="shared" ca="1" si="331"/>
        <v>#N/A</v>
      </c>
      <c r="K407" t="e">
        <f t="shared" ca="1" si="336"/>
        <v>#N/A</v>
      </c>
      <c r="L407" t="e">
        <f t="shared" ca="1" si="336"/>
        <v>#N/A</v>
      </c>
      <c r="M407" t="e">
        <f t="shared" ca="1" si="336"/>
        <v>#N/A</v>
      </c>
      <c r="N407" t="e">
        <f t="shared" ca="1" si="336"/>
        <v>#N/A</v>
      </c>
      <c r="O407" t="e">
        <f t="shared" ca="1" si="336"/>
        <v>#N/A</v>
      </c>
      <c r="P407" t="e">
        <f t="shared" ca="1" si="336"/>
        <v>#N/A</v>
      </c>
      <c r="Q407" t="e">
        <f t="shared" ca="1" si="336"/>
        <v>#N/A</v>
      </c>
      <c r="R407" t="e">
        <f t="shared" ca="1" si="332"/>
        <v>#N/A</v>
      </c>
      <c r="S407" t="e">
        <f t="shared" ca="1" si="333"/>
        <v>#N/A</v>
      </c>
      <c r="T407" t="e">
        <f t="shared" ca="1" si="334"/>
        <v>#N/A</v>
      </c>
    </row>
    <row r="408" spans="1:20" x14ac:dyDescent="0.25">
      <c r="A408" s="1"/>
      <c r="B408" s="1" t="e">
        <f t="shared" si="324"/>
        <v>#N/A</v>
      </c>
      <c r="C408" s="1">
        <f t="shared" si="335"/>
        <v>406</v>
      </c>
      <c r="D408" t="e">
        <f t="shared" ca="1" si="325"/>
        <v>#N/A</v>
      </c>
      <c r="E408" t="e">
        <f t="shared" ca="1" si="326"/>
        <v>#N/A</v>
      </c>
      <c r="F408" t="e">
        <f t="shared" ca="1" si="327"/>
        <v>#N/A</v>
      </c>
      <c r="G408" t="e">
        <f t="shared" ca="1" si="328"/>
        <v>#N/A</v>
      </c>
      <c r="H408" t="e">
        <f t="shared" ca="1" si="329"/>
        <v>#N/A</v>
      </c>
      <c r="I408" t="e">
        <f t="shared" ca="1" si="330"/>
        <v>#N/A</v>
      </c>
      <c r="J408" t="e">
        <f t="shared" ca="1" si="331"/>
        <v>#N/A</v>
      </c>
      <c r="K408" t="e">
        <f t="shared" ca="1" si="336"/>
        <v>#N/A</v>
      </c>
      <c r="L408" t="e">
        <f t="shared" ca="1" si="336"/>
        <v>#N/A</v>
      </c>
      <c r="M408" t="e">
        <f t="shared" ca="1" si="336"/>
        <v>#N/A</v>
      </c>
      <c r="N408" t="e">
        <f t="shared" ca="1" si="336"/>
        <v>#N/A</v>
      </c>
      <c r="O408" t="e">
        <f t="shared" ca="1" si="336"/>
        <v>#N/A</v>
      </c>
      <c r="P408" t="e">
        <f t="shared" ca="1" si="336"/>
        <v>#N/A</v>
      </c>
      <c r="Q408" t="e">
        <f t="shared" ca="1" si="336"/>
        <v>#N/A</v>
      </c>
      <c r="R408" t="e">
        <f t="shared" ca="1" si="332"/>
        <v>#N/A</v>
      </c>
      <c r="S408" t="e">
        <f t="shared" ca="1" si="333"/>
        <v>#N/A</v>
      </c>
      <c r="T408" t="e">
        <f t="shared" ca="1" si="334"/>
        <v>#N/A</v>
      </c>
    </row>
    <row r="409" spans="1:20" x14ac:dyDescent="0.25">
      <c r="A409" s="1"/>
      <c r="B409" s="1" t="e">
        <f t="shared" si="324"/>
        <v>#N/A</v>
      </c>
      <c r="C409" s="1">
        <f t="shared" si="335"/>
        <v>407</v>
      </c>
      <c r="D409" t="e">
        <f t="shared" ca="1" si="325"/>
        <v>#N/A</v>
      </c>
      <c r="E409" t="e">
        <f t="shared" ca="1" si="326"/>
        <v>#N/A</v>
      </c>
      <c r="F409" t="e">
        <f t="shared" ca="1" si="327"/>
        <v>#N/A</v>
      </c>
      <c r="G409" t="e">
        <f t="shared" ca="1" si="328"/>
        <v>#N/A</v>
      </c>
      <c r="H409" t="e">
        <f t="shared" ca="1" si="329"/>
        <v>#N/A</v>
      </c>
      <c r="I409" t="e">
        <f t="shared" ca="1" si="330"/>
        <v>#N/A</v>
      </c>
      <c r="J409" t="e">
        <f t="shared" ca="1" si="331"/>
        <v>#N/A</v>
      </c>
      <c r="K409" t="e">
        <f t="shared" ca="1" si="336"/>
        <v>#N/A</v>
      </c>
      <c r="L409" t="e">
        <f t="shared" ca="1" si="336"/>
        <v>#N/A</v>
      </c>
      <c r="M409" t="e">
        <f t="shared" ca="1" si="336"/>
        <v>#N/A</v>
      </c>
      <c r="N409" t="e">
        <f t="shared" ca="1" si="336"/>
        <v>#N/A</v>
      </c>
      <c r="O409" t="e">
        <f t="shared" ca="1" si="336"/>
        <v>#N/A</v>
      </c>
      <c r="P409" t="e">
        <f t="shared" ca="1" si="336"/>
        <v>#N/A</v>
      </c>
      <c r="Q409" t="e">
        <f t="shared" ca="1" si="336"/>
        <v>#N/A</v>
      </c>
      <c r="R409" t="e">
        <f t="shared" ca="1" si="332"/>
        <v>#N/A</v>
      </c>
      <c r="S409" t="e">
        <f t="shared" ca="1" si="333"/>
        <v>#N/A</v>
      </c>
      <c r="T409" t="e">
        <f t="shared" ca="1" si="334"/>
        <v>#N/A</v>
      </c>
    </row>
    <row r="410" spans="1:20" x14ac:dyDescent="0.25">
      <c r="A410" s="1"/>
      <c r="B410" s="1" t="e">
        <f t="shared" si="324"/>
        <v>#N/A</v>
      </c>
      <c r="C410" s="1">
        <f t="shared" si="335"/>
        <v>408</v>
      </c>
      <c r="D410" t="e">
        <f t="shared" ca="1" si="325"/>
        <v>#N/A</v>
      </c>
      <c r="E410" t="e">
        <f t="shared" ca="1" si="326"/>
        <v>#N/A</v>
      </c>
      <c r="F410" t="e">
        <f t="shared" ca="1" si="327"/>
        <v>#N/A</v>
      </c>
      <c r="G410" t="e">
        <f t="shared" ca="1" si="328"/>
        <v>#N/A</v>
      </c>
      <c r="H410" t="e">
        <f t="shared" ca="1" si="329"/>
        <v>#N/A</v>
      </c>
      <c r="I410" t="e">
        <f t="shared" ca="1" si="330"/>
        <v>#N/A</v>
      </c>
      <c r="J410" t="e">
        <f t="shared" ca="1" si="331"/>
        <v>#N/A</v>
      </c>
      <c r="K410" t="e">
        <f t="shared" ca="1" si="336"/>
        <v>#N/A</v>
      </c>
      <c r="L410" t="e">
        <f t="shared" ca="1" si="336"/>
        <v>#N/A</v>
      </c>
      <c r="M410" t="e">
        <f t="shared" ca="1" si="336"/>
        <v>#N/A</v>
      </c>
      <c r="N410" t="e">
        <f t="shared" ca="1" si="336"/>
        <v>#N/A</v>
      </c>
      <c r="O410" t="e">
        <f t="shared" ca="1" si="336"/>
        <v>#N/A</v>
      </c>
      <c r="P410" t="e">
        <f t="shared" ca="1" si="336"/>
        <v>#N/A</v>
      </c>
      <c r="Q410" t="e">
        <f t="shared" ca="1" si="336"/>
        <v>#N/A</v>
      </c>
      <c r="R410" t="e">
        <f t="shared" ca="1" si="332"/>
        <v>#N/A</v>
      </c>
      <c r="S410" t="e">
        <f t="shared" ca="1" si="333"/>
        <v>#N/A</v>
      </c>
      <c r="T410" t="e">
        <f t="shared" ca="1" si="334"/>
        <v>#N/A</v>
      </c>
    </row>
    <row r="411" spans="1:20" x14ac:dyDescent="0.25">
      <c r="A411" s="1"/>
      <c r="B411" s="1" t="e">
        <f t="shared" si="324"/>
        <v>#N/A</v>
      </c>
      <c r="C411" s="1">
        <f t="shared" si="335"/>
        <v>409</v>
      </c>
      <c r="D411" t="e">
        <f t="shared" ca="1" si="325"/>
        <v>#N/A</v>
      </c>
      <c r="E411" t="e">
        <f t="shared" ca="1" si="326"/>
        <v>#N/A</v>
      </c>
      <c r="F411" t="e">
        <f t="shared" ca="1" si="327"/>
        <v>#N/A</v>
      </c>
      <c r="G411" t="e">
        <f t="shared" ca="1" si="328"/>
        <v>#N/A</v>
      </c>
      <c r="H411" t="e">
        <f t="shared" ca="1" si="329"/>
        <v>#N/A</v>
      </c>
      <c r="I411" t="e">
        <f t="shared" ca="1" si="330"/>
        <v>#N/A</v>
      </c>
      <c r="J411" t="e">
        <f t="shared" ca="1" si="331"/>
        <v>#N/A</v>
      </c>
      <c r="K411" t="e">
        <f t="shared" ca="1" si="336"/>
        <v>#N/A</v>
      </c>
      <c r="L411" t="e">
        <f t="shared" ca="1" si="336"/>
        <v>#N/A</v>
      </c>
      <c r="M411" t="e">
        <f t="shared" ca="1" si="336"/>
        <v>#N/A</v>
      </c>
      <c r="N411" t="e">
        <f t="shared" ca="1" si="336"/>
        <v>#N/A</v>
      </c>
      <c r="O411" t="e">
        <f t="shared" ca="1" si="336"/>
        <v>#N/A</v>
      </c>
      <c r="P411" t="e">
        <f t="shared" ca="1" si="336"/>
        <v>#N/A</v>
      </c>
      <c r="Q411" t="e">
        <f t="shared" ca="1" si="336"/>
        <v>#N/A</v>
      </c>
      <c r="R411" t="e">
        <f t="shared" ca="1" si="332"/>
        <v>#N/A</v>
      </c>
      <c r="S411" t="e">
        <f t="shared" ca="1" si="333"/>
        <v>#N/A</v>
      </c>
      <c r="T411" t="e">
        <f t="shared" ca="1" si="334"/>
        <v>#N/A</v>
      </c>
    </row>
    <row r="412" spans="1:20" x14ac:dyDescent="0.25">
      <c r="A412" s="1"/>
      <c r="B412" s="1" t="e">
        <f t="shared" si="324"/>
        <v>#N/A</v>
      </c>
      <c r="C412" s="1">
        <f t="shared" si="335"/>
        <v>410</v>
      </c>
      <c r="D412" t="e">
        <f t="shared" ca="1" si="325"/>
        <v>#N/A</v>
      </c>
      <c r="E412" t="e">
        <f t="shared" ca="1" si="326"/>
        <v>#N/A</v>
      </c>
      <c r="F412" t="e">
        <f t="shared" ca="1" si="327"/>
        <v>#N/A</v>
      </c>
      <c r="G412" t="e">
        <f t="shared" ca="1" si="328"/>
        <v>#N/A</v>
      </c>
      <c r="H412" t="e">
        <f t="shared" ca="1" si="329"/>
        <v>#N/A</v>
      </c>
      <c r="I412" t="e">
        <f t="shared" ca="1" si="330"/>
        <v>#N/A</v>
      </c>
      <c r="J412" t="e">
        <f t="shared" ca="1" si="331"/>
        <v>#N/A</v>
      </c>
      <c r="K412" t="e">
        <f t="shared" ca="1" si="336"/>
        <v>#N/A</v>
      </c>
      <c r="L412" t="e">
        <f t="shared" ca="1" si="336"/>
        <v>#N/A</v>
      </c>
      <c r="M412" t="e">
        <f t="shared" ca="1" si="336"/>
        <v>#N/A</v>
      </c>
      <c r="N412" t="e">
        <f t="shared" ca="1" si="336"/>
        <v>#N/A</v>
      </c>
      <c r="O412" t="e">
        <f t="shared" ca="1" si="336"/>
        <v>#N/A</v>
      </c>
      <c r="P412" t="e">
        <f t="shared" ca="1" si="336"/>
        <v>#N/A</v>
      </c>
      <c r="Q412" t="e">
        <f t="shared" ca="1" si="336"/>
        <v>#N/A</v>
      </c>
      <c r="R412" t="e">
        <f t="shared" ca="1" si="332"/>
        <v>#N/A</v>
      </c>
      <c r="S412" t="e">
        <f t="shared" ca="1" si="333"/>
        <v>#N/A</v>
      </c>
      <c r="T412" t="e">
        <f t="shared" ca="1" si="334"/>
        <v>#N/A</v>
      </c>
    </row>
    <row r="413" spans="1:20" x14ac:dyDescent="0.25">
      <c r="A413" s="1"/>
      <c r="B413" s="1" t="e">
        <f t="shared" si="324"/>
        <v>#N/A</v>
      </c>
      <c r="C413" s="1">
        <f t="shared" si="335"/>
        <v>411</v>
      </c>
      <c r="D413" t="e">
        <f t="shared" ca="1" si="325"/>
        <v>#N/A</v>
      </c>
      <c r="E413" t="e">
        <f t="shared" ca="1" si="326"/>
        <v>#N/A</v>
      </c>
      <c r="F413" t="e">
        <f t="shared" ca="1" si="327"/>
        <v>#N/A</v>
      </c>
      <c r="G413" t="e">
        <f t="shared" ca="1" si="328"/>
        <v>#N/A</v>
      </c>
      <c r="H413" t="e">
        <f t="shared" ca="1" si="329"/>
        <v>#N/A</v>
      </c>
      <c r="I413" t="e">
        <f t="shared" ca="1" si="330"/>
        <v>#N/A</v>
      </c>
      <c r="J413" t="e">
        <f t="shared" ca="1" si="331"/>
        <v>#N/A</v>
      </c>
      <c r="K413" t="e">
        <f t="shared" ca="1" si="336"/>
        <v>#N/A</v>
      </c>
      <c r="L413" t="e">
        <f t="shared" ca="1" si="336"/>
        <v>#N/A</v>
      </c>
      <c r="M413" t="e">
        <f t="shared" ca="1" si="336"/>
        <v>#N/A</v>
      </c>
      <c r="N413" t="e">
        <f t="shared" ca="1" si="336"/>
        <v>#N/A</v>
      </c>
      <c r="O413" t="e">
        <f t="shared" ca="1" si="336"/>
        <v>#N/A</v>
      </c>
      <c r="P413" t="e">
        <f t="shared" ca="1" si="336"/>
        <v>#N/A</v>
      </c>
      <c r="Q413" t="e">
        <f t="shared" ca="1" si="336"/>
        <v>#N/A</v>
      </c>
      <c r="R413" t="e">
        <f t="shared" ca="1" si="332"/>
        <v>#N/A</v>
      </c>
      <c r="S413" t="e">
        <f t="shared" ca="1" si="333"/>
        <v>#N/A</v>
      </c>
      <c r="T413" t="e">
        <f t="shared" ca="1" si="334"/>
        <v>#N/A</v>
      </c>
    </row>
    <row r="414" spans="1:20" x14ac:dyDescent="0.25">
      <c r="A414" s="1"/>
      <c r="B414" s="1" t="e">
        <f t="shared" si="324"/>
        <v>#N/A</v>
      </c>
      <c r="C414" s="1">
        <f t="shared" si="335"/>
        <v>412</v>
      </c>
      <c r="D414" t="e">
        <f t="shared" ca="1" si="325"/>
        <v>#N/A</v>
      </c>
      <c r="E414" t="e">
        <f t="shared" ca="1" si="326"/>
        <v>#N/A</v>
      </c>
      <c r="F414" t="e">
        <f t="shared" ca="1" si="327"/>
        <v>#N/A</v>
      </c>
      <c r="G414" t="e">
        <f t="shared" ca="1" si="328"/>
        <v>#N/A</v>
      </c>
      <c r="H414" t="e">
        <f t="shared" ca="1" si="329"/>
        <v>#N/A</v>
      </c>
      <c r="I414" t="e">
        <f t="shared" ca="1" si="330"/>
        <v>#N/A</v>
      </c>
      <c r="J414" t="e">
        <f t="shared" ca="1" si="331"/>
        <v>#N/A</v>
      </c>
      <c r="K414" t="e">
        <f t="shared" ca="1" si="336"/>
        <v>#N/A</v>
      </c>
      <c r="L414" t="e">
        <f t="shared" ca="1" si="336"/>
        <v>#N/A</v>
      </c>
      <c r="M414" t="e">
        <f t="shared" ca="1" si="336"/>
        <v>#N/A</v>
      </c>
      <c r="N414" t="e">
        <f t="shared" ca="1" si="336"/>
        <v>#N/A</v>
      </c>
      <c r="O414" t="e">
        <f t="shared" ca="1" si="336"/>
        <v>#N/A</v>
      </c>
      <c r="P414" t="e">
        <f t="shared" ca="1" si="336"/>
        <v>#N/A</v>
      </c>
      <c r="Q414" t="e">
        <f t="shared" ca="1" si="336"/>
        <v>#N/A</v>
      </c>
      <c r="R414" t="e">
        <f t="shared" ca="1" si="332"/>
        <v>#N/A</v>
      </c>
      <c r="S414" t="e">
        <f t="shared" ca="1" si="333"/>
        <v>#N/A</v>
      </c>
      <c r="T414" t="e">
        <f t="shared" ca="1" si="334"/>
        <v>#N/A</v>
      </c>
    </row>
    <row r="415" spans="1:20" x14ac:dyDescent="0.25">
      <c r="A415" s="1"/>
      <c r="B415" s="1" t="e">
        <f t="shared" si="324"/>
        <v>#N/A</v>
      </c>
      <c r="C415" s="1">
        <f t="shared" si="335"/>
        <v>413</v>
      </c>
      <c r="D415" t="e">
        <f t="shared" ca="1" si="325"/>
        <v>#N/A</v>
      </c>
      <c r="E415" t="e">
        <f t="shared" ca="1" si="326"/>
        <v>#N/A</v>
      </c>
      <c r="F415" t="e">
        <f t="shared" ca="1" si="327"/>
        <v>#N/A</v>
      </c>
      <c r="G415" t="e">
        <f t="shared" ca="1" si="328"/>
        <v>#N/A</v>
      </c>
      <c r="H415" t="e">
        <f t="shared" ca="1" si="329"/>
        <v>#N/A</v>
      </c>
      <c r="I415" t="e">
        <f t="shared" ca="1" si="330"/>
        <v>#N/A</v>
      </c>
      <c r="J415" t="e">
        <f t="shared" ca="1" si="331"/>
        <v>#N/A</v>
      </c>
      <c r="K415" t="e">
        <f t="shared" ca="1" si="336"/>
        <v>#N/A</v>
      </c>
      <c r="L415" t="e">
        <f t="shared" ca="1" si="336"/>
        <v>#N/A</v>
      </c>
      <c r="M415" t="e">
        <f t="shared" ca="1" si="336"/>
        <v>#N/A</v>
      </c>
      <c r="N415" t="e">
        <f t="shared" ca="1" si="336"/>
        <v>#N/A</v>
      </c>
      <c r="O415" t="e">
        <f t="shared" ca="1" si="336"/>
        <v>#N/A</v>
      </c>
      <c r="P415" t="e">
        <f t="shared" ca="1" si="336"/>
        <v>#N/A</v>
      </c>
      <c r="Q415" t="e">
        <f t="shared" ca="1" si="336"/>
        <v>#N/A</v>
      </c>
      <c r="R415" t="e">
        <f t="shared" ca="1" si="332"/>
        <v>#N/A</v>
      </c>
      <c r="S415" t="e">
        <f t="shared" ca="1" si="333"/>
        <v>#N/A</v>
      </c>
      <c r="T415" t="e">
        <f t="shared" ca="1" si="334"/>
        <v>#N/A</v>
      </c>
    </row>
    <row r="416" spans="1:20" x14ac:dyDescent="0.25">
      <c r="A416" s="1"/>
      <c r="B416" s="1" t="e">
        <f t="shared" si="324"/>
        <v>#N/A</v>
      </c>
      <c r="C416" s="1">
        <f t="shared" si="335"/>
        <v>414</v>
      </c>
      <c r="D416" t="e">
        <f t="shared" ca="1" si="325"/>
        <v>#N/A</v>
      </c>
      <c r="E416" t="e">
        <f t="shared" ca="1" si="326"/>
        <v>#N/A</v>
      </c>
      <c r="F416" t="e">
        <f t="shared" ca="1" si="327"/>
        <v>#N/A</v>
      </c>
      <c r="G416" t="e">
        <f t="shared" ca="1" si="328"/>
        <v>#N/A</v>
      </c>
      <c r="H416" t="e">
        <f t="shared" ca="1" si="329"/>
        <v>#N/A</v>
      </c>
      <c r="I416" t="e">
        <f t="shared" ca="1" si="330"/>
        <v>#N/A</v>
      </c>
      <c r="J416" t="e">
        <f t="shared" ca="1" si="331"/>
        <v>#N/A</v>
      </c>
      <c r="K416" t="e">
        <f t="shared" ca="1" si="336"/>
        <v>#N/A</v>
      </c>
      <c r="L416" t="e">
        <f t="shared" ca="1" si="336"/>
        <v>#N/A</v>
      </c>
      <c r="M416" t="e">
        <f t="shared" ca="1" si="336"/>
        <v>#N/A</v>
      </c>
      <c r="N416" t="e">
        <f t="shared" ca="1" si="336"/>
        <v>#N/A</v>
      </c>
      <c r="O416" t="e">
        <f t="shared" ca="1" si="336"/>
        <v>#N/A</v>
      </c>
      <c r="P416" t="e">
        <f t="shared" ca="1" si="336"/>
        <v>#N/A</v>
      </c>
      <c r="Q416" t="e">
        <f t="shared" ca="1" si="336"/>
        <v>#N/A</v>
      </c>
      <c r="R416" t="e">
        <f t="shared" ca="1" si="332"/>
        <v>#N/A</v>
      </c>
      <c r="S416" t="e">
        <f t="shared" ca="1" si="333"/>
        <v>#N/A</v>
      </c>
      <c r="T416" t="e">
        <f t="shared" ca="1" si="334"/>
        <v>#N/A</v>
      </c>
    </row>
    <row r="417" spans="1:20" x14ac:dyDescent="0.25">
      <c r="A417" s="1"/>
      <c r="B417" s="1" t="e">
        <f t="shared" ref="B417:B432" si="337">LOOKUP($A417,$V$4:$V$23,$W$4:$W$23)</f>
        <v>#N/A</v>
      </c>
      <c r="C417" s="1">
        <f t="shared" si="335"/>
        <v>415</v>
      </c>
      <c r="D417" t="e">
        <f t="shared" ref="D417:D432" ca="1" si="338">OFFSET($X$4,$B417,MOD($C417,7),1,1)</f>
        <v>#N/A</v>
      </c>
      <c r="E417" t="e">
        <f t="shared" ref="E417:E432" ca="1" si="339">OFFSET($X$4,$B417,MOD($C417+1,7),1,1)</f>
        <v>#N/A</v>
      </c>
      <c r="F417" t="e">
        <f t="shared" ref="F417:F432" ca="1" si="340">OFFSET($X$4,$B417,MOD($C417+2,7),1,1)</f>
        <v>#N/A</v>
      </c>
      <c r="G417" t="e">
        <f t="shared" ref="G417:G432" ca="1" si="341">OFFSET($X$4,$B417,MOD($C417+3,7),1,1)</f>
        <v>#N/A</v>
      </c>
      <c r="H417" t="e">
        <f t="shared" ref="H417:H432" ca="1" si="342">OFFSET($X$4,$B417,MOD($C417+4,7),1,1)</f>
        <v>#N/A</v>
      </c>
      <c r="I417" t="e">
        <f t="shared" ref="I417:I432" ca="1" si="343">OFFSET($X$4,$B417,MOD($C417+5,7),1,1)</f>
        <v>#N/A</v>
      </c>
      <c r="J417" t="e">
        <f t="shared" ref="J417:J432" ca="1" si="344">OFFSET($X$4,$B417,MOD($C417+6,7),1,1)</f>
        <v>#N/A</v>
      </c>
      <c r="K417" t="e">
        <f t="shared" ca="1" si="336"/>
        <v>#N/A</v>
      </c>
      <c r="L417" t="e">
        <f t="shared" ca="1" si="336"/>
        <v>#N/A</v>
      </c>
      <c r="M417" t="e">
        <f t="shared" ca="1" si="336"/>
        <v>#N/A</v>
      </c>
      <c r="N417" t="e">
        <f t="shared" ca="1" si="336"/>
        <v>#N/A</v>
      </c>
      <c r="O417" t="e">
        <f t="shared" ca="1" si="336"/>
        <v>#N/A</v>
      </c>
      <c r="P417" t="e">
        <f t="shared" ca="1" si="336"/>
        <v>#N/A</v>
      </c>
      <c r="Q417" t="e">
        <f t="shared" ca="1" si="336"/>
        <v>#N/A</v>
      </c>
      <c r="R417" t="e">
        <f t="shared" ref="R417:R432" ca="1" si="345">MAX(K417:Q417)</f>
        <v>#N/A</v>
      </c>
      <c r="S417" t="e">
        <f t="shared" ref="S417:S432" ca="1" si="346">IF(R390&gt;1.55,1,IF(R390&gt;1.48,0.9,IF(R390&gt;1.4,0.8,IF(R390&gt;1.36666,0.6,IF(R390&gt;1.33333,0.4,IF(R390&gt;1.22,0.2,IF(R390&gt;1,0.1,0)))))))</f>
        <v>#N/A</v>
      </c>
      <c r="T417" t="e">
        <f t="shared" ref="T417:T432" ca="1" si="347">MAX(S417:S444)</f>
        <v>#N/A</v>
      </c>
    </row>
    <row r="418" spans="1:20" x14ac:dyDescent="0.25">
      <c r="A418" s="1"/>
      <c r="B418" s="1" t="e">
        <f t="shared" si="337"/>
        <v>#N/A</v>
      </c>
      <c r="C418" s="1">
        <f t="shared" si="335"/>
        <v>416</v>
      </c>
      <c r="D418" t="e">
        <f t="shared" ca="1" si="338"/>
        <v>#N/A</v>
      </c>
      <c r="E418" t="e">
        <f t="shared" ca="1" si="339"/>
        <v>#N/A</v>
      </c>
      <c r="F418" t="e">
        <f t="shared" ca="1" si="340"/>
        <v>#N/A</v>
      </c>
      <c r="G418" t="e">
        <f t="shared" ca="1" si="341"/>
        <v>#N/A</v>
      </c>
      <c r="H418" t="e">
        <f t="shared" ca="1" si="342"/>
        <v>#N/A</v>
      </c>
      <c r="I418" t="e">
        <f t="shared" ca="1" si="343"/>
        <v>#N/A</v>
      </c>
      <c r="J418" t="e">
        <f t="shared" ca="1" si="344"/>
        <v>#N/A</v>
      </c>
      <c r="K418" t="e">
        <f t="shared" ca="1" si="336"/>
        <v>#N/A</v>
      </c>
      <c r="L418" t="e">
        <f t="shared" ca="1" si="336"/>
        <v>#N/A</v>
      </c>
      <c r="M418" t="e">
        <f t="shared" ca="1" si="336"/>
        <v>#N/A</v>
      </c>
      <c r="N418" t="e">
        <f t="shared" ca="1" si="336"/>
        <v>#N/A</v>
      </c>
      <c r="O418" t="e">
        <f t="shared" ca="1" si="336"/>
        <v>#N/A</v>
      </c>
      <c r="P418" t="e">
        <f t="shared" ca="1" si="336"/>
        <v>#N/A</v>
      </c>
      <c r="Q418" t="e">
        <f t="shared" ca="1" si="336"/>
        <v>#N/A</v>
      </c>
      <c r="R418" t="e">
        <f t="shared" ca="1" si="345"/>
        <v>#N/A</v>
      </c>
      <c r="S418" t="e">
        <f t="shared" ca="1" si="346"/>
        <v>#N/A</v>
      </c>
      <c r="T418" t="e">
        <f t="shared" ca="1" si="347"/>
        <v>#N/A</v>
      </c>
    </row>
    <row r="419" spans="1:20" x14ac:dyDescent="0.25">
      <c r="A419" s="1"/>
      <c r="B419" s="1" t="e">
        <f t="shared" si="337"/>
        <v>#N/A</v>
      </c>
      <c r="C419" s="1">
        <f t="shared" si="335"/>
        <v>417</v>
      </c>
      <c r="D419" t="e">
        <f t="shared" ca="1" si="338"/>
        <v>#N/A</v>
      </c>
      <c r="E419" t="e">
        <f t="shared" ca="1" si="339"/>
        <v>#N/A</v>
      </c>
      <c r="F419" t="e">
        <f t="shared" ca="1" si="340"/>
        <v>#N/A</v>
      </c>
      <c r="G419" t="e">
        <f t="shared" ca="1" si="341"/>
        <v>#N/A</v>
      </c>
      <c r="H419" t="e">
        <f t="shared" ca="1" si="342"/>
        <v>#N/A</v>
      </c>
      <c r="I419" t="e">
        <f t="shared" ca="1" si="343"/>
        <v>#N/A</v>
      </c>
      <c r="J419" t="e">
        <f t="shared" ca="1" si="344"/>
        <v>#N/A</v>
      </c>
      <c r="K419" t="e">
        <f t="shared" ca="1" si="336"/>
        <v>#N/A</v>
      </c>
      <c r="L419" t="e">
        <f t="shared" ca="1" si="336"/>
        <v>#N/A</v>
      </c>
      <c r="M419" t="e">
        <f t="shared" ca="1" si="336"/>
        <v>#N/A</v>
      </c>
      <c r="N419" t="e">
        <f t="shared" ca="1" si="336"/>
        <v>#N/A</v>
      </c>
      <c r="O419" t="e">
        <f t="shared" ca="1" si="336"/>
        <v>#N/A</v>
      </c>
      <c r="P419" t="e">
        <f t="shared" ca="1" si="336"/>
        <v>#N/A</v>
      </c>
      <c r="Q419" t="e">
        <f t="shared" ca="1" si="336"/>
        <v>#N/A</v>
      </c>
      <c r="R419" t="e">
        <f t="shared" ca="1" si="345"/>
        <v>#N/A</v>
      </c>
      <c r="S419" t="e">
        <f t="shared" ca="1" si="346"/>
        <v>#N/A</v>
      </c>
      <c r="T419" t="e">
        <f t="shared" ca="1" si="347"/>
        <v>#N/A</v>
      </c>
    </row>
    <row r="420" spans="1:20" x14ac:dyDescent="0.25">
      <c r="A420" s="1"/>
      <c r="B420" s="1" t="e">
        <f t="shared" si="337"/>
        <v>#N/A</v>
      </c>
      <c r="C420" s="1">
        <f t="shared" ref="C420:C435" si="348">C419+1</f>
        <v>418</v>
      </c>
      <c r="D420" t="e">
        <f t="shared" ca="1" si="338"/>
        <v>#N/A</v>
      </c>
      <c r="E420" t="e">
        <f t="shared" ca="1" si="339"/>
        <v>#N/A</v>
      </c>
      <c r="F420" t="e">
        <f t="shared" ca="1" si="340"/>
        <v>#N/A</v>
      </c>
      <c r="G420" t="e">
        <f t="shared" ca="1" si="341"/>
        <v>#N/A</v>
      </c>
      <c r="H420" t="e">
        <f t="shared" ca="1" si="342"/>
        <v>#N/A</v>
      </c>
      <c r="I420" t="e">
        <f t="shared" ca="1" si="343"/>
        <v>#N/A</v>
      </c>
      <c r="J420" t="e">
        <f t="shared" ca="1" si="344"/>
        <v>#N/A</v>
      </c>
      <c r="K420" t="e">
        <f t="shared" ref="K420:Q435" ca="1" si="349">POWER(PRODUCT(D420:D447),1/28)</f>
        <v>#N/A</v>
      </c>
      <c r="L420" t="e">
        <f t="shared" ca="1" si="349"/>
        <v>#N/A</v>
      </c>
      <c r="M420" t="e">
        <f t="shared" ca="1" si="349"/>
        <v>#N/A</v>
      </c>
      <c r="N420" t="e">
        <f t="shared" ca="1" si="349"/>
        <v>#N/A</v>
      </c>
      <c r="O420" t="e">
        <f t="shared" ca="1" si="349"/>
        <v>#N/A</v>
      </c>
      <c r="P420" t="e">
        <f t="shared" ca="1" si="349"/>
        <v>#N/A</v>
      </c>
      <c r="Q420" t="e">
        <f t="shared" ca="1" si="349"/>
        <v>#N/A</v>
      </c>
      <c r="R420" t="e">
        <f t="shared" ca="1" si="345"/>
        <v>#N/A</v>
      </c>
      <c r="S420" t="e">
        <f t="shared" ca="1" si="346"/>
        <v>#N/A</v>
      </c>
      <c r="T420" t="e">
        <f t="shared" ca="1" si="347"/>
        <v>#N/A</v>
      </c>
    </row>
    <row r="421" spans="1:20" x14ac:dyDescent="0.25">
      <c r="A421" s="1"/>
      <c r="B421" s="1" t="e">
        <f t="shared" si="337"/>
        <v>#N/A</v>
      </c>
      <c r="C421" s="1">
        <f t="shared" si="348"/>
        <v>419</v>
      </c>
      <c r="D421" t="e">
        <f t="shared" ca="1" si="338"/>
        <v>#N/A</v>
      </c>
      <c r="E421" t="e">
        <f t="shared" ca="1" si="339"/>
        <v>#N/A</v>
      </c>
      <c r="F421" t="e">
        <f t="shared" ca="1" si="340"/>
        <v>#N/A</v>
      </c>
      <c r="G421" t="e">
        <f t="shared" ca="1" si="341"/>
        <v>#N/A</v>
      </c>
      <c r="H421" t="e">
        <f t="shared" ca="1" si="342"/>
        <v>#N/A</v>
      </c>
      <c r="I421" t="e">
        <f t="shared" ca="1" si="343"/>
        <v>#N/A</v>
      </c>
      <c r="J421" t="e">
        <f t="shared" ca="1" si="344"/>
        <v>#N/A</v>
      </c>
      <c r="K421" t="e">
        <f t="shared" ca="1" si="349"/>
        <v>#N/A</v>
      </c>
      <c r="L421" t="e">
        <f t="shared" ca="1" si="349"/>
        <v>#N/A</v>
      </c>
      <c r="M421" t="e">
        <f t="shared" ca="1" si="349"/>
        <v>#N/A</v>
      </c>
      <c r="N421" t="e">
        <f t="shared" ca="1" si="349"/>
        <v>#N/A</v>
      </c>
      <c r="O421" t="e">
        <f t="shared" ca="1" si="349"/>
        <v>#N/A</v>
      </c>
      <c r="P421" t="e">
        <f t="shared" ca="1" si="349"/>
        <v>#N/A</v>
      </c>
      <c r="Q421" t="e">
        <f t="shared" ca="1" si="349"/>
        <v>#N/A</v>
      </c>
      <c r="R421" t="e">
        <f t="shared" ca="1" si="345"/>
        <v>#N/A</v>
      </c>
      <c r="S421" t="e">
        <f t="shared" ca="1" si="346"/>
        <v>#N/A</v>
      </c>
      <c r="T421" t="e">
        <f t="shared" ca="1" si="347"/>
        <v>#N/A</v>
      </c>
    </row>
    <row r="422" spans="1:20" x14ac:dyDescent="0.25">
      <c r="A422" s="1"/>
      <c r="B422" s="1" t="e">
        <f t="shared" si="337"/>
        <v>#N/A</v>
      </c>
      <c r="C422" s="1">
        <f t="shared" si="348"/>
        <v>420</v>
      </c>
      <c r="D422" t="e">
        <f t="shared" ca="1" si="338"/>
        <v>#N/A</v>
      </c>
      <c r="E422" t="e">
        <f t="shared" ca="1" si="339"/>
        <v>#N/A</v>
      </c>
      <c r="F422" t="e">
        <f t="shared" ca="1" si="340"/>
        <v>#N/A</v>
      </c>
      <c r="G422" t="e">
        <f t="shared" ca="1" si="341"/>
        <v>#N/A</v>
      </c>
      <c r="H422" t="e">
        <f t="shared" ca="1" si="342"/>
        <v>#N/A</v>
      </c>
      <c r="I422" t="e">
        <f t="shared" ca="1" si="343"/>
        <v>#N/A</v>
      </c>
      <c r="J422" t="e">
        <f t="shared" ca="1" si="344"/>
        <v>#N/A</v>
      </c>
      <c r="K422" t="e">
        <f t="shared" ca="1" si="349"/>
        <v>#N/A</v>
      </c>
      <c r="L422" t="e">
        <f t="shared" ca="1" si="349"/>
        <v>#N/A</v>
      </c>
      <c r="M422" t="e">
        <f t="shared" ca="1" si="349"/>
        <v>#N/A</v>
      </c>
      <c r="N422" t="e">
        <f t="shared" ca="1" si="349"/>
        <v>#N/A</v>
      </c>
      <c r="O422" t="e">
        <f t="shared" ca="1" si="349"/>
        <v>#N/A</v>
      </c>
      <c r="P422" t="e">
        <f t="shared" ca="1" si="349"/>
        <v>#N/A</v>
      </c>
      <c r="Q422" t="e">
        <f t="shared" ca="1" si="349"/>
        <v>#N/A</v>
      </c>
      <c r="R422" t="e">
        <f t="shared" ca="1" si="345"/>
        <v>#N/A</v>
      </c>
      <c r="S422" t="e">
        <f t="shared" ca="1" si="346"/>
        <v>#N/A</v>
      </c>
      <c r="T422" t="e">
        <f t="shared" ca="1" si="347"/>
        <v>#N/A</v>
      </c>
    </row>
    <row r="423" spans="1:20" x14ac:dyDescent="0.25">
      <c r="A423" s="1"/>
      <c r="B423" s="1" t="e">
        <f t="shared" si="337"/>
        <v>#N/A</v>
      </c>
      <c r="C423" s="1">
        <f t="shared" si="348"/>
        <v>421</v>
      </c>
      <c r="D423" t="e">
        <f t="shared" ca="1" si="338"/>
        <v>#N/A</v>
      </c>
      <c r="E423" t="e">
        <f t="shared" ca="1" si="339"/>
        <v>#N/A</v>
      </c>
      <c r="F423" t="e">
        <f t="shared" ca="1" si="340"/>
        <v>#N/A</v>
      </c>
      <c r="G423" t="e">
        <f t="shared" ca="1" si="341"/>
        <v>#N/A</v>
      </c>
      <c r="H423" t="e">
        <f t="shared" ca="1" si="342"/>
        <v>#N/A</v>
      </c>
      <c r="I423" t="e">
        <f t="shared" ca="1" si="343"/>
        <v>#N/A</v>
      </c>
      <c r="J423" t="e">
        <f t="shared" ca="1" si="344"/>
        <v>#N/A</v>
      </c>
      <c r="K423" t="e">
        <f t="shared" ca="1" si="349"/>
        <v>#N/A</v>
      </c>
      <c r="L423" t="e">
        <f t="shared" ca="1" si="349"/>
        <v>#N/A</v>
      </c>
      <c r="M423" t="e">
        <f t="shared" ca="1" si="349"/>
        <v>#N/A</v>
      </c>
      <c r="N423" t="e">
        <f t="shared" ca="1" si="349"/>
        <v>#N/A</v>
      </c>
      <c r="O423" t="e">
        <f t="shared" ca="1" si="349"/>
        <v>#N/A</v>
      </c>
      <c r="P423" t="e">
        <f t="shared" ca="1" si="349"/>
        <v>#N/A</v>
      </c>
      <c r="Q423" t="e">
        <f t="shared" ca="1" si="349"/>
        <v>#N/A</v>
      </c>
      <c r="R423" t="e">
        <f t="shared" ca="1" si="345"/>
        <v>#N/A</v>
      </c>
      <c r="S423" t="e">
        <f t="shared" ca="1" si="346"/>
        <v>#N/A</v>
      </c>
      <c r="T423" t="e">
        <f t="shared" ca="1" si="347"/>
        <v>#N/A</v>
      </c>
    </row>
    <row r="424" spans="1:20" x14ac:dyDescent="0.25">
      <c r="A424" s="1"/>
      <c r="B424" s="1" t="e">
        <f t="shared" si="337"/>
        <v>#N/A</v>
      </c>
      <c r="C424" s="1">
        <f t="shared" si="348"/>
        <v>422</v>
      </c>
      <c r="D424" t="e">
        <f t="shared" ca="1" si="338"/>
        <v>#N/A</v>
      </c>
      <c r="E424" t="e">
        <f t="shared" ca="1" si="339"/>
        <v>#N/A</v>
      </c>
      <c r="F424" t="e">
        <f t="shared" ca="1" si="340"/>
        <v>#N/A</v>
      </c>
      <c r="G424" t="e">
        <f t="shared" ca="1" si="341"/>
        <v>#N/A</v>
      </c>
      <c r="H424" t="e">
        <f t="shared" ca="1" si="342"/>
        <v>#N/A</v>
      </c>
      <c r="I424" t="e">
        <f t="shared" ca="1" si="343"/>
        <v>#N/A</v>
      </c>
      <c r="J424" t="e">
        <f t="shared" ca="1" si="344"/>
        <v>#N/A</v>
      </c>
      <c r="K424" t="e">
        <f t="shared" ca="1" si="349"/>
        <v>#N/A</v>
      </c>
      <c r="L424" t="e">
        <f t="shared" ca="1" si="349"/>
        <v>#N/A</v>
      </c>
      <c r="M424" t="e">
        <f t="shared" ca="1" si="349"/>
        <v>#N/A</v>
      </c>
      <c r="N424" t="e">
        <f t="shared" ca="1" si="349"/>
        <v>#N/A</v>
      </c>
      <c r="O424" t="e">
        <f t="shared" ca="1" si="349"/>
        <v>#N/A</v>
      </c>
      <c r="P424" t="e">
        <f t="shared" ca="1" si="349"/>
        <v>#N/A</v>
      </c>
      <c r="Q424" t="e">
        <f t="shared" ca="1" si="349"/>
        <v>#N/A</v>
      </c>
      <c r="R424" t="e">
        <f t="shared" ca="1" si="345"/>
        <v>#N/A</v>
      </c>
      <c r="S424" t="e">
        <f t="shared" ca="1" si="346"/>
        <v>#N/A</v>
      </c>
      <c r="T424" t="e">
        <f t="shared" ca="1" si="347"/>
        <v>#N/A</v>
      </c>
    </row>
    <row r="425" spans="1:20" x14ac:dyDescent="0.25">
      <c r="A425" s="1"/>
      <c r="B425" s="1" t="e">
        <f t="shared" si="337"/>
        <v>#N/A</v>
      </c>
      <c r="C425" s="1">
        <f t="shared" si="348"/>
        <v>423</v>
      </c>
      <c r="D425" t="e">
        <f t="shared" ca="1" si="338"/>
        <v>#N/A</v>
      </c>
      <c r="E425" t="e">
        <f t="shared" ca="1" si="339"/>
        <v>#N/A</v>
      </c>
      <c r="F425" t="e">
        <f t="shared" ca="1" si="340"/>
        <v>#N/A</v>
      </c>
      <c r="G425" t="e">
        <f t="shared" ca="1" si="341"/>
        <v>#N/A</v>
      </c>
      <c r="H425" t="e">
        <f t="shared" ca="1" si="342"/>
        <v>#N/A</v>
      </c>
      <c r="I425" t="e">
        <f t="shared" ca="1" si="343"/>
        <v>#N/A</v>
      </c>
      <c r="J425" t="e">
        <f t="shared" ca="1" si="344"/>
        <v>#N/A</v>
      </c>
      <c r="K425" t="e">
        <f t="shared" ca="1" si="349"/>
        <v>#N/A</v>
      </c>
      <c r="L425" t="e">
        <f t="shared" ca="1" si="349"/>
        <v>#N/A</v>
      </c>
      <c r="M425" t="e">
        <f t="shared" ca="1" si="349"/>
        <v>#N/A</v>
      </c>
      <c r="N425" t="e">
        <f t="shared" ca="1" si="349"/>
        <v>#N/A</v>
      </c>
      <c r="O425" t="e">
        <f t="shared" ca="1" si="349"/>
        <v>#N/A</v>
      </c>
      <c r="P425" t="e">
        <f t="shared" ca="1" si="349"/>
        <v>#N/A</v>
      </c>
      <c r="Q425" t="e">
        <f t="shared" ca="1" si="349"/>
        <v>#N/A</v>
      </c>
      <c r="R425" t="e">
        <f t="shared" ca="1" si="345"/>
        <v>#N/A</v>
      </c>
      <c r="S425" t="e">
        <f t="shared" ca="1" si="346"/>
        <v>#N/A</v>
      </c>
      <c r="T425" t="e">
        <f t="shared" ca="1" si="347"/>
        <v>#N/A</v>
      </c>
    </row>
    <row r="426" spans="1:20" x14ac:dyDescent="0.25">
      <c r="A426" s="1"/>
      <c r="B426" s="1" t="e">
        <f t="shared" si="337"/>
        <v>#N/A</v>
      </c>
      <c r="C426" s="1">
        <f t="shared" si="348"/>
        <v>424</v>
      </c>
      <c r="D426" t="e">
        <f t="shared" ca="1" si="338"/>
        <v>#N/A</v>
      </c>
      <c r="E426" t="e">
        <f t="shared" ca="1" si="339"/>
        <v>#N/A</v>
      </c>
      <c r="F426" t="e">
        <f t="shared" ca="1" si="340"/>
        <v>#N/A</v>
      </c>
      <c r="G426" t="e">
        <f t="shared" ca="1" si="341"/>
        <v>#N/A</v>
      </c>
      <c r="H426" t="e">
        <f t="shared" ca="1" si="342"/>
        <v>#N/A</v>
      </c>
      <c r="I426" t="e">
        <f t="shared" ca="1" si="343"/>
        <v>#N/A</v>
      </c>
      <c r="J426" t="e">
        <f t="shared" ca="1" si="344"/>
        <v>#N/A</v>
      </c>
      <c r="K426" t="e">
        <f t="shared" ca="1" si="349"/>
        <v>#N/A</v>
      </c>
      <c r="L426" t="e">
        <f t="shared" ca="1" si="349"/>
        <v>#N/A</v>
      </c>
      <c r="M426" t="e">
        <f t="shared" ca="1" si="349"/>
        <v>#N/A</v>
      </c>
      <c r="N426" t="e">
        <f t="shared" ca="1" si="349"/>
        <v>#N/A</v>
      </c>
      <c r="O426" t="e">
        <f t="shared" ca="1" si="349"/>
        <v>#N/A</v>
      </c>
      <c r="P426" t="e">
        <f t="shared" ca="1" si="349"/>
        <v>#N/A</v>
      </c>
      <c r="Q426" t="e">
        <f t="shared" ca="1" si="349"/>
        <v>#N/A</v>
      </c>
      <c r="R426" t="e">
        <f t="shared" ca="1" si="345"/>
        <v>#N/A</v>
      </c>
      <c r="S426" t="e">
        <f t="shared" ca="1" si="346"/>
        <v>#N/A</v>
      </c>
      <c r="T426" t="e">
        <f t="shared" ca="1" si="347"/>
        <v>#N/A</v>
      </c>
    </row>
    <row r="427" spans="1:20" x14ac:dyDescent="0.25">
      <c r="A427" s="1"/>
      <c r="B427" s="1" t="e">
        <f t="shared" si="337"/>
        <v>#N/A</v>
      </c>
      <c r="C427" s="1">
        <f t="shared" si="348"/>
        <v>425</v>
      </c>
      <c r="D427" t="e">
        <f t="shared" ca="1" si="338"/>
        <v>#N/A</v>
      </c>
      <c r="E427" t="e">
        <f t="shared" ca="1" si="339"/>
        <v>#N/A</v>
      </c>
      <c r="F427" t="e">
        <f t="shared" ca="1" si="340"/>
        <v>#N/A</v>
      </c>
      <c r="G427" t="e">
        <f t="shared" ca="1" si="341"/>
        <v>#N/A</v>
      </c>
      <c r="H427" t="e">
        <f t="shared" ca="1" si="342"/>
        <v>#N/A</v>
      </c>
      <c r="I427" t="e">
        <f t="shared" ca="1" si="343"/>
        <v>#N/A</v>
      </c>
      <c r="J427" t="e">
        <f t="shared" ca="1" si="344"/>
        <v>#N/A</v>
      </c>
      <c r="K427" t="e">
        <f t="shared" ca="1" si="349"/>
        <v>#N/A</v>
      </c>
      <c r="L427" t="e">
        <f t="shared" ca="1" si="349"/>
        <v>#N/A</v>
      </c>
      <c r="M427" t="e">
        <f t="shared" ca="1" si="349"/>
        <v>#N/A</v>
      </c>
      <c r="N427" t="e">
        <f t="shared" ca="1" si="349"/>
        <v>#N/A</v>
      </c>
      <c r="O427" t="e">
        <f t="shared" ca="1" si="349"/>
        <v>#N/A</v>
      </c>
      <c r="P427" t="e">
        <f t="shared" ca="1" si="349"/>
        <v>#N/A</v>
      </c>
      <c r="Q427" t="e">
        <f t="shared" ca="1" si="349"/>
        <v>#N/A</v>
      </c>
      <c r="R427" t="e">
        <f t="shared" ca="1" si="345"/>
        <v>#N/A</v>
      </c>
      <c r="S427" t="e">
        <f t="shared" ca="1" si="346"/>
        <v>#N/A</v>
      </c>
      <c r="T427" t="e">
        <f t="shared" ca="1" si="347"/>
        <v>#N/A</v>
      </c>
    </row>
    <row r="428" spans="1:20" x14ac:dyDescent="0.25">
      <c r="A428" s="1"/>
      <c r="B428" s="1" t="e">
        <f t="shared" si="337"/>
        <v>#N/A</v>
      </c>
      <c r="C428" s="1">
        <f t="shared" si="348"/>
        <v>426</v>
      </c>
      <c r="D428" t="e">
        <f t="shared" ca="1" si="338"/>
        <v>#N/A</v>
      </c>
      <c r="E428" t="e">
        <f t="shared" ca="1" si="339"/>
        <v>#N/A</v>
      </c>
      <c r="F428" t="e">
        <f t="shared" ca="1" si="340"/>
        <v>#N/A</v>
      </c>
      <c r="G428" t="e">
        <f t="shared" ca="1" si="341"/>
        <v>#N/A</v>
      </c>
      <c r="H428" t="e">
        <f t="shared" ca="1" si="342"/>
        <v>#N/A</v>
      </c>
      <c r="I428" t="e">
        <f t="shared" ca="1" si="343"/>
        <v>#N/A</v>
      </c>
      <c r="J428" t="e">
        <f t="shared" ca="1" si="344"/>
        <v>#N/A</v>
      </c>
      <c r="K428" t="e">
        <f t="shared" ca="1" si="349"/>
        <v>#N/A</v>
      </c>
      <c r="L428" t="e">
        <f t="shared" ca="1" si="349"/>
        <v>#N/A</v>
      </c>
      <c r="M428" t="e">
        <f t="shared" ca="1" si="349"/>
        <v>#N/A</v>
      </c>
      <c r="N428" t="e">
        <f t="shared" ca="1" si="349"/>
        <v>#N/A</v>
      </c>
      <c r="O428" t="e">
        <f t="shared" ca="1" si="349"/>
        <v>#N/A</v>
      </c>
      <c r="P428" t="e">
        <f t="shared" ca="1" si="349"/>
        <v>#N/A</v>
      </c>
      <c r="Q428" t="e">
        <f t="shared" ca="1" si="349"/>
        <v>#N/A</v>
      </c>
      <c r="R428" t="e">
        <f t="shared" ca="1" si="345"/>
        <v>#N/A</v>
      </c>
      <c r="S428" t="e">
        <f t="shared" ca="1" si="346"/>
        <v>#N/A</v>
      </c>
      <c r="T428" t="e">
        <f t="shared" ca="1" si="347"/>
        <v>#N/A</v>
      </c>
    </row>
    <row r="429" spans="1:20" x14ac:dyDescent="0.25">
      <c r="A429" s="1"/>
      <c r="B429" s="1" t="e">
        <f t="shared" si="337"/>
        <v>#N/A</v>
      </c>
      <c r="C429" s="1">
        <f t="shared" si="348"/>
        <v>427</v>
      </c>
      <c r="D429" t="e">
        <f t="shared" ca="1" si="338"/>
        <v>#N/A</v>
      </c>
      <c r="E429" t="e">
        <f t="shared" ca="1" si="339"/>
        <v>#N/A</v>
      </c>
      <c r="F429" t="e">
        <f t="shared" ca="1" si="340"/>
        <v>#N/A</v>
      </c>
      <c r="G429" t="e">
        <f t="shared" ca="1" si="341"/>
        <v>#N/A</v>
      </c>
      <c r="H429" t="e">
        <f t="shared" ca="1" si="342"/>
        <v>#N/A</v>
      </c>
      <c r="I429" t="e">
        <f t="shared" ca="1" si="343"/>
        <v>#N/A</v>
      </c>
      <c r="J429" t="e">
        <f t="shared" ca="1" si="344"/>
        <v>#N/A</v>
      </c>
      <c r="K429" t="e">
        <f t="shared" ca="1" si="349"/>
        <v>#N/A</v>
      </c>
      <c r="L429" t="e">
        <f t="shared" ca="1" si="349"/>
        <v>#N/A</v>
      </c>
      <c r="M429" t="e">
        <f t="shared" ca="1" si="349"/>
        <v>#N/A</v>
      </c>
      <c r="N429" t="e">
        <f t="shared" ca="1" si="349"/>
        <v>#N/A</v>
      </c>
      <c r="O429" t="e">
        <f t="shared" ca="1" si="349"/>
        <v>#N/A</v>
      </c>
      <c r="P429" t="e">
        <f t="shared" ca="1" si="349"/>
        <v>#N/A</v>
      </c>
      <c r="Q429" t="e">
        <f t="shared" ca="1" si="349"/>
        <v>#N/A</v>
      </c>
      <c r="R429" t="e">
        <f t="shared" ca="1" si="345"/>
        <v>#N/A</v>
      </c>
      <c r="S429" t="e">
        <f t="shared" ca="1" si="346"/>
        <v>#N/A</v>
      </c>
      <c r="T429" t="e">
        <f t="shared" ca="1" si="347"/>
        <v>#N/A</v>
      </c>
    </row>
    <row r="430" spans="1:20" x14ac:dyDescent="0.25">
      <c r="A430" s="1"/>
      <c r="B430" s="1" t="e">
        <f t="shared" si="337"/>
        <v>#N/A</v>
      </c>
      <c r="C430" s="1">
        <f t="shared" si="348"/>
        <v>428</v>
      </c>
      <c r="D430" t="e">
        <f t="shared" ca="1" si="338"/>
        <v>#N/A</v>
      </c>
      <c r="E430" t="e">
        <f t="shared" ca="1" si="339"/>
        <v>#N/A</v>
      </c>
      <c r="F430" t="e">
        <f t="shared" ca="1" si="340"/>
        <v>#N/A</v>
      </c>
      <c r="G430" t="e">
        <f t="shared" ca="1" si="341"/>
        <v>#N/A</v>
      </c>
      <c r="H430" t="e">
        <f t="shared" ca="1" si="342"/>
        <v>#N/A</v>
      </c>
      <c r="I430" t="e">
        <f t="shared" ca="1" si="343"/>
        <v>#N/A</v>
      </c>
      <c r="J430" t="e">
        <f t="shared" ca="1" si="344"/>
        <v>#N/A</v>
      </c>
      <c r="K430" t="e">
        <f t="shared" ca="1" si="349"/>
        <v>#N/A</v>
      </c>
      <c r="L430" t="e">
        <f t="shared" ca="1" si="349"/>
        <v>#N/A</v>
      </c>
      <c r="M430" t="e">
        <f t="shared" ca="1" si="349"/>
        <v>#N/A</v>
      </c>
      <c r="N430" t="e">
        <f t="shared" ca="1" si="349"/>
        <v>#N/A</v>
      </c>
      <c r="O430" t="e">
        <f t="shared" ca="1" si="349"/>
        <v>#N/A</v>
      </c>
      <c r="P430" t="e">
        <f t="shared" ca="1" si="349"/>
        <v>#N/A</v>
      </c>
      <c r="Q430" t="e">
        <f t="shared" ca="1" si="349"/>
        <v>#N/A</v>
      </c>
      <c r="R430" t="e">
        <f t="shared" ca="1" si="345"/>
        <v>#N/A</v>
      </c>
      <c r="S430" t="e">
        <f t="shared" ca="1" si="346"/>
        <v>#N/A</v>
      </c>
      <c r="T430" t="e">
        <f t="shared" ca="1" si="347"/>
        <v>#N/A</v>
      </c>
    </row>
    <row r="431" spans="1:20" x14ac:dyDescent="0.25">
      <c r="A431" s="1"/>
      <c r="B431" s="1" t="e">
        <f t="shared" si="337"/>
        <v>#N/A</v>
      </c>
      <c r="C431" s="1">
        <f t="shared" si="348"/>
        <v>429</v>
      </c>
      <c r="D431" t="e">
        <f t="shared" ca="1" si="338"/>
        <v>#N/A</v>
      </c>
      <c r="E431" t="e">
        <f t="shared" ca="1" si="339"/>
        <v>#N/A</v>
      </c>
      <c r="F431" t="e">
        <f t="shared" ca="1" si="340"/>
        <v>#N/A</v>
      </c>
      <c r="G431" t="e">
        <f t="shared" ca="1" si="341"/>
        <v>#N/A</v>
      </c>
      <c r="H431" t="e">
        <f t="shared" ca="1" si="342"/>
        <v>#N/A</v>
      </c>
      <c r="I431" t="e">
        <f t="shared" ca="1" si="343"/>
        <v>#N/A</v>
      </c>
      <c r="J431" t="e">
        <f t="shared" ca="1" si="344"/>
        <v>#N/A</v>
      </c>
      <c r="K431" t="e">
        <f t="shared" ca="1" si="349"/>
        <v>#N/A</v>
      </c>
      <c r="L431" t="e">
        <f t="shared" ca="1" si="349"/>
        <v>#N/A</v>
      </c>
      <c r="M431" t="e">
        <f t="shared" ca="1" si="349"/>
        <v>#N/A</v>
      </c>
      <c r="N431" t="e">
        <f t="shared" ca="1" si="349"/>
        <v>#N/A</v>
      </c>
      <c r="O431" t="e">
        <f t="shared" ca="1" si="349"/>
        <v>#N/A</v>
      </c>
      <c r="P431" t="e">
        <f t="shared" ca="1" si="349"/>
        <v>#N/A</v>
      </c>
      <c r="Q431" t="e">
        <f t="shared" ca="1" si="349"/>
        <v>#N/A</v>
      </c>
      <c r="R431" t="e">
        <f t="shared" ca="1" si="345"/>
        <v>#N/A</v>
      </c>
      <c r="S431" t="e">
        <f t="shared" ca="1" si="346"/>
        <v>#N/A</v>
      </c>
      <c r="T431" t="e">
        <f t="shared" ca="1" si="347"/>
        <v>#N/A</v>
      </c>
    </row>
    <row r="432" spans="1:20" x14ac:dyDescent="0.25">
      <c r="A432" s="1"/>
      <c r="B432" s="1" t="e">
        <f t="shared" si="337"/>
        <v>#N/A</v>
      </c>
      <c r="C432" s="1">
        <f t="shared" si="348"/>
        <v>430</v>
      </c>
      <c r="D432" t="e">
        <f t="shared" ca="1" si="338"/>
        <v>#N/A</v>
      </c>
      <c r="E432" t="e">
        <f t="shared" ca="1" si="339"/>
        <v>#N/A</v>
      </c>
      <c r="F432" t="e">
        <f t="shared" ca="1" si="340"/>
        <v>#N/A</v>
      </c>
      <c r="G432" t="e">
        <f t="shared" ca="1" si="341"/>
        <v>#N/A</v>
      </c>
      <c r="H432" t="e">
        <f t="shared" ca="1" si="342"/>
        <v>#N/A</v>
      </c>
      <c r="I432" t="e">
        <f t="shared" ca="1" si="343"/>
        <v>#N/A</v>
      </c>
      <c r="J432" t="e">
        <f t="shared" ca="1" si="344"/>
        <v>#N/A</v>
      </c>
      <c r="K432" t="e">
        <f t="shared" ca="1" si="349"/>
        <v>#N/A</v>
      </c>
      <c r="L432" t="e">
        <f t="shared" ca="1" si="349"/>
        <v>#N/A</v>
      </c>
      <c r="M432" t="e">
        <f t="shared" ca="1" si="349"/>
        <v>#N/A</v>
      </c>
      <c r="N432" t="e">
        <f t="shared" ca="1" si="349"/>
        <v>#N/A</v>
      </c>
      <c r="O432" t="e">
        <f t="shared" ca="1" si="349"/>
        <v>#N/A</v>
      </c>
      <c r="P432" t="e">
        <f t="shared" ca="1" si="349"/>
        <v>#N/A</v>
      </c>
      <c r="Q432" t="e">
        <f t="shared" ca="1" si="349"/>
        <v>#N/A</v>
      </c>
      <c r="R432" t="e">
        <f t="shared" ca="1" si="345"/>
        <v>#N/A</v>
      </c>
      <c r="S432" t="e">
        <f t="shared" ca="1" si="346"/>
        <v>#N/A</v>
      </c>
      <c r="T432" t="e">
        <f t="shared" ca="1" si="347"/>
        <v>#N/A</v>
      </c>
    </row>
    <row r="433" spans="1:20" x14ac:dyDescent="0.25">
      <c r="A433" s="1"/>
      <c r="B433" s="1" t="e">
        <f t="shared" ref="B433:B448" si="350">LOOKUP($A433,$V$4:$V$23,$W$4:$W$23)</f>
        <v>#N/A</v>
      </c>
      <c r="C433" s="1">
        <f t="shared" si="348"/>
        <v>431</v>
      </c>
      <c r="D433" t="e">
        <f t="shared" ref="D433:D448" ca="1" si="351">OFFSET($X$4,$B433,MOD($C433,7),1,1)</f>
        <v>#N/A</v>
      </c>
      <c r="E433" t="e">
        <f t="shared" ref="E433:E448" ca="1" si="352">OFFSET($X$4,$B433,MOD($C433+1,7),1,1)</f>
        <v>#N/A</v>
      </c>
      <c r="F433" t="e">
        <f t="shared" ref="F433:F448" ca="1" si="353">OFFSET($X$4,$B433,MOD($C433+2,7),1,1)</f>
        <v>#N/A</v>
      </c>
      <c r="G433" t="e">
        <f t="shared" ref="G433:G448" ca="1" si="354">OFFSET($X$4,$B433,MOD($C433+3,7),1,1)</f>
        <v>#N/A</v>
      </c>
      <c r="H433" t="e">
        <f t="shared" ref="H433:H448" ca="1" si="355">OFFSET($X$4,$B433,MOD($C433+4,7),1,1)</f>
        <v>#N/A</v>
      </c>
      <c r="I433" t="e">
        <f t="shared" ref="I433:I448" ca="1" si="356">OFFSET($X$4,$B433,MOD($C433+5,7),1,1)</f>
        <v>#N/A</v>
      </c>
      <c r="J433" t="e">
        <f t="shared" ref="J433:J448" ca="1" si="357">OFFSET($X$4,$B433,MOD($C433+6,7),1,1)</f>
        <v>#N/A</v>
      </c>
      <c r="K433" t="e">
        <f t="shared" ca="1" si="349"/>
        <v>#N/A</v>
      </c>
      <c r="L433" t="e">
        <f t="shared" ca="1" si="349"/>
        <v>#N/A</v>
      </c>
      <c r="M433" t="e">
        <f t="shared" ca="1" si="349"/>
        <v>#N/A</v>
      </c>
      <c r="N433" t="e">
        <f t="shared" ca="1" si="349"/>
        <v>#N/A</v>
      </c>
      <c r="O433" t="e">
        <f t="shared" ca="1" si="349"/>
        <v>#N/A</v>
      </c>
      <c r="P433" t="e">
        <f t="shared" ca="1" si="349"/>
        <v>#N/A</v>
      </c>
      <c r="Q433" t="e">
        <f t="shared" ca="1" si="349"/>
        <v>#N/A</v>
      </c>
      <c r="R433" t="e">
        <f t="shared" ref="R433:R448" ca="1" si="358">MAX(K433:Q433)</f>
        <v>#N/A</v>
      </c>
      <c r="S433" t="e">
        <f t="shared" ref="S433:S448" ca="1" si="359">IF(R406&gt;1.55,1,IF(R406&gt;1.48,0.9,IF(R406&gt;1.4,0.8,IF(R406&gt;1.36666,0.6,IF(R406&gt;1.33333,0.4,IF(R406&gt;1.22,0.2,IF(R406&gt;1,0.1,0)))))))</f>
        <v>#N/A</v>
      </c>
      <c r="T433" t="e">
        <f t="shared" ref="T433:T448" ca="1" si="360">MAX(S433:S460)</f>
        <v>#N/A</v>
      </c>
    </row>
    <row r="434" spans="1:20" x14ac:dyDescent="0.25">
      <c r="A434" s="1"/>
      <c r="B434" s="1" t="e">
        <f t="shared" si="350"/>
        <v>#N/A</v>
      </c>
      <c r="C434" s="1">
        <f t="shared" si="348"/>
        <v>432</v>
      </c>
      <c r="D434" t="e">
        <f t="shared" ca="1" si="351"/>
        <v>#N/A</v>
      </c>
      <c r="E434" t="e">
        <f t="shared" ca="1" si="352"/>
        <v>#N/A</v>
      </c>
      <c r="F434" t="e">
        <f t="shared" ca="1" si="353"/>
        <v>#N/A</v>
      </c>
      <c r="G434" t="e">
        <f t="shared" ca="1" si="354"/>
        <v>#N/A</v>
      </c>
      <c r="H434" t="e">
        <f t="shared" ca="1" si="355"/>
        <v>#N/A</v>
      </c>
      <c r="I434" t="e">
        <f t="shared" ca="1" si="356"/>
        <v>#N/A</v>
      </c>
      <c r="J434" t="e">
        <f t="shared" ca="1" si="357"/>
        <v>#N/A</v>
      </c>
      <c r="K434" t="e">
        <f t="shared" ca="1" si="349"/>
        <v>#N/A</v>
      </c>
      <c r="L434" t="e">
        <f t="shared" ca="1" si="349"/>
        <v>#N/A</v>
      </c>
      <c r="M434" t="e">
        <f t="shared" ca="1" si="349"/>
        <v>#N/A</v>
      </c>
      <c r="N434" t="e">
        <f t="shared" ca="1" si="349"/>
        <v>#N/A</v>
      </c>
      <c r="O434" t="e">
        <f t="shared" ca="1" si="349"/>
        <v>#N/A</v>
      </c>
      <c r="P434" t="e">
        <f t="shared" ca="1" si="349"/>
        <v>#N/A</v>
      </c>
      <c r="Q434" t="e">
        <f t="shared" ca="1" si="349"/>
        <v>#N/A</v>
      </c>
      <c r="R434" t="e">
        <f t="shared" ca="1" si="358"/>
        <v>#N/A</v>
      </c>
      <c r="S434" t="e">
        <f t="shared" ca="1" si="359"/>
        <v>#N/A</v>
      </c>
      <c r="T434" t="e">
        <f t="shared" ca="1" si="360"/>
        <v>#N/A</v>
      </c>
    </row>
    <row r="435" spans="1:20" x14ac:dyDescent="0.25">
      <c r="A435" s="1"/>
      <c r="B435" s="1" t="e">
        <f t="shared" si="350"/>
        <v>#N/A</v>
      </c>
      <c r="C435" s="1">
        <f t="shared" si="348"/>
        <v>433</v>
      </c>
      <c r="D435" t="e">
        <f t="shared" ca="1" si="351"/>
        <v>#N/A</v>
      </c>
      <c r="E435" t="e">
        <f t="shared" ca="1" si="352"/>
        <v>#N/A</v>
      </c>
      <c r="F435" t="e">
        <f t="shared" ca="1" si="353"/>
        <v>#N/A</v>
      </c>
      <c r="G435" t="e">
        <f t="shared" ca="1" si="354"/>
        <v>#N/A</v>
      </c>
      <c r="H435" t="e">
        <f t="shared" ca="1" si="355"/>
        <v>#N/A</v>
      </c>
      <c r="I435" t="e">
        <f t="shared" ca="1" si="356"/>
        <v>#N/A</v>
      </c>
      <c r="J435" t="e">
        <f t="shared" ca="1" si="357"/>
        <v>#N/A</v>
      </c>
      <c r="K435" t="e">
        <f t="shared" ca="1" si="349"/>
        <v>#N/A</v>
      </c>
      <c r="L435" t="e">
        <f t="shared" ca="1" si="349"/>
        <v>#N/A</v>
      </c>
      <c r="M435" t="e">
        <f t="shared" ca="1" si="349"/>
        <v>#N/A</v>
      </c>
      <c r="N435" t="e">
        <f t="shared" ca="1" si="349"/>
        <v>#N/A</v>
      </c>
      <c r="O435" t="e">
        <f t="shared" ca="1" si="349"/>
        <v>#N/A</v>
      </c>
      <c r="P435" t="e">
        <f t="shared" ca="1" si="349"/>
        <v>#N/A</v>
      </c>
      <c r="Q435" t="e">
        <f t="shared" ca="1" si="349"/>
        <v>#N/A</v>
      </c>
      <c r="R435" t="e">
        <f t="shared" ca="1" si="358"/>
        <v>#N/A</v>
      </c>
      <c r="S435" t="e">
        <f t="shared" ca="1" si="359"/>
        <v>#N/A</v>
      </c>
      <c r="T435" t="e">
        <f t="shared" ca="1" si="360"/>
        <v>#N/A</v>
      </c>
    </row>
    <row r="436" spans="1:20" x14ac:dyDescent="0.25">
      <c r="A436" s="1"/>
      <c r="B436" s="1" t="e">
        <f t="shared" si="350"/>
        <v>#N/A</v>
      </c>
      <c r="C436" s="1">
        <f t="shared" ref="C436:C451" si="361">C435+1</f>
        <v>434</v>
      </c>
      <c r="D436" t="e">
        <f t="shared" ca="1" si="351"/>
        <v>#N/A</v>
      </c>
      <c r="E436" t="e">
        <f t="shared" ca="1" si="352"/>
        <v>#N/A</v>
      </c>
      <c r="F436" t="e">
        <f t="shared" ca="1" si="353"/>
        <v>#N/A</v>
      </c>
      <c r="G436" t="e">
        <f t="shared" ca="1" si="354"/>
        <v>#N/A</v>
      </c>
      <c r="H436" t="e">
        <f t="shared" ca="1" si="355"/>
        <v>#N/A</v>
      </c>
      <c r="I436" t="e">
        <f t="shared" ca="1" si="356"/>
        <v>#N/A</v>
      </c>
      <c r="J436" t="e">
        <f t="shared" ca="1" si="357"/>
        <v>#N/A</v>
      </c>
      <c r="K436" t="e">
        <f t="shared" ref="K436:Q451" ca="1" si="362">POWER(PRODUCT(D436:D463),1/28)</f>
        <v>#N/A</v>
      </c>
      <c r="L436" t="e">
        <f t="shared" ca="1" si="362"/>
        <v>#N/A</v>
      </c>
      <c r="M436" t="e">
        <f t="shared" ca="1" si="362"/>
        <v>#N/A</v>
      </c>
      <c r="N436" t="e">
        <f t="shared" ca="1" si="362"/>
        <v>#N/A</v>
      </c>
      <c r="O436" t="e">
        <f t="shared" ca="1" si="362"/>
        <v>#N/A</v>
      </c>
      <c r="P436" t="e">
        <f t="shared" ca="1" si="362"/>
        <v>#N/A</v>
      </c>
      <c r="Q436" t="e">
        <f t="shared" ca="1" si="362"/>
        <v>#N/A</v>
      </c>
      <c r="R436" t="e">
        <f t="shared" ca="1" si="358"/>
        <v>#N/A</v>
      </c>
      <c r="S436" t="e">
        <f t="shared" ca="1" si="359"/>
        <v>#N/A</v>
      </c>
      <c r="T436" t="e">
        <f t="shared" ca="1" si="360"/>
        <v>#N/A</v>
      </c>
    </row>
    <row r="437" spans="1:20" x14ac:dyDescent="0.25">
      <c r="A437" s="1"/>
      <c r="B437" s="1" t="e">
        <f t="shared" si="350"/>
        <v>#N/A</v>
      </c>
      <c r="C437" s="1">
        <f t="shared" si="361"/>
        <v>435</v>
      </c>
      <c r="D437" t="e">
        <f t="shared" ca="1" si="351"/>
        <v>#N/A</v>
      </c>
      <c r="E437" t="e">
        <f t="shared" ca="1" si="352"/>
        <v>#N/A</v>
      </c>
      <c r="F437" t="e">
        <f t="shared" ca="1" si="353"/>
        <v>#N/A</v>
      </c>
      <c r="G437" t="e">
        <f t="shared" ca="1" si="354"/>
        <v>#N/A</v>
      </c>
      <c r="H437" t="e">
        <f t="shared" ca="1" si="355"/>
        <v>#N/A</v>
      </c>
      <c r="I437" t="e">
        <f t="shared" ca="1" si="356"/>
        <v>#N/A</v>
      </c>
      <c r="J437" t="e">
        <f t="shared" ca="1" si="357"/>
        <v>#N/A</v>
      </c>
      <c r="K437" t="e">
        <f t="shared" ca="1" si="362"/>
        <v>#N/A</v>
      </c>
      <c r="L437" t="e">
        <f t="shared" ca="1" si="362"/>
        <v>#N/A</v>
      </c>
      <c r="M437" t="e">
        <f t="shared" ca="1" si="362"/>
        <v>#N/A</v>
      </c>
      <c r="N437" t="e">
        <f t="shared" ca="1" si="362"/>
        <v>#N/A</v>
      </c>
      <c r="O437" t="e">
        <f t="shared" ca="1" si="362"/>
        <v>#N/A</v>
      </c>
      <c r="P437" t="e">
        <f t="shared" ca="1" si="362"/>
        <v>#N/A</v>
      </c>
      <c r="Q437" t="e">
        <f t="shared" ca="1" si="362"/>
        <v>#N/A</v>
      </c>
      <c r="R437" t="e">
        <f t="shared" ca="1" si="358"/>
        <v>#N/A</v>
      </c>
      <c r="S437" t="e">
        <f t="shared" ca="1" si="359"/>
        <v>#N/A</v>
      </c>
      <c r="T437" t="e">
        <f t="shared" ca="1" si="360"/>
        <v>#N/A</v>
      </c>
    </row>
    <row r="438" spans="1:20" x14ac:dyDescent="0.25">
      <c r="A438" s="1"/>
      <c r="B438" s="1" t="e">
        <f t="shared" si="350"/>
        <v>#N/A</v>
      </c>
      <c r="C438" s="1">
        <f t="shared" si="361"/>
        <v>436</v>
      </c>
      <c r="D438" t="e">
        <f t="shared" ca="1" si="351"/>
        <v>#N/A</v>
      </c>
      <c r="E438" t="e">
        <f t="shared" ca="1" si="352"/>
        <v>#N/A</v>
      </c>
      <c r="F438" t="e">
        <f t="shared" ca="1" si="353"/>
        <v>#N/A</v>
      </c>
      <c r="G438" t="e">
        <f t="shared" ca="1" si="354"/>
        <v>#N/A</v>
      </c>
      <c r="H438" t="e">
        <f t="shared" ca="1" si="355"/>
        <v>#N/A</v>
      </c>
      <c r="I438" t="e">
        <f t="shared" ca="1" si="356"/>
        <v>#N/A</v>
      </c>
      <c r="J438" t="e">
        <f t="shared" ca="1" si="357"/>
        <v>#N/A</v>
      </c>
      <c r="K438" t="e">
        <f t="shared" ca="1" si="362"/>
        <v>#N/A</v>
      </c>
      <c r="L438" t="e">
        <f t="shared" ca="1" si="362"/>
        <v>#N/A</v>
      </c>
      <c r="M438" t="e">
        <f t="shared" ca="1" si="362"/>
        <v>#N/A</v>
      </c>
      <c r="N438" t="e">
        <f t="shared" ca="1" si="362"/>
        <v>#N/A</v>
      </c>
      <c r="O438" t="e">
        <f t="shared" ca="1" si="362"/>
        <v>#N/A</v>
      </c>
      <c r="P438" t="e">
        <f t="shared" ca="1" si="362"/>
        <v>#N/A</v>
      </c>
      <c r="Q438" t="e">
        <f t="shared" ca="1" si="362"/>
        <v>#N/A</v>
      </c>
      <c r="R438" t="e">
        <f t="shared" ca="1" si="358"/>
        <v>#N/A</v>
      </c>
      <c r="S438" t="e">
        <f t="shared" ca="1" si="359"/>
        <v>#N/A</v>
      </c>
      <c r="T438" t="e">
        <f t="shared" ca="1" si="360"/>
        <v>#N/A</v>
      </c>
    </row>
    <row r="439" spans="1:20" x14ac:dyDescent="0.25">
      <c r="A439" s="1"/>
      <c r="B439" s="1" t="e">
        <f t="shared" si="350"/>
        <v>#N/A</v>
      </c>
      <c r="C439" s="1">
        <f t="shared" si="361"/>
        <v>437</v>
      </c>
      <c r="D439" t="e">
        <f t="shared" ca="1" si="351"/>
        <v>#N/A</v>
      </c>
      <c r="E439" t="e">
        <f t="shared" ca="1" si="352"/>
        <v>#N/A</v>
      </c>
      <c r="F439" t="e">
        <f t="shared" ca="1" si="353"/>
        <v>#N/A</v>
      </c>
      <c r="G439" t="e">
        <f t="shared" ca="1" si="354"/>
        <v>#N/A</v>
      </c>
      <c r="H439" t="e">
        <f t="shared" ca="1" si="355"/>
        <v>#N/A</v>
      </c>
      <c r="I439" t="e">
        <f t="shared" ca="1" si="356"/>
        <v>#N/A</v>
      </c>
      <c r="J439" t="e">
        <f t="shared" ca="1" si="357"/>
        <v>#N/A</v>
      </c>
      <c r="K439" t="e">
        <f t="shared" ca="1" si="362"/>
        <v>#N/A</v>
      </c>
      <c r="L439" t="e">
        <f t="shared" ca="1" si="362"/>
        <v>#N/A</v>
      </c>
      <c r="M439" t="e">
        <f t="shared" ca="1" si="362"/>
        <v>#N/A</v>
      </c>
      <c r="N439" t="e">
        <f t="shared" ca="1" si="362"/>
        <v>#N/A</v>
      </c>
      <c r="O439" t="e">
        <f t="shared" ca="1" si="362"/>
        <v>#N/A</v>
      </c>
      <c r="P439" t="e">
        <f t="shared" ca="1" si="362"/>
        <v>#N/A</v>
      </c>
      <c r="Q439" t="e">
        <f t="shared" ca="1" si="362"/>
        <v>#N/A</v>
      </c>
      <c r="R439" t="e">
        <f t="shared" ca="1" si="358"/>
        <v>#N/A</v>
      </c>
      <c r="S439" t="e">
        <f t="shared" ca="1" si="359"/>
        <v>#N/A</v>
      </c>
      <c r="T439" t="e">
        <f t="shared" ca="1" si="360"/>
        <v>#N/A</v>
      </c>
    </row>
    <row r="440" spans="1:20" x14ac:dyDescent="0.25">
      <c r="A440" s="1"/>
      <c r="B440" s="1" t="e">
        <f t="shared" si="350"/>
        <v>#N/A</v>
      </c>
      <c r="C440" s="1">
        <f t="shared" si="361"/>
        <v>438</v>
      </c>
      <c r="D440" t="e">
        <f t="shared" ca="1" si="351"/>
        <v>#N/A</v>
      </c>
      <c r="E440" t="e">
        <f t="shared" ca="1" si="352"/>
        <v>#N/A</v>
      </c>
      <c r="F440" t="e">
        <f t="shared" ca="1" si="353"/>
        <v>#N/A</v>
      </c>
      <c r="G440" t="e">
        <f t="shared" ca="1" si="354"/>
        <v>#N/A</v>
      </c>
      <c r="H440" t="e">
        <f t="shared" ca="1" si="355"/>
        <v>#N/A</v>
      </c>
      <c r="I440" t="e">
        <f t="shared" ca="1" si="356"/>
        <v>#N/A</v>
      </c>
      <c r="J440" t="e">
        <f t="shared" ca="1" si="357"/>
        <v>#N/A</v>
      </c>
      <c r="K440" t="e">
        <f t="shared" ca="1" si="362"/>
        <v>#N/A</v>
      </c>
      <c r="L440" t="e">
        <f t="shared" ca="1" si="362"/>
        <v>#N/A</v>
      </c>
      <c r="M440" t="e">
        <f t="shared" ca="1" si="362"/>
        <v>#N/A</v>
      </c>
      <c r="N440" t="e">
        <f t="shared" ca="1" si="362"/>
        <v>#N/A</v>
      </c>
      <c r="O440" t="e">
        <f t="shared" ca="1" si="362"/>
        <v>#N/A</v>
      </c>
      <c r="P440" t="e">
        <f t="shared" ca="1" si="362"/>
        <v>#N/A</v>
      </c>
      <c r="Q440" t="e">
        <f t="shared" ca="1" si="362"/>
        <v>#N/A</v>
      </c>
      <c r="R440" t="e">
        <f t="shared" ca="1" si="358"/>
        <v>#N/A</v>
      </c>
      <c r="S440" t="e">
        <f t="shared" ca="1" si="359"/>
        <v>#N/A</v>
      </c>
      <c r="T440" t="e">
        <f t="shared" ca="1" si="360"/>
        <v>#N/A</v>
      </c>
    </row>
    <row r="441" spans="1:20" x14ac:dyDescent="0.25">
      <c r="A441" s="1"/>
      <c r="B441" s="1" t="e">
        <f t="shared" si="350"/>
        <v>#N/A</v>
      </c>
      <c r="C441" s="1">
        <f t="shared" si="361"/>
        <v>439</v>
      </c>
      <c r="D441" t="e">
        <f t="shared" ca="1" si="351"/>
        <v>#N/A</v>
      </c>
      <c r="E441" t="e">
        <f t="shared" ca="1" si="352"/>
        <v>#N/A</v>
      </c>
      <c r="F441" t="e">
        <f t="shared" ca="1" si="353"/>
        <v>#N/A</v>
      </c>
      <c r="G441" t="e">
        <f t="shared" ca="1" si="354"/>
        <v>#N/A</v>
      </c>
      <c r="H441" t="e">
        <f t="shared" ca="1" si="355"/>
        <v>#N/A</v>
      </c>
      <c r="I441" t="e">
        <f t="shared" ca="1" si="356"/>
        <v>#N/A</v>
      </c>
      <c r="J441" t="e">
        <f t="shared" ca="1" si="357"/>
        <v>#N/A</v>
      </c>
      <c r="K441" t="e">
        <f t="shared" ca="1" si="362"/>
        <v>#N/A</v>
      </c>
      <c r="L441" t="e">
        <f t="shared" ca="1" si="362"/>
        <v>#N/A</v>
      </c>
      <c r="M441" t="e">
        <f t="shared" ca="1" si="362"/>
        <v>#N/A</v>
      </c>
      <c r="N441" t="e">
        <f t="shared" ca="1" si="362"/>
        <v>#N/A</v>
      </c>
      <c r="O441" t="e">
        <f t="shared" ca="1" si="362"/>
        <v>#N/A</v>
      </c>
      <c r="P441" t="e">
        <f t="shared" ca="1" si="362"/>
        <v>#N/A</v>
      </c>
      <c r="Q441" t="e">
        <f t="shared" ca="1" si="362"/>
        <v>#N/A</v>
      </c>
      <c r="R441" t="e">
        <f t="shared" ca="1" si="358"/>
        <v>#N/A</v>
      </c>
      <c r="S441" t="e">
        <f t="shared" ca="1" si="359"/>
        <v>#N/A</v>
      </c>
      <c r="T441" t="e">
        <f t="shared" ca="1" si="360"/>
        <v>#N/A</v>
      </c>
    </row>
    <row r="442" spans="1:20" x14ac:dyDescent="0.25">
      <c r="A442" s="1"/>
      <c r="B442" s="1" t="e">
        <f t="shared" si="350"/>
        <v>#N/A</v>
      </c>
      <c r="C442" s="1">
        <f t="shared" si="361"/>
        <v>440</v>
      </c>
      <c r="D442" t="e">
        <f t="shared" ca="1" si="351"/>
        <v>#N/A</v>
      </c>
      <c r="E442" t="e">
        <f t="shared" ca="1" si="352"/>
        <v>#N/A</v>
      </c>
      <c r="F442" t="e">
        <f t="shared" ca="1" si="353"/>
        <v>#N/A</v>
      </c>
      <c r="G442" t="e">
        <f t="shared" ca="1" si="354"/>
        <v>#N/A</v>
      </c>
      <c r="H442" t="e">
        <f t="shared" ca="1" si="355"/>
        <v>#N/A</v>
      </c>
      <c r="I442" t="e">
        <f t="shared" ca="1" si="356"/>
        <v>#N/A</v>
      </c>
      <c r="J442" t="e">
        <f t="shared" ca="1" si="357"/>
        <v>#N/A</v>
      </c>
      <c r="K442" t="e">
        <f t="shared" ca="1" si="362"/>
        <v>#N/A</v>
      </c>
      <c r="L442" t="e">
        <f t="shared" ca="1" si="362"/>
        <v>#N/A</v>
      </c>
      <c r="M442" t="e">
        <f t="shared" ca="1" si="362"/>
        <v>#N/A</v>
      </c>
      <c r="N442" t="e">
        <f t="shared" ca="1" si="362"/>
        <v>#N/A</v>
      </c>
      <c r="O442" t="e">
        <f t="shared" ca="1" si="362"/>
        <v>#N/A</v>
      </c>
      <c r="P442" t="e">
        <f t="shared" ca="1" si="362"/>
        <v>#N/A</v>
      </c>
      <c r="Q442" t="e">
        <f t="shared" ca="1" si="362"/>
        <v>#N/A</v>
      </c>
      <c r="R442" t="e">
        <f t="shared" ca="1" si="358"/>
        <v>#N/A</v>
      </c>
      <c r="S442" t="e">
        <f t="shared" ca="1" si="359"/>
        <v>#N/A</v>
      </c>
      <c r="T442" t="e">
        <f t="shared" ca="1" si="360"/>
        <v>#N/A</v>
      </c>
    </row>
    <row r="443" spans="1:20" x14ac:dyDescent="0.25">
      <c r="A443" s="1"/>
      <c r="B443" s="1" t="e">
        <f t="shared" si="350"/>
        <v>#N/A</v>
      </c>
      <c r="C443" s="1">
        <f t="shared" si="361"/>
        <v>441</v>
      </c>
      <c r="D443" t="e">
        <f t="shared" ca="1" si="351"/>
        <v>#N/A</v>
      </c>
      <c r="E443" t="e">
        <f t="shared" ca="1" si="352"/>
        <v>#N/A</v>
      </c>
      <c r="F443" t="e">
        <f t="shared" ca="1" si="353"/>
        <v>#N/A</v>
      </c>
      <c r="G443" t="e">
        <f t="shared" ca="1" si="354"/>
        <v>#N/A</v>
      </c>
      <c r="H443" t="e">
        <f t="shared" ca="1" si="355"/>
        <v>#N/A</v>
      </c>
      <c r="I443" t="e">
        <f t="shared" ca="1" si="356"/>
        <v>#N/A</v>
      </c>
      <c r="J443" t="e">
        <f t="shared" ca="1" si="357"/>
        <v>#N/A</v>
      </c>
      <c r="K443" t="e">
        <f t="shared" ca="1" si="362"/>
        <v>#N/A</v>
      </c>
      <c r="L443" t="e">
        <f t="shared" ca="1" si="362"/>
        <v>#N/A</v>
      </c>
      <c r="M443" t="e">
        <f t="shared" ca="1" si="362"/>
        <v>#N/A</v>
      </c>
      <c r="N443" t="e">
        <f t="shared" ca="1" si="362"/>
        <v>#N/A</v>
      </c>
      <c r="O443" t="e">
        <f t="shared" ca="1" si="362"/>
        <v>#N/A</v>
      </c>
      <c r="P443" t="e">
        <f t="shared" ca="1" si="362"/>
        <v>#N/A</v>
      </c>
      <c r="Q443" t="e">
        <f t="shared" ca="1" si="362"/>
        <v>#N/A</v>
      </c>
      <c r="R443" t="e">
        <f t="shared" ca="1" si="358"/>
        <v>#N/A</v>
      </c>
      <c r="S443" t="e">
        <f t="shared" ca="1" si="359"/>
        <v>#N/A</v>
      </c>
      <c r="T443" t="e">
        <f t="shared" ca="1" si="360"/>
        <v>#N/A</v>
      </c>
    </row>
    <row r="444" spans="1:20" x14ac:dyDescent="0.25">
      <c r="A444" s="1"/>
      <c r="B444" s="1" t="e">
        <f t="shared" si="350"/>
        <v>#N/A</v>
      </c>
      <c r="C444" s="1">
        <f t="shared" si="361"/>
        <v>442</v>
      </c>
      <c r="D444" t="e">
        <f t="shared" ca="1" si="351"/>
        <v>#N/A</v>
      </c>
      <c r="E444" t="e">
        <f t="shared" ca="1" si="352"/>
        <v>#N/A</v>
      </c>
      <c r="F444" t="e">
        <f t="shared" ca="1" si="353"/>
        <v>#N/A</v>
      </c>
      <c r="G444" t="e">
        <f t="shared" ca="1" si="354"/>
        <v>#N/A</v>
      </c>
      <c r="H444" t="e">
        <f t="shared" ca="1" si="355"/>
        <v>#N/A</v>
      </c>
      <c r="I444" t="e">
        <f t="shared" ca="1" si="356"/>
        <v>#N/A</v>
      </c>
      <c r="J444" t="e">
        <f t="shared" ca="1" si="357"/>
        <v>#N/A</v>
      </c>
      <c r="K444" t="e">
        <f t="shared" ca="1" si="362"/>
        <v>#N/A</v>
      </c>
      <c r="L444" t="e">
        <f t="shared" ca="1" si="362"/>
        <v>#N/A</v>
      </c>
      <c r="M444" t="e">
        <f t="shared" ca="1" si="362"/>
        <v>#N/A</v>
      </c>
      <c r="N444" t="e">
        <f t="shared" ca="1" si="362"/>
        <v>#N/A</v>
      </c>
      <c r="O444" t="e">
        <f t="shared" ca="1" si="362"/>
        <v>#N/A</v>
      </c>
      <c r="P444" t="e">
        <f t="shared" ca="1" si="362"/>
        <v>#N/A</v>
      </c>
      <c r="Q444" t="e">
        <f t="shared" ca="1" si="362"/>
        <v>#N/A</v>
      </c>
      <c r="R444" t="e">
        <f t="shared" ca="1" si="358"/>
        <v>#N/A</v>
      </c>
      <c r="S444" t="e">
        <f t="shared" ca="1" si="359"/>
        <v>#N/A</v>
      </c>
      <c r="T444" t="e">
        <f t="shared" ca="1" si="360"/>
        <v>#N/A</v>
      </c>
    </row>
    <row r="445" spans="1:20" x14ac:dyDescent="0.25">
      <c r="A445" s="1"/>
      <c r="B445" s="1" t="e">
        <f t="shared" si="350"/>
        <v>#N/A</v>
      </c>
      <c r="C445" s="1">
        <f t="shared" si="361"/>
        <v>443</v>
      </c>
      <c r="D445" t="e">
        <f t="shared" ca="1" si="351"/>
        <v>#N/A</v>
      </c>
      <c r="E445" t="e">
        <f t="shared" ca="1" si="352"/>
        <v>#N/A</v>
      </c>
      <c r="F445" t="e">
        <f t="shared" ca="1" si="353"/>
        <v>#N/A</v>
      </c>
      <c r="G445" t="e">
        <f t="shared" ca="1" si="354"/>
        <v>#N/A</v>
      </c>
      <c r="H445" t="e">
        <f t="shared" ca="1" si="355"/>
        <v>#N/A</v>
      </c>
      <c r="I445" t="e">
        <f t="shared" ca="1" si="356"/>
        <v>#N/A</v>
      </c>
      <c r="J445" t="e">
        <f t="shared" ca="1" si="357"/>
        <v>#N/A</v>
      </c>
      <c r="K445" t="e">
        <f t="shared" ca="1" si="362"/>
        <v>#N/A</v>
      </c>
      <c r="L445" t="e">
        <f t="shared" ca="1" si="362"/>
        <v>#N/A</v>
      </c>
      <c r="M445" t="e">
        <f t="shared" ca="1" si="362"/>
        <v>#N/A</v>
      </c>
      <c r="N445" t="e">
        <f t="shared" ca="1" si="362"/>
        <v>#N/A</v>
      </c>
      <c r="O445" t="e">
        <f t="shared" ca="1" si="362"/>
        <v>#N/A</v>
      </c>
      <c r="P445" t="e">
        <f t="shared" ca="1" si="362"/>
        <v>#N/A</v>
      </c>
      <c r="Q445" t="e">
        <f t="shared" ca="1" si="362"/>
        <v>#N/A</v>
      </c>
      <c r="R445" t="e">
        <f t="shared" ca="1" si="358"/>
        <v>#N/A</v>
      </c>
      <c r="S445" t="e">
        <f t="shared" ca="1" si="359"/>
        <v>#N/A</v>
      </c>
      <c r="T445" t="e">
        <f t="shared" ca="1" si="360"/>
        <v>#N/A</v>
      </c>
    </row>
    <row r="446" spans="1:20" x14ac:dyDescent="0.25">
      <c r="A446" s="1"/>
      <c r="B446" s="1" t="e">
        <f t="shared" si="350"/>
        <v>#N/A</v>
      </c>
      <c r="C446" s="1">
        <f t="shared" si="361"/>
        <v>444</v>
      </c>
      <c r="D446" t="e">
        <f t="shared" ca="1" si="351"/>
        <v>#N/A</v>
      </c>
      <c r="E446" t="e">
        <f t="shared" ca="1" si="352"/>
        <v>#N/A</v>
      </c>
      <c r="F446" t="e">
        <f t="shared" ca="1" si="353"/>
        <v>#N/A</v>
      </c>
      <c r="G446" t="e">
        <f t="shared" ca="1" si="354"/>
        <v>#N/A</v>
      </c>
      <c r="H446" t="e">
        <f t="shared" ca="1" si="355"/>
        <v>#N/A</v>
      </c>
      <c r="I446" t="e">
        <f t="shared" ca="1" si="356"/>
        <v>#N/A</v>
      </c>
      <c r="J446" t="e">
        <f t="shared" ca="1" si="357"/>
        <v>#N/A</v>
      </c>
      <c r="K446" t="e">
        <f t="shared" ca="1" si="362"/>
        <v>#N/A</v>
      </c>
      <c r="L446" t="e">
        <f t="shared" ca="1" si="362"/>
        <v>#N/A</v>
      </c>
      <c r="M446" t="e">
        <f t="shared" ca="1" si="362"/>
        <v>#N/A</v>
      </c>
      <c r="N446" t="e">
        <f t="shared" ca="1" si="362"/>
        <v>#N/A</v>
      </c>
      <c r="O446" t="e">
        <f t="shared" ca="1" si="362"/>
        <v>#N/A</v>
      </c>
      <c r="P446" t="e">
        <f t="shared" ca="1" si="362"/>
        <v>#N/A</v>
      </c>
      <c r="Q446" t="e">
        <f t="shared" ca="1" si="362"/>
        <v>#N/A</v>
      </c>
      <c r="R446" t="e">
        <f t="shared" ca="1" si="358"/>
        <v>#N/A</v>
      </c>
      <c r="S446" t="e">
        <f t="shared" ca="1" si="359"/>
        <v>#N/A</v>
      </c>
      <c r="T446" t="e">
        <f t="shared" ca="1" si="360"/>
        <v>#N/A</v>
      </c>
    </row>
    <row r="447" spans="1:20" x14ac:dyDescent="0.25">
      <c r="A447" s="1"/>
      <c r="B447" s="1" t="e">
        <f t="shared" si="350"/>
        <v>#N/A</v>
      </c>
      <c r="C447" s="1">
        <f t="shared" si="361"/>
        <v>445</v>
      </c>
      <c r="D447" t="e">
        <f t="shared" ca="1" si="351"/>
        <v>#N/A</v>
      </c>
      <c r="E447" t="e">
        <f t="shared" ca="1" si="352"/>
        <v>#N/A</v>
      </c>
      <c r="F447" t="e">
        <f t="shared" ca="1" si="353"/>
        <v>#N/A</v>
      </c>
      <c r="G447" t="e">
        <f t="shared" ca="1" si="354"/>
        <v>#N/A</v>
      </c>
      <c r="H447" t="e">
        <f t="shared" ca="1" si="355"/>
        <v>#N/A</v>
      </c>
      <c r="I447" t="e">
        <f t="shared" ca="1" si="356"/>
        <v>#N/A</v>
      </c>
      <c r="J447" t="e">
        <f t="shared" ca="1" si="357"/>
        <v>#N/A</v>
      </c>
      <c r="K447" t="e">
        <f t="shared" ca="1" si="362"/>
        <v>#N/A</v>
      </c>
      <c r="L447" t="e">
        <f t="shared" ca="1" si="362"/>
        <v>#N/A</v>
      </c>
      <c r="M447" t="e">
        <f t="shared" ca="1" si="362"/>
        <v>#N/A</v>
      </c>
      <c r="N447" t="e">
        <f t="shared" ca="1" si="362"/>
        <v>#N/A</v>
      </c>
      <c r="O447" t="e">
        <f t="shared" ca="1" si="362"/>
        <v>#N/A</v>
      </c>
      <c r="P447" t="e">
        <f t="shared" ca="1" si="362"/>
        <v>#N/A</v>
      </c>
      <c r="Q447" t="e">
        <f t="shared" ca="1" si="362"/>
        <v>#N/A</v>
      </c>
      <c r="R447" t="e">
        <f t="shared" ca="1" si="358"/>
        <v>#N/A</v>
      </c>
      <c r="S447" t="e">
        <f t="shared" ca="1" si="359"/>
        <v>#N/A</v>
      </c>
      <c r="T447" t="e">
        <f t="shared" ca="1" si="360"/>
        <v>#N/A</v>
      </c>
    </row>
    <row r="448" spans="1:20" x14ac:dyDescent="0.25">
      <c r="A448" s="1"/>
      <c r="B448" s="1" t="e">
        <f t="shared" si="350"/>
        <v>#N/A</v>
      </c>
      <c r="C448" s="1">
        <f t="shared" si="361"/>
        <v>446</v>
      </c>
      <c r="D448" t="e">
        <f t="shared" ca="1" si="351"/>
        <v>#N/A</v>
      </c>
      <c r="E448" t="e">
        <f t="shared" ca="1" si="352"/>
        <v>#N/A</v>
      </c>
      <c r="F448" t="e">
        <f t="shared" ca="1" si="353"/>
        <v>#N/A</v>
      </c>
      <c r="G448" t="e">
        <f t="shared" ca="1" si="354"/>
        <v>#N/A</v>
      </c>
      <c r="H448" t="e">
        <f t="shared" ca="1" si="355"/>
        <v>#N/A</v>
      </c>
      <c r="I448" t="e">
        <f t="shared" ca="1" si="356"/>
        <v>#N/A</v>
      </c>
      <c r="J448" t="e">
        <f t="shared" ca="1" si="357"/>
        <v>#N/A</v>
      </c>
      <c r="K448" t="e">
        <f t="shared" ca="1" si="362"/>
        <v>#N/A</v>
      </c>
      <c r="L448" t="e">
        <f t="shared" ca="1" si="362"/>
        <v>#N/A</v>
      </c>
      <c r="M448" t="e">
        <f t="shared" ca="1" si="362"/>
        <v>#N/A</v>
      </c>
      <c r="N448" t="e">
        <f t="shared" ca="1" si="362"/>
        <v>#N/A</v>
      </c>
      <c r="O448" t="e">
        <f t="shared" ca="1" si="362"/>
        <v>#N/A</v>
      </c>
      <c r="P448" t="e">
        <f t="shared" ca="1" si="362"/>
        <v>#N/A</v>
      </c>
      <c r="Q448" t="e">
        <f t="shared" ca="1" si="362"/>
        <v>#N/A</v>
      </c>
      <c r="R448" t="e">
        <f t="shared" ca="1" si="358"/>
        <v>#N/A</v>
      </c>
      <c r="S448" t="e">
        <f t="shared" ca="1" si="359"/>
        <v>#N/A</v>
      </c>
      <c r="T448" t="e">
        <f t="shared" ca="1" si="360"/>
        <v>#N/A</v>
      </c>
    </row>
    <row r="449" spans="1:20" x14ac:dyDescent="0.25">
      <c r="A449" s="1"/>
      <c r="B449" s="1" t="e">
        <f t="shared" ref="B449:B463" si="363">LOOKUP($A449,$V$4:$V$23,$W$4:$W$23)</f>
        <v>#N/A</v>
      </c>
      <c r="C449" s="1">
        <f t="shared" si="361"/>
        <v>447</v>
      </c>
      <c r="D449" t="e">
        <f t="shared" ref="D449:D463" ca="1" si="364">OFFSET($X$4,$B449,MOD($C449,7),1,1)</f>
        <v>#N/A</v>
      </c>
      <c r="E449" t="e">
        <f t="shared" ref="E449:E463" ca="1" si="365">OFFSET($X$4,$B449,MOD($C449+1,7),1,1)</f>
        <v>#N/A</v>
      </c>
      <c r="F449" t="e">
        <f t="shared" ref="F449:F463" ca="1" si="366">OFFSET($X$4,$B449,MOD($C449+2,7),1,1)</f>
        <v>#N/A</v>
      </c>
      <c r="G449" t="e">
        <f t="shared" ref="G449:G463" ca="1" si="367">OFFSET($X$4,$B449,MOD($C449+3,7),1,1)</f>
        <v>#N/A</v>
      </c>
      <c r="H449" t="e">
        <f t="shared" ref="H449:H463" ca="1" si="368">OFFSET($X$4,$B449,MOD($C449+4,7),1,1)</f>
        <v>#N/A</v>
      </c>
      <c r="I449" t="e">
        <f t="shared" ref="I449:I463" ca="1" si="369">OFFSET($X$4,$B449,MOD($C449+5,7),1,1)</f>
        <v>#N/A</v>
      </c>
      <c r="J449" t="e">
        <f t="shared" ref="J449:J463" ca="1" si="370">OFFSET($X$4,$B449,MOD($C449+6,7),1,1)</f>
        <v>#N/A</v>
      </c>
      <c r="K449" t="e">
        <f t="shared" ca="1" si="362"/>
        <v>#N/A</v>
      </c>
      <c r="L449" t="e">
        <f t="shared" ca="1" si="362"/>
        <v>#N/A</v>
      </c>
      <c r="M449" t="e">
        <f t="shared" ca="1" si="362"/>
        <v>#N/A</v>
      </c>
      <c r="N449" t="e">
        <f t="shared" ca="1" si="362"/>
        <v>#N/A</v>
      </c>
      <c r="O449" t="e">
        <f t="shared" ca="1" si="362"/>
        <v>#N/A</v>
      </c>
      <c r="P449" t="e">
        <f t="shared" ca="1" si="362"/>
        <v>#N/A</v>
      </c>
      <c r="Q449" t="e">
        <f t="shared" ca="1" si="362"/>
        <v>#N/A</v>
      </c>
      <c r="R449" t="e">
        <f t="shared" ref="R449:R463" ca="1" si="371">MAX(K449:Q449)</f>
        <v>#N/A</v>
      </c>
      <c r="S449" t="e">
        <f t="shared" ref="S449:S463" ca="1" si="372">IF(R422&gt;1.55,1,IF(R422&gt;1.48,0.9,IF(R422&gt;1.4,0.8,IF(R422&gt;1.36666,0.6,IF(R422&gt;1.33333,0.4,IF(R422&gt;1.22,0.2,IF(R422&gt;1,0.1,0)))))))</f>
        <v>#N/A</v>
      </c>
      <c r="T449" t="e">
        <f t="shared" ref="T449:T463" ca="1" si="373">MAX(S449:S476)</f>
        <v>#N/A</v>
      </c>
    </row>
    <row r="450" spans="1:20" x14ac:dyDescent="0.25">
      <c r="A450" s="1"/>
      <c r="B450" s="1" t="e">
        <f t="shared" si="363"/>
        <v>#N/A</v>
      </c>
      <c r="C450" s="1">
        <f t="shared" si="361"/>
        <v>448</v>
      </c>
      <c r="D450" t="e">
        <f t="shared" ca="1" si="364"/>
        <v>#N/A</v>
      </c>
      <c r="E450" t="e">
        <f t="shared" ca="1" si="365"/>
        <v>#N/A</v>
      </c>
      <c r="F450" t="e">
        <f t="shared" ca="1" si="366"/>
        <v>#N/A</v>
      </c>
      <c r="G450" t="e">
        <f t="shared" ca="1" si="367"/>
        <v>#N/A</v>
      </c>
      <c r="H450" t="e">
        <f t="shared" ca="1" si="368"/>
        <v>#N/A</v>
      </c>
      <c r="I450" t="e">
        <f t="shared" ca="1" si="369"/>
        <v>#N/A</v>
      </c>
      <c r="J450" t="e">
        <f t="shared" ca="1" si="370"/>
        <v>#N/A</v>
      </c>
      <c r="K450" t="e">
        <f t="shared" ca="1" si="362"/>
        <v>#N/A</v>
      </c>
      <c r="L450" t="e">
        <f t="shared" ca="1" si="362"/>
        <v>#N/A</v>
      </c>
      <c r="M450" t="e">
        <f t="shared" ca="1" si="362"/>
        <v>#N/A</v>
      </c>
      <c r="N450" t="e">
        <f t="shared" ca="1" si="362"/>
        <v>#N/A</v>
      </c>
      <c r="O450" t="e">
        <f t="shared" ca="1" si="362"/>
        <v>#N/A</v>
      </c>
      <c r="P450" t="e">
        <f t="shared" ca="1" si="362"/>
        <v>#N/A</v>
      </c>
      <c r="Q450" t="e">
        <f t="shared" ca="1" si="362"/>
        <v>#N/A</v>
      </c>
      <c r="R450" t="e">
        <f t="shared" ca="1" si="371"/>
        <v>#N/A</v>
      </c>
      <c r="S450" t="e">
        <f t="shared" ca="1" si="372"/>
        <v>#N/A</v>
      </c>
      <c r="T450" t="e">
        <f t="shared" ca="1" si="373"/>
        <v>#N/A</v>
      </c>
    </row>
    <row r="451" spans="1:20" x14ac:dyDescent="0.25">
      <c r="A451" s="1"/>
      <c r="B451" s="1" t="e">
        <f t="shared" si="363"/>
        <v>#N/A</v>
      </c>
      <c r="C451" s="1">
        <f t="shared" si="361"/>
        <v>449</v>
      </c>
      <c r="D451" t="e">
        <f t="shared" ca="1" si="364"/>
        <v>#N/A</v>
      </c>
      <c r="E451" t="e">
        <f t="shared" ca="1" si="365"/>
        <v>#N/A</v>
      </c>
      <c r="F451" t="e">
        <f t="shared" ca="1" si="366"/>
        <v>#N/A</v>
      </c>
      <c r="G451" t="e">
        <f t="shared" ca="1" si="367"/>
        <v>#N/A</v>
      </c>
      <c r="H451" t="e">
        <f t="shared" ca="1" si="368"/>
        <v>#N/A</v>
      </c>
      <c r="I451" t="e">
        <f t="shared" ca="1" si="369"/>
        <v>#N/A</v>
      </c>
      <c r="J451" t="e">
        <f t="shared" ca="1" si="370"/>
        <v>#N/A</v>
      </c>
      <c r="K451" t="e">
        <f t="shared" ca="1" si="362"/>
        <v>#N/A</v>
      </c>
      <c r="L451" t="e">
        <f t="shared" ca="1" si="362"/>
        <v>#N/A</v>
      </c>
      <c r="M451" t="e">
        <f t="shared" ca="1" si="362"/>
        <v>#N/A</v>
      </c>
      <c r="N451" t="e">
        <f t="shared" ca="1" si="362"/>
        <v>#N/A</v>
      </c>
      <c r="O451" t="e">
        <f t="shared" ca="1" si="362"/>
        <v>#N/A</v>
      </c>
      <c r="P451" t="e">
        <f t="shared" ca="1" si="362"/>
        <v>#N/A</v>
      </c>
      <c r="Q451" t="e">
        <f t="shared" ca="1" si="362"/>
        <v>#N/A</v>
      </c>
      <c r="R451" t="e">
        <f t="shared" ca="1" si="371"/>
        <v>#N/A</v>
      </c>
      <c r="S451" t="e">
        <f t="shared" ca="1" si="372"/>
        <v>#N/A</v>
      </c>
      <c r="T451" t="e">
        <f t="shared" ca="1" si="373"/>
        <v>#N/A</v>
      </c>
    </row>
    <row r="452" spans="1:20" x14ac:dyDescent="0.25">
      <c r="A452" s="1"/>
      <c r="B452" s="1" t="e">
        <f t="shared" si="363"/>
        <v>#N/A</v>
      </c>
      <c r="C452" s="1">
        <f t="shared" ref="C452:C463" si="374">C451+1</f>
        <v>450</v>
      </c>
      <c r="D452" t="e">
        <f t="shared" ca="1" si="364"/>
        <v>#N/A</v>
      </c>
      <c r="E452" t="e">
        <f t="shared" ca="1" si="365"/>
        <v>#N/A</v>
      </c>
      <c r="F452" t="e">
        <f t="shared" ca="1" si="366"/>
        <v>#N/A</v>
      </c>
      <c r="G452" t="e">
        <f t="shared" ca="1" si="367"/>
        <v>#N/A</v>
      </c>
      <c r="H452" t="e">
        <f t="shared" ca="1" si="368"/>
        <v>#N/A</v>
      </c>
      <c r="I452" t="e">
        <f t="shared" ca="1" si="369"/>
        <v>#N/A</v>
      </c>
      <c r="J452" t="e">
        <f t="shared" ca="1" si="370"/>
        <v>#N/A</v>
      </c>
      <c r="K452" t="e">
        <f t="shared" ref="K452:Q463" ca="1" si="375">POWER(PRODUCT(D452:D479),1/28)</f>
        <v>#N/A</v>
      </c>
      <c r="L452" t="e">
        <f t="shared" ca="1" si="375"/>
        <v>#N/A</v>
      </c>
      <c r="M452" t="e">
        <f t="shared" ca="1" si="375"/>
        <v>#N/A</v>
      </c>
      <c r="N452" t="e">
        <f t="shared" ca="1" si="375"/>
        <v>#N/A</v>
      </c>
      <c r="O452" t="e">
        <f t="shared" ca="1" si="375"/>
        <v>#N/A</v>
      </c>
      <c r="P452" t="e">
        <f t="shared" ca="1" si="375"/>
        <v>#N/A</v>
      </c>
      <c r="Q452" t="e">
        <f t="shared" ca="1" si="375"/>
        <v>#N/A</v>
      </c>
      <c r="R452" t="e">
        <f t="shared" ca="1" si="371"/>
        <v>#N/A</v>
      </c>
      <c r="S452" t="e">
        <f t="shared" ca="1" si="372"/>
        <v>#N/A</v>
      </c>
      <c r="T452" t="e">
        <f t="shared" ca="1" si="373"/>
        <v>#N/A</v>
      </c>
    </row>
    <row r="453" spans="1:20" x14ac:dyDescent="0.25">
      <c r="A453" s="1"/>
      <c r="B453" s="1" t="e">
        <f t="shared" si="363"/>
        <v>#N/A</v>
      </c>
      <c r="C453" s="1">
        <f t="shared" si="374"/>
        <v>451</v>
      </c>
      <c r="D453" t="e">
        <f t="shared" ca="1" si="364"/>
        <v>#N/A</v>
      </c>
      <c r="E453" t="e">
        <f t="shared" ca="1" si="365"/>
        <v>#N/A</v>
      </c>
      <c r="F453" t="e">
        <f t="shared" ca="1" si="366"/>
        <v>#N/A</v>
      </c>
      <c r="G453" t="e">
        <f t="shared" ca="1" si="367"/>
        <v>#N/A</v>
      </c>
      <c r="H453" t="e">
        <f t="shared" ca="1" si="368"/>
        <v>#N/A</v>
      </c>
      <c r="I453" t="e">
        <f t="shared" ca="1" si="369"/>
        <v>#N/A</v>
      </c>
      <c r="J453" t="e">
        <f t="shared" ca="1" si="370"/>
        <v>#N/A</v>
      </c>
      <c r="K453" t="e">
        <f t="shared" ca="1" si="375"/>
        <v>#N/A</v>
      </c>
      <c r="L453" t="e">
        <f t="shared" ca="1" si="375"/>
        <v>#N/A</v>
      </c>
      <c r="M453" t="e">
        <f t="shared" ca="1" si="375"/>
        <v>#N/A</v>
      </c>
      <c r="N453" t="e">
        <f t="shared" ca="1" si="375"/>
        <v>#N/A</v>
      </c>
      <c r="O453" t="e">
        <f t="shared" ca="1" si="375"/>
        <v>#N/A</v>
      </c>
      <c r="P453" t="e">
        <f t="shared" ca="1" si="375"/>
        <v>#N/A</v>
      </c>
      <c r="Q453" t="e">
        <f t="shared" ca="1" si="375"/>
        <v>#N/A</v>
      </c>
      <c r="R453" t="e">
        <f t="shared" ca="1" si="371"/>
        <v>#N/A</v>
      </c>
      <c r="S453" t="e">
        <f t="shared" ca="1" si="372"/>
        <v>#N/A</v>
      </c>
      <c r="T453" t="e">
        <f t="shared" ca="1" si="373"/>
        <v>#N/A</v>
      </c>
    </row>
    <row r="454" spans="1:20" x14ac:dyDescent="0.25">
      <c r="A454" s="1"/>
      <c r="B454" s="1" t="e">
        <f t="shared" si="363"/>
        <v>#N/A</v>
      </c>
      <c r="C454" s="1">
        <f t="shared" si="374"/>
        <v>452</v>
      </c>
      <c r="D454" t="e">
        <f t="shared" ca="1" si="364"/>
        <v>#N/A</v>
      </c>
      <c r="E454" t="e">
        <f t="shared" ca="1" si="365"/>
        <v>#N/A</v>
      </c>
      <c r="F454" t="e">
        <f t="shared" ca="1" si="366"/>
        <v>#N/A</v>
      </c>
      <c r="G454" t="e">
        <f t="shared" ca="1" si="367"/>
        <v>#N/A</v>
      </c>
      <c r="H454" t="e">
        <f t="shared" ca="1" si="368"/>
        <v>#N/A</v>
      </c>
      <c r="I454" t="e">
        <f t="shared" ca="1" si="369"/>
        <v>#N/A</v>
      </c>
      <c r="J454" t="e">
        <f t="shared" ca="1" si="370"/>
        <v>#N/A</v>
      </c>
      <c r="K454" t="e">
        <f t="shared" ca="1" si="375"/>
        <v>#N/A</v>
      </c>
      <c r="L454" t="e">
        <f t="shared" ca="1" si="375"/>
        <v>#N/A</v>
      </c>
      <c r="M454" t="e">
        <f t="shared" ca="1" si="375"/>
        <v>#N/A</v>
      </c>
      <c r="N454" t="e">
        <f t="shared" ca="1" si="375"/>
        <v>#N/A</v>
      </c>
      <c r="O454" t="e">
        <f t="shared" ca="1" si="375"/>
        <v>#N/A</v>
      </c>
      <c r="P454" t="e">
        <f t="shared" ca="1" si="375"/>
        <v>#N/A</v>
      </c>
      <c r="Q454" t="e">
        <f t="shared" ca="1" si="375"/>
        <v>#N/A</v>
      </c>
      <c r="R454" t="e">
        <f t="shared" ca="1" si="371"/>
        <v>#N/A</v>
      </c>
      <c r="S454" t="e">
        <f t="shared" ca="1" si="372"/>
        <v>#N/A</v>
      </c>
      <c r="T454" t="e">
        <f t="shared" ca="1" si="373"/>
        <v>#N/A</v>
      </c>
    </row>
    <row r="455" spans="1:20" x14ac:dyDescent="0.25">
      <c r="A455" s="1"/>
      <c r="B455" s="1" t="e">
        <f t="shared" si="363"/>
        <v>#N/A</v>
      </c>
      <c r="C455" s="1">
        <f t="shared" si="374"/>
        <v>453</v>
      </c>
      <c r="D455" t="e">
        <f t="shared" ca="1" si="364"/>
        <v>#N/A</v>
      </c>
      <c r="E455" t="e">
        <f t="shared" ca="1" si="365"/>
        <v>#N/A</v>
      </c>
      <c r="F455" t="e">
        <f t="shared" ca="1" si="366"/>
        <v>#N/A</v>
      </c>
      <c r="G455" t="e">
        <f t="shared" ca="1" si="367"/>
        <v>#N/A</v>
      </c>
      <c r="H455" t="e">
        <f t="shared" ca="1" si="368"/>
        <v>#N/A</v>
      </c>
      <c r="I455" t="e">
        <f t="shared" ca="1" si="369"/>
        <v>#N/A</v>
      </c>
      <c r="J455" t="e">
        <f t="shared" ca="1" si="370"/>
        <v>#N/A</v>
      </c>
      <c r="K455" t="e">
        <f t="shared" ca="1" si="375"/>
        <v>#N/A</v>
      </c>
      <c r="L455" t="e">
        <f t="shared" ca="1" si="375"/>
        <v>#N/A</v>
      </c>
      <c r="M455" t="e">
        <f t="shared" ca="1" si="375"/>
        <v>#N/A</v>
      </c>
      <c r="N455" t="e">
        <f t="shared" ca="1" si="375"/>
        <v>#N/A</v>
      </c>
      <c r="O455" t="e">
        <f t="shared" ca="1" si="375"/>
        <v>#N/A</v>
      </c>
      <c r="P455" t="e">
        <f t="shared" ca="1" si="375"/>
        <v>#N/A</v>
      </c>
      <c r="Q455" t="e">
        <f t="shared" ca="1" si="375"/>
        <v>#N/A</v>
      </c>
      <c r="R455" t="e">
        <f t="shared" ca="1" si="371"/>
        <v>#N/A</v>
      </c>
      <c r="S455" t="e">
        <f t="shared" ca="1" si="372"/>
        <v>#N/A</v>
      </c>
      <c r="T455" t="e">
        <f t="shared" ca="1" si="373"/>
        <v>#N/A</v>
      </c>
    </row>
    <row r="456" spans="1:20" x14ac:dyDescent="0.25">
      <c r="A456" s="1"/>
      <c r="B456" s="1" t="e">
        <f t="shared" si="363"/>
        <v>#N/A</v>
      </c>
      <c r="C456" s="1">
        <f t="shared" si="374"/>
        <v>454</v>
      </c>
      <c r="D456" t="e">
        <f t="shared" ca="1" si="364"/>
        <v>#N/A</v>
      </c>
      <c r="E456" t="e">
        <f t="shared" ca="1" si="365"/>
        <v>#N/A</v>
      </c>
      <c r="F456" t="e">
        <f t="shared" ca="1" si="366"/>
        <v>#N/A</v>
      </c>
      <c r="G456" t="e">
        <f t="shared" ca="1" si="367"/>
        <v>#N/A</v>
      </c>
      <c r="H456" t="e">
        <f t="shared" ca="1" si="368"/>
        <v>#N/A</v>
      </c>
      <c r="I456" t="e">
        <f t="shared" ca="1" si="369"/>
        <v>#N/A</v>
      </c>
      <c r="J456" t="e">
        <f t="shared" ca="1" si="370"/>
        <v>#N/A</v>
      </c>
      <c r="K456" t="e">
        <f t="shared" ca="1" si="375"/>
        <v>#N/A</v>
      </c>
      <c r="L456" t="e">
        <f t="shared" ca="1" si="375"/>
        <v>#N/A</v>
      </c>
      <c r="M456" t="e">
        <f t="shared" ca="1" si="375"/>
        <v>#N/A</v>
      </c>
      <c r="N456" t="e">
        <f t="shared" ca="1" si="375"/>
        <v>#N/A</v>
      </c>
      <c r="O456" t="e">
        <f t="shared" ca="1" si="375"/>
        <v>#N/A</v>
      </c>
      <c r="P456" t="e">
        <f t="shared" ca="1" si="375"/>
        <v>#N/A</v>
      </c>
      <c r="Q456" t="e">
        <f t="shared" ca="1" si="375"/>
        <v>#N/A</v>
      </c>
      <c r="R456" t="e">
        <f t="shared" ca="1" si="371"/>
        <v>#N/A</v>
      </c>
      <c r="S456" t="e">
        <f t="shared" ca="1" si="372"/>
        <v>#N/A</v>
      </c>
      <c r="T456" t="e">
        <f t="shared" ca="1" si="373"/>
        <v>#N/A</v>
      </c>
    </row>
    <row r="457" spans="1:20" x14ac:dyDescent="0.25">
      <c r="A457" s="1"/>
      <c r="B457" s="1" t="e">
        <f t="shared" si="363"/>
        <v>#N/A</v>
      </c>
      <c r="C457" s="1">
        <f t="shared" si="374"/>
        <v>455</v>
      </c>
      <c r="D457" t="e">
        <f t="shared" ca="1" si="364"/>
        <v>#N/A</v>
      </c>
      <c r="E457" t="e">
        <f t="shared" ca="1" si="365"/>
        <v>#N/A</v>
      </c>
      <c r="F457" t="e">
        <f t="shared" ca="1" si="366"/>
        <v>#N/A</v>
      </c>
      <c r="G457" t="e">
        <f t="shared" ca="1" si="367"/>
        <v>#N/A</v>
      </c>
      <c r="H457" t="e">
        <f t="shared" ca="1" si="368"/>
        <v>#N/A</v>
      </c>
      <c r="I457" t="e">
        <f t="shared" ca="1" si="369"/>
        <v>#N/A</v>
      </c>
      <c r="J457" t="e">
        <f t="shared" ca="1" si="370"/>
        <v>#N/A</v>
      </c>
      <c r="K457" t="e">
        <f t="shared" ca="1" si="375"/>
        <v>#N/A</v>
      </c>
      <c r="L457" t="e">
        <f t="shared" ca="1" si="375"/>
        <v>#N/A</v>
      </c>
      <c r="M457" t="e">
        <f t="shared" ca="1" si="375"/>
        <v>#N/A</v>
      </c>
      <c r="N457" t="e">
        <f t="shared" ca="1" si="375"/>
        <v>#N/A</v>
      </c>
      <c r="O457" t="e">
        <f t="shared" ca="1" si="375"/>
        <v>#N/A</v>
      </c>
      <c r="P457" t="e">
        <f t="shared" ca="1" si="375"/>
        <v>#N/A</v>
      </c>
      <c r="Q457" t="e">
        <f t="shared" ca="1" si="375"/>
        <v>#N/A</v>
      </c>
      <c r="R457" t="e">
        <f t="shared" ca="1" si="371"/>
        <v>#N/A</v>
      </c>
      <c r="S457" t="e">
        <f t="shared" ca="1" si="372"/>
        <v>#N/A</v>
      </c>
      <c r="T457" t="e">
        <f t="shared" ca="1" si="373"/>
        <v>#N/A</v>
      </c>
    </row>
    <row r="458" spans="1:20" x14ac:dyDescent="0.25">
      <c r="A458" s="1"/>
      <c r="B458" s="1" t="e">
        <f t="shared" si="363"/>
        <v>#N/A</v>
      </c>
      <c r="C458" s="1">
        <f t="shared" si="374"/>
        <v>456</v>
      </c>
      <c r="D458" t="e">
        <f t="shared" ca="1" si="364"/>
        <v>#N/A</v>
      </c>
      <c r="E458" t="e">
        <f t="shared" ca="1" si="365"/>
        <v>#N/A</v>
      </c>
      <c r="F458" t="e">
        <f t="shared" ca="1" si="366"/>
        <v>#N/A</v>
      </c>
      <c r="G458" t="e">
        <f t="shared" ca="1" si="367"/>
        <v>#N/A</v>
      </c>
      <c r="H458" t="e">
        <f t="shared" ca="1" si="368"/>
        <v>#N/A</v>
      </c>
      <c r="I458" t="e">
        <f t="shared" ca="1" si="369"/>
        <v>#N/A</v>
      </c>
      <c r="J458" t="e">
        <f t="shared" ca="1" si="370"/>
        <v>#N/A</v>
      </c>
      <c r="K458" t="e">
        <f t="shared" ca="1" si="375"/>
        <v>#N/A</v>
      </c>
      <c r="L458" t="e">
        <f t="shared" ca="1" si="375"/>
        <v>#N/A</v>
      </c>
      <c r="M458" t="e">
        <f t="shared" ca="1" si="375"/>
        <v>#N/A</v>
      </c>
      <c r="N458" t="e">
        <f t="shared" ca="1" si="375"/>
        <v>#N/A</v>
      </c>
      <c r="O458" t="e">
        <f t="shared" ca="1" si="375"/>
        <v>#N/A</v>
      </c>
      <c r="P458" t="e">
        <f t="shared" ca="1" si="375"/>
        <v>#N/A</v>
      </c>
      <c r="Q458" t="e">
        <f t="shared" ca="1" si="375"/>
        <v>#N/A</v>
      </c>
      <c r="R458" t="e">
        <f t="shared" ca="1" si="371"/>
        <v>#N/A</v>
      </c>
      <c r="S458" t="e">
        <f t="shared" ca="1" si="372"/>
        <v>#N/A</v>
      </c>
      <c r="T458" t="e">
        <f t="shared" ca="1" si="373"/>
        <v>#N/A</v>
      </c>
    </row>
    <row r="459" spans="1:20" x14ac:dyDescent="0.25">
      <c r="A459" s="1"/>
      <c r="B459" s="1" t="e">
        <f t="shared" si="363"/>
        <v>#N/A</v>
      </c>
      <c r="C459" s="1">
        <f t="shared" si="374"/>
        <v>457</v>
      </c>
      <c r="D459" t="e">
        <f t="shared" ca="1" si="364"/>
        <v>#N/A</v>
      </c>
      <c r="E459" t="e">
        <f t="shared" ca="1" si="365"/>
        <v>#N/A</v>
      </c>
      <c r="F459" t="e">
        <f t="shared" ca="1" si="366"/>
        <v>#N/A</v>
      </c>
      <c r="G459" t="e">
        <f t="shared" ca="1" si="367"/>
        <v>#N/A</v>
      </c>
      <c r="H459" t="e">
        <f t="shared" ca="1" si="368"/>
        <v>#N/A</v>
      </c>
      <c r="I459" t="e">
        <f t="shared" ca="1" si="369"/>
        <v>#N/A</v>
      </c>
      <c r="J459" t="e">
        <f t="shared" ca="1" si="370"/>
        <v>#N/A</v>
      </c>
      <c r="K459" t="e">
        <f t="shared" ca="1" si="375"/>
        <v>#N/A</v>
      </c>
      <c r="L459" t="e">
        <f t="shared" ca="1" si="375"/>
        <v>#N/A</v>
      </c>
      <c r="M459" t="e">
        <f t="shared" ca="1" si="375"/>
        <v>#N/A</v>
      </c>
      <c r="N459" t="e">
        <f t="shared" ca="1" si="375"/>
        <v>#N/A</v>
      </c>
      <c r="O459" t="e">
        <f t="shared" ca="1" si="375"/>
        <v>#N/A</v>
      </c>
      <c r="P459" t="e">
        <f t="shared" ca="1" si="375"/>
        <v>#N/A</v>
      </c>
      <c r="Q459" t="e">
        <f t="shared" ca="1" si="375"/>
        <v>#N/A</v>
      </c>
      <c r="R459" t="e">
        <f t="shared" ca="1" si="371"/>
        <v>#N/A</v>
      </c>
      <c r="S459" t="e">
        <f t="shared" ca="1" si="372"/>
        <v>#N/A</v>
      </c>
      <c r="T459" t="e">
        <f t="shared" ca="1" si="373"/>
        <v>#N/A</v>
      </c>
    </row>
    <row r="460" spans="1:20" x14ac:dyDescent="0.25">
      <c r="A460" s="1"/>
      <c r="B460" s="1" t="e">
        <f t="shared" si="363"/>
        <v>#N/A</v>
      </c>
      <c r="C460" s="1">
        <f t="shared" si="374"/>
        <v>458</v>
      </c>
      <c r="D460" t="e">
        <f t="shared" ca="1" si="364"/>
        <v>#N/A</v>
      </c>
      <c r="E460" t="e">
        <f t="shared" ca="1" si="365"/>
        <v>#N/A</v>
      </c>
      <c r="F460" t="e">
        <f t="shared" ca="1" si="366"/>
        <v>#N/A</v>
      </c>
      <c r="G460" t="e">
        <f t="shared" ca="1" si="367"/>
        <v>#N/A</v>
      </c>
      <c r="H460" t="e">
        <f t="shared" ca="1" si="368"/>
        <v>#N/A</v>
      </c>
      <c r="I460" t="e">
        <f t="shared" ca="1" si="369"/>
        <v>#N/A</v>
      </c>
      <c r="J460" t="e">
        <f t="shared" ca="1" si="370"/>
        <v>#N/A</v>
      </c>
      <c r="K460" t="e">
        <f t="shared" ca="1" si="375"/>
        <v>#N/A</v>
      </c>
      <c r="L460" t="e">
        <f t="shared" ca="1" si="375"/>
        <v>#N/A</v>
      </c>
      <c r="M460" t="e">
        <f t="shared" ca="1" si="375"/>
        <v>#N/A</v>
      </c>
      <c r="N460" t="e">
        <f t="shared" ca="1" si="375"/>
        <v>#N/A</v>
      </c>
      <c r="O460" t="e">
        <f t="shared" ca="1" si="375"/>
        <v>#N/A</v>
      </c>
      <c r="P460" t="e">
        <f t="shared" ca="1" si="375"/>
        <v>#N/A</v>
      </c>
      <c r="Q460" t="e">
        <f t="shared" ca="1" si="375"/>
        <v>#N/A</v>
      </c>
      <c r="R460" t="e">
        <f t="shared" ca="1" si="371"/>
        <v>#N/A</v>
      </c>
      <c r="S460" t="e">
        <f t="shared" ca="1" si="372"/>
        <v>#N/A</v>
      </c>
      <c r="T460" t="e">
        <f t="shared" ca="1" si="373"/>
        <v>#N/A</v>
      </c>
    </row>
    <row r="461" spans="1:20" x14ac:dyDescent="0.25">
      <c r="A461" s="1"/>
      <c r="B461" s="1" t="e">
        <f t="shared" si="363"/>
        <v>#N/A</v>
      </c>
      <c r="C461" s="1">
        <f t="shared" si="374"/>
        <v>459</v>
      </c>
      <c r="D461" t="e">
        <f t="shared" ca="1" si="364"/>
        <v>#N/A</v>
      </c>
      <c r="E461" t="e">
        <f t="shared" ca="1" si="365"/>
        <v>#N/A</v>
      </c>
      <c r="F461" t="e">
        <f t="shared" ca="1" si="366"/>
        <v>#N/A</v>
      </c>
      <c r="G461" t="e">
        <f t="shared" ca="1" si="367"/>
        <v>#N/A</v>
      </c>
      <c r="H461" t="e">
        <f t="shared" ca="1" si="368"/>
        <v>#N/A</v>
      </c>
      <c r="I461" t="e">
        <f t="shared" ca="1" si="369"/>
        <v>#N/A</v>
      </c>
      <c r="J461" t="e">
        <f t="shared" ca="1" si="370"/>
        <v>#N/A</v>
      </c>
      <c r="K461" t="e">
        <f t="shared" ca="1" si="375"/>
        <v>#N/A</v>
      </c>
      <c r="L461" t="e">
        <f t="shared" ca="1" si="375"/>
        <v>#N/A</v>
      </c>
      <c r="M461" t="e">
        <f t="shared" ca="1" si="375"/>
        <v>#N/A</v>
      </c>
      <c r="N461" t="e">
        <f t="shared" ca="1" si="375"/>
        <v>#N/A</v>
      </c>
      <c r="O461" t="e">
        <f t="shared" ca="1" si="375"/>
        <v>#N/A</v>
      </c>
      <c r="P461" t="e">
        <f t="shared" ca="1" si="375"/>
        <v>#N/A</v>
      </c>
      <c r="Q461" t="e">
        <f t="shared" ca="1" si="375"/>
        <v>#N/A</v>
      </c>
      <c r="R461" t="e">
        <f t="shared" ca="1" si="371"/>
        <v>#N/A</v>
      </c>
      <c r="S461" t="e">
        <f t="shared" ca="1" si="372"/>
        <v>#N/A</v>
      </c>
      <c r="T461" t="e">
        <f t="shared" ca="1" si="373"/>
        <v>#N/A</v>
      </c>
    </row>
    <row r="462" spans="1:20" x14ac:dyDescent="0.25">
      <c r="A462" s="1"/>
      <c r="B462" s="1" t="e">
        <f t="shared" si="363"/>
        <v>#N/A</v>
      </c>
      <c r="C462" s="1">
        <f t="shared" si="374"/>
        <v>460</v>
      </c>
      <c r="D462" t="e">
        <f t="shared" ca="1" si="364"/>
        <v>#N/A</v>
      </c>
      <c r="E462" t="e">
        <f t="shared" ca="1" si="365"/>
        <v>#N/A</v>
      </c>
      <c r="F462" t="e">
        <f t="shared" ca="1" si="366"/>
        <v>#N/A</v>
      </c>
      <c r="G462" t="e">
        <f t="shared" ca="1" si="367"/>
        <v>#N/A</v>
      </c>
      <c r="H462" t="e">
        <f t="shared" ca="1" si="368"/>
        <v>#N/A</v>
      </c>
      <c r="I462" t="e">
        <f t="shared" ca="1" si="369"/>
        <v>#N/A</v>
      </c>
      <c r="J462" t="e">
        <f t="shared" ca="1" si="370"/>
        <v>#N/A</v>
      </c>
      <c r="K462" t="e">
        <f t="shared" ca="1" si="375"/>
        <v>#N/A</v>
      </c>
      <c r="L462" t="e">
        <f t="shared" ca="1" si="375"/>
        <v>#N/A</v>
      </c>
      <c r="M462" t="e">
        <f t="shared" ca="1" si="375"/>
        <v>#N/A</v>
      </c>
      <c r="N462" t="e">
        <f t="shared" ca="1" si="375"/>
        <v>#N/A</v>
      </c>
      <c r="O462" t="e">
        <f t="shared" ca="1" si="375"/>
        <v>#N/A</v>
      </c>
      <c r="P462" t="e">
        <f t="shared" ca="1" si="375"/>
        <v>#N/A</v>
      </c>
      <c r="Q462" t="e">
        <f t="shared" ca="1" si="375"/>
        <v>#N/A</v>
      </c>
      <c r="R462" t="e">
        <f t="shared" ca="1" si="371"/>
        <v>#N/A</v>
      </c>
      <c r="S462" t="e">
        <f t="shared" ca="1" si="372"/>
        <v>#N/A</v>
      </c>
      <c r="T462" t="e">
        <f t="shared" ca="1" si="373"/>
        <v>#N/A</v>
      </c>
    </row>
    <row r="463" spans="1:20" x14ac:dyDescent="0.25">
      <c r="A463" s="1"/>
      <c r="B463" s="1" t="e">
        <f t="shared" si="363"/>
        <v>#N/A</v>
      </c>
      <c r="C463" s="1">
        <f t="shared" si="374"/>
        <v>461</v>
      </c>
      <c r="D463" t="e">
        <f t="shared" ca="1" si="364"/>
        <v>#N/A</v>
      </c>
      <c r="E463" t="e">
        <f t="shared" ca="1" si="365"/>
        <v>#N/A</v>
      </c>
      <c r="F463" t="e">
        <f t="shared" ca="1" si="366"/>
        <v>#N/A</v>
      </c>
      <c r="G463" t="e">
        <f t="shared" ca="1" si="367"/>
        <v>#N/A</v>
      </c>
      <c r="H463" t="e">
        <f t="shared" ca="1" si="368"/>
        <v>#N/A</v>
      </c>
      <c r="I463" t="e">
        <f t="shared" ca="1" si="369"/>
        <v>#N/A</v>
      </c>
      <c r="J463" t="e">
        <f t="shared" ca="1" si="370"/>
        <v>#N/A</v>
      </c>
      <c r="K463" t="e">
        <f t="shared" ca="1" si="375"/>
        <v>#N/A</v>
      </c>
      <c r="L463" t="e">
        <f t="shared" ca="1" si="375"/>
        <v>#N/A</v>
      </c>
      <c r="M463" t="e">
        <f t="shared" ca="1" si="375"/>
        <v>#N/A</v>
      </c>
      <c r="N463" t="e">
        <f t="shared" ca="1" si="375"/>
        <v>#N/A</v>
      </c>
      <c r="O463" t="e">
        <f t="shared" ca="1" si="375"/>
        <v>#N/A</v>
      </c>
      <c r="P463" t="e">
        <f t="shared" ca="1" si="375"/>
        <v>#N/A</v>
      </c>
      <c r="Q463" t="e">
        <f t="shared" ca="1" si="375"/>
        <v>#N/A</v>
      </c>
      <c r="R463" t="e">
        <f t="shared" ca="1" si="371"/>
        <v>#N/A</v>
      </c>
      <c r="S463" t="e">
        <f t="shared" ca="1" si="372"/>
        <v>#N/A</v>
      </c>
      <c r="T463" t="e">
        <f t="shared" ca="1" si="373"/>
        <v>#N/A</v>
      </c>
    </row>
    <row r="464" spans="1:20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</sheetData>
  <printOptions gridLines="1"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90625" defaultRowHeight="12.5" x14ac:dyDescent="0.25"/>
  <sheetData>
    <row r="1" spans="1:1" ht="13" x14ac:dyDescent="0.3">
      <c r="A1" s="2" t="s">
        <v>49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1"/>
  <sheetViews>
    <sheetView workbookViewId="0"/>
  </sheetViews>
  <sheetFormatPr defaultColWidth="8.90625" defaultRowHeight="12.5" x14ac:dyDescent="0.25"/>
  <cols>
    <col min="1" max="1" width="14" customWidth="1"/>
    <col min="2" max="2" width="13.36328125" customWidth="1"/>
    <col min="3" max="3" width="12.6328125" customWidth="1"/>
    <col min="4" max="4" width="12.6328125" style="1" customWidth="1"/>
  </cols>
  <sheetData>
    <row r="1" spans="1:4" x14ac:dyDescent="0.25">
      <c r="D1"/>
    </row>
    <row r="2" spans="1:4" x14ac:dyDescent="0.25">
      <c r="A2" s="1" t="s">
        <v>1</v>
      </c>
      <c r="B2" s="1" t="s">
        <v>50</v>
      </c>
      <c r="C2" s="1" t="s">
        <v>51</v>
      </c>
      <c r="D2" s="1" t="s">
        <v>52</v>
      </c>
    </row>
    <row r="3" spans="1:4" x14ac:dyDescent="0.25">
      <c r="A3" s="1" t="s">
        <v>22</v>
      </c>
      <c r="B3" s="1" t="s">
        <v>22</v>
      </c>
      <c r="C3" s="1" t="s">
        <v>22</v>
      </c>
      <c r="D3" s="1" t="s">
        <v>22</v>
      </c>
    </row>
    <row r="4" spans="1:4" x14ac:dyDescent="0.25">
      <c r="A4" s="1" t="s">
        <v>30</v>
      </c>
      <c r="B4" s="1" t="s">
        <v>30</v>
      </c>
      <c r="C4" s="1" t="s">
        <v>35</v>
      </c>
      <c r="D4" s="1" t="s">
        <v>30</v>
      </c>
    </row>
    <row r="5" spans="1:4" x14ac:dyDescent="0.25">
      <c r="A5" s="1" t="s">
        <v>32</v>
      </c>
      <c r="B5" s="1" t="s">
        <v>39</v>
      </c>
      <c r="C5" s="1" t="s">
        <v>31</v>
      </c>
      <c r="D5" s="1" t="s">
        <v>30</v>
      </c>
    </row>
    <row r="6" spans="1:4" x14ac:dyDescent="0.25">
      <c r="A6" s="1" t="s">
        <v>34</v>
      </c>
      <c r="B6" s="1" t="s">
        <v>36</v>
      </c>
      <c r="C6" s="1" t="s">
        <v>41</v>
      </c>
      <c r="D6" s="1" t="s">
        <v>37</v>
      </c>
    </row>
    <row r="7" spans="1:4" x14ac:dyDescent="0.25">
      <c r="A7" s="1" t="s">
        <v>35</v>
      </c>
      <c r="B7" s="1" t="s">
        <v>46</v>
      </c>
      <c r="C7" s="1" t="s">
        <v>42</v>
      </c>
      <c r="D7" s="1" t="s">
        <v>30</v>
      </c>
    </row>
    <row r="8" spans="1:4" x14ac:dyDescent="0.25">
      <c r="A8" s="1" t="s">
        <v>36</v>
      </c>
      <c r="B8" s="1" t="s">
        <v>46</v>
      </c>
      <c r="C8" s="1" t="s">
        <v>42</v>
      </c>
      <c r="D8" s="1" t="s">
        <v>48</v>
      </c>
    </row>
    <row r="9" spans="1:4" x14ac:dyDescent="0.25">
      <c r="A9" s="1" t="s">
        <v>34</v>
      </c>
      <c r="B9" s="1" t="s">
        <v>39</v>
      </c>
      <c r="C9" s="1" t="s">
        <v>42</v>
      </c>
      <c r="D9" s="1" t="s">
        <v>32</v>
      </c>
    </row>
    <row r="10" spans="1:4" x14ac:dyDescent="0.25">
      <c r="A10" s="1" t="s">
        <v>39</v>
      </c>
      <c r="B10" s="1" t="s">
        <v>45</v>
      </c>
      <c r="C10" s="1" t="s">
        <v>22</v>
      </c>
      <c r="D10" s="1" t="s">
        <v>44</v>
      </c>
    </row>
    <row r="11" spans="1:4" x14ac:dyDescent="0.25">
      <c r="A11" s="1" t="s">
        <v>36</v>
      </c>
      <c r="B11" s="1" t="s">
        <v>30</v>
      </c>
      <c r="C11" s="1" t="s">
        <v>36</v>
      </c>
      <c r="D11" s="1" t="s">
        <v>48</v>
      </c>
    </row>
    <row r="12" spans="1:4" x14ac:dyDescent="0.25">
      <c r="A12" s="1" t="s">
        <v>32</v>
      </c>
      <c r="B12" s="1" t="s">
        <v>42</v>
      </c>
      <c r="C12" s="1" t="s">
        <v>22</v>
      </c>
      <c r="D12" s="1" t="s">
        <v>48</v>
      </c>
    </row>
    <row r="13" spans="1:4" x14ac:dyDescent="0.25">
      <c r="A13" s="1" t="s">
        <v>31</v>
      </c>
      <c r="B13" s="1" t="s">
        <v>37</v>
      </c>
      <c r="C13" s="1" t="s">
        <v>34</v>
      </c>
      <c r="D13" s="1" t="s">
        <v>30</v>
      </c>
    </row>
    <row r="14" spans="1:4" x14ac:dyDescent="0.25">
      <c r="A14" s="1" t="s">
        <v>32</v>
      </c>
      <c r="B14" s="1" t="s">
        <v>39</v>
      </c>
      <c r="C14" s="1" t="s">
        <v>42</v>
      </c>
      <c r="D14" s="1" t="s">
        <v>45</v>
      </c>
    </row>
    <row r="15" spans="1:4" x14ac:dyDescent="0.25">
      <c r="A15" s="1" t="s">
        <v>36</v>
      </c>
      <c r="B15" s="1" t="s">
        <v>40</v>
      </c>
      <c r="C15" s="1" t="s">
        <v>34</v>
      </c>
      <c r="D15" s="1" t="s">
        <v>30</v>
      </c>
    </row>
    <row r="16" spans="1:4" x14ac:dyDescent="0.25">
      <c r="A16" s="1" t="s">
        <v>34</v>
      </c>
      <c r="B16" s="1" t="s">
        <v>46</v>
      </c>
      <c r="C16" s="1" t="s">
        <v>35</v>
      </c>
      <c r="D16" s="1" t="s">
        <v>48</v>
      </c>
    </row>
    <row r="17" spans="1:4" x14ac:dyDescent="0.25">
      <c r="A17" s="1" t="s">
        <v>42</v>
      </c>
      <c r="B17" s="1" t="s">
        <v>37</v>
      </c>
      <c r="C17" s="1" t="s">
        <v>42</v>
      </c>
      <c r="D17" s="1" t="s">
        <v>42</v>
      </c>
    </row>
    <row r="18" spans="1:4" x14ac:dyDescent="0.25">
      <c r="A18" s="1" t="s">
        <v>43</v>
      </c>
      <c r="B18" s="1" t="s">
        <v>38</v>
      </c>
      <c r="C18" s="1" t="s">
        <v>32</v>
      </c>
      <c r="D18" s="1" t="s">
        <v>39</v>
      </c>
    </row>
    <row r="19" spans="1:4" x14ac:dyDescent="0.25">
      <c r="A19" s="1" t="s">
        <v>36</v>
      </c>
      <c r="B19" s="1" t="s">
        <v>36</v>
      </c>
      <c r="C19" s="1" t="s">
        <v>43</v>
      </c>
      <c r="D19" s="1" t="s">
        <v>39</v>
      </c>
    </row>
    <row r="20" spans="1:4" x14ac:dyDescent="0.25">
      <c r="A20" s="1" t="s">
        <v>41</v>
      </c>
      <c r="B20" s="1" t="s">
        <v>44</v>
      </c>
      <c r="C20" s="1" t="s">
        <v>31</v>
      </c>
      <c r="D20" s="1" t="s">
        <v>48</v>
      </c>
    </row>
    <row r="21" spans="1:4" x14ac:dyDescent="0.25">
      <c r="A21" s="1" t="s">
        <v>39</v>
      </c>
      <c r="B21" s="1" t="s">
        <v>31</v>
      </c>
      <c r="C21" s="1" t="s">
        <v>34</v>
      </c>
      <c r="D21" s="1" t="s">
        <v>46</v>
      </c>
    </row>
    <row r="22" spans="1:4" x14ac:dyDescent="0.25">
      <c r="A22" s="1" t="s">
        <v>35</v>
      </c>
      <c r="B22" s="1" t="s">
        <v>42</v>
      </c>
      <c r="C22" s="1" t="s">
        <v>35</v>
      </c>
      <c r="D22" s="1" t="s">
        <v>32</v>
      </c>
    </row>
    <row r="23" spans="1:4" x14ac:dyDescent="0.25">
      <c r="A23" s="1" t="s">
        <v>31</v>
      </c>
      <c r="B23" s="1" t="s">
        <v>31</v>
      </c>
      <c r="C23" s="1" t="s">
        <v>39</v>
      </c>
      <c r="D23" s="1" t="s">
        <v>45</v>
      </c>
    </row>
    <row r="24" spans="1:4" x14ac:dyDescent="0.25">
      <c r="A24" s="1" t="s">
        <v>39</v>
      </c>
      <c r="B24" s="1" t="s">
        <v>35</v>
      </c>
      <c r="C24" s="1" t="s">
        <v>31</v>
      </c>
      <c r="D24" s="1" t="s">
        <v>44</v>
      </c>
    </row>
    <row r="25" spans="1:4" x14ac:dyDescent="0.25">
      <c r="A25" s="1" t="s">
        <v>42</v>
      </c>
      <c r="B25" s="1" t="s">
        <v>36</v>
      </c>
      <c r="C25" s="1" t="s">
        <v>32</v>
      </c>
      <c r="D25" s="1" t="s">
        <v>39</v>
      </c>
    </row>
    <row r="26" spans="1:4" x14ac:dyDescent="0.25">
      <c r="A26" s="1" t="s">
        <v>31</v>
      </c>
      <c r="B26" s="1" t="s">
        <v>33</v>
      </c>
      <c r="C26" s="1" t="s">
        <v>36</v>
      </c>
      <c r="D26" s="1" t="s">
        <v>46</v>
      </c>
    </row>
    <row r="27" spans="1:4" x14ac:dyDescent="0.25">
      <c r="A27" s="1" t="s">
        <v>33</v>
      </c>
      <c r="B27" s="1" t="s">
        <v>48</v>
      </c>
      <c r="C27" s="1" t="s">
        <v>31</v>
      </c>
      <c r="D27" s="1" t="s">
        <v>40</v>
      </c>
    </row>
    <row r="28" spans="1:4" x14ac:dyDescent="0.25">
      <c r="A28" s="1" t="s">
        <v>31</v>
      </c>
      <c r="B28" s="1" t="s">
        <v>32</v>
      </c>
      <c r="C28" s="1" t="s">
        <v>32</v>
      </c>
      <c r="D28" s="1" t="s">
        <v>41</v>
      </c>
    </row>
    <row r="29" spans="1:4" x14ac:dyDescent="0.25">
      <c r="A29" s="1" t="s">
        <v>35</v>
      </c>
      <c r="B29" s="1" t="s">
        <v>35</v>
      </c>
      <c r="C29" s="1" t="s">
        <v>31</v>
      </c>
      <c r="D29" s="1" t="s">
        <v>30</v>
      </c>
    </row>
    <row r="30" spans="1:4" x14ac:dyDescent="0.25">
      <c r="A30" s="1" t="s">
        <v>31</v>
      </c>
      <c r="B30" s="1" t="s">
        <v>46</v>
      </c>
      <c r="C30" s="1" t="s">
        <v>35</v>
      </c>
      <c r="D30" s="1" t="s">
        <v>46</v>
      </c>
    </row>
    <row r="31" spans="1:4" x14ac:dyDescent="0.25">
      <c r="A31" s="1" t="s">
        <v>45</v>
      </c>
      <c r="B31" s="1" t="s">
        <v>39</v>
      </c>
      <c r="C31" s="1" t="s">
        <v>42</v>
      </c>
      <c r="D31" s="1" t="s">
        <v>39</v>
      </c>
    </row>
    <row r="32" spans="1:4" x14ac:dyDescent="0.25">
      <c r="A32" s="1" t="s">
        <v>34</v>
      </c>
      <c r="B32" s="1" t="s">
        <v>46</v>
      </c>
      <c r="C32" s="1" t="s">
        <v>42</v>
      </c>
      <c r="D32" s="1" t="s">
        <v>30</v>
      </c>
    </row>
    <row r="33" spans="1:4" x14ac:dyDescent="0.25">
      <c r="A33" s="1" t="s">
        <v>30</v>
      </c>
      <c r="B33" s="1" t="s">
        <v>30</v>
      </c>
      <c r="C33" s="1" t="s">
        <v>31</v>
      </c>
      <c r="D33" s="1" t="s">
        <v>38</v>
      </c>
    </row>
    <row r="34" spans="1:4" x14ac:dyDescent="0.25">
      <c r="A34" s="1" t="s">
        <v>36</v>
      </c>
      <c r="B34" s="1" t="s">
        <v>36</v>
      </c>
      <c r="C34" s="1" t="s">
        <v>31</v>
      </c>
      <c r="D34" s="1" t="s">
        <v>48</v>
      </c>
    </row>
    <row r="35" spans="1:4" x14ac:dyDescent="0.25">
      <c r="A35" s="1" t="s">
        <v>41</v>
      </c>
      <c r="B35" s="1" t="s">
        <v>45</v>
      </c>
      <c r="C35" s="1" t="s">
        <v>32</v>
      </c>
      <c r="D35" s="1" t="s">
        <v>30</v>
      </c>
    </row>
    <row r="36" spans="1:4" x14ac:dyDescent="0.25">
      <c r="A36" s="1" t="s">
        <v>45</v>
      </c>
      <c r="B36" s="1" t="s">
        <v>45</v>
      </c>
      <c r="C36" s="1" t="s">
        <v>35</v>
      </c>
      <c r="D36" s="1" t="s">
        <v>45</v>
      </c>
    </row>
    <row r="37" spans="1:4" x14ac:dyDescent="0.25">
      <c r="A37" s="1" t="s">
        <v>43</v>
      </c>
      <c r="B37" s="1" t="s">
        <v>47</v>
      </c>
      <c r="C37" s="1" t="s">
        <v>39</v>
      </c>
      <c r="D37" s="1" t="s">
        <v>31</v>
      </c>
    </row>
    <row r="38" spans="1:4" x14ac:dyDescent="0.25">
      <c r="A38" s="1" t="s">
        <v>43</v>
      </c>
      <c r="B38" s="1" t="s">
        <v>35</v>
      </c>
      <c r="C38" s="1" t="s">
        <v>30</v>
      </c>
      <c r="D38" s="1" t="s">
        <v>39</v>
      </c>
    </row>
    <row r="39" spans="1:4" x14ac:dyDescent="0.25">
      <c r="A39" s="1" t="s">
        <v>41</v>
      </c>
      <c r="B39" s="1" t="s">
        <v>30</v>
      </c>
      <c r="C39" s="1" t="s">
        <v>42</v>
      </c>
      <c r="D39" s="1" t="s">
        <v>30</v>
      </c>
    </row>
    <row r="40" spans="1:4" x14ac:dyDescent="0.25">
      <c r="A40" s="1" t="s">
        <v>35</v>
      </c>
      <c r="B40" s="1" t="s">
        <v>38</v>
      </c>
      <c r="C40" s="1" t="s">
        <v>36</v>
      </c>
      <c r="D40" s="1" t="s">
        <v>31</v>
      </c>
    </row>
    <row r="41" spans="1:4" x14ac:dyDescent="0.25">
      <c r="A41" s="1" t="s">
        <v>44</v>
      </c>
      <c r="B41" s="1" t="s">
        <v>37</v>
      </c>
      <c r="C41" s="1" t="s">
        <v>34</v>
      </c>
      <c r="D41" s="1" t="s">
        <v>48</v>
      </c>
    </row>
    <row r="42" spans="1:4" x14ac:dyDescent="0.25">
      <c r="A42" s="1" t="s">
        <v>46</v>
      </c>
      <c r="B42" s="1" t="s">
        <v>33</v>
      </c>
      <c r="C42" s="1" t="s">
        <v>32</v>
      </c>
      <c r="D42" s="1" t="s">
        <v>30</v>
      </c>
    </row>
    <row r="43" spans="1:4" x14ac:dyDescent="0.25">
      <c r="A43" s="1" t="s">
        <v>38</v>
      </c>
      <c r="B43" s="1" t="s">
        <v>31</v>
      </c>
      <c r="C43" s="1" t="s">
        <v>35</v>
      </c>
      <c r="D43" s="1" t="s">
        <v>30</v>
      </c>
    </row>
    <row r="44" spans="1:4" x14ac:dyDescent="0.25">
      <c r="A44" s="1" t="s">
        <v>39</v>
      </c>
      <c r="B44" s="1" t="s">
        <v>46</v>
      </c>
      <c r="C44" s="1" t="s">
        <v>32</v>
      </c>
      <c r="D44" s="1" t="s">
        <v>48</v>
      </c>
    </row>
    <row r="45" spans="1:4" x14ac:dyDescent="0.25">
      <c r="A45" s="1" t="s">
        <v>41</v>
      </c>
      <c r="B45" s="1" t="s">
        <v>43</v>
      </c>
      <c r="C45" s="1" t="s">
        <v>34</v>
      </c>
      <c r="D45" s="1" t="s">
        <v>30</v>
      </c>
    </row>
    <row r="46" spans="1:4" x14ac:dyDescent="0.25">
      <c r="A46" s="1" t="s">
        <v>36</v>
      </c>
      <c r="B46" s="1" t="s">
        <v>44</v>
      </c>
      <c r="C46" s="1" t="s">
        <v>46</v>
      </c>
      <c r="D46" s="1" t="s">
        <v>31</v>
      </c>
    </row>
    <row r="47" spans="1:4" x14ac:dyDescent="0.25">
      <c r="A47" s="1" t="s">
        <v>22</v>
      </c>
      <c r="B47" s="1" t="s">
        <v>42</v>
      </c>
      <c r="C47" s="1" t="s">
        <v>30</v>
      </c>
      <c r="D47" s="1" t="s">
        <v>44</v>
      </c>
    </row>
    <row r="48" spans="1:4" x14ac:dyDescent="0.25">
      <c r="A48" s="1" t="s">
        <v>39</v>
      </c>
      <c r="B48" s="1" t="s">
        <v>37</v>
      </c>
      <c r="C48" s="1" t="s">
        <v>34</v>
      </c>
      <c r="D48" s="1" t="s">
        <v>46</v>
      </c>
    </row>
    <row r="49" spans="1:4" x14ac:dyDescent="0.25">
      <c r="A49" s="1" t="s">
        <v>45</v>
      </c>
      <c r="B49" s="1" t="s">
        <v>46</v>
      </c>
      <c r="C49" s="1" t="s">
        <v>36</v>
      </c>
      <c r="D49" s="1" t="s">
        <v>30</v>
      </c>
    </row>
    <row r="50" spans="1:4" x14ac:dyDescent="0.25">
      <c r="A50" s="1" t="s">
        <v>39</v>
      </c>
      <c r="B50" s="1" t="s">
        <v>31</v>
      </c>
      <c r="C50" s="1" t="s">
        <v>42</v>
      </c>
      <c r="D50" s="1" t="s">
        <v>30</v>
      </c>
    </row>
    <row r="51" spans="1:4" x14ac:dyDescent="0.25">
      <c r="A51" s="1" t="s">
        <v>39</v>
      </c>
      <c r="B51" s="1" t="s">
        <v>34</v>
      </c>
      <c r="C51" s="1" t="s">
        <v>42</v>
      </c>
      <c r="D51" s="1" t="s">
        <v>30</v>
      </c>
    </row>
    <row r="52" spans="1:4" x14ac:dyDescent="0.25">
      <c r="A52" s="1" t="s">
        <v>45</v>
      </c>
      <c r="B52" s="1" t="s">
        <v>41</v>
      </c>
      <c r="C52" s="1" t="s">
        <v>34</v>
      </c>
      <c r="D52" s="1" t="s">
        <v>34</v>
      </c>
    </row>
    <row r="53" spans="1:4" x14ac:dyDescent="0.25">
      <c r="A53" s="1" t="s">
        <v>34</v>
      </c>
      <c r="B53" s="1" t="s">
        <v>33</v>
      </c>
      <c r="C53" s="1" t="s">
        <v>42</v>
      </c>
      <c r="D53" s="1" t="s">
        <v>30</v>
      </c>
    </row>
    <row r="54" spans="1:4" x14ac:dyDescent="0.25">
      <c r="A54" s="1" t="s">
        <v>39</v>
      </c>
      <c r="B54" s="1" t="s">
        <v>32</v>
      </c>
      <c r="C54" s="1" t="s">
        <v>38</v>
      </c>
      <c r="D54" s="1" t="s">
        <v>46</v>
      </c>
    </row>
    <row r="55" spans="1:4" x14ac:dyDescent="0.25">
      <c r="A55" s="1" t="s">
        <v>38</v>
      </c>
      <c r="B55" s="1" t="s">
        <v>31</v>
      </c>
      <c r="C55" s="1" t="s">
        <v>32</v>
      </c>
      <c r="D55" s="1" t="s">
        <v>39</v>
      </c>
    </row>
    <row r="56" spans="1:4" x14ac:dyDescent="0.25">
      <c r="A56" s="1" t="s">
        <v>40</v>
      </c>
      <c r="B56" s="1" t="s">
        <v>30</v>
      </c>
      <c r="C56" s="1" t="s">
        <v>35</v>
      </c>
      <c r="D56" s="1" t="s">
        <v>39</v>
      </c>
    </row>
    <row r="57" spans="1:4" x14ac:dyDescent="0.25">
      <c r="A57" s="1" t="s">
        <v>34</v>
      </c>
      <c r="B57" s="1" t="s">
        <v>38</v>
      </c>
      <c r="C57" s="1" t="s">
        <v>32</v>
      </c>
      <c r="D57" s="1" t="s">
        <v>30</v>
      </c>
    </row>
    <row r="58" spans="1:4" x14ac:dyDescent="0.25">
      <c r="A58" s="1" t="s">
        <v>31</v>
      </c>
      <c r="B58" s="1" t="s">
        <v>38</v>
      </c>
      <c r="C58" s="1" t="s">
        <v>34</v>
      </c>
      <c r="D58" s="1" t="s">
        <v>48</v>
      </c>
    </row>
    <row r="59" spans="1:4" x14ac:dyDescent="0.25">
      <c r="A59" s="1" t="s">
        <v>42</v>
      </c>
      <c r="B59" s="1" t="s">
        <v>38</v>
      </c>
      <c r="C59" s="1" t="s">
        <v>35</v>
      </c>
      <c r="D59" s="1" t="s">
        <v>30</v>
      </c>
    </row>
    <row r="60" spans="1:4" x14ac:dyDescent="0.25">
      <c r="A60" s="1" t="s">
        <v>41</v>
      </c>
      <c r="B60" s="1" t="s">
        <v>31</v>
      </c>
      <c r="C60" s="1" t="s">
        <v>42</v>
      </c>
      <c r="D60" s="1" t="s">
        <v>30</v>
      </c>
    </row>
    <row r="61" spans="1:4" x14ac:dyDescent="0.25">
      <c r="A61" s="1" t="s">
        <v>48</v>
      </c>
      <c r="B61" s="1" t="s">
        <v>37</v>
      </c>
      <c r="C61" s="1" t="s">
        <v>48</v>
      </c>
      <c r="D61" s="1" t="s">
        <v>30</v>
      </c>
    </row>
    <row r="62" spans="1:4" x14ac:dyDescent="0.25">
      <c r="A62" s="1" t="s">
        <v>31</v>
      </c>
      <c r="B62" s="1" t="s">
        <v>34</v>
      </c>
      <c r="C62" s="1" t="s">
        <v>30</v>
      </c>
      <c r="D62" s="1" t="s">
        <v>30</v>
      </c>
    </row>
    <row r="63" spans="1:4" x14ac:dyDescent="0.25">
      <c r="A63" s="1" t="s">
        <v>22</v>
      </c>
      <c r="B63" s="1" t="s">
        <v>46</v>
      </c>
      <c r="C63" s="1" t="s">
        <v>32</v>
      </c>
      <c r="D63" s="1" t="s">
        <v>38</v>
      </c>
    </row>
    <row r="64" spans="1:4" x14ac:dyDescent="0.25">
      <c r="A64" s="1" t="s">
        <v>40</v>
      </c>
      <c r="B64" s="1" t="s">
        <v>34</v>
      </c>
      <c r="C64" s="1" t="s">
        <v>31</v>
      </c>
      <c r="D64" s="1" t="s">
        <v>30</v>
      </c>
    </row>
    <row r="65" spans="1:4" x14ac:dyDescent="0.25">
      <c r="A65" s="1" t="s">
        <v>47</v>
      </c>
      <c r="B65" s="1" t="s">
        <v>44</v>
      </c>
      <c r="C65" s="1" t="s">
        <v>34</v>
      </c>
      <c r="D65" s="1" t="s">
        <v>34</v>
      </c>
    </row>
    <row r="66" spans="1:4" x14ac:dyDescent="0.25">
      <c r="A66" s="1" t="s">
        <v>38</v>
      </c>
      <c r="B66" s="1" t="s">
        <v>34</v>
      </c>
      <c r="C66" s="1" t="s">
        <v>42</v>
      </c>
      <c r="D66" s="1" t="s">
        <v>22</v>
      </c>
    </row>
    <row r="67" spans="1:4" x14ac:dyDescent="0.25">
      <c r="A67" s="1" t="s">
        <v>45</v>
      </c>
      <c r="B67" s="1" t="s">
        <v>38</v>
      </c>
      <c r="C67" s="1" t="s">
        <v>35</v>
      </c>
      <c r="D67" s="1" t="s">
        <v>44</v>
      </c>
    </row>
    <row r="68" spans="1:4" x14ac:dyDescent="0.25">
      <c r="A68" s="1" t="s">
        <v>35</v>
      </c>
      <c r="B68" s="1" t="s">
        <v>42</v>
      </c>
      <c r="C68" s="1" t="s">
        <v>31</v>
      </c>
      <c r="D68" s="1" t="s">
        <v>30</v>
      </c>
    </row>
    <row r="69" spans="1:4" x14ac:dyDescent="0.25">
      <c r="A69" s="1" t="s">
        <v>30</v>
      </c>
      <c r="B69" s="1" t="s">
        <v>45</v>
      </c>
      <c r="C69" s="1" t="s">
        <v>36</v>
      </c>
      <c r="D69" s="1" t="s">
        <v>34</v>
      </c>
    </row>
    <row r="70" spans="1:4" x14ac:dyDescent="0.25">
      <c r="A70" s="1" t="s">
        <v>39</v>
      </c>
      <c r="B70" s="1" t="s">
        <v>38</v>
      </c>
      <c r="C70" s="1" t="s">
        <v>32</v>
      </c>
      <c r="D70" s="1" t="s">
        <v>32</v>
      </c>
    </row>
    <row r="71" spans="1:4" x14ac:dyDescent="0.25">
      <c r="A71" s="1" t="s">
        <v>34</v>
      </c>
      <c r="B71" s="1" t="s">
        <v>39</v>
      </c>
      <c r="C71" s="1" t="s">
        <v>42</v>
      </c>
      <c r="D71" s="1" t="s">
        <v>43</v>
      </c>
    </row>
    <row r="72" spans="1:4" x14ac:dyDescent="0.25">
      <c r="A72" s="1" t="s">
        <v>34</v>
      </c>
      <c r="B72" s="1" t="s">
        <v>46</v>
      </c>
      <c r="C72" s="1" t="s">
        <v>34</v>
      </c>
      <c r="D72" s="1" t="s">
        <v>34</v>
      </c>
    </row>
    <row r="73" spans="1:4" x14ac:dyDescent="0.25">
      <c r="A73" s="1" t="s">
        <v>46</v>
      </c>
      <c r="B73" s="1" t="s">
        <v>35</v>
      </c>
      <c r="C73" s="1" t="s">
        <v>32</v>
      </c>
      <c r="D73" s="1" t="s">
        <v>35</v>
      </c>
    </row>
    <row r="74" spans="1:4" x14ac:dyDescent="0.25">
      <c r="A74" s="1" t="s">
        <v>30</v>
      </c>
      <c r="B74" s="1" t="s">
        <v>42</v>
      </c>
      <c r="C74" s="1" t="s">
        <v>34</v>
      </c>
      <c r="D74" s="1" t="s">
        <v>34</v>
      </c>
    </row>
    <row r="75" spans="1:4" x14ac:dyDescent="0.25">
      <c r="A75" s="1" t="s">
        <v>31</v>
      </c>
      <c r="B75" s="1" t="s">
        <v>43</v>
      </c>
      <c r="C75" s="1" t="s">
        <v>31</v>
      </c>
      <c r="D75" s="1" t="s">
        <v>30</v>
      </c>
    </row>
    <row r="76" spans="1:4" x14ac:dyDescent="0.25">
      <c r="A76" s="1" t="s">
        <v>30</v>
      </c>
      <c r="B76" s="1" t="s">
        <v>31</v>
      </c>
      <c r="C76" s="1" t="s">
        <v>32</v>
      </c>
      <c r="D76" s="1" t="s">
        <v>36</v>
      </c>
    </row>
    <row r="77" spans="1:4" x14ac:dyDescent="0.25">
      <c r="A77" s="1" t="s">
        <v>36</v>
      </c>
      <c r="B77" s="1" t="s">
        <v>44</v>
      </c>
      <c r="C77" s="1" t="s">
        <v>42</v>
      </c>
      <c r="D77" s="1" t="s">
        <v>46</v>
      </c>
    </row>
    <row r="78" spans="1:4" x14ac:dyDescent="0.25">
      <c r="A78" s="1" t="s">
        <v>35</v>
      </c>
      <c r="B78" s="1" t="s">
        <v>45</v>
      </c>
      <c r="C78" s="1" t="s">
        <v>42</v>
      </c>
      <c r="D78" s="1" t="s">
        <v>31</v>
      </c>
    </row>
    <row r="79" spans="1:4" x14ac:dyDescent="0.25">
      <c r="A79" s="1" t="s">
        <v>38</v>
      </c>
      <c r="B79" s="1" t="s">
        <v>46</v>
      </c>
      <c r="C79" s="1" t="s">
        <v>31</v>
      </c>
      <c r="D79" s="1" t="s">
        <v>31</v>
      </c>
    </row>
    <row r="80" spans="1:4" x14ac:dyDescent="0.25">
      <c r="A80" s="1" t="s">
        <v>42</v>
      </c>
      <c r="B80" s="1" t="s">
        <v>33</v>
      </c>
      <c r="C80" s="1" t="s">
        <v>45</v>
      </c>
      <c r="D80" s="1" t="s">
        <v>41</v>
      </c>
    </row>
    <row r="81" spans="1:4" x14ac:dyDescent="0.25">
      <c r="A81" s="1" t="s">
        <v>34</v>
      </c>
      <c r="B81" s="1" t="s">
        <v>38</v>
      </c>
      <c r="C81" s="1" t="s">
        <v>35</v>
      </c>
      <c r="D81" s="1" t="s">
        <v>30</v>
      </c>
    </row>
    <row r="82" spans="1:4" x14ac:dyDescent="0.25">
      <c r="A82" s="1" t="s">
        <v>41</v>
      </c>
      <c r="B82" s="1" t="s">
        <v>40</v>
      </c>
      <c r="C82" s="1" t="s">
        <v>31</v>
      </c>
      <c r="D82" s="1" t="s">
        <v>43</v>
      </c>
    </row>
    <row r="83" spans="1:4" x14ac:dyDescent="0.25">
      <c r="A83" s="1" t="s">
        <v>41</v>
      </c>
      <c r="B83" s="1" t="s">
        <v>45</v>
      </c>
      <c r="C83" s="1" t="s">
        <v>32</v>
      </c>
      <c r="D83" s="1" t="s">
        <v>35</v>
      </c>
    </row>
    <row r="84" spans="1:4" x14ac:dyDescent="0.25">
      <c r="A84" s="1" t="s">
        <v>47</v>
      </c>
      <c r="B84" s="1" t="s">
        <v>31</v>
      </c>
      <c r="C84" s="1" t="s">
        <v>31</v>
      </c>
      <c r="D84" s="1" t="s">
        <v>34</v>
      </c>
    </row>
    <row r="85" spans="1:4" x14ac:dyDescent="0.25">
      <c r="A85" s="1" t="s">
        <v>35</v>
      </c>
      <c r="B85" s="1" t="s">
        <v>44</v>
      </c>
      <c r="C85" s="1" t="s">
        <v>35</v>
      </c>
      <c r="D85" s="1" t="s">
        <v>42</v>
      </c>
    </row>
    <row r="86" spans="1:4" x14ac:dyDescent="0.25">
      <c r="A86" s="1" t="s">
        <v>30</v>
      </c>
      <c r="B86" s="1" t="s">
        <v>46</v>
      </c>
      <c r="C86" s="1" t="s">
        <v>46</v>
      </c>
      <c r="D86" s="1" t="s">
        <v>30</v>
      </c>
    </row>
    <row r="87" spans="1:4" x14ac:dyDescent="0.25">
      <c r="A87" s="1" t="s">
        <v>48</v>
      </c>
      <c r="B87" s="1" t="s">
        <v>34</v>
      </c>
      <c r="C87" s="1" t="s">
        <v>31</v>
      </c>
      <c r="D87" s="1" t="s">
        <v>41</v>
      </c>
    </row>
    <row r="88" spans="1:4" x14ac:dyDescent="0.25">
      <c r="A88" s="1" t="s">
        <v>45</v>
      </c>
      <c r="B88" s="1" t="s">
        <v>35</v>
      </c>
      <c r="C88" s="1" t="s">
        <v>30</v>
      </c>
      <c r="D88" s="1" t="s">
        <v>39</v>
      </c>
    </row>
    <row r="89" spans="1:4" x14ac:dyDescent="0.25">
      <c r="A89" s="1" t="s">
        <v>45</v>
      </c>
      <c r="B89" s="1" t="s">
        <v>41</v>
      </c>
      <c r="C89" s="1" t="s">
        <v>34</v>
      </c>
      <c r="D89" s="1" t="s">
        <v>45</v>
      </c>
    </row>
    <row r="90" spans="1:4" x14ac:dyDescent="0.25">
      <c r="A90" s="1" t="s">
        <v>43</v>
      </c>
      <c r="B90" s="1" t="s">
        <v>31</v>
      </c>
      <c r="C90" s="1" t="s">
        <v>43</v>
      </c>
      <c r="D90" s="1" t="s">
        <v>36</v>
      </c>
    </row>
    <row r="91" spans="1:4" x14ac:dyDescent="0.25">
      <c r="A91" s="1" t="s">
        <v>42</v>
      </c>
      <c r="B91" s="1" t="s">
        <v>47</v>
      </c>
      <c r="C91" s="1" t="s">
        <v>39</v>
      </c>
      <c r="D91" s="1" t="s">
        <v>32</v>
      </c>
    </row>
    <row r="92" spans="1:4" x14ac:dyDescent="0.25">
      <c r="A92" s="1" t="s">
        <v>46</v>
      </c>
      <c r="B92" s="1" t="s">
        <v>33</v>
      </c>
      <c r="C92" s="1" t="s">
        <v>39</v>
      </c>
      <c r="D92" s="1" t="s">
        <v>42</v>
      </c>
    </row>
    <row r="93" spans="1:4" x14ac:dyDescent="0.25">
      <c r="A93" s="1" t="s">
        <v>40</v>
      </c>
      <c r="B93" s="1" t="s">
        <v>44</v>
      </c>
      <c r="C93" s="1" t="s">
        <v>41</v>
      </c>
      <c r="D93" s="1" t="s">
        <v>31</v>
      </c>
    </row>
    <row r="94" spans="1:4" x14ac:dyDescent="0.25">
      <c r="A94" s="1" t="s">
        <v>31</v>
      </c>
      <c r="B94" s="1" t="s">
        <v>40</v>
      </c>
      <c r="C94" s="1" t="s">
        <v>36</v>
      </c>
      <c r="D94" s="1" t="s">
        <v>36</v>
      </c>
    </row>
    <row r="95" spans="1:4" x14ac:dyDescent="0.25">
      <c r="A95" s="1" t="s">
        <v>41</v>
      </c>
      <c r="B95" s="1" t="s">
        <v>43</v>
      </c>
      <c r="C95" s="1" t="s">
        <v>34</v>
      </c>
      <c r="D95" s="1" t="s">
        <v>34</v>
      </c>
    </row>
    <row r="96" spans="1:4" x14ac:dyDescent="0.25">
      <c r="A96" s="1" t="s">
        <v>44</v>
      </c>
      <c r="B96" s="1" t="s">
        <v>35</v>
      </c>
      <c r="C96" s="1" t="s">
        <v>46</v>
      </c>
      <c r="D96" s="1" t="s">
        <v>36</v>
      </c>
    </row>
    <row r="97" spans="1:4" x14ac:dyDescent="0.25">
      <c r="A97" s="1" t="s">
        <v>34</v>
      </c>
      <c r="B97" s="1" t="s">
        <v>43</v>
      </c>
      <c r="C97" s="1" t="s">
        <v>32</v>
      </c>
      <c r="D97" s="1" t="s">
        <v>35</v>
      </c>
    </row>
    <row r="98" spans="1:4" x14ac:dyDescent="0.25">
      <c r="A98" s="1" t="s">
        <v>39</v>
      </c>
      <c r="B98" s="1" t="s">
        <v>46</v>
      </c>
      <c r="C98" s="1" t="s">
        <v>32</v>
      </c>
      <c r="D98" s="1" t="s">
        <v>34</v>
      </c>
    </row>
    <row r="99" spans="1:4" x14ac:dyDescent="0.25">
      <c r="A99" s="1" t="s">
        <v>30</v>
      </c>
      <c r="B99" s="1" t="s">
        <v>41</v>
      </c>
      <c r="C99" s="1" t="s">
        <v>32</v>
      </c>
      <c r="D99" s="1" t="s">
        <v>43</v>
      </c>
    </row>
    <row r="100" spans="1:4" x14ac:dyDescent="0.25">
      <c r="A100" s="1" t="s">
        <v>30</v>
      </c>
      <c r="B100" s="1" t="s">
        <v>31</v>
      </c>
      <c r="C100" s="1" t="s">
        <v>34</v>
      </c>
      <c r="D100" s="1" t="s">
        <v>35</v>
      </c>
    </row>
    <row r="101" spans="1:4" x14ac:dyDescent="0.25">
      <c r="A101" s="1" t="s">
        <v>47</v>
      </c>
      <c r="B101" s="1" t="s">
        <v>30</v>
      </c>
      <c r="C101" s="1" t="s">
        <v>35</v>
      </c>
      <c r="D101" s="1" t="s">
        <v>39</v>
      </c>
    </row>
    <row r="102" spans="1:4" x14ac:dyDescent="0.25">
      <c r="A102" s="1" t="s">
        <v>46</v>
      </c>
      <c r="B102" s="1" t="s">
        <v>38</v>
      </c>
      <c r="C102" s="1" t="s">
        <v>39</v>
      </c>
      <c r="D102" s="1" t="s">
        <v>37</v>
      </c>
    </row>
    <row r="103" spans="1:4" x14ac:dyDescent="0.25">
      <c r="A103" s="1" t="s">
        <v>22</v>
      </c>
      <c r="B103" s="1" t="s">
        <v>30</v>
      </c>
      <c r="C103" s="1" t="s">
        <v>31</v>
      </c>
      <c r="D103" s="1" t="s">
        <v>31</v>
      </c>
    </row>
    <row r="104" spans="1:4" x14ac:dyDescent="0.25">
      <c r="A104" s="1" t="s">
        <v>45</v>
      </c>
      <c r="B104" s="1" t="s">
        <v>32</v>
      </c>
      <c r="C104" s="1" t="s">
        <v>36</v>
      </c>
      <c r="D104" s="1" t="s">
        <v>30</v>
      </c>
    </row>
    <row r="105" spans="1:4" x14ac:dyDescent="0.25">
      <c r="A105" s="1" t="s">
        <v>33</v>
      </c>
      <c r="B105" s="1" t="s">
        <v>35</v>
      </c>
      <c r="C105" s="1" t="s">
        <v>32</v>
      </c>
      <c r="D105" s="1" t="s">
        <v>37</v>
      </c>
    </row>
    <row r="106" spans="1:4" x14ac:dyDescent="0.25">
      <c r="A106" s="1" t="s">
        <v>31</v>
      </c>
      <c r="B106" s="1" t="s">
        <v>33</v>
      </c>
      <c r="C106" s="1" t="s">
        <v>39</v>
      </c>
      <c r="D106" s="1" t="s">
        <v>41</v>
      </c>
    </row>
    <row r="107" spans="1:4" x14ac:dyDescent="0.25">
      <c r="A107" s="1" t="s">
        <v>48</v>
      </c>
      <c r="B107" s="1" t="s">
        <v>45</v>
      </c>
      <c r="C107" s="1" t="s">
        <v>34</v>
      </c>
      <c r="D107" s="1" t="s">
        <v>32</v>
      </c>
    </row>
    <row r="108" spans="1:4" x14ac:dyDescent="0.25">
      <c r="A108" s="1" t="s">
        <v>31</v>
      </c>
      <c r="B108" s="1" t="s">
        <v>46</v>
      </c>
      <c r="C108" s="1" t="s">
        <v>45</v>
      </c>
      <c r="D108" s="1" t="s">
        <v>39</v>
      </c>
    </row>
    <row r="109" spans="1:4" x14ac:dyDescent="0.25">
      <c r="A109" s="1" t="s">
        <v>44</v>
      </c>
      <c r="B109" s="1" t="s">
        <v>22</v>
      </c>
      <c r="C109" s="1" t="s">
        <v>31</v>
      </c>
      <c r="D109" s="1" t="s">
        <v>46</v>
      </c>
    </row>
    <row r="110" spans="1:4" x14ac:dyDescent="0.25">
      <c r="A110" s="1" t="s">
        <v>30</v>
      </c>
      <c r="B110" s="1" t="s">
        <v>46</v>
      </c>
      <c r="C110" s="1" t="s">
        <v>34</v>
      </c>
      <c r="D110" s="1" t="s">
        <v>40</v>
      </c>
    </row>
    <row r="111" spans="1:4" x14ac:dyDescent="0.25">
      <c r="A111" s="1" t="s">
        <v>38</v>
      </c>
      <c r="B111" s="1" t="s">
        <v>47</v>
      </c>
      <c r="C111" s="1" t="s">
        <v>36</v>
      </c>
      <c r="D111" s="1" t="s">
        <v>32</v>
      </c>
    </row>
    <row r="112" spans="1:4" x14ac:dyDescent="0.25">
      <c r="A112" s="1" t="s">
        <v>43</v>
      </c>
      <c r="B112" s="1" t="s">
        <v>32</v>
      </c>
      <c r="C112" s="1" t="s">
        <v>42</v>
      </c>
      <c r="D112" s="1" t="s">
        <v>34</v>
      </c>
    </row>
    <row r="113" spans="1:4" x14ac:dyDescent="0.25">
      <c r="A113" s="1" t="s">
        <v>48</v>
      </c>
      <c r="B113" s="1" t="s">
        <v>41</v>
      </c>
      <c r="C113" s="1" t="s">
        <v>34</v>
      </c>
      <c r="D113" s="1" t="s">
        <v>32</v>
      </c>
    </row>
    <row r="114" spans="1:4" x14ac:dyDescent="0.25">
      <c r="A114" s="1" t="s">
        <v>46</v>
      </c>
      <c r="B114" s="1" t="s">
        <v>44</v>
      </c>
      <c r="C114" s="1" t="s">
        <v>32</v>
      </c>
      <c r="D114" s="1" t="s">
        <v>36</v>
      </c>
    </row>
    <row r="115" spans="1:4" x14ac:dyDescent="0.25">
      <c r="A115" s="1" t="s">
        <v>31</v>
      </c>
      <c r="B115" s="1" t="s">
        <v>35</v>
      </c>
      <c r="C115" s="1" t="s">
        <v>32</v>
      </c>
      <c r="D115" s="1" t="s">
        <v>36</v>
      </c>
    </row>
    <row r="116" spans="1:4" x14ac:dyDescent="0.25">
      <c r="A116" s="1" t="s">
        <v>33</v>
      </c>
      <c r="B116" s="1" t="s">
        <v>38</v>
      </c>
      <c r="C116" s="1" t="s">
        <v>31</v>
      </c>
      <c r="D116" s="1" t="s">
        <v>43</v>
      </c>
    </row>
    <row r="117" spans="1:4" x14ac:dyDescent="0.25">
      <c r="A117" s="1" t="s">
        <v>38</v>
      </c>
      <c r="B117" s="1" t="s">
        <v>38</v>
      </c>
      <c r="C117" s="1" t="s">
        <v>32</v>
      </c>
      <c r="D117" s="1" t="s">
        <v>42</v>
      </c>
    </row>
    <row r="118" spans="1:4" x14ac:dyDescent="0.25">
      <c r="A118" s="1" t="s">
        <v>38</v>
      </c>
      <c r="B118" s="1" t="s">
        <v>34</v>
      </c>
      <c r="C118" s="1" t="s">
        <v>42</v>
      </c>
      <c r="D118" s="1" t="s">
        <v>46</v>
      </c>
    </row>
    <row r="119" spans="1:4" x14ac:dyDescent="0.25">
      <c r="A119" s="1" t="s">
        <v>34</v>
      </c>
      <c r="B119" s="1" t="s">
        <v>22</v>
      </c>
      <c r="C119" s="1" t="s">
        <v>31</v>
      </c>
      <c r="D119" s="1" t="s">
        <v>34</v>
      </c>
    </row>
    <row r="120" spans="1:4" x14ac:dyDescent="0.25">
      <c r="A120" s="1" t="s">
        <v>35</v>
      </c>
      <c r="B120" s="1" t="s">
        <v>34</v>
      </c>
      <c r="C120" s="1" t="s">
        <v>31</v>
      </c>
      <c r="D120" s="1" t="s">
        <v>32</v>
      </c>
    </row>
    <row r="121" spans="1:4" x14ac:dyDescent="0.25">
      <c r="A121" s="1" t="s">
        <v>43</v>
      </c>
      <c r="B121" s="1" t="s">
        <v>44</v>
      </c>
      <c r="C121" s="1" t="s">
        <v>35</v>
      </c>
      <c r="D121" s="1" t="s">
        <v>31</v>
      </c>
    </row>
    <row r="122" spans="1:4" x14ac:dyDescent="0.25">
      <c r="A122" s="1" t="s">
        <v>41</v>
      </c>
      <c r="B122" s="1" t="s">
        <v>34</v>
      </c>
      <c r="C122" s="1" t="s">
        <v>32</v>
      </c>
      <c r="D122" s="1" t="s">
        <v>32</v>
      </c>
    </row>
    <row r="123" spans="1:4" x14ac:dyDescent="0.25">
      <c r="A123" s="1" t="s">
        <v>33</v>
      </c>
      <c r="B123" s="1" t="s">
        <v>39</v>
      </c>
      <c r="C123" s="1" t="s">
        <v>30</v>
      </c>
      <c r="D123" s="1" t="s">
        <v>34</v>
      </c>
    </row>
    <row r="124" spans="1:4" x14ac:dyDescent="0.25">
      <c r="A124" s="1" t="s">
        <v>30</v>
      </c>
      <c r="B124" s="1" t="s">
        <v>32</v>
      </c>
      <c r="C124" s="1" t="s">
        <v>32</v>
      </c>
      <c r="D124" s="1" t="s">
        <v>34</v>
      </c>
    </row>
    <row r="125" spans="1:4" x14ac:dyDescent="0.25">
      <c r="A125" s="1" t="s">
        <v>41</v>
      </c>
      <c r="B125" s="1" t="s">
        <v>44</v>
      </c>
      <c r="C125" s="1" t="s">
        <v>39</v>
      </c>
      <c r="D125" s="1" t="s">
        <v>46</v>
      </c>
    </row>
    <row r="126" spans="1:4" x14ac:dyDescent="0.25">
      <c r="A126" s="1" t="s">
        <v>48</v>
      </c>
      <c r="B126" s="1" t="s">
        <v>46</v>
      </c>
      <c r="C126" s="1" t="s">
        <v>38</v>
      </c>
      <c r="D126" s="1" t="s">
        <v>34</v>
      </c>
    </row>
    <row r="127" spans="1:4" x14ac:dyDescent="0.25">
      <c r="A127" s="1" t="s">
        <v>43</v>
      </c>
      <c r="B127" s="1" t="s">
        <v>46</v>
      </c>
      <c r="C127" s="1" t="s">
        <v>22</v>
      </c>
      <c r="D127" s="1" t="s">
        <v>39</v>
      </c>
    </row>
    <row r="128" spans="1:4" x14ac:dyDescent="0.25">
      <c r="A128" s="1" t="s">
        <v>34</v>
      </c>
      <c r="B128" s="1" t="s">
        <v>45</v>
      </c>
      <c r="C128" s="1" t="s">
        <v>42</v>
      </c>
      <c r="D128" s="1" t="s">
        <v>36</v>
      </c>
    </row>
    <row r="129" spans="1:4" x14ac:dyDescent="0.25">
      <c r="A129" s="1" t="s">
        <v>42</v>
      </c>
      <c r="B129" s="1" t="s">
        <v>34</v>
      </c>
      <c r="C129" s="1" t="s">
        <v>46</v>
      </c>
      <c r="D129" s="1" t="s">
        <v>42</v>
      </c>
    </row>
    <row r="130" spans="1:4" x14ac:dyDescent="0.25">
      <c r="A130" s="1" t="s">
        <v>45</v>
      </c>
      <c r="B130" s="1" t="s">
        <v>32</v>
      </c>
      <c r="C130" s="1" t="s">
        <v>41</v>
      </c>
      <c r="D130" s="1" t="s">
        <v>40</v>
      </c>
    </row>
    <row r="131" spans="1:4" x14ac:dyDescent="0.25">
      <c r="A131" s="1" t="s">
        <v>39</v>
      </c>
      <c r="B131" s="1" t="s">
        <v>38</v>
      </c>
      <c r="C131" s="1" t="s">
        <v>32</v>
      </c>
      <c r="D131" s="1" t="s">
        <v>30</v>
      </c>
    </row>
    <row r="132" spans="1:4" x14ac:dyDescent="0.25">
      <c r="A132" s="1" t="s">
        <v>32</v>
      </c>
      <c r="B132" s="1" t="s">
        <v>40</v>
      </c>
      <c r="C132" s="1" t="s">
        <v>30</v>
      </c>
      <c r="D132" s="1" t="s">
        <v>32</v>
      </c>
    </row>
    <row r="133" spans="1:4" x14ac:dyDescent="0.25">
      <c r="A133" s="1" t="s">
        <v>38</v>
      </c>
      <c r="B133" s="1" t="s">
        <v>45</v>
      </c>
      <c r="C133" s="1" t="s">
        <v>39</v>
      </c>
      <c r="D133" s="1" t="s">
        <v>44</v>
      </c>
    </row>
    <row r="134" spans="1:4" x14ac:dyDescent="0.25">
      <c r="A134" s="1" t="s">
        <v>43</v>
      </c>
      <c r="B134" s="1" t="s">
        <v>42</v>
      </c>
      <c r="C134" s="1" t="s">
        <v>31</v>
      </c>
      <c r="D134" s="1" t="s">
        <v>30</v>
      </c>
    </row>
    <row r="135" spans="1:4" x14ac:dyDescent="0.25">
      <c r="A135" s="1" t="s">
        <v>46</v>
      </c>
      <c r="B135" s="1" t="s">
        <v>39</v>
      </c>
      <c r="C135" s="1" t="s">
        <v>36</v>
      </c>
      <c r="D135" s="1" t="s">
        <v>39</v>
      </c>
    </row>
    <row r="136" spans="1:4" x14ac:dyDescent="0.25">
      <c r="A136" s="1" t="s">
        <v>39</v>
      </c>
      <c r="B136" s="1" t="s">
        <v>46</v>
      </c>
      <c r="C136" s="1" t="s">
        <v>42</v>
      </c>
      <c r="D136" s="1" t="s">
        <v>37</v>
      </c>
    </row>
    <row r="137" spans="1:4" x14ac:dyDescent="0.25">
      <c r="A137" s="1" t="s">
        <v>46</v>
      </c>
      <c r="B137" s="1" t="s">
        <v>38</v>
      </c>
      <c r="C137" s="1" t="s">
        <v>35</v>
      </c>
      <c r="D137" s="1" t="s">
        <v>39</v>
      </c>
    </row>
    <row r="138" spans="1:4" x14ac:dyDescent="0.25">
      <c r="A138" s="1" t="s">
        <v>30</v>
      </c>
      <c r="B138" s="1" t="s">
        <v>41</v>
      </c>
      <c r="C138" s="1" t="s">
        <v>32</v>
      </c>
      <c r="D138" s="1" t="s">
        <v>31</v>
      </c>
    </row>
    <row r="139" spans="1:4" x14ac:dyDescent="0.25">
      <c r="A139" s="1" t="s">
        <v>39</v>
      </c>
      <c r="B139" s="1" t="s">
        <v>46</v>
      </c>
      <c r="C139" s="1" t="s">
        <v>32</v>
      </c>
      <c r="D139" s="1" t="s">
        <v>34</v>
      </c>
    </row>
    <row r="140" spans="1:4" x14ac:dyDescent="0.25">
      <c r="A140" s="1" t="s">
        <v>32</v>
      </c>
      <c r="B140" s="1" t="s">
        <v>31</v>
      </c>
      <c r="C140" s="1" t="s">
        <v>42</v>
      </c>
      <c r="D140" s="1" t="s">
        <v>48</v>
      </c>
    </row>
    <row r="141" spans="1:4" x14ac:dyDescent="0.25">
      <c r="A141" s="1" t="s">
        <v>34</v>
      </c>
      <c r="B141" s="1" t="s">
        <v>47</v>
      </c>
      <c r="C141" s="1" t="s">
        <v>22</v>
      </c>
      <c r="D141" s="1" t="s">
        <v>32</v>
      </c>
    </row>
    <row r="142" spans="1:4" x14ac:dyDescent="0.25">
      <c r="A142" s="1" t="s">
        <v>31</v>
      </c>
      <c r="B142" s="1" t="s">
        <v>40</v>
      </c>
      <c r="C142" s="1" t="s">
        <v>32</v>
      </c>
      <c r="D142" s="1" t="s">
        <v>36</v>
      </c>
    </row>
    <row r="143" spans="1:4" x14ac:dyDescent="0.25">
      <c r="A143" s="1" t="s">
        <v>38</v>
      </c>
      <c r="B143" s="1" t="s">
        <v>45</v>
      </c>
      <c r="C143" s="1" t="s">
        <v>41</v>
      </c>
      <c r="D143" s="1" t="s">
        <v>32</v>
      </c>
    </row>
    <row r="144" spans="1:4" x14ac:dyDescent="0.25">
      <c r="A144" s="1" t="s">
        <v>40</v>
      </c>
      <c r="B144" s="1" t="s">
        <v>45</v>
      </c>
      <c r="C144" s="1" t="s">
        <v>36</v>
      </c>
      <c r="D144" s="1" t="s">
        <v>41</v>
      </c>
    </row>
    <row r="145" spans="1:4" x14ac:dyDescent="0.25">
      <c r="A145" s="1" t="s">
        <v>45</v>
      </c>
      <c r="B145" s="1" t="s">
        <v>31</v>
      </c>
      <c r="C145" s="1" t="s">
        <v>32</v>
      </c>
      <c r="D145" s="1" t="s">
        <v>39</v>
      </c>
    </row>
    <row r="146" spans="1:4" x14ac:dyDescent="0.25">
      <c r="A146" s="1" t="s">
        <v>38</v>
      </c>
      <c r="B146" s="1" t="s">
        <v>36</v>
      </c>
      <c r="C146" s="1" t="s">
        <v>41</v>
      </c>
      <c r="D146" s="1" t="s">
        <v>35</v>
      </c>
    </row>
    <row r="147" spans="1:4" x14ac:dyDescent="0.25">
      <c r="A147" s="1" t="s">
        <v>48</v>
      </c>
      <c r="B147" s="1" t="s">
        <v>43</v>
      </c>
      <c r="C147" s="1" t="s">
        <v>36</v>
      </c>
      <c r="D147" s="1" t="s">
        <v>34</v>
      </c>
    </row>
    <row r="148" spans="1:4" x14ac:dyDescent="0.25">
      <c r="A148" s="1" t="s">
        <v>34</v>
      </c>
      <c r="B148" s="1" t="s">
        <v>46</v>
      </c>
      <c r="C148" s="1" t="s">
        <v>34</v>
      </c>
      <c r="D148" s="1" t="s">
        <v>39</v>
      </c>
    </row>
    <row r="149" spans="1:4" x14ac:dyDescent="0.25">
      <c r="A149" s="1" t="s">
        <v>30</v>
      </c>
      <c r="B149" s="1" t="s">
        <v>34</v>
      </c>
      <c r="C149" s="1" t="s">
        <v>42</v>
      </c>
      <c r="D149" s="1" t="s">
        <v>34</v>
      </c>
    </row>
    <row r="150" spans="1:4" x14ac:dyDescent="0.25">
      <c r="A150" s="1" t="s">
        <v>33</v>
      </c>
      <c r="B150" s="1" t="s">
        <v>34</v>
      </c>
      <c r="C150" s="1" t="s">
        <v>32</v>
      </c>
      <c r="D150" s="1" t="s">
        <v>31</v>
      </c>
    </row>
    <row r="151" spans="1:4" x14ac:dyDescent="0.25">
      <c r="A151" s="1" t="s">
        <v>33</v>
      </c>
      <c r="B151" s="1" t="s">
        <v>30</v>
      </c>
      <c r="C151" s="1" t="s">
        <v>31</v>
      </c>
      <c r="D151" s="1" t="s">
        <v>31</v>
      </c>
    </row>
    <row r="152" spans="1:4" x14ac:dyDescent="0.25">
      <c r="A152" s="1" t="s">
        <v>39</v>
      </c>
      <c r="B152" s="1" t="s">
        <v>31</v>
      </c>
      <c r="C152" s="1" t="s">
        <v>42</v>
      </c>
      <c r="D152" s="1" t="s">
        <v>32</v>
      </c>
    </row>
    <row r="153" spans="1:4" x14ac:dyDescent="0.25">
      <c r="A153" s="1" t="s">
        <v>37</v>
      </c>
      <c r="B153" s="1" t="s">
        <v>38</v>
      </c>
      <c r="C153" s="1" t="s">
        <v>40</v>
      </c>
      <c r="D153" s="1" t="s">
        <v>35</v>
      </c>
    </row>
    <row r="154" spans="1:4" x14ac:dyDescent="0.25">
      <c r="A154" s="1" t="s">
        <v>34</v>
      </c>
      <c r="B154" s="1" t="s">
        <v>33</v>
      </c>
      <c r="C154" s="1" t="s">
        <v>41</v>
      </c>
      <c r="D154" s="1" t="s">
        <v>31</v>
      </c>
    </row>
    <row r="155" spans="1:4" x14ac:dyDescent="0.25">
      <c r="A155" s="1" t="s">
        <v>35</v>
      </c>
      <c r="B155" s="1" t="s">
        <v>35</v>
      </c>
      <c r="C155" s="1" t="s">
        <v>31</v>
      </c>
      <c r="D155" s="1" t="s">
        <v>45</v>
      </c>
    </row>
    <row r="156" spans="1:4" x14ac:dyDescent="0.25">
      <c r="A156" s="1" t="s">
        <v>35</v>
      </c>
      <c r="B156" s="1" t="s">
        <v>43</v>
      </c>
      <c r="C156" s="1" t="s">
        <v>32</v>
      </c>
      <c r="D156" s="1" t="s">
        <v>45</v>
      </c>
    </row>
    <row r="157" spans="1:4" x14ac:dyDescent="0.25">
      <c r="A157" s="1" t="s">
        <v>43</v>
      </c>
      <c r="B157" s="1" t="s">
        <v>46</v>
      </c>
      <c r="C157" s="1" t="s">
        <v>35</v>
      </c>
      <c r="D157" s="1" t="s">
        <v>43</v>
      </c>
    </row>
    <row r="158" spans="1:4" x14ac:dyDescent="0.25">
      <c r="A158" s="1" t="s">
        <v>36</v>
      </c>
      <c r="B158" s="1" t="s">
        <v>41</v>
      </c>
      <c r="C158" s="1" t="s">
        <v>31</v>
      </c>
      <c r="D158" s="1" t="s">
        <v>32</v>
      </c>
    </row>
    <row r="159" spans="1:4" x14ac:dyDescent="0.25">
      <c r="A159" s="1" t="s">
        <v>41</v>
      </c>
      <c r="B159" s="1" t="s">
        <v>22</v>
      </c>
      <c r="C159" s="1" t="s">
        <v>35</v>
      </c>
      <c r="D159" s="1" t="s">
        <v>42</v>
      </c>
    </row>
    <row r="160" spans="1:4" x14ac:dyDescent="0.25">
      <c r="A160" s="1" t="s">
        <v>46</v>
      </c>
      <c r="B160" s="1" t="s">
        <v>46</v>
      </c>
      <c r="C160" s="1" t="s">
        <v>39</v>
      </c>
      <c r="D160" s="1" t="s">
        <v>36</v>
      </c>
    </row>
    <row r="161" spans="1:4" x14ac:dyDescent="0.25">
      <c r="A161" s="1" t="s">
        <v>45</v>
      </c>
      <c r="B161" s="1" t="s">
        <v>47</v>
      </c>
      <c r="C161" s="1" t="s">
        <v>48</v>
      </c>
      <c r="D161" s="1" t="s">
        <v>31</v>
      </c>
    </row>
    <row r="162" spans="1:4" x14ac:dyDescent="0.25">
      <c r="A162" s="1" t="s">
        <v>30</v>
      </c>
      <c r="B162" s="1" t="s">
        <v>35</v>
      </c>
      <c r="C162" s="1" t="s">
        <v>32</v>
      </c>
      <c r="D162" s="1" t="s">
        <v>34</v>
      </c>
    </row>
    <row r="163" spans="1:4" x14ac:dyDescent="0.25">
      <c r="A163" s="1" t="s">
        <v>30</v>
      </c>
      <c r="B163" s="1" t="s">
        <v>46</v>
      </c>
      <c r="C163" s="1" t="s">
        <v>32</v>
      </c>
      <c r="D163" s="1" t="s">
        <v>39</v>
      </c>
    </row>
    <row r="164" spans="1:4" x14ac:dyDescent="0.25">
      <c r="A164" s="1" t="s">
        <v>38</v>
      </c>
      <c r="B164" s="1" t="s">
        <v>38</v>
      </c>
      <c r="C164" s="1" t="s">
        <v>46</v>
      </c>
      <c r="D164" s="1" t="s">
        <v>38</v>
      </c>
    </row>
    <row r="165" spans="1:4" x14ac:dyDescent="0.25">
      <c r="A165" s="1" t="s">
        <v>35</v>
      </c>
      <c r="B165" s="1" t="s">
        <v>45</v>
      </c>
      <c r="C165" s="1" t="s">
        <v>31</v>
      </c>
      <c r="D165" s="1" t="s">
        <v>32</v>
      </c>
    </row>
    <row r="166" spans="1:4" x14ac:dyDescent="0.25">
      <c r="A166" s="1" t="s">
        <v>45</v>
      </c>
      <c r="B166" s="1" t="s">
        <v>38</v>
      </c>
      <c r="C166" s="1" t="s">
        <v>39</v>
      </c>
      <c r="D166" s="1" t="s">
        <v>39</v>
      </c>
    </row>
    <row r="167" spans="1:4" x14ac:dyDescent="0.25">
      <c r="A167" s="1" t="s">
        <v>45</v>
      </c>
      <c r="B167" s="1" t="s">
        <v>31</v>
      </c>
      <c r="C167" s="1" t="s">
        <v>42</v>
      </c>
      <c r="D167" s="1" t="s">
        <v>32</v>
      </c>
    </row>
    <row r="168" spans="1:4" x14ac:dyDescent="0.25">
      <c r="A168" s="1" t="s">
        <v>33</v>
      </c>
      <c r="B168" s="1" t="s">
        <v>31</v>
      </c>
      <c r="C168" s="1" t="s">
        <v>34</v>
      </c>
      <c r="D168" s="1" t="s">
        <v>32</v>
      </c>
    </row>
    <row r="169" spans="1:4" x14ac:dyDescent="0.25">
      <c r="A169" s="1" t="s">
        <v>31</v>
      </c>
      <c r="B169" s="1" t="s">
        <v>22</v>
      </c>
      <c r="C169" s="1" t="s">
        <v>46</v>
      </c>
      <c r="D169" s="1" t="s">
        <v>38</v>
      </c>
    </row>
    <row r="170" spans="1:4" x14ac:dyDescent="0.25">
      <c r="A170" s="1" t="s">
        <v>34</v>
      </c>
      <c r="B170" s="1" t="s">
        <v>34</v>
      </c>
      <c r="C170" s="1" t="s">
        <v>41</v>
      </c>
      <c r="D170" s="1" t="s">
        <v>34</v>
      </c>
    </row>
    <row r="171" spans="1:4" x14ac:dyDescent="0.25">
      <c r="A171" s="1" t="s">
        <v>47</v>
      </c>
      <c r="B171" s="1" t="s">
        <v>45</v>
      </c>
      <c r="C171" s="1" t="s">
        <v>41</v>
      </c>
      <c r="D171" s="1" t="s">
        <v>32</v>
      </c>
    </row>
    <row r="172" spans="1:4" x14ac:dyDescent="0.25">
      <c r="A172" s="1" t="s">
        <v>35</v>
      </c>
      <c r="B172" s="1" t="s">
        <v>34</v>
      </c>
      <c r="C172" s="1" t="s">
        <v>32</v>
      </c>
      <c r="D172" s="1" t="s">
        <v>32</v>
      </c>
    </row>
    <row r="173" spans="1:4" x14ac:dyDescent="0.25">
      <c r="A173" s="1" t="s">
        <v>41</v>
      </c>
      <c r="B173" s="1" t="s">
        <v>38</v>
      </c>
      <c r="C173" s="1" t="s">
        <v>30</v>
      </c>
      <c r="D173" s="1" t="s">
        <v>45</v>
      </c>
    </row>
    <row r="174" spans="1:4" x14ac:dyDescent="0.25">
      <c r="A174" s="1" t="s">
        <v>32</v>
      </c>
      <c r="B174" s="1" t="s">
        <v>44</v>
      </c>
      <c r="C174" s="1" t="s">
        <v>35</v>
      </c>
      <c r="D174" s="1" t="s">
        <v>34</v>
      </c>
    </row>
    <row r="175" spans="1:4" x14ac:dyDescent="0.25">
      <c r="A175" s="1" t="s">
        <v>45</v>
      </c>
      <c r="B175" s="1" t="s">
        <v>32</v>
      </c>
      <c r="C175" s="1" t="s">
        <v>34</v>
      </c>
      <c r="D175" s="1" t="s">
        <v>39</v>
      </c>
    </row>
    <row r="176" spans="1:4" x14ac:dyDescent="0.25">
      <c r="A176" s="1" t="s">
        <v>38</v>
      </c>
      <c r="B176" s="1" t="s">
        <v>46</v>
      </c>
      <c r="C176" s="1" t="s">
        <v>32</v>
      </c>
      <c r="D176" s="1" t="s">
        <v>43</v>
      </c>
    </row>
    <row r="177" spans="1:4" x14ac:dyDescent="0.25">
      <c r="A177" s="1" t="s">
        <v>36</v>
      </c>
      <c r="B177" s="1" t="s">
        <v>40</v>
      </c>
      <c r="C177" s="1" t="s">
        <v>39</v>
      </c>
      <c r="D177" s="1" t="s">
        <v>34</v>
      </c>
    </row>
    <row r="178" spans="1:4" x14ac:dyDescent="0.25">
      <c r="A178" s="1" t="s">
        <v>36</v>
      </c>
      <c r="B178" s="1" t="s">
        <v>44</v>
      </c>
      <c r="C178" s="1" t="s">
        <v>31</v>
      </c>
      <c r="D178" s="1" t="s">
        <v>36</v>
      </c>
    </row>
    <row r="179" spans="1:4" x14ac:dyDescent="0.25">
      <c r="A179" s="1" t="s">
        <v>45</v>
      </c>
      <c r="B179" s="1" t="s">
        <v>35</v>
      </c>
      <c r="C179" s="1" t="s">
        <v>32</v>
      </c>
      <c r="D179" s="1" t="s">
        <v>31</v>
      </c>
    </row>
    <row r="180" spans="1:4" x14ac:dyDescent="0.25">
      <c r="A180" s="1" t="s">
        <v>45</v>
      </c>
      <c r="B180" s="1" t="s">
        <v>45</v>
      </c>
      <c r="C180" s="1" t="s">
        <v>32</v>
      </c>
      <c r="D180" s="1" t="s">
        <v>39</v>
      </c>
    </row>
    <row r="181" spans="1:4" x14ac:dyDescent="0.25">
      <c r="A181" s="1" t="s">
        <v>45</v>
      </c>
      <c r="B181" s="1" t="s">
        <v>41</v>
      </c>
      <c r="C181" s="1" t="s">
        <v>39</v>
      </c>
      <c r="D181" s="1" t="s">
        <v>48</v>
      </c>
    </row>
    <row r="182" spans="1:4" x14ac:dyDescent="0.25">
      <c r="A182" s="1" t="s">
        <v>37</v>
      </c>
      <c r="B182" s="1" t="s">
        <v>48</v>
      </c>
      <c r="C182" s="1" t="s">
        <v>31</v>
      </c>
      <c r="D182" s="1" t="s">
        <v>32</v>
      </c>
    </row>
    <row r="183" spans="1:4" x14ac:dyDescent="0.25">
      <c r="A183" s="1" t="s">
        <v>45</v>
      </c>
      <c r="B183" s="1" t="s">
        <v>30</v>
      </c>
      <c r="C183" s="1" t="s">
        <v>32</v>
      </c>
      <c r="D183" s="1" t="s">
        <v>32</v>
      </c>
    </row>
    <row r="184" spans="1:4" x14ac:dyDescent="0.25">
      <c r="A184" s="1" t="s">
        <v>38</v>
      </c>
      <c r="B184" s="1" t="s">
        <v>46</v>
      </c>
      <c r="C184" s="1" t="s">
        <v>34</v>
      </c>
      <c r="D184" s="1" t="s">
        <v>32</v>
      </c>
    </row>
    <row r="185" spans="1:4" x14ac:dyDescent="0.25">
      <c r="A185" s="1" t="s">
        <v>40</v>
      </c>
      <c r="B185" s="1" t="s">
        <v>35</v>
      </c>
      <c r="C185" s="1" t="s">
        <v>30</v>
      </c>
      <c r="D185" s="1" t="s">
        <v>46</v>
      </c>
    </row>
    <row r="186" spans="1:4" x14ac:dyDescent="0.25">
      <c r="A186" s="1" t="s">
        <v>45</v>
      </c>
      <c r="B186" s="1" t="s">
        <v>47</v>
      </c>
      <c r="C186" s="1" t="s">
        <v>32</v>
      </c>
      <c r="D186" s="1" t="s">
        <v>34</v>
      </c>
    </row>
    <row r="187" spans="1:4" x14ac:dyDescent="0.25">
      <c r="A187" s="1" t="s">
        <v>38</v>
      </c>
      <c r="B187" s="1" t="s">
        <v>30</v>
      </c>
      <c r="C187" s="1" t="s">
        <v>38</v>
      </c>
      <c r="D187" s="1" t="s">
        <v>30</v>
      </c>
    </row>
    <row r="188" spans="1:4" x14ac:dyDescent="0.25">
      <c r="A188" s="1" t="s">
        <v>35</v>
      </c>
      <c r="B188" s="1" t="s">
        <v>39</v>
      </c>
      <c r="C188" s="1" t="s">
        <v>42</v>
      </c>
      <c r="D188" s="1" t="s">
        <v>39</v>
      </c>
    </row>
    <row r="189" spans="1:4" x14ac:dyDescent="0.25">
      <c r="A189" s="1" t="s">
        <v>46</v>
      </c>
      <c r="B189" s="1" t="s">
        <v>35</v>
      </c>
      <c r="C189" s="1" t="s">
        <v>33</v>
      </c>
      <c r="D189" s="1" t="s">
        <v>32</v>
      </c>
    </row>
    <row r="190" spans="1:4" x14ac:dyDescent="0.25">
      <c r="A190" s="1" t="s">
        <v>22</v>
      </c>
      <c r="B190" s="1" t="s">
        <v>38</v>
      </c>
      <c r="C190" s="1" t="s">
        <v>31</v>
      </c>
      <c r="D190" s="1" t="s">
        <v>35</v>
      </c>
    </row>
    <row r="191" spans="1:4" x14ac:dyDescent="0.25">
      <c r="A191" s="1" t="s">
        <v>30</v>
      </c>
      <c r="B191" s="1" t="s">
        <v>38</v>
      </c>
      <c r="C191" s="1" t="s">
        <v>32</v>
      </c>
      <c r="D191" s="1" t="s">
        <v>31</v>
      </c>
    </row>
    <row r="192" spans="1:4" x14ac:dyDescent="0.25">
      <c r="A192" s="1" t="s">
        <v>34</v>
      </c>
      <c r="B192" s="1" t="s">
        <v>34</v>
      </c>
      <c r="C192" s="1" t="s">
        <v>34</v>
      </c>
      <c r="D192" s="1" t="s">
        <v>32</v>
      </c>
    </row>
    <row r="193" spans="1:4" x14ac:dyDescent="0.25">
      <c r="A193" s="1" t="s">
        <v>30</v>
      </c>
      <c r="B193" s="1" t="s">
        <v>41</v>
      </c>
      <c r="C193" s="1" t="s">
        <v>32</v>
      </c>
      <c r="D193" s="1" t="s">
        <v>38</v>
      </c>
    </row>
    <row r="194" spans="1:4" x14ac:dyDescent="0.25">
      <c r="A194" s="1" t="s">
        <v>34</v>
      </c>
      <c r="B194" s="1" t="s">
        <v>33</v>
      </c>
      <c r="C194" s="1" t="s">
        <v>32</v>
      </c>
      <c r="D194" s="1" t="s">
        <v>39</v>
      </c>
    </row>
    <row r="195" spans="1:4" x14ac:dyDescent="0.25">
      <c r="A195" s="1" t="s">
        <v>31</v>
      </c>
      <c r="B195" s="1" t="s">
        <v>45</v>
      </c>
      <c r="C195" s="1" t="s">
        <v>32</v>
      </c>
      <c r="D195" s="1" t="s">
        <v>34</v>
      </c>
    </row>
    <row r="196" spans="1:4" x14ac:dyDescent="0.25">
      <c r="A196" s="1" t="s">
        <v>44</v>
      </c>
      <c r="B196" s="1" t="s">
        <v>30</v>
      </c>
      <c r="C196" s="1" t="s">
        <v>34</v>
      </c>
      <c r="D196" s="1" t="s">
        <v>22</v>
      </c>
    </row>
    <row r="197" spans="1:4" x14ac:dyDescent="0.25">
      <c r="A197" s="1" t="s">
        <v>35</v>
      </c>
      <c r="B197" s="1" t="s">
        <v>33</v>
      </c>
      <c r="C197" s="1" t="s">
        <v>42</v>
      </c>
      <c r="D197" s="1" t="s">
        <v>32</v>
      </c>
    </row>
    <row r="198" spans="1:4" x14ac:dyDescent="0.25">
      <c r="A198" s="1" t="s">
        <v>45</v>
      </c>
      <c r="B198" s="1" t="s">
        <v>39</v>
      </c>
      <c r="C198" s="1" t="s">
        <v>45</v>
      </c>
      <c r="D198" s="1" t="s">
        <v>39</v>
      </c>
    </row>
    <row r="199" spans="1:4" x14ac:dyDescent="0.25">
      <c r="A199" s="1" t="s">
        <v>39</v>
      </c>
      <c r="B199" s="1" t="s">
        <v>35</v>
      </c>
      <c r="C199" s="1" t="s">
        <v>46</v>
      </c>
      <c r="D199" s="1" t="s">
        <v>39</v>
      </c>
    </row>
    <row r="200" spans="1:4" x14ac:dyDescent="0.25">
      <c r="A200" s="1" t="s">
        <v>34</v>
      </c>
      <c r="B200" s="1" t="s">
        <v>42</v>
      </c>
      <c r="C200" s="1" t="s">
        <v>45</v>
      </c>
      <c r="D200" s="1" t="s">
        <v>42</v>
      </c>
    </row>
    <row r="201" spans="1:4" x14ac:dyDescent="0.25">
      <c r="A201" s="1" t="s">
        <v>37</v>
      </c>
      <c r="B201" s="1" t="s">
        <v>39</v>
      </c>
      <c r="C201" s="1" t="s">
        <v>43</v>
      </c>
      <c r="D201" s="1" t="s">
        <v>38</v>
      </c>
    </row>
    <row r="202" spans="1:4" x14ac:dyDescent="0.25">
      <c r="A202" s="1" t="s">
        <v>46</v>
      </c>
      <c r="B202" s="1" t="s">
        <v>46</v>
      </c>
      <c r="C202" s="1" t="s">
        <v>43</v>
      </c>
      <c r="D202" s="1" t="s">
        <v>31</v>
      </c>
    </row>
    <row r="203" spans="1:4" x14ac:dyDescent="0.25">
      <c r="A203" s="1" t="s">
        <v>30</v>
      </c>
      <c r="B203" s="1" t="s">
        <v>39</v>
      </c>
      <c r="C203" s="1" t="s">
        <v>34</v>
      </c>
      <c r="D203" s="1" t="s">
        <v>35</v>
      </c>
    </row>
    <row r="204" spans="1:4" x14ac:dyDescent="0.25">
      <c r="A204" s="1" t="s">
        <v>38</v>
      </c>
      <c r="B204" s="1" t="s">
        <v>41</v>
      </c>
      <c r="C204" s="1" t="s">
        <v>42</v>
      </c>
      <c r="D204" s="1" t="s">
        <v>32</v>
      </c>
    </row>
    <row r="205" spans="1:4" x14ac:dyDescent="0.25">
      <c r="A205" s="1" t="s">
        <v>31</v>
      </c>
      <c r="B205" s="1" t="s">
        <v>41</v>
      </c>
      <c r="C205" s="1" t="s">
        <v>30</v>
      </c>
      <c r="D205" s="1" t="s">
        <v>31</v>
      </c>
    </row>
    <row r="206" spans="1:4" x14ac:dyDescent="0.25">
      <c r="A206" s="1" t="s">
        <v>33</v>
      </c>
      <c r="B206" s="1" t="s">
        <v>32</v>
      </c>
      <c r="C206" s="1" t="s">
        <v>34</v>
      </c>
      <c r="D206" s="1" t="s">
        <v>31</v>
      </c>
    </row>
    <row r="207" spans="1:4" x14ac:dyDescent="0.25">
      <c r="A207" s="1" t="s">
        <v>35</v>
      </c>
      <c r="B207" s="1" t="s">
        <v>44</v>
      </c>
      <c r="C207" s="1" t="s">
        <v>32</v>
      </c>
      <c r="D207" s="1" t="s">
        <v>34</v>
      </c>
    </row>
    <row r="208" spans="1:4" x14ac:dyDescent="0.25">
      <c r="A208" s="1" t="s">
        <v>31</v>
      </c>
      <c r="B208" s="1" t="s">
        <v>39</v>
      </c>
      <c r="C208" s="1" t="s">
        <v>31</v>
      </c>
      <c r="D208" s="1" t="s">
        <v>31</v>
      </c>
    </row>
    <row r="209" spans="1:4" x14ac:dyDescent="0.25">
      <c r="A209" s="1" t="s">
        <v>30</v>
      </c>
      <c r="B209" s="1" t="s">
        <v>42</v>
      </c>
      <c r="C209" s="1" t="s">
        <v>36</v>
      </c>
      <c r="D209" s="1" t="s">
        <v>39</v>
      </c>
    </row>
    <row r="210" spans="1:4" x14ac:dyDescent="0.25">
      <c r="A210" s="1" t="s">
        <v>31</v>
      </c>
      <c r="B210" s="1" t="s">
        <v>38</v>
      </c>
      <c r="C210" s="1" t="s">
        <v>31</v>
      </c>
      <c r="D210" s="1" t="s">
        <v>31</v>
      </c>
    </row>
    <row r="211" spans="1:4" x14ac:dyDescent="0.25">
      <c r="A211" s="1" t="s">
        <v>42</v>
      </c>
      <c r="B211" s="1" t="s">
        <v>45</v>
      </c>
      <c r="C211" s="1" t="s">
        <v>32</v>
      </c>
      <c r="D211" s="1" t="s">
        <v>32</v>
      </c>
    </row>
    <row r="212" spans="1:4" x14ac:dyDescent="0.25">
      <c r="A212" s="1" t="s">
        <v>34</v>
      </c>
      <c r="B212" s="1" t="s">
        <v>46</v>
      </c>
      <c r="C212" s="1" t="s">
        <v>42</v>
      </c>
      <c r="D212" s="1" t="s">
        <v>34</v>
      </c>
    </row>
    <row r="213" spans="1:4" x14ac:dyDescent="0.25">
      <c r="A213" s="1" t="s">
        <v>47</v>
      </c>
      <c r="B213" s="1" t="s">
        <v>46</v>
      </c>
      <c r="C213" s="1" t="s">
        <v>48</v>
      </c>
      <c r="D213" s="1" t="s">
        <v>32</v>
      </c>
    </row>
    <row r="214" spans="1:4" x14ac:dyDescent="0.25">
      <c r="A214" s="1" t="s">
        <v>35</v>
      </c>
      <c r="B214" s="1" t="s">
        <v>31</v>
      </c>
      <c r="C214" s="1" t="s">
        <v>36</v>
      </c>
      <c r="D214" s="1" t="s">
        <v>42</v>
      </c>
    </row>
    <row r="215" spans="1:4" x14ac:dyDescent="0.25">
      <c r="A215" s="1" t="s">
        <v>46</v>
      </c>
      <c r="B215" s="1" t="s">
        <v>32</v>
      </c>
      <c r="C215" s="1" t="s">
        <v>42</v>
      </c>
      <c r="D215" s="1" t="s">
        <v>39</v>
      </c>
    </row>
    <row r="216" spans="1:4" x14ac:dyDescent="0.25">
      <c r="A216" s="1" t="s">
        <v>39</v>
      </c>
      <c r="B216" s="1" t="s">
        <v>42</v>
      </c>
      <c r="C216" s="1" t="s">
        <v>32</v>
      </c>
      <c r="D216" s="1" t="s">
        <v>41</v>
      </c>
    </row>
    <row r="217" spans="1:4" x14ac:dyDescent="0.25">
      <c r="A217" s="1" t="s">
        <v>32</v>
      </c>
      <c r="B217" s="1" t="s">
        <v>35</v>
      </c>
      <c r="C217" s="1" t="s">
        <v>35</v>
      </c>
      <c r="D217" s="1" t="s">
        <v>35</v>
      </c>
    </row>
    <row r="218" spans="1:4" x14ac:dyDescent="0.25">
      <c r="A218" s="1" t="s">
        <v>38</v>
      </c>
      <c r="B218" s="1" t="s">
        <v>39</v>
      </c>
      <c r="C218" s="1" t="s">
        <v>42</v>
      </c>
      <c r="D218" s="1" t="s">
        <v>30</v>
      </c>
    </row>
    <row r="219" spans="1:4" x14ac:dyDescent="0.25">
      <c r="A219" s="1" t="s">
        <v>22</v>
      </c>
      <c r="B219" s="1" t="s">
        <v>44</v>
      </c>
      <c r="C219" s="1" t="s">
        <v>48</v>
      </c>
      <c r="D219" s="1" t="s">
        <v>34</v>
      </c>
    </row>
    <row r="220" spans="1:4" x14ac:dyDescent="0.25">
      <c r="A220" s="1" t="s">
        <v>33</v>
      </c>
      <c r="B220" s="1" t="s">
        <v>40</v>
      </c>
      <c r="C220" s="1" t="s">
        <v>32</v>
      </c>
      <c r="D220" s="1" t="s">
        <v>22</v>
      </c>
    </row>
    <row r="221" spans="1:4" x14ac:dyDescent="0.25">
      <c r="A221" s="1" t="s">
        <v>39</v>
      </c>
      <c r="B221" s="1" t="s">
        <v>32</v>
      </c>
      <c r="C221" s="1" t="s">
        <v>32</v>
      </c>
      <c r="D221" s="1" t="s">
        <v>35</v>
      </c>
    </row>
    <row r="222" spans="1:4" x14ac:dyDescent="0.25">
      <c r="A222" s="1" t="s">
        <v>36</v>
      </c>
      <c r="B222" s="1" t="s">
        <v>38</v>
      </c>
      <c r="C222" s="1" t="s">
        <v>32</v>
      </c>
      <c r="D222" s="1" t="s">
        <v>32</v>
      </c>
    </row>
    <row r="223" spans="1:4" x14ac:dyDescent="0.25">
      <c r="A223" s="1" t="s">
        <v>45</v>
      </c>
      <c r="B223" s="1" t="s">
        <v>45</v>
      </c>
      <c r="C223" s="1" t="s">
        <v>41</v>
      </c>
      <c r="D223" s="1" t="s">
        <v>41</v>
      </c>
    </row>
    <row r="224" spans="1:4" x14ac:dyDescent="0.25">
      <c r="A224" s="1" t="s">
        <v>37</v>
      </c>
      <c r="B224" s="1" t="s">
        <v>39</v>
      </c>
      <c r="C224" s="1" t="s">
        <v>42</v>
      </c>
      <c r="D224" s="1" t="s">
        <v>30</v>
      </c>
    </row>
    <row r="225" spans="1:4" x14ac:dyDescent="0.25">
      <c r="A225" s="1" t="s">
        <v>45</v>
      </c>
      <c r="B225" s="1" t="s">
        <v>44</v>
      </c>
      <c r="C225" s="1" t="s">
        <v>46</v>
      </c>
      <c r="D225" s="1" t="s">
        <v>37</v>
      </c>
    </row>
    <row r="226" spans="1:4" x14ac:dyDescent="0.25">
      <c r="A226" s="1" t="s">
        <v>38</v>
      </c>
      <c r="B226" s="1" t="s">
        <v>46</v>
      </c>
      <c r="C226" s="1" t="s">
        <v>34</v>
      </c>
      <c r="D226" s="1" t="s">
        <v>34</v>
      </c>
    </row>
    <row r="227" spans="1:4" x14ac:dyDescent="0.25">
      <c r="A227" s="1" t="s">
        <v>40</v>
      </c>
      <c r="B227" s="1" t="s">
        <v>39</v>
      </c>
      <c r="C227" s="1" t="s">
        <v>30</v>
      </c>
      <c r="D227" s="1" t="s">
        <v>42</v>
      </c>
    </row>
    <row r="228" spans="1:4" x14ac:dyDescent="0.25">
      <c r="A228" s="1" t="s">
        <v>32</v>
      </c>
      <c r="B228" s="1" t="s">
        <v>31</v>
      </c>
      <c r="C228" s="1" t="s">
        <v>35</v>
      </c>
      <c r="D228" s="1" t="s">
        <v>42</v>
      </c>
    </row>
    <row r="229" spans="1:4" x14ac:dyDescent="0.25">
      <c r="A229" s="1" t="s">
        <v>30</v>
      </c>
      <c r="B229" s="1" t="s">
        <v>46</v>
      </c>
      <c r="C229" s="1" t="s">
        <v>42</v>
      </c>
      <c r="D229" s="1" t="s">
        <v>46</v>
      </c>
    </row>
    <row r="230" spans="1:4" x14ac:dyDescent="0.25">
      <c r="A230" s="1" t="s">
        <v>35</v>
      </c>
      <c r="B230" s="1" t="s">
        <v>37</v>
      </c>
      <c r="C230" s="1" t="s">
        <v>34</v>
      </c>
      <c r="D230" s="1" t="s">
        <v>40</v>
      </c>
    </row>
    <row r="231" spans="1:4" x14ac:dyDescent="0.25">
      <c r="A231" s="1" t="s">
        <v>41</v>
      </c>
      <c r="B231" s="1" t="s">
        <v>46</v>
      </c>
      <c r="C231" s="1" t="s">
        <v>42</v>
      </c>
      <c r="D231" s="1" t="s">
        <v>32</v>
      </c>
    </row>
    <row r="232" spans="1:4" x14ac:dyDescent="0.25">
      <c r="A232" s="1" t="s">
        <v>43</v>
      </c>
      <c r="B232" s="1" t="s">
        <v>30</v>
      </c>
      <c r="C232" s="1" t="s">
        <v>32</v>
      </c>
      <c r="D232" s="1" t="s">
        <v>32</v>
      </c>
    </row>
    <row r="233" spans="1:4" x14ac:dyDescent="0.25">
      <c r="A233" s="1" t="s">
        <v>31</v>
      </c>
      <c r="B233" s="1" t="s">
        <v>32</v>
      </c>
      <c r="C233" s="1" t="s">
        <v>31</v>
      </c>
      <c r="D233" s="1" t="s">
        <v>32</v>
      </c>
    </row>
    <row r="234" spans="1:4" x14ac:dyDescent="0.25">
      <c r="A234" s="1" t="s">
        <v>41</v>
      </c>
      <c r="B234" s="1" t="s">
        <v>38</v>
      </c>
      <c r="C234" s="1" t="s">
        <v>32</v>
      </c>
      <c r="D234" s="1" t="s">
        <v>41</v>
      </c>
    </row>
    <row r="235" spans="1:4" x14ac:dyDescent="0.25">
      <c r="A235" s="1" t="s">
        <v>33</v>
      </c>
      <c r="B235" s="1" t="s">
        <v>42</v>
      </c>
      <c r="C235" s="1" t="s">
        <v>45</v>
      </c>
      <c r="D235" s="1" t="s">
        <v>31</v>
      </c>
    </row>
    <row r="236" spans="1:4" x14ac:dyDescent="0.25">
      <c r="A236" s="1" t="s">
        <v>37</v>
      </c>
      <c r="B236" s="1" t="s">
        <v>41</v>
      </c>
      <c r="C236" s="1" t="s">
        <v>39</v>
      </c>
      <c r="D236" s="1" t="s">
        <v>32</v>
      </c>
    </row>
    <row r="237" spans="1:4" x14ac:dyDescent="0.25">
      <c r="A237" s="1" t="s">
        <v>37</v>
      </c>
      <c r="B237" s="1" t="s">
        <v>34</v>
      </c>
      <c r="C237" s="1" t="s">
        <v>31</v>
      </c>
      <c r="D237" s="1" t="s">
        <v>34</v>
      </c>
    </row>
    <row r="238" spans="1:4" x14ac:dyDescent="0.25">
      <c r="A238" s="1" t="s">
        <v>44</v>
      </c>
      <c r="B238" s="1" t="s">
        <v>45</v>
      </c>
      <c r="C238" s="1" t="s">
        <v>32</v>
      </c>
      <c r="D238" s="1" t="s">
        <v>36</v>
      </c>
    </row>
    <row r="239" spans="1:4" x14ac:dyDescent="0.25">
      <c r="A239" s="1" t="s">
        <v>43</v>
      </c>
      <c r="B239" s="1" t="s">
        <v>45</v>
      </c>
      <c r="C239" s="1" t="s">
        <v>37</v>
      </c>
      <c r="D239" s="1" t="s">
        <v>31</v>
      </c>
    </row>
    <row r="240" spans="1:4" x14ac:dyDescent="0.25">
      <c r="A240" s="1" t="s">
        <v>38</v>
      </c>
      <c r="B240" s="1" t="s">
        <v>38</v>
      </c>
      <c r="C240" s="1" t="s">
        <v>31</v>
      </c>
      <c r="D240" s="1" t="s">
        <v>36</v>
      </c>
    </row>
    <row r="241" spans="1:4" x14ac:dyDescent="0.25">
      <c r="A241" s="1" t="s">
        <v>43</v>
      </c>
      <c r="B241" s="1" t="s">
        <v>37</v>
      </c>
      <c r="C241" s="1" t="s">
        <v>32</v>
      </c>
      <c r="D241" s="1" t="s">
        <v>41</v>
      </c>
    </row>
    <row r="242" spans="1:4" x14ac:dyDescent="0.25">
      <c r="A242" s="1" t="s">
        <v>31</v>
      </c>
      <c r="B242" s="1" t="s">
        <v>30</v>
      </c>
      <c r="C242" s="1" t="s">
        <v>39</v>
      </c>
      <c r="D242" s="1" t="s">
        <v>36</v>
      </c>
    </row>
    <row r="243" spans="1:4" x14ac:dyDescent="0.25">
      <c r="A243" s="1" t="s">
        <v>37</v>
      </c>
      <c r="B243" s="1" t="s">
        <v>39</v>
      </c>
      <c r="C243" s="1" t="s">
        <v>30</v>
      </c>
      <c r="D243" s="1" t="s">
        <v>48</v>
      </c>
    </row>
    <row r="244" spans="1:4" x14ac:dyDescent="0.25">
      <c r="A244" s="1" t="s">
        <v>31</v>
      </c>
      <c r="B244" s="1" t="s">
        <v>22</v>
      </c>
      <c r="C244" s="1" t="s">
        <v>46</v>
      </c>
      <c r="D244" s="1" t="s">
        <v>31</v>
      </c>
    </row>
    <row r="245" spans="1:4" x14ac:dyDescent="0.25">
      <c r="A245" s="1" t="s">
        <v>45</v>
      </c>
      <c r="B245" s="1" t="s">
        <v>30</v>
      </c>
      <c r="C245" s="1" t="s">
        <v>45</v>
      </c>
      <c r="D245" s="1" t="s">
        <v>36</v>
      </c>
    </row>
    <row r="246" spans="1:4" x14ac:dyDescent="0.25">
      <c r="A246" s="1" t="s">
        <v>38</v>
      </c>
      <c r="B246" s="1" t="s">
        <v>32</v>
      </c>
      <c r="C246" s="1" t="s">
        <v>42</v>
      </c>
      <c r="D246" s="1" t="s">
        <v>41</v>
      </c>
    </row>
    <row r="247" spans="1:4" x14ac:dyDescent="0.25">
      <c r="A247" s="1" t="s">
        <v>30</v>
      </c>
      <c r="B247" s="1" t="s">
        <v>47</v>
      </c>
      <c r="C247" s="1" t="s">
        <v>34</v>
      </c>
      <c r="D247" s="1" t="s">
        <v>30</v>
      </c>
    </row>
    <row r="248" spans="1:4" x14ac:dyDescent="0.25">
      <c r="A248" s="1" t="s">
        <v>35</v>
      </c>
      <c r="B248" s="1" t="s">
        <v>36</v>
      </c>
      <c r="C248" s="1" t="s">
        <v>32</v>
      </c>
      <c r="D248" s="1" t="s">
        <v>46</v>
      </c>
    </row>
    <row r="249" spans="1:4" x14ac:dyDescent="0.25">
      <c r="A249" s="1" t="s">
        <v>35</v>
      </c>
      <c r="B249" s="1" t="s">
        <v>46</v>
      </c>
      <c r="C249" s="1" t="s">
        <v>42</v>
      </c>
      <c r="D249" s="1" t="s">
        <v>32</v>
      </c>
    </row>
    <row r="250" spans="1:4" x14ac:dyDescent="0.25">
      <c r="A250" s="1" t="s">
        <v>31</v>
      </c>
      <c r="B250" s="1" t="s">
        <v>31</v>
      </c>
      <c r="C250" s="1" t="s">
        <v>30</v>
      </c>
      <c r="D250" s="1" t="s">
        <v>22</v>
      </c>
    </row>
    <row r="251" spans="1:4" x14ac:dyDescent="0.25">
      <c r="A251" s="1" t="s">
        <v>45</v>
      </c>
      <c r="B251" s="1" t="s">
        <v>34</v>
      </c>
      <c r="C251" s="1" t="s">
        <v>41</v>
      </c>
      <c r="D251" s="1" t="s">
        <v>35</v>
      </c>
    </row>
    <row r="252" spans="1:4" x14ac:dyDescent="0.25">
      <c r="A252" s="1" t="s">
        <v>33</v>
      </c>
      <c r="B252" s="1" t="s">
        <v>47</v>
      </c>
      <c r="C252" s="1" t="s">
        <v>35</v>
      </c>
      <c r="D252" s="1" t="s">
        <v>46</v>
      </c>
    </row>
    <row r="253" spans="1:4" x14ac:dyDescent="0.25">
      <c r="A253" s="1" t="s">
        <v>39</v>
      </c>
      <c r="B253" s="1" t="s">
        <v>35</v>
      </c>
      <c r="C253" s="1" t="s">
        <v>35</v>
      </c>
      <c r="D253" s="1" t="s">
        <v>45</v>
      </c>
    </row>
    <row r="254" spans="1:4" x14ac:dyDescent="0.25">
      <c r="A254" s="1" t="s">
        <v>34</v>
      </c>
      <c r="B254" s="1" t="s">
        <v>45</v>
      </c>
      <c r="C254" s="1" t="s">
        <v>34</v>
      </c>
      <c r="D254" s="1" t="s">
        <v>42</v>
      </c>
    </row>
    <row r="255" spans="1:4" x14ac:dyDescent="0.25">
      <c r="A255" s="1" t="s">
        <v>37</v>
      </c>
      <c r="B255" s="1" t="s">
        <v>42</v>
      </c>
      <c r="C255" s="1" t="s">
        <v>32</v>
      </c>
      <c r="D255" s="1" t="s">
        <v>44</v>
      </c>
    </row>
    <row r="256" spans="1:4" x14ac:dyDescent="0.25">
      <c r="A256" s="1" t="s">
        <v>35</v>
      </c>
      <c r="B256" s="1" t="s">
        <v>40</v>
      </c>
      <c r="C256" s="1" t="s">
        <v>35</v>
      </c>
      <c r="D256" s="1" t="s">
        <v>35</v>
      </c>
    </row>
    <row r="257" spans="1:4" x14ac:dyDescent="0.25">
      <c r="A257" s="1" t="s">
        <v>34</v>
      </c>
      <c r="B257" s="1" t="s">
        <v>34</v>
      </c>
      <c r="C257" s="1" t="s">
        <v>32</v>
      </c>
      <c r="D257" s="1" t="s">
        <v>34</v>
      </c>
    </row>
    <row r="258" spans="1:4" x14ac:dyDescent="0.25">
      <c r="A258" s="1" t="s">
        <v>39</v>
      </c>
      <c r="B258" s="1" t="s">
        <v>32</v>
      </c>
      <c r="C258" s="1" t="s">
        <v>34</v>
      </c>
      <c r="D258" s="1" t="s">
        <v>30</v>
      </c>
    </row>
    <row r="259" spans="1:4" x14ac:dyDescent="0.25">
      <c r="A259" s="1" t="s">
        <v>31</v>
      </c>
      <c r="B259" s="1" t="s">
        <v>32</v>
      </c>
      <c r="C259" s="1" t="s">
        <v>48</v>
      </c>
      <c r="D259" s="1" t="s">
        <v>31</v>
      </c>
    </row>
    <row r="260" spans="1:4" x14ac:dyDescent="0.25">
      <c r="A260" s="1" t="s">
        <v>35</v>
      </c>
      <c r="B260" s="1" t="s">
        <v>44</v>
      </c>
      <c r="C260" s="1" t="s">
        <v>31</v>
      </c>
      <c r="D260" s="1" t="s">
        <v>31</v>
      </c>
    </row>
    <row r="261" spans="1:4" x14ac:dyDescent="0.25">
      <c r="A261" s="1" t="s">
        <v>36</v>
      </c>
      <c r="B261" s="1" t="s">
        <v>34</v>
      </c>
      <c r="C261" s="1" t="s">
        <v>36</v>
      </c>
      <c r="D261" s="1" t="s">
        <v>34</v>
      </c>
    </row>
    <row r="262" spans="1:4" x14ac:dyDescent="0.25">
      <c r="A262" s="1" t="s">
        <v>32</v>
      </c>
      <c r="B262" s="1" t="s">
        <v>30</v>
      </c>
      <c r="C262" s="1" t="s">
        <v>42</v>
      </c>
      <c r="D262" s="1" t="s">
        <v>42</v>
      </c>
    </row>
    <row r="263" spans="1:4" x14ac:dyDescent="0.25">
      <c r="A263" s="1" t="s">
        <v>34</v>
      </c>
      <c r="B263" s="1" t="s">
        <v>34</v>
      </c>
      <c r="C263" s="1" t="s">
        <v>34</v>
      </c>
      <c r="D263" s="1" t="s">
        <v>35</v>
      </c>
    </row>
    <row r="264" spans="1:4" x14ac:dyDescent="0.25">
      <c r="A264" s="1" t="s">
        <v>22</v>
      </c>
      <c r="B264" s="1" t="s">
        <v>36</v>
      </c>
      <c r="C264" s="1" t="s">
        <v>42</v>
      </c>
      <c r="D264" s="1" t="s">
        <v>41</v>
      </c>
    </row>
    <row r="265" spans="1:4" x14ac:dyDescent="0.25">
      <c r="A265" s="1" t="s">
        <v>45</v>
      </c>
      <c r="B265" s="1" t="s">
        <v>32</v>
      </c>
      <c r="C265" s="1"/>
      <c r="D265" s="1" t="s">
        <v>39</v>
      </c>
    </row>
    <row r="266" spans="1:4" x14ac:dyDescent="0.25">
      <c r="A266" s="1" t="s">
        <v>48</v>
      </c>
      <c r="B266" s="1" t="s">
        <v>34</v>
      </c>
      <c r="C266" s="1"/>
      <c r="D266" s="1" t="s">
        <v>31</v>
      </c>
    </row>
    <row r="267" spans="1:4" x14ac:dyDescent="0.25">
      <c r="A267" s="1" t="s">
        <v>30</v>
      </c>
      <c r="B267" s="1" t="s">
        <v>35</v>
      </c>
      <c r="C267" s="1"/>
      <c r="D267" s="1" t="s">
        <v>36</v>
      </c>
    </row>
    <row r="268" spans="1:4" x14ac:dyDescent="0.25">
      <c r="A268" s="1" t="s">
        <v>40</v>
      </c>
      <c r="B268" s="1" t="s">
        <v>45</v>
      </c>
      <c r="C268" s="1"/>
      <c r="D268" s="1" t="s">
        <v>48</v>
      </c>
    </row>
    <row r="269" spans="1:4" x14ac:dyDescent="0.25">
      <c r="A269" s="1" t="s">
        <v>35</v>
      </c>
      <c r="B269" s="1" t="s">
        <v>30</v>
      </c>
      <c r="C269" s="1"/>
      <c r="D269" s="1" t="s">
        <v>32</v>
      </c>
    </row>
    <row r="270" spans="1:4" x14ac:dyDescent="0.25">
      <c r="A270" s="1" t="s">
        <v>43</v>
      </c>
      <c r="B270" s="1" t="s">
        <v>30</v>
      </c>
      <c r="C270" s="1"/>
      <c r="D270" s="1" t="s">
        <v>42</v>
      </c>
    </row>
    <row r="271" spans="1:4" x14ac:dyDescent="0.25">
      <c r="A271" s="1" t="s">
        <v>41</v>
      </c>
      <c r="B271" s="1" t="s">
        <v>38</v>
      </c>
      <c r="C271" s="1"/>
      <c r="D271" s="1" t="s">
        <v>34</v>
      </c>
    </row>
    <row r="272" spans="1:4" x14ac:dyDescent="0.25">
      <c r="A272" s="1" t="s">
        <v>41</v>
      </c>
      <c r="B272" s="1" t="s">
        <v>46</v>
      </c>
      <c r="C272" s="1"/>
      <c r="D272" s="1" t="s">
        <v>31</v>
      </c>
    </row>
    <row r="273" spans="1:4" x14ac:dyDescent="0.25">
      <c r="A273" s="1" t="s">
        <v>33</v>
      </c>
      <c r="B273" s="1" t="s">
        <v>34</v>
      </c>
      <c r="C273" s="1"/>
      <c r="D273" s="1" t="s">
        <v>31</v>
      </c>
    </row>
    <row r="274" spans="1:4" x14ac:dyDescent="0.25">
      <c r="A274" s="1" t="s">
        <v>38</v>
      </c>
      <c r="B274" s="1" t="s">
        <v>34</v>
      </c>
      <c r="C274" s="1"/>
      <c r="D274" s="1" t="s">
        <v>42</v>
      </c>
    </row>
    <row r="275" spans="1:4" x14ac:dyDescent="0.25">
      <c r="A275" s="1" t="s">
        <v>41</v>
      </c>
      <c r="B275" s="1" t="s">
        <v>44</v>
      </c>
      <c r="C275" s="1"/>
      <c r="D275" s="1" t="s">
        <v>43</v>
      </c>
    </row>
    <row r="276" spans="1:4" x14ac:dyDescent="0.25">
      <c r="A276" s="1" t="s">
        <v>45</v>
      </c>
      <c r="B276" s="1" t="s">
        <v>37</v>
      </c>
      <c r="C276" s="1"/>
      <c r="D276" s="1" t="s">
        <v>22</v>
      </c>
    </row>
    <row r="277" spans="1:4" x14ac:dyDescent="0.25">
      <c r="A277" s="1" t="s">
        <v>30</v>
      </c>
      <c r="B277" s="1" t="s">
        <v>37</v>
      </c>
      <c r="C277" s="1"/>
      <c r="D277" s="1" t="s">
        <v>36</v>
      </c>
    </row>
    <row r="278" spans="1:4" x14ac:dyDescent="0.25">
      <c r="A278" s="1" t="s">
        <v>46</v>
      </c>
      <c r="B278" s="1" t="s">
        <v>35</v>
      </c>
      <c r="C278" s="1"/>
      <c r="D278" s="1" t="s">
        <v>43</v>
      </c>
    </row>
    <row r="279" spans="1:4" x14ac:dyDescent="0.25">
      <c r="A279" s="1" t="s">
        <v>30</v>
      </c>
      <c r="B279" s="1" t="s">
        <v>44</v>
      </c>
      <c r="C279" s="1"/>
      <c r="D279" s="1" t="s">
        <v>31</v>
      </c>
    </row>
    <row r="280" spans="1:4" x14ac:dyDescent="0.25">
      <c r="A280" s="1" t="s">
        <v>37</v>
      </c>
      <c r="B280" s="1" t="s">
        <v>35</v>
      </c>
      <c r="C280" s="1"/>
      <c r="D280" s="1" t="s">
        <v>32</v>
      </c>
    </row>
    <row r="281" spans="1:4" x14ac:dyDescent="0.25">
      <c r="A281" s="1" t="s">
        <v>30</v>
      </c>
      <c r="B281" s="1" t="s">
        <v>45</v>
      </c>
      <c r="C281" s="1"/>
      <c r="D281" s="1" t="s">
        <v>32</v>
      </c>
    </row>
    <row r="282" spans="1:4" x14ac:dyDescent="0.25">
      <c r="A282" s="1" t="s">
        <v>42</v>
      </c>
      <c r="B282" s="1" t="s">
        <v>43</v>
      </c>
      <c r="C282" s="1"/>
      <c r="D282" s="1" t="s">
        <v>47</v>
      </c>
    </row>
    <row r="283" spans="1:4" x14ac:dyDescent="0.25">
      <c r="A283" s="1" t="s">
        <v>30</v>
      </c>
      <c r="B283" s="1" t="s">
        <v>41</v>
      </c>
      <c r="C283" s="1"/>
      <c r="D283" s="1" t="s">
        <v>37</v>
      </c>
    </row>
    <row r="284" spans="1:4" x14ac:dyDescent="0.25">
      <c r="A284" s="1" t="s">
        <v>38</v>
      </c>
      <c r="B284" s="1" t="s">
        <v>46</v>
      </c>
      <c r="C284" s="1"/>
      <c r="D284" s="1" t="s">
        <v>42</v>
      </c>
    </row>
    <row r="285" spans="1:4" x14ac:dyDescent="0.25">
      <c r="A285" s="1" t="s">
        <v>39</v>
      </c>
      <c r="B285" s="1" t="s">
        <v>48</v>
      </c>
      <c r="C285" s="1"/>
      <c r="D285" s="1" t="s">
        <v>30</v>
      </c>
    </row>
    <row r="286" spans="1:4" x14ac:dyDescent="0.25">
      <c r="A286" s="1" t="s">
        <v>34</v>
      </c>
      <c r="B286" s="1" t="s">
        <v>34</v>
      </c>
      <c r="C286" s="1"/>
      <c r="D286" s="1" t="s">
        <v>39</v>
      </c>
    </row>
    <row r="287" spans="1:4" x14ac:dyDescent="0.25">
      <c r="A287" s="1" t="s">
        <v>34</v>
      </c>
      <c r="B287" s="1" t="s">
        <v>33</v>
      </c>
      <c r="C287" s="1"/>
      <c r="D287" s="1" t="s">
        <v>37</v>
      </c>
    </row>
    <row r="288" spans="1:4" x14ac:dyDescent="0.25">
      <c r="A288" s="1" t="s">
        <v>34</v>
      </c>
      <c r="B288" s="1" t="s">
        <v>38</v>
      </c>
      <c r="C288" s="1"/>
      <c r="D288" s="1" t="s">
        <v>45</v>
      </c>
    </row>
    <row r="289" spans="1:4" x14ac:dyDescent="0.25">
      <c r="A289" s="1" t="s">
        <v>31</v>
      </c>
      <c r="B289" s="1" t="s">
        <v>42</v>
      </c>
      <c r="C289" s="1"/>
      <c r="D289" s="1" t="s">
        <v>46</v>
      </c>
    </row>
    <row r="290" spans="1:4" x14ac:dyDescent="0.25">
      <c r="A290" s="1" t="s">
        <v>38</v>
      </c>
      <c r="B290" s="1" t="s">
        <v>38</v>
      </c>
      <c r="C290" s="1"/>
      <c r="D290" s="1" t="s">
        <v>34</v>
      </c>
    </row>
    <row r="291" spans="1:4" x14ac:dyDescent="0.25">
      <c r="A291" s="1" t="s">
        <v>48</v>
      </c>
      <c r="B291" s="1" t="s">
        <v>35</v>
      </c>
      <c r="C291" s="1"/>
      <c r="D291" s="1" t="s">
        <v>45</v>
      </c>
    </row>
    <row r="292" spans="1:4" x14ac:dyDescent="0.25">
      <c r="A292" s="1" t="s">
        <v>35</v>
      </c>
      <c r="B292" s="1" t="s">
        <v>30</v>
      </c>
      <c r="C292" s="1"/>
      <c r="D292" s="1" t="s">
        <v>32</v>
      </c>
    </row>
    <row r="293" spans="1:4" x14ac:dyDescent="0.25">
      <c r="A293" s="1" t="s">
        <v>35</v>
      </c>
      <c r="B293" s="1" t="s">
        <v>30</v>
      </c>
      <c r="C293" s="1"/>
      <c r="D293" s="1" t="s">
        <v>30</v>
      </c>
    </row>
    <row r="294" spans="1:4" x14ac:dyDescent="0.25">
      <c r="A294" s="1" t="s">
        <v>37</v>
      </c>
      <c r="B294" s="1" t="s">
        <v>41</v>
      </c>
      <c r="C294" s="1"/>
      <c r="D294" s="1" t="s">
        <v>31</v>
      </c>
    </row>
    <row r="295" spans="1:4" x14ac:dyDescent="0.25">
      <c r="A295" s="1" t="s">
        <v>43</v>
      </c>
      <c r="B295" s="1" t="s">
        <v>39</v>
      </c>
      <c r="C295" s="1"/>
      <c r="D295" s="1" t="s">
        <v>31</v>
      </c>
    </row>
    <row r="296" spans="1:4" x14ac:dyDescent="0.25">
      <c r="A296" s="1" t="s">
        <v>33</v>
      </c>
      <c r="B296" s="1" t="s">
        <v>48</v>
      </c>
      <c r="C296" s="1"/>
      <c r="D296" s="1" t="s">
        <v>42</v>
      </c>
    </row>
    <row r="297" spans="1:4" x14ac:dyDescent="0.25">
      <c r="A297" s="1" t="s">
        <v>43</v>
      </c>
      <c r="B297" s="1" t="s">
        <v>37</v>
      </c>
      <c r="C297" s="1"/>
      <c r="D297" s="1" t="s">
        <v>43</v>
      </c>
    </row>
    <row r="298" spans="1:4" x14ac:dyDescent="0.25">
      <c r="A298" s="1" t="s">
        <v>46</v>
      </c>
      <c r="B298" s="1" t="s">
        <v>32</v>
      </c>
      <c r="C298" s="1"/>
      <c r="D298" s="1" t="s">
        <v>45</v>
      </c>
    </row>
    <row r="299" spans="1:4" x14ac:dyDescent="0.25">
      <c r="A299" s="1" t="s">
        <v>47</v>
      </c>
      <c r="B299" s="1" t="s">
        <v>41</v>
      </c>
      <c r="C299" s="1"/>
      <c r="D299" s="1" t="s">
        <v>35</v>
      </c>
    </row>
    <row r="300" spans="1:4" x14ac:dyDescent="0.25">
      <c r="A300" s="1" t="s">
        <v>35</v>
      </c>
      <c r="B300" s="1" t="s">
        <v>45</v>
      </c>
      <c r="C300" s="1"/>
      <c r="D300" s="1" t="s">
        <v>31</v>
      </c>
    </row>
    <row r="301" spans="1:4" x14ac:dyDescent="0.25">
      <c r="A301" s="1" t="s">
        <v>31</v>
      </c>
      <c r="B301" s="1" t="s">
        <v>30</v>
      </c>
      <c r="C301" s="1"/>
      <c r="D301" s="1" t="s">
        <v>46</v>
      </c>
    </row>
    <row r="302" spans="1:4" x14ac:dyDescent="0.25">
      <c r="A302" s="1" t="s">
        <v>34</v>
      </c>
      <c r="B302" s="1" t="s">
        <v>32</v>
      </c>
      <c r="C302" s="1"/>
      <c r="D302" s="1" t="s">
        <v>39</v>
      </c>
    </row>
    <row r="303" spans="1:4" x14ac:dyDescent="0.25">
      <c r="A303" s="1" t="s">
        <v>42</v>
      </c>
      <c r="B303" s="1" t="s">
        <v>31</v>
      </c>
      <c r="C303" s="1"/>
      <c r="D303" s="1" t="s">
        <v>31</v>
      </c>
    </row>
    <row r="304" spans="1:4" x14ac:dyDescent="0.25">
      <c r="A304" s="1" t="s">
        <v>31</v>
      </c>
      <c r="B304" s="1" t="s">
        <v>44</v>
      </c>
      <c r="C304" s="1"/>
      <c r="D304" s="1" t="s">
        <v>31</v>
      </c>
    </row>
    <row r="305" spans="1:4" x14ac:dyDescent="0.25">
      <c r="A305" s="1" t="s">
        <v>35</v>
      </c>
      <c r="B305" s="1" t="s">
        <v>37</v>
      </c>
      <c r="C305" s="1"/>
      <c r="D305" s="1" t="s">
        <v>42</v>
      </c>
    </row>
    <row r="306" spans="1:4" x14ac:dyDescent="0.25">
      <c r="A306" s="1" t="s">
        <v>39</v>
      </c>
      <c r="B306" s="1" t="s">
        <v>34</v>
      </c>
      <c r="C306" s="1"/>
      <c r="D306" s="1" t="s">
        <v>35</v>
      </c>
    </row>
    <row r="307" spans="1:4" x14ac:dyDescent="0.25">
      <c r="A307" s="1" t="s">
        <v>31</v>
      </c>
      <c r="B307" s="1" t="s">
        <v>40</v>
      </c>
      <c r="C307" s="1"/>
      <c r="D307" s="1" t="s">
        <v>32</v>
      </c>
    </row>
    <row r="308" spans="1:4" x14ac:dyDescent="0.25">
      <c r="A308" s="1" t="s">
        <v>38</v>
      </c>
      <c r="B308" s="1" t="s">
        <v>48</v>
      </c>
      <c r="C308" s="1"/>
      <c r="D308" s="1" t="s">
        <v>46</v>
      </c>
    </row>
    <row r="309" spans="1:4" x14ac:dyDescent="0.25">
      <c r="A309" s="1" t="s">
        <v>46</v>
      </c>
      <c r="B309" s="1" t="s">
        <v>34</v>
      </c>
      <c r="C309" s="1"/>
      <c r="D309" s="1" t="s">
        <v>30</v>
      </c>
    </row>
    <row r="310" spans="1:4" x14ac:dyDescent="0.25">
      <c r="A310" s="1" t="s">
        <v>34</v>
      </c>
      <c r="B310" s="1" t="s">
        <v>30</v>
      </c>
      <c r="C310" s="1"/>
      <c r="D310" s="1" t="s">
        <v>32</v>
      </c>
    </row>
    <row r="311" spans="1:4" x14ac:dyDescent="0.25">
      <c r="A311" s="1" t="s">
        <v>31</v>
      </c>
      <c r="B311" s="1" t="s">
        <v>22</v>
      </c>
      <c r="C311" s="1"/>
      <c r="D311" s="1" t="s">
        <v>30</v>
      </c>
    </row>
    <row r="312" spans="1:4" x14ac:dyDescent="0.25">
      <c r="A312" s="1" t="s">
        <v>38</v>
      </c>
      <c r="B312" s="1" t="s">
        <v>37</v>
      </c>
      <c r="C312" s="1"/>
      <c r="D312" s="1" t="s">
        <v>39</v>
      </c>
    </row>
    <row r="313" spans="1:4" x14ac:dyDescent="0.25">
      <c r="A313" s="1" t="s">
        <v>40</v>
      </c>
      <c r="B313" s="1" t="s">
        <v>30</v>
      </c>
      <c r="C313" s="1"/>
      <c r="D313" s="1" t="s">
        <v>39</v>
      </c>
    </row>
    <row r="314" spans="1:4" x14ac:dyDescent="0.25">
      <c r="A314" s="1" t="s">
        <v>35</v>
      </c>
      <c r="B314" s="1" t="s">
        <v>30</v>
      </c>
      <c r="C314" s="1"/>
      <c r="D314" s="1" t="s">
        <v>34</v>
      </c>
    </row>
    <row r="315" spans="1:4" x14ac:dyDescent="0.25">
      <c r="A315" s="1" t="s">
        <v>43</v>
      </c>
      <c r="B315" s="1" t="s">
        <v>42</v>
      </c>
      <c r="C315" s="1"/>
      <c r="D315" s="1" t="s">
        <v>34</v>
      </c>
    </row>
    <row r="316" spans="1:4" x14ac:dyDescent="0.25">
      <c r="A316" s="1" t="s">
        <v>39</v>
      </c>
      <c r="B316" s="1" t="s">
        <v>32</v>
      </c>
      <c r="C316" s="1"/>
      <c r="D316" s="1" t="s">
        <v>42</v>
      </c>
    </row>
    <row r="317" spans="1:4" x14ac:dyDescent="0.25">
      <c r="A317" s="1" t="s">
        <v>46</v>
      </c>
      <c r="B317" s="1" t="s">
        <v>30</v>
      </c>
      <c r="C317" s="1"/>
      <c r="D317" s="1" t="s">
        <v>31</v>
      </c>
    </row>
    <row r="318" spans="1:4" x14ac:dyDescent="0.25">
      <c r="A318" s="1" t="s">
        <v>30</v>
      </c>
      <c r="B318" s="1" t="s">
        <v>36</v>
      </c>
      <c r="C318" s="1"/>
      <c r="D318" s="1" t="s">
        <v>42</v>
      </c>
    </row>
    <row r="319" spans="1:4" x14ac:dyDescent="0.25">
      <c r="A319" s="1" t="s">
        <v>33</v>
      </c>
      <c r="B319" s="1" t="s">
        <v>39</v>
      </c>
      <c r="C319" s="1"/>
      <c r="D319" s="1" t="s">
        <v>45</v>
      </c>
    </row>
    <row r="320" spans="1:4" x14ac:dyDescent="0.25">
      <c r="A320" s="1" t="s">
        <v>34</v>
      </c>
      <c r="B320" s="1" t="s">
        <v>38</v>
      </c>
      <c r="C320" s="1"/>
      <c r="D320" s="1" t="s">
        <v>34</v>
      </c>
    </row>
    <row r="321" spans="1:4" x14ac:dyDescent="0.25">
      <c r="A321" s="1" t="s">
        <v>38</v>
      </c>
      <c r="B321" s="1" t="s">
        <v>22</v>
      </c>
      <c r="C321" s="1"/>
      <c r="D321" s="1" t="s">
        <v>32</v>
      </c>
    </row>
    <row r="322" spans="1:4" x14ac:dyDescent="0.25">
      <c r="A322" s="1" t="s">
        <v>46</v>
      </c>
      <c r="B322" s="1" t="s">
        <v>38</v>
      </c>
      <c r="C322" s="1"/>
      <c r="D322" s="1" t="s">
        <v>41</v>
      </c>
    </row>
    <row r="323" spans="1:4" x14ac:dyDescent="0.25">
      <c r="A323" s="1" t="s">
        <v>45</v>
      </c>
      <c r="B323" s="1" t="s">
        <v>48</v>
      </c>
      <c r="C323" s="1"/>
      <c r="D323" s="1" t="s">
        <v>32</v>
      </c>
    </row>
    <row r="324" spans="1:4" x14ac:dyDescent="0.25">
      <c r="A324" s="1" t="s">
        <v>35</v>
      </c>
      <c r="B324" s="1" t="s">
        <v>22</v>
      </c>
      <c r="C324" s="1"/>
      <c r="D324" s="1" t="s">
        <v>31</v>
      </c>
    </row>
    <row r="325" spans="1:4" x14ac:dyDescent="0.25">
      <c r="A325" s="1" t="s">
        <v>35</v>
      </c>
      <c r="B325" s="1" t="s">
        <v>44</v>
      </c>
      <c r="C325" s="1"/>
      <c r="D325" s="1" t="s">
        <v>33</v>
      </c>
    </row>
    <row r="326" spans="1:4" x14ac:dyDescent="0.25">
      <c r="A326" s="1" t="s">
        <v>38</v>
      </c>
      <c r="B326" s="1" t="s">
        <v>42</v>
      </c>
      <c r="C326" s="1"/>
      <c r="D326" s="1" t="s">
        <v>39</v>
      </c>
    </row>
    <row r="327" spans="1:4" x14ac:dyDescent="0.25">
      <c r="A327" s="1" t="s">
        <v>22</v>
      </c>
      <c r="B327" s="1" t="s">
        <v>39</v>
      </c>
      <c r="C327" s="1"/>
      <c r="D327" s="1" t="s">
        <v>38</v>
      </c>
    </row>
    <row r="328" spans="1:4" x14ac:dyDescent="0.25">
      <c r="A328" s="1" t="s">
        <v>31</v>
      </c>
      <c r="B328" s="1" t="s">
        <v>38</v>
      </c>
      <c r="C328" s="1"/>
      <c r="D328" s="1" t="s">
        <v>22</v>
      </c>
    </row>
    <row r="329" spans="1:4" x14ac:dyDescent="0.25">
      <c r="A329" s="1" t="s">
        <v>46</v>
      </c>
      <c r="B329" s="1" t="s">
        <v>34</v>
      </c>
      <c r="C329" s="1"/>
      <c r="D329" s="1" t="s">
        <v>43</v>
      </c>
    </row>
    <row r="330" spans="1:4" x14ac:dyDescent="0.25">
      <c r="A330" s="1" t="s">
        <v>31</v>
      </c>
      <c r="B330" s="1" t="s">
        <v>32</v>
      </c>
      <c r="C330" s="1"/>
      <c r="D330" s="1" t="s">
        <v>32</v>
      </c>
    </row>
    <row r="331" spans="1:4" x14ac:dyDescent="0.25">
      <c r="A331" s="1" t="s">
        <v>45</v>
      </c>
      <c r="B331" s="1" t="s">
        <v>46</v>
      </c>
      <c r="C331" s="1"/>
      <c r="D331" s="1" t="s">
        <v>31</v>
      </c>
    </row>
    <row r="332" spans="1:4" x14ac:dyDescent="0.25">
      <c r="A332" s="1" t="s">
        <v>38</v>
      </c>
      <c r="B332" s="1" t="s">
        <v>43</v>
      </c>
      <c r="C332" s="1"/>
      <c r="D332" s="1" t="s">
        <v>34</v>
      </c>
    </row>
    <row r="333" spans="1:4" x14ac:dyDescent="0.25">
      <c r="A333" s="1" t="s">
        <v>30</v>
      </c>
      <c r="B333" s="1" t="s">
        <v>42</v>
      </c>
      <c r="C333" s="1"/>
      <c r="D333" s="1" t="s">
        <v>32</v>
      </c>
    </row>
    <row r="334" spans="1:4" x14ac:dyDescent="0.25">
      <c r="A334" s="1" t="s">
        <v>47</v>
      </c>
      <c r="B334" s="1" t="s">
        <v>33</v>
      </c>
      <c r="C334" s="1"/>
      <c r="D334" s="1" t="s">
        <v>42</v>
      </c>
    </row>
    <row r="335" spans="1:4" x14ac:dyDescent="0.25">
      <c r="A335" s="1" t="s">
        <v>35</v>
      </c>
      <c r="B335" s="1" t="s">
        <v>32</v>
      </c>
      <c r="C335" s="1"/>
      <c r="D335" s="1" t="s">
        <v>36</v>
      </c>
    </row>
    <row r="336" spans="1:4" x14ac:dyDescent="0.25">
      <c r="A336" s="1" t="s">
        <v>30</v>
      </c>
      <c r="B336" s="1" t="s">
        <v>41</v>
      </c>
      <c r="C336" s="1"/>
      <c r="D336" s="1" t="s">
        <v>34</v>
      </c>
    </row>
    <row r="337" spans="1:4" x14ac:dyDescent="0.25">
      <c r="A337" s="1" t="s">
        <v>37</v>
      </c>
      <c r="B337" s="1" t="s">
        <v>31</v>
      </c>
      <c r="C337" s="1"/>
      <c r="D337" s="1" t="s">
        <v>36</v>
      </c>
    </row>
    <row r="338" spans="1:4" x14ac:dyDescent="0.25">
      <c r="A338" s="1" t="s">
        <v>34</v>
      </c>
      <c r="B338" s="1" t="s">
        <v>39</v>
      </c>
      <c r="C338" s="1"/>
      <c r="D338" s="1" t="s">
        <v>32</v>
      </c>
    </row>
    <row r="339" spans="1:4" x14ac:dyDescent="0.25">
      <c r="A339" s="1" t="s">
        <v>42</v>
      </c>
      <c r="B339" s="1" t="s">
        <v>37</v>
      </c>
      <c r="C339" s="1"/>
      <c r="D339" s="1" t="s">
        <v>34</v>
      </c>
    </row>
    <row r="340" spans="1:4" x14ac:dyDescent="0.25">
      <c r="A340" s="1" t="s">
        <v>41</v>
      </c>
      <c r="B340" s="1" t="s">
        <v>48</v>
      </c>
      <c r="C340" s="1"/>
      <c r="D340" s="1" t="s">
        <v>32</v>
      </c>
    </row>
    <row r="341" spans="1:4" x14ac:dyDescent="0.25">
      <c r="A341" s="1" t="s">
        <v>47</v>
      </c>
      <c r="B341" s="1" t="s">
        <v>42</v>
      </c>
      <c r="C341" s="1"/>
      <c r="D341" s="1" t="s">
        <v>35</v>
      </c>
    </row>
    <row r="342" spans="1:4" x14ac:dyDescent="0.25">
      <c r="A342" s="1" t="s">
        <v>43</v>
      </c>
      <c r="B342" s="1" t="s">
        <v>34</v>
      </c>
      <c r="C342" s="1"/>
      <c r="D342" s="1" t="s">
        <v>42</v>
      </c>
    </row>
    <row r="343" spans="1:4" x14ac:dyDescent="0.25">
      <c r="A343" s="1"/>
      <c r="B343" s="1" t="s">
        <v>40</v>
      </c>
      <c r="C343" s="1"/>
      <c r="D343" s="1" t="s">
        <v>36</v>
      </c>
    </row>
    <row r="344" spans="1:4" x14ac:dyDescent="0.25">
      <c r="A344" s="1"/>
      <c r="B344" s="1" t="s">
        <v>32</v>
      </c>
      <c r="C344" s="1"/>
      <c r="D344" s="1" t="s">
        <v>43</v>
      </c>
    </row>
    <row r="345" spans="1:4" x14ac:dyDescent="0.25">
      <c r="A345" s="1"/>
      <c r="B345" s="1" t="s">
        <v>39</v>
      </c>
      <c r="C345" s="1"/>
      <c r="D345" s="1" t="s">
        <v>31</v>
      </c>
    </row>
    <row r="346" spans="1:4" x14ac:dyDescent="0.25">
      <c r="A346" s="1"/>
      <c r="B346" s="1" t="s">
        <v>39</v>
      </c>
      <c r="C346" s="1"/>
      <c r="D346" s="1" t="s">
        <v>35</v>
      </c>
    </row>
    <row r="347" spans="1:4" x14ac:dyDescent="0.25">
      <c r="A347" s="1"/>
      <c r="B347" s="1" t="s">
        <v>33</v>
      </c>
      <c r="C347" s="1"/>
      <c r="D347" s="1" t="s">
        <v>41</v>
      </c>
    </row>
    <row r="348" spans="1:4" x14ac:dyDescent="0.25">
      <c r="A348" s="1"/>
      <c r="B348" s="1" t="s">
        <v>32</v>
      </c>
      <c r="C348" s="1"/>
      <c r="D348" s="1" t="s">
        <v>30</v>
      </c>
    </row>
    <row r="349" spans="1:4" x14ac:dyDescent="0.25">
      <c r="A349" s="1"/>
      <c r="B349" s="1" t="s">
        <v>44</v>
      </c>
      <c r="C349" s="1"/>
      <c r="D349" s="1" t="s">
        <v>31</v>
      </c>
    </row>
    <row r="350" spans="1:4" x14ac:dyDescent="0.25">
      <c r="A350" s="1"/>
      <c r="B350" s="1" t="s">
        <v>41</v>
      </c>
      <c r="C350" s="1"/>
      <c r="D350" s="1" t="s">
        <v>22</v>
      </c>
    </row>
    <row r="351" spans="1:4" x14ac:dyDescent="0.25">
      <c r="A351" s="1"/>
      <c r="B351" s="1" t="s">
        <v>31</v>
      </c>
      <c r="C351" s="1"/>
      <c r="D351" s="1" t="s">
        <v>36</v>
      </c>
    </row>
    <row r="352" spans="1:4" x14ac:dyDescent="0.25">
      <c r="A352" s="1"/>
      <c r="B352" s="1" t="s">
        <v>22</v>
      </c>
      <c r="C352" s="1"/>
      <c r="D352" s="1" t="s">
        <v>35</v>
      </c>
    </row>
    <row r="353" spans="1:4" x14ac:dyDescent="0.25">
      <c r="A353" s="1"/>
      <c r="B353" s="1" t="s">
        <v>45</v>
      </c>
      <c r="C353" s="1"/>
      <c r="D353" s="1" t="s">
        <v>45</v>
      </c>
    </row>
    <row r="354" spans="1:4" x14ac:dyDescent="0.25">
      <c r="A354" s="1"/>
      <c r="B354" s="1" t="s">
        <v>46</v>
      </c>
      <c r="C354" s="1"/>
      <c r="D354" s="1" t="s">
        <v>41</v>
      </c>
    </row>
    <row r="355" spans="1:4" x14ac:dyDescent="0.25">
      <c r="A355" s="1"/>
      <c r="B355" s="1" t="s">
        <v>44</v>
      </c>
      <c r="C355" s="1"/>
      <c r="D355" s="1" t="s">
        <v>43</v>
      </c>
    </row>
    <row r="356" spans="1:4" x14ac:dyDescent="0.25">
      <c r="A356" s="1"/>
      <c r="B356" s="1" t="s">
        <v>39</v>
      </c>
      <c r="C356" s="1"/>
      <c r="D356" s="1" t="s">
        <v>42</v>
      </c>
    </row>
    <row r="357" spans="1:4" x14ac:dyDescent="0.25">
      <c r="A357" s="1"/>
      <c r="B357" s="1" t="s">
        <v>42</v>
      </c>
      <c r="C357" s="1"/>
      <c r="D357" s="1" t="s">
        <v>34</v>
      </c>
    </row>
    <row r="358" spans="1:4" x14ac:dyDescent="0.25">
      <c r="A358" s="1"/>
      <c r="B358" s="1" t="s">
        <v>30</v>
      </c>
      <c r="C358" s="1"/>
      <c r="D358" s="1" t="s">
        <v>32</v>
      </c>
    </row>
    <row r="359" spans="1:4" x14ac:dyDescent="0.25">
      <c r="A359" s="1"/>
      <c r="B359" s="1" t="s">
        <v>35</v>
      </c>
      <c r="C359" s="1"/>
      <c r="D359" s="1" t="s">
        <v>43</v>
      </c>
    </row>
    <row r="360" spans="1:4" x14ac:dyDescent="0.25">
      <c r="A360" s="1"/>
      <c r="B360" s="1" t="s">
        <v>34</v>
      </c>
      <c r="C360" s="1"/>
      <c r="D360" s="1" t="s">
        <v>32</v>
      </c>
    </row>
    <row r="361" spans="1:4" x14ac:dyDescent="0.25">
      <c r="A361" s="1"/>
      <c r="B361" s="1" t="s">
        <v>37</v>
      </c>
      <c r="C361" s="1"/>
      <c r="D361" s="1" t="s">
        <v>34</v>
      </c>
    </row>
    <row r="362" spans="1:4" x14ac:dyDescent="0.25">
      <c r="A362" s="1"/>
      <c r="B362" s="1" t="s">
        <v>36</v>
      </c>
      <c r="C362" s="1"/>
      <c r="D362" s="1" t="s">
        <v>39</v>
      </c>
    </row>
    <row r="363" spans="1:4" x14ac:dyDescent="0.25">
      <c r="A363" s="1"/>
      <c r="B363" s="1" t="s">
        <v>32</v>
      </c>
      <c r="C363" s="1"/>
      <c r="D363" s="1" t="s">
        <v>45</v>
      </c>
    </row>
    <row r="364" spans="1:4" x14ac:dyDescent="0.25">
      <c r="A364" s="1"/>
      <c r="B364" s="1" t="s">
        <v>35</v>
      </c>
      <c r="C364" s="1"/>
      <c r="D364" s="1" t="s">
        <v>45</v>
      </c>
    </row>
    <row r="365" spans="1:4" x14ac:dyDescent="0.25">
      <c r="A365" s="1"/>
      <c r="B365" s="1" t="s">
        <v>34</v>
      </c>
      <c r="C365" s="1"/>
      <c r="D365" s="1" t="s">
        <v>42</v>
      </c>
    </row>
    <row r="366" spans="1:4" x14ac:dyDescent="0.25">
      <c r="A366" s="1"/>
      <c r="B366" s="1" t="s">
        <v>48</v>
      </c>
      <c r="C366" s="1"/>
      <c r="D366" s="1" t="s">
        <v>30</v>
      </c>
    </row>
    <row r="367" spans="1:4" x14ac:dyDescent="0.25">
      <c r="A367" s="1"/>
      <c r="B367" s="1" t="s">
        <v>44</v>
      </c>
      <c r="C367" s="1"/>
      <c r="D367" s="1" t="s">
        <v>32</v>
      </c>
    </row>
    <row r="368" spans="1:4" x14ac:dyDescent="0.25">
      <c r="A368" s="1"/>
      <c r="B368" s="1" t="s">
        <v>44</v>
      </c>
      <c r="C368" s="1"/>
      <c r="D368" s="1" t="s">
        <v>22</v>
      </c>
    </row>
    <row r="369" spans="1:4" x14ac:dyDescent="0.25">
      <c r="A369" s="1"/>
      <c r="B369" s="1" t="s">
        <v>45</v>
      </c>
      <c r="C369" s="1"/>
      <c r="D369" s="1" t="s">
        <v>31</v>
      </c>
    </row>
    <row r="370" spans="1:4" x14ac:dyDescent="0.25">
      <c r="A370" s="1"/>
      <c r="B370" s="1" t="s">
        <v>31</v>
      </c>
      <c r="C370" s="1"/>
      <c r="D370" s="1" t="s">
        <v>39</v>
      </c>
    </row>
    <row r="371" spans="1:4" x14ac:dyDescent="0.25">
      <c r="A371" s="1"/>
      <c r="B371" s="1" t="s">
        <v>38</v>
      </c>
      <c r="C371" s="1"/>
      <c r="D371" s="1" t="s">
        <v>48</v>
      </c>
    </row>
    <row r="372" spans="1:4" x14ac:dyDescent="0.25">
      <c r="A372" s="1"/>
      <c r="B372" s="1" t="s">
        <v>44</v>
      </c>
      <c r="C372" s="1"/>
      <c r="D372" s="1" t="s">
        <v>34</v>
      </c>
    </row>
    <row r="373" spans="1:4" x14ac:dyDescent="0.25">
      <c r="A373" s="1"/>
      <c r="B373" s="1" t="s">
        <v>35</v>
      </c>
      <c r="C373" s="1"/>
      <c r="D373" s="1" t="s">
        <v>42</v>
      </c>
    </row>
    <row r="374" spans="1:4" x14ac:dyDescent="0.25">
      <c r="A374" s="1"/>
      <c r="B374" s="1" t="s">
        <v>44</v>
      </c>
      <c r="C374" s="1"/>
      <c r="D374" s="1" t="s">
        <v>32</v>
      </c>
    </row>
    <row r="375" spans="1:4" x14ac:dyDescent="0.25">
      <c r="A375" s="1"/>
      <c r="B375" s="1" t="s">
        <v>31</v>
      </c>
      <c r="C375" s="1"/>
      <c r="D375" s="1" t="s">
        <v>48</v>
      </c>
    </row>
    <row r="376" spans="1:4" x14ac:dyDescent="0.25">
      <c r="A376" s="1"/>
      <c r="B376" s="1" t="s">
        <v>34</v>
      </c>
      <c r="C376" s="1"/>
      <c r="D376" s="1" t="s">
        <v>36</v>
      </c>
    </row>
    <row r="377" spans="1:4" x14ac:dyDescent="0.25">
      <c r="A377" s="1"/>
      <c r="B377" s="1" t="s">
        <v>45</v>
      </c>
      <c r="C377" s="1"/>
      <c r="D377" s="1" t="s">
        <v>35</v>
      </c>
    </row>
    <row r="378" spans="1:4" x14ac:dyDescent="0.25">
      <c r="A378" s="1"/>
      <c r="B378" s="1" t="s">
        <v>31</v>
      </c>
      <c r="C378" s="1"/>
      <c r="D378" s="1" t="s">
        <v>34</v>
      </c>
    </row>
    <row r="379" spans="1:4" x14ac:dyDescent="0.25">
      <c r="A379" s="1"/>
      <c r="B379" s="1" t="s">
        <v>32</v>
      </c>
      <c r="C379" s="1"/>
      <c r="D379" s="1" t="s">
        <v>34</v>
      </c>
    </row>
    <row r="380" spans="1:4" x14ac:dyDescent="0.25">
      <c r="A380" s="1"/>
      <c r="B380" s="1" t="s">
        <v>32</v>
      </c>
      <c r="C380" s="1"/>
      <c r="D380" s="1" t="s">
        <v>43</v>
      </c>
    </row>
    <row r="381" spans="1:4" x14ac:dyDescent="0.25">
      <c r="A381" s="1"/>
      <c r="B381" s="1" t="s">
        <v>47</v>
      </c>
      <c r="C381" s="1"/>
      <c r="D381" s="1" t="s">
        <v>46</v>
      </c>
    </row>
    <row r="382" spans="1:4" x14ac:dyDescent="0.25">
      <c r="A382" s="1"/>
      <c r="B382" s="1" t="s">
        <v>34</v>
      </c>
      <c r="C382" s="1"/>
      <c r="D382" s="1" t="s">
        <v>42</v>
      </c>
    </row>
    <row r="383" spans="1:4" x14ac:dyDescent="0.25">
      <c r="A383" s="1"/>
      <c r="B383" s="1" t="s">
        <v>38</v>
      </c>
      <c r="C383" s="1"/>
      <c r="D383" s="1" t="s">
        <v>22</v>
      </c>
    </row>
    <row r="384" spans="1:4" x14ac:dyDescent="0.25">
      <c r="A384" s="1"/>
      <c r="B384" s="1" t="s">
        <v>38</v>
      </c>
      <c r="C384" s="1"/>
      <c r="D384" s="1" t="s">
        <v>31</v>
      </c>
    </row>
    <row r="385" spans="1:4" x14ac:dyDescent="0.25">
      <c r="A385" s="1"/>
      <c r="B385" s="1" t="s">
        <v>39</v>
      </c>
      <c r="C385" s="1"/>
      <c r="D385" s="1" t="s">
        <v>34</v>
      </c>
    </row>
    <row r="386" spans="1:4" x14ac:dyDescent="0.25">
      <c r="A386" s="1"/>
      <c r="B386" s="1" t="s">
        <v>35</v>
      </c>
      <c r="C386" s="1"/>
      <c r="D386" s="1" t="s">
        <v>35</v>
      </c>
    </row>
    <row r="387" spans="1:4" x14ac:dyDescent="0.25">
      <c r="A387" s="1"/>
      <c r="B387" s="1" t="s">
        <v>31</v>
      </c>
      <c r="C387" s="1"/>
      <c r="D387" s="1" t="s">
        <v>41</v>
      </c>
    </row>
    <row r="388" spans="1:4" x14ac:dyDescent="0.25">
      <c r="A388" s="1"/>
      <c r="B388" s="1" t="s">
        <v>38</v>
      </c>
      <c r="C388" s="1"/>
      <c r="D388" s="1" t="s">
        <v>32</v>
      </c>
    </row>
    <row r="389" spans="1:4" x14ac:dyDescent="0.25">
      <c r="A389" s="1"/>
      <c r="B389" s="1" t="s">
        <v>44</v>
      </c>
      <c r="C389" s="1"/>
      <c r="D389" s="1" t="s">
        <v>41</v>
      </c>
    </row>
    <row r="390" spans="1:4" x14ac:dyDescent="0.25">
      <c r="A390" s="1"/>
      <c r="B390" s="1" t="s">
        <v>34</v>
      </c>
      <c r="C390" s="1"/>
      <c r="D390" s="1" t="s">
        <v>31</v>
      </c>
    </row>
    <row r="391" spans="1:4" x14ac:dyDescent="0.25">
      <c r="A391" s="1"/>
      <c r="B391" s="1" t="s">
        <v>34</v>
      </c>
      <c r="C391" s="1"/>
      <c r="D391" s="1" t="s">
        <v>31</v>
      </c>
    </row>
    <row r="392" spans="1:4" x14ac:dyDescent="0.25">
      <c r="A392" s="1"/>
      <c r="B392" s="1" t="s">
        <v>41</v>
      </c>
      <c r="C392" s="1"/>
      <c r="D392" s="1" t="s">
        <v>48</v>
      </c>
    </row>
    <row r="393" spans="1:4" x14ac:dyDescent="0.25">
      <c r="A393" s="1"/>
      <c r="B393" s="1" t="s">
        <v>30</v>
      </c>
      <c r="C393" s="1"/>
      <c r="D393" s="1" t="s">
        <v>39</v>
      </c>
    </row>
    <row r="394" spans="1:4" x14ac:dyDescent="0.25">
      <c r="A394" s="1"/>
      <c r="B394" s="1" t="s">
        <v>34</v>
      </c>
      <c r="C394" s="1"/>
      <c r="D394" s="1" t="s">
        <v>42</v>
      </c>
    </row>
    <row r="395" spans="1:4" x14ac:dyDescent="0.25">
      <c r="A395" s="1"/>
      <c r="B395" s="1" t="s">
        <v>42</v>
      </c>
      <c r="C395" s="1"/>
      <c r="D395" s="1" t="s">
        <v>34</v>
      </c>
    </row>
    <row r="396" spans="1:4" x14ac:dyDescent="0.25">
      <c r="A396" s="1"/>
      <c r="B396" s="1" t="s">
        <v>35</v>
      </c>
      <c r="C396" s="1"/>
      <c r="D396" s="1" t="s">
        <v>34</v>
      </c>
    </row>
    <row r="397" spans="1:4" x14ac:dyDescent="0.25">
      <c r="A397" s="1"/>
      <c r="B397" s="1" t="s">
        <v>38</v>
      </c>
      <c r="C397" s="1"/>
      <c r="D397" s="1" t="s">
        <v>32</v>
      </c>
    </row>
    <row r="398" spans="1:4" x14ac:dyDescent="0.25">
      <c r="A398" s="1"/>
      <c r="B398" s="1" t="s">
        <v>48</v>
      </c>
      <c r="C398" s="1"/>
      <c r="D398" s="1" t="s">
        <v>38</v>
      </c>
    </row>
    <row r="399" spans="1:4" x14ac:dyDescent="0.25">
      <c r="A399" s="1"/>
      <c r="B399" s="1" t="s">
        <v>46</v>
      </c>
      <c r="C399" s="1"/>
      <c r="D399" s="1" t="s">
        <v>32</v>
      </c>
    </row>
    <row r="400" spans="1:4" x14ac:dyDescent="0.25">
      <c r="A400" s="1"/>
      <c r="B400" s="1" t="s">
        <v>44</v>
      </c>
      <c r="C400" s="1"/>
      <c r="D400" s="1" t="s">
        <v>32</v>
      </c>
    </row>
    <row r="401" spans="1:4" x14ac:dyDescent="0.25">
      <c r="A401" s="1"/>
      <c r="B401" s="1" t="s">
        <v>44</v>
      </c>
      <c r="C401" s="1"/>
      <c r="D401" s="1" t="s">
        <v>45</v>
      </c>
    </row>
    <row r="402" spans="1:4" x14ac:dyDescent="0.25">
      <c r="A402" s="1"/>
      <c r="B402" s="1" t="s">
        <v>42</v>
      </c>
      <c r="C402" s="1"/>
      <c r="D402" s="1" t="s">
        <v>39</v>
      </c>
    </row>
    <row r="403" spans="1:4" x14ac:dyDescent="0.25">
      <c r="A403" s="1"/>
      <c r="B403" s="1" t="s">
        <v>30</v>
      </c>
      <c r="C403" s="1"/>
      <c r="D403" s="1" t="s">
        <v>34</v>
      </c>
    </row>
    <row r="404" spans="1:4" x14ac:dyDescent="0.25">
      <c r="A404" s="1"/>
      <c r="B404" s="1" t="s">
        <v>39</v>
      </c>
      <c r="C404" s="1"/>
      <c r="D404" s="1" t="s">
        <v>30</v>
      </c>
    </row>
    <row r="405" spans="1:4" x14ac:dyDescent="0.25">
      <c r="A405" s="1"/>
      <c r="B405" s="1" t="s">
        <v>32</v>
      </c>
      <c r="C405" s="1"/>
      <c r="D405" s="1" t="s">
        <v>37</v>
      </c>
    </row>
    <row r="406" spans="1:4" x14ac:dyDescent="0.25">
      <c r="A406" s="1"/>
      <c r="B406" s="1" t="s">
        <v>34</v>
      </c>
      <c r="C406" s="1"/>
      <c r="D406" s="1" t="s">
        <v>45</v>
      </c>
    </row>
    <row r="407" spans="1:4" x14ac:dyDescent="0.25">
      <c r="A407" s="1"/>
      <c r="B407" s="1" t="s">
        <v>39</v>
      </c>
      <c r="C407" s="1"/>
      <c r="D407" s="1" t="s">
        <v>30</v>
      </c>
    </row>
    <row r="408" spans="1:4" x14ac:dyDescent="0.25">
      <c r="A408" s="1"/>
      <c r="B408" s="1" t="s">
        <v>46</v>
      </c>
      <c r="C408" s="1"/>
      <c r="D408" s="1" t="s">
        <v>46</v>
      </c>
    </row>
    <row r="409" spans="1:4" x14ac:dyDescent="0.25">
      <c r="A409" s="1"/>
      <c r="B409" s="1" t="s">
        <v>43</v>
      </c>
      <c r="C409" s="1"/>
      <c r="D409" s="1" t="s">
        <v>38</v>
      </c>
    </row>
    <row r="410" spans="1:4" x14ac:dyDescent="0.25">
      <c r="A410" s="1"/>
      <c r="B410" s="1" t="s">
        <v>39</v>
      </c>
      <c r="C410" s="1"/>
      <c r="D410" s="1" t="s">
        <v>30</v>
      </c>
    </row>
    <row r="411" spans="1:4" x14ac:dyDescent="0.25">
      <c r="A411" s="1"/>
      <c r="B411" s="1" t="s">
        <v>38</v>
      </c>
      <c r="C411" s="1"/>
      <c r="D411" s="1" t="s">
        <v>41</v>
      </c>
    </row>
    <row r="412" spans="1:4" x14ac:dyDescent="0.25">
      <c r="A412" s="1"/>
      <c r="B412" s="1" t="s">
        <v>34</v>
      </c>
      <c r="C412" s="1"/>
      <c r="D412" s="1" t="s">
        <v>45</v>
      </c>
    </row>
    <row r="413" spans="1:4" x14ac:dyDescent="0.25">
      <c r="A413" s="1"/>
      <c r="B413" s="1" t="s">
        <v>35</v>
      </c>
      <c r="C413" s="1"/>
      <c r="D413" s="1" t="s">
        <v>30</v>
      </c>
    </row>
    <row r="414" spans="1:4" x14ac:dyDescent="0.25">
      <c r="A414" s="1"/>
      <c r="B414" s="1" t="s">
        <v>45</v>
      </c>
      <c r="C414" s="1"/>
      <c r="D414" s="1" t="s">
        <v>38</v>
      </c>
    </row>
    <row r="415" spans="1:4" x14ac:dyDescent="0.25">
      <c r="A415" s="1"/>
      <c r="B415" s="1" t="s">
        <v>38</v>
      </c>
      <c r="C415" s="1"/>
      <c r="D415" s="1" t="s">
        <v>48</v>
      </c>
    </row>
    <row r="416" spans="1:4" x14ac:dyDescent="0.25">
      <c r="A416" s="1"/>
      <c r="B416" s="1" t="s">
        <v>39</v>
      </c>
      <c r="C416" s="1"/>
      <c r="D416" s="1" t="s">
        <v>30</v>
      </c>
    </row>
    <row r="417" spans="1:4" x14ac:dyDescent="0.25">
      <c r="A417" s="1"/>
      <c r="B417" s="1" t="s">
        <v>39</v>
      </c>
      <c r="C417" s="1"/>
      <c r="D417" s="1" t="s">
        <v>36</v>
      </c>
    </row>
    <row r="418" spans="1:4" x14ac:dyDescent="0.25">
      <c r="A418" s="1"/>
      <c r="B418" s="1" t="s">
        <v>39</v>
      </c>
      <c r="C418" s="1"/>
      <c r="D418" s="1" t="s">
        <v>30</v>
      </c>
    </row>
    <row r="419" spans="1:4" x14ac:dyDescent="0.25">
      <c r="A419" s="1"/>
      <c r="B419" s="1" t="s">
        <v>31</v>
      </c>
      <c r="C419" s="1"/>
      <c r="D419" s="1" t="s">
        <v>30</v>
      </c>
    </row>
    <row r="420" spans="1:4" x14ac:dyDescent="0.25">
      <c r="A420" s="1"/>
      <c r="B420" s="1" t="s">
        <v>31</v>
      </c>
      <c r="C420" s="1"/>
      <c r="D420" s="1" t="s">
        <v>36</v>
      </c>
    </row>
    <row r="421" spans="1:4" x14ac:dyDescent="0.25">
      <c r="A421" s="1"/>
      <c r="B421" s="1" t="s">
        <v>44</v>
      </c>
      <c r="C421" s="1"/>
      <c r="D421" s="1" t="s">
        <v>46</v>
      </c>
    </row>
    <row r="422" spans="1:4" x14ac:dyDescent="0.25">
      <c r="A422" s="1"/>
      <c r="B422" s="1" t="s">
        <v>32</v>
      </c>
      <c r="C422" s="1"/>
      <c r="D422" s="1" t="s">
        <v>37</v>
      </c>
    </row>
    <row r="423" spans="1:4" x14ac:dyDescent="0.25">
      <c r="A423" s="1"/>
      <c r="B423" s="1" t="s">
        <v>31</v>
      </c>
      <c r="C423" s="1"/>
      <c r="D423" s="1" t="s">
        <v>38</v>
      </c>
    </row>
    <row r="424" spans="1:4" x14ac:dyDescent="0.25">
      <c r="A424" s="1"/>
      <c r="B424" s="1" t="s">
        <v>30</v>
      </c>
      <c r="C424" s="1"/>
      <c r="D424" s="1" t="s">
        <v>39</v>
      </c>
    </row>
    <row r="425" spans="1:4" x14ac:dyDescent="0.25">
      <c r="A425" s="1"/>
      <c r="B425" s="1" t="s">
        <v>38</v>
      </c>
      <c r="C425" s="1"/>
      <c r="D425" s="1" t="s">
        <v>30</v>
      </c>
    </row>
    <row r="426" spans="1:4" x14ac:dyDescent="0.25">
      <c r="A426" s="1"/>
      <c r="B426" s="1" t="s">
        <v>45</v>
      </c>
      <c r="C426" s="1"/>
      <c r="D426" s="1" t="s">
        <v>31</v>
      </c>
    </row>
    <row r="427" spans="1:4" x14ac:dyDescent="0.25">
      <c r="A427" s="1"/>
      <c r="B427" s="1" t="s">
        <v>44</v>
      </c>
      <c r="C427" s="1"/>
      <c r="D427" s="1" t="s">
        <v>48</v>
      </c>
    </row>
    <row r="428" spans="1:4" x14ac:dyDescent="0.25">
      <c r="A428" s="1"/>
      <c r="B428" s="1" t="s">
        <v>30</v>
      </c>
      <c r="C428" s="1"/>
      <c r="D428" s="1" t="s">
        <v>38</v>
      </c>
    </row>
    <row r="429" spans="1:4" x14ac:dyDescent="0.25">
      <c r="A429" s="1"/>
      <c r="B429" s="1" t="s">
        <v>30</v>
      </c>
      <c r="C429" s="1"/>
      <c r="D429" s="1" t="s">
        <v>38</v>
      </c>
    </row>
    <row r="430" spans="1:4" x14ac:dyDescent="0.25">
      <c r="A430" s="1"/>
      <c r="B430" s="1" t="s">
        <v>35</v>
      </c>
      <c r="C430" s="1"/>
      <c r="D430" s="1" t="s">
        <v>34</v>
      </c>
    </row>
    <row r="431" spans="1:4" x14ac:dyDescent="0.25">
      <c r="A431" s="1"/>
      <c r="B431" s="1" t="s">
        <v>31</v>
      </c>
      <c r="C431" s="1"/>
      <c r="D431" s="1" t="s">
        <v>36</v>
      </c>
    </row>
    <row r="432" spans="1:4" x14ac:dyDescent="0.25">
      <c r="A432" s="1"/>
      <c r="B432" s="1" t="s">
        <v>46</v>
      </c>
      <c r="C432" s="1"/>
      <c r="D432" s="1" t="s">
        <v>45</v>
      </c>
    </row>
    <row r="433" spans="1:4" x14ac:dyDescent="0.25">
      <c r="A433" s="1"/>
      <c r="B433" s="1" t="s">
        <v>30</v>
      </c>
      <c r="C433" s="1"/>
      <c r="D433" s="1" t="s">
        <v>30</v>
      </c>
    </row>
    <row r="434" spans="1:4" x14ac:dyDescent="0.25">
      <c r="A434" s="1"/>
      <c r="B434" s="1" t="s">
        <v>39</v>
      </c>
      <c r="C434" s="1"/>
      <c r="D434" s="1" t="s">
        <v>30</v>
      </c>
    </row>
    <row r="435" spans="1:4" x14ac:dyDescent="0.25">
      <c r="A435" s="1"/>
      <c r="B435" s="1" t="s">
        <v>34</v>
      </c>
      <c r="C435" s="1"/>
      <c r="D435" s="1" t="s">
        <v>48</v>
      </c>
    </row>
    <row r="436" spans="1:4" x14ac:dyDescent="0.25">
      <c r="A436" s="1"/>
      <c r="B436" s="1" t="s">
        <v>32</v>
      </c>
      <c r="C436" s="1"/>
      <c r="D436" s="1" t="s">
        <v>34</v>
      </c>
    </row>
    <row r="437" spans="1:4" x14ac:dyDescent="0.25">
      <c r="A437" s="1"/>
      <c r="B437" s="1" t="s">
        <v>32</v>
      </c>
      <c r="C437" s="1"/>
      <c r="D437" s="1" t="s">
        <v>22</v>
      </c>
    </row>
    <row r="438" spans="1:4" x14ac:dyDescent="0.25">
      <c r="A438" s="1"/>
      <c r="B438" s="1" t="s">
        <v>32</v>
      </c>
      <c r="C438" s="1"/>
      <c r="D438" s="1" t="s">
        <v>30</v>
      </c>
    </row>
    <row r="439" spans="1:4" x14ac:dyDescent="0.25">
      <c r="A439" s="1"/>
      <c r="B439" s="1" t="s">
        <v>22</v>
      </c>
      <c r="C439" s="1"/>
      <c r="D439" s="1" t="s">
        <v>45</v>
      </c>
    </row>
    <row r="440" spans="1:4" x14ac:dyDescent="0.25">
      <c r="A440" s="1"/>
      <c r="B440" s="1" t="s">
        <v>39</v>
      </c>
      <c r="C440" s="1"/>
      <c r="D440" s="1" t="s">
        <v>39</v>
      </c>
    </row>
    <row r="441" spans="1:4" x14ac:dyDescent="0.25">
      <c r="A441" s="1"/>
      <c r="B441" s="1" t="s">
        <v>42</v>
      </c>
      <c r="C441" s="1"/>
      <c r="D441" s="1" t="s">
        <v>30</v>
      </c>
    </row>
    <row r="442" spans="1:4" x14ac:dyDescent="0.25">
      <c r="A442" s="1"/>
      <c r="B442" s="1" t="s">
        <v>34</v>
      </c>
      <c r="C442" s="1"/>
      <c r="D442" s="1" t="s">
        <v>37</v>
      </c>
    </row>
    <row r="443" spans="1:4" x14ac:dyDescent="0.25">
      <c r="A443" s="1"/>
      <c r="B443" s="1" t="s">
        <v>36</v>
      </c>
      <c r="C443" s="1"/>
      <c r="D443" s="1" t="s">
        <v>44</v>
      </c>
    </row>
    <row r="444" spans="1:4" x14ac:dyDescent="0.25">
      <c r="A444" s="1"/>
      <c r="B444" s="1" t="s">
        <v>31</v>
      </c>
      <c r="C444" s="1"/>
      <c r="D444" s="1" t="s">
        <v>30</v>
      </c>
    </row>
    <row r="445" spans="1:4" x14ac:dyDescent="0.25">
      <c r="A445" s="1"/>
      <c r="B445" s="1" t="s">
        <v>45</v>
      </c>
      <c r="C445" s="1"/>
      <c r="D445" s="1" t="s">
        <v>48</v>
      </c>
    </row>
    <row r="446" spans="1:4" x14ac:dyDescent="0.25">
      <c r="A446" s="1"/>
      <c r="B446" s="1" t="s">
        <v>46</v>
      </c>
      <c r="C446" s="1"/>
      <c r="D446" s="1" t="s">
        <v>48</v>
      </c>
    </row>
    <row r="447" spans="1:4" x14ac:dyDescent="0.25">
      <c r="A447" s="1"/>
      <c r="B447" s="1" t="s">
        <v>36</v>
      </c>
      <c r="C447" s="1"/>
      <c r="D447" s="1" t="s">
        <v>45</v>
      </c>
    </row>
    <row r="448" spans="1:4" x14ac:dyDescent="0.25">
      <c r="A448" s="1"/>
      <c r="B448" s="1" t="s">
        <v>32</v>
      </c>
      <c r="C448" s="1"/>
      <c r="D448" s="1" t="s">
        <v>30</v>
      </c>
    </row>
    <row r="449" spans="1:4" x14ac:dyDescent="0.25">
      <c r="A449" s="1"/>
      <c r="B449" s="1" t="s">
        <v>34</v>
      </c>
      <c r="C449" s="1"/>
      <c r="D449" s="1" t="s">
        <v>40</v>
      </c>
    </row>
    <row r="450" spans="1:4" x14ac:dyDescent="0.25">
      <c r="A450" s="1"/>
      <c r="B450" s="1" t="s">
        <v>36</v>
      </c>
      <c r="C450" s="1"/>
      <c r="D450" s="1" t="s">
        <v>46</v>
      </c>
    </row>
    <row r="451" spans="1:4" x14ac:dyDescent="0.25">
      <c r="A451" s="1"/>
      <c r="B451" s="1" t="s">
        <v>42</v>
      </c>
      <c r="C451" s="1"/>
      <c r="D451" s="1" t="s">
        <v>36</v>
      </c>
    </row>
    <row r="452" spans="1:4" x14ac:dyDescent="0.25">
      <c r="A452" s="1"/>
      <c r="B452" s="1" t="s">
        <v>39</v>
      </c>
      <c r="C452" s="1"/>
      <c r="D452" s="1" t="s">
        <v>32</v>
      </c>
    </row>
    <row r="453" spans="1:4" x14ac:dyDescent="0.25">
      <c r="A453" s="1"/>
      <c r="B453" s="1" t="s">
        <v>34</v>
      </c>
      <c r="C453" s="1"/>
      <c r="D453" s="1" t="s">
        <v>32</v>
      </c>
    </row>
    <row r="454" spans="1:4" x14ac:dyDescent="0.25">
      <c r="A454" s="1"/>
      <c r="B454" s="1" t="s">
        <v>35</v>
      </c>
      <c r="C454" s="1"/>
      <c r="D454" s="1" t="s">
        <v>36</v>
      </c>
    </row>
    <row r="455" spans="1:4" x14ac:dyDescent="0.25">
      <c r="A455" s="1"/>
      <c r="B455" s="1" t="s">
        <v>39</v>
      </c>
      <c r="C455" s="1"/>
      <c r="D455" s="1" t="s">
        <v>45</v>
      </c>
    </row>
    <row r="456" spans="1:4" x14ac:dyDescent="0.25">
      <c r="A456" s="1"/>
      <c r="B456" s="1" t="s">
        <v>34</v>
      </c>
      <c r="C456" s="1"/>
      <c r="D456" s="1" t="s">
        <v>32</v>
      </c>
    </row>
    <row r="457" spans="1:4" x14ac:dyDescent="0.25">
      <c r="A457" s="1"/>
      <c r="B457" s="1" t="s">
        <v>32</v>
      </c>
      <c r="C457" s="1"/>
      <c r="D457" s="1" t="s">
        <v>46</v>
      </c>
    </row>
    <row r="458" spans="1:4" x14ac:dyDescent="0.25">
      <c r="A458" s="1"/>
      <c r="B458" s="1" t="s">
        <v>32</v>
      </c>
      <c r="C458" s="1"/>
      <c r="D458" s="1" t="s">
        <v>32</v>
      </c>
    </row>
    <row r="459" spans="1:4" x14ac:dyDescent="0.25">
      <c r="A459" s="1"/>
      <c r="B459" s="1" t="s">
        <v>45</v>
      </c>
      <c r="C459" s="1"/>
      <c r="D459" s="1" t="s">
        <v>32</v>
      </c>
    </row>
    <row r="460" spans="1:4" x14ac:dyDescent="0.25">
      <c r="A460" s="1"/>
      <c r="B460" s="1" t="s">
        <v>46</v>
      </c>
      <c r="C460" s="1"/>
      <c r="D460" s="1" t="s">
        <v>45</v>
      </c>
    </row>
    <row r="461" spans="1:4" x14ac:dyDescent="0.25">
      <c r="A461" s="1"/>
      <c r="B461" s="1" t="s">
        <v>36</v>
      </c>
      <c r="C461" s="1"/>
      <c r="D461" s="1" t="s">
        <v>41</v>
      </c>
    </row>
    <row r="462" spans="1:4" x14ac:dyDescent="0.25">
      <c r="A462" s="1"/>
      <c r="B462" s="1" t="s">
        <v>31</v>
      </c>
      <c r="C462" s="1"/>
      <c r="D462" s="1" t="s">
        <v>32</v>
      </c>
    </row>
    <row r="463" spans="1:4" x14ac:dyDescent="0.25">
      <c r="A463" s="1"/>
      <c r="B463" s="1" t="s">
        <v>42</v>
      </c>
      <c r="C463" s="1"/>
      <c r="D463" s="1" t="s">
        <v>31</v>
      </c>
    </row>
    <row r="464" spans="1:4" x14ac:dyDescent="0.25">
      <c r="A464" s="1"/>
      <c r="B464" s="1"/>
      <c r="C464" s="1"/>
      <c r="D464" s="1" t="s">
        <v>30</v>
      </c>
    </row>
    <row r="465" spans="1:4" x14ac:dyDescent="0.25">
      <c r="A465" s="1"/>
      <c r="B465" s="1"/>
      <c r="C465" s="1"/>
      <c r="D465" s="1" t="s">
        <v>42</v>
      </c>
    </row>
    <row r="466" spans="1:4" x14ac:dyDescent="0.25">
      <c r="A466" s="1"/>
      <c r="B466" s="1"/>
      <c r="C466" s="1"/>
      <c r="D466" s="1" t="s">
        <v>31</v>
      </c>
    </row>
    <row r="467" spans="1:4" x14ac:dyDescent="0.25">
      <c r="A467" s="1"/>
      <c r="B467" s="1"/>
      <c r="C467" s="1"/>
      <c r="D467" s="1" t="s">
        <v>32</v>
      </c>
    </row>
    <row r="468" spans="1:4" x14ac:dyDescent="0.25">
      <c r="A468" s="1"/>
      <c r="B468" s="1"/>
      <c r="C468" s="1"/>
      <c r="D468" s="1" t="s">
        <v>32</v>
      </c>
    </row>
    <row r="469" spans="1:4" x14ac:dyDescent="0.25">
      <c r="A469" s="1"/>
      <c r="B469" s="1"/>
      <c r="C469" s="1"/>
      <c r="D469" s="1" t="s">
        <v>31</v>
      </c>
    </row>
    <row r="470" spans="1:4" x14ac:dyDescent="0.25">
      <c r="A470" s="1"/>
      <c r="B470" s="1"/>
      <c r="C470" s="1"/>
      <c r="D470" s="1" t="s">
        <v>42</v>
      </c>
    </row>
    <row r="471" spans="1:4" x14ac:dyDescent="0.25">
      <c r="A471" s="1"/>
      <c r="B471" s="1"/>
      <c r="C471" s="1"/>
      <c r="D471" s="1" t="s">
        <v>35</v>
      </c>
    </row>
    <row r="472" spans="1:4" x14ac:dyDescent="0.25">
      <c r="A472" s="1"/>
      <c r="B472" s="1"/>
      <c r="C472" s="1"/>
      <c r="D472" s="1" t="s">
        <v>32</v>
      </c>
    </row>
    <row r="473" spans="1:4" x14ac:dyDescent="0.25">
      <c r="A473" s="1"/>
      <c r="B473" s="1"/>
      <c r="C473" s="1"/>
      <c r="D473" s="1" t="s">
        <v>44</v>
      </c>
    </row>
    <row r="474" spans="1:4" x14ac:dyDescent="0.25">
      <c r="A474" s="1"/>
      <c r="B474" s="1"/>
      <c r="C474" s="1"/>
      <c r="D474" s="1" t="s">
        <v>44</v>
      </c>
    </row>
    <row r="475" spans="1:4" x14ac:dyDescent="0.25">
      <c r="A475" s="1"/>
      <c r="B475" s="1"/>
      <c r="C475" s="1"/>
      <c r="D475" s="1" t="s">
        <v>30</v>
      </c>
    </row>
    <row r="476" spans="1:4" x14ac:dyDescent="0.25">
      <c r="A476" s="1"/>
      <c r="B476" s="1"/>
      <c r="C476" s="1"/>
      <c r="D476" s="1" t="s">
        <v>32</v>
      </c>
    </row>
    <row r="477" spans="1:4" x14ac:dyDescent="0.25">
      <c r="A477" s="1"/>
      <c r="B477" s="1"/>
      <c r="C477" s="1"/>
      <c r="D477" s="1" t="s">
        <v>38</v>
      </c>
    </row>
    <row r="478" spans="1:4" x14ac:dyDescent="0.25">
      <c r="A478" s="1"/>
      <c r="B478" s="1"/>
      <c r="C478" s="1"/>
      <c r="D478" s="1" t="s">
        <v>32</v>
      </c>
    </row>
    <row r="479" spans="1:4" x14ac:dyDescent="0.25">
      <c r="A479" s="1"/>
      <c r="B479" s="1"/>
      <c r="C479" s="1"/>
      <c r="D479" s="1" t="s">
        <v>31</v>
      </c>
    </row>
    <row r="480" spans="1:4" x14ac:dyDescent="0.25">
      <c r="A480" s="1"/>
      <c r="B480" s="1"/>
      <c r="C480" s="1"/>
      <c r="D480" s="1" t="s">
        <v>32</v>
      </c>
    </row>
    <row r="481" spans="1:4" x14ac:dyDescent="0.25">
      <c r="A481" s="1"/>
      <c r="B481" s="1"/>
      <c r="C481" s="1"/>
      <c r="D481" s="1" t="s">
        <v>32</v>
      </c>
    </row>
    <row r="482" spans="1:4" x14ac:dyDescent="0.25">
      <c r="A482" s="1"/>
      <c r="B482" s="1"/>
      <c r="C482" s="1"/>
      <c r="D482" s="1" t="s">
        <v>32</v>
      </c>
    </row>
    <row r="483" spans="1:4" x14ac:dyDescent="0.25">
      <c r="A483" s="1"/>
      <c r="B483" s="1"/>
      <c r="C483" s="1"/>
      <c r="D483" s="1" t="s">
        <v>32</v>
      </c>
    </row>
    <row r="484" spans="1:4" x14ac:dyDescent="0.25">
      <c r="A484" s="1"/>
      <c r="B484" s="1"/>
      <c r="C484" s="1"/>
      <c r="D484" s="1" t="s">
        <v>42</v>
      </c>
    </row>
    <row r="485" spans="1:4" x14ac:dyDescent="0.25">
      <c r="A485" s="1"/>
      <c r="B485" s="1"/>
      <c r="C485" s="1"/>
      <c r="D485" s="1" t="s">
        <v>35</v>
      </c>
    </row>
    <row r="486" spans="1:4" x14ac:dyDescent="0.25">
      <c r="A486" s="1"/>
      <c r="B486" s="1"/>
      <c r="C486" s="1"/>
      <c r="D486" s="1" t="s">
        <v>42</v>
      </c>
    </row>
    <row r="487" spans="1:4" x14ac:dyDescent="0.25">
      <c r="A487" s="1"/>
      <c r="B487" s="1"/>
      <c r="C487" s="1"/>
      <c r="D487" s="1" t="s">
        <v>32</v>
      </c>
    </row>
    <row r="488" spans="1:4" x14ac:dyDescent="0.25">
      <c r="A488" s="1"/>
      <c r="B488" s="1"/>
      <c r="C488" s="1"/>
      <c r="D488" s="1" t="s">
        <v>32</v>
      </c>
    </row>
    <row r="489" spans="1:4" x14ac:dyDescent="0.25">
      <c r="A489" s="1"/>
      <c r="B489" s="1"/>
      <c r="C489" s="1"/>
      <c r="D489" s="1" t="s">
        <v>31</v>
      </c>
    </row>
    <row r="490" spans="1:4" x14ac:dyDescent="0.25">
      <c r="A490" s="1"/>
      <c r="B490" s="1"/>
      <c r="C490" s="1"/>
      <c r="D490" s="1" t="s">
        <v>32</v>
      </c>
    </row>
    <row r="491" spans="1:4" x14ac:dyDescent="0.25">
      <c r="A491" s="1"/>
      <c r="B491" s="1"/>
      <c r="C491" s="1"/>
      <c r="D491" s="1" t="s">
        <v>32</v>
      </c>
    </row>
    <row r="492" spans="1:4" x14ac:dyDescent="0.25">
      <c r="A492" s="1"/>
      <c r="B492" s="1"/>
      <c r="C492" s="1"/>
      <c r="D492" s="1" t="s">
        <v>32</v>
      </c>
    </row>
    <row r="493" spans="1:4" x14ac:dyDescent="0.25">
      <c r="A493" s="1"/>
      <c r="B493" s="1"/>
      <c r="C493" s="1"/>
      <c r="D493" s="1" t="s">
        <v>32</v>
      </c>
    </row>
    <row r="494" spans="1:4" x14ac:dyDescent="0.25">
      <c r="A494" s="1"/>
      <c r="B494" s="1"/>
      <c r="C494" s="1"/>
      <c r="D494" s="1" t="s">
        <v>31</v>
      </c>
    </row>
    <row r="495" spans="1:4" x14ac:dyDescent="0.25">
      <c r="A495" s="1"/>
      <c r="B495" s="1"/>
      <c r="C495" s="1"/>
      <c r="D495" s="1" t="s">
        <v>31</v>
      </c>
    </row>
    <row r="496" spans="1:4" x14ac:dyDescent="0.25">
      <c r="A496" s="1"/>
      <c r="B496" s="1"/>
      <c r="C496" s="1"/>
      <c r="D496" s="1" t="s">
        <v>32</v>
      </c>
    </row>
    <row r="497" spans="1:4" x14ac:dyDescent="0.25">
      <c r="A497" s="1"/>
      <c r="B497" s="1"/>
      <c r="C497" s="1"/>
      <c r="D497" s="1" t="s">
        <v>32</v>
      </c>
    </row>
    <row r="498" spans="1:4" x14ac:dyDescent="0.25">
      <c r="A498" s="1"/>
      <c r="B498" s="1"/>
      <c r="C498" s="1"/>
      <c r="D498" s="1" t="s">
        <v>32</v>
      </c>
    </row>
    <row r="499" spans="1:4" x14ac:dyDescent="0.25">
      <c r="A499" s="1"/>
      <c r="B499" s="1"/>
      <c r="C499" s="1"/>
      <c r="D499" s="1" t="s">
        <v>32</v>
      </c>
    </row>
    <row r="500" spans="1:4" x14ac:dyDescent="0.25">
      <c r="A500" s="1"/>
      <c r="B500" s="1"/>
      <c r="C500" s="1"/>
      <c r="D500" s="1" t="s">
        <v>31</v>
      </c>
    </row>
    <row r="501" spans="1:4" x14ac:dyDescent="0.25">
      <c r="A501" s="1"/>
      <c r="B501" s="1"/>
      <c r="C501" s="1"/>
      <c r="D501" s="1" t="s">
        <v>31</v>
      </c>
    </row>
    <row r="502" spans="1:4" x14ac:dyDescent="0.25">
      <c r="C502" s="1"/>
      <c r="D502" s="1" t="s">
        <v>42</v>
      </c>
    </row>
    <row r="503" spans="1:4" x14ac:dyDescent="0.25">
      <c r="C503" s="1"/>
      <c r="D503" s="1" t="s">
        <v>32</v>
      </c>
    </row>
    <row r="504" spans="1:4" x14ac:dyDescent="0.25">
      <c r="C504" s="1"/>
      <c r="D504" s="1" t="s">
        <v>32</v>
      </c>
    </row>
    <row r="505" spans="1:4" x14ac:dyDescent="0.25">
      <c r="C505" s="1"/>
      <c r="D505" s="1" t="s">
        <v>30</v>
      </c>
    </row>
    <row r="506" spans="1:4" x14ac:dyDescent="0.25">
      <c r="C506" s="1"/>
      <c r="D506" s="1" t="s">
        <v>32</v>
      </c>
    </row>
    <row r="507" spans="1:4" x14ac:dyDescent="0.25">
      <c r="C507" s="1"/>
      <c r="D507" s="1" t="s">
        <v>32</v>
      </c>
    </row>
    <row r="508" spans="1:4" x14ac:dyDescent="0.25">
      <c r="C508" s="1"/>
      <c r="D508" s="1" t="s">
        <v>31</v>
      </c>
    </row>
    <row r="509" spans="1:4" x14ac:dyDescent="0.25">
      <c r="C509" s="1"/>
      <c r="D509" s="1" t="s">
        <v>42</v>
      </c>
    </row>
    <row r="510" spans="1:4" x14ac:dyDescent="0.25">
      <c r="C510" s="1"/>
      <c r="D510" s="1" t="s">
        <v>32</v>
      </c>
    </row>
    <row r="511" spans="1:4" x14ac:dyDescent="0.25">
      <c r="C511" s="1"/>
      <c r="D511" s="1" t="s">
        <v>32</v>
      </c>
    </row>
    <row r="512" spans="1:4" x14ac:dyDescent="0.25">
      <c r="C512" s="1"/>
      <c r="D512" s="1" t="s">
        <v>32</v>
      </c>
    </row>
    <row r="513" spans="3:4" x14ac:dyDescent="0.25">
      <c r="C513" s="1"/>
      <c r="D513" s="1" t="s">
        <v>32</v>
      </c>
    </row>
    <row r="514" spans="3:4" x14ac:dyDescent="0.25">
      <c r="C514" s="1"/>
      <c r="D514" s="1" t="s">
        <v>38</v>
      </c>
    </row>
    <row r="515" spans="3:4" x14ac:dyDescent="0.25">
      <c r="C515" s="1"/>
      <c r="D515" s="1" t="s">
        <v>38</v>
      </c>
    </row>
    <row r="516" spans="3:4" x14ac:dyDescent="0.25">
      <c r="C516" s="1"/>
      <c r="D516" s="1" t="s">
        <v>32</v>
      </c>
    </row>
    <row r="517" spans="3:4" x14ac:dyDescent="0.25">
      <c r="C517" s="1"/>
      <c r="D517" s="1" t="s">
        <v>38</v>
      </c>
    </row>
    <row r="518" spans="3:4" x14ac:dyDescent="0.25">
      <c r="C518" s="1"/>
      <c r="D518" s="1" t="s">
        <v>32</v>
      </c>
    </row>
    <row r="519" spans="3:4" x14ac:dyDescent="0.25">
      <c r="C519" s="1"/>
      <c r="D519" s="1" t="s">
        <v>32</v>
      </c>
    </row>
    <row r="520" spans="3:4" x14ac:dyDescent="0.25">
      <c r="C520" s="1"/>
      <c r="D520" s="1" t="s">
        <v>38</v>
      </c>
    </row>
    <row r="521" spans="3:4" x14ac:dyDescent="0.25">
      <c r="C521" s="1"/>
      <c r="D521" s="1" t="s">
        <v>32</v>
      </c>
    </row>
    <row r="522" spans="3:4" x14ac:dyDescent="0.25">
      <c r="C522" s="1"/>
      <c r="D522" s="1" t="s">
        <v>32</v>
      </c>
    </row>
    <row r="523" spans="3:4" x14ac:dyDescent="0.25">
      <c r="C523" s="1"/>
      <c r="D523" s="1" t="s">
        <v>45</v>
      </c>
    </row>
    <row r="524" spans="3:4" x14ac:dyDescent="0.25">
      <c r="C524" s="1"/>
      <c r="D524" s="1" t="s">
        <v>42</v>
      </c>
    </row>
    <row r="525" spans="3:4" x14ac:dyDescent="0.25">
      <c r="C525" s="1"/>
      <c r="D525" s="1" t="s">
        <v>32</v>
      </c>
    </row>
    <row r="526" spans="3:4" x14ac:dyDescent="0.25">
      <c r="C526" s="1"/>
      <c r="D526" s="1" t="s">
        <v>31</v>
      </c>
    </row>
    <row r="527" spans="3:4" x14ac:dyDescent="0.25">
      <c r="C527" s="1"/>
      <c r="D527" s="1" t="s">
        <v>32</v>
      </c>
    </row>
    <row r="528" spans="3:4" x14ac:dyDescent="0.25">
      <c r="C528" s="1"/>
      <c r="D528" s="1" t="s">
        <v>32</v>
      </c>
    </row>
    <row r="529" spans="3:4" x14ac:dyDescent="0.25">
      <c r="C529" s="1"/>
      <c r="D529" s="1" t="s">
        <v>32</v>
      </c>
    </row>
    <row r="530" spans="3:4" x14ac:dyDescent="0.25">
      <c r="C530" s="1"/>
      <c r="D530" s="1" t="s">
        <v>32</v>
      </c>
    </row>
    <row r="531" spans="3:4" x14ac:dyDescent="0.25">
      <c r="C531" s="1"/>
      <c r="D531" s="1" t="s">
        <v>42</v>
      </c>
    </row>
    <row r="532" spans="3:4" x14ac:dyDescent="0.25">
      <c r="C532" s="1"/>
      <c r="D532" s="1" t="s">
        <v>42</v>
      </c>
    </row>
    <row r="533" spans="3:4" x14ac:dyDescent="0.25">
      <c r="C533" s="1"/>
      <c r="D533" s="1" t="s">
        <v>46</v>
      </c>
    </row>
    <row r="534" spans="3:4" x14ac:dyDescent="0.25">
      <c r="C534" s="1"/>
      <c r="D534" s="1" t="s">
        <v>32</v>
      </c>
    </row>
    <row r="535" spans="3:4" x14ac:dyDescent="0.25">
      <c r="C535" s="1"/>
      <c r="D535" s="1" t="s">
        <v>38</v>
      </c>
    </row>
    <row r="536" spans="3:4" x14ac:dyDescent="0.25">
      <c r="C536" s="1"/>
      <c r="D536" s="1" t="s">
        <v>31</v>
      </c>
    </row>
    <row r="537" spans="3:4" x14ac:dyDescent="0.25">
      <c r="C537" s="1"/>
      <c r="D537" s="1" t="s">
        <v>38</v>
      </c>
    </row>
    <row r="538" spans="3:4" x14ac:dyDescent="0.25">
      <c r="C538" s="1"/>
      <c r="D538" s="1" t="s">
        <v>32</v>
      </c>
    </row>
    <row r="539" spans="3:4" x14ac:dyDescent="0.25">
      <c r="C539" s="1"/>
      <c r="D539" s="1" t="s">
        <v>32</v>
      </c>
    </row>
    <row r="540" spans="3:4" x14ac:dyDescent="0.25">
      <c r="C540" s="1"/>
      <c r="D540" s="1" t="s">
        <v>36</v>
      </c>
    </row>
    <row r="541" spans="3:4" x14ac:dyDescent="0.25">
      <c r="C541" s="1"/>
      <c r="D541" s="1" t="s">
        <v>31</v>
      </c>
    </row>
    <row r="542" spans="3:4" x14ac:dyDescent="0.25">
      <c r="C542" s="1"/>
      <c r="D542" s="1" t="s">
        <v>31</v>
      </c>
    </row>
    <row r="543" spans="3:4" x14ac:dyDescent="0.25">
      <c r="C543" s="1"/>
      <c r="D543" s="1" t="s">
        <v>42</v>
      </c>
    </row>
    <row r="544" spans="3:4" x14ac:dyDescent="0.25">
      <c r="C544" s="1"/>
      <c r="D544" s="1" t="s">
        <v>42</v>
      </c>
    </row>
    <row r="545" spans="3:4" x14ac:dyDescent="0.25">
      <c r="C545" s="1"/>
      <c r="D545" s="1" t="s">
        <v>42</v>
      </c>
    </row>
    <row r="546" spans="3:4" x14ac:dyDescent="0.25">
      <c r="C546" s="1"/>
      <c r="D546" s="1" t="s">
        <v>35</v>
      </c>
    </row>
    <row r="547" spans="3:4" x14ac:dyDescent="0.25">
      <c r="C547" s="1"/>
    </row>
    <row r="548" spans="3:4" x14ac:dyDescent="0.25">
      <c r="C548" s="1"/>
    </row>
    <row r="549" spans="3:4" x14ac:dyDescent="0.25">
      <c r="C549" s="1"/>
    </row>
    <row r="550" spans="3:4" x14ac:dyDescent="0.25">
      <c r="C550" s="1"/>
    </row>
    <row r="551" spans="3:4" x14ac:dyDescent="0.25">
      <c r="C551" s="1"/>
    </row>
    <row r="552" spans="3:4" x14ac:dyDescent="0.25">
      <c r="C552" s="1"/>
    </row>
    <row r="553" spans="3:4" x14ac:dyDescent="0.25">
      <c r="C553" s="1"/>
    </row>
    <row r="554" spans="3:4" x14ac:dyDescent="0.25">
      <c r="C554" s="1"/>
    </row>
    <row r="555" spans="3:4" x14ac:dyDescent="0.25">
      <c r="C555" s="1"/>
    </row>
    <row r="556" spans="3:4" x14ac:dyDescent="0.25">
      <c r="C556" s="1"/>
    </row>
    <row r="557" spans="3:4" x14ac:dyDescent="0.25">
      <c r="C557" s="1"/>
    </row>
    <row r="558" spans="3:4" x14ac:dyDescent="0.25">
      <c r="C558" s="1"/>
    </row>
    <row r="559" spans="3:4" x14ac:dyDescent="0.25">
      <c r="C559" s="1"/>
    </row>
    <row r="560" spans="3:4" x14ac:dyDescent="0.25">
      <c r="C560" s="1"/>
    </row>
    <row r="561" spans="3:3" x14ac:dyDescent="0.25">
      <c r="C561" s="1"/>
    </row>
    <row r="562" spans="3:3" x14ac:dyDescent="0.25">
      <c r="C562" s="1"/>
    </row>
    <row r="563" spans="3:3" x14ac:dyDescent="0.25">
      <c r="C563" s="1"/>
    </row>
    <row r="564" spans="3:3" x14ac:dyDescent="0.25">
      <c r="C564" s="1"/>
    </row>
    <row r="565" spans="3:3" x14ac:dyDescent="0.25">
      <c r="C565" s="1"/>
    </row>
    <row r="566" spans="3:3" x14ac:dyDescent="0.25">
      <c r="C566" s="1"/>
    </row>
    <row r="567" spans="3:3" x14ac:dyDescent="0.25">
      <c r="C567" s="1"/>
    </row>
    <row r="568" spans="3:3" x14ac:dyDescent="0.25">
      <c r="C568" s="1"/>
    </row>
    <row r="569" spans="3:3" x14ac:dyDescent="0.25">
      <c r="C569" s="1"/>
    </row>
    <row r="570" spans="3:3" x14ac:dyDescent="0.25">
      <c r="C570" s="1"/>
    </row>
    <row r="571" spans="3:3" x14ac:dyDescent="0.25">
      <c r="C571" s="1"/>
    </row>
    <row r="572" spans="3:3" x14ac:dyDescent="0.25">
      <c r="C572" s="1"/>
    </row>
    <row r="573" spans="3:3" x14ac:dyDescent="0.25">
      <c r="C573" s="1"/>
    </row>
    <row r="574" spans="3:3" x14ac:dyDescent="0.25">
      <c r="C574" s="1"/>
    </row>
    <row r="575" spans="3:3" x14ac:dyDescent="0.25">
      <c r="C575" s="1"/>
    </row>
    <row r="576" spans="3:3" x14ac:dyDescent="0.25">
      <c r="C576" s="1"/>
    </row>
    <row r="577" spans="3:3" x14ac:dyDescent="0.25">
      <c r="C577" s="1"/>
    </row>
    <row r="578" spans="3:3" x14ac:dyDescent="0.25">
      <c r="C578" s="1"/>
    </row>
    <row r="579" spans="3:3" x14ac:dyDescent="0.25">
      <c r="C579" s="1"/>
    </row>
    <row r="580" spans="3:3" x14ac:dyDescent="0.25">
      <c r="C580" s="1"/>
    </row>
    <row r="581" spans="3:3" x14ac:dyDescent="0.25">
      <c r="C581" s="1"/>
    </row>
    <row r="582" spans="3:3" x14ac:dyDescent="0.25">
      <c r="C582" s="1"/>
    </row>
    <row r="583" spans="3:3" x14ac:dyDescent="0.25">
      <c r="C583" s="1"/>
    </row>
    <row r="584" spans="3:3" x14ac:dyDescent="0.25">
      <c r="C584" s="1"/>
    </row>
    <row r="585" spans="3:3" x14ac:dyDescent="0.25">
      <c r="C585" s="1"/>
    </row>
    <row r="586" spans="3:3" x14ac:dyDescent="0.25">
      <c r="C586" s="1"/>
    </row>
    <row r="587" spans="3:3" x14ac:dyDescent="0.25">
      <c r="C587" s="1"/>
    </row>
    <row r="588" spans="3:3" x14ac:dyDescent="0.25">
      <c r="C588" s="1"/>
    </row>
    <row r="589" spans="3:3" x14ac:dyDescent="0.25">
      <c r="C589" s="1"/>
    </row>
    <row r="590" spans="3:3" x14ac:dyDescent="0.25">
      <c r="C590" s="1"/>
    </row>
    <row r="591" spans="3:3" x14ac:dyDescent="0.25">
      <c r="C591" s="1"/>
    </row>
    <row r="592" spans="3:3" x14ac:dyDescent="0.25">
      <c r="C592" s="1"/>
    </row>
    <row r="593" spans="3:3" x14ac:dyDescent="0.25">
      <c r="C593" s="1"/>
    </row>
    <row r="594" spans="3:3" x14ac:dyDescent="0.25">
      <c r="C594" s="1"/>
    </row>
    <row r="595" spans="3:3" x14ac:dyDescent="0.25">
      <c r="C595" s="1"/>
    </row>
    <row r="596" spans="3:3" x14ac:dyDescent="0.25">
      <c r="C596" s="1"/>
    </row>
    <row r="597" spans="3:3" x14ac:dyDescent="0.25">
      <c r="C597" s="1"/>
    </row>
    <row r="598" spans="3:3" x14ac:dyDescent="0.25">
      <c r="C598" s="1"/>
    </row>
    <row r="599" spans="3:3" x14ac:dyDescent="0.25">
      <c r="C599" s="1"/>
    </row>
    <row r="600" spans="3:3" x14ac:dyDescent="0.25">
      <c r="C600" s="1"/>
    </row>
    <row r="601" spans="3:3" x14ac:dyDescent="0.25">
      <c r="C601" s="1"/>
    </row>
    <row r="602" spans="3:3" x14ac:dyDescent="0.25">
      <c r="C602" s="1"/>
    </row>
    <row r="603" spans="3:3" x14ac:dyDescent="0.25">
      <c r="C603" s="1"/>
    </row>
    <row r="604" spans="3:3" x14ac:dyDescent="0.25">
      <c r="C604" s="1"/>
    </row>
    <row r="605" spans="3:3" x14ac:dyDescent="0.25">
      <c r="C605" s="1"/>
    </row>
    <row r="606" spans="3:3" x14ac:dyDescent="0.25">
      <c r="C606" s="1"/>
    </row>
    <row r="607" spans="3:3" x14ac:dyDescent="0.25">
      <c r="C607" s="1"/>
    </row>
    <row r="608" spans="3:3" x14ac:dyDescent="0.25">
      <c r="C608" s="1"/>
    </row>
    <row r="609" spans="3:3" x14ac:dyDescent="0.25">
      <c r="C609" s="1"/>
    </row>
    <row r="610" spans="3:3" x14ac:dyDescent="0.25">
      <c r="C610" s="1"/>
    </row>
    <row r="611" spans="3:3" x14ac:dyDescent="0.25">
      <c r="C611" s="1"/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Calculations</vt:lpstr>
      <vt:lpstr>pCC Plot</vt:lpstr>
      <vt:lpstr>Sequences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Gerry Shaw</dc:creator>
  <cp:keywords/>
  <dc:description/>
  <cp:lastModifiedBy>Carina Negreanu</cp:lastModifiedBy>
  <dcterms:created xsi:type="dcterms:W3CDTF">2020-01-27T11:20:16Z</dcterms:created>
  <dcterms:modified xsi:type="dcterms:W3CDTF">2020-01-27T11:20:17Z</dcterms:modified>
</cp:coreProperties>
</file>